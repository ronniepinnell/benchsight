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games/18977/events/"/>
    </mc:Choice>
  </mc:AlternateContent>
  <xr:revisionPtr revIDLastSave="0" documentId="13_ncr:1_{7847FF5F-73BB-0B46-A797-4C895AE55A17}" xr6:coauthVersionLast="47" xr6:coauthVersionMax="47" xr10:uidLastSave="{00000000-0000-0000-0000-000000000000}"/>
  <bookViews>
    <workbookView xWindow="75180" yWindow="1160" windowWidth="37840" windowHeight="17340" activeTab="2" xr2:uid="{EF01C613-D165-2D4B-B5E8-CA54AD994DA8}"/>
  </bookViews>
  <sheets>
    <sheet name="Rules" sheetId="5" r:id="rId1"/>
    <sheet name="Lists" sheetId="4" r:id="rId2"/>
    <sheet name="events" sheetId="1" r:id="rId3"/>
    <sheet name="shifts" sheetId="8" r:id="rId4"/>
  </sheets>
  <definedNames>
    <definedName name="_xlnm._FilterDatabase" localSheetId="2" hidden="1">events!$A$1:$Y$1713</definedName>
    <definedName name="EventType">Lists!$A$2:$A$16</definedName>
    <definedName name="Faceoff">Lists!$U$2:$U$1048576</definedName>
    <definedName name="Goal">Lists!$X$2:$X$1048576</definedName>
    <definedName name="Goal_PenaltyShot">Lists!$BO$2:$BO$1048576</definedName>
    <definedName name="Goal_Scored">Lists!$BM$2:$BM$1048576</definedName>
    <definedName name="Goal_Shootout">Lists!$BN$2:$BN$1048576</definedName>
    <definedName name="LoosePuck">Lists!$AD$2:$AD$1048576</definedName>
    <definedName name="Pass">Lists!$W$2:$W$1048576</definedName>
    <definedName name="Pass_Completed">Lists!$AF$2:$AF$1048576</definedName>
    <definedName name="Pass_Deflected">Lists!$AH$2:$AH$1048576</definedName>
    <definedName name="Pass_Intercepted">Lists!$AI$2:$AI$1048576</definedName>
    <definedName name="Pass_Missed">Lists!$AG$2:$AG$1048576</definedName>
    <definedName name="Penalty">Lists!$AA$2:$AA$1048576</definedName>
    <definedName name="Penalty_Major">Lists!$AO$2:$AO$1048576</definedName>
    <definedName name="Penalty_Minor">Lists!$AP$2:$AP$1048576</definedName>
    <definedName name="Penalty_Offsetting">Lists!$AQ$2:$AQ$1048576</definedName>
    <definedName name="PenaltyShot_Missed">Lists!$AY$2:$AY$1048576</definedName>
    <definedName name="PenaltyShot_OnNet">Lists!$AX$2:$AX$1048576</definedName>
    <definedName name="PenaltyShot_Saved">Lists!$AZ$2:$AZ$1048576</definedName>
    <definedName name="PenaltyShot_Shootout">Lists!$AB$2:$AB$1048576</definedName>
    <definedName name="Play">Lists!$T:$T</definedName>
    <definedName name="Play_Defensive">Lists!$BS:$BS</definedName>
    <definedName name="Play_Offensive">Lists!$BR:$BR</definedName>
    <definedName name="Rebound">Lists!$BQ$2:$BQ$1048576</definedName>
    <definedName name="Save">Lists!$AE$2:$AE$1048576</definedName>
    <definedName name="Save_Freeze">Lists!$BB$2:$BB$1048576</definedName>
    <definedName name="Save_Played">Lists!$BP:$BP</definedName>
    <definedName name="Save_Rebound">Lists!$BA$2:$BA$1048576</definedName>
    <definedName name="Shootout_Missed">Lists!$AV$2:$AV$1048576</definedName>
    <definedName name="Shootout_OnNet">Lists!$AU$2:$AU$1048576</definedName>
    <definedName name="Shootout_Saved">Lists!$AW$2:$AW$1048576</definedName>
    <definedName name="Shot">Lists!$V$2:$V$1048576</definedName>
    <definedName name="Shot_Blocked">Lists!$BE$2:$BE$1048576</definedName>
    <definedName name="Shot_BlockedSameTeam">Lists!$BF$2:$BF$1048576</definedName>
    <definedName name="Shot_Deflected">Lists!$BG$2:$BG$1048576</definedName>
    <definedName name="Shot_DeflectedGoal">Lists!$BL$2:$BL$1048576</definedName>
    <definedName name="Shot_DeflectedOnNetSaved">Lists!$BH$2:$BH$1048576</definedName>
    <definedName name="Shot_Missed">Lists!$BD$2:$BD$1048576</definedName>
    <definedName name="Shot_OnNetGoal">Lists!$BJ$2:$BJ$1048576</definedName>
    <definedName name="Shot_OnNetSaved">Lists!$BC$2:$BC$1048576</definedName>
    <definedName name="Shot_TippedGoal">Lists!$BK$2:$BK$1048576</definedName>
    <definedName name="Shot_TippedOnNetSaved">Lists!$BI$2:$BI$1048576</definedName>
    <definedName name="Stoppage">Lists!$AC$2:$AC$1048576</definedName>
    <definedName name="Stoppage_Other">Lists!$AT$2:$AT$1048576</definedName>
    <definedName name="Stoppage_Period">Lists!$AS$2:$AS$1048576</definedName>
    <definedName name="Stoppage_Play">Lists!$AR$2:$AR$1048576</definedName>
    <definedName name="Turnover">Lists!$Y$2:$Y$1048576</definedName>
    <definedName name="Turnover_Giveaway">Lists!$AJ$2:$AJ$1048576</definedName>
    <definedName name="Turnover_Takeaway">Lists!$AK$2:$AK$1048576</definedName>
    <definedName name="Zone_Entry">Lists!$AL$2:$AL$1048576</definedName>
    <definedName name="Zone_Entry_Exit">Lists!$Z$2:$Z$1048576</definedName>
    <definedName name="Zone_Exit">Lists!$AM$2:$AM$1048576</definedName>
    <definedName name="Zone_Keepin">Lists!$AN$2:$AN$1048576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8" i="1" l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3" i="1"/>
  <c r="AC3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3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4" i="1"/>
  <c r="Z3" i="1"/>
  <c r="D4" i="1"/>
  <c r="AD3" i="1"/>
  <c r="U1641" i="1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O75" i="8"/>
  <c r="AO76" i="8"/>
  <c r="AO77" i="8"/>
  <c r="AO78" i="8"/>
  <c r="AO79" i="8"/>
  <c r="AO80" i="8"/>
  <c r="AO81" i="8"/>
  <c r="AO82" i="8"/>
  <c r="AO83" i="8"/>
  <c r="AO84" i="8"/>
  <c r="AO85" i="8"/>
  <c r="AO86" i="8"/>
  <c r="AO87" i="8"/>
  <c r="AO88" i="8"/>
  <c r="AO89" i="8"/>
  <c r="AO90" i="8"/>
  <c r="AO91" i="8"/>
  <c r="AO92" i="8"/>
  <c r="AO93" i="8"/>
  <c r="AO94" i="8"/>
  <c r="AO95" i="8"/>
  <c r="AO96" i="8"/>
  <c r="AO97" i="8"/>
  <c r="AO98" i="8"/>
  <c r="AO99" i="8"/>
  <c r="AO100" i="8"/>
  <c r="AO101" i="8"/>
  <c r="AO102" i="8"/>
  <c r="AO103" i="8"/>
  <c r="AO104" i="8"/>
  <c r="AO105" i="8"/>
  <c r="AO106" i="8"/>
  <c r="AO107" i="8"/>
  <c r="AO108" i="8"/>
  <c r="AO109" i="8"/>
  <c r="AO110" i="8"/>
  <c r="AO111" i="8"/>
  <c r="AO112" i="8"/>
  <c r="AO113" i="8"/>
  <c r="AO114" i="8"/>
  <c r="AO115" i="8"/>
  <c r="AO116" i="8"/>
  <c r="AO117" i="8"/>
  <c r="AO118" i="8"/>
  <c r="AO119" i="8"/>
  <c r="AO120" i="8"/>
  <c r="AO121" i="8"/>
  <c r="AO122" i="8"/>
  <c r="AO123" i="8"/>
  <c r="AO124" i="8"/>
  <c r="AO125" i="8"/>
  <c r="AO126" i="8"/>
  <c r="AO127" i="8"/>
  <c r="AO128" i="8"/>
  <c r="AO129" i="8"/>
  <c r="AO130" i="8"/>
  <c r="AO131" i="8"/>
  <c r="AO132" i="8"/>
  <c r="AO133" i="8"/>
  <c r="AO134" i="8"/>
  <c r="AO135" i="8"/>
  <c r="AO136" i="8"/>
  <c r="AO137" i="8"/>
  <c r="AO138" i="8"/>
  <c r="AO139" i="8"/>
  <c r="AO140" i="8"/>
  <c r="AO141" i="8"/>
  <c r="AO142" i="8"/>
  <c r="AO143" i="8"/>
  <c r="AO144" i="8"/>
  <c r="AO145" i="8"/>
  <c r="AO146" i="8"/>
  <c r="AO147" i="8"/>
  <c r="AO148" i="8"/>
  <c r="AO149" i="8"/>
  <c r="AO150" i="8"/>
  <c r="AO151" i="8"/>
  <c r="AO152" i="8"/>
  <c r="AO153" i="8"/>
  <c r="AO154" i="8"/>
  <c r="AO155" i="8"/>
  <c r="AO156" i="8"/>
  <c r="AO157" i="8"/>
  <c r="AO158" i="8"/>
  <c r="AO159" i="8"/>
  <c r="AO160" i="8"/>
  <c r="AO161" i="8"/>
  <c r="AO162" i="8"/>
  <c r="AO163" i="8"/>
  <c r="AO164" i="8"/>
  <c r="AO165" i="8"/>
  <c r="AO166" i="8"/>
  <c r="AO167" i="8"/>
  <c r="AO168" i="8"/>
  <c r="AO169" i="8"/>
  <c r="AO170" i="8"/>
  <c r="AO171" i="8"/>
  <c r="AO172" i="8"/>
  <c r="AO173" i="8"/>
  <c r="AO174" i="8"/>
  <c r="AO175" i="8"/>
  <c r="AO176" i="8"/>
  <c r="AO177" i="8"/>
  <c r="AO178" i="8"/>
  <c r="AO179" i="8"/>
  <c r="AO180" i="8"/>
  <c r="AO181" i="8"/>
  <c r="AO182" i="8"/>
  <c r="AO183" i="8"/>
  <c r="AO184" i="8"/>
  <c r="AO185" i="8"/>
  <c r="AO186" i="8"/>
  <c r="AO187" i="8"/>
  <c r="AO188" i="8"/>
  <c r="AO189" i="8"/>
  <c r="AO190" i="8"/>
  <c r="AO191" i="8"/>
  <c r="AO192" i="8"/>
  <c r="AO193" i="8"/>
  <c r="AO194" i="8"/>
  <c r="AO195" i="8"/>
  <c r="AO196" i="8"/>
  <c r="AO197" i="8"/>
  <c r="AO198" i="8"/>
  <c r="AO199" i="8"/>
  <c r="AO200" i="8"/>
  <c r="AO201" i="8"/>
  <c r="AO3" i="8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2" i="8"/>
  <c r="A33" i="8"/>
  <c r="A34" i="8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T1415" i="1"/>
  <c r="U1415" i="1"/>
  <c r="V1415" i="1" s="1"/>
  <c r="Y1415" i="1"/>
  <c r="X1415" i="1" s="1"/>
  <c r="T1416" i="1"/>
  <c r="U1416" i="1"/>
  <c r="V1416" i="1"/>
  <c r="Y1416" i="1"/>
  <c r="X1416" i="1" s="1"/>
  <c r="T1417" i="1"/>
  <c r="U1417" i="1"/>
  <c r="V1417" i="1"/>
  <c r="Y1417" i="1"/>
  <c r="X1417" i="1" s="1"/>
  <c r="T1418" i="1"/>
  <c r="U1418" i="1"/>
  <c r="V1418" i="1" s="1"/>
  <c r="Y1418" i="1"/>
  <c r="X1418" i="1" s="1"/>
  <c r="T1419" i="1"/>
  <c r="U1419" i="1"/>
  <c r="V1419" i="1" s="1"/>
  <c r="Y1419" i="1"/>
  <c r="X1419" i="1" s="1"/>
  <c r="T1420" i="1"/>
  <c r="U1420" i="1"/>
  <c r="V1420" i="1"/>
  <c r="Y1420" i="1"/>
  <c r="X1420" i="1" s="1"/>
  <c r="T1421" i="1"/>
  <c r="U1421" i="1"/>
  <c r="V1421" i="1" s="1"/>
  <c r="Y1421" i="1"/>
  <c r="X1421" i="1" s="1"/>
  <c r="T1422" i="1"/>
  <c r="U1422" i="1"/>
  <c r="V1422" i="1" s="1"/>
  <c r="Y1422" i="1"/>
  <c r="X1422" i="1" s="1"/>
  <c r="T1423" i="1"/>
  <c r="U1423" i="1"/>
  <c r="V1423" i="1"/>
  <c r="Y1423" i="1"/>
  <c r="X1423" i="1" s="1"/>
  <c r="T1424" i="1"/>
  <c r="U1424" i="1"/>
  <c r="V1424" i="1"/>
  <c r="Y1424" i="1"/>
  <c r="X1424" i="1" s="1"/>
  <c r="T1425" i="1"/>
  <c r="U1425" i="1"/>
  <c r="V1425" i="1" s="1"/>
  <c r="Y1425" i="1"/>
  <c r="X1425" i="1" s="1"/>
  <c r="T1426" i="1"/>
  <c r="U1426" i="1"/>
  <c r="V1426" i="1" s="1"/>
  <c r="Y1426" i="1"/>
  <c r="X1426" i="1" s="1"/>
  <c r="T1427" i="1"/>
  <c r="U1427" i="1"/>
  <c r="V1427" i="1" s="1"/>
  <c r="Y1427" i="1"/>
  <c r="X1427" i="1" s="1"/>
  <c r="T1428" i="1"/>
  <c r="U1428" i="1"/>
  <c r="V1428" i="1" s="1"/>
  <c r="Y1428" i="1"/>
  <c r="X1428" i="1" s="1"/>
  <c r="T1429" i="1"/>
  <c r="U1429" i="1"/>
  <c r="V1429" i="1" s="1"/>
  <c r="Y1429" i="1"/>
  <c r="X1429" i="1" s="1"/>
  <c r="T1430" i="1"/>
  <c r="U1430" i="1"/>
  <c r="V1430" i="1" s="1"/>
  <c r="Y1430" i="1"/>
  <c r="X1430" i="1" s="1"/>
  <c r="T1431" i="1"/>
  <c r="U1431" i="1"/>
  <c r="V1431" i="1" s="1"/>
  <c r="Y1431" i="1"/>
  <c r="X1431" i="1" s="1"/>
  <c r="T1432" i="1"/>
  <c r="U1432" i="1"/>
  <c r="V1432" i="1" s="1"/>
  <c r="Y1432" i="1"/>
  <c r="X1432" i="1" s="1"/>
  <c r="T1433" i="1"/>
  <c r="U1433" i="1"/>
  <c r="V1433" i="1"/>
  <c r="Y1433" i="1"/>
  <c r="X1433" i="1" s="1"/>
  <c r="T1434" i="1"/>
  <c r="U1434" i="1"/>
  <c r="V1434" i="1"/>
  <c r="Y1434" i="1"/>
  <c r="X1434" i="1" s="1"/>
  <c r="T1435" i="1"/>
  <c r="U1435" i="1"/>
  <c r="V1435" i="1"/>
  <c r="Y1435" i="1"/>
  <c r="X1435" i="1" s="1"/>
  <c r="T1436" i="1"/>
  <c r="U1436" i="1"/>
  <c r="V1436" i="1" s="1"/>
  <c r="Y1436" i="1"/>
  <c r="X1436" i="1" s="1"/>
  <c r="T1437" i="1"/>
  <c r="U1437" i="1"/>
  <c r="V1437" i="1" s="1"/>
  <c r="Y1437" i="1"/>
  <c r="X1437" i="1" s="1"/>
  <c r="T1438" i="1"/>
  <c r="U1438" i="1"/>
  <c r="V1438" i="1"/>
  <c r="Y1438" i="1"/>
  <c r="X1438" i="1" s="1"/>
  <c r="T1439" i="1"/>
  <c r="U1439" i="1"/>
  <c r="V1439" i="1"/>
  <c r="Y1439" i="1"/>
  <c r="X1439" i="1" s="1"/>
  <c r="T1440" i="1"/>
  <c r="U1440" i="1"/>
  <c r="V1440" i="1" s="1"/>
  <c r="Y1440" i="1"/>
  <c r="X1440" i="1" s="1"/>
  <c r="T1441" i="1"/>
  <c r="U1441" i="1"/>
  <c r="V1441" i="1" s="1"/>
  <c r="Y1441" i="1"/>
  <c r="X1441" i="1" s="1"/>
  <c r="T1442" i="1"/>
  <c r="U1442" i="1"/>
  <c r="V1442" i="1"/>
  <c r="Y1442" i="1"/>
  <c r="X1442" i="1" s="1"/>
  <c r="T1443" i="1"/>
  <c r="U1443" i="1"/>
  <c r="V1443" i="1" s="1"/>
  <c r="Y1443" i="1"/>
  <c r="X1443" i="1" s="1"/>
  <c r="T1444" i="1"/>
  <c r="U1444" i="1"/>
  <c r="V1444" i="1" s="1"/>
  <c r="Y1444" i="1"/>
  <c r="X1444" i="1" s="1"/>
  <c r="T1445" i="1"/>
  <c r="U1445" i="1"/>
  <c r="V1445" i="1" s="1"/>
  <c r="Y1445" i="1"/>
  <c r="X1445" i="1" s="1"/>
  <c r="T1446" i="1"/>
  <c r="U1446" i="1"/>
  <c r="V1446" i="1" s="1"/>
  <c r="Y1446" i="1"/>
  <c r="X1446" i="1" s="1"/>
  <c r="T1447" i="1"/>
  <c r="U1447" i="1"/>
  <c r="V1447" i="1" s="1"/>
  <c r="Y1447" i="1"/>
  <c r="X1447" i="1" s="1"/>
  <c r="T1448" i="1"/>
  <c r="U1448" i="1"/>
  <c r="V1448" i="1"/>
  <c r="X1448" i="1"/>
  <c r="Y1448" i="1"/>
  <c r="T1449" i="1"/>
  <c r="U1449" i="1"/>
  <c r="V1449" i="1" s="1"/>
  <c r="Y1449" i="1"/>
  <c r="X1449" i="1" s="1"/>
  <c r="T1450" i="1"/>
  <c r="U1450" i="1"/>
  <c r="V1450" i="1" s="1"/>
  <c r="Y1450" i="1"/>
  <c r="X1450" i="1" s="1"/>
  <c r="T1451" i="1"/>
  <c r="U1451" i="1"/>
  <c r="V1451" i="1" s="1"/>
  <c r="Y1451" i="1"/>
  <c r="X1451" i="1" s="1"/>
  <c r="T1452" i="1"/>
  <c r="U1452" i="1"/>
  <c r="V1452" i="1" s="1"/>
  <c r="Y1452" i="1"/>
  <c r="X1452" i="1" s="1"/>
  <c r="T1453" i="1"/>
  <c r="U1453" i="1"/>
  <c r="V1453" i="1" s="1"/>
  <c r="Y1453" i="1"/>
  <c r="X1453" i="1" s="1"/>
  <c r="T1454" i="1"/>
  <c r="U1454" i="1"/>
  <c r="V1454" i="1" s="1"/>
  <c r="Y1454" i="1"/>
  <c r="X1454" i="1" s="1"/>
  <c r="T1455" i="1"/>
  <c r="U1455" i="1"/>
  <c r="V1455" i="1" s="1"/>
  <c r="Y1455" i="1"/>
  <c r="X1455" i="1" s="1"/>
  <c r="T1456" i="1"/>
  <c r="U1456" i="1"/>
  <c r="V1456" i="1"/>
  <c r="Y1456" i="1"/>
  <c r="X1456" i="1" s="1"/>
  <c r="T1457" i="1"/>
  <c r="U1457" i="1"/>
  <c r="V1457" i="1" s="1"/>
  <c r="Y1457" i="1"/>
  <c r="X1457" i="1" s="1"/>
  <c r="T1458" i="1"/>
  <c r="U1458" i="1"/>
  <c r="V1458" i="1" s="1"/>
  <c r="Y1458" i="1"/>
  <c r="X1458" i="1" s="1"/>
  <c r="T1459" i="1"/>
  <c r="U1459" i="1"/>
  <c r="V1459" i="1" s="1"/>
  <c r="Y1459" i="1"/>
  <c r="X1459" i="1" s="1"/>
  <c r="T1460" i="1"/>
  <c r="U1460" i="1"/>
  <c r="V1460" i="1" s="1"/>
  <c r="Y1460" i="1"/>
  <c r="X1460" i="1" s="1"/>
  <c r="T1461" i="1"/>
  <c r="U1461" i="1"/>
  <c r="V1461" i="1" s="1"/>
  <c r="Y1461" i="1"/>
  <c r="X1461" i="1" s="1"/>
  <c r="T1462" i="1"/>
  <c r="U1462" i="1"/>
  <c r="V1462" i="1" s="1"/>
  <c r="Y1462" i="1"/>
  <c r="X1462" i="1" s="1"/>
  <c r="T1463" i="1"/>
  <c r="U1463" i="1"/>
  <c r="V1463" i="1"/>
  <c r="Y1463" i="1"/>
  <c r="X1463" i="1" s="1"/>
  <c r="T1464" i="1"/>
  <c r="U1464" i="1"/>
  <c r="V1464" i="1" s="1"/>
  <c r="Y1464" i="1"/>
  <c r="X1464" i="1" s="1"/>
  <c r="T1465" i="1"/>
  <c r="U1465" i="1"/>
  <c r="V1465" i="1" s="1"/>
  <c r="Y1465" i="1"/>
  <c r="X1465" i="1" s="1"/>
  <c r="T1466" i="1"/>
  <c r="U1466" i="1"/>
  <c r="V1466" i="1" s="1"/>
  <c r="Y1466" i="1"/>
  <c r="X1466" i="1" s="1"/>
  <c r="T1467" i="1"/>
  <c r="U1467" i="1"/>
  <c r="V1467" i="1" s="1"/>
  <c r="Y1467" i="1"/>
  <c r="X1467" i="1" s="1"/>
  <c r="T1468" i="1"/>
  <c r="U1468" i="1"/>
  <c r="V1468" i="1" s="1"/>
  <c r="Y1468" i="1"/>
  <c r="X1468" i="1" s="1"/>
  <c r="T1469" i="1"/>
  <c r="U1469" i="1"/>
  <c r="V1469" i="1" s="1"/>
  <c r="Y1469" i="1"/>
  <c r="X1469" i="1" s="1"/>
  <c r="T1470" i="1"/>
  <c r="U1470" i="1"/>
  <c r="V1470" i="1"/>
  <c r="Y1470" i="1"/>
  <c r="X1470" i="1" s="1"/>
  <c r="T1471" i="1"/>
  <c r="U1471" i="1"/>
  <c r="V1471" i="1"/>
  <c r="Y1471" i="1"/>
  <c r="X1471" i="1" s="1"/>
  <c r="T1472" i="1"/>
  <c r="U1472" i="1"/>
  <c r="V1472" i="1" s="1"/>
  <c r="Y1472" i="1"/>
  <c r="X1472" i="1" s="1"/>
  <c r="T1473" i="1"/>
  <c r="U1473" i="1"/>
  <c r="V1473" i="1" s="1"/>
  <c r="Y1473" i="1"/>
  <c r="X1473" i="1" s="1"/>
  <c r="T1474" i="1"/>
  <c r="U1474" i="1"/>
  <c r="V1474" i="1" s="1"/>
  <c r="Y1474" i="1"/>
  <c r="X1474" i="1" s="1"/>
  <c r="T1475" i="1"/>
  <c r="U1475" i="1"/>
  <c r="V1475" i="1" s="1"/>
  <c r="Y1475" i="1"/>
  <c r="X1475" i="1" s="1"/>
  <c r="T1476" i="1"/>
  <c r="U1476" i="1"/>
  <c r="V1476" i="1" s="1"/>
  <c r="Y1476" i="1"/>
  <c r="X1476" i="1" s="1"/>
  <c r="T1477" i="1"/>
  <c r="U1477" i="1"/>
  <c r="V1477" i="1"/>
  <c r="Y1477" i="1"/>
  <c r="X1477" i="1" s="1"/>
  <c r="T1478" i="1"/>
  <c r="U1478" i="1"/>
  <c r="V1478" i="1" s="1"/>
  <c r="Y1478" i="1"/>
  <c r="X1478" i="1" s="1"/>
  <c r="T1479" i="1"/>
  <c r="U1479" i="1"/>
  <c r="V1479" i="1"/>
  <c r="Y1479" i="1"/>
  <c r="X1479" i="1" s="1"/>
  <c r="T1480" i="1"/>
  <c r="U1480" i="1"/>
  <c r="V1480" i="1" s="1"/>
  <c r="Y1480" i="1"/>
  <c r="X1480" i="1" s="1"/>
  <c r="T1481" i="1"/>
  <c r="U1481" i="1"/>
  <c r="V1481" i="1" s="1"/>
  <c r="Y1481" i="1"/>
  <c r="X1481" i="1" s="1"/>
  <c r="T1482" i="1"/>
  <c r="U1482" i="1"/>
  <c r="V1482" i="1" s="1"/>
  <c r="Y1482" i="1"/>
  <c r="X1482" i="1" s="1"/>
  <c r="T1483" i="1"/>
  <c r="U1483" i="1"/>
  <c r="V1483" i="1" s="1"/>
  <c r="Y1483" i="1"/>
  <c r="X1483" i="1" s="1"/>
  <c r="T1484" i="1"/>
  <c r="U1484" i="1"/>
  <c r="V1484" i="1"/>
  <c r="Y1484" i="1"/>
  <c r="X1484" i="1" s="1"/>
  <c r="T1485" i="1"/>
  <c r="U1485" i="1"/>
  <c r="V1485" i="1"/>
  <c r="Y1485" i="1"/>
  <c r="X1485" i="1" s="1"/>
  <c r="T1486" i="1"/>
  <c r="U1486" i="1"/>
  <c r="V1486" i="1"/>
  <c r="Y1486" i="1"/>
  <c r="X1486" i="1" s="1"/>
  <c r="T1487" i="1"/>
  <c r="U1487" i="1"/>
  <c r="V1487" i="1"/>
  <c r="Y1487" i="1"/>
  <c r="X1487" i="1" s="1"/>
  <c r="T1488" i="1"/>
  <c r="U1488" i="1"/>
  <c r="V1488" i="1" s="1"/>
  <c r="Y1488" i="1"/>
  <c r="X1488" i="1" s="1"/>
  <c r="T1489" i="1"/>
  <c r="U1489" i="1"/>
  <c r="V1489" i="1"/>
  <c r="Y1489" i="1"/>
  <c r="X1489" i="1" s="1"/>
  <c r="T1490" i="1"/>
  <c r="U1490" i="1"/>
  <c r="V1490" i="1" s="1"/>
  <c r="Y1490" i="1"/>
  <c r="X1490" i="1" s="1"/>
  <c r="T1491" i="1"/>
  <c r="U1491" i="1"/>
  <c r="V1491" i="1" s="1"/>
  <c r="Y1491" i="1"/>
  <c r="X1491" i="1" s="1"/>
  <c r="T1492" i="1"/>
  <c r="U1492" i="1"/>
  <c r="V1492" i="1" s="1"/>
  <c r="Y1492" i="1"/>
  <c r="X1492" i="1" s="1"/>
  <c r="T1493" i="1"/>
  <c r="U1493" i="1"/>
  <c r="V1493" i="1" s="1"/>
  <c r="Y1493" i="1"/>
  <c r="X1493" i="1" s="1"/>
  <c r="T1494" i="1"/>
  <c r="U1494" i="1"/>
  <c r="V1494" i="1" s="1"/>
  <c r="Y1494" i="1"/>
  <c r="X1494" i="1" s="1"/>
  <c r="T1495" i="1"/>
  <c r="U1495" i="1"/>
  <c r="V1495" i="1" s="1"/>
  <c r="Y1495" i="1"/>
  <c r="X1495" i="1" s="1"/>
  <c r="T1496" i="1"/>
  <c r="U1496" i="1"/>
  <c r="V1496" i="1" s="1"/>
  <c r="Y1496" i="1"/>
  <c r="X1496" i="1" s="1"/>
  <c r="T1497" i="1"/>
  <c r="U1497" i="1"/>
  <c r="V1497" i="1"/>
  <c r="Y1497" i="1"/>
  <c r="X1497" i="1" s="1"/>
  <c r="T1498" i="1"/>
  <c r="U1498" i="1"/>
  <c r="V1498" i="1" s="1"/>
  <c r="Y1498" i="1"/>
  <c r="X1498" i="1" s="1"/>
  <c r="T1499" i="1"/>
  <c r="U1499" i="1"/>
  <c r="V1499" i="1" s="1"/>
  <c r="Y1499" i="1"/>
  <c r="X1499" i="1" s="1"/>
  <c r="T1500" i="1"/>
  <c r="U1500" i="1"/>
  <c r="V1500" i="1" s="1"/>
  <c r="Y1500" i="1"/>
  <c r="X1500" i="1" s="1"/>
  <c r="T1501" i="1"/>
  <c r="U1501" i="1"/>
  <c r="V1501" i="1"/>
  <c r="Y1501" i="1"/>
  <c r="X1501" i="1" s="1"/>
  <c r="T1502" i="1"/>
  <c r="U1502" i="1"/>
  <c r="V1502" i="1"/>
  <c r="Y1502" i="1"/>
  <c r="X1502" i="1" s="1"/>
  <c r="T1503" i="1"/>
  <c r="U1503" i="1"/>
  <c r="V1503" i="1" s="1"/>
  <c r="Y1503" i="1"/>
  <c r="X1503" i="1" s="1"/>
  <c r="T1504" i="1"/>
  <c r="U1504" i="1"/>
  <c r="V1504" i="1" s="1"/>
  <c r="Y1504" i="1"/>
  <c r="X1504" i="1" s="1"/>
  <c r="T1505" i="1"/>
  <c r="U1505" i="1"/>
  <c r="V1505" i="1" s="1"/>
  <c r="Y1505" i="1"/>
  <c r="X1505" i="1" s="1"/>
  <c r="T1506" i="1"/>
  <c r="U1506" i="1"/>
  <c r="V1506" i="1" s="1"/>
  <c r="Y1506" i="1"/>
  <c r="X1506" i="1" s="1"/>
  <c r="T1507" i="1"/>
  <c r="U1507" i="1"/>
  <c r="V1507" i="1" s="1"/>
  <c r="Y1507" i="1"/>
  <c r="X1507" i="1" s="1"/>
  <c r="T1508" i="1"/>
  <c r="U1508" i="1"/>
  <c r="V1508" i="1" s="1"/>
  <c r="Y1508" i="1"/>
  <c r="X1508" i="1" s="1"/>
  <c r="T1509" i="1"/>
  <c r="U1509" i="1"/>
  <c r="V1509" i="1"/>
  <c r="Y1509" i="1"/>
  <c r="X1509" i="1" s="1"/>
  <c r="T1510" i="1"/>
  <c r="U1510" i="1"/>
  <c r="V1510" i="1" s="1"/>
  <c r="Y1510" i="1"/>
  <c r="X1510" i="1" s="1"/>
  <c r="T1511" i="1"/>
  <c r="U1511" i="1"/>
  <c r="V1511" i="1" s="1"/>
  <c r="Y1511" i="1"/>
  <c r="X1511" i="1" s="1"/>
  <c r="T1512" i="1"/>
  <c r="U1512" i="1"/>
  <c r="V1512" i="1" s="1"/>
  <c r="Y1512" i="1"/>
  <c r="X1512" i="1" s="1"/>
  <c r="T1513" i="1"/>
  <c r="U1513" i="1"/>
  <c r="V1513" i="1" s="1"/>
  <c r="Y1513" i="1"/>
  <c r="X1513" i="1" s="1"/>
  <c r="T1514" i="1"/>
  <c r="U1514" i="1"/>
  <c r="V1514" i="1" s="1"/>
  <c r="Y1514" i="1"/>
  <c r="X1514" i="1" s="1"/>
  <c r="T1515" i="1"/>
  <c r="U1515" i="1"/>
  <c r="V1515" i="1"/>
  <c r="Y1515" i="1"/>
  <c r="X1515" i="1" s="1"/>
  <c r="T1516" i="1"/>
  <c r="U1516" i="1"/>
  <c r="V1516" i="1" s="1"/>
  <c r="Y1516" i="1"/>
  <c r="X1516" i="1" s="1"/>
  <c r="T1517" i="1"/>
  <c r="U1517" i="1"/>
  <c r="V1517" i="1" s="1"/>
  <c r="Y1517" i="1"/>
  <c r="X1517" i="1" s="1"/>
  <c r="T1518" i="1"/>
  <c r="U1518" i="1"/>
  <c r="V1518" i="1"/>
  <c r="Y1518" i="1"/>
  <c r="X1518" i="1" s="1"/>
  <c r="T1519" i="1"/>
  <c r="U1519" i="1"/>
  <c r="V1519" i="1"/>
  <c r="Y1519" i="1"/>
  <c r="X1519" i="1" s="1"/>
  <c r="T1520" i="1"/>
  <c r="U1520" i="1"/>
  <c r="V1520" i="1" s="1"/>
  <c r="Y1520" i="1"/>
  <c r="X1520" i="1" s="1"/>
  <c r="T1521" i="1"/>
  <c r="U1521" i="1"/>
  <c r="V1521" i="1" s="1"/>
  <c r="Y1521" i="1"/>
  <c r="X1521" i="1" s="1"/>
  <c r="T1522" i="1"/>
  <c r="U1522" i="1"/>
  <c r="V1522" i="1" s="1"/>
  <c r="Y1522" i="1"/>
  <c r="X1522" i="1" s="1"/>
  <c r="T1523" i="1"/>
  <c r="U1523" i="1"/>
  <c r="V1523" i="1"/>
  <c r="Y1523" i="1"/>
  <c r="X1523" i="1" s="1"/>
  <c r="T1524" i="1"/>
  <c r="U1524" i="1"/>
  <c r="V1524" i="1" s="1"/>
  <c r="Y1524" i="1"/>
  <c r="X1524" i="1" s="1"/>
  <c r="T1525" i="1"/>
  <c r="U1525" i="1"/>
  <c r="V1525" i="1" s="1"/>
  <c r="Y1525" i="1"/>
  <c r="X1525" i="1" s="1"/>
  <c r="T1526" i="1"/>
  <c r="U1526" i="1"/>
  <c r="V1526" i="1" s="1"/>
  <c r="Y1526" i="1"/>
  <c r="X1526" i="1" s="1"/>
  <c r="T1527" i="1"/>
  <c r="U1527" i="1"/>
  <c r="V1527" i="1" s="1"/>
  <c r="Y1527" i="1"/>
  <c r="X1527" i="1" s="1"/>
  <c r="T1528" i="1"/>
  <c r="U1528" i="1"/>
  <c r="V1528" i="1" s="1"/>
  <c r="Y1528" i="1"/>
  <c r="X1528" i="1" s="1"/>
  <c r="T1529" i="1"/>
  <c r="U1529" i="1"/>
  <c r="V1529" i="1" s="1"/>
  <c r="Y1529" i="1"/>
  <c r="X1529" i="1" s="1"/>
  <c r="T1530" i="1"/>
  <c r="U1530" i="1"/>
  <c r="V1530" i="1"/>
  <c r="Y1530" i="1"/>
  <c r="X1530" i="1" s="1"/>
  <c r="T1531" i="1"/>
  <c r="U1531" i="1"/>
  <c r="V1531" i="1" s="1"/>
  <c r="Y1531" i="1"/>
  <c r="X1531" i="1" s="1"/>
  <c r="T1532" i="1"/>
  <c r="U1532" i="1"/>
  <c r="V1532" i="1" s="1"/>
  <c r="Y1532" i="1"/>
  <c r="X1532" i="1" s="1"/>
  <c r="T1533" i="1"/>
  <c r="U1533" i="1"/>
  <c r="V1533" i="1" s="1"/>
  <c r="Y1533" i="1"/>
  <c r="X1533" i="1" s="1"/>
  <c r="T1534" i="1"/>
  <c r="U1534" i="1"/>
  <c r="V1534" i="1" s="1"/>
  <c r="Y1534" i="1"/>
  <c r="X1534" i="1" s="1"/>
  <c r="T1535" i="1"/>
  <c r="U1535" i="1"/>
  <c r="V1535" i="1"/>
  <c r="Y1535" i="1"/>
  <c r="X1535" i="1" s="1"/>
  <c r="T1536" i="1"/>
  <c r="U1536" i="1"/>
  <c r="V1536" i="1"/>
  <c r="Y1536" i="1"/>
  <c r="X1536" i="1" s="1"/>
  <c r="T1537" i="1"/>
  <c r="U1537" i="1"/>
  <c r="V1537" i="1" s="1"/>
  <c r="Y1537" i="1"/>
  <c r="X1537" i="1" s="1"/>
  <c r="T1538" i="1"/>
  <c r="U1538" i="1"/>
  <c r="V1538" i="1" s="1"/>
  <c r="Y1538" i="1"/>
  <c r="X1538" i="1" s="1"/>
  <c r="T1539" i="1"/>
  <c r="U1539" i="1"/>
  <c r="V1539" i="1" s="1"/>
  <c r="Y1539" i="1"/>
  <c r="X1539" i="1" s="1"/>
  <c r="T1540" i="1"/>
  <c r="U1540" i="1"/>
  <c r="V1540" i="1" s="1"/>
  <c r="Y1540" i="1"/>
  <c r="X1540" i="1" s="1"/>
  <c r="T1541" i="1"/>
  <c r="U1541" i="1"/>
  <c r="V1541" i="1" s="1"/>
  <c r="Y1541" i="1"/>
  <c r="X1541" i="1" s="1"/>
  <c r="T1542" i="1"/>
  <c r="U1542" i="1"/>
  <c r="V1542" i="1" s="1"/>
  <c r="Y1542" i="1"/>
  <c r="X1542" i="1" s="1"/>
  <c r="T1543" i="1"/>
  <c r="U1543" i="1"/>
  <c r="V1543" i="1" s="1"/>
  <c r="Y1543" i="1"/>
  <c r="X1543" i="1" s="1"/>
  <c r="T1544" i="1"/>
  <c r="U1544" i="1"/>
  <c r="V1544" i="1" s="1"/>
  <c r="Y1544" i="1"/>
  <c r="X1544" i="1" s="1"/>
  <c r="T1545" i="1"/>
  <c r="U1545" i="1"/>
  <c r="V1545" i="1" s="1"/>
  <c r="Y1545" i="1"/>
  <c r="X1545" i="1" s="1"/>
  <c r="T1546" i="1"/>
  <c r="U1546" i="1"/>
  <c r="V1546" i="1" s="1"/>
  <c r="Y1546" i="1"/>
  <c r="X1546" i="1" s="1"/>
  <c r="T1547" i="1"/>
  <c r="U1547" i="1"/>
  <c r="V1547" i="1" s="1"/>
  <c r="Y1547" i="1"/>
  <c r="X1547" i="1" s="1"/>
  <c r="T1548" i="1"/>
  <c r="U1548" i="1"/>
  <c r="V1548" i="1" s="1"/>
  <c r="Y1548" i="1"/>
  <c r="X1548" i="1" s="1"/>
  <c r="T1549" i="1"/>
  <c r="U1549" i="1"/>
  <c r="V1549" i="1" s="1"/>
  <c r="Y1549" i="1"/>
  <c r="X1549" i="1" s="1"/>
  <c r="T1550" i="1"/>
  <c r="U1550" i="1"/>
  <c r="V1550" i="1" s="1"/>
  <c r="Y1550" i="1"/>
  <c r="X1550" i="1" s="1"/>
  <c r="T1551" i="1"/>
  <c r="U1551" i="1"/>
  <c r="V1551" i="1" s="1"/>
  <c r="Y1551" i="1"/>
  <c r="X1551" i="1" s="1"/>
  <c r="T1552" i="1"/>
  <c r="U1552" i="1"/>
  <c r="V1552" i="1" s="1"/>
  <c r="Y1552" i="1"/>
  <c r="X1552" i="1" s="1"/>
  <c r="T1553" i="1"/>
  <c r="U1553" i="1"/>
  <c r="V1553" i="1" s="1"/>
  <c r="Y1553" i="1"/>
  <c r="X1553" i="1" s="1"/>
  <c r="T1554" i="1"/>
  <c r="U1554" i="1"/>
  <c r="V1554" i="1" s="1"/>
  <c r="Y1554" i="1"/>
  <c r="X1554" i="1" s="1"/>
  <c r="T1555" i="1"/>
  <c r="U1555" i="1"/>
  <c r="V1555" i="1" s="1"/>
  <c r="Y1555" i="1"/>
  <c r="X1555" i="1" s="1"/>
  <c r="T1556" i="1"/>
  <c r="U1556" i="1"/>
  <c r="V1556" i="1" s="1"/>
  <c r="Y1556" i="1"/>
  <c r="X1556" i="1" s="1"/>
  <c r="T1557" i="1"/>
  <c r="U1557" i="1"/>
  <c r="V1557" i="1" s="1"/>
  <c r="Y1557" i="1"/>
  <c r="X1557" i="1" s="1"/>
  <c r="T1558" i="1"/>
  <c r="U1558" i="1"/>
  <c r="V1558" i="1" s="1"/>
  <c r="Y1558" i="1"/>
  <c r="X1558" i="1" s="1"/>
  <c r="T1559" i="1"/>
  <c r="U1559" i="1"/>
  <c r="V1559" i="1" s="1"/>
  <c r="Y1559" i="1"/>
  <c r="X1559" i="1" s="1"/>
  <c r="T1560" i="1"/>
  <c r="U1560" i="1"/>
  <c r="V1560" i="1" s="1"/>
  <c r="Y1560" i="1"/>
  <c r="X1560" i="1" s="1"/>
  <c r="T1561" i="1"/>
  <c r="U1561" i="1"/>
  <c r="V1561" i="1" s="1"/>
  <c r="Y1561" i="1"/>
  <c r="X1561" i="1" s="1"/>
  <c r="T1562" i="1"/>
  <c r="U1562" i="1"/>
  <c r="V1562" i="1"/>
  <c r="Y1562" i="1"/>
  <c r="X1562" i="1" s="1"/>
  <c r="T1563" i="1"/>
  <c r="U1563" i="1"/>
  <c r="V1563" i="1"/>
  <c r="Y1563" i="1"/>
  <c r="X1563" i="1" s="1"/>
  <c r="T1564" i="1"/>
  <c r="U1564" i="1"/>
  <c r="V1564" i="1" s="1"/>
  <c r="Y1564" i="1"/>
  <c r="X1564" i="1" s="1"/>
  <c r="T1565" i="1"/>
  <c r="U1565" i="1"/>
  <c r="V1565" i="1" s="1"/>
  <c r="Y1565" i="1"/>
  <c r="X1565" i="1" s="1"/>
  <c r="T1566" i="1"/>
  <c r="U1566" i="1"/>
  <c r="V1566" i="1" s="1"/>
  <c r="Y1566" i="1"/>
  <c r="X1566" i="1" s="1"/>
  <c r="T1567" i="1"/>
  <c r="U1567" i="1"/>
  <c r="V1567" i="1" s="1"/>
  <c r="Y1567" i="1"/>
  <c r="X1567" i="1" s="1"/>
  <c r="T1568" i="1"/>
  <c r="U1568" i="1"/>
  <c r="V1568" i="1"/>
  <c r="Y1568" i="1"/>
  <c r="X1568" i="1" s="1"/>
  <c r="T1569" i="1"/>
  <c r="U1569" i="1"/>
  <c r="V1569" i="1"/>
  <c r="Y1569" i="1"/>
  <c r="X1569" i="1" s="1"/>
  <c r="T1570" i="1"/>
  <c r="U1570" i="1"/>
  <c r="V1570" i="1"/>
  <c r="Y1570" i="1"/>
  <c r="X1570" i="1" s="1"/>
  <c r="T1571" i="1"/>
  <c r="U1571" i="1"/>
  <c r="V1571" i="1"/>
  <c r="Y1571" i="1"/>
  <c r="X1571" i="1" s="1"/>
  <c r="T1572" i="1"/>
  <c r="U1572" i="1"/>
  <c r="V1572" i="1"/>
  <c r="Y1572" i="1"/>
  <c r="X1572" i="1" s="1"/>
  <c r="T1573" i="1"/>
  <c r="U1573" i="1"/>
  <c r="V1573" i="1"/>
  <c r="Y1573" i="1"/>
  <c r="X1573" i="1" s="1"/>
  <c r="T1574" i="1"/>
  <c r="U1574" i="1"/>
  <c r="V1574" i="1" s="1"/>
  <c r="Y1574" i="1"/>
  <c r="X1574" i="1" s="1"/>
  <c r="T1575" i="1"/>
  <c r="U1575" i="1"/>
  <c r="V1575" i="1" s="1"/>
  <c r="Y1575" i="1"/>
  <c r="X1575" i="1" s="1"/>
  <c r="T1576" i="1"/>
  <c r="U1576" i="1"/>
  <c r="V1576" i="1" s="1"/>
  <c r="Y1576" i="1"/>
  <c r="X1576" i="1" s="1"/>
  <c r="T1577" i="1"/>
  <c r="U1577" i="1"/>
  <c r="V1577" i="1" s="1"/>
  <c r="Y1577" i="1"/>
  <c r="X1577" i="1" s="1"/>
  <c r="T1578" i="1"/>
  <c r="U1578" i="1"/>
  <c r="V1578" i="1" s="1"/>
  <c r="Y1578" i="1"/>
  <c r="X1578" i="1" s="1"/>
  <c r="T1579" i="1"/>
  <c r="U1579" i="1"/>
  <c r="V1579" i="1"/>
  <c r="Y1579" i="1"/>
  <c r="X1579" i="1" s="1"/>
  <c r="T1580" i="1"/>
  <c r="U1580" i="1"/>
  <c r="V1580" i="1"/>
  <c r="Y1580" i="1"/>
  <c r="X1580" i="1" s="1"/>
  <c r="T1581" i="1"/>
  <c r="U1581" i="1"/>
  <c r="V1581" i="1" s="1"/>
  <c r="Y1581" i="1"/>
  <c r="X1581" i="1" s="1"/>
  <c r="T1582" i="1"/>
  <c r="U1582" i="1"/>
  <c r="V1582" i="1" s="1"/>
  <c r="Y1582" i="1"/>
  <c r="X1582" i="1" s="1"/>
  <c r="T1583" i="1"/>
  <c r="U1583" i="1"/>
  <c r="V1583" i="1" s="1"/>
  <c r="Y1583" i="1"/>
  <c r="X1583" i="1" s="1"/>
  <c r="T1584" i="1"/>
  <c r="U1584" i="1"/>
  <c r="V1584" i="1" s="1"/>
  <c r="Y1584" i="1"/>
  <c r="X1584" i="1" s="1"/>
  <c r="T1585" i="1"/>
  <c r="U1585" i="1"/>
  <c r="V1585" i="1" s="1"/>
  <c r="Y1585" i="1"/>
  <c r="X1585" i="1" s="1"/>
  <c r="T1586" i="1"/>
  <c r="U1586" i="1"/>
  <c r="V1586" i="1" s="1"/>
  <c r="Y1586" i="1"/>
  <c r="X1586" i="1" s="1"/>
  <c r="T1587" i="1"/>
  <c r="U1587" i="1"/>
  <c r="V1587" i="1" s="1"/>
  <c r="Y1587" i="1"/>
  <c r="X1587" i="1" s="1"/>
  <c r="T1588" i="1"/>
  <c r="U1588" i="1"/>
  <c r="V1588" i="1" s="1"/>
  <c r="Y1588" i="1"/>
  <c r="X1588" i="1" s="1"/>
  <c r="T1589" i="1"/>
  <c r="U1589" i="1"/>
  <c r="V1589" i="1"/>
  <c r="Y1589" i="1"/>
  <c r="X1589" i="1" s="1"/>
  <c r="T1590" i="1"/>
  <c r="U1590" i="1"/>
  <c r="V1590" i="1" s="1"/>
  <c r="Y1590" i="1"/>
  <c r="X1590" i="1" s="1"/>
  <c r="T1591" i="1"/>
  <c r="U1591" i="1"/>
  <c r="V1591" i="1" s="1"/>
  <c r="Y1591" i="1"/>
  <c r="X1591" i="1" s="1"/>
  <c r="T1592" i="1"/>
  <c r="U1592" i="1"/>
  <c r="V1592" i="1" s="1"/>
  <c r="Y1592" i="1"/>
  <c r="X1592" i="1" s="1"/>
  <c r="T1593" i="1"/>
  <c r="U1593" i="1"/>
  <c r="V1593" i="1" s="1"/>
  <c r="Y1593" i="1"/>
  <c r="X1593" i="1" s="1"/>
  <c r="T1594" i="1"/>
  <c r="U1594" i="1"/>
  <c r="V1594" i="1" s="1"/>
  <c r="Y1594" i="1"/>
  <c r="X1594" i="1" s="1"/>
  <c r="T1595" i="1"/>
  <c r="U1595" i="1"/>
  <c r="V1595" i="1" s="1"/>
  <c r="Y1595" i="1"/>
  <c r="X1595" i="1" s="1"/>
  <c r="T1596" i="1"/>
  <c r="U1596" i="1"/>
  <c r="V1596" i="1" s="1"/>
  <c r="Y1596" i="1"/>
  <c r="X1596" i="1" s="1"/>
  <c r="T1597" i="1"/>
  <c r="U1597" i="1"/>
  <c r="V1597" i="1"/>
  <c r="Y1597" i="1"/>
  <c r="X1597" i="1" s="1"/>
  <c r="T1598" i="1"/>
  <c r="U1598" i="1"/>
  <c r="V1598" i="1"/>
  <c r="Y1598" i="1"/>
  <c r="X1598" i="1" s="1"/>
  <c r="T1599" i="1"/>
  <c r="U1599" i="1"/>
  <c r="V1599" i="1"/>
  <c r="Y1599" i="1"/>
  <c r="X1599" i="1" s="1"/>
  <c r="T1600" i="1"/>
  <c r="U1600" i="1"/>
  <c r="V1600" i="1" s="1"/>
  <c r="Y1600" i="1"/>
  <c r="X1600" i="1" s="1"/>
  <c r="T1601" i="1"/>
  <c r="U1601" i="1"/>
  <c r="V1601" i="1" s="1"/>
  <c r="Y1601" i="1"/>
  <c r="X1601" i="1" s="1"/>
  <c r="T1602" i="1"/>
  <c r="U1602" i="1"/>
  <c r="V1602" i="1" s="1"/>
  <c r="Y1602" i="1"/>
  <c r="X1602" i="1" s="1"/>
  <c r="T1603" i="1"/>
  <c r="U1603" i="1"/>
  <c r="V1603" i="1" s="1"/>
  <c r="Y1603" i="1"/>
  <c r="X1603" i="1" s="1"/>
  <c r="T1604" i="1"/>
  <c r="U1604" i="1"/>
  <c r="V1604" i="1" s="1"/>
  <c r="Y1604" i="1"/>
  <c r="X1604" i="1" s="1"/>
  <c r="T1605" i="1"/>
  <c r="U1605" i="1"/>
  <c r="V1605" i="1"/>
  <c r="Y1605" i="1"/>
  <c r="X1605" i="1" s="1"/>
  <c r="T1606" i="1"/>
  <c r="U1606" i="1"/>
  <c r="V1606" i="1" s="1"/>
  <c r="Y1606" i="1"/>
  <c r="X1606" i="1" s="1"/>
  <c r="T1607" i="1"/>
  <c r="U1607" i="1"/>
  <c r="V1607" i="1" s="1"/>
  <c r="Y1607" i="1"/>
  <c r="X1607" i="1" s="1"/>
  <c r="T1608" i="1"/>
  <c r="U1608" i="1"/>
  <c r="V1608" i="1" s="1"/>
  <c r="Y1608" i="1"/>
  <c r="X1608" i="1" s="1"/>
  <c r="T1609" i="1"/>
  <c r="U1609" i="1"/>
  <c r="V1609" i="1"/>
  <c r="Y1609" i="1"/>
  <c r="X1609" i="1" s="1"/>
  <c r="T1610" i="1"/>
  <c r="U1610" i="1"/>
  <c r="V1610" i="1" s="1"/>
  <c r="Y1610" i="1"/>
  <c r="X1610" i="1" s="1"/>
  <c r="T1611" i="1"/>
  <c r="U1611" i="1"/>
  <c r="V1611" i="1" s="1"/>
  <c r="Y1611" i="1"/>
  <c r="X1611" i="1" s="1"/>
  <c r="T1612" i="1"/>
  <c r="U1612" i="1"/>
  <c r="V1612" i="1" s="1"/>
  <c r="Y1612" i="1"/>
  <c r="X1612" i="1" s="1"/>
  <c r="T1613" i="1"/>
  <c r="U1613" i="1"/>
  <c r="V1613" i="1" s="1"/>
  <c r="Y1613" i="1"/>
  <c r="X1613" i="1" s="1"/>
  <c r="T1614" i="1"/>
  <c r="U1614" i="1"/>
  <c r="V1614" i="1"/>
  <c r="Y1614" i="1"/>
  <c r="X1614" i="1" s="1"/>
  <c r="T1615" i="1"/>
  <c r="U1615" i="1"/>
  <c r="V1615" i="1" s="1"/>
  <c r="Y1615" i="1"/>
  <c r="X1615" i="1" s="1"/>
  <c r="T1616" i="1"/>
  <c r="U1616" i="1"/>
  <c r="V1616" i="1" s="1"/>
  <c r="Y1616" i="1"/>
  <c r="X1616" i="1" s="1"/>
  <c r="T1617" i="1"/>
  <c r="U1617" i="1"/>
  <c r="V1617" i="1" s="1"/>
  <c r="Y1617" i="1"/>
  <c r="X1617" i="1" s="1"/>
  <c r="T1618" i="1"/>
  <c r="U1618" i="1"/>
  <c r="V1618" i="1" s="1"/>
  <c r="Y1618" i="1"/>
  <c r="X1618" i="1" s="1"/>
  <c r="T1619" i="1"/>
  <c r="U1619" i="1"/>
  <c r="V1619" i="1" s="1"/>
  <c r="Y1619" i="1"/>
  <c r="X1619" i="1" s="1"/>
  <c r="T1620" i="1"/>
  <c r="U1620" i="1"/>
  <c r="V1620" i="1" s="1"/>
  <c r="Y1620" i="1"/>
  <c r="X1620" i="1" s="1"/>
  <c r="T1621" i="1"/>
  <c r="U1621" i="1"/>
  <c r="V1621" i="1" s="1"/>
  <c r="Y1621" i="1"/>
  <c r="X1621" i="1" s="1"/>
  <c r="T1622" i="1"/>
  <c r="U1622" i="1"/>
  <c r="V1622" i="1" s="1"/>
  <c r="Y1622" i="1"/>
  <c r="X1622" i="1" s="1"/>
  <c r="T1623" i="1"/>
  <c r="U1623" i="1"/>
  <c r="V1623" i="1" s="1"/>
  <c r="Y1623" i="1"/>
  <c r="X1623" i="1" s="1"/>
  <c r="T1624" i="1"/>
  <c r="U1624" i="1"/>
  <c r="V1624" i="1" s="1"/>
  <c r="Y1624" i="1"/>
  <c r="X1624" i="1" s="1"/>
  <c r="T1625" i="1"/>
  <c r="U1625" i="1"/>
  <c r="V1625" i="1" s="1"/>
  <c r="Y1625" i="1"/>
  <c r="X1625" i="1" s="1"/>
  <c r="T1626" i="1"/>
  <c r="U1626" i="1"/>
  <c r="V1626" i="1" s="1"/>
  <c r="Y1626" i="1"/>
  <c r="X1626" i="1" s="1"/>
  <c r="T1627" i="1"/>
  <c r="U1627" i="1"/>
  <c r="V1627" i="1"/>
  <c r="Y1627" i="1"/>
  <c r="X1627" i="1" s="1"/>
  <c r="T1628" i="1"/>
  <c r="U1628" i="1"/>
  <c r="V1628" i="1" s="1"/>
  <c r="Y1628" i="1"/>
  <c r="X1628" i="1" s="1"/>
  <c r="T1629" i="1"/>
  <c r="U1629" i="1"/>
  <c r="V1629" i="1" s="1"/>
  <c r="Y1629" i="1"/>
  <c r="X1629" i="1" s="1"/>
  <c r="T1630" i="1"/>
  <c r="U1630" i="1"/>
  <c r="V1630" i="1" s="1"/>
  <c r="Y1630" i="1"/>
  <c r="X1630" i="1" s="1"/>
  <c r="T1631" i="1"/>
  <c r="U1631" i="1"/>
  <c r="V1631" i="1"/>
  <c r="Y1631" i="1"/>
  <c r="X1631" i="1" s="1"/>
  <c r="T1632" i="1"/>
  <c r="U1632" i="1"/>
  <c r="V1632" i="1"/>
  <c r="Y1632" i="1"/>
  <c r="X1632" i="1" s="1"/>
  <c r="T1633" i="1"/>
  <c r="U1633" i="1"/>
  <c r="V1633" i="1"/>
  <c r="Y1633" i="1"/>
  <c r="X1633" i="1" s="1"/>
  <c r="T1634" i="1"/>
  <c r="U1634" i="1"/>
  <c r="V1634" i="1" s="1"/>
  <c r="Y1634" i="1"/>
  <c r="X1634" i="1" s="1"/>
  <c r="T1635" i="1"/>
  <c r="U1635" i="1"/>
  <c r="V1635" i="1" s="1"/>
  <c r="Y1635" i="1"/>
  <c r="X1635" i="1" s="1"/>
  <c r="T1636" i="1"/>
  <c r="U1636" i="1"/>
  <c r="V1636" i="1" s="1"/>
  <c r="Y1636" i="1"/>
  <c r="X1636" i="1" s="1"/>
  <c r="T1637" i="1"/>
  <c r="U1637" i="1"/>
  <c r="V1637" i="1" s="1"/>
  <c r="Y1637" i="1"/>
  <c r="X1637" i="1" s="1"/>
  <c r="T1638" i="1"/>
  <c r="U1638" i="1"/>
  <c r="V1638" i="1" s="1"/>
  <c r="Y1638" i="1"/>
  <c r="X1638" i="1" s="1"/>
  <c r="T1639" i="1"/>
  <c r="U1639" i="1"/>
  <c r="V1639" i="1"/>
  <c r="Y1639" i="1"/>
  <c r="X1639" i="1" s="1"/>
  <c r="T1640" i="1"/>
  <c r="U1640" i="1"/>
  <c r="V1640" i="1" s="1"/>
  <c r="Y1640" i="1"/>
  <c r="X1640" i="1" s="1"/>
  <c r="T1641" i="1"/>
  <c r="V1641" i="1"/>
  <c r="X1641" i="1"/>
  <c r="Y1641" i="1"/>
  <c r="T1642" i="1"/>
  <c r="U1642" i="1"/>
  <c r="V1642" i="1"/>
  <c r="X1642" i="1"/>
  <c r="Y1642" i="1"/>
  <c r="T1643" i="1"/>
  <c r="U1643" i="1"/>
  <c r="V1643" i="1" s="1"/>
  <c r="Y1643" i="1"/>
  <c r="X1643" i="1" s="1"/>
  <c r="T1644" i="1"/>
  <c r="U1644" i="1"/>
  <c r="V1644" i="1"/>
  <c r="Y1644" i="1"/>
  <c r="X1644" i="1" s="1"/>
  <c r="T1645" i="1"/>
  <c r="U1645" i="1"/>
  <c r="V1645" i="1" s="1"/>
  <c r="Y1645" i="1"/>
  <c r="X1645" i="1" s="1"/>
  <c r="T1646" i="1"/>
  <c r="U1646" i="1"/>
  <c r="V1646" i="1"/>
  <c r="Y1646" i="1"/>
  <c r="X1646" i="1" s="1"/>
  <c r="T1647" i="1"/>
  <c r="U1647" i="1"/>
  <c r="V1647" i="1" s="1"/>
  <c r="Y1647" i="1"/>
  <c r="X1647" i="1" s="1"/>
  <c r="T1648" i="1"/>
  <c r="U1648" i="1"/>
  <c r="V1648" i="1" s="1"/>
  <c r="Y1648" i="1"/>
  <c r="X1648" i="1" s="1"/>
  <c r="T1649" i="1"/>
  <c r="U1649" i="1"/>
  <c r="V1649" i="1"/>
  <c r="Y1649" i="1"/>
  <c r="X1649" i="1" s="1"/>
  <c r="T1650" i="1"/>
  <c r="U1650" i="1"/>
  <c r="V1650" i="1"/>
  <c r="Y1650" i="1"/>
  <c r="X1650" i="1" s="1"/>
  <c r="T1651" i="1"/>
  <c r="U1651" i="1"/>
  <c r="V1651" i="1"/>
  <c r="Y1651" i="1"/>
  <c r="X1651" i="1" s="1"/>
  <c r="T1652" i="1"/>
  <c r="U1652" i="1"/>
  <c r="V1652" i="1" s="1"/>
  <c r="Y1652" i="1"/>
  <c r="X1652" i="1" s="1"/>
  <c r="T1653" i="1"/>
  <c r="U1653" i="1"/>
  <c r="V1653" i="1" s="1"/>
  <c r="Y1653" i="1"/>
  <c r="X1653" i="1" s="1"/>
  <c r="T1654" i="1"/>
  <c r="U1654" i="1"/>
  <c r="V1654" i="1"/>
  <c r="Y1654" i="1"/>
  <c r="X1654" i="1" s="1"/>
  <c r="T1655" i="1"/>
  <c r="U1655" i="1"/>
  <c r="V1655" i="1" s="1"/>
  <c r="Y1655" i="1"/>
  <c r="X1655" i="1" s="1"/>
  <c r="T1656" i="1"/>
  <c r="U1656" i="1"/>
  <c r="V1656" i="1" s="1"/>
  <c r="Y1656" i="1"/>
  <c r="X1656" i="1" s="1"/>
  <c r="T1657" i="1"/>
  <c r="U1657" i="1"/>
  <c r="V1657" i="1" s="1"/>
  <c r="Y1657" i="1"/>
  <c r="X1657" i="1" s="1"/>
  <c r="T1658" i="1"/>
  <c r="U1658" i="1"/>
  <c r="V1658" i="1" s="1"/>
  <c r="Y1658" i="1"/>
  <c r="X1658" i="1" s="1"/>
  <c r="T1659" i="1"/>
  <c r="U1659" i="1"/>
  <c r="V1659" i="1" s="1"/>
  <c r="Y1659" i="1"/>
  <c r="X1659" i="1" s="1"/>
  <c r="T1660" i="1"/>
  <c r="U1660" i="1"/>
  <c r="V1660" i="1" s="1"/>
  <c r="Y1660" i="1"/>
  <c r="X1660" i="1" s="1"/>
  <c r="T1661" i="1"/>
  <c r="U1661" i="1"/>
  <c r="V1661" i="1" s="1"/>
  <c r="Y1661" i="1"/>
  <c r="X1661" i="1" s="1"/>
  <c r="T1662" i="1"/>
  <c r="U1662" i="1"/>
  <c r="V1662" i="1"/>
  <c r="Y1662" i="1"/>
  <c r="X1662" i="1" s="1"/>
  <c r="T1663" i="1"/>
  <c r="U1663" i="1"/>
  <c r="V1663" i="1" s="1"/>
  <c r="Y1663" i="1"/>
  <c r="X1663" i="1" s="1"/>
  <c r="T1664" i="1"/>
  <c r="U1664" i="1"/>
  <c r="V1664" i="1" s="1"/>
  <c r="Y1664" i="1"/>
  <c r="X1664" i="1" s="1"/>
  <c r="T1665" i="1"/>
  <c r="U1665" i="1"/>
  <c r="V1665" i="1" s="1"/>
  <c r="Y1665" i="1"/>
  <c r="X1665" i="1" s="1"/>
  <c r="T1666" i="1"/>
  <c r="U1666" i="1"/>
  <c r="V1666" i="1" s="1"/>
  <c r="Y1666" i="1"/>
  <c r="X1666" i="1" s="1"/>
  <c r="T1667" i="1"/>
  <c r="U1667" i="1"/>
  <c r="V1667" i="1" s="1"/>
  <c r="Y1667" i="1"/>
  <c r="X1667" i="1" s="1"/>
  <c r="T1668" i="1"/>
  <c r="U1668" i="1"/>
  <c r="V1668" i="1" s="1"/>
  <c r="Y1668" i="1"/>
  <c r="X1668" i="1" s="1"/>
  <c r="T1669" i="1"/>
  <c r="U1669" i="1"/>
  <c r="V1669" i="1"/>
  <c r="Y1669" i="1"/>
  <c r="X1669" i="1" s="1"/>
  <c r="T1670" i="1"/>
  <c r="U1670" i="1"/>
  <c r="V1670" i="1"/>
  <c r="Y1670" i="1"/>
  <c r="X1670" i="1" s="1"/>
  <c r="T1671" i="1"/>
  <c r="U1671" i="1"/>
  <c r="V1671" i="1" s="1"/>
  <c r="Y1671" i="1"/>
  <c r="X1671" i="1" s="1"/>
  <c r="T1672" i="1"/>
  <c r="U1672" i="1"/>
  <c r="V1672" i="1" s="1"/>
  <c r="Y1672" i="1"/>
  <c r="X1672" i="1" s="1"/>
  <c r="T1673" i="1"/>
  <c r="U1673" i="1"/>
  <c r="V1673" i="1" s="1"/>
  <c r="Y1673" i="1"/>
  <c r="X1673" i="1" s="1"/>
  <c r="T1674" i="1"/>
  <c r="U1674" i="1"/>
  <c r="V1674" i="1" s="1"/>
  <c r="Y1674" i="1"/>
  <c r="X1674" i="1" s="1"/>
  <c r="T1675" i="1"/>
  <c r="U1675" i="1"/>
  <c r="V1675" i="1"/>
  <c r="Y1675" i="1"/>
  <c r="X1675" i="1" s="1"/>
  <c r="T1676" i="1"/>
  <c r="U1676" i="1"/>
  <c r="V1676" i="1"/>
  <c r="Y1676" i="1"/>
  <c r="X1676" i="1" s="1"/>
  <c r="T1677" i="1"/>
  <c r="U1677" i="1"/>
  <c r="V1677" i="1"/>
  <c r="Y1677" i="1"/>
  <c r="X1677" i="1" s="1"/>
  <c r="T1678" i="1"/>
  <c r="U1678" i="1"/>
  <c r="V1678" i="1"/>
  <c r="Y1678" i="1"/>
  <c r="X1678" i="1" s="1"/>
  <c r="T1679" i="1"/>
  <c r="U1679" i="1"/>
  <c r="V1679" i="1"/>
  <c r="Y1679" i="1"/>
  <c r="X1679" i="1" s="1"/>
  <c r="T1680" i="1"/>
  <c r="U1680" i="1"/>
  <c r="V1680" i="1"/>
  <c r="Y1680" i="1"/>
  <c r="X1680" i="1" s="1"/>
  <c r="T1681" i="1"/>
  <c r="U1681" i="1"/>
  <c r="V1681" i="1"/>
  <c r="Y1681" i="1"/>
  <c r="X1681" i="1" s="1"/>
  <c r="T1682" i="1"/>
  <c r="U1682" i="1"/>
  <c r="V1682" i="1" s="1"/>
  <c r="Y1682" i="1"/>
  <c r="X1682" i="1" s="1"/>
  <c r="T1683" i="1"/>
  <c r="U1683" i="1"/>
  <c r="V1683" i="1" s="1"/>
  <c r="Y1683" i="1"/>
  <c r="X1683" i="1" s="1"/>
  <c r="T1684" i="1"/>
  <c r="U1684" i="1"/>
  <c r="V1684" i="1" s="1"/>
  <c r="Y1684" i="1"/>
  <c r="X1684" i="1" s="1"/>
  <c r="T1685" i="1"/>
  <c r="U1685" i="1"/>
  <c r="V1685" i="1" s="1"/>
  <c r="Y1685" i="1"/>
  <c r="X1685" i="1" s="1"/>
  <c r="T1686" i="1"/>
  <c r="U1686" i="1"/>
  <c r="V1686" i="1" s="1"/>
  <c r="Y1686" i="1"/>
  <c r="X1686" i="1" s="1"/>
  <c r="T1687" i="1"/>
  <c r="U1687" i="1"/>
  <c r="V1687" i="1" s="1"/>
  <c r="Y1687" i="1"/>
  <c r="X1687" i="1" s="1"/>
  <c r="T1688" i="1"/>
  <c r="U1688" i="1"/>
  <c r="V1688" i="1" s="1"/>
  <c r="Y1688" i="1"/>
  <c r="X1688" i="1" s="1"/>
  <c r="T1689" i="1"/>
  <c r="U1689" i="1"/>
  <c r="V1689" i="1"/>
  <c r="Y1689" i="1"/>
  <c r="X1689" i="1" s="1"/>
  <c r="T1690" i="1"/>
  <c r="U1690" i="1"/>
  <c r="V1690" i="1" s="1"/>
  <c r="Y1690" i="1"/>
  <c r="X1690" i="1" s="1"/>
  <c r="T1691" i="1"/>
  <c r="U1691" i="1"/>
  <c r="V1691" i="1" s="1"/>
  <c r="Y1691" i="1"/>
  <c r="X1691" i="1" s="1"/>
  <c r="T1692" i="1"/>
  <c r="U1692" i="1"/>
  <c r="V1692" i="1" s="1"/>
  <c r="Y1692" i="1"/>
  <c r="X1692" i="1" s="1"/>
  <c r="T1693" i="1"/>
  <c r="U1693" i="1"/>
  <c r="V1693" i="1"/>
  <c r="Y1693" i="1"/>
  <c r="X1693" i="1" s="1"/>
  <c r="T1694" i="1"/>
  <c r="U1694" i="1"/>
  <c r="V1694" i="1" s="1"/>
  <c r="Y1694" i="1"/>
  <c r="X1694" i="1" s="1"/>
  <c r="T1695" i="1"/>
  <c r="U1695" i="1"/>
  <c r="V1695" i="1" s="1"/>
  <c r="Y1695" i="1"/>
  <c r="X1695" i="1" s="1"/>
  <c r="T1696" i="1"/>
  <c r="U1696" i="1"/>
  <c r="V1696" i="1" s="1"/>
  <c r="Y1696" i="1"/>
  <c r="X1696" i="1" s="1"/>
  <c r="T1697" i="1"/>
  <c r="U1697" i="1"/>
  <c r="V1697" i="1" s="1"/>
  <c r="Y1697" i="1"/>
  <c r="X1697" i="1" s="1"/>
  <c r="T1698" i="1"/>
  <c r="U1698" i="1"/>
  <c r="V1698" i="1" s="1"/>
  <c r="Y1698" i="1"/>
  <c r="X1698" i="1" s="1"/>
  <c r="T1699" i="1"/>
  <c r="U1699" i="1"/>
  <c r="V1699" i="1" s="1"/>
  <c r="Y1699" i="1"/>
  <c r="X1699" i="1" s="1"/>
  <c r="T1700" i="1"/>
  <c r="U1700" i="1"/>
  <c r="V1700" i="1" s="1"/>
  <c r="Y1700" i="1"/>
  <c r="X1700" i="1" s="1"/>
  <c r="T1701" i="1"/>
  <c r="U1701" i="1"/>
  <c r="V1701" i="1" s="1"/>
  <c r="Y1701" i="1"/>
  <c r="X1701" i="1" s="1"/>
  <c r="T1702" i="1"/>
  <c r="U1702" i="1"/>
  <c r="V1702" i="1" s="1"/>
  <c r="Y1702" i="1"/>
  <c r="X1702" i="1" s="1"/>
  <c r="T1703" i="1"/>
  <c r="U1703" i="1"/>
  <c r="V1703" i="1" s="1"/>
  <c r="Y1703" i="1"/>
  <c r="X1703" i="1" s="1"/>
  <c r="T1704" i="1"/>
  <c r="U1704" i="1"/>
  <c r="V1704" i="1" s="1"/>
  <c r="Y1704" i="1"/>
  <c r="X1704" i="1" s="1"/>
  <c r="T1705" i="1"/>
  <c r="U1705" i="1"/>
  <c r="V1705" i="1" s="1"/>
  <c r="Y1705" i="1"/>
  <c r="X1705" i="1" s="1"/>
  <c r="T1706" i="1"/>
  <c r="U1706" i="1"/>
  <c r="V1706" i="1"/>
  <c r="Y1706" i="1"/>
  <c r="X1706" i="1" s="1"/>
  <c r="T1707" i="1"/>
  <c r="U1707" i="1"/>
  <c r="V1707" i="1" s="1"/>
  <c r="Y1707" i="1"/>
  <c r="X1707" i="1" s="1"/>
  <c r="T1708" i="1"/>
  <c r="U1708" i="1"/>
  <c r="V1708" i="1"/>
  <c r="Y1708" i="1"/>
  <c r="X1708" i="1" s="1"/>
  <c r="T1709" i="1"/>
  <c r="U1709" i="1"/>
  <c r="V1709" i="1" s="1"/>
  <c r="Y1709" i="1"/>
  <c r="X1709" i="1" s="1"/>
  <c r="T1710" i="1"/>
  <c r="U1710" i="1"/>
  <c r="V1710" i="1" s="1"/>
  <c r="Y1710" i="1"/>
  <c r="X1710" i="1" s="1"/>
  <c r="T1711" i="1"/>
  <c r="U1711" i="1"/>
  <c r="V1711" i="1"/>
  <c r="Y1711" i="1"/>
  <c r="X1711" i="1" s="1"/>
  <c r="T1712" i="1"/>
  <c r="U1712" i="1"/>
  <c r="V1712" i="1"/>
  <c r="Y1712" i="1"/>
  <c r="X1712" i="1" s="1"/>
  <c r="T1713" i="1"/>
  <c r="U1713" i="1"/>
  <c r="V1713" i="1"/>
  <c r="Y1713" i="1"/>
  <c r="X1713" i="1" s="1"/>
  <c r="T1714" i="1"/>
  <c r="U1714" i="1"/>
  <c r="V1714" i="1"/>
  <c r="Y1714" i="1"/>
  <c r="X1714" i="1" s="1"/>
  <c r="T1715" i="1"/>
  <c r="U1715" i="1"/>
  <c r="V1715" i="1" s="1"/>
  <c r="Y1715" i="1"/>
  <c r="X1715" i="1" s="1"/>
  <c r="T1716" i="1"/>
  <c r="U1716" i="1"/>
  <c r="V1716" i="1" s="1"/>
  <c r="Y1716" i="1"/>
  <c r="X1716" i="1" s="1"/>
  <c r="T1717" i="1"/>
  <c r="U1717" i="1"/>
  <c r="V1717" i="1" s="1"/>
  <c r="Y1717" i="1"/>
  <c r="X1717" i="1" s="1"/>
  <c r="T1718" i="1"/>
  <c r="U1718" i="1"/>
  <c r="V1718" i="1" s="1"/>
  <c r="Y1718" i="1"/>
  <c r="X1718" i="1" s="1"/>
  <c r="T1719" i="1"/>
  <c r="U1719" i="1"/>
  <c r="V1719" i="1" s="1"/>
  <c r="Y1719" i="1"/>
  <c r="X1719" i="1" s="1"/>
  <c r="T1720" i="1"/>
  <c r="U1720" i="1"/>
  <c r="V1720" i="1"/>
  <c r="Y1720" i="1"/>
  <c r="X1720" i="1" s="1"/>
  <c r="T1721" i="1"/>
  <c r="U1721" i="1"/>
  <c r="V1721" i="1" s="1"/>
  <c r="Y1721" i="1"/>
  <c r="X1721" i="1" s="1"/>
  <c r="T1722" i="1"/>
  <c r="U1722" i="1"/>
  <c r="V1722" i="1" s="1"/>
  <c r="Y1722" i="1"/>
  <c r="X1722" i="1" s="1"/>
  <c r="T1723" i="1"/>
  <c r="U1723" i="1"/>
  <c r="V1723" i="1"/>
  <c r="Y1723" i="1"/>
  <c r="X1723" i="1" s="1"/>
  <c r="T1724" i="1"/>
  <c r="U1724" i="1"/>
  <c r="V1724" i="1"/>
  <c r="Y1724" i="1"/>
  <c r="X1724" i="1" s="1"/>
  <c r="T1725" i="1"/>
  <c r="U1725" i="1"/>
  <c r="V1725" i="1"/>
  <c r="Y1725" i="1"/>
  <c r="X1725" i="1" s="1"/>
  <c r="T1726" i="1"/>
  <c r="U1726" i="1"/>
  <c r="V1726" i="1"/>
  <c r="Y1726" i="1"/>
  <c r="X1726" i="1" s="1"/>
  <c r="T1727" i="1"/>
  <c r="U1727" i="1"/>
  <c r="V1727" i="1"/>
  <c r="Y1727" i="1"/>
  <c r="X1727" i="1" s="1"/>
  <c r="T1728" i="1"/>
  <c r="U1728" i="1"/>
  <c r="V1728" i="1" s="1"/>
  <c r="Y1728" i="1"/>
  <c r="X1728" i="1" s="1"/>
  <c r="T1729" i="1"/>
  <c r="U1729" i="1"/>
  <c r="V1729" i="1" s="1"/>
  <c r="Y1729" i="1"/>
  <c r="X1729" i="1" s="1"/>
  <c r="T1730" i="1"/>
  <c r="U1730" i="1"/>
  <c r="V1730" i="1" s="1"/>
  <c r="Y1730" i="1"/>
  <c r="X1730" i="1" s="1"/>
  <c r="T1731" i="1"/>
  <c r="U1731" i="1"/>
  <c r="V1731" i="1" s="1"/>
  <c r="Y1731" i="1"/>
  <c r="X1731" i="1" s="1"/>
  <c r="T1732" i="1"/>
  <c r="U1732" i="1"/>
  <c r="V1732" i="1" s="1"/>
  <c r="Y1732" i="1"/>
  <c r="X1732" i="1" s="1"/>
  <c r="T1733" i="1"/>
  <c r="U1733" i="1"/>
  <c r="V1733" i="1"/>
  <c r="Y1733" i="1"/>
  <c r="X1733" i="1" s="1"/>
  <c r="T1734" i="1"/>
  <c r="U1734" i="1"/>
  <c r="V1734" i="1" s="1"/>
  <c r="Y1734" i="1"/>
  <c r="X1734" i="1" s="1"/>
  <c r="T1735" i="1"/>
  <c r="U1735" i="1"/>
  <c r="V1735" i="1" s="1"/>
  <c r="Y1735" i="1"/>
  <c r="X1735" i="1" s="1"/>
  <c r="T1736" i="1"/>
  <c r="U1736" i="1"/>
  <c r="V1736" i="1" s="1"/>
  <c r="Y1736" i="1"/>
  <c r="X1736" i="1" s="1"/>
  <c r="T1737" i="1"/>
  <c r="U1737" i="1"/>
  <c r="V1737" i="1" s="1"/>
  <c r="Y1737" i="1"/>
  <c r="X1737" i="1" s="1"/>
  <c r="T1738" i="1"/>
  <c r="U1738" i="1"/>
  <c r="V1738" i="1" s="1"/>
  <c r="Y1738" i="1"/>
  <c r="X1738" i="1" s="1"/>
  <c r="T1739" i="1"/>
  <c r="U1739" i="1"/>
  <c r="V1739" i="1" s="1"/>
  <c r="Y1739" i="1"/>
  <c r="X1739" i="1" s="1"/>
  <c r="T1740" i="1"/>
  <c r="U1740" i="1"/>
  <c r="V1740" i="1" s="1"/>
  <c r="Y1740" i="1"/>
  <c r="X1740" i="1" s="1"/>
  <c r="T1741" i="1"/>
  <c r="U1741" i="1"/>
  <c r="V1741" i="1" s="1"/>
  <c r="Y1741" i="1"/>
  <c r="X1741" i="1" s="1"/>
  <c r="T1742" i="1"/>
  <c r="U1742" i="1"/>
  <c r="V1742" i="1"/>
  <c r="Y1742" i="1"/>
  <c r="X1742" i="1" s="1"/>
  <c r="T1743" i="1"/>
  <c r="U1743" i="1"/>
  <c r="V1743" i="1" s="1"/>
  <c r="Y1743" i="1"/>
  <c r="X1743" i="1" s="1"/>
  <c r="T1744" i="1"/>
  <c r="U1744" i="1"/>
  <c r="V1744" i="1" s="1"/>
  <c r="Y1744" i="1"/>
  <c r="X1744" i="1" s="1"/>
  <c r="T1745" i="1"/>
  <c r="U1745" i="1"/>
  <c r="V1745" i="1" s="1"/>
  <c r="Y1745" i="1"/>
  <c r="X1745" i="1" s="1"/>
  <c r="T1746" i="1"/>
  <c r="U1746" i="1"/>
  <c r="V1746" i="1" s="1"/>
  <c r="Y1746" i="1"/>
  <c r="X1746" i="1" s="1"/>
  <c r="T1747" i="1"/>
  <c r="U1747" i="1"/>
  <c r="V1747" i="1" s="1"/>
  <c r="Y1747" i="1"/>
  <c r="X1747" i="1" s="1"/>
  <c r="T1748" i="1"/>
  <c r="U1748" i="1"/>
  <c r="V1748" i="1" s="1"/>
  <c r="Y1748" i="1"/>
  <c r="X1748" i="1" s="1"/>
  <c r="T1749" i="1"/>
  <c r="U1749" i="1"/>
  <c r="V1749" i="1" s="1"/>
  <c r="Y1749" i="1"/>
  <c r="X1749" i="1" s="1"/>
  <c r="T1750" i="1"/>
  <c r="U1750" i="1"/>
  <c r="V1750" i="1"/>
  <c r="Y1750" i="1"/>
  <c r="X1750" i="1" s="1"/>
  <c r="T1751" i="1"/>
  <c r="U1751" i="1"/>
  <c r="V1751" i="1"/>
  <c r="Y1751" i="1"/>
  <c r="X1751" i="1" s="1"/>
  <c r="T1752" i="1"/>
  <c r="U1752" i="1"/>
  <c r="V1752" i="1"/>
  <c r="Y1752" i="1"/>
  <c r="X1752" i="1" s="1"/>
  <c r="T1753" i="1"/>
  <c r="U1753" i="1"/>
  <c r="V1753" i="1"/>
  <c r="Y1753" i="1"/>
  <c r="X1753" i="1" s="1"/>
  <c r="T1754" i="1"/>
  <c r="U1754" i="1"/>
  <c r="V1754" i="1"/>
  <c r="Y1754" i="1"/>
  <c r="X1754" i="1" s="1"/>
  <c r="T1755" i="1"/>
  <c r="U1755" i="1"/>
  <c r="V1755" i="1" s="1"/>
  <c r="Y1755" i="1"/>
  <c r="X1755" i="1" s="1"/>
  <c r="T1756" i="1"/>
  <c r="U1756" i="1"/>
  <c r="V1756" i="1" s="1"/>
  <c r="Y1756" i="1"/>
  <c r="X1756" i="1" s="1"/>
  <c r="T1757" i="1"/>
  <c r="U1757" i="1"/>
  <c r="V1757" i="1" s="1"/>
  <c r="Y1757" i="1"/>
  <c r="X1757" i="1" s="1"/>
  <c r="T1758" i="1"/>
  <c r="U1758" i="1"/>
  <c r="V1758" i="1" s="1"/>
  <c r="Y1758" i="1"/>
  <c r="X1758" i="1" s="1"/>
  <c r="T1759" i="1"/>
  <c r="U1759" i="1"/>
  <c r="V1759" i="1"/>
  <c r="Y1759" i="1"/>
  <c r="X1759" i="1" s="1"/>
  <c r="T1760" i="1"/>
  <c r="U1760" i="1"/>
  <c r="V1760" i="1" s="1"/>
  <c r="Y1760" i="1"/>
  <c r="X1760" i="1" s="1"/>
  <c r="T1761" i="1"/>
  <c r="U1761" i="1"/>
  <c r="V1761" i="1" s="1"/>
  <c r="Y1761" i="1"/>
  <c r="X1761" i="1" s="1"/>
  <c r="T1762" i="1"/>
  <c r="U1762" i="1"/>
  <c r="V1762" i="1" s="1"/>
  <c r="Y1762" i="1"/>
  <c r="X1762" i="1" s="1"/>
  <c r="T1763" i="1"/>
  <c r="U1763" i="1"/>
  <c r="V1763" i="1" s="1"/>
  <c r="Y1763" i="1"/>
  <c r="X1763" i="1" s="1"/>
  <c r="T1764" i="1"/>
  <c r="U1764" i="1"/>
  <c r="V1764" i="1" s="1"/>
  <c r="X1764" i="1"/>
  <c r="Y1764" i="1"/>
  <c r="T1765" i="1"/>
  <c r="U1765" i="1"/>
  <c r="V1765" i="1" s="1"/>
  <c r="Y1765" i="1"/>
  <c r="X1765" i="1" s="1"/>
  <c r="T1766" i="1"/>
  <c r="U1766" i="1"/>
  <c r="V1766" i="1"/>
  <c r="Y1766" i="1"/>
  <c r="X1766" i="1" s="1"/>
  <c r="T1767" i="1"/>
  <c r="U1767" i="1"/>
  <c r="V1767" i="1"/>
  <c r="Y1767" i="1"/>
  <c r="X1767" i="1" s="1"/>
  <c r="T1768" i="1"/>
  <c r="U1768" i="1"/>
  <c r="V1768" i="1" s="1"/>
  <c r="Y1768" i="1"/>
  <c r="X1768" i="1" s="1"/>
  <c r="T1769" i="1"/>
  <c r="U1769" i="1"/>
  <c r="V1769" i="1" s="1"/>
  <c r="Y1769" i="1"/>
  <c r="X1769" i="1" s="1"/>
  <c r="T1770" i="1"/>
  <c r="U1770" i="1"/>
  <c r="V1770" i="1"/>
  <c r="Y1770" i="1"/>
  <c r="X1770" i="1" s="1"/>
  <c r="T1771" i="1"/>
  <c r="U1771" i="1"/>
  <c r="V1771" i="1" s="1"/>
  <c r="Y1771" i="1"/>
  <c r="X1771" i="1" s="1"/>
  <c r="T1772" i="1"/>
  <c r="U1772" i="1"/>
  <c r="V1772" i="1"/>
  <c r="Y1772" i="1"/>
  <c r="X1772" i="1" s="1"/>
  <c r="T1773" i="1"/>
  <c r="U1773" i="1"/>
  <c r="V1773" i="1"/>
  <c r="Y1773" i="1"/>
  <c r="X1773" i="1" s="1"/>
  <c r="T1774" i="1"/>
  <c r="U1774" i="1"/>
  <c r="V1774" i="1" s="1"/>
  <c r="Y1774" i="1"/>
  <c r="X1774" i="1" s="1"/>
  <c r="T1775" i="1"/>
  <c r="U1775" i="1"/>
  <c r="V1775" i="1" s="1"/>
  <c r="Y1775" i="1"/>
  <c r="X1775" i="1" s="1"/>
  <c r="T1776" i="1"/>
  <c r="U1776" i="1"/>
  <c r="V1776" i="1" s="1"/>
  <c r="Y1776" i="1"/>
  <c r="X1776" i="1" s="1"/>
  <c r="T1777" i="1"/>
  <c r="U1777" i="1"/>
  <c r="V1777" i="1" s="1"/>
  <c r="Y1777" i="1"/>
  <c r="X1777" i="1" s="1"/>
  <c r="T1778" i="1"/>
  <c r="U1778" i="1"/>
  <c r="V1778" i="1" s="1"/>
  <c r="Y1778" i="1"/>
  <c r="X1778" i="1" s="1"/>
  <c r="T1779" i="1"/>
  <c r="U1779" i="1"/>
  <c r="V1779" i="1" s="1"/>
  <c r="Y1779" i="1"/>
  <c r="X1779" i="1" s="1"/>
  <c r="T1780" i="1"/>
  <c r="U1780" i="1"/>
  <c r="V1780" i="1" s="1"/>
  <c r="Y1780" i="1"/>
  <c r="X1780" i="1" s="1"/>
  <c r="T1781" i="1"/>
  <c r="U1781" i="1"/>
  <c r="V1781" i="1"/>
  <c r="Y1781" i="1"/>
  <c r="X1781" i="1" s="1"/>
  <c r="T1782" i="1"/>
  <c r="U1782" i="1"/>
  <c r="V1782" i="1" s="1"/>
  <c r="Y1782" i="1"/>
  <c r="X1782" i="1" s="1"/>
  <c r="T1783" i="1"/>
  <c r="U1783" i="1"/>
  <c r="V1783" i="1" s="1"/>
  <c r="Y1783" i="1"/>
  <c r="X1783" i="1" s="1"/>
  <c r="T1784" i="1"/>
  <c r="U1784" i="1"/>
  <c r="V1784" i="1" s="1"/>
  <c r="Y1784" i="1"/>
  <c r="X1784" i="1" s="1"/>
  <c r="T1785" i="1"/>
  <c r="U1785" i="1"/>
  <c r="V1785" i="1"/>
  <c r="Y1785" i="1"/>
  <c r="X1785" i="1" s="1"/>
  <c r="T1786" i="1"/>
  <c r="U1786" i="1"/>
  <c r="V1786" i="1" s="1"/>
  <c r="Y1786" i="1"/>
  <c r="X1786" i="1" s="1"/>
  <c r="T1787" i="1"/>
  <c r="U1787" i="1"/>
  <c r="V1787" i="1" s="1"/>
  <c r="Y1787" i="1"/>
  <c r="X1787" i="1" s="1"/>
  <c r="T1788" i="1"/>
  <c r="U1788" i="1"/>
  <c r="V1788" i="1"/>
  <c r="Y1788" i="1"/>
  <c r="X1788" i="1" s="1"/>
  <c r="T1789" i="1"/>
  <c r="U1789" i="1"/>
  <c r="V1789" i="1"/>
  <c r="Y1789" i="1"/>
  <c r="X1789" i="1" s="1"/>
  <c r="T1790" i="1"/>
  <c r="U1790" i="1"/>
  <c r="V1790" i="1" s="1"/>
  <c r="Y1790" i="1"/>
  <c r="X1790" i="1" s="1"/>
  <c r="T1791" i="1"/>
  <c r="U1791" i="1"/>
  <c r="V1791" i="1" s="1"/>
  <c r="Y1791" i="1"/>
  <c r="X1791" i="1" s="1"/>
  <c r="T1792" i="1"/>
  <c r="U1792" i="1"/>
  <c r="V1792" i="1"/>
  <c r="Y1792" i="1"/>
  <c r="X1792" i="1" s="1"/>
  <c r="T1793" i="1"/>
  <c r="U1793" i="1"/>
  <c r="V1793" i="1"/>
  <c r="Y1793" i="1"/>
  <c r="X1793" i="1" s="1"/>
  <c r="T1794" i="1"/>
  <c r="U1794" i="1"/>
  <c r="V1794" i="1"/>
  <c r="Y1794" i="1"/>
  <c r="X1794" i="1" s="1"/>
  <c r="T1795" i="1"/>
  <c r="U1795" i="1"/>
  <c r="V1795" i="1"/>
  <c r="Y1795" i="1"/>
  <c r="X1795" i="1" s="1"/>
  <c r="T1796" i="1"/>
  <c r="U1796" i="1"/>
  <c r="V1796" i="1"/>
  <c r="Y1796" i="1"/>
  <c r="X1796" i="1" s="1"/>
  <c r="T1797" i="1"/>
  <c r="U1797" i="1"/>
  <c r="V1797" i="1"/>
  <c r="Y1797" i="1"/>
  <c r="X1797" i="1" s="1"/>
  <c r="T1798" i="1"/>
  <c r="U1798" i="1"/>
  <c r="V1798" i="1"/>
  <c r="Y1798" i="1"/>
  <c r="X1798" i="1" s="1"/>
  <c r="T1799" i="1"/>
  <c r="U1799" i="1"/>
  <c r="V1799" i="1" s="1"/>
  <c r="Y1799" i="1"/>
  <c r="X1799" i="1" s="1"/>
  <c r="T1800" i="1"/>
  <c r="U1800" i="1"/>
  <c r="V1800" i="1" s="1"/>
  <c r="Y1800" i="1"/>
  <c r="X1800" i="1" s="1"/>
  <c r="T1801" i="1"/>
  <c r="U1801" i="1"/>
  <c r="V1801" i="1" s="1"/>
  <c r="Y1801" i="1"/>
  <c r="X1801" i="1" s="1"/>
  <c r="T1802" i="1"/>
  <c r="U1802" i="1"/>
  <c r="V1802" i="1"/>
  <c r="Y1802" i="1"/>
  <c r="X1802" i="1" s="1"/>
  <c r="T1803" i="1"/>
  <c r="U1803" i="1"/>
  <c r="V1803" i="1" s="1"/>
  <c r="Y1803" i="1"/>
  <c r="X1803" i="1" s="1"/>
  <c r="T1804" i="1"/>
  <c r="U1804" i="1"/>
  <c r="V1804" i="1" s="1"/>
  <c r="Y1804" i="1"/>
  <c r="X1804" i="1" s="1"/>
  <c r="T1805" i="1"/>
  <c r="U1805" i="1"/>
  <c r="V1805" i="1" s="1"/>
  <c r="Y1805" i="1"/>
  <c r="X1805" i="1" s="1"/>
  <c r="T1806" i="1"/>
  <c r="U1806" i="1"/>
  <c r="V1806" i="1"/>
  <c r="Y1806" i="1"/>
  <c r="X1806" i="1" s="1"/>
  <c r="T1807" i="1"/>
  <c r="U1807" i="1"/>
  <c r="V1807" i="1"/>
  <c r="Y1807" i="1"/>
  <c r="X1807" i="1" s="1"/>
  <c r="T1808" i="1"/>
  <c r="U1808" i="1"/>
  <c r="V1808" i="1" s="1"/>
  <c r="Y1808" i="1"/>
  <c r="X1808" i="1" s="1"/>
  <c r="T1809" i="1"/>
  <c r="U1809" i="1"/>
  <c r="V1809" i="1" s="1"/>
  <c r="Y1809" i="1"/>
  <c r="X1809" i="1" s="1"/>
  <c r="T1810" i="1"/>
  <c r="U1810" i="1"/>
  <c r="V1810" i="1" s="1"/>
  <c r="Y1810" i="1"/>
  <c r="X1810" i="1" s="1"/>
  <c r="T1811" i="1"/>
  <c r="U1811" i="1"/>
  <c r="V1811" i="1"/>
  <c r="Y1811" i="1"/>
  <c r="X1811" i="1" s="1"/>
  <c r="T1812" i="1"/>
  <c r="U1812" i="1"/>
  <c r="V1812" i="1" s="1"/>
  <c r="Y1812" i="1"/>
  <c r="X1812" i="1" s="1"/>
  <c r="T1813" i="1"/>
  <c r="U1813" i="1"/>
  <c r="V1813" i="1" s="1"/>
  <c r="Y1813" i="1"/>
  <c r="X1813" i="1" s="1"/>
  <c r="T1814" i="1"/>
  <c r="U1814" i="1"/>
  <c r="V1814" i="1" s="1"/>
  <c r="Y1814" i="1"/>
  <c r="X1814" i="1" s="1"/>
  <c r="T1815" i="1"/>
  <c r="U1815" i="1"/>
  <c r="V1815" i="1"/>
  <c r="Y1815" i="1"/>
  <c r="X1815" i="1" s="1"/>
  <c r="T1816" i="1"/>
  <c r="U1816" i="1"/>
  <c r="V1816" i="1" s="1"/>
  <c r="Y1816" i="1"/>
  <c r="X1816" i="1" s="1"/>
  <c r="T1817" i="1"/>
  <c r="U1817" i="1"/>
  <c r="V1817" i="1" s="1"/>
  <c r="Y1817" i="1"/>
  <c r="X1817" i="1" s="1"/>
  <c r="T1818" i="1"/>
  <c r="U1818" i="1"/>
  <c r="V1818" i="1" s="1"/>
  <c r="Y1818" i="1"/>
  <c r="X1818" i="1" s="1"/>
  <c r="T1819" i="1"/>
  <c r="U1819" i="1"/>
  <c r="V1819" i="1" s="1"/>
  <c r="Y1819" i="1"/>
  <c r="X1819" i="1" s="1"/>
  <c r="T1820" i="1"/>
  <c r="U1820" i="1"/>
  <c r="V1820" i="1"/>
  <c r="Y1820" i="1"/>
  <c r="X1820" i="1" s="1"/>
  <c r="T1821" i="1"/>
  <c r="U1821" i="1"/>
  <c r="V1821" i="1"/>
  <c r="Y1821" i="1"/>
  <c r="X1821" i="1" s="1"/>
  <c r="T1822" i="1"/>
  <c r="U1822" i="1"/>
  <c r="V1822" i="1" s="1"/>
  <c r="Y1822" i="1"/>
  <c r="X1822" i="1" s="1"/>
  <c r="T1823" i="1"/>
  <c r="U1823" i="1"/>
  <c r="V1823" i="1"/>
  <c r="Y1823" i="1"/>
  <c r="X1823" i="1" s="1"/>
  <c r="T1824" i="1"/>
  <c r="U1824" i="1"/>
  <c r="V1824" i="1" s="1"/>
  <c r="Y1824" i="1"/>
  <c r="X1824" i="1" s="1"/>
  <c r="T1825" i="1"/>
  <c r="U1825" i="1"/>
  <c r="V1825" i="1" s="1"/>
  <c r="Y1825" i="1"/>
  <c r="X1825" i="1" s="1"/>
  <c r="T1826" i="1"/>
  <c r="U1826" i="1"/>
  <c r="V1826" i="1" s="1"/>
  <c r="Y1826" i="1"/>
  <c r="X1826" i="1" s="1"/>
  <c r="T1827" i="1"/>
  <c r="U1827" i="1"/>
  <c r="V1827" i="1" s="1"/>
  <c r="Y1827" i="1"/>
  <c r="X1827" i="1" s="1"/>
  <c r="T1828" i="1"/>
  <c r="U1828" i="1"/>
  <c r="V1828" i="1" s="1"/>
  <c r="Y1828" i="1"/>
  <c r="X1828" i="1" s="1"/>
  <c r="T1829" i="1"/>
  <c r="U1829" i="1"/>
  <c r="V1829" i="1" s="1"/>
  <c r="Y1829" i="1"/>
  <c r="X1829" i="1" s="1"/>
  <c r="T1830" i="1"/>
  <c r="U1830" i="1"/>
  <c r="V1830" i="1" s="1"/>
  <c r="Y1830" i="1"/>
  <c r="X1830" i="1" s="1"/>
  <c r="T1831" i="1"/>
  <c r="U1831" i="1"/>
  <c r="V1831" i="1" s="1"/>
  <c r="Y1831" i="1"/>
  <c r="X1831" i="1" s="1"/>
  <c r="T1832" i="1"/>
  <c r="U1832" i="1"/>
  <c r="V1832" i="1"/>
  <c r="Y1832" i="1"/>
  <c r="X1832" i="1" s="1"/>
  <c r="T1833" i="1"/>
  <c r="U1833" i="1"/>
  <c r="V1833" i="1"/>
  <c r="Y1833" i="1"/>
  <c r="X1833" i="1" s="1"/>
  <c r="T1834" i="1"/>
  <c r="U1834" i="1"/>
  <c r="V1834" i="1"/>
  <c r="Y1834" i="1"/>
  <c r="X1834" i="1" s="1"/>
  <c r="T1835" i="1"/>
  <c r="U1835" i="1"/>
  <c r="V1835" i="1"/>
  <c r="Y1835" i="1"/>
  <c r="X1835" i="1" s="1"/>
  <c r="T1836" i="1"/>
  <c r="U1836" i="1"/>
  <c r="V1836" i="1"/>
  <c r="Y1836" i="1"/>
  <c r="X1836" i="1" s="1"/>
  <c r="T1837" i="1"/>
  <c r="U1837" i="1"/>
  <c r="V1837" i="1"/>
  <c r="Y1837" i="1"/>
  <c r="X1837" i="1" s="1"/>
  <c r="T1838" i="1"/>
  <c r="U1838" i="1"/>
  <c r="V1838" i="1" s="1"/>
  <c r="Y1838" i="1"/>
  <c r="X1838" i="1" s="1"/>
  <c r="T1839" i="1"/>
  <c r="U1839" i="1"/>
  <c r="V1839" i="1" s="1"/>
  <c r="Y1839" i="1"/>
  <c r="X1839" i="1" s="1"/>
  <c r="T1840" i="1"/>
  <c r="U1840" i="1"/>
  <c r="V1840" i="1" s="1"/>
  <c r="Y1840" i="1"/>
  <c r="X1840" i="1" s="1"/>
  <c r="T1841" i="1"/>
  <c r="U1841" i="1"/>
  <c r="V1841" i="1" s="1"/>
  <c r="Y1841" i="1"/>
  <c r="X1841" i="1" s="1"/>
  <c r="T1842" i="1"/>
  <c r="U1842" i="1"/>
  <c r="V1842" i="1" s="1"/>
  <c r="Y1842" i="1"/>
  <c r="X1842" i="1" s="1"/>
  <c r="T1843" i="1"/>
  <c r="U1843" i="1"/>
  <c r="V1843" i="1" s="1"/>
  <c r="Y1843" i="1"/>
  <c r="X1843" i="1" s="1"/>
  <c r="T1844" i="1"/>
  <c r="U1844" i="1"/>
  <c r="V1844" i="1" s="1"/>
  <c r="Y1844" i="1"/>
  <c r="X1844" i="1" s="1"/>
  <c r="T1845" i="1"/>
  <c r="U1845" i="1"/>
  <c r="V1845" i="1" s="1"/>
  <c r="Y1845" i="1"/>
  <c r="X1845" i="1" s="1"/>
  <c r="T1846" i="1"/>
  <c r="U1846" i="1"/>
  <c r="V1846" i="1" s="1"/>
  <c r="Y1846" i="1"/>
  <c r="X1846" i="1" s="1"/>
  <c r="T1847" i="1"/>
  <c r="U1847" i="1"/>
  <c r="V1847" i="1" s="1"/>
  <c r="Y1847" i="1"/>
  <c r="X1847" i="1" s="1"/>
  <c r="T1848" i="1"/>
  <c r="U1848" i="1"/>
  <c r="V1848" i="1" s="1"/>
  <c r="Y1848" i="1"/>
  <c r="X1848" i="1" s="1"/>
  <c r="T1849" i="1"/>
  <c r="U1849" i="1"/>
  <c r="V1849" i="1" s="1"/>
  <c r="Y1849" i="1"/>
  <c r="X1849" i="1" s="1"/>
  <c r="T1850" i="1"/>
  <c r="U1850" i="1"/>
  <c r="V1850" i="1" s="1"/>
  <c r="Y1850" i="1"/>
  <c r="X1850" i="1" s="1"/>
  <c r="T1851" i="1"/>
  <c r="U1851" i="1"/>
  <c r="V1851" i="1" s="1"/>
  <c r="Y1851" i="1"/>
  <c r="X1851" i="1" s="1"/>
  <c r="T1852" i="1"/>
  <c r="U1852" i="1"/>
  <c r="V1852" i="1" s="1"/>
  <c r="Y1852" i="1"/>
  <c r="X1852" i="1" s="1"/>
  <c r="T1853" i="1"/>
  <c r="U1853" i="1"/>
  <c r="V1853" i="1" s="1"/>
  <c r="Y1853" i="1"/>
  <c r="X1853" i="1" s="1"/>
  <c r="T1854" i="1"/>
  <c r="U1854" i="1"/>
  <c r="V1854" i="1"/>
  <c r="X1854" i="1"/>
  <c r="Y1854" i="1"/>
  <c r="T1855" i="1"/>
  <c r="U1855" i="1"/>
  <c r="V1855" i="1" s="1"/>
  <c r="Y1855" i="1"/>
  <c r="X1855" i="1" s="1"/>
  <c r="T1856" i="1"/>
  <c r="U1856" i="1"/>
  <c r="V1856" i="1" s="1"/>
  <c r="Y1856" i="1"/>
  <c r="X1856" i="1" s="1"/>
  <c r="T1857" i="1"/>
  <c r="U1857" i="1"/>
  <c r="V1857" i="1" s="1"/>
  <c r="X1857" i="1"/>
  <c r="Y1857" i="1"/>
  <c r="T1858" i="1"/>
  <c r="U1858" i="1"/>
  <c r="V1858" i="1" s="1"/>
  <c r="Y1858" i="1"/>
  <c r="X1858" i="1" s="1"/>
  <c r="T1859" i="1"/>
  <c r="U1859" i="1"/>
  <c r="V1859" i="1" s="1"/>
  <c r="Y1859" i="1"/>
  <c r="X1859" i="1" s="1"/>
  <c r="T1860" i="1"/>
  <c r="U1860" i="1"/>
  <c r="V1860" i="1" s="1"/>
  <c r="Y1860" i="1"/>
  <c r="X1860" i="1" s="1"/>
  <c r="T1861" i="1"/>
  <c r="U1861" i="1"/>
  <c r="V1861" i="1" s="1"/>
  <c r="Y1861" i="1"/>
  <c r="X1861" i="1" s="1"/>
  <c r="T1862" i="1"/>
  <c r="U1862" i="1"/>
  <c r="V1862" i="1" s="1"/>
  <c r="Y1862" i="1"/>
  <c r="X1862" i="1" s="1"/>
  <c r="T1863" i="1"/>
  <c r="U1863" i="1"/>
  <c r="V1863" i="1" s="1"/>
  <c r="Y1863" i="1"/>
  <c r="X1863" i="1" s="1"/>
  <c r="T1864" i="1"/>
  <c r="U1864" i="1"/>
  <c r="V1864" i="1" s="1"/>
  <c r="Y1864" i="1"/>
  <c r="X1864" i="1" s="1"/>
  <c r="T1865" i="1"/>
  <c r="U1865" i="1"/>
  <c r="V1865" i="1" s="1"/>
  <c r="Y1865" i="1"/>
  <c r="X1865" i="1" s="1"/>
  <c r="T1866" i="1"/>
  <c r="U1866" i="1"/>
  <c r="V1866" i="1"/>
  <c r="Y1866" i="1"/>
  <c r="X1866" i="1" s="1"/>
  <c r="T1867" i="1"/>
  <c r="U1867" i="1"/>
  <c r="V1867" i="1" s="1"/>
  <c r="Y1867" i="1"/>
  <c r="X1867" i="1" s="1"/>
  <c r="T1868" i="1"/>
  <c r="U1868" i="1"/>
  <c r="V1868" i="1" s="1"/>
  <c r="Y1868" i="1"/>
  <c r="X1868" i="1" s="1"/>
  <c r="T1869" i="1"/>
  <c r="U1869" i="1"/>
  <c r="V1869" i="1" s="1"/>
  <c r="Y1869" i="1"/>
  <c r="X1869" i="1" s="1"/>
  <c r="T1870" i="1"/>
  <c r="U1870" i="1"/>
  <c r="V1870" i="1" s="1"/>
  <c r="Y1870" i="1"/>
  <c r="X1870" i="1" s="1"/>
  <c r="T1871" i="1"/>
  <c r="U1871" i="1"/>
  <c r="V1871" i="1" s="1"/>
  <c r="Y1871" i="1"/>
  <c r="X1871" i="1" s="1"/>
  <c r="T1872" i="1"/>
  <c r="U1872" i="1"/>
  <c r="V1872" i="1" s="1"/>
  <c r="Y1872" i="1"/>
  <c r="X1872" i="1" s="1"/>
  <c r="T1873" i="1"/>
  <c r="U1873" i="1"/>
  <c r="V1873" i="1" s="1"/>
  <c r="Y1873" i="1"/>
  <c r="X1873" i="1" s="1"/>
  <c r="T1874" i="1"/>
  <c r="U1874" i="1"/>
  <c r="V1874" i="1" s="1"/>
  <c r="Y1874" i="1"/>
  <c r="X1874" i="1" s="1"/>
  <c r="T1875" i="1"/>
  <c r="U1875" i="1"/>
  <c r="V1875" i="1" s="1"/>
  <c r="Y1875" i="1"/>
  <c r="X1875" i="1" s="1"/>
  <c r="T1876" i="1"/>
  <c r="U1876" i="1"/>
  <c r="V1876" i="1" s="1"/>
  <c r="Y1876" i="1"/>
  <c r="X1876" i="1" s="1"/>
  <c r="T1877" i="1"/>
  <c r="U1877" i="1"/>
  <c r="V1877" i="1" s="1"/>
  <c r="Y1877" i="1"/>
  <c r="X1877" i="1" s="1"/>
  <c r="T1878" i="1"/>
  <c r="U1878" i="1"/>
  <c r="V1878" i="1" s="1"/>
  <c r="Y1878" i="1"/>
  <c r="X1878" i="1" s="1"/>
  <c r="T1879" i="1"/>
  <c r="U1879" i="1"/>
  <c r="V1879" i="1" s="1"/>
  <c r="Y1879" i="1"/>
  <c r="X1879" i="1" s="1"/>
  <c r="T1880" i="1"/>
  <c r="U1880" i="1"/>
  <c r="V1880" i="1"/>
  <c r="Y1880" i="1"/>
  <c r="X1880" i="1" s="1"/>
  <c r="T1881" i="1"/>
  <c r="U1881" i="1"/>
  <c r="V1881" i="1"/>
  <c r="Y1881" i="1"/>
  <c r="X1881" i="1" s="1"/>
  <c r="T1882" i="1"/>
  <c r="U1882" i="1"/>
  <c r="V1882" i="1"/>
  <c r="X1882" i="1"/>
  <c r="Y1882" i="1"/>
  <c r="T1883" i="1"/>
  <c r="U1883" i="1"/>
  <c r="V1883" i="1"/>
  <c r="Y1883" i="1"/>
  <c r="X1883" i="1" s="1"/>
  <c r="T1884" i="1"/>
  <c r="U1884" i="1"/>
  <c r="V1884" i="1"/>
  <c r="Y1884" i="1"/>
  <c r="X1884" i="1" s="1"/>
  <c r="T1885" i="1"/>
  <c r="U1885" i="1"/>
  <c r="V1885" i="1"/>
  <c r="Y1885" i="1"/>
  <c r="X1885" i="1" s="1"/>
  <c r="T1886" i="1"/>
  <c r="U1886" i="1"/>
  <c r="V1886" i="1" s="1"/>
  <c r="Y1886" i="1"/>
  <c r="X1886" i="1" s="1"/>
  <c r="T1887" i="1"/>
  <c r="U1887" i="1"/>
  <c r="V1887" i="1" s="1"/>
  <c r="Y1887" i="1"/>
  <c r="X1887" i="1" s="1"/>
  <c r="T1888" i="1"/>
  <c r="U1888" i="1"/>
  <c r="V1888" i="1" s="1"/>
  <c r="Y1888" i="1"/>
  <c r="X1888" i="1" s="1"/>
  <c r="T1889" i="1"/>
  <c r="U1889" i="1"/>
  <c r="V1889" i="1"/>
  <c r="Y1889" i="1"/>
  <c r="X1889" i="1" s="1"/>
  <c r="T1890" i="1"/>
  <c r="U1890" i="1"/>
  <c r="V1890" i="1" s="1"/>
  <c r="Y1890" i="1"/>
  <c r="X1890" i="1" s="1"/>
  <c r="T1891" i="1"/>
  <c r="U1891" i="1"/>
  <c r="V1891" i="1" s="1"/>
  <c r="Y1891" i="1"/>
  <c r="X1891" i="1" s="1"/>
  <c r="T1892" i="1"/>
  <c r="U1892" i="1"/>
  <c r="V1892" i="1"/>
  <c r="Y1892" i="1"/>
  <c r="X1892" i="1" s="1"/>
  <c r="T1893" i="1"/>
  <c r="U1893" i="1"/>
  <c r="V1893" i="1" s="1"/>
  <c r="Y1893" i="1"/>
  <c r="X1893" i="1" s="1"/>
  <c r="T1894" i="1"/>
  <c r="U1894" i="1"/>
  <c r="V1894" i="1"/>
  <c r="Y1894" i="1"/>
  <c r="X1894" i="1" s="1"/>
  <c r="T1895" i="1"/>
  <c r="U1895" i="1"/>
  <c r="V1895" i="1" s="1"/>
  <c r="Y1895" i="1"/>
  <c r="X1895" i="1" s="1"/>
  <c r="T1896" i="1"/>
  <c r="U1896" i="1"/>
  <c r="V1896" i="1" s="1"/>
  <c r="Y1896" i="1"/>
  <c r="X1896" i="1" s="1"/>
  <c r="T1897" i="1"/>
  <c r="U1897" i="1"/>
  <c r="V1897" i="1" s="1"/>
  <c r="X1897" i="1"/>
  <c r="Y1897" i="1"/>
  <c r="T1898" i="1"/>
  <c r="U1898" i="1"/>
  <c r="V1898" i="1" s="1"/>
  <c r="Y1898" i="1"/>
  <c r="X1898" i="1" s="1"/>
  <c r="T1899" i="1"/>
  <c r="U1899" i="1"/>
  <c r="V1899" i="1" s="1"/>
  <c r="Y1899" i="1"/>
  <c r="X1899" i="1" s="1"/>
  <c r="T1900" i="1"/>
  <c r="U1900" i="1"/>
  <c r="V1900" i="1" s="1"/>
  <c r="Y1900" i="1"/>
  <c r="X1900" i="1" s="1"/>
  <c r="T1901" i="1"/>
  <c r="U1901" i="1"/>
  <c r="V1901" i="1"/>
  <c r="Y1901" i="1"/>
  <c r="X1901" i="1" s="1"/>
  <c r="T1902" i="1"/>
  <c r="U1902" i="1"/>
  <c r="V1902" i="1"/>
  <c r="Y1902" i="1"/>
  <c r="X1902" i="1" s="1"/>
  <c r="T1903" i="1"/>
  <c r="U1903" i="1"/>
  <c r="V1903" i="1"/>
  <c r="Y1903" i="1"/>
  <c r="X1903" i="1" s="1"/>
  <c r="T1904" i="1"/>
  <c r="U1904" i="1"/>
  <c r="V1904" i="1"/>
  <c r="Y1904" i="1"/>
  <c r="X1904" i="1" s="1"/>
  <c r="T1905" i="1"/>
  <c r="U1905" i="1"/>
  <c r="V1905" i="1" s="1"/>
  <c r="Y1905" i="1"/>
  <c r="X1905" i="1" s="1"/>
  <c r="T1906" i="1"/>
  <c r="U1906" i="1"/>
  <c r="V1906" i="1" s="1"/>
  <c r="Y1906" i="1"/>
  <c r="X1906" i="1" s="1"/>
  <c r="T1907" i="1"/>
  <c r="U1907" i="1"/>
  <c r="V1907" i="1"/>
  <c r="Y1907" i="1"/>
  <c r="X1907" i="1" s="1"/>
  <c r="T1908" i="1"/>
  <c r="U1908" i="1"/>
  <c r="V1908" i="1" s="1"/>
  <c r="Y1908" i="1"/>
  <c r="X1908" i="1" s="1"/>
  <c r="T1909" i="1"/>
  <c r="U1909" i="1"/>
  <c r="V1909" i="1" s="1"/>
  <c r="Y1909" i="1"/>
  <c r="X1909" i="1" s="1"/>
  <c r="T1910" i="1"/>
  <c r="U1910" i="1"/>
  <c r="V1910" i="1"/>
  <c r="X1910" i="1"/>
  <c r="Y1910" i="1"/>
  <c r="T1911" i="1"/>
  <c r="U1911" i="1"/>
  <c r="V1911" i="1"/>
  <c r="Y1911" i="1"/>
  <c r="X1911" i="1" s="1"/>
  <c r="T1912" i="1"/>
  <c r="U1912" i="1"/>
  <c r="V1912" i="1"/>
  <c r="Y1912" i="1"/>
  <c r="X1912" i="1" s="1"/>
  <c r="T1913" i="1"/>
  <c r="U1913" i="1"/>
  <c r="V1913" i="1"/>
  <c r="Y1913" i="1"/>
  <c r="X1913" i="1" s="1"/>
  <c r="T1914" i="1"/>
  <c r="U1914" i="1"/>
  <c r="V1914" i="1"/>
  <c r="Y1914" i="1"/>
  <c r="X1914" i="1" s="1"/>
  <c r="T1915" i="1"/>
  <c r="U1915" i="1"/>
  <c r="V1915" i="1"/>
  <c r="Y1915" i="1"/>
  <c r="X1915" i="1" s="1"/>
  <c r="T1916" i="1"/>
  <c r="U1916" i="1"/>
  <c r="V1916" i="1"/>
  <c r="Y1916" i="1"/>
  <c r="X1916" i="1" s="1"/>
  <c r="T1917" i="1"/>
  <c r="U1917" i="1"/>
  <c r="V1917" i="1"/>
  <c r="Y1917" i="1"/>
  <c r="X1917" i="1" s="1"/>
  <c r="T1918" i="1"/>
  <c r="U1918" i="1"/>
  <c r="V1918" i="1"/>
  <c r="Y1918" i="1"/>
  <c r="X1918" i="1" s="1"/>
  <c r="T1919" i="1"/>
  <c r="U1919" i="1"/>
  <c r="V1919" i="1" s="1"/>
  <c r="Y1919" i="1"/>
  <c r="X1919" i="1" s="1"/>
  <c r="T1920" i="1"/>
  <c r="U1920" i="1"/>
  <c r="V1920" i="1" s="1"/>
  <c r="Y1920" i="1"/>
  <c r="X1920" i="1" s="1"/>
  <c r="T1921" i="1"/>
  <c r="U1921" i="1"/>
  <c r="V1921" i="1"/>
  <c r="Y1921" i="1"/>
  <c r="X1921" i="1" s="1"/>
  <c r="T1922" i="1"/>
  <c r="U1922" i="1"/>
  <c r="V1922" i="1" s="1"/>
  <c r="Y1922" i="1"/>
  <c r="X1922" i="1" s="1"/>
  <c r="T1923" i="1"/>
  <c r="U1923" i="1"/>
  <c r="V1923" i="1" s="1"/>
  <c r="Y1923" i="1"/>
  <c r="X1923" i="1" s="1"/>
  <c r="T1924" i="1"/>
  <c r="U1924" i="1"/>
  <c r="V1924" i="1" s="1"/>
  <c r="Y1924" i="1"/>
  <c r="X1924" i="1" s="1"/>
  <c r="T1925" i="1"/>
  <c r="U1925" i="1"/>
  <c r="V1925" i="1" s="1"/>
  <c r="Y1925" i="1"/>
  <c r="X1925" i="1" s="1"/>
  <c r="T1926" i="1"/>
  <c r="U1926" i="1"/>
  <c r="V1926" i="1" s="1"/>
  <c r="Y1926" i="1"/>
  <c r="X1926" i="1" s="1"/>
  <c r="T1927" i="1"/>
  <c r="U1927" i="1"/>
  <c r="V1927" i="1" s="1"/>
  <c r="Y1927" i="1"/>
  <c r="X1927" i="1" s="1"/>
  <c r="T1928" i="1"/>
  <c r="U1928" i="1"/>
  <c r="V1928" i="1" s="1"/>
  <c r="Y1928" i="1"/>
  <c r="X1928" i="1" s="1"/>
  <c r="T1929" i="1"/>
  <c r="U1929" i="1"/>
  <c r="V1929" i="1" s="1"/>
  <c r="Y1929" i="1"/>
  <c r="X1929" i="1" s="1"/>
  <c r="T1930" i="1"/>
  <c r="U1930" i="1"/>
  <c r="V1930" i="1" s="1"/>
  <c r="Y1930" i="1"/>
  <c r="X1930" i="1" s="1"/>
  <c r="T1931" i="1"/>
  <c r="U1931" i="1"/>
  <c r="V1931" i="1" s="1"/>
  <c r="Y1931" i="1"/>
  <c r="X1931" i="1" s="1"/>
  <c r="T1932" i="1"/>
  <c r="U1932" i="1"/>
  <c r="V1932" i="1" s="1"/>
  <c r="Y1932" i="1"/>
  <c r="X1932" i="1" s="1"/>
  <c r="T1933" i="1"/>
  <c r="U1933" i="1"/>
  <c r="V1933" i="1" s="1"/>
  <c r="Y1933" i="1"/>
  <c r="X1933" i="1" s="1"/>
  <c r="T1934" i="1"/>
  <c r="U1934" i="1"/>
  <c r="V1934" i="1" s="1"/>
  <c r="Y1934" i="1"/>
  <c r="X1934" i="1" s="1"/>
  <c r="T1935" i="1"/>
  <c r="U1935" i="1"/>
  <c r="V1935" i="1" s="1"/>
  <c r="Y1935" i="1"/>
  <c r="X1935" i="1" s="1"/>
  <c r="T1936" i="1"/>
  <c r="U1936" i="1"/>
  <c r="V1936" i="1"/>
  <c r="Y1936" i="1"/>
  <c r="X1936" i="1" s="1"/>
  <c r="T1937" i="1"/>
  <c r="U1937" i="1"/>
  <c r="V1937" i="1" s="1"/>
  <c r="Y1937" i="1"/>
  <c r="X1937" i="1" s="1"/>
  <c r="T1938" i="1"/>
  <c r="U1938" i="1"/>
  <c r="V1938" i="1" s="1"/>
  <c r="Y1938" i="1"/>
  <c r="X1938" i="1" s="1"/>
  <c r="T1939" i="1"/>
  <c r="U1939" i="1"/>
  <c r="V1939" i="1"/>
  <c r="Y1939" i="1"/>
  <c r="X1939" i="1" s="1"/>
  <c r="T1940" i="1"/>
  <c r="U1940" i="1"/>
  <c r="V1940" i="1" s="1"/>
  <c r="Y1940" i="1"/>
  <c r="X1940" i="1" s="1"/>
  <c r="T1941" i="1"/>
  <c r="U1941" i="1"/>
  <c r="V1941" i="1"/>
  <c r="Y1941" i="1"/>
  <c r="X1941" i="1" s="1"/>
  <c r="T1942" i="1"/>
  <c r="U1942" i="1"/>
  <c r="V1942" i="1" s="1"/>
  <c r="Y1942" i="1"/>
  <c r="X1942" i="1" s="1"/>
  <c r="T1943" i="1"/>
  <c r="U1943" i="1"/>
  <c r="V1943" i="1" s="1"/>
  <c r="Y1943" i="1"/>
  <c r="X1943" i="1" s="1"/>
  <c r="T1944" i="1"/>
  <c r="U1944" i="1"/>
  <c r="V1944" i="1" s="1"/>
  <c r="Y1944" i="1"/>
  <c r="X1944" i="1" s="1"/>
  <c r="T1945" i="1"/>
  <c r="U1945" i="1"/>
  <c r="V1945" i="1" s="1"/>
  <c r="Y1945" i="1"/>
  <c r="X1945" i="1" s="1"/>
  <c r="T1946" i="1"/>
  <c r="U1946" i="1"/>
  <c r="V1946" i="1"/>
  <c r="Y1946" i="1"/>
  <c r="X1946" i="1" s="1"/>
  <c r="T1947" i="1"/>
  <c r="U1947" i="1"/>
  <c r="V1947" i="1" s="1"/>
  <c r="Y1947" i="1"/>
  <c r="X1947" i="1" s="1"/>
  <c r="T1948" i="1"/>
  <c r="U1948" i="1"/>
  <c r="V1948" i="1" s="1"/>
  <c r="Y1948" i="1"/>
  <c r="X1948" i="1" s="1"/>
  <c r="T1949" i="1"/>
  <c r="U1949" i="1"/>
  <c r="V1949" i="1" s="1"/>
  <c r="Y1949" i="1"/>
  <c r="X1949" i="1" s="1"/>
  <c r="T1950" i="1"/>
  <c r="U1950" i="1"/>
  <c r="V1950" i="1" s="1"/>
  <c r="Y1950" i="1"/>
  <c r="X1950" i="1" s="1"/>
  <c r="T1951" i="1"/>
  <c r="U1951" i="1"/>
  <c r="V1951" i="1" s="1"/>
  <c r="Y1951" i="1"/>
  <c r="X1951" i="1" s="1"/>
  <c r="T1952" i="1"/>
  <c r="U1952" i="1"/>
  <c r="V1952" i="1"/>
  <c r="Y1952" i="1"/>
  <c r="X1952" i="1" s="1"/>
  <c r="T1953" i="1"/>
  <c r="U1953" i="1"/>
  <c r="V1953" i="1"/>
  <c r="Y1953" i="1"/>
  <c r="X1953" i="1" s="1"/>
  <c r="T1954" i="1"/>
  <c r="U1954" i="1"/>
  <c r="V1954" i="1" s="1"/>
  <c r="Y1954" i="1"/>
  <c r="X1954" i="1" s="1"/>
  <c r="T1955" i="1"/>
  <c r="U1955" i="1"/>
  <c r="V1955" i="1" s="1"/>
  <c r="Y1955" i="1"/>
  <c r="X1955" i="1" s="1"/>
  <c r="T1956" i="1"/>
  <c r="U1956" i="1"/>
  <c r="V1956" i="1" s="1"/>
  <c r="Y1956" i="1"/>
  <c r="X1956" i="1" s="1"/>
  <c r="T1957" i="1"/>
  <c r="U1957" i="1"/>
  <c r="V1957" i="1" s="1"/>
  <c r="Y1957" i="1"/>
  <c r="X1957" i="1" s="1"/>
  <c r="T1958" i="1"/>
  <c r="U1958" i="1"/>
  <c r="V1958" i="1" s="1"/>
  <c r="Y1958" i="1"/>
  <c r="X1958" i="1" s="1"/>
  <c r="T1959" i="1"/>
  <c r="U1959" i="1"/>
  <c r="V1959" i="1" s="1"/>
  <c r="Y1959" i="1"/>
  <c r="X1959" i="1" s="1"/>
  <c r="T1960" i="1"/>
  <c r="U1960" i="1"/>
  <c r="V1960" i="1" s="1"/>
  <c r="Y1960" i="1"/>
  <c r="X1960" i="1" s="1"/>
  <c r="T1961" i="1"/>
  <c r="U1961" i="1"/>
  <c r="V1961" i="1" s="1"/>
  <c r="Y1961" i="1"/>
  <c r="X1961" i="1" s="1"/>
  <c r="T1962" i="1"/>
  <c r="U1962" i="1"/>
  <c r="V1962" i="1" s="1"/>
  <c r="Y1962" i="1"/>
  <c r="X1962" i="1" s="1"/>
  <c r="T1963" i="1"/>
  <c r="U1963" i="1"/>
  <c r="V1963" i="1" s="1"/>
  <c r="Y1963" i="1"/>
  <c r="X1963" i="1" s="1"/>
  <c r="T1964" i="1"/>
  <c r="U1964" i="1"/>
  <c r="V1964" i="1"/>
  <c r="Y1964" i="1"/>
  <c r="X1964" i="1" s="1"/>
  <c r="T1965" i="1"/>
  <c r="U1965" i="1"/>
  <c r="V1965" i="1"/>
  <c r="Y1965" i="1"/>
  <c r="X1965" i="1" s="1"/>
  <c r="T1966" i="1"/>
  <c r="U1966" i="1"/>
  <c r="V1966" i="1"/>
  <c r="Y1966" i="1"/>
  <c r="X1966" i="1" s="1"/>
  <c r="T1967" i="1"/>
  <c r="U1967" i="1"/>
  <c r="V1967" i="1" s="1"/>
  <c r="Y1967" i="1"/>
  <c r="X1967" i="1" s="1"/>
  <c r="T1968" i="1"/>
  <c r="U1968" i="1"/>
  <c r="V1968" i="1" s="1"/>
  <c r="Y1968" i="1"/>
  <c r="X1968" i="1" s="1"/>
  <c r="T1969" i="1"/>
  <c r="U1969" i="1"/>
  <c r="V1969" i="1"/>
  <c r="Y1969" i="1"/>
  <c r="X1969" i="1" s="1"/>
  <c r="T1970" i="1"/>
  <c r="U1970" i="1"/>
  <c r="V1970" i="1" s="1"/>
  <c r="Y1970" i="1"/>
  <c r="X1970" i="1" s="1"/>
  <c r="T1971" i="1"/>
  <c r="U1971" i="1"/>
  <c r="V1971" i="1"/>
  <c r="Y1971" i="1"/>
  <c r="X1971" i="1" s="1"/>
  <c r="T1972" i="1"/>
  <c r="U1972" i="1"/>
  <c r="V1972" i="1" s="1"/>
  <c r="Y1972" i="1"/>
  <c r="X1972" i="1" s="1"/>
  <c r="T1973" i="1"/>
  <c r="U1973" i="1"/>
  <c r="V1973" i="1" s="1"/>
  <c r="Y1973" i="1"/>
  <c r="X1973" i="1" s="1"/>
  <c r="T1974" i="1"/>
  <c r="U1974" i="1"/>
  <c r="V1974" i="1" s="1"/>
  <c r="Y1974" i="1"/>
  <c r="X1974" i="1" s="1"/>
  <c r="T1975" i="1"/>
  <c r="U1975" i="1"/>
  <c r="V1975" i="1"/>
  <c r="Y1975" i="1"/>
  <c r="X1975" i="1" s="1"/>
  <c r="T1976" i="1"/>
  <c r="U1976" i="1"/>
  <c r="V1976" i="1" s="1"/>
  <c r="Y1976" i="1"/>
  <c r="X1976" i="1" s="1"/>
  <c r="T1977" i="1"/>
  <c r="U1977" i="1"/>
  <c r="V1977" i="1" s="1"/>
  <c r="Y1977" i="1"/>
  <c r="X1977" i="1" s="1"/>
  <c r="T1978" i="1"/>
  <c r="U1978" i="1"/>
  <c r="V1978" i="1" s="1"/>
  <c r="Y1978" i="1"/>
  <c r="X1978" i="1" s="1"/>
  <c r="T1979" i="1"/>
  <c r="U1979" i="1"/>
  <c r="V1979" i="1" s="1"/>
  <c r="Y1979" i="1"/>
  <c r="X1979" i="1" s="1"/>
  <c r="T1980" i="1"/>
  <c r="U1980" i="1"/>
  <c r="V1980" i="1" s="1"/>
  <c r="Y1980" i="1"/>
  <c r="X1980" i="1" s="1"/>
  <c r="T1981" i="1"/>
  <c r="U1981" i="1"/>
  <c r="V1981" i="1" s="1"/>
  <c r="Y1981" i="1"/>
  <c r="X1981" i="1" s="1"/>
  <c r="T1982" i="1"/>
  <c r="U1982" i="1"/>
  <c r="V1982" i="1" s="1"/>
  <c r="Y1982" i="1"/>
  <c r="X1982" i="1" s="1"/>
  <c r="T1983" i="1"/>
  <c r="U1983" i="1"/>
  <c r="V1983" i="1"/>
  <c r="Y1983" i="1"/>
  <c r="X1983" i="1" s="1"/>
  <c r="T1984" i="1"/>
  <c r="U1984" i="1"/>
  <c r="V1984" i="1"/>
  <c r="Y1984" i="1"/>
  <c r="X1984" i="1" s="1"/>
  <c r="T1985" i="1"/>
  <c r="U1985" i="1"/>
  <c r="V1985" i="1"/>
  <c r="Y1985" i="1"/>
  <c r="X1985" i="1" s="1"/>
  <c r="T1986" i="1"/>
  <c r="U1986" i="1"/>
  <c r="V1986" i="1"/>
  <c r="Y1986" i="1"/>
  <c r="X1986" i="1" s="1"/>
  <c r="T1987" i="1"/>
  <c r="U1987" i="1"/>
  <c r="V1987" i="1"/>
  <c r="Y1987" i="1"/>
  <c r="X1987" i="1" s="1"/>
  <c r="T1988" i="1"/>
  <c r="U1988" i="1"/>
  <c r="V1988" i="1" s="1"/>
  <c r="Y1988" i="1"/>
  <c r="X1988" i="1" s="1"/>
  <c r="T1989" i="1"/>
  <c r="U1989" i="1"/>
  <c r="V1989" i="1" s="1"/>
  <c r="Y1989" i="1"/>
  <c r="X1989" i="1" s="1"/>
  <c r="T1990" i="1"/>
  <c r="U1990" i="1"/>
  <c r="V1990" i="1" s="1"/>
  <c r="Y1990" i="1"/>
  <c r="X1990" i="1" s="1"/>
  <c r="T1991" i="1"/>
  <c r="U1991" i="1"/>
  <c r="V1991" i="1" s="1"/>
  <c r="Y1991" i="1"/>
  <c r="X1991" i="1" s="1"/>
  <c r="T1992" i="1"/>
  <c r="U1992" i="1"/>
  <c r="V1992" i="1" s="1"/>
  <c r="Y1992" i="1"/>
  <c r="X1992" i="1" s="1"/>
  <c r="T1993" i="1"/>
  <c r="U1993" i="1"/>
  <c r="V1993" i="1" s="1"/>
  <c r="Y1993" i="1"/>
  <c r="X1993" i="1" s="1"/>
  <c r="T1994" i="1"/>
  <c r="U1994" i="1"/>
  <c r="V1994" i="1"/>
  <c r="Y1994" i="1"/>
  <c r="X1994" i="1" s="1"/>
  <c r="T1995" i="1"/>
  <c r="U1995" i="1"/>
  <c r="V1995" i="1" s="1"/>
  <c r="Y1995" i="1"/>
  <c r="X1995" i="1" s="1"/>
  <c r="T1996" i="1"/>
  <c r="U1996" i="1"/>
  <c r="V1996" i="1" s="1"/>
  <c r="Y1996" i="1"/>
  <c r="X1996" i="1" s="1"/>
  <c r="T1997" i="1"/>
  <c r="U1997" i="1"/>
  <c r="V1997" i="1" s="1"/>
  <c r="Y1997" i="1"/>
  <c r="X1997" i="1" s="1"/>
  <c r="T1998" i="1"/>
  <c r="U1998" i="1"/>
  <c r="V1998" i="1" s="1"/>
  <c r="Y1998" i="1"/>
  <c r="X1998" i="1" s="1"/>
  <c r="T1999" i="1"/>
  <c r="U1999" i="1"/>
  <c r="V1999" i="1" s="1"/>
  <c r="Y1999" i="1"/>
  <c r="X1999" i="1" s="1"/>
  <c r="T2000" i="1"/>
  <c r="U2000" i="1"/>
  <c r="V2000" i="1" s="1"/>
  <c r="Y2000" i="1"/>
  <c r="X2000" i="1" s="1"/>
  <c r="T2001" i="1"/>
  <c r="U2001" i="1"/>
  <c r="V2001" i="1" s="1"/>
  <c r="Y2001" i="1"/>
  <c r="X2001" i="1" s="1"/>
  <c r="T2002" i="1"/>
  <c r="U2002" i="1"/>
  <c r="V2002" i="1" s="1"/>
  <c r="Y2002" i="1"/>
  <c r="X2002" i="1" s="1"/>
  <c r="T2003" i="1"/>
  <c r="U2003" i="1"/>
  <c r="V2003" i="1"/>
  <c r="Y2003" i="1"/>
  <c r="X2003" i="1" s="1"/>
  <c r="T2004" i="1"/>
  <c r="U2004" i="1"/>
  <c r="V2004" i="1"/>
  <c r="Y2004" i="1"/>
  <c r="X2004" i="1" s="1"/>
  <c r="T2005" i="1"/>
  <c r="U2005" i="1"/>
  <c r="V2005" i="1" s="1"/>
  <c r="Y2005" i="1"/>
  <c r="X2005" i="1" s="1"/>
  <c r="T2006" i="1"/>
  <c r="U2006" i="1"/>
  <c r="V2006" i="1" s="1"/>
  <c r="Y2006" i="1"/>
  <c r="X2006" i="1" s="1"/>
  <c r="T2007" i="1"/>
  <c r="U2007" i="1"/>
  <c r="V2007" i="1"/>
  <c r="Y2007" i="1"/>
  <c r="X2007" i="1" s="1"/>
  <c r="T2008" i="1"/>
  <c r="U2008" i="1"/>
  <c r="V2008" i="1" s="1"/>
  <c r="Y2008" i="1"/>
  <c r="X2008" i="1" s="1"/>
  <c r="T2009" i="1"/>
  <c r="U2009" i="1"/>
  <c r="V2009" i="1" s="1"/>
  <c r="Y2009" i="1"/>
  <c r="X2009" i="1" s="1"/>
  <c r="T2010" i="1"/>
  <c r="U2010" i="1"/>
  <c r="V2010" i="1" s="1"/>
  <c r="X2010" i="1"/>
  <c r="Y2010" i="1"/>
  <c r="T2011" i="1"/>
  <c r="U2011" i="1"/>
  <c r="V2011" i="1"/>
  <c r="Y2011" i="1"/>
  <c r="X2011" i="1" s="1"/>
  <c r="T2012" i="1"/>
  <c r="U2012" i="1"/>
  <c r="V2012" i="1"/>
  <c r="Y2012" i="1"/>
  <c r="X2012" i="1" s="1"/>
  <c r="T2013" i="1"/>
  <c r="U2013" i="1"/>
  <c r="V2013" i="1"/>
  <c r="Y2013" i="1"/>
  <c r="X2013" i="1" s="1"/>
  <c r="T2014" i="1"/>
  <c r="U2014" i="1"/>
  <c r="V2014" i="1"/>
  <c r="Y2014" i="1"/>
  <c r="X2014" i="1" s="1"/>
  <c r="T2015" i="1"/>
  <c r="U2015" i="1"/>
  <c r="V2015" i="1"/>
  <c r="Y2015" i="1"/>
  <c r="X2015" i="1" s="1"/>
  <c r="T2016" i="1"/>
  <c r="U2016" i="1"/>
  <c r="V2016" i="1" s="1"/>
  <c r="Y2016" i="1"/>
  <c r="X2016" i="1" s="1"/>
  <c r="T2017" i="1"/>
  <c r="U2017" i="1"/>
  <c r="V2017" i="1" s="1"/>
  <c r="Y2017" i="1"/>
  <c r="X2017" i="1" s="1"/>
  <c r="T2018" i="1"/>
  <c r="U2018" i="1"/>
  <c r="V2018" i="1" s="1"/>
  <c r="Y2018" i="1"/>
  <c r="X2018" i="1" s="1"/>
  <c r="T2019" i="1"/>
  <c r="U2019" i="1"/>
  <c r="V2019" i="1"/>
  <c r="Y2019" i="1"/>
  <c r="X2019" i="1" s="1"/>
  <c r="T2020" i="1"/>
  <c r="U2020" i="1"/>
  <c r="V2020" i="1"/>
  <c r="Y2020" i="1"/>
  <c r="X2020" i="1" s="1"/>
  <c r="T2021" i="1"/>
  <c r="U2021" i="1"/>
  <c r="V2021" i="1" s="1"/>
  <c r="Y2021" i="1"/>
  <c r="X2021" i="1" s="1"/>
  <c r="T2022" i="1"/>
  <c r="U2022" i="1"/>
  <c r="V2022" i="1" s="1"/>
  <c r="Y2022" i="1"/>
  <c r="X2022" i="1" s="1"/>
  <c r="T2023" i="1"/>
  <c r="U2023" i="1"/>
  <c r="V2023" i="1"/>
  <c r="Y2023" i="1"/>
  <c r="X2023" i="1" s="1"/>
  <c r="T2024" i="1"/>
  <c r="U2024" i="1"/>
  <c r="V2024" i="1" s="1"/>
  <c r="Y2024" i="1"/>
  <c r="X2024" i="1" s="1"/>
  <c r="T2025" i="1"/>
  <c r="U2025" i="1"/>
  <c r="V2025" i="1" s="1"/>
  <c r="Y2025" i="1"/>
  <c r="X2025" i="1" s="1"/>
  <c r="T2026" i="1"/>
  <c r="U2026" i="1"/>
  <c r="V2026" i="1" s="1"/>
  <c r="Y2026" i="1"/>
  <c r="X2026" i="1" s="1"/>
  <c r="T2027" i="1"/>
  <c r="U2027" i="1"/>
  <c r="V2027" i="1" s="1"/>
  <c r="Y2027" i="1"/>
  <c r="X2027" i="1" s="1"/>
  <c r="T2028" i="1"/>
  <c r="U2028" i="1"/>
  <c r="V2028" i="1"/>
  <c r="Y2028" i="1"/>
  <c r="X2028" i="1" s="1"/>
  <c r="T2029" i="1"/>
  <c r="U2029" i="1"/>
  <c r="V2029" i="1"/>
  <c r="Y2029" i="1"/>
  <c r="X2029" i="1" s="1"/>
  <c r="T2030" i="1"/>
  <c r="U2030" i="1"/>
  <c r="V2030" i="1"/>
  <c r="Y2030" i="1"/>
  <c r="X2030" i="1" s="1"/>
  <c r="T2031" i="1"/>
  <c r="U2031" i="1"/>
  <c r="V2031" i="1"/>
  <c r="Y2031" i="1"/>
  <c r="X2031" i="1" s="1"/>
  <c r="T2032" i="1"/>
  <c r="U2032" i="1"/>
  <c r="V2032" i="1"/>
  <c r="Y2032" i="1"/>
  <c r="X2032" i="1" s="1"/>
  <c r="T2033" i="1"/>
  <c r="U2033" i="1"/>
  <c r="V2033" i="1" s="1"/>
  <c r="Y2033" i="1"/>
  <c r="X2033" i="1" s="1"/>
  <c r="T2034" i="1"/>
  <c r="U2034" i="1"/>
  <c r="V2034" i="1" s="1"/>
  <c r="Y2034" i="1"/>
  <c r="X2034" i="1" s="1"/>
  <c r="T2035" i="1"/>
  <c r="U2035" i="1"/>
  <c r="V2035" i="1"/>
  <c r="Y2035" i="1"/>
  <c r="X2035" i="1" s="1"/>
  <c r="T2036" i="1"/>
  <c r="U2036" i="1"/>
  <c r="V2036" i="1" s="1"/>
  <c r="Y2036" i="1"/>
  <c r="X2036" i="1" s="1"/>
  <c r="T2037" i="1"/>
  <c r="U2037" i="1"/>
  <c r="V2037" i="1" s="1"/>
  <c r="Y2037" i="1"/>
  <c r="X2037" i="1" s="1"/>
  <c r="T2038" i="1"/>
  <c r="U2038" i="1"/>
  <c r="V2038" i="1"/>
  <c r="Y2038" i="1"/>
  <c r="X2038" i="1" s="1"/>
  <c r="T2039" i="1"/>
  <c r="U2039" i="1"/>
  <c r="V2039" i="1" s="1"/>
  <c r="Y2039" i="1"/>
  <c r="X2039" i="1" s="1"/>
  <c r="T2040" i="1"/>
  <c r="U2040" i="1"/>
  <c r="V2040" i="1" s="1"/>
  <c r="Y2040" i="1"/>
  <c r="X2040" i="1" s="1"/>
  <c r="T2041" i="1"/>
  <c r="U2041" i="1"/>
  <c r="V2041" i="1" s="1"/>
  <c r="Y2041" i="1"/>
  <c r="X2041" i="1" s="1"/>
  <c r="T2042" i="1"/>
  <c r="U2042" i="1"/>
  <c r="V2042" i="1" s="1"/>
  <c r="Y2042" i="1"/>
  <c r="X2042" i="1" s="1"/>
  <c r="T2043" i="1"/>
  <c r="U2043" i="1"/>
  <c r="V2043" i="1" s="1"/>
  <c r="Y2043" i="1"/>
  <c r="X2043" i="1" s="1"/>
  <c r="T2044" i="1"/>
  <c r="U2044" i="1"/>
  <c r="V2044" i="1" s="1"/>
  <c r="Y2044" i="1"/>
  <c r="X2044" i="1" s="1"/>
  <c r="T2045" i="1"/>
  <c r="U2045" i="1"/>
  <c r="V2045" i="1" s="1"/>
  <c r="Y2045" i="1"/>
  <c r="X2045" i="1" s="1"/>
  <c r="T2046" i="1"/>
  <c r="U2046" i="1"/>
  <c r="V2046" i="1" s="1"/>
  <c r="Y2046" i="1"/>
  <c r="X2046" i="1" s="1"/>
  <c r="T2047" i="1"/>
  <c r="U2047" i="1"/>
  <c r="V2047" i="1" s="1"/>
  <c r="X2047" i="1"/>
  <c r="Y2047" i="1"/>
  <c r="T2048" i="1"/>
  <c r="U2048" i="1"/>
  <c r="V2048" i="1"/>
  <c r="Y2048" i="1"/>
  <c r="X2048" i="1" s="1"/>
  <c r="T2049" i="1"/>
  <c r="U2049" i="1"/>
  <c r="V2049" i="1"/>
  <c r="Y2049" i="1"/>
  <c r="X2049" i="1" s="1"/>
  <c r="T2050" i="1"/>
  <c r="U2050" i="1"/>
  <c r="V2050" i="1"/>
  <c r="Y2050" i="1"/>
  <c r="X2050" i="1" s="1"/>
  <c r="T2051" i="1"/>
  <c r="U2051" i="1"/>
  <c r="V2051" i="1"/>
  <c r="Y2051" i="1"/>
  <c r="X2051" i="1" s="1"/>
  <c r="T2052" i="1"/>
  <c r="U2052" i="1"/>
  <c r="V2052" i="1"/>
  <c r="Y2052" i="1"/>
  <c r="X2052" i="1" s="1"/>
  <c r="T2053" i="1"/>
  <c r="U2053" i="1"/>
  <c r="V2053" i="1"/>
  <c r="Y2053" i="1"/>
  <c r="X2053" i="1" s="1"/>
  <c r="T2054" i="1"/>
  <c r="U2054" i="1"/>
  <c r="V2054" i="1"/>
  <c r="Y2054" i="1"/>
  <c r="X2054" i="1" s="1"/>
  <c r="T2055" i="1"/>
  <c r="U2055" i="1"/>
  <c r="V2055" i="1"/>
  <c r="Y2055" i="1"/>
  <c r="X2055" i="1" s="1"/>
  <c r="T2056" i="1"/>
  <c r="U2056" i="1"/>
  <c r="V2056" i="1" s="1"/>
  <c r="Y2056" i="1"/>
  <c r="X2056" i="1" s="1"/>
  <c r="T2057" i="1"/>
  <c r="U2057" i="1"/>
  <c r="V2057" i="1" s="1"/>
  <c r="Y2057" i="1"/>
  <c r="X2057" i="1" s="1"/>
  <c r="T2058" i="1"/>
  <c r="U2058" i="1"/>
  <c r="V2058" i="1"/>
  <c r="Y2058" i="1"/>
  <c r="X2058" i="1" s="1"/>
  <c r="T2059" i="1"/>
  <c r="U2059" i="1"/>
  <c r="V2059" i="1" s="1"/>
  <c r="Y2059" i="1"/>
  <c r="X2059" i="1" s="1"/>
  <c r="T2060" i="1"/>
  <c r="U2060" i="1"/>
  <c r="V2060" i="1" s="1"/>
  <c r="Y2060" i="1"/>
  <c r="X2060" i="1" s="1"/>
  <c r="T2061" i="1"/>
  <c r="U2061" i="1"/>
  <c r="V2061" i="1" s="1"/>
  <c r="X2061" i="1"/>
  <c r="Y2061" i="1"/>
  <c r="T2062" i="1"/>
  <c r="U2062" i="1"/>
  <c r="V2062" i="1" s="1"/>
  <c r="Y2062" i="1"/>
  <c r="X2062" i="1" s="1"/>
  <c r="T2063" i="1"/>
  <c r="U2063" i="1"/>
  <c r="V2063" i="1" s="1"/>
  <c r="Y2063" i="1"/>
  <c r="X2063" i="1" s="1"/>
  <c r="T2064" i="1"/>
  <c r="U2064" i="1"/>
  <c r="V2064" i="1" s="1"/>
  <c r="Y2064" i="1"/>
  <c r="X2064" i="1" s="1"/>
  <c r="T2065" i="1"/>
  <c r="U2065" i="1"/>
  <c r="V2065" i="1" s="1"/>
  <c r="Y2065" i="1"/>
  <c r="X2065" i="1" s="1"/>
  <c r="T2066" i="1"/>
  <c r="U2066" i="1"/>
  <c r="V2066" i="1"/>
  <c r="Y2066" i="1"/>
  <c r="X2066" i="1" s="1"/>
  <c r="T2067" i="1"/>
  <c r="U2067" i="1"/>
  <c r="V2067" i="1" s="1"/>
  <c r="Y2067" i="1"/>
  <c r="X2067" i="1" s="1"/>
  <c r="T2068" i="1"/>
  <c r="U2068" i="1"/>
  <c r="V2068" i="1" s="1"/>
  <c r="Y2068" i="1"/>
  <c r="X2068" i="1" s="1"/>
  <c r="T2069" i="1"/>
  <c r="U2069" i="1"/>
  <c r="V2069" i="1" s="1"/>
  <c r="X2069" i="1"/>
  <c r="Y2069" i="1"/>
  <c r="T2070" i="1"/>
  <c r="U2070" i="1"/>
  <c r="V2070" i="1" s="1"/>
  <c r="Y2070" i="1"/>
  <c r="X2070" i="1" s="1"/>
  <c r="T2071" i="1"/>
  <c r="U2071" i="1"/>
  <c r="V2071" i="1"/>
  <c r="Y2071" i="1"/>
  <c r="X2071" i="1" s="1"/>
  <c r="T2072" i="1"/>
  <c r="U2072" i="1"/>
  <c r="V2072" i="1" s="1"/>
  <c r="Y2072" i="1"/>
  <c r="X2072" i="1" s="1"/>
  <c r="T2073" i="1"/>
  <c r="U2073" i="1"/>
  <c r="V2073" i="1" s="1"/>
  <c r="Y2073" i="1"/>
  <c r="X2073" i="1" s="1"/>
  <c r="T2074" i="1"/>
  <c r="U2074" i="1"/>
  <c r="V2074" i="1" s="1"/>
  <c r="Y2074" i="1"/>
  <c r="X2074" i="1" s="1"/>
  <c r="T2075" i="1"/>
  <c r="U2075" i="1"/>
  <c r="V2075" i="1" s="1"/>
  <c r="Y2075" i="1"/>
  <c r="X2075" i="1" s="1"/>
  <c r="T2076" i="1"/>
  <c r="U2076" i="1"/>
  <c r="V2076" i="1" s="1"/>
  <c r="Y2076" i="1"/>
  <c r="X2076" i="1" s="1"/>
  <c r="T2077" i="1"/>
  <c r="U2077" i="1"/>
  <c r="V2077" i="1"/>
  <c r="Y2077" i="1"/>
  <c r="X2077" i="1" s="1"/>
  <c r="T2078" i="1"/>
  <c r="U2078" i="1"/>
  <c r="V2078" i="1"/>
  <c r="Y2078" i="1"/>
  <c r="X2078" i="1" s="1"/>
  <c r="T2079" i="1"/>
  <c r="U2079" i="1"/>
  <c r="V2079" i="1" s="1"/>
  <c r="Y2079" i="1"/>
  <c r="X2079" i="1" s="1"/>
  <c r="T2080" i="1"/>
  <c r="U2080" i="1"/>
  <c r="V2080" i="1" s="1"/>
  <c r="Y2080" i="1"/>
  <c r="X2080" i="1" s="1"/>
  <c r="T2081" i="1"/>
  <c r="U2081" i="1"/>
  <c r="V2081" i="1" s="1"/>
  <c r="Y2081" i="1"/>
  <c r="X2081" i="1" s="1"/>
  <c r="T2082" i="1"/>
  <c r="U2082" i="1"/>
  <c r="V2082" i="1" s="1"/>
  <c r="Y2082" i="1"/>
  <c r="X2082" i="1" s="1"/>
  <c r="T2083" i="1"/>
  <c r="U2083" i="1"/>
  <c r="V2083" i="1" s="1"/>
  <c r="Y2083" i="1"/>
  <c r="X2083" i="1" s="1"/>
  <c r="T2084" i="1"/>
  <c r="U2084" i="1"/>
  <c r="V2084" i="1" s="1"/>
  <c r="Y2084" i="1"/>
  <c r="X2084" i="1" s="1"/>
  <c r="T2085" i="1"/>
  <c r="U2085" i="1"/>
  <c r="V2085" i="1" s="1"/>
  <c r="Y2085" i="1"/>
  <c r="X2085" i="1" s="1"/>
  <c r="T2086" i="1"/>
  <c r="U2086" i="1"/>
  <c r="V2086" i="1"/>
  <c r="Y2086" i="1"/>
  <c r="X2086" i="1" s="1"/>
  <c r="T2087" i="1"/>
  <c r="U2087" i="1"/>
  <c r="V2087" i="1"/>
  <c r="Y2087" i="1"/>
  <c r="X2087" i="1" s="1"/>
  <c r="T2088" i="1"/>
  <c r="U2088" i="1"/>
  <c r="V2088" i="1" s="1"/>
  <c r="Y2088" i="1"/>
  <c r="X2088" i="1" s="1"/>
  <c r="T2089" i="1"/>
  <c r="U2089" i="1"/>
  <c r="V2089" i="1" s="1"/>
  <c r="Y2089" i="1"/>
  <c r="X2089" i="1" s="1"/>
  <c r="T2090" i="1"/>
  <c r="U2090" i="1"/>
  <c r="V2090" i="1"/>
  <c r="Y2090" i="1"/>
  <c r="X2090" i="1" s="1"/>
  <c r="T2091" i="1"/>
  <c r="U2091" i="1"/>
  <c r="V2091" i="1" s="1"/>
  <c r="Y2091" i="1"/>
  <c r="X2091" i="1" s="1"/>
  <c r="T2092" i="1"/>
  <c r="U2092" i="1"/>
  <c r="V2092" i="1" s="1"/>
  <c r="Y2092" i="1"/>
  <c r="X2092" i="1" s="1"/>
  <c r="T2093" i="1"/>
  <c r="U2093" i="1"/>
  <c r="V2093" i="1"/>
  <c r="Y2093" i="1"/>
  <c r="X2093" i="1" s="1"/>
  <c r="T2094" i="1"/>
  <c r="U2094" i="1"/>
  <c r="V2094" i="1" s="1"/>
  <c r="Y2094" i="1"/>
  <c r="X2094" i="1" s="1"/>
  <c r="T2095" i="1"/>
  <c r="U2095" i="1"/>
  <c r="V2095" i="1" s="1"/>
  <c r="Y2095" i="1"/>
  <c r="X2095" i="1" s="1"/>
  <c r="T2096" i="1"/>
  <c r="U2096" i="1"/>
  <c r="V2096" i="1"/>
  <c r="Y2096" i="1"/>
  <c r="X2096" i="1" s="1"/>
  <c r="T2097" i="1"/>
  <c r="U2097" i="1"/>
  <c r="V2097" i="1"/>
  <c r="Y2097" i="1"/>
  <c r="X2097" i="1" s="1"/>
  <c r="T2098" i="1"/>
  <c r="U2098" i="1"/>
  <c r="V2098" i="1"/>
  <c r="Y2098" i="1"/>
  <c r="X2098" i="1" s="1"/>
  <c r="T2099" i="1"/>
  <c r="U2099" i="1"/>
  <c r="V2099" i="1"/>
  <c r="Y2099" i="1"/>
  <c r="X2099" i="1" s="1"/>
  <c r="T2100" i="1"/>
  <c r="U2100" i="1"/>
  <c r="V2100" i="1"/>
  <c r="Y2100" i="1"/>
  <c r="X2100" i="1" s="1"/>
  <c r="T2101" i="1"/>
  <c r="U2101" i="1"/>
  <c r="V2101" i="1"/>
  <c r="Y2101" i="1"/>
  <c r="X2101" i="1" s="1"/>
  <c r="T2102" i="1"/>
  <c r="U2102" i="1"/>
  <c r="V2102" i="1"/>
  <c r="Y2102" i="1"/>
  <c r="X2102" i="1" s="1"/>
  <c r="T2103" i="1"/>
  <c r="U2103" i="1"/>
  <c r="V2103" i="1" s="1"/>
  <c r="Y2103" i="1"/>
  <c r="X2103" i="1" s="1"/>
  <c r="T2104" i="1"/>
  <c r="U2104" i="1"/>
  <c r="V2104" i="1" s="1"/>
  <c r="Y2104" i="1"/>
  <c r="X2104" i="1" s="1"/>
  <c r="T2105" i="1"/>
  <c r="U2105" i="1"/>
  <c r="V2105" i="1" s="1"/>
  <c r="Y2105" i="1"/>
  <c r="X2105" i="1" s="1"/>
  <c r="T2106" i="1"/>
  <c r="U2106" i="1"/>
  <c r="V2106" i="1" s="1"/>
  <c r="Y2106" i="1"/>
  <c r="X2106" i="1" s="1"/>
  <c r="T2107" i="1"/>
  <c r="U2107" i="1"/>
  <c r="V2107" i="1" s="1"/>
  <c r="Y2107" i="1"/>
  <c r="X2107" i="1" s="1"/>
  <c r="T2108" i="1"/>
  <c r="U2108" i="1"/>
  <c r="V2108" i="1" s="1"/>
  <c r="Y2108" i="1"/>
  <c r="X2108" i="1" s="1"/>
  <c r="T2109" i="1"/>
  <c r="U2109" i="1"/>
  <c r="V2109" i="1" s="1"/>
  <c r="Y2109" i="1"/>
  <c r="X2109" i="1" s="1"/>
  <c r="T2110" i="1"/>
  <c r="U2110" i="1"/>
  <c r="V2110" i="1" s="1"/>
  <c r="Y2110" i="1"/>
  <c r="X2110" i="1" s="1"/>
  <c r="T2111" i="1"/>
  <c r="U2111" i="1"/>
  <c r="V2111" i="1"/>
  <c r="Y2111" i="1"/>
  <c r="X2111" i="1" s="1"/>
  <c r="T2112" i="1"/>
  <c r="U2112" i="1"/>
  <c r="V2112" i="1" s="1"/>
  <c r="Y2112" i="1"/>
  <c r="X2112" i="1" s="1"/>
  <c r="T2113" i="1"/>
  <c r="U2113" i="1"/>
  <c r="V2113" i="1" s="1"/>
  <c r="Y2113" i="1"/>
  <c r="X2113" i="1" s="1"/>
  <c r="T2114" i="1"/>
  <c r="U2114" i="1"/>
  <c r="V2114" i="1" s="1"/>
  <c r="Y2114" i="1"/>
  <c r="X2114" i="1" s="1"/>
  <c r="T2115" i="1"/>
  <c r="U2115" i="1"/>
  <c r="V2115" i="1" s="1"/>
  <c r="Y2115" i="1"/>
  <c r="X2115" i="1" s="1"/>
  <c r="T2116" i="1"/>
  <c r="U2116" i="1"/>
  <c r="V2116" i="1" s="1"/>
  <c r="Y2116" i="1"/>
  <c r="X2116" i="1" s="1"/>
  <c r="T2117" i="1"/>
  <c r="U2117" i="1"/>
  <c r="V2117" i="1" s="1"/>
  <c r="Y2117" i="1"/>
  <c r="X2117" i="1" s="1"/>
  <c r="T2118" i="1"/>
  <c r="U2118" i="1"/>
  <c r="V2118" i="1" s="1"/>
  <c r="Y2118" i="1"/>
  <c r="X2118" i="1" s="1"/>
  <c r="T2119" i="1"/>
  <c r="U2119" i="1"/>
  <c r="V2119" i="1" s="1"/>
  <c r="Y2119" i="1"/>
  <c r="X2119" i="1" s="1"/>
  <c r="T2120" i="1"/>
  <c r="U2120" i="1"/>
  <c r="V2120" i="1" s="1"/>
  <c r="Y2120" i="1"/>
  <c r="X2120" i="1" s="1"/>
  <c r="T2121" i="1"/>
  <c r="U2121" i="1"/>
  <c r="V2121" i="1" s="1"/>
  <c r="Y2121" i="1"/>
  <c r="X2121" i="1" s="1"/>
  <c r="T2122" i="1"/>
  <c r="U2122" i="1"/>
  <c r="V2122" i="1" s="1"/>
  <c r="Y2122" i="1"/>
  <c r="X2122" i="1" s="1"/>
  <c r="T2123" i="1"/>
  <c r="U2123" i="1"/>
  <c r="V2123" i="1" s="1"/>
  <c r="Y2123" i="1"/>
  <c r="X2123" i="1" s="1"/>
  <c r="T2124" i="1"/>
  <c r="U2124" i="1"/>
  <c r="V2124" i="1" s="1"/>
  <c r="Y2124" i="1"/>
  <c r="X2124" i="1" s="1"/>
  <c r="T2125" i="1"/>
  <c r="U2125" i="1"/>
  <c r="V2125" i="1"/>
  <c r="Y2125" i="1"/>
  <c r="X2125" i="1" s="1"/>
  <c r="T2126" i="1"/>
  <c r="U2126" i="1"/>
  <c r="V2126" i="1"/>
  <c r="Y2126" i="1"/>
  <c r="X2126" i="1" s="1"/>
  <c r="T2127" i="1"/>
  <c r="U2127" i="1"/>
  <c r="V2127" i="1" s="1"/>
  <c r="Y2127" i="1"/>
  <c r="X2127" i="1" s="1"/>
  <c r="T2128" i="1"/>
  <c r="U2128" i="1"/>
  <c r="V2128" i="1"/>
  <c r="Y2128" i="1"/>
  <c r="X2128" i="1" s="1"/>
  <c r="T2129" i="1"/>
  <c r="U2129" i="1"/>
  <c r="V2129" i="1"/>
  <c r="Y2129" i="1"/>
  <c r="X2129" i="1" s="1"/>
  <c r="T2130" i="1"/>
  <c r="U2130" i="1"/>
  <c r="V2130" i="1" s="1"/>
  <c r="Y2130" i="1"/>
  <c r="X2130" i="1" s="1"/>
  <c r="T2131" i="1"/>
  <c r="U2131" i="1"/>
  <c r="V2131" i="1" s="1"/>
  <c r="Y2131" i="1"/>
  <c r="X2131" i="1" s="1"/>
  <c r="T2132" i="1"/>
  <c r="U2132" i="1"/>
  <c r="V2132" i="1" s="1"/>
  <c r="Y2132" i="1"/>
  <c r="X2132" i="1" s="1"/>
  <c r="T2133" i="1"/>
  <c r="U2133" i="1"/>
  <c r="V2133" i="1" s="1"/>
  <c r="Y2133" i="1"/>
  <c r="X2133" i="1" s="1"/>
  <c r="T2134" i="1"/>
  <c r="U2134" i="1"/>
  <c r="V2134" i="1" s="1"/>
  <c r="Y2134" i="1"/>
  <c r="X2134" i="1" s="1"/>
  <c r="T2135" i="1"/>
  <c r="U2135" i="1"/>
  <c r="V2135" i="1" s="1"/>
  <c r="Y2135" i="1"/>
  <c r="X2135" i="1" s="1"/>
  <c r="T2136" i="1"/>
  <c r="U2136" i="1"/>
  <c r="V2136" i="1"/>
  <c r="Y2136" i="1"/>
  <c r="X2136" i="1" s="1"/>
  <c r="T2137" i="1"/>
  <c r="U2137" i="1"/>
  <c r="V2137" i="1"/>
  <c r="Y2137" i="1"/>
  <c r="X2137" i="1" s="1"/>
  <c r="T2138" i="1"/>
  <c r="U2138" i="1"/>
  <c r="V2138" i="1"/>
  <c r="Y2138" i="1"/>
  <c r="X2138" i="1" s="1"/>
  <c r="T2139" i="1"/>
  <c r="U2139" i="1"/>
  <c r="V2139" i="1" s="1"/>
  <c r="Y2139" i="1"/>
  <c r="X2139" i="1" s="1"/>
  <c r="T2140" i="1"/>
  <c r="U2140" i="1"/>
  <c r="V2140" i="1" s="1"/>
  <c r="Y2140" i="1"/>
  <c r="X2140" i="1" s="1"/>
  <c r="T2141" i="1"/>
  <c r="U2141" i="1"/>
  <c r="V2141" i="1"/>
  <c r="X2141" i="1"/>
  <c r="Y2141" i="1"/>
  <c r="T2142" i="1"/>
  <c r="U2142" i="1"/>
  <c r="V2142" i="1"/>
  <c r="Y2142" i="1"/>
  <c r="X2142" i="1" s="1"/>
  <c r="T2143" i="1"/>
  <c r="U2143" i="1"/>
  <c r="V2143" i="1" s="1"/>
  <c r="Y2143" i="1"/>
  <c r="X2143" i="1" s="1"/>
  <c r="T2144" i="1"/>
  <c r="U2144" i="1"/>
  <c r="V2144" i="1" s="1"/>
  <c r="Y2144" i="1"/>
  <c r="X2144" i="1" s="1"/>
  <c r="T2145" i="1"/>
  <c r="U2145" i="1"/>
  <c r="V2145" i="1" s="1"/>
  <c r="Y2145" i="1"/>
  <c r="X2145" i="1" s="1"/>
  <c r="T2146" i="1"/>
  <c r="U2146" i="1"/>
  <c r="V2146" i="1" s="1"/>
  <c r="Y2146" i="1"/>
  <c r="X2146" i="1" s="1"/>
  <c r="T2147" i="1"/>
  <c r="U2147" i="1"/>
  <c r="V2147" i="1" s="1"/>
  <c r="Y2147" i="1"/>
  <c r="X2147" i="1" s="1"/>
  <c r="T2148" i="1"/>
  <c r="U2148" i="1"/>
  <c r="V2148" i="1"/>
  <c r="Y2148" i="1"/>
  <c r="X2148" i="1" s="1"/>
  <c r="T2149" i="1"/>
  <c r="U2149" i="1"/>
  <c r="V2149" i="1"/>
  <c r="Y2149" i="1"/>
  <c r="X2149" i="1" s="1"/>
  <c r="T2150" i="1"/>
  <c r="U2150" i="1"/>
  <c r="V2150" i="1" s="1"/>
  <c r="Y2150" i="1"/>
  <c r="X2150" i="1" s="1"/>
  <c r="T2151" i="1"/>
  <c r="U2151" i="1"/>
  <c r="V2151" i="1"/>
  <c r="Y2151" i="1"/>
  <c r="X2151" i="1" s="1"/>
  <c r="T2152" i="1"/>
  <c r="U2152" i="1"/>
  <c r="V2152" i="1" s="1"/>
  <c r="Y2152" i="1"/>
  <c r="X2152" i="1" s="1"/>
  <c r="T2153" i="1"/>
  <c r="U2153" i="1"/>
  <c r="V2153" i="1" s="1"/>
  <c r="Y2153" i="1"/>
  <c r="X2153" i="1" s="1"/>
  <c r="T2154" i="1"/>
  <c r="U2154" i="1"/>
  <c r="V2154" i="1" s="1"/>
  <c r="Y2154" i="1"/>
  <c r="X2154" i="1" s="1"/>
  <c r="T2155" i="1"/>
  <c r="U2155" i="1"/>
  <c r="V2155" i="1"/>
  <c r="Y2155" i="1"/>
  <c r="X2155" i="1" s="1"/>
  <c r="T2156" i="1"/>
  <c r="U2156" i="1"/>
  <c r="V2156" i="1" s="1"/>
  <c r="Y2156" i="1"/>
  <c r="X2156" i="1" s="1"/>
  <c r="T2157" i="1"/>
  <c r="U2157" i="1"/>
  <c r="V2157" i="1" s="1"/>
  <c r="Y2157" i="1"/>
  <c r="X2157" i="1" s="1"/>
  <c r="T2158" i="1"/>
  <c r="U2158" i="1"/>
  <c r="V2158" i="1" s="1"/>
  <c r="Y2158" i="1"/>
  <c r="X2158" i="1" s="1"/>
  <c r="T2159" i="1"/>
  <c r="U2159" i="1"/>
  <c r="V2159" i="1" s="1"/>
  <c r="Y2159" i="1"/>
  <c r="X2159" i="1" s="1"/>
  <c r="T2160" i="1"/>
  <c r="U2160" i="1"/>
  <c r="V2160" i="1" s="1"/>
  <c r="Y2160" i="1"/>
  <c r="X2160" i="1" s="1"/>
  <c r="T2161" i="1"/>
  <c r="U2161" i="1"/>
  <c r="V2161" i="1" s="1"/>
  <c r="Y2161" i="1"/>
  <c r="X2161" i="1" s="1"/>
  <c r="T2162" i="1"/>
  <c r="U2162" i="1"/>
  <c r="V2162" i="1" s="1"/>
  <c r="Y2162" i="1"/>
  <c r="X2162" i="1" s="1"/>
  <c r="T2163" i="1"/>
  <c r="U2163" i="1"/>
  <c r="V2163" i="1" s="1"/>
  <c r="Y2163" i="1"/>
  <c r="X2163" i="1" s="1"/>
  <c r="T2164" i="1"/>
  <c r="U2164" i="1"/>
  <c r="V2164" i="1" s="1"/>
  <c r="Y2164" i="1"/>
  <c r="X2164" i="1" s="1"/>
  <c r="T2165" i="1"/>
  <c r="U2165" i="1"/>
  <c r="V2165" i="1" s="1"/>
  <c r="Y2165" i="1"/>
  <c r="X2165" i="1" s="1"/>
  <c r="T2166" i="1"/>
  <c r="U2166" i="1"/>
  <c r="V2166" i="1" s="1"/>
  <c r="Y2166" i="1"/>
  <c r="X2166" i="1" s="1"/>
  <c r="T2167" i="1"/>
  <c r="U2167" i="1"/>
  <c r="V2167" i="1" s="1"/>
  <c r="Y2167" i="1"/>
  <c r="X2167" i="1" s="1"/>
  <c r="T2168" i="1"/>
  <c r="U2168" i="1"/>
  <c r="V2168" i="1" s="1"/>
  <c r="Y2168" i="1"/>
  <c r="X2168" i="1" s="1"/>
  <c r="T2169" i="1"/>
  <c r="U2169" i="1"/>
  <c r="V2169" i="1" s="1"/>
  <c r="Y2169" i="1"/>
  <c r="X2169" i="1" s="1"/>
  <c r="T2170" i="1"/>
  <c r="U2170" i="1"/>
  <c r="V2170" i="1" s="1"/>
  <c r="Y2170" i="1"/>
  <c r="X2170" i="1" s="1"/>
  <c r="T2171" i="1"/>
  <c r="U2171" i="1"/>
  <c r="V2171" i="1" s="1"/>
  <c r="Y2171" i="1"/>
  <c r="X2171" i="1" s="1"/>
  <c r="T2172" i="1"/>
  <c r="U2172" i="1"/>
  <c r="V2172" i="1" s="1"/>
  <c r="Y2172" i="1"/>
  <c r="X2172" i="1" s="1"/>
  <c r="T2173" i="1"/>
  <c r="U2173" i="1"/>
  <c r="V2173" i="1" s="1"/>
  <c r="Y2173" i="1"/>
  <c r="X2173" i="1" s="1"/>
  <c r="T2174" i="1"/>
  <c r="U2174" i="1"/>
  <c r="V2174" i="1" s="1"/>
  <c r="Y2174" i="1"/>
  <c r="X2174" i="1" s="1"/>
  <c r="T2175" i="1"/>
  <c r="U2175" i="1"/>
  <c r="V2175" i="1" s="1"/>
  <c r="Y2175" i="1"/>
  <c r="X2175" i="1" s="1"/>
  <c r="T2176" i="1"/>
  <c r="U2176" i="1"/>
  <c r="V2176" i="1" s="1"/>
  <c r="Y2176" i="1"/>
  <c r="X2176" i="1" s="1"/>
  <c r="T2177" i="1"/>
  <c r="U2177" i="1"/>
  <c r="V2177" i="1" s="1"/>
  <c r="Y2177" i="1"/>
  <c r="X2177" i="1" s="1"/>
  <c r="T2178" i="1"/>
  <c r="U2178" i="1"/>
  <c r="V2178" i="1"/>
  <c r="Y2178" i="1"/>
  <c r="X2178" i="1" s="1"/>
  <c r="T2179" i="1"/>
  <c r="U2179" i="1"/>
  <c r="V2179" i="1" s="1"/>
  <c r="Y2179" i="1"/>
  <c r="X2179" i="1" s="1"/>
  <c r="T2180" i="1"/>
  <c r="U2180" i="1"/>
  <c r="V2180" i="1" s="1"/>
  <c r="Y2180" i="1"/>
  <c r="X2180" i="1" s="1"/>
  <c r="T2181" i="1"/>
  <c r="U2181" i="1"/>
  <c r="V2181" i="1" s="1"/>
  <c r="Y2181" i="1"/>
  <c r="X2181" i="1" s="1"/>
  <c r="T2182" i="1"/>
  <c r="U2182" i="1"/>
  <c r="V2182" i="1"/>
  <c r="Y2182" i="1"/>
  <c r="X2182" i="1" s="1"/>
  <c r="T2183" i="1"/>
  <c r="U2183" i="1"/>
  <c r="V2183" i="1" s="1"/>
  <c r="Y2183" i="1"/>
  <c r="X2183" i="1" s="1"/>
  <c r="T2184" i="1"/>
  <c r="U2184" i="1"/>
  <c r="V2184" i="1" s="1"/>
  <c r="Y2184" i="1"/>
  <c r="X2184" i="1" s="1"/>
  <c r="T2185" i="1"/>
  <c r="U2185" i="1"/>
  <c r="V2185" i="1" s="1"/>
  <c r="Y2185" i="1"/>
  <c r="X2185" i="1" s="1"/>
  <c r="T2186" i="1"/>
  <c r="U2186" i="1"/>
  <c r="V2186" i="1" s="1"/>
  <c r="X2186" i="1"/>
  <c r="Y2186" i="1"/>
  <c r="T2187" i="1"/>
  <c r="U2187" i="1"/>
  <c r="V2187" i="1" s="1"/>
  <c r="Y2187" i="1"/>
  <c r="X2187" i="1" s="1"/>
  <c r="T2188" i="1"/>
  <c r="U2188" i="1"/>
  <c r="V2188" i="1"/>
  <c r="Y2188" i="1"/>
  <c r="X2188" i="1" s="1"/>
  <c r="T2189" i="1"/>
  <c r="U2189" i="1"/>
  <c r="V2189" i="1" s="1"/>
  <c r="Y2189" i="1"/>
  <c r="X2189" i="1" s="1"/>
  <c r="T2190" i="1"/>
  <c r="U2190" i="1"/>
  <c r="V2190" i="1" s="1"/>
  <c r="Y2190" i="1"/>
  <c r="X2190" i="1" s="1"/>
  <c r="T2191" i="1"/>
  <c r="U2191" i="1"/>
  <c r="V2191" i="1" s="1"/>
  <c r="Y2191" i="1"/>
  <c r="X2191" i="1" s="1"/>
  <c r="T2192" i="1"/>
  <c r="U2192" i="1"/>
  <c r="V2192" i="1" s="1"/>
  <c r="Y2192" i="1"/>
  <c r="X2192" i="1" s="1"/>
  <c r="T2193" i="1"/>
  <c r="U2193" i="1"/>
  <c r="V2193" i="1" s="1"/>
  <c r="Y2193" i="1"/>
  <c r="X2193" i="1" s="1"/>
  <c r="T2194" i="1"/>
  <c r="U2194" i="1"/>
  <c r="V2194" i="1" s="1"/>
  <c r="Y2194" i="1"/>
  <c r="X2194" i="1" s="1"/>
  <c r="T2195" i="1"/>
  <c r="U2195" i="1"/>
  <c r="V2195" i="1"/>
  <c r="Y2195" i="1"/>
  <c r="X2195" i="1" s="1"/>
  <c r="T2196" i="1"/>
  <c r="U2196" i="1"/>
  <c r="V2196" i="1" s="1"/>
  <c r="Y2196" i="1"/>
  <c r="X2196" i="1" s="1"/>
  <c r="T2197" i="1"/>
  <c r="U2197" i="1"/>
  <c r="V2197" i="1" s="1"/>
  <c r="Y2197" i="1"/>
  <c r="X2197" i="1" s="1"/>
  <c r="T2198" i="1"/>
  <c r="U2198" i="1"/>
  <c r="V2198" i="1"/>
  <c r="Y2198" i="1"/>
  <c r="X2198" i="1" s="1"/>
  <c r="T2199" i="1"/>
  <c r="U2199" i="1"/>
  <c r="V2199" i="1" s="1"/>
  <c r="Y2199" i="1"/>
  <c r="X2199" i="1" s="1"/>
  <c r="T2200" i="1"/>
  <c r="U2200" i="1"/>
  <c r="V2200" i="1" s="1"/>
  <c r="Y2200" i="1"/>
  <c r="X2200" i="1" s="1"/>
  <c r="T2201" i="1"/>
  <c r="U2201" i="1"/>
  <c r="V2201" i="1" s="1"/>
  <c r="Y2201" i="1"/>
  <c r="X2201" i="1" s="1"/>
  <c r="T2202" i="1"/>
  <c r="U2202" i="1"/>
  <c r="V2202" i="1" s="1"/>
  <c r="Y2202" i="1"/>
  <c r="X2202" i="1" s="1"/>
  <c r="T2203" i="1"/>
  <c r="U2203" i="1"/>
  <c r="V2203" i="1"/>
  <c r="Y2203" i="1"/>
  <c r="X2203" i="1" s="1"/>
  <c r="T2204" i="1"/>
  <c r="U2204" i="1"/>
  <c r="V2204" i="1"/>
  <c r="Y2204" i="1"/>
  <c r="X2204" i="1" s="1"/>
  <c r="T2205" i="1"/>
  <c r="U2205" i="1"/>
  <c r="V2205" i="1"/>
  <c r="Y2205" i="1"/>
  <c r="X2205" i="1" s="1"/>
  <c r="T2206" i="1"/>
  <c r="U2206" i="1"/>
  <c r="V2206" i="1"/>
  <c r="Y2206" i="1"/>
  <c r="X2206" i="1" s="1"/>
  <c r="T2207" i="1"/>
  <c r="U2207" i="1"/>
  <c r="V2207" i="1" s="1"/>
  <c r="Y2207" i="1"/>
  <c r="X2207" i="1" s="1"/>
  <c r="T2208" i="1"/>
  <c r="U2208" i="1"/>
  <c r="V2208" i="1" s="1"/>
  <c r="Y2208" i="1"/>
  <c r="X2208" i="1" s="1"/>
  <c r="T2209" i="1"/>
  <c r="U2209" i="1"/>
  <c r="V2209" i="1" s="1"/>
  <c r="Y2209" i="1"/>
  <c r="X2209" i="1" s="1"/>
  <c r="T2210" i="1"/>
  <c r="U2210" i="1"/>
  <c r="V2210" i="1" s="1"/>
  <c r="Y2210" i="1"/>
  <c r="X2210" i="1" s="1"/>
  <c r="T2211" i="1"/>
  <c r="U2211" i="1"/>
  <c r="V2211" i="1" s="1"/>
  <c r="Y2211" i="1"/>
  <c r="X2211" i="1" s="1"/>
  <c r="T2212" i="1"/>
  <c r="U2212" i="1"/>
  <c r="V2212" i="1" s="1"/>
  <c r="Y2212" i="1"/>
  <c r="X2212" i="1" s="1"/>
  <c r="T2213" i="1"/>
  <c r="U2213" i="1"/>
  <c r="V2213" i="1"/>
  <c r="Y2213" i="1"/>
  <c r="X2213" i="1" s="1"/>
  <c r="T2214" i="1"/>
  <c r="U2214" i="1"/>
  <c r="V2214" i="1" s="1"/>
  <c r="Y2214" i="1"/>
  <c r="X2214" i="1" s="1"/>
  <c r="T2215" i="1"/>
  <c r="U2215" i="1"/>
  <c r="V2215" i="1" s="1"/>
  <c r="Y2215" i="1"/>
  <c r="X2215" i="1" s="1"/>
  <c r="T2216" i="1"/>
  <c r="U2216" i="1"/>
  <c r="V2216" i="1" s="1"/>
  <c r="Y2216" i="1"/>
  <c r="X2216" i="1" s="1"/>
  <c r="T2217" i="1"/>
  <c r="U2217" i="1"/>
  <c r="V2217" i="1" s="1"/>
  <c r="Y2217" i="1"/>
  <c r="X2217" i="1" s="1"/>
  <c r="T2218" i="1"/>
  <c r="U2218" i="1"/>
  <c r="V2218" i="1" s="1"/>
  <c r="Y2218" i="1"/>
  <c r="X2218" i="1" s="1"/>
  <c r="T2219" i="1"/>
  <c r="U2219" i="1"/>
  <c r="V2219" i="1" s="1"/>
  <c r="Y2219" i="1"/>
  <c r="X2219" i="1" s="1"/>
  <c r="T2220" i="1"/>
  <c r="U2220" i="1"/>
  <c r="V2220" i="1" s="1"/>
  <c r="Y2220" i="1"/>
  <c r="X2220" i="1" s="1"/>
  <c r="T2221" i="1"/>
  <c r="U2221" i="1"/>
  <c r="V2221" i="1" s="1"/>
  <c r="Y2221" i="1"/>
  <c r="X2221" i="1" s="1"/>
  <c r="T2222" i="1"/>
  <c r="U2222" i="1"/>
  <c r="V2222" i="1" s="1"/>
  <c r="Y2222" i="1"/>
  <c r="X2222" i="1" s="1"/>
  <c r="T2223" i="1"/>
  <c r="U2223" i="1"/>
  <c r="V2223" i="1" s="1"/>
  <c r="Y2223" i="1"/>
  <c r="X2223" i="1" s="1"/>
  <c r="T2224" i="1"/>
  <c r="U2224" i="1"/>
  <c r="V2224" i="1"/>
  <c r="Y2224" i="1"/>
  <c r="X2224" i="1" s="1"/>
  <c r="T2225" i="1"/>
  <c r="U2225" i="1"/>
  <c r="V2225" i="1" s="1"/>
  <c r="Y2225" i="1"/>
  <c r="X2225" i="1" s="1"/>
  <c r="T2226" i="1"/>
  <c r="U2226" i="1"/>
  <c r="V2226" i="1" s="1"/>
  <c r="Y2226" i="1"/>
  <c r="X2226" i="1" s="1"/>
  <c r="T2227" i="1"/>
  <c r="U2227" i="1"/>
  <c r="V2227" i="1" s="1"/>
  <c r="Y2227" i="1"/>
  <c r="X2227" i="1" s="1"/>
  <c r="T2228" i="1"/>
  <c r="U2228" i="1"/>
  <c r="V2228" i="1" s="1"/>
  <c r="Y2228" i="1"/>
  <c r="X2228" i="1" s="1"/>
  <c r="T2229" i="1"/>
  <c r="U2229" i="1"/>
  <c r="V2229" i="1" s="1"/>
  <c r="Y2229" i="1"/>
  <c r="X2229" i="1" s="1"/>
  <c r="T2230" i="1"/>
  <c r="U2230" i="1"/>
  <c r="V2230" i="1" s="1"/>
  <c r="Y2230" i="1"/>
  <c r="X2230" i="1" s="1"/>
  <c r="T2231" i="1"/>
  <c r="U2231" i="1"/>
  <c r="V2231" i="1" s="1"/>
  <c r="Y2231" i="1"/>
  <c r="X2231" i="1" s="1"/>
  <c r="T2232" i="1"/>
  <c r="U2232" i="1"/>
  <c r="V2232" i="1" s="1"/>
  <c r="Y2232" i="1"/>
  <c r="X2232" i="1" s="1"/>
  <c r="T2233" i="1"/>
  <c r="U2233" i="1"/>
  <c r="V2233" i="1" s="1"/>
  <c r="Y2233" i="1"/>
  <c r="X2233" i="1" s="1"/>
  <c r="T2234" i="1"/>
  <c r="U2234" i="1"/>
  <c r="V2234" i="1" s="1"/>
  <c r="Y2234" i="1"/>
  <c r="X2234" i="1" s="1"/>
  <c r="T2235" i="1"/>
  <c r="U2235" i="1"/>
  <c r="V2235" i="1" s="1"/>
  <c r="Y2235" i="1"/>
  <c r="X2235" i="1" s="1"/>
  <c r="T2236" i="1"/>
  <c r="U2236" i="1"/>
  <c r="V2236" i="1" s="1"/>
  <c r="Y2236" i="1"/>
  <c r="X2236" i="1" s="1"/>
  <c r="T2237" i="1"/>
  <c r="U2237" i="1"/>
  <c r="V2237" i="1" s="1"/>
  <c r="Y2237" i="1"/>
  <c r="X2237" i="1" s="1"/>
  <c r="T2238" i="1"/>
  <c r="U2238" i="1"/>
  <c r="V2238" i="1" s="1"/>
  <c r="Y2238" i="1"/>
  <c r="X2238" i="1" s="1"/>
  <c r="T2239" i="1"/>
  <c r="U2239" i="1"/>
  <c r="V2239" i="1" s="1"/>
  <c r="Y2239" i="1"/>
  <c r="X2239" i="1" s="1"/>
  <c r="T2240" i="1"/>
  <c r="U2240" i="1"/>
  <c r="V2240" i="1" s="1"/>
  <c r="Y2240" i="1"/>
  <c r="X2240" i="1" s="1"/>
  <c r="T2241" i="1"/>
  <c r="U2241" i="1"/>
  <c r="V2241" i="1"/>
  <c r="Y2241" i="1"/>
  <c r="X2241" i="1" s="1"/>
  <c r="T2242" i="1"/>
  <c r="U2242" i="1"/>
  <c r="V2242" i="1" s="1"/>
  <c r="Y2242" i="1"/>
  <c r="X2242" i="1" s="1"/>
  <c r="T2243" i="1"/>
  <c r="U2243" i="1"/>
  <c r="V2243" i="1" s="1"/>
  <c r="Y2243" i="1"/>
  <c r="X2243" i="1" s="1"/>
  <c r="T2244" i="1"/>
  <c r="U2244" i="1"/>
  <c r="V2244" i="1" s="1"/>
  <c r="Y2244" i="1"/>
  <c r="X2244" i="1" s="1"/>
  <c r="T2245" i="1"/>
  <c r="U2245" i="1"/>
  <c r="V2245" i="1" s="1"/>
  <c r="Y2245" i="1"/>
  <c r="X2245" i="1" s="1"/>
  <c r="T2246" i="1"/>
  <c r="U2246" i="1"/>
  <c r="V2246" i="1" s="1"/>
  <c r="Y2246" i="1"/>
  <c r="X2246" i="1" s="1"/>
  <c r="T2247" i="1"/>
  <c r="U2247" i="1"/>
  <c r="V2247" i="1" s="1"/>
  <c r="Y2247" i="1"/>
  <c r="X2247" i="1" s="1"/>
  <c r="T2248" i="1"/>
  <c r="U2248" i="1"/>
  <c r="V2248" i="1" s="1"/>
  <c r="Y2248" i="1"/>
  <c r="X2248" i="1" s="1"/>
  <c r="T2249" i="1"/>
  <c r="U2249" i="1"/>
  <c r="V2249" i="1" s="1"/>
  <c r="Y2249" i="1"/>
  <c r="X2249" i="1" s="1"/>
  <c r="T2250" i="1"/>
  <c r="U2250" i="1"/>
  <c r="V2250" i="1"/>
  <c r="Y2250" i="1"/>
  <c r="X2250" i="1" s="1"/>
  <c r="T2251" i="1"/>
  <c r="U2251" i="1"/>
  <c r="V2251" i="1"/>
  <c r="Y2251" i="1"/>
  <c r="X2251" i="1" s="1"/>
  <c r="T2252" i="1"/>
  <c r="U2252" i="1"/>
  <c r="V2252" i="1" s="1"/>
  <c r="Y2252" i="1"/>
  <c r="X2252" i="1" s="1"/>
  <c r="T2253" i="1"/>
  <c r="U2253" i="1"/>
  <c r="V2253" i="1" s="1"/>
  <c r="Y2253" i="1"/>
  <c r="X2253" i="1" s="1"/>
  <c r="T2254" i="1"/>
  <c r="U2254" i="1"/>
  <c r="V2254" i="1" s="1"/>
  <c r="Y2254" i="1"/>
  <c r="X2254" i="1" s="1"/>
  <c r="T2255" i="1"/>
  <c r="U2255" i="1"/>
  <c r="V2255" i="1" s="1"/>
  <c r="Y2255" i="1"/>
  <c r="X2255" i="1" s="1"/>
  <c r="T2256" i="1"/>
  <c r="U2256" i="1"/>
  <c r="V2256" i="1"/>
  <c r="Y2256" i="1"/>
  <c r="X2256" i="1" s="1"/>
  <c r="T2257" i="1"/>
  <c r="U2257" i="1"/>
  <c r="V2257" i="1"/>
  <c r="Y2257" i="1"/>
  <c r="X2257" i="1" s="1"/>
  <c r="T2258" i="1"/>
  <c r="U2258" i="1"/>
  <c r="V2258" i="1" s="1"/>
  <c r="Y2258" i="1"/>
  <c r="X2258" i="1" s="1"/>
  <c r="T2259" i="1"/>
  <c r="U2259" i="1"/>
  <c r="V2259" i="1" s="1"/>
  <c r="X2259" i="1"/>
  <c r="Y2259" i="1"/>
  <c r="T2260" i="1"/>
  <c r="U2260" i="1"/>
  <c r="V2260" i="1" s="1"/>
  <c r="Y2260" i="1"/>
  <c r="X2260" i="1" s="1"/>
  <c r="T2261" i="1"/>
  <c r="U2261" i="1"/>
  <c r="V2261" i="1" s="1"/>
  <c r="Y2261" i="1"/>
  <c r="X2261" i="1" s="1"/>
  <c r="T2262" i="1"/>
  <c r="U2262" i="1"/>
  <c r="V2262" i="1"/>
  <c r="Y2262" i="1"/>
  <c r="X2262" i="1" s="1"/>
  <c r="T2263" i="1"/>
  <c r="U2263" i="1"/>
  <c r="V2263" i="1"/>
  <c r="Y2263" i="1"/>
  <c r="X2263" i="1" s="1"/>
  <c r="T2264" i="1"/>
  <c r="U2264" i="1"/>
  <c r="V2264" i="1"/>
  <c r="Y2264" i="1"/>
  <c r="X2264" i="1" s="1"/>
  <c r="T2265" i="1"/>
  <c r="U2265" i="1"/>
  <c r="V2265" i="1"/>
  <c r="Y2265" i="1"/>
  <c r="X2265" i="1" s="1"/>
  <c r="T2266" i="1"/>
  <c r="U2266" i="1"/>
  <c r="V2266" i="1"/>
  <c r="Y2266" i="1"/>
  <c r="X2266" i="1" s="1"/>
  <c r="T2267" i="1"/>
  <c r="U2267" i="1"/>
  <c r="V2267" i="1"/>
  <c r="Y2267" i="1"/>
  <c r="X2267" i="1" s="1"/>
  <c r="T2268" i="1"/>
  <c r="U2268" i="1"/>
  <c r="V2268" i="1"/>
  <c r="Y2268" i="1"/>
  <c r="X2268" i="1" s="1"/>
  <c r="T2269" i="1"/>
  <c r="U2269" i="1"/>
  <c r="V2269" i="1" s="1"/>
  <c r="Y2269" i="1"/>
  <c r="X2269" i="1" s="1"/>
  <c r="T2270" i="1"/>
  <c r="U2270" i="1"/>
  <c r="V2270" i="1" s="1"/>
  <c r="Y2270" i="1"/>
  <c r="X2270" i="1" s="1"/>
  <c r="T2271" i="1"/>
  <c r="U2271" i="1"/>
  <c r="V2271" i="1" s="1"/>
  <c r="Y2271" i="1"/>
  <c r="X2271" i="1" s="1"/>
  <c r="T2272" i="1"/>
  <c r="U2272" i="1"/>
  <c r="V2272" i="1" s="1"/>
  <c r="Y2272" i="1"/>
  <c r="X2272" i="1" s="1"/>
  <c r="T2273" i="1"/>
  <c r="U2273" i="1"/>
  <c r="V2273" i="1" s="1"/>
  <c r="Y2273" i="1"/>
  <c r="X2273" i="1" s="1"/>
  <c r="T2274" i="1"/>
  <c r="U2274" i="1"/>
  <c r="V2274" i="1"/>
  <c r="Y2274" i="1"/>
  <c r="X2274" i="1" s="1"/>
  <c r="T2275" i="1"/>
  <c r="U2275" i="1"/>
  <c r="V2275" i="1" s="1"/>
  <c r="Y2275" i="1"/>
  <c r="X2275" i="1" s="1"/>
  <c r="T2276" i="1"/>
  <c r="U2276" i="1"/>
  <c r="V2276" i="1" s="1"/>
  <c r="Y2276" i="1"/>
  <c r="X2276" i="1" s="1"/>
  <c r="T2277" i="1"/>
  <c r="U2277" i="1"/>
  <c r="V2277" i="1"/>
  <c r="Y2277" i="1"/>
  <c r="X2277" i="1" s="1"/>
  <c r="T2278" i="1"/>
  <c r="U2278" i="1"/>
  <c r="V2278" i="1"/>
  <c r="Y2278" i="1"/>
  <c r="X2278" i="1" s="1"/>
  <c r="T2279" i="1"/>
  <c r="U2279" i="1"/>
  <c r="V2279" i="1"/>
  <c r="Y2279" i="1"/>
  <c r="X2279" i="1" s="1"/>
  <c r="T2280" i="1"/>
  <c r="U2280" i="1"/>
  <c r="V2280" i="1"/>
  <c r="Y2280" i="1"/>
  <c r="X2280" i="1" s="1"/>
  <c r="T2281" i="1"/>
  <c r="U2281" i="1"/>
  <c r="V2281" i="1"/>
  <c r="Y2281" i="1"/>
  <c r="X2281" i="1" s="1"/>
  <c r="T2282" i="1"/>
  <c r="U2282" i="1"/>
  <c r="V2282" i="1" s="1"/>
  <c r="Y2282" i="1"/>
  <c r="X2282" i="1" s="1"/>
  <c r="T2283" i="1"/>
  <c r="U2283" i="1"/>
  <c r="V2283" i="1" s="1"/>
  <c r="Y2283" i="1"/>
  <c r="X2283" i="1" s="1"/>
  <c r="T2284" i="1"/>
  <c r="U2284" i="1"/>
  <c r="V2284" i="1" s="1"/>
  <c r="Y2284" i="1"/>
  <c r="X2284" i="1" s="1"/>
  <c r="T2285" i="1"/>
  <c r="U2285" i="1"/>
  <c r="V2285" i="1" s="1"/>
  <c r="Y2285" i="1"/>
  <c r="X2285" i="1" s="1"/>
  <c r="T2286" i="1"/>
  <c r="U2286" i="1"/>
  <c r="V2286" i="1" s="1"/>
  <c r="Y2286" i="1"/>
  <c r="X2286" i="1" s="1"/>
  <c r="T2287" i="1"/>
  <c r="U2287" i="1"/>
  <c r="V2287" i="1"/>
  <c r="Y2287" i="1"/>
  <c r="X2287" i="1" s="1"/>
  <c r="T2288" i="1"/>
  <c r="U2288" i="1"/>
  <c r="V2288" i="1" s="1"/>
  <c r="Y2288" i="1"/>
  <c r="X2288" i="1" s="1"/>
  <c r="T2289" i="1"/>
  <c r="U2289" i="1"/>
  <c r="V2289" i="1" s="1"/>
  <c r="Y2289" i="1"/>
  <c r="X2289" i="1" s="1"/>
  <c r="T2290" i="1"/>
  <c r="U2290" i="1"/>
  <c r="V2290" i="1"/>
  <c r="Y2290" i="1"/>
  <c r="X2290" i="1" s="1"/>
  <c r="T2291" i="1"/>
  <c r="U2291" i="1"/>
  <c r="V2291" i="1"/>
  <c r="Y2291" i="1"/>
  <c r="X2291" i="1" s="1"/>
  <c r="T2292" i="1"/>
  <c r="U2292" i="1"/>
  <c r="V2292" i="1"/>
  <c r="Y2292" i="1"/>
  <c r="X2292" i="1" s="1"/>
  <c r="T2293" i="1"/>
  <c r="U2293" i="1"/>
  <c r="V2293" i="1" s="1"/>
  <c r="Y2293" i="1"/>
  <c r="X2293" i="1" s="1"/>
  <c r="T2294" i="1"/>
  <c r="U2294" i="1"/>
  <c r="V2294" i="1" s="1"/>
  <c r="Y2294" i="1"/>
  <c r="X2294" i="1" s="1"/>
  <c r="T2295" i="1"/>
  <c r="U2295" i="1"/>
  <c r="V2295" i="1" s="1"/>
  <c r="Y2295" i="1"/>
  <c r="X2295" i="1" s="1"/>
  <c r="T2296" i="1"/>
  <c r="U2296" i="1"/>
  <c r="V2296" i="1" s="1"/>
  <c r="Y2296" i="1"/>
  <c r="X2296" i="1" s="1"/>
  <c r="T2297" i="1"/>
  <c r="U2297" i="1"/>
  <c r="V2297" i="1"/>
  <c r="Y2297" i="1"/>
  <c r="X2297" i="1" s="1"/>
  <c r="T2298" i="1"/>
  <c r="U2298" i="1"/>
  <c r="V2298" i="1"/>
  <c r="Y2298" i="1"/>
  <c r="X2298" i="1" s="1"/>
  <c r="T2299" i="1"/>
  <c r="U2299" i="1"/>
  <c r="V2299" i="1"/>
  <c r="Y2299" i="1"/>
  <c r="X2299" i="1" s="1"/>
  <c r="T2300" i="1"/>
  <c r="U2300" i="1"/>
  <c r="V2300" i="1"/>
  <c r="Y2300" i="1"/>
  <c r="X2300" i="1" s="1"/>
  <c r="T2301" i="1"/>
  <c r="U2301" i="1"/>
  <c r="V2301" i="1" s="1"/>
  <c r="Y2301" i="1"/>
  <c r="X2301" i="1" s="1"/>
  <c r="T2302" i="1"/>
  <c r="U2302" i="1"/>
  <c r="V2302" i="1" s="1"/>
  <c r="Y2302" i="1"/>
  <c r="X2302" i="1" s="1"/>
  <c r="T2303" i="1"/>
  <c r="U2303" i="1"/>
  <c r="V2303" i="1" s="1"/>
  <c r="Y2303" i="1"/>
  <c r="X2303" i="1" s="1"/>
  <c r="T2304" i="1"/>
  <c r="U2304" i="1"/>
  <c r="V2304" i="1" s="1"/>
  <c r="Y2304" i="1"/>
  <c r="X2304" i="1" s="1"/>
  <c r="T2305" i="1"/>
  <c r="U2305" i="1"/>
  <c r="V2305" i="1" s="1"/>
  <c r="Y2305" i="1"/>
  <c r="X2305" i="1" s="1"/>
  <c r="T2306" i="1"/>
  <c r="U2306" i="1"/>
  <c r="V2306" i="1" s="1"/>
  <c r="Y2306" i="1"/>
  <c r="X2306" i="1" s="1"/>
  <c r="T2307" i="1"/>
  <c r="U2307" i="1"/>
  <c r="V2307" i="1" s="1"/>
  <c r="Y2307" i="1"/>
  <c r="X2307" i="1" s="1"/>
  <c r="T2308" i="1"/>
  <c r="U2308" i="1"/>
  <c r="V2308" i="1" s="1"/>
  <c r="Y2308" i="1"/>
  <c r="X2308" i="1" s="1"/>
  <c r="T2309" i="1"/>
  <c r="U2309" i="1"/>
  <c r="V2309" i="1"/>
  <c r="Y2309" i="1"/>
  <c r="X2309" i="1" s="1"/>
  <c r="T2310" i="1"/>
  <c r="U2310" i="1"/>
  <c r="V2310" i="1" s="1"/>
  <c r="Y2310" i="1"/>
  <c r="X2310" i="1" s="1"/>
  <c r="T2311" i="1"/>
  <c r="U2311" i="1"/>
  <c r="V2311" i="1" s="1"/>
  <c r="Y2311" i="1"/>
  <c r="X2311" i="1" s="1"/>
  <c r="T2312" i="1"/>
  <c r="U2312" i="1"/>
  <c r="V2312" i="1" s="1"/>
  <c r="Y2312" i="1"/>
  <c r="X2312" i="1" s="1"/>
  <c r="T2313" i="1"/>
  <c r="U2313" i="1"/>
  <c r="V2313" i="1"/>
  <c r="Y2313" i="1"/>
  <c r="X2313" i="1" s="1"/>
  <c r="T2314" i="1"/>
  <c r="U2314" i="1"/>
  <c r="V2314" i="1" s="1"/>
  <c r="Y2314" i="1"/>
  <c r="X2314" i="1" s="1"/>
  <c r="T2315" i="1"/>
  <c r="U2315" i="1"/>
  <c r="V2315" i="1" s="1"/>
  <c r="Y2315" i="1"/>
  <c r="X2315" i="1" s="1"/>
  <c r="T2316" i="1"/>
  <c r="U2316" i="1"/>
  <c r="V2316" i="1" s="1"/>
  <c r="Y2316" i="1"/>
  <c r="X2316" i="1" s="1"/>
  <c r="T2317" i="1"/>
  <c r="U2317" i="1"/>
  <c r="V2317" i="1" s="1"/>
  <c r="Y2317" i="1"/>
  <c r="X2317" i="1" s="1"/>
  <c r="T2318" i="1"/>
  <c r="U2318" i="1"/>
  <c r="V2318" i="1" s="1"/>
  <c r="Y2318" i="1"/>
  <c r="X2318" i="1" s="1"/>
  <c r="T2319" i="1"/>
  <c r="U2319" i="1"/>
  <c r="V2319" i="1"/>
  <c r="Y2319" i="1"/>
  <c r="X2319" i="1" s="1"/>
  <c r="T2320" i="1"/>
  <c r="U2320" i="1"/>
  <c r="V2320" i="1"/>
  <c r="Y2320" i="1"/>
  <c r="X2320" i="1" s="1"/>
  <c r="T2321" i="1"/>
  <c r="U2321" i="1"/>
  <c r="V2321" i="1" s="1"/>
  <c r="Y2321" i="1"/>
  <c r="X2321" i="1" s="1"/>
  <c r="T2322" i="1"/>
  <c r="U2322" i="1"/>
  <c r="V2322" i="1" s="1"/>
  <c r="Y2322" i="1"/>
  <c r="X2322" i="1" s="1"/>
  <c r="T2323" i="1"/>
  <c r="U2323" i="1"/>
  <c r="V2323" i="1" s="1"/>
  <c r="Y2323" i="1"/>
  <c r="X2323" i="1" s="1"/>
  <c r="T2324" i="1"/>
  <c r="U2324" i="1"/>
  <c r="V2324" i="1" s="1"/>
  <c r="Y2324" i="1"/>
  <c r="X2324" i="1" s="1"/>
  <c r="T2325" i="1"/>
  <c r="U2325" i="1"/>
  <c r="V2325" i="1" s="1"/>
  <c r="Y2325" i="1"/>
  <c r="X2325" i="1" s="1"/>
  <c r="T2326" i="1"/>
  <c r="U2326" i="1"/>
  <c r="V2326" i="1" s="1"/>
  <c r="Y2326" i="1"/>
  <c r="X2326" i="1" s="1"/>
  <c r="T2327" i="1"/>
  <c r="U2327" i="1"/>
  <c r="V2327" i="1" s="1"/>
  <c r="Y2327" i="1"/>
  <c r="X2327" i="1" s="1"/>
  <c r="T2328" i="1"/>
  <c r="U2328" i="1"/>
  <c r="V2328" i="1" s="1"/>
  <c r="Y2328" i="1"/>
  <c r="X2328" i="1" s="1"/>
  <c r="T2329" i="1"/>
  <c r="U2329" i="1"/>
  <c r="V2329" i="1" s="1"/>
  <c r="Y2329" i="1"/>
  <c r="X2329" i="1" s="1"/>
  <c r="T2330" i="1"/>
  <c r="U2330" i="1"/>
  <c r="V2330" i="1" s="1"/>
  <c r="Y2330" i="1"/>
  <c r="X2330" i="1" s="1"/>
  <c r="T2331" i="1"/>
  <c r="U2331" i="1"/>
  <c r="V2331" i="1"/>
  <c r="Y2331" i="1"/>
  <c r="X2331" i="1" s="1"/>
  <c r="T2332" i="1"/>
  <c r="U2332" i="1"/>
  <c r="V2332" i="1"/>
  <c r="Y2332" i="1"/>
  <c r="X2332" i="1" s="1"/>
  <c r="T2333" i="1"/>
  <c r="U2333" i="1"/>
  <c r="V2333" i="1" s="1"/>
  <c r="Y2333" i="1"/>
  <c r="X2333" i="1" s="1"/>
  <c r="T2334" i="1"/>
  <c r="U2334" i="1"/>
  <c r="V2334" i="1" s="1"/>
  <c r="Y2334" i="1"/>
  <c r="X2334" i="1" s="1"/>
  <c r="T2335" i="1"/>
  <c r="U2335" i="1"/>
  <c r="V2335" i="1" s="1"/>
  <c r="Y2335" i="1"/>
  <c r="X2335" i="1" s="1"/>
  <c r="T2336" i="1"/>
  <c r="U2336" i="1"/>
  <c r="V2336" i="1"/>
  <c r="Y2336" i="1"/>
  <c r="X2336" i="1" s="1"/>
  <c r="T2337" i="1"/>
  <c r="U2337" i="1"/>
  <c r="V2337" i="1" s="1"/>
  <c r="Y2337" i="1"/>
  <c r="X2337" i="1" s="1"/>
  <c r="T2338" i="1"/>
  <c r="U2338" i="1"/>
  <c r="V2338" i="1" s="1"/>
  <c r="Y2338" i="1"/>
  <c r="X2338" i="1" s="1"/>
  <c r="T2339" i="1"/>
  <c r="U2339" i="1"/>
  <c r="V2339" i="1"/>
  <c r="Y2339" i="1"/>
  <c r="X2339" i="1" s="1"/>
  <c r="T2340" i="1"/>
  <c r="U2340" i="1"/>
  <c r="V2340" i="1" s="1"/>
  <c r="Y2340" i="1"/>
  <c r="X2340" i="1" s="1"/>
  <c r="T2341" i="1"/>
  <c r="U2341" i="1"/>
  <c r="V2341" i="1" s="1"/>
  <c r="Y2341" i="1"/>
  <c r="X2341" i="1" s="1"/>
  <c r="T2342" i="1"/>
  <c r="U2342" i="1"/>
  <c r="V2342" i="1" s="1"/>
  <c r="Y2342" i="1"/>
  <c r="X2342" i="1" s="1"/>
  <c r="T2343" i="1"/>
  <c r="U2343" i="1"/>
  <c r="V2343" i="1" s="1"/>
  <c r="Y2343" i="1"/>
  <c r="X2343" i="1" s="1"/>
  <c r="T2344" i="1"/>
  <c r="U2344" i="1"/>
  <c r="V2344" i="1" s="1"/>
  <c r="Y2344" i="1"/>
  <c r="X2344" i="1" s="1"/>
  <c r="T2345" i="1"/>
  <c r="U2345" i="1"/>
  <c r="V2345" i="1" s="1"/>
  <c r="Y2345" i="1"/>
  <c r="X2345" i="1" s="1"/>
  <c r="T2346" i="1"/>
  <c r="U2346" i="1"/>
  <c r="V2346" i="1" s="1"/>
  <c r="Y2346" i="1"/>
  <c r="X2346" i="1" s="1"/>
  <c r="T2347" i="1"/>
  <c r="U2347" i="1"/>
  <c r="V2347" i="1" s="1"/>
  <c r="Y2347" i="1"/>
  <c r="X2347" i="1" s="1"/>
  <c r="T2348" i="1"/>
  <c r="U2348" i="1"/>
  <c r="V2348" i="1"/>
  <c r="X2348" i="1"/>
  <c r="Y2348" i="1"/>
  <c r="T2349" i="1"/>
  <c r="U2349" i="1"/>
  <c r="V2349" i="1" s="1"/>
  <c r="Y2349" i="1"/>
  <c r="X2349" i="1" s="1"/>
  <c r="T2350" i="1"/>
  <c r="U2350" i="1"/>
  <c r="V2350" i="1" s="1"/>
  <c r="Y2350" i="1"/>
  <c r="X2350" i="1" s="1"/>
  <c r="T2351" i="1"/>
  <c r="U2351" i="1"/>
  <c r="V2351" i="1" s="1"/>
  <c r="Y2351" i="1"/>
  <c r="X2351" i="1" s="1"/>
  <c r="T2352" i="1"/>
  <c r="U2352" i="1"/>
  <c r="V2352" i="1" s="1"/>
  <c r="Y2352" i="1"/>
  <c r="X2352" i="1" s="1"/>
  <c r="T2353" i="1"/>
  <c r="U2353" i="1"/>
  <c r="V2353" i="1" s="1"/>
  <c r="Y2353" i="1"/>
  <c r="X2353" i="1" s="1"/>
  <c r="T2354" i="1"/>
  <c r="U2354" i="1"/>
  <c r="V2354" i="1" s="1"/>
  <c r="Y2354" i="1"/>
  <c r="X2354" i="1" s="1"/>
  <c r="T2355" i="1"/>
  <c r="U2355" i="1"/>
  <c r="V2355" i="1" s="1"/>
  <c r="Y2355" i="1"/>
  <c r="X2355" i="1" s="1"/>
  <c r="T2356" i="1"/>
  <c r="U2356" i="1"/>
  <c r="V2356" i="1" s="1"/>
  <c r="Y2356" i="1"/>
  <c r="X2356" i="1" s="1"/>
  <c r="T2357" i="1"/>
  <c r="U2357" i="1"/>
  <c r="V2357" i="1" s="1"/>
  <c r="Y2357" i="1"/>
  <c r="X2357" i="1" s="1"/>
  <c r="T2358" i="1"/>
  <c r="U2358" i="1"/>
  <c r="V2358" i="1" s="1"/>
  <c r="Y2358" i="1"/>
  <c r="X2358" i="1" s="1"/>
  <c r="T2359" i="1"/>
  <c r="U2359" i="1"/>
  <c r="V2359" i="1" s="1"/>
  <c r="Y2359" i="1"/>
  <c r="X2359" i="1" s="1"/>
  <c r="T2360" i="1"/>
  <c r="U2360" i="1"/>
  <c r="V2360" i="1"/>
  <c r="Y2360" i="1"/>
  <c r="X2360" i="1" s="1"/>
  <c r="T2361" i="1"/>
  <c r="U2361" i="1"/>
  <c r="V2361" i="1"/>
  <c r="Y2361" i="1"/>
  <c r="X2361" i="1" s="1"/>
  <c r="T2362" i="1"/>
  <c r="U2362" i="1"/>
  <c r="V2362" i="1" s="1"/>
  <c r="Y2362" i="1"/>
  <c r="X2362" i="1" s="1"/>
  <c r="T2363" i="1"/>
  <c r="U2363" i="1"/>
  <c r="V2363" i="1" s="1"/>
  <c r="Y2363" i="1"/>
  <c r="X2363" i="1" s="1"/>
  <c r="T2364" i="1"/>
  <c r="U2364" i="1"/>
  <c r="V2364" i="1" s="1"/>
  <c r="Y2364" i="1"/>
  <c r="X2364" i="1" s="1"/>
  <c r="T2365" i="1"/>
  <c r="U2365" i="1"/>
  <c r="V2365" i="1" s="1"/>
  <c r="Y2365" i="1"/>
  <c r="X2365" i="1" s="1"/>
  <c r="T2366" i="1"/>
  <c r="U2366" i="1"/>
  <c r="V2366" i="1" s="1"/>
  <c r="Y2366" i="1"/>
  <c r="X2366" i="1" s="1"/>
  <c r="T2367" i="1"/>
  <c r="U2367" i="1"/>
  <c r="V2367" i="1" s="1"/>
  <c r="Y2367" i="1"/>
  <c r="X2367" i="1" s="1"/>
  <c r="T2368" i="1"/>
  <c r="U2368" i="1"/>
  <c r="V2368" i="1" s="1"/>
  <c r="Y2368" i="1"/>
  <c r="X2368" i="1" s="1"/>
  <c r="T2369" i="1"/>
  <c r="U2369" i="1"/>
  <c r="V2369" i="1" s="1"/>
  <c r="Y2369" i="1"/>
  <c r="X2369" i="1" s="1"/>
  <c r="T2370" i="1"/>
  <c r="U2370" i="1"/>
  <c r="V2370" i="1" s="1"/>
  <c r="Y2370" i="1"/>
  <c r="X2370" i="1" s="1"/>
  <c r="T2371" i="1"/>
  <c r="U2371" i="1"/>
  <c r="V2371" i="1" s="1"/>
  <c r="Y2371" i="1"/>
  <c r="X2371" i="1" s="1"/>
  <c r="T2372" i="1"/>
  <c r="U2372" i="1"/>
  <c r="V2372" i="1"/>
  <c r="Y2372" i="1"/>
  <c r="X2372" i="1" s="1"/>
  <c r="T2373" i="1"/>
  <c r="U2373" i="1"/>
  <c r="V2373" i="1"/>
  <c r="X2373" i="1"/>
  <c r="Y2373" i="1"/>
  <c r="T2374" i="1"/>
  <c r="U2374" i="1"/>
  <c r="V2374" i="1" s="1"/>
  <c r="Y2374" i="1"/>
  <c r="X2374" i="1" s="1"/>
  <c r="T2375" i="1"/>
  <c r="U2375" i="1"/>
  <c r="V2375" i="1" s="1"/>
  <c r="Y2375" i="1"/>
  <c r="X2375" i="1" s="1"/>
  <c r="T2376" i="1"/>
  <c r="U2376" i="1"/>
  <c r="V2376" i="1"/>
  <c r="Y2376" i="1"/>
  <c r="X2376" i="1" s="1"/>
  <c r="T2377" i="1"/>
  <c r="U2377" i="1"/>
  <c r="V2377" i="1" s="1"/>
  <c r="Y2377" i="1"/>
  <c r="X2377" i="1" s="1"/>
  <c r="T2378" i="1"/>
  <c r="U2378" i="1"/>
  <c r="V2378" i="1" s="1"/>
  <c r="Y2378" i="1"/>
  <c r="X2378" i="1" s="1"/>
  <c r="T2379" i="1"/>
  <c r="U2379" i="1"/>
  <c r="V2379" i="1" s="1"/>
  <c r="Y2379" i="1"/>
  <c r="X2379" i="1" s="1"/>
  <c r="T2380" i="1"/>
  <c r="U2380" i="1"/>
  <c r="V2380" i="1" s="1"/>
  <c r="Y2380" i="1"/>
  <c r="X2380" i="1" s="1"/>
  <c r="T2381" i="1"/>
  <c r="U2381" i="1"/>
  <c r="V2381" i="1" s="1"/>
  <c r="Y2381" i="1"/>
  <c r="X2381" i="1" s="1"/>
  <c r="T2382" i="1"/>
  <c r="U2382" i="1"/>
  <c r="V2382" i="1" s="1"/>
  <c r="Y2382" i="1"/>
  <c r="X2382" i="1" s="1"/>
  <c r="T2383" i="1"/>
  <c r="U2383" i="1"/>
  <c r="V2383" i="1" s="1"/>
  <c r="Y2383" i="1"/>
  <c r="X2383" i="1" s="1"/>
  <c r="T2384" i="1"/>
  <c r="U2384" i="1"/>
  <c r="V2384" i="1" s="1"/>
  <c r="Y2384" i="1"/>
  <c r="X2384" i="1" s="1"/>
  <c r="T2385" i="1"/>
  <c r="U2385" i="1"/>
  <c r="V2385" i="1" s="1"/>
  <c r="Y2385" i="1"/>
  <c r="X2385" i="1" s="1"/>
  <c r="T2386" i="1"/>
  <c r="U2386" i="1"/>
  <c r="V2386" i="1"/>
  <c r="Y2386" i="1"/>
  <c r="X2386" i="1" s="1"/>
  <c r="T2387" i="1"/>
  <c r="U2387" i="1"/>
  <c r="V2387" i="1"/>
  <c r="Y2387" i="1"/>
  <c r="X2387" i="1" s="1"/>
  <c r="T2388" i="1"/>
  <c r="U2388" i="1"/>
  <c r="V2388" i="1"/>
  <c r="Y2388" i="1"/>
  <c r="X2388" i="1" s="1"/>
  <c r="T2389" i="1"/>
  <c r="U2389" i="1"/>
  <c r="V2389" i="1"/>
  <c r="Y2389" i="1"/>
  <c r="X2389" i="1" s="1"/>
  <c r="T2390" i="1"/>
  <c r="U2390" i="1"/>
  <c r="V2390" i="1" s="1"/>
  <c r="Y2390" i="1"/>
  <c r="X2390" i="1" s="1"/>
  <c r="T2391" i="1"/>
  <c r="U2391" i="1"/>
  <c r="V2391" i="1" s="1"/>
  <c r="Y2391" i="1"/>
  <c r="X2391" i="1" s="1"/>
  <c r="T2392" i="1"/>
  <c r="U2392" i="1"/>
  <c r="V2392" i="1" s="1"/>
  <c r="Y2392" i="1"/>
  <c r="X2392" i="1" s="1"/>
  <c r="T2393" i="1"/>
  <c r="U2393" i="1"/>
  <c r="V2393" i="1" s="1"/>
  <c r="Y2393" i="1"/>
  <c r="X2393" i="1" s="1"/>
  <c r="T2394" i="1"/>
  <c r="U2394" i="1"/>
  <c r="V2394" i="1" s="1"/>
  <c r="Y2394" i="1"/>
  <c r="X2394" i="1" s="1"/>
  <c r="T2395" i="1"/>
  <c r="U2395" i="1"/>
  <c r="V2395" i="1" s="1"/>
  <c r="Y2395" i="1"/>
  <c r="X2395" i="1" s="1"/>
  <c r="T2396" i="1"/>
  <c r="U2396" i="1"/>
  <c r="V2396" i="1" s="1"/>
  <c r="Y2396" i="1"/>
  <c r="X2396" i="1" s="1"/>
  <c r="T2397" i="1"/>
  <c r="U2397" i="1"/>
  <c r="V2397" i="1" s="1"/>
  <c r="Y2397" i="1"/>
  <c r="X2397" i="1" s="1"/>
  <c r="T2398" i="1"/>
  <c r="U2398" i="1"/>
  <c r="V2398" i="1" s="1"/>
  <c r="Y2398" i="1"/>
  <c r="X2398" i="1" s="1"/>
  <c r="T2399" i="1"/>
  <c r="U2399" i="1"/>
  <c r="V2399" i="1" s="1"/>
  <c r="Y2399" i="1"/>
  <c r="X2399" i="1" s="1"/>
  <c r="T2400" i="1"/>
  <c r="U2400" i="1"/>
  <c r="V2400" i="1" s="1"/>
  <c r="Y2400" i="1"/>
  <c r="X2400" i="1" s="1"/>
  <c r="T2401" i="1"/>
  <c r="U2401" i="1"/>
  <c r="V2401" i="1" s="1"/>
  <c r="Y2401" i="1"/>
  <c r="X2401" i="1" s="1"/>
  <c r="T2402" i="1"/>
  <c r="U2402" i="1"/>
  <c r="V2402" i="1" s="1"/>
  <c r="Y2402" i="1"/>
  <c r="X2402" i="1" s="1"/>
  <c r="T2403" i="1"/>
  <c r="U2403" i="1"/>
  <c r="V2403" i="1"/>
  <c r="Y2403" i="1"/>
  <c r="X2403" i="1" s="1"/>
  <c r="T2404" i="1"/>
  <c r="U2404" i="1"/>
  <c r="V2404" i="1" s="1"/>
  <c r="Y2404" i="1"/>
  <c r="X2404" i="1" s="1"/>
  <c r="T2405" i="1"/>
  <c r="U2405" i="1"/>
  <c r="V2405" i="1" s="1"/>
  <c r="Y2405" i="1"/>
  <c r="X2405" i="1" s="1"/>
  <c r="T2406" i="1"/>
  <c r="U2406" i="1"/>
  <c r="V2406" i="1" s="1"/>
  <c r="Y2406" i="1"/>
  <c r="X2406" i="1" s="1"/>
  <c r="T2407" i="1"/>
  <c r="U2407" i="1"/>
  <c r="V2407" i="1" s="1"/>
  <c r="Y2407" i="1"/>
  <c r="X2407" i="1" s="1"/>
  <c r="T2408" i="1"/>
  <c r="U2408" i="1"/>
  <c r="V2408" i="1"/>
  <c r="Y2408" i="1"/>
  <c r="X2408" i="1" s="1"/>
  <c r="T2409" i="1"/>
  <c r="U2409" i="1"/>
  <c r="V2409" i="1"/>
  <c r="Y2409" i="1"/>
  <c r="X2409" i="1" s="1"/>
  <c r="T2410" i="1"/>
  <c r="U2410" i="1"/>
  <c r="V2410" i="1"/>
  <c r="Y2410" i="1"/>
  <c r="X2410" i="1" s="1"/>
  <c r="T2411" i="1"/>
  <c r="U2411" i="1"/>
  <c r="V2411" i="1"/>
  <c r="Y2411" i="1"/>
  <c r="X2411" i="1" s="1"/>
  <c r="T2412" i="1"/>
  <c r="U2412" i="1"/>
  <c r="V2412" i="1"/>
  <c r="Y2412" i="1"/>
  <c r="X2412" i="1" s="1"/>
  <c r="T2413" i="1"/>
  <c r="U2413" i="1"/>
  <c r="V2413" i="1"/>
  <c r="Y2413" i="1"/>
  <c r="X2413" i="1" s="1"/>
  <c r="T2414" i="1"/>
  <c r="U2414" i="1"/>
  <c r="V2414" i="1"/>
  <c r="Y2414" i="1"/>
  <c r="X2414" i="1" s="1"/>
  <c r="T2415" i="1"/>
  <c r="U2415" i="1"/>
  <c r="V2415" i="1" s="1"/>
  <c r="Y2415" i="1"/>
  <c r="X2415" i="1" s="1"/>
  <c r="T2416" i="1"/>
  <c r="U2416" i="1"/>
  <c r="V2416" i="1" s="1"/>
  <c r="Y2416" i="1"/>
  <c r="X2416" i="1" s="1"/>
  <c r="T2417" i="1"/>
  <c r="U2417" i="1"/>
  <c r="V2417" i="1" s="1"/>
  <c r="Y2417" i="1"/>
  <c r="X2417" i="1" s="1"/>
  <c r="T2418" i="1"/>
  <c r="U2418" i="1"/>
  <c r="V2418" i="1" s="1"/>
  <c r="Y2418" i="1"/>
  <c r="X2418" i="1" s="1"/>
  <c r="T2419" i="1"/>
  <c r="U2419" i="1"/>
  <c r="V2419" i="1" s="1"/>
  <c r="Y2419" i="1"/>
  <c r="X2419" i="1" s="1"/>
  <c r="T2420" i="1"/>
  <c r="U2420" i="1"/>
  <c r="V2420" i="1" s="1"/>
  <c r="Y2420" i="1"/>
  <c r="X2420" i="1" s="1"/>
  <c r="T2421" i="1"/>
  <c r="U2421" i="1"/>
  <c r="V2421" i="1" s="1"/>
  <c r="Y2421" i="1"/>
  <c r="X2421" i="1" s="1"/>
  <c r="T2422" i="1"/>
  <c r="U2422" i="1"/>
  <c r="V2422" i="1" s="1"/>
  <c r="Y2422" i="1"/>
  <c r="X2422" i="1" s="1"/>
  <c r="T2423" i="1"/>
  <c r="U2423" i="1"/>
  <c r="V2423" i="1" s="1"/>
  <c r="Y2423" i="1"/>
  <c r="X2423" i="1" s="1"/>
  <c r="T2424" i="1"/>
  <c r="U2424" i="1"/>
  <c r="V2424" i="1" s="1"/>
  <c r="Y2424" i="1"/>
  <c r="X2424" i="1" s="1"/>
  <c r="T2425" i="1"/>
  <c r="U2425" i="1"/>
  <c r="V2425" i="1" s="1"/>
  <c r="Y2425" i="1"/>
  <c r="X2425" i="1" s="1"/>
  <c r="T2426" i="1"/>
  <c r="U2426" i="1"/>
  <c r="V2426" i="1" s="1"/>
  <c r="Y2426" i="1"/>
  <c r="X2426" i="1" s="1"/>
  <c r="T2427" i="1"/>
  <c r="U2427" i="1"/>
  <c r="V2427" i="1" s="1"/>
  <c r="Y2427" i="1"/>
  <c r="X2427" i="1" s="1"/>
  <c r="T2428" i="1"/>
  <c r="U2428" i="1"/>
  <c r="V2428" i="1" s="1"/>
  <c r="Y2428" i="1"/>
  <c r="X2428" i="1" s="1"/>
  <c r="T2429" i="1"/>
  <c r="U2429" i="1"/>
  <c r="V2429" i="1" s="1"/>
  <c r="Y2429" i="1"/>
  <c r="X2429" i="1" s="1"/>
  <c r="T2430" i="1"/>
  <c r="U2430" i="1"/>
  <c r="V2430" i="1" s="1"/>
  <c r="Y2430" i="1"/>
  <c r="X2430" i="1" s="1"/>
  <c r="T2431" i="1"/>
  <c r="U2431" i="1"/>
  <c r="V2431" i="1" s="1"/>
  <c r="Y2431" i="1"/>
  <c r="X2431" i="1" s="1"/>
  <c r="T2432" i="1"/>
  <c r="U2432" i="1"/>
  <c r="V2432" i="1"/>
  <c r="Y2432" i="1"/>
  <c r="X2432" i="1" s="1"/>
  <c r="T2433" i="1"/>
  <c r="U2433" i="1"/>
  <c r="V2433" i="1"/>
  <c r="Y2433" i="1"/>
  <c r="X2433" i="1" s="1"/>
  <c r="T2434" i="1"/>
  <c r="U2434" i="1"/>
  <c r="V2434" i="1"/>
  <c r="Y2434" i="1"/>
  <c r="X2434" i="1" s="1"/>
  <c r="T2435" i="1"/>
  <c r="U2435" i="1"/>
  <c r="V2435" i="1"/>
  <c r="Y2435" i="1"/>
  <c r="X2435" i="1" s="1"/>
  <c r="T2436" i="1"/>
  <c r="U2436" i="1"/>
  <c r="V2436" i="1"/>
  <c r="Y2436" i="1"/>
  <c r="X2436" i="1" s="1"/>
  <c r="T2437" i="1"/>
  <c r="U2437" i="1"/>
  <c r="V2437" i="1" s="1"/>
  <c r="Y2437" i="1"/>
  <c r="X2437" i="1" s="1"/>
  <c r="T2438" i="1"/>
  <c r="U2438" i="1"/>
  <c r="V2438" i="1"/>
  <c r="Y2438" i="1"/>
  <c r="X2438" i="1" s="1"/>
  <c r="T2439" i="1"/>
  <c r="U2439" i="1"/>
  <c r="V2439" i="1" s="1"/>
  <c r="Y2439" i="1"/>
  <c r="X2439" i="1" s="1"/>
  <c r="T2440" i="1"/>
  <c r="U2440" i="1"/>
  <c r="V2440" i="1" s="1"/>
  <c r="Y2440" i="1"/>
  <c r="X2440" i="1" s="1"/>
  <c r="T2441" i="1"/>
  <c r="U2441" i="1"/>
  <c r="V2441" i="1" s="1"/>
  <c r="Y2441" i="1"/>
  <c r="X2441" i="1" s="1"/>
  <c r="T2442" i="1"/>
  <c r="U2442" i="1"/>
  <c r="V2442" i="1" s="1"/>
  <c r="Y2442" i="1"/>
  <c r="X2442" i="1" s="1"/>
  <c r="T2443" i="1"/>
  <c r="U2443" i="1"/>
  <c r="V2443" i="1" s="1"/>
  <c r="Y2443" i="1"/>
  <c r="X2443" i="1" s="1"/>
  <c r="T2444" i="1"/>
  <c r="U2444" i="1"/>
  <c r="V2444" i="1"/>
  <c r="Y2444" i="1"/>
  <c r="X2444" i="1" s="1"/>
  <c r="T2445" i="1"/>
  <c r="U2445" i="1"/>
  <c r="V2445" i="1" s="1"/>
  <c r="Y2445" i="1"/>
  <c r="X2445" i="1" s="1"/>
  <c r="T2446" i="1"/>
  <c r="U2446" i="1"/>
  <c r="V2446" i="1" s="1"/>
  <c r="Y2446" i="1"/>
  <c r="X2446" i="1" s="1"/>
  <c r="T2447" i="1"/>
  <c r="U2447" i="1"/>
  <c r="V2447" i="1" s="1"/>
  <c r="Y2447" i="1"/>
  <c r="X2447" i="1" s="1"/>
  <c r="T2448" i="1"/>
  <c r="U2448" i="1"/>
  <c r="V2448" i="1" s="1"/>
  <c r="Y2448" i="1"/>
  <c r="X2448" i="1" s="1"/>
  <c r="T2449" i="1"/>
  <c r="U2449" i="1"/>
  <c r="V2449" i="1" s="1"/>
  <c r="Y2449" i="1"/>
  <c r="X2449" i="1" s="1"/>
  <c r="T2450" i="1"/>
  <c r="U2450" i="1"/>
  <c r="V2450" i="1"/>
  <c r="Y2450" i="1"/>
  <c r="X2450" i="1" s="1"/>
  <c r="T2451" i="1"/>
  <c r="U2451" i="1"/>
  <c r="V2451" i="1" s="1"/>
  <c r="Y2451" i="1"/>
  <c r="X2451" i="1" s="1"/>
  <c r="T2452" i="1"/>
  <c r="U2452" i="1"/>
  <c r="V2452" i="1" s="1"/>
  <c r="Y2452" i="1"/>
  <c r="X2452" i="1" s="1"/>
  <c r="T2453" i="1"/>
  <c r="U2453" i="1"/>
  <c r="V2453" i="1" s="1"/>
  <c r="Y2453" i="1"/>
  <c r="X2453" i="1" s="1"/>
  <c r="T2454" i="1"/>
  <c r="U2454" i="1"/>
  <c r="V2454" i="1" s="1"/>
  <c r="Y2454" i="1"/>
  <c r="X2454" i="1" s="1"/>
  <c r="T2455" i="1"/>
  <c r="U2455" i="1"/>
  <c r="V2455" i="1"/>
  <c r="Y2455" i="1"/>
  <c r="X2455" i="1" s="1"/>
  <c r="T2456" i="1"/>
  <c r="U2456" i="1"/>
  <c r="V2456" i="1"/>
  <c r="Y2456" i="1"/>
  <c r="X2456" i="1" s="1"/>
  <c r="T2457" i="1"/>
  <c r="U2457" i="1"/>
  <c r="V2457" i="1" s="1"/>
  <c r="Y2457" i="1"/>
  <c r="X2457" i="1" s="1"/>
  <c r="T2458" i="1"/>
  <c r="U2458" i="1"/>
  <c r="V2458" i="1" s="1"/>
  <c r="Y2458" i="1"/>
  <c r="X2458" i="1" s="1"/>
  <c r="T2459" i="1"/>
  <c r="U2459" i="1"/>
  <c r="V2459" i="1" s="1"/>
  <c r="Y2459" i="1"/>
  <c r="X2459" i="1" s="1"/>
  <c r="T2460" i="1"/>
  <c r="U2460" i="1"/>
  <c r="V2460" i="1"/>
  <c r="Y2460" i="1"/>
  <c r="X2460" i="1" s="1"/>
  <c r="T2461" i="1"/>
  <c r="U2461" i="1"/>
  <c r="V2461" i="1"/>
  <c r="Y2461" i="1"/>
  <c r="X2461" i="1" s="1"/>
  <c r="T2462" i="1"/>
  <c r="U2462" i="1"/>
  <c r="V2462" i="1" s="1"/>
  <c r="Y2462" i="1"/>
  <c r="X2462" i="1" s="1"/>
  <c r="T2463" i="1"/>
  <c r="U2463" i="1"/>
  <c r="V2463" i="1" s="1"/>
  <c r="Y2463" i="1"/>
  <c r="X2463" i="1" s="1"/>
  <c r="T2464" i="1"/>
  <c r="U2464" i="1"/>
  <c r="V2464" i="1" s="1"/>
  <c r="Y2464" i="1"/>
  <c r="X2464" i="1" s="1"/>
  <c r="T2465" i="1"/>
  <c r="U2465" i="1"/>
  <c r="V2465" i="1" s="1"/>
  <c r="Y2465" i="1"/>
  <c r="X2465" i="1" s="1"/>
  <c r="T2466" i="1"/>
  <c r="U2466" i="1"/>
  <c r="V2466" i="1" s="1"/>
  <c r="Y2466" i="1"/>
  <c r="X2466" i="1" s="1"/>
  <c r="T2467" i="1"/>
  <c r="U2467" i="1"/>
  <c r="V2467" i="1" s="1"/>
  <c r="Y2467" i="1"/>
  <c r="X2467" i="1" s="1"/>
  <c r="T2468" i="1"/>
  <c r="U2468" i="1"/>
  <c r="V2468" i="1" s="1"/>
  <c r="Y2468" i="1"/>
  <c r="X2468" i="1" s="1"/>
  <c r="T2469" i="1"/>
  <c r="U2469" i="1"/>
  <c r="V2469" i="1" s="1"/>
  <c r="Y2469" i="1"/>
  <c r="X2469" i="1" s="1"/>
  <c r="T2470" i="1"/>
  <c r="U2470" i="1"/>
  <c r="V2470" i="1" s="1"/>
  <c r="Y2470" i="1"/>
  <c r="X2470" i="1" s="1"/>
  <c r="T2471" i="1"/>
  <c r="U2471" i="1"/>
  <c r="V2471" i="1"/>
  <c r="Y2471" i="1"/>
  <c r="X2471" i="1" s="1"/>
  <c r="T2472" i="1"/>
  <c r="U2472" i="1"/>
  <c r="V2472" i="1" s="1"/>
  <c r="Y2472" i="1"/>
  <c r="X2472" i="1" s="1"/>
  <c r="U2473" i="1"/>
  <c r="V2473" i="1"/>
  <c r="X2473" i="1"/>
  <c r="Y2473" i="1"/>
  <c r="T2474" i="1"/>
  <c r="U2474" i="1"/>
  <c r="V2474" i="1" s="1"/>
  <c r="Y2474" i="1"/>
  <c r="X2474" i="1" s="1"/>
  <c r="T2475" i="1"/>
  <c r="U2475" i="1"/>
  <c r="V2475" i="1" s="1"/>
  <c r="Y2475" i="1"/>
  <c r="X2475" i="1" s="1"/>
  <c r="T2476" i="1"/>
  <c r="U2476" i="1"/>
  <c r="V2476" i="1" s="1"/>
  <c r="Y2476" i="1"/>
  <c r="X2476" i="1" s="1"/>
  <c r="T2477" i="1"/>
  <c r="U2477" i="1"/>
  <c r="V2477" i="1" s="1"/>
  <c r="Y2477" i="1"/>
  <c r="X2477" i="1" s="1"/>
  <c r="T2478" i="1"/>
  <c r="U2478" i="1"/>
  <c r="V2478" i="1" s="1"/>
  <c r="Y2478" i="1"/>
  <c r="X2478" i="1" s="1"/>
  <c r="T2479" i="1"/>
  <c r="U2479" i="1"/>
  <c r="V2479" i="1" s="1"/>
  <c r="Y2479" i="1"/>
  <c r="X2479" i="1" s="1"/>
  <c r="T2480" i="1"/>
  <c r="U2480" i="1"/>
  <c r="V2480" i="1" s="1"/>
  <c r="Y2480" i="1"/>
  <c r="X2480" i="1" s="1"/>
  <c r="T2481" i="1"/>
  <c r="U2481" i="1"/>
  <c r="V2481" i="1" s="1"/>
  <c r="Y2481" i="1"/>
  <c r="X2481" i="1" s="1"/>
  <c r="T2482" i="1"/>
  <c r="U2482" i="1"/>
  <c r="V2482" i="1" s="1"/>
  <c r="Y2482" i="1"/>
  <c r="X2482" i="1" s="1"/>
  <c r="T2483" i="1"/>
  <c r="U2483" i="1"/>
  <c r="V2483" i="1" s="1"/>
  <c r="Y2483" i="1"/>
  <c r="X2483" i="1" s="1"/>
  <c r="T2484" i="1"/>
  <c r="U2484" i="1"/>
  <c r="V2484" i="1"/>
  <c r="Y2484" i="1"/>
  <c r="X2484" i="1" s="1"/>
  <c r="T2485" i="1"/>
  <c r="U2485" i="1"/>
  <c r="V2485" i="1" s="1"/>
  <c r="Y2485" i="1"/>
  <c r="X2485" i="1" s="1"/>
  <c r="T2486" i="1"/>
  <c r="U2486" i="1"/>
  <c r="V2486" i="1" s="1"/>
  <c r="Y2486" i="1"/>
  <c r="X2486" i="1" s="1"/>
  <c r="T2487" i="1"/>
  <c r="U2487" i="1"/>
  <c r="V2487" i="1" s="1"/>
  <c r="Y2487" i="1"/>
  <c r="X2487" i="1" s="1"/>
  <c r="T2488" i="1"/>
  <c r="U2488" i="1"/>
  <c r="V2488" i="1" s="1"/>
  <c r="Y2488" i="1"/>
  <c r="X2488" i="1" s="1"/>
  <c r="T2489" i="1"/>
  <c r="U2489" i="1"/>
  <c r="V2489" i="1" s="1"/>
  <c r="Y2489" i="1"/>
  <c r="X2489" i="1" s="1"/>
  <c r="T2490" i="1"/>
  <c r="U2490" i="1"/>
  <c r="V2490" i="1" s="1"/>
  <c r="Y2490" i="1"/>
  <c r="X2490" i="1" s="1"/>
  <c r="T2491" i="1"/>
  <c r="U2491" i="1"/>
  <c r="V2491" i="1" s="1"/>
  <c r="Y2491" i="1"/>
  <c r="X2491" i="1" s="1"/>
  <c r="T2492" i="1"/>
  <c r="U2492" i="1"/>
  <c r="V2492" i="1" s="1"/>
  <c r="Y2492" i="1"/>
  <c r="X2492" i="1" s="1"/>
  <c r="T2493" i="1"/>
  <c r="U2493" i="1"/>
  <c r="V2493" i="1" s="1"/>
  <c r="Y2493" i="1"/>
  <c r="X2493" i="1" s="1"/>
  <c r="T2494" i="1"/>
  <c r="U2494" i="1"/>
  <c r="V2494" i="1" s="1"/>
  <c r="Y2494" i="1"/>
  <c r="X2494" i="1" s="1"/>
  <c r="T2495" i="1"/>
  <c r="U2495" i="1"/>
  <c r="V2495" i="1" s="1"/>
  <c r="Y2495" i="1"/>
  <c r="X2495" i="1" s="1"/>
  <c r="T2496" i="1"/>
  <c r="U2496" i="1"/>
  <c r="V2496" i="1" s="1"/>
  <c r="Y2496" i="1"/>
  <c r="X2496" i="1" s="1"/>
  <c r="T2497" i="1"/>
  <c r="U2497" i="1"/>
  <c r="V2497" i="1" s="1"/>
  <c r="Y2497" i="1"/>
  <c r="X2497" i="1" s="1"/>
  <c r="T2498" i="1"/>
  <c r="U2498" i="1"/>
  <c r="V2498" i="1" s="1"/>
  <c r="Y2498" i="1"/>
  <c r="X2498" i="1" s="1"/>
  <c r="T2499" i="1"/>
  <c r="U2499" i="1"/>
  <c r="V2499" i="1" s="1"/>
  <c r="Y2499" i="1"/>
  <c r="X2499" i="1" s="1"/>
  <c r="T2500" i="1"/>
  <c r="U2500" i="1"/>
  <c r="V2500" i="1" s="1"/>
  <c r="Y2500" i="1"/>
  <c r="X2500" i="1" s="1"/>
  <c r="T2501" i="1"/>
  <c r="U2501" i="1"/>
  <c r="V2501" i="1" s="1"/>
  <c r="Y2501" i="1"/>
  <c r="X2501" i="1" s="1"/>
  <c r="T2502" i="1"/>
  <c r="U2502" i="1"/>
  <c r="V2502" i="1" s="1"/>
  <c r="Y2502" i="1"/>
  <c r="X2502" i="1" s="1"/>
  <c r="T2503" i="1"/>
  <c r="U2503" i="1"/>
  <c r="V2503" i="1"/>
  <c r="Y2503" i="1"/>
  <c r="X2503" i="1" s="1"/>
  <c r="T2504" i="1"/>
  <c r="U2504" i="1"/>
  <c r="V2504" i="1" s="1"/>
  <c r="Y2504" i="1"/>
  <c r="X2504" i="1" s="1"/>
  <c r="T2505" i="1"/>
  <c r="U2505" i="1"/>
  <c r="V2505" i="1" s="1"/>
  <c r="Y2505" i="1"/>
  <c r="X2505" i="1" s="1"/>
  <c r="T2506" i="1"/>
  <c r="U2506" i="1"/>
  <c r="V2506" i="1" s="1"/>
  <c r="Y2506" i="1"/>
  <c r="X2506" i="1" s="1"/>
  <c r="T2507" i="1"/>
  <c r="U2507" i="1"/>
  <c r="V2507" i="1"/>
  <c r="Y2507" i="1"/>
  <c r="X2507" i="1" s="1"/>
  <c r="T2508" i="1"/>
  <c r="U2508" i="1"/>
  <c r="V2508" i="1" s="1"/>
  <c r="Y2508" i="1"/>
  <c r="X2508" i="1" s="1"/>
  <c r="T2509" i="1"/>
  <c r="U2509" i="1"/>
  <c r="V2509" i="1" s="1"/>
  <c r="Y2509" i="1"/>
  <c r="X2509" i="1" s="1"/>
  <c r="T2510" i="1"/>
  <c r="U2510" i="1"/>
  <c r="V2510" i="1" s="1"/>
  <c r="Y2510" i="1"/>
  <c r="X2510" i="1" s="1"/>
  <c r="T2511" i="1"/>
  <c r="U2511" i="1"/>
  <c r="V2511" i="1" s="1"/>
  <c r="Y2511" i="1"/>
  <c r="X2511" i="1" s="1"/>
  <c r="T2512" i="1"/>
  <c r="U2512" i="1"/>
  <c r="V2512" i="1"/>
  <c r="Y2512" i="1"/>
  <c r="X2512" i="1" s="1"/>
  <c r="T2513" i="1"/>
  <c r="U2513" i="1"/>
  <c r="V2513" i="1" s="1"/>
  <c r="Y2513" i="1"/>
  <c r="X2513" i="1" s="1"/>
  <c r="T2514" i="1"/>
  <c r="U2514" i="1"/>
  <c r="V2514" i="1" s="1"/>
  <c r="Y2514" i="1"/>
  <c r="X2514" i="1" s="1"/>
  <c r="T2515" i="1"/>
  <c r="U2515" i="1"/>
  <c r="V2515" i="1" s="1"/>
  <c r="Y2515" i="1"/>
  <c r="X2515" i="1" s="1"/>
  <c r="T2516" i="1"/>
  <c r="U2516" i="1"/>
  <c r="V2516" i="1" s="1"/>
  <c r="Y2516" i="1"/>
  <c r="X2516" i="1" s="1"/>
  <c r="T2517" i="1"/>
  <c r="U2517" i="1"/>
  <c r="V2517" i="1" s="1"/>
  <c r="Y2517" i="1"/>
  <c r="X2517" i="1" s="1"/>
  <c r="T2518" i="1"/>
  <c r="U2518" i="1"/>
  <c r="V2518" i="1" s="1"/>
  <c r="Y2518" i="1"/>
  <c r="X2518" i="1" s="1"/>
  <c r="T2519" i="1"/>
  <c r="U2519" i="1"/>
  <c r="V2519" i="1"/>
  <c r="Y2519" i="1"/>
  <c r="X2519" i="1" s="1"/>
  <c r="T2520" i="1"/>
  <c r="U2520" i="1"/>
  <c r="V2520" i="1" s="1"/>
  <c r="Y2520" i="1"/>
  <c r="X2520" i="1" s="1"/>
  <c r="T2521" i="1"/>
  <c r="U2521" i="1"/>
  <c r="V2521" i="1" s="1"/>
  <c r="Y2521" i="1"/>
  <c r="X2521" i="1" s="1"/>
  <c r="T2522" i="1"/>
  <c r="U2522" i="1"/>
  <c r="V2522" i="1" s="1"/>
  <c r="Y2522" i="1"/>
  <c r="X2522" i="1" s="1"/>
  <c r="T2523" i="1"/>
  <c r="U2523" i="1"/>
  <c r="V2523" i="1" s="1"/>
  <c r="Y2523" i="1"/>
  <c r="X2523" i="1" s="1"/>
  <c r="T2524" i="1"/>
  <c r="U2524" i="1"/>
  <c r="V2524" i="1" s="1"/>
  <c r="Y2524" i="1"/>
  <c r="X2524" i="1" s="1"/>
  <c r="T2525" i="1"/>
  <c r="U2525" i="1"/>
  <c r="V2525" i="1" s="1"/>
  <c r="Y2525" i="1"/>
  <c r="X2525" i="1" s="1"/>
  <c r="T2526" i="1"/>
  <c r="U2526" i="1"/>
  <c r="V2526" i="1"/>
  <c r="Y2526" i="1"/>
  <c r="X2526" i="1" s="1"/>
  <c r="T2527" i="1"/>
  <c r="U2527" i="1"/>
  <c r="V2527" i="1" s="1"/>
  <c r="X2527" i="1"/>
  <c r="Y2527" i="1"/>
  <c r="T1163" i="1"/>
  <c r="U1163" i="1"/>
  <c r="V1163" i="1" s="1"/>
  <c r="Y1163" i="1"/>
  <c r="X1163" i="1" s="1"/>
  <c r="T706" i="1"/>
  <c r="U706" i="1"/>
  <c r="V706" i="1" s="1"/>
  <c r="Y706" i="1"/>
  <c r="X706" i="1" s="1"/>
  <c r="U399" i="1"/>
  <c r="V399" i="1" s="1"/>
  <c r="U400" i="1"/>
  <c r="V400" i="1" s="1"/>
  <c r="U401" i="1"/>
  <c r="V401" i="1" s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V417" i="1" s="1"/>
  <c r="U418" i="1"/>
  <c r="V418" i="1" s="1"/>
  <c r="U419" i="1"/>
  <c r="V419" i="1" s="1"/>
  <c r="U420" i="1"/>
  <c r="V420" i="1" s="1"/>
  <c r="U421" i="1"/>
  <c r="V421" i="1" s="1"/>
  <c r="U422" i="1"/>
  <c r="V422" i="1" s="1"/>
  <c r="U423" i="1"/>
  <c r="V423" i="1" s="1"/>
  <c r="U424" i="1"/>
  <c r="V424" i="1" s="1"/>
  <c r="U425" i="1"/>
  <c r="U426" i="1"/>
  <c r="V426" i="1" s="1"/>
  <c r="U427" i="1"/>
  <c r="V427" i="1" s="1"/>
  <c r="U428" i="1"/>
  <c r="V428" i="1" s="1"/>
  <c r="U429" i="1"/>
  <c r="V429" i="1" s="1"/>
  <c r="U430" i="1"/>
  <c r="V430" i="1" s="1"/>
  <c r="U431" i="1"/>
  <c r="V431" i="1" s="1"/>
  <c r="U432" i="1"/>
  <c r="U433" i="1"/>
  <c r="U434" i="1"/>
  <c r="U435" i="1"/>
  <c r="U436" i="1"/>
  <c r="U437" i="1"/>
  <c r="V437" i="1" s="1"/>
  <c r="U438" i="1"/>
  <c r="V438" i="1" s="1"/>
  <c r="U439" i="1"/>
  <c r="U440" i="1"/>
  <c r="V440" i="1" s="1"/>
  <c r="U441" i="1"/>
  <c r="V441" i="1" s="1"/>
  <c r="U442" i="1"/>
  <c r="V442" i="1" s="1"/>
  <c r="U443" i="1"/>
  <c r="V443" i="1" s="1"/>
  <c r="U444" i="1"/>
  <c r="V444" i="1" s="1"/>
  <c r="U445" i="1"/>
  <c r="V445" i="1" s="1"/>
  <c r="U446" i="1"/>
  <c r="V446" i="1" s="1"/>
  <c r="U447" i="1"/>
  <c r="V447" i="1" s="1"/>
  <c r="U448" i="1"/>
  <c r="V448" i="1" s="1"/>
  <c r="U449" i="1"/>
  <c r="V449" i="1" s="1"/>
  <c r="U450" i="1"/>
  <c r="V450" i="1" s="1"/>
  <c r="U451" i="1"/>
  <c r="V451" i="1" s="1"/>
  <c r="U452" i="1"/>
  <c r="V452" i="1" s="1"/>
  <c r="U453" i="1"/>
  <c r="V453" i="1" s="1"/>
  <c r="U454" i="1"/>
  <c r="U455" i="1"/>
  <c r="V455" i="1" s="1"/>
  <c r="U456" i="1"/>
  <c r="V456" i="1" s="1"/>
  <c r="U457" i="1"/>
  <c r="V457" i="1" s="1"/>
  <c r="U458" i="1"/>
  <c r="U459" i="1"/>
  <c r="V459" i="1" s="1"/>
  <c r="U460" i="1"/>
  <c r="V460" i="1" s="1"/>
  <c r="U461" i="1"/>
  <c r="V461" i="1" s="1"/>
  <c r="U462" i="1"/>
  <c r="V462" i="1" s="1"/>
  <c r="U463" i="1"/>
  <c r="U464" i="1"/>
  <c r="U465" i="1"/>
  <c r="U466" i="1"/>
  <c r="U467" i="1"/>
  <c r="U468" i="1"/>
  <c r="U469" i="1"/>
  <c r="U470" i="1"/>
  <c r="U471" i="1"/>
  <c r="U472" i="1"/>
  <c r="U473" i="1"/>
  <c r="U474" i="1"/>
  <c r="V474" i="1" s="1"/>
  <c r="U475" i="1"/>
  <c r="V475" i="1" s="1"/>
  <c r="U476" i="1"/>
  <c r="V476" i="1" s="1"/>
  <c r="U477" i="1"/>
  <c r="V477" i="1" s="1"/>
  <c r="U478" i="1"/>
  <c r="V478" i="1" s="1"/>
  <c r="U479" i="1"/>
  <c r="U480" i="1"/>
  <c r="V480" i="1" s="1"/>
  <c r="U481" i="1"/>
  <c r="V481" i="1" s="1"/>
  <c r="U482" i="1"/>
  <c r="U483" i="1"/>
  <c r="V483" i="1" s="1"/>
  <c r="U484" i="1"/>
  <c r="V484" i="1" s="1"/>
  <c r="U485" i="1"/>
  <c r="V485" i="1" s="1"/>
  <c r="U486" i="1"/>
  <c r="V486" i="1" s="1"/>
  <c r="U487" i="1"/>
  <c r="U488" i="1"/>
  <c r="V488" i="1" s="1"/>
  <c r="U489" i="1"/>
  <c r="V489" i="1" s="1"/>
  <c r="U490" i="1"/>
  <c r="V490" i="1" s="1"/>
  <c r="U491" i="1"/>
  <c r="U492" i="1"/>
  <c r="V492" i="1" s="1"/>
  <c r="U493" i="1"/>
  <c r="V493" i="1" s="1"/>
  <c r="U494" i="1"/>
  <c r="U495" i="1"/>
  <c r="V495" i="1" s="1"/>
  <c r="U496" i="1"/>
  <c r="V496" i="1" s="1"/>
  <c r="U497" i="1"/>
  <c r="U498" i="1"/>
  <c r="V498" i="1" s="1"/>
  <c r="U499" i="1"/>
  <c r="V499" i="1" s="1"/>
  <c r="U500" i="1"/>
  <c r="U501" i="1"/>
  <c r="U502" i="1"/>
  <c r="V502" i="1" s="1"/>
  <c r="U503" i="1"/>
  <c r="V503" i="1" s="1"/>
  <c r="U504" i="1"/>
  <c r="U505" i="1"/>
  <c r="V505" i="1" s="1"/>
  <c r="U506" i="1"/>
  <c r="V506" i="1" s="1"/>
  <c r="U507" i="1"/>
  <c r="U508" i="1"/>
  <c r="V508" i="1" s="1"/>
  <c r="U509" i="1"/>
  <c r="V509" i="1" s="1"/>
  <c r="U510" i="1"/>
  <c r="V510" i="1" s="1"/>
  <c r="U511" i="1"/>
  <c r="V511" i="1" s="1"/>
  <c r="U512" i="1"/>
  <c r="V512" i="1" s="1"/>
  <c r="U513" i="1"/>
  <c r="V513" i="1" s="1"/>
  <c r="U514" i="1"/>
  <c r="V514" i="1" s="1"/>
  <c r="U515" i="1"/>
  <c r="V515" i="1" s="1"/>
  <c r="U516" i="1"/>
  <c r="V516" i="1" s="1"/>
  <c r="U517" i="1"/>
  <c r="U518" i="1"/>
  <c r="U519" i="1"/>
  <c r="V519" i="1" s="1"/>
  <c r="U520" i="1"/>
  <c r="V520" i="1" s="1"/>
  <c r="U521" i="1"/>
  <c r="V521" i="1" s="1"/>
  <c r="U522" i="1"/>
  <c r="V522" i="1" s="1"/>
  <c r="U523" i="1"/>
  <c r="V523" i="1" s="1"/>
  <c r="U524" i="1"/>
  <c r="V524" i="1" s="1"/>
  <c r="U525" i="1"/>
  <c r="V525" i="1" s="1"/>
  <c r="U526" i="1"/>
  <c r="U527" i="1"/>
  <c r="V527" i="1" s="1"/>
  <c r="U528" i="1"/>
  <c r="V528" i="1" s="1"/>
  <c r="U529" i="1"/>
  <c r="V529" i="1" s="1"/>
  <c r="U530" i="1"/>
  <c r="U531" i="1"/>
  <c r="V531" i="1" s="1"/>
  <c r="U532" i="1"/>
  <c r="V532" i="1" s="1"/>
  <c r="U533" i="1"/>
  <c r="V533" i="1" s="1"/>
  <c r="U534" i="1"/>
  <c r="V534" i="1" s="1"/>
  <c r="U535" i="1"/>
  <c r="V535" i="1" s="1"/>
  <c r="U536" i="1"/>
  <c r="V536" i="1" s="1"/>
  <c r="U537" i="1"/>
  <c r="V537" i="1" s="1"/>
  <c r="U538" i="1"/>
  <c r="V538" i="1" s="1"/>
  <c r="U539" i="1"/>
  <c r="V539" i="1" s="1"/>
  <c r="U540" i="1"/>
  <c r="V540" i="1" s="1"/>
  <c r="U541" i="1"/>
  <c r="U542" i="1"/>
  <c r="V542" i="1" s="1"/>
  <c r="U543" i="1"/>
  <c r="U544" i="1"/>
  <c r="V544" i="1" s="1"/>
  <c r="U545" i="1"/>
  <c r="V545" i="1" s="1"/>
  <c r="U546" i="1"/>
  <c r="U547" i="1"/>
  <c r="V547" i="1" s="1"/>
  <c r="U548" i="1"/>
  <c r="V548" i="1" s="1"/>
  <c r="U549" i="1"/>
  <c r="U550" i="1"/>
  <c r="V550" i="1" s="1"/>
  <c r="U551" i="1"/>
  <c r="V551" i="1" s="1"/>
  <c r="U552" i="1"/>
  <c r="V552" i="1" s="1"/>
  <c r="U553" i="1"/>
  <c r="V553" i="1" s="1"/>
  <c r="U554" i="1"/>
  <c r="V554" i="1" s="1"/>
  <c r="U555" i="1"/>
  <c r="V555" i="1" s="1"/>
  <c r="U556" i="1"/>
  <c r="V556" i="1" s="1"/>
  <c r="U557" i="1"/>
  <c r="V557" i="1" s="1"/>
  <c r="U558" i="1"/>
  <c r="V558" i="1" s="1"/>
  <c r="U559" i="1"/>
  <c r="V559" i="1" s="1"/>
  <c r="U560" i="1"/>
  <c r="U561" i="1"/>
  <c r="U562" i="1"/>
  <c r="U563" i="1"/>
  <c r="V563" i="1" s="1"/>
  <c r="U564" i="1"/>
  <c r="V564" i="1" s="1"/>
  <c r="U565" i="1"/>
  <c r="U566" i="1"/>
  <c r="V566" i="1" s="1"/>
  <c r="U567" i="1"/>
  <c r="V567" i="1" s="1"/>
  <c r="U568" i="1"/>
  <c r="V568" i="1" s="1"/>
  <c r="U569" i="1"/>
  <c r="V569" i="1" s="1"/>
  <c r="U570" i="1"/>
  <c r="V570" i="1" s="1"/>
  <c r="U571" i="1"/>
  <c r="V571" i="1" s="1"/>
  <c r="U572" i="1"/>
  <c r="U573" i="1"/>
  <c r="V573" i="1" s="1"/>
  <c r="U574" i="1"/>
  <c r="V574" i="1" s="1"/>
  <c r="U575" i="1"/>
  <c r="V575" i="1" s="1"/>
  <c r="U576" i="1"/>
  <c r="U577" i="1"/>
  <c r="V577" i="1" s="1"/>
  <c r="U578" i="1"/>
  <c r="V578" i="1" s="1"/>
  <c r="U579" i="1"/>
  <c r="V579" i="1" s="1"/>
  <c r="U580" i="1"/>
  <c r="V580" i="1" s="1"/>
  <c r="U581" i="1"/>
  <c r="U582" i="1"/>
  <c r="U583" i="1"/>
  <c r="U584" i="1"/>
  <c r="U585" i="1"/>
  <c r="U586" i="1"/>
  <c r="U587" i="1"/>
  <c r="V587" i="1" s="1"/>
  <c r="U588" i="1"/>
  <c r="V588" i="1" s="1"/>
  <c r="U589" i="1"/>
  <c r="V589" i="1" s="1"/>
  <c r="U590" i="1"/>
  <c r="V590" i="1" s="1"/>
  <c r="U591" i="1"/>
  <c r="V591" i="1" s="1"/>
  <c r="U592" i="1"/>
  <c r="V592" i="1" s="1"/>
  <c r="U593" i="1"/>
  <c r="V593" i="1" s="1"/>
  <c r="U594" i="1"/>
  <c r="V594" i="1" s="1"/>
  <c r="U595" i="1"/>
  <c r="V595" i="1" s="1"/>
  <c r="U596" i="1"/>
  <c r="U597" i="1"/>
  <c r="U598" i="1"/>
  <c r="U599" i="1"/>
  <c r="V599" i="1" s="1"/>
  <c r="U600" i="1"/>
  <c r="V600" i="1" s="1"/>
  <c r="U601" i="1"/>
  <c r="V601" i="1" s="1"/>
  <c r="U602" i="1"/>
  <c r="V602" i="1" s="1"/>
  <c r="U603" i="1"/>
  <c r="U604" i="1"/>
  <c r="V604" i="1" s="1"/>
  <c r="U605" i="1"/>
  <c r="V605" i="1" s="1"/>
  <c r="U606" i="1"/>
  <c r="V606" i="1" s="1"/>
  <c r="U607" i="1"/>
  <c r="V607" i="1" s="1"/>
  <c r="U608" i="1"/>
  <c r="U609" i="1"/>
  <c r="U610" i="1"/>
  <c r="U611" i="1"/>
  <c r="U612" i="1"/>
  <c r="U613" i="1"/>
  <c r="U614" i="1"/>
  <c r="U615" i="1"/>
  <c r="V615" i="1" s="1"/>
  <c r="U616" i="1"/>
  <c r="V616" i="1" s="1"/>
  <c r="U617" i="1"/>
  <c r="U618" i="1"/>
  <c r="V618" i="1" s="1"/>
  <c r="U619" i="1"/>
  <c r="V619" i="1" s="1"/>
  <c r="U620" i="1"/>
  <c r="V620" i="1" s="1"/>
  <c r="U621" i="1"/>
  <c r="U622" i="1"/>
  <c r="V622" i="1" s="1"/>
  <c r="U623" i="1"/>
  <c r="V623" i="1" s="1"/>
  <c r="U624" i="1"/>
  <c r="V624" i="1" s="1"/>
  <c r="U625" i="1"/>
  <c r="V625" i="1" s="1"/>
  <c r="U626" i="1"/>
  <c r="V626" i="1" s="1"/>
  <c r="U627" i="1"/>
  <c r="V627" i="1" s="1"/>
  <c r="U628" i="1"/>
  <c r="V628" i="1" s="1"/>
  <c r="U629" i="1"/>
  <c r="U630" i="1"/>
  <c r="V630" i="1" s="1"/>
  <c r="U631" i="1"/>
  <c r="V631" i="1" s="1"/>
  <c r="U632" i="1"/>
  <c r="V632" i="1" s="1"/>
  <c r="U633" i="1"/>
  <c r="V633" i="1" s="1"/>
  <c r="U634" i="1"/>
  <c r="V634" i="1" s="1"/>
  <c r="U635" i="1"/>
  <c r="V635" i="1" s="1"/>
  <c r="U636" i="1"/>
  <c r="V636" i="1" s="1"/>
  <c r="U637" i="1"/>
  <c r="V637" i="1" s="1"/>
  <c r="U638" i="1"/>
  <c r="V638" i="1" s="1"/>
  <c r="U639" i="1"/>
  <c r="V639" i="1" s="1"/>
  <c r="U640" i="1"/>
  <c r="V640" i="1" s="1"/>
  <c r="U641" i="1"/>
  <c r="V641" i="1" s="1"/>
  <c r="U642" i="1"/>
  <c r="V642" i="1" s="1"/>
  <c r="U643" i="1"/>
  <c r="V643" i="1" s="1"/>
  <c r="U644" i="1"/>
  <c r="U645" i="1"/>
  <c r="U646" i="1"/>
  <c r="U647" i="1"/>
  <c r="U648" i="1"/>
  <c r="V648" i="1" s="1"/>
  <c r="U649" i="1"/>
  <c r="V649" i="1" s="1"/>
  <c r="U650" i="1"/>
  <c r="V650" i="1" s="1"/>
  <c r="U651" i="1"/>
  <c r="V651" i="1" s="1"/>
  <c r="U652" i="1"/>
  <c r="V652" i="1" s="1"/>
  <c r="U653" i="1"/>
  <c r="V653" i="1" s="1"/>
  <c r="U654" i="1"/>
  <c r="V654" i="1" s="1"/>
  <c r="U655" i="1"/>
  <c r="V655" i="1" s="1"/>
  <c r="U656" i="1"/>
  <c r="V656" i="1" s="1"/>
  <c r="U657" i="1"/>
  <c r="V657" i="1" s="1"/>
  <c r="U658" i="1"/>
  <c r="V658" i="1" s="1"/>
  <c r="U659" i="1"/>
  <c r="V659" i="1" s="1"/>
  <c r="U660" i="1"/>
  <c r="V660" i="1" s="1"/>
  <c r="U661" i="1"/>
  <c r="V661" i="1" s="1"/>
  <c r="U662" i="1"/>
  <c r="V662" i="1" s="1"/>
  <c r="U663" i="1"/>
  <c r="V663" i="1" s="1"/>
  <c r="U664" i="1"/>
  <c r="U665" i="1"/>
  <c r="V665" i="1" s="1"/>
  <c r="U666" i="1"/>
  <c r="V666" i="1" s="1"/>
  <c r="U667" i="1"/>
  <c r="U668" i="1"/>
  <c r="V668" i="1" s="1"/>
  <c r="U669" i="1"/>
  <c r="V669" i="1" s="1"/>
  <c r="U670" i="1"/>
  <c r="V670" i="1" s="1"/>
  <c r="U671" i="1"/>
  <c r="V671" i="1" s="1"/>
  <c r="U672" i="1"/>
  <c r="V672" i="1" s="1"/>
  <c r="U673" i="1"/>
  <c r="V673" i="1" s="1"/>
  <c r="U674" i="1"/>
  <c r="V674" i="1" s="1"/>
  <c r="U675" i="1"/>
  <c r="V675" i="1" s="1"/>
  <c r="U676" i="1"/>
  <c r="V676" i="1" s="1"/>
  <c r="U677" i="1"/>
  <c r="U678" i="1"/>
  <c r="U679" i="1"/>
  <c r="V679" i="1" s="1"/>
  <c r="U680" i="1"/>
  <c r="V680" i="1" s="1"/>
  <c r="U681" i="1"/>
  <c r="V681" i="1" s="1"/>
  <c r="U682" i="1"/>
  <c r="V682" i="1" s="1"/>
  <c r="U683" i="1"/>
  <c r="V683" i="1" s="1"/>
  <c r="U684" i="1"/>
  <c r="V684" i="1" s="1"/>
  <c r="U685" i="1"/>
  <c r="V685" i="1" s="1"/>
  <c r="U686" i="1"/>
  <c r="V686" i="1" s="1"/>
  <c r="U687" i="1"/>
  <c r="V687" i="1" s="1"/>
  <c r="U688" i="1"/>
  <c r="V688" i="1" s="1"/>
  <c r="U689" i="1"/>
  <c r="V689" i="1" s="1"/>
  <c r="U690" i="1"/>
  <c r="U691" i="1"/>
  <c r="U692" i="1"/>
  <c r="V692" i="1" s="1"/>
  <c r="U693" i="1"/>
  <c r="V693" i="1" s="1"/>
  <c r="U694" i="1"/>
  <c r="V694" i="1" s="1"/>
  <c r="U695" i="1"/>
  <c r="V695" i="1" s="1"/>
  <c r="U696" i="1"/>
  <c r="V696" i="1" s="1"/>
  <c r="U697" i="1"/>
  <c r="V697" i="1" s="1"/>
  <c r="U698" i="1"/>
  <c r="V698" i="1" s="1"/>
  <c r="U699" i="1"/>
  <c r="V699" i="1" s="1"/>
  <c r="U700" i="1"/>
  <c r="V700" i="1" s="1"/>
  <c r="U701" i="1"/>
  <c r="U702" i="1"/>
  <c r="V702" i="1" s="1"/>
  <c r="U703" i="1"/>
  <c r="V703" i="1" s="1"/>
  <c r="U704" i="1"/>
  <c r="V704" i="1" s="1"/>
  <c r="U705" i="1"/>
  <c r="V705" i="1" s="1"/>
  <c r="U707" i="1"/>
  <c r="U708" i="1"/>
  <c r="V708" i="1" s="1"/>
  <c r="U709" i="1"/>
  <c r="V709" i="1" s="1"/>
  <c r="U710" i="1"/>
  <c r="V710" i="1" s="1"/>
  <c r="U711" i="1"/>
  <c r="V711" i="1" s="1"/>
  <c r="U712" i="1"/>
  <c r="U713" i="1"/>
  <c r="U714" i="1"/>
  <c r="V714" i="1" s="1"/>
  <c r="U715" i="1"/>
  <c r="V715" i="1" s="1"/>
  <c r="U716" i="1"/>
  <c r="V716" i="1" s="1"/>
  <c r="U717" i="1"/>
  <c r="V717" i="1" s="1"/>
  <c r="U718" i="1"/>
  <c r="V718" i="1" s="1"/>
  <c r="U719" i="1"/>
  <c r="V719" i="1" s="1"/>
  <c r="U720" i="1"/>
  <c r="U721" i="1"/>
  <c r="U722" i="1"/>
  <c r="V722" i="1" s="1"/>
  <c r="U723" i="1"/>
  <c r="V723" i="1" s="1"/>
  <c r="U724" i="1"/>
  <c r="V724" i="1" s="1"/>
  <c r="U725" i="1"/>
  <c r="V725" i="1" s="1"/>
  <c r="U726" i="1"/>
  <c r="U727" i="1"/>
  <c r="V727" i="1" s="1"/>
  <c r="U728" i="1"/>
  <c r="V728" i="1" s="1"/>
  <c r="U729" i="1"/>
  <c r="V729" i="1" s="1"/>
  <c r="U730" i="1"/>
  <c r="V730" i="1" s="1"/>
  <c r="U731" i="1"/>
  <c r="U732" i="1"/>
  <c r="U733" i="1"/>
  <c r="V733" i="1" s="1"/>
  <c r="U734" i="1"/>
  <c r="V734" i="1" s="1"/>
  <c r="U735" i="1"/>
  <c r="U736" i="1"/>
  <c r="U737" i="1"/>
  <c r="U738" i="1"/>
  <c r="U739" i="1"/>
  <c r="U740" i="1"/>
  <c r="V740" i="1" s="1"/>
  <c r="U741" i="1"/>
  <c r="V741" i="1" s="1"/>
  <c r="U742" i="1"/>
  <c r="V742" i="1" s="1"/>
  <c r="U743" i="1"/>
  <c r="V743" i="1" s="1"/>
  <c r="U744" i="1"/>
  <c r="U745" i="1"/>
  <c r="U746" i="1"/>
  <c r="V746" i="1" s="1"/>
  <c r="U747" i="1"/>
  <c r="V747" i="1" s="1"/>
  <c r="U748" i="1"/>
  <c r="V748" i="1" s="1"/>
  <c r="U749" i="1"/>
  <c r="V749" i="1" s="1"/>
  <c r="U750" i="1"/>
  <c r="V750" i="1" s="1"/>
  <c r="U751" i="1"/>
  <c r="V751" i="1" s="1"/>
  <c r="U752" i="1"/>
  <c r="V752" i="1" s="1"/>
  <c r="U753" i="1"/>
  <c r="U754" i="1"/>
  <c r="U755" i="1"/>
  <c r="U756" i="1"/>
  <c r="U757" i="1"/>
  <c r="U758" i="1"/>
  <c r="V758" i="1" s="1"/>
  <c r="U759" i="1"/>
  <c r="V759" i="1" s="1"/>
  <c r="U760" i="1"/>
  <c r="V760" i="1" s="1"/>
  <c r="U761" i="1"/>
  <c r="V761" i="1" s="1"/>
  <c r="U762" i="1"/>
  <c r="V762" i="1" s="1"/>
  <c r="U763" i="1"/>
  <c r="V763" i="1" s="1"/>
  <c r="U764" i="1"/>
  <c r="V764" i="1" s="1"/>
  <c r="U765" i="1"/>
  <c r="U766" i="1"/>
  <c r="V766" i="1" s="1"/>
  <c r="U767" i="1"/>
  <c r="V767" i="1" s="1"/>
  <c r="U768" i="1"/>
  <c r="V768" i="1" s="1"/>
  <c r="U769" i="1"/>
  <c r="V769" i="1" s="1"/>
  <c r="U770" i="1"/>
  <c r="V770" i="1" s="1"/>
  <c r="U771" i="1"/>
  <c r="U772" i="1"/>
  <c r="V772" i="1" s="1"/>
  <c r="U773" i="1"/>
  <c r="V773" i="1" s="1"/>
  <c r="U774" i="1"/>
  <c r="V774" i="1" s="1"/>
  <c r="U775" i="1"/>
  <c r="V775" i="1" s="1"/>
  <c r="U776" i="1"/>
  <c r="V776" i="1" s="1"/>
  <c r="U777" i="1"/>
  <c r="V777" i="1" s="1"/>
  <c r="U778" i="1"/>
  <c r="U779" i="1"/>
  <c r="U780" i="1"/>
  <c r="U781" i="1"/>
  <c r="U782" i="1"/>
  <c r="V782" i="1" s="1"/>
  <c r="U783" i="1"/>
  <c r="V783" i="1" s="1"/>
  <c r="U784" i="1"/>
  <c r="V784" i="1" s="1"/>
  <c r="U785" i="1"/>
  <c r="V785" i="1" s="1"/>
  <c r="U786" i="1"/>
  <c r="V786" i="1" s="1"/>
  <c r="U787" i="1"/>
  <c r="V787" i="1" s="1"/>
  <c r="U788" i="1"/>
  <c r="V788" i="1" s="1"/>
  <c r="U789" i="1"/>
  <c r="V789" i="1" s="1"/>
  <c r="U790" i="1"/>
  <c r="V790" i="1" s="1"/>
  <c r="U791" i="1"/>
  <c r="V791" i="1" s="1"/>
  <c r="U792" i="1"/>
  <c r="V792" i="1" s="1"/>
  <c r="U793" i="1"/>
  <c r="V793" i="1" s="1"/>
  <c r="U794" i="1"/>
  <c r="V794" i="1" s="1"/>
  <c r="U795" i="1"/>
  <c r="V795" i="1" s="1"/>
  <c r="U796" i="1"/>
  <c r="U797" i="1"/>
  <c r="U798" i="1"/>
  <c r="U799" i="1"/>
  <c r="U800" i="1"/>
  <c r="U801" i="1"/>
  <c r="U802" i="1"/>
  <c r="V802" i="1" s="1"/>
  <c r="U803" i="1"/>
  <c r="V803" i="1" s="1"/>
  <c r="U804" i="1"/>
  <c r="V804" i="1" s="1"/>
  <c r="U805" i="1"/>
  <c r="V805" i="1" s="1"/>
  <c r="U806" i="1"/>
  <c r="V806" i="1" s="1"/>
  <c r="U807" i="1"/>
  <c r="U808" i="1"/>
  <c r="V808" i="1" s="1"/>
  <c r="U809" i="1"/>
  <c r="V809" i="1" s="1"/>
  <c r="U810" i="1"/>
  <c r="U811" i="1"/>
  <c r="U812" i="1"/>
  <c r="V812" i="1" s="1"/>
  <c r="U813" i="1"/>
  <c r="V813" i="1" s="1"/>
  <c r="U814" i="1"/>
  <c r="V814" i="1" s="1"/>
  <c r="U815" i="1"/>
  <c r="V815" i="1" s="1"/>
  <c r="U816" i="1"/>
  <c r="V816" i="1" s="1"/>
  <c r="U817" i="1"/>
  <c r="V817" i="1" s="1"/>
  <c r="U818" i="1"/>
  <c r="V818" i="1" s="1"/>
  <c r="U819" i="1"/>
  <c r="V819" i="1" s="1"/>
  <c r="U820" i="1"/>
  <c r="V820" i="1" s="1"/>
  <c r="U821" i="1"/>
  <c r="U822" i="1"/>
  <c r="U823" i="1"/>
  <c r="U824" i="1"/>
  <c r="U825" i="1"/>
  <c r="U826" i="1"/>
  <c r="U827" i="1"/>
  <c r="U828" i="1"/>
  <c r="U829" i="1"/>
  <c r="V829" i="1" s="1"/>
  <c r="U830" i="1"/>
  <c r="V830" i="1" s="1"/>
  <c r="U831" i="1"/>
  <c r="V831" i="1" s="1"/>
  <c r="U832" i="1"/>
  <c r="V832" i="1" s="1"/>
  <c r="U833" i="1"/>
  <c r="V833" i="1" s="1"/>
  <c r="U834" i="1"/>
  <c r="U835" i="1"/>
  <c r="V835" i="1" s="1"/>
  <c r="U836" i="1"/>
  <c r="V836" i="1" s="1"/>
  <c r="U837" i="1"/>
  <c r="V837" i="1" s="1"/>
  <c r="U838" i="1"/>
  <c r="V838" i="1" s="1"/>
  <c r="U839" i="1"/>
  <c r="V839" i="1" s="1"/>
  <c r="U840" i="1"/>
  <c r="V840" i="1" s="1"/>
  <c r="U841" i="1"/>
  <c r="U842" i="1"/>
  <c r="U843" i="1"/>
  <c r="U844" i="1"/>
  <c r="U845" i="1"/>
  <c r="U846" i="1"/>
  <c r="U847" i="1"/>
  <c r="V847" i="1" s="1"/>
  <c r="U848" i="1"/>
  <c r="V848" i="1" s="1"/>
  <c r="U849" i="1"/>
  <c r="V849" i="1" s="1"/>
  <c r="U850" i="1"/>
  <c r="V850" i="1" s="1"/>
  <c r="U851" i="1"/>
  <c r="U852" i="1"/>
  <c r="U853" i="1"/>
  <c r="U854" i="1"/>
  <c r="U855" i="1"/>
  <c r="U856" i="1"/>
  <c r="V856" i="1" s="1"/>
  <c r="U857" i="1"/>
  <c r="V857" i="1" s="1"/>
  <c r="U858" i="1"/>
  <c r="V858" i="1" s="1"/>
  <c r="U859" i="1"/>
  <c r="V859" i="1" s="1"/>
  <c r="U860" i="1"/>
  <c r="V860" i="1" s="1"/>
  <c r="U861" i="1"/>
  <c r="V861" i="1" s="1"/>
  <c r="U862" i="1"/>
  <c r="V862" i="1" s="1"/>
  <c r="U863" i="1"/>
  <c r="V863" i="1" s="1"/>
  <c r="U864" i="1"/>
  <c r="V864" i="1" s="1"/>
  <c r="U865" i="1"/>
  <c r="V865" i="1" s="1"/>
  <c r="U866" i="1"/>
  <c r="V866" i="1" s="1"/>
  <c r="U867" i="1"/>
  <c r="V867" i="1" s="1"/>
  <c r="U868" i="1"/>
  <c r="V868" i="1" s="1"/>
  <c r="U869" i="1"/>
  <c r="V869" i="1" s="1"/>
  <c r="U870" i="1"/>
  <c r="U871" i="1"/>
  <c r="U872" i="1"/>
  <c r="U873" i="1"/>
  <c r="U874" i="1"/>
  <c r="U875" i="1"/>
  <c r="U876" i="1"/>
  <c r="V876" i="1" s="1"/>
  <c r="U877" i="1"/>
  <c r="V877" i="1" s="1"/>
  <c r="U878" i="1"/>
  <c r="V878" i="1" s="1"/>
  <c r="U879" i="1"/>
  <c r="V879" i="1" s="1"/>
  <c r="U880" i="1"/>
  <c r="V880" i="1" s="1"/>
  <c r="U881" i="1"/>
  <c r="U882" i="1"/>
  <c r="V882" i="1" s="1"/>
  <c r="U883" i="1"/>
  <c r="V883" i="1" s="1"/>
  <c r="U884" i="1"/>
  <c r="V884" i="1" s="1"/>
  <c r="U885" i="1"/>
  <c r="V885" i="1" s="1"/>
  <c r="U886" i="1"/>
  <c r="V886" i="1" s="1"/>
  <c r="U887" i="1"/>
  <c r="V887" i="1" s="1"/>
  <c r="U888" i="1"/>
  <c r="U889" i="1"/>
  <c r="U890" i="1"/>
  <c r="V890" i="1" s="1"/>
  <c r="U891" i="1"/>
  <c r="V891" i="1" s="1"/>
  <c r="U892" i="1"/>
  <c r="V892" i="1" s="1"/>
  <c r="U893" i="1"/>
  <c r="V893" i="1" s="1"/>
  <c r="U894" i="1"/>
  <c r="V894" i="1" s="1"/>
  <c r="U895" i="1"/>
  <c r="V895" i="1" s="1"/>
  <c r="U896" i="1"/>
  <c r="V896" i="1" s="1"/>
  <c r="U897" i="1"/>
  <c r="V897" i="1" s="1"/>
  <c r="U898" i="1"/>
  <c r="V898" i="1" s="1"/>
  <c r="U899" i="1"/>
  <c r="V899" i="1" s="1"/>
  <c r="U900" i="1"/>
  <c r="U901" i="1"/>
  <c r="V901" i="1" s="1"/>
  <c r="U902" i="1"/>
  <c r="V902" i="1" s="1"/>
  <c r="U903" i="1"/>
  <c r="V903" i="1" s="1"/>
  <c r="U904" i="1"/>
  <c r="V904" i="1" s="1"/>
  <c r="U905" i="1"/>
  <c r="V905" i="1" s="1"/>
  <c r="U906" i="1"/>
  <c r="V906" i="1" s="1"/>
  <c r="U907" i="1"/>
  <c r="V907" i="1" s="1"/>
  <c r="U908" i="1"/>
  <c r="V908" i="1" s="1"/>
  <c r="U909" i="1"/>
  <c r="V909" i="1" s="1"/>
  <c r="U910" i="1"/>
  <c r="V910" i="1" s="1"/>
  <c r="U911" i="1"/>
  <c r="V911" i="1" s="1"/>
  <c r="U912" i="1"/>
  <c r="V912" i="1" s="1"/>
  <c r="U913" i="1"/>
  <c r="V913" i="1" s="1"/>
  <c r="U914" i="1"/>
  <c r="V914" i="1" s="1"/>
  <c r="U915" i="1"/>
  <c r="V915" i="1" s="1"/>
  <c r="U916" i="1"/>
  <c r="V916" i="1" s="1"/>
  <c r="U917" i="1"/>
  <c r="U918" i="1"/>
  <c r="V918" i="1" s="1"/>
  <c r="U919" i="1"/>
  <c r="V919" i="1" s="1"/>
  <c r="U920" i="1"/>
  <c r="V920" i="1" s="1"/>
  <c r="U921" i="1"/>
  <c r="V921" i="1" s="1"/>
  <c r="U922" i="1"/>
  <c r="V922" i="1" s="1"/>
  <c r="U923" i="1"/>
  <c r="V923" i="1" s="1"/>
  <c r="U924" i="1"/>
  <c r="V924" i="1" s="1"/>
  <c r="U925" i="1"/>
  <c r="V925" i="1" s="1"/>
  <c r="U926" i="1"/>
  <c r="V926" i="1" s="1"/>
  <c r="U927" i="1"/>
  <c r="V927" i="1" s="1"/>
  <c r="U928" i="1"/>
  <c r="V928" i="1" s="1"/>
  <c r="U929" i="1"/>
  <c r="V929" i="1" s="1"/>
  <c r="U930" i="1"/>
  <c r="V930" i="1" s="1"/>
  <c r="U931" i="1"/>
  <c r="V931" i="1" s="1"/>
  <c r="U932" i="1"/>
  <c r="V932" i="1" s="1"/>
  <c r="U933" i="1"/>
  <c r="V933" i="1" s="1"/>
  <c r="U934" i="1"/>
  <c r="V934" i="1" s="1"/>
  <c r="U935" i="1"/>
  <c r="V935" i="1" s="1"/>
  <c r="U936" i="1"/>
  <c r="V936" i="1" s="1"/>
  <c r="U937" i="1"/>
  <c r="V937" i="1" s="1"/>
  <c r="U938" i="1"/>
  <c r="V938" i="1" s="1"/>
  <c r="U939" i="1"/>
  <c r="V939" i="1" s="1"/>
  <c r="U940" i="1"/>
  <c r="V940" i="1" s="1"/>
  <c r="U941" i="1"/>
  <c r="V941" i="1" s="1"/>
  <c r="U942" i="1"/>
  <c r="V942" i="1" s="1"/>
  <c r="U943" i="1"/>
  <c r="V943" i="1" s="1"/>
  <c r="U944" i="1"/>
  <c r="V944" i="1" s="1"/>
  <c r="U945" i="1"/>
  <c r="V945" i="1" s="1"/>
  <c r="U946" i="1"/>
  <c r="V946" i="1" s="1"/>
  <c r="U947" i="1"/>
  <c r="V947" i="1" s="1"/>
  <c r="U948" i="1"/>
  <c r="V948" i="1" s="1"/>
  <c r="U949" i="1"/>
  <c r="V949" i="1" s="1"/>
  <c r="U950" i="1"/>
  <c r="V950" i="1" s="1"/>
  <c r="U951" i="1"/>
  <c r="V951" i="1" s="1"/>
  <c r="U952" i="1"/>
  <c r="U953" i="1"/>
  <c r="V953" i="1" s="1"/>
  <c r="U954" i="1"/>
  <c r="V954" i="1" s="1"/>
  <c r="U955" i="1"/>
  <c r="V955" i="1" s="1"/>
  <c r="U956" i="1"/>
  <c r="V956" i="1" s="1"/>
  <c r="U957" i="1"/>
  <c r="V957" i="1" s="1"/>
  <c r="U958" i="1"/>
  <c r="V958" i="1" s="1"/>
  <c r="U959" i="1"/>
  <c r="V959" i="1" s="1"/>
  <c r="U960" i="1"/>
  <c r="V960" i="1" s="1"/>
  <c r="U961" i="1"/>
  <c r="V961" i="1" s="1"/>
  <c r="U962" i="1"/>
  <c r="V962" i="1" s="1"/>
  <c r="U963" i="1"/>
  <c r="V963" i="1" s="1"/>
  <c r="U964" i="1"/>
  <c r="V964" i="1" s="1"/>
  <c r="U965" i="1"/>
  <c r="V965" i="1" s="1"/>
  <c r="U966" i="1"/>
  <c r="V966" i="1" s="1"/>
  <c r="U967" i="1"/>
  <c r="V967" i="1" s="1"/>
  <c r="U968" i="1"/>
  <c r="V968" i="1" s="1"/>
  <c r="U969" i="1"/>
  <c r="V969" i="1" s="1"/>
  <c r="U970" i="1"/>
  <c r="V970" i="1" s="1"/>
  <c r="U971" i="1"/>
  <c r="V971" i="1" s="1"/>
  <c r="U972" i="1"/>
  <c r="V972" i="1" s="1"/>
  <c r="U973" i="1"/>
  <c r="V973" i="1" s="1"/>
  <c r="U974" i="1"/>
  <c r="V974" i="1" s="1"/>
  <c r="U975" i="1"/>
  <c r="V975" i="1" s="1"/>
  <c r="U976" i="1"/>
  <c r="V976" i="1" s="1"/>
  <c r="U977" i="1"/>
  <c r="V977" i="1" s="1"/>
  <c r="U978" i="1"/>
  <c r="V978" i="1" s="1"/>
  <c r="U979" i="1"/>
  <c r="V979" i="1" s="1"/>
  <c r="U980" i="1"/>
  <c r="V980" i="1" s="1"/>
  <c r="U981" i="1"/>
  <c r="V981" i="1" s="1"/>
  <c r="U982" i="1"/>
  <c r="V982" i="1" s="1"/>
  <c r="U983" i="1"/>
  <c r="V983" i="1" s="1"/>
  <c r="U984" i="1"/>
  <c r="V984" i="1" s="1"/>
  <c r="U985" i="1"/>
  <c r="V985" i="1" s="1"/>
  <c r="U986" i="1"/>
  <c r="V986" i="1" s="1"/>
  <c r="U987" i="1"/>
  <c r="V987" i="1" s="1"/>
  <c r="U988" i="1"/>
  <c r="V988" i="1" s="1"/>
  <c r="U989" i="1"/>
  <c r="V989" i="1" s="1"/>
  <c r="U990" i="1"/>
  <c r="V990" i="1" s="1"/>
  <c r="U991" i="1"/>
  <c r="V991" i="1" s="1"/>
  <c r="U992" i="1"/>
  <c r="V992" i="1" s="1"/>
  <c r="U993" i="1"/>
  <c r="V993" i="1" s="1"/>
  <c r="U994" i="1"/>
  <c r="V994" i="1" s="1"/>
  <c r="U995" i="1"/>
  <c r="V995" i="1" s="1"/>
  <c r="U996" i="1"/>
  <c r="V996" i="1" s="1"/>
  <c r="U997" i="1"/>
  <c r="V997" i="1" s="1"/>
  <c r="U998" i="1"/>
  <c r="V998" i="1" s="1"/>
  <c r="U999" i="1"/>
  <c r="V999" i="1" s="1"/>
  <c r="U1000" i="1"/>
  <c r="V1000" i="1" s="1"/>
  <c r="U1001" i="1"/>
  <c r="V1001" i="1" s="1"/>
  <c r="U1002" i="1"/>
  <c r="V1002" i="1" s="1"/>
  <c r="U1003" i="1"/>
  <c r="V1003" i="1" s="1"/>
  <c r="U1004" i="1"/>
  <c r="V1004" i="1" s="1"/>
  <c r="U1005" i="1"/>
  <c r="V1005" i="1" s="1"/>
  <c r="U1006" i="1"/>
  <c r="V1006" i="1" s="1"/>
  <c r="U1007" i="1"/>
  <c r="V1007" i="1" s="1"/>
  <c r="U1008" i="1"/>
  <c r="V1008" i="1" s="1"/>
  <c r="U1009" i="1"/>
  <c r="V1009" i="1" s="1"/>
  <c r="U1010" i="1"/>
  <c r="V1010" i="1" s="1"/>
  <c r="U1011" i="1"/>
  <c r="V1011" i="1" s="1"/>
  <c r="U1012" i="1"/>
  <c r="V1012" i="1" s="1"/>
  <c r="U1013" i="1"/>
  <c r="V1013" i="1" s="1"/>
  <c r="U1014" i="1"/>
  <c r="U1015" i="1"/>
  <c r="U1016" i="1"/>
  <c r="V1016" i="1" s="1"/>
  <c r="U1017" i="1"/>
  <c r="V1017" i="1" s="1"/>
  <c r="U1018" i="1"/>
  <c r="V1018" i="1" s="1"/>
  <c r="U1019" i="1"/>
  <c r="V1019" i="1" s="1"/>
  <c r="U1020" i="1"/>
  <c r="V1020" i="1" s="1"/>
  <c r="U1021" i="1"/>
  <c r="V1021" i="1" s="1"/>
  <c r="U1022" i="1"/>
  <c r="V1022" i="1" s="1"/>
  <c r="U1023" i="1"/>
  <c r="V1023" i="1" s="1"/>
  <c r="U1024" i="1"/>
  <c r="U1025" i="1"/>
  <c r="U1026" i="1"/>
  <c r="U1027" i="1"/>
  <c r="U1028" i="1"/>
  <c r="U1029" i="1"/>
  <c r="U1030" i="1"/>
  <c r="U1031" i="1"/>
  <c r="U1032" i="1"/>
  <c r="U1033" i="1"/>
  <c r="V1033" i="1" s="1"/>
  <c r="U1034" i="1"/>
  <c r="V1034" i="1" s="1"/>
  <c r="U1035" i="1"/>
  <c r="V1035" i="1" s="1"/>
  <c r="U1036" i="1"/>
  <c r="V1036" i="1" s="1"/>
  <c r="U1037" i="1"/>
  <c r="V1037" i="1" s="1"/>
  <c r="U1038" i="1"/>
  <c r="V1038" i="1" s="1"/>
  <c r="U1039" i="1"/>
  <c r="V1039" i="1" s="1"/>
  <c r="U1040" i="1"/>
  <c r="V1040" i="1" s="1"/>
  <c r="U1041" i="1"/>
  <c r="V1041" i="1" s="1"/>
  <c r="U1042" i="1"/>
  <c r="V1042" i="1" s="1"/>
  <c r="U1043" i="1"/>
  <c r="V1043" i="1" s="1"/>
  <c r="U1044" i="1"/>
  <c r="V1044" i="1" s="1"/>
  <c r="U1045" i="1"/>
  <c r="V1045" i="1" s="1"/>
  <c r="U1046" i="1"/>
  <c r="V1046" i="1" s="1"/>
  <c r="U1047" i="1"/>
  <c r="V1047" i="1" s="1"/>
  <c r="U1048" i="1"/>
  <c r="V1048" i="1" s="1"/>
  <c r="U1049" i="1"/>
  <c r="V1049" i="1" s="1"/>
  <c r="U1050" i="1"/>
  <c r="V1050" i="1" s="1"/>
  <c r="U1051" i="1"/>
  <c r="V1051" i="1" s="1"/>
  <c r="U1052" i="1"/>
  <c r="V1052" i="1" s="1"/>
  <c r="U1053" i="1"/>
  <c r="V1053" i="1" s="1"/>
  <c r="U1054" i="1"/>
  <c r="V1054" i="1" s="1"/>
  <c r="U1055" i="1"/>
  <c r="V1055" i="1" s="1"/>
  <c r="U1056" i="1"/>
  <c r="V1056" i="1" s="1"/>
  <c r="U1057" i="1"/>
  <c r="V1057" i="1" s="1"/>
  <c r="U1058" i="1"/>
  <c r="V1058" i="1" s="1"/>
  <c r="U1059" i="1"/>
  <c r="V1059" i="1" s="1"/>
  <c r="U1060" i="1"/>
  <c r="V1060" i="1" s="1"/>
  <c r="U1061" i="1"/>
  <c r="V1061" i="1" s="1"/>
  <c r="U1062" i="1"/>
  <c r="V1062" i="1" s="1"/>
  <c r="U1063" i="1"/>
  <c r="V1063" i="1" s="1"/>
  <c r="U1064" i="1"/>
  <c r="V1064" i="1" s="1"/>
  <c r="U1065" i="1"/>
  <c r="V1065" i="1" s="1"/>
  <c r="U1066" i="1"/>
  <c r="V1066" i="1" s="1"/>
  <c r="U1067" i="1"/>
  <c r="V1067" i="1" s="1"/>
  <c r="U1068" i="1"/>
  <c r="V1068" i="1" s="1"/>
  <c r="U1069" i="1"/>
  <c r="V1069" i="1" s="1"/>
  <c r="U1070" i="1"/>
  <c r="V1070" i="1" s="1"/>
  <c r="U1071" i="1"/>
  <c r="V1071" i="1" s="1"/>
  <c r="U1072" i="1"/>
  <c r="V1072" i="1" s="1"/>
  <c r="U1073" i="1"/>
  <c r="V1073" i="1" s="1"/>
  <c r="U1074" i="1"/>
  <c r="V1074" i="1" s="1"/>
  <c r="U1075" i="1"/>
  <c r="V1075" i="1" s="1"/>
  <c r="U1076" i="1"/>
  <c r="V1076" i="1" s="1"/>
  <c r="U1077" i="1"/>
  <c r="V1077" i="1" s="1"/>
  <c r="U1078" i="1"/>
  <c r="V1078" i="1" s="1"/>
  <c r="U1079" i="1"/>
  <c r="V1079" i="1" s="1"/>
  <c r="U1080" i="1"/>
  <c r="V1080" i="1" s="1"/>
  <c r="U1081" i="1"/>
  <c r="V1081" i="1" s="1"/>
  <c r="U1082" i="1"/>
  <c r="V1082" i="1" s="1"/>
  <c r="U1083" i="1"/>
  <c r="V1083" i="1" s="1"/>
  <c r="U1084" i="1"/>
  <c r="V1084" i="1" s="1"/>
  <c r="U1085" i="1"/>
  <c r="V1085" i="1" s="1"/>
  <c r="U1086" i="1"/>
  <c r="V1086" i="1" s="1"/>
  <c r="U1087" i="1"/>
  <c r="V1087" i="1" s="1"/>
  <c r="U1088" i="1"/>
  <c r="V1088" i="1" s="1"/>
  <c r="U1089" i="1"/>
  <c r="V1089" i="1" s="1"/>
  <c r="U1090" i="1"/>
  <c r="V1090" i="1" s="1"/>
  <c r="U1091" i="1"/>
  <c r="U1092" i="1"/>
  <c r="V1092" i="1" s="1"/>
  <c r="U1093" i="1"/>
  <c r="U1094" i="1"/>
  <c r="U1095" i="1"/>
  <c r="V1095" i="1" s="1"/>
  <c r="U1096" i="1"/>
  <c r="V1096" i="1" s="1"/>
  <c r="U1097" i="1"/>
  <c r="V1097" i="1" s="1"/>
  <c r="U1098" i="1"/>
  <c r="V1098" i="1" s="1"/>
  <c r="U1099" i="1"/>
  <c r="V1099" i="1" s="1"/>
  <c r="U1100" i="1"/>
  <c r="V1100" i="1" s="1"/>
  <c r="U1101" i="1"/>
  <c r="V1101" i="1" s="1"/>
  <c r="U1102" i="1"/>
  <c r="V1102" i="1" s="1"/>
  <c r="U1103" i="1"/>
  <c r="V1103" i="1" s="1"/>
  <c r="U1104" i="1"/>
  <c r="V1104" i="1" s="1"/>
  <c r="U1105" i="1"/>
  <c r="V1105" i="1" s="1"/>
  <c r="U1106" i="1"/>
  <c r="V1106" i="1" s="1"/>
  <c r="U1107" i="1"/>
  <c r="V1107" i="1" s="1"/>
  <c r="U1108" i="1"/>
  <c r="V1108" i="1" s="1"/>
  <c r="U1109" i="1"/>
  <c r="V1109" i="1" s="1"/>
  <c r="U1110" i="1"/>
  <c r="V1110" i="1" s="1"/>
  <c r="U1111" i="1"/>
  <c r="V1111" i="1" s="1"/>
  <c r="U1112" i="1"/>
  <c r="V1112" i="1" s="1"/>
  <c r="U1113" i="1"/>
  <c r="V1113" i="1" s="1"/>
  <c r="U1114" i="1"/>
  <c r="V1114" i="1" s="1"/>
  <c r="U1115" i="1"/>
  <c r="V1115" i="1" s="1"/>
  <c r="U1116" i="1"/>
  <c r="V1116" i="1" s="1"/>
  <c r="U1117" i="1"/>
  <c r="V1117" i="1" s="1"/>
  <c r="U1118" i="1"/>
  <c r="V1118" i="1" s="1"/>
  <c r="U1119" i="1"/>
  <c r="V1119" i="1" s="1"/>
  <c r="U1120" i="1"/>
  <c r="V1120" i="1" s="1"/>
  <c r="U1121" i="1"/>
  <c r="V1121" i="1" s="1"/>
  <c r="U1122" i="1"/>
  <c r="V1122" i="1" s="1"/>
  <c r="U1123" i="1"/>
  <c r="V1123" i="1" s="1"/>
  <c r="U1124" i="1"/>
  <c r="V1124" i="1" s="1"/>
  <c r="U1125" i="1"/>
  <c r="V1125" i="1" s="1"/>
  <c r="U1126" i="1"/>
  <c r="V1126" i="1" s="1"/>
  <c r="U1127" i="1"/>
  <c r="V1127" i="1" s="1"/>
  <c r="U1128" i="1"/>
  <c r="V1128" i="1" s="1"/>
  <c r="U1129" i="1"/>
  <c r="V1129" i="1" s="1"/>
  <c r="U1130" i="1"/>
  <c r="V1130" i="1" s="1"/>
  <c r="U1131" i="1"/>
  <c r="V1131" i="1" s="1"/>
  <c r="U1132" i="1"/>
  <c r="V1132" i="1" s="1"/>
  <c r="U1133" i="1"/>
  <c r="V1133" i="1" s="1"/>
  <c r="U1134" i="1"/>
  <c r="V1134" i="1" s="1"/>
  <c r="U1135" i="1"/>
  <c r="V1135" i="1" s="1"/>
  <c r="U1136" i="1"/>
  <c r="V1136" i="1" s="1"/>
  <c r="U1137" i="1"/>
  <c r="V1137" i="1" s="1"/>
  <c r="U1138" i="1"/>
  <c r="V1138" i="1" s="1"/>
  <c r="U1139" i="1"/>
  <c r="V1139" i="1" s="1"/>
  <c r="U1140" i="1"/>
  <c r="V1140" i="1" s="1"/>
  <c r="U1141" i="1"/>
  <c r="V1141" i="1" s="1"/>
  <c r="U1142" i="1"/>
  <c r="V1142" i="1" s="1"/>
  <c r="U1143" i="1"/>
  <c r="V1143" i="1" s="1"/>
  <c r="U1144" i="1"/>
  <c r="V1144" i="1" s="1"/>
  <c r="U1145" i="1"/>
  <c r="V1145" i="1" s="1"/>
  <c r="U1146" i="1"/>
  <c r="V1146" i="1" s="1"/>
  <c r="U1147" i="1"/>
  <c r="V1147" i="1" s="1"/>
  <c r="U1148" i="1"/>
  <c r="V1148" i="1" s="1"/>
  <c r="U1149" i="1"/>
  <c r="V1149" i="1" s="1"/>
  <c r="U1150" i="1"/>
  <c r="V1150" i="1" s="1"/>
  <c r="U1151" i="1"/>
  <c r="V1151" i="1" s="1"/>
  <c r="U1152" i="1"/>
  <c r="V1152" i="1" s="1"/>
  <c r="U1153" i="1"/>
  <c r="V1153" i="1" s="1"/>
  <c r="U1154" i="1"/>
  <c r="V1154" i="1" s="1"/>
  <c r="U1155" i="1"/>
  <c r="V1155" i="1" s="1"/>
  <c r="U1156" i="1"/>
  <c r="V1156" i="1" s="1"/>
  <c r="U1157" i="1"/>
  <c r="V1157" i="1" s="1"/>
  <c r="U1158" i="1"/>
  <c r="V1158" i="1" s="1"/>
  <c r="U1159" i="1"/>
  <c r="V1159" i="1" s="1"/>
  <c r="U1160" i="1"/>
  <c r="V1160" i="1" s="1"/>
  <c r="U1161" i="1"/>
  <c r="V1161" i="1" s="1"/>
  <c r="U1162" i="1"/>
  <c r="V1162" i="1" s="1"/>
  <c r="U1164" i="1"/>
  <c r="V1164" i="1" s="1"/>
  <c r="U1165" i="1"/>
  <c r="V1165" i="1" s="1"/>
  <c r="U1166" i="1"/>
  <c r="V1166" i="1" s="1"/>
  <c r="U1167" i="1"/>
  <c r="V1167" i="1" s="1"/>
  <c r="U1168" i="1"/>
  <c r="V1168" i="1" s="1"/>
  <c r="U1169" i="1"/>
  <c r="V1169" i="1" s="1"/>
  <c r="U1170" i="1"/>
  <c r="V1170" i="1" s="1"/>
  <c r="U1171" i="1"/>
  <c r="V1171" i="1" s="1"/>
  <c r="U1172" i="1"/>
  <c r="V1172" i="1" s="1"/>
  <c r="U1173" i="1"/>
  <c r="V1173" i="1" s="1"/>
  <c r="U1174" i="1"/>
  <c r="V1174" i="1" s="1"/>
  <c r="U1175" i="1"/>
  <c r="V1175" i="1" s="1"/>
  <c r="U1176" i="1"/>
  <c r="V1176" i="1" s="1"/>
  <c r="U1177" i="1"/>
  <c r="V1177" i="1" s="1"/>
  <c r="U1178" i="1"/>
  <c r="V1178" i="1" s="1"/>
  <c r="U1179" i="1"/>
  <c r="V1179" i="1" s="1"/>
  <c r="U1180" i="1"/>
  <c r="V1180" i="1" s="1"/>
  <c r="U1181" i="1"/>
  <c r="V1181" i="1" s="1"/>
  <c r="U1182" i="1"/>
  <c r="V1182" i="1" s="1"/>
  <c r="U1183" i="1"/>
  <c r="V1183" i="1" s="1"/>
  <c r="U1184" i="1"/>
  <c r="V1184" i="1" s="1"/>
  <c r="U1185" i="1"/>
  <c r="V1185" i="1" s="1"/>
  <c r="U1186" i="1"/>
  <c r="V1186" i="1" s="1"/>
  <c r="U1187" i="1"/>
  <c r="V1187" i="1" s="1"/>
  <c r="U1188" i="1"/>
  <c r="V1188" i="1" s="1"/>
  <c r="U1189" i="1"/>
  <c r="V1189" i="1" s="1"/>
  <c r="U1190" i="1"/>
  <c r="V1190" i="1" s="1"/>
  <c r="U1191" i="1"/>
  <c r="V1191" i="1" s="1"/>
  <c r="U1192" i="1"/>
  <c r="V1192" i="1" s="1"/>
  <c r="U1193" i="1"/>
  <c r="V1193" i="1" s="1"/>
  <c r="U1194" i="1"/>
  <c r="V1194" i="1" s="1"/>
  <c r="U1195" i="1"/>
  <c r="V1195" i="1" s="1"/>
  <c r="U1196" i="1"/>
  <c r="V1196" i="1" s="1"/>
  <c r="U1197" i="1"/>
  <c r="V1197" i="1" s="1"/>
  <c r="U1198" i="1"/>
  <c r="V1198" i="1" s="1"/>
  <c r="U1199" i="1"/>
  <c r="V1199" i="1" s="1"/>
  <c r="U1200" i="1"/>
  <c r="V1200" i="1" s="1"/>
  <c r="U1201" i="1"/>
  <c r="V1201" i="1" s="1"/>
  <c r="U1202" i="1"/>
  <c r="V1202" i="1" s="1"/>
  <c r="U1203" i="1"/>
  <c r="V1203" i="1" s="1"/>
  <c r="U1204" i="1"/>
  <c r="V1204" i="1" s="1"/>
  <c r="U1205" i="1"/>
  <c r="V1205" i="1" s="1"/>
  <c r="U1206" i="1"/>
  <c r="V1206" i="1" s="1"/>
  <c r="U1207" i="1"/>
  <c r="V1207" i="1" s="1"/>
  <c r="U1208" i="1"/>
  <c r="V1208" i="1" s="1"/>
  <c r="U1209" i="1"/>
  <c r="V1209" i="1" s="1"/>
  <c r="U1210" i="1"/>
  <c r="V1210" i="1" s="1"/>
  <c r="U1211" i="1"/>
  <c r="V1211" i="1" s="1"/>
  <c r="U1212" i="1"/>
  <c r="V1212" i="1" s="1"/>
  <c r="U1213" i="1"/>
  <c r="V1213" i="1" s="1"/>
  <c r="U1214" i="1"/>
  <c r="V1214" i="1" s="1"/>
  <c r="U1215" i="1"/>
  <c r="V1215" i="1" s="1"/>
  <c r="U1216" i="1"/>
  <c r="V1216" i="1" s="1"/>
  <c r="U1217" i="1"/>
  <c r="V1217" i="1" s="1"/>
  <c r="U1218" i="1"/>
  <c r="V1218" i="1" s="1"/>
  <c r="U1219" i="1"/>
  <c r="V1219" i="1" s="1"/>
  <c r="U1220" i="1"/>
  <c r="V1220" i="1" s="1"/>
  <c r="U1221" i="1"/>
  <c r="V1221" i="1" s="1"/>
  <c r="U1222" i="1"/>
  <c r="V1222" i="1" s="1"/>
  <c r="U1223" i="1"/>
  <c r="V1223" i="1" s="1"/>
  <c r="U1224" i="1"/>
  <c r="V1224" i="1" s="1"/>
  <c r="U1225" i="1"/>
  <c r="V1225" i="1" s="1"/>
  <c r="U1226" i="1"/>
  <c r="V1226" i="1" s="1"/>
  <c r="U1227" i="1"/>
  <c r="V1227" i="1" s="1"/>
  <c r="U1228" i="1"/>
  <c r="V1228" i="1" s="1"/>
  <c r="U1229" i="1"/>
  <c r="V1229" i="1" s="1"/>
  <c r="U1230" i="1"/>
  <c r="V1230" i="1" s="1"/>
  <c r="U1231" i="1"/>
  <c r="V1231" i="1" s="1"/>
  <c r="U1232" i="1"/>
  <c r="V1232" i="1" s="1"/>
  <c r="U1233" i="1"/>
  <c r="V1233" i="1" s="1"/>
  <c r="U1234" i="1"/>
  <c r="V1234" i="1" s="1"/>
  <c r="U1235" i="1"/>
  <c r="V1235" i="1" s="1"/>
  <c r="U1236" i="1"/>
  <c r="V1236" i="1" s="1"/>
  <c r="U1237" i="1"/>
  <c r="V1237" i="1" s="1"/>
  <c r="U1238" i="1"/>
  <c r="V1238" i="1" s="1"/>
  <c r="U1239" i="1"/>
  <c r="V1239" i="1" s="1"/>
  <c r="U1240" i="1"/>
  <c r="V1240" i="1" s="1"/>
  <c r="U1241" i="1"/>
  <c r="V1241" i="1" s="1"/>
  <c r="U1242" i="1"/>
  <c r="V1242" i="1" s="1"/>
  <c r="U1243" i="1"/>
  <c r="V1243" i="1" s="1"/>
  <c r="U1244" i="1"/>
  <c r="V1244" i="1" s="1"/>
  <c r="U1245" i="1"/>
  <c r="V1245" i="1" s="1"/>
  <c r="U1246" i="1"/>
  <c r="V1246" i="1" s="1"/>
  <c r="U1247" i="1"/>
  <c r="V1247" i="1" s="1"/>
  <c r="U1248" i="1"/>
  <c r="V1248" i="1" s="1"/>
  <c r="U1249" i="1"/>
  <c r="V1249" i="1" s="1"/>
  <c r="U1250" i="1"/>
  <c r="V1250" i="1" s="1"/>
  <c r="U1251" i="1"/>
  <c r="V1251" i="1" s="1"/>
  <c r="U1252" i="1"/>
  <c r="V1252" i="1" s="1"/>
  <c r="U1253" i="1"/>
  <c r="V1253" i="1" s="1"/>
  <c r="U1254" i="1"/>
  <c r="V1254" i="1" s="1"/>
  <c r="U1255" i="1"/>
  <c r="V1255" i="1" s="1"/>
  <c r="U1256" i="1"/>
  <c r="V1256" i="1" s="1"/>
  <c r="U1257" i="1"/>
  <c r="V1257" i="1" s="1"/>
  <c r="U1258" i="1"/>
  <c r="V1258" i="1" s="1"/>
  <c r="U1259" i="1"/>
  <c r="V1259" i="1" s="1"/>
  <c r="U1260" i="1"/>
  <c r="V1260" i="1" s="1"/>
  <c r="U1261" i="1"/>
  <c r="V1261" i="1" s="1"/>
  <c r="U1262" i="1"/>
  <c r="V1262" i="1" s="1"/>
  <c r="U1263" i="1"/>
  <c r="V1263" i="1" s="1"/>
  <c r="U1264" i="1"/>
  <c r="V1264" i="1" s="1"/>
  <c r="U1265" i="1"/>
  <c r="V1265" i="1" s="1"/>
  <c r="U1266" i="1"/>
  <c r="V1266" i="1" s="1"/>
  <c r="U1267" i="1"/>
  <c r="V1267" i="1" s="1"/>
  <c r="U1268" i="1"/>
  <c r="V1268" i="1" s="1"/>
  <c r="U1269" i="1"/>
  <c r="V1269" i="1" s="1"/>
  <c r="U1270" i="1"/>
  <c r="V1270" i="1" s="1"/>
  <c r="U1271" i="1"/>
  <c r="V1271" i="1" s="1"/>
  <c r="U1272" i="1"/>
  <c r="V1272" i="1" s="1"/>
  <c r="U1273" i="1"/>
  <c r="V1273" i="1" s="1"/>
  <c r="U1274" i="1"/>
  <c r="V1274" i="1" s="1"/>
  <c r="U1275" i="1"/>
  <c r="V1275" i="1" s="1"/>
  <c r="U1276" i="1"/>
  <c r="V1276" i="1" s="1"/>
  <c r="U1277" i="1"/>
  <c r="V1277" i="1" s="1"/>
  <c r="U1278" i="1"/>
  <c r="V1278" i="1" s="1"/>
  <c r="U1279" i="1"/>
  <c r="V1279" i="1" s="1"/>
  <c r="U1280" i="1"/>
  <c r="V1280" i="1" s="1"/>
  <c r="U1281" i="1"/>
  <c r="V1281" i="1" s="1"/>
  <c r="U1282" i="1"/>
  <c r="V1282" i="1" s="1"/>
  <c r="U1283" i="1"/>
  <c r="V1283" i="1" s="1"/>
  <c r="U1284" i="1"/>
  <c r="V1284" i="1" s="1"/>
  <c r="U1285" i="1"/>
  <c r="V1285" i="1" s="1"/>
  <c r="U1286" i="1"/>
  <c r="V1286" i="1" s="1"/>
  <c r="U1287" i="1"/>
  <c r="V1287" i="1" s="1"/>
  <c r="U1288" i="1"/>
  <c r="V1288" i="1" s="1"/>
  <c r="U1289" i="1"/>
  <c r="V1289" i="1" s="1"/>
  <c r="U1290" i="1"/>
  <c r="V1290" i="1" s="1"/>
  <c r="U1291" i="1"/>
  <c r="V1291" i="1" s="1"/>
  <c r="U1292" i="1"/>
  <c r="V1292" i="1" s="1"/>
  <c r="U1293" i="1"/>
  <c r="V1293" i="1" s="1"/>
  <c r="U1294" i="1"/>
  <c r="V1294" i="1" s="1"/>
  <c r="U1295" i="1"/>
  <c r="V1295" i="1" s="1"/>
  <c r="U1296" i="1"/>
  <c r="V1296" i="1" s="1"/>
  <c r="U1297" i="1"/>
  <c r="V1297" i="1" s="1"/>
  <c r="U1298" i="1"/>
  <c r="V1298" i="1" s="1"/>
  <c r="U1299" i="1"/>
  <c r="V1299" i="1" s="1"/>
  <c r="U1300" i="1"/>
  <c r="V1300" i="1" s="1"/>
  <c r="U1301" i="1"/>
  <c r="V1301" i="1" s="1"/>
  <c r="U1302" i="1"/>
  <c r="V1302" i="1" s="1"/>
  <c r="U1303" i="1"/>
  <c r="V1303" i="1" s="1"/>
  <c r="U1304" i="1"/>
  <c r="V1304" i="1" s="1"/>
  <c r="U1305" i="1"/>
  <c r="V1305" i="1" s="1"/>
  <c r="U1306" i="1"/>
  <c r="V1306" i="1" s="1"/>
  <c r="U1307" i="1"/>
  <c r="V1307" i="1" s="1"/>
  <c r="U1308" i="1"/>
  <c r="V1308" i="1" s="1"/>
  <c r="U1309" i="1"/>
  <c r="V1309" i="1" s="1"/>
  <c r="U1310" i="1"/>
  <c r="V1310" i="1" s="1"/>
  <c r="U1311" i="1"/>
  <c r="V1311" i="1" s="1"/>
  <c r="U1312" i="1"/>
  <c r="V1312" i="1" s="1"/>
  <c r="U1313" i="1"/>
  <c r="V1313" i="1" s="1"/>
  <c r="U1314" i="1"/>
  <c r="V1314" i="1" s="1"/>
  <c r="U1315" i="1"/>
  <c r="V1315" i="1" s="1"/>
  <c r="U1316" i="1"/>
  <c r="V1316" i="1" s="1"/>
  <c r="U1317" i="1"/>
  <c r="V1317" i="1" s="1"/>
  <c r="U1318" i="1"/>
  <c r="V1318" i="1" s="1"/>
  <c r="U1319" i="1"/>
  <c r="V1319" i="1" s="1"/>
  <c r="U1320" i="1"/>
  <c r="V1320" i="1" s="1"/>
  <c r="U1321" i="1"/>
  <c r="V1321" i="1" s="1"/>
  <c r="U1322" i="1"/>
  <c r="V1322" i="1" s="1"/>
  <c r="U1323" i="1"/>
  <c r="V1323" i="1" s="1"/>
  <c r="U1324" i="1"/>
  <c r="V1324" i="1" s="1"/>
  <c r="U1325" i="1"/>
  <c r="V1325" i="1" s="1"/>
  <c r="U1326" i="1"/>
  <c r="V1326" i="1" s="1"/>
  <c r="U1327" i="1"/>
  <c r="V1327" i="1" s="1"/>
  <c r="U1328" i="1"/>
  <c r="V1328" i="1" s="1"/>
  <c r="U1329" i="1"/>
  <c r="V1329" i="1" s="1"/>
  <c r="U1330" i="1"/>
  <c r="V1330" i="1" s="1"/>
  <c r="U1331" i="1"/>
  <c r="V1331" i="1" s="1"/>
  <c r="U1332" i="1"/>
  <c r="V1332" i="1" s="1"/>
  <c r="U1333" i="1"/>
  <c r="V1333" i="1" s="1"/>
  <c r="U1334" i="1"/>
  <c r="V1334" i="1" s="1"/>
  <c r="U1335" i="1"/>
  <c r="V1335" i="1" s="1"/>
  <c r="U1336" i="1"/>
  <c r="V1336" i="1" s="1"/>
  <c r="U1337" i="1"/>
  <c r="V1337" i="1" s="1"/>
  <c r="U1338" i="1"/>
  <c r="V1338" i="1" s="1"/>
  <c r="U1339" i="1"/>
  <c r="V1339" i="1" s="1"/>
  <c r="U1340" i="1"/>
  <c r="V1340" i="1" s="1"/>
  <c r="U1341" i="1"/>
  <c r="V1341" i="1" s="1"/>
  <c r="U1342" i="1"/>
  <c r="V1342" i="1" s="1"/>
  <c r="U1343" i="1"/>
  <c r="V1343" i="1" s="1"/>
  <c r="U1344" i="1"/>
  <c r="V1344" i="1" s="1"/>
  <c r="U1345" i="1"/>
  <c r="V1345" i="1" s="1"/>
  <c r="U1346" i="1"/>
  <c r="U1347" i="1"/>
  <c r="V1347" i="1" s="1"/>
  <c r="U1348" i="1"/>
  <c r="V1348" i="1" s="1"/>
  <c r="U1349" i="1"/>
  <c r="V1349" i="1" s="1"/>
  <c r="U1350" i="1"/>
  <c r="V1350" i="1" s="1"/>
  <c r="U1351" i="1"/>
  <c r="V1351" i="1" s="1"/>
  <c r="U1352" i="1"/>
  <c r="V1352" i="1" s="1"/>
  <c r="U1353" i="1"/>
  <c r="V1353" i="1" s="1"/>
  <c r="U1354" i="1"/>
  <c r="V1354" i="1" s="1"/>
  <c r="U1355" i="1"/>
  <c r="V1355" i="1" s="1"/>
  <c r="U1356" i="1"/>
  <c r="V1356" i="1" s="1"/>
  <c r="U1357" i="1"/>
  <c r="V1357" i="1" s="1"/>
  <c r="U1358" i="1"/>
  <c r="V1358" i="1" s="1"/>
  <c r="U1359" i="1"/>
  <c r="V1359" i="1" s="1"/>
  <c r="U1360" i="1"/>
  <c r="V1360" i="1" s="1"/>
  <c r="U1361" i="1"/>
  <c r="V1361" i="1" s="1"/>
  <c r="U1362" i="1"/>
  <c r="V1362" i="1" s="1"/>
  <c r="U1363" i="1"/>
  <c r="V1363" i="1" s="1"/>
  <c r="U1364" i="1"/>
  <c r="V1364" i="1" s="1"/>
  <c r="U1365" i="1"/>
  <c r="V1365" i="1" s="1"/>
  <c r="U1366" i="1"/>
  <c r="V1366" i="1" s="1"/>
  <c r="U1367" i="1"/>
  <c r="V1367" i="1" s="1"/>
  <c r="U1368" i="1"/>
  <c r="V1368" i="1" s="1"/>
  <c r="U1369" i="1"/>
  <c r="V1369" i="1" s="1"/>
  <c r="U1370" i="1"/>
  <c r="V1370" i="1" s="1"/>
  <c r="U1371" i="1"/>
  <c r="V1371" i="1" s="1"/>
  <c r="U1372" i="1"/>
  <c r="V1372" i="1" s="1"/>
  <c r="U1373" i="1"/>
  <c r="V1373" i="1" s="1"/>
  <c r="U1374" i="1"/>
  <c r="V1374" i="1" s="1"/>
  <c r="U1375" i="1"/>
  <c r="V1375" i="1" s="1"/>
  <c r="U1376" i="1"/>
  <c r="V1376" i="1" s="1"/>
  <c r="U1377" i="1"/>
  <c r="V1377" i="1" s="1"/>
  <c r="U1378" i="1"/>
  <c r="V1378" i="1" s="1"/>
  <c r="U1379" i="1"/>
  <c r="V1379" i="1" s="1"/>
  <c r="U1380" i="1"/>
  <c r="V1380" i="1" s="1"/>
  <c r="U1381" i="1"/>
  <c r="V1381" i="1" s="1"/>
  <c r="U1382" i="1"/>
  <c r="V1382" i="1" s="1"/>
  <c r="U1383" i="1"/>
  <c r="V1383" i="1" s="1"/>
  <c r="U1384" i="1"/>
  <c r="V1384" i="1" s="1"/>
  <c r="U1385" i="1"/>
  <c r="V1385" i="1" s="1"/>
  <c r="U1386" i="1"/>
  <c r="V1386" i="1" s="1"/>
  <c r="U1387" i="1"/>
  <c r="V1387" i="1" s="1"/>
  <c r="U1388" i="1"/>
  <c r="V1388" i="1" s="1"/>
  <c r="U1389" i="1"/>
  <c r="V1389" i="1" s="1"/>
  <c r="U1390" i="1"/>
  <c r="V1390" i="1" s="1"/>
  <c r="U1391" i="1"/>
  <c r="V1391" i="1" s="1"/>
  <c r="U1392" i="1"/>
  <c r="V1392" i="1" s="1"/>
  <c r="U1393" i="1"/>
  <c r="V1393" i="1" s="1"/>
  <c r="U1394" i="1"/>
  <c r="U1395" i="1"/>
  <c r="V1395" i="1" s="1"/>
  <c r="U1396" i="1"/>
  <c r="V1396" i="1" s="1"/>
  <c r="U1397" i="1"/>
  <c r="V1397" i="1" s="1"/>
  <c r="U1398" i="1"/>
  <c r="V1398" i="1" s="1"/>
  <c r="U1399" i="1"/>
  <c r="V1399" i="1" s="1"/>
  <c r="U1400" i="1"/>
  <c r="V1400" i="1" s="1"/>
  <c r="U1401" i="1"/>
  <c r="V1401" i="1" s="1"/>
  <c r="U1402" i="1"/>
  <c r="V1402" i="1" s="1"/>
  <c r="U1403" i="1"/>
  <c r="V1403" i="1" s="1"/>
  <c r="U1404" i="1"/>
  <c r="V1404" i="1" s="1"/>
  <c r="U1405" i="1"/>
  <c r="V1405" i="1" s="1"/>
  <c r="U1406" i="1"/>
  <c r="V1406" i="1" s="1"/>
  <c r="U1407" i="1"/>
  <c r="V1407" i="1" s="1"/>
  <c r="U1408" i="1"/>
  <c r="V1408" i="1" s="1"/>
  <c r="U1409" i="1"/>
  <c r="V1409" i="1" s="1"/>
  <c r="U1410" i="1"/>
  <c r="V1410" i="1" s="1"/>
  <c r="U1411" i="1"/>
  <c r="V1411" i="1" s="1"/>
  <c r="U1412" i="1"/>
  <c r="V1412" i="1" s="1"/>
  <c r="U1413" i="1"/>
  <c r="V1413" i="1" s="1"/>
  <c r="U1414" i="1"/>
  <c r="V1414" i="1" s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25" i="1"/>
  <c r="V432" i="1"/>
  <c r="V433" i="1"/>
  <c r="V434" i="1"/>
  <c r="V435" i="1"/>
  <c r="V436" i="1"/>
  <c r="V439" i="1"/>
  <c r="V454" i="1"/>
  <c r="V458" i="1"/>
  <c r="V463" i="1"/>
  <c r="V464" i="1"/>
  <c r="V465" i="1"/>
  <c r="V466" i="1"/>
  <c r="V467" i="1"/>
  <c r="V468" i="1"/>
  <c r="V469" i="1"/>
  <c r="V470" i="1"/>
  <c r="V471" i="1"/>
  <c r="V472" i="1"/>
  <c r="V473" i="1"/>
  <c r="V479" i="1"/>
  <c r="V482" i="1"/>
  <c r="V487" i="1"/>
  <c r="V491" i="1"/>
  <c r="V494" i="1"/>
  <c r="V497" i="1"/>
  <c r="V500" i="1"/>
  <c r="V501" i="1"/>
  <c r="V504" i="1"/>
  <c r="V507" i="1"/>
  <c r="V517" i="1"/>
  <c r="V518" i="1"/>
  <c r="V526" i="1"/>
  <c r="V530" i="1"/>
  <c r="V541" i="1"/>
  <c r="V543" i="1"/>
  <c r="V546" i="1"/>
  <c r="V549" i="1"/>
  <c r="V560" i="1"/>
  <c r="V561" i="1"/>
  <c r="V562" i="1"/>
  <c r="V565" i="1"/>
  <c r="V572" i="1"/>
  <c r="V576" i="1"/>
  <c r="V581" i="1"/>
  <c r="V582" i="1"/>
  <c r="V583" i="1"/>
  <c r="V584" i="1"/>
  <c r="V585" i="1"/>
  <c r="V586" i="1"/>
  <c r="V596" i="1"/>
  <c r="V597" i="1"/>
  <c r="V598" i="1"/>
  <c r="V603" i="1"/>
  <c r="V608" i="1"/>
  <c r="V609" i="1"/>
  <c r="V610" i="1"/>
  <c r="V611" i="1"/>
  <c r="V612" i="1"/>
  <c r="V613" i="1"/>
  <c r="V614" i="1"/>
  <c r="V617" i="1"/>
  <c r="V621" i="1"/>
  <c r="V629" i="1"/>
  <c r="V644" i="1"/>
  <c r="V645" i="1"/>
  <c r="V646" i="1"/>
  <c r="V647" i="1"/>
  <c r="V664" i="1"/>
  <c r="V667" i="1"/>
  <c r="V677" i="1"/>
  <c r="V678" i="1"/>
  <c r="V690" i="1"/>
  <c r="V691" i="1"/>
  <c r="V701" i="1"/>
  <c r="V707" i="1"/>
  <c r="V712" i="1"/>
  <c r="V713" i="1"/>
  <c r="V720" i="1"/>
  <c r="V721" i="1"/>
  <c r="V726" i="1"/>
  <c r="V731" i="1"/>
  <c r="V732" i="1"/>
  <c r="V735" i="1"/>
  <c r="V736" i="1"/>
  <c r="V737" i="1"/>
  <c r="V738" i="1"/>
  <c r="V739" i="1"/>
  <c r="V744" i="1"/>
  <c r="V745" i="1"/>
  <c r="V753" i="1"/>
  <c r="V754" i="1"/>
  <c r="V755" i="1"/>
  <c r="V756" i="1"/>
  <c r="V757" i="1"/>
  <c r="V765" i="1"/>
  <c r="V771" i="1"/>
  <c r="V778" i="1"/>
  <c r="V779" i="1"/>
  <c r="V780" i="1"/>
  <c r="V781" i="1"/>
  <c r="V796" i="1"/>
  <c r="V797" i="1"/>
  <c r="V798" i="1"/>
  <c r="V799" i="1"/>
  <c r="V800" i="1"/>
  <c r="V801" i="1"/>
  <c r="V807" i="1"/>
  <c r="V810" i="1"/>
  <c r="V811" i="1"/>
  <c r="V821" i="1"/>
  <c r="V822" i="1"/>
  <c r="V823" i="1"/>
  <c r="V824" i="1"/>
  <c r="V825" i="1"/>
  <c r="V826" i="1"/>
  <c r="V827" i="1"/>
  <c r="V828" i="1"/>
  <c r="V834" i="1"/>
  <c r="V841" i="1"/>
  <c r="V842" i="1"/>
  <c r="V843" i="1"/>
  <c r="V844" i="1"/>
  <c r="V845" i="1"/>
  <c r="V846" i="1"/>
  <c r="V851" i="1"/>
  <c r="V852" i="1"/>
  <c r="V853" i="1"/>
  <c r="V854" i="1"/>
  <c r="V855" i="1"/>
  <c r="V870" i="1"/>
  <c r="V871" i="1"/>
  <c r="V872" i="1"/>
  <c r="V873" i="1"/>
  <c r="V874" i="1"/>
  <c r="V875" i="1"/>
  <c r="V881" i="1"/>
  <c r="V888" i="1"/>
  <c r="V889" i="1"/>
  <c r="V900" i="1"/>
  <c r="V917" i="1"/>
  <c r="V952" i="1"/>
  <c r="V1014" i="1"/>
  <c r="V1015" i="1"/>
  <c r="V1024" i="1"/>
  <c r="V1025" i="1"/>
  <c r="V1026" i="1"/>
  <c r="V1027" i="1"/>
  <c r="V1028" i="1"/>
  <c r="V1029" i="1"/>
  <c r="V1030" i="1"/>
  <c r="V1031" i="1"/>
  <c r="V1032" i="1"/>
  <c r="V1091" i="1"/>
  <c r="V1093" i="1"/>
  <c r="V1094" i="1"/>
  <c r="V1346" i="1"/>
  <c r="V1394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Z1553" i="1" s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Y500" i="1"/>
  <c r="X500" i="1" s="1"/>
  <c r="Y501" i="1"/>
  <c r="X501" i="1" s="1"/>
  <c r="Y502" i="1"/>
  <c r="X502" i="1" s="1"/>
  <c r="Y503" i="1"/>
  <c r="X503" i="1" s="1"/>
  <c r="Y504" i="1"/>
  <c r="X504" i="1" s="1"/>
  <c r="Y505" i="1"/>
  <c r="X505" i="1" s="1"/>
  <c r="Y506" i="1"/>
  <c r="X506" i="1" s="1"/>
  <c r="Y507" i="1"/>
  <c r="X507" i="1" s="1"/>
  <c r="Y508" i="1"/>
  <c r="X508" i="1" s="1"/>
  <c r="Y509" i="1"/>
  <c r="X509" i="1" s="1"/>
  <c r="Y510" i="1"/>
  <c r="X510" i="1" s="1"/>
  <c r="Y511" i="1"/>
  <c r="X511" i="1" s="1"/>
  <c r="Y512" i="1"/>
  <c r="X512" i="1" s="1"/>
  <c r="Y513" i="1"/>
  <c r="X513" i="1" s="1"/>
  <c r="Y514" i="1"/>
  <c r="X514" i="1" s="1"/>
  <c r="Y515" i="1"/>
  <c r="X515" i="1" s="1"/>
  <c r="Y516" i="1"/>
  <c r="X516" i="1" s="1"/>
  <c r="Y517" i="1"/>
  <c r="X517" i="1" s="1"/>
  <c r="Y518" i="1"/>
  <c r="X518" i="1" s="1"/>
  <c r="Y519" i="1"/>
  <c r="X519" i="1" s="1"/>
  <c r="Y520" i="1"/>
  <c r="X520" i="1" s="1"/>
  <c r="Y521" i="1"/>
  <c r="X521" i="1" s="1"/>
  <c r="Y522" i="1"/>
  <c r="X522" i="1" s="1"/>
  <c r="Y523" i="1"/>
  <c r="X523" i="1" s="1"/>
  <c r="Y524" i="1"/>
  <c r="X524" i="1" s="1"/>
  <c r="Y525" i="1"/>
  <c r="X525" i="1" s="1"/>
  <c r="Y526" i="1"/>
  <c r="X526" i="1" s="1"/>
  <c r="Y527" i="1"/>
  <c r="X527" i="1" s="1"/>
  <c r="Y528" i="1"/>
  <c r="X528" i="1" s="1"/>
  <c r="Y529" i="1"/>
  <c r="X529" i="1" s="1"/>
  <c r="Y530" i="1"/>
  <c r="X530" i="1" s="1"/>
  <c r="Y531" i="1"/>
  <c r="X531" i="1" s="1"/>
  <c r="Y532" i="1"/>
  <c r="X532" i="1" s="1"/>
  <c r="Y533" i="1"/>
  <c r="X533" i="1" s="1"/>
  <c r="Y534" i="1"/>
  <c r="X534" i="1" s="1"/>
  <c r="Y535" i="1"/>
  <c r="X535" i="1" s="1"/>
  <c r="Y536" i="1"/>
  <c r="X536" i="1" s="1"/>
  <c r="Y537" i="1"/>
  <c r="X537" i="1" s="1"/>
  <c r="Y538" i="1"/>
  <c r="X538" i="1" s="1"/>
  <c r="Y539" i="1"/>
  <c r="X539" i="1" s="1"/>
  <c r="Y540" i="1"/>
  <c r="X540" i="1" s="1"/>
  <c r="Y541" i="1"/>
  <c r="X541" i="1" s="1"/>
  <c r="Y542" i="1"/>
  <c r="X542" i="1" s="1"/>
  <c r="Y543" i="1"/>
  <c r="X543" i="1" s="1"/>
  <c r="Y544" i="1"/>
  <c r="X544" i="1" s="1"/>
  <c r="Y545" i="1"/>
  <c r="X545" i="1" s="1"/>
  <c r="Y546" i="1"/>
  <c r="X546" i="1" s="1"/>
  <c r="Y547" i="1"/>
  <c r="X547" i="1" s="1"/>
  <c r="Y548" i="1"/>
  <c r="X548" i="1" s="1"/>
  <c r="Y549" i="1"/>
  <c r="X549" i="1" s="1"/>
  <c r="Y550" i="1"/>
  <c r="X550" i="1" s="1"/>
  <c r="Y551" i="1"/>
  <c r="X551" i="1" s="1"/>
  <c r="Y552" i="1"/>
  <c r="X552" i="1" s="1"/>
  <c r="Y553" i="1"/>
  <c r="X553" i="1" s="1"/>
  <c r="Y554" i="1"/>
  <c r="X554" i="1" s="1"/>
  <c r="Y555" i="1"/>
  <c r="X555" i="1" s="1"/>
  <c r="Y556" i="1"/>
  <c r="X556" i="1" s="1"/>
  <c r="Y557" i="1"/>
  <c r="X557" i="1" s="1"/>
  <c r="Y558" i="1"/>
  <c r="X558" i="1" s="1"/>
  <c r="Y559" i="1"/>
  <c r="X559" i="1" s="1"/>
  <c r="Y560" i="1"/>
  <c r="X560" i="1" s="1"/>
  <c r="Y561" i="1"/>
  <c r="X561" i="1" s="1"/>
  <c r="Y562" i="1"/>
  <c r="X562" i="1" s="1"/>
  <c r="Y563" i="1"/>
  <c r="X563" i="1" s="1"/>
  <c r="Y564" i="1"/>
  <c r="X564" i="1" s="1"/>
  <c r="Y565" i="1"/>
  <c r="X565" i="1" s="1"/>
  <c r="Y566" i="1"/>
  <c r="X566" i="1" s="1"/>
  <c r="Y567" i="1"/>
  <c r="X567" i="1" s="1"/>
  <c r="Y568" i="1"/>
  <c r="X568" i="1" s="1"/>
  <c r="Y569" i="1"/>
  <c r="X569" i="1" s="1"/>
  <c r="Y570" i="1"/>
  <c r="X570" i="1" s="1"/>
  <c r="Y571" i="1"/>
  <c r="X571" i="1" s="1"/>
  <c r="Y572" i="1"/>
  <c r="X572" i="1" s="1"/>
  <c r="Y573" i="1"/>
  <c r="X573" i="1" s="1"/>
  <c r="Y574" i="1"/>
  <c r="X574" i="1" s="1"/>
  <c r="Y575" i="1"/>
  <c r="X575" i="1" s="1"/>
  <c r="Y576" i="1"/>
  <c r="X576" i="1" s="1"/>
  <c r="Y577" i="1"/>
  <c r="X577" i="1" s="1"/>
  <c r="Y578" i="1"/>
  <c r="X578" i="1" s="1"/>
  <c r="Y579" i="1"/>
  <c r="X579" i="1" s="1"/>
  <c r="Y580" i="1"/>
  <c r="X580" i="1" s="1"/>
  <c r="Y581" i="1"/>
  <c r="X581" i="1" s="1"/>
  <c r="Y582" i="1"/>
  <c r="X582" i="1" s="1"/>
  <c r="Y583" i="1"/>
  <c r="X583" i="1" s="1"/>
  <c r="Y584" i="1"/>
  <c r="X584" i="1" s="1"/>
  <c r="Y585" i="1"/>
  <c r="X585" i="1" s="1"/>
  <c r="Y586" i="1"/>
  <c r="X586" i="1" s="1"/>
  <c r="Y587" i="1"/>
  <c r="X587" i="1" s="1"/>
  <c r="Y588" i="1"/>
  <c r="X588" i="1" s="1"/>
  <c r="Y589" i="1"/>
  <c r="X589" i="1" s="1"/>
  <c r="Y590" i="1"/>
  <c r="X590" i="1" s="1"/>
  <c r="Y591" i="1"/>
  <c r="X591" i="1" s="1"/>
  <c r="Y592" i="1"/>
  <c r="X592" i="1" s="1"/>
  <c r="Y593" i="1"/>
  <c r="X593" i="1" s="1"/>
  <c r="Y594" i="1"/>
  <c r="X594" i="1" s="1"/>
  <c r="Y595" i="1"/>
  <c r="X595" i="1" s="1"/>
  <c r="Y596" i="1"/>
  <c r="X596" i="1" s="1"/>
  <c r="Y597" i="1"/>
  <c r="X597" i="1" s="1"/>
  <c r="Y598" i="1"/>
  <c r="X598" i="1" s="1"/>
  <c r="Y599" i="1"/>
  <c r="X599" i="1" s="1"/>
  <c r="Y600" i="1"/>
  <c r="X600" i="1" s="1"/>
  <c r="Y601" i="1"/>
  <c r="X601" i="1" s="1"/>
  <c r="Y602" i="1"/>
  <c r="X602" i="1" s="1"/>
  <c r="Y603" i="1"/>
  <c r="X603" i="1" s="1"/>
  <c r="Y604" i="1"/>
  <c r="X604" i="1" s="1"/>
  <c r="Y605" i="1"/>
  <c r="X605" i="1" s="1"/>
  <c r="Y606" i="1"/>
  <c r="X606" i="1" s="1"/>
  <c r="Y607" i="1"/>
  <c r="X607" i="1" s="1"/>
  <c r="Y608" i="1"/>
  <c r="X608" i="1" s="1"/>
  <c r="Y609" i="1"/>
  <c r="X609" i="1" s="1"/>
  <c r="Y610" i="1"/>
  <c r="X610" i="1" s="1"/>
  <c r="Y611" i="1"/>
  <c r="X611" i="1" s="1"/>
  <c r="Y612" i="1"/>
  <c r="X612" i="1" s="1"/>
  <c r="Y613" i="1"/>
  <c r="X613" i="1" s="1"/>
  <c r="Y614" i="1"/>
  <c r="X614" i="1" s="1"/>
  <c r="Y615" i="1"/>
  <c r="X615" i="1" s="1"/>
  <c r="Y616" i="1"/>
  <c r="X616" i="1" s="1"/>
  <c r="Y617" i="1"/>
  <c r="X617" i="1" s="1"/>
  <c r="Y618" i="1"/>
  <c r="X618" i="1" s="1"/>
  <c r="Y619" i="1"/>
  <c r="X619" i="1" s="1"/>
  <c r="Y620" i="1"/>
  <c r="X620" i="1" s="1"/>
  <c r="Y621" i="1"/>
  <c r="X621" i="1" s="1"/>
  <c r="Y622" i="1"/>
  <c r="X622" i="1" s="1"/>
  <c r="Y623" i="1"/>
  <c r="X623" i="1" s="1"/>
  <c r="Y624" i="1"/>
  <c r="X624" i="1" s="1"/>
  <c r="Y625" i="1"/>
  <c r="X625" i="1" s="1"/>
  <c r="Y626" i="1"/>
  <c r="X626" i="1" s="1"/>
  <c r="Y627" i="1"/>
  <c r="X627" i="1" s="1"/>
  <c r="Y628" i="1"/>
  <c r="X628" i="1" s="1"/>
  <c r="Y629" i="1"/>
  <c r="X629" i="1" s="1"/>
  <c r="Y630" i="1"/>
  <c r="X630" i="1" s="1"/>
  <c r="Y631" i="1"/>
  <c r="X631" i="1" s="1"/>
  <c r="Y632" i="1"/>
  <c r="X632" i="1" s="1"/>
  <c r="Y633" i="1"/>
  <c r="X633" i="1" s="1"/>
  <c r="Y634" i="1"/>
  <c r="X634" i="1" s="1"/>
  <c r="Y635" i="1"/>
  <c r="X635" i="1" s="1"/>
  <c r="Y636" i="1"/>
  <c r="X636" i="1" s="1"/>
  <c r="Y637" i="1"/>
  <c r="X637" i="1" s="1"/>
  <c r="Y638" i="1"/>
  <c r="X638" i="1" s="1"/>
  <c r="Y639" i="1"/>
  <c r="X639" i="1" s="1"/>
  <c r="Y640" i="1"/>
  <c r="X640" i="1" s="1"/>
  <c r="Y641" i="1"/>
  <c r="X641" i="1" s="1"/>
  <c r="Y642" i="1"/>
  <c r="X642" i="1" s="1"/>
  <c r="Y643" i="1"/>
  <c r="X643" i="1" s="1"/>
  <c r="Y644" i="1"/>
  <c r="X644" i="1" s="1"/>
  <c r="Y645" i="1"/>
  <c r="X645" i="1" s="1"/>
  <c r="Y646" i="1"/>
  <c r="X646" i="1" s="1"/>
  <c r="Y647" i="1"/>
  <c r="X647" i="1" s="1"/>
  <c r="Y648" i="1"/>
  <c r="X648" i="1" s="1"/>
  <c r="Y649" i="1"/>
  <c r="X649" i="1" s="1"/>
  <c r="Y650" i="1"/>
  <c r="X650" i="1" s="1"/>
  <c r="Y651" i="1"/>
  <c r="X651" i="1" s="1"/>
  <c r="Y652" i="1"/>
  <c r="X652" i="1" s="1"/>
  <c r="Y653" i="1"/>
  <c r="X653" i="1" s="1"/>
  <c r="Y654" i="1"/>
  <c r="X654" i="1" s="1"/>
  <c r="Y655" i="1"/>
  <c r="X655" i="1" s="1"/>
  <c r="Y656" i="1"/>
  <c r="X656" i="1" s="1"/>
  <c r="Y657" i="1"/>
  <c r="X657" i="1" s="1"/>
  <c r="Y658" i="1"/>
  <c r="X658" i="1" s="1"/>
  <c r="Y659" i="1"/>
  <c r="X659" i="1" s="1"/>
  <c r="Y660" i="1"/>
  <c r="X660" i="1" s="1"/>
  <c r="Y661" i="1"/>
  <c r="X661" i="1" s="1"/>
  <c r="Y662" i="1"/>
  <c r="X662" i="1" s="1"/>
  <c r="Y663" i="1"/>
  <c r="X663" i="1" s="1"/>
  <c r="Y664" i="1"/>
  <c r="X664" i="1" s="1"/>
  <c r="Y665" i="1"/>
  <c r="X665" i="1" s="1"/>
  <c r="Y666" i="1"/>
  <c r="X666" i="1" s="1"/>
  <c r="Y667" i="1"/>
  <c r="X667" i="1" s="1"/>
  <c r="Y668" i="1"/>
  <c r="X668" i="1" s="1"/>
  <c r="Y669" i="1"/>
  <c r="X669" i="1" s="1"/>
  <c r="Y670" i="1"/>
  <c r="X670" i="1" s="1"/>
  <c r="Y671" i="1"/>
  <c r="X671" i="1" s="1"/>
  <c r="Y672" i="1"/>
  <c r="X672" i="1" s="1"/>
  <c r="Y673" i="1"/>
  <c r="X673" i="1" s="1"/>
  <c r="Y674" i="1"/>
  <c r="X674" i="1" s="1"/>
  <c r="Y675" i="1"/>
  <c r="X675" i="1" s="1"/>
  <c r="Y676" i="1"/>
  <c r="X676" i="1" s="1"/>
  <c r="Y677" i="1"/>
  <c r="X677" i="1" s="1"/>
  <c r="Y678" i="1"/>
  <c r="X678" i="1" s="1"/>
  <c r="Y679" i="1"/>
  <c r="X679" i="1" s="1"/>
  <c r="Y680" i="1"/>
  <c r="X680" i="1" s="1"/>
  <c r="Y681" i="1"/>
  <c r="X681" i="1" s="1"/>
  <c r="Y682" i="1"/>
  <c r="X682" i="1" s="1"/>
  <c r="Y683" i="1"/>
  <c r="X683" i="1" s="1"/>
  <c r="Y684" i="1"/>
  <c r="X684" i="1" s="1"/>
  <c r="Y685" i="1"/>
  <c r="X685" i="1" s="1"/>
  <c r="Y686" i="1"/>
  <c r="X686" i="1" s="1"/>
  <c r="Y687" i="1"/>
  <c r="X687" i="1" s="1"/>
  <c r="Y688" i="1"/>
  <c r="X688" i="1" s="1"/>
  <c r="Y689" i="1"/>
  <c r="X689" i="1" s="1"/>
  <c r="Y690" i="1"/>
  <c r="X690" i="1" s="1"/>
  <c r="Y691" i="1"/>
  <c r="X691" i="1" s="1"/>
  <c r="Y692" i="1"/>
  <c r="X692" i="1" s="1"/>
  <c r="Y693" i="1"/>
  <c r="X693" i="1" s="1"/>
  <c r="Y694" i="1"/>
  <c r="X694" i="1" s="1"/>
  <c r="Y695" i="1"/>
  <c r="X695" i="1" s="1"/>
  <c r="Y696" i="1"/>
  <c r="X696" i="1" s="1"/>
  <c r="Y697" i="1"/>
  <c r="X697" i="1" s="1"/>
  <c r="Y698" i="1"/>
  <c r="X698" i="1" s="1"/>
  <c r="Y699" i="1"/>
  <c r="X699" i="1" s="1"/>
  <c r="Y700" i="1"/>
  <c r="X700" i="1" s="1"/>
  <c r="Y701" i="1"/>
  <c r="X701" i="1" s="1"/>
  <c r="Y702" i="1"/>
  <c r="X702" i="1" s="1"/>
  <c r="Y703" i="1"/>
  <c r="X703" i="1" s="1"/>
  <c r="Y704" i="1"/>
  <c r="X704" i="1" s="1"/>
  <c r="Y705" i="1"/>
  <c r="X705" i="1" s="1"/>
  <c r="Y707" i="1"/>
  <c r="X707" i="1" s="1"/>
  <c r="Y708" i="1"/>
  <c r="X708" i="1" s="1"/>
  <c r="Y709" i="1"/>
  <c r="X709" i="1" s="1"/>
  <c r="Y710" i="1"/>
  <c r="X710" i="1" s="1"/>
  <c r="Y711" i="1"/>
  <c r="X711" i="1" s="1"/>
  <c r="Y712" i="1"/>
  <c r="X712" i="1" s="1"/>
  <c r="Y713" i="1"/>
  <c r="X713" i="1" s="1"/>
  <c r="Y714" i="1"/>
  <c r="X714" i="1" s="1"/>
  <c r="Y715" i="1"/>
  <c r="X715" i="1" s="1"/>
  <c r="Y716" i="1"/>
  <c r="X716" i="1" s="1"/>
  <c r="Y717" i="1"/>
  <c r="X717" i="1" s="1"/>
  <c r="Y718" i="1"/>
  <c r="X718" i="1" s="1"/>
  <c r="Y719" i="1"/>
  <c r="X719" i="1" s="1"/>
  <c r="Y720" i="1"/>
  <c r="X720" i="1" s="1"/>
  <c r="Y721" i="1"/>
  <c r="X721" i="1" s="1"/>
  <c r="Y722" i="1"/>
  <c r="X722" i="1" s="1"/>
  <c r="Y723" i="1"/>
  <c r="X723" i="1" s="1"/>
  <c r="Y724" i="1"/>
  <c r="X724" i="1" s="1"/>
  <c r="Y725" i="1"/>
  <c r="X725" i="1" s="1"/>
  <c r="Y726" i="1"/>
  <c r="X726" i="1" s="1"/>
  <c r="Y727" i="1"/>
  <c r="X727" i="1" s="1"/>
  <c r="Y728" i="1"/>
  <c r="X728" i="1" s="1"/>
  <c r="Y729" i="1"/>
  <c r="X729" i="1" s="1"/>
  <c r="Y730" i="1"/>
  <c r="X730" i="1" s="1"/>
  <c r="Y731" i="1"/>
  <c r="X731" i="1" s="1"/>
  <c r="Y732" i="1"/>
  <c r="X732" i="1" s="1"/>
  <c r="Y733" i="1"/>
  <c r="X733" i="1" s="1"/>
  <c r="Y734" i="1"/>
  <c r="X734" i="1" s="1"/>
  <c r="Y735" i="1"/>
  <c r="X735" i="1" s="1"/>
  <c r="Y736" i="1"/>
  <c r="X736" i="1" s="1"/>
  <c r="Y737" i="1"/>
  <c r="X737" i="1" s="1"/>
  <c r="Y738" i="1"/>
  <c r="X738" i="1" s="1"/>
  <c r="Y739" i="1"/>
  <c r="X739" i="1" s="1"/>
  <c r="Y740" i="1"/>
  <c r="X740" i="1" s="1"/>
  <c r="Y741" i="1"/>
  <c r="X741" i="1" s="1"/>
  <c r="Y742" i="1"/>
  <c r="X742" i="1" s="1"/>
  <c r="Y743" i="1"/>
  <c r="X743" i="1" s="1"/>
  <c r="Y744" i="1"/>
  <c r="X744" i="1" s="1"/>
  <c r="Y745" i="1"/>
  <c r="X745" i="1" s="1"/>
  <c r="Y746" i="1"/>
  <c r="X746" i="1" s="1"/>
  <c r="Y747" i="1"/>
  <c r="X747" i="1" s="1"/>
  <c r="Y748" i="1"/>
  <c r="X748" i="1" s="1"/>
  <c r="Y749" i="1"/>
  <c r="X749" i="1" s="1"/>
  <c r="Y750" i="1"/>
  <c r="X750" i="1" s="1"/>
  <c r="Y751" i="1"/>
  <c r="X751" i="1" s="1"/>
  <c r="Y752" i="1"/>
  <c r="X752" i="1" s="1"/>
  <c r="Y753" i="1"/>
  <c r="X753" i="1" s="1"/>
  <c r="Y754" i="1"/>
  <c r="X754" i="1" s="1"/>
  <c r="Y755" i="1"/>
  <c r="X755" i="1" s="1"/>
  <c r="Y756" i="1"/>
  <c r="X756" i="1" s="1"/>
  <c r="Y757" i="1"/>
  <c r="X757" i="1" s="1"/>
  <c r="Y758" i="1"/>
  <c r="X758" i="1" s="1"/>
  <c r="Y759" i="1"/>
  <c r="X759" i="1" s="1"/>
  <c r="Y760" i="1"/>
  <c r="X760" i="1" s="1"/>
  <c r="Y761" i="1"/>
  <c r="X761" i="1" s="1"/>
  <c r="Y762" i="1"/>
  <c r="X762" i="1" s="1"/>
  <c r="Y763" i="1"/>
  <c r="X763" i="1" s="1"/>
  <c r="Y764" i="1"/>
  <c r="X764" i="1" s="1"/>
  <c r="Y765" i="1"/>
  <c r="X765" i="1" s="1"/>
  <c r="Y766" i="1"/>
  <c r="X766" i="1" s="1"/>
  <c r="Y767" i="1"/>
  <c r="X767" i="1" s="1"/>
  <c r="Y768" i="1"/>
  <c r="X768" i="1" s="1"/>
  <c r="Y769" i="1"/>
  <c r="X769" i="1" s="1"/>
  <c r="Y770" i="1"/>
  <c r="X770" i="1" s="1"/>
  <c r="Y771" i="1"/>
  <c r="X771" i="1" s="1"/>
  <c r="Y772" i="1"/>
  <c r="X772" i="1" s="1"/>
  <c r="Y773" i="1"/>
  <c r="X773" i="1" s="1"/>
  <c r="Y774" i="1"/>
  <c r="X774" i="1" s="1"/>
  <c r="Y775" i="1"/>
  <c r="X775" i="1" s="1"/>
  <c r="Y776" i="1"/>
  <c r="X776" i="1" s="1"/>
  <c r="Y777" i="1"/>
  <c r="X777" i="1" s="1"/>
  <c r="Y778" i="1"/>
  <c r="X778" i="1" s="1"/>
  <c r="Y779" i="1"/>
  <c r="X779" i="1" s="1"/>
  <c r="Y780" i="1"/>
  <c r="X780" i="1" s="1"/>
  <c r="Y781" i="1"/>
  <c r="X781" i="1" s="1"/>
  <c r="Y782" i="1"/>
  <c r="X782" i="1" s="1"/>
  <c r="Y783" i="1"/>
  <c r="X783" i="1" s="1"/>
  <c r="Y784" i="1"/>
  <c r="X784" i="1" s="1"/>
  <c r="Y785" i="1"/>
  <c r="X785" i="1" s="1"/>
  <c r="Y786" i="1"/>
  <c r="X786" i="1" s="1"/>
  <c r="Y787" i="1"/>
  <c r="X787" i="1" s="1"/>
  <c r="Y788" i="1"/>
  <c r="X788" i="1" s="1"/>
  <c r="Y789" i="1"/>
  <c r="X789" i="1" s="1"/>
  <c r="Y790" i="1"/>
  <c r="X790" i="1" s="1"/>
  <c r="Y791" i="1"/>
  <c r="X791" i="1" s="1"/>
  <c r="Y792" i="1"/>
  <c r="X792" i="1" s="1"/>
  <c r="Y793" i="1"/>
  <c r="X793" i="1" s="1"/>
  <c r="Y794" i="1"/>
  <c r="X794" i="1" s="1"/>
  <c r="Y795" i="1"/>
  <c r="X795" i="1" s="1"/>
  <c r="Y796" i="1"/>
  <c r="X796" i="1" s="1"/>
  <c r="Y797" i="1"/>
  <c r="X797" i="1" s="1"/>
  <c r="Y798" i="1"/>
  <c r="X798" i="1" s="1"/>
  <c r="Y799" i="1"/>
  <c r="X799" i="1" s="1"/>
  <c r="Y800" i="1"/>
  <c r="X800" i="1" s="1"/>
  <c r="Y801" i="1"/>
  <c r="X801" i="1" s="1"/>
  <c r="Y802" i="1"/>
  <c r="X802" i="1" s="1"/>
  <c r="Y803" i="1"/>
  <c r="X803" i="1" s="1"/>
  <c r="Y804" i="1"/>
  <c r="X804" i="1" s="1"/>
  <c r="Y805" i="1"/>
  <c r="X805" i="1" s="1"/>
  <c r="Y806" i="1"/>
  <c r="X806" i="1" s="1"/>
  <c r="Y807" i="1"/>
  <c r="X807" i="1" s="1"/>
  <c r="Y808" i="1"/>
  <c r="X808" i="1" s="1"/>
  <c r="Y809" i="1"/>
  <c r="X809" i="1" s="1"/>
  <c r="Y810" i="1"/>
  <c r="X810" i="1" s="1"/>
  <c r="Y811" i="1"/>
  <c r="X811" i="1" s="1"/>
  <c r="Y812" i="1"/>
  <c r="X812" i="1" s="1"/>
  <c r="Y813" i="1"/>
  <c r="X813" i="1" s="1"/>
  <c r="Y814" i="1"/>
  <c r="X814" i="1" s="1"/>
  <c r="Y815" i="1"/>
  <c r="X815" i="1" s="1"/>
  <c r="Y816" i="1"/>
  <c r="X816" i="1" s="1"/>
  <c r="Y817" i="1"/>
  <c r="X817" i="1" s="1"/>
  <c r="Y818" i="1"/>
  <c r="X818" i="1" s="1"/>
  <c r="Y819" i="1"/>
  <c r="X819" i="1" s="1"/>
  <c r="Y820" i="1"/>
  <c r="X820" i="1" s="1"/>
  <c r="Y821" i="1"/>
  <c r="X821" i="1" s="1"/>
  <c r="Y822" i="1"/>
  <c r="X822" i="1" s="1"/>
  <c r="Y823" i="1"/>
  <c r="X823" i="1" s="1"/>
  <c r="Y824" i="1"/>
  <c r="X824" i="1" s="1"/>
  <c r="Y825" i="1"/>
  <c r="X825" i="1" s="1"/>
  <c r="Y826" i="1"/>
  <c r="X826" i="1" s="1"/>
  <c r="Y827" i="1"/>
  <c r="X827" i="1" s="1"/>
  <c r="Y828" i="1"/>
  <c r="X828" i="1" s="1"/>
  <c r="Y829" i="1"/>
  <c r="X829" i="1" s="1"/>
  <c r="Y830" i="1"/>
  <c r="X830" i="1" s="1"/>
  <c r="Y831" i="1"/>
  <c r="X831" i="1" s="1"/>
  <c r="Y832" i="1"/>
  <c r="X832" i="1" s="1"/>
  <c r="Y833" i="1"/>
  <c r="X833" i="1" s="1"/>
  <c r="Y834" i="1"/>
  <c r="X834" i="1" s="1"/>
  <c r="Y835" i="1"/>
  <c r="X835" i="1" s="1"/>
  <c r="Y836" i="1"/>
  <c r="X836" i="1" s="1"/>
  <c r="Y837" i="1"/>
  <c r="X837" i="1" s="1"/>
  <c r="Y838" i="1"/>
  <c r="X838" i="1" s="1"/>
  <c r="Y839" i="1"/>
  <c r="X839" i="1" s="1"/>
  <c r="Y840" i="1"/>
  <c r="X840" i="1" s="1"/>
  <c r="Y841" i="1"/>
  <c r="X841" i="1" s="1"/>
  <c r="Y842" i="1"/>
  <c r="X842" i="1" s="1"/>
  <c r="Y843" i="1"/>
  <c r="X843" i="1" s="1"/>
  <c r="Y844" i="1"/>
  <c r="X844" i="1" s="1"/>
  <c r="Y845" i="1"/>
  <c r="X845" i="1" s="1"/>
  <c r="Y846" i="1"/>
  <c r="X846" i="1" s="1"/>
  <c r="Y847" i="1"/>
  <c r="X847" i="1" s="1"/>
  <c r="Y848" i="1"/>
  <c r="X848" i="1" s="1"/>
  <c r="Y849" i="1"/>
  <c r="X849" i="1" s="1"/>
  <c r="Y850" i="1"/>
  <c r="X850" i="1" s="1"/>
  <c r="Y851" i="1"/>
  <c r="X851" i="1" s="1"/>
  <c r="Y852" i="1"/>
  <c r="X852" i="1" s="1"/>
  <c r="Y853" i="1"/>
  <c r="X853" i="1" s="1"/>
  <c r="Y854" i="1"/>
  <c r="X854" i="1" s="1"/>
  <c r="Y855" i="1"/>
  <c r="X855" i="1" s="1"/>
  <c r="Y856" i="1"/>
  <c r="X856" i="1" s="1"/>
  <c r="Y857" i="1"/>
  <c r="X857" i="1" s="1"/>
  <c r="Y858" i="1"/>
  <c r="X858" i="1" s="1"/>
  <c r="Y859" i="1"/>
  <c r="X859" i="1" s="1"/>
  <c r="Y860" i="1"/>
  <c r="X860" i="1" s="1"/>
  <c r="Y861" i="1"/>
  <c r="X861" i="1" s="1"/>
  <c r="Y862" i="1"/>
  <c r="X862" i="1" s="1"/>
  <c r="Y863" i="1"/>
  <c r="X863" i="1" s="1"/>
  <c r="Y864" i="1"/>
  <c r="X864" i="1" s="1"/>
  <c r="Y865" i="1"/>
  <c r="X865" i="1" s="1"/>
  <c r="Y866" i="1"/>
  <c r="X866" i="1" s="1"/>
  <c r="Y867" i="1"/>
  <c r="X867" i="1" s="1"/>
  <c r="Y868" i="1"/>
  <c r="X868" i="1" s="1"/>
  <c r="Y869" i="1"/>
  <c r="X869" i="1" s="1"/>
  <c r="Y870" i="1"/>
  <c r="X870" i="1" s="1"/>
  <c r="Y871" i="1"/>
  <c r="X871" i="1" s="1"/>
  <c r="Y872" i="1"/>
  <c r="X872" i="1" s="1"/>
  <c r="Y873" i="1"/>
  <c r="X873" i="1" s="1"/>
  <c r="Y874" i="1"/>
  <c r="X874" i="1" s="1"/>
  <c r="Y875" i="1"/>
  <c r="X875" i="1" s="1"/>
  <c r="Y876" i="1"/>
  <c r="X876" i="1" s="1"/>
  <c r="Y877" i="1"/>
  <c r="X877" i="1" s="1"/>
  <c r="Y878" i="1"/>
  <c r="X878" i="1" s="1"/>
  <c r="Y879" i="1"/>
  <c r="X879" i="1" s="1"/>
  <c r="Y880" i="1"/>
  <c r="X880" i="1" s="1"/>
  <c r="Y881" i="1"/>
  <c r="X881" i="1" s="1"/>
  <c r="Y882" i="1"/>
  <c r="X882" i="1" s="1"/>
  <c r="Y883" i="1"/>
  <c r="X883" i="1" s="1"/>
  <c r="Y884" i="1"/>
  <c r="X884" i="1" s="1"/>
  <c r="Y885" i="1"/>
  <c r="X885" i="1" s="1"/>
  <c r="Y886" i="1"/>
  <c r="X886" i="1" s="1"/>
  <c r="Y887" i="1"/>
  <c r="X887" i="1" s="1"/>
  <c r="Y888" i="1"/>
  <c r="X888" i="1" s="1"/>
  <c r="X889" i="1"/>
  <c r="Y889" i="1"/>
  <c r="Y890" i="1"/>
  <c r="X890" i="1" s="1"/>
  <c r="Y891" i="1"/>
  <c r="X891" i="1" s="1"/>
  <c r="Y892" i="1"/>
  <c r="X892" i="1" s="1"/>
  <c r="Y893" i="1"/>
  <c r="X893" i="1" s="1"/>
  <c r="Y894" i="1"/>
  <c r="X894" i="1" s="1"/>
  <c r="Y895" i="1"/>
  <c r="X895" i="1" s="1"/>
  <c r="Y896" i="1"/>
  <c r="X896" i="1" s="1"/>
  <c r="Y897" i="1"/>
  <c r="X897" i="1" s="1"/>
  <c r="Y898" i="1"/>
  <c r="X898" i="1" s="1"/>
  <c r="Y899" i="1"/>
  <c r="X899" i="1" s="1"/>
  <c r="Y900" i="1"/>
  <c r="X900" i="1" s="1"/>
  <c r="Y901" i="1"/>
  <c r="X901" i="1" s="1"/>
  <c r="Y902" i="1"/>
  <c r="X902" i="1" s="1"/>
  <c r="Y903" i="1"/>
  <c r="X903" i="1" s="1"/>
  <c r="Y904" i="1"/>
  <c r="X904" i="1" s="1"/>
  <c r="Y905" i="1"/>
  <c r="X905" i="1" s="1"/>
  <c r="Y906" i="1"/>
  <c r="X906" i="1" s="1"/>
  <c r="Y907" i="1"/>
  <c r="X907" i="1" s="1"/>
  <c r="Y908" i="1"/>
  <c r="X908" i="1" s="1"/>
  <c r="Y909" i="1"/>
  <c r="X909" i="1" s="1"/>
  <c r="Y910" i="1"/>
  <c r="X910" i="1" s="1"/>
  <c r="Y911" i="1"/>
  <c r="X911" i="1" s="1"/>
  <c r="Y912" i="1"/>
  <c r="X912" i="1" s="1"/>
  <c r="Y913" i="1"/>
  <c r="X913" i="1" s="1"/>
  <c r="Y914" i="1"/>
  <c r="X914" i="1" s="1"/>
  <c r="Y915" i="1"/>
  <c r="X915" i="1" s="1"/>
  <c r="Y916" i="1"/>
  <c r="X916" i="1" s="1"/>
  <c r="Y917" i="1"/>
  <c r="X917" i="1" s="1"/>
  <c r="Y918" i="1"/>
  <c r="X918" i="1" s="1"/>
  <c r="Y919" i="1"/>
  <c r="X919" i="1" s="1"/>
  <c r="Y920" i="1"/>
  <c r="X920" i="1" s="1"/>
  <c r="Y921" i="1"/>
  <c r="X921" i="1" s="1"/>
  <c r="Y922" i="1"/>
  <c r="X922" i="1" s="1"/>
  <c r="Y923" i="1"/>
  <c r="X923" i="1" s="1"/>
  <c r="Y924" i="1"/>
  <c r="X924" i="1" s="1"/>
  <c r="Y925" i="1"/>
  <c r="X925" i="1" s="1"/>
  <c r="Y926" i="1"/>
  <c r="X926" i="1" s="1"/>
  <c r="Y927" i="1"/>
  <c r="X927" i="1" s="1"/>
  <c r="Y928" i="1"/>
  <c r="X928" i="1" s="1"/>
  <c r="Y929" i="1"/>
  <c r="X929" i="1" s="1"/>
  <c r="Y930" i="1"/>
  <c r="X930" i="1" s="1"/>
  <c r="Y931" i="1"/>
  <c r="X931" i="1" s="1"/>
  <c r="Y932" i="1"/>
  <c r="X932" i="1" s="1"/>
  <c r="Y933" i="1"/>
  <c r="X933" i="1" s="1"/>
  <c r="Y934" i="1"/>
  <c r="X934" i="1" s="1"/>
  <c r="Y935" i="1"/>
  <c r="X935" i="1" s="1"/>
  <c r="Y936" i="1"/>
  <c r="X936" i="1" s="1"/>
  <c r="Y937" i="1"/>
  <c r="X937" i="1" s="1"/>
  <c r="Y938" i="1"/>
  <c r="X938" i="1" s="1"/>
  <c r="Y939" i="1"/>
  <c r="X939" i="1" s="1"/>
  <c r="Y940" i="1"/>
  <c r="X940" i="1" s="1"/>
  <c r="Y941" i="1"/>
  <c r="X941" i="1" s="1"/>
  <c r="Y942" i="1"/>
  <c r="X942" i="1" s="1"/>
  <c r="Y943" i="1"/>
  <c r="X943" i="1" s="1"/>
  <c r="Y944" i="1"/>
  <c r="X944" i="1" s="1"/>
  <c r="Y945" i="1"/>
  <c r="X945" i="1" s="1"/>
  <c r="Y946" i="1"/>
  <c r="X946" i="1" s="1"/>
  <c r="Y947" i="1"/>
  <c r="X947" i="1" s="1"/>
  <c r="Y948" i="1"/>
  <c r="X948" i="1" s="1"/>
  <c r="Y949" i="1"/>
  <c r="X949" i="1" s="1"/>
  <c r="Y950" i="1"/>
  <c r="X950" i="1" s="1"/>
  <c r="Y951" i="1"/>
  <c r="X951" i="1" s="1"/>
  <c r="Y952" i="1"/>
  <c r="X952" i="1" s="1"/>
  <c r="Y953" i="1"/>
  <c r="X953" i="1" s="1"/>
  <c r="Y954" i="1"/>
  <c r="X954" i="1" s="1"/>
  <c r="Y955" i="1"/>
  <c r="X955" i="1" s="1"/>
  <c r="Y956" i="1"/>
  <c r="X956" i="1" s="1"/>
  <c r="Y957" i="1"/>
  <c r="X957" i="1" s="1"/>
  <c r="Y958" i="1"/>
  <c r="X958" i="1" s="1"/>
  <c r="Y959" i="1"/>
  <c r="X959" i="1" s="1"/>
  <c r="Y960" i="1"/>
  <c r="X960" i="1" s="1"/>
  <c r="Y961" i="1"/>
  <c r="X961" i="1" s="1"/>
  <c r="Y962" i="1"/>
  <c r="X962" i="1" s="1"/>
  <c r="Y963" i="1"/>
  <c r="X963" i="1" s="1"/>
  <c r="Y964" i="1"/>
  <c r="X964" i="1" s="1"/>
  <c r="Y965" i="1"/>
  <c r="X965" i="1" s="1"/>
  <c r="Y966" i="1"/>
  <c r="X966" i="1" s="1"/>
  <c r="Y967" i="1"/>
  <c r="X967" i="1" s="1"/>
  <c r="Y968" i="1"/>
  <c r="X968" i="1" s="1"/>
  <c r="Y969" i="1"/>
  <c r="X969" i="1" s="1"/>
  <c r="Y970" i="1"/>
  <c r="X970" i="1" s="1"/>
  <c r="Y971" i="1"/>
  <c r="X971" i="1" s="1"/>
  <c r="Y972" i="1"/>
  <c r="X972" i="1" s="1"/>
  <c r="Y973" i="1"/>
  <c r="X973" i="1" s="1"/>
  <c r="Y974" i="1"/>
  <c r="X974" i="1" s="1"/>
  <c r="Y975" i="1"/>
  <c r="X975" i="1" s="1"/>
  <c r="Y976" i="1"/>
  <c r="X976" i="1" s="1"/>
  <c r="Y977" i="1"/>
  <c r="X977" i="1" s="1"/>
  <c r="Y978" i="1"/>
  <c r="X978" i="1" s="1"/>
  <c r="Y979" i="1"/>
  <c r="X979" i="1" s="1"/>
  <c r="Y980" i="1"/>
  <c r="X980" i="1" s="1"/>
  <c r="Y981" i="1"/>
  <c r="X981" i="1" s="1"/>
  <c r="Y982" i="1"/>
  <c r="X982" i="1" s="1"/>
  <c r="Y983" i="1"/>
  <c r="X983" i="1" s="1"/>
  <c r="Y984" i="1"/>
  <c r="X984" i="1" s="1"/>
  <c r="Y985" i="1"/>
  <c r="X985" i="1" s="1"/>
  <c r="Y986" i="1"/>
  <c r="X986" i="1" s="1"/>
  <c r="Y987" i="1"/>
  <c r="X987" i="1" s="1"/>
  <c r="Y988" i="1"/>
  <c r="X988" i="1" s="1"/>
  <c r="Y989" i="1"/>
  <c r="X989" i="1" s="1"/>
  <c r="Y990" i="1"/>
  <c r="X990" i="1" s="1"/>
  <c r="Y991" i="1"/>
  <c r="X991" i="1" s="1"/>
  <c r="Y992" i="1"/>
  <c r="X992" i="1" s="1"/>
  <c r="Y993" i="1"/>
  <c r="X993" i="1" s="1"/>
  <c r="Y994" i="1"/>
  <c r="X994" i="1" s="1"/>
  <c r="Y995" i="1"/>
  <c r="X995" i="1" s="1"/>
  <c r="Y996" i="1"/>
  <c r="X996" i="1" s="1"/>
  <c r="Y997" i="1"/>
  <c r="X997" i="1" s="1"/>
  <c r="Y998" i="1"/>
  <c r="X998" i="1" s="1"/>
  <c r="Y999" i="1"/>
  <c r="X999" i="1" s="1"/>
  <c r="Y1000" i="1"/>
  <c r="X1000" i="1" s="1"/>
  <c r="Y1001" i="1"/>
  <c r="X1001" i="1" s="1"/>
  <c r="Y1002" i="1"/>
  <c r="X1002" i="1" s="1"/>
  <c r="Y1003" i="1"/>
  <c r="X1003" i="1" s="1"/>
  <c r="Y1004" i="1"/>
  <c r="X1004" i="1" s="1"/>
  <c r="Y1005" i="1"/>
  <c r="X1005" i="1" s="1"/>
  <c r="Y1006" i="1"/>
  <c r="X1006" i="1" s="1"/>
  <c r="Y1007" i="1"/>
  <c r="X1007" i="1" s="1"/>
  <c r="Y1008" i="1"/>
  <c r="X1008" i="1" s="1"/>
  <c r="Y1009" i="1"/>
  <c r="X1009" i="1" s="1"/>
  <c r="Y1010" i="1"/>
  <c r="X1010" i="1" s="1"/>
  <c r="Y1011" i="1"/>
  <c r="X1011" i="1" s="1"/>
  <c r="Y1012" i="1"/>
  <c r="X1012" i="1" s="1"/>
  <c r="Y1013" i="1"/>
  <c r="X1013" i="1" s="1"/>
  <c r="Y1014" i="1"/>
  <c r="X1014" i="1" s="1"/>
  <c r="Y1015" i="1"/>
  <c r="X1015" i="1" s="1"/>
  <c r="Y1016" i="1"/>
  <c r="X1016" i="1" s="1"/>
  <c r="Y1017" i="1"/>
  <c r="X1017" i="1" s="1"/>
  <c r="Y1018" i="1"/>
  <c r="X1018" i="1" s="1"/>
  <c r="Y1019" i="1"/>
  <c r="X1019" i="1" s="1"/>
  <c r="Y1020" i="1"/>
  <c r="X1020" i="1" s="1"/>
  <c r="Y1021" i="1"/>
  <c r="X1021" i="1" s="1"/>
  <c r="Y1022" i="1"/>
  <c r="X1022" i="1" s="1"/>
  <c r="Y1023" i="1"/>
  <c r="X1023" i="1" s="1"/>
  <c r="Y1024" i="1"/>
  <c r="X1024" i="1" s="1"/>
  <c r="Y1025" i="1"/>
  <c r="X1025" i="1" s="1"/>
  <c r="Y1026" i="1"/>
  <c r="X1026" i="1" s="1"/>
  <c r="Y1027" i="1"/>
  <c r="X1027" i="1" s="1"/>
  <c r="Y1028" i="1"/>
  <c r="X1028" i="1" s="1"/>
  <c r="Y1029" i="1"/>
  <c r="X1029" i="1" s="1"/>
  <c r="Y1030" i="1"/>
  <c r="X1030" i="1" s="1"/>
  <c r="Y1031" i="1"/>
  <c r="X1031" i="1" s="1"/>
  <c r="Y1032" i="1"/>
  <c r="X1032" i="1" s="1"/>
  <c r="Y1033" i="1"/>
  <c r="X1033" i="1" s="1"/>
  <c r="Y1034" i="1"/>
  <c r="X1034" i="1" s="1"/>
  <c r="Y1035" i="1"/>
  <c r="X1035" i="1" s="1"/>
  <c r="Y1036" i="1"/>
  <c r="X1036" i="1" s="1"/>
  <c r="Y1037" i="1"/>
  <c r="X1037" i="1" s="1"/>
  <c r="Y1038" i="1"/>
  <c r="X1038" i="1" s="1"/>
  <c r="Y1039" i="1"/>
  <c r="X1039" i="1" s="1"/>
  <c r="Y1040" i="1"/>
  <c r="X1040" i="1" s="1"/>
  <c r="Y1041" i="1"/>
  <c r="X1041" i="1" s="1"/>
  <c r="Y1042" i="1"/>
  <c r="X1042" i="1" s="1"/>
  <c r="Y1043" i="1"/>
  <c r="X1043" i="1" s="1"/>
  <c r="Y1044" i="1"/>
  <c r="X1044" i="1" s="1"/>
  <c r="Y1045" i="1"/>
  <c r="X1045" i="1" s="1"/>
  <c r="Y1046" i="1"/>
  <c r="X1046" i="1" s="1"/>
  <c r="Y1047" i="1"/>
  <c r="X1047" i="1" s="1"/>
  <c r="Y1048" i="1"/>
  <c r="X1048" i="1" s="1"/>
  <c r="Y1049" i="1"/>
  <c r="X1049" i="1" s="1"/>
  <c r="Y1050" i="1"/>
  <c r="X1050" i="1" s="1"/>
  <c r="Y1051" i="1"/>
  <c r="X1051" i="1" s="1"/>
  <c r="Y1052" i="1"/>
  <c r="X1052" i="1" s="1"/>
  <c r="Y1053" i="1"/>
  <c r="X1053" i="1" s="1"/>
  <c r="Y1054" i="1"/>
  <c r="X1054" i="1" s="1"/>
  <c r="Y1055" i="1"/>
  <c r="X1055" i="1" s="1"/>
  <c r="Y1056" i="1"/>
  <c r="X1056" i="1" s="1"/>
  <c r="Y1057" i="1"/>
  <c r="X1057" i="1" s="1"/>
  <c r="Y1058" i="1"/>
  <c r="X1058" i="1" s="1"/>
  <c r="Y1059" i="1"/>
  <c r="X1059" i="1" s="1"/>
  <c r="Y1060" i="1"/>
  <c r="X1060" i="1" s="1"/>
  <c r="Y1061" i="1"/>
  <c r="X1061" i="1" s="1"/>
  <c r="Y1062" i="1"/>
  <c r="X1062" i="1" s="1"/>
  <c r="Y1063" i="1"/>
  <c r="X1063" i="1" s="1"/>
  <c r="Y1064" i="1"/>
  <c r="X1064" i="1" s="1"/>
  <c r="Y1065" i="1"/>
  <c r="X1065" i="1" s="1"/>
  <c r="Y1066" i="1"/>
  <c r="X1066" i="1" s="1"/>
  <c r="Y1067" i="1"/>
  <c r="X1067" i="1" s="1"/>
  <c r="Y1068" i="1"/>
  <c r="X1068" i="1" s="1"/>
  <c r="Y1069" i="1"/>
  <c r="X1069" i="1" s="1"/>
  <c r="Y1070" i="1"/>
  <c r="X1070" i="1" s="1"/>
  <c r="Y1071" i="1"/>
  <c r="X1071" i="1" s="1"/>
  <c r="Y1072" i="1"/>
  <c r="X1072" i="1" s="1"/>
  <c r="Y1073" i="1"/>
  <c r="X1073" i="1" s="1"/>
  <c r="Y1074" i="1"/>
  <c r="X1074" i="1" s="1"/>
  <c r="Y1075" i="1"/>
  <c r="X1075" i="1" s="1"/>
  <c r="Y1076" i="1"/>
  <c r="X1076" i="1" s="1"/>
  <c r="Y1077" i="1"/>
  <c r="X1077" i="1" s="1"/>
  <c r="Y1078" i="1"/>
  <c r="X1078" i="1" s="1"/>
  <c r="Y1079" i="1"/>
  <c r="X1079" i="1" s="1"/>
  <c r="Y1080" i="1"/>
  <c r="X1080" i="1" s="1"/>
  <c r="Y1081" i="1"/>
  <c r="X1081" i="1" s="1"/>
  <c r="Y1082" i="1"/>
  <c r="X1082" i="1" s="1"/>
  <c r="Y1083" i="1"/>
  <c r="X1083" i="1" s="1"/>
  <c r="Y1084" i="1"/>
  <c r="X1084" i="1" s="1"/>
  <c r="Y1085" i="1"/>
  <c r="X1085" i="1" s="1"/>
  <c r="Y1086" i="1"/>
  <c r="X1086" i="1" s="1"/>
  <c r="Y1087" i="1"/>
  <c r="X1087" i="1" s="1"/>
  <c r="Y1088" i="1"/>
  <c r="X1088" i="1" s="1"/>
  <c r="Y1089" i="1"/>
  <c r="X1089" i="1" s="1"/>
  <c r="Y1090" i="1"/>
  <c r="X1090" i="1" s="1"/>
  <c r="Y1091" i="1"/>
  <c r="X1091" i="1" s="1"/>
  <c r="Y1092" i="1"/>
  <c r="X1092" i="1" s="1"/>
  <c r="Y1093" i="1"/>
  <c r="X1093" i="1" s="1"/>
  <c r="Y1094" i="1"/>
  <c r="X1094" i="1" s="1"/>
  <c r="Y1095" i="1"/>
  <c r="X1095" i="1" s="1"/>
  <c r="Y1096" i="1"/>
  <c r="X1096" i="1" s="1"/>
  <c r="Y1097" i="1"/>
  <c r="X1097" i="1" s="1"/>
  <c r="Y1098" i="1"/>
  <c r="X1098" i="1" s="1"/>
  <c r="Y1099" i="1"/>
  <c r="X1099" i="1" s="1"/>
  <c r="Y1100" i="1"/>
  <c r="X1100" i="1" s="1"/>
  <c r="Y1101" i="1"/>
  <c r="X1101" i="1" s="1"/>
  <c r="Y1102" i="1"/>
  <c r="X1102" i="1" s="1"/>
  <c r="Y1103" i="1"/>
  <c r="X1103" i="1" s="1"/>
  <c r="Y1104" i="1"/>
  <c r="X1104" i="1" s="1"/>
  <c r="Y1105" i="1"/>
  <c r="X1105" i="1" s="1"/>
  <c r="Y1106" i="1"/>
  <c r="X1106" i="1" s="1"/>
  <c r="Y1107" i="1"/>
  <c r="X1107" i="1" s="1"/>
  <c r="Y1108" i="1"/>
  <c r="X1108" i="1" s="1"/>
  <c r="Y1109" i="1"/>
  <c r="X1109" i="1" s="1"/>
  <c r="Y1110" i="1"/>
  <c r="X1110" i="1" s="1"/>
  <c r="Y1111" i="1"/>
  <c r="X1111" i="1" s="1"/>
  <c r="Y1112" i="1"/>
  <c r="X1112" i="1" s="1"/>
  <c r="Y1113" i="1"/>
  <c r="X1113" i="1" s="1"/>
  <c r="Y1114" i="1"/>
  <c r="X1114" i="1" s="1"/>
  <c r="Y1115" i="1"/>
  <c r="X1115" i="1" s="1"/>
  <c r="Y1116" i="1"/>
  <c r="X1116" i="1" s="1"/>
  <c r="Y1117" i="1"/>
  <c r="X1117" i="1" s="1"/>
  <c r="Y1118" i="1"/>
  <c r="X1118" i="1" s="1"/>
  <c r="Y1119" i="1"/>
  <c r="X1119" i="1" s="1"/>
  <c r="Y1120" i="1"/>
  <c r="X1120" i="1" s="1"/>
  <c r="Y1121" i="1"/>
  <c r="X1121" i="1" s="1"/>
  <c r="Y1122" i="1"/>
  <c r="X1122" i="1" s="1"/>
  <c r="Y1123" i="1"/>
  <c r="X1123" i="1" s="1"/>
  <c r="Y1124" i="1"/>
  <c r="X1124" i="1" s="1"/>
  <c r="Y1125" i="1"/>
  <c r="X1125" i="1" s="1"/>
  <c r="Y1126" i="1"/>
  <c r="X1126" i="1" s="1"/>
  <c r="Y1127" i="1"/>
  <c r="X1127" i="1" s="1"/>
  <c r="Y1128" i="1"/>
  <c r="X1128" i="1" s="1"/>
  <c r="Y1129" i="1"/>
  <c r="X1129" i="1" s="1"/>
  <c r="Y1130" i="1"/>
  <c r="X1130" i="1" s="1"/>
  <c r="Y1131" i="1"/>
  <c r="X1131" i="1" s="1"/>
  <c r="Y1132" i="1"/>
  <c r="X1132" i="1" s="1"/>
  <c r="Y1133" i="1"/>
  <c r="X1133" i="1" s="1"/>
  <c r="Y1134" i="1"/>
  <c r="X1134" i="1" s="1"/>
  <c r="Y1135" i="1"/>
  <c r="X1135" i="1" s="1"/>
  <c r="Y1136" i="1"/>
  <c r="X1136" i="1" s="1"/>
  <c r="Y1137" i="1"/>
  <c r="X1137" i="1" s="1"/>
  <c r="Y1138" i="1"/>
  <c r="X1138" i="1" s="1"/>
  <c r="Y1139" i="1"/>
  <c r="X1139" i="1" s="1"/>
  <c r="Y1140" i="1"/>
  <c r="X1140" i="1" s="1"/>
  <c r="Y1141" i="1"/>
  <c r="X1141" i="1" s="1"/>
  <c r="Y1142" i="1"/>
  <c r="X1142" i="1" s="1"/>
  <c r="Y1143" i="1"/>
  <c r="X1143" i="1" s="1"/>
  <c r="Y1144" i="1"/>
  <c r="X1144" i="1" s="1"/>
  <c r="Y1145" i="1"/>
  <c r="X1145" i="1" s="1"/>
  <c r="Y1146" i="1"/>
  <c r="X1146" i="1" s="1"/>
  <c r="Y1147" i="1"/>
  <c r="X1147" i="1" s="1"/>
  <c r="Y1148" i="1"/>
  <c r="X1148" i="1" s="1"/>
  <c r="Y1149" i="1"/>
  <c r="X1149" i="1" s="1"/>
  <c r="Y1150" i="1"/>
  <c r="X1150" i="1" s="1"/>
  <c r="Y1151" i="1"/>
  <c r="X1151" i="1" s="1"/>
  <c r="Y1152" i="1"/>
  <c r="X1152" i="1" s="1"/>
  <c r="Y1153" i="1"/>
  <c r="X1153" i="1" s="1"/>
  <c r="Y1154" i="1"/>
  <c r="X1154" i="1" s="1"/>
  <c r="Y1155" i="1"/>
  <c r="X1155" i="1" s="1"/>
  <c r="Y1156" i="1"/>
  <c r="X1156" i="1" s="1"/>
  <c r="Y1157" i="1"/>
  <c r="X1157" i="1" s="1"/>
  <c r="Y1158" i="1"/>
  <c r="X1158" i="1" s="1"/>
  <c r="Y1159" i="1"/>
  <c r="X1159" i="1" s="1"/>
  <c r="Y1160" i="1"/>
  <c r="X1160" i="1" s="1"/>
  <c r="Y1161" i="1"/>
  <c r="X1161" i="1" s="1"/>
  <c r="Y1162" i="1"/>
  <c r="X1162" i="1" s="1"/>
  <c r="Y1164" i="1"/>
  <c r="X1164" i="1" s="1"/>
  <c r="Y1165" i="1"/>
  <c r="X1165" i="1" s="1"/>
  <c r="Y1166" i="1"/>
  <c r="X1166" i="1" s="1"/>
  <c r="Y1167" i="1"/>
  <c r="X1167" i="1" s="1"/>
  <c r="Y1168" i="1"/>
  <c r="X1168" i="1" s="1"/>
  <c r="Y1169" i="1"/>
  <c r="X1169" i="1" s="1"/>
  <c r="Y1170" i="1"/>
  <c r="X1170" i="1" s="1"/>
  <c r="Y1171" i="1"/>
  <c r="X1171" i="1" s="1"/>
  <c r="Y1172" i="1"/>
  <c r="X1172" i="1" s="1"/>
  <c r="Y1173" i="1"/>
  <c r="X1173" i="1" s="1"/>
  <c r="Y1174" i="1"/>
  <c r="X1174" i="1" s="1"/>
  <c r="Y1175" i="1"/>
  <c r="X1175" i="1" s="1"/>
  <c r="Y1176" i="1"/>
  <c r="X1176" i="1" s="1"/>
  <c r="Y1177" i="1"/>
  <c r="X1177" i="1" s="1"/>
  <c r="Y1178" i="1"/>
  <c r="X1178" i="1" s="1"/>
  <c r="Y1179" i="1"/>
  <c r="X1179" i="1" s="1"/>
  <c r="Y1180" i="1"/>
  <c r="X1180" i="1" s="1"/>
  <c r="Y1181" i="1"/>
  <c r="X1181" i="1" s="1"/>
  <c r="Y1182" i="1"/>
  <c r="X1182" i="1" s="1"/>
  <c r="Y1183" i="1"/>
  <c r="X1183" i="1" s="1"/>
  <c r="Y1184" i="1"/>
  <c r="X1184" i="1" s="1"/>
  <c r="Y1185" i="1"/>
  <c r="X1185" i="1" s="1"/>
  <c r="Y1186" i="1"/>
  <c r="X1186" i="1" s="1"/>
  <c r="Y1187" i="1"/>
  <c r="X1187" i="1" s="1"/>
  <c r="Y1188" i="1"/>
  <c r="X1188" i="1" s="1"/>
  <c r="Y1189" i="1"/>
  <c r="X1189" i="1" s="1"/>
  <c r="Y1190" i="1"/>
  <c r="X1190" i="1" s="1"/>
  <c r="Y1191" i="1"/>
  <c r="X1191" i="1" s="1"/>
  <c r="Y1192" i="1"/>
  <c r="X1192" i="1" s="1"/>
  <c r="Y1193" i="1"/>
  <c r="X1193" i="1" s="1"/>
  <c r="Y1194" i="1"/>
  <c r="X1194" i="1" s="1"/>
  <c r="Y1195" i="1"/>
  <c r="X1195" i="1" s="1"/>
  <c r="Y1196" i="1"/>
  <c r="X1196" i="1" s="1"/>
  <c r="Y1197" i="1"/>
  <c r="X1197" i="1" s="1"/>
  <c r="Y1198" i="1"/>
  <c r="X1198" i="1" s="1"/>
  <c r="Y1199" i="1"/>
  <c r="X1199" i="1" s="1"/>
  <c r="Y1200" i="1"/>
  <c r="X1200" i="1" s="1"/>
  <c r="Y1201" i="1"/>
  <c r="X1201" i="1" s="1"/>
  <c r="Y1202" i="1"/>
  <c r="X1202" i="1" s="1"/>
  <c r="Y1203" i="1"/>
  <c r="X1203" i="1" s="1"/>
  <c r="Y1204" i="1"/>
  <c r="X1204" i="1" s="1"/>
  <c r="Y1205" i="1"/>
  <c r="X1205" i="1" s="1"/>
  <c r="Y1206" i="1"/>
  <c r="X1206" i="1" s="1"/>
  <c r="Y1207" i="1"/>
  <c r="X1207" i="1" s="1"/>
  <c r="Y1208" i="1"/>
  <c r="X1208" i="1" s="1"/>
  <c r="Y1209" i="1"/>
  <c r="X1209" i="1" s="1"/>
  <c r="Y1210" i="1"/>
  <c r="X1210" i="1" s="1"/>
  <c r="Y1211" i="1"/>
  <c r="X1211" i="1" s="1"/>
  <c r="Y1212" i="1"/>
  <c r="X1212" i="1" s="1"/>
  <c r="Y1213" i="1"/>
  <c r="X1213" i="1" s="1"/>
  <c r="Y1214" i="1"/>
  <c r="X1214" i="1" s="1"/>
  <c r="Y1215" i="1"/>
  <c r="X1215" i="1" s="1"/>
  <c r="Y1216" i="1"/>
  <c r="X1216" i="1" s="1"/>
  <c r="Y1217" i="1"/>
  <c r="X1217" i="1" s="1"/>
  <c r="Y1218" i="1"/>
  <c r="X1218" i="1" s="1"/>
  <c r="Y1219" i="1"/>
  <c r="X1219" i="1" s="1"/>
  <c r="Y1220" i="1"/>
  <c r="X1220" i="1" s="1"/>
  <c r="Y1221" i="1"/>
  <c r="X1221" i="1" s="1"/>
  <c r="Y1222" i="1"/>
  <c r="X1222" i="1" s="1"/>
  <c r="Y1223" i="1"/>
  <c r="X1223" i="1" s="1"/>
  <c r="Y1224" i="1"/>
  <c r="X1224" i="1" s="1"/>
  <c r="Y1225" i="1"/>
  <c r="X1225" i="1" s="1"/>
  <c r="Y1226" i="1"/>
  <c r="X1226" i="1" s="1"/>
  <c r="Y1227" i="1"/>
  <c r="X1227" i="1" s="1"/>
  <c r="Y1228" i="1"/>
  <c r="X1228" i="1" s="1"/>
  <c r="Y1229" i="1"/>
  <c r="X1229" i="1" s="1"/>
  <c r="Y1230" i="1"/>
  <c r="X1230" i="1" s="1"/>
  <c r="Y1231" i="1"/>
  <c r="X1231" i="1" s="1"/>
  <c r="Y1232" i="1"/>
  <c r="X1232" i="1" s="1"/>
  <c r="Y1233" i="1"/>
  <c r="X1233" i="1" s="1"/>
  <c r="Y1234" i="1"/>
  <c r="X1234" i="1" s="1"/>
  <c r="Y1235" i="1"/>
  <c r="X1235" i="1" s="1"/>
  <c r="Y1236" i="1"/>
  <c r="X1236" i="1" s="1"/>
  <c r="Y1237" i="1"/>
  <c r="X1237" i="1" s="1"/>
  <c r="Y1238" i="1"/>
  <c r="X1238" i="1" s="1"/>
  <c r="Y1239" i="1"/>
  <c r="X1239" i="1" s="1"/>
  <c r="Y1240" i="1"/>
  <c r="X1240" i="1" s="1"/>
  <c r="Y1241" i="1"/>
  <c r="X1241" i="1" s="1"/>
  <c r="Y1242" i="1"/>
  <c r="X1242" i="1" s="1"/>
  <c r="Y1243" i="1"/>
  <c r="X1243" i="1" s="1"/>
  <c r="Y1244" i="1"/>
  <c r="X1244" i="1" s="1"/>
  <c r="Y1245" i="1"/>
  <c r="X1245" i="1" s="1"/>
  <c r="Y1246" i="1"/>
  <c r="X1246" i="1" s="1"/>
  <c r="Y1247" i="1"/>
  <c r="X1247" i="1" s="1"/>
  <c r="Y1248" i="1"/>
  <c r="X1248" i="1" s="1"/>
  <c r="Y1249" i="1"/>
  <c r="X1249" i="1" s="1"/>
  <c r="Y1250" i="1"/>
  <c r="X1250" i="1" s="1"/>
  <c r="Y1251" i="1"/>
  <c r="X1251" i="1" s="1"/>
  <c r="Y1252" i="1"/>
  <c r="X1252" i="1" s="1"/>
  <c r="Y1253" i="1"/>
  <c r="X1253" i="1" s="1"/>
  <c r="Y1254" i="1"/>
  <c r="X1254" i="1" s="1"/>
  <c r="Y1255" i="1"/>
  <c r="X1255" i="1" s="1"/>
  <c r="Y1256" i="1"/>
  <c r="X1256" i="1" s="1"/>
  <c r="Y1257" i="1"/>
  <c r="X1257" i="1" s="1"/>
  <c r="Y1258" i="1"/>
  <c r="X1258" i="1" s="1"/>
  <c r="Y1259" i="1"/>
  <c r="X1259" i="1" s="1"/>
  <c r="Y1260" i="1"/>
  <c r="X1260" i="1" s="1"/>
  <c r="Y1261" i="1"/>
  <c r="X1261" i="1" s="1"/>
  <c r="Y1262" i="1"/>
  <c r="X1262" i="1" s="1"/>
  <c r="Y1263" i="1"/>
  <c r="X1263" i="1" s="1"/>
  <c r="Y1264" i="1"/>
  <c r="X1264" i="1" s="1"/>
  <c r="Y1265" i="1"/>
  <c r="X1265" i="1" s="1"/>
  <c r="Y1266" i="1"/>
  <c r="X1266" i="1" s="1"/>
  <c r="Y1267" i="1"/>
  <c r="X1267" i="1" s="1"/>
  <c r="Y1268" i="1"/>
  <c r="X1268" i="1" s="1"/>
  <c r="Y1269" i="1"/>
  <c r="X1269" i="1" s="1"/>
  <c r="Y1270" i="1"/>
  <c r="X1270" i="1" s="1"/>
  <c r="Y1271" i="1"/>
  <c r="X1271" i="1" s="1"/>
  <c r="Y1272" i="1"/>
  <c r="X1272" i="1" s="1"/>
  <c r="Y1273" i="1"/>
  <c r="X1273" i="1" s="1"/>
  <c r="Y1274" i="1"/>
  <c r="X1274" i="1" s="1"/>
  <c r="Y1275" i="1"/>
  <c r="X1275" i="1" s="1"/>
  <c r="Y1276" i="1"/>
  <c r="X1276" i="1" s="1"/>
  <c r="Y1277" i="1"/>
  <c r="X1277" i="1" s="1"/>
  <c r="Y1278" i="1"/>
  <c r="X1278" i="1" s="1"/>
  <c r="Y1279" i="1"/>
  <c r="X1279" i="1" s="1"/>
  <c r="Y1280" i="1"/>
  <c r="X1280" i="1" s="1"/>
  <c r="Y1281" i="1"/>
  <c r="X1281" i="1" s="1"/>
  <c r="Y1282" i="1"/>
  <c r="X1282" i="1" s="1"/>
  <c r="Y1283" i="1"/>
  <c r="X1283" i="1" s="1"/>
  <c r="Y1284" i="1"/>
  <c r="X1284" i="1" s="1"/>
  <c r="Y1285" i="1"/>
  <c r="X1285" i="1" s="1"/>
  <c r="Y1286" i="1"/>
  <c r="X1286" i="1" s="1"/>
  <c r="Y1287" i="1"/>
  <c r="X1287" i="1" s="1"/>
  <c r="Y1288" i="1"/>
  <c r="X1288" i="1" s="1"/>
  <c r="Y1289" i="1"/>
  <c r="X1289" i="1" s="1"/>
  <c r="Y1290" i="1"/>
  <c r="X1290" i="1" s="1"/>
  <c r="Y1291" i="1"/>
  <c r="X1291" i="1" s="1"/>
  <c r="Y1292" i="1"/>
  <c r="X1292" i="1" s="1"/>
  <c r="Y1293" i="1"/>
  <c r="X1293" i="1" s="1"/>
  <c r="Y1294" i="1"/>
  <c r="X1294" i="1" s="1"/>
  <c r="Y1295" i="1"/>
  <c r="X1295" i="1" s="1"/>
  <c r="Y1296" i="1"/>
  <c r="X1296" i="1" s="1"/>
  <c r="Y1297" i="1"/>
  <c r="X1297" i="1" s="1"/>
  <c r="Y1298" i="1"/>
  <c r="X1298" i="1" s="1"/>
  <c r="Y1299" i="1"/>
  <c r="X1299" i="1" s="1"/>
  <c r="Y1300" i="1"/>
  <c r="X1300" i="1" s="1"/>
  <c r="Y1301" i="1"/>
  <c r="X1301" i="1" s="1"/>
  <c r="Y1302" i="1"/>
  <c r="X1302" i="1" s="1"/>
  <c r="Y1303" i="1"/>
  <c r="X1303" i="1" s="1"/>
  <c r="Y1304" i="1"/>
  <c r="X1304" i="1" s="1"/>
  <c r="Y1305" i="1"/>
  <c r="X1305" i="1" s="1"/>
  <c r="Y1306" i="1"/>
  <c r="X1306" i="1" s="1"/>
  <c r="Y1307" i="1"/>
  <c r="X1307" i="1" s="1"/>
  <c r="Y1308" i="1"/>
  <c r="X1308" i="1" s="1"/>
  <c r="Y1309" i="1"/>
  <c r="X1309" i="1" s="1"/>
  <c r="Y1310" i="1"/>
  <c r="X1310" i="1" s="1"/>
  <c r="Y1311" i="1"/>
  <c r="X1311" i="1" s="1"/>
  <c r="Y1312" i="1"/>
  <c r="X1312" i="1" s="1"/>
  <c r="Y1313" i="1"/>
  <c r="X1313" i="1" s="1"/>
  <c r="Y1314" i="1"/>
  <c r="X1314" i="1" s="1"/>
  <c r="Y1315" i="1"/>
  <c r="X1315" i="1" s="1"/>
  <c r="Y1316" i="1"/>
  <c r="X1316" i="1" s="1"/>
  <c r="Y1317" i="1"/>
  <c r="X1317" i="1" s="1"/>
  <c r="Y1318" i="1"/>
  <c r="X1318" i="1" s="1"/>
  <c r="Y1319" i="1"/>
  <c r="X1319" i="1" s="1"/>
  <c r="Y1320" i="1"/>
  <c r="X1320" i="1" s="1"/>
  <c r="Y1321" i="1"/>
  <c r="X1321" i="1" s="1"/>
  <c r="Y1322" i="1"/>
  <c r="X1322" i="1" s="1"/>
  <c r="Y1323" i="1"/>
  <c r="X1323" i="1" s="1"/>
  <c r="Y1324" i="1"/>
  <c r="X1324" i="1" s="1"/>
  <c r="Y1325" i="1"/>
  <c r="X1325" i="1" s="1"/>
  <c r="Y1326" i="1"/>
  <c r="X1326" i="1" s="1"/>
  <c r="Y1327" i="1"/>
  <c r="X1327" i="1" s="1"/>
  <c r="Y1328" i="1"/>
  <c r="X1328" i="1" s="1"/>
  <c r="Y1329" i="1"/>
  <c r="X1329" i="1" s="1"/>
  <c r="Y1330" i="1"/>
  <c r="X1330" i="1" s="1"/>
  <c r="Y1331" i="1"/>
  <c r="X1331" i="1" s="1"/>
  <c r="Y1332" i="1"/>
  <c r="X1332" i="1" s="1"/>
  <c r="Y1333" i="1"/>
  <c r="X1333" i="1" s="1"/>
  <c r="Y1334" i="1"/>
  <c r="X1334" i="1" s="1"/>
  <c r="Y1335" i="1"/>
  <c r="X1335" i="1" s="1"/>
  <c r="Y1336" i="1"/>
  <c r="X1336" i="1" s="1"/>
  <c r="Y1337" i="1"/>
  <c r="X1337" i="1" s="1"/>
  <c r="Y1338" i="1"/>
  <c r="X1338" i="1" s="1"/>
  <c r="Y1339" i="1"/>
  <c r="X1339" i="1" s="1"/>
  <c r="Y1340" i="1"/>
  <c r="X1340" i="1" s="1"/>
  <c r="Y1341" i="1"/>
  <c r="X1341" i="1" s="1"/>
  <c r="Y1342" i="1"/>
  <c r="X1342" i="1" s="1"/>
  <c r="Y1343" i="1"/>
  <c r="X1343" i="1" s="1"/>
  <c r="Y1344" i="1"/>
  <c r="X1344" i="1" s="1"/>
  <c r="Y1345" i="1"/>
  <c r="X1345" i="1" s="1"/>
  <c r="Y1346" i="1"/>
  <c r="X1346" i="1" s="1"/>
  <c r="Y1347" i="1"/>
  <c r="X1347" i="1" s="1"/>
  <c r="Y1348" i="1"/>
  <c r="X1348" i="1" s="1"/>
  <c r="Y1349" i="1"/>
  <c r="X1349" i="1" s="1"/>
  <c r="Y1350" i="1"/>
  <c r="X1350" i="1" s="1"/>
  <c r="Y1351" i="1"/>
  <c r="X1351" i="1" s="1"/>
  <c r="Y1352" i="1"/>
  <c r="X1352" i="1" s="1"/>
  <c r="Y1353" i="1"/>
  <c r="X1353" i="1" s="1"/>
  <c r="Y1354" i="1"/>
  <c r="X1354" i="1" s="1"/>
  <c r="Y1355" i="1"/>
  <c r="X1355" i="1" s="1"/>
  <c r="Y1356" i="1"/>
  <c r="X1356" i="1" s="1"/>
  <c r="Y1357" i="1"/>
  <c r="X1357" i="1" s="1"/>
  <c r="Y1358" i="1"/>
  <c r="X1358" i="1" s="1"/>
  <c r="Y1359" i="1"/>
  <c r="X1359" i="1" s="1"/>
  <c r="Y1360" i="1"/>
  <c r="X1360" i="1" s="1"/>
  <c r="Y1361" i="1"/>
  <c r="X1361" i="1" s="1"/>
  <c r="Y1362" i="1"/>
  <c r="X1362" i="1" s="1"/>
  <c r="Y1363" i="1"/>
  <c r="X1363" i="1" s="1"/>
  <c r="Y1364" i="1"/>
  <c r="X1364" i="1" s="1"/>
  <c r="Y1365" i="1"/>
  <c r="X1365" i="1" s="1"/>
  <c r="Y1366" i="1"/>
  <c r="X1366" i="1" s="1"/>
  <c r="Y1367" i="1"/>
  <c r="X1367" i="1" s="1"/>
  <c r="Y1368" i="1"/>
  <c r="X1368" i="1" s="1"/>
  <c r="Y1369" i="1"/>
  <c r="X1369" i="1" s="1"/>
  <c r="Y1370" i="1"/>
  <c r="X1370" i="1" s="1"/>
  <c r="Y1371" i="1"/>
  <c r="X1371" i="1" s="1"/>
  <c r="Y1372" i="1"/>
  <c r="X1372" i="1" s="1"/>
  <c r="Y1373" i="1"/>
  <c r="X1373" i="1" s="1"/>
  <c r="Y1374" i="1"/>
  <c r="X1374" i="1" s="1"/>
  <c r="Y1375" i="1"/>
  <c r="X1375" i="1" s="1"/>
  <c r="Y1376" i="1"/>
  <c r="X1376" i="1" s="1"/>
  <c r="Y1377" i="1"/>
  <c r="X1377" i="1" s="1"/>
  <c r="Y1378" i="1"/>
  <c r="X1378" i="1" s="1"/>
  <c r="Y1379" i="1"/>
  <c r="X1379" i="1" s="1"/>
  <c r="Y1380" i="1"/>
  <c r="X1380" i="1" s="1"/>
  <c r="Y1381" i="1"/>
  <c r="X1381" i="1" s="1"/>
  <c r="Y1382" i="1"/>
  <c r="X1382" i="1" s="1"/>
  <c r="Y1383" i="1"/>
  <c r="X1383" i="1" s="1"/>
  <c r="Y1384" i="1"/>
  <c r="X1384" i="1" s="1"/>
  <c r="Y1385" i="1"/>
  <c r="X1385" i="1" s="1"/>
  <c r="Y1386" i="1"/>
  <c r="X1386" i="1" s="1"/>
  <c r="Y1387" i="1"/>
  <c r="X1387" i="1" s="1"/>
  <c r="Y1388" i="1"/>
  <c r="X1388" i="1" s="1"/>
  <c r="Y1389" i="1"/>
  <c r="X1389" i="1" s="1"/>
  <c r="Y1390" i="1"/>
  <c r="X1390" i="1" s="1"/>
  <c r="Y1391" i="1"/>
  <c r="X1391" i="1" s="1"/>
  <c r="Y1392" i="1"/>
  <c r="X1392" i="1" s="1"/>
  <c r="Y1393" i="1"/>
  <c r="X1393" i="1" s="1"/>
  <c r="Y1394" i="1"/>
  <c r="X1394" i="1" s="1"/>
  <c r="Y1395" i="1"/>
  <c r="X1395" i="1" s="1"/>
  <c r="Y1396" i="1"/>
  <c r="X1396" i="1" s="1"/>
  <c r="Y1397" i="1"/>
  <c r="X1397" i="1" s="1"/>
  <c r="Y1398" i="1"/>
  <c r="X1398" i="1" s="1"/>
  <c r="Y1399" i="1"/>
  <c r="X1399" i="1" s="1"/>
  <c r="Y1400" i="1"/>
  <c r="X1400" i="1" s="1"/>
  <c r="Y1401" i="1"/>
  <c r="X1401" i="1" s="1"/>
  <c r="Y1402" i="1"/>
  <c r="X1402" i="1" s="1"/>
  <c r="Y1403" i="1"/>
  <c r="X1403" i="1" s="1"/>
  <c r="Y1404" i="1"/>
  <c r="X1404" i="1" s="1"/>
  <c r="Y1405" i="1"/>
  <c r="X1405" i="1" s="1"/>
  <c r="Y1406" i="1"/>
  <c r="X1406" i="1" s="1"/>
  <c r="Y1407" i="1"/>
  <c r="X1407" i="1" s="1"/>
  <c r="Y1408" i="1"/>
  <c r="X1408" i="1" s="1"/>
  <c r="Y1409" i="1"/>
  <c r="X1409" i="1" s="1"/>
  <c r="Y1410" i="1"/>
  <c r="X1410" i="1" s="1"/>
  <c r="Y1411" i="1"/>
  <c r="X1411" i="1" s="1"/>
  <c r="Y1412" i="1"/>
  <c r="X1412" i="1" s="1"/>
  <c r="Y1413" i="1"/>
  <c r="X1413" i="1" s="1"/>
  <c r="Y1414" i="1"/>
  <c r="X1414" i="1" s="1"/>
  <c r="U398" i="1"/>
  <c r="V398" i="1" s="1"/>
  <c r="Y12" i="1"/>
  <c r="X12" i="1" s="1"/>
  <c r="Y13" i="1"/>
  <c r="X13" i="1" s="1"/>
  <c r="Y14" i="1"/>
  <c r="X14" i="1" s="1"/>
  <c r="Y17" i="1"/>
  <c r="X17" i="1" s="1"/>
  <c r="Y18" i="1"/>
  <c r="X18" i="1" s="1"/>
  <c r="Y19" i="1"/>
  <c r="X19" i="1" s="1"/>
  <c r="Y20" i="1"/>
  <c r="X20" i="1" s="1"/>
  <c r="Y21" i="1"/>
  <c r="X21" i="1" s="1"/>
  <c r="Y22" i="1"/>
  <c r="X22" i="1" s="1"/>
  <c r="Y28" i="1"/>
  <c r="X28" i="1" s="1"/>
  <c r="Y29" i="1"/>
  <c r="X29" i="1" s="1"/>
  <c r="Y30" i="1"/>
  <c r="X30" i="1" s="1"/>
  <c r="Y33" i="1"/>
  <c r="X33" i="1" s="1"/>
  <c r="Y34" i="1"/>
  <c r="X34" i="1" s="1"/>
  <c r="Y35" i="1"/>
  <c r="X35" i="1" s="1"/>
  <c r="Y38" i="1"/>
  <c r="X38" i="1" s="1"/>
  <c r="Y44" i="1"/>
  <c r="X44" i="1" s="1"/>
  <c r="Y45" i="1"/>
  <c r="X45" i="1" s="1"/>
  <c r="Y46" i="1"/>
  <c r="X46" i="1" s="1"/>
  <c r="Y49" i="1"/>
  <c r="X49" i="1" s="1"/>
  <c r="Y50" i="1"/>
  <c r="X50" i="1" s="1"/>
  <c r="Y52" i="1"/>
  <c r="X52" i="1" s="1"/>
  <c r="Y53" i="1"/>
  <c r="X53" i="1" s="1"/>
  <c r="Y54" i="1"/>
  <c r="X54" i="1" s="1"/>
  <c r="Y60" i="1"/>
  <c r="X60" i="1" s="1"/>
  <c r="Y61" i="1"/>
  <c r="X61" i="1" s="1"/>
  <c r="Y62" i="1"/>
  <c r="X62" i="1" s="1"/>
  <c r="Y65" i="1"/>
  <c r="X65" i="1" s="1"/>
  <c r="Y66" i="1"/>
  <c r="X66" i="1" s="1"/>
  <c r="Y67" i="1"/>
  <c r="X67" i="1" s="1"/>
  <c r="Y68" i="1"/>
  <c r="X68" i="1" s="1"/>
  <c r="Y69" i="1"/>
  <c r="X69" i="1" s="1"/>
  <c r="Y70" i="1"/>
  <c r="X70" i="1" s="1"/>
  <c r="Y76" i="1"/>
  <c r="X76" i="1" s="1"/>
  <c r="Y77" i="1"/>
  <c r="X77" i="1" s="1"/>
  <c r="Y78" i="1"/>
  <c r="X78" i="1" s="1"/>
  <c r="Y81" i="1"/>
  <c r="X81" i="1" s="1"/>
  <c r="Y82" i="1"/>
  <c r="X82" i="1" s="1"/>
  <c r="Y83" i="1"/>
  <c r="X83" i="1" s="1"/>
  <c r="Y84" i="1"/>
  <c r="X84" i="1" s="1"/>
  <c r="Y85" i="1"/>
  <c r="X85" i="1" s="1"/>
  <c r="Y86" i="1"/>
  <c r="X86" i="1" s="1"/>
  <c r="Y92" i="1"/>
  <c r="X92" i="1" s="1"/>
  <c r="Y93" i="1"/>
  <c r="X93" i="1" s="1"/>
  <c r="Y97" i="1"/>
  <c r="X97" i="1" s="1"/>
  <c r="Y98" i="1"/>
  <c r="X98" i="1" s="1"/>
  <c r="Y99" i="1"/>
  <c r="X99" i="1" s="1"/>
  <c r="Y100" i="1"/>
  <c r="X100" i="1" s="1"/>
  <c r="Y101" i="1"/>
  <c r="X101" i="1" s="1"/>
  <c r="Y102" i="1"/>
  <c r="X102" i="1" s="1"/>
  <c r="Y108" i="1"/>
  <c r="X108" i="1" s="1"/>
  <c r="Y109" i="1"/>
  <c r="X109" i="1" s="1"/>
  <c r="Y113" i="1"/>
  <c r="X113" i="1" s="1"/>
  <c r="Y114" i="1"/>
  <c r="X114" i="1" s="1"/>
  <c r="Y116" i="1"/>
  <c r="X116" i="1" s="1"/>
  <c r="Y117" i="1"/>
  <c r="X117" i="1" s="1"/>
  <c r="Y118" i="1"/>
  <c r="X118" i="1" s="1"/>
  <c r="Y124" i="1"/>
  <c r="X124" i="1" s="1"/>
  <c r="Y125" i="1"/>
  <c r="X125" i="1" s="1"/>
  <c r="Y129" i="1"/>
  <c r="X129" i="1" s="1"/>
  <c r="Y130" i="1"/>
  <c r="X130" i="1" s="1"/>
  <c r="Y132" i="1"/>
  <c r="X132" i="1" s="1"/>
  <c r="Y133" i="1"/>
  <c r="X133" i="1" s="1"/>
  <c r="Y135" i="1"/>
  <c r="X135" i="1" s="1"/>
  <c r="Y140" i="1"/>
  <c r="X140" i="1" s="1"/>
  <c r="Y142" i="1"/>
  <c r="X142" i="1" s="1"/>
  <c r="Y145" i="1"/>
  <c r="X145" i="1" s="1"/>
  <c r="Y146" i="1"/>
  <c r="X146" i="1" s="1"/>
  <c r="Y147" i="1"/>
  <c r="X147" i="1" s="1"/>
  <c r="Y148" i="1"/>
  <c r="X148" i="1" s="1"/>
  <c r="Y149" i="1"/>
  <c r="X149" i="1" s="1"/>
  <c r="Y150" i="1"/>
  <c r="X150" i="1" s="1"/>
  <c r="Y156" i="1"/>
  <c r="X156" i="1" s="1"/>
  <c r="Y157" i="1"/>
  <c r="X157" i="1" s="1"/>
  <c r="Y161" i="1"/>
  <c r="X161" i="1" s="1"/>
  <c r="Y162" i="1"/>
  <c r="X162" i="1" s="1"/>
  <c r="Y163" i="1"/>
  <c r="X163" i="1" s="1"/>
  <c r="Y165" i="1"/>
  <c r="X165" i="1" s="1"/>
  <c r="Y166" i="1"/>
  <c r="X166" i="1" s="1"/>
  <c r="Y172" i="1"/>
  <c r="X172" i="1" s="1"/>
  <c r="Y173" i="1"/>
  <c r="X173" i="1" s="1"/>
  <c r="Y177" i="1"/>
  <c r="X177" i="1" s="1"/>
  <c r="Y178" i="1"/>
  <c r="X178" i="1" s="1"/>
  <c r="Y180" i="1"/>
  <c r="X180" i="1" s="1"/>
  <c r="Y181" i="1"/>
  <c r="X181" i="1" s="1"/>
  <c r="Y182" i="1"/>
  <c r="X182" i="1" s="1"/>
  <c r="Y188" i="1"/>
  <c r="X188" i="1" s="1"/>
  <c r="Y189" i="1"/>
  <c r="X189" i="1" s="1"/>
  <c r="Y193" i="1"/>
  <c r="X193" i="1" s="1"/>
  <c r="Y194" i="1"/>
  <c r="X194" i="1" s="1"/>
  <c r="Y195" i="1"/>
  <c r="X195" i="1" s="1"/>
  <c r="Y196" i="1"/>
  <c r="X196" i="1" s="1"/>
  <c r="Y197" i="1"/>
  <c r="X197" i="1" s="1"/>
  <c r="Y198" i="1"/>
  <c r="X198" i="1" s="1"/>
  <c r="Y204" i="1"/>
  <c r="X204" i="1" s="1"/>
  <c r="Y206" i="1"/>
  <c r="X206" i="1" s="1"/>
  <c r="Y209" i="1"/>
  <c r="X209" i="1" s="1"/>
  <c r="Y210" i="1"/>
  <c r="X210" i="1" s="1"/>
  <c r="Y211" i="1"/>
  <c r="X211" i="1" s="1"/>
  <c r="Y215" i="1"/>
  <c r="X215" i="1" s="1"/>
  <c r="Y220" i="1"/>
  <c r="X220" i="1" s="1"/>
  <c r="Y221" i="1"/>
  <c r="X221" i="1" s="1"/>
  <c r="Y225" i="1"/>
  <c r="X225" i="1" s="1"/>
  <c r="Y226" i="1"/>
  <c r="X226" i="1" s="1"/>
  <c r="Y228" i="1"/>
  <c r="X228" i="1" s="1"/>
  <c r="Y229" i="1"/>
  <c r="X229" i="1" s="1"/>
  <c r="Y230" i="1"/>
  <c r="X230" i="1" s="1"/>
  <c r="Y236" i="1"/>
  <c r="X236" i="1" s="1"/>
  <c r="Y237" i="1"/>
  <c r="X237" i="1" s="1"/>
  <c r="Y241" i="1"/>
  <c r="X241" i="1" s="1"/>
  <c r="Y242" i="1"/>
  <c r="X242" i="1" s="1"/>
  <c r="Y244" i="1"/>
  <c r="X244" i="1" s="1"/>
  <c r="Y245" i="1"/>
  <c r="X245" i="1" s="1"/>
  <c r="Y246" i="1"/>
  <c r="X246" i="1" s="1"/>
  <c r="Y252" i="1"/>
  <c r="X252" i="1" s="1"/>
  <c r="Y253" i="1"/>
  <c r="X253" i="1" s="1"/>
  <c r="Y257" i="1"/>
  <c r="X257" i="1" s="1"/>
  <c r="Y258" i="1"/>
  <c r="X258" i="1" s="1"/>
  <c r="Y259" i="1"/>
  <c r="X259" i="1" s="1"/>
  <c r="Y262" i="1"/>
  <c r="X262" i="1" s="1"/>
  <c r="Y268" i="1"/>
  <c r="X268" i="1" s="1"/>
  <c r="Y269" i="1"/>
  <c r="X269" i="1" s="1"/>
  <c r="Y273" i="1"/>
  <c r="X273" i="1" s="1"/>
  <c r="Y274" i="1"/>
  <c r="X274" i="1" s="1"/>
  <c r="Y276" i="1"/>
  <c r="X276" i="1" s="1"/>
  <c r="Y277" i="1"/>
  <c r="X277" i="1" s="1"/>
  <c r="Y278" i="1"/>
  <c r="X278" i="1" s="1"/>
  <c r="Y284" i="1"/>
  <c r="X284" i="1" s="1"/>
  <c r="Y285" i="1"/>
  <c r="X285" i="1" s="1"/>
  <c r="Y289" i="1"/>
  <c r="X289" i="1" s="1"/>
  <c r="Y290" i="1"/>
  <c r="X290" i="1" s="1"/>
  <c r="Y292" i="1"/>
  <c r="X292" i="1" s="1"/>
  <c r="Y293" i="1"/>
  <c r="X293" i="1" s="1"/>
  <c r="Y294" i="1"/>
  <c r="X294" i="1" s="1"/>
  <c r="Y300" i="1"/>
  <c r="X300" i="1" s="1"/>
  <c r="Y301" i="1"/>
  <c r="X301" i="1" s="1"/>
  <c r="Y305" i="1"/>
  <c r="X305" i="1" s="1"/>
  <c r="Y306" i="1"/>
  <c r="X306" i="1" s="1"/>
  <c r="Y309" i="1"/>
  <c r="X309" i="1" s="1"/>
  <c r="Y310" i="1"/>
  <c r="X310" i="1" s="1"/>
  <c r="Y316" i="1"/>
  <c r="X316" i="1" s="1"/>
  <c r="Y317" i="1"/>
  <c r="X317" i="1" s="1"/>
  <c r="Y321" i="1"/>
  <c r="X321" i="1" s="1"/>
  <c r="Y322" i="1"/>
  <c r="X322" i="1" s="1"/>
  <c r="Y323" i="1"/>
  <c r="X323" i="1" s="1"/>
  <c r="Y324" i="1"/>
  <c r="X324" i="1" s="1"/>
  <c r="Y325" i="1"/>
  <c r="X325" i="1" s="1"/>
  <c r="Y327" i="1"/>
  <c r="X327" i="1" s="1"/>
  <c r="Y332" i="1"/>
  <c r="X332" i="1" s="1"/>
  <c r="Y333" i="1"/>
  <c r="X333" i="1" s="1"/>
  <c r="Y337" i="1"/>
  <c r="X337" i="1" s="1"/>
  <c r="Y338" i="1"/>
  <c r="X338" i="1" s="1"/>
  <c r="Y339" i="1"/>
  <c r="X339" i="1" s="1"/>
  <c r="Y340" i="1"/>
  <c r="X340" i="1" s="1"/>
  <c r="Y341" i="1"/>
  <c r="X341" i="1" s="1"/>
  <c r="Y342" i="1"/>
  <c r="X342" i="1" s="1"/>
  <c r="Y348" i="1"/>
  <c r="X348" i="1" s="1"/>
  <c r="Y349" i="1"/>
  <c r="X349" i="1" s="1"/>
  <c r="Y353" i="1"/>
  <c r="X353" i="1" s="1"/>
  <c r="Y354" i="1"/>
  <c r="X354" i="1" s="1"/>
  <c r="Y355" i="1"/>
  <c r="X355" i="1" s="1"/>
  <c r="Y356" i="1"/>
  <c r="X356" i="1" s="1"/>
  <c r="Y357" i="1"/>
  <c r="X357" i="1" s="1"/>
  <c r="Y358" i="1"/>
  <c r="X358" i="1" s="1"/>
  <c r="Y364" i="1"/>
  <c r="X364" i="1" s="1"/>
  <c r="Y365" i="1"/>
  <c r="X365" i="1" s="1"/>
  <c r="Y369" i="1"/>
  <c r="X369" i="1" s="1"/>
  <c r="Y370" i="1"/>
  <c r="X370" i="1" s="1"/>
  <c r="Y371" i="1"/>
  <c r="X371" i="1" s="1"/>
  <c r="Y372" i="1"/>
  <c r="X372" i="1" s="1"/>
  <c r="Y373" i="1"/>
  <c r="X373" i="1" s="1"/>
  <c r="Y374" i="1"/>
  <c r="X374" i="1" s="1"/>
  <c r="Y380" i="1"/>
  <c r="X380" i="1" s="1"/>
  <c r="Y381" i="1"/>
  <c r="X381" i="1" s="1"/>
  <c r="Y385" i="1"/>
  <c r="X385" i="1" s="1"/>
  <c r="Y386" i="1"/>
  <c r="X386" i="1" s="1"/>
  <c r="Y387" i="1"/>
  <c r="X387" i="1" s="1"/>
  <c r="Y388" i="1"/>
  <c r="X388" i="1" s="1"/>
  <c r="Y389" i="1"/>
  <c r="X389" i="1" s="1"/>
  <c r="Y391" i="1"/>
  <c r="X391" i="1" s="1"/>
  <c r="Y6" i="1"/>
  <c r="X6" i="1" s="1"/>
  <c r="Y8" i="1"/>
  <c r="X8" i="1" s="1"/>
  <c r="Y9" i="1"/>
  <c r="X9" i="1" s="1"/>
  <c r="Y10" i="1"/>
  <c r="X10" i="1" s="1"/>
  <c r="Y11" i="1"/>
  <c r="X11" i="1" s="1"/>
  <c r="Y15" i="1"/>
  <c r="X15" i="1" s="1"/>
  <c r="Y16" i="1"/>
  <c r="X16" i="1" s="1"/>
  <c r="Y23" i="1"/>
  <c r="X23" i="1" s="1"/>
  <c r="Y24" i="1"/>
  <c r="X24" i="1" s="1"/>
  <c r="Y25" i="1"/>
  <c r="X25" i="1" s="1"/>
  <c r="Y26" i="1"/>
  <c r="X26" i="1" s="1"/>
  <c r="Y27" i="1"/>
  <c r="X27" i="1" s="1"/>
  <c r="Y31" i="1"/>
  <c r="X31" i="1" s="1"/>
  <c r="Y32" i="1"/>
  <c r="X32" i="1" s="1"/>
  <c r="Y36" i="1"/>
  <c r="X36" i="1" s="1"/>
  <c r="Y37" i="1"/>
  <c r="X37" i="1" s="1"/>
  <c r="Y40" i="1"/>
  <c r="X40" i="1" s="1"/>
  <c r="Y41" i="1"/>
  <c r="X41" i="1" s="1"/>
  <c r="Y42" i="1"/>
  <c r="X42" i="1" s="1"/>
  <c r="Y43" i="1"/>
  <c r="X43" i="1" s="1"/>
  <c r="Y47" i="1"/>
  <c r="X47" i="1" s="1"/>
  <c r="Y48" i="1"/>
  <c r="X48" i="1" s="1"/>
  <c r="Y57" i="1"/>
  <c r="X57" i="1" s="1"/>
  <c r="Y58" i="1"/>
  <c r="X58" i="1" s="1"/>
  <c r="Y59" i="1"/>
  <c r="X59" i="1" s="1"/>
  <c r="Y63" i="1"/>
  <c r="X63" i="1" s="1"/>
  <c r="Y64" i="1"/>
  <c r="X64" i="1" s="1"/>
  <c r="Y71" i="1"/>
  <c r="X71" i="1" s="1"/>
  <c r="Y72" i="1"/>
  <c r="X72" i="1" s="1"/>
  <c r="Y73" i="1"/>
  <c r="X73" i="1" s="1"/>
  <c r="Y74" i="1"/>
  <c r="X74" i="1" s="1"/>
  <c r="Y75" i="1"/>
  <c r="X75" i="1" s="1"/>
  <c r="Y79" i="1"/>
  <c r="X79" i="1" s="1"/>
  <c r="Y80" i="1"/>
  <c r="X80" i="1" s="1"/>
  <c r="Y87" i="1"/>
  <c r="X87" i="1" s="1"/>
  <c r="Y88" i="1"/>
  <c r="X88" i="1" s="1"/>
  <c r="Y89" i="1"/>
  <c r="X89" i="1" s="1"/>
  <c r="Y90" i="1"/>
  <c r="X90" i="1" s="1"/>
  <c r="Y91" i="1"/>
  <c r="X91" i="1" s="1"/>
  <c r="Y94" i="1"/>
  <c r="X94" i="1" s="1"/>
  <c r="Y95" i="1"/>
  <c r="X95" i="1" s="1"/>
  <c r="Y96" i="1"/>
  <c r="X96" i="1" s="1"/>
  <c r="Y103" i="1"/>
  <c r="X103" i="1" s="1"/>
  <c r="Y104" i="1"/>
  <c r="X104" i="1" s="1"/>
  <c r="Y105" i="1"/>
  <c r="X105" i="1" s="1"/>
  <c r="Y106" i="1"/>
  <c r="X106" i="1" s="1"/>
  <c r="Y107" i="1"/>
  <c r="X107" i="1" s="1"/>
  <c r="Y111" i="1"/>
  <c r="X111" i="1" s="1"/>
  <c r="Y112" i="1"/>
  <c r="X112" i="1" s="1"/>
  <c r="Y119" i="1"/>
  <c r="X119" i="1" s="1"/>
  <c r="Y120" i="1"/>
  <c r="X120" i="1" s="1"/>
  <c r="Y121" i="1"/>
  <c r="X121" i="1" s="1"/>
  <c r="Y122" i="1"/>
  <c r="X122" i="1" s="1"/>
  <c r="Y123" i="1"/>
  <c r="X123" i="1" s="1"/>
  <c r="Y127" i="1"/>
  <c r="X127" i="1" s="1"/>
  <c r="Y128" i="1"/>
  <c r="X128" i="1" s="1"/>
  <c r="Y136" i="1"/>
  <c r="X136" i="1" s="1"/>
  <c r="Y137" i="1"/>
  <c r="X137" i="1" s="1"/>
  <c r="Y138" i="1"/>
  <c r="X138" i="1" s="1"/>
  <c r="Y139" i="1"/>
  <c r="X139" i="1" s="1"/>
  <c r="Y143" i="1"/>
  <c r="X143" i="1" s="1"/>
  <c r="Y144" i="1"/>
  <c r="X144" i="1" s="1"/>
  <c r="Y151" i="1"/>
  <c r="X151" i="1" s="1"/>
  <c r="Y152" i="1"/>
  <c r="X152" i="1" s="1"/>
  <c r="Y153" i="1"/>
  <c r="X153" i="1" s="1"/>
  <c r="Y154" i="1"/>
  <c r="X154" i="1" s="1"/>
  <c r="Y155" i="1"/>
  <c r="X155" i="1" s="1"/>
  <c r="Y159" i="1"/>
  <c r="X159" i="1" s="1"/>
  <c r="Y160" i="1"/>
  <c r="X160" i="1" s="1"/>
  <c r="Y164" i="1"/>
  <c r="X164" i="1" s="1"/>
  <c r="Y168" i="1"/>
  <c r="X168" i="1" s="1"/>
  <c r="Y169" i="1"/>
  <c r="X169" i="1" s="1"/>
  <c r="Y170" i="1"/>
  <c r="X170" i="1" s="1"/>
  <c r="Y171" i="1"/>
  <c r="X171" i="1" s="1"/>
  <c r="Y175" i="1"/>
  <c r="X175" i="1" s="1"/>
  <c r="Y176" i="1"/>
  <c r="X176" i="1" s="1"/>
  <c r="Y184" i="1"/>
  <c r="X184" i="1" s="1"/>
  <c r="Y185" i="1"/>
  <c r="X185" i="1" s="1"/>
  <c r="Y186" i="1"/>
  <c r="X186" i="1" s="1"/>
  <c r="Y187" i="1"/>
  <c r="X187" i="1" s="1"/>
  <c r="Y191" i="1"/>
  <c r="X191" i="1" s="1"/>
  <c r="Y192" i="1"/>
  <c r="X192" i="1" s="1"/>
  <c r="Y199" i="1"/>
  <c r="X199" i="1" s="1"/>
  <c r="Y200" i="1"/>
  <c r="X200" i="1" s="1"/>
  <c r="Y201" i="1"/>
  <c r="X201" i="1" s="1"/>
  <c r="Y202" i="1"/>
  <c r="X202" i="1" s="1"/>
  <c r="Y203" i="1"/>
  <c r="X203" i="1" s="1"/>
  <c r="Y207" i="1"/>
  <c r="X207" i="1" s="1"/>
  <c r="Y208" i="1"/>
  <c r="X208" i="1" s="1"/>
  <c r="Y212" i="1"/>
  <c r="X212" i="1" s="1"/>
  <c r="Y213" i="1"/>
  <c r="X213" i="1" s="1"/>
  <c r="Y214" i="1"/>
  <c r="X214" i="1" s="1"/>
  <c r="Y216" i="1"/>
  <c r="X216" i="1" s="1"/>
  <c r="Y217" i="1"/>
  <c r="X217" i="1" s="1"/>
  <c r="Y218" i="1"/>
  <c r="X218" i="1" s="1"/>
  <c r="Y219" i="1"/>
  <c r="X219" i="1" s="1"/>
  <c r="Y222" i="1"/>
  <c r="X222" i="1" s="1"/>
  <c r="Y223" i="1"/>
  <c r="X223" i="1" s="1"/>
  <c r="Y224" i="1"/>
  <c r="X224" i="1" s="1"/>
  <c r="Y231" i="1"/>
  <c r="X231" i="1" s="1"/>
  <c r="Y232" i="1"/>
  <c r="X232" i="1" s="1"/>
  <c r="Y233" i="1"/>
  <c r="X233" i="1" s="1"/>
  <c r="Y234" i="1"/>
  <c r="X234" i="1" s="1"/>
  <c r="Y235" i="1"/>
  <c r="X235" i="1" s="1"/>
  <c r="Y238" i="1"/>
  <c r="X238" i="1" s="1"/>
  <c r="Y239" i="1"/>
  <c r="X239" i="1" s="1"/>
  <c r="Y240" i="1"/>
  <c r="X240" i="1" s="1"/>
  <c r="Y247" i="1"/>
  <c r="X247" i="1" s="1"/>
  <c r="Y248" i="1"/>
  <c r="X248" i="1" s="1"/>
  <c r="Y249" i="1"/>
  <c r="X249" i="1" s="1"/>
  <c r="Y250" i="1"/>
  <c r="X250" i="1" s="1"/>
  <c r="Y251" i="1"/>
  <c r="X251" i="1" s="1"/>
  <c r="Y254" i="1"/>
  <c r="X254" i="1" s="1"/>
  <c r="Y255" i="1"/>
  <c r="X255" i="1" s="1"/>
  <c r="Y256" i="1"/>
  <c r="X256" i="1" s="1"/>
  <c r="Y260" i="1"/>
  <c r="X260" i="1" s="1"/>
  <c r="Y261" i="1"/>
  <c r="X261" i="1" s="1"/>
  <c r="Y263" i="1"/>
  <c r="X263" i="1" s="1"/>
  <c r="Y264" i="1"/>
  <c r="X264" i="1" s="1"/>
  <c r="Y265" i="1"/>
  <c r="X265" i="1" s="1"/>
  <c r="Y266" i="1"/>
  <c r="X266" i="1" s="1"/>
  <c r="Y267" i="1"/>
  <c r="X267" i="1" s="1"/>
  <c r="Y270" i="1"/>
  <c r="X270" i="1" s="1"/>
  <c r="Y271" i="1"/>
  <c r="X271" i="1" s="1"/>
  <c r="Y272" i="1"/>
  <c r="X272" i="1" s="1"/>
  <c r="Y280" i="1"/>
  <c r="X280" i="1" s="1"/>
  <c r="Y281" i="1"/>
  <c r="X281" i="1" s="1"/>
  <c r="Y282" i="1"/>
  <c r="X282" i="1" s="1"/>
  <c r="Y283" i="1"/>
  <c r="X283" i="1" s="1"/>
  <c r="Y286" i="1"/>
  <c r="X286" i="1" s="1"/>
  <c r="Y287" i="1"/>
  <c r="X287" i="1" s="1"/>
  <c r="Y288" i="1"/>
  <c r="X288" i="1" s="1"/>
  <c r="Y296" i="1"/>
  <c r="X296" i="1" s="1"/>
  <c r="Y297" i="1"/>
  <c r="X297" i="1" s="1"/>
  <c r="Y298" i="1"/>
  <c r="X298" i="1" s="1"/>
  <c r="Y299" i="1"/>
  <c r="X299" i="1" s="1"/>
  <c r="Y302" i="1"/>
  <c r="X302" i="1" s="1"/>
  <c r="Y303" i="1"/>
  <c r="X303" i="1" s="1"/>
  <c r="Y304" i="1"/>
  <c r="X304" i="1" s="1"/>
  <c r="Y308" i="1"/>
  <c r="X308" i="1" s="1"/>
  <c r="Y312" i="1"/>
  <c r="X312" i="1" s="1"/>
  <c r="Y313" i="1"/>
  <c r="X313" i="1" s="1"/>
  <c r="Y314" i="1"/>
  <c r="X314" i="1" s="1"/>
  <c r="Y315" i="1"/>
  <c r="X315" i="1" s="1"/>
  <c r="Y318" i="1"/>
  <c r="X318" i="1" s="1"/>
  <c r="Y319" i="1"/>
  <c r="X319" i="1" s="1"/>
  <c r="Y320" i="1"/>
  <c r="X320" i="1" s="1"/>
  <c r="Y328" i="1"/>
  <c r="X328" i="1" s="1"/>
  <c r="Y329" i="1"/>
  <c r="X329" i="1" s="1"/>
  <c r="Y330" i="1"/>
  <c r="X330" i="1" s="1"/>
  <c r="Y331" i="1"/>
  <c r="X331" i="1" s="1"/>
  <c r="Y334" i="1"/>
  <c r="X334" i="1" s="1"/>
  <c r="Y335" i="1"/>
  <c r="X335" i="1" s="1"/>
  <c r="Y336" i="1"/>
  <c r="X336" i="1" s="1"/>
  <c r="Y343" i="1"/>
  <c r="X343" i="1" s="1"/>
  <c r="Y344" i="1"/>
  <c r="X344" i="1" s="1"/>
  <c r="Y345" i="1"/>
  <c r="X345" i="1" s="1"/>
  <c r="Y346" i="1"/>
  <c r="X346" i="1" s="1"/>
  <c r="Y347" i="1"/>
  <c r="X347" i="1" s="1"/>
  <c r="Y350" i="1"/>
  <c r="X350" i="1" s="1"/>
  <c r="Y351" i="1"/>
  <c r="X351" i="1" s="1"/>
  <c r="Y352" i="1"/>
  <c r="X352" i="1" s="1"/>
  <c r="Y359" i="1"/>
  <c r="X359" i="1" s="1"/>
  <c r="Y360" i="1"/>
  <c r="X360" i="1" s="1"/>
  <c r="Y361" i="1"/>
  <c r="X361" i="1" s="1"/>
  <c r="Y362" i="1"/>
  <c r="X362" i="1" s="1"/>
  <c r="Y363" i="1"/>
  <c r="X363" i="1" s="1"/>
  <c r="Y366" i="1"/>
  <c r="X366" i="1" s="1"/>
  <c r="Y367" i="1"/>
  <c r="X367" i="1" s="1"/>
  <c r="Y368" i="1"/>
  <c r="X368" i="1" s="1"/>
  <c r="Y376" i="1"/>
  <c r="X376" i="1" s="1"/>
  <c r="Y377" i="1"/>
  <c r="X377" i="1" s="1"/>
  <c r="Y378" i="1"/>
  <c r="X378" i="1" s="1"/>
  <c r="Y379" i="1"/>
  <c r="X379" i="1" s="1"/>
  <c r="Y382" i="1"/>
  <c r="X382" i="1" s="1"/>
  <c r="Y383" i="1"/>
  <c r="X383" i="1" s="1"/>
  <c r="Y384" i="1"/>
  <c r="X384" i="1" s="1"/>
  <c r="Y392" i="1"/>
  <c r="X392" i="1" s="1"/>
  <c r="Y393" i="1"/>
  <c r="X393" i="1" s="1"/>
  <c r="Y394" i="1"/>
  <c r="X394" i="1" s="1"/>
  <c r="Y4" i="1"/>
  <c r="X4" i="1" s="1"/>
  <c r="Y5" i="1"/>
  <c r="X5" i="1" s="1"/>
  <c r="Y3" i="1"/>
  <c r="X3" i="1" s="1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2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157" i="8"/>
  <c r="AC158" i="8"/>
  <c r="AC159" i="8"/>
  <c r="AC160" i="8"/>
  <c r="AC161" i="8"/>
  <c r="AC162" i="8"/>
  <c r="AC163" i="8"/>
  <c r="AC164" i="8"/>
  <c r="AC165" i="8"/>
  <c r="AC166" i="8"/>
  <c r="AC167" i="8"/>
  <c r="AC168" i="8"/>
  <c r="AC169" i="8"/>
  <c r="AC170" i="8"/>
  <c r="AC171" i="8"/>
  <c r="AC172" i="8"/>
  <c r="AC173" i="8"/>
  <c r="AC174" i="8"/>
  <c r="AC175" i="8"/>
  <c r="AC176" i="8"/>
  <c r="AC177" i="8"/>
  <c r="AC178" i="8"/>
  <c r="AC179" i="8"/>
  <c r="AC180" i="8"/>
  <c r="AC181" i="8"/>
  <c r="AC182" i="8"/>
  <c r="AC183" i="8"/>
  <c r="AC184" i="8"/>
  <c r="AC185" i="8"/>
  <c r="AC186" i="8"/>
  <c r="AC187" i="8"/>
  <c r="AC188" i="8"/>
  <c r="AC189" i="8"/>
  <c r="AC190" i="8"/>
  <c r="AC191" i="8"/>
  <c r="AC192" i="8"/>
  <c r="AC193" i="8"/>
  <c r="AC194" i="8"/>
  <c r="AC195" i="8"/>
  <c r="AC196" i="8"/>
  <c r="AC197" i="8"/>
  <c r="AC198" i="8"/>
  <c r="AC199" i="8"/>
  <c r="AC200" i="8"/>
  <c r="AC201" i="8"/>
  <c r="AC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AA139" i="8"/>
  <c r="AA140" i="8"/>
  <c r="AA141" i="8"/>
  <c r="AA142" i="8"/>
  <c r="AA143" i="8"/>
  <c r="AA144" i="8"/>
  <c r="AA145" i="8"/>
  <c r="AA146" i="8"/>
  <c r="AA147" i="8"/>
  <c r="AA148" i="8"/>
  <c r="AA149" i="8"/>
  <c r="AA150" i="8"/>
  <c r="AA151" i="8"/>
  <c r="AA152" i="8"/>
  <c r="AA153" i="8"/>
  <c r="AA154" i="8"/>
  <c r="AA155" i="8"/>
  <c r="AA156" i="8"/>
  <c r="AA157" i="8"/>
  <c r="AA158" i="8"/>
  <c r="AA159" i="8"/>
  <c r="AA160" i="8"/>
  <c r="AA161" i="8"/>
  <c r="AA162" i="8"/>
  <c r="AA163" i="8"/>
  <c r="AA164" i="8"/>
  <c r="AA165" i="8"/>
  <c r="AA166" i="8"/>
  <c r="AA167" i="8"/>
  <c r="AA168" i="8"/>
  <c r="AA169" i="8"/>
  <c r="AA170" i="8"/>
  <c r="AA171" i="8"/>
  <c r="AA172" i="8"/>
  <c r="AA173" i="8"/>
  <c r="AA174" i="8"/>
  <c r="AA175" i="8"/>
  <c r="AA176" i="8"/>
  <c r="AA177" i="8"/>
  <c r="AA178" i="8"/>
  <c r="AA179" i="8"/>
  <c r="AA180" i="8"/>
  <c r="AA181" i="8"/>
  <c r="AA182" i="8"/>
  <c r="AA183" i="8"/>
  <c r="AA184" i="8"/>
  <c r="AA185" i="8"/>
  <c r="AA186" i="8"/>
  <c r="AA187" i="8"/>
  <c r="AA188" i="8"/>
  <c r="AA189" i="8"/>
  <c r="AA190" i="8"/>
  <c r="AA191" i="8"/>
  <c r="AA192" i="8"/>
  <c r="AA193" i="8"/>
  <c r="AA194" i="8"/>
  <c r="AA195" i="8"/>
  <c r="AA196" i="8"/>
  <c r="AA197" i="8"/>
  <c r="AA198" i="8"/>
  <c r="AA199" i="8"/>
  <c r="AA200" i="8"/>
  <c r="AA201" i="8"/>
  <c r="AA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Y147" i="8"/>
  <c r="Y148" i="8"/>
  <c r="Y149" i="8"/>
  <c r="Y150" i="8"/>
  <c r="Y151" i="8"/>
  <c r="Y152" i="8"/>
  <c r="Y153" i="8"/>
  <c r="Y154" i="8"/>
  <c r="Y155" i="8"/>
  <c r="Y156" i="8"/>
  <c r="Y157" i="8"/>
  <c r="Y158" i="8"/>
  <c r="Y159" i="8"/>
  <c r="Y160" i="8"/>
  <c r="Y161" i="8"/>
  <c r="Y162" i="8"/>
  <c r="Y163" i="8"/>
  <c r="Y164" i="8"/>
  <c r="Y165" i="8"/>
  <c r="Y166" i="8"/>
  <c r="Y167" i="8"/>
  <c r="Y16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Y183" i="8"/>
  <c r="Y184" i="8"/>
  <c r="Y185" i="8"/>
  <c r="Y186" i="8"/>
  <c r="Y187" i="8"/>
  <c r="Y188" i="8"/>
  <c r="Y189" i="8"/>
  <c r="Y190" i="8"/>
  <c r="Y191" i="8"/>
  <c r="Y192" i="8"/>
  <c r="Y193" i="8"/>
  <c r="Y194" i="8"/>
  <c r="Y195" i="8"/>
  <c r="Y196" i="8"/>
  <c r="Y197" i="8"/>
  <c r="Y198" i="8"/>
  <c r="Y199" i="8"/>
  <c r="Y200" i="8"/>
  <c r="Y201" i="8"/>
  <c r="Y3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4" i="8"/>
  <c r="D35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Z2630" i="1" l="1"/>
  <c r="AC2630" i="1" s="1"/>
  <c r="Z2614" i="1"/>
  <c r="AC2614" i="1" s="1"/>
  <c r="Z2598" i="1"/>
  <c r="AC2598" i="1" s="1"/>
  <c r="Z2582" i="1"/>
  <c r="AC2582" i="1" s="1"/>
  <c r="Z2566" i="1"/>
  <c r="AC2566" i="1" s="1"/>
  <c r="Z2550" i="1"/>
  <c r="AC2550" i="1" s="1"/>
  <c r="Z2534" i="1"/>
  <c r="AC2534" i="1" s="1"/>
  <c r="Z2518" i="1"/>
  <c r="Z2502" i="1"/>
  <c r="Z2486" i="1"/>
  <c r="Z2469" i="1"/>
  <c r="Z2451" i="1"/>
  <c r="Z2434" i="1"/>
  <c r="Z2417" i="1"/>
  <c r="Z2398" i="1"/>
  <c r="Z2377" i="1"/>
  <c r="Z2358" i="1"/>
  <c r="Z2337" i="1"/>
  <c r="Z2316" i="1"/>
  <c r="Z2293" i="1"/>
  <c r="Z2271" i="1"/>
  <c r="Z2242" i="1"/>
  <c r="Z2209" i="1"/>
  <c r="Z2162" i="1"/>
  <c r="Z2095" i="1"/>
  <c r="Z1983" i="1"/>
  <c r="Z1758" i="1"/>
  <c r="Z2629" i="1"/>
  <c r="AC2629" i="1" s="1"/>
  <c r="Z2613" i="1"/>
  <c r="AC2613" i="1" s="1"/>
  <c r="Z2597" i="1"/>
  <c r="AC2597" i="1" s="1"/>
  <c r="Z2581" i="1"/>
  <c r="AC2581" i="1" s="1"/>
  <c r="Z2565" i="1"/>
  <c r="AC2565" i="1" s="1"/>
  <c r="Z2549" i="1"/>
  <c r="AC2549" i="1" s="1"/>
  <c r="Z2533" i="1"/>
  <c r="AC2533" i="1" s="1"/>
  <c r="Z2517" i="1"/>
  <c r="Z2501" i="1"/>
  <c r="Z2485" i="1"/>
  <c r="Z2467" i="1"/>
  <c r="Z2450" i="1"/>
  <c r="Z2433" i="1"/>
  <c r="Z2416" i="1"/>
  <c r="Z2396" i="1"/>
  <c r="Z2376" i="1"/>
  <c r="Z2357" i="1"/>
  <c r="Z2336" i="1"/>
  <c r="Z2315" i="1"/>
  <c r="Z2291" i="1"/>
  <c r="Z2270" i="1"/>
  <c r="Z2241" i="1"/>
  <c r="Z2207" i="1"/>
  <c r="Z2161" i="1"/>
  <c r="Z2091" i="1"/>
  <c r="Z1969" i="1"/>
  <c r="Z1741" i="1"/>
  <c r="Z2628" i="1"/>
  <c r="AC2628" i="1" s="1"/>
  <c r="Z2612" i="1"/>
  <c r="AC2612" i="1" s="1"/>
  <c r="Z2596" i="1"/>
  <c r="AC2596" i="1" s="1"/>
  <c r="Z2580" i="1"/>
  <c r="AC2580" i="1" s="1"/>
  <c r="Z2564" i="1"/>
  <c r="AC2564" i="1" s="1"/>
  <c r="Z2548" i="1"/>
  <c r="AC2548" i="1" s="1"/>
  <c r="Z2532" i="1"/>
  <c r="AC2532" i="1" s="1"/>
  <c r="Z2516" i="1"/>
  <c r="Z2500" i="1"/>
  <c r="Z2483" i="1"/>
  <c r="Z2466" i="1"/>
  <c r="Z2449" i="1"/>
  <c r="Z2432" i="1"/>
  <c r="Z2415" i="1"/>
  <c r="Z2395" i="1"/>
  <c r="Z2375" i="1"/>
  <c r="Z2355" i="1"/>
  <c r="Z2335" i="1"/>
  <c r="Z2313" i="1"/>
  <c r="Z2290" i="1"/>
  <c r="Z2268" i="1"/>
  <c r="Z2239" i="1"/>
  <c r="Z2203" i="1"/>
  <c r="Z2159" i="1"/>
  <c r="Z2081" i="1"/>
  <c r="Z1967" i="1"/>
  <c r="Z1724" i="1"/>
  <c r="Z2627" i="1"/>
  <c r="AC2627" i="1" s="1"/>
  <c r="Z2611" i="1"/>
  <c r="AC2611" i="1" s="1"/>
  <c r="Z2595" i="1"/>
  <c r="AC2595" i="1" s="1"/>
  <c r="Z2579" i="1"/>
  <c r="AC2579" i="1" s="1"/>
  <c r="Z2563" i="1"/>
  <c r="AC2563" i="1" s="1"/>
  <c r="Z2547" i="1"/>
  <c r="AC2547" i="1" s="1"/>
  <c r="Z2531" i="1"/>
  <c r="AC2531" i="1" s="1"/>
  <c r="Z2515" i="1"/>
  <c r="Z2499" i="1"/>
  <c r="Z2482" i="1"/>
  <c r="Z2465" i="1"/>
  <c r="Z2448" i="1"/>
  <c r="Z2431" i="1"/>
  <c r="Z2414" i="1"/>
  <c r="Z2393" i="1"/>
  <c r="Z2374" i="1"/>
  <c r="Z2354" i="1"/>
  <c r="Z2334" i="1"/>
  <c r="Z2312" i="1"/>
  <c r="Z2289" i="1"/>
  <c r="Z2267" i="1"/>
  <c r="Z2238" i="1"/>
  <c r="Z2198" i="1"/>
  <c r="Z2155" i="1"/>
  <c r="Z2079" i="1"/>
  <c r="Z1953" i="1"/>
  <c r="Z1707" i="1"/>
  <c r="Z2626" i="1"/>
  <c r="AC2626" i="1" s="1"/>
  <c r="Z2610" i="1"/>
  <c r="AC2610" i="1" s="1"/>
  <c r="Z2594" i="1"/>
  <c r="AC2594" i="1" s="1"/>
  <c r="Z2578" i="1"/>
  <c r="AC2578" i="1" s="1"/>
  <c r="Z2562" i="1"/>
  <c r="AC2562" i="1" s="1"/>
  <c r="Z2546" i="1"/>
  <c r="AC2546" i="1" s="1"/>
  <c r="Z2530" i="1"/>
  <c r="AC2530" i="1" s="1"/>
  <c r="Z2514" i="1"/>
  <c r="Z2498" i="1"/>
  <c r="Z2481" i="1"/>
  <c r="Z2464" i="1"/>
  <c r="Z2447" i="1"/>
  <c r="Z2430" i="1"/>
  <c r="Z2412" i="1"/>
  <c r="Z2392" i="1"/>
  <c r="Z2373" i="1"/>
  <c r="Z2353" i="1"/>
  <c r="Z2332" i="1"/>
  <c r="Z2310" i="1"/>
  <c r="Z2288" i="1"/>
  <c r="Z2264" i="1"/>
  <c r="Z2236" i="1"/>
  <c r="Z2197" i="1"/>
  <c r="Z2146" i="1"/>
  <c r="Z2075" i="1"/>
  <c r="Z1951" i="1"/>
  <c r="Z1690" i="1"/>
  <c r="D5" i="1"/>
  <c r="AA4" i="1"/>
  <c r="AC4" i="1" s="1"/>
  <c r="AD4" i="1" s="1"/>
  <c r="Z2625" i="1"/>
  <c r="AC2625" i="1" s="1"/>
  <c r="Z2609" i="1"/>
  <c r="AC2609" i="1" s="1"/>
  <c r="Z2593" i="1"/>
  <c r="AC2593" i="1" s="1"/>
  <c r="Z2577" i="1"/>
  <c r="AC2577" i="1" s="1"/>
  <c r="Z2561" i="1"/>
  <c r="AC2561" i="1" s="1"/>
  <c r="Z2545" i="1"/>
  <c r="AC2545" i="1" s="1"/>
  <c r="Z2529" i="1"/>
  <c r="AC2529" i="1" s="1"/>
  <c r="Z2513" i="1"/>
  <c r="Z2497" i="1"/>
  <c r="Z2480" i="1"/>
  <c r="Z2463" i="1"/>
  <c r="Z2446" i="1"/>
  <c r="Z2429" i="1"/>
  <c r="Z2411" i="1"/>
  <c r="Z2391" i="1"/>
  <c r="Z2371" i="1"/>
  <c r="Z2352" i="1"/>
  <c r="Z2331" i="1"/>
  <c r="Z2309" i="1"/>
  <c r="Z2287" i="1"/>
  <c r="Z2262" i="1"/>
  <c r="Z2235" i="1"/>
  <c r="Z2194" i="1"/>
  <c r="Z2145" i="1"/>
  <c r="Z2065" i="1"/>
  <c r="Z1935" i="1"/>
  <c r="Z1673" i="1"/>
  <c r="Z2624" i="1"/>
  <c r="AC2624" i="1" s="1"/>
  <c r="Z2608" i="1"/>
  <c r="AC2608" i="1" s="1"/>
  <c r="Z2592" i="1"/>
  <c r="AC2592" i="1" s="1"/>
  <c r="Z2576" i="1"/>
  <c r="AC2576" i="1" s="1"/>
  <c r="Z2560" i="1"/>
  <c r="AC2560" i="1" s="1"/>
  <c r="Z2544" i="1"/>
  <c r="AC2544" i="1" s="1"/>
  <c r="Z2528" i="1"/>
  <c r="AA2528" i="1" s="1"/>
  <c r="AC2528" i="1" s="1"/>
  <c r="Z2512" i="1"/>
  <c r="Z2496" i="1"/>
  <c r="Z2479" i="1"/>
  <c r="Z2462" i="1"/>
  <c r="Z2445" i="1"/>
  <c r="Z2428" i="1"/>
  <c r="Z2409" i="1"/>
  <c r="Z2390" i="1"/>
  <c r="Z2370" i="1"/>
  <c r="Z2351" i="1"/>
  <c r="Z2329" i="1"/>
  <c r="Z2307" i="1"/>
  <c r="Z2286" i="1"/>
  <c r="Z2261" i="1"/>
  <c r="Z2230" i="1"/>
  <c r="Z2193" i="1"/>
  <c r="Z2143" i="1"/>
  <c r="Z2063" i="1"/>
  <c r="Z1919" i="1"/>
  <c r="Z1656" i="1"/>
  <c r="Z2623" i="1"/>
  <c r="AC2623" i="1" s="1"/>
  <c r="Z2607" i="1"/>
  <c r="AC2607" i="1" s="1"/>
  <c r="Z2591" i="1"/>
  <c r="AC2591" i="1" s="1"/>
  <c r="Z2575" i="1"/>
  <c r="AC2575" i="1" s="1"/>
  <c r="Z2559" i="1"/>
  <c r="AC2559" i="1" s="1"/>
  <c r="Z2543" i="1"/>
  <c r="AC2543" i="1" s="1"/>
  <c r="Z2527" i="1"/>
  <c r="Z2511" i="1"/>
  <c r="Z2495" i="1"/>
  <c r="Z2478" i="1"/>
  <c r="Z2461" i="1"/>
  <c r="Z2444" i="1"/>
  <c r="Z2427" i="1"/>
  <c r="Z2408" i="1"/>
  <c r="Z2389" i="1"/>
  <c r="Z2369" i="1"/>
  <c r="Z2350" i="1"/>
  <c r="Z2328" i="1"/>
  <c r="Z2306" i="1"/>
  <c r="Z2284" i="1"/>
  <c r="Z2258" i="1"/>
  <c r="Z2229" i="1"/>
  <c r="Z2191" i="1"/>
  <c r="Z2139" i="1"/>
  <c r="Z2049" i="1"/>
  <c r="Z1903" i="1"/>
  <c r="Z1639" i="1"/>
  <c r="Z2638" i="1"/>
  <c r="AC2638" i="1" s="1"/>
  <c r="Z2622" i="1"/>
  <c r="AC2622" i="1" s="1"/>
  <c r="Z2606" i="1"/>
  <c r="AC2606" i="1" s="1"/>
  <c r="Z2590" i="1"/>
  <c r="AC2590" i="1" s="1"/>
  <c r="Z2574" i="1"/>
  <c r="AC2574" i="1" s="1"/>
  <c r="Z2558" i="1"/>
  <c r="AC2558" i="1" s="1"/>
  <c r="Z2542" i="1"/>
  <c r="AC2542" i="1" s="1"/>
  <c r="Z2526" i="1"/>
  <c r="Z2510" i="1"/>
  <c r="Z2494" i="1"/>
  <c r="Z2477" i="1"/>
  <c r="Z2460" i="1"/>
  <c r="Z2443" i="1"/>
  <c r="Z2426" i="1"/>
  <c r="Z2407" i="1"/>
  <c r="Z2387" i="1"/>
  <c r="Z2368" i="1"/>
  <c r="Z2348" i="1"/>
  <c r="Z2326" i="1"/>
  <c r="Z2305" i="1"/>
  <c r="Z2283" i="1"/>
  <c r="Z2257" i="1"/>
  <c r="Z2226" i="1"/>
  <c r="Z2187" i="1"/>
  <c r="Z2130" i="1"/>
  <c r="Z2047" i="1"/>
  <c r="Z1887" i="1"/>
  <c r="Z1622" i="1"/>
  <c r="Z2637" i="1"/>
  <c r="AC2637" i="1" s="1"/>
  <c r="Z2621" i="1"/>
  <c r="AC2621" i="1" s="1"/>
  <c r="Z2605" i="1"/>
  <c r="AC2605" i="1" s="1"/>
  <c r="Z2589" i="1"/>
  <c r="AC2589" i="1" s="1"/>
  <c r="Z2573" i="1"/>
  <c r="AC2573" i="1" s="1"/>
  <c r="Z2557" i="1"/>
  <c r="AC2557" i="1" s="1"/>
  <c r="Z2541" i="1"/>
  <c r="AC2541" i="1" s="1"/>
  <c r="Z2525" i="1"/>
  <c r="Z2509" i="1"/>
  <c r="Z2493" i="1"/>
  <c r="Z2476" i="1"/>
  <c r="Z2459" i="1"/>
  <c r="Z2442" i="1"/>
  <c r="Z2425" i="1"/>
  <c r="Z2406" i="1"/>
  <c r="Z2386" i="1"/>
  <c r="Z2367" i="1"/>
  <c r="Z2347" i="1"/>
  <c r="Z2325" i="1"/>
  <c r="Z2304" i="1"/>
  <c r="Z2280" i="1"/>
  <c r="Z2255" i="1"/>
  <c r="Z2225" i="1"/>
  <c r="Z2182" i="1"/>
  <c r="Z2129" i="1"/>
  <c r="Z2033" i="1"/>
  <c r="Z1871" i="1"/>
  <c r="Z1604" i="1"/>
  <c r="Z2636" i="1"/>
  <c r="AC2636" i="1" s="1"/>
  <c r="Z2620" i="1"/>
  <c r="AC2620" i="1" s="1"/>
  <c r="Z2604" i="1"/>
  <c r="AC2604" i="1" s="1"/>
  <c r="Z2588" i="1"/>
  <c r="AC2588" i="1" s="1"/>
  <c r="Z2572" i="1"/>
  <c r="AC2572" i="1" s="1"/>
  <c r="Z2556" i="1"/>
  <c r="AC2556" i="1" s="1"/>
  <c r="Z2540" i="1"/>
  <c r="AC2540" i="1" s="1"/>
  <c r="Z2524" i="1"/>
  <c r="Z2508" i="1"/>
  <c r="Z2492" i="1"/>
  <c r="Z2475" i="1"/>
  <c r="Z2458" i="1"/>
  <c r="Z2441" i="1"/>
  <c r="Z2424" i="1"/>
  <c r="Z2405" i="1"/>
  <c r="Z2385" i="1"/>
  <c r="Z2366" i="1"/>
  <c r="Z2345" i="1"/>
  <c r="Z2323" i="1"/>
  <c r="Z2303" i="1"/>
  <c r="Z2278" i="1"/>
  <c r="Z2254" i="1"/>
  <c r="Z2223" i="1"/>
  <c r="Z2181" i="1"/>
  <c r="Z2127" i="1"/>
  <c r="Z2031" i="1"/>
  <c r="Z1855" i="1"/>
  <c r="Z1587" i="1"/>
  <c r="Z2635" i="1"/>
  <c r="AC2635" i="1" s="1"/>
  <c r="Z2619" i="1"/>
  <c r="AC2619" i="1" s="1"/>
  <c r="Z2603" i="1"/>
  <c r="AC2603" i="1" s="1"/>
  <c r="Z2587" i="1"/>
  <c r="AC2587" i="1" s="1"/>
  <c r="Z2571" i="1"/>
  <c r="AC2571" i="1" s="1"/>
  <c r="Z2555" i="1"/>
  <c r="AC2555" i="1" s="1"/>
  <c r="Z2539" i="1"/>
  <c r="AC2539" i="1" s="1"/>
  <c r="Z2523" i="1"/>
  <c r="Z2507" i="1"/>
  <c r="Z2491" i="1"/>
  <c r="Z2474" i="1"/>
  <c r="Z2457" i="1"/>
  <c r="Z2440" i="1"/>
  <c r="Z2423" i="1"/>
  <c r="Z2403" i="1"/>
  <c r="Z2384" i="1"/>
  <c r="Z2364" i="1"/>
  <c r="Z2344" i="1"/>
  <c r="Z2322" i="1"/>
  <c r="Z2302" i="1"/>
  <c r="Z2277" i="1"/>
  <c r="Z2252" i="1"/>
  <c r="Z2222" i="1"/>
  <c r="Z2178" i="1"/>
  <c r="Z2123" i="1"/>
  <c r="Z2017" i="1"/>
  <c r="Z1839" i="1"/>
  <c r="Z1570" i="1"/>
  <c r="Z2634" i="1"/>
  <c r="AC2634" i="1" s="1"/>
  <c r="Z2618" i="1"/>
  <c r="AC2618" i="1" s="1"/>
  <c r="Z2602" i="1"/>
  <c r="AC2602" i="1" s="1"/>
  <c r="Z2586" i="1"/>
  <c r="AC2586" i="1" s="1"/>
  <c r="Z2570" i="1"/>
  <c r="AC2570" i="1" s="1"/>
  <c r="Z2554" i="1"/>
  <c r="AC2554" i="1" s="1"/>
  <c r="Z2538" i="1"/>
  <c r="AC2538" i="1" s="1"/>
  <c r="Z2522" i="1"/>
  <c r="Z2506" i="1"/>
  <c r="Z2490" i="1"/>
  <c r="Z2473" i="1"/>
  <c r="Z2456" i="1"/>
  <c r="Z2439" i="1"/>
  <c r="Z2422" i="1"/>
  <c r="Z2402" i="1"/>
  <c r="Z2383" i="1"/>
  <c r="Z2363" i="1"/>
  <c r="Z2342" i="1"/>
  <c r="Z2321" i="1"/>
  <c r="Z2300" i="1"/>
  <c r="Z2275" i="1"/>
  <c r="Z2251" i="1"/>
  <c r="Z2219" i="1"/>
  <c r="Z2177" i="1"/>
  <c r="Z2113" i="1"/>
  <c r="Z2015" i="1"/>
  <c r="Z1823" i="1"/>
  <c r="Z900" i="1"/>
  <c r="Z916" i="1"/>
  <c r="Z932" i="1"/>
  <c r="Z948" i="1"/>
  <c r="Z964" i="1"/>
  <c r="Z980" i="1"/>
  <c r="Z996" i="1"/>
  <c r="Z1012" i="1"/>
  <c r="Z1028" i="1"/>
  <c r="Z1044" i="1"/>
  <c r="Z1060" i="1"/>
  <c r="Z1076" i="1"/>
  <c r="Z1092" i="1"/>
  <c r="Z1108" i="1"/>
  <c r="Z1124" i="1"/>
  <c r="Z1140" i="1"/>
  <c r="Z1156" i="1"/>
  <c r="Z1172" i="1"/>
  <c r="Z1188" i="1"/>
  <c r="Z1204" i="1"/>
  <c r="Z1220" i="1"/>
  <c r="Z1236" i="1"/>
  <c r="Z1252" i="1"/>
  <c r="Z1268" i="1"/>
  <c r="Z1284" i="1"/>
  <c r="Z1300" i="1"/>
  <c r="Z1316" i="1"/>
  <c r="Z1332" i="1"/>
  <c r="Z1348" i="1"/>
  <c r="Z1364" i="1"/>
  <c r="Z1380" i="1"/>
  <c r="Z1396" i="1"/>
  <c r="Z1412" i="1"/>
  <c r="Z1428" i="1"/>
  <c r="Z1444" i="1"/>
  <c r="Z1460" i="1"/>
  <c r="Z1476" i="1"/>
  <c r="Z901" i="1"/>
  <c r="Z917" i="1"/>
  <c r="Z933" i="1"/>
  <c r="Z949" i="1"/>
  <c r="Z965" i="1"/>
  <c r="Z981" i="1"/>
  <c r="Z997" i="1"/>
  <c r="Z1013" i="1"/>
  <c r="Z1029" i="1"/>
  <c r="Z1045" i="1"/>
  <c r="Z1061" i="1"/>
  <c r="Z1077" i="1"/>
  <c r="Z1093" i="1"/>
  <c r="Z1109" i="1"/>
  <c r="Z1125" i="1"/>
  <c r="Z1141" i="1"/>
  <c r="Z1157" i="1"/>
  <c r="Z1173" i="1"/>
  <c r="Z1189" i="1"/>
  <c r="Z1205" i="1"/>
  <c r="Z1221" i="1"/>
  <c r="Z1237" i="1"/>
  <c r="Z1253" i="1"/>
  <c r="Z1269" i="1"/>
  <c r="Z1285" i="1"/>
  <c r="Z1301" i="1"/>
  <c r="Z1317" i="1"/>
  <c r="Z1333" i="1"/>
  <c r="Z1349" i="1"/>
  <c r="Z1365" i="1"/>
  <c r="Z1381" i="1"/>
  <c r="Z1397" i="1"/>
  <c r="Z1413" i="1"/>
  <c r="Z1429" i="1"/>
  <c r="Z1445" i="1"/>
  <c r="Z1461" i="1"/>
  <c r="Z1477" i="1"/>
  <c r="Z1493" i="1"/>
  <c r="Z1509" i="1"/>
  <c r="Z1525" i="1"/>
  <c r="Z1541" i="1"/>
  <c r="Z1557" i="1"/>
  <c r="Z1573" i="1"/>
  <c r="Z1589" i="1"/>
  <c r="Z1605" i="1"/>
  <c r="Z1621" i="1"/>
  <c r="Z1637" i="1"/>
  <c r="Z1653" i="1"/>
  <c r="Z1669" i="1"/>
  <c r="Z1685" i="1"/>
  <c r="Z1701" i="1"/>
  <c r="Z1717" i="1"/>
  <c r="Z1733" i="1"/>
  <c r="Z1749" i="1"/>
  <c r="Z1765" i="1"/>
  <c r="Z902" i="1"/>
  <c r="Z918" i="1"/>
  <c r="Z934" i="1"/>
  <c r="Z950" i="1"/>
  <c r="Z966" i="1"/>
  <c r="Z982" i="1"/>
  <c r="Z998" i="1"/>
  <c r="Z1014" i="1"/>
  <c r="Z1030" i="1"/>
  <c r="Z1046" i="1"/>
  <c r="Z1062" i="1"/>
  <c r="Z1078" i="1"/>
  <c r="Z1094" i="1"/>
  <c r="Z1110" i="1"/>
  <c r="Z1126" i="1"/>
  <c r="Z1142" i="1"/>
  <c r="Z1158" i="1"/>
  <c r="Z1174" i="1"/>
  <c r="Z1190" i="1"/>
  <c r="Z1206" i="1"/>
  <c r="Z1222" i="1"/>
  <c r="Z1238" i="1"/>
  <c r="Z1254" i="1"/>
  <c r="Z1270" i="1"/>
  <c r="Z1286" i="1"/>
  <c r="Z1302" i="1"/>
  <c r="Z1318" i="1"/>
  <c r="Z1334" i="1"/>
  <c r="Z1350" i="1"/>
  <c r="Z1366" i="1"/>
  <c r="Z1382" i="1"/>
  <c r="Z1398" i="1"/>
  <c r="Z1414" i="1"/>
  <c r="Z1430" i="1"/>
  <c r="Z1446" i="1"/>
  <c r="Z1462" i="1"/>
  <c r="Z1478" i="1"/>
  <c r="Z1494" i="1"/>
  <c r="Z1510" i="1"/>
  <c r="Z1526" i="1"/>
  <c r="Z1542" i="1"/>
  <c r="Z903" i="1"/>
  <c r="Z919" i="1"/>
  <c r="Z935" i="1"/>
  <c r="Z951" i="1"/>
  <c r="Z967" i="1"/>
  <c r="Z983" i="1"/>
  <c r="Z999" i="1"/>
  <c r="Z1015" i="1"/>
  <c r="Z1031" i="1"/>
  <c r="Z1047" i="1"/>
  <c r="Z1063" i="1"/>
  <c r="Z1079" i="1"/>
  <c r="Z1095" i="1"/>
  <c r="Z1111" i="1"/>
  <c r="Z1127" i="1"/>
  <c r="Z1143" i="1"/>
  <c r="Z1159" i="1"/>
  <c r="Z1175" i="1"/>
  <c r="Z1191" i="1"/>
  <c r="Z1207" i="1"/>
  <c r="Z1223" i="1"/>
  <c r="Z1239" i="1"/>
  <c r="Z1255" i="1"/>
  <c r="Z1271" i="1"/>
  <c r="Z1287" i="1"/>
  <c r="Z1303" i="1"/>
  <c r="Z1319" i="1"/>
  <c r="Z1335" i="1"/>
  <c r="Z1351" i="1"/>
  <c r="Z1367" i="1"/>
  <c r="Z1383" i="1"/>
  <c r="Z904" i="1"/>
  <c r="Z893" i="1"/>
  <c r="Z895" i="1"/>
  <c r="Z911" i="1"/>
  <c r="Z927" i="1"/>
  <c r="Z943" i="1"/>
  <c r="Z959" i="1"/>
  <c r="Z975" i="1"/>
  <c r="Z991" i="1"/>
  <c r="Z909" i="1"/>
  <c r="Z931" i="1"/>
  <c r="Z956" i="1"/>
  <c r="Z978" i="1"/>
  <c r="Z1003" i="1"/>
  <c r="Z1023" i="1"/>
  <c r="Z1043" i="1"/>
  <c r="Z1067" i="1"/>
  <c r="Z1087" i="1"/>
  <c r="Z1107" i="1"/>
  <c r="Z1131" i="1"/>
  <c r="Z1151" i="1"/>
  <c r="Z1171" i="1"/>
  <c r="Z1195" i="1"/>
  <c r="Z1215" i="1"/>
  <c r="Z1235" i="1"/>
  <c r="Z1259" i="1"/>
  <c r="Z1279" i="1"/>
  <c r="Z1299" i="1"/>
  <c r="Z1323" i="1"/>
  <c r="Z1343" i="1"/>
  <c r="Z1363" i="1"/>
  <c r="Z1387" i="1"/>
  <c r="Z1406" i="1"/>
  <c r="Z1425" i="1"/>
  <c r="Z1447" i="1"/>
  <c r="Z1466" i="1"/>
  <c r="Z1485" i="1"/>
  <c r="Z1503" i="1"/>
  <c r="Z1521" i="1"/>
  <c r="Z1539" i="1"/>
  <c r="Z1558" i="1"/>
  <c r="Z1575" i="1"/>
  <c r="Z1592" i="1"/>
  <c r="Z1609" i="1"/>
  <c r="Z1626" i="1"/>
  <c r="Z1643" i="1"/>
  <c r="Z1660" i="1"/>
  <c r="Z1677" i="1"/>
  <c r="Z1694" i="1"/>
  <c r="Z1711" i="1"/>
  <c r="Z1728" i="1"/>
  <c r="Z1745" i="1"/>
  <c r="Z1762" i="1"/>
  <c r="Z1779" i="1"/>
  <c r="Z1795" i="1"/>
  <c r="Z1811" i="1"/>
  <c r="Z1827" i="1"/>
  <c r="Z1843" i="1"/>
  <c r="Z1859" i="1"/>
  <c r="Z1875" i="1"/>
  <c r="Z1891" i="1"/>
  <c r="Z1907" i="1"/>
  <c r="Z1923" i="1"/>
  <c r="Z1939" i="1"/>
  <c r="Z1955" i="1"/>
  <c r="Z1971" i="1"/>
  <c r="Z1987" i="1"/>
  <c r="Z2003" i="1"/>
  <c r="Z2019" i="1"/>
  <c r="Z2035" i="1"/>
  <c r="Z2051" i="1"/>
  <c r="Z2067" i="1"/>
  <c r="Z2083" i="1"/>
  <c r="Z2099" i="1"/>
  <c r="Z2115" i="1"/>
  <c r="Z2131" i="1"/>
  <c r="Z2147" i="1"/>
  <c r="Z2163" i="1"/>
  <c r="Z2179" i="1"/>
  <c r="Z2195" i="1"/>
  <c r="Z2211" i="1"/>
  <c r="Z2227" i="1"/>
  <c r="Z2243" i="1"/>
  <c r="Z2259" i="1"/>
  <c r="Z910" i="1"/>
  <c r="Z936" i="1"/>
  <c r="Z957" i="1"/>
  <c r="Z979" i="1"/>
  <c r="Z1004" i="1"/>
  <c r="Z1024" i="1"/>
  <c r="Z1048" i="1"/>
  <c r="Z1068" i="1"/>
  <c r="Z1088" i="1"/>
  <c r="Z1112" i="1"/>
  <c r="Z1132" i="1"/>
  <c r="Z1152" i="1"/>
  <c r="Z1176" i="1"/>
  <c r="Z1196" i="1"/>
  <c r="Z1216" i="1"/>
  <c r="Z1240" i="1"/>
  <c r="Z1260" i="1"/>
  <c r="Z1280" i="1"/>
  <c r="Z1304" i="1"/>
  <c r="Z1324" i="1"/>
  <c r="Z1344" i="1"/>
  <c r="Z1368" i="1"/>
  <c r="Z1388" i="1"/>
  <c r="Z1407" i="1"/>
  <c r="Z1426" i="1"/>
  <c r="Z1448" i="1"/>
  <c r="Z1467" i="1"/>
  <c r="Z1486" i="1"/>
  <c r="Z1504" i="1"/>
  <c r="Z1522" i="1"/>
  <c r="Z1540" i="1"/>
  <c r="Z1559" i="1"/>
  <c r="Z1576" i="1"/>
  <c r="Z1593" i="1"/>
  <c r="Z1610" i="1"/>
  <c r="Z1627" i="1"/>
  <c r="Z1644" i="1"/>
  <c r="Z1661" i="1"/>
  <c r="Z1678" i="1"/>
  <c r="Z1695" i="1"/>
  <c r="Z1712" i="1"/>
  <c r="Z1729" i="1"/>
  <c r="Z1746" i="1"/>
  <c r="Z1763" i="1"/>
  <c r="Z1780" i="1"/>
  <c r="Z1796" i="1"/>
  <c r="Z1812" i="1"/>
  <c r="Z1828" i="1"/>
  <c r="Z1844" i="1"/>
  <c r="Z1860" i="1"/>
  <c r="Z1876" i="1"/>
  <c r="Z1892" i="1"/>
  <c r="Z1908" i="1"/>
  <c r="Z1924" i="1"/>
  <c r="Z1940" i="1"/>
  <c r="Z1956" i="1"/>
  <c r="Z1972" i="1"/>
  <c r="Z1988" i="1"/>
  <c r="Z2004" i="1"/>
  <c r="Z2020" i="1"/>
  <c r="Z2036" i="1"/>
  <c r="Z2052" i="1"/>
  <c r="Z2068" i="1"/>
  <c r="Z2084" i="1"/>
  <c r="Z2100" i="1"/>
  <c r="Z2116" i="1"/>
  <c r="Z2132" i="1"/>
  <c r="Z2148" i="1"/>
  <c r="Z2164" i="1"/>
  <c r="Z2180" i="1"/>
  <c r="Z2196" i="1"/>
  <c r="Z2212" i="1"/>
  <c r="Z2228" i="1"/>
  <c r="Z2244" i="1"/>
  <c r="Z2260" i="1"/>
  <c r="Z2276" i="1"/>
  <c r="Z2292" i="1"/>
  <c r="Z2308" i="1"/>
  <c r="Z2324" i="1"/>
  <c r="Z2340" i="1"/>
  <c r="Z2356" i="1"/>
  <c r="Z2372" i="1"/>
  <c r="Z2388" i="1"/>
  <c r="Z2404" i="1"/>
  <c r="Z2420" i="1"/>
  <c r="Z2436" i="1"/>
  <c r="Z2452" i="1"/>
  <c r="Z2468" i="1"/>
  <c r="Z2484" i="1"/>
  <c r="Z912" i="1"/>
  <c r="Z937" i="1"/>
  <c r="Z958" i="1"/>
  <c r="Z984" i="1"/>
  <c r="Z1005" i="1"/>
  <c r="Z1025" i="1"/>
  <c r="Z1049" i="1"/>
  <c r="Z1069" i="1"/>
  <c r="Z1089" i="1"/>
  <c r="Z1113" i="1"/>
  <c r="Z1133" i="1"/>
  <c r="Z1153" i="1"/>
  <c r="Z1177" i="1"/>
  <c r="Z1197" i="1"/>
  <c r="Z1217" i="1"/>
  <c r="Z1241" i="1"/>
  <c r="Z1261" i="1"/>
  <c r="Z1281" i="1"/>
  <c r="Z1305" i="1"/>
  <c r="Z1325" i="1"/>
  <c r="Z1345" i="1"/>
  <c r="Z1369" i="1"/>
  <c r="Z1389" i="1"/>
  <c r="Z1408" i="1"/>
  <c r="Z1427" i="1"/>
  <c r="Z1449" i="1"/>
  <c r="Z1468" i="1"/>
  <c r="Z1487" i="1"/>
  <c r="Z1505" i="1"/>
  <c r="Z1523" i="1"/>
  <c r="Z1543" i="1"/>
  <c r="Z1560" i="1"/>
  <c r="Z1577" i="1"/>
  <c r="Z1594" i="1"/>
  <c r="Z1611" i="1"/>
  <c r="Z1628" i="1"/>
  <c r="Z1645" i="1"/>
  <c r="Z1662" i="1"/>
  <c r="Z1679" i="1"/>
  <c r="Z1696" i="1"/>
  <c r="Z1713" i="1"/>
  <c r="Z1730" i="1"/>
  <c r="Z1747" i="1"/>
  <c r="Z1764" i="1"/>
  <c r="Z1781" i="1"/>
  <c r="Z1797" i="1"/>
  <c r="Z1813" i="1"/>
  <c r="Z1829" i="1"/>
  <c r="Z1845" i="1"/>
  <c r="Z1861" i="1"/>
  <c r="Z1877" i="1"/>
  <c r="Z1893" i="1"/>
  <c r="Z1909" i="1"/>
  <c r="Z1925" i="1"/>
  <c r="Z1941" i="1"/>
  <c r="Z1957" i="1"/>
  <c r="Z1973" i="1"/>
  <c r="Z1989" i="1"/>
  <c r="Z2005" i="1"/>
  <c r="Z2021" i="1"/>
  <c r="Z2037" i="1"/>
  <c r="Z2053" i="1"/>
  <c r="Z2069" i="1"/>
  <c r="Z2085" i="1"/>
  <c r="Z2101" i="1"/>
  <c r="Z2117" i="1"/>
  <c r="Z2133" i="1"/>
  <c r="Z2149" i="1"/>
  <c r="Z2165" i="1"/>
  <c r="Z913" i="1"/>
  <c r="Z938" i="1"/>
  <c r="Z960" i="1"/>
  <c r="Z985" i="1"/>
  <c r="Z1006" i="1"/>
  <c r="Z1026" i="1"/>
  <c r="Z1050" i="1"/>
  <c r="Z1070" i="1"/>
  <c r="Z1090" i="1"/>
  <c r="Z1114" i="1"/>
  <c r="Z1134" i="1"/>
  <c r="Z1154" i="1"/>
  <c r="Z1178" i="1"/>
  <c r="Z1198" i="1"/>
  <c r="Z1218" i="1"/>
  <c r="Z1242" i="1"/>
  <c r="Z1262" i="1"/>
  <c r="Z1282" i="1"/>
  <c r="Z1306" i="1"/>
  <c r="Z1326" i="1"/>
  <c r="Z1346" i="1"/>
  <c r="Z1370" i="1"/>
  <c r="Z1390" i="1"/>
  <c r="Z1409" i="1"/>
  <c r="Z1431" i="1"/>
  <c r="Z1450" i="1"/>
  <c r="Z1469" i="1"/>
  <c r="Z1488" i="1"/>
  <c r="Z1506" i="1"/>
  <c r="Z1524" i="1"/>
  <c r="Z1544" i="1"/>
  <c r="Z1561" i="1"/>
  <c r="Z1578" i="1"/>
  <c r="Z1595" i="1"/>
  <c r="Z1612" i="1"/>
  <c r="Z1629" i="1"/>
  <c r="Z1646" i="1"/>
  <c r="Z1663" i="1"/>
  <c r="Z1680" i="1"/>
  <c r="Z1697" i="1"/>
  <c r="Z1714" i="1"/>
  <c r="Z1731" i="1"/>
  <c r="Z1748" i="1"/>
  <c r="Z1766" i="1"/>
  <c r="Z1782" i="1"/>
  <c r="Z1798" i="1"/>
  <c r="Z1814" i="1"/>
  <c r="Z1830" i="1"/>
  <c r="Z1846" i="1"/>
  <c r="Z1862" i="1"/>
  <c r="Z1878" i="1"/>
  <c r="Z1894" i="1"/>
  <c r="Z1910" i="1"/>
  <c r="Z1926" i="1"/>
  <c r="Z1942" i="1"/>
  <c r="Z1958" i="1"/>
  <c r="Z1974" i="1"/>
  <c r="Z1990" i="1"/>
  <c r="Z2006" i="1"/>
  <c r="Z2022" i="1"/>
  <c r="Z2038" i="1"/>
  <c r="Z2054" i="1"/>
  <c r="Z2070" i="1"/>
  <c r="Z2086" i="1"/>
  <c r="Z2102" i="1"/>
  <c r="Z2118" i="1"/>
  <c r="Z2134" i="1"/>
  <c r="Z2150" i="1"/>
  <c r="Z890" i="1"/>
  <c r="Z914" i="1"/>
  <c r="Z939" i="1"/>
  <c r="Z961" i="1"/>
  <c r="Z986" i="1"/>
  <c r="Z1007" i="1"/>
  <c r="Z1027" i="1"/>
  <c r="Z1051" i="1"/>
  <c r="Z1071" i="1"/>
  <c r="Z1091" i="1"/>
  <c r="Z1115" i="1"/>
  <c r="Z1135" i="1"/>
  <c r="Z1155" i="1"/>
  <c r="Z1179" i="1"/>
  <c r="Z1199" i="1"/>
  <c r="Z1219" i="1"/>
  <c r="Z1243" i="1"/>
  <c r="Z1263" i="1"/>
  <c r="Z1283" i="1"/>
  <c r="Z1307" i="1"/>
  <c r="Z1327" i="1"/>
  <c r="Z1347" i="1"/>
  <c r="Z1371" i="1"/>
  <c r="Z1391" i="1"/>
  <c r="Z1410" i="1"/>
  <c r="Z1432" i="1"/>
  <c r="Z1451" i="1"/>
  <c r="Z1470" i="1"/>
  <c r="Z1489" i="1"/>
  <c r="Z1507" i="1"/>
  <c r="Z1527" i="1"/>
  <c r="Z1545" i="1"/>
  <c r="Z1562" i="1"/>
  <c r="Z1579" i="1"/>
  <c r="Z1596" i="1"/>
  <c r="Z1613" i="1"/>
  <c r="Z1630" i="1"/>
  <c r="Z1647" i="1"/>
  <c r="Z1664" i="1"/>
  <c r="Z1681" i="1"/>
  <c r="Z1698" i="1"/>
  <c r="Z1715" i="1"/>
  <c r="Z1732" i="1"/>
  <c r="Z1750" i="1"/>
  <c r="Z1767" i="1"/>
  <c r="Z1783" i="1"/>
  <c r="Z1799" i="1"/>
  <c r="Z1815" i="1"/>
  <c r="Z1831" i="1"/>
  <c r="Z1847" i="1"/>
  <c r="Z1863" i="1"/>
  <c r="Z1879" i="1"/>
  <c r="Z1895" i="1"/>
  <c r="Z1911" i="1"/>
  <c r="Z1927" i="1"/>
  <c r="Z1943" i="1"/>
  <c r="Z1959" i="1"/>
  <c r="Z1975" i="1"/>
  <c r="Z1991" i="1"/>
  <c r="Z2007" i="1"/>
  <c r="Z2023" i="1"/>
  <c r="Z2039" i="1"/>
  <c r="Z2055" i="1"/>
  <c r="Z2071" i="1"/>
  <c r="Z2087" i="1"/>
  <c r="Z2103" i="1"/>
  <c r="Z2119" i="1"/>
  <c r="Z2135" i="1"/>
  <c r="Z2151" i="1"/>
  <c r="Z2167" i="1"/>
  <c r="Z2183" i="1"/>
  <c r="Z2199" i="1"/>
  <c r="Z2215" i="1"/>
  <c r="Z2231" i="1"/>
  <c r="Z2247" i="1"/>
  <c r="Z2263" i="1"/>
  <c r="Z2279" i="1"/>
  <c r="Z2295" i="1"/>
  <c r="Z2311" i="1"/>
  <c r="Z2327" i="1"/>
  <c r="Z2343" i="1"/>
  <c r="Z891" i="1"/>
  <c r="Z915" i="1"/>
  <c r="Z940" i="1"/>
  <c r="Z962" i="1"/>
  <c r="Z987" i="1"/>
  <c r="Z1008" i="1"/>
  <c r="Z1032" i="1"/>
  <c r="Z1052" i="1"/>
  <c r="Z1072" i="1"/>
  <c r="Z1096" i="1"/>
  <c r="Z1116" i="1"/>
  <c r="Z1136" i="1"/>
  <c r="Z1160" i="1"/>
  <c r="Z1180" i="1"/>
  <c r="Z1200" i="1"/>
  <c r="Z1224" i="1"/>
  <c r="Z1244" i="1"/>
  <c r="Z1264" i="1"/>
  <c r="Z1288" i="1"/>
  <c r="Z1308" i="1"/>
  <c r="Z1328" i="1"/>
  <c r="Z1352" i="1"/>
  <c r="Z1372" i="1"/>
  <c r="Z1392" i="1"/>
  <c r="Z1411" i="1"/>
  <c r="Z1433" i="1"/>
  <c r="Z1452" i="1"/>
  <c r="Z1471" i="1"/>
  <c r="Z1490" i="1"/>
  <c r="Z1508" i="1"/>
  <c r="Z1528" i="1"/>
  <c r="Z1546" i="1"/>
  <c r="Z1563" i="1"/>
  <c r="Z1580" i="1"/>
  <c r="Z1597" i="1"/>
  <c r="Z1614" i="1"/>
  <c r="Z1631" i="1"/>
  <c r="Z1648" i="1"/>
  <c r="Z1665" i="1"/>
  <c r="Z1682" i="1"/>
  <c r="Z1699" i="1"/>
  <c r="Z1716" i="1"/>
  <c r="Z1734" i="1"/>
  <c r="Z1751" i="1"/>
  <c r="Z1768" i="1"/>
  <c r="Z1784" i="1"/>
  <c r="Z1800" i="1"/>
  <c r="Z1816" i="1"/>
  <c r="Z1832" i="1"/>
  <c r="Z1848" i="1"/>
  <c r="Z1864" i="1"/>
  <c r="Z1880" i="1"/>
  <c r="Z1896" i="1"/>
  <c r="Z1912" i="1"/>
  <c r="Z1928" i="1"/>
  <c r="Z1944" i="1"/>
  <c r="Z1960" i="1"/>
  <c r="Z1976" i="1"/>
  <c r="Z1992" i="1"/>
  <c r="Z2008" i="1"/>
  <c r="Z2024" i="1"/>
  <c r="Z2040" i="1"/>
  <c r="Z2056" i="1"/>
  <c r="Z2072" i="1"/>
  <c r="Z2088" i="1"/>
  <c r="Z2104" i="1"/>
  <c r="Z2120" i="1"/>
  <c r="Z2136" i="1"/>
  <c r="Z2152" i="1"/>
  <c r="Z2168" i="1"/>
  <c r="Z2184" i="1"/>
  <c r="Z2200" i="1"/>
  <c r="Z2216" i="1"/>
  <c r="Z2232" i="1"/>
  <c r="Z892" i="1"/>
  <c r="Z920" i="1"/>
  <c r="Z941" i="1"/>
  <c r="Z963" i="1"/>
  <c r="Z988" i="1"/>
  <c r="Z1009" i="1"/>
  <c r="Z1033" i="1"/>
  <c r="Z1053" i="1"/>
  <c r="Z1073" i="1"/>
  <c r="Z1097" i="1"/>
  <c r="Z1117" i="1"/>
  <c r="Z1137" i="1"/>
  <c r="Z1161" i="1"/>
  <c r="Z1181" i="1"/>
  <c r="Z1201" i="1"/>
  <c r="Z1225" i="1"/>
  <c r="Z1245" i="1"/>
  <c r="Z1265" i="1"/>
  <c r="Z1289" i="1"/>
  <c r="Z1309" i="1"/>
  <c r="Z1329" i="1"/>
  <c r="Z1353" i="1"/>
  <c r="Z1373" i="1"/>
  <c r="Z1393" i="1"/>
  <c r="Z1415" i="1"/>
  <c r="Z1434" i="1"/>
  <c r="Z1453" i="1"/>
  <c r="Z1472" i="1"/>
  <c r="Z1491" i="1"/>
  <c r="Z1511" i="1"/>
  <c r="Z1529" i="1"/>
  <c r="Z1547" i="1"/>
  <c r="Z1564" i="1"/>
  <c r="Z1581" i="1"/>
  <c r="Z1598" i="1"/>
  <c r="Z1615" i="1"/>
  <c r="Z1632" i="1"/>
  <c r="Z1649" i="1"/>
  <c r="Z1666" i="1"/>
  <c r="Z1683" i="1"/>
  <c r="Z1700" i="1"/>
  <c r="Z1718" i="1"/>
  <c r="Z1735" i="1"/>
  <c r="Z1752" i="1"/>
  <c r="Z1769" i="1"/>
  <c r="Z1785" i="1"/>
  <c r="Z1801" i="1"/>
  <c r="Z1817" i="1"/>
  <c r="Z1833" i="1"/>
  <c r="Z1849" i="1"/>
  <c r="Z1865" i="1"/>
  <c r="Z1881" i="1"/>
  <c r="Z1897" i="1"/>
  <c r="Z1913" i="1"/>
  <c r="Z1929" i="1"/>
  <c r="Z1945" i="1"/>
  <c r="Z1961" i="1"/>
  <c r="Z1977" i="1"/>
  <c r="Z1993" i="1"/>
  <c r="Z2009" i="1"/>
  <c r="Z2025" i="1"/>
  <c r="Z2041" i="1"/>
  <c r="Z2057" i="1"/>
  <c r="Z2073" i="1"/>
  <c r="Z2089" i="1"/>
  <c r="Z2105" i="1"/>
  <c r="Z2121" i="1"/>
  <c r="Z2137" i="1"/>
  <c r="Z2153" i="1"/>
  <c r="Z2169" i="1"/>
  <c r="Z2185" i="1"/>
  <c r="Z2201" i="1"/>
  <c r="Z2217" i="1"/>
  <c r="Z2233" i="1"/>
  <c r="Z2249" i="1"/>
  <c r="Z2265" i="1"/>
  <c r="Z2281" i="1"/>
  <c r="Z2297" i="1"/>
  <c r="Z894" i="1"/>
  <c r="Z921" i="1"/>
  <c r="Z942" i="1"/>
  <c r="Z968" i="1"/>
  <c r="Z989" i="1"/>
  <c r="Z1010" i="1"/>
  <c r="Z1034" i="1"/>
  <c r="Z1054" i="1"/>
  <c r="Z1074" i="1"/>
  <c r="Z1098" i="1"/>
  <c r="Z1118" i="1"/>
  <c r="Z1138" i="1"/>
  <c r="Z1162" i="1"/>
  <c r="Z1182" i="1"/>
  <c r="Z1202" i="1"/>
  <c r="Z1226" i="1"/>
  <c r="Z1246" i="1"/>
  <c r="Z1266" i="1"/>
  <c r="Z1290" i="1"/>
  <c r="Z1310" i="1"/>
  <c r="Z1330" i="1"/>
  <c r="Z1354" i="1"/>
  <c r="Z1374" i="1"/>
  <c r="Z1394" i="1"/>
  <c r="Z1416" i="1"/>
  <c r="Z1435" i="1"/>
  <c r="Z1454" i="1"/>
  <c r="Z1473" i="1"/>
  <c r="Z1492" i="1"/>
  <c r="Z1512" i="1"/>
  <c r="Z1530" i="1"/>
  <c r="Z1548" i="1"/>
  <c r="Z1565" i="1"/>
  <c r="Z1582" i="1"/>
  <c r="Z1599" i="1"/>
  <c r="Z1616" i="1"/>
  <c r="Z1633" i="1"/>
  <c r="Z1650" i="1"/>
  <c r="Z1667" i="1"/>
  <c r="Z1684" i="1"/>
  <c r="Z1702" i="1"/>
  <c r="Z1719" i="1"/>
  <c r="Z1736" i="1"/>
  <c r="Z1753" i="1"/>
  <c r="Z1770" i="1"/>
  <c r="Z1786" i="1"/>
  <c r="Z1802" i="1"/>
  <c r="Z1818" i="1"/>
  <c r="Z1834" i="1"/>
  <c r="Z1850" i="1"/>
  <c r="Z1866" i="1"/>
  <c r="Z1882" i="1"/>
  <c r="Z1898" i="1"/>
  <c r="Z1914" i="1"/>
  <c r="Z1930" i="1"/>
  <c r="Z1946" i="1"/>
  <c r="Z1962" i="1"/>
  <c r="Z1978" i="1"/>
  <c r="Z1994" i="1"/>
  <c r="Z2010" i="1"/>
  <c r="Z2026" i="1"/>
  <c r="Z2042" i="1"/>
  <c r="Z2058" i="1"/>
  <c r="Z2074" i="1"/>
  <c r="Z2090" i="1"/>
  <c r="Z2106" i="1"/>
  <c r="Z2122" i="1"/>
  <c r="Z2138" i="1"/>
  <c r="Z2154" i="1"/>
  <c r="Z2170" i="1"/>
  <c r="Z2186" i="1"/>
  <c r="Z2202" i="1"/>
  <c r="Z2218" i="1"/>
  <c r="Z2234" i="1"/>
  <c r="Z2250" i="1"/>
  <c r="Z2266" i="1"/>
  <c r="Z2282" i="1"/>
  <c r="Z2298" i="1"/>
  <c r="Z2314" i="1"/>
  <c r="Z2330" i="1"/>
  <c r="Z2346" i="1"/>
  <c r="Z2362" i="1"/>
  <c r="Z2378" i="1"/>
  <c r="Z2394" i="1"/>
  <c r="Z2410" i="1"/>
  <c r="Z896" i="1"/>
  <c r="Z922" i="1"/>
  <c r="Z944" i="1"/>
  <c r="Z969" i="1"/>
  <c r="Z990" i="1"/>
  <c r="Z1011" i="1"/>
  <c r="Z1035" i="1"/>
  <c r="Z1055" i="1"/>
  <c r="Z1075" i="1"/>
  <c r="Z1099" i="1"/>
  <c r="Z1119" i="1"/>
  <c r="Z1139" i="1"/>
  <c r="Z1163" i="1"/>
  <c r="Z1183" i="1"/>
  <c r="Z1203" i="1"/>
  <c r="Z1227" i="1"/>
  <c r="Z1247" i="1"/>
  <c r="Z1267" i="1"/>
  <c r="Z1291" i="1"/>
  <c r="Z1311" i="1"/>
  <c r="Z1331" i="1"/>
  <c r="Z1355" i="1"/>
  <c r="Z1375" i="1"/>
  <c r="Z1395" i="1"/>
  <c r="Z1417" i="1"/>
  <c r="Z1436" i="1"/>
  <c r="Z1455" i="1"/>
  <c r="Z1474" i="1"/>
  <c r="Z1495" i="1"/>
  <c r="Z1513" i="1"/>
  <c r="Z1531" i="1"/>
  <c r="Z1549" i="1"/>
  <c r="Z1566" i="1"/>
  <c r="Z1583" i="1"/>
  <c r="Z1600" i="1"/>
  <c r="Z1617" i="1"/>
  <c r="Z1634" i="1"/>
  <c r="Z1651" i="1"/>
  <c r="Z1668" i="1"/>
  <c r="Z1686" i="1"/>
  <c r="Z1703" i="1"/>
  <c r="Z1720" i="1"/>
  <c r="Z1737" i="1"/>
  <c r="Z1754" i="1"/>
  <c r="Z1771" i="1"/>
  <c r="Z1787" i="1"/>
  <c r="Z1803" i="1"/>
  <c r="Z1819" i="1"/>
  <c r="Z1835" i="1"/>
  <c r="Z1851" i="1"/>
  <c r="Z1867" i="1"/>
  <c r="Z1883" i="1"/>
  <c r="Z1899" i="1"/>
  <c r="Z1915" i="1"/>
  <c r="Z1931" i="1"/>
  <c r="Z1947" i="1"/>
  <c r="Z1963" i="1"/>
  <c r="Z1979" i="1"/>
  <c r="Z1995" i="1"/>
  <c r="Z2011" i="1"/>
  <c r="Z2027" i="1"/>
  <c r="Z2043" i="1"/>
  <c r="Z2059" i="1"/>
  <c r="Z897" i="1"/>
  <c r="Z923" i="1"/>
  <c r="Z945" i="1"/>
  <c r="Z970" i="1"/>
  <c r="Z992" i="1"/>
  <c r="Z1016" i="1"/>
  <c r="Z1036" i="1"/>
  <c r="Z1056" i="1"/>
  <c r="Z1080" i="1"/>
  <c r="Z1100" i="1"/>
  <c r="Z1120" i="1"/>
  <c r="Z1144" i="1"/>
  <c r="Z1164" i="1"/>
  <c r="Z1184" i="1"/>
  <c r="Z1208" i="1"/>
  <c r="Z1228" i="1"/>
  <c r="Z1248" i="1"/>
  <c r="Z1272" i="1"/>
  <c r="Z1292" i="1"/>
  <c r="Z1312" i="1"/>
  <c r="Z1336" i="1"/>
  <c r="Z1356" i="1"/>
  <c r="Z1376" i="1"/>
  <c r="Z1399" i="1"/>
  <c r="Z1418" i="1"/>
  <c r="Z1437" i="1"/>
  <c r="Z1456" i="1"/>
  <c r="Z1475" i="1"/>
  <c r="Z1496" i="1"/>
  <c r="Z1514" i="1"/>
  <c r="Z1532" i="1"/>
  <c r="Z1550" i="1"/>
  <c r="Z1567" i="1"/>
  <c r="Z1584" i="1"/>
  <c r="Z1601" i="1"/>
  <c r="Z1618" i="1"/>
  <c r="Z1635" i="1"/>
  <c r="Z1652" i="1"/>
  <c r="Z1670" i="1"/>
  <c r="Z1687" i="1"/>
  <c r="Z1704" i="1"/>
  <c r="Z1721" i="1"/>
  <c r="Z1738" i="1"/>
  <c r="Z1755" i="1"/>
  <c r="Z1772" i="1"/>
  <c r="Z1788" i="1"/>
  <c r="Z1804" i="1"/>
  <c r="Z1820" i="1"/>
  <c r="Z1836" i="1"/>
  <c r="Z1852" i="1"/>
  <c r="Z1868" i="1"/>
  <c r="Z1884" i="1"/>
  <c r="Z1900" i="1"/>
  <c r="Z1916" i="1"/>
  <c r="Z1932" i="1"/>
  <c r="Z1948" i="1"/>
  <c r="Z1964" i="1"/>
  <c r="Z1980" i="1"/>
  <c r="Z1996" i="1"/>
  <c r="Z2012" i="1"/>
  <c r="Z2028" i="1"/>
  <c r="Z2044" i="1"/>
  <c r="Z2060" i="1"/>
  <c r="Z2076" i="1"/>
  <c r="Z2092" i="1"/>
  <c r="Z2108" i="1"/>
  <c r="Z2124" i="1"/>
  <c r="Z2140" i="1"/>
  <c r="Z2156" i="1"/>
  <c r="Z2172" i="1"/>
  <c r="Z2188" i="1"/>
  <c r="Z2204" i="1"/>
  <c r="Z2220" i="1"/>
  <c r="Z898" i="1"/>
  <c r="Z924" i="1"/>
  <c r="Z946" i="1"/>
  <c r="Z971" i="1"/>
  <c r="Z993" i="1"/>
  <c r="Z1017" i="1"/>
  <c r="Z1037" i="1"/>
  <c r="Z1057" i="1"/>
  <c r="Z1081" i="1"/>
  <c r="Z1101" i="1"/>
  <c r="Z1121" i="1"/>
  <c r="Z1145" i="1"/>
  <c r="Z1165" i="1"/>
  <c r="Z1185" i="1"/>
  <c r="Z1209" i="1"/>
  <c r="Z1229" i="1"/>
  <c r="Z1249" i="1"/>
  <c r="Z1273" i="1"/>
  <c r="Z1293" i="1"/>
  <c r="Z1313" i="1"/>
  <c r="Z1337" i="1"/>
  <c r="Z1357" i="1"/>
  <c r="Z1377" i="1"/>
  <c r="Z1400" i="1"/>
  <c r="Z1419" i="1"/>
  <c r="Z1438" i="1"/>
  <c r="Z1457" i="1"/>
  <c r="Z1479" i="1"/>
  <c r="Z1497" i="1"/>
  <c r="Z1515" i="1"/>
  <c r="Z1533" i="1"/>
  <c r="Z1551" i="1"/>
  <c r="Z1568" i="1"/>
  <c r="Z1585" i="1"/>
  <c r="Z1602" i="1"/>
  <c r="Z1619" i="1"/>
  <c r="Z1636" i="1"/>
  <c r="Z1654" i="1"/>
  <c r="Z1671" i="1"/>
  <c r="Z1688" i="1"/>
  <c r="Z1705" i="1"/>
  <c r="Z1722" i="1"/>
  <c r="Z1739" i="1"/>
  <c r="Z1756" i="1"/>
  <c r="Z1773" i="1"/>
  <c r="Z1789" i="1"/>
  <c r="Z1805" i="1"/>
  <c r="Z1821" i="1"/>
  <c r="Z1837" i="1"/>
  <c r="Z1853" i="1"/>
  <c r="Z1869" i="1"/>
  <c r="Z1885" i="1"/>
  <c r="Z1901" i="1"/>
  <c r="Z1917" i="1"/>
  <c r="Z1933" i="1"/>
  <c r="Z1949" i="1"/>
  <c r="Z1965" i="1"/>
  <c r="Z1981" i="1"/>
  <c r="Z1997" i="1"/>
  <c r="Z2013" i="1"/>
  <c r="Z2029" i="1"/>
  <c r="Z2045" i="1"/>
  <c r="Z2061" i="1"/>
  <c r="Z2077" i="1"/>
  <c r="Z2093" i="1"/>
  <c r="Z2109" i="1"/>
  <c r="Z2125" i="1"/>
  <c r="Z2141" i="1"/>
  <c r="Z2157" i="1"/>
  <c r="Z2173" i="1"/>
  <c r="Z2189" i="1"/>
  <c r="Z2205" i="1"/>
  <c r="Z2221" i="1"/>
  <c r="Z2237" i="1"/>
  <c r="Z2253" i="1"/>
  <c r="Z2269" i="1"/>
  <c r="Z2285" i="1"/>
  <c r="Z2301" i="1"/>
  <c r="Z2317" i="1"/>
  <c r="Z2333" i="1"/>
  <c r="Z2349" i="1"/>
  <c r="Z2365" i="1"/>
  <c r="Z2381" i="1"/>
  <c r="Z2397" i="1"/>
  <c r="Z2413" i="1"/>
  <c r="Z899" i="1"/>
  <c r="Z925" i="1"/>
  <c r="Z947" i="1"/>
  <c r="Z972" i="1"/>
  <c r="Z994" i="1"/>
  <c r="Z1018" i="1"/>
  <c r="Z1038" i="1"/>
  <c r="Z1058" i="1"/>
  <c r="Z1082" i="1"/>
  <c r="Z1102" i="1"/>
  <c r="Z1122" i="1"/>
  <c r="Z1146" i="1"/>
  <c r="Z1166" i="1"/>
  <c r="Z1186" i="1"/>
  <c r="Z1210" i="1"/>
  <c r="Z1230" i="1"/>
  <c r="Z1250" i="1"/>
  <c r="Z1274" i="1"/>
  <c r="Z1294" i="1"/>
  <c r="Z1314" i="1"/>
  <c r="Z1338" i="1"/>
  <c r="Z1358" i="1"/>
  <c r="Z1378" i="1"/>
  <c r="Z1401" i="1"/>
  <c r="Z1420" i="1"/>
  <c r="Z1439" i="1"/>
  <c r="Z1458" i="1"/>
  <c r="Z1480" i="1"/>
  <c r="Z1498" i="1"/>
  <c r="Z1516" i="1"/>
  <c r="Z1534" i="1"/>
  <c r="Z1552" i="1"/>
  <c r="Z1569" i="1"/>
  <c r="Z1586" i="1"/>
  <c r="Z1603" i="1"/>
  <c r="Z1620" i="1"/>
  <c r="Z1638" i="1"/>
  <c r="Z1655" i="1"/>
  <c r="Z1672" i="1"/>
  <c r="Z1689" i="1"/>
  <c r="Z1706" i="1"/>
  <c r="Z1723" i="1"/>
  <c r="Z1740" i="1"/>
  <c r="Z1757" i="1"/>
  <c r="Z1774" i="1"/>
  <c r="Z1790" i="1"/>
  <c r="Z1806" i="1"/>
  <c r="Z1822" i="1"/>
  <c r="Z1838" i="1"/>
  <c r="Z1854" i="1"/>
  <c r="Z1870" i="1"/>
  <c r="Z1886" i="1"/>
  <c r="Z1902" i="1"/>
  <c r="Z1918" i="1"/>
  <c r="Z1934" i="1"/>
  <c r="Z1950" i="1"/>
  <c r="Z1966" i="1"/>
  <c r="Z1982" i="1"/>
  <c r="Z1998" i="1"/>
  <c r="Z2014" i="1"/>
  <c r="Z2030" i="1"/>
  <c r="Z2046" i="1"/>
  <c r="Z2062" i="1"/>
  <c r="Z2078" i="1"/>
  <c r="Z2094" i="1"/>
  <c r="Z2110" i="1"/>
  <c r="Z2126" i="1"/>
  <c r="Z2142" i="1"/>
  <c r="Z2158" i="1"/>
  <c r="Z2174" i="1"/>
  <c r="Z2190" i="1"/>
  <c r="Z2206" i="1"/>
  <c r="Z905" i="1"/>
  <c r="Z926" i="1"/>
  <c r="Z952" i="1"/>
  <c r="Z973" i="1"/>
  <c r="Z995" i="1"/>
  <c r="Z1019" i="1"/>
  <c r="Z1039" i="1"/>
  <c r="Z1059" i="1"/>
  <c r="Z1083" i="1"/>
  <c r="Z1103" i="1"/>
  <c r="Z1123" i="1"/>
  <c r="Z1147" i="1"/>
  <c r="Z1167" i="1"/>
  <c r="Z1187" i="1"/>
  <c r="Z1211" i="1"/>
  <c r="Z1231" i="1"/>
  <c r="Z1251" i="1"/>
  <c r="Z1275" i="1"/>
  <c r="Z1295" i="1"/>
  <c r="Z1315" i="1"/>
  <c r="Z1339" i="1"/>
  <c r="Z1359" i="1"/>
  <c r="Z1379" i="1"/>
  <c r="Z1402" i="1"/>
  <c r="Z1421" i="1"/>
  <c r="Z1440" i="1"/>
  <c r="Z1459" i="1"/>
  <c r="Z1481" i="1"/>
  <c r="Z1499" i="1"/>
  <c r="Z1517" i="1"/>
  <c r="Z1535" i="1"/>
  <c r="Z906" i="1"/>
  <c r="Z928" i="1"/>
  <c r="Z953" i="1"/>
  <c r="Z974" i="1"/>
  <c r="Z1000" i="1"/>
  <c r="Z1020" i="1"/>
  <c r="Z1040" i="1"/>
  <c r="Z1064" i="1"/>
  <c r="Z1084" i="1"/>
  <c r="Z1104" i="1"/>
  <c r="Z1128" i="1"/>
  <c r="Z1148" i="1"/>
  <c r="Z1168" i="1"/>
  <c r="Z1192" i="1"/>
  <c r="Z1212" i="1"/>
  <c r="Z1232" i="1"/>
  <c r="Z1256" i="1"/>
  <c r="Z1276" i="1"/>
  <c r="Z1296" i="1"/>
  <c r="Z1320" i="1"/>
  <c r="Z1340" i="1"/>
  <c r="Z1360" i="1"/>
  <c r="Z1384" i="1"/>
  <c r="Z1403" i="1"/>
  <c r="Z1422" i="1"/>
  <c r="Z1441" i="1"/>
  <c r="Z1463" i="1"/>
  <c r="Z1482" i="1"/>
  <c r="Z1500" i="1"/>
  <c r="Z1518" i="1"/>
  <c r="Z1536" i="1"/>
  <c r="Z1554" i="1"/>
  <c r="Z1571" i="1"/>
  <c r="Z1588" i="1"/>
  <c r="Z1606" i="1"/>
  <c r="Z1623" i="1"/>
  <c r="Z1640" i="1"/>
  <c r="Z1657" i="1"/>
  <c r="Z1674" i="1"/>
  <c r="Z1691" i="1"/>
  <c r="Z1708" i="1"/>
  <c r="Z1725" i="1"/>
  <c r="Z1742" i="1"/>
  <c r="Z1759" i="1"/>
  <c r="Z1776" i="1"/>
  <c r="Z1792" i="1"/>
  <c r="Z1808" i="1"/>
  <c r="Z1824" i="1"/>
  <c r="Z1840" i="1"/>
  <c r="Z1856" i="1"/>
  <c r="Z1872" i="1"/>
  <c r="Z1888" i="1"/>
  <c r="Z1904" i="1"/>
  <c r="Z1920" i="1"/>
  <c r="Z1936" i="1"/>
  <c r="Z1952" i="1"/>
  <c r="Z1968" i="1"/>
  <c r="Z1984" i="1"/>
  <c r="Z2000" i="1"/>
  <c r="Z2016" i="1"/>
  <c r="Z2032" i="1"/>
  <c r="Z2048" i="1"/>
  <c r="Z2064" i="1"/>
  <c r="Z2080" i="1"/>
  <c r="Z2096" i="1"/>
  <c r="Z2112" i="1"/>
  <c r="Z2128" i="1"/>
  <c r="Z2144" i="1"/>
  <c r="Z2160" i="1"/>
  <c r="Z2176" i="1"/>
  <c r="Z2192" i="1"/>
  <c r="Z2208" i="1"/>
  <c r="Z2224" i="1"/>
  <c r="Z2240" i="1"/>
  <c r="Z2256" i="1"/>
  <c r="Z907" i="1"/>
  <c r="Z929" i="1"/>
  <c r="Z954" i="1"/>
  <c r="Z976" i="1"/>
  <c r="Z1001" i="1"/>
  <c r="Z1021" i="1"/>
  <c r="Z1041" i="1"/>
  <c r="Z1065" i="1"/>
  <c r="Z1085" i="1"/>
  <c r="Z1105" i="1"/>
  <c r="Z1129" i="1"/>
  <c r="Z1149" i="1"/>
  <c r="Z1169" i="1"/>
  <c r="Z1193" i="1"/>
  <c r="Z1213" i="1"/>
  <c r="Z1233" i="1"/>
  <c r="Z1257" i="1"/>
  <c r="Z1277" i="1"/>
  <c r="Z1297" i="1"/>
  <c r="Z1321" i="1"/>
  <c r="Z1341" i="1"/>
  <c r="Z1361" i="1"/>
  <c r="Z1385" i="1"/>
  <c r="Z1404" i="1"/>
  <c r="Z1423" i="1"/>
  <c r="Z1442" i="1"/>
  <c r="Z1464" i="1"/>
  <c r="Z1483" i="1"/>
  <c r="Z1501" i="1"/>
  <c r="Z1519" i="1"/>
  <c r="Z1537" i="1"/>
  <c r="Z1555" i="1"/>
  <c r="Z1572" i="1"/>
  <c r="Z1590" i="1"/>
  <c r="Z1607" i="1"/>
  <c r="Z1624" i="1"/>
  <c r="Z1641" i="1"/>
  <c r="Z1658" i="1"/>
  <c r="Z1675" i="1"/>
  <c r="Z1692" i="1"/>
  <c r="Z1709" i="1"/>
  <c r="Z1726" i="1"/>
  <c r="Z1743" i="1"/>
  <c r="Z1760" i="1"/>
  <c r="Z1777" i="1"/>
  <c r="Z1793" i="1"/>
  <c r="Z1809" i="1"/>
  <c r="Z1825" i="1"/>
  <c r="Z1841" i="1"/>
  <c r="Z1857" i="1"/>
  <c r="Z1873" i="1"/>
  <c r="Z1889" i="1"/>
  <c r="Z1905" i="1"/>
  <c r="Z1921" i="1"/>
  <c r="Z1937" i="1"/>
  <c r="Z908" i="1"/>
  <c r="Z930" i="1"/>
  <c r="Z955" i="1"/>
  <c r="Z977" i="1"/>
  <c r="Z1002" i="1"/>
  <c r="Z1022" i="1"/>
  <c r="Z1042" i="1"/>
  <c r="Z1066" i="1"/>
  <c r="Z1086" i="1"/>
  <c r="Z1106" i="1"/>
  <c r="Z1130" i="1"/>
  <c r="Z1150" i="1"/>
  <c r="Z1170" i="1"/>
  <c r="Z1194" i="1"/>
  <c r="Z1214" i="1"/>
  <c r="Z1234" i="1"/>
  <c r="Z1258" i="1"/>
  <c r="Z1278" i="1"/>
  <c r="Z1298" i="1"/>
  <c r="Z1322" i="1"/>
  <c r="Z1342" i="1"/>
  <c r="Z1362" i="1"/>
  <c r="Z1386" i="1"/>
  <c r="Z1405" i="1"/>
  <c r="Z1424" i="1"/>
  <c r="Z1443" i="1"/>
  <c r="Z1465" i="1"/>
  <c r="Z1484" i="1"/>
  <c r="Z1502" i="1"/>
  <c r="Z1520" i="1"/>
  <c r="Z1538" i="1"/>
  <c r="Z1556" i="1"/>
  <c r="Z1574" i="1"/>
  <c r="Z1591" i="1"/>
  <c r="Z1608" i="1"/>
  <c r="Z1625" i="1"/>
  <c r="Z1642" i="1"/>
  <c r="Z1659" i="1"/>
  <c r="Z1676" i="1"/>
  <c r="Z1693" i="1"/>
  <c r="Z1710" i="1"/>
  <c r="Z1727" i="1"/>
  <c r="Z1744" i="1"/>
  <c r="Z1761" i="1"/>
  <c r="Z1778" i="1"/>
  <c r="Z1794" i="1"/>
  <c r="Z1810" i="1"/>
  <c r="Z1826" i="1"/>
  <c r="Z1842" i="1"/>
  <c r="Z1858" i="1"/>
  <c r="Z1874" i="1"/>
  <c r="Z1890" i="1"/>
  <c r="Z1906" i="1"/>
  <c r="Z1922" i="1"/>
  <c r="Z1938" i="1"/>
  <c r="Z1954" i="1"/>
  <c r="Z1970" i="1"/>
  <c r="Z1986" i="1"/>
  <c r="Z2002" i="1"/>
  <c r="Z2018" i="1"/>
  <c r="Z2034" i="1"/>
  <c r="Z2050" i="1"/>
  <c r="Z2066" i="1"/>
  <c r="Z2082" i="1"/>
  <c r="Z2098" i="1"/>
  <c r="Z2114" i="1"/>
  <c r="Z2633" i="1"/>
  <c r="AC2633" i="1" s="1"/>
  <c r="Z2617" i="1"/>
  <c r="AC2617" i="1" s="1"/>
  <c r="Z2601" i="1"/>
  <c r="AC2601" i="1" s="1"/>
  <c r="Z2585" i="1"/>
  <c r="AC2585" i="1" s="1"/>
  <c r="Z2569" i="1"/>
  <c r="AC2569" i="1" s="1"/>
  <c r="Z2553" i="1"/>
  <c r="AC2553" i="1" s="1"/>
  <c r="Z2537" i="1"/>
  <c r="AC2537" i="1" s="1"/>
  <c r="Z2521" i="1"/>
  <c r="Z2505" i="1"/>
  <c r="Z2489" i="1"/>
  <c r="Z2472" i="1"/>
  <c r="Z2455" i="1"/>
  <c r="Z2438" i="1"/>
  <c r="Z2421" i="1"/>
  <c r="Z2401" i="1"/>
  <c r="Z2382" i="1"/>
  <c r="Z2361" i="1"/>
  <c r="Z2341" i="1"/>
  <c r="Z2320" i="1"/>
  <c r="Z2299" i="1"/>
  <c r="Z2274" i="1"/>
  <c r="Z2248" i="1"/>
  <c r="Z2214" i="1"/>
  <c r="Z2175" i="1"/>
  <c r="Z2111" i="1"/>
  <c r="Z2001" i="1"/>
  <c r="Z1807" i="1"/>
  <c r="Z2632" i="1"/>
  <c r="AC2632" i="1" s="1"/>
  <c r="Z2616" i="1"/>
  <c r="AC2616" i="1" s="1"/>
  <c r="Z2600" i="1"/>
  <c r="AC2600" i="1" s="1"/>
  <c r="Z2584" i="1"/>
  <c r="AC2584" i="1" s="1"/>
  <c r="Z2568" i="1"/>
  <c r="AC2568" i="1" s="1"/>
  <c r="Z2552" i="1"/>
  <c r="AC2552" i="1" s="1"/>
  <c r="Z2536" i="1"/>
  <c r="AC2536" i="1" s="1"/>
  <c r="Z2520" i="1"/>
  <c r="Z2504" i="1"/>
  <c r="Z2488" i="1"/>
  <c r="Z2471" i="1"/>
  <c r="Z2454" i="1"/>
  <c r="Z2437" i="1"/>
  <c r="Z2419" i="1"/>
  <c r="Z2400" i="1"/>
  <c r="Z2380" i="1"/>
  <c r="Z2360" i="1"/>
  <c r="Z2339" i="1"/>
  <c r="Z2319" i="1"/>
  <c r="Z2296" i="1"/>
  <c r="Z2273" i="1"/>
  <c r="Z2246" i="1"/>
  <c r="Z2213" i="1"/>
  <c r="Z2171" i="1"/>
  <c r="Z2107" i="1"/>
  <c r="Z1999" i="1"/>
  <c r="Z1791" i="1"/>
  <c r="Z2631" i="1"/>
  <c r="AC2631" i="1" s="1"/>
  <c r="Z2615" i="1"/>
  <c r="AC2615" i="1" s="1"/>
  <c r="Z2599" i="1"/>
  <c r="AC2599" i="1" s="1"/>
  <c r="Z2583" i="1"/>
  <c r="AC2583" i="1" s="1"/>
  <c r="Z2567" i="1"/>
  <c r="AC2567" i="1" s="1"/>
  <c r="Z2551" i="1"/>
  <c r="AC2551" i="1" s="1"/>
  <c r="Z2535" i="1"/>
  <c r="AC2535" i="1" s="1"/>
  <c r="Z2519" i="1"/>
  <c r="Z2503" i="1"/>
  <c r="Z2487" i="1"/>
  <c r="Z2470" i="1"/>
  <c r="Z2453" i="1"/>
  <c r="Z2435" i="1"/>
  <c r="Z2418" i="1"/>
  <c r="Z2399" i="1"/>
  <c r="Z2379" i="1"/>
  <c r="Z2359" i="1"/>
  <c r="Z2338" i="1"/>
  <c r="Z2318" i="1"/>
  <c r="Z2294" i="1"/>
  <c r="Z2272" i="1"/>
  <c r="Z2245" i="1"/>
  <c r="Z2210" i="1"/>
  <c r="Z2166" i="1"/>
  <c r="Z2097" i="1"/>
  <c r="Z1985" i="1"/>
  <c r="Z1775" i="1"/>
  <c r="Y326" i="1"/>
  <c r="X326" i="1" s="1"/>
  <c r="Y307" i="1"/>
  <c r="X307" i="1" s="1"/>
  <c r="Y291" i="1"/>
  <c r="X291" i="1" s="1"/>
  <c r="Y275" i="1"/>
  <c r="X275" i="1" s="1"/>
  <c r="Y243" i="1"/>
  <c r="X243" i="1" s="1"/>
  <c r="Y227" i="1"/>
  <c r="X227" i="1" s="1"/>
  <c r="Y179" i="1"/>
  <c r="X179" i="1" s="1"/>
  <c r="Y131" i="1"/>
  <c r="X131" i="1" s="1"/>
  <c r="Y115" i="1"/>
  <c r="X115" i="1" s="1"/>
  <c r="Y51" i="1"/>
  <c r="X51" i="1" s="1"/>
  <c r="Y183" i="1"/>
  <c r="X183" i="1" s="1"/>
  <c r="Y390" i="1"/>
  <c r="X390" i="1" s="1"/>
  <c r="Y295" i="1"/>
  <c r="X295" i="1" s="1"/>
  <c r="Y134" i="1"/>
  <c r="X134" i="1" s="1"/>
  <c r="Y55" i="1"/>
  <c r="X55" i="1" s="1"/>
  <c r="Y375" i="1"/>
  <c r="X375" i="1" s="1"/>
  <c r="Y279" i="1"/>
  <c r="X279" i="1" s="1"/>
  <c r="Y56" i="1"/>
  <c r="X56" i="1" s="1"/>
  <c r="Y311" i="1"/>
  <c r="X311" i="1" s="1"/>
  <c r="Y167" i="1"/>
  <c r="X167" i="1" s="1"/>
  <c r="Y39" i="1"/>
  <c r="X39" i="1" s="1"/>
  <c r="Y174" i="1"/>
  <c r="X174" i="1" s="1"/>
  <c r="Y158" i="1"/>
  <c r="X158" i="1" s="1"/>
  <c r="Y110" i="1"/>
  <c r="X110" i="1" s="1"/>
  <c r="Y190" i="1"/>
  <c r="X190" i="1" s="1"/>
  <c r="Y126" i="1"/>
  <c r="X126" i="1" s="1"/>
  <c r="Y205" i="1"/>
  <c r="X205" i="1" s="1"/>
  <c r="Y141" i="1"/>
  <c r="X141" i="1" s="1"/>
  <c r="Y7" i="1"/>
  <c r="X7" i="1" s="1"/>
  <c r="D6" i="1" l="1"/>
  <c r="AA5" i="1"/>
  <c r="AC5" i="1" s="1"/>
  <c r="AD5" i="1" s="1"/>
  <c r="AK3" i="8"/>
  <c r="AL3" i="8"/>
  <c r="AK4" i="8"/>
  <c r="AL4" i="8"/>
  <c r="AK5" i="8"/>
  <c r="AL5" i="8"/>
  <c r="AK6" i="8"/>
  <c r="AL6" i="8"/>
  <c r="AK7" i="8"/>
  <c r="AL7" i="8"/>
  <c r="AK8" i="8"/>
  <c r="AL8" i="8"/>
  <c r="AK9" i="8"/>
  <c r="AL9" i="8"/>
  <c r="AK10" i="8"/>
  <c r="AL10" i="8"/>
  <c r="AK11" i="8"/>
  <c r="AL11" i="8"/>
  <c r="AK12" i="8"/>
  <c r="AL12" i="8"/>
  <c r="AK13" i="8"/>
  <c r="AL13" i="8"/>
  <c r="AK14" i="8"/>
  <c r="AL14" i="8"/>
  <c r="AK15" i="8"/>
  <c r="AL15" i="8"/>
  <c r="AK16" i="8"/>
  <c r="AL16" i="8"/>
  <c r="AK17" i="8"/>
  <c r="AL17" i="8"/>
  <c r="AK18" i="8"/>
  <c r="AL18" i="8"/>
  <c r="AK19" i="8"/>
  <c r="AL19" i="8"/>
  <c r="AK20" i="8"/>
  <c r="AL20" i="8"/>
  <c r="AK21" i="8"/>
  <c r="AL21" i="8"/>
  <c r="AK22" i="8"/>
  <c r="AL22" i="8"/>
  <c r="AK23" i="8"/>
  <c r="AL23" i="8"/>
  <c r="AK24" i="8"/>
  <c r="AL24" i="8"/>
  <c r="AK25" i="8"/>
  <c r="AL25" i="8"/>
  <c r="AK26" i="8"/>
  <c r="AL26" i="8"/>
  <c r="AK27" i="8"/>
  <c r="AL27" i="8"/>
  <c r="AK28" i="8"/>
  <c r="AL28" i="8"/>
  <c r="AK29" i="8"/>
  <c r="AL29" i="8"/>
  <c r="AK30" i="8"/>
  <c r="AL30" i="8"/>
  <c r="AK31" i="8"/>
  <c r="AL31" i="8"/>
  <c r="AK32" i="8"/>
  <c r="AL32" i="8"/>
  <c r="AK34" i="8"/>
  <c r="AL34" i="8"/>
  <c r="AK35" i="8"/>
  <c r="AL35" i="8"/>
  <c r="AK36" i="8"/>
  <c r="AL36" i="8"/>
  <c r="AK37" i="8"/>
  <c r="AL37" i="8"/>
  <c r="AK38" i="8"/>
  <c r="AL38" i="8"/>
  <c r="AK39" i="8"/>
  <c r="AL39" i="8"/>
  <c r="AK40" i="8"/>
  <c r="AL40" i="8"/>
  <c r="AK41" i="8"/>
  <c r="AL41" i="8"/>
  <c r="AK42" i="8"/>
  <c r="AL42" i="8"/>
  <c r="AK43" i="8"/>
  <c r="AL43" i="8"/>
  <c r="AK44" i="8"/>
  <c r="AL44" i="8"/>
  <c r="AK45" i="8"/>
  <c r="AL45" i="8"/>
  <c r="AK46" i="8"/>
  <c r="AL46" i="8"/>
  <c r="AK47" i="8"/>
  <c r="AL47" i="8"/>
  <c r="AK48" i="8"/>
  <c r="AL48" i="8"/>
  <c r="AK49" i="8"/>
  <c r="AL49" i="8"/>
  <c r="AK50" i="8"/>
  <c r="AL50" i="8"/>
  <c r="AK51" i="8"/>
  <c r="AL51" i="8"/>
  <c r="AK52" i="8"/>
  <c r="AL52" i="8"/>
  <c r="AK53" i="8"/>
  <c r="AL53" i="8"/>
  <c r="AK54" i="8"/>
  <c r="AL54" i="8"/>
  <c r="AK55" i="8"/>
  <c r="AL55" i="8"/>
  <c r="AK56" i="8"/>
  <c r="AL56" i="8"/>
  <c r="AK57" i="8"/>
  <c r="AL57" i="8"/>
  <c r="AK58" i="8"/>
  <c r="AL58" i="8"/>
  <c r="AK59" i="8"/>
  <c r="AL59" i="8"/>
  <c r="AK60" i="8"/>
  <c r="AL60" i="8"/>
  <c r="AK62" i="8"/>
  <c r="AL62" i="8"/>
  <c r="AK63" i="8"/>
  <c r="AL63" i="8"/>
  <c r="AK64" i="8"/>
  <c r="AL64" i="8"/>
  <c r="AK65" i="8"/>
  <c r="AL65" i="8"/>
  <c r="AK66" i="8"/>
  <c r="AL66" i="8"/>
  <c r="AK67" i="8"/>
  <c r="AL67" i="8"/>
  <c r="AK68" i="8"/>
  <c r="AL68" i="8"/>
  <c r="AK69" i="8"/>
  <c r="AL69" i="8"/>
  <c r="AK70" i="8"/>
  <c r="AL70" i="8"/>
  <c r="AK71" i="8"/>
  <c r="AL71" i="8"/>
  <c r="AK72" i="8"/>
  <c r="AL72" i="8"/>
  <c r="AK73" i="8"/>
  <c r="AL73" i="8"/>
  <c r="AK74" i="8"/>
  <c r="AL74" i="8"/>
  <c r="AK75" i="8"/>
  <c r="AL75" i="8"/>
  <c r="AK76" i="8"/>
  <c r="AL76" i="8"/>
  <c r="AK77" i="8"/>
  <c r="AL77" i="8"/>
  <c r="AK78" i="8"/>
  <c r="AL78" i="8"/>
  <c r="AK79" i="8"/>
  <c r="AL79" i="8"/>
  <c r="AK80" i="8"/>
  <c r="AL80" i="8"/>
  <c r="AK81" i="8"/>
  <c r="AL81" i="8"/>
  <c r="AK82" i="8"/>
  <c r="AL82" i="8"/>
  <c r="AK83" i="8"/>
  <c r="AL83" i="8"/>
  <c r="AK84" i="8"/>
  <c r="AL84" i="8"/>
  <c r="AK85" i="8"/>
  <c r="AL85" i="8"/>
  <c r="AK86" i="8"/>
  <c r="AL86" i="8"/>
  <c r="AK87" i="8"/>
  <c r="AL87" i="8"/>
  <c r="AK88" i="8"/>
  <c r="AL88" i="8"/>
  <c r="AK89" i="8"/>
  <c r="AL89" i="8"/>
  <c r="AK90" i="8"/>
  <c r="AL90" i="8"/>
  <c r="AK91" i="8"/>
  <c r="AL91" i="8"/>
  <c r="AK92" i="8"/>
  <c r="AL92" i="8"/>
  <c r="AK93" i="8"/>
  <c r="AL93" i="8"/>
  <c r="AK94" i="8"/>
  <c r="AL94" i="8"/>
  <c r="AK95" i="8"/>
  <c r="AL95" i="8"/>
  <c r="AK96" i="8"/>
  <c r="AL96" i="8"/>
  <c r="AK97" i="8"/>
  <c r="AL97" i="8"/>
  <c r="AK98" i="8"/>
  <c r="AL98" i="8"/>
  <c r="AK99" i="8"/>
  <c r="AL99" i="8"/>
  <c r="AK100" i="8"/>
  <c r="AL100" i="8"/>
  <c r="AK101" i="8"/>
  <c r="AL101" i="8"/>
  <c r="AK102" i="8"/>
  <c r="AL102" i="8"/>
  <c r="AK103" i="8"/>
  <c r="AL103" i="8"/>
  <c r="AK104" i="8"/>
  <c r="AL104" i="8"/>
  <c r="AK105" i="8"/>
  <c r="AL105" i="8"/>
  <c r="AK106" i="8"/>
  <c r="AL106" i="8"/>
  <c r="AK107" i="8"/>
  <c r="AL107" i="8"/>
  <c r="AK108" i="8"/>
  <c r="AL108" i="8"/>
  <c r="AK109" i="8"/>
  <c r="AL109" i="8"/>
  <c r="AK110" i="8"/>
  <c r="AL110" i="8"/>
  <c r="AK111" i="8"/>
  <c r="AL111" i="8"/>
  <c r="AK112" i="8"/>
  <c r="AL112" i="8"/>
  <c r="AK113" i="8"/>
  <c r="AL113" i="8"/>
  <c r="AK114" i="8"/>
  <c r="AL114" i="8"/>
  <c r="AK115" i="8"/>
  <c r="AL115" i="8"/>
  <c r="AK116" i="8"/>
  <c r="AL116" i="8"/>
  <c r="AK117" i="8"/>
  <c r="AL117" i="8"/>
  <c r="AK118" i="8"/>
  <c r="AL118" i="8"/>
  <c r="AK119" i="8"/>
  <c r="AL119" i="8"/>
  <c r="AK120" i="8"/>
  <c r="AL120" i="8"/>
  <c r="AK121" i="8"/>
  <c r="AL121" i="8"/>
  <c r="AK122" i="8"/>
  <c r="AL122" i="8"/>
  <c r="AK123" i="8"/>
  <c r="AL123" i="8"/>
  <c r="AK124" i="8"/>
  <c r="AL124" i="8"/>
  <c r="AK125" i="8"/>
  <c r="AL125" i="8"/>
  <c r="AK126" i="8"/>
  <c r="AL126" i="8"/>
  <c r="AK127" i="8"/>
  <c r="AL127" i="8"/>
  <c r="AK128" i="8"/>
  <c r="AL128" i="8"/>
  <c r="AK129" i="8"/>
  <c r="AL129" i="8"/>
  <c r="AK130" i="8"/>
  <c r="AL130" i="8"/>
  <c r="AK131" i="8"/>
  <c r="AL131" i="8"/>
  <c r="AK132" i="8"/>
  <c r="AL132" i="8"/>
  <c r="AK133" i="8"/>
  <c r="AL133" i="8"/>
  <c r="AK134" i="8"/>
  <c r="AL134" i="8"/>
  <c r="AK135" i="8"/>
  <c r="AL135" i="8"/>
  <c r="AK136" i="8"/>
  <c r="AL136" i="8"/>
  <c r="AK137" i="8"/>
  <c r="AL137" i="8"/>
  <c r="AK138" i="8"/>
  <c r="AL138" i="8"/>
  <c r="AK139" i="8"/>
  <c r="AL139" i="8"/>
  <c r="AK140" i="8"/>
  <c r="AL140" i="8"/>
  <c r="AK141" i="8"/>
  <c r="AL141" i="8"/>
  <c r="AK142" i="8"/>
  <c r="AL142" i="8"/>
  <c r="AK143" i="8"/>
  <c r="AL143" i="8"/>
  <c r="AK144" i="8"/>
  <c r="AL144" i="8"/>
  <c r="AK145" i="8"/>
  <c r="AL145" i="8"/>
  <c r="AK146" i="8"/>
  <c r="AL146" i="8"/>
  <c r="AK147" i="8"/>
  <c r="AL147" i="8"/>
  <c r="AK148" i="8"/>
  <c r="AL148" i="8"/>
  <c r="AK149" i="8"/>
  <c r="AL149" i="8"/>
  <c r="AK150" i="8"/>
  <c r="AL150" i="8"/>
  <c r="AK151" i="8"/>
  <c r="AL151" i="8"/>
  <c r="AK152" i="8"/>
  <c r="AL152" i="8"/>
  <c r="AK153" i="8"/>
  <c r="AL153" i="8"/>
  <c r="AK154" i="8"/>
  <c r="AL154" i="8"/>
  <c r="AK155" i="8"/>
  <c r="AL155" i="8"/>
  <c r="AK156" i="8"/>
  <c r="AL156" i="8"/>
  <c r="AK157" i="8"/>
  <c r="AL157" i="8"/>
  <c r="AK158" i="8"/>
  <c r="AL158" i="8"/>
  <c r="AK159" i="8"/>
  <c r="AL159" i="8"/>
  <c r="AK160" i="8"/>
  <c r="AL160" i="8"/>
  <c r="AK161" i="8"/>
  <c r="AL161" i="8"/>
  <c r="AK162" i="8"/>
  <c r="AL162" i="8"/>
  <c r="AK163" i="8"/>
  <c r="AL163" i="8"/>
  <c r="AK164" i="8"/>
  <c r="AL164" i="8"/>
  <c r="AK165" i="8"/>
  <c r="AL165" i="8"/>
  <c r="AK166" i="8"/>
  <c r="AL166" i="8"/>
  <c r="AK167" i="8"/>
  <c r="AL167" i="8"/>
  <c r="AK168" i="8"/>
  <c r="AL168" i="8"/>
  <c r="AK169" i="8"/>
  <c r="AL169" i="8"/>
  <c r="AK170" i="8"/>
  <c r="AL170" i="8"/>
  <c r="AK171" i="8"/>
  <c r="AL171" i="8"/>
  <c r="AK172" i="8"/>
  <c r="AL172" i="8"/>
  <c r="AK173" i="8"/>
  <c r="AL173" i="8"/>
  <c r="AK174" i="8"/>
  <c r="AL174" i="8"/>
  <c r="AK175" i="8"/>
  <c r="AL175" i="8"/>
  <c r="AK176" i="8"/>
  <c r="AL176" i="8"/>
  <c r="AK177" i="8"/>
  <c r="AL177" i="8"/>
  <c r="AK178" i="8"/>
  <c r="AL178" i="8"/>
  <c r="AK179" i="8"/>
  <c r="AL179" i="8"/>
  <c r="AK180" i="8"/>
  <c r="AL180" i="8"/>
  <c r="AK181" i="8"/>
  <c r="AL181" i="8"/>
  <c r="AK182" i="8"/>
  <c r="AL182" i="8"/>
  <c r="AK183" i="8"/>
  <c r="AL183" i="8"/>
  <c r="AK184" i="8"/>
  <c r="AL184" i="8"/>
  <c r="AK185" i="8"/>
  <c r="AL185" i="8"/>
  <c r="AK186" i="8"/>
  <c r="AL186" i="8"/>
  <c r="AK187" i="8"/>
  <c r="AL187" i="8"/>
  <c r="AK188" i="8"/>
  <c r="AL188" i="8"/>
  <c r="AK189" i="8"/>
  <c r="AL189" i="8"/>
  <c r="AK190" i="8"/>
  <c r="AL190" i="8"/>
  <c r="AK191" i="8"/>
  <c r="AL191" i="8"/>
  <c r="AK192" i="8"/>
  <c r="AL192" i="8"/>
  <c r="AK193" i="8"/>
  <c r="AL193" i="8"/>
  <c r="AK194" i="8"/>
  <c r="AL194" i="8"/>
  <c r="AK195" i="8"/>
  <c r="AL195" i="8"/>
  <c r="AK196" i="8"/>
  <c r="AL196" i="8"/>
  <c r="AK197" i="8"/>
  <c r="AL197" i="8"/>
  <c r="AK198" i="8"/>
  <c r="AL198" i="8"/>
  <c r="AK199" i="8"/>
  <c r="AL199" i="8"/>
  <c r="AK200" i="8"/>
  <c r="AL200" i="8"/>
  <c r="AK201" i="8"/>
  <c r="AL201" i="8"/>
  <c r="AL2" i="8"/>
  <c r="AK2" i="8"/>
  <c r="AM3" i="8"/>
  <c r="AN3" i="8"/>
  <c r="AM4" i="8"/>
  <c r="AN4" i="8"/>
  <c r="AM5" i="8"/>
  <c r="AN5" i="8"/>
  <c r="AM6" i="8"/>
  <c r="AN6" i="8"/>
  <c r="AM7" i="8"/>
  <c r="AN7" i="8"/>
  <c r="AM8" i="8"/>
  <c r="AN8" i="8"/>
  <c r="AM9" i="8"/>
  <c r="AN9" i="8"/>
  <c r="AM10" i="8"/>
  <c r="AN10" i="8"/>
  <c r="AM11" i="8"/>
  <c r="AN11" i="8"/>
  <c r="AM12" i="8"/>
  <c r="AN12" i="8"/>
  <c r="AM13" i="8"/>
  <c r="AN13" i="8"/>
  <c r="AM14" i="8"/>
  <c r="AN14" i="8"/>
  <c r="AM15" i="8"/>
  <c r="AN15" i="8"/>
  <c r="AM16" i="8"/>
  <c r="AN16" i="8"/>
  <c r="AM17" i="8"/>
  <c r="AN17" i="8"/>
  <c r="AM18" i="8"/>
  <c r="AN18" i="8"/>
  <c r="AM19" i="8"/>
  <c r="AN19" i="8"/>
  <c r="AM20" i="8"/>
  <c r="AN20" i="8"/>
  <c r="AM21" i="8"/>
  <c r="AN21" i="8"/>
  <c r="AM22" i="8"/>
  <c r="AN22" i="8"/>
  <c r="AM23" i="8"/>
  <c r="AN23" i="8"/>
  <c r="AM24" i="8"/>
  <c r="AN24" i="8"/>
  <c r="AM25" i="8"/>
  <c r="AN25" i="8"/>
  <c r="AM26" i="8"/>
  <c r="AN26" i="8"/>
  <c r="AM27" i="8"/>
  <c r="AN27" i="8"/>
  <c r="AM28" i="8"/>
  <c r="AN28" i="8"/>
  <c r="AM29" i="8"/>
  <c r="AN29" i="8"/>
  <c r="AM30" i="8"/>
  <c r="AN30" i="8"/>
  <c r="AM31" i="8"/>
  <c r="AN31" i="8"/>
  <c r="AM32" i="8"/>
  <c r="AN32" i="8"/>
  <c r="AM34" i="8"/>
  <c r="AN34" i="8"/>
  <c r="AM35" i="8"/>
  <c r="AN35" i="8"/>
  <c r="AM36" i="8"/>
  <c r="AN36" i="8"/>
  <c r="AM37" i="8"/>
  <c r="AN37" i="8"/>
  <c r="AM38" i="8"/>
  <c r="AN38" i="8"/>
  <c r="AM39" i="8"/>
  <c r="AN39" i="8"/>
  <c r="AM40" i="8"/>
  <c r="AN40" i="8"/>
  <c r="AM41" i="8"/>
  <c r="AN41" i="8"/>
  <c r="AM42" i="8"/>
  <c r="AN42" i="8"/>
  <c r="AM43" i="8"/>
  <c r="AN43" i="8"/>
  <c r="AM44" i="8"/>
  <c r="AN44" i="8"/>
  <c r="AM45" i="8"/>
  <c r="AN45" i="8"/>
  <c r="AM46" i="8"/>
  <c r="AN46" i="8"/>
  <c r="AM47" i="8"/>
  <c r="AN47" i="8"/>
  <c r="AM48" i="8"/>
  <c r="AN48" i="8"/>
  <c r="AM49" i="8"/>
  <c r="AN49" i="8"/>
  <c r="AM50" i="8"/>
  <c r="AN50" i="8"/>
  <c r="AM51" i="8"/>
  <c r="AN51" i="8"/>
  <c r="AM52" i="8"/>
  <c r="AN52" i="8"/>
  <c r="AM53" i="8"/>
  <c r="AN53" i="8"/>
  <c r="AM54" i="8"/>
  <c r="AN54" i="8"/>
  <c r="AM55" i="8"/>
  <c r="AN55" i="8"/>
  <c r="AM56" i="8"/>
  <c r="AN56" i="8"/>
  <c r="AM57" i="8"/>
  <c r="AN57" i="8"/>
  <c r="AM58" i="8"/>
  <c r="AN58" i="8"/>
  <c r="AM59" i="8"/>
  <c r="AN59" i="8"/>
  <c r="AM60" i="8"/>
  <c r="AN60" i="8"/>
  <c r="AM62" i="8"/>
  <c r="AN62" i="8"/>
  <c r="AM63" i="8"/>
  <c r="AN63" i="8"/>
  <c r="AM64" i="8"/>
  <c r="AN64" i="8"/>
  <c r="AM65" i="8"/>
  <c r="AN65" i="8"/>
  <c r="AM66" i="8"/>
  <c r="AN66" i="8"/>
  <c r="AM67" i="8"/>
  <c r="AN67" i="8"/>
  <c r="AM68" i="8"/>
  <c r="AN68" i="8"/>
  <c r="AM69" i="8"/>
  <c r="AN69" i="8"/>
  <c r="AM70" i="8"/>
  <c r="AN70" i="8"/>
  <c r="AM71" i="8"/>
  <c r="AN71" i="8"/>
  <c r="AM72" i="8"/>
  <c r="AN72" i="8"/>
  <c r="AM73" i="8"/>
  <c r="AN73" i="8"/>
  <c r="AM74" i="8"/>
  <c r="AN74" i="8"/>
  <c r="AM75" i="8"/>
  <c r="AN75" i="8"/>
  <c r="AM76" i="8"/>
  <c r="AN76" i="8"/>
  <c r="AM77" i="8"/>
  <c r="AN77" i="8"/>
  <c r="AM78" i="8"/>
  <c r="AN78" i="8"/>
  <c r="AM79" i="8"/>
  <c r="AN79" i="8"/>
  <c r="AM80" i="8"/>
  <c r="AN80" i="8"/>
  <c r="AM81" i="8"/>
  <c r="AN81" i="8"/>
  <c r="AM82" i="8"/>
  <c r="AN82" i="8"/>
  <c r="AM83" i="8"/>
  <c r="AN83" i="8"/>
  <c r="AM84" i="8"/>
  <c r="AN84" i="8"/>
  <c r="AM85" i="8"/>
  <c r="AN85" i="8"/>
  <c r="AM86" i="8"/>
  <c r="AN86" i="8"/>
  <c r="AM87" i="8"/>
  <c r="AN87" i="8"/>
  <c r="AM88" i="8"/>
  <c r="AN88" i="8"/>
  <c r="AM89" i="8"/>
  <c r="AN89" i="8"/>
  <c r="AM90" i="8"/>
  <c r="AN90" i="8"/>
  <c r="AM91" i="8"/>
  <c r="AN91" i="8"/>
  <c r="AM92" i="8"/>
  <c r="AN92" i="8"/>
  <c r="AM93" i="8"/>
  <c r="AN93" i="8"/>
  <c r="AM94" i="8"/>
  <c r="AN94" i="8"/>
  <c r="AM95" i="8"/>
  <c r="AN95" i="8"/>
  <c r="AM96" i="8"/>
  <c r="AN96" i="8"/>
  <c r="AM97" i="8"/>
  <c r="AN97" i="8"/>
  <c r="AM98" i="8"/>
  <c r="AN98" i="8"/>
  <c r="AM99" i="8"/>
  <c r="AN99" i="8"/>
  <c r="AM100" i="8"/>
  <c r="AN100" i="8"/>
  <c r="AM101" i="8"/>
  <c r="AN101" i="8"/>
  <c r="AM102" i="8"/>
  <c r="AN102" i="8"/>
  <c r="AM103" i="8"/>
  <c r="AN103" i="8"/>
  <c r="AM104" i="8"/>
  <c r="AN104" i="8"/>
  <c r="AM105" i="8"/>
  <c r="AN105" i="8"/>
  <c r="AM106" i="8"/>
  <c r="AN106" i="8"/>
  <c r="AM107" i="8"/>
  <c r="AN107" i="8"/>
  <c r="AM108" i="8"/>
  <c r="AN108" i="8"/>
  <c r="AM109" i="8"/>
  <c r="AN109" i="8"/>
  <c r="AM110" i="8"/>
  <c r="AN110" i="8"/>
  <c r="AM111" i="8"/>
  <c r="AN111" i="8"/>
  <c r="AM112" i="8"/>
  <c r="AN112" i="8"/>
  <c r="AM113" i="8"/>
  <c r="AN113" i="8"/>
  <c r="AM114" i="8"/>
  <c r="AN114" i="8"/>
  <c r="AM115" i="8"/>
  <c r="AN115" i="8"/>
  <c r="AM116" i="8"/>
  <c r="AN116" i="8"/>
  <c r="AM117" i="8"/>
  <c r="AN117" i="8"/>
  <c r="AM118" i="8"/>
  <c r="AN118" i="8"/>
  <c r="AM119" i="8"/>
  <c r="AN119" i="8"/>
  <c r="AM120" i="8"/>
  <c r="AN120" i="8"/>
  <c r="AM121" i="8"/>
  <c r="AN121" i="8"/>
  <c r="AM122" i="8"/>
  <c r="AN122" i="8"/>
  <c r="AM123" i="8"/>
  <c r="AN123" i="8"/>
  <c r="AM124" i="8"/>
  <c r="AN124" i="8"/>
  <c r="AM125" i="8"/>
  <c r="AN125" i="8"/>
  <c r="AM126" i="8"/>
  <c r="AN126" i="8"/>
  <c r="AM127" i="8"/>
  <c r="AN127" i="8"/>
  <c r="AM128" i="8"/>
  <c r="AN128" i="8"/>
  <c r="AM129" i="8"/>
  <c r="AN129" i="8"/>
  <c r="AM130" i="8"/>
  <c r="AN130" i="8"/>
  <c r="AM131" i="8"/>
  <c r="AN131" i="8"/>
  <c r="AM132" i="8"/>
  <c r="AN132" i="8"/>
  <c r="AM133" i="8"/>
  <c r="AN133" i="8"/>
  <c r="AM134" i="8"/>
  <c r="AN134" i="8"/>
  <c r="AM135" i="8"/>
  <c r="AN135" i="8"/>
  <c r="AM136" i="8"/>
  <c r="AN136" i="8"/>
  <c r="AM137" i="8"/>
  <c r="AN137" i="8"/>
  <c r="AM138" i="8"/>
  <c r="AN138" i="8"/>
  <c r="AM139" i="8"/>
  <c r="AN139" i="8"/>
  <c r="AM140" i="8"/>
  <c r="AN140" i="8"/>
  <c r="AM141" i="8"/>
  <c r="AN141" i="8"/>
  <c r="AM142" i="8"/>
  <c r="AN142" i="8"/>
  <c r="AM143" i="8"/>
  <c r="AN143" i="8"/>
  <c r="AM144" i="8"/>
  <c r="AN144" i="8"/>
  <c r="AM145" i="8"/>
  <c r="AN145" i="8"/>
  <c r="AM146" i="8"/>
  <c r="AN146" i="8"/>
  <c r="AM147" i="8"/>
  <c r="AN147" i="8"/>
  <c r="AM148" i="8"/>
  <c r="AN148" i="8"/>
  <c r="AM149" i="8"/>
  <c r="AN149" i="8"/>
  <c r="AM150" i="8"/>
  <c r="AN150" i="8"/>
  <c r="AM151" i="8"/>
  <c r="AN151" i="8"/>
  <c r="AM152" i="8"/>
  <c r="AN152" i="8"/>
  <c r="AM153" i="8"/>
  <c r="AN153" i="8"/>
  <c r="AM154" i="8"/>
  <c r="AN154" i="8"/>
  <c r="AM155" i="8"/>
  <c r="AN155" i="8"/>
  <c r="AM156" i="8"/>
  <c r="AN156" i="8"/>
  <c r="AM157" i="8"/>
  <c r="AN157" i="8"/>
  <c r="AM158" i="8"/>
  <c r="AN158" i="8"/>
  <c r="AM159" i="8"/>
  <c r="AN159" i="8"/>
  <c r="AM160" i="8"/>
  <c r="AN160" i="8"/>
  <c r="AM161" i="8"/>
  <c r="AN161" i="8"/>
  <c r="AM162" i="8"/>
  <c r="AN162" i="8"/>
  <c r="AM163" i="8"/>
  <c r="AN163" i="8"/>
  <c r="AM164" i="8"/>
  <c r="AN164" i="8"/>
  <c r="AM165" i="8"/>
  <c r="AN165" i="8"/>
  <c r="AM166" i="8"/>
  <c r="AN166" i="8"/>
  <c r="AM167" i="8"/>
  <c r="AN167" i="8"/>
  <c r="AM168" i="8"/>
  <c r="AN168" i="8"/>
  <c r="AM169" i="8"/>
  <c r="AN169" i="8"/>
  <c r="AM170" i="8"/>
  <c r="AN170" i="8"/>
  <c r="AM171" i="8"/>
  <c r="AN171" i="8"/>
  <c r="AM172" i="8"/>
  <c r="AN172" i="8"/>
  <c r="AM173" i="8"/>
  <c r="AN173" i="8"/>
  <c r="AM174" i="8"/>
  <c r="AN174" i="8"/>
  <c r="AM175" i="8"/>
  <c r="AN175" i="8"/>
  <c r="AM176" i="8"/>
  <c r="AN176" i="8"/>
  <c r="AM177" i="8"/>
  <c r="AN177" i="8"/>
  <c r="AM178" i="8"/>
  <c r="AN178" i="8"/>
  <c r="AM179" i="8"/>
  <c r="AN179" i="8"/>
  <c r="AM180" i="8"/>
  <c r="AN180" i="8"/>
  <c r="AM181" i="8"/>
  <c r="AN181" i="8"/>
  <c r="AM182" i="8"/>
  <c r="AN182" i="8"/>
  <c r="AM183" i="8"/>
  <c r="AN183" i="8"/>
  <c r="AM184" i="8"/>
  <c r="AN184" i="8"/>
  <c r="AM185" i="8"/>
  <c r="AN185" i="8"/>
  <c r="AM186" i="8"/>
  <c r="AN186" i="8"/>
  <c r="AM187" i="8"/>
  <c r="AN187" i="8"/>
  <c r="AM188" i="8"/>
  <c r="AN188" i="8"/>
  <c r="AM189" i="8"/>
  <c r="AN189" i="8"/>
  <c r="AM190" i="8"/>
  <c r="AN190" i="8"/>
  <c r="AM191" i="8"/>
  <c r="AN191" i="8"/>
  <c r="AM192" i="8"/>
  <c r="AN192" i="8"/>
  <c r="AM193" i="8"/>
  <c r="AN193" i="8"/>
  <c r="AM194" i="8"/>
  <c r="AN194" i="8"/>
  <c r="AM195" i="8"/>
  <c r="AN195" i="8"/>
  <c r="AM196" i="8"/>
  <c r="AN196" i="8"/>
  <c r="AM197" i="8"/>
  <c r="AN197" i="8"/>
  <c r="AM198" i="8"/>
  <c r="AN198" i="8"/>
  <c r="AM199" i="8"/>
  <c r="AN199" i="8"/>
  <c r="AM200" i="8"/>
  <c r="AN200" i="8"/>
  <c r="AM201" i="8"/>
  <c r="AN201" i="8"/>
  <c r="AN2" i="8"/>
  <c r="AM2" i="8"/>
  <c r="AH3" i="8"/>
  <c r="AI3" i="8"/>
  <c r="AH4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" i="8"/>
  <c r="V10" i="1"/>
  <c r="V16" i="1"/>
  <c r="V19" i="1"/>
  <c r="V22" i="1"/>
  <c r="V29" i="1"/>
  <c r="V30" i="1"/>
  <c r="V31" i="1"/>
  <c r="V32" i="1"/>
  <c r="V33" i="1"/>
  <c r="V34" i="1"/>
  <c r="V37" i="1"/>
  <c r="V47" i="1"/>
  <c r="V50" i="1"/>
  <c r="V57" i="1"/>
  <c r="V58" i="1"/>
  <c r="V59" i="1"/>
  <c r="V60" i="1"/>
  <c r="V67" i="1"/>
  <c r="V71" i="1"/>
  <c r="V78" i="1"/>
  <c r="V82" i="1"/>
  <c r="V84" i="1"/>
  <c r="V85" i="1"/>
  <c r="V86" i="1"/>
  <c r="V87" i="1"/>
  <c r="V88" i="1"/>
  <c r="V89" i="1"/>
  <c r="V90" i="1"/>
  <c r="V91" i="1"/>
  <c r="V92" i="1"/>
  <c r="V96" i="1"/>
  <c r="V102" i="1"/>
  <c r="V105" i="1"/>
  <c r="V106" i="1"/>
  <c r="V107" i="1"/>
  <c r="V108" i="1"/>
  <c r="V109" i="1"/>
  <c r="V110" i="1"/>
  <c r="V113" i="1"/>
  <c r="V116" i="1"/>
  <c r="V119" i="1"/>
  <c r="V120" i="1"/>
  <c r="V121" i="1"/>
  <c r="V125" i="1"/>
  <c r="V126" i="1"/>
  <c r="V129" i="1"/>
  <c r="V132" i="1"/>
  <c r="V136" i="1"/>
  <c r="V137" i="1"/>
  <c r="V138" i="1"/>
  <c r="V139" i="1"/>
  <c r="V140" i="1"/>
  <c r="V147" i="1"/>
  <c r="V150" i="1"/>
  <c r="V151" i="1"/>
  <c r="V156" i="1"/>
  <c r="V157" i="1"/>
  <c r="V158" i="1"/>
  <c r="V159" i="1"/>
  <c r="V160" i="1"/>
  <c r="V161" i="1"/>
  <c r="V162" i="1"/>
  <c r="V170" i="1"/>
  <c r="V176" i="1"/>
  <c r="V180" i="1"/>
  <c r="V181" i="1"/>
  <c r="V184" i="1"/>
  <c r="V187" i="1"/>
  <c r="V188" i="1"/>
  <c r="V189" i="1"/>
  <c r="V190" i="1"/>
  <c r="V191" i="1"/>
  <c r="V192" i="1"/>
  <c r="V193" i="1"/>
  <c r="V194" i="1"/>
  <c r="V197" i="1"/>
  <c r="V198" i="1"/>
  <c r="V207" i="1"/>
  <c r="V214" i="1"/>
  <c r="V215" i="1"/>
  <c r="V219" i="1"/>
  <c r="V220" i="1"/>
  <c r="V223" i="1"/>
  <c r="V250" i="1"/>
  <c r="V286" i="1"/>
  <c r="V336" i="1"/>
  <c r="V339" i="1"/>
  <c r="V342" i="1"/>
  <c r="V382" i="1"/>
  <c r="V383" i="1"/>
  <c r="U4" i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U11" i="1"/>
  <c r="V11" i="1" s="1"/>
  <c r="U12" i="1"/>
  <c r="V12" i="1" s="1"/>
  <c r="U13" i="1"/>
  <c r="V13" i="1" s="1"/>
  <c r="U14" i="1"/>
  <c r="V14" i="1" s="1"/>
  <c r="U15" i="1"/>
  <c r="V15" i="1" s="1"/>
  <c r="U16" i="1"/>
  <c r="U17" i="1"/>
  <c r="V17" i="1" s="1"/>
  <c r="U18" i="1"/>
  <c r="V18" i="1" s="1"/>
  <c r="U19" i="1"/>
  <c r="U20" i="1"/>
  <c r="V20" i="1" s="1"/>
  <c r="U21" i="1"/>
  <c r="V21" i="1" s="1"/>
  <c r="U22" i="1"/>
  <c r="U23" i="1"/>
  <c r="V23" i="1" s="1"/>
  <c r="U24" i="1"/>
  <c r="V24" i="1" s="1"/>
  <c r="U25" i="1"/>
  <c r="V25" i="1" s="1"/>
  <c r="U26" i="1"/>
  <c r="V26" i="1" s="1"/>
  <c r="U27" i="1"/>
  <c r="V27" i="1" s="1"/>
  <c r="U28" i="1"/>
  <c r="V28" i="1" s="1"/>
  <c r="U29" i="1"/>
  <c r="U30" i="1"/>
  <c r="U31" i="1"/>
  <c r="U32" i="1"/>
  <c r="U33" i="1"/>
  <c r="U34" i="1"/>
  <c r="U35" i="1"/>
  <c r="V35" i="1" s="1"/>
  <c r="U36" i="1"/>
  <c r="V36" i="1" s="1"/>
  <c r="U37" i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U45" i="1"/>
  <c r="V45" i="1" s="1"/>
  <c r="U46" i="1"/>
  <c r="V46" i="1" s="1"/>
  <c r="U47" i="1"/>
  <c r="U48" i="1"/>
  <c r="V48" i="1" s="1"/>
  <c r="U49" i="1"/>
  <c r="V49" i="1" s="1"/>
  <c r="U50" i="1"/>
  <c r="U51" i="1"/>
  <c r="V51" i="1" s="1"/>
  <c r="U52" i="1"/>
  <c r="V52" i="1" s="1"/>
  <c r="U53" i="1"/>
  <c r="V53" i="1" s="1"/>
  <c r="U54" i="1"/>
  <c r="V54" i="1" s="1"/>
  <c r="U55" i="1"/>
  <c r="V55" i="1" s="1"/>
  <c r="U56" i="1"/>
  <c r="V56" i="1" s="1"/>
  <c r="U57" i="1"/>
  <c r="U58" i="1"/>
  <c r="U59" i="1"/>
  <c r="U60" i="1"/>
  <c r="U61" i="1"/>
  <c r="V61" i="1" s="1"/>
  <c r="U62" i="1"/>
  <c r="V62" i="1" s="1"/>
  <c r="U63" i="1"/>
  <c r="V63" i="1" s="1"/>
  <c r="U64" i="1"/>
  <c r="V64" i="1" s="1"/>
  <c r="U65" i="1"/>
  <c r="V65" i="1" s="1"/>
  <c r="U66" i="1"/>
  <c r="V66" i="1" s="1"/>
  <c r="U67" i="1"/>
  <c r="U68" i="1"/>
  <c r="V68" i="1" s="1"/>
  <c r="U69" i="1"/>
  <c r="V69" i="1" s="1"/>
  <c r="U70" i="1"/>
  <c r="V70" i="1" s="1"/>
  <c r="U71" i="1"/>
  <c r="U72" i="1"/>
  <c r="V72" i="1" s="1"/>
  <c r="U73" i="1"/>
  <c r="V73" i="1" s="1"/>
  <c r="U74" i="1"/>
  <c r="V74" i="1" s="1"/>
  <c r="U75" i="1"/>
  <c r="V75" i="1" s="1"/>
  <c r="U76" i="1"/>
  <c r="V76" i="1" s="1"/>
  <c r="U77" i="1"/>
  <c r="V77" i="1" s="1"/>
  <c r="U78" i="1"/>
  <c r="U79" i="1"/>
  <c r="V79" i="1" s="1"/>
  <c r="U80" i="1"/>
  <c r="V80" i="1" s="1"/>
  <c r="U81" i="1"/>
  <c r="V81" i="1" s="1"/>
  <c r="U82" i="1"/>
  <c r="U83" i="1"/>
  <c r="V83" i="1" s="1"/>
  <c r="U84" i="1"/>
  <c r="U85" i="1"/>
  <c r="U86" i="1"/>
  <c r="U87" i="1"/>
  <c r="U88" i="1"/>
  <c r="U89" i="1"/>
  <c r="U90" i="1"/>
  <c r="U91" i="1"/>
  <c r="U92" i="1"/>
  <c r="U93" i="1"/>
  <c r="V93" i="1" s="1"/>
  <c r="U94" i="1"/>
  <c r="V94" i="1" s="1"/>
  <c r="U95" i="1"/>
  <c r="V95" i="1" s="1"/>
  <c r="U96" i="1"/>
  <c r="U97" i="1"/>
  <c r="V97" i="1" s="1"/>
  <c r="U98" i="1"/>
  <c r="V98" i="1" s="1"/>
  <c r="U99" i="1"/>
  <c r="V99" i="1" s="1"/>
  <c r="U100" i="1"/>
  <c r="V100" i="1" s="1"/>
  <c r="U101" i="1"/>
  <c r="V101" i="1" s="1"/>
  <c r="U102" i="1"/>
  <c r="U103" i="1"/>
  <c r="V103" i="1" s="1"/>
  <c r="U104" i="1"/>
  <c r="V104" i="1" s="1"/>
  <c r="U105" i="1"/>
  <c r="U106" i="1"/>
  <c r="U107" i="1"/>
  <c r="U108" i="1"/>
  <c r="U109" i="1"/>
  <c r="U110" i="1"/>
  <c r="U111" i="1"/>
  <c r="U112" i="1"/>
  <c r="U113" i="1"/>
  <c r="U114" i="1"/>
  <c r="V114" i="1" s="1"/>
  <c r="U115" i="1"/>
  <c r="V115" i="1" s="1"/>
  <c r="U116" i="1"/>
  <c r="U117" i="1"/>
  <c r="V117" i="1" s="1"/>
  <c r="U118" i="1"/>
  <c r="V118" i="1" s="1"/>
  <c r="U119" i="1"/>
  <c r="U120" i="1"/>
  <c r="U121" i="1"/>
  <c r="U122" i="1"/>
  <c r="V122" i="1" s="1"/>
  <c r="U123" i="1"/>
  <c r="V123" i="1" s="1"/>
  <c r="U124" i="1"/>
  <c r="V124" i="1" s="1"/>
  <c r="U125" i="1"/>
  <c r="U126" i="1"/>
  <c r="U127" i="1"/>
  <c r="V127" i="1" s="1"/>
  <c r="U128" i="1"/>
  <c r="V128" i="1" s="1"/>
  <c r="U129" i="1"/>
  <c r="U130" i="1"/>
  <c r="V130" i="1" s="1"/>
  <c r="U131" i="1"/>
  <c r="V131" i="1" s="1"/>
  <c r="U132" i="1"/>
  <c r="U133" i="1"/>
  <c r="V133" i="1" s="1"/>
  <c r="U134" i="1"/>
  <c r="V134" i="1" s="1"/>
  <c r="U135" i="1"/>
  <c r="V135" i="1" s="1"/>
  <c r="U136" i="1"/>
  <c r="U137" i="1"/>
  <c r="U138" i="1"/>
  <c r="U139" i="1"/>
  <c r="U140" i="1"/>
  <c r="U141" i="1"/>
  <c r="V141" i="1" s="1"/>
  <c r="U142" i="1"/>
  <c r="V142" i="1" s="1"/>
  <c r="U143" i="1"/>
  <c r="V143" i="1" s="1"/>
  <c r="U144" i="1"/>
  <c r="V144" i="1" s="1"/>
  <c r="U145" i="1"/>
  <c r="V145" i="1" s="1"/>
  <c r="U146" i="1"/>
  <c r="V146" i="1" s="1"/>
  <c r="U147" i="1"/>
  <c r="U148" i="1"/>
  <c r="V148" i="1" s="1"/>
  <c r="U149" i="1"/>
  <c r="V149" i="1" s="1"/>
  <c r="U150" i="1"/>
  <c r="U151" i="1"/>
  <c r="U152" i="1"/>
  <c r="V152" i="1" s="1"/>
  <c r="U153" i="1"/>
  <c r="V153" i="1" s="1"/>
  <c r="U154" i="1"/>
  <c r="V154" i="1" s="1"/>
  <c r="U155" i="1"/>
  <c r="V155" i="1" s="1"/>
  <c r="U156" i="1"/>
  <c r="U157" i="1"/>
  <c r="U158" i="1"/>
  <c r="U159" i="1"/>
  <c r="U160" i="1"/>
  <c r="U161" i="1"/>
  <c r="U162" i="1"/>
  <c r="U163" i="1"/>
  <c r="V163" i="1" s="1"/>
  <c r="U164" i="1"/>
  <c r="V164" i="1" s="1"/>
  <c r="U165" i="1"/>
  <c r="V165" i="1" s="1"/>
  <c r="U166" i="1"/>
  <c r="V166" i="1" s="1"/>
  <c r="U167" i="1"/>
  <c r="V167" i="1" s="1"/>
  <c r="U168" i="1"/>
  <c r="V168" i="1" s="1"/>
  <c r="U169" i="1"/>
  <c r="V169" i="1" s="1"/>
  <c r="U170" i="1"/>
  <c r="U171" i="1"/>
  <c r="V171" i="1" s="1"/>
  <c r="U172" i="1"/>
  <c r="V172" i="1" s="1"/>
  <c r="U173" i="1"/>
  <c r="V173" i="1" s="1"/>
  <c r="U174" i="1"/>
  <c r="V174" i="1" s="1"/>
  <c r="U175" i="1"/>
  <c r="V175" i="1" s="1"/>
  <c r="U176" i="1"/>
  <c r="U177" i="1"/>
  <c r="V177" i="1" s="1"/>
  <c r="U178" i="1"/>
  <c r="V178" i="1" s="1"/>
  <c r="U179" i="1"/>
  <c r="V179" i="1" s="1"/>
  <c r="U180" i="1"/>
  <c r="U181" i="1"/>
  <c r="U182" i="1"/>
  <c r="V182" i="1" s="1"/>
  <c r="U183" i="1"/>
  <c r="V183" i="1" s="1"/>
  <c r="U184" i="1"/>
  <c r="U185" i="1"/>
  <c r="V185" i="1" s="1"/>
  <c r="U186" i="1"/>
  <c r="V186" i="1" s="1"/>
  <c r="U187" i="1"/>
  <c r="U188" i="1"/>
  <c r="U189" i="1"/>
  <c r="U190" i="1"/>
  <c r="U191" i="1"/>
  <c r="U192" i="1"/>
  <c r="U193" i="1"/>
  <c r="U194" i="1"/>
  <c r="U195" i="1"/>
  <c r="V195" i="1" s="1"/>
  <c r="U196" i="1"/>
  <c r="V196" i="1" s="1"/>
  <c r="U197" i="1"/>
  <c r="U198" i="1"/>
  <c r="U199" i="1"/>
  <c r="V199" i="1" s="1"/>
  <c r="U200" i="1"/>
  <c r="V200" i="1" s="1"/>
  <c r="U201" i="1"/>
  <c r="V201" i="1" s="1"/>
  <c r="U202" i="1"/>
  <c r="V202" i="1" s="1"/>
  <c r="U203" i="1"/>
  <c r="V203" i="1" s="1"/>
  <c r="U204" i="1"/>
  <c r="V204" i="1" s="1"/>
  <c r="U205" i="1"/>
  <c r="V205" i="1" s="1"/>
  <c r="U206" i="1"/>
  <c r="V206" i="1" s="1"/>
  <c r="U207" i="1"/>
  <c r="U208" i="1"/>
  <c r="V208" i="1" s="1"/>
  <c r="U209" i="1"/>
  <c r="V209" i="1" s="1"/>
  <c r="U210" i="1"/>
  <c r="V210" i="1" s="1"/>
  <c r="U211" i="1"/>
  <c r="V211" i="1" s="1"/>
  <c r="U212" i="1"/>
  <c r="V212" i="1" s="1"/>
  <c r="U213" i="1"/>
  <c r="V213" i="1" s="1"/>
  <c r="U214" i="1"/>
  <c r="U215" i="1"/>
  <c r="U216" i="1"/>
  <c r="V216" i="1" s="1"/>
  <c r="U217" i="1"/>
  <c r="V217" i="1" s="1"/>
  <c r="U218" i="1"/>
  <c r="V218" i="1" s="1"/>
  <c r="U219" i="1"/>
  <c r="U220" i="1"/>
  <c r="U221" i="1"/>
  <c r="V221" i="1" s="1"/>
  <c r="U222" i="1"/>
  <c r="U223" i="1"/>
  <c r="U224" i="1"/>
  <c r="V224" i="1" s="1"/>
  <c r="U225" i="1"/>
  <c r="V225" i="1" s="1"/>
  <c r="U226" i="1"/>
  <c r="U227" i="1"/>
  <c r="V227" i="1" s="1"/>
  <c r="U228" i="1"/>
  <c r="V228" i="1" s="1"/>
  <c r="U229" i="1"/>
  <c r="V229" i="1" s="1"/>
  <c r="U230" i="1"/>
  <c r="V230" i="1" s="1"/>
  <c r="U231" i="1"/>
  <c r="V231" i="1" s="1"/>
  <c r="U232" i="1"/>
  <c r="V232" i="1" s="1"/>
  <c r="U233" i="1"/>
  <c r="V233" i="1" s="1"/>
  <c r="U234" i="1"/>
  <c r="V234" i="1" s="1"/>
  <c r="U235" i="1"/>
  <c r="V235" i="1" s="1"/>
  <c r="U236" i="1"/>
  <c r="V236" i="1" s="1"/>
  <c r="U237" i="1"/>
  <c r="V237" i="1" s="1"/>
  <c r="U238" i="1"/>
  <c r="V238" i="1" s="1"/>
  <c r="U239" i="1"/>
  <c r="V239" i="1" s="1"/>
  <c r="U240" i="1"/>
  <c r="V240" i="1" s="1"/>
  <c r="U241" i="1"/>
  <c r="V241" i="1" s="1"/>
  <c r="U242" i="1"/>
  <c r="V242" i="1" s="1"/>
  <c r="U243" i="1"/>
  <c r="V243" i="1" s="1"/>
  <c r="U244" i="1"/>
  <c r="V244" i="1" s="1"/>
  <c r="U245" i="1"/>
  <c r="V245" i="1" s="1"/>
  <c r="U246" i="1"/>
  <c r="V246" i="1" s="1"/>
  <c r="U247" i="1"/>
  <c r="V247" i="1" s="1"/>
  <c r="U248" i="1"/>
  <c r="V248" i="1" s="1"/>
  <c r="U249" i="1"/>
  <c r="V249" i="1" s="1"/>
  <c r="U250" i="1"/>
  <c r="U251" i="1"/>
  <c r="V251" i="1" s="1"/>
  <c r="U252" i="1"/>
  <c r="V252" i="1" s="1"/>
  <c r="U253" i="1"/>
  <c r="V253" i="1" s="1"/>
  <c r="U254" i="1"/>
  <c r="V254" i="1" s="1"/>
  <c r="U255" i="1"/>
  <c r="V255" i="1" s="1"/>
  <c r="U256" i="1"/>
  <c r="V256" i="1" s="1"/>
  <c r="U257" i="1"/>
  <c r="V257" i="1" s="1"/>
  <c r="U258" i="1"/>
  <c r="V258" i="1" s="1"/>
  <c r="U259" i="1"/>
  <c r="V259" i="1" s="1"/>
  <c r="U260" i="1"/>
  <c r="V260" i="1" s="1"/>
  <c r="U261" i="1"/>
  <c r="V261" i="1" s="1"/>
  <c r="U262" i="1"/>
  <c r="V262" i="1" s="1"/>
  <c r="U263" i="1"/>
  <c r="V263" i="1" s="1"/>
  <c r="U264" i="1"/>
  <c r="V264" i="1" s="1"/>
  <c r="U265" i="1"/>
  <c r="V265" i="1" s="1"/>
  <c r="U266" i="1"/>
  <c r="V266" i="1" s="1"/>
  <c r="U267" i="1"/>
  <c r="V267" i="1" s="1"/>
  <c r="U268" i="1"/>
  <c r="V268" i="1" s="1"/>
  <c r="U269" i="1"/>
  <c r="V269" i="1" s="1"/>
  <c r="U270" i="1"/>
  <c r="V270" i="1" s="1"/>
  <c r="U271" i="1"/>
  <c r="V271" i="1" s="1"/>
  <c r="U272" i="1"/>
  <c r="V272" i="1" s="1"/>
  <c r="U273" i="1"/>
  <c r="V273" i="1" s="1"/>
  <c r="U274" i="1"/>
  <c r="V274" i="1" s="1"/>
  <c r="U275" i="1"/>
  <c r="V275" i="1" s="1"/>
  <c r="U276" i="1"/>
  <c r="V276" i="1" s="1"/>
  <c r="U277" i="1"/>
  <c r="V277" i="1" s="1"/>
  <c r="U278" i="1"/>
  <c r="V278" i="1" s="1"/>
  <c r="U279" i="1"/>
  <c r="V279" i="1" s="1"/>
  <c r="U280" i="1"/>
  <c r="V280" i="1" s="1"/>
  <c r="U281" i="1"/>
  <c r="V281" i="1" s="1"/>
  <c r="U282" i="1"/>
  <c r="V282" i="1" s="1"/>
  <c r="U283" i="1"/>
  <c r="V283" i="1" s="1"/>
  <c r="U284" i="1"/>
  <c r="V284" i="1" s="1"/>
  <c r="U285" i="1"/>
  <c r="V285" i="1" s="1"/>
  <c r="U286" i="1"/>
  <c r="U287" i="1"/>
  <c r="V287" i="1" s="1"/>
  <c r="U288" i="1"/>
  <c r="V288" i="1" s="1"/>
  <c r="U289" i="1"/>
  <c r="V289" i="1" s="1"/>
  <c r="U290" i="1"/>
  <c r="V290" i="1" s="1"/>
  <c r="U291" i="1"/>
  <c r="V291" i="1" s="1"/>
  <c r="U292" i="1"/>
  <c r="V292" i="1" s="1"/>
  <c r="U293" i="1"/>
  <c r="V293" i="1" s="1"/>
  <c r="U294" i="1"/>
  <c r="V294" i="1" s="1"/>
  <c r="U295" i="1"/>
  <c r="V295" i="1" s="1"/>
  <c r="U296" i="1"/>
  <c r="V296" i="1" s="1"/>
  <c r="U297" i="1"/>
  <c r="V297" i="1" s="1"/>
  <c r="U298" i="1"/>
  <c r="V298" i="1" s="1"/>
  <c r="U299" i="1"/>
  <c r="V299" i="1" s="1"/>
  <c r="U300" i="1"/>
  <c r="V300" i="1" s="1"/>
  <c r="U301" i="1"/>
  <c r="V301" i="1" s="1"/>
  <c r="U302" i="1"/>
  <c r="V302" i="1" s="1"/>
  <c r="U303" i="1"/>
  <c r="V303" i="1" s="1"/>
  <c r="U304" i="1"/>
  <c r="V304" i="1" s="1"/>
  <c r="U305" i="1"/>
  <c r="V305" i="1" s="1"/>
  <c r="U306" i="1"/>
  <c r="V306" i="1" s="1"/>
  <c r="U307" i="1"/>
  <c r="V307" i="1" s="1"/>
  <c r="U308" i="1"/>
  <c r="V308" i="1" s="1"/>
  <c r="U309" i="1"/>
  <c r="V309" i="1" s="1"/>
  <c r="U310" i="1"/>
  <c r="V310" i="1" s="1"/>
  <c r="U311" i="1"/>
  <c r="V311" i="1" s="1"/>
  <c r="U312" i="1"/>
  <c r="V312" i="1" s="1"/>
  <c r="U313" i="1"/>
  <c r="V313" i="1" s="1"/>
  <c r="U314" i="1"/>
  <c r="V314" i="1" s="1"/>
  <c r="U315" i="1"/>
  <c r="V315" i="1" s="1"/>
  <c r="U316" i="1"/>
  <c r="V316" i="1" s="1"/>
  <c r="U317" i="1"/>
  <c r="V317" i="1" s="1"/>
  <c r="U318" i="1"/>
  <c r="V318" i="1" s="1"/>
  <c r="U319" i="1"/>
  <c r="V319" i="1" s="1"/>
  <c r="U320" i="1"/>
  <c r="V320" i="1" s="1"/>
  <c r="U321" i="1"/>
  <c r="V321" i="1" s="1"/>
  <c r="U322" i="1"/>
  <c r="V322" i="1" s="1"/>
  <c r="U323" i="1"/>
  <c r="V323" i="1" s="1"/>
  <c r="U324" i="1"/>
  <c r="V324" i="1" s="1"/>
  <c r="U325" i="1"/>
  <c r="V325" i="1" s="1"/>
  <c r="U326" i="1"/>
  <c r="V326" i="1" s="1"/>
  <c r="U327" i="1"/>
  <c r="V327" i="1" s="1"/>
  <c r="U328" i="1"/>
  <c r="V328" i="1" s="1"/>
  <c r="U329" i="1"/>
  <c r="V329" i="1" s="1"/>
  <c r="U330" i="1"/>
  <c r="V330" i="1" s="1"/>
  <c r="U331" i="1"/>
  <c r="V331" i="1" s="1"/>
  <c r="U332" i="1"/>
  <c r="V332" i="1" s="1"/>
  <c r="U333" i="1"/>
  <c r="V333" i="1" s="1"/>
  <c r="U334" i="1"/>
  <c r="V334" i="1" s="1"/>
  <c r="U335" i="1"/>
  <c r="V335" i="1" s="1"/>
  <c r="U336" i="1"/>
  <c r="U337" i="1"/>
  <c r="V337" i="1" s="1"/>
  <c r="U338" i="1"/>
  <c r="V338" i="1" s="1"/>
  <c r="U339" i="1"/>
  <c r="U340" i="1"/>
  <c r="V340" i="1" s="1"/>
  <c r="U341" i="1"/>
  <c r="V341" i="1" s="1"/>
  <c r="U342" i="1"/>
  <c r="U343" i="1"/>
  <c r="V343" i="1" s="1"/>
  <c r="U344" i="1"/>
  <c r="V344" i="1" s="1"/>
  <c r="U345" i="1"/>
  <c r="V345" i="1" s="1"/>
  <c r="U346" i="1"/>
  <c r="V346" i="1" s="1"/>
  <c r="U347" i="1"/>
  <c r="V347" i="1" s="1"/>
  <c r="U348" i="1"/>
  <c r="V348" i="1" s="1"/>
  <c r="U349" i="1"/>
  <c r="V349" i="1" s="1"/>
  <c r="U350" i="1"/>
  <c r="V350" i="1" s="1"/>
  <c r="U351" i="1"/>
  <c r="V351" i="1" s="1"/>
  <c r="U352" i="1"/>
  <c r="V352" i="1" s="1"/>
  <c r="U353" i="1"/>
  <c r="V353" i="1" s="1"/>
  <c r="U354" i="1"/>
  <c r="V354" i="1" s="1"/>
  <c r="U355" i="1"/>
  <c r="V355" i="1" s="1"/>
  <c r="U356" i="1"/>
  <c r="V356" i="1" s="1"/>
  <c r="U357" i="1"/>
  <c r="V357" i="1" s="1"/>
  <c r="U358" i="1"/>
  <c r="V358" i="1" s="1"/>
  <c r="U359" i="1"/>
  <c r="V359" i="1" s="1"/>
  <c r="U360" i="1"/>
  <c r="V360" i="1" s="1"/>
  <c r="U361" i="1"/>
  <c r="V361" i="1" s="1"/>
  <c r="U362" i="1"/>
  <c r="V362" i="1" s="1"/>
  <c r="U363" i="1"/>
  <c r="V363" i="1" s="1"/>
  <c r="U364" i="1"/>
  <c r="V364" i="1" s="1"/>
  <c r="U365" i="1"/>
  <c r="V365" i="1" s="1"/>
  <c r="U366" i="1"/>
  <c r="V366" i="1" s="1"/>
  <c r="U367" i="1"/>
  <c r="V367" i="1" s="1"/>
  <c r="U368" i="1"/>
  <c r="V368" i="1" s="1"/>
  <c r="U369" i="1"/>
  <c r="V369" i="1" s="1"/>
  <c r="U370" i="1"/>
  <c r="V370" i="1" s="1"/>
  <c r="U371" i="1"/>
  <c r="V371" i="1" s="1"/>
  <c r="U372" i="1"/>
  <c r="V372" i="1" s="1"/>
  <c r="U373" i="1"/>
  <c r="V373" i="1" s="1"/>
  <c r="U374" i="1"/>
  <c r="V374" i="1" s="1"/>
  <c r="U375" i="1"/>
  <c r="V375" i="1" s="1"/>
  <c r="U376" i="1"/>
  <c r="V376" i="1" s="1"/>
  <c r="U377" i="1"/>
  <c r="V377" i="1" s="1"/>
  <c r="U378" i="1"/>
  <c r="V378" i="1" s="1"/>
  <c r="U379" i="1"/>
  <c r="V379" i="1" s="1"/>
  <c r="U380" i="1"/>
  <c r="V380" i="1" s="1"/>
  <c r="U381" i="1"/>
  <c r="V381" i="1" s="1"/>
  <c r="U382" i="1"/>
  <c r="U383" i="1"/>
  <c r="U384" i="1"/>
  <c r="V384" i="1" s="1"/>
  <c r="U385" i="1"/>
  <c r="V385" i="1" s="1"/>
  <c r="U386" i="1"/>
  <c r="V386" i="1" s="1"/>
  <c r="U387" i="1"/>
  <c r="V387" i="1" s="1"/>
  <c r="U388" i="1"/>
  <c r="V388" i="1" s="1"/>
  <c r="U389" i="1"/>
  <c r="V389" i="1" s="1"/>
  <c r="U390" i="1"/>
  <c r="V390" i="1" s="1"/>
  <c r="U391" i="1"/>
  <c r="V391" i="1" s="1"/>
  <c r="U392" i="1"/>
  <c r="V392" i="1" s="1"/>
  <c r="U393" i="1"/>
  <c r="V393" i="1" s="1"/>
  <c r="U394" i="1"/>
  <c r="V394" i="1" s="1"/>
  <c r="U395" i="1"/>
  <c r="V395" i="1" s="1"/>
  <c r="U396" i="1"/>
  <c r="V396" i="1" s="1"/>
  <c r="U397" i="1"/>
  <c r="V397" i="1" s="1"/>
  <c r="U3" i="1"/>
  <c r="V3" i="1" s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" i="1"/>
  <c r="AE4" i="8"/>
  <c r="AF4" i="8"/>
  <c r="AG4" i="8"/>
  <c r="D7" i="1" l="1"/>
  <c r="AA6" i="1"/>
  <c r="AC6" i="1" s="1"/>
  <c r="AD6" i="1" s="1"/>
  <c r="AQ125" i="8"/>
  <c r="AQ117" i="8"/>
  <c r="AQ109" i="8"/>
  <c r="AQ101" i="8"/>
  <c r="AQ93" i="8"/>
  <c r="AQ3" i="8"/>
  <c r="AS10" i="8"/>
  <c r="AP178" i="8"/>
  <c r="AR178" i="8" s="1"/>
  <c r="AJ2" i="8"/>
  <c r="X2" i="8" s="1"/>
  <c r="W2" i="8"/>
  <c r="AQ193" i="8"/>
  <c r="AQ145" i="8"/>
  <c r="AS145" i="8" s="1"/>
  <c r="AQ31" i="8"/>
  <c r="AP201" i="8"/>
  <c r="AR201" i="8" s="1"/>
  <c r="AQ161" i="8"/>
  <c r="AP137" i="8"/>
  <c r="AR137" i="8" s="1"/>
  <c r="AP177" i="8"/>
  <c r="AR177" i="8" s="1"/>
  <c r="AQ113" i="8"/>
  <c r="AQ15" i="8"/>
  <c r="AS15" i="8" s="1"/>
  <c r="AP153" i="8"/>
  <c r="AR153" i="8" s="1"/>
  <c r="AQ129" i="8"/>
  <c r="AQ23" i="8"/>
  <c r="W3" i="8"/>
  <c r="AQ169" i="8"/>
  <c r="AP97" i="8"/>
  <c r="AR97" i="8" s="1"/>
  <c r="AQ85" i="8"/>
  <c r="AP81" i="8"/>
  <c r="AR81" i="8" s="1"/>
  <c r="AQ77" i="8"/>
  <c r="AP73" i="8"/>
  <c r="AR73" i="8" s="1"/>
  <c r="AQ69" i="8"/>
  <c r="AQ65" i="8"/>
  <c r="AQ56" i="8"/>
  <c r="AQ170" i="8"/>
  <c r="AS4" i="8"/>
  <c r="AT7" i="8"/>
  <c r="AT121" i="8"/>
  <c r="AT89" i="8"/>
  <c r="AP145" i="8"/>
  <c r="AR145" i="8" s="1"/>
  <c r="AT185" i="8"/>
  <c r="AT153" i="8"/>
  <c r="AT105" i="8"/>
  <c r="AQ4" i="8"/>
  <c r="AP48" i="8"/>
  <c r="AR48" i="8" s="1"/>
  <c r="AQ180" i="8"/>
  <c r="AQ140" i="8"/>
  <c r="AQ100" i="8"/>
  <c r="AT195" i="8"/>
  <c r="AT187" i="8"/>
  <c r="AT179" i="8"/>
  <c r="AT171" i="8"/>
  <c r="AT163" i="8"/>
  <c r="AT155" i="8"/>
  <c r="AT147" i="8"/>
  <c r="AT139" i="8"/>
  <c r="AT131" i="8"/>
  <c r="AT123" i="8"/>
  <c r="AT115" i="8"/>
  <c r="AT107" i="8"/>
  <c r="AP99" i="8"/>
  <c r="AR99" i="8" s="1"/>
  <c r="AP91" i="8"/>
  <c r="AR91" i="8" s="1"/>
  <c r="AT83" i="8"/>
  <c r="AT75" i="8"/>
  <c r="AP129" i="8"/>
  <c r="AR129" i="8" s="1"/>
  <c r="AQ32" i="8"/>
  <c r="AP90" i="8"/>
  <c r="AR90" i="8" s="1"/>
  <c r="AT194" i="8"/>
  <c r="AQ186" i="8"/>
  <c r="AT178" i="8"/>
  <c r="AT170" i="8"/>
  <c r="AT162" i="8"/>
  <c r="AQ154" i="8"/>
  <c r="AP146" i="8"/>
  <c r="AR146" i="8" s="1"/>
  <c r="AQ138" i="8"/>
  <c r="AP130" i="8"/>
  <c r="AR130" i="8" s="1"/>
  <c r="AP122" i="8"/>
  <c r="AR122" i="8" s="1"/>
  <c r="AT114" i="8"/>
  <c r="AP106" i="8"/>
  <c r="AR106" i="8" s="1"/>
  <c r="AP98" i="8"/>
  <c r="AR98" i="8" s="1"/>
  <c r="AQ90" i="8"/>
  <c r="AS90" i="8" s="1"/>
  <c r="AP82" i="8"/>
  <c r="AR82" i="8" s="1"/>
  <c r="AQ74" i="8"/>
  <c r="AP89" i="8"/>
  <c r="AR89" i="8" s="1"/>
  <c r="AS7" i="8"/>
  <c r="AP65" i="8"/>
  <c r="AR65" i="8" s="1"/>
  <c r="AQ76" i="8"/>
  <c r="AQ164" i="8"/>
  <c r="AQ124" i="8"/>
  <c r="AQ84" i="8"/>
  <c r="AP15" i="8"/>
  <c r="AR15" i="8" s="1"/>
  <c r="AQ177" i="8"/>
  <c r="AS177" i="8" s="1"/>
  <c r="AJ4" i="8"/>
  <c r="AP176" i="8"/>
  <c r="AR176" i="8" s="1"/>
  <c r="AP144" i="8"/>
  <c r="AR144" i="8" s="1"/>
  <c r="AQ112" i="8"/>
  <c r="AS112" i="8" s="1"/>
  <c r="AT88" i="8"/>
  <c r="AJ3" i="8"/>
  <c r="AT199" i="8"/>
  <c r="AQ191" i="8"/>
  <c r="AQ183" i="8"/>
  <c r="AQ175" i="8"/>
  <c r="AQ167" i="8"/>
  <c r="AQ159" i="8"/>
  <c r="AQ151" i="8"/>
  <c r="AQ143" i="8"/>
  <c r="AQ135" i="8"/>
  <c r="AQ127" i="8"/>
  <c r="AQ119" i="8"/>
  <c r="AQ111" i="8"/>
  <c r="AQ103" i="8"/>
  <c r="AQ95" i="8"/>
  <c r="AS95" i="8" s="1"/>
  <c r="AQ87" i="8"/>
  <c r="AQ79" i="8"/>
  <c r="AQ71" i="8"/>
  <c r="AP46" i="8"/>
  <c r="AR46" i="8" s="1"/>
  <c r="AQ5" i="8"/>
  <c r="AQ81" i="8"/>
  <c r="AS81" i="8" s="1"/>
  <c r="AQ196" i="8"/>
  <c r="AQ156" i="8"/>
  <c r="AQ116" i="8"/>
  <c r="AQ192" i="8"/>
  <c r="AQ160" i="8"/>
  <c r="AT120" i="8"/>
  <c r="AP80" i="8"/>
  <c r="AR80" i="8" s="1"/>
  <c r="AP7" i="8"/>
  <c r="AR7" i="8" s="1"/>
  <c r="AQ188" i="8"/>
  <c r="AQ148" i="8"/>
  <c r="AQ108" i="8"/>
  <c r="AT200" i="8"/>
  <c r="AQ168" i="8"/>
  <c r="AQ136" i="8"/>
  <c r="AT104" i="8"/>
  <c r="AT72" i="8"/>
  <c r="AQ198" i="8"/>
  <c r="AQ190" i="8"/>
  <c r="AQ182" i="8"/>
  <c r="AQ174" i="8"/>
  <c r="AQ166" i="8"/>
  <c r="AQ158" i="8"/>
  <c r="AQ150" i="8"/>
  <c r="AQ142" i="8"/>
  <c r="AS142" i="8" s="1"/>
  <c r="AQ134" i="8"/>
  <c r="AQ126" i="8"/>
  <c r="AQ118" i="8"/>
  <c r="AQ110" i="8"/>
  <c r="AS110" i="8" s="1"/>
  <c r="AT102" i="8"/>
  <c r="AQ94" i="8"/>
  <c r="AQ86" i="8"/>
  <c r="AQ78" i="8"/>
  <c r="AQ70" i="8"/>
  <c r="AQ172" i="8"/>
  <c r="AT132" i="8"/>
  <c r="AQ92" i="8"/>
  <c r="AT184" i="8"/>
  <c r="AT152" i="8"/>
  <c r="AP128" i="8"/>
  <c r="AR128" i="8" s="1"/>
  <c r="AP96" i="8"/>
  <c r="AR96" i="8" s="1"/>
  <c r="AQ153" i="8"/>
  <c r="AS153" i="8" s="1"/>
  <c r="AT2" i="8"/>
  <c r="AS11" i="8"/>
  <c r="AQ68" i="8"/>
  <c r="AQ59" i="8"/>
  <c r="AQ51" i="8"/>
  <c r="AQ26" i="8"/>
  <c r="AT9" i="8"/>
  <c r="AT32" i="8"/>
  <c r="AT8" i="8"/>
  <c r="AP64" i="8"/>
  <c r="AR64" i="8" s="1"/>
  <c r="AT55" i="8"/>
  <c r="AQ47" i="8"/>
  <c r="AT22" i="8"/>
  <c r="AP14" i="8"/>
  <c r="AR14" i="8" s="1"/>
  <c r="AS6" i="8"/>
  <c r="AQ62" i="8"/>
  <c r="AQ53" i="8"/>
  <c r="AT20" i="8"/>
  <c r="AP12" i="8"/>
  <c r="AR12" i="8" s="1"/>
  <c r="AT4" i="8"/>
  <c r="AS3" i="8"/>
  <c r="AQ60" i="8"/>
  <c r="AQ52" i="8"/>
  <c r="AQ27" i="8"/>
  <c r="AQ19" i="8"/>
  <c r="AQ45" i="8"/>
  <c r="AQ44" i="8"/>
  <c r="AQ43" i="8"/>
  <c r="AQ40" i="8"/>
  <c r="AT39" i="8"/>
  <c r="AQ37" i="8"/>
  <c r="AQ30" i="8"/>
  <c r="AQ28" i="8"/>
  <c r="AQ197" i="8"/>
  <c r="AQ189" i="8"/>
  <c r="AQ181" i="8"/>
  <c r="AQ173" i="8"/>
  <c r="AQ165" i="8"/>
  <c r="AQ157" i="8"/>
  <c r="AQ149" i="8"/>
  <c r="AQ141" i="8"/>
  <c r="AQ133" i="8"/>
  <c r="AT11" i="8"/>
  <c r="AT3" i="8"/>
  <c r="AP127" i="8"/>
  <c r="AR127" i="8" s="1"/>
  <c r="AQ152" i="8"/>
  <c r="AT193" i="8"/>
  <c r="AT177" i="8"/>
  <c r="AT161" i="8"/>
  <c r="AT145" i="8"/>
  <c r="AT129" i="8"/>
  <c r="AT113" i="8"/>
  <c r="AT97" i="8"/>
  <c r="AT81" i="8"/>
  <c r="AQ2" i="8"/>
  <c r="AP126" i="8"/>
  <c r="AR126" i="8" s="1"/>
  <c r="AQ48" i="8"/>
  <c r="AS48" i="8" s="1"/>
  <c r="AQ120" i="8"/>
  <c r="AT63" i="8"/>
  <c r="AT54" i="8"/>
  <c r="AT46" i="8"/>
  <c r="AT38" i="8"/>
  <c r="AS5" i="8"/>
  <c r="AT192" i="8"/>
  <c r="AT176" i="8"/>
  <c r="AT160" i="8"/>
  <c r="AT144" i="8"/>
  <c r="AT128" i="8"/>
  <c r="AT112" i="8"/>
  <c r="AT96" i="8"/>
  <c r="AT80" i="8"/>
  <c r="AT31" i="8"/>
  <c r="AT10" i="8"/>
  <c r="AP185" i="8"/>
  <c r="AR185" i="8" s="1"/>
  <c r="AP121" i="8"/>
  <c r="AR121" i="8" s="1"/>
  <c r="AP43" i="8"/>
  <c r="AR43" i="8" s="1"/>
  <c r="AQ137" i="8"/>
  <c r="AT191" i="8"/>
  <c r="AT175" i="8"/>
  <c r="AT159" i="8"/>
  <c r="AT143" i="8"/>
  <c r="AT127" i="8"/>
  <c r="AT111" i="8"/>
  <c r="AT95" i="8"/>
  <c r="AT79" i="8"/>
  <c r="AT12" i="8"/>
  <c r="AP179" i="8"/>
  <c r="AR179" i="8" s="1"/>
  <c r="AP113" i="8"/>
  <c r="AR113" i="8" s="1"/>
  <c r="AP40" i="8"/>
  <c r="AR40" i="8" s="1"/>
  <c r="AT62" i="8"/>
  <c r="AT53" i="8"/>
  <c r="AT45" i="8"/>
  <c r="AT37" i="8"/>
  <c r="AT190" i="8"/>
  <c r="AT174" i="8"/>
  <c r="AT158" i="8"/>
  <c r="AT142" i="8"/>
  <c r="AT126" i="8"/>
  <c r="AT110" i="8"/>
  <c r="AT94" i="8"/>
  <c r="AT78" i="8"/>
  <c r="AT5" i="8"/>
  <c r="AP112" i="8"/>
  <c r="AR112" i="8" s="1"/>
  <c r="AQ128" i="8"/>
  <c r="AQ88" i="8"/>
  <c r="AT189" i="8"/>
  <c r="AT173" i="8"/>
  <c r="AT157" i="8"/>
  <c r="AT141" i="8"/>
  <c r="AT125" i="8"/>
  <c r="AT109" i="8"/>
  <c r="AT93" i="8"/>
  <c r="AT77" i="8"/>
  <c r="AP111" i="8"/>
  <c r="AR111" i="8" s="1"/>
  <c r="AQ199" i="8"/>
  <c r="AQ122" i="8"/>
  <c r="AT60" i="8"/>
  <c r="AT52" i="8"/>
  <c r="AT44" i="8"/>
  <c r="AT36" i="8"/>
  <c r="AT188" i="8"/>
  <c r="AT172" i="8"/>
  <c r="AT156" i="8"/>
  <c r="AT140" i="8"/>
  <c r="AT124" i="8"/>
  <c r="AT108" i="8"/>
  <c r="AT92" i="8"/>
  <c r="AT76" i="8"/>
  <c r="AP174" i="8"/>
  <c r="AR174" i="8" s="1"/>
  <c r="AP110" i="8"/>
  <c r="AR110" i="8" s="1"/>
  <c r="AQ194" i="8"/>
  <c r="AQ121" i="8"/>
  <c r="AT91" i="8"/>
  <c r="AS40" i="8"/>
  <c r="AP161" i="8"/>
  <c r="AR161" i="8" s="1"/>
  <c r="AP105" i="8"/>
  <c r="AR105" i="8" s="1"/>
  <c r="AQ105" i="8"/>
  <c r="AS105" i="8" s="1"/>
  <c r="AQ195" i="8"/>
  <c r="AS195" i="8" s="1"/>
  <c r="AT68" i="8"/>
  <c r="AT59" i="8"/>
  <c r="AT51" i="8"/>
  <c r="AT43" i="8"/>
  <c r="AT35" i="8"/>
  <c r="AT186" i="8"/>
  <c r="AT154" i="8"/>
  <c r="AT138" i="8"/>
  <c r="AT122" i="8"/>
  <c r="AT106" i="8"/>
  <c r="AT90" i="8"/>
  <c r="AT74" i="8"/>
  <c r="AP159" i="8"/>
  <c r="AR159" i="8" s="1"/>
  <c r="AP94" i="8"/>
  <c r="AR94" i="8" s="1"/>
  <c r="AQ185" i="8"/>
  <c r="AS185" i="8" s="1"/>
  <c r="AQ102" i="8"/>
  <c r="AP195" i="8"/>
  <c r="AR195" i="8" s="1"/>
  <c r="AQ67" i="8"/>
  <c r="AP58" i="8"/>
  <c r="AR58" i="8" s="1"/>
  <c r="AP42" i="8"/>
  <c r="AR42" i="8" s="1"/>
  <c r="AP9" i="8"/>
  <c r="AR9" i="8" s="1"/>
  <c r="AT201" i="8"/>
  <c r="AT169" i="8"/>
  <c r="AT137" i="8"/>
  <c r="AT73" i="8"/>
  <c r="AP158" i="8"/>
  <c r="AR158" i="8" s="1"/>
  <c r="AQ184" i="8"/>
  <c r="AQ96" i="8"/>
  <c r="AT67" i="8"/>
  <c r="AT58" i="8"/>
  <c r="AT50" i="8"/>
  <c r="AT42" i="8"/>
  <c r="AT168" i="8"/>
  <c r="AT136" i="8"/>
  <c r="AT57" i="8"/>
  <c r="AT41" i="8"/>
  <c r="AS8" i="8"/>
  <c r="AT183" i="8"/>
  <c r="AT167" i="8"/>
  <c r="AT151" i="8"/>
  <c r="AT135" i="8"/>
  <c r="AT119" i="8"/>
  <c r="AT103" i="8"/>
  <c r="AT87" i="8"/>
  <c r="AT71" i="8"/>
  <c r="AQ80" i="8"/>
  <c r="AQ163" i="8"/>
  <c r="AT66" i="8"/>
  <c r="AT49" i="8"/>
  <c r="AT198" i="8"/>
  <c r="AT182" i="8"/>
  <c r="AT166" i="8"/>
  <c r="AT150" i="8"/>
  <c r="AT134" i="8"/>
  <c r="AT118" i="8"/>
  <c r="AT86" i="8"/>
  <c r="AT70" i="8"/>
  <c r="AT29" i="8"/>
  <c r="AT13" i="8"/>
  <c r="AP138" i="8"/>
  <c r="AR138" i="8" s="1"/>
  <c r="AQ147" i="8"/>
  <c r="AT197" i="8"/>
  <c r="AT181" i="8"/>
  <c r="AT165" i="8"/>
  <c r="AT149" i="8"/>
  <c r="AT133" i="8"/>
  <c r="AT117" i="8"/>
  <c r="AT101" i="8"/>
  <c r="AT85" i="8"/>
  <c r="AT69" i="8"/>
  <c r="AP79" i="8"/>
  <c r="AR79" i="8" s="1"/>
  <c r="AQ73" i="8"/>
  <c r="AS73" i="8" s="1"/>
  <c r="AP147" i="8"/>
  <c r="AR147" i="8" s="1"/>
  <c r="AT56" i="8"/>
  <c r="AT40" i="8"/>
  <c r="AT196" i="8"/>
  <c r="AT180" i="8"/>
  <c r="AT164" i="8"/>
  <c r="AT148" i="8"/>
  <c r="AT116" i="8"/>
  <c r="AT100" i="8"/>
  <c r="AT84" i="8"/>
  <c r="AT65" i="8"/>
  <c r="AP131" i="8"/>
  <c r="AR131" i="8" s="1"/>
  <c r="AT99" i="8"/>
  <c r="AT64" i="8"/>
  <c r="AP47" i="8"/>
  <c r="AR47" i="8" s="1"/>
  <c r="AT146" i="8"/>
  <c r="AT130" i="8"/>
  <c r="AT98" i="8"/>
  <c r="AT82" i="8"/>
  <c r="AT48" i="8"/>
  <c r="AP2" i="8"/>
  <c r="AR2" i="8" s="1"/>
  <c r="AP63" i="8"/>
  <c r="AR63" i="8" s="1"/>
  <c r="AT6" i="8"/>
  <c r="AQ50" i="8"/>
  <c r="AP34" i="8"/>
  <c r="AR34" i="8" s="1"/>
  <c r="AT25" i="8"/>
  <c r="AQ64" i="8"/>
  <c r="AQ20" i="8"/>
  <c r="AT47" i="8"/>
  <c r="AT30" i="8"/>
  <c r="AQ66" i="8"/>
  <c r="AP57" i="8"/>
  <c r="AR57" i="8" s="1"/>
  <c r="AP49" i="8"/>
  <c r="AR49" i="8" s="1"/>
  <c r="AP32" i="8"/>
  <c r="AR32" i="8" s="1"/>
  <c r="AT24" i="8"/>
  <c r="AP41" i="8"/>
  <c r="AR41" i="8" s="1"/>
  <c r="AT28" i="8"/>
  <c r="AQ54" i="8"/>
  <c r="AT27" i="8"/>
  <c r="AP31" i="8"/>
  <c r="AR31" i="8" s="1"/>
  <c r="AT26" i="8"/>
  <c r="AP30" i="8"/>
  <c r="AR30" i="8" s="1"/>
  <c r="AT15" i="8"/>
  <c r="AT14" i="8"/>
  <c r="AQ63" i="8"/>
  <c r="AQ46" i="8"/>
  <c r="AS46" i="8" s="1"/>
  <c r="AQ38" i="8"/>
  <c r="AQ29" i="8"/>
  <c r="AT21" i="8"/>
  <c r="AT34" i="8"/>
  <c r="AP23" i="8"/>
  <c r="AR23" i="8" s="1"/>
  <c r="AT23" i="8"/>
  <c r="AS23" i="8"/>
  <c r="AQ21" i="8"/>
  <c r="AT19" i="8"/>
  <c r="AQ18" i="8"/>
  <c r="AT18" i="8"/>
  <c r="AQ17" i="8"/>
  <c r="AT17" i="8"/>
  <c r="AP16" i="8"/>
  <c r="AR16" i="8" s="1"/>
  <c r="AT16" i="8"/>
  <c r="AQ16" i="8"/>
  <c r="AS16" i="8" s="1"/>
  <c r="AQ9" i="8"/>
  <c r="AP189" i="8"/>
  <c r="AR189" i="8" s="1"/>
  <c r="AP163" i="8"/>
  <c r="AR163" i="8" s="1"/>
  <c r="AP142" i="8"/>
  <c r="AR142" i="8" s="1"/>
  <c r="AP95" i="8"/>
  <c r="AR95" i="8" s="1"/>
  <c r="AP74" i="8"/>
  <c r="AP25" i="8"/>
  <c r="AR25" i="8" s="1"/>
  <c r="AQ200" i="8"/>
  <c r="AQ179" i="8"/>
  <c r="AQ132" i="8"/>
  <c r="AQ106" i="8"/>
  <c r="AQ8" i="8"/>
  <c r="AP188" i="8"/>
  <c r="AR188" i="8" s="1"/>
  <c r="AP162" i="8"/>
  <c r="AR162" i="8" s="1"/>
  <c r="AP141" i="8"/>
  <c r="AR141" i="8" s="1"/>
  <c r="AP115" i="8"/>
  <c r="AR115" i="8" s="1"/>
  <c r="AP24" i="8"/>
  <c r="AR24" i="8" s="1"/>
  <c r="AQ178" i="8"/>
  <c r="AQ131" i="8"/>
  <c r="AQ57" i="8"/>
  <c r="AQ36" i="8"/>
  <c r="AQ7" i="8"/>
  <c r="AP187" i="8"/>
  <c r="AR187" i="8" s="1"/>
  <c r="AP140" i="8"/>
  <c r="AP114" i="8"/>
  <c r="AR114" i="8" s="1"/>
  <c r="AP93" i="8"/>
  <c r="AR93" i="8" s="1"/>
  <c r="AP67" i="8"/>
  <c r="AR67" i="8" s="1"/>
  <c r="AP45" i="8"/>
  <c r="AR45" i="8" s="1"/>
  <c r="AQ130" i="8"/>
  <c r="AS130" i="8" s="1"/>
  <c r="AQ104" i="8"/>
  <c r="AQ83" i="8"/>
  <c r="AQ35" i="8"/>
  <c r="AQ6" i="8"/>
  <c r="AP186" i="8"/>
  <c r="AP160" i="8"/>
  <c r="AR160" i="8" s="1"/>
  <c r="AP139" i="8"/>
  <c r="AR139" i="8" s="1"/>
  <c r="AP92" i="8"/>
  <c r="AP66" i="8"/>
  <c r="AR66" i="8" s="1"/>
  <c r="AP44" i="8"/>
  <c r="AR44" i="8" s="1"/>
  <c r="AP17" i="8"/>
  <c r="AR17" i="8" s="1"/>
  <c r="AQ176" i="8"/>
  <c r="AQ82" i="8"/>
  <c r="AQ55" i="8"/>
  <c r="AQ34" i="8"/>
  <c r="AS34" i="8" s="1"/>
  <c r="AS9" i="8"/>
  <c r="AP157" i="8"/>
  <c r="AR157" i="8" s="1"/>
  <c r="AP156" i="8"/>
  <c r="AP109" i="8"/>
  <c r="AR109" i="8" s="1"/>
  <c r="AP83" i="8"/>
  <c r="AR83" i="8" s="1"/>
  <c r="AP62" i="8"/>
  <c r="AR62" i="8" s="1"/>
  <c r="AP13" i="8"/>
  <c r="AR13" i="8" s="1"/>
  <c r="AQ146" i="8"/>
  <c r="AQ99" i="8"/>
  <c r="AQ24" i="8"/>
  <c r="AS24" i="8" s="1"/>
  <c r="AQ187" i="8"/>
  <c r="AQ171" i="8"/>
  <c r="AQ155" i="8"/>
  <c r="AQ139" i="8"/>
  <c r="AQ123" i="8"/>
  <c r="AQ107" i="8"/>
  <c r="AQ91" i="8"/>
  <c r="AQ75" i="8"/>
  <c r="AQ58" i="8"/>
  <c r="AQ42" i="8"/>
  <c r="AS42" i="8" s="1"/>
  <c r="AQ25" i="8"/>
  <c r="AS25" i="8" s="1"/>
  <c r="AP155" i="8"/>
  <c r="AR155" i="8" s="1"/>
  <c r="AP108" i="8"/>
  <c r="AR108" i="8" s="1"/>
  <c r="AP60" i="8"/>
  <c r="AR60" i="8" s="1"/>
  <c r="AQ98" i="8"/>
  <c r="AQ72" i="8"/>
  <c r="AP175" i="8"/>
  <c r="AR175" i="8" s="1"/>
  <c r="AP154" i="8"/>
  <c r="AP107" i="8"/>
  <c r="AR107" i="8" s="1"/>
  <c r="AP59" i="8"/>
  <c r="AR59" i="8" s="1"/>
  <c r="AP11" i="8"/>
  <c r="AR11" i="8" s="1"/>
  <c r="AQ144" i="8"/>
  <c r="AQ97" i="8"/>
  <c r="AS97" i="8" s="1"/>
  <c r="AQ49" i="8"/>
  <c r="AQ22" i="8"/>
  <c r="AS22" i="8" s="1"/>
  <c r="AS31" i="8"/>
  <c r="AP10" i="8"/>
  <c r="AR10" i="8" s="1"/>
  <c r="AS2" i="8"/>
  <c r="AP194" i="8"/>
  <c r="AR194" i="8" s="1"/>
  <c r="AP173" i="8"/>
  <c r="AR173" i="8" s="1"/>
  <c r="AS30" i="8"/>
  <c r="AQ14" i="8"/>
  <c r="AS14" i="8" s="1"/>
  <c r="AP193" i="8"/>
  <c r="AR193" i="8" s="1"/>
  <c r="AP172" i="8"/>
  <c r="AP125" i="8"/>
  <c r="AR125" i="8" s="1"/>
  <c r="AP78" i="8"/>
  <c r="AR78" i="8" s="1"/>
  <c r="AP56" i="8"/>
  <c r="AR56" i="8" s="1"/>
  <c r="AP29" i="8"/>
  <c r="AR29" i="8" s="1"/>
  <c r="AP8" i="8"/>
  <c r="AR8" i="8" s="1"/>
  <c r="AQ162" i="8"/>
  <c r="AQ115" i="8"/>
  <c r="AQ89" i="8"/>
  <c r="AS89" i="8" s="1"/>
  <c r="AQ41" i="8"/>
  <c r="AQ13" i="8"/>
  <c r="AS13" i="8" s="1"/>
  <c r="AP192" i="8"/>
  <c r="AR192" i="8" s="1"/>
  <c r="AP171" i="8"/>
  <c r="AR171" i="8" s="1"/>
  <c r="AP124" i="8"/>
  <c r="AP77" i="8"/>
  <c r="AR77" i="8" s="1"/>
  <c r="AP50" i="8"/>
  <c r="AP28" i="8"/>
  <c r="AR28" i="8" s="1"/>
  <c r="AQ114" i="8"/>
  <c r="AQ11" i="8"/>
  <c r="AP191" i="8"/>
  <c r="AR191" i="8" s="1"/>
  <c r="AP170" i="8"/>
  <c r="AP123" i="8"/>
  <c r="AR123" i="8" s="1"/>
  <c r="AP76" i="8"/>
  <c r="AR76" i="8" s="1"/>
  <c r="AP27" i="8"/>
  <c r="AR27" i="8" s="1"/>
  <c r="AQ39" i="8"/>
  <c r="AQ10" i="8"/>
  <c r="AP190" i="8"/>
  <c r="AR190" i="8" s="1"/>
  <c r="AP169" i="8"/>
  <c r="AR169" i="8" s="1"/>
  <c r="AP143" i="8"/>
  <c r="AR143" i="8" s="1"/>
  <c r="AP75" i="8"/>
  <c r="AR75" i="8" s="1"/>
  <c r="AP26" i="8"/>
  <c r="AQ201" i="8"/>
  <c r="AP200" i="8"/>
  <c r="AR200" i="8" s="1"/>
  <c r="AP199" i="8"/>
  <c r="AP198" i="8"/>
  <c r="AR198" i="8" s="1"/>
  <c r="AP197" i="8"/>
  <c r="AP196" i="8"/>
  <c r="AP183" i="8"/>
  <c r="AP182" i="8"/>
  <c r="AR182" i="8" s="1"/>
  <c r="AP181" i="8"/>
  <c r="AP180" i="8"/>
  <c r="AP167" i="8"/>
  <c r="AR167" i="8" s="1"/>
  <c r="AP166" i="8"/>
  <c r="AR166" i="8" s="1"/>
  <c r="AP165" i="8"/>
  <c r="AR165" i="8" s="1"/>
  <c r="AP164" i="8"/>
  <c r="AR164" i="8" s="1"/>
  <c r="AP151" i="8"/>
  <c r="AP150" i="8"/>
  <c r="AP149" i="8"/>
  <c r="AP148" i="8"/>
  <c r="AP135" i="8"/>
  <c r="AR135" i="8" s="1"/>
  <c r="AP134" i="8"/>
  <c r="AR134" i="8" s="1"/>
  <c r="AP133" i="8"/>
  <c r="AP132" i="8"/>
  <c r="AR132" i="8" s="1"/>
  <c r="AP119" i="8"/>
  <c r="AR119" i="8" s="1"/>
  <c r="AP118" i="8"/>
  <c r="AR118" i="8" s="1"/>
  <c r="AP117" i="8"/>
  <c r="AP116" i="8"/>
  <c r="AR116" i="8" s="1"/>
  <c r="AP103" i="8"/>
  <c r="AR103" i="8" s="1"/>
  <c r="AP102" i="8"/>
  <c r="AP101" i="8"/>
  <c r="AP100" i="8"/>
  <c r="AP87" i="8"/>
  <c r="AR87" i="8" s="1"/>
  <c r="AP86" i="8"/>
  <c r="AR86" i="8" s="1"/>
  <c r="AP85" i="8"/>
  <c r="AP84" i="8"/>
  <c r="AP71" i="8"/>
  <c r="AP70" i="8"/>
  <c r="AR70" i="8" s="1"/>
  <c r="AP69" i="8"/>
  <c r="AP68" i="8"/>
  <c r="AP54" i="8"/>
  <c r="AP53" i="8"/>
  <c r="AR53" i="8" s="1"/>
  <c r="AP52" i="8"/>
  <c r="AP51" i="8"/>
  <c r="AP38" i="8"/>
  <c r="AR38" i="8" s="1"/>
  <c r="AP37" i="8"/>
  <c r="AR37" i="8" s="1"/>
  <c r="AP36" i="8"/>
  <c r="AR36" i="8" s="1"/>
  <c r="AP35" i="8"/>
  <c r="AR35" i="8" s="1"/>
  <c r="AP21" i="8"/>
  <c r="AP20" i="8"/>
  <c r="AP19" i="8"/>
  <c r="AP18" i="8"/>
  <c r="AQ12" i="8"/>
  <c r="AS12" i="8" s="1"/>
  <c r="AP5" i="8"/>
  <c r="AR5" i="8" s="1"/>
  <c r="AP4" i="8"/>
  <c r="AR4" i="8" s="1"/>
  <c r="AP3" i="8"/>
  <c r="AR3" i="8" s="1"/>
  <c r="AP184" i="8"/>
  <c r="AP168" i="8"/>
  <c r="AP152" i="8"/>
  <c r="AP136" i="8"/>
  <c r="AR136" i="8" s="1"/>
  <c r="AP120" i="8"/>
  <c r="AR120" i="8" s="1"/>
  <c r="AP104" i="8"/>
  <c r="AR104" i="8" s="1"/>
  <c r="AP88" i="8"/>
  <c r="AR88" i="8" s="1"/>
  <c r="AP72" i="8"/>
  <c r="AR72" i="8" s="1"/>
  <c r="AP55" i="8"/>
  <c r="AR55" i="8" s="1"/>
  <c r="AP39" i="8"/>
  <c r="AR39" i="8" s="1"/>
  <c r="AP22" i="8"/>
  <c r="AR22" i="8" s="1"/>
  <c r="AP6" i="8"/>
  <c r="AR6" i="8" s="1"/>
  <c r="V226" i="1"/>
  <c r="V222" i="1"/>
  <c r="V112" i="1"/>
  <c r="V111" i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AF5" i="8"/>
  <c r="AF6" i="8" s="1"/>
  <c r="AF7" i="8" s="1"/>
  <c r="AF8" i="8" s="1"/>
  <c r="AF9" i="8" s="1"/>
  <c r="AF10" i="8" s="1"/>
  <c r="AF11" i="8" s="1"/>
  <c r="AF12" i="8" s="1"/>
  <c r="AF13" i="8" s="1"/>
  <c r="AF14" i="8" s="1"/>
  <c r="AF15" i="8" s="1"/>
  <c r="AF16" i="8" s="1"/>
  <c r="AF17" i="8" s="1"/>
  <c r="AF18" i="8" s="1"/>
  <c r="AF19" i="8" s="1"/>
  <c r="AF20" i="8" s="1"/>
  <c r="AF21" i="8" s="1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4" i="8" s="1"/>
  <c r="AF35" i="8" s="1"/>
  <c r="AF36" i="8" s="1"/>
  <c r="AF37" i="8" s="1"/>
  <c r="AF38" i="8" s="1"/>
  <c r="AF39" i="8" s="1"/>
  <c r="AF40" i="8" s="1"/>
  <c r="AF41" i="8" s="1"/>
  <c r="AF42" i="8" s="1"/>
  <c r="AF43" i="8" s="1"/>
  <c r="AF44" i="8" s="1"/>
  <c r="AF45" i="8" s="1"/>
  <c r="AF46" i="8" s="1"/>
  <c r="AF47" i="8" s="1"/>
  <c r="AF48" i="8" s="1"/>
  <c r="AF49" i="8" s="1"/>
  <c r="AF50" i="8" s="1"/>
  <c r="AF51" i="8" s="1"/>
  <c r="AF52" i="8" s="1"/>
  <c r="AF53" i="8" s="1"/>
  <c r="AF54" i="8" s="1"/>
  <c r="AF55" i="8" s="1"/>
  <c r="AF56" i="8" s="1"/>
  <c r="AF57" i="8" s="1"/>
  <c r="AF58" i="8" s="1"/>
  <c r="AF59" i="8" s="1"/>
  <c r="AF60" i="8" s="1"/>
  <c r="AF62" i="8" s="1"/>
  <c r="AF63" i="8" s="1"/>
  <c r="AF64" i="8" s="1"/>
  <c r="AF65" i="8" s="1"/>
  <c r="AF66" i="8" s="1"/>
  <c r="AF67" i="8" s="1"/>
  <c r="AF68" i="8" s="1"/>
  <c r="AF69" i="8" s="1"/>
  <c r="AF70" i="8" s="1"/>
  <c r="AF71" i="8" s="1"/>
  <c r="AF72" i="8" s="1"/>
  <c r="AF73" i="8" s="1"/>
  <c r="AF74" i="8" s="1"/>
  <c r="AF75" i="8" s="1"/>
  <c r="AF76" i="8" s="1"/>
  <c r="AF77" i="8" s="1"/>
  <c r="AF78" i="8" s="1"/>
  <c r="AF79" i="8" s="1"/>
  <c r="AF80" i="8" s="1"/>
  <c r="AF81" i="8" s="1"/>
  <c r="AF82" i="8" s="1"/>
  <c r="AF83" i="8" s="1"/>
  <c r="AF84" i="8" s="1"/>
  <c r="AF85" i="8" s="1"/>
  <c r="AF86" i="8" s="1"/>
  <c r="AF87" i="8" s="1"/>
  <c r="AF88" i="8" s="1"/>
  <c r="AF89" i="8" s="1"/>
  <c r="AF90" i="8" s="1"/>
  <c r="AF91" i="8" s="1"/>
  <c r="AF92" i="8" s="1"/>
  <c r="AF93" i="8" s="1"/>
  <c r="AF94" i="8" s="1"/>
  <c r="AF95" i="8" s="1"/>
  <c r="AF96" i="8" s="1"/>
  <c r="AF97" i="8" s="1"/>
  <c r="AF98" i="8" s="1"/>
  <c r="AF99" i="8" s="1"/>
  <c r="AF100" i="8" s="1"/>
  <c r="AF101" i="8" s="1"/>
  <c r="AF102" i="8" s="1"/>
  <c r="AF103" i="8" s="1"/>
  <c r="AF104" i="8" s="1"/>
  <c r="AF105" i="8" s="1"/>
  <c r="AF106" i="8" s="1"/>
  <c r="AF107" i="8" s="1"/>
  <c r="AF108" i="8" s="1"/>
  <c r="AF109" i="8" s="1"/>
  <c r="AF110" i="8" s="1"/>
  <c r="AF111" i="8" s="1"/>
  <c r="AF112" i="8" s="1"/>
  <c r="AF113" i="8" s="1"/>
  <c r="AF114" i="8" s="1"/>
  <c r="AF115" i="8" s="1"/>
  <c r="AF116" i="8" s="1"/>
  <c r="AF117" i="8" s="1"/>
  <c r="AF118" i="8" s="1"/>
  <c r="AF119" i="8" s="1"/>
  <c r="AF120" i="8" s="1"/>
  <c r="AF121" i="8" s="1"/>
  <c r="AF122" i="8" s="1"/>
  <c r="AF123" i="8" s="1"/>
  <c r="AF124" i="8" s="1"/>
  <c r="AF125" i="8" s="1"/>
  <c r="AF126" i="8" s="1"/>
  <c r="AF127" i="8" s="1"/>
  <c r="AF128" i="8" s="1"/>
  <c r="AF129" i="8" s="1"/>
  <c r="AF130" i="8" s="1"/>
  <c r="AF131" i="8" s="1"/>
  <c r="AF132" i="8" s="1"/>
  <c r="AF133" i="8" s="1"/>
  <c r="AF134" i="8" s="1"/>
  <c r="AF135" i="8" s="1"/>
  <c r="AF136" i="8" s="1"/>
  <c r="AF137" i="8" s="1"/>
  <c r="AF138" i="8" s="1"/>
  <c r="AF139" i="8" s="1"/>
  <c r="AF140" i="8" s="1"/>
  <c r="AF141" i="8" s="1"/>
  <c r="AF142" i="8" s="1"/>
  <c r="AF143" i="8" s="1"/>
  <c r="AF144" i="8" s="1"/>
  <c r="AF145" i="8" s="1"/>
  <c r="AF146" i="8" s="1"/>
  <c r="AF147" i="8" s="1"/>
  <c r="AF148" i="8" s="1"/>
  <c r="AF149" i="8" s="1"/>
  <c r="AF150" i="8" s="1"/>
  <c r="AF151" i="8" s="1"/>
  <c r="AF152" i="8" s="1"/>
  <c r="AF153" i="8" s="1"/>
  <c r="AF154" i="8" s="1"/>
  <c r="AF155" i="8" s="1"/>
  <c r="AF156" i="8" s="1"/>
  <c r="AF157" i="8" s="1"/>
  <c r="AF158" i="8" s="1"/>
  <c r="AF159" i="8" s="1"/>
  <c r="AF160" i="8" s="1"/>
  <c r="AF161" i="8" s="1"/>
  <c r="AF162" i="8" s="1"/>
  <c r="AF163" i="8" s="1"/>
  <c r="AF164" i="8" s="1"/>
  <c r="AF165" i="8" s="1"/>
  <c r="AF166" i="8" s="1"/>
  <c r="AF167" i="8" s="1"/>
  <c r="AF168" i="8" s="1"/>
  <c r="AF169" i="8" s="1"/>
  <c r="AF170" i="8" s="1"/>
  <c r="AF171" i="8" s="1"/>
  <c r="AF172" i="8" s="1"/>
  <c r="AF173" i="8" s="1"/>
  <c r="AF174" i="8" s="1"/>
  <c r="AF175" i="8" s="1"/>
  <c r="AF176" i="8" s="1"/>
  <c r="AF177" i="8" s="1"/>
  <c r="AF178" i="8" s="1"/>
  <c r="AF179" i="8" s="1"/>
  <c r="AF180" i="8" s="1"/>
  <c r="AF181" i="8" s="1"/>
  <c r="AF182" i="8" s="1"/>
  <c r="AF183" i="8" s="1"/>
  <c r="AF184" i="8" s="1"/>
  <c r="AF185" i="8" s="1"/>
  <c r="AF186" i="8" s="1"/>
  <c r="AF187" i="8" s="1"/>
  <c r="AF188" i="8" s="1"/>
  <c r="AF189" i="8" s="1"/>
  <c r="AF190" i="8" s="1"/>
  <c r="AF191" i="8" s="1"/>
  <c r="AF192" i="8" s="1"/>
  <c r="AF193" i="8" s="1"/>
  <c r="AF194" i="8" s="1"/>
  <c r="AF195" i="8" s="1"/>
  <c r="AF196" i="8" s="1"/>
  <c r="AF197" i="8" s="1"/>
  <c r="AF198" i="8" s="1"/>
  <c r="AF199" i="8" s="1"/>
  <c r="AF200" i="8" s="1"/>
  <c r="AF201" i="8" s="1"/>
  <c r="AG5" i="8"/>
  <c r="AG6" i="8" s="1"/>
  <c r="AG7" i="8" s="1"/>
  <c r="AG8" i="8" s="1"/>
  <c r="AG9" i="8" s="1"/>
  <c r="AG10" i="8" s="1"/>
  <c r="AG11" i="8" s="1"/>
  <c r="AG12" i="8" s="1"/>
  <c r="AG13" i="8" s="1"/>
  <c r="AG14" i="8" s="1"/>
  <c r="AG15" i="8" s="1"/>
  <c r="AG16" i="8" s="1"/>
  <c r="AG17" i="8" s="1"/>
  <c r="AG18" i="8" s="1"/>
  <c r="AG19" i="8" s="1"/>
  <c r="AG20" i="8" s="1"/>
  <c r="AG21" i="8" s="1"/>
  <c r="AG22" i="8" s="1"/>
  <c r="AG23" i="8" s="1"/>
  <c r="AG24" i="8" s="1"/>
  <c r="AG25" i="8" s="1"/>
  <c r="AG26" i="8" s="1"/>
  <c r="AG27" i="8" s="1"/>
  <c r="AG28" i="8" s="1"/>
  <c r="AG29" i="8" s="1"/>
  <c r="AG30" i="8" s="1"/>
  <c r="AG31" i="8" s="1"/>
  <c r="AG32" i="8" s="1"/>
  <c r="AG34" i="8" s="1"/>
  <c r="AG35" i="8" s="1"/>
  <c r="AG36" i="8" s="1"/>
  <c r="AG37" i="8" s="1"/>
  <c r="AG38" i="8" s="1"/>
  <c r="AG39" i="8" s="1"/>
  <c r="AG40" i="8" s="1"/>
  <c r="AG41" i="8" s="1"/>
  <c r="AG42" i="8" s="1"/>
  <c r="AG43" i="8" s="1"/>
  <c r="AG44" i="8" s="1"/>
  <c r="AG45" i="8" s="1"/>
  <c r="AG46" i="8" s="1"/>
  <c r="AG47" i="8" s="1"/>
  <c r="AG48" i="8" s="1"/>
  <c r="AG49" i="8" s="1"/>
  <c r="AG50" i="8" s="1"/>
  <c r="AG51" i="8" s="1"/>
  <c r="AG52" i="8" s="1"/>
  <c r="AG53" i="8" s="1"/>
  <c r="AG54" i="8" s="1"/>
  <c r="AG55" i="8" s="1"/>
  <c r="AG56" i="8" s="1"/>
  <c r="AG57" i="8" s="1"/>
  <c r="AG58" i="8" s="1"/>
  <c r="AG59" i="8" s="1"/>
  <c r="AG60" i="8" s="1"/>
  <c r="AG62" i="8" s="1"/>
  <c r="AG63" i="8" s="1"/>
  <c r="AG64" i="8" s="1"/>
  <c r="AG65" i="8" s="1"/>
  <c r="AG66" i="8" s="1"/>
  <c r="AG67" i="8" s="1"/>
  <c r="AG68" i="8" s="1"/>
  <c r="AG69" i="8" s="1"/>
  <c r="AG70" i="8" s="1"/>
  <c r="AG71" i="8" s="1"/>
  <c r="AG72" i="8" s="1"/>
  <c r="AG73" i="8" s="1"/>
  <c r="AG74" i="8" s="1"/>
  <c r="AG75" i="8" s="1"/>
  <c r="AG76" i="8" s="1"/>
  <c r="AG77" i="8" s="1"/>
  <c r="AG78" i="8" s="1"/>
  <c r="AG79" i="8" s="1"/>
  <c r="AG80" i="8" s="1"/>
  <c r="AG81" i="8" s="1"/>
  <c r="AG82" i="8" s="1"/>
  <c r="AG83" i="8" s="1"/>
  <c r="AG84" i="8" s="1"/>
  <c r="AG85" i="8" s="1"/>
  <c r="AG86" i="8" s="1"/>
  <c r="AG87" i="8" s="1"/>
  <c r="AG88" i="8" s="1"/>
  <c r="AG89" i="8" s="1"/>
  <c r="AG90" i="8" s="1"/>
  <c r="AG91" i="8" s="1"/>
  <c r="AG92" i="8" s="1"/>
  <c r="AG93" i="8" s="1"/>
  <c r="AG94" i="8" s="1"/>
  <c r="AG95" i="8" s="1"/>
  <c r="AG96" i="8" s="1"/>
  <c r="AG97" i="8" s="1"/>
  <c r="AG98" i="8" s="1"/>
  <c r="AG99" i="8" s="1"/>
  <c r="AG100" i="8" s="1"/>
  <c r="AG101" i="8" s="1"/>
  <c r="AG102" i="8" s="1"/>
  <c r="AG103" i="8" s="1"/>
  <c r="AG104" i="8" s="1"/>
  <c r="AG105" i="8" s="1"/>
  <c r="AG106" i="8" s="1"/>
  <c r="AG107" i="8" s="1"/>
  <c r="AG108" i="8" s="1"/>
  <c r="AG109" i="8" s="1"/>
  <c r="AG110" i="8" s="1"/>
  <c r="AG111" i="8" s="1"/>
  <c r="AG112" i="8" s="1"/>
  <c r="AG113" i="8" s="1"/>
  <c r="AG114" i="8" s="1"/>
  <c r="AG115" i="8" s="1"/>
  <c r="AG116" i="8" s="1"/>
  <c r="AG117" i="8" s="1"/>
  <c r="AG118" i="8" s="1"/>
  <c r="AG119" i="8" s="1"/>
  <c r="AG120" i="8" s="1"/>
  <c r="AG121" i="8" s="1"/>
  <c r="AG122" i="8" s="1"/>
  <c r="AG123" i="8" s="1"/>
  <c r="AG124" i="8" s="1"/>
  <c r="AG125" i="8" s="1"/>
  <c r="AG126" i="8" s="1"/>
  <c r="AG127" i="8" s="1"/>
  <c r="AG128" i="8" s="1"/>
  <c r="AG129" i="8" s="1"/>
  <c r="AG130" i="8" s="1"/>
  <c r="AG131" i="8" s="1"/>
  <c r="AG132" i="8" s="1"/>
  <c r="AG133" i="8" s="1"/>
  <c r="AG134" i="8" s="1"/>
  <c r="AG135" i="8" s="1"/>
  <c r="AG136" i="8" s="1"/>
  <c r="AG137" i="8" s="1"/>
  <c r="AG138" i="8" s="1"/>
  <c r="AG139" i="8" s="1"/>
  <c r="AG140" i="8" s="1"/>
  <c r="AG141" i="8" s="1"/>
  <c r="AG142" i="8" s="1"/>
  <c r="AG143" i="8" s="1"/>
  <c r="AG144" i="8" s="1"/>
  <c r="AG145" i="8" s="1"/>
  <c r="AG146" i="8" s="1"/>
  <c r="AG147" i="8" s="1"/>
  <c r="AG148" i="8" s="1"/>
  <c r="AG149" i="8" s="1"/>
  <c r="AG150" i="8" s="1"/>
  <c r="AG151" i="8" s="1"/>
  <c r="AG152" i="8" s="1"/>
  <c r="AG153" i="8" s="1"/>
  <c r="AG154" i="8" s="1"/>
  <c r="AG155" i="8" s="1"/>
  <c r="AG156" i="8" s="1"/>
  <c r="AG157" i="8" s="1"/>
  <c r="AG158" i="8" s="1"/>
  <c r="AG159" i="8" s="1"/>
  <c r="AG160" i="8" s="1"/>
  <c r="AG161" i="8" s="1"/>
  <c r="AG162" i="8" s="1"/>
  <c r="AG163" i="8" s="1"/>
  <c r="AG164" i="8" s="1"/>
  <c r="AG165" i="8" s="1"/>
  <c r="AG166" i="8" s="1"/>
  <c r="AG167" i="8" s="1"/>
  <c r="AG168" i="8" s="1"/>
  <c r="AG169" i="8" s="1"/>
  <c r="AG170" i="8" s="1"/>
  <c r="AG171" i="8" s="1"/>
  <c r="AG172" i="8" s="1"/>
  <c r="AG173" i="8" s="1"/>
  <c r="AG174" i="8" s="1"/>
  <c r="AG175" i="8" s="1"/>
  <c r="AG176" i="8" s="1"/>
  <c r="AG177" i="8" s="1"/>
  <c r="AG178" i="8" s="1"/>
  <c r="AG179" i="8" s="1"/>
  <c r="AG180" i="8" s="1"/>
  <c r="AG181" i="8" s="1"/>
  <c r="AG182" i="8" s="1"/>
  <c r="AG183" i="8" s="1"/>
  <c r="AG184" i="8" s="1"/>
  <c r="AG185" i="8" s="1"/>
  <c r="AG186" i="8" s="1"/>
  <c r="AG187" i="8" s="1"/>
  <c r="AG188" i="8" s="1"/>
  <c r="AG189" i="8" s="1"/>
  <c r="AG190" i="8" s="1"/>
  <c r="AG191" i="8" s="1"/>
  <c r="AG192" i="8" s="1"/>
  <c r="AG193" i="8" s="1"/>
  <c r="AG194" i="8" s="1"/>
  <c r="AG195" i="8" s="1"/>
  <c r="AG196" i="8" s="1"/>
  <c r="AG197" i="8" s="1"/>
  <c r="AG198" i="8" s="1"/>
  <c r="AG199" i="8" s="1"/>
  <c r="AG200" i="8" s="1"/>
  <c r="AG201" i="8" s="1"/>
  <c r="AE5" i="8"/>
  <c r="AE6" i="8" s="1"/>
  <c r="AE7" i="8" s="1"/>
  <c r="AE8" i="8" s="1"/>
  <c r="AE9" i="8" s="1"/>
  <c r="AE10" i="8" s="1"/>
  <c r="AE11" i="8" s="1"/>
  <c r="AE12" i="8" s="1"/>
  <c r="AE13" i="8" s="1"/>
  <c r="AE14" i="8" s="1"/>
  <c r="AE15" i="8" s="1"/>
  <c r="AE16" i="8" s="1"/>
  <c r="AE17" i="8" s="1"/>
  <c r="AE18" i="8" s="1"/>
  <c r="AE19" i="8" s="1"/>
  <c r="AE20" i="8" s="1"/>
  <c r="AE21" i="8" s="1"/>
  <c r="AE22" i="8" s="1"/>
  <c r="AE23" i="8" s="1"/>
  <c r="AE24" i="8" s="1"/>
  <c r="AE25" i="8" s="1"/>
  <c r="AE26" i="8" s="1"/>
  <c r="AE27" i="8" s="1"/>
  <c r="AE28" i="8" s="1"/>
  <c r="AE29" i="8" s="1"/>
  <c r="AE30" i="8" s="1"/>
  <c r="AE31" i="8" s="1"/>
  <c r="AE32" i="8" s="1"/>
  <c r="AE34" i="8" s="1"/>
  <c r="AE35" i="8" s="1"/>
  <c r="AE36" i="8" s="1"/>
  <c r="AE37" i="8" s="1"/>
  <c r="AE38" i="8" s="1"/>
  <c r="AE39" i="8" s="1"/>
  <c r="AE40" i="8" s="1"/>
  <c r="AE41" i="8" s="1"/>
  <c r="AE42" i="8" s="1"/>
  <c r="AE43" i="8" s="1"/>
  <c r="AE44" i="8" s="1"/>
  <c r="AE45" i="8" s="1"/>
  <c r="AE46" i="8" s="1"/>
  <c r="AE47" i="8" s="1"/>
  <c r="AE48" i="8" s="1"/>
  <c r="AE49" i="8" s="1"/>
  <c r="AE50" i="8" s="1"/>
  <c r="AE51" i="8" s="1"/>
  <c r="AE52" i="8" s="1"/>
  <c r="AE53" i="8" s="1"/>
  <c r="AE54" i="8" s="1"/>
  <c r="AE55" i="8" s="1"/>
  <c r="AE56" i="8" s="1"/>
  <c r="AE57" i="8" s="1"/>
  <c r="AE58" i="8" s="1"/>
  <c r="AE59" i="8" s="1"/>
  <c r="AE60" i="8" s="1"/>
  <c r="AE62" i="8" s="1"/>
  <c r="AE63" i="8" s="1"/>
  <c r="AE64" i="8" s="1"/>
  <c r="AE65" i="8" s="1"/>
  <c r="AE66" i="8" s="1"/>
  <c r="AE67" i="8" s="1"/>
  <c r="AE68" i="8" s="1"/>
  <c r="AE69" i="8" s="1"/>
  <c r="AE70" i="8" s="1"/>
  <c r="AE71" i="8" s="1"/>
  <c r="AE72" i="8" s="1"/>
  <c r="AE73" i="8" s="1"/>
  <c r="AE74" i="8" s="1"/>
  <c r="AE75" i="8" s="1"/>
  <c r="AE76" i="8" s="1"/>
  <c r="AE77" i="8" s="1"/>
  <c r="AE78" i="8" s="1"/>
  <c r="AE79" i="8" s="1"/>
  <c r="AE80" i="8" s="1"/>
  <c r="AE81" i="8" s="1"/>
  <c r="AE82" i="8" s="1"/>
  <c r="AE83" i="8" s="1"/>
  <c r="AE84" i="8" s="1"/>
  <c r="AE85" i="8" s="1"/>
  <c r="AE86" i="8" s="1"/>
  <c r="AE87" i="8" s="1"/>
  <c r="AE88" i="8" s="1"/>
  <c r="AE89" i="8" s="1"/>
  <c r="AE90" i="8" s="1"/>
  <c r="AE91" i="8" s="1"/>
  <c r="AE92" i="8" s="1"/>
  <c r="AE93" i="8" s="1"/>
  <c r="AE94" i="8" s="1"/>
  <c r="AE95" i="8" s="1"/>
  <c r="AE96" i="8" s="1"/>
  <c r="AE97" i="8" s="1"/>
  <c r="AE98" i="8" s="1"/>
  <c r="AE99" i="8" s="1"/>
  <c r="AE100" i="8" s="1"/>
  <c r="AE101" i="8" s="1"/>
  <c r="AE102" i="8" s="1"/>
  <c r="AE103" i="8" s="1"/>
  <c r="AE104" i="8" s="1"/>
  <c r="AE105" i="8" s="1"/>
  <c r="AE106" i="8" s="1"/>
  <c r="AE107" i="8" s="1"/>
  <c r="AE108" i="8" s="1"/>
  <c r="AE109" i="8" s="1"/>
  <c r="AE110" i="8" s="1"/>
  <c r="AE111" i="8" s="1"/>
  <c r="AE112" i="8" s="1"/>
  <c r="AE113" i="8" s="1"/>
  <c r="AE114" i="8" s="1"/>
  <c r="AE115" i="8" s="1"/>
  <c r="AE116" i="8" s="1"/>
  <c r="AE117" i="8" s="1"/>
  <c r="AE118" i="8" s="1"/>
  <c r="AE119" i="8" s="1"/>
  <c r="AE120" i="8" s="1"/>
  <c r="AE121" i="8" s="1"/>
  <c r="AE122" i="8" s="1"/>
  <c r="AE123" i="8" s="1"/>
  <c r="AE124" i="8" s="1"/>
  <c r="AE125" i="8" s="1"/>
  <c r="AE126" i="8" s="1"/>
  <c r="AE127" i="8" s="1"/>
  <c r="AE128" i="8" s="1"/>
  <c r="AE129" i="8" s="1"/>
  <c r="AE130" i="8" s="1"/>
  <c r="AE131" i="8" s="1"/>
  <c r="AE132" i="8" s="1"/>
  <c r="AE133" i="8" s="1"/>
  <c r="AE134" i="8" s="1"/>
  <c r="AE135" i="8" s="1"/>
  <c r="AE136" i="8" s="1"/>
  <c r="AE137" i="8" s="1"/>
  <c r="AE138" i="8" s="1"/>
  <c r="AE139" i="8" s="1"/>
  <c r="AE140" i="8" s="1"/>
  <c r="AE141" i="8" s="1"/>
  <c r="AE142" i="8" s="1"/>
  <c r="AE143" i="8" s="1"/>
  <c r="AE144" i="8" s="1"/>
  <c r="AE145" i="8" s="1"/>
  <c r="AE146" i="8" s="1"/>
  <c r="AE147" i="8" s="1"/>
  <c r="AE148" i="8" s="1"/>
  <c r="AE149" i="8" s="1"/>
  <c r="AE150" i="8" s="1"/>
  <c r="AE151" i="8" s="1"/>
  <c r="AE152" i="8" s="1"/>
  <c r="AE153" i="8" s="1"/>
  <c r="AE154" i="8" s="1"/>
  <c r="AE155" i="8" s="1"/>
  <c r="AE156" i="8" s="1"/>
  <c r="AE157" i="8" s="1"/>
  <c r="AE158" i="8" s="1"/>
  <c r="AE159" i="8" s="1"/>
  <c r="AE160" i="8" s="1"/>
  <c r="AE161" i="8" s="1"/>
  <c r="AE162" i="8" s="1"/>
  <c r="AE163" i="8" s="1"/>
  <c r="AE164" i="8" s="1"/>
  <c r="AE165" i="8" s="1"/>
  <c r="AE166" i="8" s="1"/>
  <c r="AE167" i="8" s="1"/>
  <c r="AE168" i="8" s="1"/>
  <c r="AE169" i="8" s="1"/>
  <c r="AE170" i="8" s="1"/>
  <c r="AE171" i="8" s="1"/>
  <c r="AE172" i="8" s="1"/>
  <c r="AE173" i="8" s="1"/>
  <c r="AE174" i="8" s="1"/>
  <c r="AE175" i="8" s="1"/>
  <c r="AE176" i="8" s="1"/>
  <c r="AE177" i="8" s="1"/>
  <c r="AE178" i="8" s="1"/>
  <c r="AE179" i="8" s="1"/>
  <c r="AE180" i="8" s="1"/>
  <c r="AE181" i="8" s="1"/>
  <c r="AE182" i="8" s="1"/>
  <c r="AE183" i="8" s="1"/>
  <c r="AE184" i="8" s="1"/>
  <c r="AE185" i="8" s="1"/>
  <c r="AE186" i="8" s="1"/>
  <c r="AE187" i="8" s="1"/>
  <c r="AE188" i="8" s="1"/>
  <c r="AE189" i="8" s="1"/>
  <c r="AE190" i="8" s="1"/>
  <c r="AE191" i="8" s="1"/>
  <c r="AE192" i="8" s="1"/>
  <c r="AE193" i="8" s="1"/>
  <c r="AE194" i="8" s="1"/>
  <c r="AE195" i="8" s="1"/>
  <c r="AE196" i="8" s="1"/>
  <c r="AE197" i="8" s="1"/>
  <c r="AE198" i="8" s="1"/>
  <c r="AE199" i="8" s="1"/>
  <c r="AE200" i="8" s="1"/>
  <c r="AE201" i="8" s="1"/>
  <c r="R93" i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S93" i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S422" i="1" s="1"/>
  <c r="S423" i="1" s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0" i="1" s="1"/>
  <c r="S471" i="1" s="1"/>
  <c r="S472" i="1" s="1"/>
  <c r="S473" i="1" s="1"/>
  <c r="S474" i="1" s="1"/>
  <c r="S475" i="1" s="1"/>
  <c r="S476" i="1" s="1"/>
  <c r="S477" i="1" s="1"/>
  <c r="S478" i="1" s="1"/>
  <c r="S479" i="1" s="1"/>
  <c r="S480" i="1" s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S503" i="1" s="1"/>
  <c r="S504" i="1" s="1"/>
  <c r="S505" i="1" s="1"/>
  <c r="S506" i="1" s="1"/>
  <c r="S507" i="1" s="1"/>
  <c r="S508" i="1" s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S520" i="1" s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S544" i="1" s="1"/>
  <c r="S545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S557" i="1" s="1"/>
  <c r="S558" i="1" s="1"/>
  <c r="S559" i="1" s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S570" i="1" s="1"/>
  <c r="S571" i="1" s="1"/>
  <c r="S572" i="1" s="1"/>
  <c r="S573" i="1" s="1"/>
  <c r="S574" i="1" s="1"/>
  <c r="S575" i="1" s="1"/>
  <c r="S576" i="1" s="1"/>
  <c r="S577" i="1" s="1"/>
  <c r="S578" i="1" s="1"/>
  <c r="S579" i="1" s="1"/>
  <c r="S580" i="1" s="1"/>
  <c r="S581" i="1" s="1"/>
  <c r="S582" i="1" s="1"/>
  <c r="S583" i="1" s="1"/>
  <c r="S584" i="1" s="1"/>
  <c r="S585" i="1" s="1"/>
  <c r="S586" i="1" s="1"/>
  <c r="S587" i="1" s="1"/>
  <c r="S588" i="1" s="1"/>
  <c r="S589" i="1" s="1"/>
  <c r="S590" i="1" s="1"/>
  <c r="S591" i="1" s="1"/>
  <c r="S592" i="1" s="1"/>
  <c r="S593" i="1" s="1"/>
  <c r="S594" i="1" s="1"/>
  <c r="S595" i="1" s="1"/>
  <c r="S596" i="1" s="1"/>
  <c r="S597" i="1" s="1"/>
  <c r="S598" i="1" s="1"/>
  <c r="S599" i="1" s="1"/>
  <c r="S600" i="1" s="1"/>
  <c r="S601" i="1" s="1"/>
  <c r="S602" i="1" s="1"/>
  <c r="S603" i="1" s="1"/>
  <c r="S604" i="1" s="1"/>
  <c r="S605" i="1" s="1"/>
  <c r="S606" i="1" s="1"/>
  <c r="S607" i="1" s="1"/>
  <c r="S608" i="1" s="1"/>
  <c r="S609" i="1" s="1"/>
  <c r="S610" i="1" s="1"/>
  <c r="S611" i="1" s="1"/>
  <c r="S612" i="1" s="1"/>
  <c r="S613" i="1" s="1"/>
  <c r="S614" i="1" s="1"/>
  <c r="S615" i="1" s="1"/>
  <c r="S616" i="1" s="1"/>
  <c r="S617" i="1" s="1"/>
  <c r="S618" i="1" s="1"/>
  <c r="S619" i="1" s="1"/>
  <c r="S620" i="1" s="1"/>
  <c r="S621" i="1" s="1"/>
  <c r="S622" i="1" s="1"/>
  <c r="S623" i="1" s="1"/>
  <c r="S624" i="1" s="1"/>
  <c r="S625" i="1" s="1"/>
  <c r="S626" i="1" s="1"/>
  <c r="S627" i="1" s="1"/>
  <c r="S628" i="1" s="1"/>
  <c r="S629" i="1" s="1"/>
  <c r="S630" i="1" s="1"/>
  <c r="S631" i="1" s="1"/>
  <c r="S632" i="1" s="1"/>
  <c r="S633" i="1" s="1"/>
  <c r="S634" i="1" s="1"/>
  <c r="S635" i="1" s="1"/>
  <c r="S636" i="1" s="1"/>
  <c r="S637" i="1" s="1"/>
  <c r="S638" i="1" s="1"/>
  <c r="S639" i="1" s="1"/>
  <c r="S640" i="1" s="1"/>
  <c r="S641" i="1" s="1"/>
  <c r="S642" i="1" s="1"/>
  <c r="S643" i="1" s="1"/>
  <c r="S644" i="1" s="1"/>
  <c r="S645" i="1" s="1"/>
  <c r="S646" i="1" s="1"/>
  <c r="S647" i="1" s="1"/>
  <c r="S648" i="1" s="1"/>
  <c r="S649" i="1" s="1"/>
  <c r="S650" i="1" s="1"/>
  <c r="S651" i="1" s="1"/>
  <c r="S652" i="1" s="1"/>
  <c r="S653" i="1" s="1"/>
  <c r="S654" i="1" s="1"/>
  <c r="S655" i="1" s="1"/>
  <c r="S656" i="1" s="1"/>
  <c r="S657" i="1" s="1"/>
  <c r="S658" i="1" s="1"/>
  <c r="S659" i="1" s="1"/>
  <c r="S660" i="1" s="1"/>
  <c r="S661" i="1" s="1"/>
  <c r="S662" i="1" s="1"/>
  <c r="S663" i="1" s="1"/>
  <c r="S664" i="1" s="1"/>
  <c r="S665" i="1" s="1"/>
  <c r="S666" i="1" s="1"/>
  <c r="S667" i="1" s="1"/>
  <c r="S668" i="1" s="1"/>
  <c r="S669" i="1" s="1"/>
  <c r="S670" i="1" s="1"/>
  <c r="S671" i="1" s="1"/>
  <c r="S672" i="1" s="1"/>
  <c r="S673" i="1" s="1"/>
  <c r="S674" i="1" s="1"/>
  <c r="S675" i="1" s="1"/>
  <c r="S676" i="1" s="1"/>
  <c r="S677" i="1" s="1"/>
  <c r="S678" i="1" s="1"/>
  <c r="S679" i="1" s="1"/>
  <c r="S680" i="1" s="1"/>
  <c r="S681" i="1" s="1"/>
  <c r="S682" i="1" s="1"/>
  <c r="S683" i="1" s="1"/>
  <c r="S684" i="1" s="1"/>
  <c r="S685" i="1" s="1"/>
  <c r="S686" i="1" s="1"/>
  <c r="S687" i="1" s="1"/>
  <c r="S688" i="1" s="1"/>
  <c r="S689" i="1" s="1"/>
  <c r="S690" i="1" s="1"/>
  <c r="S691" i="1" s="1"/>
  <c r="S692" i="1" s="1"/>
  <c r="S693" i="1" s="1"/>
  <c r="S694" i="1" s="1"/>
  <c r="S695" i="1" s="1"/>
  <c r="S696" i="1" s="1"/>
  <c r="S697" i="1" s="1"/>
  <c r="S698" i="1" s="1"/>
  <c r="S699" i="1" s="1"/>
  <c r="S700" i="1" s="1"/>
  <c r="S701" i="1" s="1"/>
  <c r="S702" i="1" s="1"/>
  <c r="S703" i="1" s="1"/>
  <c r="S704" i="1" s="1"/>
  <c r="S705" i="1" s="1"/>
  <c r="Q93" i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Q530" i="1" s="1"/>
  <c r="Q531" i="1" s="1"/>
  <c r="Q532" i="1" s="1"/>
  <c r="Q533" i="1" s="1"/>
  <c r="Q534" i="1" s="1"/>
  <c r="Q535" i="1" s="1"/>
  <c r="Q536" i="1" s="1"/>
  <c r="Q537" i="1" s="1"/>
  <c r="Q538" i="1" s="1"/>
  <c r="Q539" i="1" s="1"/>
  <c r="Q540" i="1" s="1"/>
  <c r="Q541" i="1" s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563" i="1" s="1"/>
  <c r="Q564" i="1" s="1"/>
  <c r="Q565" i="1" s="1"/>
  <c r="Q566" i="1" s="1"/>
  <c r="Q567" i="1" s="1"/>
  <c r="Q568" i="1" s="1"/>
  <c r="Q569" i="1" s="1"/>
  <c r="Q570" i="1" s="1"/>
  <c r="Q571" i="1" s="1"/>
  <c r="Q572" i="1" s="1"/>
  <c r="Q573" i="1" s="1"/>
  <c r="Q574" i="1" s="1"/>
  <c r="Q575" i="1" s="1"/>
  <c r="Q576" i="1" s="1"/>
  <c r="Q577" i="1" s="1"/>
  <c r="Q578" i="1" s="1"/>
  <c r="Q579" i="1" s="1"/>
  <c r="Q580" i="1" s="1"/>
  <c r="Q581" i="1" s="1"/>
  <c r="Q582" i="1" s="1"/>
  <c r="Q583" i="1" s="1"/>
  <c r="Q584" i="1" s="1"/>
  <c r="Q585" i="1" s="1"/>
  <c r="Q586" i="1" s="1"/>
  <c r="Q587" i="1" s="1"/>
  <c r="Q588" i="1" s="1"/>
  <c r="Q589" i="1" s="1"/>
  <c r="Q590" i="1" s="1"/>
  <c r="Q591" i="1" s="1"/>
  <c r="Q592" i="1" s="1"/>
  <c r="Q593" i="1" s="1"/>
  <c r="Q594" i="1" s="1"/>
  <c r="Q595" i="1" s="1"/>
  <c r="Q596" i="1" s="1"/>
  <c r="Q597" i="1" s="1"/>
  <c r="Q598" i="1" s="1"/>
  <c r="Q599" i="1" s="1"/>
  <c r="Q600" i="1" s="1"/>
  <c r="Q601" i="1" s="1"/>
  <c r="Q602" i="1" s="1"/>
  <c r="Q603" i="1" s="1"/>
  <c r="Q604" i="1" s="1"/>
  <c r="Q605" i="1" s="1"/>
  <c r="Q606" i="1" s="1"/>
  <c r="Q607" i="1" s="1"/>
  <c r="Q608" i="1" s="1"/>
  <c r="Q609" i="1" s="1"/>
  <c r="Q610" i="1" s="1"/>
  <c r="Q611" i="1" s="1"/>
  <c r="Q612" i="1" s="1"/>
  <c r="Q613" i="1" s="1"/>
  <c r="Q614" i="1" s="1"/>
  <c r="Q615" i="1" s="1"/>
  <c r="Q616" i="1" s="1"/>
  <c r="Q617" i="1" s="1"/>
  <c r="Q618" i="1" s="1"/>
  <c r="Q619" i="1" s="1"/>
  <c r="Q620" i="1" s="1"/>
  <c r="Q621" i="1" s="1"/>
  <c r="Q622" i="1" s="1"/>
  <c r="Q623" i="1" s="1"/>
  <c r="Q624" i="1" s="1"/>
  <c r="Q625" i="1" s="1"/>
  <c r="Q626" i="1" s="1"/>
  <c r="Q627" i="1" s="1"/>
  <c r="Q628" i="1" s="1"/>
  <c r="Q629" i="1" s="1"/>
  <c r="Q630" i="1" s="1"/>
  <c r="Q631" i="1" s="1"/>
  <c r="Q632" i="1" s="1"/>
  <c r="Q633" i="1" s="1"/>
  <c r="Q634" i="1" s="1"/>
  <c r="Q635" i="1" s="1"/>
  <c r="Q636" i="1" s="1"/>
  <c r="Q637" i="1" s="1"/>
  <c r="Q638" i="1" s="1"/>
  <c r="Q639" i="1" s="1"/>
  <c r="Q640" i="1" s="1"/>
  <c r="Q641" i="1" s="1"/>
  <c r="Q642" i="1" s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657" i="1" s="1"/>
  <c r="Q658" i="1" s="1"/>
  <c r="Q659" i="1" s="1"/>
  <c r="Q660" i="1" s="1"/>
  <c r="Q661" i="1" s="1"/>
  <c r="Q662" i="1" s="1"/>
  <c r="Q663" i="1" s="1"/>
  <c r="Q664" i="1" s="1"/>
  <c r="Q665" i="1" s="1"/>
  <c r="Q666" i="1" s="1"/>
  <c r="Q667" i="1" s="1"/>
  <c r="Q668" i="1" s="1"/>
  <c r="Q669" i="1" s="1"/>
  <c r="Q670" i="1" s="1"/>
  <c r="Q671" i="1" s="1"/>
  <c r="Q672" i="1" s="1"/>
  <c r="Q673" i="1" s="1"/>
  <c r="Q674" i="1" s="1"/>
  <c r="Q675" i="1" s="1"/>
  <c r="Q676" i="1" s="1"/>
  <c r="Q677" i="1" s="1"/>
  <c r="Q678" i="1" s="1"/>
  <c r="Q679" i="1" s="1"/>
  <c r="Q680" i="1" s="1"/>
  <c r="Q681" i="1" s="1"/>
  <c r="Q682" i="1" s="1"/>
  <c r="Q683" i="1" s="1"/>
  <c r="Q684" i="1" s="1"/>
  <c r="Q685" i="1" s="1"/>
  <c r="Q686" i="1" s="1"/>
  <c r="Q687" i="1" s="1"/>
  <c r="Q688" i="1" s="1"/>
  <c r="Q689" i="1" s="1"/>
  <c r="Q690" i="1" s="1"/>
  <c r="Q691" i="1" s="1"/>
  <c r="Q692" i="1" s="1"/>
  <c r="Q693" i="1" s="1"/>
  <c r="Q694" i="1" s="1"/>
  <c r="Q695" i="1" s="1"/>
  <c r="Q696" i="1" s="1"/>
  <c r="Q697" i="1" s="1"/>
  <c r="Q698" i="1" s="1"/>
  <c r="Q699" i="1" s="1"/>
  <c r="Q700" i="1" s="1"/>
  <c r="Q701" i="1" s="1"/>
  <c r="Q702" i="1" s="1"/>
  <c r="Q703" i="1" s="1"/>
  <c r="Q704" i="1" s="1"/>
  <c r="Q705" i="1" s="1"/>
  <c r="D8" i="1" l="1"/>
  <c r="AA7" i="1"/>
  <c r="AC7" i="1" s="1"/>
  <c r="AS201" i="8"/>
  <c r="AS127" i="8"/>
  <c r="AS176" i="8"/>
  <c r="AS99" i="8"/>
  <c r="AS178" i="8"/>
  <c r="AS111" i="8"/>
  <c r="AS174" i="8"/>
  <c r="AS192" i="8"/>
  <c r="AS98" i="8"/>
  <c r="AS137" i="8"/>
  <c r="AS163" i="8"/>
  <c r="Q707" i="1"/>
  <c r="Q708" i="1" s="1"/>
  <c r="Q709" i="1" s="1"/>
  <c r="Q710" i="1" s="1"/>
  <c r="Q711" i="1" s="1"/>
  <c r="Q712" i="1" s="1"/>
  <c r="Q713" i="1" s="1"/>
  <c r="Q714" i="1" s="1"/>
  <c r="Q715" i="1" s="1"/>
  <c r="Q716" i="1" s="1"/>
  <c r="Q717" i="1" s="1"/>
  <c r="Q718" i="1" s="1"/>
  <c r="Q719" i="1" s="1"/>
  <c r="Q720" i="1" s="1"/>
  <c r="Q721" i="1" s="1"/>
  <c r="Q722" i="1" s="1"/>
  <c r="Q723" i="1" s="1"/>
  <c r="Q724" i="1" s="1"/>
  <c r="Q725" i="1" s="1"/>
  <c r="Q726" i="1" s="1"/>
  <c r="Q727" i="1" s="1"/>
  <c r="Q728" i="1" s="1"/>
  <c r="Q729" i="1" s="1"/>
  <c r="Q730" i="1" s="1"/>
  <c r="Q731" i="1" s="1"/>
  <c r="Q732" i="1" s="1"/>
  <c r="Q733" i="1" s="1"/>
  <c r="Q734" i="1" s="1"/>
  <c r="Q735" i="1" s="1"/>
  <c r="Q736" i="1" s="1"/>
  <c r="Q737" i="1" s="1"/>
  <c r="Q738" i="1" s="1"/>
  <c r="Q739" i="1" s="1"/>
  <c r="Q740" i="1" s="1"/>
  <c r="Q741" i="1" s="1"/>
  <c r="Q742" i="1" s="1"/>
  <c r="Q743" i="1" s="1"/>
  <c r="Q744" i="1" s="1"/>
  <c r="Q745" i="1" s="1"/>
  <c r="Q746" i="1" s="1"/>
  <c r="Q747" i="1" s="1"/>
  <c r="Q748" i="1" s="1"/>
  <c r="Q749" i="1" s="1"/>
  <c r="Q750" i="1" s="1"/>
  <c r="Q751" i="1" s="1"/>
  <c r="Q752" i="1" s="1"/>
  <c r="Q753" i="1" s="1"/>
  <c r="Q754" i="1" s="1"/>
  <c r="Q755" i="1" s="1"/>
  <c r="Q756" i="1" s="1"/>
  <c r="Q757" i="1" s="1"/>
  <c r="Q758" i="1" s="1"/>
  <c r="Q759" i="1" s="1"/>
  <c r="Q760" i="1" s="1"/>
  <c r="Q761" i="1" s="1"/>
  <c r="Q762" i="1" s="1"/>
  <c r="Q763" i="1" s="1"/>
  <c r="Q764" i="1" s="1"/>
  <c r="Q765" i="1" s="1"/>
  <c r="Q766" i="1" s="1"/>
  <c r="Q767" i="1" s="1"/>
  <c r="Q768" i="1" s="1"/>
  <c r="Q769" i="1" s="1"/>
  <c r="Q770" i="1" s="1"/>
  <c r="Q771" i="1" s="1"/>
  <c r="Q772" i="1" s="1"/>
  <c r="Q773" i="1" s="1"/>
  <c r="Q774" i="1" s="1"/>
  <c r="Q775" i="1" s="1"/>
  <c r="Q776" i="1" s="1"/>
  <c r="Q777" i="1" s="1"/>
  <c r="Q778" i="1" s="1"/>
  <c r="Q779" i="1" s="1"/>
  <c r="Q780" i="1" s="1"/>
  <c r="Q781" i="1" s="1"/>
  <c r="Q782" i="1" s="1"/>
  <c r="Q783" i="1" s="1"/>
  <c r="Q784" i="1" s="1"/>
  <c r="Q785" i="1" s="1"/>
  <c r="Q786" i="1" s="1"/>
  <c r="Q787" i="1" s="1"/>
  <c r="Q788" i="1" s="1"/>
  <c r="Q789" i="1" s="1"/>
  <c r="Q790" i="1" s="1"/>
  <c r="Q791" i="1" s="1"/>
  <c r="Q792" i="1" s="1"/>
  <c r="Q793" i="1" s="1"/>
  <c r="Q794" i="1" s="1"/>
  <c r="Q795" i="1" s="1"/>
  <c r="Q796" i="1" s="1"/>
  <c r="Q797" i="1" s="1"/>
  <c r="Q798" i="1" s="1"/>
  <c r="Q799" i="1" s="1"/>
  <c r="Q800" i="1" s="1"/>
  <c r="Q801" i="1" s="1"/>
  <c r="Q802" i="1" s="1"/>
  <c r="Q803" i="1" s="1"/>
  <c r="Q804" i="1" s="1"/>
  <c r="Q805" i="1" s="1"/>
  <c r="Q806" i="1" s="1"/>
  <c r="Q807" i="1" s="1"/>
  <c r="Q808" i="1" s="1"/>
  <c r="Q809" i="1" s="1"/>
  <c r="Q810" i="1" s="1"/>
  <c r="Q811" i="1" s="1"/>
  <c r="Q812" i="1" s="1"/>
  <c r="Q813" i="1" s="1"/>
  <c r="Q814" i="1" s="1"/>
  <c r="Q815" i="1" s="1"/>
  <c r="Q816" i="1" s="1"/>
  <c r="Q817" i="1" s="1"/>
  <c r="Q818" i="1" s="1"/>
  <c r="Q819" i="1" s="1"/>
  <c r="Q820" i="1" s="1"/>
  <c r="Q821" i="1" s="1"/>
  <c r="Q822" i="1" s="1"/>
  <c r="Q823" i="1" s="1"/>
  <c r="Q824" i="1" s="1"/>
  <c r="Q825" i="1" s="1"/>
  <c r="Q826" i="1" s="1"/>
  <c r="Q827" i="1" s="1"/>
  <c r="Q828" i="1" s="1"/>
  <c r="Q829" i="1" s="1"/>
  <c r="Q830" i="1" s="1"/>
  <c r="Q831" i="1" s="1"/>
  <c r="Q832" i="1" s="1"/>
  <c r="Q833" i="1" s="1"/>
  <c r="Q834" i="1" s="1"/>
  <c r="Q835" i="1" s="1"/>
  <c r="Q836" i="1" s="1"/>
  <c r="Q837" i="1" s="1"/>
  <c r="Q838" i="1" s="1"/>
  <c r="Q839" i="1" s="1"/>
  <c r="Q840" i="1" s="1"/>
  <c r="Q841" i="1" s="1"/>
  <c r="Q842" i="1" s="1"/>
  <c r="Q843" i="1" s="1"/>
  <c r="Q844" i="1" s="1"/>
  <c r="Q845" i="1" s="1"/>
  <c r="Q846" i="1" s="1"/>
  <c r="Q847" i="1" s="1"/>
  <c r="Q848" i="1" s="1"/>
  <c r="Q849" i="1" s="1"/>
  <c r="Q850" i="1" s="1"/>
  <c r="Q851" i="1" s="1"/>
  <c r="Q852" i="1" s="1"/>
  <c r="Q853" i="1" s="1"/>
  <c r="Q854" i="1" s="1"/>
  <c r="Q855" i="1" s="1"/>
  <c r="Q856" i="1" s="1"/>
  <c r="Q857" i="1" s="1"/>
  <c r="Q858" i="1" s="1"/>
  <c r="Q859" i="1" s="1"/>
  <c r="Q860" i="1" s="1"/>
  <c r="Q861" i="1" s="1"/>
  <c r="Q862" i="1" s="1"/>
  <c r="Q863" i="1" s="1"/>
  <c r="Q864" i="1" s="1"/>
  <c r="Q865" i="1" s="1"/>
  <c r="Q866" i="1" s="1"/>
  <c r="Q867" i="1" s="1"/>
  <c r="Q868" i="1" s="1"/>
  <c r="Q869" i="1" s="1"/>
  <c r="Q870" i="1" s="1"/>
  <c r="Q871" i="1" s="1"/>
  <c r="Q872" i="1" s="1"/>
  <c r="Q873" i="1" s="1"/>
  <c r="Q874" i="1" s="1"/>
  <c r="Q875" i="1" s="1"/>
  <c r="Q876" i="1" s="1"/>
  <c r="Q877" i="1" s="1"/>
  <c r="Q878" i="1" s="1"/>
  <c r="Q879" i="1" s="1"/>
  <c r="Q880" i="1" s="1"/>
  <c r="Q881" i="1" s="1"/>
  <c r="Q882" i="1" s="1"/>
  <c r="Q883" i="1" s="1"/>
  <c r="Q884" i="1" s="1"/>
  <c r="Q885" i="1" s="1"/>
  <c r="Q886" i="1" s="1"/>
  <c r="Q887" i="1" s="1"/>
  <c r="Q888" i="1" s="1"/>
  <c r="Q889" i="1" s="1"/>
  <c r="Q890" i="1" s="1"/>
  <c r="Q891" i="1" s="1"/>
  <c r="Q892" i="1" s="1"/>
  <c r="Q893" i="1" s="1"/>
  <c r="Q894" i="1" s="1"/>
  <c r="Q895" i="1" s="1"/>
  <c r="Q896" i="1" s="1"/>
  <c r="Q897" i="1" s="1"/>
  <c r="Q898" i="1" s="1"/>
  <c r="Q899" i="1" s="1"/>
  <c r="Q900" i="1" s="1"/>
  <c r="Q901" i="1" s="1"/>
  <c r="Q902" i="1" s="1"/>
  <c r="Q903" i="1" s="1"/>
  <c r="Q904" i="1" s="1"/>
  <c r="Q905" i="1" s="1"/>
  <c r="Q906" i="1" s="1"/>
  <c r="Q907" i="1" s="1"/>
  <c r="Q908" i="1" s="1"/>
  <c r="Q909" i="1" s="1"/>
  <c r="Q910" i="1" s="1"/>
  <c r="Q911" i="1" s="1"/>
  <c r="Q912" i="1" s="1"/>
  <c r="Q913" i="1" s="1"/>
  <c r="Q914" i="1" s="1"/>
  <c r="Q915" i="1" s="1"/>
  <c r="Q916" i="1" s="1"/>
  <c r="Q917" i="1" s="1"/>
  <c r="Q918" i="1" s="1"/>
  <c r="Q919" i="1" s="1"/>
  <c r="Q920" i="1" s="1"/>
  <c r="Q921" i="1" s="1"/>
  <c r="Q922" i="1" s="1"/>
  <c r="Q923" i="1" s="1"/>
  <c r="Q924" i="1" s="1"/>
  <c r="Q925" i="1" s="1"/>
  <c r="Q926" i="1" s="1"/>
  <c r="Q927" i="1" s="1"/>
  <c r="Q928" i="1" s="1"/>
  <c r="Q929" i="1" s="1"/>
  <c r="Q930" i="1" s="1"/>
  <c r="Q931" i="1" s="1"/>
  <c r="Q932" i="1" s="1"/>
  <c r="Q933" i="1" s="1"/>
  <c r="Q934" i="1" s="1"/>
  <c r="Q935" i="1" s="1"/>
  <c r="Q936" i="1" s="1"/>
  <c r="Q937" i="1" s="1"/>
  <c r="Q938" i="1" s="1"/>
  <c r="Q939" i="1" s="1"/>
  <c r="Q940" i="1" s="1"/>
  <c r="Q941" i="1" s="1"/>
  <c r="Q942" i="1" s="1"/>
  <c r="Q943" i="1" s="1"/>
  <c r="Q944" i="1" s="1"/>
  <c r="Q945" i="1" s="1"/>
  <c r="Q946" i="1" s="1"/>
  <c r="Q947" i="1" s="1"/>
  <c r="Q948" i="1" s="1"/>
  <c r="Q949" i="1" s="1"/>
  <c r="Q950" i="1" s="1"/>
  <c r="Q951" i="1" s="1"/>
  <c r="Q952" i="1" s="1"/>
  <c r="Q953" i="1" s="1"/>
  <c r="Q954" i="1" s="1"/>
  <c r="Q955" i="1" s="1"/>
  <c r="Q956" i="1" s="1"/>
  <c r="Q957" i="1" s="1"/>
  <c r="Q958" i="1" s="1"/>
  <c r="Q959" i="1" s="1"/>
  <c r="Q960" i="1" s="1"/>
  <c r="Q961" i="1" s="1"/>
  <c r="Q962" i="1" s="1"/>
  <c r="Q963" i="1" s="1"/>
  <c r="Q964" i="1" s="1"/>
  <c r="Q965" i="1" s="1"/>
  <c r="Q966" i="1" s="1"/>
  <c r="Q967" i="1" s="1"/>
  <c r="Q968" i="1" s="1"/>
  <c r="Q969" i="1" s="1"/>
  <c r="Q970" i="1" s="1"/>
  <c r="Q971" i="1" s="1"/>
  <c r="Q972" i="1" s="1"/>
  <c r="Q973" i="1" s="1"/>
  <c r="Q974" i="1" s="1"/>
  <c r="Q975" i="1" s="1"/>
  <c r="Q976" i="1" s="1"/>
  <c r="Q977" i="1" s="1"/>
  <c r="Q978" i="1" s="1"/>
  <c r="Q979" i="1" s="1"/>
  <c r="Q980" i="1" s="1"/>
  <c r="Q981" i="1" s="1"/>
  <c r="Q982" i="1" s="1"/>
  <c r="Q983" i="1" s="1"/>
  <c r="Q984" i="1" s="1"/>
  <c r="Q985" i="1" s="1"/>
  <c r="Q986" i="1" s="1"/>
  <c r="Q987" i="1" s="1"/>
  <c r="Q988" i="1" s="1"/>
  <c r="Q989" i="1" s="1"/>
  <c r="Q990" i="1" s="1"/>
  <c r="Q991" i="1" s="1"/>
  <c r="Q992" i="1" s="1"/>
  <c r="Q993" i="1" s="1"/>
  <c r="Q994" i="1" s="1"/>
  <c r="Q995" i="1" s="1"/>
  <c r="Q996" i="1" s="1"/>
  <c r="Q997" i="1" s="1"/>
  <c r="Q998" i="1" s="1"/>
  <c r="Q999" i="1" s="1"/>
  <c r="Q1000" i="1" s="1"/>
  <c r="Q1001" i="1" s="1"/>
  <c r="Q1002" i="1" s="1"/>
  <c r="Q1003" i="1" s="1"/>
  <c r="Q1004" i="1" s="1"/>
  <c r="Q1005" i="1" s="1"/>
  <c r="Q1006" i="1" s="1"/>
  <c r="Q1007" i="1" s="1"/>
  <c r="Q1008" i="1" s="1"/>
  <c r="Q1009" i="1" s="1"/>
  <c r="Q1010" i="1" s="1"/>
  <c r="Q1011" i="1" s="1"/>
  <c r="Q1012" i="1" s="1"/>
  <c r="Q1013" i="1" s="1"/>
  <c r="Q1014" i="1" s="1"/>
  <c r="Q1015" i="1" s="1"/>
  <c r="Q1016" i="1" s="1"/>
  <c r="Q1017" i="1" s="1"/>
  <c r="Q1018" i="1" s="1"/>
  <c r="Q1019" i="1" s="1"/>
  <c r="Q1020" i="1" s="1"/>
  <c r="Q1021" i="1" s="1"/>
  <c r="Q1022" i="1" s="1"/>
  <c r="Q1023" i="1" s="1"/>
  <c r="Q1024" i="1" s="1"/>
  <c r="Q1025" i="1" s="1"/>
  <c r="Q1026" i="1" s="1"/>
  <c r="Q1027" i="1" s="1"/>
  <c r="Q1028" i="1" s="1"/>
  <c r="Q1029" i="1" s="1"/>
  <c r="Q1030" i="1" s="1"/>
  <c r="Q1031" i="1" s="1"/>
  <c r="Q1032" i="1" s="1"/>
  <c r="Q1033" i="1" s="1"/>
  <c r="Q1034" i="1" s="1"/>
  <c r="Q1035" i="1" s="1"/>
  <c r="Q1036" i="1" s="1"/>
  <c r="Q1037" i="1" s="1"/>
  <c r="Q1038" i="1" s="1"/>
  <c r="Q1039" i="1" s="1"/>
  <c r="Q1040" i="1" s="1"/>
  <c r="Q1041" i="1" s="1"/>
  <c r="Q1042" i="1" s="1"/>
  <c r="Q1043" i="1" s="1"/>
  <c r="Q1044" i="1" s="1"/>
  <c r="Q1045" i="1" s="1"/>
  <c r="Q1046" i="1" s="1"/>
  <c r="Q1047" i="1" s="1"/>
  <c r="Q1048" i="1" s="1"/>
  <c r="Q1049" i="1" s="1"/>
  <c r="Q1050" i="1" s="1"/>
  <c r="Q1051" i="1" s="1"/>
  <c r="Q1052" i="1" s="1"/>
  <c r="Q1053" i="1" s="1"/>
  <c r="Q1054" i="1" s="1"/>
  <c r="Q1055" i="1" s="1"/>
  <c r="Q1056" i="1" s="1"/>
  <c r="Q1057" i="1" s="1"/>
  <c r="Q1058" i="1" s="1"/>
  <c r="Q1059" i="1" s="1"/>
  <c r="Q1060" i="1" s="1"/>
  <c r="Q1061" i="1" s="1"/>
  <c r="Q1062" i="1" s="1"/>
  <c r="Q1063" i="1" s="1"/>
  <c r="Q1064" i="1" s="1"/>
  <c r="Q1065" i="1" s="1"/>
  <c r="Q1066" i="1" s="1"/>
  <c r="Q1067" i="1" s="1"/>
  <c r="Q1068" i="1" s="1"/>
  <c r="Q1069" i="1" s="1"/>
  <c r="Q1070" i="1" s="1"/>
  <c r="Q1071" i="1" s="1"/>
  <c r="Q1072" i="1" s="1"/>
  <c r="Q1073" i="1" s="1"/>
  <c r="Q1074" i="1" s="1"/>
  <c r="Q1075" i="1" s="1"/>
  <c r="Q1076" i="1" s="1"/>
  <c r="Q1077" i="1" s="1"/>
  <c r="Q1078" i="1" s="1"/>
  <c r="Q1079" i="1" s="1"/>
  <c r="Q1080" i="1" s="1"/>
  <c r="Q1081" i="1" s="1"/>
  <c r="Q1082" i="1" s="1"/>
  <c r="Q1083" i="1" s="1"/>
  <c r="Q1084" i="1" s="1"/>
  <c r="Q1085" i="1" s="1"/>
  <c r="Q1086" i="1" s="1"/>
  <c r="Q1087" i="1" s="1"/>
  <c r="Q1088" i="1" s="1"/>
  <c r="Q1089" i="1" s="1"/>
  <c r="Q1090" i="1" s="1"/>
  <c r="Q1091" i="1" s="1"/>
  <c r="Q1092" i="1" s="1"/>
  <c r="Q1093" i="1" s="1"/>
  <c r="Q1094" i="1" s="1"/>
  <c r="Q1095" i="1" s="1"/>
  <c r="Q1096" i="1" s="1"/>
  <c r="Q1097" i="1" s="1"/>
  <c r="Q1098" i="1" s="1"/>
  <c r="Q1099" i="1" s="1"/>
  <c r="Q1100" i="1" s="1"/>
  <c r="Q1101" i="1" s="1"/>
  <c r="Q1102" i="1" s="1"/>
  <c r="Q1103" i="1" s="1"/>
  <c r="Q1104" i="1" s="1"/>
  <c r="Q1105" i="1" s="1"/>
  <c r="Q1106" i="1" s="1"/>
  <c r="Q1107" i="1" s="1"/>
  <c r="Q1108" i="1" s="1"/>
  <c r="Q1109" i="1" s="1"/>
  <c r="Q1110" i="1" s="1"/>
  <c r="Q1111" i="1" s="1"/>
  <c r="Q1112" i="1" s="1"/>
  <c r="Q1113" i="1" s="1"/>
  <c r="Q1114" i="1" s="1"/>
  <c r="Q1115" i="1" s="1"/>
  <c r="Q1116" i="1" s="1"/>
  <c r="Q1117" i="1" s="1"/>
  <c r="Q1118" i="1" s="1"/>
  <c r="Q1119" i="1" s="1"/>
  <c r="Q1120" i="1" s="1"/>
  <c r="Q1121" i="1" s="1"/>
  <c r="Q1122" i="1" s="1"/>
  <c r="Q1123" i="1" s="1"/>
  <c r="Q1124" i="1" s="1"/>
  <c r="Q1125" i="1" s="1"/>
  <c r="Q1126" i="1" s="1"/>
  <c r="Q1127" i="1" s="1"/>
  <c r="Q1128" i="1" s="1"/>
  <c r="Q1129" i="1" s="1"/>
  <c r="Q1130" i="1" s="1"/>
  <c r="Q1131" i="1" s="1"/>
  <c r="Q1132" i="1" s="1"/>
  <c r="Q1133" i="1" s="1"/>
  <c r="Q1134" i="1" s="1"/>
  <c r="Q1135" i="1" s="1"/>
  <c r="Q1136" i="1" s="1"/>
  <c r="Q1137" i="1" s="1"/>
  <c r="Q1138" i="1" s="1"/>
  <c r="Q1139" i="1" s="1"/>
  <c r="Q1140" i="1" s="1"/>
  <c r="Q1141" i="1" s="1"/>
  <c r="Q1142" i="1" s="1"/>
  <c r="Q1143" i="1" s="1"/>
  <c r="Q1144" i="1" s="1"/>
  <c r="Q1145" i="1" s="1"/>
  <c r="Q1146" i="1" s="1"/>
  <c r="Q1147" i="1" s="1"/>
  <c r="Q1148" i="1" s="1"/>
  <c r="Q1149" i="1" s="1"/>
  <c r="Q1150" i="1" s="1"/>
  <c r="Q1151" i="1" s="1"/>
  <c r="Q1152" i="1" s="1"/>
  <c r="Q1153" i="1" s="1"/>
  <c r="Q1154" i="1" s="1"/>
  <c r="Q1155" i="1" s="1"/>
  <c r="Q1156" i="1" s="1"/>
  <c r="Q1157" i="1" s="1"/>
  <c r="Q1158" i="1" s="1"/>
  <c r="Q1159" i="1" s="1"/>
  <c r="Q1160" i="1" s="1"/>
  <c r="Q1161" i="1" s="1"/>
  <c r="Q1162" i="1" s="1"/>
  <c r="Q706" i="1"/>
  <c r="S707" i="1"/>
  <c r="S708" i="1" s="1"/>
  <c r="S709" i="1" s="1"/>
  <c r="S710" i="1" s="1"/>
  <c r="S711" i="1" s="1"/>
  <c r="S712" i="1" s="1"/>
  <c r="S713" i="1" s="1"/>
  <c r="S714" i="1" s="1"/>
  <c r="S715" i="1" s="1"/>
  <c r="S716" i="1" s="1"/>
  <c r="S717" i="1" s="1"/>
  <c r="S718" i="1" s="1"/>
  <c r="S719" i="1" s="1"/>
  <c r="S720" i="1" s="1"/>
  <c r="S721" i="1" s="1"/>
  <c r="S722" i="1" s="1"/>
  <c r="S723" i="1" s="1"/>
  <c r="S724" i="1" s="1"/>
  <c r="S725" i="1" s="1"/>
  <c r="S726" i="1" s="1"/>
  <c r="S727" i="1" s="1"/>
  <c r="S728" i="1" s="1"/>
  <c r="S729" i="1" s="1"/>
  <c r="S730" i="1" s="1"/>
  <c r="S731" i="1" s="1"/>
  <c r="S732" i="1" s="1"/>
  <c r="S733" i="1" s="1"/>
  <c r="S734" i="1" s="1"/>
  <c r="S735" i="1" s="1"/>
  <c r="S736" i="1" s="1"/>
  <c r="S737" i="1" s="1"/>
  <c r="S738" i="1" s="1"/>
  <c r="S739" i="1" s="1"/>
  <c r="S740" i="1" s="1"/>
  <c r="S741" i="1" s="1"/>
  <c r="S742" i="1" s="1"/>
  <c r="S743" i="1" s="1"/>
  <c r="S744" i="1" s="1"/>
  <c r="S745" i="1" s="1"/>
  <c r="S746" i="1" s="1"/>
  <c r="S747" i="1" s="1"/>
  <c r="S748" i="1" s="1"/>
  <c r="S749" i="1" s="1"/>
  <c r="S750" i="1" s="1"/>
  <c r="S751" i="1" s="1"/>
  <c r="S752" i="1" s="1"/>
  <c r="S753" i="1" s="1"/>
  <c r="S754" i="1" s="1"/>
  <c r="S755" i="1" s="1"/>
  <c r="S756" i="1" s="1"/>
  <c r="S757" i="1" s="1"/>
  <c r="S758" i="1" s="1"/>
  <c r="S759" i="1" s="1"/>
  <c r="S760" i="1" s="1"/>
  <c r="S761" i="1" s="1"/>
  <c r="S762" i="1" s="1"/>
  <c r="S763" i="1" s="1"/>
  <c r="S764" i="1" s="1"/>
  <c r="S765" i="1" s="1"/>
  <c r="S766" i="1" s="1"/>
  <c r="S767" i="1" s="1"/>
  <c r="S768" i="1" s="1"/>
  <c r="S769" i="1" s="1"/>
  <c r="S770" i="1" s="1"/>
  <c r="S771" i="1" s="1"/>
  <c r="S772" i="1" s="1"/>
  <c r="S773" i="1" s="1"/>
  <c r="S774" i="1" s="1"/>
  <c r="S775" i="1" s="1"/>
  <c r="S776" i="1" s="1"/>
  <c r="S777" i="1" s="1"/>
  <c r="S778" i="1" s="1"/>
  <c r="S779" i="1" s="1"/>
  <c r="S780" i="1" s="1"/>
  <c r="S781" i="1" s="1"/>
  <c r="S782" i="1" s="1"/>
  <c r="S783" i="1" s="1"/>
  <c r="S784" i="1" s="1"/>
  <c r="S785" i="1" s="1"/>
  <c r="S786" i="1" s="1"/>
  <c r="S787" i="1" s="1"/>
  <c r="S788" i="1" s="1"/>
  <c r="S789" i="1" s="1"/>
  <c r="S790" i="1" s="1"/>
  <c r="S791" i="1" s="1"/>
  <c r="S792" i="1" s="1"/>
  <c r="S793" i="1" s="1"/>
  <c r="S794" i="1" s="1"/>
  <c r="S795" i="1" s="1"/>
  <c r="S796" i="1" s="1"/>
  <c r="S797" i="1" s="1"/>
  <c r="S798" i="1" s="1"/>
  <c r="S799" i="1" s="1"/>
  <c r="S800" i="1" s="1"/>
  <c r="S801" i="1" s="1"/>
  <c r="S802" i="1" s="1"/>
  <c r="S803" i="1" s="1"/>
  <c r="S804" i="1" s="1"/>
  <c r="S805" i="1" s="1"/>
  <c r="S806" i="1" s="1"/>
  <c r="S807" i="1" s="1"/>
  <c r="S808" i="1" s="1"/>
  <c r="S809" i="1" s="1"/>
  <c r="S810" i="1" s="1"/>
  <c r="S811" i="1" s="1"/>
  <c r="S812" i="1" s="1"/>
  <c r="S813" i="1" s="1"/>
  <c r="S814" i="1" s="1"/>
  <c r="S815" i="1" s="1"/>
  <c r="S816" i="1" s="1"/>
  <c r="S817" i="1" s="1"/>
  <c r="S818" i="1" s="1"/>
  <c r="S819" i="1" s="1"/>
  <c r="S820" i="1" s="1"/>
  <c r="S821" i="1" s="1"/>
  <c r="S822" i="1" s="1"/>
  <c r="S823" i="1" s="1"/>
  <c r="S824" i="1" s="1"/>
  <c r="S825" i="1" s="1"/>
  <c r="S826" i="1" s="1"/>
  <c r="S827" i="1" s="1"/>
  <c r="S828" i="1" s="1"/>
  <c r="S829" i="1" s="1"/>
  <c r="S830" i="1" s="1"/>
  <c r="S831" i="1" s="1"/>
  <c r="S832" i="1" s="1"/>
  <c r="S833" i="1" s="1"/>
  <c r="S834" i="1" s="1"/>
  <c r="S835" i="1" s="1"/>
  <c r="S836" i="1" s="1"/>
  <c r="S837" i="1" s="1"/>
  <c r="S838" i="1" s="1"/>
  <c r="S839" i="1" s="1"/>
  <c r="S840" i="1" s="1"/>
  <c r="S841" i="1" s="1"/>
  <c r="S842" i="1" s="1"/>
  <c r="S843" i="1" s="1"/>
  <c r="S844" i="1" s="1"/>
  <c r="S845" i="1" s="1"/>
  <c r="S846" i="1" s="1"/>
  <c r="S847" i="1" s="1"/>
  <c r="S848" i="1" s="1"/>
  <c r="S849" i="1" s="1"/>
  <c r="S850" i="1" s="1"/>
  <c r="S851" i="1" s="1"/>
  <c r="S852" i="1" s="1"/>
  <c r="S853" i="1" s="1"/>
  <c r="S854" i="1" s="1"/>
  <c r="S855" i="1" s="1"/>
  <c r="S856" i="1" s="1"/>
  <c r="S857" i="1" s="1"/>
  <c r="S858" i="1" s="1"/>
  <c r="S859" i="1" s="1"/>
  <c r="S860" i="1" s="1"/>
  <c r="S861" i="1" s="1"/>
  <c r="S862" i="1" s="1"/>
  <c r="S863" i="1" s="1"/>
  <c r="S864" i="1" s="1"/>
  <c r="S865" i="1" s="1"/>
  <c r="S866" i="1" s="1"/>
  <c r="S867" i="1" s="1"/>
  <c r="S868" i="1" s="1"/>
  <c r="S869" i="1" s="1"/>
  <c r="S870" i="1" s="1"/>
  <c r="S871" i="1" s="1"/>
  <c r="S872" i="1" s="1"/>
  <c r="S873" i="1" s="1"/>
  <c r="S874" i="1" s="1"/>
  <c r="S875" i="1" s="1"/>
  <c r="S876" i="1" s="1"/>
  <c r="S877" i="1" s="1"/>
  <c r="S878" i="1" s="1"/>
  <c r="S879" i="1" s="1"/>
  <c r="S880" i="1" s="1"/>
  <c r="S881" i="1" s="1"/>
  <c r="S882" i="1" s="1"/>
  <c r="S883" i="1" s="1"/>
  <c r="S884" i="1" s="1"/>
  <c r="S885" i="1" s="1"/>
  <c r="S886" i="1" s="1"/>
  <c r="S887" i="1" s="1"/>
  <c r="S888" i="1" s="1"/>
  <c r="S889" i="1" s="1"/>
  <c r="S890" i="1" s="1"/>
  <c r="S891" i="1" s="1"/>
  <c r="S892" i="1" s="1"/>
  <c r="S893" i="1" s="1"/>
  <c r="S894" i="1" s="1"/>
  <c r="S895" i="1" s="1"/>
  <c r="S896" i="1" s="1"/>
  <c r="S897" i="1" s="1"/>
  <c r="S898" i="1" s="1"/>
  <c r="S899" i="1" s="1"/>
  <c r="S900" i="1" s="1"/>
  <c r="S901" i="1" s="1"/>
  <c r="S902" i="1" s="1"/>
  <c r="S903" i="1" s="1"/>
  <c r="S904" i="1" s="1"/>
  <c r="S905" i="1" s="1"/>
  <c r="S906" i="1" s="1"/>
  <c r="S907" i="1" s="1"/>
  <c r="S908" i="1" s="1"/>
  <c r="S909" i="1" s="1"/>
  <c r="S910" i="1" s="1"/>
  <c r="S911" i="1" s="1"/>
  <c r="S912" i="1" s="1"/>
  <c r="S913" i="1" s="1"/>
  <c r="S914" i="1" s="1"/>
  <c r="S915" i="1" s="1"/>
  <c r="S916" i="1" s="1"/>
  <c r="S917" i="1" s="1"/>
  <c r="S918" i="1" s="1"/>
  <c r="S919" i="1" s="1"/>
  <c r="S920" i="1" s="1"/>
  <c r="S921" i="1" s="1"/>
  <c r="S922" i="1" s="1"/>
  <c r="S923" i="1" s="1"/>
  <c r="S924" i="1" s="1"/>
  <c r="S925" i="1" s="1"/>
  <c r="S926" i="1" s="1"/>
  <c r="S927" i="1" s="1"/>
  <c r="S928" i="1" s="1"/>
  <c r="S929" i="1" s="1"/>
  <c r="S930" i="1" s="1"/>
  <c r="S931" i="1" s="1"/>
  <c r="S932" i="1" s="1"/>
  <c r="S933" i="1" s="1"/>
  <c r="S934" i="1" s="1"/>
  <c r="S935" i="1" s="1"/>
  <c r="S936" i="1" s="1"/>
  <c r="S937" i="1" s="1"/>
  <c r="S938" i="1" s="1"/>
  <c r="S939" i="1" s="1"/>
  <c r="S940" i="1" s="1"/>
  <c r="S941" i="1" s="1"/>
  <c r="S942" i="1" s="1"/>
  <c r="S943" i="1" s="1"/>
  <c r="S944" i="1" s="1"/>
  <c r="S945" i="1" s="1"/>
  <c r="S946" i="1" s="1"/>
  <c r="S947" i="1" s="1"/>
  <c r="S948" i="1" s="1"/>
  <c r="S949" i="1" s="1"/>
  <c r="S950" i="1" s="1"/>
  <c r="S951" i="1" s="1"/>
  <c r="S952" i="1" s="1"/>
  <c r="S953" i="1" s="1"/>
  <c r="S954" i="1" s="1"/>
  <c r="S955" i="1" s="1"/>
  <c r="S956" i="1" s="1"/>
  <c r="S957" i="1" s="1"/>
  <c r="S958" i="1" s="1"/>
  <c r="S959" i="1" s="1"/>
  <c r="S960" i="1" s="1"/>
  <c r="S961" i="1" s="1"/>
  <c r="S962" i="1" s="1"/>
  <c r="S963" i="1" s="1"/>
  <c r="S964" i="1" s="1"/>
  <c r="S965" i="1" s="1"/>
  <c r="S966" i="1" s="1"/>
  <c r="S967" i="1" s="1"/>
  <c r="S968" i="1" s="1"/>
  <c r="S969" i="1" s="1"/>
  <c r="S970" i="1" s="1"/>
  <c r="S971" i="1" s="1"/>
  <c r="S972" i="1" s="1"/>
  <c r="S973" i="1" s="1"/>
  <c r="S974" i="1" s="1"/>
  <c r="S975" i="1" s="1"/>
  <c r="S976" i="1" s="1"/>
  <c r="S977" i="1" s="1"/>
  <c r="S978" i="1" s="1"/>
  <c r="S979" i="1" s="1"/>
  <c r="S980" i="1" s="1"/>
  <c r="S981" i="1" s="1"/>
  <c r="S982" i="1" s="1"/>
  <c r="S983" i="1" s="1"/>
  <c r="S984" i="1" s="1"/>
  <c r="S985" i="1" s="1"/>
  <c r="S986" i="1" s="1"/>
  <c r="S987" i="1" s="1"/>
  <c r="S988" i="1" s="1"/>
  <c r="S989" i="1" s="1"/>
  <c r="S990" i="1" s="1"/>
  <c r="S991" i="1" s="1"/>
  <c r="S992" i="1" s="1"/>
  <c r="S993" i="1" s="1"/>
  <c r="S994" i="1" s="1"/>
  <c r="S995" i="1" s="1"/>
  <c r="S996" i="1" s="1"/>
  <c r="S997" i="1" s="1"/>
  <c r="S998" i="1" s="1"/>
  <c r="S999" i="1" s="1"/>
  <c r="S1000" i="1" s="1"/>
  <c r="S1001" i="1" s="1"/>
  <c r="S1002" i="1" s="1"/>
  <c r="S1003" i="1" s="1"/>
  <c r="S1004" i="1" s="1"/>
  <c r="S1005" i="1" s="1"/>
  <c r="S1006" i="1" s="1"/>
  <c r="S1007" i="1" s="1"/>
  <c r="S1008" i="1" s="1"/>
  <c r="S1009" i="1" s="1"/>
  <c r="S1010" i="1" s="1"/>
  <c r="S1011" i="1" s="1"/>
  <c r="S1012" i="1" s="1"/>
  <c r="S1013" i="1" s="1"/>
  <c r="S1014" i="1" s="1"/>
  <c r="S1015" i="1" s="1"/>
  <c r="S1016" i="1" s="1"/>
  <c r="S1017" i="1" s="1"/>
  <c r="S1018" i="1" s="1"/>
  <c r="S1019" i="1" s="1"/>
  <c r="S1020" i="1" s="1"/>
  <c r="S1021" i="1" s="1"/>
  <c r="S1022" i="1" s="1"/>
  <c r="S1023" i="1" s="1"/>
  <c r="S1024" i="1" s="1"/>
  <c r="S1025" i="1" s="1"/>
  <c r="S1026" i="1" s="1"/>
  <c r="S1027" i="1" s="1"/>
  <c r="S1028" i="1" s="1"/>
  <c r="S1029" i="1" s="1"/>
  <c r="S1030" i="1" s="1"/>
  <c r="S1031" i="1" s="1"/>
  <c r="S1032" i="1" s="1"/>
  <c r="S1033" i="1" s="1"/>
  <c r="S1034" i="1" s="1"/>
  <c r="S1035" i="1" s="1"/>
  <c r="S1036" i="1" s="1"/>
  <c r="S1037" i="1" s="1"/>
  <c r="S1038" i="1" s="1"/>
  <c r="S1039" i="1" s="1"/>
  <c r="S1040" i="1" s="1"/>
  <c r="S1041" i="1" s="1"/>
  <c r="S1042" i="1" s="1"/>
  <c r="S1043" i="1" s="1"/>
  <c r="S1044" i="1" s="1"/>
  <c r="S1045" i="1" s="1"/>
  <c r="S1046" i="1" s="1"/>
  <c r="S1047" i="1" s="1"/>
  <c r="S1048" i="1" s="1"/>
  <c r="S1049" i="1" s="1"/>
  <c r="S1050" i="1" s="1"/>
  <c r="S1051" i="1" s="1"/>
  <c r="S1052" i="1" s="1"/>
  <c r="S1053" i="1" s="1"/>
  <c r="S1054" i="1" s="1"/>
  <c r="S1055" i="1" s="1"/>
  <c r="S1056" i="1" s="1"/>
  <c r="S1057" i="1" s="1"/>
  <c r="S1058" i="1" s="1"/>
  <c r="S1059" i="1" s="1"/>
  <c r="S1060" i="1" s="1"/>
  <c r="S1061" i="1" s="1"/>
  <c r="S1062" i="1" s="1"/>
  <c r="S1063" i="1" s="1"/>
  <c r="S1064" i="1" s="1"/>
  <c r="S1065" i="1" s="1"/>
  <c r="S1066" i="1" s="1"/>
  <c r="S1067" i="1" s="1"/>
  <c r="S1068" i="1" s="1"/>
  <c r="S1069" i="1" s="1"/>
  <c r="S1070" i="1" s="1"/>
  <c r="S1071" i="1" s="1"/>
  <c r="S1072" i="1" s="1"/>
  <c r="S1073" i="1" s="1"/>
  <c r="S1074" i="1" s="1"/>
  <c r="S1075" i="1" s="1"/>
  <c r="S1076" i="1" s="1"/>
  <c r="S1077" i="1" s="1"/>
  <c r="S1078" i="1" s="1"/>
  <c r="S1079" i="1" s="1"/>
  <c r="S1080" i="1" s="1"/>
  <c r="S1081" i="1" s="1"/>
  <c r="S1082" i="1" s="1"/>
  <c r="S1083" i="1" s="1"/>
  <c r="S1084" i="1" s="1"/>
  <c r="S1085" i="1" s="1"/>
  <c r="S1086" i="1" s="1"/>
  <c r="S1087" i="1" s="1"/>
  <c r="S1088" i="1" s="1"/>
  <c r="S1089" i="1" s="1"/>
  <c r="S1090" i="1" s="1"/>
  <c r="S1091" i="1" s="1"/>
  <c r="S1092" i="1" s="1"/>
  <c r="S1093" i="1" s="1"/>
  <c r="S1094" i="1" s="1"/>
  <c r="S1095" i="1" s="1"/>
  <c r="S1096" i="1" s="1"/>
  <c r="S1097" i="1" s="1"/>
  <c r="S1098" i="1" s="1"/>
  <c r="S1099" i="1" s="1"/>
  <c r="S1100" i="1" s="1"/>
  <c r="S1101" i="1" s="1"/>
  <c r="S1102" i="1" s="1"/>
  <c r="S1103" i="1" s="1"/>
  <c r="S1104" i="1" s="1"/>
  <c r="S1105" i="1" s="1"/>
  <c r="S1106" i="1" s="1"/>
  <c r="S1107" i="1" s="1"/>
  <c r="S1108" i="1" s="1"/>
  <c r="S1109" i="1" s="1"/>
  <c r="S1110" i="1" s="1"/>
  <c r="S1111" i="1" s="1"/>
  <c r="S1112" i="1" s="1"/>
  <c r="S1113" i="1" s="1"/>
  <c r="S1114" i="1" s="1"/>
  <c r="S1115" i="1" s="1"/>
  <c r="S1116" i="1" s="1"/>
  <c r="S1117" i="1" s="1"/>
  <c r="S1118" i="1" s="1"/>
  <c r="S1119" i="1" s="1"/>
  <c r="S1120" i="1" s="1"/>
  <c r="S1121" i="1" s="1"/>
  <c r="S1122" i="1" s="1"/>
  <c r="S1123" i="1" s="1"/>
  <c r="S1124" i="1" s="1"/>
  <c r="S1125" i="1" s="1"/>
  <c r="S1126" i="1" s="1"/>
  <c r="S1127" i="1" s="1"/>
  <c r="S1128" i="1" s="1"/>
  <c r="S1129" i="1" s="1"/>
  <c r="S1130" i="1" s="1"/>
  <c r="S1131" i="1" s="1"/>
  <c r="S1132" i="1" s="1"/>
  <c r="S1133" i="1" s="1"/>
  <c r="S1134" i="1" s="1"/>
  <c r="S1135" i="1" s="1"/>
  <c r="S1136" i="1" s="1"/>
  <c r="S1137" i="1" s="1"/>
  <c r="S1138" i="1" s="1"/>
  <c r="S1139" i="1" s="1"/>
  <c r="S1140" i="1" s="1"/>
  <c r="S1141" i="1" s="1"/>
  <c r="S1142" i="1" s="1"/>
  <c r="S1143" i="1" s="1"/>
  <c r="S1144" i="1" s="1"/>
  <c r="S1145" i="1" s="1"/>
  <c r="S1146" i="1" s="1"/>
  <c r="S1147" i="1" s="1"/>
  <c r="S1148" i="1" s="1"/>
  <c r="S1149" i="1" s="1"/>
  <c r="S1150" i="1" s="1"/>
  <c r="S1151" i="1" s="1"/>
  <c r="S1152" i="1" s="1"/>
  <c r="S1153" i="1" s="1"/>
  <c r="S1154" i="1" s="1"/>
  <c r="S1155" i="1" s="1"/>
  <c r="S1156" i="1" s="1"/>
  <c r="S1157" i="1" s="1"/>
  <c r="S1158" i="1" s="1"/>
  <c r="S1159" i="1" s="1"/>
  <c r="S1160" i="1" s="1"/>
  <c r="S1161" i="1" s="1"/>
  <c r="S1162" i="1" s="1"/>
  <c r="S706" i="1"/>
  <c r="R707" i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835" i="1" s="1"/>
  <c r="R836" i="1" s="1"/>
  <c r="R837" i="1" s="1"/>
  <c r="R838" i="1" s="1"/>
  <c r="R839" i="1" s="1"/>
  <c r="R840" i="1" s="1"/>
  <c r="R841" i="1" s="1"/>
  <c r="R842" i="1" s="1"/>
  <c r="R843" i="1" s="1"/>
  <c r="R844" i="1" s="1"/>
  <c r="R845" i="1" s="1"/>
  <c r="R846" i="1" s="1"/>
  <c r="R847" i="1" s="1"/>
  <c r="R848" i="1" s="1"/>
  <c r="R849" i="1" s="1"/>
  <c r="R850" i="1" s="1"/>
  <c r="R851" i="1" s="1"/>
  <c r="R852" i="1" s="1"/>
  <c r="R853" i="1" s="1"/>
  <c r="R854" i="1" s="1"/>
  <c r="R855" i="1" s="1"/>
  <c r="R856" i="1" s="1"/>
  <c r="R857" i="1" s="1"/>
  <c r="R858" i="1" s="1"/>
  <c r="R859" i="1" s="1"/>
  <c r="R860" i="1" s="1"/>
  <c r="R861" i="1" s="1"/>
  <c r="R862" i="1" s="1"/>
  <c r="R863" i="1" s="1"/>
  <c r="R864" i="1" s="1"/>
  <c r="R865" i="1" s="1"/>
  <c r="R866" i="1" s="1"/>
  <c r="R867" i="1" s="1"/>
  <c r="R868" i="1" s="1"/>
  <c r="R869" i="1" s="1"/>
  <c r="R870" i="1" s="1"/>
  <c r="R871" i="1" s="1"/>
  <c r="R872" i="1" s="1"/>
  <c r="R873" i="1" s="1"/>
  <c r="R874" i="1" s="1"/>
  <c r="R875" i="1" s="1"/>
  <c r="R876" i="1" s="1"/>
  <c r="R877" i="1" s="1"/>
  <c r="R878" i="1" s="1"/>
  <c r="R879" i="1" s="1"/>
  <c r="R880" i="1" s="1"/>
  <c r="R881" i="1" s="1"/>
  <c r="R882" i="1" s="1"/>
  <c r="R883" i="1" s="1"/>
  <c r="R884" i="1" s="1"/>
  <c r="R885" i="1" s="1"/>
  <c r="R886" i="1" s="1"/>
  <c r="R887" i="1" s="1"/>
  <c r="R888" i="1" s="1"/>
  <c r="R889" i="1" s="1"/>
  <c r="R890" i="1" s="1"/>
  <c r="R891" i="1" s="1"/>
  <c r="R892" i="1" s="1"/>
  <c r="R893" i="1" s="1"/>
  <c r="R894" i="1" s="1"/>
  <c r="R895" i="1" s="1"/>
  <c r="R896" i="1" s="1"/>
  <c r="R897" i="1" s="1"/>
  <c r="R898" i="1" s="1"/>
  <c r="R899" i="1" s="1"/>
  <c r="R900" i="1" s="1"/>
  <c r="R901" i="1" s="1"/>
  <c r="R902" i="1" s="1"/>
  <c r="R903" i="1" s="1"/>
  <c r="R904" i="1" s="1"/>
  <c r="R905" i="1" s="1"/>
  <c r="R906" i="1" s="1"/>
  <c r="R907" i="1" s="1"/>
  <c r="R908" i="1" s="1"/>
  <c r="R909" i="1" s="1"/>
  <c r="R910" i="1" s="1"/>
  <c r="R911" i="1" s="1"/>
  <c r="R912" i="1" s="1"/>
  <c r="R913" i="1" s="1"/>
  <c r="R914" i="1" s="1"/>
  <c r="R915" i="1" s="1"/>
  <c r="R916" i="1" s="1"/>
  <c r="R917" i="1" s="1"/>
  <c r="R918" i="1" s="1"/>
  <c r="R919" i="1" s="1"/>
  <c r="R920" i="1" s="1"/>
  <c r="R921" i="1" s="1"/>
  <c r="R922" i="1" s="1"/>
  <c r="R923" i="1" s="1"/>
  <c r="R924" i="1" s="1"/>
  <c r="R925" i="1" s="1"/>
  <c r="R926" i="1" s="1"/>
  <c r="R927" i="1" s="1"/>
  <c r="R928" i="1" s="1"/>
  <c r="R929" i="1" s="1"/>
  <c r="R930" i="1" s="1"/>
  <c r="R931" i="1" s="1"/>
  <c r="R932" i="1" s="1"/>
  <c r="R933" i="1" s="1"/>
  <c r="R934" i="1" s="1"/>
  <c r="R935" i="1" s="1"/>
  <c r="R936" i="1" s="1"/>
  <c r="R937" i="1" s="1"/>
  <c r="R938" i="1" s="1"/>
  <c r="R939" i="1" s="1"/>
  <c r="R940" i="1" s="1"/>
  <c r="R941" i="1" s="1"/>
  <c r="R942" i="1" s="1"/>
  <c r="R943" i="1" s="1"/>
  <c r="R944" i="1" s="1"/>
  <c r="R945" i="1" s="1"/>
  <c r="R946" i="1" s="1"/>
  <c r="R947" i="1" s="1"/>
  <c r="R948" i="1" s="1"/>
  <c r="R949" i="1" s="1"/>
  <c r="R950" i="1" s="1"/>
  <c r="R951" i="1" s="1"/>
  <c r="R952" i="1" s="1"/>
  <c r="R953" i="1" s="1"/>
  <c r="R954" i="1" s="1"/>
  <c r="R955" i="1" s="1"/>
  <c r="R956" i="1" s="1"/>
  <c r="R957" i="1" s="1"/>
  <c r="R958" i="1" s="1"/>
  <c r="R959" i="1" s="1"/>
  <c r="R960" i="1" s="1"/>
  <c r="R961" i="1" s="1"/>
  <c r="R962" i="1" s="1"/>
  <c r="R963" i="1" s="1"/>
  <c r="R964" i="1" s="1"/>
  <c r="R965" i="1" s="1"/>
  <c r="R966" i="1" s="1"/>
  <c r="R967" i="1" s="1"/>
  <c r="R968" i="1" s="1"/>
  <c r="R969" i="1" s="1"/>
  <c r="R970" i="1" s="1"/>
  <c r="R971" i="1" s="1"/>
  <c r="R972" i="1" s="1"/>
  <c r="R973" i="1" s="1"/>
  <c r="R974" i="1" s="1"/>
  <c r="R975" i="1" s="1"/>
  <c r="R976" i="1" s="1"/>
  <c r="R977" i="1" s="1"/>
  <c r="R978" i="1" s="1"/>
  <c r="R979" i="1" s="1"/>
  <c r="R980" i="1" s="1"/>
  <c r="R981" i="1" s="1"/>
  <c r="R982" i="1" s="1"/>
  <c r="R983" i="1" s="1"/>
  <c r="R984" i="1" s="1"/>
  <c r="R985" i="1" s="1"/>
  <c r="R986" i="1" s="1"/>
  <c r="R987" i="1" s="1"/>
  <c r="R988" i="1" s="1"/>
  <c r="R989" i="1" s="1"/>
  <c r="R990" i="1" s="1"/>
  <c r="R991" i="1" s="1"/>
  <c r="R992" i="1" s="1"/>
  <c r="R993" i="1" s="1"/>
  <c r="R994" i="1" s="1"/>
  <c r="R995" i="1" s="1"/>
  <c r="R996" i="1" s="1"/>
  <c r="R997" i="1" s="1"/>
  <c r="R998" i="1" s="1"/>
  <c r="R999" i="1" s="1"/>
  <c r="R1000" i="1" s="1"/>
  <c r="R1001" i="1" s="1"/>
  <c r="R1002" i="1" s="1"/>
  <c r="R1003" i="1" s="1"/>
  <c r="R1004" i="1" s="1"/>
  <c r="R1005" i="1" s="1"/>
  <c r="R1006" i="1" s="1"/>
  <c r="R1007" i="1" s="1"/>
  <c r="R1008" i="1" s="1"/>
  <c r="R1009" i="1" s="1"/>
  <c r="R1010" i="1" s="1"/>
  <c r="R1011" i="1" s="1"/>
  <c r="R1012" i="1" s="1"/>
  <c r="R1013" i="1" s="1"/>
  <c r="R1014" i="1" s="1"/>
  <c r="R1015" i="1" s="1"/>
  <c r="R1016" i="1" s="1"/>
  <c r="R1017" i="1" s="1"/>
  <c r="R1018" i="1" s="1"/>
  <c r="R1019" i="1" s="1"/>
  <c r="R1020" i="1" s="1"/>
  <c r="R1021" i="1" s="1"/>
  <c r="R1022" i="1" s="1"/>
  <c r="R1023" i="1" s="1"/>
  <c r="R1024" i="1" s="1"/>
  <c r="R1025" i="1" s="1"/>
  <c r="R1026" i="1" s="1"/>
  <c r="R1027" i="1" s="1"/>
  <c r="R1028" i="1" s="1"/>
  <c r="R1029" i="1" s="1"/>
  <c r="R1030" i="1" s="1"/>
  <c r="R1031" i="1" s="1"/>
  <c r="R1032" i="1" s="1"/>
  <c r="R1033" i="1" s="1"/>
  <c r="R1034" i="1" s="1"/>
  <c r="R1035" i="1" s="1"/>
  <c r="R1036" i="1" s="1"/>
  <c r="R1037" i="1" s="1"/>
  <c r="R1038" i="1" s="1"/>
  <c r="R1039" i="1" s="1"/>
  <c r="R1040" i="1" s="1"/>
  <c r="R1041" i="1" s="1"/>
  <c r="R1042" i="1" s="1"/>
  <c r="R1043" i="1" s="1"/>
  <c r="R1044" i="1" s="1"/>
  <c r="R1045" i="1" s="1"/>
  <c r="R1046" i="1" s="1"/>
  <c r="R1047" i="1" s="1"/>
  <c r="R1048" i="1" s="1"/>
  <c r="R1049" i="1" s="1"/>
  <c r="R1050" i="1" s="1"/>
  <c r="R1051" i="1" s="1"/>
  <c r="R1052" i="1" s="1"/>
  <c r="R1053" i="1" s="1"/>
  <c r="R1054" i="1" s="1"/>
  <c r="R1055" i="1" s="1"/>
  <c r="R1056" i="1" s="1"/>
  <c r="R1057" i="1" s="1"/>
  <c r="R1058" i="1" s="1"/>
  <c r="R1059" i="1" s="1"/>
  <c r="R1060" i="1" s="1"/>
  <c r="R1061" i="1" s="1"/>
  <c r="R1062" i="1" s="1"/>
  <c r="R1063" i="1" s="1"/>
  <c r="R1064" i="1" s="1"/>
  <c r="R1065" i="1" s="1"/>
  <c r="R1066" i="1" s="1"/>
  <c r="R1067" i="1" s="1"/>
  <c r="R1068" i="1" s="1"/>
  <c r="R1069" i="1" s="1"/>
  <c r="R1070" i="1" s="1"/>
  <c r="R1071" i="1" s="1"/>
  <c r="R1072" i="1" s="1"/>
  <c r="R1073" i="1" s="1"/>
  <c r="R1074" i="1" s="1"/>
  <c r="R1075" i="1" s="1"/>
  <c r="R1076" i="1" s="1"/>
  <c r="R1077" i="1" s="1"/>
  <c r="R1078" i="1" s="1"/>
  <c r="R1079" i="1" s="1"/>
  <c r="R1080" i="1" s="1"/>
  <c r="R1081" i="1" s="1"/>
  <c r="R1082" i="1" s="1"/>
  <c r="R1083" i="1" s="1"/>
  <c r="R1084" i="1" s="1"/>
  <c r="R1085" i="1" s="1"/>
  <c r="R1086" i="1" s="1"/>
  <c r="R1087" i="1" s="1"/>
  <c r="R1088" i="1" s="1"/>
  <c r="R1089" i="1" s="1"/>
  <c r="R1090" i="1" s="1"/>
  <c r="R1091" i="1" s="1"/>
  <c r="R1092" i="1" s="1"/>
  <c r="R1093" i="1" s="1"/>
  <c r="R1094" i="1" s="1"/>
  <c r="R1095" i="1" s="1"/>
  <c r="R1096" i="1" s="1"/>
  <c r="R1097" i="1" s="1"/>
  <c r="R1098" i="1" s="1"/>
  <c r="R1099" i="1" s="1"/>
  <c r="R1100" i="1" s="1"/>
  <c r="R1101" i="1" s="1"/>
  <c r="R1102" i="1" s="1"/>
  <c r="R1103" i="1" s="1"/>
  <c r="R1104" i="1" s="1"/>
  <c r="R1105" i="1" s="1"/>
  <c r="R1106" i="1" s="1"/>
  <c r="R1107" i="1" s="1"/>
  <c r="R1108" i="1" s="1"/>
  <c r="R1109" i="1" s="1"/>
  <c r="R1110" i="1" s="1"/>
  <c r="R1111" i="1" s="1"/>
  <c r="R1112" i="1" s="1"/>
  <c r="R1113" i="1" s="1"/>
  <c r="R1114" i="1" s="1"/>
  <c r="R1115" i="1" s="1"/>
  <c r="R1116" i="1" s="1"/>
  <c r="R1117" i="1" s="1"/>
  <c r="R1118" i="1" s="1"/>
  <c r="R1119" i="1" s="1"/>
  <c r="R1120" i="1" s="1"/>
  <c r="R1121" i="1" s="1"/>
  <c r="R1122" i="1" s="1"/>
  <c r="R1123" i="1" s="1"/>
  <c r="R1124" i="1" s="1"/>
  <c r="R1125" i="1" s="1"/>
  <c r="R1126" i="1" s="1"/>
  <c r="R1127" i="1" s="1"/>
  <c r="R1128" i="1" s="1"/>
  <c r="R1129" i="1" s="1"/>
  <c r="R1130" i="1" s="1"/>
  <c r="R1131" i="1" s="1"/>
  <c r="R1132" i="1" s="1"/>
  <c r="R1133" i="1" s="1"/>
  <c r="R1134" i="1" s="1"/>
  <c r="R1135" i="1" s="1"/>
  <c r="R1136" i="1" s="1"/>
  <c r="R1137" i="1" s="1"/>
  <c r="R1138" i="1" s="1"/>
  <c r="R1139" i="1" s="1"/>
  <c r="R1140" i="1" s="1"/>
  <c r="R1141" i="1" s="1"/>
  <c r="R1142" i="1" s="1"/>
  <c r="R1143" i="1" s="1"/>
  <c r="R1144" i="1" s="1"/>
  <c r="R1145" i="1" s="1"/>
  <c r="R1146" i="1" s="1"/>
  <c r="R1147" i="1" s="1"/>
  <c r="R1148" i="1" s="1"/>
  <c r="R1149" i="1" s="1"/>
  <c r="R1150" i="1" s="1"/>
  <c r="R1151" i="1" s="1"/>
  <c r="R1152" i="1" s="1"/>
  <c r="R1153" i="1" s="1"/>
  <c r="R1154" i="1" s="1"/>
  <c r="R1155" i="1" s="1"/>
  <c r="R1156" i="1" s="1"/>
  <c r="R1157" i="1" s="1"/>
  <c r="R1158" i="1" s="1"/>
  <c r="R1159" i="1" s="1"/>
  <c r="R1160" i="1" s="1"/>
  <c r="R1161" i="1" s="1"/>
  <c r="R1162" i="1" s="1"/>
  <c r="R706" i="1"/>
  <c r="AS80" i="8"/>
  <c r="AS91" i="8"/>
  <c r="AS128" i="8"/>
  <c r="AS129" i="8"/>
  <c r="AS122" i="8"/>
  <c r="AS121" i="8"/>
  <c r="AS64" i="8"/>
  <c r="AS191" i="8"/>
  <c r="AS65" i="8"/>
  <c r="AS82" i="8"/>
  <c r="AS106" i="8"/>
  <c r="AS126" i="8"/>
  <c r="AS146" i="8"/>
  <c r="AS47" i="8"/>
  <c r="AS58" i="8"/>
  <c r="AS147" i="8"/>
  <c r="AS113" i="8"/>
  <c r="AS96" i="8"/>
  <c r="AS179" i="8"/>
  <c r="AS144" i="8"/>
  <c r="AS162" i="8"/>
  <c r="AS29" i="8"/>
  <c r="AS43" i="8"/>
  <c r="AS78" i="8"/>
  <c r="AS75" i="8"/>
  <c r="AS60" i="8"/>
  <c r="AS94" i="8"/>
  <c r="AS77" i="8"/>
  <c r="AS132" i="8"/>
  <c r="AS63" i="8"/>
  <c r="AS107" i="8"/>
  <c r="AS93" i="8"/>
  <c r="AS114" i="8"/>
  <c r="AS108" i="8"/>
  <c r="AS141" i="8"/>
  <c r="AS138" i="8"/>
  <c r="AS139" i="8"/>
  <c r="AS157" i="8"/>
  <c r="AS158" i="8"/>
  <c r="AS155" i="8"/>
  <c r="AS104" i="8"/>
  <c r="AS62" i="8"/>
  <c r="AS198" i="8"/>
  <c r="AS79" i="8"/>
  <c r="AS115" i="8"/>
  <c r="AS134" i="8"/>
  <c r="AS171" i="8"/>
  <c r="AS159" i="8"/>
  <c r="AS161" i="8"/>
  <c r="AS131" i="8"/>
  <c r="AS32" i="8"/>
  <c r="AS66" i="8"/>
  <c r="AS41" i="8"/>
  <c r="AS35" i="8"/>
  <c r="AS36" i="8"/>
  <c r="AS57" i="8"/>
  <c r="AS49" i="8"/>
  <c r="AS55" i="8"/>
  <c r="AS169" i="8"/>
  <c r="AS88" i="8"/>
  <c r="AS193" i="8"/>
  <c r="AS173" i="8"/>
  <c r="AS190" i="8"/>
  <c r="AS194" i="8"/>
  <c r="AS72" i="8"/>
  <c r="AS187" i="8"/>
  <c r="AS189" i="8"/>
  <c r="AS83" i="8"/>
  <c r="AS120" i="8"/>
  <c r="AS87" i="8"/>
  <c r="AS164" i="8"/>
  <c r="AS165" i="8"/>
  <c r="AS200" i="8"/>
  <c r="AS135" i="8"/>
  <c r="AS59" i="8"/>
  <c r="AS103" i="8"/>
  <c r="AS116" i="8"/>
  <c r="AS119" i="8"/>
  <c r="AS37" i="8"/>
  <c r="AS188" i="8"/>
  <c r="AS17" i="8"/>
  <c r="AS136" i="8"/>
  <c r="AS70" i="8"/>
  <c r="AH199" i="8"/>
  <c r="AH175" i="8"/>
  <c r="AH151" i="8"/>
  <c r="AH127" i="8"/>
  <c r="AH103" i="8"/>
  <c r="AH79" i="8"/>
  <c r="AS86" i="8"/>
  <c r="AH191" i="8"/>
  <c r="AH159" i="8"/>
  <c r="AH135" i="8"/>
  <c r="AH111" i="8"/>
  <c r="AH87" i="8"/>
  <c r="AS166" i="8"/>
  <c r="AS123" i="8"/>
  <c r="AS53" i="8"/>
  <c r="AS76" i="8"/>
  <c r="AS109" i="8"/>
  <c r="AS125" i="8"/>
  <c r="AH183" i="8"/>
  <c r="AH167" i="8"/>
  <c r="AH143" i="8"/>
  <c r="AH119" i="8"/>
  <c r="AH95" i="8"/>
  <c r="AS28" i="8"/>
  <c r="AS143" i="8"/>
  <c r="AS160" i="8"/>
  <c r="AS38" i="8"/>
  <c r="AS27" i="8"/>
  <c r="AS45" i="8"/>
  <c r="AS67" i="8"/>
  <c r="AS118" i="8"/>
  <c r="AS44" i="8"/>
  <c r="AS39" i="8"/>
  <c r="AS175" i="8"/>
  <c r="AS167" i="8"/>
  <c r="AS56" i="8"/>
  <c r="AS182" i="8"/>
  <c r="AR152" i="8"/>
  <c r="AS152" i="8"/>
  <c r="AR168" i="8"/>
  <c r="AS168" i="8"/>
  <c r="AR184" i="8"/>
  <c r="AS184" i="8"/>
  <c r="AR18" i="8"/>
  <c r="AS18" i="8"/>
  <c r="AR19" i="8"/>
  <c r="AS19" i="8"/>
  <c r="AR20" i="8"/>
  <c r="AS20" i="8"/>
  <c r="AR21" i="8"/>
  <c r="AS21" i="8"/>
  <c r="AR51" i="8"/>
  <c r="AS51" i="8"/>
  <c r="AR52" i="8"/>
  <c r="AS52" i="8"/>
  <c r="AR54" i="8"/>
  <c r="AS54" i="8"/>
  <c r="AR68" i="8"/>
  <c r="AS68" i="8"/>
  <c r="AR69" i="8"/>
  <c r="AS69" i="8"/>
  <c r="AR71" i="8"/>
  <c r="AS71" i="8"/>
  <c r="AR84" i="8"/>
  <c r="AS84" i="8"/>
  <c r="AR85" i="8"/>
  <c r="AS85" i="8"/>
  <c r="AR100" i="8"/>
  <c r="AS100" i="8"/>
  <c r="AR101" i="8"/>
  <c r="AS101" i="8"/>
  <c r="AR102" i="8"/>
  <c r="AS102" i="8"/>
  <c r="AR117" i="8"/>
  <c r="AS117" i="8"/>
  <c r="AR133" i="8"/>
  <c r="AS133" i="8"/>
  <c r="AR148" i="8"/>
  <c r="AS148" i="8"/>
  <c r="AR149" i="8"/>
  <c r="AS149" i="8"/>
  <c r="AR150" i="8"/>
  <c r="AS150" i="8"/>
  <c r="AR151" i="8"/>
  <c r="AS151" i="8"/>
  <c r="AR180" i="8"/>
  <c r="AS180" i="8"/>
  <c r="AR181" i="8"/>
  <c r="AS181" i="8"/>
  <c r="AR183" i="8"/>
  <c r="AS183" i="8"/>
  <c r="AR196" i="8"/>
  <c r="AS196" i="8"/>
  <c r="AR197" i="8"/>
  <c r="AS197" i="8"/>
  <c r="AR199" i="8"/>
  <c r="AS199" i="8"/>
  <c r="AR26" i="8"/>
  <c r="AS26" i="8"/>
  <c r="AR170" i="8"/>
  <c r="AS170" i="8"/>
  <c r="AR50" i="8"/>
  <c r="AS50" i="8"/>
  <c r="AR124" i="8"/>
  <c r="AS124" i="8"/>
  <c r="AR172" i="8"/>
  <c r="AS172" i="8"/>
  <c r="AR154" i="8"/>
  <c r="AS154" i="8"/>
  <c r="AR156" i="8"/>
  <c r="AS156" i="8"/>
  <c r="AR92" i="8"/>
  <c r="AS92" i="8"/>
  <c r="AR186" i="8"/>
  <c r="AS186" i="8"/>
  <c r="AR140" i="8"/>
  <c r="AS140" i="8"/>
  <c r="AR74" i="8"/>
  <c r="AS74" i="8"/>
  <c r="AH64" i="8"/>
  <c r="AH47" i="8"/>
  <c r="AH39" i="8"/>
  <c r="AH30" i="8"/>
  <c r="AH22" i="8"/>
  <c r="AH14" i="8"/>
  <c r="AH6" i="8"/>
  <c r="AH147" i="8"/>
  <c r="AH71" i="8"/>
  <c r="AH63" i="8"/>
  <c r="AH173" i="8"/>
  <c r="AH197" i="8"/>
  <c r="AH91" i="8"/>
  <c r="AH58" i="8"/>
  <c r="AH50" i="8"/>
  <c r="AH42" i="8"/>
  <c r="AH34" i="8"/>
  <c r="AH25" i="8"/>
  <c r="AH17" i="8"/>
  <c r="AH9" i="8"/>
  <c r="AH181" i="8"/>
  <c r="AH149" i="8"/>
  <c r="AH125" i="8"/>
  <c r="AH101" i="8"/>
  <c r="AH77" i="8"/>
  <c r="AH60" i="8"/>
  <c r="AH36" i="8"/>
  <c r="AH27" i="8"/>
  <c r="AH140" i="8"/>
  <c r="AH10" i="8"/>
  <c r="AH180" i="8"/>
  <c r="AH164" i="8"/>
  <c r="AH124" i="8"/>
  <c r="AH92" i="8"/>
  <c r="AH59" i="8"/>
  <c r="AH43" i="8"/>
  <c r="AH187" i="8"/>
  <c r="AH155" i="8"/>
  <c r="AH123" i="8"/>
  <c r="AH107" i="8"/>
  <c r="AH170" i="8"/>
  <c r="AH122" i="8"/>
  <c r="AH74" i="8"/>
  <c r="AH8" i="8"/>
  <c r="AH177" i="8"/>
  <c r="AH145" i="8"/>
  <c r="AH113" i="8"/>
  <c r="AH89" i="8"/>
  <c r="AH73" i="8"/>
  <c r="AH56" i="8"/>
  <c r="AH31" i="8"/>
  <c r="AH23" i="8"/>
  <c r="AH160" i="8"/>
  <c r="AH128" i="8"/>
  <c r="AH104" i="8"/>
  <c r="AH88" i="8"/>
  <c r="AH72" i="8"/>
  <c r="AH55" i="8"/>
  <c r="AH75" i="8"/>
  <c r="AH162" i="8"/>
  <c r="AH130" i="8"/>
  <c r="AH98" i="8"/>
  <c r="AH57" i="8"/>
  <c r="AH32" i="8"/>
  <c r="AH201" i="8"/>
  <c r="AH185" i="8"/>
  <c r="AH161" i="8"/>
  <c r="AH137" i="8"/>
  <c r="AH121" i="8"/>
  <c r="AH97" i="8"/>
  <c r="AH81" i="8"/>
  <c r="AH48" i="8"/>
  <c r="AH7" i="8"/>
  <c r="AH192" i="8"/>
  <c r="AH176" i="8"/>
  <c r="AH168" i="8"/>
  <c r="AH152" i="8"/>
  <c r="AH144" i="8"/>
  <c r="AH136" i="8"/>
  <c r="AH120" i="8"/>
  <c r="AH112" i="8"/>
  <c r="AH96" i="8"/>
  <c r="AH80" i="8"/>
  <c r="AH165" i="8"/>
  <c r="AH141" i="8"/>
  <c r="AH117" i="8"/>
  <c r="AH85" i="8"/>
  <c r="AH52" i="8"/>
  <c r="AH11" i="8"/>
  <c r="AH196" i="8"/>
  <c r="AH148" i="8"/>
  <c r="AH108" i="8"/>
  <c r="AH76" i="8"/>
  <c r="AH26" i="8"/>
  <c r="AH195" i="8"/>
  <c r="AH163" i="8"/>
  <c r="AH115" i="8"/>
  <c r="AH67" i="8"/>
  <c r="AH194" i="8"/>
  <c r="AH154" i="8"/>
  <c r="AH114" i="8"/>
  <c r="AH82" i="8"/>
  <c r="AH49" i="8"/>
  <c r="AH24" i="8"/>
  <c r="AH193" i="8"/>
  <c r="AH169" i="8"/>
  <c r="AH153" i="8"/>
  <c r="AH129" i="8"/>
  <c r="AH105" i="8"/>
  <c r="AH65" i="8"/>
  <c r="AH40" i="8"/>
  <c r="AH15" i="8"/>
  <c r="AH200" i="8"/>
  <c r="AH184" i="8"/>
  <c r="AH54" i="8"/>
  <c r="AH46" i="8"/>
  <c r="AH38" i="8"/>
  <c r="AH29" i="8"/>
  <c r="AH21" i="8"/>
  <c r="AH13" i="8"/>
  <c r="AH5" i="8"/>
  <c r="W5" i="8" s="1"/>
  <c r="AH188" i="8"/>
  <c r="AH156" i="8"/>
  <c r="AH116" i="8"/>
  <c r="AH84" i="8"/>
  <c r="AH51" i="8"/>
  <c r="AH35" i="8"/>
  <c r="AH171" i="8"/>
  <c r="AH131" i="8"/>
  <c r="AH83" i="8"/>
  <c r="AH186" i="8"/>
  <c r="AH146" i="8"/>
  <c r="AH90" i="8"/>
  <c r="AH16" i="8"/>
  <c r="AH189" i="8"/>
  <c r="AH157" i="8"/>
  <c r="AH133" i="8"/>
  <c r="AH109" i="8"/>
  <c r="AH93" i="8"/>
  <c r="AH69" i="8"/>
  <c r="AH44" i="8"/>
  <c r="AH19" i="8"/>
  <c r="AH172" i="8"/>
  <c r="AH132" i="8"/>
  <c r="AH100" i="8"/>
  <c r="AH68" i="8"/>
  <c r="AH18" i="8"/>
  <c r="AH179" i="8"/>
  <c r="AH139" i="8"/>
  <c r="AH99" i="8"/>
  <c r="AH178" i="8"/>
  <c r="AH138" i="8"/>
  <c r="AH106" i="8"/>
  <c r="AH66" i="8"/>
  <c r="AH41" i="8"/>
  <c r="AH198" i="8"/>
  <c r="AH190" i="8"/>
  <c r="AH182" i="8"/>
  <c r="AH174" i="8"/>
  <c r="AH166" i="8"/>
  <c r="AH158" i="8"/>
  <c r="AH150" i="8"/>
  <c r="AH142" i="8"/>
  <c r="AH134" i="8"/>
  <c r="AH126" i="8"/>
  <c r="AH118" i="8"/>
  <c r="AH110" i="8"/>
  <c r="AH102" i="8"/>
  <c r="AH94" i="8"/>
  <c r="AH86" i="8"/>
  <c r="AH78" i="8"/>
  <c r="AH70" i="8"/>
  <c r="AH62" i="8"/>
  <c r="AH53" i="8"/>
  <c r="AH45" i="8"/>
  <c r="AH37" i="8"/>
  <c r="AH28" i="8"/>
  <c r="AH20" i="8"/>
  <c r="AH12" i="8"/>
  <c r="L3" i="4"/>
  <c r="Q3" i="4"/>
  <c r="R2" i="4"/>
  <c r="Q2" i="4"/>
  <c r="L2" i="4"/>
  <c r="D9" i="1" l="1"/>
  <c r="AA8" i="1"/>
  <c r="AC8" i="1" s="1"/>
  <c r="AJ47" i="8"/>
  <c r="AJ111" i="8"/>
  <c r="W111" i="8"/>
  <c r="AJ12" i="8"/>
  <c r="AJ181" i="8"/>
  <c r="W181" i="8"/>
  <c r="AJ68" i="8"/>
  <c r="AJ9" i="8"/>
  <c r="W9" i="8"/>
  <c r="AJ67" i="8"/>
  <c r="W67" i="8"/>
  <c r="AJ200" i="8"/>
  <c r="W200" i="8"/>
  <c r="AJ120" i="8"/>
  <c r="W120" i="8"/>
  <c r="AJ64" i="8"/>
  <c r="W64" i="8"/>
  <c r="AJ135" i="8"/>
  <c r="W135" i="8"/>
  <c r="AJ186" i="8"/>
  <c r="W186" i="8"/>
  <c r="AJ22" i="8"/>
  <c r="W22" i="8"/>
  <c r="AJ54" i="8"/>
  <c r="W54" i="8"/>
  <c r="AJ30" i="8"/>
  <c r="AJ28" i="8"/>
  <c r="W28" i="8"/>
  <c r="AJ92" i="8"/>
  <c r="W92" i="8"/>
  <c r="AJ174" i="8"/>
  <c r="W174" i="8"/>
  <c r="AJ32" i="8"/>
  <c r="AJ53" i="8"/>
  <c r="AJ40" i="8"/>
  <c r="W40" i="8"/>
  <c r="AJ62" i="8"/>
  <c r="AJ190" i="8"/>
  <c r="W190" i="8"/>
  <c r="AJ44" i="8"/>
  <c r="AJ51" i="8"/>
  <c r="W51" i="8"/>
  <c r="AJ65" i="8"/>
  <c r="AJ26" i="8"/>
  <c r="W26" i="8"/>
  <c r="AJ144" i="8"/>
  <c r="W144" i="8"/>
  <c r="AJ98" i="8"/>
  <c r="W98" i="8"/>
  <c r="AJ113" i="8"/>
  <c r="W113" i="8"/>
  <c r="AJ180" i="8"/>
  <c r="W180" i="8"/>
  <c r="AJ50" i="8"/>
  <c r="W50" i="8"/>
  <c r="AJ191" i="8"/>
  <c r="W191" i="8"/>
  <c r="AJ18" i="8"/>
  <c r="AJ20" i="8"/>
  <c r="W20" i="8"/>
  <c r="AJ80" i="8"/>
  <c r="W80" i="8"/>
  <c r="AJ184" i="8"/>
  <c r="W184" i="8"/>
  <c r="AJ39" i="8"/>
  <c r="W39" i="8"/>
  <c r="AJ166" i="8"/>
  <c r="W166" i="8"/>
  <c r="AJ56" i="8"/>
  <c r="W56" i="8"/>
  <c r="AJ15" i="8"/>
  <c r="W15" i="8"/>
  <c r="AJ34" i="8"/>
  <c r="AJ35" i="8"/>
  <c r="AJ57" i="8"/>
  <c r="W57" i="8"/>
  <c r="AJ164" i="8"/>
  <c r="W164" i="8"/>
  <c r="AJ130" i="8"/>
  <c r="W130" i="8"/>
  <c r="AJ137" i="8"/>
  <c r="W137" i="8"/>
  <c r="AJ43" i="8"/>
  <c r="W43" i="8"/>
  <c r="AJ96" i="8"/>
  <c r="W96" i="8"/>
  <c r="AJ112" i="8"/>
  <c r="W112" i="8"/>
  <c r="AJ124" i="8"/>
  <c r="W124" i="8"/>
  <c r="AJ182" i="8"/>
  <c r="W182" i="8"/>
  <c r="AJ195" i="8"/>
  <c r="W195" i="8"/>
  <c r="AJ79" i="8"/>
  <c r="W79" i="8"/>
  <c r="AJ154" i="8"/>
  <c r="W154" i="8"/>
  <c r="AJ59" i="8"/>
  <c r="W59" i="8"/>
  <c r="AJ25" i="8"/>
  <c r="W25" i="8"/>
  <c r="AJ160" i="8"/>
  <c r="W160" i="8"/>
  <c r="AJ83" i="8"/>
  <c r="W83" i="8"/>
  <c r="AJ17" i="8"/>
  <c r="W17" i="8"/>
  <c r="AJ132" i="8"/>
  <c r="W132" i="8"/>
  <c r="AJ172" i="8"/>
  <c r="W172" i="8"/>
  <c r="AJ163" i="8"/>
  <c r="W163" i="8"/>
  <c r="AJ42" i="8"/>
  <c r="AJ167" i="8"/>
  <c r="W167" i="8"/>
  <c r="AJ187" i="8"/>
  <c r="W187" i="8"/>
  <c r="AJ23" i="8"/>
  <c r="W23" i="8"/>
  <c r="AJ158" i="8"/>
  <c r="W158" i="8"/>
  <c r="AJ87" i="8"/>
  <c r="W87" i="8"/>
  <c r="AJ115" i="8"/>
  <c r="W115" i="8"/>
  <c r="AJ45" i="8"/>
  <c r="W45" i="8"/>
  <c r="AJ73" i="8"/>
  <c r="W73" i="8"/>
  <c r="AJ19" i="8"/>
  <c r="AJ136" i="8"/>
  <c r="W136" i="8"/>
  <c r="AJ58" i="8"/>
  <c r="W58" i="8"/>
  <c r="AJ159" i="8"/>
  <c r="W159" i="8"/>
  <c r="AJ70" i="8"/>
  <c r="W70" i="8"/>
  <c r="AJ69" i="8"/>
  <c r="W69" i="8"/>
  <c r="AJ76" i="8"/>
  <c r="W76" i="8"/>
  <c r="AJ10" i="8"/>
  <c r="AJ93" i="8"/>
  <c r="W93" i="8"/>
  <c r="AJ129" i="8"/>
  <c r="W129" i="8"/>
  <c r="AJ162" i="8"/>
  <c r="W162" i="8"/>
  <c r="AJ91" i="8"/>
  <c r="W91" i="8"/>
  <c r="AJ66" i="8"/>
  <c r="AJ148" i="8"/>
  <c r="W148" i="8"/>
  <c r="AJ8" i="8"/>
  <c r="W8" i="8"/>
  <c r="AJ143" i="8"/>
  <c r="W143" i="8"/>
  <c r="AJ103" i="8"/>
  <c r="W103" i="8"/>
  <c r="AJ106" i="8"/>
  <c r="W106" i="8"/>
  <c r="AJ196" i="8"/>
  <c r="W196" i="8"/>
  <c r="AJ36" i="8"/>
  <c r="W36" i="8"/>
  <c r="AJ138" i="8"/>
  <c r="W138" i="8"/>
  <c r="AJ7" i="8"/>
  <c r="W7" i="8"/>
  <c r="AJ63" i="8"/>
  <c r="AJ110" i="8"/>
  <c r="W110" i="8"/>
  <c r="AJ178" i="8"/>
  <c r="W178" i="8"/>
  <c r="AJ189" i="8"/>
  <c r="W189" i="8"/>
  <c r="AJ13" i="8"/>
  <c r="W13" i="8"/>
  <c r="AJ24" i="8"/>
  <c r="W24" i="8"/>
  <c r="AJ52" i="8"/>
  <c r="W52" i="8"/>
  <c r="AJ48" i="8"/>
  <c r="W48" i="8"/>
  <c r="AJ72" i="8"/>
  <c r="AJ170" i="8"/>
  <c r="W170" i="8"/>
  <c r="AJ77" i="8"/>
  <c r="W77" i="8"/>
  <c r="AJ71" i="8"/>
  <c r="W71" i="8"/>
  <c r="AJ175" i="8"/>
  <c r="W175" i="8"/>
  <c r="AJ142" i="8"/>
  <c r="W142" i="8"/>
  <c r="AJ165" i="8"/>
  <c r="W165" i="8"/>
  <c r="AJ150" i="8"/>
  <c r="W150" i="8"/>
  <c r="AJ161" i="8"/>
  <c r="W161" i="8"/>
  <c r="AJ100" i="8"/>
  <c r="W100" i="8"/>
  <c r="AJ31" i="8"/>
  <c r="W31" i="8"/>
  <c r="AJ37" i="8"/>
  <c r="W37" i="8"/>
  <c r="AJ171" i="8"/>
  <c r="W171" i="8"/>
  <c r="AJ201" i="8"/>
  <c r="W201" i="8"/>
  <c r="AJ41" i="8"/>
  <c r="AJ116" i="8"/>
  <c r="W116" i="8"/>
  <c r="AJ168" i="8"/>
  <c r="W168" i="8"/>
  <c r="AJ140" i="8"/>
  <c r="W140" i="8"/>
  <c r="AJ86" i="8"/>
  <c r="W86" i="8"/>
  <c r="AJ156" i="8"/>
  <c r="W156" i="8"/>
  <c r="AJ176" i="8"/>
  <c r="W176" i="8"/>
  <c r="AJ27" i="8"/>
  <c r="W27" i="8"/>
  <c r="AJ94" i="8"/>
  <c r="W94" i="8"/>
  <c r="AJ188" i="8"/>
  <c r="W188" i="8"/>
  <c r="AJ75" i="8"/>
  <c r="AJ173" i="8"/>
  <c r="W173" i="8"/>
  <c r="AJ102" i="8"/>
  <c r="W102" i="8"/>
  <c r="AJ11" i="8"/>
  <c r="AJ60" i="8"/>
  <c r="AJ16" i="8"/>
  <c r="AJ88" i="8"/>
  <c r="AJ101" i="8"/>
  <c r="W101" i="8"/>
  <c r="AJ147" i="8"/>
  <c r="W147" i="8"/>
  <c r="AJ199" i="8"/>
  <c r="W199" i="8"/>
  <c r="AJ55" i="8"/>
  <c r="W55" i="8"/>
  <c r="AJ183" i="8"/>
  <c r="W183" i="8"/>
  <c r="AJ151" i="8"/>
  <c r="W151" i="8"/>
  <c r="AJ99" i="8"/>
  <c r="W99" i="8"/>
  <c r="AJ90" i="8"/>
  <c r="W90" i="8"/>
  <c r="AJ117" i="8"/>
  <c r="W117" i="8"/>
  <c r="AJ104" i="8"/>
  <c r="W104" i="8"/>
  <c r="AJ123" i="8"/>
  <c r="W123" i="8"/>
  <c r="AJ125" i="8"/>
  <c r="W125" i="8"/>
  <c r="AJ6" i="8"/>
  <c r="AJ46" i="8"/>
  <c r="AJ194" i="8"/>
  <c r="W194" i="8"/>
  <c r="AJ131" i="8"/>
  <c r="W131" i="8"/>
  <c r="AJ185" i="8"/>
  <c r="W185" i="8"/>
  <c r="AJ198" i="8"/>
  <c r="W198" i="8"/>
  <c r="AJ84" i="8"/>
  <c r="W84" i="8"/>
  <c r="AJ105" i="8"/>
  <c r="W105" i="8"/>
  <c r="AJ152" i="8"/>
  <c r="W152" i="8"/>
  <c r="AJ145" i="8"/>
  <c r="W145" i="8"/>
  <c r="AJ95" i="8"/>
  <c r="W95" i="8"/>
  <c r="AJ78" i="8"/>
  <c r="AJ108" i="8"/>
  <c r="W108" i="8"/>
  <c r="AJ177" i="8"/>
  <c r="W177" i="8"/>
  <c r="AJ119" i="8"/>
  <c r="W119" i="8"/>
  <c r="AJ109" i="8"/>
  <c r="W109" i="8"/>
  <c r="AJ153" i="8"/>
  <c r="W153" i="8"/>
  <c r="AJ197" i="8"/>
  <c r="W197" i="8"/>
  <c r="AJ133" i="8"/>
  <c r="W133" i="8"/>
  <c r="AJ169" i="8"/>
  <c r="W169" i="8"/>
  <c r="AJ192" i="8"/>
  <c r="W192" i="8"/>
  <c r="AJ74" i="8"/>
  <c r="W74" i="8"/>
  <c r="AJ127" i="8"/>
  <c r="W127" i="8"/>
  <c r="AJ157" i="8"/>
  <c r="W157" i="8"/>
  <c r="AJ193" i="8"/>
  <c r="W193" i="8"/>
  <c r="AJ122" i="8"/>
  <c r="W122" i="8"/>
  <c r="AJ118" i="8"/>
  <c r="W118" i="8"/>
  <c r="AJ21" i="8"/>
  <c r="W21" i="8"/>
  <c r="AJ49" i="8"/>
  <c r="AJ85" i="8"/>
  <c r="W85" i="8"/>
  <c r="AJ81" i="8"/>
  <c r="AJ107" i="8"/>
  <c r="W107" i="8"/>
  <c r="AJ126" i="8"/>
  <c r="W126" i="8"/>
  <c r="AJ139" i="8"/>
  <c r="W139" i="8"/>
  <c r="AJ29" i="8"/>
  <c r="AJ82" i="8"/>
  <c r="AJ97" i="8"/>
  <c r="W97" i="8"/>
  <c r="AJ134" i="8"/>
  <c r="W134" i="8"/>
  <c r="AJ179" i="8"/>
  <c r="W179" i="8"/>
  <c r="AJ146" i="8"/>
  <c r="W146" i="8"/>
  <c r="AJ38" i="8"/>
  <c r="W38" i="8"/>
  <c r="AJ114" i="8"/>
  <c r="W114" i="8"/>
  <c r="AJ141" i="8"/>
  <c r="W141" i="8"/>
  <c r="AJ121" i="8"/>
  <c r="W121" i="8"/>
  <c r="AJ128" i="8"/>
  <c r="W128" i="8"/>
  <c r="AJ155" i="8"/>
  <c r="W155" i="8"/>
  <c r="AJ149" i="8"/>
  <c r="W149" i="8"/>
  <c r="AJ14" i="8"/>
  <c r="W14" i="8"/>
  <c r="AJ89" i="8"/>
  <c r="R1164" i="1"/>
  <c r="R1165" i="1" s="1"/>
  <c r="R1166" i="1" s="1"/>
  <c r="R1167" i="1" s="1"/>
  <c r="R1168" i="1" s="1"/>
  <c r="R1169" i="1" s="1"/>
  <c r="R1170" i="1" s="1"/>
  <c r="R1171" i="1" s="1"/>
  <c r="R1172" i="1" s="1"/>
  <c r="R1173" i="1" s="1"/>
  <c r="R1174" i="1" s="1"/>
  <c r="R1175" i="1" s="1"/>
  <c r="R1176" i="1" s="1"/>
  <c r="R1177" i="1" s="1"/>
  <c r="R1178" i="1" s="1"/>
  <c r="R1179" i="1" s="1"/>
  <c r="R1180" i="1" s="1"/>
  <c r="R1181" i="1" s="1"/>
  <c r="R1182" i="1" s="1"/>
  <c r="R1183" i="1" s="1"/>
  <c r="R1184" i="1" s="1"/>
  <c r="R1185" i="1" s="1"/>
  <c r="R1186" i="1" s="1"/>
  <c r="R1187" i="1" s="1"/>
  <c r="R1188" i="1" s="1"/>
  <c r="R1189" i="1" s="1"/>
  <c r="R1190" i="1" s="1"/>
  <c r="R1191" i="1" s="1"/>
  <c r="R1192" i="1" s="1"/>
  <c r="R1193" i="1" s="1"/>
  <c r="R1194" i="1" s="1"/>
  <c r="R1195" i="1" s="1"/>
  <c r="R1196" i="1" s="1"/>
  <c r="R1197" i="1" s="1"/>
  <c r="R1198" i="1" s="1"/>
  <c r="R1199" i="1" s="1"/>
  <c r="R1200" i="1" s="1"/>
  <c r="R1201" i="1" s="1"/>
  <c r="R1202" i="1" s="1"/>
  <c r="R1203" i="1" s="1"/>
  <c r="R1204" i="1" s="1"/>
  <c r="R1205" i="1" s="1"/>
  <c r="R1206" i="1" s="1"/>
  <c r="R1207" i="1" s="1"/>
  <c r="R1208" i="1" s="1"/>
  <c r="R1209" i="1" s="1"/>
  <c r="R1210" i="1" s="1"/>
  <c r="R1211" i="1" s="1"/>
  <c r="R1212" i="1" s="1"/>
  <c r="R1213" i="1" s="1"/>
  <c r="R1214" i="1" s="1"/>
  <c r="R1215" i="1" s="1"/>
  <c r="R1216" i="1" s="1"/>
  <c r="R1217" i="1" s="1"/>
  <c r="R1218" i="1" s="1"/>
  <c r="R1219" i="1" s="1"/>
  <c r="R1220" i="1" s="1"/>
  <c r="R1221" i="1" s="1"/>
  <c r="R1222" i="1" s="1"/>
  <c r="R1223" i="1" s="1"/>
  <c r="R1224" i="1" s="1"/>
  <c r="R1225" i="1" s="1"/>
  <c r="R1226" i="1" s="1"/>
  <c r="R1227" i="1" s="1"/>
  <c r="R1228" i="1" s="1"/>
  <c r="R1229" i="1" s="1"/>
  <c r="R1230" i="1" s="1"/>
  <c r="R1231" i="1" s="1"/>
  <c r="R1232" i="1" s="1"/>
  <c r="R1233" i="1" s="1"/>
  <c r="R1234" i="1" s="1"/>
  <c r="R1235" i="1" s="1"/>
  <c r="R1236" i="1" s="1"/>
  <c r="R1237" i="1" s="1"/>
  <c r="R1238" i="1" s="1"/>
  <c r="R1239" i="1" s="1"/>
  <c r="R1240" i="1" s="1"/>
  <c r="R1241" i="1" s="1"/>
  <c r="R1242" i="1" s="1"/>
  <c r="R1243" i="1" s="1"/>
  <c r="R1244" i="1" s="1"/>
  <c r="R1245" i="1" s="1"/>
  <c r="R1246" i="1" s="1"/>
  <c r="R1247" i="1" s="1"/>
  <c r="R1248" i="1" s="1"/>
  <c r="R1249" i="1" s="1"/>
  <c r="R1250" i="1" s="1"/>
  <c r="R1251" i="1" s="1"/>
  <c r="R1252" i="1" s="1"/>
  <c r="R1253" i="1" s="1"/>
  <c r="R1254" i="1" s="1"/>
  <c r="R1255" i="1" s="1"/>
  <c r="R1256" i="1" s="1"/>
  <c r="R1257" i="1" s="1"/>
  <c r="R1258" i="1" s="1"/>
  <c r="R1259" i="1" s="1"/>
  <c r="R1260" i="1" s="1"/>
  <c r="R1261" i="1" s="1"/>
  <c r="R1262" i="1" s="1"/>
  <c r="R1263" i="1" s="1"/>
  <c r="R1264" i="1" s="1"/>
  <c r="R1265" i="1" s="1"/>
  <c r="R1266" i="1" s="1"/>
  <c r="R1267" i="1" s="1"/>
  <c r="R1268" i="1" s="1"/>
  <c r="R1269" i="1" s="1"/>
  <c r="R1270" i="1" s="1"/>
  <c r="R1271" i="1" s="1"/>
  <c r="R1272" i="1" s="1"/>
  <c r="R1273" i="1" s="1"/>
  <c r="R1274" i="1" s="1"/>
  <c r="R1275" i="1" s="1"/>
  <c r="R1276" i="1" s="1"/>
  <c r="R1277" i="1" s="1"/>
  <c r="R1278" i="1" s="1"/>
  <c r="R1279" i="1" s="1"/>
  <c r="R1280" i="1" s="1"/>
  <c r="R1281" i="1" s="1"/>
  <c r="R1282" i="1" s="1"/>
  <c r="R1283" i="1" s="1"/>
  <c r="R1284" i="1" s="1"/>
  <c r="R1285" i="1" s="1"/>
  <c r="R1286" i="1" s="1"/>
  <c r="R1287" i="1" s="1"/>
  <c r="R1288" i="1" s="1"/>
  <c r="R1289" i="1" s="1"/>
  <c r="R1290" i="1" s="1"/>
  <c r="R1291" i="1" s="1"/>
  <c r="R1292" i="1" s="1"/>
  <c r="R1293" i="1" s="1"/>
  <c r="R1294" i="1" s="1"/>
  <c r="R1295" i="1" s="1"/>
  <c r="R1296" i="1" s="1"/>
  <c r="R1297" i="1" s="1"/>
  <c r="R1298" i="1" s="1"/>
  <c r="R1299" i="1" s="1"/>
  <c r="R1300" i="1" s="1"/>
  <c r="R1301" i="1" s="1"/>
  <c r="R1302" i="1" s="1"/>
  <c r="R1303" i="1" s="1"/>
  <c r="R1304" i="1" s="1"/>
  <c r="R1305" i="1" s="1"/>
  <c r="R1306" i="1" s="1"/>
  <c r="R1307" i="1" s="1"/>
  <c r="R1308" i="1" s="1"/>
  <c r="R1309" i="1" s="1"/>
  <c r="R1310" i="1" s="1"/>
  <c r="R1311" i="1" s="1"/>
  <c r="R1312" i="1" s="1"/>
  <c r="R1313" i="1" s="1"/>
  <c r="R1314" i="1" s="1"/>
  <c r="R1315" i="1" s="1"/>
  <c r="R1316" i="1" s="1"/>
  <c r="R1317" i="1" s="1"/>
  <c r="R1318" i="1" s="1"/>
  <c r="R1319" i="1" s="1"/>
  <c r="R1320" i="1" s="1"/>
  <c r="R1321" i="1" s="1"/>
  <c r="R1322" i="1" s="1"/>
  <c r="R1323" i="1" s="1"/>
  <c r="R1324" i="1" s="1"/>
  <c r="R1325" i="1" s="1"/>
  <c r="R1326" i="1" s="1"/>
  <c r="R1327" i="1" s="1"/>
  <c r="R1328" i="1" s="1"/>
  <c r="R1329" i="1" s="1"/>
  <c r="R1330" i="1" s="1"/>
  <c r="R1331" i="1" s="1"/>
  <c r="R1332" i="1" s="1"/>
  <c r="R1333" i="1" s="1"/>
  <c r="R1334" i="1" s="1"/>
  <c r="R1335" i="1" s="1"/>
  <c r="R1336" i="1" s="1"/>
  <c r="R1337" i="1" s="1"/>
  <c r="R1338" i="1" s="1"/>
  <c r="R1339" i="1" s="1"/>
  <c r="R1340" i="1" s="1"/>
  <c r="R1341" i="1" s="1"/>
  <c r="R1342" i="1" s="1"/>
  <c r="R1343" i="1" s="1"/>
  <c r="R1344" i="1" s="1"/>
  <c r="R1345" i="1" s="1"/>
  <c r="R1346" i="1" s="1"/>
  <c r="R1347" i="1" s="1"/>
  <c r="R1348" i="1" s="1"/>
  <c r="R1349" i="1" s="1"/>
  <c r="R1350" i="1" s="1"/>
  <c r="R1351" i="1" s="1"/>
  <c r="R1352" i="1" s="1"/>
  <c r="R1353" i="1" s="1"/>
  <c r="R1354" i="1" s="1"/>
  <c r="R1355" i="1" s="1"/>
  <c r="R1356" i="1" s="1"/>
  <c r="R1357" i="1" s="1"/>
  <c r="R1358" i="1" s="1"/>
  <c r="R1359" i="1" s="1"/>
  <c r="R1360" i="1" s="1"/>
  <c r="R1361" i="1" s="1"/>
  <c r="R1362" i="1" s="1"/>
  <c r="R1363" i="1" s="1"/>
  <c r="R1364" i="1" s="1"/>
  <c r="R1365" i="1" s="1"/>
  <c r="R1366" i="1" s="1"/>
  <c r="R1367" i="1" s="1"/>
  <c r="R1368" i="1" s="1"/>
  <c r="R1369" i="1" s="1"/>
  <c r="R1370" i="1" s="1"/>
  <c r="R1371" i="1" s="1"/>
  <c r="R1372" i="1" s="1"/>
  <c r="R1373" i="1" s="1"/>
  <c r="R1374" i="1" s="1"/>
  <c r="R1375" i="1" s="1"/>
  <c r="R1376" i="1" s="1"/>
  <c r="R1377" i="1" s="1"/>
  <c r="R1378" i="1" s="1"/>
  <c r="R1379" i="1" s="1"/>
  <c r="R1380" i="1" s="1"/>
  <c r="R1381" i="1" s="1"/>
  <c r="R1382" i="1" s="1"/>
  <c r="R1383" i="1" s="1"/>
  <c r="R1384" i="1" s="1"/>
  <c r="R1385" i="1" s="1"/>
  <c r="R1386" i="1" s="1"/>
  <c r="R1387" i="1" s="1"/>
  <c r="R1388" i="1" s="1"/>
  <c r="R1389" i="1" s="1"/>
  <c r="R1390" i="1" s="1"/>
  <c r="R1391" i="1" s="1"/>
  <c r="R1392" i="1" s="1"/>
  <c r="R1393" i="1" s="1"/>
  <c r="R1394" i="1" s="1"/>
  <c r="R1395" i="1" s="1"/>
  <c r="R1396" i="1" s="1"/>
  <c r="R1397" i="1" s="1"/>
  <c r="R1398" i="1" s="1"/>
  <c r="R1399" i="1" s="1"/>
  <c r="R1400" i="1" s="1"/>
  <c r="R1401" i="1" s="1"/>
  <c r="R1402" i="1" s="1"/>
  <c r="R1403" i="1" s="1"/>
  <c r="R1404" i="1" s="1"/>
  <c r="R1405" i="1" s="1"/>
  <c r="R1406" i="1" s="1"/>
  <c r="R1407" i="1" s="1"/>
  <c r="R1408" i="1" s="1"/>
  <c r="R1409" i="1" s="1"/>
  <c r="R1410" i="1" s="1"/>
  <c r="R1411" i="1" s="1"/>
  <c r="R1412" i="1" s="1"/>
  <c r="R1413" i="1" s="1"/>
  <c r="R1414" i="1" s="1"/>
  <c r="R1415" i="1" s="1"/>
  <c r="R1416" i="1" s="1"/>
  <c r="R1417" i="1" s="1"/>
  <c r="R1418" i="1" s="1"/>
  <c r="R1419" i="1" s="1"/>
  <c r="R1420" i="1" s="1"/>
  <c r="R1421" i="1" s="1"/>
  <c r="R1422" i="1" s="1"/>
  <c r="R1423" i="1" s="1"/>
  <c r="R1424" i="1" s="1"/>
  <c r="R1425" i="1" s="1"/>
  <c r="R1426" i="1" s="1"/>
  <c r="R1427" i="1" s="1"/>
  <c r="R1428" i="1" s="1"/>
  <c r="R1429" i="1" s="1"/>
  <c r="R1430" i="1" s="1"/>
  <c r="R1431" i="1" s="1"/>
  <c r="R1432" i="1" s="1"/>
  <c r="R1433" i="1" s="1"/>
  <c r="R1434" i="1" s="1"/>
  <c r="R1435" i="1" s="1"/>
  <c r="R1436" i="1" s="1"/>
  <c r="R1437" i="1" s="1"/>
  <c r="R1438" i="1" s="1"/>
  <c r="R1439" i="1" s="1"/>
  <c r="R1440" i="1" s="1"/>
  <c r="R1441" i="1" s="1"/>
  <c r="R1442" i="1" s="1"/>
  <c r="R1443" i="1" s="1"/>
  <c r="R1444" i="1" s="1"/>
  <c r="R1445" i="1" s="1"/>
  <c r="R1446" i="1" s="1"/>
  <c r="R1447" i="1" s="1"/>
  <c r="R1448" i="1" s="1"/>
  <c r="R1449" i="1" s="1"/>
  <c r="R1450" i="1" s="1"/>
  <c r="R1451" i="1" s="1"/>
  <c r="R1452" i="1" s="1"/>
  <c r="R1453" i="1" s="1"/>
  <c r="R1454" i="1" s="1"/>
  <c r="R1455" i="1" s="1"/>
  <c r="R1456" i="1" s="1"/>
  <c r="R1457" i="1" s="1"/>
  <c r="R1458" i="1" s="1"/>
  <c r="R1459" i="1" s="1"/>
  <c r="R1460" i="1" s="1"/>
  <c r="R1461" i="1" s="1"/>
  <c r="R1462" i="1" s="1"/>
  <c r="R1463" i="1" s="1"/>
  <c r="R1464" i="1" s="1"/>
  <c r="R1465" i="1" s="1"/>
  <c r="R1466" i="1" s="1"/>
  <c r="R1467" i="1" s="1"/>
  <c r="R1468" i="1" s="1"/>
  <c r="R1469" i="1" s="1"/>
  <c r="R1470" i="1" s="1"/>
  <c r="R1471" i="1" s="1"/>
  <c r="R1472" i="1" s="1"/>
  <c r="R1473" i="1" s="1"/>
  <c r="R1474" i="1" s="1"/>
  <c r="R1475" i="1" s="1"/>
  <c r="R1476" i="1" s="1"/>
  <c r="R1477" i="1" s="1"/>
  <c r="R1478" i="1" s="1"/>
  <c r="R1479" i="1" s="1"/>
  <c r="R1480" i="1" s="1"/>
  <c r="R1481" i="1" s="1"/>
  <c r="R1482" i="1" s="1"/>
  <c r="R1483" i="1" s="1"/>
  <c r="R1484" i="1" s="1"/>
  <c r="R1485" i="1" s="1"/>
  <c r="R1486" i="1" s="1"/>
  <c r="R1487" i="1" s="1"/>
  <c r="R1488" i="1" s="1"/>
  <c r="R1489" i="1" s="1"/>
  <c r="R1490" i="1" s="1"/>
  <c r="R1491" i="1" s="1"/>
  <c r="R1492" i="1" s="1"/>
  <c r="R1493" i="1" s="1"/>
  <c r="R1494" i="1" s="1"/>
  <c r="R1495" i="1" s="1"/>
  <c r="R1496" i="1" s="1"/>
  <c r="R1497" i="1" s="1"/>
  <c r="R1498" i="1" s="1"/>
  <c r="R1499" i="1" s="1"/>
  <c r="R1500" i="1" s="1"/>
  <c r="R1501" i="1" s="1"/>
  <c r="R1502" i="1" s="1"/>
  <c r="R1503" i="1" s="1"/>
  <c r="R1504" i="1" s="1"/>
  <c r="R1505" i="1" s="1"/>
  <c r="R1506" i="1" s="1"/>
  <c r="R1507" i="1" s="1"/>
  <c r="R1508" i="1" s="1"/>
  <c r="R1509" i="1" s="1"/>
  <c r="R1510" i="1" s="1"/>
  <c r="R1511" i="1" s="1"/>
  <c r="R1512" i="1" s="1"/>
  <c r="R1513" i="1" s="1"/>
  <c r="R1514" i="1" s="1"/>
  <c r="R1515" i="1" s="1"/>
  <c r="R1516" i="1" s="1"/>
  <c r="R1517" i="1" s="1"/>
  <c r="R1518" i="1" s="1"/>
  <c r="R1519" i="1" s="1"/>
  <c r="R1520" i="1" s="1"/>
  <c r="R1521" i="1" s="1"/>
  <c r="R1522" i="1" s="1"/>
  <c r="R1523" i="1" s="1"/>
  <c r="R1524" i="1" s="1"/>
  <c r="R1525" i="1" s="1"/>
  <c r="R1526" i="1" s="1"/>
  <c r="R1527" i="1" s="1"/>
  <c r="R1528" i="1" s="1"/>
  <c r="R1529" i="1" s="1"/>
  <c r="R1530" i="1" s="1"/>
  <c r="R1531" i="1" s="1"/>
  <c r="R1532" i="1" s="1"/>
  <c r="R1533" i="1" s="1"/>
  <c r="R1534" i="1" s="1"/>
  <c r="R1535" i="1" s="1"/>
  <c r="R1536" i="1" s="1"/>
  <c r="R1537" i="1" s="1"/>
  <c r="R1538" i="1" s="1"/>
  <c r="R1539" i="1" s="1"/>
  <c r="R1540" i="1" s="1"/>
  <c r="R1541" i="1" s="1"/>
  <c r="R1542" i="1" s="1"/>
  <c r="R1543" i="1" s="1"/>
  <c r="R1544" i="1" s="1"/>
  <c r="R1545" i="1" s="1"/>
  <c r="R1546" i="1" s="1"/>
  <c r="R1547" i="1" s="1"/>
  <c r="R1548" i="1" s="1"/>
  <c r="R1549" i="1" s="1"/>
  <c r="R1550" i="1" s="1"/>
  <c r="R1551" i="1" s="1"/>
  <c r="R1552" i="1" s="1"/>
  <c r="R1553" i="1" s="1"/>
  <c r="R1554" i="1" s="1"/>
  <c r="R1555" i="1" s="1"/>
  <c r="R1556" i="1" s="1"/>
  <c r="R1557" i="1" s="1"/>
  <c r="R1558" i="1" s="1"/>
  <c r="R1559" i="1" s="1"/>
  <c r="R1560" i="1" s="1"/>
  <c r="R1561" i="1" s="1"/>
  <c r="R1562" i="1" s="1"/>
  <c r="R1563" i="1" s="1"/>
  <c r="R1564" i="1" s="1"/>
  <c r="R1565" i="1" s="1"/>
  <c r="R1566" i="1" s="1"/>
  <c r="R1567" i="1" s="1"/>
  <c r="R1568" i="1" s="1"/>
  <c r="R1569" i="1" s="1"/>
  <c r="R1570" i="1" s="1"/>
  <c r="R1571" i="1" s="1"/>
  <c r="R1572" i="1" s="1"/>
  <c r="R1573" i="1" s="1"/>
  <c r="R1574" i="1" s="1"/>
  <c r="R1575" i="1" s="1"/>
  <c r="R1576" i="1" s="1"/>
  <c r="R1577" i="1" s="1"/>
  <c r="R1578" i="1" s="1"/>
  <c r="R1579" i="1" s="1"/>
  <c r="R1580" i="1" s="1"/>
  <c r="R1581" i="1" s="1"/>
  <c r="R1582" i="1" s="1"/>
  <c r="R1583" i="1" s="1"/>
  <c r="R1584" i="1" s="1"/>
  <c r="R1585" i="1" s="1"/>
  <c r="R1586" i="1" s="1"/>
  <c r="R1587" i="1" s="1"/>
  <c r="R1588" i="1" s="1"/>
  <c r="R1589" i="1" s="1"/>
  <c r="R1590" i="1" s="1"/>
  <c r="R1591" i="1" s="1"/>
  <c r="R1592" i="1" s="1"/>
  <c r="R1593" i="1" s="1"/>
  <c r="R1594" i="1" s="1"/>
  <c r="R1595" i="1" s="1"/>
  <c r="R1596" i="1" s="1"/>
  <c r="R1597" i="1" s="1"/>
  <c r="R1598" i="1" s="1"/>
  <c r="R1599" i="1" s="1"/>
  <c r="R1600" i="1" s="1"/>
  <c r="R1601" i="1" s="1"/>
  <c r="R1602" i="1" s="1"/>
  <c r="R1603" i="1" s="1"/>
  <c r="R1604" i="1" s="1"/>
  <c r="R1605" i="1" s="1"/>
  <c r="R1606" i="1" s="1"/>
  <c r="R1607" i="1" s="1"/>
  <c r="R1608" i="1" s="1"/>
  <c r="R1609" i="1" s="1"/>
  <c r="R1610" i="1" s="1"/>
  <c r="R1611" i="1" s="1"/>
  <c r="R1612" i="1" s="1"/>
  <c r="R1613" i="1" s="1"/>
  <c r="R1614" i="1" s="1"/>
  <c r="R1615" i="1" s="1"/>
  <c r="R1616" i="1" s="1"/>
  <c r="R1617" i="1" s="1"/>
  <c r="R1618" i="1" s="1"/>
  <c r="R1619" i="1" s="1"/>
  <c r="R1620" i="1" s="1"/>
  <c r="R1621" i="1" s="1"/>
  <c r="R1622" i="1" s="1"/>
  <c r="R1623" i="1" s="1"/>
  <c r="R1624" i="1" s="1"/>
  <c r="R1625" i="1" s="1"/>
  <c r="R1626" i="1" s="1"/>
  <c r="R1627" i="1" s="1"/>
  <c r="R1628" i="1" s="1"/>
  <c r="R1629" i="1" s="1"/>
  <c r="R1630" i="1" s="1"/>
  <c r="R1631" i="1" s="1"/>
  <c r="R1632" i="1" s="1"/>
  <c r="R1633" i="1" s="1"/>
  <c r="R1634" i="1" s="1"/>
  <c r="R1635" i="1" s="1"/>
  <c r="R1636" i="1" s="1"/>
  <c r="R1637" i="1" s="1"/>
  <c r="R1638" i="1" s="1"/>
  <c r="R1639" i="1" s="1"/>
  <c r="R1640" i="1" s="1"/>
  <c r="R1641" i="1" s="1"/>
  <c r="R1642" i="1" s="1"/>
  <c r="R1643" i="1" s="1"/>
  <c r="R1644" i="1" s="1"/>
  <c r="R1645" i="1" s="1"/>
  <c r="R1646" i="1" s="1"/>
  <c r="R1647" i="1" s="1"/>
  <c r="R1648" i="1" s="1"/>
  <c r="R1649" i="1" s="1"/>
  <c r="R1650" i="1" s="1"/>
  <c r="R1651" i="1" s="1"/>
  <c r="R1652" i="1" s="1"/>
  <c r="R1653" i="1" s="1"/>
  <c r="R1654" i="1" s="1"/>
  <c r="R1655" i="1" s="1"/>
  <c r="R1656" i="1" s="1"/>
  <c r="R1657" i="1" s="1"/>
  <c r="R1658" i="1" s="1"/>
  <c r="R1659" i="1" s="1"/>
  <c r="R1660" i="1" s="1"/>
  <c r="R1661" i="1" s="1"/>
  <c r="R1662" i="1" s="1"/>
  <c r="R1663" i="1" s="1"/>
  <c r="R1664" i="1" s="1"/>
  <c r="R1665" i="1" s="1"/>
  <c r="R1666" i="1" s="1"/>
  <c r="R1667" i="1" s="1"/>
  <c r="R1668" i="1" s="1"/>
  <c r="R1669" i="1" s="1"/>
  <c r="R1670" i="1" s="1"/>
  <c r="R1671" i="1" s="1"/>
  <c r="R1672" i="1" s="1"/>
  <c r="R1673" i="1" s="1"/>
  <c r="R1674" i="1" s="1"/>
  <c r="R1675" i="1" s="1"/>
  <c r="R1676" i="1" s="1"/>
  <c r="R1677" i="1" s="1"/>
  <c r="R1678" i="1" s="1"/>
  <c r="R1679" i="1" s="1"/>
  <c r="R1680" i="1" s="1"/>
  <c r="R1681" i="1" s="1"/>
  <c r="R1682" i="1" s="1"/>
  <c r="R1683" i="1" s="1"/>
  <c r="R1684" i="1" s="1"/>
  <c r="R1685" i="1" s="1"/>
  <c r="R1686" i="1" s="1"/>
  <c r="R1687" i="1" s="1"/>
  <c r="R1688" i="1" s="1"/>
  <c r="R1689" i="1" s="1"/>
  <c r="R1690" i="1" s="1"/>
  <c r="R1691" i="1" s="1"/>
  <c r="R1692" i="1" s="1"/>
  <c r="R1693" i="1" s="1"/>
  <c r="R1694" i="1" s="1"/>
  <c r="R1695" i="1" s="1"/>
  <c r="R1696" i="1" s="1"/>
  <c r="R1697" i="1" s="1"/>
  <c r="R1698" i="1" s="1"/>
  <c r="R1699" i="1" s="1"/>
  <c r="R1700" i="1" s="1"/>
  <c r="R1701" i="1" s="1"/>
  <c r="R1702" i="1" s="1"/>
  <c r="R1703" i="1" s="1"/>
  <c r="R1704" i="1" s="1"/>
  <c r="R1705" i="1" s="1"/>
  <c r="R1706" i="1" s="1"/>
  <c r="R1707" i="1" s="1"/>
  <c r="R1708" i="1" s="1"/>
  <c r="R1709" i="1" s="1"/>
  <c r="R1710" i="1" s="1"/>
  <c r="R1711" i="1" s="1"/>
  <c r="R1712" i="1" s="1"/>
  <c r="R1713" i="1" s="1"/>
  <c r="R1714" i="1" s="1"/>
  <c r="R1715" i="1" s="1"/>
  <c r="R1716" i="1" s="1"/>
  <c r="R1717" i="1" s="1"/>
  <c r="R1718" i="1" s="1"/>
  <c r="R1719" i="1" s="1"/>
  <c r="R1720" i="1" s="1"/>
  <c r="R1721" i="1" s="1"/>
  <c r="R1722" i="1" s="1"/>
  <c r="R1723" i="1" s="1"/>
  <c r="R1724" i="1" s="1"/>
  <c r="R1725" i="1" s="1"/>
  <c r="R1726" i="1" s="1"/>
  <c r="R1727" i="1" s="1"/>
  <c r="R1728" i="1" s="1"/>
  <c r="R1729" i="1" s="1"/>
  <c r="R1730" i="1" s="1"/>
  <c r="R1731" i="1" s="1"/>
  <c r="R1732" i="1" s="1"/>
  <c r="R1733" i="1" s="1"/>
  <c r="R1734" i="1" s="1"/>
  <c r="R1735" i="1" s="1"/>
  <c r="R1736" i="1" s="1"/>
  <c r="R1737" i="1" s="1"/>
  <c r="R1738" i="1" s="1"/>
  <c r="R1739" i="1" s="1"/>
  <c r="R1740" i="1" s="1"/>
  <c r="R1741" i="1" s="1"/>
  <c r="R1742" i="1" s="1"/>
  <c r="R1743" i="1" s="1"/>
  <c r="R1744" i="1" s="1"/>
  <c r="R1745" i="1" s="1"/>
  <c r="R1746" i="1" s="1"/>
  <c r="R1747" i="1" s="1"/>
  <c r="R1748" i="1" s="1"/>
  <c r="R1749" i="1" s="1"/>
  <c r="R1750" i="1" s="1"/>
  <c r="R1751" i="1" s="1"/>
  <c r="R1752" i="1" s="1"/>
  <c r="R1753" i="1" s="1"/>
  <c r="R1754" i="1" s="1"/>
  <c r="R1755" i="1" s="1"/>
  <c r="R1756" i="1" s="1"/>
  <c r="R1757" i="1" s="1"/>
  <c r="R1758" i="1" s="1"/>
  <c r="R1759" i="1" s="1"/>
  <c r="R1760" i="1" s="1"/>
  <c r="R1761" i="1" s="1"/>
  <c r="R1762" i="1" s="1"/>
  <c r="R1763" i="1" s="1"/>
  <c r="R1764" i="1" s="1"/>
  <c r="R1765" i="1" s="1"/>
  <c r="R1766" i="1" s="1"/>
  <c r="R1767" i="1" s="1"/>
  <c r="R1768" i="1" s="1"/>
  <c r="R1769" i="1" s="1"/>
  <c r="R1770" i="1" s="1"/>
  <c r="R1771" i="1" s="1"/>
  <c r="R1772" i="1" s="1"/>
  <c r="R1773" i="1" s="1"/>
  <c r="R1774" i="1" s="1"/>
  <c r="R1775" i="1" s="1"/>
  <c r="R1776" i="1" s="1"/>
  <c r="R1777" i="1" s="1"/>
  <c r="R1778" i="1" s="1"/>
  <c r="R1779" i="1" s="1"/>
  <c r="R1780" i="1" s="1"/>
  <c r="R1781" i="1" s="1"/>
  <c r="R1782" i="1" s="1"/>
  <c r="R1783" i="1" s="1"/>
  <c r="R1784" i="1" s="1"/>
  <c r="R1785" i="1" s="1"/>
  <c r="R1786" i="1" s="1"/>
  <c r="R1787" i="1" s="1"/>
  <c r="R1788" i="1" s="1"/>
  <c r="R1789" i="1" s="1"/>
  <c r="R1790" i="1" s="1"/>
  <c r="R1791" i="1" s="1"/>
  <c r="R1792" i="1" s="1"/>
  <c r="R1793" i="1" s="1"/>
  <c r="R1794" i="1" s="1"/>
  <c r="R1795" i="1" s="1"/>
  <c r="R1796" i="1" s="1"/>
  <c r="R1797" i="1" s="1"/>
  <c r="R1798" i="1" s="1"/>
  <c r="R1799" i="1" s="1"/>
  <c r="R1800" i="1" s="1"/>
  <c r="R1801" i="1" s="1"/>
  <c r="R1802" i="1" s="1"/>
  <c r="R1803" i="1" s="1"/>
  <c r="R1804" i="1" s="1"/>
  <c r="R1805" i="1" s="1"/>
  <c r="R1806" i="1" s="1"/>
  <c r="R1807" i="1" s="1"/>
  <c r="R1808" i="1" s="1"/>
  <c r="R1809" i="1" s="1"/>
  <c r="R1810" i="1" s="1"/>
  <c r="R1811" i="1" s="1"/>
  <c r="R1812" i="1" s="1"/>
  <c r="R1813" i="1" s="1"/>
  <c r="R1814" i="1" s="1"/>
  <c r="R1815" i="1" s="1"/>
  <c r="R1816" i="1" s="1"/>
  <c r="R1817" i="1" s="1"/>
  <c r="R1818" i="1" s="1"/>
  <c r="R1819" i="1" s="1"/>
  <c r="R1820" i="1" s="1"/>
  <c r="R1821" i="1" s="1"/>
  <c r="R1822" i="1" s="1"/>
  <c r="R1823" i="1" s="1"/>
  <c r="R1824" i="1" s="1"/>
  <c r="R1825" i="1" s="1"/>
  <c r="R1826" i="1" s="1"/>
  <c r="R1827" i="1" s="1"/>
  <c r="R1828" i="1" s="1"/>
  <c r="R1829" i="1" s="1"/>
  <c r="R1830" i="1" s="1"/>
  <c r="R1831" i="1" s="1"/>
  <c r="R1832" i="1" s="1"/>
  <c r="R1833" i="1" s="1"/>
  <c r="R1834" i="1" s="1"/>
  <c r="R1835" i="1" s="1"/>
  <c r="R1836" i="1" s="1"/>
  <c r="R1837" i="1" s="1"/>
  <c r="R1838" i="1" s="1"/>
  <c r="R1839" i="1" s="1"/>
  <c r="R1840" i="1" s="1"/>
  <c r="R1841" i="1" s="1"/>
  <c r="R1842" i="1" s="1"/>
  <c r="R1843" i="1" s="1"/>
  <c r="R1844" i="1" s="1"/>
  <c r="R1845" i="1" s="1"/>
  <c r="R1846" i="1" s="1"/>
  <c r="R1847" i="1" s="1"/>
  <c r="R1848" i="1" s="1"/>
  <c r="R1849" i="1" s="1"/>
  <c r="R1850" i="1" s="1"/>
  <c r="R1851" i="1" s="1"/>
  <c r="R1852" i="1" s="1"/>
  <c r="R1853" i="1" s="1"/>
  <c r="R1854" i="1" s="1"/>
  <c r="R1855" i="1" s="1"/>
  <c r="R1856" i="1" s="1"/>
  <c r="R1857" i="1" s="1"/>
  <c r="R1858" i="1" s="1"/>
  <c r="R1859" i="1" s="1"/>
  <c r="R1860" i="1" s="1"/>
  <c r="R1861" i="1" s="1"/>
  <c r="R1862" i="1" s="1"/>
  <c r="R1863" i="1" s="1"/>
  <c r="R1864" i="1" s="1"/>
  <c r="R1865" i="1" s="1"/>
  <c r="R1866" i="1" s="1"/>
  <c r="R1867" i="1" s="1"/>
  <c r="R1868" i="1" s="1"/>
  <c r="R1869" i="1" s="1"/>
  <c r="R1870" i="1" s="1"/>
  <c r="R1871" i="1" s="1"/>
  <c r="R1872" i="1" s="1"/>
  <c r="R1873" i="1" s="1"/>
  <c r="R1874" i="1" s="1"/>
  <c r="R1875" i="1" s="1"/>
  <c r="R1876" i="1" s="1"/>
  <c r="R1877" i="1" s="1"/>
  <c r="R1878" i="1" s="1"/>
  <c r="R1879" i="1" s="1"/>
  <c r="R1880" i="1" s="1"/>
  <c r="R1881" i="1" s="1"/>
  <c r="R1882" i="1" s="1"/>
  <c r="R1883" i="1" s="1"/>
  <c r="R1884" i="1" s="1"/>
  <c r="R1885" i="1" s="1"/>
  <c r="R1886" i="1" s="1"/>
  <c r="R1887" i="1" s="1"/>
  <c r="R1888" i="1" s="1"/>
  <c r="R1889" i="1" s="1"/>
  <c r="R1890" i="1" s="1"/>
  <c r="R1891" i="1" s="1"/>
  <c r="R1892" i="1" s="1"/>
  <c r="R1893" i="1" s="1"/>
  <c r="R1894" i="1" s="1"/>
  <c r="R1895" i="1" s="1"/>
  <c r="R1896" i="1" s="1"/>
  <c r="R1897" i="1" s="1"/>
  <c r="R1898" i="1" s="1"/>
  <c r="R1899" i="1" s="1"/>
  <c r="R1900" i="1" s="1"/>
  <c r="R1901" i="1" s="1"/>
  <c r="R1902" i="1" s="1"/>
  <c r="R1903" i="1" s="1"/>
  <c r="R1904" i="1" s="1"/>
  <c r="R1905" i="1" s="1"/>
  <c r="R1906" i="1" s="1"/>
  <c r="R1907" i="1" s="1"/>
  <c r="R1908" i="1" s="1"/>
  <c r="R1909" i="1" s="1"/>
  <c r="R1910" i="1" s="1"/>
  <c r="R1911" i="1" s="1"/>
  <c r="R1912" i="1" s="1"/>
  <c r="R1913" i="1" s="1"/>
  <c r="R1914" i="1" s="1"/>
  <c r="R1915" i="1" s="1"/>
  <c r="R1916" i="1" s="1"/>
  <c r="R1917" i="1" s="1"/>
  <c r="R1918" i="1" s="1"/>
  <c r="R1919" i="1" s="1"/>
  <c r="R1920" i="1" s="1"/>
  <c r="R1921" i="1" s="1"/>
  <c r="R1922" i="1" s="1"/>
  <c r="R1923" i="1" s="1"/>
  <c r="R1924" i="1" s="1"/>
  <c r="R1925" i="1" s="1"/>
  <c r="R1926" i="1" s="1"/>
  <c r="R1927" i="1" s="1"/>
  <c r="R1928" i="1" s="1"/>
  <c r="R1929" i="1" s="1"/>
  <c r="R1930" i="1" s="1"/>
  <c r="R1931" i="1" s="1"/>
  <c r="R1932" i="1" s="1"/>
  <c r="R1933" i="1" s="1"/>
  <c r="R1934" i="1" s="1"/>
  <c r="R1935" i="1" s="1"/>
  <c r="R1936" i="1" s="1"/>
  <c r="R1937" i="1" s="1"/>
  <c r="R1938" i="1" s="1"/>
  <c r="R1939" i="1" s="1"/>
  <c r="R1940" i="1" s="1"/>
  <c r="R1941" i="1" s="1"/>
  <c r="R1942" i="1" s="1"/>
  <c r="R1943" i="1" s="1"/>
  <c r="R1944" i="1" s="1"/>
  <c r="R1945" i="1" s="1"/>
  <c r="R1946" i="1" s="1"/>
  <c r="R1947" i="1" s="1"/>
  <c r="R1948" i="1" s="1"/>
  <c r="R1949" i="1" s="1"/>
  <c r="R1950" i="1" s="1"/>
  <c r="R1951" i="1" s="1"/>
  <c r="R1952" i="1" s="1"/>
  <c r="R1953" i="1" s="1"/>
  <c r="R1954" i="1" s="1"/>
  <c r="R1955" i="1" s="1"/>
  <c r="R1956" i="1" s="1"/>
  <c r="R1957" i="1" s="1"/>
  <c r="R1958" i="1" s="1"/>
  <c r="R1959" i="1" s="1"/>
  <c r="R1960" i="1" s="1"/>
  <c r="R1961" i="1" s="1"/>
  <c r="R1962" i="1" s="1"/>
  <c r="R1963" i="1" s="1"/>
  <c r="R1964" i="1" s="1"/>
  <c r="R1965" i="1" s="1"/>
  <c r="R1966" i="1" s="1"/>
  <c r="R1967" i="1" s="1"/>
  <c r="R1968" i="1" s="1"/>
  <c r="R1969" i="1" s="1"/>
  <c r="R1970" i="1" s="1"/>
  <c r="R1971" i="1" s="1"/>
  <c r="R1972" i="1" s="1"/>
  <c r="R1973" i="1" s="1"/>
  <c r="R1974" i="1" s="1"/>
  <c r="R1975" i="1" s="1"/>
  <c r="R1976" i="1" s="1"/>
  <c r="R1977" i="1" s="1"/>
  <c r="R1978" i="1" s="1"/>
  <c r="R1979" i="1" s="1"/>
  <c r="R1980" i="1" s="1"/>
  <c r="R1981" i="1" s="1"/>
  <c r="R1982" i="1" s="1"/>
  <c r="R1983" i="1" s="1"/>
  <c r="R1984" i="1" s="1"/>
  <c r="R1985" i="1" s="1"/>
  <c r="R1986" i="1" s="1"/>
  <c r="R1987" i="1" s="1"/>
  <c r="R1988" i="1" s="1"/>
  <c r="R1989" i="1" s="1"/>
  <c r="R1990" i="1" s="1"/>
  <c r="R1991" i="1" s="1"/>
  <c r="R1992" i="1" s="1"/>
  <c r="R1993" i="1" s="1"/>
  <c r="R1994" i="1" s="1"/>
  <c r="R1995" i="1" s="1"/>
  <c r="R1996" i="1" s="1"/>
  <c r="R1997" i="1" s="1"/>
  <c r="R1998" i="1" s="1"/>
  <c r="R1999" i="1" s="1"/>
  <c r="R2000" i="1" s="1"/>
  <c r="R2001" i="1" s="1"/>
  <c r="R2002" i="1" s="1"/>
  <c r="R2003" i="1" s="1"/>
  <c r="R2004" i="1" s="1"/>
  <c r="R2005" i="1" s="1"/>
  <c r="R2006" i="1" s="1"/>
  <c r="R2007" i="1" s="1"/>
  <c r="R2008" i="1" s="1"/>
  <c r="R2009" i="1" s="1"/>
  <c r="R2010" i="1" s="1"/>
  <c r="R2011" i="1" s="1"/>
  <c r="R2012" i="1" s="1"/>
  <c r="R2013" i="1" s="1"/>
  <c r="R2014" i="1" s="1"/>
  <c r="R2015" i="1" s="1"/>
  <c r="R2016" i="1" s="1"/>
  <c r="R2017" i="1" s="1"/>
  <c r="R2018" i="1" s="1"/>
  <c r="R2019" i="1" s="1"/>
  <c r="R2020" i="1" s="1"/>
  <c r="R2021" i="1" s="1"/>
  <c r="R2022" i="1" s="1"/>
  <c r="R2023" i="1" s="1"/>
  <c r="R2024" i="1" s="1"/>
  <c r="R2025" i="1" s="1"/>
  <c r="R2026" i="1" s="1"/>
  <c r="R2027" i="1" s="1"/>
  <c r="R2028" i="1" s="1"/>
  <c r="R2029" i="1" s="1"/>
  <c r="R2030" i="1" s="1"/>
  <c r="R2031" i="1" s="1"/>
  <c r="R2032" i="1" s="1"/>
  <c r="R2033" i="1" s="1"/>
  <c r="R2034" i="1" s="1"/>
  <c r="R2035" i="1" s="1"/>
  <c r="R2036" i="1" s="1"/>
  <c r="R2037" i="1" s="1"/>
  <c r="R2038" i="1" s="1"/>
  <c r="R2039" i="1" s="1"/>
  <c r="R2040" i="1" s="1"/>
  <c r="R2041" i="1" s="1"/>
  <c r="R2042" i="1" s="1"/>
  <c r="R2043" i="1" s="1"/>
  <c r="R2044" i="1" s="1"/>
  <c r="R2045" i="1" s="1"/>
  <c r="R2046" i="1" s="1"/>
  <c r="R2047" i="1" s="1"/>
  <c r="R2048" i="1" s="1"/>
  <c r="R2049" i="1" s="1"/>
  <c r="R2050" i="1" s="1"/>
  <c r="R2051" i="1" s="1"/>
  <c r="R2052" i="1" s="1"/>
  <c r="R2053" i="1" s="1"/>
  <c r="R2054" i="1" s="1"/>
  <c r="R2055" i="1" s="1"/>
  <c r="R2056" i="1" s="1"/>
  <c r="R2057" i="1" s="1"/>
  <c r="R2058" i="1" s="1"/>
  <c r="R2059" i="1" s="1"/>
  <c r="R2060" i="1" s="1"/>
  <c r="R2061" i="1" s="1"/>
  <c r="R2062" i="1" s="1"/>
  <c r="R2063" i="1" s="1"/>
  <c r="R2064" i="1" s="1"/>
  <c r="R2065" i="1" s="1"/>
  <c r="R2066" i="1" s="1"/>
  <c r="R2067" i="1" s="1"/>
  <c r="R2068" i="1" s="1"/>
  <c r="R2069" i="1" s="1"/>
  <c r="R2070" i="1" s="1"/>
  <c r="R2071" i="1" s="1"/>
  <c r="R2072" i="1" s="1"/>
  <c r="R2073" i="1" s="1"/>
  <c r="R2074" i="1" s="1"/>
  <c r="R2075" i="1" s="1"/>
  <c r="R2076" i="1" s="1"/>
  <c r="R2077" i="1" s="1"/>
  <c r="R2078" i="1" s="1"/>
  <c r="R2079" i="1" s="1"/>
  <c r="R2080" i="1" s="1"/>
  <c r="R2081" i="1" s="1"/>
  <c r="R2082" i="1" s="1"/>
  <c r="R2083" i="1" s="1"/>
  <c r="R2084" i="1" s="1"/>
  <c r="R2085" i="1" s="1"/>
  <c r="R2086" i="1" s="1"/>
  <c r="R2087" i="1" s="1"/>
  <c r="R2088" i="1" s="1"/>
  <c r="R2089" i="1" s="1"/>
  <c r="R2090" i="1" s="1"/>
  <c r="R2091" i="1" s="1"/>
  <c r="R2092" i="1" s="1"/>
  <c r="R2093" i="1" s="1"/>
  <c r="R2094" i="1" s="1"/>
  <c r="R2095" i="1" s="1"/>
  <c r="R2096" i="1" s="1"/>
  <c r="R2097" i="1" s="1"/>
  <c r="R2098" i="1" s="1"/>
  <c r="R2099" i="1" s="1"/>
  <c r="R2100" i="1" s="1"/>
  <c r="R2101" i="1" s="1"/>
  <c r="R2102" i="1" s="1"/>
  <c r="R2103" i="1" s="1"/>
  <c r="R2104" i="1" s="1"/>
  <c r="R2105" i="1" s="1"/>
  <c r="R2106" i="1" s="1"/>
  <c r="R2107" i="1" s="1"/>
  <c r="R2108" i="1" s="1"/>
  <c r="R2109" i="1" s="1"/>
  <c r="R2110" i="1" s="1"/>
  <c r="R2111" i="1" s="1"/>
  <c r="R2112" i="1" s="1"/>
  <c r="R2113" i="1" s="1"/>
  <c r="R2114" i="1" s="1"/>
  <c r="R2115" i="1" s="1"/>
  <c r="R2116" i="1" s="1"/>
  <c r="R2117" i="1" s="1"/>
  <c r="R2118" i="1" s="1"/>
  <c r="R2119" i="1" s="1"/>
  <c r="R2120" i="1" s="1"/>
  <c r="R2121" i="1" s="1"/>
  <c r="R2122" i="1" s="1"/>
  <c r="R2123" i="1" s="1"/>
  <c r="R2124" i="1" s="1"/>
  <c r="R2125" i="1" s="1"/>
  <c r="R2126" i="1" s="1"/>
  <c r="R2127" i="1" s="1"/>
  <c r="R2128" i="1" s="1"/>
  <c r="R2129" i="1" s="1"/>
  <c r="R2130" i="1" s="1"/>
  <c r="R2131" i="1" s="1"/>
  <c r="R2132" i="1" s="1"/>
  <c r="R2133" i="1" s="1"/>
  <c r="R2134" i="1" s="1"/>
  <c r="R2135" i="1" s="1"/>
  <c r="R2136" i="1" s="1"/>
  <c r="R2137" i="1" s="1"/>
  <c r="R2138" i="1" s="1"/>
  <c r="R2139" i="1" s="1"/>
  <c r="R2140" i="1" s="1"/>
  <c r="R2141" i="1" s="1"/>
  <c r="R2142" i="1" s="1"/>
  <c r="R2143" i="1" s="1"/>
  <c r="R2144" i="1" s="1"/>
  <c r="R2145" i="1" s="1"/>
  <c r="R2146" i="1" s="1"/>
  <c r="R2147" i="1" s="1"/>
  <c r="R2148" i="1" s="1"/>
  <c r="R2149" i="1" s="1"/>
  <c r="R2150" i="1" s="1"/>
  <c r="R2151" i="1" s="1"/>
  <c r="R2152" i="1" s="1"/>
  <c r="R2153" i="1" s="1"/>
  <c r="R2154" i="1" s="1"/>
  <c r="R2155" i="1" s="1"/>
  <c r="R2156" i="1" s="1"/>
  <c r="R2157" i="1" s="1"/>
  <c r="R2158" i="1" s="1"/>
  <c r="R2159" i="1" s="1"/>
  <c r="R2160" i="1" s="1"/>
  <c r="R2161" i="1" s="1"/>
  <c r="R2162" i="1" s="1"/>
  <c r="R2163" i="1" s="1"/>
  <c r="R2164" i="1" s="1"/>
  <c r="R2165" i="1" s="1"/>
  <c r="R2166" i="1" s="1"/>
  <c r="R2167" i="1" s="1"/>
  <c r="R2168" i="1" s="1"/>
  <c r="R2169" i="1" s="1"/>
  <c r="R2170" i="1" s="1"/>
  <c r="R2171" i="1" s="1"/>
  <c r="R2172" i="1" s="1"/>
  <c r="R2173" i="1" s="1"/>
  <c r="R2174" i="1" s="1"/>
  <c r="R2175" i="1" s="1"/>
  <c r="R2176" i="1" s="1"/>
  <c r="R2177" i="1" s="1"/>
  <c r="R2178" i="1" s="1"/>
  <c r="R2179" i="1" s="1"/>
  <c r="R2180" i="1" s="1"/>
  <c r="R2181" i="1" s="1"/>
  <c r="R2182" i="1" s="1"/>
  <c r="R2183" i="1" s="1"/>
  <c r="R2184" i="1" s="1"/>
  <c r="R2185" i="1" s="1"/>
  <c r="R2186" i="1" s="1"/>
  <c r="R2187" i="1" s="1"/>
  <c r="R2188" i="1" s="1"/>
  <c r="R2189" i="1" s="1"/>
  <c r="R2190" i="1" s="1"/>
  <c r="R2191" i="1" s="1"/>
  <c r="R2192" i="1" s="1"/>
  <c r="R2193" i="1" s="1"/>
  <c r="R2194" i="1" s="1"/>
  <c r="R2195" i="1" s="1"/>
  <c r="R2196" i="1" s="1"/>
  <c r="R2197" i="1" s="1"/>
  <c r="R2198" i="1" s="1"/>
  <c r="R2199" i="1" s="1"/>
  <c r="R2200" i="1" s="1"/>
  <c r="R2201" i="1" s="1"/>
  <c r="R2202" i="1" s="1"/>
  <c r="R2203" i="1" s="1"/>
  <c r="R2204" i="1" s="1"/>
  <c r="R2205" i="1" s="1"/>
  <c r="R2206" i="1" s="1"/>
  <c r="R2207" i="1" s="1"/>
  <c r="R2208" i="1" s="1"/>
  <c r="R2209" i="1" s="1"/>
  <c r="R2210" i="1" s="1"/>
  <c r="R2211" i="1" s="1"/>
  <c r="R2212" i="1" s="1"/>
  <c r="R2213" i="1" s="1"/>
  <c r="R2214" i="1" s="1"/>
  <c r="R2215" i="1" s="1"/>
  <c r="R2216" i="1" s="1"/>
  <c r="R2217" i="1" s="1"/>
  <c r="R2218" i="1" s="1"/>
  <c r="R2219" i="1" s="1"/>
  <c r="R2220" i="1" s="1"/>
  <c r="R2221" i="1" s="1"/>
  <c r="R2222" i="1" s="1"/>
  <c r="R2223" i="1" s="1"/>
  <c r="R2224" i="1" s="1"/>
  <c r="R2225" i="1" s="1"/>
  <c r="R2226" i="1" s="1"/>
  <c r="R2227" i="1" s="1"/>
  <c r="R2228" i="1" s="1"/>
  <c r="R2229" i="1" s="1"/>
  <c r="R2230" i="1" s="1"/>
  <c r="R2231" i="1" s="1"/>
  <c r="R2232" i="1" s="1"/>
  <c r="R2233" i="1" s="1"/>
  <c r="R2234" i="1" s="1"/>
  <c r="R2235" i="1" s="1"/>
  <c r="R2236" i="1" s="1"/>
  <c r="R2237" i="1" s="1"/>
  <c r="R2238" i="1" s="1"/>
  <c r="R2239" i="1" s="1"/>
  <c r="R2240" i="1" s="1"/>
  <c r="R2241" i="1" s="1"/>
  <c r="R2242" i="1" s="1"/>
  <c r="R2243" i="1" s="1"/>
  <c r="R2244" i="1" s="1"/>
  <c r="R2245" i="1" s="1"/>
  <c r="R2246" i="1" s="1"/>
  <c r="R2247" i="1" s="1"/>
  <c r="R2248" i="1" s="1"/>
  <c r="R2249" i="1" s="1"/>
  <c r="R2250" i="1" s="1"/>
  <c r="R2251" i="1" s="1"/>
  <c r="R2252" i="1" s="1"/>
  <c r="R2253" i="1" s="1"/>
  <c r="R2254" i="1" s="1"/>
  <c r="R2255" i="1" s="1"/>
  <c r="R2256" i="1" s="1"/>
  <c r="R2257" i="1" s="1"/>
  <c r="R2258" i="1" s="1"/>
  <c r="R2259" i="1" s="1"/>
  <c r="R2260" i="1" s="1"/>
  <c r="R2261" i="1" s="1"/>
  <c r="R2262" i="1" s="1"/>
  <c r="R2263" i="1" s="1"/>
  <c r="R2264" i="1" s="1"/>
  <c r="R2265" i="1" s="1"/>
  <c r="R2266" i="1" s="1"/>
  <c r="R2267" i="1" s="1"/>
  <c r="R2268" i="1" s="1"/>
  <c r="R2269" i="1" s="1"/>
  <c r="R2270" i="1" s="1"/>
  <c r="R2271" i="1" s="1"/>
  <c r="R2272" i="1" s="1"/>
  <c r="R2273" i="1" s="1"/>
  <c r="R2274" i="1" s="1"/>
  <c r="R2275" i="1" s="1"/>
  <c r="R2276" i="1" s="1"/>
  <c r="R2277" i="1" s="1"/>
  <c r="R2278" i="1" s="1"/>
  <c r="R2279" i="1" s="1"/>
  <c r="R2280" i="1" s="1"/>
  <c r="R2281" i="1" s="1"/>
  <c r="R2282" i="1" s="1"/>
  <c r="R2283" i="1" s="1"/>
  <c r="R2284" i="1" s="1"/>
  <c r="R2285" i="1" s="1"/>
  <c r="R2286" i="1" s="1"/>
  <c r="R2287" i="1" s="1"/>
  <c r="R2288" i="1" s="1"/>
  <c r="R2289" i="1" s="1"/>
  <c r="R2290" i="1" s="1"/>
  <c r="R2291" i="1" s="1"/>
  <c r="R2292" i="1" s="1"/>
  <c r="R2293" i="1" s="1"/>
  <c r="R2294" i="1" s="1"/>
  <c r="R2295" i="1" s="1"/>
  <c r="R2296" i="1" s="1"/>
  <c r="R2297" i="1" s="1"/>
  <c r="R2298" i="1" s="1"/>
  <c r="R2299" i="1" s="1"/>
  <c r="R2300" i="1" s="1"/>
  <c r="R2301" i="1" s="1"/>
  <c r="R2302" i="1" s="1"/>
  <c r="R2303" i="1" s="1"/>
  <c r="R2304" i="1" s="1"/>
  <c r="R2305" i="1" s="1"/>
  <c r="R2306" i="1" s="1"/>
  <c r="R2307" i="1" s="1"/>
  <c r="R2308" i="1" s="1"/>
  <c r="R2309" i="1" s="1"/>
  <c r="R2310" i="1" s="1"/>
  <c r="R2311" i="1" s="1"/>
  <c r="R2312" i="1" s="1"/>
  <c r="R2313" i="1" s="1"/>
  <c r="R2314" i="1" s="1"/>
  <c r="R2315" i="1" s="1"/>
  <c r="R2316" i="1" s="1"/>
  <c r="R2317" i="1" s="1"/>
  <c r="R2318" i="1" s="1"/>
  <c r="R2319" i="1" s="1"/>
  <c r="R2320" i="1" s="1"/>
  <c r="R2321" i="1" s="1"/>
  <c r="R2322" i="1" s="1"/>
  <c r="R2323" i="1" s="1"/>
  <c r="R2324" i="1" s="1"/>
  <c r="R2325" i="1" s="1"/>
  <c r="R2326" i="1" s="1"/>
  <c r="R2327" i="1" s="1"/>
  <c r="R2328" i="1" s="1"/>
  <c r="R2329" i="1" s="1"/>
  <c r="R2330" i="1" s="1"/>
  <c r="R2331" i="1" s="1"/>
  <c r="R2332" i="1" s="1"/>
  <c r="R2333" i="1" s="1"/>
  <c r="R2334" i="1" s="1"/>
  <c r="R2335" i="1" s="1"/>
  <c r="R2336" i="1" s="1"/>
  <c r="R2337" i="1" s="1"/>
  <c r="R2338" i="1" s="1"/>
  <c r="R2339" i="1" s="1"/>
  <c r="R2340" i="1" s="1"/>
  <c r="R2341" i="1" s="1"/>
  <c r="R2342" i="1" s="1"/>
  <c r="R2343" i="1" s="1"/>
  <c r="R2344" i="1" s="1"/>
  <c r="R2345" i="1" s="1"/>
  <c r="R2346" i="1" s="1"/>
  <c r="R2347" i="1" s="1"/>
  <c r="R2348" i="1" s="1"/>
  <c r="R2349" i="1" s="1"/>
  <c r="R2350" i="1" s="1"/>
  <c r="R2351" i="1" s="1"/>
  <c r="R2352" i="1" s="1"/>
  <c r="R2353" i="1" s="1"/>
  <c r="R2354" i="1" s="1"/>
  <c r="R2355" i="1" s="1"/>
  <c r="R2356" i="1" s="1"/>
  <c r="R2357" i="1" s="1"/>
  <c r="R2358" i="1" s="1"/>
  <c r="R2359" i="1" s="1"/>
  <c r="R2360" i="1" s="1"/>
  <c r="R2361" i="1" s="1"/>
  <c r="R2362" i="1" s="1"/>
  <c r="R2363" i="1" s="1"/>
  <c r="R2364" i="1" s="1"/>
  <c r="R2365" i="1" s="1"/>
  <c r="R2366" i="1" s="1"/>
  <c r="R2367" i="1" s="1"/>
  <c r="R2368" i="1" s="1"/>
  <c r="R2369" i="1" s="1"/>
  <c r="R2370" i="1" s="1"/>
  <c r="R2371" i="1" s="1"/>
  <c r="R2372" i="1" s="1"/>
  <c r="R2373" i="1" s="1"/>
  <c r="R2374" i="1" s="1"/>
  <c r="R2375" i="1" s="1"/>
  <c r="R2376" i="1" s="1"/>
  <c r="R2377" i="1" s="1"/>
  <c r="R2378" i="1" s="1"/>
  <c r="R2379" i="1" s="1"/>
  <c r="R2380" i="1" s="1"/>
  <c r="R2381" i="1" s="1"/>
  <c r="R2382" i="1" s="1"/>
  <c r="R2383" i="1" s="1"/>
  <c r="R2384" i="1" s="1"/>
  <c r="R2385" i="1" s="1"/>
  <c r="R2386" i="1" s="1"/>
  <c r="R2387" i="1" s="1"/>
  <c r="R2388" i="1" s="1"/>
  <c r="R2389" i="1" s="1"/>
  <c r="R2390" i="1" s="1"/>
  <c r="R2391" i="1" s="1"/>
  <c r="R2392" i="1" s="1"/>
  <c r="R2393" i="1" s="1"/>
  <c r="R2394" i="1" s="1"/>
  <c r="R2395" i="1" s="1"/>
  <c r="R2396" i="1" s="1"/>
  <c r="R2397" i="1" s="1"/>
  <c r="R2398" i="1" s="1"/>
  <c r="R2399" i="1" s="1"/>
  <c r="R2400" i="1" s="1"/>
  <c r="R2401" i="1" s="1"/>
  <c r="R2402" i="1" s="1"/>
  <c r="R2403" i="1" s="1"/>
  <c r="R2404" i="1" s="1"/>
  <c r="R2405" i="1" s="1"/>
  <c r="R2406" i="1" s="1"/>
  <c r="R2407" i="1" s="1"/>
  <c r="R2408" i="1" s="1"/>
  <c r="R2409" i="1" s="1"/>
  <c r="R2410" i="1" s="1"/>
  <c r="R2411" i="1" s="1"/>
  <c r="R2412" i="1" s="1"/>
  <c r="R2413" i="1" s="1"/>
  <c r="R2414" i="1" s="1"/>
  <c r="R2415" i="1" s="1"/>
  <c r="R2416" i="1" s="1"/>
  <c r="R2417" i="1" s="1"/>
  <c r="R2418" i="1" s="1"/>
  <c r="R2419" i="1" s="1"/>
  <c r="R2420" i="1" s="1"/>
  <c r="R2421" i="1" s="1"/>
  <c r="R2422" i="1" s="1"/>
  <c r="R2423" i="1" s="1"/>
  <c r="R2424" i="1" s="1"/>
  <c r="R2425" i="1" s="1"/>
  <c r="R2426" i="1" s="1"/>
  <c r="R2427" i="1" s="1"/>
  <c r="R2428" i="1" s="1"/>
  <c r="R2429" i="1" s="1"/>
  <c r="R2430" i="1" s="1"/>
  <c r="R2431" i="1" s="1"/>
  <c r="R2432" i="1" s="1"/>
  <c r="R2433" i="1" s="1"/>
  <c r="R2434" i="1" s="1"/>
  <c r="R2435" i="1" s="1"/>
  <c r="R2436" i="1" s="1"/>
  <c r="R2437" i="1" s="1"/>
  <c r="R2438" i="1" s="1"/>
  <c r="R2439" i="1" s="1"/>
  <c r="R2440" i="1" s="1"/>
  <c r="R2441" i="1" s="1"/>
  <c r="R2442" i="1" s="1"/>
  <c r="R2443" i="1" s="1"/>
  <c r="R2444" i="1" s="1"/>
  <c r="R2445" i="1" s="1"/>
  <c r="R2446" i="1" s="1"/>
  <c r="R2447" i="1" s="1"/>
  <c r="R2448" i="1" s="1"/>
  <c r="R2449" i="1" s="1"/>
  <c r="R2450" i="1" s="1"/>
  <c r="R2451" i="1" s="1"/>
  <c r="R2452" i="1" s="1"/>
  <c r="R2453" i="1" s="1"/>
  <c r="R2454" i="1" s="1"/>
  <c r="R2455" i="1" s="1"/>
  <c r="R2456" i="1" s="1"/>
  <c r="R2457" i="1" s="1"/>
  <c r="R2458" i="1" s="1"/>
  <c r="R2459" i="1" s="1"/>
  <c r="R2460" i="1" s="1"/>
  <c r="R2461" i="1" s="1"/>
  <c r="R2462" i="1" s="1"/>
  <c r="R2463" i="1" s="1"/>
  <c r="R2464" i="1" s="1"/>
  <c r="R2465" i="1" s="1"/>
  <c r="R2466" i="1" s="1"/>
  <c r="R2467" i="1" s="1"/>
  <c r="R2468" i="1" s="1"/>
  <c r="R2469" i="1" s="1"/>
  <c r="R2470" i="1" s="1"/>
  <c r="R2471" i="1" s="1"/>
  <c r="R2472" i="1" s="1"/>
  <c r="R2473" i="1" s="1"/>
  <c r="R2474" i="1" s="1"/>
  <c r="R2475" i="1" s="1"/>
  <c r="R2476" i="1" s="1"/>
  <c r="R2477" i="1" s="1"/>
  <c r="R2478" i="1" s="1"/>
  <c r="R2479" i="1" s="1"/>
  <c r="R2480" i="1" s="1"/>
  <c r="R2481" i="1" s="1"/>
  <c r="R2482" i="1" s="1"/>
  <c r="R2483" i="1" s="1"/>
  <c r="R2484" i="1" s="1"/>
  <c r="R2485" i="1" s="1"/>
  <c r="R2486" i="1" s="1"/>
  <c r="R2487" i="1" s="1"/>
  <c r="R2488" i="1" s="1"/>
  <c r="R2489" i="1" s="1"/>
  <c r="R2490" i="1" s="1"/>
  <c r="R2491" i="1" s="1"/>
  <c r="R2492" i="1" s="1"/>
  <c r="R2493" i="1" s="1"/>
  <c r="R2494" i="1" s="1"/>
  <c r="R2495" i="1" s="1"/>
  <c r="R2496" i="1" s="1"/>
  <c r="R2497" i="1" s="1"/>
  <c r="R2498" i="1" s="1"/>
  <c r="R2499" i="1" s="1"/>
  <c r="R2500" i="1" s="1"/>
  <c r="R2501" i="1" s="1"/>
  <c r="R2502" i="1" s="1"/>
  <c r="R2503" i="1" s="1"/>
  <c r="R2504" i="1" s="1"/>
  <c r="R2505" i="1" s="1"/>
  <c r="R2506" i="1" s="1"/>
  <c r="R2507" i="1" s="1"/>
  <c r="R2508" i="1" s="1"/>
  <c r="R2509" i="1" s="1"/>
  <c r="R2510" i="1" s="1"/>
  <c r="R2511" i="1" s="1"/>
  <c r="R2512" i="1" s="1"/>
  <c r="R2513" i="1" s="1"/>
  <c r="R2514" i="1" s="1"/>
  <c r="R2515" i="1" s="1"/>
  <c r="R2516" i="1" s="1"/>
  <c r="R2517" i="1" s="1"/>
  <c r="R2518" i="1" s="1"/>
  <c r="R2519" i="1" s="1"/>
  <c r="R2520" i="1" s="1"/>
  <c r="R2521" i="1" s="1"/>
  <c r="R2522" i="1" s="1"/>
  <c r="R2523" i="1" s="1"/>
  <c r="R2524" i="1" s="1"/>
  <c r="R2525" i="1" s="1"/>
  <c r="R2526" i="1" s="1"/>
  <c r="R2527" i="1" s="1"/>
  <c r="R1163" i="1"/>
  <c r="S1164" i="1"/>
  <c r="S1165" i="1" s="1"/>
  <c r="S1166" i="1" s="1"/>
  <c r="S1167" i="1" s="1"/>
  <c r="S1168" i="1" s="1"/>
  <c r="S1169" i="1" s="1"/>
  <c r="S1170" i="1" s="1"/>
  <c r="S1171" i="1" s="1"/>
  <c r="S1172" i="1" s="1"/>
  <c r="S1173" i="1" s="1"/>
  <c r="S1174" i="1" s="1"/>
  <c r="S1175" i="1" s="1"/>
  <c r="S1176" i="1" s="1"/>
  <c r="S1177" i="1" s="1"/>
  <c r="S1178" i="1" s="1"/>
  <c r="S1179" i="1" s="1"/>
  <c r="S1180" i="1" s="1"/>
  <c r="S1181" i="1" s="1"/>
  <c r="S1182" i="1" s="1"/>
  <c r="S1183" i="1" s="1"/>
  <c r="S1184" i="1" s="1"/>
  <c r="S1185" i="1" s="1"/>
  <c r="S1186" i="1" s="1"/>
  <c r="S1187" i="1" s="1"/>
  <c r="S1188" i="1" s="1"/>
  <c r="S1189" i="1" s="1"/>
  <c r="S1190" i="1" s="1"/>
  <c r="S1191" i="1" s="1"/>
  <c r="S1192" i="1" s="1"/>
  <c r="S1193" i="1" s="1"/>
  <c r="S1194" i="1" s="1"/>
  <c r="S1195" i="1" s="1"/>
  <c r="S1196" i="1" s="1"/>
  <c r="S1197" i="1" s="1"/>
  <c r="S1198" i="1" s="1"/>
  <c r="S1199" i="1" s="1"/>
  <c r="S1200" i="1" s="1"/>
  <c r="S1201" i="1" s="1"/>
  <c r="S1202" i="1" s="1"/>
  <c r="S1203" i="1" s="1"/>
  <c r="S1204" i="1" s="1"/>
  <c r="S1205" i="1" s="1"/>
  <c r="S1206" i="1" s="1"/>
  <c r="S1207" i="1" s="1"/>
  <c r="S1208" i="1" s="1"/>
  <c r="S1209" i="1" s="1"/>
  <c r="S1210" i="1" s="1"/>
  <c r="S1211" i="1" s="1"/>
  <c r="S1212" i="1" s="1"/>
  <c r="S1213" i="1" s="1"/>
  <c r="S1214" i="1" s="1"/>
  <c r="S1215" i="1" s="1"/>
  <c r="S1216" i="1" s="1"/>
  <c r="S1217" i="1" s="1"/>
  <c r="S1218" i="1" s="1"/>
  <c r="S1219" i="1" s="1"/>
  <c r="S1220" i="1" s="1"/>
  <c r="S1221" i="1" s="1"/>
  <c r="S1222" i="1" s="1"/>
  <c r="S1223" i="1" s="1"/>
  <c r="S1224" i="1" s="1"/>
  <c r="S1225" i="1" s="1"/>
  <c r="S1226" i="1" s="1"/>
  <c r="S1227" i="1" s="1"/>
  <c r="S1228" i="1" s="1"/>
  <c r="S1229" i="1" s="1"/>
  <c r="S1230" i="1" s="1"/>
  <c r="S1231" i="1" s="1"/>
  <c r="S1232" i="1" s="1"/>
  <c r="S1233" i="1" s="1"/>
  <c r="S1234" i="1" s="1"/>
  <c r="S1235" i="1" s="1"/>
  <c r="S1236" i="1" s="1"/>
  <c r="S1237" i="1" s="1"/>
  <c r="S1238" i="1" s="1"/>
  <c r="S1239" i="1" s="1"/>
  <c r="S1240" i="1" s="1"/>
  <c r="S1241" i="1" s="1"/>
  <c r="S1242" i="1" s="1"/>
  <c r="S1243" i="1" s="1"/>
  <c r="S1244" i="1" s="1"/>
  <c r="S1245" i="1" s="1"/>
  <c r="S1246" i="1" s="1"/>
  <c r="S1247" i="1" s="1"/>
  <c r="S1248" i="1" s="1"/>
  <c r="S1249" i="1" s="1"/>
  <c r="S1250" i="1" s="1"/>
  <c r="S1251" i="1" s="1"/>
  <c r="S1252" i="1" s="1"/>
  <c r="S1253" i="1" s="1"/>
  <c r="S1254" i="1" s="1"/>
  <c r="S1255" i="1" s="1"/>
  <c r="S1256" i="1" s="1"/>
  <c r="S1257" i="1" s="1"/>
  <c r="S1258" i="1" s="1"/>
  <c r="S1259" i="1" s="1"/>
  <c r="S1260" i="1" s="1"/>
  <c r="S1261" i="1" s="1"/>
  <c r="S1262" i="1" s="1"/>
  <c r="S1263" i="1" s="1"/>
  <c r="S1264" i="1" s="1"/>
  <c r="S1265" i="1" s="1"/>
  <c r="S1266" i="1" s="1"/>
  <c r="S1267" i="1" s="1"/>
  <c r="S1268" i="1" s="1"/>
  <c r="S1269" i="1" s="1"/>
  <c r="S1270" i="1" s="1"/>
  <c r="S1271" i="1" s="1"/>
  <c r="S1272" i="1" s="1"/>
  <c r="S1273" i="1" s="1"/>
  <c r="S1274" i="1" s="1"/>
  <c r="S1275" i="1" s="1"/>
  <c r="S1276" i="1" s="1"/>
  <c r="S1277" i="1" s="1"/>
  <c r="S1278" i="1" s="1"/>
  <c r="S1279" i="1" s="1"/>
  <c r="S1280" i="1" s="1"/>
  <c r="S1281" i="1" s="1"/>
  <c r="S1282" i="1" s="1"/>
  <c r="S1283" i="1" s="1"/>
  <c r="S1284" i="1" s="1"/>
  <c r="S1285" i="1" s="1"/>
  <c r="S1286" i="1" s="1"/>
  <c r="S1287" i="1" s="1"/>
  <c r="S1288" i="1" s="1"/>
  <c r="S1289" i="1" s="1"/>
  <c r="S1290" i="1" s="1"/>
  <c r="S1291" i="1" s="1"/>
  <c r="S1292" i="1" s="1"/>
  <c r="S1293" i="1" s="1"/>
  <c r="S1294" i="1" s="1"/>
  <c r="S1295" i="1" s="1"/>
  <c r="S1296" i="1" s="1"/>
  <c r="S1297" i="1" s="1"/>
  <c r="S1298" i="1" s="1"/>
  <c r="S1299" i="1" s="1"/>
  <c r="S1300" i="1" s="1"/>
  <c r="S1301" i="1" s="1"/>
  <c r="S1302" i="1" s="1"/>
  <c r="S1303" i="1" s="1"/>
  <c r="S1304" i="1" s="1"/>
  <c r="S1305" i="1" s="1"/>
  <c r="S1306" i="1" s="1"/>
  <c r="S1307" i="1" s="1"/>
  <c r="S1308" i="1" s="1"/>
  <c r="S1309" i="1" s="1"/>
  <c r="S1310" i="1" s="1"/>
  <c r="S1311" i="1" s="1"/>
  <c r="S1312" i="1" s="1"/>
  <c r="S1313" i="1" s="1"/>
  <c r="S1314" i="1" s="1"/>
  <c r="S1315" i="1" s="1"/>
  <c r="S1316" i="1" s="1"/>
  <c r="S1317" i="1" s="1"/>
  <c r="S1318" i="1" s="1"/>
  <c r="S1319" i="1" s="1"/>
  <c r="S1320" i="1" s="1"/>
  <c r="S1321" i="1" s="1"/>
  <c r="S1322" i="1" s="1"/>
  <c r="S1323" i="1" s="1"/>
  <c r="S1324" i="1" s="1"/>
  <c r="S1325" i="1" s="1"/>
  <c r="S1326" i="1" s="1"/>
  <c r="S1327" i="1" s="1"/>
  <c r="S1328" i="1" s="1"/>
  <c r="S1329" i="1" s="1"/>
  <c r="S1330" i="1" s="1"/>
  <c r="S1331" i="1" s="1"/>
  <c r="S1332" i="1" s="1"/>
  <c r="S1333" i="1" s="1"/>
  <c r="S1334" i="1" s="1"/>
  <c r="S1335" i="1" s="1"/>
  <c r="S1336" i="1" s="1"/>
  <c r="S1337" i="1" s="1"/>
  <c r="S1338" i="1" s="1"/>
  <c r="S1339" i="1" s="1"/>
  <c r="S1340" i="1" s="1"/>
  <c r="S1341" i="1" s="1"/>
  <c r="S1342" i="1" s="1"/>
  <c r="S1343" i="1" s="1"/>
  <c r="S1344" i="1" s="1"/>
  <c r="S1345" i="1" s="1"/>
  <c r="S1346" i="1" s="1"/>
  <c r="S1347" i="1" s="1"/>
  <c r="S1348" i="1" s="1"/>
  <c r="S1349" i="1" s="1"/>
  <c r="S1350" i="1" s="1"/>
  <c r="S1351" i="1" s="1"/>
  <c r="S1352" i="1" s="1"/>
  <c r="S1353" i="1" s="1"/>
  <c r="S1354" i="1" s="1"/>
  <c r="S1355" i="1" s="1"/>
  <c r="S1356" i="1" s="1"/>
  <c r="S1357" i="1" s="1"/>
  <c r="S1358" i="1" s="1"/>
  <c r="S1359" i="1" s="1"/>
  <c r="S1360" i="1" s="1"/>
  <c r="S1361" i="1" s="1"/>
  <c r="S1362" i="1" s="1"/>
  <c r="S1363" i="1" s="1"/>
  <c r="S1364" i="1" s="1"/>
  <c r="S1365" i="1" s="1"/>
  <c r="S1366" i="1" s="1"/>
  <c r="S1367" i="1" s="1"/>
  <c r="S1368" i="1" s="1"/>
  <c r="S1369" i="1" s="1"/>
  <c r="S1370" i="1" s="1"/>
  <c r="S1371" i="1" s="1"/>
  <c r="S1372" i="1" s="1"/>
  <c r="S1373" i="1" s="1"/>
  <c r="S1374" i="1" s="1"/>
  <c r="S1375" i="1" s="1"/>
  <c r="S1376" i="1" s="1"/>
  <c r="S1377" i="1" s="1"/>
  <c r="S1378" i="1" s="1"/>
  <c r="S1379" i="1" s="1"/>
  <c r="S1380" i="1" s="1"/>
  <c r="S1381" i="1" s="1"/>
  <c r="S1382" i="1" s="1"/>
  <c r="S1383" i="1" s="1"/>
  <c r="S1384" i="1" s="1"/>
  <c r="S1385" i="1" s="1"/>
  <c r="S1386" i="1" s="1"/>
  <c r="S1387" i="1" s="1"/>
  <c r="S1388" i="1" s="1"/>
  <c r="S1389" i="1" s="1"/>
  <c r="S1390" i="1" s="1"/>
  <c r="S1391" i="1" s="1"/>
  <c r="S1392" i="1" s="1"/>
  <c r="S1393" i="1" s="1"/>
  <c r="S1394" i="1" s="1"/>
  <c r="S1395" i="1" s="1"/>
  <c r="S1396" i="1" s="1"/>
  <c r="S1397" i="1" s="1"/>
  <c r="S1398" i="1" s="1"/>
  <c r="S1399" i="1" s="1"/>
  <c r="S1400" i="1" s="1"/>
  <c r="S1401" i="1" s="1"/>
  <c r="S1402" i="1" s="1"/>
  <c r="S1403" i="1" s="1"/>
  <c r="S1404" i="1" s="1"/>
  <c r="S1405" i="1" s="1"/>
  <c r="S1406" i="1" s="1"/>
  <c r="S1407" i="1" s="1"/>
  <c r="S1408" i="1" s="1"/>
  <c r="S1409" i="1" s="1"/>
  <c r="S1410" i="1" s="1"/>
  <c r="S1411" i="1" s="1"/>
  <c r="S1412" i="1" s="1"/>
  <c r="S1413" i="1" s="1"/>
  <c r="S1414" i="1" s="1"/>
  <c r="S1415" i="1" s="1"/>
  <c r="S1416" i="1" s="1"/>
  <c r="S1417" i="1" s="1"/>
  <c r="S1418" i="1" s="1"/>
  <c r="S1419" i="1" s="1"/>
  <c r="S1420" i="1" s="1"/>
  <c r="S1421" i="1" s="1"/>
  <c r="S1422" i="1" s="1"/>
  <c r="S1423" i="1" s="1"/>
  <c r="S1424" i="1" s="1"/>
  <c r="S1425" i="1" s="1"/>
  <c r="S1426" i="1" s="1"/>
  <c r="S1427" i="1" s="1"/>
  <c r="S1428" i="1" s="1"/>
  <c r="S1429" i="1" s="1"/>
  <c r="S1430" i="1" s="1"/>
  <c r="S1431" i="1" s="1"/>
  <c r="S1432" i="1" s="1"/>
  <c r="S1433" i="1" s="1"/>
  <c r="S1434" i="1" s="1"/>
  <c r="S1435" i="1" s="1"/>
  <c r="S1436" i="1" s="1"/>
  <c r="S1437" i="1" s="1"/>
  <c r="S1438" i="1" s="1"/>
  <c r="S1439" i="1" s="1"/>
  <c r="S1440" i="1" s="1"/>
  <c r="S1441" i="1" s="1"/>
  <c r="S1442" i="1" s="1"/>
  <c r="S1443" i="1" s="1"/>
  <c r="S1444" i="1" s="1"/>
  <c r="S1445" i="1" s="1"/>
  <c r="S1446" i="1" s="1"/>
  <c r="S1447" i="1" s="1"/>
  <c r="S1448" i="1" s="1"/>
  <c r="S1449" i="1" s="1"/>
  <c r="S1450" i="1" s="1"/>
  <c r="S1451" i="1" s="1"/>
  <c r="S1452" i="1" s="1"/>
  <c r="S1453" i="1" s="1"/>
  <c r="S1454" i="1" s="1"/>
  <c r="S1455" i="1" s="1"/>
  <c r="S1456" i="1" s="1"/>
  <c r="S1457" i="1" s="1"/>
  <c r="S1458" i="1" s="1"/>
  <c r="S1459" i="1" s="1"/>
  <c r="S1460" i="1" s="1"/>
  <c r="S1461" i="1" s="1"/>
  <c r="S1462" i="1" s="1"/>
  <c r="S1463" i="1" s="1"/>
  <c r="S1464" i="1" s="1"/>
  <c r="S1465" i="1" s="1"/>
  <c r="S1466" i="1" s="1"/>
  <c r="S1467" i="1" s="1"/>
  <c r="S1468" i="1" s="1"/>
  <c r="S1469" i="1" s="1"/>
  <c r="S1470" i="1" s="1"/>
  <c r="S1471" i="1" s="1"/>
  <c r="S1472" i="1" s="1"/>
  <c r="S1473" i="1" s="1"/>
  <c r="S1474" i="1" s="1"/>
  <c r="S1475" i="1" s="1"/>
  <c r="S1476" i="1" s="1"/>
  <c r="S1477" i="1" s="1"/>
  <c r="S1478" i="1" s="1"/>
  <c r="S1479" i="1" s="1"/>
  <c r="S1480" i="1" s="1"/>
  <c r="S1481" i="1" s="1"/>
  <c r="S1482" i="1" s="1"/>
  <c r="S1483" i="1" s="1"/>
  <c r="S1484" i="1" s="1"/>
  <c r="S1485" i="1" s="1"/>
  <c r="S1486" i="1" s="1"/>
  <c r="S1487" i="1" s="1"/>
  <c r="S1488" i="1" s="1"/>
  <c r="S1489" i="1" s="1"/>
  <c r="S1490" i="1" s="1"/>
  <c r="S1491" i="1" s="1"/>
  <c r="S1492" i="1" s="1"/>
  <c r="S1493" i="1" s="1"/>
  <c r="S1494" i="1" s="1"/>
  <c r="S1495" i="1" s="1"/>
  <c r="S1496" i="1" s="1"/>
  <c r="S1497" i="1" s="1"/>
  <c r="S1498" i="1" s="1"/>
  <c r="S1499" i="1" s="1"/>
  <c r="S1500" i="1" s="1"/>
  <c r="S1501" i="1" s="1"/>
  <c r="S1502" i="1" s="1"/>
  <c r="S1503" i="1" s="1"/>
  <c r="S1504" i="1" s="1"/>
  <c r="S1505" i="1" s="1"/>
  <c r="S1506" i="1" s="1"/>
  <c r="S1507" i="1" s="1"/>
  <c r="S1508" i="1" s="1"/>
  <c r="S1509" i="1" s="1"/>
  <c r="S1510" i="1" s="1"/>
  <c r="S1511" i="1" s="1"/>
  <c r="S1512" i="1" s="1"/>
  <c r="S1513" i="1" s="1"/>
  <c r="S1514" i="1" s="1"/>
  <c r="S1515" i="1" s="1"/>
  <c r="S1516" i="1" s="1"/>
  <c r="S1517" i="1" s="1"/>
  <c r="S1518" i="1" s="1"/>
  <c r="S1519" i="1" s="1"/>
  <c r="S1520" i="1" s="1"/>
  <c r="S1521" i="1" s="1"/>
  <c r="S1522" i="1" s="1"/>
  <c r="S1523" i="1" s="1"/>
  <c r="S1524" i="1" s="1"/>
  <c r="S1525" i="1" s="1"/>
  <c r="S1526" i="1" s="1"/>
  <c r="S1527" i="1" s="1"/>
  <c r="S1528" i="1" s="1"/>
  <c r="S1529" i="1" s="1"/>
  <c r="S1530" i="1" s="1"/>
  <c r="S1531" i="1" s="1"/>
  <c r="S1532" i="1" s="1"/>
  <c r="S1533" i="1" s="1"/>
  <c r="S1534" i="1" s="1"/>
  <c r="S1535" i="1" s="1"/>
  <c r="S1536" i="1" s="1"/>
  <c r="S1537" i="1" s="1"/>
  <c r="S1538" i="1" s="1"/>
  <c r="S1539" i="1" s="1"/>
  <c r="S1540" i="1" s="1"/>
  <c r="S1541" i="1" s="1"/>
  <c r="S1542" i="1" s="1"/>
  <c r="S1543" i="1" s="1"/>
  <c r="S1544" i="1" s="1"/>
  <c r="S1545" i="1" s="1"/>
  <c r="S1546" i="1" s="1"/>
  <c r="S1547" i="1" s="1"/>
  <c r="S1548" i="1" s="1"/>
  <c r="S1549" i="1" s="1"/>
  <c r="S1550" i="1" s="1"/>
  <c r="S1551" i="1" s="1"/>
  <c r="S1552" i="1" s="1"/>
  <c r="S1553" i="1" s="1"/>
  <c r="S1554" i="1" s="1"/>
  <c r="S1555" i="1" s="1"/>
  <c r="S1556" i="1" s="1"/>
  <c r="S1557" i="1" s="1"/>
  <c r="S1558" i="1" s="1"/>
  <c r="S1559" i="1" s="1"/>
  <c r="S1560" i="1" s="1"/>
  <c r="S1561" i="1" s="1"/>
  <c r="S1562" i="1" s="1"/>
  <c r="S1563" i="1" s="1"/>
  <c r="S1564" i="1" s="1"/>
  <c r="S1565" i="1" s="1"/>
  <c r="S1566" i="1" s="1"/>
  <c r="S1567" i="1" s="1"/>
  <c r="S1568" i="1" s="1"/>
  <c r="S1569" i="1" s="1"/>
  <c r="S1570" i="1" s="1"/>
  <c r="S1571" i="1" s="1"/>
  <c r="S1572" i="1" s="1"/>
  <c r="S1573" i="1" s="1"/>
  <c r="S1574" i="1" s="1"/>
  <c r="S1575" i="1" s="1"/>
  <c r="S1576" i="1" s="1"/>
  <c r="S1577" i="1" s="1"/>
  <c r="S1578" i="1" s="1"/>
  <c r="S1579" i="1" s="1"/>
  <c r="S1580" i="1" s="1"/>
  <c r="S1581" i="1" s="1"/>
  <c r="S1582" i="1" s="1"/>
  <c r="S1583" i="1" s="1"/>
  <c r="S1584" i="1" s="1"/>
  <c r="S1585" i="1" s="1"/>
  <c r="S1586" i="1" s="1"/>
  <c r="S1587" i="1" s="1"/>
  <c r="S1588" i="1" s="1"/>
  <c r="S1589" i="1" s="1"/>
  <c r="S1590" i="1" s="1"/>
  <c r="S1591" i="1" s="1"/>
  <c r="S1592" i="1" s="1"/>
  <c r="S1593" i="1" s="1"/>
  <c r="S1594" i="1" s="1"/>
  <c r="S1595" i="1" s="1"/>
  <c r="S1596" i="1" s="1"/>
  <c r="S1597" i="1" s="1"/>
  <c r="S1598" i="1" s="1"/>
  <c r="S1599" i="1" s="1"/>
  <c r="S1600" i="1" s="1"/>
  <c r="S1601" i="1" s="1"/>
  <c r="S1602" i="1" s="1"/>
  <c r="S1603" i="1" s="1"/>
  <c r="S1604" i="1" s="1"/>
  <c r="S1605" i="1" s="1"/>
  <c r="S1606" i="1" s="1"/>
  <c r="S1607" i="1" s="1"/>
  <c r="S1608" i="1" s="1"/>
  <c r="S1609" i="1" s="1"/>
  <c r="S1610" i="1" s="1"/>
  <c r="S1611" i="1" s="1"/>
  <c r="S1612" i="1" s="1"/>
  <c r="S1613" i="1" s="1"/>
  <c r="S1614" i="1" s="1"/>
  <c r="S1615" i="1" s="1"/>
  <c r="S1616" i="1" s="1"/>
  <c r="S1617" i="1" s="1"/>
  <c r="S1618" i="1" s="1"/>
  <c r="S1619" i="1" s="1"/>
  <c r="S1620" i="1" s="1"/>
  <c r="S1621" i="1" s="1"/>
  <c r="S1622" i="1" s="1"/>
  <c r="S1623" i="1" s="1"/>
  <c r="S1624" i="1" s="1"/>
  <c r="S1625" i="1" s="1"/>
  <c r="S1626" i="1" s="1"/>
  <c r="S1627" i="1" s="1"/>
  <c r="S1628" i="1" s="1"/>
  <c r="S1629" i="1" s="1"/>
  <c r="S1630" i="1" s="1"/>
  <c r="S1631" i="1" s="1"/>
  <c r="S1632" i="1" s="1"/>
  <c r="S1633" i="1" s="1"/>
  <c r="S1634" i="1" s="1"/>
  <c r="S1635" i="1" s="1"/>
  <c r="S1636" i="1" s="1"/>
  <c r="S1637" i="1" s="1"/>
  <c r="S1638" i="1" s="1"/>
  <c r="S1639" i="1" s="1"/>
  <c r="S1640" i="1" s="1"/>
  <c r="S1641" i="1" s="1"/>
  <c r="S1642" i="1" s="1"/>
  <c r="S1643" i="1" s="1"/>
  <c r="S1644" i="1" s="1"/>
  <c r="S1645" i="1" s="1"/>
  <c r="S1646" i="1" s="1"/>
  <c r="S1647" i="1" s="1"/>
  <c r="S1648" i="1" s="1"/>
  <c r="S1649" i="1" s="1"/>
  <c r="S1650" i="1" s="1"/>
  <c r="S1651" i="1" s="1"/>
  <c r="S1652" i="1" s="1"/>
  <c r="S1653" i="1" s="1"/>
  <c r="S1654" i="1" s="1"/>
  <c r="S1655" i="1" s="1"/>
  <c r="S1656" i="1" s="1"/>
  <c r="S1657" i="1" s="1"/>
  <c r="S1658" i="1" s="1"/>
  <c r="S1659" i="1" s="1"/>
  <c r="S1660" i="1" s="1"/>
  <c r="S1661" i="1" s="1"/>
  <c r="S1662" i="1" s="1"/>
  <c r="S1663" i="1" s="1"/>
  <c r="S1664" i="1" s="1"/>
  <c r="S1665" i="1" s="1"/>
  <c r="S1666" i="1" s="1"/>
  <c r="S1667" i="1" s="1"/>
  <c r="S1668" i="1" s="1"/>
  <c r="S1669" i="1" s="1"/>
  <c r="S1670" i="1" s="1"/>
  <c r="S1671" i="1" s="1"/>
  <c r="S1672" i="1" s="1"/>
  <c r="S1673" i="1" s="1"/>
  <c r="S1674" i="1" s="1"/>
  <c r="S1675" i="1" s="1"/>
  <c r="S1676" i="1" s="1"/>
  <c r="S1677" i="1" s="1"/>
  <c r="S1678" i="1" s="1"/>
  <c r="S1679" i="1" s="1"/>
  <c r="S1680" i="1" s="1"/>
  <c r="S1681" i="1" s="1"/>
  <c r="S1682" i="1" s="1"/>
  <c r="S1683" i="1" s="1"/>
  <c r="S1684" i="1" s="1"/>
  <c r="S1685" i="1" s="1"/>
  <c r="S1686" i="1" s="1"/>
  <c r="S1687" i="1" s="1"/>
  <c r="S1688" i="1" s="1"/>
  <c r="S1689" i="1" s="1"/>
  <c r="S1690" i="1" s="1"/>
  <c r="S1691" i="1" s="1"/>
  <c r="S1692" i="1" s="1"/>
  <c r="S1693" i="1" s="1"/>
  <c r="S1694" i="1" s="1"/>
  <c r="S1695" i="1" s="1"/>
  <c r="S1696" i="1" s="1"/>
  <c r="S1697" i="1" s="1"/>
  <c r="S1698" i="1" s="1"/>
  <c r="S1699" i="1" s="1"/>
  <c r="S1700" i="1" s="1"/>
  <c r="S1701" i="1" s="1"/>
  <c r="S1702" i="1" s="1"/>
  <c r="S1703" i="1" s="1"/>
  <c r="S1704" i="1" s="1"/>
  <c r="S1705" i="1" s="1"/>
  <c r="S1706" i="1" s="1"/>
  <c r="S1707" i="1" s="1"/>
  <c r="S1708" i="1" s="1"/>
  <c r="S1709" i="1" s="1"/>
  <c r="S1710" i="1" s="1"/>
  <c r="S1711" i="1" s="1"/>
  <c r="S1712" i="1" s="1"/>
  <c r="S1713" i="1" s="1"/>
  <c r="S1714" i="1" s="1"/>
  <c r="S1715" i="1" s="1"/>
  <c r="S1716" i="1" s="1"/>
  <c r="S1717" i="1" s="1"/>
  <c r="S1718" i="1" s="1"/>
  <c r="S1719" i="1" s="1"/>
  <c r="S1720" i="1" s="1"/>
  <c r="S1721" i="1" s="1"/>
  <c r="S1722" i="1" s="1"/>
  <c r="S1723" i="1" s="1"/>
  <c r="S1724" i="1" s="1"/>
  <c r="S1725" i="1" s="1"/>
  <c r="S1726" i="1" s="1"/>
  <c r="S1727" i="1" s="1"/>
  <c r="S1728" i="1" s="1"/>
  <c r="S1729" i="1" s="1"/>
  <c r="S1730" i="1" s="1"/>
  <c r="S1731" i="1" s="1"/>
  <c r="S1732" i="1" s="1"/>
  <c r="S1733" i="1" s="1"/>
  <c r="S1734" i="1" s="1"/>
  <c r="S1735" i="1" s="1"/>
  <c r="S1736" i="1" s="1"/>
  <c r="S1737" i="1" s="1"/>
  <c r="S1738" i="1" s="1"/>
  <c r="S1739" i="1" s="1"/>
  <c r="S1740" i="1" s="1"/>
  <c r="S1741" i="1" s="1"/>
  <c r="S1742" i="1" s="1"/>
  <c r="S1743" i="1" s="1"/>
  <c r="S1744" i="1" s="1"/>
  <c r="S1745" i="1" s="1"/>
  <c r="S1746" i="1" s="1"/>
  <c r="S1747" i="1" s="1"/>
  <c r="S1748" i="1" s="1"/>
  <c r="S1749" i="1" s="1"/>
  <c r="S1750" i="1" s="1"/>
  <c r="S1751" i="1" s="1"/>
  <c r="S1752" i="1" s="1"/>
  <c r="S1753" i="1" s="1"/>
  <c r="S1754" i="1" s="1"/>
  <c r="S1755" i="1" s="1"/>
  <c r="S1756" i="1" s="1"/>
  <c r="S1757" i="1" s="1"/>
  <c r="S1758" i="1" s="1"/>
  <c r="S1759" i="1" s="1"/>
  <c r="S1760" i="1" s="1"/>
  <c r="S1761" i="1" s="1"/>
  <c r="S1762" i="1" s="1"/>
  <c r="S1763" i="1" s="1"/>
  <c r="S1764" i="1" s="1"/>
  <c r="S1765" i="1" s="1"/>
  <c r="S1766" i="1" s="1"/>
  <c r="S1767" i="1" s="1"/>
  <c r="S1768" i="1" s="1"/>
  <c r="S1769" i="1" s="1"/>
  <c r="S1770" i="1" s="1"/>
  <c r="S1771" i="1" s="1"/>
  <c r="S1772" i="1" s="1"/>
  <c r="S1773" i="1" s="1"/>
  <c r="S1774" i="1" s="1"/>
  <c r="S1775" i="1" s="1"/>
  <c r="S1776" i="1" s="1"/>
  <c r="S1777" i="1" s="1"/>
  <c r="S1778" i="1" s="1"/>
  <c r="S1779" i="1" s="1"/>
  <c r="S1780" i="1" s="1"/>
  <c r="S1781" i="1" s="1"/>
  <c r="S1782" i="1" s="1"/>
  <c r="S1783" i="1" s="1"/>
  <c r="S1784" i="1" s="1"/>
  <c r="S1785" i="1" s="1"/>
  <c r="S1786" i="1" s="1"/>
  <c r="S1787" i="1" s="1"/>
  <c r="S1788" i="1" s="1"/>
  <c r="S1789" i="1" s="1"/>
  <c r="S1790" i="1" s="1"/>
  <c r="S1791" i="1" s="1"/>
  <c r="S1792" i="1" s="1"/>
  <c r="S1793" i="1" s="1"/>
  <c r="S1794" i="1" s="1"/>
  <c r="S1795" i="1" s="1"/>
  <c r="S1796" i="1" s="1"/>
  <c r="S1797" i="1" s="1"/>
  <c r="S1798" i="1" s="1"/>
  <c r="S1799" i="1" s="1"/>
  <c r="S1800" i="1" s="1"/>
  <c r="S1801" i="1" s="1"/>
  <c r="S1802" i="1" s="1"/>
  <c r="S1803" i="1" s="1"/>
  <c r="S1804" i="1" s="1"/>
  <c r="S1805" i="1" s="1"/>
  <c r="S1806" i="1" s="1"/>
  <c r="S1807" i="1" s="1"/>
  <c r="S1808" i="1" s="1"/>
  <c r="S1809" i="1" s="1"/>
  <c r="S1810" i="1" s="1"/>
  <c r="S1811" i="1" s="1"/>
  <c r="S1812" i="1" s="1"/>
  <c r="S1813" i="1" s="1"/>
  <c r="S1814" i="1" s="1"/>
  <c r="S1815" i="1" s="1"/>
  <c r="S1816" i="1" s="1"/>
  <c r="S1817" i="1" s="1"/>
  <c r="S1818" i="1" s="1"/>
  <c r="S1819" i="1" s="1"/>
  <c r="S1820" i="1" s="1"/>
  <c r="S1821" i="1" s="1"/>
  <c r="S1822" i="1" s="1"/>
  <c r="S1823" i="1" s="1"/>
  <c r="S1824" i="1" s="1"/>
  <c r="S1825" i="1" s="1"/>
  <c r="S1826" i="1" s="1"/>
  <c r="S1827" i="1" s="1"/>
  <c r="S1828" i="1" s="1"/>
  <c r="S1829" i="1" s="1"/>
  <c r="S1830" i="1" s="1"/>
  <c r="S1831" i="1" s="1"/>
  <c r="S1832" i="1" s="1"/>
  <c r="S1833" i="1" s="1"/>
  <c r="S1834" i="1" s="1"/>
  <c r="S1835" i="1" s="1"/>
  <c r="S1836" i="1" s="1"/>
  <c r="S1837" i="1" s="1"/>
  <c r="S1838" i="1" s="1"/>
  <c r="S1839" i="1" s="1"/>
  <c r="S1840" i="1" s="1"/>
  <c r="S1841" i="1" s="1"/>
  <c r="S1842" i="1" s="1"/>
  <c r="S1843" i="1" s="1"/>
  <c r="S1844" i="1" s="1"/>
  <c r="S1845" i="1" s="1"/>
  <c r="S1846" i="1" s="1"/>
  <c r="S1847" i="1" s="1"/>
  <c r="S1848" i="1" s="1"/>
  <c r="S1849" i="1" s="1"/>
  <c r="S1850" i="1" s="1"/>
  <c r="S1851" i="1" s="1"/>
  <c r="S1852" i="1" s="1"/>
  <c r="S1853" i="1" s="1"/>
  <c r="S1854" i="1" s="1"/>
  <c r="S1855" i="1" s="1"/>
  <c r="S1856" i="1" s="1"/>
  <c r="S1857" i="1" s="1"/>
  <c r="S1858" i="1" s="1"/>
  <c r="S1859" i="1" s="1"/>
  <c r="S1860" i="1" s="1"/>
  <c r="S1861" i="1" s="1"/>
  <c r="S1862" i="1" s="1"/>
  <c r="S1863" i="1" s="1"/>
  <c r="S1864" i="1" s="1"/>
  <c r="S1865" i="1" s="1"/>
  <c r="S1866" i="1" s="1"/>
  <c r="S1867" i="1" s="1"/>
  <c r="S1868" i="1" s="1"/>
  <c r="S1869" i="1" s="1"/>
  <c r="S1870" i="1" s="1"/>
  <c r="S1871" i="1" s="1"/>
  <c r="S1872" i="1" s="1"/>
  <c r="S1873" i="1" s="1"/>
  <c r="S1874" i="1" s="1"/>
  <c r="S1875" i="1" s="1"/>
  <c r="S1876" i="1" s="1"/>
  <c r="S1877" i="1" s="1"/>
  <c r="S1878" i="1" s="1"/>
  <c r="S1879" i="1" s="1"/>
  <c r="S1880" i="1" s="1"/>
  <c r="S1881" i="1" s="1"/>
  <c r="S1882" i="1" s="1"/>
  <c r="S1883" i="1" s="1"/>
  <c r="S1884" i="1" s="1"/>
  <c r="S1885" i="1" s="1"/>
  <c r="S1886" i="1" s="1"/>
  <c r="S1887" i="1" s="1"/>
  <c r="S1888" i="1" s="1"/>
  <c r="S1889" i="1" s="1"/>
  <c r="S1890" i="1" s="1"/>
  <c r="S1891" i="1" s="1"/>
  <c r="S1892" i="1" s="1"/>
  <c r="S1893" i="1" s="1"/>
  <c r="S1894" i="1" s="1"/>
  <c r="S1895" i="1" s="1"/>
  <c r="S1896" i="1" s="1"/>
  <c r="S1897" i="1" s="1"/>
  <c r="S1898" i="1" s="1"/>
  <c r="S1899" i="1" s="1"/>
  <c r="S1900" i="1" s="1"/>
  <c r="S1901" i="1" s="1"/>
  <c r="S1902" i="1" s="1"/>
  <c r="S1903" i="1" s="1"/>
  <c r="S1904" i="1" s="1"/>
  <c r="S1905" i="1" s="1"/>
  <c r="S1906" i="1" s="1"/>
  <c r="S1907" i="1" s="1"/>
  <c r="S1908" i="1" s="1"/>
  <c r="S1909" i="1" s="1"/>
  <c r="S1910" i="1" s="1"/>
  <c r="S1911" i="1" s="1"/>
  <c r="S1912" i="1" s="1"/>
  <c r="S1913" i="1" s="1"/>
  <c r="S1914" i="1" s="1"/>
  <c r="S1915" i="1" s="1"/>
  <c r="S1916" i="1" s="1"/>
  <c r="S1917" i="1" s="1"/>
  <c r="S1918" i="1" s="1"/>
  <c r="S1919" i="1" s="1"/>
  <c r="S1920" i="1" s="1"/>
  <c r="S1921" i="1" s="1"/>
  <c r="S1922" i="1" s="1"/>
  <c r="S1923" i="1" s="1"/>
  <c r="S1924" i="1" s="1"/>
  <c r="S1925" i="1" s="1"/>
  <c r="S1926" i="1" s="1"/>
  <c r="S1927" i="1" s="1"/>
  <c r="S1928" i="1" s="1"/>
  <c r="S1929" i="1" s="1"/>
  <c r="S1930" i="1" s="1"/>
  <c r="S1931" i="1" s="1"/>
  <c r="S1932" i="1" s="1"/>
  <c r="S1933" i="1" s="1"/>
  <c r="S1934" i="1" s="1"/>
  <c r="S1935" i="1" s="1"/>
  <c r="S1936" i="1" s="1"/>
  <c r="S1937" i="1" s="1"/>
  <c r="S1938" i="1" s="1"/>
  <c r="S1939" i="1" s="1"/>
  <c r="S1940" i="1" s="1"/>
  <c r="S1941" i="1" s="1"/>
  <c r="S1942" i="1" s="1"/>
  <c r="S1943" i="1" s="1"/>
  <c r="S1944" i="1" s="1"/>
  <c r="S1945" i="1" s="1"/>
  <c r="S1946" i="1" s="1"/>
  <c r="S1947" i="1" s="1"/>
  <c r="S1948" i="1" s="1"/>
  <c r="S1949" i="1" s="1"/>
  <c r="S1950" i="1" s="1"/>
  <c r="S1951" i="1" s="1"/>
  <c r="S1952" i="1" s="1"/>
  <c r="S1953" i="1" s="1"/>
  <c r="S1954" i="1" s="1"/>
  <c r="S1955" i="1" s="1"/>
  <c r="S1956" i="1" s="1"/>
  <c r="S1957" i="1" s="1"/>
  <c r="S1958" i="1" s="1"/>
  <c r="S1959" i="1" s="1"/>
  <c r="S1960" i="1" s="1"/>
  <c r="S1961" i="1" s="1"/>
  <c r="S1962" i="1" s="1"/>
  <c r="S1963" i="1" s="1"/>
  <c r="S1964" i="1" s="1"/>
  <c r="S1965" i="1" s="1"/>
  <c r="S1966" i="1" s="1"/>
  <c r="S1967" i="1" s="1"/>
  <c r="S1968" i="1" s="1"/>
  <c r="S1969" i="1" s="1"/>
  <c r="S1970" i="1" s="1"/>
  <c r="S1971" i="1" s="1"/>
  <c r="S1972" i="1" s="1"/>
  <c r="S1973" i="1" s="1"/>
  <c r="S1974" i="1" s="1"/>
  <c r="S1975" i="1" s="1"/>
  <c r="S1976" i="1" s="1"/>
  <c r="S1977" i="1" s="1"/>
  <c r="S1978" i="1" s="1"/>
  <c r="S1979" i="1" s="1"/>
  <c r="S1980" i="1" s="1"/>
  <c r="S1981" i="1" s="1"/>
  <c r="S1982" i="1" s="1"/>
  <c r="S1983" i="1" s="1"/>
  <c r="S1984" i="1" s="1"/>
  <c r="S1985" i="1" s="1"/>
  <c r="S1986" i="1" s="1"/>
  <c r="S1987" i="1" s="1"/>
  <c r="S1988" i="1" s="1"/>
  <c r="S1989" i="1" s="1"/>
  <c r="S1990" i="1" s="1"/>
  <c r="S1991" i="1" s="1"/>
  <c r="S1992" i="1" s="1"/>
  <c r="S1993" i="1" s="1"/>
  <c r="S1994" i="1" s="1"/>
  <c r="S1995" i="1" s="1"/>
  <c r="S1996" i="1" s="1"/>
  <c r="S1997" i="1" s="1"/>
  <c r="S1998" i="1" s="1"/>
  <c r="S1999" i="1" s="1"/>
  <c r="S2000" i="1" s="1"/>
  <c r="S2001" i="1" s="1"/>
  <c r="S2002" i="1" s="1"/>
  <c r="S2003" i="1" s="1"/>
  <c r="S2004" i="1" s="1"/>
  <c r="S2005" i="1" s="1"/>
  <c r="S2006" i="1" s="1"/>
  <c r="S2007" i="1" s="1"/>
  <c r="S2008" i="1" s="1"/>
  <c r="S2009" i="1" s="1"/>
  <c r="S2010" i="1" s="1"/>
  <c r="S2011" i="1" s="1"/>
  <c r="S2012" i="1" s="1"/>
  <c r="S2013" i="1" s="1"/>
  <c r="S2014" i="1" s="1"/>
  <c r="S2015" i="1" s="1"/>
  <c r="S2016" i="1" s="1"/>
  <c r="S2017" i="1" s="1"/>
  <c r="S2018" i="1" s="1"/>
  <c r="S2019" i="1" s="1"/>
  <c r="S2020" i="1" s="1"/>
  <c r="S2021" i="1" s="1"/>
  <c r="S2022" i="1" s="1"/>
  <c r="S2023" i="1" s="1"/>
  <c r="S2024" i="1" s="1"/>
  <c r="S2025" i="1" s="1"/>
  <c r="S2026" i="1" s="1"/>
  <c r="S2027" i="1" s="1"/>
  <c r="S2028" i="1" s="1"/>
  <c r="S2029" i="1" s="1"/>
  <c r="S2030" i="1" s="1"/>
  <c r="S2031" i="1" s="1"/>
  <c r="S2032" i="1" s="1"/>
  <c r="S2033" i="1" s="1"/>
  <c r="S2034" i="1" s="1"/>
  <c r="S2035" i="1" s="1"/>
  <c r="S2036" i="1" s="1"/>
  <c r="S2037" i="1" s="1"/>
  <c r="S2038" i="1" s="1"/>
  <c r="S2039" i="1" s="1"/>
  <c r="S2040" i="1" s="1"/>
  <c r="S2041" i="1" s="1"/>
  <c r="S2042" i="1" s="1"/>
  <c r="S2043" i="1" s="1"/>
  <c r="S2044" i="1" s="1"/>
  <c r="S2045" i="1" s="1"/>
  <c r="S2046" i="1" s="1"/>
  <c r="S2047" i="1" s="1"/>
  <c r="S2048" i="1" s="1"/>
  <c r="S2049" i="1" s="1"/>
  <c r="S2050" i="1" s="1"/>
  <c r="S2051" i="1" s="1"/>
  <c r="S2052" i="1" s="1"/>
  <c r="S2053" i="1" s="1"/>
  <c r="S2054" i="1" s="1"/>
  <c r="S2055" i="1" s="1"/>
  <c r="S2056" i="1" s="1"/>
  <c r="S2057" i="1" s="1"/>
  <c r="S2058" i="1" s="1"/>
  <c r="S2059" i="1" s="1"/>
  <c r="S2060" i="1" s="1"/>
  <c r="S2061" i="1" s="1"/>
  <c r="S2062" i="1" s="1"/>
  <c r="S2063" i="1" s="1"/>
  <c r="S2064" i="1" s="1"/>
  <c r="S2065" i="1" s="1"/>
  <c r="S2066" i="1" s="1"/>
  <c r="S2067" i="1" s="1"/>
  <c r="S2068" i="1" s="1"/>
  <c r="S2069" i="1" s="1"/>
  <c r="S2070" i="1" s="1"/>
  <c r="S2071" i="1" s="1"/>
  <c r="S2072" i="1" s="1"/>
  <c r="S2073" i="1" s="1"/>
  <c r="S2074" i="1" s="1"/>
  <c r="S2075" i="1" s="1"/>
  <c r="S2076" i="1" s="1"/>
  <c r="S2077" i="1" s="1"/>
  <c r="S2078" i="1" s="1"/>
  <c r="S2079" i="1" s="1"/>
  <c r="S2080" i="1" s="1"/>
  <c r="S2081" i="1" s="1"/>
  <c r="S2082" i="1" s="1"/>
  <c r="S2083" i="1" s="1"/>
  <c r="S2084" i="1" s="1"/>
  <c r="S2085" i="1" s="1"/>
  <c r="S2086" i="1" s="1"/>
  <c r="S2087" i="1" s="1"/>
  <c r="S2088" i="1" s="1"/>
  <c r="S2089" i="1" s="1"/>
  <c r="S2090" i="1" s="1"/>
  <c r="S2091" i="1" s="1"/>
  <c r="S2092" i="1" s="1"/>
  <c r="S2093" i="1" s="1"/>
  <c r="S2094" i="1" s="1"/>
  <c r="S2095" i="1" s="1"/>
  <c r="S2096" i="1" s="1"/>
  <c r="S2097" i="1" s="1"/>
  <c r="S2098" i="1" s="1"/>
  <c r="S2099" i="1" s="1"/>
  <c r="S2100" i="1" s="1"/>
  <c r="S2101" i="1" s="1"/>
  <c r="S2102" i="1" s="1"/>
  <c r="S2103" i="1" s="1"/>
  <c r="S2104" i="1" s="1"/>
  <c r="S2105" i="1" s="1"/>
  <c r="S2106" i="1" s="1"/>
  <c r="S2107" i="1" s="1"/>
  <c r="S2108" i="1" s="1"/>
  <c r="S2109" i="1" s="1"/>
  <c r="S2110" i="1" s="1"/>
  <c r="S2111" i="1" s="1"/>
  <c r="S2112" i="1" s="1"/>
  <c r="S2113" i="1" s="1"/>
  <c r="S2114" i="1" s="1"/>
  <c r="S2115" i="1" s="1"/>
  <c r="S2116" i="1" s="1"/>
  <c r="S2117" i="1" s="1"/>
  <c r="S2118" i="1" s="1"/>
  <c r="S2119" i="1" s="1"/>
  <c r="S2120" i="1" s="1"/>
  <c r="S2121" i="1" s="1"/>
  <c r="S2122" i="1" s="1"/>
  <c r="S2123" i="1" s="1"/>
  <c r="S2124" i="1" s="1"/>
  <c r="S2125" i="1" s="1"/>
  <c r="S2126" i="1" s="1"/>
  <c r="S2127" i="1" s="1"/>
  <c r="S2128" i="1" s="1"/>
  <c r="S2129" i="1" s="1"/>
  <c r="S2130" i="1" s="1"/>
  <c r="S2131" i="1" s="1"/>
  <c r="S2132" i="1" s="1"/>
  <c r="S2133" i="1" s="1"/>
  <c r="S2134" i="1" s="1"/>
  <c r="S2135" i="1" s="1"/>
  <c r="S2136" i="1" s="1"/>
  <c r="S2137" i="1" s="1"/>
  <c r="S2138" i="1" s="1"/>
  <c r="S2139" i="1" s="1"/>
  <c r="S2140" i="1" s="1"/>
  <c r="S2141" i="1" s="1"/>
  <c r="S2142" i="1" s="1"/>
  <c r="S2143" i="1" s="1"/>
  <c r="S2144" i="1" s="1"/>
  <c r="S2145" i="1" s="1"/>
  <c r="S2146" i="1" s="1"/>
  <c r="S2147" i="1" s="1"/>
  <c r="S2148" i="1" s="1"/>
  <c r="S2149" i="1" s="1"/>
  <c r="S2150" i="1" s="1"/>
  <c r="S2151" i="1" s="1"/>
  <c r="S2152" i="1" s="1"/>
  <c r="S2153" i="1" s="1"/>
  <c r="S2154" i="1" s="1"/>
  <c r="S2155" i="1" s="1"/>
  <c r="S2156" i="1" s="1"/>
  <c r="S2157" i="1" s="1"/>
  <c r="S2158" i="1" s="1"/>
  <c r="S2159" i="1" s="1"/>
  <c r="S2160" i="1" s="1"/>
  <c r="S2161" i="1" s="1"/>
  <c r="S2162" i="1" s="1"/>
  <c r="S2163" i="1" s="1"/>
  <c r="S2164" i="1" s="1"/>
  <c r="S2165" i="1" s="1"/>
  <c r="S2166" i="1" s="1"/>
  <c r="S2167" i="1" s="1"/>
  <c r="S2168" i="1" s="1"/>
  <c r="S2169" i="1" s="1"/>
  <c r="S2170" i="1" s="1"/>
  <c r="S2171" i="1" s="1"/>
  <c r="S2172" i="1" s="1"/>
  <c r="S2173" i="1" s="1"/>
  <c r="S2174" i="1" s="1"/>
  <c r="S2175" i="1" s="1"/>
  <c r="S2176" i="1" s="1"/>
  <c r="S2177" i="1" s="1"/>
  <c r="S2178" i="1" s="1"/>
  <c r="S2179" i="1" s="1"/>
  <c r="S2180" i="1" s="1"/>
  <c r="S2181" i="1" s="1"/>
  <c r="S2182" i="1" s="1"/>
  <c r="S2183" i="1" s="1"/>
  <c r="S2184" i="1" s="1"/>
  <c r="S2185" i="1" s="1"/>
  <c r="S2186" i="1" s="1"/>
  <c r="S2187" i="1" s="1"/>
  <c r="S2188" i="1" s="1"/>
  <c r="S2189" i="1" s="1"/>
  <c r="S2190" i="1" s="1"/>
  <c r="S2191" i="1" s="1"/>
  <c r="S2192" i="1" s="1"/>
  <c r="S2193" i="1" s="1"/>
  <c r="S2194" i="1" s="1"/>
  <c r="S2195" i="1" s="1"/>
  <c r="S2196" i="1" s="1"/>
  <c r="S2197" i="1" s="1"/>
  <c r="S2198" i="1" s="1"/>
  <c r="S2199" i="1" s="1"/>
  <c r="S2200" i="1" s="1"/>
  <c r="S2201" i="1" s="1"/>
  <c r="S2202" i="1" s="1"/>
  <c r="S2203" i="1" s="1"/>
  <c r="S2204" i="1" s="1"/>
  <c r="S2205" i="1" s="1"/>
  <c r="S2206" i="1" s="1"/>
  <c r="S2207" i="1" s="1"/>
  <c r="S2208" i="1" s="1"/>
  <c r="S2209" i="1" s="1"/>
  <c r="S2210" i="1" s="1"/>
  <c r="S2211" i="1" s="1"/>
  <c r="S2212" i="1" s="1"/>
  <c r="S2213" i="1" s="1"/>
  <c r="S2214" i="1" s="1"/>
  <c r="S2215" i="1" s="1"/>
  <c r="S2216" i="1" s="1"/>
  <c r="S2217" i="1" s="1"/>
  <c r="S2218" i="1" s="1"/>
  <c r="S2219" i="1" s="1"/>
  <c r="S2220" i="1" s="1"/>
  <c r="S2221" i="1" s="1"/>
  <c r="S2222" i="1" s="1"/>
  <c r="S2223" i="1" s="1"/>
  <c r="S2224" i="1" s="1"/>
  <c r="S2225" i="1" s="1"/>
  <c r="S2226" i="1" s="1"/>
  <c r="S2227" i="1" s="1"/>
  <c r="S2228" i="1" s="1"/>
  <c r="S2229" i="1" s="1"/>
  <c r="S2230" i="1" s="1"/>
  <c r="S2231" i="1" s="1"/>
  <c r="S2232" i="1" s="1"/>
  <c r="S2233" i="1" s="1"/>
  <c r="S2234" i="1" s="1"/>
  <c r="S2235" i="1" s="1"/>
  <c r="S2236" i="1" s="1"/>
  <c r="S2237" i="1" s="1"/>
  <c r="S2238" i="1" s="1"/>
  <c r="S2239" i="1" s="1"/>
  <c r="S2240" i="1" s="1"/>
  <c r="S2241" i="1" s="1"/>
  <c r="S2242" i="1" s="1"/>
  <c r="S2243" i="1" s="1"/>
  <c r="S2244" i="1" s="1"/>
  <c r="S2245" i="1" s="1"/>
  <c r="S2246" i="1" s="1"/>
  <c r="S2247" i="1" s="1"/>
  <c r="S2248" i="1" s="1"/>
  <c r="S2249" i="1" s="1"/>
  <c r="S2250" i="1" s="1"/>
  <c r="S2251" i="1" s="1"/>
  <c r="S2252" i="1" s="1"/>
  <c r="S2253" i="1" s="1"/>
  <c r="S2254" i="1" s="1"/>
  <c r="S2255" i="1" s="1"/>
  <c r="S2256" i="1" s="1"/>
  <c r="S2257" i="1" s="1"/>
  <c r="S2258" i="1" s="1"/>
  <c r="S2259" i="1" s="1"/>
  <c r="S2260" i="1" s="1"/>
  <c r="S2261" i="1" s="1"/>
  <c r="S2262" i="1" s="1"/>
  <c r="S2263" i="1" s="1"/>
  <c r="S2264" i="1" s="1"/>
  <c r="S2265" i="1" s="1"/>
  <c r="S2266" i="1" s="1"/>
  <c r="S2267" i="1" s="1"/>
  <c r="S2268" i="1" s="1"/>
  <c r="S2269" i="1" s="1"/>
  <c r="S2270" i="1" s="1"/>
  <c r="S2271" i="1" s="1"/>
  <c r="S2272" i="1" s="1"/>
  <c r="S2273" i="1" s="1"/>
  <c r="S2274" i="1" s="1"/>
  <c r="S2275" i="1" s="1"/>
  <c r="S2276" i="1" s="1"/>
  <c r="S2277" i="1" s="1"/>
  <c r="S2278" i="1" s="1"/>
  <c r="S2279" i="1" s="1"/>
  <c r="S2280" i="1" s="1"/>
  <c r="S2281" i="1" s="1"/>
  <c r="S2282" i="1" s="1"/>
  <c r="S2283" i="1" s="1"/>
  <c r="S2284" i="1" s="1"/>
  <c r="S2285" i="1" s="1"/>
  <c r="S2286" i="1" s="1"/>
  <c r="S2287" i="1" s="1"/>
  <c r="S2288" i="1" s="1"/>
  <c r="S2289" i="1" s="1"/>
  <c r="S2290" i="1" s="1"/>
  <c r="S2291" i="1" s="1"/>
  <c r="S2292" i="1" s="1"/>
  <c r="S2293" i="1" s="1"/>
  <c r="S2294" i="1" s="1"/>
  <c r="S2295" i="1" s="1"/>
  <c r="S2296" i="1" s="1"/>
  <c r="S2297" i="1" s="1"/>
  <c r="S2298" i="1" s="1"/>
  <c r="S2299" i="1" s="1"/>
  <c r="S2300" i="1" s="1"/>
  <c r="S2301" i="1" s="1"/>
  <c r="S2302" i="1" s="1"/>
  <c r="S2303" i="1" s="1"/>
  <c r="S2304" i="1" s="1"/>
  <c r="S2305" i="1" s="1"/>
  <c r="S2306" i="1" s="1"/>
  <c r="S2307" i="1" s="1"/>
  <c r="S2308" i="1" s="1"/>
  <c r="S2309" i="1" s="1"/>
  <c r="S2310" i="1" s="1"/>
  <c r="S2311" i="1" s="1"/>
  <c r="S2312" i="1" s="1"/>
  <c r="S2313" i="1" s="1"/>
  <c r="S2314" i="1" s="1"/>
  <c r="S2315" i="1" s="1"/>
  <c r="S2316" i="1" s="1"/>
  <c r="S2317" i="1" s="1"/>
  <c r="S2318" i="1" s="1"/>
  <c r="S2319" i="1" s="1"/>
  <c r="S2320" i="1" s="1"/>
  <c r="S2321" i="1" s="1"/>
  <c r="S2322" i="1" s="1"/>
  <c r="S2323" i="1" s="1"/>
  <c r="S2324" i="1" s="1"/>
  <c r="S2325" i="1" s="1"/>
  <c r="S2326" i="1" s="1"/>
  <c r="S2327" i="1" s="1"/>
  <c r="S2328" i="1" s="1"/>
  <c r="S2329" i="1" s="1"/>
  <c r="S2330" i="1" s="1"/>
  <c r="S2331" i="1" s="1"/>
  <c r="S2332" i="1" s="1"/>
  <c r="S2333" i="1" s="1"/>
  <c r="S2334" i="1" s="1"/>
  <c r="S2335" i="1" s="1"/>
  <c r="S2336" i="1" s="1"/>
  <c r="S2337" i="1" s="1"/>
  <c r="S2338" i="1" s="1"/>
  <c r="S2339" i="1" s="1"/>
  <c r="S2340" i="1" s="1"/>
  <c r="S2341" i="1" s="1"/>
  <c r="S2342" i="1" s="1"/>
  <c r="S2343" i="1" s="1"/>
  <c r="S2344" i="1" s="1"/>
  <c r="S2345" i="1" s="1"/>
  <c r="S2346" i="1" s="1"/>
  <c r="S2347" i="1" s="1"/>
  <c r="S2348" i="1" s="1"/>
  <c r="S2349" i="1" s="1"/>
  <c r="S2350" i="1" s="1"/>
  <c r="S2351" i="1" s="1"/>
  <c r="S2352" i="1" s="1"/>
  <c r="S2353" i="1" s="1"/>
  <c r="S2354" i="1" s="1"/>
  <c r="S2355" i="1" s="1"/>
  <c r="S2356" i="1" s="1"/>
  <c r="S2357" i="1" s="1"/>
  <c r="S2358" i="1" s="1"/>
  <c r="S2359" i="1" s="1"/>
  <c r="S2360" i="1" s="1"/>
  <c r="S2361" i="1" s="1"/>
  <c r="S2362" i="1" s="1"/>
  <c r="S2363" i="1" s="1"/>
  <c r="S2364" i="1" s="1"/>
  <c r="S2365" i="1" s="1"/>
  <c r="S2366" i="1" s="1"/>
  <c r="S2367" i="1" s="1"/>
  <c r="S2368" i="1" s="1"/>
  <c r="S2369" i="1" s="1"/>
  <c r="S2370" i="1" s="1"/>
  <c r="S2371" i="1" s="1"/>
  <c r="S2372" i="1" s="1"/>
  <c r="S2373" i="1" s="1"/>
  <c r="S2374" i="1" s="1"/>
  <c r="S2375" i="1" s="1"/>
  <c r="S2376" i="1" s="1"/>
  <c r="S2377" i="1" s="1"/>
  <c r="S2378" i="1" s="1"/>
  <c r="S2379" i="1" s="1"/>
  <c r="S2380" i="1" s="1"/>
  <c r="S2381" i="1" s="1"/>
  <c r="S2382" i="1" s="1"/>
  <c r="S2383" i="1" s="1"/>
  <c r="S2384" i="1" s="1"/>
  <c r="S2385" i="1" s="1"/>
  <c r="S2386" i="1" s="1"/>
  <c r="S2387" i="1" s="1"/>
  <c r="S2388" i="1" s="1"/>
  <c r="S2389" i="1" s="1"/>
  <c r="S2390" i="1" s="1"/>
  <c r="S2391" i="1" s="1"/>
  <c r="S2392" i="1" s="1"/>
  <c r="S2393" i="1" s="1"/>
  <c r="S2394" i="1" s="1"/>
  <c r="S2395" i="1" s="1"/>
  <c r="S2396" i="1" s="1"/>
  <c r="S2397" i="1" s="1"/>
  <c r="S2398" i="1" s="1"/>
  <c r="S2399" i="1" s="1"/>
  <c r="S2400" i="1" s="1"/>
  <c r="S2401" i="1" s="1"/>
  <c r="S2402" i="1" s="1"/>
  <c r="S2403" i="1" s="1"/>
  <c r="S2404" i="1" s="1"/>
  <c r="S2405" i="1" s="1"/>
  <c r="S2406" i="1" s="1"/>
  <c r="S2407" i="1" s="1"/>
  <c r="S2408" i="1" s="1"/>
  <c r="S2409" i="1" s="1"/>
  <c r="S2410" i="1" s="1"/>
  <c r="S2411" i="1" s="1"/>
  <c r="S2412" i="1" s="1"/>
  <c r="S2413" i="1" s="1"/>
  <c r="S2414" i="1" s="1"/>
  <c r="S2415" i="1" s="1"/>
  <c r="S2416" i="1" s="1"/>
  <c r="S2417" i="1" s="1"/>
  <c r="S2418" i="1" s="1"/>
  <c r="S2419" i="1" s="1"/>
  <c r="S2420" i="1" s="1"/>
  <c r="S2421" i="1" s="1"/>
  <c r="S2422" i="1" s="1"/>
  <c r="S2423" i="1" s="1"/>
  <c r="S2424" i="1" s="1"/>
  <c r="S2425" i="1" s="1"/>
  <c r="S2426" i="1" s="1"/>
  <c r="S2427" i="1" s="1"/>
  <c r="S2428" i="1" s="1"/>
  <c r="S2429" i="1" s="1"/>
  <c r="S2430" i="1" s="1"/>
  <c r="S2431" i="1" s="1"/>
  <c r="S2432" i="1" s="1"/>
  <c r="S2433" i="1" s="1"/>
  <c r="S2434" i="1" s="1"/>
  <c r="S2435" i="1" s="1"/>
  <c r="S2436" i="1" s="1"/>
  <c r="S2437" i="1" s="1"/>
  <c r="S2438" i="1" s="1"/>
  <c r="S2439" i="1" s="1"/>
  <c r="S2440" i="1" s="1"/>
  <c r="S2441" i="1" s="1"/>
  <c r="S2442" i="1" s="1"/>
  <c r="S2443" i="1" s="1"/>
  <c r="S2444" i="1" s="1"/>
  <c r="S2445" i="1" s="1"/>
  <c r="S2446" i="1" s="1"/>
  <c r="S2447" i="1" s="1"/>
  <c r="S2448" i="1" s="1"/>
  <c r="S2449" i="1" s="1"/>
  <c r="S2450" i="1" s="1"/>
  <c r="S2451" i="1" s="1"/>
  <c r="S2452" i="1" s="1"/>
  <c r="S2453" i="1" s="1"/>
  <c r="S2454" i="1" s="1"/>
  <c r="S2455" i="1" s="1"/>
  <c r="S2456" i="1" s="1"/>
  <c r="S2457" i="1" s="1"/>
  <c r="S2458" i="1" s="1"/>
  <c r="S2459" i="1" s="1"/>
  <c r="S2460" i="1" s="1"/>
  <c r="S2461" i="1" s="1"/>
  <c r="S2462" i="1" s="1"/>
  <c r="S2463" i="1" s="1"/>
  <c r="S2464" i="1" s="1"/>
  <c r="S2465" i="1" s="1"/>
  <c r="S2466" i="1" s="1"/>
  <c r="S2467" i="1" s="1"/>
  <c r="S2468" i="1" s="1"/>
  <c r="S2469" i="1" s="1"/>
  <c r="S2470" i="1" s="1"/>
  <c r="S2471" i="1" s="1"/>
  <c r="S2472" i="1" s="1"/>
  <c r="S2473" i="1" s="1"/>
  <c r="S2474" i="1" s="1"/>
  <c r="S2475" i="1" s="1"/>
  <c r="S2476" i="1" s="1"/>
  <c r="S2477" i="1" s="1"/>
  <c r="S2478" i="1" s="1"/>
  <c r="S2479" i="1" s="1"/>
  <c r="S2480" i="1" s="1"/>
  <c r="S2481" i="1" s="1"/>
  <c r="S2482" i="1" s="1"/>
  <c r="S2483" i="1" s="1"/>
  <c r="S2484" i="1" s="1"/>
  <c r="S2485" i="1" s="1"/>
  <c r="S2486" i="1" s="1"/>
  <c r="S2487" i="1" s="1"/>
  <c r="S2488" i="1" s="1"/>
  <c r="S2489" i="1" s="1"/>
  <c r="S2490" i="1" s="1"/>
  <c r="S2491" i="1" s="1"/>
  <c r="S2492" i="1" s="1"/>
  <c r="S2493" i="1" s="1"/>
  <c r="S2494" i="1" s="1"/>
  <c r="S2495" i="1" s="1"/>
  <c r="S2496" i="1" s="1"/>
  <c r="S2497" i="1" s="1"/>
  <c r="S2498" i="1" s="1"/>
  <c r="S2499" i="1" s="1"/>
  <c r="S2500" i="1" s="1"/>
  <c r="S2501" i="1" s="1"/>
  <c r="S2502" i="1" s="1"/>
  <c r="S2503" i="1" s="1"/>
  <c r="S2504" i="1" s="1"/>
  <c r="S2505" i="1" s="1"/>
  <c r="S2506" i="1" s="1"/>
  <c r="S2507" i="1" s="1"/>
  <c r="S2508" i="1" s="1"/>
  <c r="S2509" i="1" s="1"/>
  <c r="S2510" i="1" s="1"/>
  <c r="S2511" i="1" s="1"/>
  <c r="S2512" i="1" s="1"/>
  <c r="S2513" i="1" s="1"/>
  <c r="S2514" i="1" s="1"/>
  <c r="S2515" i="1" s="1"/>
  <c r="S2516" i="1" s="1"/>
  <c r="S2517" i="1" s="1"/>
  <c r="S2518" i="1" s="1"/>
  <c r="S2519" i="1" s="1"/>
  <c r="S2520" i="1" s="1"/>
  <c r="S2521" i="1" s="1"/>
  <c r="S2522" i="1" s="1"/>
  <c r="S2523" i="1" s="1"/>
  <c r="S2524" i="1" s="1"/>
  <c r="S2525" i="1" s="1"/>
  <c r="S2526" i="1" s="1"/>
  <c r="S2527" i="1" s="1"/>
  <c r="S1163" i="1"/>
  <c r="Q1164" i="1"/>
  <c r="Q1165" i="1" s="1"/>
  <c r="Q1166" i="1" s="1"/>
  <c r="Q1167" i="1" s="1"/>
  <c r="Q1168" i="1" s="1"/>
  <c r="Q1169" i="1" s="1"/>
  <c r="Q1170" i="1" s="1"/>
  <c r="Q1171" i="1" s="1"/>
  <c r="Q1172" i="1" s="1"/>
  <c r="Q1173" i="1" s="1"/>
  <c r="Q1174" i="1" s="1"/>
  <c r="Q1175" i="1" s="1"/>
  <c r="Q1176" i="1" s="1"/>
  <c r="Q1177" i="1" s="1"/>
  <c r="Q1178" i="1" s="1"/>
  <c r="Q1179" i="1" s="1"/>
  <c r="Q1180" i="1" s="1"/>
  <c r="Q1181" i="1" s="1"/>
  <c r="Q1182" i="1" s="1"/>
  <c r="Q1183" i="1" s="1"/>
  <c r="Q1184" i="1" s="1"/>
  <c r="Q1185" i="1" s="1"/>
  <c r="Q1186" i="1" s="1"/>
  <c r="Q1187" i="1" s="1"/>
  <c r="Q1188" i="1" s="1"/>
  <c r="Q1189" i="1" s="1"/>
  <c r="Q1190" i="1" s="1"/>
  <c r="Q1191" i="1" s="1"/>
  <c r="Q1192" i="1" s="1"/>
  <c r="Q1193" i="1" s="1"/>
  <c r="Q1194" i="1" s="1"/>
  <c r="Q1195" i="1" s="1"/>
  <c r="Q1196" i="1" s="1"/>
  <c r="Q1197" i="1" s="1"/>
  <c r="Q1198" i="1" s="1"/>
  <c r="Q1199" i="1" s="1"/>
  <c r="Q1200" i="1" s="1"/>
  <c r="Q1201" i="1" s="1"/>
  <c r="Q1202" i="1" s="1"/>
  <c r="Q1203" i="1" s="1"/>
  <c r="Q1204" i="1" s="1"/>
  <c r="Q1205" i="1" s="1"/>
  <c r="Q1206" i="1" s="1"/>
  <c r="Q1207" i="1" s="1"/>
  <c r="Q1208" i="1" s="1"/>
  <c r="Q1209" i="1" s="1"/>
  <c r="Q1210" i="1" s="1"/>
  <c r="Q1211" i="1" s="1"/>
  <c r="Q1212" i="1" s="1"/>
  <c r="Q1213" i="1" s="1"/>
  <c r="Q1214" i="1" s="1"/>
  <c r="Q1215" i="1" s="1"/>
  <c r="Q1216" i="1" s="1"/>
  <c r="Q1217" i="1" s="1"/>
  <c r="Q1218" i="1" s="1"/>
  <c r="Q1219" i="1" s="1"/>
  <c r="Q1220" i="1" s="1"/>
  <c r="Q1221" i="1" s="1"/>
  <c r="Q1222" i="1" s="1"/>
  <c r="Q1223" i="1" s="1"/>
  <c r="Q1224" i="1" s="1"/>
  <c r="Q1225" i="1" s="1"/>
  <c r="Q1226" i="1" s="1"/>
  <c r="Q1227" i="1" s="1"/>
  <c r="Q1228" i="1" s="1"/>
  <c r="Q1229" i="1" s="1"/>
  <c r="Q1230" i="1" s="1"/>
  <c r="Q1231" i="1" s="1"/>
  <c r="Q1232" i="1" s="1"/>
  <c r="Q1233" i="1" s="1"/>
  <c r="Q1234" i="1" s="1"/>
  <c r="Q1235" i="1" s="1"/>
  <c r="Q1236" i="1" s="1"/>
  <c r="Q1237" i="1" s="1"/>
  <c r="Q1238" i="1" s="1"/>
  <c r="Q1239" i="1" s="1"/>
  <c r="Q1240" i="1" s="1"/>
  <c r="Q1241" i="1" s="1"/>
  <c r="Q1242" i="1" s="1"/>
  <c r="Q1243" i="1" s="1"/>
  <c r="Q1244" i="1" s="1"/>
  <c r="Q1245" i="1" s="1"/>
  <c r="Q1246" i="1" s="1"/>
  <c r="Q1247" i="1" s="1"/>
  <c r="Q1248" i="1" s="1"/>
  <c r="Q1249" i="1" s="1"/>
  <c r="Q1250" i="1" s="1"/>
  <c r="Q1251" i="1" s="1"/>
  <c r="Q1252" i="1" s="1"/>
  <c r="Q1253" i="1" s="1"/>
  <c r="Q1254" i="1" s="1"/>
  <c r="Q1255" i="1" s="1"/>
  <c r="Q1256" i="1" s="1"/>
  <c r="Q1257" i="1" s="1"/>
  <c r="Q1258" i="1" s="1"/>
  <c r="Q1259" i="1" s="1"/>
  <c r="Q1260" i="1" s="1"/>
  <c r="Q1261" i="1" s="1"/>
  <c r="Q1262" i="1" s="1"/>
  <c r="Q1263" i="1" s="1"/>
  <c r="Q1264" i="1" s="1"/>
  <c r="Q1265" i="1" s="1"/>
  <c r="Q1266" i="1" s="1"/>
  <c r="Q1267" i="1" s="1"/>
  <c r="Q1268" i="1" s="1"/>
  <c r="Q1269" i="1" s="1"/>
  <c r="Q1270" i="1" s="1"/>
  <c r="Q1271" i="1" s="1"/>
  <c r="Q1272" i="1" s="1"/>
  <c r="Q1273" i="1" s="1"/>
  <c r="Q1274" i="1" s="1"/>
  <c r="Q1275" i="1" s="1"/>
  <c r="Q1276" i="1" s="1"/>
  <c r="Q1277" i="1" s="1"/>
  <c r="Q1278" i="1" s="1"/>
  <c r="Q1279" i="1" s="1"/>
  <c r="Q1280" i="1" s="1"/>
  <c r="Q1281" i="1" s="1"/>
  <c r="Q1282" i="1" s="1"/>
  <c r="Q1283" i="1" s="1"/>
  <c r="Q1284" i="1" s="1"/>
  <c r="Q1285" i="1" s="1"/>
  <c r="Q1286" i="1" s="1"/>
  <c r="Q1287" i="1" s="1"/>
  <c r="Q1288" i="1" s="1"/>
  <c r="Q1289" i="1" s="1"/>
  <c r="Q1290" i="1" s="1"/>
  <c r="Q1291" i="1" s="1"/>
  <c r="Q1292" i="1" s="1"/>
  <c r="Q1293" i="1" s="1"/>
  <c r="Q1294" i="1" s="1"/>
  <c r="Q1295" i="1" s="1"/>
  <c r="Q1296" i="1" s="1"/>
  <c r="Q1297" i="1" s="1"/>
  <c r="Q1298" i="1" s="1"/>
  <c r="Q1299" i="1" s="1"/>
  <c r="Q1300" i="1" s="1"/>
  <c r="Q1301" i="1" s="1"/>
  <c r="Q1302" i="1" s="1"/>
  <c r="Q1303" i="1" s="1"/>
  <c r="Q1304" i="1" s="1"/>
  <c r="Q1305" i="1" s="1"/>
  <c r="Q1306" i="1" s="1"/>
  <c r="Q1307" i="1" s="1"/>
  <c r="Q1308" i="1" s="1"/>
  <c r="Q1309" i="1" s="1"/>
  <c r="Q1310" i="1" s="1"/>
  <c r="Q1311" i="1" s="1"/>
  <c r="Q1312" i="1" s="1"/>
  <c r="Q1313" i="1" s="1"/>
  <c r="Q1314" i="1" s="1"/>
  <c r="Q1315" i="1" s="1"/>
  <c r="Q1316" i="1" s="1"/>
  <c r="Q1317" i="1" s="1"/>
  <c r="Q1318" i="1" s="1"/>
  <c r="Q1319" i="1" s="1"/>
  <c r="Q1320" i="1" s="1"/>
  <c r="Q1321" i="1" s="1"/>
  <c r="Q1322" i="1" s="1"/>
  <c r="Q1323" i="1" s="1"/>
  <c r="Q1324" i="1" s="1"/>
  <c r="Q1325" i="1" s="1"/>
  <c r="Q1326" i="1" s="1"/>
  <c r="Q1327" i="1" s="1"/>
  <c r="Q1328" i="1" s="1"/>
  <c r="Q1329" i="1" s="1"/>
  <c r="Q1330" i="1" s="1"/>
  <c r="Q1331" i="1" s="1"/>
  <c r="Q1332" i="1" s="1"/>
  <c r="Q1333" i="1" s="1"/>
  <c r="Q1334" i="1" s="1"/>
  <c r="Q1335" i="1" s="1"/>
  <c r="Q1336" i="1" s="1"/>
  <c r="Q1337" i="1" s="1"/>
  <c r="Q1338" i="1" s="1"/>
  <c r="Q1339" i="1" s="1"/>
  <c r="Q1340" i="1" s="1"/>
  <c r="Q1341" i="1" s="1"/>
  <c r="Q1342" i="1" s="1"/>
  <c r="Q1343" i="1" s="1"/>
  <c r="Q1344" i="1" s="1"/>
  <c r="Q1345" i="1" s="1"/>
  <c r="Q1346" i="1" s="1"/>
  <c r="Q1347" i="1" s="1"/>
  <c r="Q1348" i="1" s="1"/>
  <c r="Q1349" i="1" s="1"/>
  <c r="Q1350" i="1" s="1"/>
  <c r="Q1351" i="1" s="1"/>
  <c r="Q1352" i="1" s="1"/>
  <c r="Q1353" i="1" s="1"/>
  <c r="Q1354" i="1" s="1"/>
  <c r="Q1355" i="1" s="1"/>
  <c r="Q1356" i="1" s="1"/>
  <c r="Q1357" i="1" s="1"/>
  <c r="Q1358" i="1" s="1"/>
  <c r="Q1359" i="1" s="1"/>
  <c r="Q1360" i="1" s="1"/>
  <c r="Q1361" i="1" s="1"/>
  <c r="Q1362" i="1" s="1"/>
  <c r="Q1363" i="1" s="1"/>
  <c r="Q1364" i="1" s="1"/>
  <c r="Q1365" i="1" s="1"/>
  <c r="Q1366" i="1" s="1"/>
  <c r="Q1367" i="1" s="1"/>
  <c r="Q1368" i="1" s="1"/>
  <c r="Q1369" i="1" s="1"/>
  <c r="Q1370" i="1" s="1"/>
  <c r="Q1371" i="1" s="1"/>
  <c r="Q1372" i="1" s="1"/>
  <c r="Q1373" i="1" s="1"/>
  <c r="Q1374" i="1" s="1"/>
  <c r="Q1375" i="1" s="1"/>
  <c r="Q1376" i="1" s="1"/>
  <c r="Q1377" i="1" s="1"/>
  <c r="Q1378" i="1" s="1"/>
  <c r="Q1379" i="1" s="1"/>
  <c r="Q1380" i="1" s="1"/>
  <c r="Q1381" i="1" s="1"/>
  <c r="Q1382" i="1" s="1"/>
  <c r="Q1383" i="1" s="1"/>
  <c r="Q1384" i="1" s="1"/>
  <c r="Q1385" i="1" s="1"/>
  <c r="Q1386" i="1" s="1"/>
  <c r="Q1387" i="1" s="1"/>
  <c r="Q1388" i="1" s="1"/>
  <c r="Q1389" i="1" s="1"/>
  <c r="Q1390" i="1" s="1"/>
  <c r="Q1391" i="1" s="1"/>
  <c r="Q1392" i="1" s="1"/>
  <c r="Q1393" i="1" s="1"/>
  <c r="Q1394" i="1" s="1"/>
  <c r="Q1395" i="1" s="1"/>
  <c r="Q1396" i="1" s="1"/>
  <c r="Q1397" i="1" s="1"/>
  <c r="Q1398" i="1" s="1"/>
  <c r="Q1399" i="1" s="1"/>
  <c r="Q1400" i="1" s="1"/>
  <c r="Q1401" i="1" s="1"/>
  <c r="Q1402" i="1" s="1"/>
  <c r="Q1403" i="1" s="1"/>
  <c r="Q1404" i="1" s="1"/>
  <c r="Q1405" i="1" s="1"/>
  <c r="Q1406" i="1" s="1"/>
  <c r="Q1407" i="1" s="1"/>
  <c r="Q1408" i="1" s="1"/>
  <c r="Q1409" i="1" s="1"/>
  <c r="Q1410" i="1" s="1"/>
  <c r="Q1411" i="1" s="1"/>
  <c r="Q1412" i="1" s="1"/>
  <c r="Q1413" i="1" s="1"/>
  <c r="Q1414" i="1" s="1"/>
  <c r="Q1415" i="1" s="1"/>
  <c r="Q1416" i="1" s="1"/>
  <c r="Q1417" i="1" s="1"/>
  <c r="Q1418" i="1" s="1"/>
  <c r="Q1419" i="1" s="1"/>
  <c r="Q1420" i="1" s="1"/>
  <c r="Q1421" i="1" s="1"/>
  <c r="Q1422" i="1" s="1"/>
  <c r="Q1423" i="1" s="1"/>
  <c r="Q1424" i="1" s="1"/>
  <c r="Q1425" i="1" s="1"/>
  <c r="Q1426" i="1" s="1"/>
  <c r="Q1427" i="1" s="1"/>
  <c r="Q1428" i="1" s="1"/>
  <c r="Q1429" i="1" s="1"/>
  <c r="Q1430" i="1" s="1"/>
  <c r="Q1431" i="1" s="1"/>
  <c r="Q1432" i="1" s="1"/>
  <c r="Q1433" i="1" s="1"/>
  <c r="Q1434" i="1" s="1"/>
  <c r="Q1435" i="1" s="1"/>
  <c r="Q1436" i="1" s="1"/>
  <c r="Q1437" i="1" s="1"/>
  <c r="Q1438" i="1" s="1"/>
  <c r="Q1439" i="1" s="1"/>
  <c r="Q1440" i="1" s="1"/>
  <c r="Q1441" i="1" s="1"/>
  <c r="Q1442" i="1" s="1"/>
  <c r="Q1443" i="1" s="1"/>
  <c r="Q1444" i="1" s="1"/>
  <c r="Q1445" i="1" s="1"/>
  <c r="Q1446" i="1" s="1"/>
  <c r="Q1447" i="1" s="1"/>
  <c r="Q1448" i="1" s="1"/>
  <c r="Q1449" i="1" s="1"/>
  <c r="Q1450" i="1" s="1"/>
  <c r="Q1451" i="1" s="1"/>
  <c r="Q1452" i="1" s="1"/>
  <c r="Q1453" i="1" s="1"/>
  <c r="Q1454" i="1" s="1"/>
  <c r="Q1455" i="1" s="1"/>
  <c r="Q1456" i="1" s="1"/>
  <c r="Q1457" i="1" s="1"/>
  <c r="Q1458" i="1" s="1"/>
  <c r="Q1459" i="1" s="1"/>
  <c r="Q1460" i="1" s="1"/>
  <c r="Q1461" i="1" s="1"/>
  <c r="Q1462" i="1" s="1"/>
  <c r="Q1463" i="1" s="1"/>
  <c r="Q1464" i="1" s="1"/>
  <c r="Q1465" i="1" s="1"/>
  <c r="Q1466" i="1" s="1"/>
  <c r="Q1467" i="1" s="1"/>
  <c r="Q1468" i="1" s="1"/>
  <c r="Q1469" i="1" s="1"/>
  <c r="Q1470" i="1" s="1"/>
  <c r="Q1471" i="1" s="1"/>
  <c r="Q1472" i="1" s="1"/>
  <c r="Q1473" i="1" s="1"/>
  <c r="Q1474" i="1" s="1"/>
  <c r="Q1475" i="1" s="1"/>
  <c r="Q1476" i="1" s="1"/>
  <c r="Q1477" i="1" s="1"/>
  <c r="Q1478" i="1" s="1"/>
  <c r="Q1479" i="1" s="1"/>
  <c r="Q1480" i="1" s="1"/>
  <c r="Q1481" i="1" s="1"/>
  <c r="Q1482" i="1" s="1"/>
  <c r="Q1483" i="1" s="1"/>
  <c r="Q1484" i="1" s="1"/>
  <c r="Q1485" i="1" s="1"/>
  <c r="Q1486" i="1" s="1"/>
  <c r="Q1487" i="1" s="1"/>
  <c r="Q1488" i="1" s="1"/>
  <c r="Q1489" i="1" s="1"/>
  <c r="Q1490" i="1" s="1"/>
  <c r="Q1491" i="1" s="1"/>
  <c r="Q1492" i="1" s="1"/>
  <c r="Q1493" i="1" s="1"/>
  <c r="Q1494" i="1" s="1"/>
  <c r="Q1495" i="1" s="1"/>
  <c r="Q1496" i="1" s="1"/>
  <c r="Q1497" i="1" s="1"/>
  <c r="Q1498" i="1" s="1"/>
  <c r="Q1499" i="1" s="1"/>
  <c r="Q1500" i="1" s="1"/>
  <c r="Q1501" i="1" s="1"/>
  <c r="Q1502" i="1" s="1"/>
  <c r="Q1503" i="1" s="1"/>
  <c r="Q1504" i="1" s="1"/>
  <c r="Q1505" i="1" s="1"/>
  <c r="Q1506" i="1" s="1"/>
  <c r="Q1507" i="1" s="1"/>
  <c r="Q1508" i="1" s="1"/>
  <c r="Q1509" i="1" s="1"/>
  <c r="Q1510" i="1" s="1"/>
  <c r="Q1511" i="1" s="1"/>
  <c r="Q1512" i="1" s="1"/>
  <c r="Q1513" i="1" s="1"/>
  <c r="Q1514" i="1" s="1"/>
  <c r="Q1515" i="1" s="1"/>
  <c r="Q1516" i="1" s="1"/>
  <c r="Q1517" i="1" s="1"/>
  <c r="Q1518" i="1" s="1"/>
  <c r="Q1519" i="1" s="1"/>
  <c r="Q1520" i="1" s="1"/>
  <c r="Q1521" i="1" s="1"/>
  <c r="Q1522" i="1" s="1"/>
  <c r="Q1523" i="1" s="1"/>
  <c r="Q1524" i="1" s="1"/>
  <c r="Q1525" i="1" s="1"/>
  <c r="Q1526" i="1" s="1"/>
  <c r="Q1527" i="1" s="1"/>
  <c r="Q1528" i="1" s="1"/>
  <c r="Q1529" i="1" s="1"/>
  <c r="Q1530" i="1" s="1"/>
  <c r="Q1531" i="1" s="1"/>
  <c r="Q1532" i="1" s="1"/>
  <c r="Q1533" i="1" s="1"/>
  <c r="Q1534" i="1" s="1"/>
  <c r="Q1535" i="1" s="1"/>
  <c r="Q1536" i="1" s="1"/>
  <c r="Q1537" i="1" s="1"/>
  <c r="Q1538" i="1" s="1"/>
  <c r="Q1539" i="1" s="1"/>
  <c r="Q1540" i="1" s="1"/>
  <c r="Q1541" i="1" s="1"/>
  <c r="Q1542" i="1" s="1"/>
  <c r="Q1543" i="1" s="1"/>
  <c r="Q1544" i="1" s="1"/>
  <c r="Q1545" i="1" s="1"/>
  <c r="Q1546" i="1" s="1"/>
  <c r="Q1547" i="1" s="1"/>
  <c r="Q1548" i="1" s="1"/>
  <c r="Q1549" i="1" s="1"/>
  <c r="Q1550" i="1" s="1"/>
  <c r="Q1551" i="1" s="1"/>
  <c r="Q1552" i="1" s="1"/>
  <c r="Q1553" i="1" s="1"/>
  <c r="Q1554" i="1" s="1"/>
  <c r="Q1555" i="1" s="1"/>
  <c r="Q1556" i="1" s="1"/>
  <c r="Q1557" i="1" s="1"/>
  <c r="Q1558" i="1" s="1"/>
  <c r="Q1559" i="1" s="1"/>
  <c r="Q1560" i="1" s="1"/>
  <c r="Q1561" i="1" s="1"/>
  <c r="Q1562" i="1" s="1"/>
  <c r="Q1563" i="1" s="1"/>
  <c r="Q1564" i="1" s="1"/>
  <c r="Q1565" i="1" s="1"/>
  <c r="Q1566" i="1" s="1"/>
  <c r="Q1567" i="1" s="1"/>
  <c r="Q1568" i="1" s="1"/>
  <c r="Q1569" i="1" s="1"/>
  <c r="Q1570" i="1" s="1"/>
  <c r="Q1571" i="1" s="1"/>
  <c r="Q1572" i="1" s="1"/>
  <c r="Q1573" i="1" s="1"/>
  <c r="Q1574" i="1" s="1"/>
  <c r="Q1575" i="1" s="1"/>
  <c r="Q1576" i="1" s="1"/>
  <c r="Q1577" i="1" s="1"/>
  <c r="Q1578" i="1" s="1"/>
  <c r="Q1579" i="1" s="1"/>
  <c r="Q1580" i="1" s="1"/>
  <c r="Q1581" i="1" s="1"/>
  <c r="Q1582" i="1" s="1"/>
  <c r="Q1583" i="1" s="1"/>
  <c r="Q1584" i="1" s="1"/>
  <c r="Q1585" i="1" s="1"/>
  <c r="Q1586" i="1" s="1"/>
  <c r="Q1587" i="1" s="1"/>
  <c r="Q1588" i="1" s="1"/>
  <c r="Q1589" i="1" s="1"/>
  <c r="Q1590" i="1" s="1"/>
  <c r="Q1591" i="1" s="1"/>
  <c r="Q1592" i="1" s="1"/>
  <c r="Q1593" i="1" s="1"/>
  <c r="Q1594" i="1" s="1"/>
  <c r="Q1595" i="1" s="1"/>
  <c r="Q1596" i="1" s="1"/>
  <c r="Q1597" i="1" s="1"/>
  <c r="Q1598" i="1" s="1"/>
  <c r="Q1599" i="1" s="1"/>
  <c r="Q1600" i="1" s="1"/>
  <c r="Q1601" i="1" s="1"/>
  <c r="Q1602" i="1" s="1"/>
  <c r="Q1603" i="1" s="1"/>
  <c r="Q1604" i="1" s="1"/>
  <c r="Q1605" i="1" s="1"/>
  <c r="Q1606" i="1" s="1"/>
  <c r="Q1607" i="1" s="1"/>
  <c r="Q1608" i="1" s="1"/>
  <c r="Q1609" i="1" s="1"/>
  <c r="Q1610" i="1" s="1"/>
  <c r="Q1611" i="1" s="1"/>
  <c r="Q1612" i="1" s="1"/>
  <c r="Q1613" i="1" s="1"/>
  <c r="Q1614" i="1" s="1"/>
  <c r="Q1615" i="1" s="1"/>
  <c r="Q1616" i="1" s="1"/>
  <c r="Q1617" i="1" s="1"/>
  <c r="Q1618" i="1" s="1"/>
  <c r="Q1619" i="1" s="1"/>
  <c r="Q1620" i="1" s="1"/>
  <c r="Q1621" i="1" s="1"/>
  <c r="Q1622" i="1" s="1"/>
  <c r="Q1623" i="1" s="1"/>
  <c r="Q1624" i="1" s="1"/>
  <c r="Q1625" i="1" s="1"/>
  <c r="Q1626" i="1" s="1"/>
  <c r="Q1627" i="1" s="1"/>
  <c r="Q1628" i="1" s="1"/>
  <c r="Q1629" i="1" s="1"/>
  <c r="Q1630" i="1" s="1"/>
  <c r="Q1631" i="1" s="1"/>
  <c r="Q1632" i="1" s="1"/>
  <c r="Q1633" i="1" s="1"/>
  <c r="Q1634" i="1" s="1"/>
  <c r="Q1635" i="1" s="1"/>
  <c r="Q1636" i="1" s="1"/>
  <c r="Q1637" i="1" s="1"/>
  <c r="Q1638" i="1" s="1"/>
  <c r="Q1639" i="1" s="1"/>
  <c r="Q1640" i="1" s="1"/>
  <c r="Q1641" i="1" s="1"/>
  <c r="Q1642" i="1" s="1"/>
  <c r="Q1643" i="1" s="1"/>
  <c r="Q1644" i="1" s="1"/>
  <c r="Q1645" i="1" s="1"/>
  <c r="Q1646" i="1" s="1"/>
  <c r="Q1647" i="1" s="1"/>
  <c r="Q1648" i="1" s="1"/>
  <c r="Q1649" i="1" s="1"/>
  <c r="Q1650" i="1" s="1"/>
  <c r="Q1651" i="1" s="1"/>
  <c r="Q1652" i="1" s="1"/>
  <c r="Q1653" i="1" s="1"/>
  <c r="Q1654" i="1" s="1"/>
  <c r="Q1655" i="1" s="1"/>
  <c r="Q1656" i="1" s="1"/>
  <c r="Q1657" i="1" s="1"/>
  <c r="Q1658" i="1" s="1"/>
  <c r="Q1659" i="1" s="1"/>
  <c r="Q1660" i="1" s="1"/>
  <c r="Q1661" i="1" s="1"/>
  <c r="Q1662" i="1" s="1"/>
  <c r="Q1663" i="1" s="1"/>
  <c r="Q1664" i="1" s="1"/>
  <c r="Q1665" i="1" s="1"/>
  <c r="Q1666" i="1" s="1"/>
  <c r="Q1667" i="1" s="1"/>
  <c r="Q1668" i="1" s="1"/>
  <c r="Q1669" i="1" s="1"/>
  <c r="Q1670" i="1" s="1"/>
  <c r="Q1671" i="1" s="1"/>
  <c r="Q1672" i="1" s="1"/>
  <c r="Q1673" i="1" s="1"/>
  <c r="Q1674" i="1" s="1"/>
  <c r="Q1675" i="1" s="1"/>
  <c r="Q1676" i="1" s="1"/>
  <c r="Q1677" i="1" s="1"/>
  <c r="Q1678" i="1" s="1"/>
  <c r="Q1679" i="1" s="1"/>
  <c r="Q1680" i="1" s="1"/>
  <c r="Q1681" i="1" s="1"/>
  <c r="Q1682" i="1" s="1"/>
  <c r="Q1683" i="1" s="1"/>
  <c r="Q1684" i="1" s="1"/>
  <c r="Q1685" i="1" s="1"/>
  <c r="Q1686" i="1" s="1"/>
  <c r="Q1687" i="1" s="1"/>
  <c r="Q1688" i="1" s="1"/>
  <c r="Q1689" i="1" s="1"/>
  <c r="Q1690" i="1" s="1"/>
  <c r="Q1691" i="1" s="1"/>
  <c r="Q1692" i="1" s="1"/>
  <c r="Q1693" i="1" s="1"/>
  <c r="Q1694" i="1" s="1"/>
  <c r="Q1695" i="1" s="1"/>
  <c r="Q1696" i="1" s="1"/>
  <c r="Q1697" i="1" s="1"/>
  <c r="Q1698" i="1" s="1"/>
  <c r="Q1699" i="1" s="1"/>
  <c r="Q1700" i="1" s="1"/>
  <c r="Q1701" i="1" s="1"/>
  <c r="Q1702" i="1" s="1"/>
  <c r="Q1703" i="1" s="1"/>
  <c r="Q1704" i="1" s="1"/>
  <c r="Q1705" i="1" s="1"/>
  <c r="Q1706" i="1" s="1"/>
  <c r="Q1707" i="1" s="1"/>
  <c r="Q1708" i="1" s="1"/>
  <c r="Q1709" i="1" s="1"/>
  <c r="Q1710" i="1" s="1"/>
  <c r="Q1711" i="1" s="1"/>
  <c r="Q1712" i="1" s="1"/>
  <c r="Q1713" i="1" s="1"/>
  <c r="Q1714" i="1" s="1"/>
  <c r="Q1715" i="1" s="1"/>
  <c r="Q1716" i="1" s="1"/>
  <c r="Q1717" i="1" s="1"/>
  <c r="Q1718" i="1" s="1"/>
  <c r="Q1719" i="1" s="1"/>
  <c r="Q1720" i="1" s="1"/>
  <c r="Q1721" i="1" s="1"/>
  <c r="Q1722" i="1" s="1"/>
  <c r="Q1723" i="1" s="1"/>
  <c r="Q1724" i="1" s="1"/>
  <c r="Q1725" i="1" s="1"/>
  <c r="Q1726" i="1" s="1"/>
  <c r="Q1727" i="1" s="1"/>
  <c r="Q1728" i="1" s="1"/>
  <c r="Q1729" i="1" s="1"/>
  <c r="Q1730" i="1" s="1"/>
  <c r="Q1731" i="1" s="1"/>
  <c r="Q1732" i="1" s="1"/>
  <c r="Q1733" i="1" s="1"/>
  <c r="Q1734" i="1" s="1"/>
  <c r="Q1735" i="1" s="1"/>
  <c r="Q1736" i="1" s="1"/>
  <c r="Q1737" i="1" s="1"/>
  <c r="Q1738" i="1" s="1"/>
  <c r="Q1739" i="1" s="1"/>
  <c r="Q1740" i="1" s="1"/>
  <c r="Q1741" i="1" s="1"/>
  <c r="Q1742" i="1" s="1"/>
  <c r="Q1743" i="1" s="1"/>
  <c r="Q1744" i="1" s="1"/>
  <c r="Q1745" i="1" s="1"/>
  <c r="Q1746" i="1" s="1"/>
  <c r="Q1747" i="1" s="1"/>
  <c r="Q1748" i="1" s="1"/>
  <c r="Q1749" i="1" s="1"/>
  <c r="Q1750" i="1" s="1"/>
  <c r="Q1751" i="1" s="1"/>
  <c r="Q1752" i="1" s="1"/>
  <c r="Q1753" i="1" s="1"/>
  <c r="Q1754" i="1" s="1"/>
  <c r="Q1755" i="1" s="1"/>
  <c r="Q1756" i="1" s="1"/>
  <c r="Q1757" i="1" s="1"/>
  <c r="Q1758" i="1" s="1"/>
  <c r="Q1759" i="1" s="1"/>
  <c r="Q1760" i="1" s="1"/>
  <c r="Q1761" i="1" s="1"/>
  <c r="Q1762" i="1" s="1"/>
  <c r="Q1763" i="1" s="1"/>
  <c r="Q1764" i="1" s="1"/>
  <c r="Q1765" i="1" s="1"/>
  <c r="Q1766" i="1" s="1"/>
  <c r="Q1767" i="1" s="1"/>
  <c r="Q1768" i="1" s="1"/>
  <c r="Q1769" i="1" s="1"/>
  <c r="Q1770" i="1" s="1"/>
  <c r="Q1771" i="1" s="1"/>
  <c r="Q1772" i="1" s="1"/>
  <c r="Q1773" i="1" s="1"/>
  <c r="Q1774" i="1" s="1"/>
  <c r="Q1775" i="1" s="1"/>
  <c r="Q1776" i="1" s="1"/>
  <c r="Q1777" i="1" s="1"/>
  <c r="Q1778" i="1" s="1"/>
  <c r="Q1779" i="1" s="1"/>
  <c r="Q1780" i="1" s="1"/>
  <c r="Q1781" i="1" s="1"/>
  <c r="Q1782" i="1" s="1"/>
  <c r="Q1783" i="1" s="1"/>
  <c r="Q1784" i="1" s="1"/>
  <c r="Q1785" i="1" s="1"/>
  <c r="Q1786" i="1" s="1"/>
  <c r="Q1787" i="1" s="1"/>
  <c r="Q1788" i="1" s="1"/>
  <c r="Q1789" i="1" s="1"/>
  <c r="Q1790" i="1" s="1"/>
  <c r="Q1791" i="1" s="1"/>
  <c r="Q1792" i="1" s="1"/>
  <c r="Q1793" i="1" s="1"/>
  <c r="Q1794" i="1" s="1"/>
  <c r="Q1795" i="1" s="1"/>
  <c r="Q1796" i="1" s="1"/>
  <c r="Q1797" i="1" s="1"/>
  <c r="Q1798" i="1" s="1"/>
  <c r="Q1799" i="1" s="1"/>
  <c r="Q1800" i="1" s="1"/>
  <c r="Q1801" i="1" s="1"/>
  <c r="Q1802" i="1" s="1"/>
  <c r="Q1803" i="1" s="1"/>
  <c r="Q1804" i="1" s="1"/>
  <c r="Q1805" i="1" s="1"/>
  <c r="Q1806" i="1" s="1"/>
  <c r="Q1807" i="1" s="1"/>
  <c r="Q1808" i="1" s="1"/>
  <c r="Q1809" i="1" s="1"/>
  <c r="Q1810" i="1" s="1"/>
  <c r="Q1811" i="1" s="1"/>
  <c r="Q1812" i="1" s="1"/>
  <c r="Q1813" i="1" s="1"/>
  <c r="Q1814" i="1" s="1"/>
  <c r="Q1815" i="1" s="1"/>
  <c r="Q1816" i="1" s="1"/>
  <c r="Q1817" i="1" s="1"/>
  <c r="Q1818" i="1" s="1"/>
  <c r="Q1819" i="1" s="1"/>
  <c r="Q1820" i="1" s="1"/>
  <c r="Q1821" i="1" s="1"/>
  <c r="Q1822" i="1" s="1"/>
  <c r="Q1823" i="1" s="1"/>
  <c r="Q1824" i="1" s="1"/>
  <c r="Q1825" i="1" s="1"/>
  <c r="Q1826" i="1" s="1"/>
  <c r="Q1827" i="1" s="1"/>
  <c r="Q1828" i="1" s="1"/>
  <c r="Q1829" i="1" s="1"/>
  <c r="Q1830" i="1" s="1"/>
  <c r="Q1831" i="1" s="1"/>
  <c r="Q1832" i="1" s="1"/>
  <c r="Q1833" i="1" s="1"/>
  <c r="Q1834" i="1" s="1"/>
  <c r="Q1835" i="1" s="1"/>
  <c r="Q1836" i="1" s="1"/>
  <c r="Q1837" i="1" s="1"/>
  <c r="Q1838" i="1" s="1"/>
  <c r="Q1839" i="1" s="1"/>
  <c r="Q1840" i="1" s="1"/>
  <c r="Q1841" i="1" s="1"/>
  <c r="Q1842" i="1" s="1"/>
  <c r="Q1843" i="1" s="1"/>
  <c r="Q1844" i="1" s="1"/>
  <c r="Q1845" i="1" s="1"/>
  <c r="Q1846" i="1" s="1"/>
  <c r="Q1847" i="1" s="1"/>
  <c r="Q1848" i="1" s="1"/>
  <c r="Q1849" i="1" s="1"/>
  <c r="Q1850" i="1" s="1"/>
  <c r="Q1851" i="1" s="1"/>
  <c r="Q1852" i="1" s="1"/>
  <c r="Q1853" i="1" s="1"/>
  <c r="Q1854" i="1" s="1"/>
  <c r="Q1855" i="1" s="1"/>
  <c r="Q1856" i="1" s="1"/>
  <c r="Q1857" i="1" s="1"/>
  <c r="Q1858" i="1" s="1"/>
  <c r="Q1859" i="1" s="1"/>
  <c r="Q1860" i="1" s="1"/>
  <c r="Q1861" i="1" s="1"/>
  <c r="Q1862" i="1" s="1"/>
  <c r="Q1863" i="1" s="1"/>
  <c r="Q1864" i="1" s="1"/>
  <c r="Q1865" i="1" s="1"/>
  <c r="Q1866" i="1" s="1"/>
  <c r="Q1867" i="1" s="1"/>
  <c r="Q1868" i="1" s="1"/>
  <c r="Q1869" i="1" s="1"/>
  <c r="Q1870" i="1" s="1"/>
  <c r="Q1871" i="1" s="1"/>
  <c r="Q1872" i="1" s="1"/>
  <c r="Q1873" i="1" s="1"/>
  <c r="Q1874" i="1" s="1"/>
  <c r="Q1875" i="1" s="1"/>
  <c r="Q1876" i="1" s="1"/>
  <c r="Q1877" i="1" s="1"/>
  <c r="Q1878" i="1" s="1"/>
  <c r="Q1879" i="1" s="1"/>
  <c r="Q1880" i="1" s="1"/>
  <c r="Q1881" i="1" s="1"/>
  <c r="Q1882" i="1" s="1"/>
  <c r="Q1883" i="1" s="1"/>
  <c r="Q1884" i="1" s="1"/>
  <c r="Q1885" i="1" s="1"/>
  <c r="Q1886" i="1" s="1"/>
  <c r="Q1887" i="1" s="1"/>
  <c r="Q1888" i="1" s="1"/>
  <c r="Q1889" i="1" s="1"/>
  <c r="Q1890" i="1" s="1"/>
  <c r="Q1891" i="1" s="1"/>
  <c r="Q1892" i="1" s="1"/>
  <c r="Q1893" i="1" s="1"/>
  <c r="Q1894" i="1" s="1"/>
  <c r="Q1895" i="1" s="1"/>
  <c r="Q1896" i="1" s="1"/>
  <c r="Q1897" i="1" s="1"/>
  <c r="Q1898" i="1" s="1"/>
  <c r="Q1899" i="1" s="1"/>
  <c r="Q1900" i="1" s="1"/>
  <c r="Q1901" i="1" s="1"/>
  <c r="Q1902" i="1" s="1"/>
  <c r="Q1903" i="1" s="1"/>
  <c r="Q1904" i="1" s="1"/>
  <c r="Q1905" i="1" s="1"/>
  <c r="Q1906" i="1" s="1"/>
  <c r="Q1907" i="1" s="1"/>
  <c r="Q1908" i="1" s="1"/>
  <c r="Q1909" i="1" s="1"/>
  <c r="Q1910" i="1" s="1"/>
  <c r="Q1911" i="1" s="1"/>
  <c r="Q1912" i="1" s="1"/>
  <c r="Q1913" i="1" s="1"/>
  <c r="Q1914" i="1" s="1"/>
  <c r="Q1915" i="1" s="1"/>
  <c r="Q1916" i="1" s="1"/>
  <c r="Q1917" i="1" s="1"/>
  <c r="Q1918" i="1" s="1"/>
  <c r="Q1919" i="1" s="1"/>
  <c r="Q1920" i="1" s="1"/>
  <c r="Q1921" i="1" s="1"/>
  <c r="Q1922" i="1" s="1"/>
  <c r="Q1923" i="1" s="1"/>
  <c r="Q1924" i="1" s="1"/>
  <c r="Q1925" i="1" s="1"/>
  <c r="Q1926" i="1" s="1"/>
  <c r="Q1927" i="1" s="1"/>
  <c r="Q1928" i="1" s="1"/>
  <c r="Q1929" i="1" s="1"/>
  <c r="Q1930" i="1" s="1"/>
  <c r="Q1931" i="1" s="1"/>
  <c r="Q1932" i="1" s="1"/>
  <c r="Q1933" i="1" s="1"/>
  <c r="Q1934" i="1" s="1"/>
  <c r="Q1935" i="1" s="1"/>
  <c r="Q1936" i="1" s="1"/>
  <c r="Q1937" i="1" s="1"/>
  <c r="Q1938" i="1" s="1"/>
  <c r="Q1939" i="1" s="1"/>
  <c r="Q1940" i="1" s="1"/>
  <c r="Q1941" i="1" s="1"/>
  <c r="Q1942" i="1" s="1"/>
  <c r="Q1943" i="1" s="1"/>
  <c r="Q1944" i="1" s="1"/>
  <c r="Q1945" i="1" s="1"/>
  <c r="Q1946" i="1" s="1"/>
  <c r="Q1947" i="1" s="1"/>
  <c r="Q1948" i="1" s="1"/>
  <c r="Q1949" i="1" s="1"/>
  <c r="Q1950" i="1" s="1"/>
  <c r="Q1951" i="1" s="1"/>
  <c r="Q1952" i="1" s="1"/>
  <c r="Q1953" i="1" s="1"/>
  <c r="Q1954" i="1" s="1"/>
  <c r="Q1955" i="1" s="1"/>
  <c r="Q1956" i="1" s="1"/>
  <c r="Q1957" i="1" s="1"/>
  <c r="Q1958" i="1" s="1"/>
  <c r="Q1959" i="1" s="1"/>
  <c r="Q1960" i="1" s="1"/>
  <c r="Q1961" i="1" s="1"/>
  <c r="Q1962" i="1" s="1"/>
  <c r="Q1963" i="1" s="1"/>
  <c r="Q1964" i="1" s="1"/>
  <c r="Q1965" i="1" s="1"/>
  <c r="Q1966" i="1" s="1"/>
  <c r="Q1967" i="1" s="1"/>
  <c r="Q1968" i="1" s="1"/>
  <c r="Q1969" i="1" s="1"/>
  <c r="Q1970" i="1" s="1"/>
  <c r="Q1971" i="1" s="1"/>
  <c r="Q1972" i="1" s="1"/>
  <c r="Q1973" i="1" s="1"/>
  <c r="Q1974" i="1" s="1"/>
  <c r="Q1975" i="1" s="1"/>
  <c r="Q1976" i="1" s="1"/>
  <c r="Q1977" i="1" s="1"/>
  <c r="Q1978" i="1" s="1"/>
  <c r="Q1979" i="1" s="1"/>
  <c r="Q1980" i="1" s="1"/>
  <c r="Q1981" i="1" s="1"/>
  <c r="Q1982" i="1" s="1"/>
  <c r="Q1983" i="1" s="1"/>
  <c r="Q1984" i="1" s="1"/>
  <c r="Q1985" i="1" s="1"/>
  <c r="Q1986" i="1" s="1"/>
  <c r="Q1987" i="1" s="1"/>
  <c r="Q1988" i="1" s="1"/>
  <c r="Q1989" i="1" s="1"/>
  <c r="Q1990" i="1" s="1"/>
  <c r="Q1991" i="1" s="1"/>
  <c r="Q1992" i="1" s="1"/>
  <c r="Q1993" i="1" s="1"/>
  <c r="Q1994" i="1" s="1"/>
  <c r="Q1995" i="1" s="1"/>
  <c r="Q1996" i="1" s="1"/>
  <c r="Q1997" i="1" s="1"/>
  <c r="Q1998" i="1" s="1"/>
  <c r="Q1999" i="1" s="1"/>
  <c r="Q2000" i="1" s="1"/>
  <c r="Q2001" i="1" s="1"/>
  <c r="Q2002" i="1" s="1"/>
  <c r="Q2003" i="1" s="1"/>
  <c r="Q2004" i="1" s="1"/>
  <c r="Q2005" i="1" s="1"/>
  <c r="Q2006" i="1" s="1"/>
  <c r="Q2007" i="1" s="1"/>
  <c r="Q2008" i="1" s="1"/>
  <c r="Q2009" i="1" s="1"/>
  <c r="Q2010" i="1" s="1"/>
  <c r="Q2011" i="1" s="1"/>
  <c r="Q2012" i="1" s="1"/>
  <c r="Q2013" i="1" s="1"/>
  <c r="Q2014" i="1" s="1"/>
  <c r="Q2015" i="1" s="1"/>
  <c r="Q2016" i="1" s="1"/>
  <c r="Q2017" i="1" s="1"/>
  <c r="Q2018" i="1" s="1"/>
  <c r="Q2019" i="1" s="1"/>
  <c r="Q2020" i="1" s="1"/>
  <c r="Q2021" i="1" s="1"/>
  <c r="Q2022" i="1" s="1"/>
  <c r="Q2023" i="1" s="1"/>
  <c r="Q2024" i="1" s="1"/>
  <c r="Q2025" i="1" s="1"/>
  <c r="Q2026" i="1" s="1"/>
  <c r="Q2027" i="1" s="1"/>
  <c r="Q2028" i="1" s="1"/>
  <c r="Q2029" i="1" s="1"/>
  <c r="Q2030" i="1" s="1"/>
  <c r="Q2031" i="1" s="1"/>
  <c r="Q2032" i="1" s="1"/>
  <c r="Q2033" i="1" s="1"/>
  <c r="Q2034" i="1" s="1"/>
  <c r="Q2035" i="1" s="1"/>
  <c r="Q2036" i="1" s="1"/>
  <c r="Q2037" i="1" s="1"/>
  <c r="Q2038" i="1" s="1"/>
  <c r="Q2039" i="1" s="1"/>
  <c r="Q2040" i="1" s="1"/>
  <c r="Q2041" i="1" s="1"/>
  <c r="Q2042" i="1" s="1"/>
  <c r="Q2043" i="1" s="1"/>
  <c r="Q2044" i="1" s="1"/>
  <c r="Q2045" i="1" s="1"/>
  <c r="Q2046" i="1" s="1"/>
  <c r="Q2047" i="1" s="1"/>
  <c r="Q2048" i="1" s="1"/>
  <c r="Q2049" i="1" s="1"/>
  <c r="Q2050" i="1" s="1"/>
  <c r="Q2051" i="1" s="1"/>
  <c r="Q2052" i="1" s="1"/>
  <c r="Q2053" i="1" s="1"/>
  <c r="Q2054" i="1" s="1"/>
  <c r="Q2055" i="1" s="1"/>
  <c r="Q2056" i="1" s="1"/>
  <c r="Q2057" i="1" s="1"/>
  <c r="Q2058" i="1" s="1"/>
  <c r="Q2059" i="1" s="1"/>
  <c r="Q2060" i="1" s="1"/>
  <c r="Q2061" i="1" s="1"/>
  <c r="Q2062" i="1" s="1"/>
  <c r="Q2063" i="1" s="1"/>
  <c r="Q2064" i="1" s="1"/>
  <c r="Q2065" i="1" s="1"/>
  <c r="Q2066" i="1" s="1"/>
  <c r="Q2067" i="1" s="1"/>
  <c r="Q2068" i="1" s="1"/>
  <c r="Q2069" i="1" s="1"/>
  <c r="Q2070" i="1" s="1"/>
  <c r="Q2071" i="1" s="1"/>
  <c r="Q2072" i="1" s="1"/>
  <c r="Q2073" i="1" s="1"/>
  <c r="Q2074" i="1" s="1"/>
  <c r="Q2075" i="1" s="1"/>
  <c r="Q2076" i="1" s="1"/>
  <c r="Q2077" i="1" s="1"/>
  <c r="Q2078" i="1" s="1"/>
  <c r="Q2079" i="1" s="1"/>
  <c r="Q2080" i="1" s="1"/>
  <c r="Q2081" i="1" s="1"/>
  <c r="Q2082" i="1" s="1"/>
  <c r="Q2083" i="1" s="1"/>
  <c r="Q2084" i="1" s="1"/>
  <c r="Q2085" i="1" s="1"/>
  <c r="Q2086" i="1" s="1"/>
  <c r="Q2087" i="1" s="1"/>
  <c r="Q2088" i="1" s="1"/>
  <c r="Q2089" i="1" s="1"/>
  <c r="Q2090" i="1" s="1"/>
  <c r="Q2091" i="1" s="1"/>
  <c r="Q2092" i="1" s="1"/>
  <c r="Q2093" i="1" s="1"/>
  <c r="Q2094" i="1" s="1"/>
  <c r="Q2095" i="1" s="1"/>
  <c r="Q2096" i="1" s="1"/>
  <c r="Q2097" i="1" s="1"/>
  <c r="Q2098" i="1" s="1"/>
  <c r="Q2099" i="1" s="1"/>
  <c r="Q2100" i="1" s="1"/>
  <c r="Q2101" i="1" s="1"/>
  <c r="Q2102" i="1" s="1"/>
  <c r="Q2103" i="1" s="1"/>
  <c r="Q2104" i="1" s="1"/>
  <c r="Q2105" i="1" s="1"/>
  <c r="Q2106" i="1" s="1"/>
  <c r="Q2107" i="1" s="1"/>
  <c r="Q2108" i="1" s="1"/>
  <c r="Q2109" i="1" s="1"/>
  <c r="Q2110" i="1" s="1"/>
  <c r="Q2111" i="1" s="1"/>
  <c r="Q2112" i="1" s="1"/>
  <c r="Q2113" i="1" s="1"/>
  <c r="Q2114" i="1" s="1"/>
  <c r="Q2115" i="1" s="1"/>
  <c r="Q2116" i="1" s="1"/>
  <c r="Q2117" i="1" s="1"/>
  <c r="Q2118" i="1" s="1"/>
  <c r="Q2119" i="1" s="1"/>
  <c r="Q2120" i="1" s="1"/>
  <c r="Q2121" i="1" s="1"/>
  <c r="Q2122" i="1" s="1"/>
  <c r="Q2123" i="1" s="1"/>
  <c r="Q2124" i="1" s="1"/>
  <c r="Q2125" i="1" s="1"/>
  <c r="Q2126" i="1" s="1"/>
  <c r="Q2127" i="1" s="1"/>
  <c r="Q2128" i="1" s="1"/>
  <c r="Q2129" i="1" s="1"/>
  <c r="Q2130" i="1" s="1"/>
  <c r="Q2131" i="1" s="1"/>
  <c r="Q2132" i="1" s="1"/>
  <c r="Q2133" i="1" s="1"/>
  <c r="Q2134" i="1" s="1"/>
  <c r="Q2135" i="1" s="1"/>
  <c r="Q2136" i="1" s="1"/>
  <c r="Q2137" i="1" s="1"/>
  <c r="Q2138" i="1" s="1"/>
  <c r="Q2139" i="1" s="1"/>
  <c r="Q2140" i="1" s="1"/>
  <c r="Q2141" i="1" s="1"/>
  <c r="Q2142" i="1" s="1"/>
  <c r="Q2143" i="1" s="1"/>
  <c r="Q2144" i="1" s="1"/>
  <c r="Q2145" i="1" s="1"/>
  <c r="Q2146" i="1" s="1"/>
  <c r="Q2147" i="1" s="1"/>
  <c r="Q2148" i="1" s="1"/>
  <c r="Q2149" i="1" s="1"/>
  <c r="Q2150" i="1" s="1"/>
  <c r="Q2151" i="1" s="1"/>
  <c r="Q2152" i="1" s="1"/>
  <c r="Q2153" i="1" s="1"/>
  <c r="Q2154" i="1" s="1"/>
  <c r="Q2155" i="1" s="1"/>
  <c r="Q2156" i="1" s="1"/>
  <c r="Q2157" i="1" s="1"/>
  <c r="Q2158" i="1" s="1"/>
  <c r="Q2159" i="1" s="1"/>
  <c r="Q2160" i="1" s="1"/>
  <c r="Q2161" i="1" s="1"/>
  <c r="Q2162" i="1" s="1"/>
  <c r="Q2163" i="1" s="1"/>
  <c r="Q2164" i="1" s="1"/>
  <c r="Q2165" i="1" s="1"/>
  <c r="Q2166" i="1" s="1"/>
  <c r="Q2167" i="1" s="1"/>
  <c r="Q2168" i="1" s="1"/>
  <c r="Q2169" i="1" s="1"/>
  <c r="Q2170" i="1" s="1"/>
  <c r="Q2171" i="1" s="1"/>
  <c r="Q2172" i="1" s="1"/>
  <c r="Q2173" i="1" s="1"/>
  <c r="Q2174" i="1" s="1"/>
  <c r="Q2175" i="1" s="1"/>
  <c r="Q2176" i="1" s="1"/>
  <c r="Q2177" i="1" s="1"/>
  <c r="Q2178" i="1" s="1"/>
  <c r="Q2179" i="1" s="1"/>
  <c r="Q2180" i="1" s="1"/>
  <c r="Q2181" i="1" s="1"/>
  <c r="Q2182" i="1" s="1"/>
  <c r="Q2183" i="1" s="1"/>
  <c r="Q2184" i="1" s="1"/>
  <c r="Q2185" i="1" s="1"/>
  <c r="Q2186" i="1" s="1"/>
  <c r="Q2187" i="1" s="1"/>
  <c r="Q2188" i="1" s="1"/>
  <c r="Q2189" i="1" s="1"/>
  <c r="Q2190" i="1" s="1"/>
  <c r="Q2191" i="1" s="1"/>
  <c r="Q2192" i="1" s="1"/>
  <c r="Q2193" i="1" s="1"/>
  <c r="Q2194" i="1" s="1"/>
  <c r="Q2195" i="1" s="1"/>
  <c r="Q2196" i="1" s="1"/>
  <c r="Q2197" i="1" s="1"/>
  <c r="Q2198" i="1" s="1"/>
  <c r="Q2199" i="1" s="1"/>
  <c r="Q2200" i="1" s="1"/>
  <c r="Q2201" i="1" s="1"/>
  <c r="Q2202" i="1" s="1"/>
  <c r="Q2203" i="1" s="1"/>
  <c r="Q2204" i="1" s="1"/>
  <c r="Q2205" i="1" s="1"/>
  <c r="Q2206" i="1" s="1"/>
  <c r="Q2207" i="1" s="1"/>
  <c r="Q2208" i="1" s="1"/>
  <c r="Q2209" i="1" s="1"/>
  <c r="Q2210" i="1" s="1"/>
  <c r="Q2211" i="1" s="1"/>
  <c r="Q2212" i="1" s="1"/>
  <c r="Q2213" i="1" s="1"/>
  <c r="Q2214" i="1" s="1"/>
  <c r="Q2215" i="1" s="1"/>
  <c r="Q2216" i="1" s="1"/>
  <c r="Q2217" i="1" s="1"/>
  <c r="Q2218" i="1" s="1"/>
  <c r="Q2219" i="1" s="1"/>
  <c r="Q2220" i="1" s="1"/>
  <c r="Q2221" i="1" s="1"/>
  <c r="Q2222" i="1" s="1"/>
  <c r="Q2223" i="1" s="1"/>
  <c r="Q2224" i="1" s="1"/>
  <c r="Q2225" i="1" s="1"/>
  <c r="Q2226" i="1" s="1"/>
  <c r="Q2227" i="1" s="1"/>
  <c r="Q2228" i="1" s="1"/>
  <c r="Q2229" i="1" s="1"/>
  <c r="Q2230" i="1" s="1"/>
  <c r="Q2231" i="1" s="1"/>
  <c r="Q2232" i="1" s="1"/>
  <c r="Q2233" i="1" s="1"/>
  <c r="Q2234" i="1" s="1"/>
  <c r="Q2235" i="1" s="1"/>
  <c r="Q2236" i="1" s="1"/>
  <c r="Q2237" i="1" s="1"/>
  <c r="Q2238" i="1" s="1"/>
  <c r="Q2239" i="1" s="1"/>
  <c r="Q2240" i="1" s="1"/>
  <c r="Q2241" i="1" s="1"/>
  <c r="Q2242" i="1" s="1"/>
  <c r="Q2243" i="1" s="1"/>
  <c r="Q2244" i="1" s="1"/>
  <c r="Q2245" i="1" s="1"/>
  <c r="Q2246" i="1" s="1"/>
  <c r="Q2247" i="1" s="1"/>
  <c r="Q2248" i="1" s="1"/>
  <c r="Q2249" i="1" s="1"/>
  <c r="Q2250" i="1" s="1"/>
  <c r="Q2251" i="1" s="1"/>
  <c r="Q2252" i="1" s="1"/>
  <c r="Q2253" i="1" s="1"/>
  <c r="Q2254" i="1" s="1"/>
  <c r="Q2255" i="1" s="1"/>
  <c r="Q2256" i="1" s="1"/>
  <c r="Q2257" i="1" s="1"/>
  <c r="Q2258" i="1" s="1"/>
  <c r="Q2259" i="1" s="1"/>
  <c r="Q2260" i="1" s="1"/>
  <c r="Q2261" i="1" s="1"/>
  <c r="Q2262" i="1" s="1"/>
  <c r="Q2263" i="1" s="1"/>
  <c r="Q2264" i="1" s="1"/>
  <c r="Q2265" i="1" s="1"/>
  <c r="Q2266" i="1" s="1"/>
  <c r="Q2267" i="1" s="1"/>
  <c r="Q2268" i="1" s="1"/>
  <c r="Q2269" i="1" s="1"/>
  <c r="Q2270" i="1" s="1"/>
  <c r="Q2271" i="1" s="1"/>
  <c r="Q2272" i="1" s="1"/>
  <c r="Q2273" i="1" s="1"/>
  <c r="Q2274" i="1" s="1"/>
  <c r="Q2275" i="1" s="1"/>
  <c r="Q2276" i="1" s="1"/>
  <c r="Q2277" i="1" s="1"/>
  <c r="Q2278" i="1" s="1"/>
  <c r="Q2279" i="1" s="1"/>
  <c r="Q2280" i="1" s="1"/>
  <c r="Q2281" i="1" s="1"/>
  <c r="Q2282" i="1" s="1"/>
  <c r="Q2283" i="1" s="1"/>
  <c r="Q2284" i="1" s="1"/>
  <c r="Q2285" i="1" s="1"/>
  <c r="Q2286" i="1" s="1"/>
  <c r="Q2287" i="1" s="1"/>
  <c r="Q2288" i="1" s="1"/>
  <c r="Q2289" i="1" s="1"/>
  <c r="Q2290" i="1" s="1"/>
  <c r="Q2291" i="1" s="1"/>
  <c r="Q2292" i="1" s="1"/>
  <c r="Q2293" i="1" s="1"/>
  <c r="Q2294" i="1" s="1"/>
  <c r="Q2295" i="1" s="1"/>
  <c r="Q2296" i="1" s="1"/>
  <c r="Q2297" i="1" s="1"/>
  <c r="Q2298" i="1" s="1"/>
  <c r="Q2299" i="1" s="1"/>
  <c r="Q2300" i="1" s="1"/>
  <c r="Q2301" i="1" s="1"/>
  <c r="Q2302" i="1" s="1"/>
  <c r="Q2303" i="1" s="1"/>
  <c r="Q2304" i="1" s="1"/>
  <c r="Q2305" i="1" s="1"/>
  <c r="Q2306" i="1" s="1"/>
  <c r="Q2307" i="1" s="1"/>
  <c r="Q2308" i="1" s="1"/>
  <c r="Q2309" i="1" s="1"/>
  <c r="Q2310" i="1" s="1"/>
  <c r="Q2311" i="1" s="1"/>
  <c r="Q2312" i="1" s="1"/>
  <c r="Q2313" i="1" s="1"/>
  <c r="Q2314" i="1" s="1"/>
  <c r="Q2315" i="1" s="1"/>
  <c r="Q2316" i="1" s="1"/>
  <c r="Q2317" i="1" s="1"/>
  <c r="Q2318" i="1" s="1"/>
  <c r="Q2319" i="1" s="1"/>
  <c r="Q2320" i="1" s="1"/>
  <c r="Q2321" i="1" s="1"/>
  <c r="Q2322" i="1" s="1"/>
  <c r="Q2323" i="1" s="1"/>
  <c r="Q2324" i="1" s="1"/>
  <c r="Q2325" i="1" s="1"/>
  <c r="Q2326" i="1" s="1"/>
  <c r="Q2327" i="1" s="1"/>
  <c r="Q2328" i="1" s="1"/>
  <c r="Q2329" i="1" s="1"/>
  <c r="Q2330" i="1" s="1"/>
  <c r="Q2331" i="1" s="1"/>
  <c r="Q2332" i="1" s="1"/>
  <c r="Q2333" i="1" s="1"/>
  <c r="Q2334" i="1" s="1"/>
  <c r="Q2335" i="1" s="1"/>
  <c r="Q2336" i="1" s="1"/>
  <c r="Q2337" i="1" s="1"/>
  <c r="Q2338" i="1" s="1"/>
  <c r="Q2339" i="1" s="1"/>
  <c r="Q2340" i="1" s="1"/>
  <c r="Q2341" i="1" s="1"/>
  <c r="Q2342" i="1" s="1"/>
  <c r="Q2343" i="1" s="1"/>
  <c r="Q2344" i="1" s="1"/>
  <c r="Q2345" i="1" s="1"/>
  <c r="Q2346" i="1" s="1"/>
  <c r="Q2347" i="1" s="1"/>
  <c r="Q2348" i="1" s="1"/>
  <c r="Q2349" i="1" s="1"/>
  <c r="Q2350" i="1" s="1"/>
  <c r="Q2351" i="1" s="1"/>
  <c r="Q2352" i="1" s="1"/>
  <c r="Q2353" i="1" s="1"/>
  <c r="Q2354" i="1" s="1"/>
  <c r="Q2355" i="1" s="1"/>
  <c r="Q2356" i="1" s="1"/>
  <c r="Q2357" i="1" s="1"/>
  <c r="Q2358" i="1" s="1"/>
  <c r="Q2359" i="1" s="1"/>
  <c r="Q2360" i="1" s="1"/>
  <c r="Q2361" i="1" s="1"/>
  <c r="Q2362" i="1" s="1"/>
  <c r="Q2363" i="1" s="1"/>
  <c r="Q2364" i="1" s="1"/>
  <c r="Q2365" i="1" s="1"/>
  <c r="Q2366" i="1" s="1"/>
  <c r="Q2367" i="1" s="1"/>
  <c r="Q2368" i="1" s="1"/>
  <c r="Q2369" i="1" s="1"/>
  <c r="Q2370" i="1" s="1"/>
  <c r="Q2371" i="1" s="1"/>
  <c r="Q2372" i="1" s="1"/>
  <c r="Q2373" i="1" s="1"/>
  <c r="Q2374" i="1" s="1"/>
  <c r="Q2375" i="1" s="1"/>
  <c r="Q2376" i="1" s="1"/>
  <c r="Q2377" i="1" s="1"/>
  <c r="Q2378" i="1" s="1"/>
  <c r="Q2379" i="1" s="1"/>
  <c r="Q2380" i="1" s="1"/>
  <c r="Q2381" i="1" s="1"/>
  <c r="Q2382" i="1" s="1"/>
  <c r="Q2383" i="1" s="1"/>
  <c r="Q2384" i="1" s="1"/>
  <c r="Q2385" i="1" s="1"/>
  <c r="Q2386" i="1" s="1"/>
  <c r="Q2387" i="1" s="1"/>
  <c r="Q2388" i="1" s="1"/>
  <c r="Q2389" i="1" s="1"/>
  <c r="Q2390" i="1" s="1"/>
  <c r="Q2391" i="1" s="1"/>
  <c r="Q2392" i="1" s="1"/>
  <c r="Q2393" i="1" s="1"/>
  <c r="Q2394" i="1" s="1"/>
  <c r="Q2395" i="1" s="1"/>
  <c r="Q2396" i="1" s="1"/>
  <c r="Q2397" i="1" s="1"/>
  <c r="Q2398" i="1" s="1"/>
  <c r="Q2399" i="1" s="1"/>
  <c r="Q2400" i="1" s="1"/>
  <c r="Q2401" i="1" s="1"/>
  <c r="Q2402" i="1" s="1"/>
  <c r="Q2403" i="1" s="1"/>
  <c r="Q2404" i="1" s="1"/>
  <c r="Q2405" i="1" s="1"/>
  <c r="Q2406" i="1" s="1"/>
  <c r="Q2407" i="1" s="1"/>
  <c r="Q2408" i="1" s="1"/>
  <c r="Q2409" i="1" s="1"/>
  <c r="Q2410" i="1" s="1"/>
  <c r="Q2411" i="1" s="1"/>
  <c r="Q2412" i="1" s="1"/>
  <c r="Q2413" i="1" s="1"/>
  <c r="Q2414" i="1" s="1"/>
  <c r="Q2415" i="1" s="1"/>
  <c r="Q2416" i="1" s="1"/>
  <c r="Q2417" i="1" s="1"/>
  <c r="Q2418" i="1" s="1"/>
  <c r="Q2419" i="1" s="1"/>
  <c r="Q2420" i="1" s="1"/>
  <c r="Q2421" i="1" s="1"/>
  <c r="Q2422" i="1" s="1"/>
  <c r="Q2423" i="1" s="1"/>
  <c r="Q2424" i="1" s="1"/>
  <c r="Q2425" i="1" s="1"/>
  <c r="Q2426" i="1" s="1"/>
  <c r="Q2427" i="1" s="1"/>
  <c r="Q2428" i="1" s="1"/>
  <c r="Q2429" i="1" s="1"/>
  <c r="Q2430" i="1" s="1"/>
  <c r="Q2431" i="1" s="1"/>
  <c r="Q2432" i="1" s="1"/>
  <c r="Q2433" i="1" s="1"/>
  <c r="Q2434" i="1" s="1"/>
  <c r="Q2435" i="1" s="1"/>
  <c r="Q2436" i="1" s="1"/>
  <c r="Q2437" i="1" s="1"/>
  <c r="Q2438" i="1" s="1"/>
  <c r="Q2439" i="1" s="1"/>
  <c r="Q2440" i="1" s="1"/>
  <c r="Q2441" i="1" s="1"/>
  <c r="Q2442" i="1" s="1"/>
  <c r="Q2443" i="1" s="1"/>
  <c r="Q2444" i="1" s="1"/>
  <c r="Q2445" i="1" s="1"/>
  <c r="Q2446" i="1" s="1"/>
  <c r="Q2447" i="1" s="1"/>
  <c r="Q2448" i="1" s="1"/>
  <c r="Q2449" i="1" s="1"/>
  <c r="Q2450" i="1" s="1"/>
  <c r="Q2451" i="1" s="1"/>
  <c r="Q2452" i="1" s="1"/>
  <c r="Q2453" i="1" s="1"/>
  <c r="Q2454" i="1" s="1"/>
  <c r="Q2455" i="1" s="1"/>
  <c r="Q2456" i="1" s="1"/>
  <c r="Q2457" i="1" s="1"/>
  <c r="Q2458" i="1" s="1"/>
  <c r="Q2459" i="1" s="1"/>
  <c r="Q2460" i="1" s="1"/>
  <c r="Q2461" i="1" s="1"/>
  <c r="Q2462" i="1" s="1"/>
  <c r="Q2463" i="1" s="1"/>
  <c r="Q2464" i="1" s="1"/>
  <c r="Q2465" i="1" s="1"/>
  <c r="Q2466" i="1" s="1"/>
  <c r="Q2467" i="1" s="1"/>
  <c r="Q2468" i="1" s="1"/>
  <c r="Q2469" i="1" s="1"/>
  <c r="Q2470" i="1" s="1"/>
  <c r="Q2471" i="1" s="1"/>
  <c r="Q2472" i="1" s="1"/>
  <c r="Q2473" i="1" s="1"/>
  <c r="Q2474" i="1" s="1"/>
  <c r="Q2475" i="1" s="1"/>
  <c r="Q2476" i="1" s="1"/>
  <c r="Q2477" i="1" s="1"/>
  <c r="Q2478" i="1" s="1"/>
  <c r="Q2479" i="1" s="1"/>
  <c r="Q2480" i="1" s="1"/>
  <c r="Q2481" i="1" s="1"/>
  <c r="Q2482" i="1" s="1"/>
  <c r="Q2483" i="1" s="1"/>
  <c r="Q2484" i="1" s="1"/>
  <c r="Q2485" i="1" s="1"/>
  <c r="Q2486" i="1" s="1"/>
  <c r="Q2487" i="1" s="1"/>
  <c r="Q2488" i="1" s="1"/>
  <c r="Q2489" i="1" s="1"/>
  <c r="Q2490" i="1" s="1"/>
  <c r="Q2491" i="1" s="1"/>
  <c r="Q2492" i="1" s="1"/>
  <c r="Q2493" i="1" s="1"/>
  <c r="Q2494" i="1" s="1"/>
  <c r="Q2495" i="1" s="1"/>
  <c r="Q2496" i="1" s="1"/>
  <c r="Q2497" i="1" s="1"/>
  <c r="Q2498" i="1" s="1"/>
  <c r="Q2499" i="1" s="1"/>
  <c r="Q2500" i="1" s="1"/>
  <c r="Q2501" i="1" s="1"/>
  <c r="Q2502" i="1" s="1"/>
  <c r="Q2503" i="1" s="1"/>
  <c r="Q2504" i="1" s="1"/>
  <c r="Q2505" i="1" s="1"/>
  <c r="Q2506" i="1" s="1"/>
  <c r="Q2507" i="1" s="1"/>
  <c r="Q2508" i="1" s="1"/>
  <c r="Q2509" i="1" s="1"/>
  <c r="Q2510" i="1" s="1"/>
  <c r="Q2511" i="1" s="1"/>
  <c r="Q2512" i="1" s="1"/>
  <c r="Q2513" i="1" s="1"/>
  <c r="Q2514" i="1" s="1"/>
  <c r="Q2515" i="1" s="1"/>
  <c r="Q2516" i="1" s="1"/>
  <c r="Q2517" i="1" s="1"/>
  <c r="Q2518" i="1" s="1"/>
  <c r="Q2519" i="1" s="1"/>
  <c r="Q2520" i="1" s="1"/>
  <c r="Q2521" i="1" s="1"/>
  <c r="Q2522" i="1" s="1"/>
  <c r="Q2523" i="1" s="1"/>
  <c r="Q2524" i="1" s="1"/>
  <c r="Q2525" i="1" s="1"/>
  <c r="Q2526" i="1" s="1"/>
  <c r="Q2527" i="1" s="1"/>
  <c r="Q1163" i="1"/>
  <c r="AJ5" i="8"/>
  <c r="W6" i="1" a="1"/>
  <c r="W6" i="1" s="1"/>
  <c r="W3" i="1" a="1"/>
  <c r="W3" i="1" s="1"/>
  <c r="W5" i="1" a="1"/>
  <c r="W5" i="1" s="1"/>
  <c r="W4" i="1" a="1"/>
  <c r="W4" i="1" s="1"/>
  <c r="W7" i="1" a="1"/>
  <c r="W7" i="1" s="1"/>
  <c r="W8" i="1" a="1"/>
  <c r="W8" i="1" s="1"/>
  <c r="D10" i="1" l="1"/>
  <c r="AA9" i="1"/>
  <c r="AC9" i="1" s="1"/>
  <c r="W9" i="1" a="1"/>
  <c r="W9" i="1" s="1"/>
  <c r="D11" i="1" l="1"/>
  <c r="AA10" i="1"/>
  <c r="AC10" i="1" s="1"/>
  <c r="W10" i="1" a="1"/>
  <c r="W10" i="1" s="1"/>
  <c r="D12" i="1" l="1"/>
  <c r="AA11" i="1"/>
  <c r="AC11" i="1" s="1"/>
  <c r="W11" i="1" a="1"/>
  <c r="W11" i="1" s="1"/>
  <c r="D13" i="1" l="1"/>
  <c r="AA12" i="1"/>
  <c r="AC12" i="1" s="1"/>
  <c r="W12" i="1" a="1"/>
  <c r="W12" i="1" s="1"/>
  <c r="D14" i="1" l="1"/>
  <c r="AA13" i="1"/>
  <c r="AC13" i="1" s="1"/>
  <c r="W13" i="1" a="1"/>
  <c r="W13" i="1" s="1"/>
  <c r="D15" i="1" l="1"/>
  <c r="AA14" i="1"/>
  <c r="AC14" i="1" s="1"/>
  <c r="W14" i="1" a="1"/>
  <c r="W14" i="1" s="1"/>
  <c r="D16" i="1" l="1"/>
  <c r="D17" i="1" s="1"/>
  <c r="AA15" i="1"/>
  <c r="AC15" i="1" s="1"/>
  <c r="W15" i="1" a="1"/>
  <c r="W15" i="1" s="1"/>
  <c r="AA16" i="1" l="1"/>
  <c r="AC16" i="1" s="1"/>
  <c r="W16" i="1" a="1"/>
  <c r="W16" i="1" s="1"/>
  <c r="D18" i="1" l="1"/>
  <c r="AA17" i="1"/>
  <c r="AC17" i="1" s="1"/>
  <c r="W17" i="1" a="1"/>
  <c r="W17" i="1" s="1"/>
  <c r="D19" i="1" l="1"/>
  <c r="AA18" i="1"/>
  <c r="AC18" i="1" s="1"/>
  <c r="W18" i="1" a="1"/>
  <c r="W18" i="1" s="1"/>
  <c r="D20" i="1" l="1"/>
  <c r="AA19" i="1"/>
  <c r="AC19" i="1" s="1"/>
  <c r="W19" i="1" a="1"/>
  <c r="W19" i="1" s="1"/>
  <c r="D21" i="1" l="1"/>
  <c r="AA20" i="1"/>
  <c r="AC20" i="1" s="1"/>
  <c r="W20" i="1" a="1"/>
  <c r="W20" i="1" s="1"/>
  <c r="D22" i="1" l="1"/>
  <c r="AA21" i="1"/>
  <c r="AC21" i="1" s="1"/>
  <c r="W21" i="1" a="1"/>
  <c r="W21" i="1" s="1"/>
  <c r="D23" i="1" l="1"/>
  <c r="AA22" i="1"/>
  <c r="AC22" i="1" s="1"/>
  <c r="W22" i="1" a="1"/>
  <c r="W22" i="1" s="1"/>
  <c r="D24" i="1" l="1"/>
  <c r="AA23" i="1"/>
  <c r="AC23" i="1" s="1"/>
  <c r="W23" i="1" a="1"/>
  <c r="W23" i="1" s="1"/>
  <c r="D25" i="1" l="1"/>
  <c r="AA24" i="1"/>
  <c r="AC24" i="1" s="1"/>
  <c r="W24" i="1" a="1"/>
  <c r="W24" i="1" s="1"/>
  <c r="D26" i="1" l="1"/>
  <c r="AA25" i="1"/>
  <c r="AC25" i="1" s="1"/>
  <c r="W25" i="1" a="1"/>
  <c r="W25" i="1" s="1"/>
  <c r="D27" i="1" l="1"/>
  <c r="AA26" i="1"/>
  <c r="AC26" i="1" s="1"/>
  <c r="W26" i="1" a="1"/>
  <c r="W26" i="1" s="1"/>
  <c r="D28" i="1" l="1"/>
  <c r="AA27" i="1"/>
  <c r="AC27" i="1" s="1"/>
  <c r="W27" i="1" a="1"/>
  <c r="W27" i="1" s="1"/>
  <c r="D29" i="1" l="1"/>
  <c r="AA28" i="1"/>
  <c r="AC28" i="1" s="1"/>
  <c r="W28" i="1" a="1"/>
  <c r="W28" i="1" s="1"/>
  <c r="D30" i="1" l="1"/>
  <c r="AA29" i="1"/>
  <c r="AC29" i="1" s="1"/>
  <c r="W29" i="1" a="1"/>
  <c r="W29" i="1" s="1"/>
  <c r="D31" i="1" l="1"/>
  <c r="AA30" i="1"/>
  <c r="AC30" i="1" s="1"/>
  <c r="W30" i="1" a="1"/>
  <c r="W30" i="1" s="1"/>
  <c r="D32" i="1" l="1"/>
  <c r="AA31" i="1"/>
  <c r="AC31" i="1" s="1"/>
  <c r="W31" i="1" a="1"/>
  <c r="W31" i="1" s="1"/>
  <c r="D33" i="1" l="1"/>
  <c r="AA32" i="1"/>
  <c r="AC32" i="1" s="1"/>
  <c r="W32" i="1" a="1"/>
  <c r="W32" i="1" s="1"/>
  <c r="D34" i="1" l="1"/>
  <c r="AA33" i="1"/>
  <c r="AC33" i="1" s="1"/>
  <c r="W33" i="1" a="1"/>
  <c r="W33" i="1" s="1"/>
  <c r="D35" i="1" l="1"/>
  <c r="AA34" i="1"/>
  <c r="AC34" i="1" s="1"/>
  <c r="W34" i="1" a="1"/>
  <c r="W34" i="1" s="1"/>
  <c r="D36" i="1" l="1"/>
  <c r="AA35" i="1"/>
  <c r="AC35" i="1" s="1"/>
  <c r="W35" i="1" a="1"/>
  <c r="W35" i="1" s="1"/>
  <c r="D37" i="1" l="1"/>
  <c r="AA36" i="1"/>
  <c r="AC36" i="1" s="1"/>
  <c r="W36" i="1" a="1"/>
  <c r="W36" i="1" s="1"/>
  <c r="D38" i="1" l="1"/>
  <c r="AA37" i="1"/>
  <c r="AC37" i="1" s="1"/>
  <c r="W37" i="1" a="1"/>
  <c r="W37" i="1" s="1"/>
  <c r="D39" i="1" l="1"/>
  <c r="AA38" i="1"/>
  <c r="AC38" i="1" s="1"/>
  <c r="W38" i="1" a="1"/>
  <c r="W38" i="1" s="1"/>
  <c r="D40" i="1" l="1"/>
  <c r="AA39" i="1"/>
  <c r="AC39" i="1" s="1"/>
  <c r="W39" i="1" a="1"/>
  <c r="W39" i="1" s="1"/>
  <c r="D41" i="1" l="1"/>
  <c r="AA40" i="1"/>
  <c r="AC40" i="1" s="1"/>
  <c r="W40" i="1" a="1"/>
  <c r="W40" i="1" s="1"/>
  <c r="D42" i="1" l="1"/>
  <c r="AA41" i="1"/>
  <c r="AC41" i="1" s="1"/>
  <c r="W41" i="1" a="1"/>
  <c r="W41" i="1" s="1"/>
  <c r="D43" i="1" l="1"/>
  <c r="AA42" i="1"/>
  <c r="AC42" i="1" s="1"/>
  <c r="W42" i="1" a="1"/>
  <c r="W42" i="1" s="1"/>
  <c r="D44" i="1" l="1"/>
  <c r="AA43" i="1"/>
  <c r="AC43" i="1" s="1"/>
  <c r="W43" i="1" a="1"/>
  <c r="W43" i="1" s="1"/>
  <c r="D45" i="1" l="1"/>
  <c r="AA44" i="1"/>
  <c r="AC44" i="1" s="1"/>
  <c r="W44" i="1" a="1"/>
  <c r="W44" i="1" s="1"/>
  <c r="D46" i="1" l="1"/>
  <c r="AA45" i="1"/>
  <c r="AC45" i="1" s="1"/>
  <c r="W45" i="1" a="1"/>
  <c r="W45" i="1" s="1"/>
  <c r="D47" i="1" l="1"/>
  <c r="AA46" i="1"/>
  <c r="AC46" i="1" s="1"/>
  <c r="W46" i="1" a="1"/>
  <c r="W46" i="1" s="1"/>
  <c r="D48" i="1" l="1"/>
  <c r="AA47" i="1"/>
  <c r="AC47" i="1" s="1"/>
  <c r="W47" i="1" a="1"/>
  <c r="W47" i="1" s="1"/>
  <c r="D49" i="1" l="1"/>
  <c r="AA48" i="1"/>
  <c r="AC48" i="1" s="1"/>
  <c r="W48" i="1" a="1"/>
  <c r="W48" i="1" s="1"/>
  <c r="D50" i="1" l="1"/>
  <c r="AA49" i="1"/>
  <c r="AC49" i="1" s="1"/>
  <c r="W49" i="1" a="1"/>
  <c r="W49" i="1" s="1"/>
  <c r="D51" i="1" l="1"/>
  <c r="AA50" i="1"/>
  <c r="AC50" i="1" s="1"/>
  <c r="W50" i="1" a="1"/>
  <c r="W50" i="1" s="1"/>
  <c r="D52" i="1" l="1"/>
  <c r="AA51" i="1"/>
  <c r="AC51" i="1" s="1"/>
  <c r="W51" i="1" a="1"/>
  <c r="W51" i="1" s="1"/>
  <c r="D53" i="1" l="1"/>
  <c r="AA52" i="1"/>
  <c r="AC52" i="1" s="1"/>
  <c r="W52" i="1" a="1"/>
  <c r="W52" i="1" s="1"/>
  <c r="D54" i="1" l="1"/>
  <c r="AA53" i="1"/>
  <c r="AC53" i="1" s="1"/>
  <c r="W53" i="1" a="1"/>
  <c r="W53" i="1" s="1"/>
  <c r="D55" i="1" l="1"/>
  <c r="AA54" i="1"/>
  <c r="AC54" i="1" s="1"/>
  <c r="W54" i="1" a="1"/>
  <c r="W54" i="1" s="1"/>
  <c r="D56" i="1" l="1"/>
  <c r="AA55" i="1"/>
  <c r="AC55" i="1" s="1"/>
  <c r="W55" i="1" a="1"/>
  <c r="W55" i="1" s="1"/>
  <c r="D57" i="1" l="1"/>
  <c r="AA56" i="1"/>
  <c r="AC56" i="1" s="1"/>
  <c r="W56" i="1" a="1"/>
  <c r="W56" i="1" s="1"/>
  <c r="D58" i="1" l="1"/>
  <c r="AA57" i="1"/>
  <c r="AC57" i="1" s="1"/>
  <c r="W57" i="1" a="1"/>
  <c r="W57" i="1" s="1"/>
  <c r="D59" i="1" l="1"/>
  <c r="AA58" i="1"/>
  <c r="AC58" i="1" s="1"/>
  <c r="W58" i="1" a="1"/>
  <c r="W58" i="1" s="1"/>
  <c r="D60" i="1" l="1"/>
  <c r="AA59" i="1"/>
  <c r="AC59" i="1" s="1"/>
  <c r="W59" i="1" a="1"/>
  <c r="W59" i="1" s="1"/>
  <c r="D61" i="1" l="1"/>
  <c r="AA60" i="1"/>
  <c r="AC60" i="1" s="1"/>
  <c r="W60" i="1" a="1"/>
  <c r="W60" i="1" s="1"/>
  <c r="D62" i="1" l="1"/>
  <c r="AA61" i="1"/>
  <c r="AC61" i="1" s="1"/>
  <c r="W61" i="1" a="1"/>
  <c r="W61" i="1" s="1"/>
  <c r="D63" i="1" l="1"/>
  <c r="AA62" i="1"/>
  <c r="AC62" i="1" s="1"/>
  <c r="W62" i="1" a="1"/>
  <c r="W62" i="1" s="1"/>
  <c r="D64" i="1" l="1"/>
  <c r="AA63" i="1"/>
  <c r="AC63" i="1" s="1"/>
  <c r="W63" i="1" a="1"/>
  <c r="W63" i="1" s="1"/>
  <c r="D65" i="1" l="1"/>
  <c r="AA64" i="1"/>
  <c r="AC64" i="1" s="1"/>
  <c r="W64" i="1" a="1"/>
  <c r="W64" i="1" s="1"/>
  <c r="D66" i="1" l="1"/>
  <c r="AA65" i="1"/>
  <c r="AC65" i="1" s="1"/>
  <c r="W65" i="1" a="1"/>
  <c r="W65" i="1" s="1"/>
  <c r="D67" i="1" l="1"/>
  <c r="AA66" i="1"/>
  <c r="AC66" i="1" s="1"/>
  <c r="W66" i="1" a="1"/>
  <c r="W66" i="1" s="1"/>
  <c r="D68" i="1" l="1"/>
  <c r="AA67" i="1"/>
  <c r="AC67" i="1" s="1"/>
  <c r="W67" i="1" a="1"/>
  <c r="W67" i="1" s="1"/>
  <c r="D69" i="1" l="1"/>
  <c r="AA68" i="1"/>
  <c r="AC68" i="1" s="1"/>
  <c r="W68" i="1" a="1"/>
  <c r="W68" i="1" s="1"/>
  <c r="D70" i="1" l="1"/>
  <c r="AA69" i="1"/>
  <c r="AC69" i="1" s="1"/>
  <c r="W69" i="1" a="1"/>
  <c r="W69" i="1" s="1"/>
  <c r="D71" i="1" l="1"/>
  <c r="AA70" i="1"/>
  <c r="AC70" i="1" s="1"/>
  <c r="W70" i="1" a="1"/>
  <c r="W70" i="1" s="1"/>
  <c r="D72" i="1" l="1"/>
  <c r="AA71" i="1"/>
  <c r="AC71" i="1" s="1"/>
  <c r="W71" i="1" a="1"/>
  <c r="W71" i="1" s="1"/>
  <c r="D73" i="1" l="1"/>
  <c r="AA72" i="1"/>
  <c r="AC72" i="1" s="1"/>
  <c r="W72" i="1" a="1"/>
  <c r="W72" i="1" s="1"/>
  <c r="D74" i="1" l="1"/>
  <c r="AA73" i="1"/>
  <c r="AC73" i="1" s="1"/>
  <c r="W73" i="1" a="1"/>
  <c r="W73" i="1" s="1"/>
  <c r="D75" i="1" l="1"/>
  <c r="AA74" i="1"/>
  <c r="AC74" i="1" s="1"/>
  <c r="W74" i="1" a="1"/>
  <c r="W74" i="1" s="1"/>
  <c r="D76" i="1" l="1"/>
  <c r="AA75" i="1"/>
  <c r="AC75" i="1" s="1"/>
  <c r="W75" i="1" a="1"/>
  <c r="W75" i="1" s="1"/>
  <c r="D77" i="1" l="1"/>
  <c r="AA76" i="1"/>
  <c r="AC76" i="1" s="1"/>
  <c r="W76" i="1" a="1"/>
  <c r="W76" i="1" s="1"/>
  <c r="D78" i="1" l="1"/>
  <c r="AA77" i="1"/>
  <c r="AC77" i="1" s="1"/>
  <c r="W77" i="1" a="1"/>
  <c r="W77" i="1" s="1"/>
  <c r="D79" i="1" l="1"/>
  <c r="AA78" i="1"/>
  <c r="AC78" i="1" s="1"/>
  <c r="W78" i="1" a="1"/>
  <c r="W78" i="1" s="1"/>
  <c r="D80" i="1" l="1"/>
  <c r="AA79" i="1"/>
  <c r="AC79" i="1" s="1"/>
  <c r="W79" i="1" a="1"/>
  <c r="W79" i="1" s="1"/>
  <c r="D81" i="1" l="1"/>
  <c r="AA80" i="1"/>
  <c r="AC80" i="1" s="1"/>
  <c r="W80" i="1" a="1"/>
  <c r="W80" i="1" s="1"/>
  <c r="D82" i="1" l="1"/>
  <c r="AA81" i="1"/>
  <c r="AC81" i="1" s="1"/>
  <c r="W81" i="1" a="1"/>
  <c r="W81" i="1" s="1"/>
  <c r="D83" i="1" l="1"/>
  <c r="AA82" i="1"/>
  <c r="AC82" i="1" s="1"/>
  <c r="W82" i="1" a="1"/>
  <c r="W82" i="1" s="1"/>
  <c r="D84" i="1" l="1"/>
  <c r="AA83" i="1"/>
  <c r="AC83" i="1" s="1"/>
  <c r="W83" i="1" a="1"/>
  <c r="W83" i="1" s="1"/>
  <c r="D85" i="1" l="1"/>
  <c r="AA84" i="1"/>
  <c r="AC84" i="1" s="1"/>
  <c r="W84" i="1" a="1"/>
  <c r="W84" i="1" s="1"/>
  <c r="D86" i="1" l="1"/>
  <c r="AA85" i="1"/>
  <c r="AC85" i="1" s="1"/>
  <c r="W85" i="1" a="1"/>
  <c r="W85" i="1" s="1"/>
  <c r="D87" i="1" l="1"/>
  <c r="AA86" i="1"/>
  <c r="AC86" i="1" s="1"/>
  <c r="W86" i="1" a="1"/>
  <c r="W86" i="1" s="1"/>
  <c r="D88" i="1" l="1"/>
  <c r="AA87" i="1"/>
  <c r="AC87" i="1" s="1"/>
  <c r="W87" i="1" a="1"/>
  <c r="W87" i="1" s="1"/>
  <c r="D89" i="1" l="1"/>
  <c r="AA88" i="1"/>
  <c r="AC88" i="1" s="1"/>
  <c r="W88" i="1" a="1"/>
  <c r="W88" i="1" s="1"/>
  <c r="D90" i="1" l="1"/>
  <c r="AA89" i="1"/>
  <c r="AC89" i="1" s="1"/>
  <c r="W89" i="1" a="1"/>
  <c r="W89" i="1" s="1"/>
  <c r="D91" i="1" l="1"/>
  <c r="AA90" i="1"/>
  <c r="AC90" i="1" s="1"/>
  <c r="W90" i="1" a="1"/>
  <c r="W90" i="1" s="1"/>
  <c r="D92" i="1" l="1"/>
  <c r="AA91" i="1"/>
  <c r="AC91" i="1" s="1"/>
  <c r="W91" i="1" a="1"/>
  <c r="W91" i="1" s="1"/>
  <c r="D93" i="1" l="1"/>
  <c r="AA92" i="1"/>
  <c r="AC92" i="1" s="1"/>
  <c r="W92" i="1" a="1"/>
  <c r="W92" i="1" s="1"/>
  <c r="D94" i="1" l="1"/>
  <c r="AA93" i="1"/>
  <c r="AC93" i="1" s="1"/>
  <c r="W93" i="1" a="1"/>
  <c r="W93" i="1" s="1"/>
  <c r="D95" i="1" l="1"/>
  <c r="AA94" i="1"/>
  <c r="AC94" i="1" s="1"/>
  <c r="W94" i="1" a="1"/>
  <c r="W94" i="1" s="1"/>
  <c r="D96" i="1" l="1"/>
  <c r="AA95" i="1"/>
  <c r="AC95" i="1" s="1"/>
  <c r="W95" i="1" a="1"/>
  <c r="W95" i="1" s="1"/>
  <c r="D97" i="1" l="1"/>
  <c r="AA96" i="1"/>
  <c r="AC96" i="1" s="1"/>
  <c r="W96" i="1" a="1"/>
  <c r="W96" i="1" s="1"/>
  <c r="D98" i="1" l="1"/>
  <c r="AA97" i="1"/>
  <c r="AC97" i="1" s="1"/>
  <c r="W97" i="1" a="1"/>
  <c r="W97" i="1" s="1"/>
  <c r="D99" i="1" l="1"/>
  <c r="AA98" i="1"/>
  <c r="AC98" i="1" s="1"/>
  <c r="W98" i="1" a="1"/>
  <c r="W98" i="1" s="1"/>
  <c r="D100" i="1" l="1"/>
  <c r="AA99" i="1"/>
  <c r="AC99" i="1" s="1"/>
  <c r="W99" i="1" a="1"/>
  <c r="W99" i="1" s="1"/>
  <c r="D101" i="1" l="1"/>
  <c r="AA100" i="1"/>
  <c r="AC100" i="1" s="1"/>
  <c r="W100" i="1" a="1"/>
  <c r="W100" i="1" s="1"/>
  <c r="D102" i="1" l="1"/>
  <c r="AA101" i="1"/>
  <c r="AC101" i="1" s="1"/>
  <c r="W101" i="1" a="1"/>
  <c r="W101" i="1" s="1"/>
  <c r="D103" i="1" l="1"/>
  <c r="AA102" i="1"/>
  <c r="AC102" i="1" s="1"/>
  <c r="W102" i="1" a="1"/>
  <c r="W102" i="1" s="1"/>
  <c r="D104" i="1" l="1"/>
  <c r="AA103" i="1"/>
  <c r="AC103" i="1" s="1"/>
  <c r="W103" i="1" a="1"/>
  <c r="W103" i="1" s="1"/>
  <c r="D105" i="1" l="1"/>
  <c r="AA104" i="1"/>
  <c r="AC104" i="1" s="1"/>
  <c r="W104" i="1" a="1"/>
  <c r="W104" i="1" s="1"/>
  <c r="D106" i="1" l="1"/>
  <c r="AA105" i="1"/>
  <c r="AC105" i="1" s="1"/>
  <c r="W105" i="1" a="1"/>
  <c r="W105" i="1" s="1"/>
  <c r="D107" i="1" l="1"/>
  <c r="AA106" i="1"/>
  <c r="AC106" i="1" s="1"/>
  <c r="W106" i="1" a="1"/>
  <c r="W106" i="1" s="1"/>
  <c r="D108" i="1" l="1"/>
  <c r="AA107" i="1"/>
  <c r="AC107" i="1" s="1"/>
  <c r="W107" i="1" a="1"/>
  <c r="W107" i="1" s="1"/>
  <c r="D109" i="1" l="1"/>
  <c r="AA108" i="1"/>
  <c r="AC108" i="1" s="1"/>
  <c r="W108" i="1" a="1"/>
  <c r="W108" i="1" s="1"/>
  <c r="D110" i="1" l="1"/>
  <c r="AA109" i="1"/>
  <c r="AC109" i="1" s="1"/>
  <c r="W109" i="1" a="1"/>
  <c r="W109" i="1" s="1"/>
  <c r="D111" i="1" l="1"/>
  <c r="AA110" i="1"/>
  <c r="AC110" i="1" s="1"/>
  <c r="W110" i="1" a="1"/>
  <c r="W110" i="1" s="1"/>
  <c r="D112" i="1" l="1"/>
  <c r="AA111" i="1"/>
  <c r="AC111" i="1" s="1"/>
  <c r="W111" i="1" a="1"/>
  <c r="W111" i="1" s="1"/>
  <c r="D113" i="1" l="1"/>
  <c r="AA112" i="1"/>
  <c r="AC112" i="1" s="1"/>
  <c r="W112" i="1" a="1"/>
  <c r="W112" i="1" s="1"/>
  <c r="D114" i="1" l="1"/>
  <c r="AA113" i="1"/>
  <c r="AC113" i="1" s="1"/>
  <c r="W113" i="1" a="1"/>
  <c r="W113" i="1" s="1"/>
  <c r="D115" i="1" l="1"/>
  <c r="AA114" i="1"/>
  <c r="AC114" i="1" s="1"/>
  <c r="W114" i="1" a="1"/>
  <c r="W114" i="1" s="1"/>
  <c r="D116" i="1" l="1"/>
  <c r="AA115" i="1"/>
  <c r="AC115" i="1" s="1"/>
  <c r="W115" i="1" a="1"/>
  <c r="W115" i="1" s="1"/>
  <c r="D117" i="1" l="1"/>
  <c r="AA116" i="1"/>
  <c r="AC116" i="1" s="1"/>
  <c r="W116" i="1" a="1"/>
  <c r="W116" i="1" s="1"/>
  <c r="D118" i="1" l="1"/>
  <c r="AA117" i="1"/>
  <c r="AC117" i="1" s="1"/>
  <c r="W117" i="1" a="1"/>
  <c r="W117" i="1" s="1"/>
  <c r="D119" i="1" l="1"/>
  <c r="AA118" i="1"/>
  <c r="AC118" i="1" s="1"/>
  <c r="W118" i="1" a="1"/>
  <c r="W118" i="1" s="1"/>
  <c r="D120" i="1" l="1"/>
  <c r="AA119" i="1"/>
  <c r="AC119" i="1" s="1"/>
  <c r="W119" i="1" a="1"/>
  <c r="W119" i="1" s="1"/>
  <c r="D121" i="1" l="1"/>
  <c r="AA120" i="1"/>
  <c r="AC120" i="1" s="1"/>
  <c r="W120" i="1" a="1"/>
  <c r="W120" i="1" s="1"/>
  <c r="D122" i="1" l="1"/>
  <c r="AA121" i="1"/>
  <c r="AC121" i="1" s="1"/>
  <c r="W121" i="1" a="1"/>
  <c r="W121" i="1" s="1"/>
  <c r="D123" i="1" l="1"/>
  <c r="AA122" i="1"/>
  <c r="AC122" i="1" s="1"/>
  <c r="W122" i="1" a="1"/>
  <c r="W122" i="1" s="1"/>
  <c r="D124" i="1" l="1"/>
  <c r="AA123" i="1"/>
  <c r="AC123" i="1" s="1"/>
  <c r="W123" i="1" a="1"/>
  <c r="W123" i="1" s="1"/>
  <c r="D125" i="1" l="1"/>
  <c r="AA124" i="1"/>
  <c r="AC124" i="1" s="1"/>
  <c r="W124" i="1" a="1"/>
  <c r="W124" i="1" s="1"/>
  <c r="D126" i="1" l="1"/>
  <c r="AA125" i="1"/>
  <c r="AC125" i="1" s="1"/>
  <c r="W125" i="1" a="1"/>
  <c r="W125" i="1" s="1"/>
  <c r="D127" i="1" l="1"/>
  <c r="AA126" i="1"/>
  <c r="AC126" i="1" s="1"/>
  <c r="W126" i="1" a="1"/>
  <c r="W126" i="1" s="1"/>
  <c r="D128" i="1" l="1"/>
  <c r="AA127" i="1"/>
  <c r="AC127" i="1" s="1"/>
  <c r="W127" i="1" a="1"/>
  <c r="W127" i="1" s="1"/>
  <c r="D129" i="1" l="1"/>
  <c r="AA128" i="1"/>
  <c r="AC128" i="1" s="1"/>
  <c r="W128" i="1" a="1"/>
  <c r="W128" i="1" s="1"/>
  <c r="D130" i="1" l="1"/>
  <c r="AA129" i="1"/>
  <c r="AC129" i="1" s="1"/>
  <c r="W129" i="1" a="1"/>
  <c r="W129" i="1" s="1"/>
  <c r="D131" i="1" l="1"/>
  <c r="AA130" i="1"/>
  <c r="AC130" i="1" s="1"/>
  <c r="W130" i="1" a="1"/>
  <c r="W130" i="1" s="1"/>
  <c r="D132" i="1" l="1"/>
  <c r="AA131" i="1"/>
  <c r="AC131" i="1" s="1"/>
  <c r="W131" i="1" a="1"/>
  <c r="W131" i="1" s="1"/>
  <c r="D133" i="1" l="1"/>
  <c r="AA132" i="1"/>
  <c r="AC132" i="1" s="1"/>
  <c r="W132" i="1" a="1"/>
  <c r="W132" i="1" s="1"/>
  <c r="D134" i="1" l="1"/>
  <c r="AA133" i="1"/>
  <c r="AC133" i="1" s="1"/>
  <c r="W133" i="1" a="1"/>
  <c r="W133" i="1" s="1"/>
  <c r="D135" i="1" l="1"/>
  <c r="AA134" i="1"/>
  <c r="AC134" i="1" s="1"/>
  <c r="W134" i="1" a="1"/>
  <c r="W134" i="1" s="1"/>
  <c r="D136" i="1" l="1"/>
  <c r="AA135" i="1"/>
  <c r="AC135" i="1" s="1"/>
  <c r="W135" i="1" a="1"/>
  <c r="W135" i="1" s="1"/>
  <c r="D137" i="1" l="1"/>
  <c r="AA136" i="1"/>
  <c r="AC136" i="1" s="1"/>
  <c r="W136" i="1" a="1"/>
  <c r="W136" i="1" s="1"/>
  <c r="D138" i="1" l="1"/>
  <c r="AA137" i="1"/>
  <c r="AC137" i="1" s="1"/>
  <c r="W137" i="1" a="1"/>
  <c r="W137" i="1" s="1"/>
  <c r="D139" i="1" l="1"/>
  <c r="AA138" i="1"/>
  <c r="AC138" i="1" s="1"/>
  <c r="W138" i="1" a="1"/>
  <c r="W138" i="1" s="1"/>
  <c r="D140" i="1" l="1"/>
  <c r="AA139" i="1"/>
  <c r="AC139" i="1" s="1"/>
  <c r="W139" i="1" a="1"/>
  <c r="W139" i="1" s="1"/>
  <c r="D141" i="1" l="1"/>
  <c r="AA140" i="1"/>
  <c r="AC140" i="1" s="1"/>
  <c r="W140" i="1" a="1"/>
  <c r="W140" i="1" s="1"/>
  <c r="D142" i="1" l="1"/>
  <c r="AA141" i="1"/>
  <c r="AC141" i="1" s="1"/>
  <c r="W141" i="1" a="1"/>
  <c r="W141" i="1" s="1"/>
  <c r="D143" i="1" l="1"/>
  <c r="AA142" i="1"/>
  <c r="AC142" i="1" s="1"/>
  <c r="W142" i="1" a="1"/>
  <c r="W142" i="1" s="1"/>
  <c r="D144" i="1" l="1"/>
  <c r="AA143" i="1"/>
  <c r="AC143" i="1" s="1"/>
  <c r="W143" i="1" a="1"/>
  <c r="W143" i="1" s="1"/>
  <c r="D145" i="1" l="1"/>
  <c r="AA144" i="1"/>
  <c r="AC144" i="1" s="1"/>
  <c r="W144" i="1" a="1"/>
  <c r="W144" i="1" s="1"/>
  <c r="D146" i="1" l="1"/>
  <c r="AA145" i="1"/>
  <c r="AC145" i="1" s="1"/>
  <c r="W145" i="1" a="1"/>
  <c r="W145" i="1" s="1"/>
  <c r="D147" i="1" l="1"/>
  <c r="AA146" i="1"/>
  <c r="AC146" i="1" s="1"/>
  <c r="W146" i="1" a="1"/>
  <c r="W146" i="1" s="1"/>
  <c r="D148" i="1" l="1"/>
  <c r="AA147" i="1"/>
  <c r="AC147" i="1" s="1"/>
  <c r="D149" i="1" l="1"/>
  <c r="AA148" i="1"/>
  <c r="AC148" i="1" s="1"/>
  <c r="W148" i="1" a="1"/>
  <c r="W148" i="1" s="1"/>
  <c r="D150" i="1" l="1"/>
  <c r="AA149" i="1"/>
  <c r="AC149" i="1" s="1"/>
  <c r="W149" i="1" a="1"/>
  <c r="W149" i="1" s="1"/>
  <c r="D151" i="1" l="1"/>
  <c r="AA150" i="1"/>
  <c r="AC150" i="1" s="1"/>
  <c r="W150" i="1" a="1"/>
  <c r="W150" i="1" s="1"/>
  <c r="D152" i="1" l="1"/>
  <c r="AA151" i="1"/>
  <c r="AC151" i="1" s="1"/>
  <c r="W151" i="1" a="1"/>
  <c r="W151" i="1" s="1"/>
  <c r="D153" i="1" l="1"/>
  <c r="AA152" i="1"/>
  <c r="AC152" i="1" s="1"/>
  <c r="W152" i="1" a="1"/>
  <c r="W152" i="1" s="1"/>
  <c r="D154" i="1" l="1"/>
  <c r="AA153" i="1"/>
  <c r="AC153" i="1" s="1"/>
  <c r="W153" i="1" a="1"/>
  <c r="W153" i="1" s="1"/>
  <c r="D155" i="1" l="1"/>
  <c r="AA154" i="1"/>
  <c r="AC154" i="1" s="1"/>
  <c r="W154" i="1" a="1"/>
  <c r="W154" i="1" s="1"/>
  <c r="D156" i="1" l="1"/>
  <c r="AA155" i="1"/>
  <c r="AC155" i="1" s="1"/>
  <c r="W155" i="1" a="1"/>
  <c r="W155" i="1" s="1"/>
  <c r="D157" i="1" l="1"/>
  <c r="AA156" i="1"/>
  <c r="AC156" i="1" s="1"/>
  <c r="W156" i="1" a="1"/>
  <c r="W156" i="1" s="1"/>
  <c r="D158" i="1" l="1"/>
  <c r="AA157" i="1"/>
  <c r="AC157" i="1" s="1"/>
  <c r="W157" i="1" a="1"/>
  <c r="W157" i="1" s="1"/>
  <c r="D159" i="1" l="1"/>
  <c r="AA158" i="1"/>
  <c r="AC158" i="1" s="1"/>
  <c r="W158" i="1" a="1"/>
  <c r="W158" i="1" s="1"/>
  <c r="D160" i="1" l="1"/>
  <c r="AA159" i="1"/>
  <c r="AC159" i="1" s="1"/>
  <c r="W159" i="1" a="1"/>
  <c r="W159" i="1" s="1"/>
  <c r="D161" i="1" l="1"/>
  <c r="AA160" i="1"/>
  <c r="AC160" i="1" s="1"/>
  <c r="W160" i="1" a="1"/>
  <c r="W160" i="1" s="1"/>
  <c r="D162" i="1" l="1"/>
  <c r="AA161" i="1"/>
  <c r="AC161" i="1" s="1"/>
  <c r="W161" i="1" a="1"/>
  <c r="W161" i="1" s="1"/>
  <c r="D163" i="1" l="1"/>
  <c r="AA162" i="1"/>
  <c r="AC162" i="1" s="1"/>
  <c r="W162" i="1" a="1"/>
  <c r="W162" i="1" s="1"/>
  <c r="D164" i="1" l="1"/>
  <c r="AA163" i="1"/>
  <c r="AC163" i="1" s="1"/>
  <c r="W163" i="1" a="1"/>
  <c r="W163" i="1" s="1"/>
  <c r="D165" i="1" l="1"/>
  <c r="AA164" i="1"/>
  <c r="AC164" i="1" s="1"/>
  <c r="W164" i="1" a="1"/>
  <c r="W164" i="1" s="1"/>
  <c r="D166" i="1" l="1"/>
  <c r="AA165" i="1"/>
  <c r="AC165" i="1" s="1"/>
  <c r="W165" i="1" a="1"/>
  <c r="W165" i="1" s="1"/>
  <c r="D167" i="1" l="1"/>
  <c r="AA166" i="1"/>
  <c r="AC166" i="1" s="1"/>
  <c r="W166" i="1" a="1"/>
  <c r="W166" i="1" s="1"/>
  <c r="D168" i="1" l="1"/>
  <c r="AA167" i="1"/>
  <c r="AC167" i="1" s="1"/>
  <c r="W167" i="1" a="1"/>
  <c r="W167" i="1" s="1"/>
  <c r="D169" i="1" l="1"/>
  <c r="AA168" i="1"/>
  <c r="AC168" i="1" s="1"/>
  <c r="W168" i="1" a="1"/>
  <c r="W168" i="1" s="1"/>
  <c r="D170" i="1" l="1"/>
  <c r="AA169" i="1"/>
  <c r="AC169" i="1" s="1"/>
  <c r="W169" i="1" a="1"/>
  <c r="W169" i="1" s="1"/>
  <c r="D171" i="1" l="1"/>
  <c r="AA170" i="1"/>
  <c r="AC170" i="1" s="1"/>
  <c r="W170" i="1" a="1"/>
  <c r="W170" i="1" s="1"/>
  <c r="D172" i="1" l="1"/>
  <c r="AA171" i="1"/>
  <c r="AC171" i="1" s="1"/>
  <c r="W171" i="1" a="1"/>
  <c r="W171" i="1" s="1"/>
  <c r="D173" i="1" l="1"/>
  <c r="AA172" i="1"/>
  <c r="AC172" i="1" s="1"/>
  <c r="W172" i="1" a="1"/>
  <c r="W172" i="1" s="1"/>
  <c r="D174" i="1" l="1"/>
  <c r="AA173" i="1"/>
  <c r="AC173" i="1" s="1"/>
  <c r="W173" i="1" a="1"/>
  <c r="W173" i="1" s="1"/>
  <c r="D175" i="1" l="1"/>
  <c r="AA174" i="1"/>
  <c r="AC174" i="1" s="1"/>
  <c r="W174" i="1" a="1"/>
  <c r="W174" i="1" s="1"/>
  <c r="D176" i="1" l="1"/>
  <c r="AA175" i="1"/>
  <c r="AC175" i="1" s="1"/>
  <c r="W175" i="1" a="1"/>
  <c r="W175" i="1" s="1"/>
  <c r="D177" i="1" l="1"/>
  <c r="AA176" i="1"/>
  <c r="AC176" i="1" s="1"/>
  <c r="W176" i="1" a="1"/>
  <c r="W176" i="1" s="1"/>
  <c r="D178" i="1" l="1"/>
  <c r="AA177" i="1"/>
  <c r="AC177" i="1" s="1"/>
  <c r="W177" i="1" a="1"/>
  <c r="W177" i="1" s="1"/>
  <c r="D179" i="1" l="1"/>
  <c r="AA178" i="1"/>
  <c r="AC178" i="1" s="1"/>
  <c r="W178" i="1" a="1"/>
  <c r="W178" i="1" s="1"/>
  <c r="D180" i="1" l="1"/>
  <c r="AA179" i="1"/>
  <c r="AC179" i="1" s="1"/>
  <c r="W179" i="1" a="1"/>
  <c r="W179" i="1" s="1"/>
  <c r="D181" i="1" l="1"/>
  <c r="AA180" i="1"/>
  <c r="AC180" i="1" s="1"/>
  <c r="W180" i="1" a="1"/>
  <c r="W180" i="1" s="1"/>
  <c r="D182" i="1" l="1"/>
  <c r="AA181" i="1"/>
  <c r="AC181" i="1" s="1"/>
  <c r="W181" i="1" a="1"/>
  <c r="W181" i="1" s="1"/>
  <c r="D183" i="1" l="1"/>
  <c r="AA182" i="1"/>
  <c r="AC182" i="1" s="1"/>
  <c r="W182" i="1" a="1"/>
  <c r="W182" i="1" s="1"/>
  <c r="D184" i="1" l="1"/>
  <c r="AA183" i="1"/>
  <c r="AC183" i="1" s="1"/>
  <c r="W183" i="1" a="1"/>
  <c r="W183" i="1" s="1"/>
  <c r="D185" i="1" l="1"/>
  <c r="AA184" i="1"/>
  <c r="AC184" i="1" s="1"/>
  <c r="W184" i="1" a="1"/>
  <c r="W184" i="1" s="1"/>
  <c r="D186" i="1" l="1"/>
  <c r="AA185" i="1"/>
  <c r="AC185" i="1" s="1"/>
  <c r="W185" i="1" a="1"/>
  <c r="W185" i="1" s="1"/>
  <c r="D187" i="1" l="1"/>
  <c r="AA186" i="1"/>
  <c r="AC186" i="1" s="1"/>
  <c r="W186" i="1" a="1"/>
  <c r="W186" i="1" s="1"/>
  <c r="D188" i="1" l="1"/>
  <c r="AA187" i="1"/>
  <c r="AC187" i="1" s="1"/>
  <c r="W187" i="1" a="1"/>
  <c r="W187" i="1" s="1"/>
  <c r="D189" i="1" l="1"/>
  <c r="AA188" i="1"/>
  <c r="AC188" i="1" s="1"/>
  <c r="W188" i="1" a="1"/>
  <c r="W188" i="1" s="1"/>
  <c r="D190" i="1" l="1"/>
  <c r="AA189" i="1"/>
  <c r="AC189" i="1" s="1"/>
  <c r="W189" i="1" a="1"/>
  <c r="W189" i="1" s="1"/>
  <c r="D191" i="1" l="1"/>
  <c r="AA190" i="1"/>
  <c r="AC190" i="1" s="1"/>
  <c r="W190" i="1" a="1"/>
  <c r="W190" i="1" s="1"/>
  <c r="D192" i="1" l="1"/>
  <c r="AA191" i="1"/>
  <c r="AC191" i="1" s="1"/>
  <c r="W191" i="1" a="1"/>
  <c r="W191" i="1" s="1"/>
  <c r="D193" i="1" l="1"/>
  <c r="AA192" i="1"/>
  <c r="AC192" i="1" s="1"/>
  <c r="W192" i="1" a="1"/>
  <c r="W192" i="1" s="1"/>
  <c r="D194" i="1" l="1"/>
  <c r="AA193" i="1"/>
  <c r="AC193" i="1" s="1"/>
  <c r="W193" i="1" a="1"/>
  <c r="W193" i="1" s="1"/>
  <c r="D195" i="1" l="1"/>
  <c r="AA194" i="1"/>
  <c r="AC194" i="1" s="1"/>
  <c r="W194" i="1" a="1"/>
  <c r="W194" i="1" s="1"/>
  <c r="D196" i="1" l="1"/>
  <c r="AA195" i="1"/>
  <c r="AC195" i="1" s="1"/>
  <c r="W195" i="1" a="1"/>
  <c r="W195" i="1" s="1"/>
  <c r="D197" i="1" l="1"/>
  <c r="AA196" i="1"/>
  <c r="AC196" i="1" s="1"/>
  <c r="W196" i="1" a="1"/>
  <c r="W196" i="1" s="1"/>
  <c r="D198" i="1" l="1"/>
  <c r="AA197" i="1"/>
  <c r="AC197" i="1" s="1"/>
  <c r="W197" i="1" a="1"/>
  <c r="W197" i="1" s="1"/>
  <c r="D199" i="1" l="1"/>
  <c r="AA198" i="1"/>
  <c r="AC198" i="1" s="1"/>
  <c r="W198" i="1" a="1"/>
  <c r="W198" i="1" s="1"/>
  <c r="D200" i="1" l="1"/>
  <c r="AA199" i="1"/>
  <c r="AC199" i="1" s="1"/>
  <c r="W199" i="1" a="1"/>
  <c r="W199" i="1" s="1"/>
  <c r="D201" i="1" l="1"/>
  <c r="AA200" i="1"/>
  <c r="AC200" i="1" s="1"/>
  <c r="W200" i="1" a="1"/>
  <c r="W200" i="1" s="1"/>
  <c r="D202" i="1" l="1"/>
  <c r="AA201" i="1"/>
  <c r="AC201" i="1" s="1"/>
  <c r="W201" i="1" a="1"/>
  <c r="W201" i="1" s="1"/>
  <c r="D203" i="1" l="1"/>
  <c r="AA202" i="1"/>
  <c r="AC202" i="1" s="1"/>
  <c r="W202" i="1" a="1"/>
  <c r="W202" i="1" s="1"/>
  <c r="D204" i="1" l="1"/>
  <c r="AA203" i="1"/>
  <c r="AC203" i="1" s="1"/>
  <c r="W203" i="1" a="1"/>
  <c r="W203" i="1" s="1"/>
  <c r="D205" i="1" l="1"/>
  <c r="AA204" i="1"/>
  <c r="AC204" i="1" s="1"/>
  <c r="W204" i="1" a="1"/>
  <c r="W204" i="1" s="1"/>
  <c r="D206" i="1" l="1"/>
  <c r="AA205" i="1"/>
  <c r="AC205" i="1" s="1"/>
  <c r="W205" i="1" a="1"/>
  <c r="W205" i="1" s="1"/>
  <c r="D207" i="1" l="1"/>
  <c r="AA206" i="1"/>
  <c r="AC206" i="1" s="1"/>
  <c r="W206" i="1" a="1"/>
  <c r="W206" i="1" s="1"/>
  <c r="D208" i="1" l="1"/>
  <c r="AA207" i="1"/>
  <c r="AC207" i="1" s="1"/>
  <c r="W207" i="1" a="1"/>
  <c r="W207" i="1" s="1"/>
  <c r="D209" i="1" l="1"/>
  <c r="AA208" i="1"/>
  <c r="AC208" i="1" s="1"/>
  <c r="W208" i="1" a="1"/>
  <c r="W208" i="1" s="1"/>
  <c r="D210" i="1" l="1"/>
  <c r="AA209" i="1"/>
  <c r="AC209" i="1" s="1"/>
  <c r="W209" i="1" a="1"/>
  <c r="W209" i="1" s="1"/>
  <c r="D211" i="1" l="1"/>
  <c r="AA210" i="1"/>
  <c r="AC210" i="1" s="1"/>
  <c r="W210" i="1" a="1"/>
  <c r="W210" i="1" s="1"/>
  <c r="D212" i="1" l="1"/>
  <c r="AA211" i="1"/>
  <c r="AC211" i="1" s="1"/>
  <c r="W211" i="1" a="1"/>
  <c r="W211" i="1" s="1"/>
  <c r="D213" i="1" l="1"/>
  <c r="AA212" i="1"/>
  <c r="AC212" i="1" s="1"/>
  <c r="W212" i="1" a="1"/>
  <c r="W212" i="1" s="1"/>
  <c r="D214" i="1" l="1"/>
  <c r="AA213" i="1"/>
  <c r="AC213" i="1" s="1"/>
  <c r="W213" i="1" a="1"/>
  <c r="W213" i="1" s="1"/>
  <c r="D215" i="1" l="1"/>
  <c r="AA214" i="1"/>
  <c r="AC214" i="1" s="1"/>
  <c r="W214" i="1" a="1"/>
  <c r="W214" i="1" s="1"/>
  <c r="D216" i="1" l="1"/>
  <c r="AA215" i="1"/>
  <c r="AC215" i="1" s="1"/>
  <c r="W215" i="1" a="1"/>
  <c r="W215" i="1" s="1"/>
  <c r="D217" i="1" l="1"/>
  <c r="AA216" i="1"/>
  <c r="AC216" i="1" s="1"/>
  <c r="W216" i="1" a="1"/>
  <c r="W216" i="1" s="1"/>
  <c r="D218" i="1" l="1"/>
  <c r="AA217" i="1"/>
  <c r="AC217" i="1" s="1"/>
  <c r="W217" i="1" a="1"/>
  <c r="W217" i="1" s="1"/>
  <c r="D219" i="1" l="1"/>
  <c r="AA218" i="1"/>
  <c r="AC218" i="1" s="1"/>
  <c r="W218" i="1" a="1"/>
  <c r="W218" i="1" s="1"/>
  <c r="D220" i="1" l="1"/>
  <c r="AA219" i="1"/>
  <c r="AC219" i="1" s="1"/>
  <c r="W219" i="1" a="1"/>
  <c r="W219" i="1" s="1"/>
  <c r="D221" i="1" l="1"/>
  <c r="AA220" i="1"/>
  <c r="AC220" i="1" s="1"/>
  <c r="W220" i="1" a="1"/>
  <c r="W220" i="1" s="1"/>
  <c r="D222" i="1" l="1"/>
  <c r="AA221" i="1"/>
  <c r="AC221" i="1" s="1"/>
  <c r="W221" i="1" a="1"/>
  <c r="W221" i="1" s="1"/>
  <c r="D223" i="1" l="1"/>
  <c r="AA222" i="1"/>
  <c r="AC222" i="1" s="1"/>
  <c r="W222" i="1" a="1"/>
  <c r="W222" i="1" s="1"/>
  <c r="D224" i="1" l="1"/>
  <c r="AA223" i="1"/>
  <c r="AC223" i="1" s="1"/>
  <c r="W223" i="1" a="1"/>
  <c r="W223" i="1" s="1"/>
  <c r="Y410" i="1"/>
  <c r="X410" i="1" s="1"/>
  <c r="Y473" i="1"/>
  <c r="X473" i="1" s="1"/>
  <c r="Y488" i="1"/>
  <c r="X488" i="1" s="1"/>
  <c r="Y423" i="1"/>
  <c r="X423" i="1" s="1"/>
  <c r="Y454" i="1"/>
  <c r="X454" i="1" s="1"/>
  <c r="Y437" i="1"/>
  <c r="X437" i="1" s="1"/>
  <c r="Y468" i="1"/>
  <c r="X468" i="1" s="1"/>
  <c r="Y467" i="1"/>
  <c r="X467" i="1" s="1"/>
  <c r="Y498" i="1"/>
  <c r="X498" i="1" s="1"/>
  <c r="Y482" i="1"/>
  <c r="X482" i="1" s="1"/>
  <c r="Y466" i="1"/>
  <c r="X466" i="1" s="1"/>
  <c r="Y450" i="1"/>
  <c r="X450" i="1" s="1"/>
  <c r="Y434" i="1"/>
  <c r="X434" i="1" s="1"/>
  <c r="Y418" i="1"/>
  <c r="X418" i="1" s="1"/>
  <c r="Y402" i="1"/>
  <c r="X402" i="1" s="1"/>
  <c r="Y497" i="1"/>
  <c r="X497" i="1" s="1"/>
  <c r="Y481" i="1"/>
  <c r="X481" i="1" s="1"/>
  <c r="Y465" i="1"/>
  <c r="X465" i="1" s="1"/>
  <c r="Y449" i="1"/>
  <c r="X449" i="1" s="1"/>
  <c r="Y433" i="1"/>
  <c r="X433" i="1" s="1"/>
  <c r="Y417" i="1"/>
  <c r="X417" i="1" s="1"/>
  <c r="Y401" i="1"/>
  <c r="X401" i="1" s="1"/>
  <c r="Y474" i="1"/>
  <c r="X474" i="1" s="1"/>
  <c r="Y441" i="1"/>
  <c r="X441" i="1" s="1"/>
  <c r="Y424" i="1"/>
  <c r="X424" i="1" s="1"/>
  <c r="Y455" i="1"/>
  <c r="X455" i="1" s="1"/>
  <c r="Y422" i="1"/>
  <c r="X422" i="1" s="1"/>
  <c r="Y405" i="1"/>
  <c r="X405" i="1" s="1"/>
  <c r="Y420" i="1"/>
  <c r="X420" i="1" s="1"/>
  <c r="Y483" i="1"/>
  <c r="X483" i="1" s="1"/>
  <c r="Y496" i="1"/>
  <c r="X496" i="1" s="1"/>
  <c r="Y480" i="1"/>
  <c r="X480" i="1" s="1"/>
  <c r="Y400" i="1"/>
  <c r="X400" i="1" s="1"/>
  <c r="Y495" i="1"/>
  <c r="X495" i="1" s="1"/>
  <c r="Y479" i="1"/>
  <c r="X479" i="1" s="1"/>
  <c r="Y463" i="1"/>
  <c r="X463" i="1" s="1"/>
  <c r="Y447" i="1"/>
  <c r="X447" i="1" s="1"/>
  <c r="Y431" i="1"/>
  <c r="X431" i="1" s="1"/>
  <c r="Y415" i="1"/>
  <c r="X415" i="1" s="1"/>
  <c r="Y399" i="1"/>
  <c r="X399" i="1" s="1"/>
  <c r="Y458" i="1"/>
  <c r="X458" i="1" s="1"/>
  <c r="Y409" i="1"/>
  <c r="X409" i="1" s="1"/>
  <c r="Y472" i="1"/>
  <c r="X472" i="1" s="1"/>
  <c r="Y471" i="1"/>
  <c r="X471" i="1" s="1"/>
  <c r="Y470" i="1"/>
  <c r="X470" i="1" s="1"/>
  <c r="Y485" i="1"/>
  <c r="X485" i="1" s="1"/>
  <c r="Y404" i="1"/>
  <c r="X404" i="1" s="1"/>
  <c r="Y419" i="1"/>
  <c r="X419" i="1" s="1"/>
  <c r="Y448" i="1"/>
  <c r="X448" i="1" s="1"/>
  <c r="Y494" i="1"/>
  <c r="X494" i="1" s="1"/>
  <c r="Y478" i="1"/>
  <c r="X478" i="1" s="1"/>
  <c r="Y462" i="1"/>
  <c r="X462" i="1" s="1"/>
  <c r="Y446" i="1"/>
  <c r="X446" i="1" s="1"/>
  <c r="Y430" i="1"/>
  <c r="X430" i="1" s="1"/>
  <c r="Y414" i="1"/>
  <c r="X414" i="1" s="1"/>
  <c r="Y398" i="1"/>
  <c r="X398" i="1" s="1"/>
  <c r="Y442" i="1"/>
  <c r="X442" i="1" s="1"/>
  <c r="Y425" i="1"/>
  <c r="X425" i="1" s="1"/>
  <c r="Y408" i="1"/>
  <c r="X408" i="1" s="1"/>
  <c r="Y487" i="1"/>
  <c r="X487" i="1" s="1"/>
  <c r="Y406" i="1"/>
  <c r="X406" i="1" s="1"/>
  <c r="Y469" i="1"/>
  <c r="X469" i="1" s="1"/>
  <c r="Y436" i="1"/>
  <c r="X436" i="1" s="1"/>
  <c r="Y403" i="1"/>
  <c r="X403" i="1" s="1"/>
  <c r="Y464" i="1"/>
  <c r="X464" i="1" s="1"/>
  <c r="Y493" i="1"/>
  <c r="X493" i="1" s="1"/>
  <c r="Y477" i="1"/>
  <c r="X477" i="1" s="1"/>
  <c r="Y461" i="1"/>
  <c r="X461" i="1" s="1"/>
  <c r="Y445" i="1"/>
  <c r="X445" i="1" s="1"/>
  <c r="Y429" i="1"/>
  <c r="X429" i="1" s="1"/>
  <c r="Y413" i="1"/>
  <c r="X413" i="1" s="1"/>
  <c r="Y397" i="1"/>
  <c r="X397" i="1" s="1"/>
  <c r="Y426" i="1"/>
  <c r="X426" i="1" s="1"/>
  <c r="Y457" i="1"/>
  <c r="X457" i="1" s="1"/>
  <c r="Y440" i="1"/>
  <c r="X440" i="1" s="1"/>
  <c r="Y439" i="1"/>
  <c r="X439" i="1" s="1"/>
  <c r="Y438" i="1"/>
  <c r="X438" i="1" s="1"/>
  <c r="Y453" i="1"/>
  <c r="X453" i="1" s="1"/>
  <c r="Y484" i="1"/>
  <c r="X484" i="1" s="1"/>
  <c r="Y499" i="1"/>
  <c r="X499" i="1" s="1"/>
  <c r="Y451" i="1"/>
  <c r="X451" i="1" s="1"/>
  <c r="Y432" i="1"/>
  <c r="X432" i="1" s="1"/>
  <c r="Y492" i="1"/>
  <c r="X492" i="1" s="1"/>
  <c r="Y476" i="1"/>
  <c r="X476" i="1" s="1"/>
  <c r="Y460" i="1"/>
  <c r="X460" i="1" s="1"/>
  <c r="Y444" i="1"/>
  <c r="X444" i="1" s="1"/>
  <c r="Y428" i="1"/>
  <c r="X428" i="1" s="1"/>
  <c r="Y412" i="1"/>
  <c r="X412" i="1" s="1"/>
  <c r="Y396" i="1"/>
  <c r="X396" i="1" s="1"/>
  <c r="Y490" i="1"/>
  <c r="X490" i="1" s="1"/>
  <c r="Y489" i="1"/>
  <c r="X489" i="1" s="1"/>
  <c r="Y456" i="1"/>
  <c r="X456" i="1" s="1"/>
  <c r="Y407" i="1"/>
  <c r="X407" i="1" s="1"/>
  <c r="Y486" i="1"/>
  <c r="X486" i="1" s="1"/>
  <c r="Y421" i="1"/>
  <c r="X421" i="1" s="1"/>
  <c r="Y452" i="1"/>
  <c r="X452" i="1" s="1"/>
  <c r="Y435" i="1"/>
  <c r="X435" i="1" s="1"/>
  <c r="Y416" i="1"/>
  <c r="X416" i="1" s="1"/>
  <c r="Y491" i="1"/>
  <c r="X491" i="1" s="1"/>
  <c r="Y475" i="1"/>
  <c r="X475" i="1" s="1"/>
  <c r="Y459" i="1"/>
  <c r="X459" i="1" s="1"/>
  <c r="Y443" i="1"/>
  <c r="X443" i="1" s="1"/>
  <c r="Y427" i="1"/>
  <c r="X427" i="1" s="1"/>
  <c r="Y411" i="1"/>
  <c r="X411" i="1" s="1"/>
  <c r="Y395" i="1"/>
  <c r="X395" i="1" s="1"/>
  <c r="D225" i="1" l="1"/>
  <c r="AA224" i="1"/>
  <c r="AC224" i="1" s="1"/>
  <c r="W224" i="1" a="1"/>
  <c r="W224" i="1" s="1"/>
  <c r="D226" i="1" l="1"/>
  <c r="AA225" i="1"/>
  <c r="AC225" i="1" s="1"/>
  <c r="W225" i="1" a="1"/>
  <c r="W225" i="1" s="1"/>
  <c r="D227" i="1" l="1"/>
  <c r="AA226" i="1"/>
  <c r="AC226" i="1" s="1"/>
  <c r="W226" i="1" a="1"/>
  <c r="W226" i="1" s="1"/>
  <c r="D228" i="1" l="1"/>
  <c r="AA227" i="1"/>
  <c r="AC227" i="1" s="1"/>
  <c r="W227" i="1" a="1"/>
  <c r="W227" i="1" s="1"/>
  <c r="D229" i="1" l="1"/>
  <c r="AA228" i="1"/>
  <c r="AC228" i="1" s="1"/>
  <c r="W228" i="1" a="1"/>
  <c r="W228" i="1" s="1"/>
  <c r="D230" i="1" l="1"/>
  <c r="AA229" i="1"/>
  <c r="AC229" i="1" s="1"/>
  <c r="W229" i="1" a="1"/>
  <c r="W229" i="1" s="1"/>
  <c r="D231" i="1" l="1"/>
  <c r="AA230" i="1"/>
  <c r="AC230" i="1" s="1"/>
  <c r="W230" i="1" a="1"/>
  <c r="W230" i="1" s="1"/>
  <c r="D232" i="1" l="1"/>
  <c r="AA231" i="1"/>
  <c r="AC231" i="1" s="1"/>
  <c r="W231" i="1" a="1"/>
  <c r="W231" i="1" s="1"/>
  <c r="D233" i="1" l="1"/>
  <c r="AA232" i="1"/>
  <c r="AC232" i="1" s="1"/>
  <c r="W232" i="1" a="1"/>
  <c r="W232" i="1" s="1"/>
  <c r="D234" i="1" l="1"/>
  <c r="AA233" i="1"/>
  <c r="AC233" i="1" s="1"/>
  <c r="W233" i="1" a="1"/>
  <c r="W233" i="1" s="1"/>
  <c r="D235" i="1" l="1"/>
  <c r="AA234" i="1"/>
  <c r="AC234" i="1" s="1"/>
  <c r="W234" i="1" a="1"/>
  <c r="W234" i="1" s="1"/>
  <c r="D236" i="1" l="1"/>
  <c r="AA235" i="1"/>
  <c r="AC235" i="1" s="1"/>
  <c r="W235" i="1" a="1"/>
  <c r="W235" i="1" s="1"/>
  <c r="D237" i="1" l="1"/>
  <c r="AA236" i="1"/>
  <c r="AC236" i="1" s="1"/>
  <c r="W236" i="1" a="1"/>
  <c r="W236" i="1" s="1"/>
  <c r="D238" i="1" l="1"/>
  <c r="AA237" i="1"/>
  <c r="AC237" i="1" s="1"/>
  <c r="W237" i="1" a="1"/>
  <c r="W237" i="1" s="1"/>
  <c r="D239" i="1" l="1"/>
  <c r="AA238" i="1"/>
  <c r="AC238" i="1" s="1"/>
  <c r="W238" i="1" a="1"/>
  <c r="W238" i="1" s="1"/>
  <c r="D240" i="1" l="1"/>
  <c r="AA239" i="1"/>
  <c r="AC239" i="1" s="1"/>
  <c r="W239" i="1" a="1"/>
  <c r="W239" i="1" s="1"/>
  <c r="D241" i="1" l="1"/>
  <c r="AA240" i="1"/>
  <c r="AC240" i="1" s="1"/>
  <c r="W240" i="1" a="1"/>
  <c r="W240" i="1" s="1"/>
  <c r="D242" i="1" l="1"/>
  <c r="AA241" i="1"/>
  <c r="AC241" i="1" s="1"/>
  <c r="W241" i="1" a="1"/>
  <c r="W241" i="1" s="1"/>
  <c r="D243" i="1" l="1"/>
  <c r="AA242" i="1"/>
  <c r="AC242" i="1" s="1"/>
  <c r="W242" i="1" a="1"/>
  <c r="W242" i="1" s="1"/>
  <c r="D244" i="1" l="1"/>
  <c r="AA243" i="1"/>
  <c r="AC243" i="1" s="1"/>
  <c r="W243" i="1" a="1"/>
  <c r="W243" i="1" s="1"/>
  <c r="D245" i="1" l="1"/>
  <c r="AA244" i="1"/>
  <c r="AC244" i="1" s="1"/>
  <c r="W244" i="1" a="1"/>
  <c r="W244" i="1" s="1"/>
  <c r="D246" i="1" l="1"/>
  <c r="AA245" i="1"/>
  <c r="AC245" i="1" s="1"/>
  <c r="W245" i="1" a="1"/>
  <c r="W245" i="1" s="1"/>
  <c r="D247" i="1" l="1"/>
  <c r="AA246" i="1"/>
  <c r="AC246" i="1" s="1"/>
  <c r="W246" i="1" a="1"/>
  <c r="W246" i="1" s="1"/>
  <c r="D248" i="1" l="1"/>
  <c r="AA247" i="1"/>
  <c r="AC247" i="1" s="1"/>
  <c r="W247" i="1" a="1"/>
  <c r="W247" i="1" s="1"/>
  <c r="D249" i="1" l="1"/>
  <c r="AA248" i="1"/>
  <c r="AC248" i="1" s="1"/>
  <c r="W248" i="1" a="1"/>
  <c r="W248" i="1" s="1"/>
  <c r="D250" i="1" l="1"/>
  <c r="AA249" i="1"/>
  <c r="AC249" i="1" s="1"/>
  <c r="W249" i="1" a="1"/>
  <c r="W249" i="1" s="1"/>
  <c r="D251" i="1" l="1"/>
  <c r="AA250" i="1"/>
  <c r="AC250" i="1" s="1"/>
  <c r="W250" i="1" a="1"/>
  <c r="W250" i="1" s="1"/>
  <c r="D252" i="1" l="1"/>
  <c r="AA251" i="1"/>
  <c r="AC251" i="1" s="1"/>
  <c r="W251" i="1" a="1"/>
  <c r="W251" i="1" s="1"/>
  <c r="D253" i="1" l="1"/>
  <c r="AA252" i="1"/>
  <c r="AC252" i="1" s="1"/>
  <c r="W252" i="1" a="1"/>
  <c r="W252" i="1" s="1"/>
  <c r="D254" i="1" l="1"/>
  <c r="AA253" i="1"/>
  <c r="AC253" i="1" s="1"/>
  <c r="W253" i="1" a="1"/>
  <c r="W253" i="1" s="1"/>
  <c r="D255" i="1" l="1"/>
  <c r="AA254" i="1"/>
  <c r="AC254" i="1" s="1"/>
  <c r="W254" i="1" a="1"/>
  <c r="W254" i="1" s="1"/>
  <c r="D256" i="1" l="1"/>
  <c r="AA255" i="1"/>
  <c r="AC255" i="1" s="1"/>
  <c r="W255" i="1" a="1"/>
  <c r="W255" i="1" s="1"/>
  <c r="D257" i="1" l="1"/>
  <c r="AA256" i="1"/>
  <c r="AC256" i="1" s="1"/>
  <c r="W256" i="1" a="1"/>
  <c r="W256" i="1" s="1"/>
  <c r="D258" i="1" l="1"/>
  <c r="AA257" i="1"/>
  <c r="AC257" i="1" s="1"/>
  <c r="W257" i="1" a="1"/>
  <c r="W257" i="1" s="1"/>
  <c r="D259" i="1" l="1"/>
  <c r="AA258" i="1"/>
  <c r="AC258" i="1" s="1"/>
  <c r="W258" i="1" a="1"/>
  <c r="W258" i="1" s="1"/>
  <c r="D260" i="1" l="1"/>
  <c r="AA259" i="1"/>
  <c r="AC259" i="1" s="1"/>
  <c r="W259" i="1" a="1"/>
  <c r="W259" i="1" s="1"/>
  <c r="D261" i="1" l="1"/>
  <c r="AA260" i="1"/>
  <c r="AC260" i="1" s="1"/>
  <c r="W260" i="1" a="1"/>
  <c r="W260" i="1" s="1"/>
  <c r="D262" i="1" l="1"/>
  <c r="AA261" i="1"/>
  <c r="AC261" i="1" s="1"/>
  <c r="W261" i="1" a="1"/>
  <c r="W261" i="1" s="1"/>
  <c r="D263" i="1" l="1"/>
  <c r="AA262" i="1"/>
  <c r="AC262" i="1" s="1"/>
  <c r="W262" i="1" a="1"/>
  <c r="W262" i="1" s="1"/>
  <c r="D264" i="1" l="1"/>
  <c r="AA263" i="1"/>
  <c r="AC263" i="1" s="1"/>
  <c r="W263" i="1" a="1"/>
  <c r="W263" i="1" s="1"/>
  <c r="D265" i="1" l="1"/>
  <c r="AA264" i="1"/>
  <c r="AC264" i="1" s="1"/>
  <c r="W264" i="1" a="1"/>
  <c r="W264" i="1" s="1"/>
  <c r="D266" i="1" l="1"/>
  <c r="AA265" i="1"/>
  <c r="AC265" i="1" s="1"/>
  <c r="W265" i="1" a="1"/>
  <c r="W265" i="1" s="1"/>
  <c r="D267" i="1" l="1"/>
  <c r="AA266" i="1"/>
  <c r="AC266" i="1" s="1"/>
  <c r="W266" i="1" a="1"/>
  <c r="W266" i="1" s="1"/>
  <c r="D268" i="1" l="1"/>
  <c r="AA267" i="1"/>
  <c r="AC267" i="1" s="1"/>
  <c r="W267" i="1" a="1"/>
  <c r="W267" i="1" s="1"/>
  <c r="D269" i="1" l="1"/>
  <c r="W269" i="1" s="1" a="1"/>
  <c r="W269" i="1" s="1"/>
  <c r="AA268" i="1"/>
  <c r="AC268" i="1" s="1"/>
  <c r="W268" i="1" a="1"/>
  <c r="W268" i="1" s="1"/>
  <c r="D270" i="1" l="1"/>
  <c r="W270" i="1" s="1" a="1"/>
  <c r="W270" i="1" s="1"/>
  <c r="AA269" i="1"/>
  <c r="AC269" i="1" s="1"/>
  <c r="D271" i="1" l="1"/>
  <c r="W271" i="1" s="1" a="1"/>
  <c r="W271" i="1" s="1"/>
  <c r="AA270" i="1"/>
  <c r="AC270" i="1" s="1"/>
  <c r="D272" i="1" l="1"/>
  <c r="W272" i="1" s="1" a="1"/>
  <c r="W272" i="1" s="1"/>
  <c r="AA271" i="1"/>
  <c r="AC271" i="1" s="1"/>
  <c r="D273" i="1" l="1"/>
  <c r="W273" i="1" s="1" a="1"/>
  <c r="W273" i="1" s="1"/>
  <c r="AA272" i="1"/>
  <c r="AC272" i="1" s="1"/>
  <c r="D274" i="1" l="1"/>
  <c r="W274" i="1" s="1" a="1"/>
  <c r="W274" i="1" s="1"/>
  <c r="AA273" i="1"/>
  <c r="AC273" i="1" s="1"/>
  <c r="D275" i="1" l="1"/>
  <c r="W275" i="1" s="1" a="1"/>
  <c r="W275" i="1" s="1"/>
  <c r="AA274" i="1"/>
  <c r="AC274" i="1" s="1"/>
  <c r="D276" i="1" l="1"/>
  <c r="W276" i="1" s="1" a="1"/>
  <c r="W276" i="1" s="1"/>
  <c r="AA275" i="1"/>
  <c r="AC275" i="1" s="1"/>
  <c r="D277" i="1" l="1"/>
  <c r="W277" i="1" s="1" a="1"/>
  <c r="W277" i="1" s="1"/>
  <c r="AA276" i="1"/>
  <c r="AC276" i="1" s="1"/>
  <c r="D278" i="1" l="1"/>
  <c r="W278" i="1" s="1" a="1"/>
  <c r="W278" i="1" s="1"/>
  <c r="AA277" i="1"/>
  <c r="AC277" i="1" s="1"/>
  <c r="D279" i="1" l="1"/>
  <c r="W279" i="1" s="1" a="1"/>
  <c r="W279" i="1" s="1"/>
  <c r="AA278" i="1"/>
  <c r="AC278" i="1" s="1"/>
  <c r="D280" i="1" l="1"/>
  <c r="W280" i="1" s="1" a="1"/>
  <c r="W280" i="1" s="1"/>
  <c r="AA279" i="1"/>
  <c r="AC279" i="1" s="1"/>
  <c r="D281" i="1" l="1"/>
  <c r="W281" i="1" s="1" a="1"/>
  <c r="W281" i="1" s="1"/>
  <c r="AA280" i="1"/>
  <c r="AC280" i="1" s="1"/>
  <c r="D282" i="1" l="1"/>
  <c r="W282" i="1" s="1" a="1"/>
  <c r="W282" i="1" s="1"/>
  <c r="AA281" i="1"/>
  <c r="AC281" i="1" s="1"/>
  <c r="D283" i="1" l="1"/>
  <c r="W283" i="1" s="1" a="1"/>
  <c r="W283" i="1" s="1"/>
  <c r="AA282" i="1"/>
  <c r="AC282" i="1" s="1"/>
  <c r="D284" i="1" l="1"/>
  <c r="W284" i="1" s="1" a="1"/>
  <c r="W284" i="1" s="1"/>
  <c r="AA283" i="1"/>
  <c r="AC283" i="1" s="1"/>
  <c r="D285" i="1" l="1"/>
  <c r="W285" i="1" s="1" a="1"/>
  <c r="W285" i="1" s="1"/>
  <c r="AA284" i="1"/>
  <c r="AC284" i="1" s="1"/>
  <c r="D286" i="1" l="1"/>
  <c r="W286" i="1" s="1" a="1"/>
  <c r="W286" i="1" s="1"/>
  <c r="AA285" i="1"/>
  <c r="AC285" i="1" s="1"/>
  <c r="D287" i="1" l="1"/>
  <c r="W287" i="1" s="1" a="1"/>
  <c r="W287" i="1" s="1"/>
  <c r="AA286" i="1"/>
  <c r="AC286" i="1" s="1"/>
  <c r="D288" i="1" l="1"/>
  <c r="W288" i="1" s="1" a="1"/>
  <c r="W288" i="1" s="1"/>
  <c r="AA287" i="1"/>
  <c r="AC287" i="1" s="1"/>
  <c r="D289" i="1" l="1"/>
  <c r="W289" i="1" s="1" a="1"/>
  <c r="W289" i="1" s="1"/>
  <c r="AA288" i="1"/>
  <c r="AC288" i="1" s="1"/>
  <c r="D290" i="1" l="1"/>
  <c r="W290" i="1" s="1" a="1"/>
  <c r="W290" i="1" s="1"/>
  <c r="AA289" i="1"/>
  <c r="AC289" i="1" s="1"/>
  <c r="D291" i="1" l="1"/>
  <c r="W291" i="1" s="1" a="1"/>
  <c r="W291" i="1" s="1"/>
  <c r="AA290" i="1"/>
  <c r="AC290" i="1" s="1"/>
  <c r="D292" i="1" l="1"/>
  <c r="W292" i="1" s="1" a="1"/>
  <c r="W292" i="1" s="1"/>
  <c r="AA291" i="1"/>
  <c r="AC291" i="1" s="1"/>
  <c r="D293" i="1" l="1"/>
  <c r="W293" i="1" s="1" a="1"/>
  <c r="W293" i="1" s="1"/>
  <c r="AA292" i="1"/>
  <c r="AC292" i="1" s="1"/>
  <c r="D294" i="1" l="1"/>
  <c r="W294" i="1" s="1" a="1"/>
  <c r="W294" i="1" s="1"/>
  <c r="AA293" i="1"/>
  <c r="AC293" i="1" s="1"/>
  <c r="D295" i="1" l="1"/>
  <c r="W295" i="1" s="1" a="1"/>
  <c r="W295" i="1" s="1"/>
  <c r="AA294" i="1"/>
  <c r="AC294" i="1" s="1"/>
  <c r="D296" i="1" l="1"/>
  <c r="W296" i="1" s="1" a="1"/>
  <c r="W296" i="1" s="1"/>
  <c r="AA295" i="1"/>
  <c r="AC295" i="1" s="1"/>
  <c r="D297" i="1" l="1"/>
  <c r="W297" i="1" s="1" a="1"/>
  <c r="W297" i="1" s="1"/>
  <c r="AA296" i="1"/>
  <c r="AC296" i="1" s="1"/>
  <c r="D298" i="1" l="1"/>
  <c r="W298" i="1" s="1" a="1"/>
  <c r="W298" i="1" s="1"/>
  <c r="AA297" i="1"/>
  <c r="AC297" i="1" s="1"/>
  <c r="D299" i="1" l="1"/>
  <c r="W299" i="1" s="1" a="1"/>
  <c r="W299" i="1" s="1"/>
  <c r="AA298" i="1"/>
  <c r="AC298" i="1" s="1"/>
  <c r="D300" i="1" l="1"/>
  <c r="W300" i="1" s="1" a="1"/>
  <c r="W300" i="1" s="1"/>
  <c r="AA299" i="1"/>
  <c r="AC299" i="1" s="1"/>
  <c r="D301" i="1" l="1"/>
  <c r="W301" i="1" s="1" a="1"/>
  <c r="W301" i="1" s="1"/>
  <c r="AA300" i="1"/>
  <c r="AC300" i="1" s="1"/>
  <c r="D302" i="1" l="1"/>
  <c r="W302" i="1" s="1" a="1"/>
  <c r="W302" i="1" s="1"/>
  <c r="AA301" i="1"/>
  <c r="AC301" i="1" s="1"/>
  <c r="D303" i="1" l="1"/>
  <c r="W303" i="1" s="1" a="1"/>
  <c r="W303" i="1" s="1"/>
  <c r="AA302" i="1"/>
  <c r="AC302" i="1" s="1"/>
  <c r="D304" i="1" l="1"/>
  <c r="W304" i="1" s="1" a="1"/>
  <c r="W304" i="1" s="1"/>
  <c r="AA303" i="1"/>
  <c r="AC303" i="1" s="1"/>
  <c r="D305" i="1" l="1"/>
  <c r="W305" i="1" s="1" a="1"/>
  <c r="W305" i="1" s="1"/>
  <c r="AA304" i="1"/>
  <c r="AC304" i="1" s="1"/>
  <c r="D306" i="1" l="1"/>
  <c r="W306" i="1" s="1" a="1"/>
  <c r="W306" i="1" s="1"/>
  <c r="AA305" i="1"/>
  <c r="AC305" i="1" s="1"/>
  <c r="D307" i="1" l="1"/>
  <c r="W307" i="1" s="1" a="1"/>
  <c r="W307" i="1" s="1"/>
  <c r="AA306" i="1"/>
  <c r="AC306" i="1" s="1"/>
  <c r="D308" i="1" l="1"/>
  <c r="W308" i="1" s="1" a="1"/>
  <c r="W308" i="1" s="1"/>
  <c r="AA307" i="1"/>
  <c r="AC307" i="1" s="1"/>
  <c r="D309" i="1" l="1"/>
  <c r="W309" i="1" s="1" a="1"/>
  <c r="W309" i="1" s="1"/>
  <c r="AA308" i="1"/>
  <c r="AC308" i="1" s="1"/>
  <c r="D310" i="1" l="1"/>
  <c r="W310" i="1" s="1" a="1"/>
  <c r="W310" i="1" s="1"/>
  <c r="AA309" i="1"/>
  <c r="AC309" i="1" s="1"/>
  <c r="D311" i="1" l="1"/>
  <c r="W311" i="1" s="1" a="1"/>
  <c r="W311" i="1" s="1"/>
  <c r="AA310" i="1"/>
  <c r="AC310" i="1" s="1"/>
  <c r="D312" i="1" l="1"/>
  <c r="W312" i="1" s="1" a="1"/>
  <c r="W312" i="1" s="1"/>
  <c r="AA311" i="1"/>
  <c r="AC311" i="1" s="1"/>
  <c r="D313" i="1" l="1"/>
  <c r="W313" i="1" s="1" a="1"/>
  <c r="W313" i="1" s="1"/>
  <c r="AA312" i="1"/>
  <c r="AC312" i="1" s="1"/>
  <c r="D314" i="1" l="1"/>
  <c r="W314" i="1" s="1" a="1"/>
  <c r="W314" i="1" s="1"/>
  <c r="AA313" i="1"/>
  <c r="AC313" i="1" s="1"/>
  <c r="D315" i="1" l="1"/>
  <c r="W315" i="1" s="1" a="1"/>
  <c r="W315" i="1" s="1"/>
  <c r="AA314" i="1"/>
  <c r="AC314" i="1" s="1"/>
  <c r="D316" i="1" l="1"/>
  <c r="W316" i="1" s="1" a="1"/>
  <c r="W316" i="1" s="1"/>
  <c r="AA315" i="1"/>
  <c r="AC315" i="1" s="1"/>
  <c r="D317" i="1" l="1"/>
  <c r="W317" i="1" s="1" a="1"/>
  <c r="W317" i="1" s="1"/>
  <c r="AA316" i="1"/>
  <c r="AC316" i="1" s="1"/>
  <c r="D318" i="1" l="1"/>
  <c r="W318" i="1" s="1" a="1"/>
  <c r="W318" i="1" s="1"/>
  <c r="AA317" i="1"/>
  <c r="AC317" i="1" s="1"/>
  <c r="D319" i="1" l="1"/>
  <c r="W319" i="1" s="1" a="1"/>
  <c r="W319" i="1" s="1"/>
  <c r="AA318" i="1"/>
  <c r="AC318" i="1" s="1"/>
  <c r="D320" i="1" l="1"/>
  <c r="W320" i="1" s="1" a="1"/>
  <c r="W320" i="1" s="1"/>
  <c r="AA319" i="1"/>
  <c r="AC319" i="1" s="1"/>
  <c r="D321" i="1" l="1"/>
  <c r="W321" i="1" s="1" a="1"/>
  <c r="W321" i="1" s="1"/>
  <c r="AA320" i="1"/>
  <c r="AC320" i="1" s="1"/>
  <c r="D322" i="1" l="1"/>
  <c r="W322" i="1" s="1" a="1"/>
  <c r="W322" i="1" s="1"/>
  <c r="AA321" i="1"/>
  <c r="AC321" i="1" s="1"/>
  <c r="D323" i="1" l="1"/>
  <c r="W323" i="1" s="1" a="1"/>
  <c r="W323" i="1" s="1"/>
  <c r="AA322" i="1"/>
  <c r="AC322" i="1" s="1"/>
  <c r="D324" i="1" l="1"/>
  <c r="W324" i="1" s="1" a="1"/>
  <c r="W324" i="1" s="1"/>
  <c r="AA323" i="1"/>
  <c r="AC323" i="1" s="1"/>
  <c r="D325" i="1" l="1"/>
  <c r="W325" i="1" s="1" a="1"/>
  <c r="W325" i="1" s="1"/>
  <c r="AA324" i="1"/>
  <c r="AC324" i="1" s="1"/>
  <c r="D326" i="1" l="1"/>
  <c r="W326" i="1" s="1" a="1"/>
  <c r="W326" i="1" s="1"/>
  <c r="AA325" i="1"/>
  <c r="AC325" i="1" s="1"/>
  <c r="D327" i="1" l="1"/>
  <c r="W327" i="1" s="1" a="1"/>
  <c r="W327" i="1" s="1"/>
  <c r="AA326" i="1"/>
  <c r="AC326" i="1" s="1"/>
  <c r="D328" i="1" l="1"/>
  <c r="W328" i="1" s="1" a="1"/>
  <c r="W328" i="1" s="1"/>
  <c r="AA327" i="1"/>
  <c r="AC327" i="1" s="1"/>
  <c r="D329" i="1" l="1"/>
  <c r="W329" i="1" s="1" a="1"/>
  <c r="W329" i="1" s="1"/>
  <c r="AA328" i="1"/>
  <c r="AC328" i="1" s="1"/>
  <c r="D330" i="1" l="1"/>
  <c r="W330" i="1" s="1" a="1"/>
  <c r="W330" i="1" s="1"/>
  <c r="AA329" i="1"/>
  <c r="AC329" i="1" s="1"/>
  <c r="D331" i="1" l="1"/>
  <c r="W331" i="1" s="1" a="1"/>
  <c r="W331" i="1" s="1"/>
  <c r="AA330" i="1"/>
  <c r="AC330" i="1" s="1"/>
  <c r="D332" i="1" l="1"/>
  <c r="W332" i="1" s="1" a="1"/>
  <c r="W332" i="1" s="1"/>
  <c r="AA331" i="1"/>
  <c r="AC331" i="1" s="1"/>
  <c r="D333" i="1" l="1"/>
  <c r="W333" i="1" s="1" a="1"/>
  <c r="W333" i="1" s="1"/>
  <c r="AA332" i="1"/>
  <c r="AC332" i="1" s="1"/>
  <c r="D334" i="1" l="1"/>
  <c r="W334" i="1" s="1" a="1"/>
  <c r="W334" i="1" s="1"/>
  <c r="AA333" i="1"/>
  <c r="AC333" i="1" s="1"/>
  <c r="D335" i="1" l="1"/>
  <c r="W335" i="1" s="1" a="1"/>
  <c r="W335" i="1" s="1"/>
  <c r="AA334" i="1"/>
  <c r="AC334" i="1" s="1"/>
  <c r="D336" i="1" l="1"/>
  <c r="W336" i="1" s="1" a="1"/>
  <c r="W336" i="1" s="1"/>
  <c r="AA335" i="1"/>
  <c r="AC335" i="1" s="1"/>
  <c r="D337" i="1" l="1"/>
  <c r="W337" i="1" s="1" a="1"/>
  <c r="W337" i="1" s="1"/>
  <c r="AA336" i="1"/>
  <c r="AC336" i="1" s="1"/>
  <c r="D338" i="1" l="1"/>
  <c r="W338" i="1" s="1" a="1"/>
  <c r="W338" i="1" s="1"/>
  <c r="AA337" i="1"/>
  <c r="AC337" i="1" s="1"/>
  <c r="D339" i="1" l="1"/>
  <c r="W339" i="1" s="1" a="1"/>
  <c r="W339" i="1" s="1"/>
  <c r="AA338" i="1"/>
  <c r="AC338" i="1" s="1"/>
  <c r="D340" i="1" l="1"/>
  <c r="W340" i="1" s="1" a="1"/>
  <c r="W340" i="1" s="1"/>
  <c r="AA339" i="1"/>
  <c r="AC339" i="1" s="1"/>
  <c r="D341" i="1" l="1"/>
  <c r="W341" i="1" s="1" a="1"/>
  <c r="W341" i="1" s="1"/>
  <c r="AA340" i="1"/>
  <c r="AC340" i="1" s="1"/>
  <c r="D342" i="1" l="1"/>
  <c r="W342" i="1" s="1" a="1"/>
  <c r="W342" i="1" s="1"/>
  <c r="AA341" i="1"/>
  <c r="AC341" i="1" s="1"/>
  <c r="D343" i="1" l="1"/>
  <c r="W343" i="1" s="1" a="1"/>
  <c r="W343" i="1" s="1"/>
  <c r="AA342" i="1"/>
  <c r="AC342" i="1" s="1"/>
  <c r="D344" i="1" l="1"/>
  <c r="W344" i="1" s="1" a="1"/>
  <c r="W344" i="1" s="1"/>
  <c r="AA343" i="1"/>
  <c r="AC343" i="1" s="1"/>
  <c r="D345" i="1" l="1"/>
  <c r="W345" i="1" s="1" a="1"/>
  <c r="W345" i="1" s="1"/>
  <c r="AA344" i="1"/>
  <c r="AC344" i="1" s="1"/>
  <c r="D346" i="1" l="1"/>
  <c r="W346" i="1" s="1" a="1"/>
  <c r="W346" i="1" s="1"/>
  <c r="AA345" i="1"/>
  <c r="AC345" i="1" s="1"/>
  <c r="D347" i="1" l="1"/>
  <c r="W347" i="1" s="1" a="1"/>
  <c r="W347" i="1" s="1"/>
  <c r="AA346" i="1"/>
  <c r="AC346" i="1" s="1"/>
  <c r="D348" i="1" l="1"/>
  <c r="W348" i="1" s="1" a="1"/>
  <c r="W348" i="1" s="1"/>
  <c r="AA347" i="1"/>
  <c r="AC347" i="1" s="1"/>
  <c r="D349" i="1" l="1"/>
  <c r="AA348" i="1"/>
  <c r="AC348" i="1" s="1"/>
  <c r="W11" i="8" l="1"/>
  <c r="W44" i="8"/>
  <c r="W72" i="8"/>
  <c r="W349" i="1" a="1"/>
  <c r="W349" i="1" s="1"/>
  <c r="D350" i="1"/>
  <c r="W350" i="1" s="1" a="1"/>
  <c r="W350" i="1" s="1"/>
  <c r="AA349" i="1"/>
  <c r="AC349" i="1" s="1"/>
  <c r="D351" i="1" l="1"/>
  <c r="W351" i="1" s="1" a="1"/>
  <c r="W351" i="1" s="1"/>
  <c r="AA350" i="1"/>
  <c r="AC350" i="1" s="1"/>
  <c r="D352" i="1" l="1"/>
  <c r="W352" i="1" s="1" a="1"/>
  <c r="W352" i="1" s="1"/>
  <c r="AA351" i="1"/>
  <c r="AC351" i="1" s="1"/>
  <c r="D353" i="1" l="1"/>
  <c r="W353" i="1" s="1" a="1"/>
  <c r="W353" i="1" s="1"/>
  <c r="AA352" i="1"/>
  <c r="AC352" i="1" s="1"/>
  <c r="D354" i="1" l="1"/>
  <c r="W354" i="1" s="1" a="1"/>
  <c r="W354" i="1" s="1"/>
  <c r="AA353" i="1"/>
  <c r="AC353" i="1" s="1"/>
  <c r="D355" i="1" l="1"/>
  <c r="W355" i="1" s="1" a="1"/>
  <c r="W355" i="1" s="1"/>
  <c r="AA354" i="1"/>
  <c r="AC354" i="1" s="1"/>
  <c r="D356" i="1" l="1"/>
  <c r="W356" i="1" s="1" a="1"/>
  <c r="W356" i="1" s="1"/>
  <c r="AA355" i="1"/>
  <c r="AC355" i="1" s="1"/>
  <c r="D357" i="1" l="1"/>
  <c r="W357" i="1" s="1" a="1"/>
  <c r="W357" i="1" s="1"/>
  <c r="AA356" i="1"/>
  <c r="AC356" i="1" s="1"/>
  <c r="D358" i="1" l="1"/>
  <c r="W358" i="1" s="1" a="1"/>
  <c r="W358" i="1" s="1"/>
  <c r="AA357" i="1"/>
  <c r="AC357" i="1" s="1"/>
  <c r="D359" i="1" l="1"/>
  <c r="W359" i="1" s="1" a="1"/>
  <c r="W359" i="1" s="1"/>
  <c r="AA358" i="1"/>
  <c r="AC358" i="1" s="1"/>
  <c r="D360" i="1" l="1"/>
  <c r="W360" i="1" s="1" a="1"/>
  <c r="W360" i="1" s="1"/>
  <c r="AA359" i="1"/>
  <c r="AC359" i="1" s="1"/>
  <c r="D361" i="1" l="1"/>
  <c r="W361" i="1" s="1" a="1"/>
  <c r="W361" i="1" s="1"/>
  <c r="AA360" i="1"/>
  <c r="AC360" i="1" s="1"/>
  <c r="D362" i="1" l="1"/>
  <c r="W362" i="1" s="1" a="1"/>
  <c r="W362" i="1" s="1"/>
  <c r="AA361" i="1"/>
  <c r="AC361" i="1" s="1"/>
  <c r="D363" i="1" l="1"/>
  <c r="W363" i="1" s="1" a="1"/>
  <c r="W363" i="1" s="1"/>
  <c r="AA362" i="1"/>
  <c r="AC362" i="1" s="1"/>
  <c r="D364" i="1" l="1"/>
  <c r="W364" i="1" s="1" a="1"/>
  <c r="W364" i="1" s="1"/>
  <c r="AA363" i="1"/>
  <c r="AC363" i="1" s="1"/>
  <c r="D365" i="1" l="1"/>
  <c r="W365" i="1" s="1" a="1"/>
  <c r="W365" i="1" s="1"/>
  <c r="AA364" i="1"/>
  <c r="AC364" i="1" s="1"/>
  <c r="D366" i="1" l="1"/>
  <c r="W366" i="1" s="1" a="1"/>
  <c r="W366" i="1" s="1"/>
  <c r="AA365" i="1"/>
  <c r="AC365" i="1" s="1"/>
  <c r="D367" i="1" l="1"/>
  <c r="W367" i="1" s="1" a="1"/>
  <c r="W367" i="1" s="1"/>
  <c r="AA366" i="1"/>
  <c r="AC366" i="1" s="1"/>
  <c r="D368" i="1" l="1"/>
  <c r="W368" i="1" s="1" a="1"/>
  <c r="W368" i="1" s="1"/>
  <c r="AA367" i="1"/>
  <c r="AC367" i="1" s="1"/>
  <c r="D369" i="1" l="1"/>
  <c r="W369" i="1" s="1" a="1"/>
  <c r="W369" i="1" s="1"/>
  <c r="AA368" i="1"/>
  <c r="AC368" i="1" s="1"/>
  <c r="D370" i="1" l="1"/>
  <c r="W370" i="1" s="1" a="1"/>
  <c r="W370" i="1" s="1"/>
  <c r="AA369" i="1"/>
  <c r="AC369" i="1" s="1"/>
  <c r="D371" i="1" l="1"/>
  <c r="W371" i="1" s="1" a="1"/>
  <c r="W371" i="1" s="1"/>
  <c r="AA370" i="1"/>
  <c r="AC370" i="1" s="1"/>
  <c r="D372" i="1" l="1"/>
  <c r="W372" i="1" s="1" a="1"/>
  <c r="W372" i="1" s="1"/>
  <c r="AA371" i="1"/>
  <c r="AC371" i="1" s="1"/>
  <c r="D373" i="1" l="1"/>
  <c r="W373" i="1" s="1" a="1"/>
  <c r="W373" i="1" s="1"/>
  <c r="AA372" i="1"/>
  <c r="AC372" i="1" s="1"/>
  <c r="D374" i="1" l="1"/>
  <c r="W374" i="1" s="1" a="1"/>
  <c r="W374" i="1" s="1"/>
  <c r="AA373" i="1"/>
  <c r="AC373" i="1" s="1"/>
  <c r="D375" i="1" l="1"/>
  <c r="W375" i="1" s="1" a="1"/>
  <c r="W375" i="1" s="1"/>
  <c r="AA374" i="1"/>
  <c r="AC374" i="1" s="1"/>
  <c r="D376" i="1" l="1"/>
  <c r="W376" i="1" s="1" a="1"/>
  <c r="W376" i="1" s="1"/>
  <c r="AA375" i="1"/>
  <c r="AC375" i="1" s="1"/>
  <c r="D377" i="1" l="1"/>
  <c r="W377" i="1" s="1" a="1"/>
  <c r="W377" i="1" s="1"/>
  <c r="AA376" i="1"/>
  <c r="AC376" i="1" s="1"/>
  <c r="D378" i="1" l="1"/>
  <c r="W378" i="1" s="1" a="1"/>
  <c r="W378" i="1" s="1"/>
  <c r="AA377" i="1"/>
  <c r="AC377" i="1" s="1"/>
  <c r="D379" i="1" l="1"/>
  <c r="W379" i="1" s="1" a="1"/>
  <c r="W379" i="1" s="1"/>
  <c r="AA378" i="1"/>
  <c r="AC378" i="1" s="1"/>
  <c r="D380" i="1" l="1"/>
  <c r="W380" i="1" s="1" a="1"/>
  <c r="W380" i="1" s="1"/>
  <c r="AA379" i="1"/>
  <c r="AC379" i="1" s="1"/>
  <c r="D381" i="1" l="1"/>
  <c r="W381" i="1" s="1" a="1"/>
  <c r="W381" i="1" s="1"/>
  <c r="AA380" i="1"/>
  <c r="AC380" i="1" s="1"/>
  <c r="D382" i="1" l="1"/>
  <c r="W382" i="1" s="1" a="1"/>
  <c r="W382" i="1" s="1"/>
  <c r="AA381" i="1"/>
  <c r="AC381" i="1" s="1"/>
  <c r="D383" i="1" l="1"/>
  <c r="W383" i="1" s="1" a="1"/>
  <c r="W383" i="1" s="1"/>
  <c r="AA382" i="1"/>
  <c r="AC382" i="1" s="1"/>
  <c r="D384" i="1" l="1"/>
  <c r="W384" i="1" s="1" a="1"/>
  <c r="W384" i="1" s="1"/>
  <c r="AA383" i="1"/>
  <c r="AC383" i="1" s="1"/>
  <c r="D385" i="1" l="1"/>
  <c r="W385" i="1" s="1" a="1"/>
  <c r="W385" i="1" s="1"/>
  <c r="AA384" i="1"/>
  <c r="AC384" i="1" s="1"/>
  <c r="D386" i="1" l="1"/>
  <c r="W386" i="1" s="1" a="1"/>
  <c r="W386" i="1" s="1"/>
  <c r="AA385" i="1"/>
  <c r="AC385" i="1" s="1"/>
  <c r="D387" i="1" l="1"/>
  <c r="W387" i="1" s="1" a="1"/>
  <c r="W387" i="1" s="1"/>
  <c r="AA386" i="1"/>
  <c r="AC386" i="1" s="1"/>
  <c r="D388" i="1" l="1"/>
  <c r="W388" i="1" s="1" a="1"/>
  <c r="W388" i="1" s="1"/>
  <c r="AA387" i="1"/>
  <c r="AC387" i="1" s="1"/>
  <c r="D389" i="1" l="1"/>
  <c r="W389" i="1" s="1" a="1"/>
  <c r="W389" i="1" s="1"/>
  <c r="AA388" i="1"/>
  <c r="AC388" i="1" s="1"/>
  <c r="D390" i="1" l="1"/>
  <c r="W390" i="1" s="1" a="1"/>
  <c r="W390" i="1" s="1"/>
  <c r="AA389" i="1"/>
  <c r="AC389" i="1" s="1"/>
  <c r="D391" i="1" l="1"/>
  <c r="W391" i="1" s="1" a="1"/>
  <c r="W391" i="1" s="1"/>
  <c r="AA390" i="1"/>
  <c r="AC390" i="1" s="1"/>
  <c r="D392" i="1" l="1"/>
  <c r="W392" i="1" s="1" a="1"/>
  <c r="W392" i="1" s="1"/>
  <c r="AA391" i="1"/>
  <c r="AC391" i="1" s="1"/>
  <c r="D393" i="1" l="1"/>
  <c r="W393" i="1" s="1" a="1"/>
  <c r="W393" i="1" s="1"/>
  <c r="AA392" i="1"/>
  <c r="AC392" i="1" s="1"/>
  <c r="D394" i="1" l="1"/>
  <c r="W394" i="1" s="1" a="1"/>
  <c r="W394" i="1" s="1"/>
  <c r="AA393" i="1"/>
  <c r="AC393" i="1" s="1"/>
  <c r="D395" i="1" l="1"/>
  <c r="W395" i="1" s="1" a="1"/>
  <c r="W395" i="1" s="1"/>
  <c r="AA394" i="1"/>
  <c r="AC394" i="1" s="1"/>
  <c r="D396" i="1" l="1"/>
  <c r="W396" i="1" s="1" a="1"/>
  <c r="W396" i="1" s="1"/>
  <c r="AA395" i="1"/>
  <c r="AC395" i="1" s="1"/>
  <c r="D397" i="1" l="1"/>
  <c r="W397" i="1" s="1" a="1"/>
  <c r="W397" i="1" s="1"/>
  <c r="AA396" i="1"/>
  <c r="AC396" i="1" s="1"/>
  <c r="D398" i="1" l="1"/>
  <c r="W398" i="1" s="1" a="1"/>
  <c r="W398" i="1" s="1"/>
  <c r="AA397" i="1"/>
  <c r="AC397" i="1" s="1"/>
  <c r="D399" i="1" l="1"/>
  <c r="W399" i="1" s="1" a="1"/>
  <c r="W399" i="1" s="1"/>
  <c r="AA398" i="1"/>
  <c r="AC398" i="1" s="1"/>
  <c r="D400" i="1" l="1"/>
  <c r="W400" i="1" s="1" a="1"/>
  <c r="W400" i="1" s="1"/>
  <c r="AA399" i="1"/>
  <c r="AC399" i="1" s="1"/>
  <c r="D401" i="1" l="1"/>
  <c r="W401" i="1" s="1" a="1"/>
  <c r="W401" i="1" s="1"/>
  <c r="AA400" i="1"/>
  <c r="AC400" i="1" s="1"/>
  <c r="D402" i="1" l="1"/>
  <c r="W402" i="1" s="1" a="1"/>
  <c r="W402" i="1" s="1"/>
  <c r="AA401" i="1"/>
  <c r="AC401" i="1" s="1"/>
  <c r="D403" i="1" l="1"/>
  <c r="W403" i="1" s="1" a="1"/>
  <c r="W403" i="1" s="1"/>
  <c r="AA402" i="1"/>
  <c r="AC402" i="1" s="1"/>
  <c r="D404" i="1" l="1"/>
  <c r="W404" i="1" s="1" a="1"/>
  <c r="W404" i="1" s="1"/>
  <c r="AA403" i="1"/>
  <c r="AC403" i="1" s="1"/>
  <c r="D405" i="1" l="1"/>
  <c r="W405" i="1" s="1" a="1"/>
  <c r="W405" i="1" s="1"/>
  <c r="AA404" i="1"/>
  <c r="AC404" i="1" s="1"/>
  <c r="D406" i="1" l="1"/>
  <c r="W406" i="1" s="1" a="1"/>
  <c r="W406" i="1" s="1"/>
  <c r="AA405" i="1"/>
  <c r="AC405" i="1" s="1"/>
  <c r="D407" i="1" l="1"/>
  <c r="W407" i="1" s="1" a="1"/>
  <c r="W407" i="1" s="1"/>
  <c r="AA406" i="1"/>
  <c r="AC406" i="1" s="1"/>
  <c r="D408" i="1" l="1"/>
  <c r="W408" i="1" s="1" a="1"/>
  <c r="W408" i="1" s="1"/>
  <c r="AA407" i="1"/>
  <c r="AC407" i="1" s="1"/>
  <c r="D409" i="1" l="1"/>
  <c r="W409" i="1" s="1" a="1"/>
  <c r="W409" i="1" s="1"/>
  <c r="AA408" i="1"/>
  <c r="AC408" i="1" s="1"/>
  <c r="D410" i="1" l="1"/>
  <c r="W410" i="1" s="1" a="1"/>
  <c r="W410" i="1" s="1"/>
  <c r="AA409" i="1"/>
  <c r="AC409" i="1" s="1"/>
  <c r="D411" i="1" l="1"/>
  <c r="W411" i="1" s="1" a="1"/>
  <c r="W411" i="1" s="1"/>
  <c r="AA410" i="1"/>
  <c r="AC410" i="1" s="1"/>
  <c r="D412" i="1" l="1"/>
  <c r="W412" i="1" s="1" a="1"/>
  <c r="W412" i="1" s="1"/>
  <c r="AA411" i="1"/>
  <c r="AC411" i="1" s="1"/>
  <c r="D413" i="1" l="1"/>
  <c r="W413" i="1" s="1" a="1"/>
  <c r="W413" i="1" s="1"/>
  <c r="AA412" i="1"/>
  <c r="AC412" i="1" s="1"/>
  <c r="D414" i="1" l="1"/>
  <c r="W414" i="1" s="1" a="1"/>
  <c r="W414" i="1" s="1"/>
  <c r="AA413" i="1"/>
  <c r="AC413" i="1" s="1"/>
  <c r="D415" i="1" l="1"/>
  <c r="W415" i="1" s="1" a="1"/>
  <c r="W415" i="1" s="1"/>
  <c r="AA414" i="1"/>
  <c r="AC414" i="1" s="1"/>
  <c r="D416" i="1" l="1"/>
  <c r="W416" i="1" s="1" a="1"/>
  <c r="W416" i="1" s="1"/>
  <c r="AA415" i="1"/>
  <c r="AC415" i="1" s="1"/>
  <c r="D417" i="1" l="1"/>
  <c r="AA416" i="1"/>
  <c r="AC416" i="1" s="1"/>
  <c r="D418" i="1" l="1"/>
  <c r="AA417" i="1"/>
  <c r="AC417" i="1" s="1"/>
  <c r="D419" i="1" l="1"/>
  <c r="AA418" i="1"/>
  <c r="AC418" i="1" s="1"/>
  <c r="D420" i="1" l="1"/>
  <c r="AA419" i="1"/>
  <c r="AC419" i="1" s="1"/>
  <c r="D421" i="1" l="1"/>
  <c r="AA420" i="1"/>
  <c r="AC420" i="1" s="1"/>
  <c r="D422" i="1" l="1"/>
  <c r="AA421" i="1"/>
  <c r="AC421" i="1" s="1"/>
  <c r="D423" i="1" l="1"/>
  <c r="AA422" i="1"/>
  <c r="AC422" i="1" s="1"/>
  <c r="D424" i="1" l="1"/>
  <c r="AA423" i="1"/>
  <c r="AC423" i="1" s="1"/>
  <c r="D425" i="1" l="1"/>
  <c r="W425" i="1" s="1" a="1"/>
  <c r="W425" i="1" s="1"/>
  <c r="AA424" i="1"/>
  <c r="AC424" i="1" s="1"/>
  <c r="D426" i="1" l="1"/>
  <c r="W426" i="1" s="1" a="1"/>
  <c r="W426" i="1" s="1"/>
  <c r="AA425" i="1"/>
  <c r="AC425" i="1" s="1"/>
  <c r="D427" i="1" l="1"/>
  <c r="W427" i="1" s="1" a="1"/>
  <c r="W427" i="1" s="1"/>
  <c r="AA426" i="1"/>
  <c r="AC426" i="1" s="1"/>
  <c r="D428" i="1" l="1"/>
  <c r="W428" i="1" s="1" a="1"/>
  <c r="W428" i="1" s="1"/>
  <c r="AA427" i="1"/>
  <c r="AC427" i="1" s="1"/>
  <c r="D429" i="1" l="1"/>
  <c r="W429" i="1" s="1" a="1"/>
  <c r="W429" i="1" s="1"/>
  <c r="AA428" i="1"/>
  <c r="AC428" i="1" s="1"/>
  <c r="D430" i="1" l="1"/>
  <c r="W430" i="1" s="1" a="1"/>
  <c r="W430" i="1" s="1"/>
  <c r="AA429" i="1"/>
  <c r="AC429" i="1" s="1"/>
  <c r="D431" i="1" l="1"/>
  <c r="W431" i="1" s="1" a="1"/>
  <c r="W431" i="1" s="1"/>
  <c r="AA430" i="1"/>
  <c r="AC430" i="1" s="1"/>
  <c r="D432" i="1" l="1"/>
  <c r="W432" i="1" s="1" a="1"/>
  <c r="W432" i="1" s="1"/>
  <c r="AA431" i="1"/>
  <c r="AC431" i="1" s="1"/>
  <c r="D433" i="1" l="1"/>
  <c r="W433" i="1" s="1" a="1"/>
  <c r="W433" i="1" s="1"/>
  <c r="AA432" i="1"/>
  <c r="AC432" i="1" s="1"/>
  <c r="D434" i="1" l="1"/>
  <c r="W434" i="1" s="1" a="1"/>
  <c r="W434" i="1" s="1"/>
  <c r="AA433" i="1"/>
  <c r="AC433" i="1" s="1"/>
  <c r="D435" i="1" l="1"/>
  <c r="W435" i="1" s="1" a="1"/>
  <c r="W435" i="1" s="1"/>
  <c r="AA434" i="1"/>
  <c r="AC434" i="1" s="1"/>
  <c r="D436" i="1" l="1"/>
  <c r="W436" i="1" s="1" a="1"/>
  <c r="W436" i="1" s="1"/>
  <c r="AA435" i="1"/>
  <c r="AC435" i="1" s="1"/>
  <c r="D437" i="1" l="1"/>
  <c r="AA436" i="1"/>
  <c r="AC436" i="1" s="1"/>
  <c r="D438" i="1" l="1"/>
  <c r="AA437" i="1"/>
  <c r="AC437" i="1" s="1"/>
  <c r="D439" i="1" l="1"/>
  <c r="W439" i="1" s="1" a="1"/>
  <c r="W439" i="1" s="1"/>
  <c r="AA438" i="1"/>
  <c r="AC438" i="1" s="1"/>
  <c r="D440" i="1" l="1"/>
  <c r="W440" i="1" s="1" a="1"/>
  <c r="W440" i="1" s="1"/>
  <c r="AA439" i="1"/>
  <c r="AC439" i="1" s="1"/>
  <c r="D441" i="1" l="1"/>
  <c r="W441" i="1" s="1" a="1"/>
  <c r="W441" i="1" s="1"/>
  <c r="AA440" i="1"/>
  <c r="AC440" i="1" s="1"/>
  <c r="D442" i="1" l="1"/>
  <c r="W442" i="1" s="1" a="1"/>
  <c r="W442" i="1" s="1"/>
  <c r="AA441" i="1"/>
  <c r="AC441" i="1" s="1"/>
  <c r="D443" i="1" l="1"/>
  <c r="W443" i="1" s="1" a="1"/>
  <c r="W443" i="1" s="1"/>
  <c r="AA442" i="1"/>
  <c r="AC442" i="1" s="1"/>
  <c r="D444" i="1" l="1"/>
  <c r="W444" i="1" s="1" a="1"/>
  <c r="W444" i="1" s="1"/>
  <c r="AA443" i="1"/>
  <c r="AC443" i="1" s="1"/>
  <c r="D445" i="1" l="1"/>
  <c r="W445" i="1" s="1" a="1"/>
  <c r="W445" i="1" s="1"/>
  <c r="AA444" i="1"/>
  <c r="AC444" i="1" s="1"/>
  <c r="D446" i="1" l="1"/>
  <c r="W446" i="1" s="1" a="1"/>
  <c r="W446" i="1" s="1"/>
  <c r="AA445" i="1"/>
  <c r="AC445" i="1" s="1"/>
  <c r="D447" i="1" l="1"/>
  <c r="W447" i="1" s="1" a="1"/>
  <c r="W447" i="1" s="1"/>
  <c r="AA446" i="1"/>
  <c r="AC446" i="1" s="1"/>
  <c r="D448" i="1" l="1"/>
  <c r="W448" i="1" s="1" a="1"/>
  <c r="W448" i="1" s="1"/>
  <c r="AA447" i="1"/>
  <c r="AC447" i="1" s="1"/>
  <c r="D449" i="1" l="1"/>
  <c r="W449" i="1" s="1" a="1"/>
  <c r="W449" i="1" s="1"/>
  <c r="AA448" i="1"/>
  <c r="AC448" i="1" s="1"/>
  <c r="D450" i="1" l="1"/>
  <c r="W450" i="1" s="1" a="1"/>
  <c r="W450" i="1" s="1"/>
  <c r="AA449" i="1"/>
  <c r="AC449" i="1" s="1"/>
  <c r="D451" i="1" l="1"/>
  <c r="W451" i="1" s="1" a="1"/>
  <c r="W451" i="1" s="1"/>
  <c r="AA450" i="1"/>
  <c r="AC450" i="1" s="1"/>
  <c r="D452" i="1" l="1"/>
  <c r="W452" i="1" s="1" a="1"/>
  <c r="W452" i="1" s="1"/>
  <c r="AA451" i="1"/>
  <c r="AC451" i="1" s="1"/>
  <c r="D453" i="1" l="1"/>
  <c r="W453" i="1" s="1" a="1"/>
  <c r="W453" i="1" s="1"/>
  <c r="AA452" i="1"/>
  <c r="AC452" i="1" s="1"/>
  <c r="D454" i="1" l="1"/>
  <c r="W454" i="1" s="1" a="1"/>
  <c r="W454" i="1" s="1"/>
  <c r="AA453" i="1"/>
  <c r="AC453" i="1" s="1"/>
  <c r="D455" i="1" l="1"/>
  <c r="W455" i="1" s="1" a="1"/>
  <c r="W455" i="1" s="1"/>
  <c r="AA454" i="1"/>
  <c r="AC454" i="1" s="1"/>
  <c r="D456" i="1" l="1"/>
  <c r="W456" i="1" s="1" a="1"/>
  <c r="W456" i="1" s="1"/>
  <c r="AA455" i="1"/>
  <c r="AC455" i="1" s="1"/>
  <c r="D457" i="1" l="1"/>
  <c r="W457" i="1" s="1" a="1"/>
  <c r="W457" i="1" s="1"/>
  <c r="AA456" i="1"/>
  <c r="AC456" i="1" s="1"/>
  <c r="D458" i="1" l="1"/>
  <c r="W458" i="1" s="1" a="1"/>
  <c r="W458" i="1" s="1"/>
  <c r="AA457" i="1"/>
  <c r="AC457" i="1" s="1"/>
  <c r="D459" i="1" l="1"/>
  <c r="AA458" i="1"/>
  <c r="AC458" i="1" s="1"/>
  <c r="D460" i="1" l="1"/>
  <c r="AA459" i="1"/>
  <c r="AC459" i="1" s="1"/>
  <c r="D461" i="1" l="1"/>
  <c r="AA460" i="1"/>
  <c r="AC460" i="1" s="1"/>
  <c r="D462" i="1" l="1"/>
  <c r="AA461" i="1"/>
  <c r="AC461" i="1" s="1"/>
  <c r="D463" i="1" l="1"/>
  <c r="W463" i="1" s="1" a="1"/>
  <c r="W463" i="1" s="1"/>
  <c r="AA462" i="1"/>
  <c r="AC462" i="1" s="1"/>
  <c r="D464" i="1" l="1"/>
  <c r="W464" i="1" s="1" a="1"/>
  <c r="W464" i="1" s="1"/>
  <c r="AA463" i="1"/>
  <c r="AC463" i="1" s="1"/>
  <c r="D465" i="1" l="1"/>
  <c r="W465" i="1" s="1" a="1"/>
  <c r="W465" i="1" s="1"/>
  <c r="AA464" i="1"/>
  <c r="AC464" i="1" s="1"/>
  <c r="D466" i="1" l="1"/>
  <c r="W466" i="1" s="1" a="1"/>
  <c r="W466" i="1" s="1"/>
  <c r="AA465" i="1"/>
  <c r="AC465" i="1" s="1"/>
  <c r="D467" i="1" l="1"/>
  <c r="W467" i="1" s="1" a="1"/>
  <c r="W467" i="1" s="1"/>
  <c r="AA466" i="1"/>
  <c r="AC466" i="1" s="1"/>
  <c r="D468" i="1" l="1"/>
  <c r="W468" i="1" s="1" a="1"/>
  <c r="W468" i="1" s="1"/>
  <c r="AA467" i="1"/>
  <c r="AC467" i="1" s="1"/>
  <c r="D469" i="1" l="1"/>
  <c r="W469" i="1" s="1" a="1"/>
  <c r="W469" i="1" s="1"/>
  <c r="AA468" i="1"/>
  <c r="AC468" i="1" s="1"/>
  <c r="D470" i="1" l="1"/>
  <c r="W470" i="1" s="1" a="1"/>
  <c r="W470" i="1" s="1"/>
  <c r="AA469" i="1"/>
  <c r="AC469" i="1" s="1"/>
  <c r="D471" i="1" l="1"/>
  <c r="W471" i="1" s="1" a="1"/>
  <c r="W471" i="1" s="1"/>
  <c r="AA470" i="1"/>
  <c r="AC470" i="1" s="1"/>
  <c r="D472" i="1" l="1"/>
  <c r="W472" i="1" s="1" a="1"/>
  <c r="W472" i="1" s="1"/>
  <c r="AA471" i="1"/>
  <c r="AC471" i="1" s="1"/>
  <c r="D473" i="1" l="1"/>
  <c r="W473" i="1" s="1" a="1"/>
  <c r="W473" i="1" s="1"/>
  <c r="AA472" i="1"/>
  <c r="AC472" i="1" s="1"/>
  <c r="D474" i="1" l="1"/>
  <c r="W474" i="1" s="1" a="1"/>
  <c r="W474" i="1" s="1"/>
  <c r="AA473" i="1"/>
  <c r="AC473" i="1" s="1"/>
  <c r="D475" i="1" l="1"/>
  <c r="W475" i="1" s="1" a="1"/>
  <c r="W475" i="1" s="1"/>
  <c r="AA474" i="1"/>
  <c r="AC474" i="1" s="1"/>
  <c r="D476" i="1" l="1"/>
  <c r="W476" i="1" s="1" a="1"/>
  <c r="W476" i="1" s="1"/>
  <c r="AA475" i="1"/>
  <c r="AC475" i="1" s="1"/>
  <c r="D477" i="1" l="1"/>
  <c r="W477" i="1" s="1" a="1"/>
  <c r="W477" i="1" s="1"/>
  <c r="AA476" i="1"/>
  <c r="AC476" i="1" s="1"/>
  <c r="D478" i="1" l="1"/>
  <c r="W478" i="1" s="1" a="1"/>
  <c r="W478" i="1" s="1"/>
  <c r="AA477" i="1"/>
  <c r="AC477" i="1" s="1"/>
  <c r="D479" i="1" l="1"/>
  <c r="W479" i="1" s="1" a="1"/>
  <c r="W479" i="1" s="1"/>
  <c r="AA478" i="1"/>
  <c r="AC478" i="1" s="1"/>
  <c r="D480" i="1" l="1"/>
  <c r="W480" i="1" s="1" a="1"/>
  <c r="W480" i="1" s="1"/>
  <c r="AA479" i="1"/>
  <c r="AC479" i="1" s="1"/>
  <c r="D481" i="1" l="1"/>
  <c r="W481" i="1" s="1" a="1"/>
  <c r="W481" i="1" s="1"/>
  <c r="AA480" i="1"/>
  <c r="AC480" i="1" s="1"/>
  <c r="D482" i="1" l="1"/>
  <c r="AA481" i="1"/>
  <c r="AC481" i="1" s="1"/>
  <c r="D483" i="1" l="1"/>
  <c r="W483" i="1" s="1" a="1"/>
  <c r="W483" i="1" s="1"/>
  <c r="AA482" i="1"/>
  <c r="AC482" i="1" s="1"/>
  <c r="D484" i="1" l="1"/>
  <c r="W484" i="1" s="1" a="1"/>
  <c r="W484" i="1" s="1"/>
  <c r="AA483" i="1"/>
  <c r="AC483" i="1" s="1"/>
  <c r="D485" i="1" l="1"/>
  <c r="W485" i="1" s="1" a="1"/>
  <c r="W485" i="1" s="1"/>
  <c r="AA484" i="1"/>
  <c r="AC484" i="1" s="1"/>
  <c r="D486" i="1" l="1"/>
  <c r="W486" i="1" s="1" a="1"/>
  <c r="W486" i="1" s="1"/>
  <c r="AA485" i="1"/>
  <c r="AC485" i="1" s="1"/>
  <c r="D487" i="1" l="1"/>
  <c r="W487" i="1" s="1" a="1"/>
  <c r="W487" i="1" s="1"/>
  <c r="AA486" i="1"/>
  <c r="AC486" i="1" s="1"/>
  <c r="D488" i="1" l="1"/>
  <c r="W488" i="1" s="1" a="1"/>
  <c r="W488" i="1" s="1"/>
  <c r="AA487" i="1"/>
  <c r="AC487" i="1" s="1"/>
  <c r="D489" i="1" l="1"/>
  <c r="W489" i="1" s="1" a="1"/>
  <c r="W489" i="1" s="1"/>
  <c r="AA488" i="1"/>
  <c r="AC488" i="1" s="1"/>
  <c r="D490" i="1" l="1"/>
  <c r="W490" i="1" s="1" a="1"/>
  <c r="W490" i="1" s="1"/>
  <c r="AA489" i="1"/>
  <c r="AC489" i="1" s="1"/>
  <c r="D491" i="1" l="1"/>
  <c r="W491" i="1" s="1" a="1"/>
  <c r="W491" i="1" s="1"/>
  <c r="AA490" i="1"/>
  <c r="AC490" i="1" s="1"/>
  <c r="D492" i="1" l="1"/>
  <c r="W492" i="1" s="1" a="1"/>
  <c r="W492" i="1" s="1"/>
  <c r="AA491" i="1"/>
  <c r="AC491" i="1" s="1"/>
  <c r="D493" i="1" l="1"/>
  <c r="W493" i="1" s="1" a="1"/>
  <c r="W493" i="1" s="1"/>
  <c r="AA492" i="1"/>
  <c r="AC492" i="1" s="1"/>
  <c r="D494" i="1" l="1"/>
  <c r="W494" i="1" s="1" a="1"/>
  <c r="W494" i="1" s="1"/>
  <c r="AA493" i="1"/>
  <c r="AC493" i="1" s="1"/>
  <c r="D495" i="1" l="1"/>
  <c r="W495" i="1" s="1" a="1"/>
  <c r="W495" i="1" s="1"/>
  <c r="AA494" i="1"/>
  <c r="AC494" i="1" s="1"/>
  <c r="D496" i="1" l="1"/>
  <c r="W496" i="1" s="1" a="1"/>
  <c r="W496" i="1" s="1"/>
  <c r="AA495" i="1"/>
  <c r="AC495" i="1" s="1"/>
  <c r="D497" i="1" l="1"/>
  <c r="W497" i="1" s="1" a="1"/>
  <c r="W497" i="1" s="1"/>
  <c r="AA496" i="1"/>
  <c r="AC496" i="1" s="1"/>
  <c r="D498" i="1" l="1"/>
  <c r="W498" i="1" s="1" a="1"/>
  <c r="W498" i="1" s="1"/>
  <c r="AA497" i="1"/>
  <c r="AC497" i="1" s="1"/>
  <c r="D499" i="1" l="1"/>
  <c r="AA498" i="1"/>
  <c r="AC498" i="1" s="1"/>
  <c r="W499" i="1" l="1" a="1"/>
  <c r="W499" i="1" s="1"/>
  <c r="AB499" i="1"/>
  <c r="D500" i="1"/>
  <c r="AA499" i="1"/>
  <c r="AC499" i="1" s="1"/>
  <c r="W500" i="1" l="1" a="1"/>
  <c r="W500" i="1" s="1"/>
  <c r="AB500" i="1"/>
  <c r="D501" i="1"/>
  <c r="AA500" i="1"/>
  <c r="AC500" i="1" s="1"/>
  <c r="W501" i="1" l="1" a="1"/>
  <c r="W501" i="1" s="1"/>
  <c r="AB501" i="1"/>
  <c r="D502" i="1"/>
  <c r="AA501" i="1"/>
  <c r="AC501" i="1" s="1"/>
  <c r="W502" i="1" l="1" a="1"/>
  <c r="W502" i="1" s="1"/>
  <c r="AB502" i="1"/>
  <c r="D503" i="1"/>
  <c r="AA502" i="1"/>
  <c r="AC502" i="1" s="1"/>
  <c r="W503" i="1" l="1" a="1"/>
  <c r="W503" i="1" s="1"/>
  <c r="AB503" i="1"/>
  <c r="D504" i="1"/>
  <c r="AA503" i="1"/>
  <c r="AC503" i="1" s="1"/>
  <c r="W504" i="1" l="1" a="1"/>
  <c r="W504" i="1" s="1"/>
  <c r="AB504" i="1"/>
  <c r="D505" i="1"/>
  <c r="AA504" i="1"/>
  <c r="AC504" i="1" s="1"/>
  <c r="W505" i="1" l="1" a="1"/>
  <c r="W505" i="1" s="1"/>
  <c r="AB505" i="1"/>
  <c r="D506" i="1"/>
  <c r="AA505" i="1"/>
  <c r="AC505" i="1" s="1"/>
  <c r="W506" i="1" l="1" a="1"/>
  <c r="W506" i="1" s="1"/>
  <c r="AB506" i="1"/>
  <c r="D507" i="1"/>
  <c r="AA506" i="1"/>
  <c r="AC506" i="1" s="1"/>
  <c r="W507" i="1" l="1" a="1"/>
  <c r="W507" i="1" s="1"/>
  <c r="AB507" i="1"/>
  <c r="D508" i="1"/>
  <c r="AA507" i="1"/>
  <c r="AC507" i="1" s="1"/>
  <c r="W508" i="1" l="1" a="1"/>
  <c r="W508" i="1" s="1"/>
  <c r="AB508" i="1"/>
  <c r="D509" i="1"/>
  <c r="AA508" i="1"/>
  <c r="AC508" i="1" s="1"/>
  <c r="W509" i="1" l="1" a="1"/>
  <c r="W509" i="1" s="1"/>
  <c r="AB509" i="1"/>
  <c r="D510" i="1"/>
  <c r="AA509" i="1"/>
  <c r="AC509" i="1" s="1"/>
  <c r="W510" i="1" l="1" a="1"/>
  <c r="W510" i="1" s="1"/>
  <c r="AB510" i="1"/>
  <c r="D511" i="1"/>
  <c r="AA510" i="1"/>
  <c r="AC510" i="1" s="1"/>
  <c r="W511" i="1" l="1" a="1"/>
  <c r="W511" i="1" s="1"/>
  <c r="AB511" i="1"/>
  <c r="D512" i="1"/>
  <c r="AA511" i="1"/>
  <c r="AC511" i="1" s="1"/>
  <c r="W512" i="1" l="1" a="1"/>
  <c r="W512" i="1" s="1"/>
  <c r="AB512" i="1"/>
  <c r="D513" i="1"/>
  <c r="AA512" i="1"/>
  <c r="AC512" i="1" s="1"/>
  <c r="W513" i="1" l="1" a="1"/>
  <c r="W513" i="1" s="1"/>
  <c r="AB513" i="1"/>
  <c r="D514" i="1"/>
  <c r="AA513" i="1"/>
  <c r="AC513" i="1" s="1"/>
  <c r="W514" i="1" l="1" a="1"/>
  <c r="W514" i="1" s="1"/>
  <c r="AB514" i="1"/>
  <c r="D515" i="1"/>
  <c r="AA514" i="1"/>
  <c r="AC514" i="1" s="1"/>
  <c r="W515" i="1" l="1" a="1"/>
  <c r="W515" i="1" s="1"/>
  <c r="AB515" i="1"/>
  <c r="D516" i="1"/>
  <c r="AA515" i="1"/>
  <c r="AC515" i="1" s="1"/>
  <c r="W516" i="1" l="1" a="1"/>
  <c r="W516" i="1" s="1"/>
  <c r="AB516" i="1"/>
  <c r="D517" i="1"/>
  <c r="AA516" i="1"/>
  <c r="AC516" i="1" s="1"/>
  <c r="W517" i="1" l="1" a="1"/>
  <c r="W517" i="1" s="1"/>
  <c r="AB517" i="1"/>
  <c r="D518" i="1"/>
  <c r="AA517" i="1"/>
  <c r="AC517" i="1" s="1"/>
  <c r="W518" i="1" l="1" a="1"/>
  <c r="W518" i="1" s="1"/>
  <c r="AB518" i="1"/>
  <c r="D519" i="1"/>
  <c r="AA518" i="1"/>
  <c r="AC518" i="1" s="1"/>
  <c r="W519" i="1" l="1" a="1"/>
  <c r="W519" i="1" s="1"/>
  <c r="AB519" i="1"/>
  <c r="D520" i="1"/>
  <c r="AA519" i="1"/>
  <c r="AC519" i="1" s="1"/>
  <c r="W520" i="1" l="1" a="1"/>
  <c r="W520" i="1" s="1"/>
  <c r="AB520" i="1"/>
  <c r="D521" i="1"/>
  <c r="AA520" i="1"/>
  <c r="AC520" i="1" s="1"/>
  <c r="W521" i="1" l="1" a="1"/>
  <c r="W521" i="1" s="1"/>
  <c r="AB521" i="1"/>
  <c r="D522" i="1"/>
  <c r="AA521" i="1"/>
  <c r="AC521" i="1" s="1"/>
  <c r="W522" i="1" l="1" a="1"/>
  <c r="W522" i="1" s="1"/>
  <c r="AB522" i="1"/>
  <c r="D523" i="1"/>
  <c r="AA522" i="1"/>
  <c r="AC522" i="1" s="1"/>
  <c r="W523" i="1" l="1" a="1"/>
  <c r="W523" i="1" s="1"/>
  <c r="AB523" i="1"/>
  <c r="D524" i="1"/>
  <c r="AA523" i="1"/>
  <c r="AC523" i="1" s="1"/>
  <c r="W524" i="1" l="1" a="1"/>
  <c r="W524" i="1" s="1"/>
  <c r="AB524" i="1"/>
  <c r="D525" i="1"/>
  <c r="AA524" i="1"/>
  <c r="AC524" i="1" s="1"/>
  <c r="W525" i="1" l="1" a="1"/>
  <c r="W525" i="1" s="1"/>
  <c r="AB525" i="1"/>
  <c r="D526" i="1"/>
  <c r="AA525" i="1"/>
  <c r="AC525" i="1" s="1"/>
  <c r="W526" i="1" l="1" a="1"/>
  <c r="W526" i="1" s="1"/>
  <c r="AB526" i="1"/>
  <c r="D527" i="1"/>
  <c r="AA526" i="1"/>
  <c r="AC526" i="1" s="1"/>
  <c r="W527" i="1" l="1" a="1"/>
  <c r="W527" i="1" s="1"/>
  <c r="AB527" i="1"/>
  <c r="D528" i="1"/>
  <c r="AA527" i="1"/>
  <c r="AC527" i="1" s="1"/>
  <c r="W528" i="1" l="1" a="1"/>
  <c r="W528" i="1" s="1"/>
  <c r="AB528" i="1"/>
  <c r="D529" i="1"/>
  <c r="AA528" i="1"/>
  <c r="AC528" i="1" s="1"/>
  <c r="W529" i="1" l="1" a="1"/>
  <c r="W529" i="1" s="1"/>
  <c r="AB529" i="1"/>
  <c r="D530" i="1"/>
  <c r="AA529" i="1"/>
  <c r="AC529" i="1" s="1"/>
  <c r="W530" i="1" l="1" a="1"/>
  <c r="W530" i="1" s="1"/>
  <c r="AB530" i="1"/>
  <c r="D531" i="1"/>
  <c r="AA530" i="1"/>
  <c r="AC530" i="1" s="1"/>
  <c r="W531" i="1" l="1" a="1"/>
  <c r="W531" i="1" s="1"/>
  <c r="AB531" i="1"/>
  <c r="D532" i="1"/>
  <c r="AA531" i="1"/>
  <c r="AC531" i="1" s="1"/>
  <c r="W532" i="1" l="1" a="1"/>
  <c r="W532" i="1" s="1"/>
  <c r="AB532" i="1"/>
  <c r="D533" i="1"/>
  <c r="AA532" i="1"/>
  <c r="AC532" i="1" s="1"/>
  <c r="W533" i="1" l="1" a="1"/>
  <c r="W533" i="1" s="1"/>
  <c r="AB533" i="1"/>
  <c r="D534" i="1"/>
  <c r="AA533" i="1"/>
  <c r="AC533" i="1" s="1"/>
  <c r="W534" i="1" l="1" a="1"/>
  <c r="W534" i="1" s="1"/>
  <c r="AB534" i="1"/>
  <c r="D535" i="1"/>
  <c r="AA534" i="1"/>
  <c r="AC534" i="1" s="1"/>
  <c r="W535" i="1" l="1" a="1"/>
  <c r="W535" i="1" s="1"/>
  <c r="AB535" i="1"/>
  <c r="D536" i="1"/>
  <c r="AA535" i="1"/>
  <c r="AC535" i="1" s="1"/>
  <c r="W536" i="1" l="1" a="1"/>
  <c r="W536" i="1" s="1"/>
  <c r="AB536" i="1"/>
  <c r="D537" i="1"/>
  <c r="AA536" i="1"/>
  <c r="AC536" i="1" s="1"/>
  <c r="W537" i="1" l="1" a="1"/>
  <c r="W537" i="1" s="1"/>
  <c r="AB537" i="1"/>
  <c r="D538" i="1"/>
  <c r="AA537" i="1"/>
  <c r="AC537" i="1" s="1"/>
  <c r="W538" i="1" l="1" a="1"/>
  <c r="W538" i="1" s="1"/>
  <c r="AB538" i="1"/>
  <c r="D539" i="1"/>
  <c r="AA538" i="1"/>
  <c r="AC538" i="1" s="1"/>
  <c r="W539" i="1" l="1" a="1"/>
  <c r="W539" i="1" s="1"/>
  <c r="AB539" i="1"/>
  <c r="D540" i="1"/>
  <c r="AA539" i="1"/>
  <c r="AC539" i="1" s="1"/>
  <c r="W540" i="1" l="1" a="1"/>
  <c r="W540" i="1" s="1"/>
  <c r="AB540" i="1"/>
  <c r="D541" i="1"/>
  <c r="AA540" i="1"/>
  <c r="AC540" i="1" s="1"/>
  <c r="W541" i="1" l="1" a="1"/>
  <c r="W541" i="1" s="1"/>
  <c r="AB541" i="1"/>
  <c r="D542" i="1"/>
  <c r="AB542" i="1" s="1"/>
  <c r="AA541" i="1"/>
  <c r="AC541" i="1" s="1"/>
  <c r="D543" i="1" l="1"/>
  <c r="AB543" i="1" s="1"/>
  <c r="AA542" i="1"/>
  <c r="AC542" i="1" s="1"/>
  <c r="D544" i="1" l="1"/>
  <c r="AA543" i="1"/>
  <c r="AC543" i="1" s="1"/>
  <c r="W544" i="1" l="1" a="1"/>
  <c r="W544" i="1" s="1"/>
  <c r="AB544" i="1"/>
  <c r="D545" i="1"/>
  <c r="AA544" i="1"/>
  <c r="AC544" i="1" s="1"/>
  <c r="W545" i="1" l="1" a="1"/>
  <c r="W545" i="1" s="1"/>
  <c r="AB545" i="1"/>
  <c r="D546" i="1"/>
  <c r="AA545" i="1"/>
  <c r="AC545" i="1" s="1"/>
  <c r="W546" i="1" l="1" a="1"/>
  <c r="W546" i="1" s="1"/>
  <c r="AB546" i="1"/>
  <c r="D547" i="1"/>
  <c r="AA546" i="1"/>
  <c r="AC546" i="1" s="1"/>
  <c r="W547" i="1" l="1" a="1"/>
  <c r="W547" i="1" s="1"/>
  <c r="AB547" i="1"/>
  <c r="D548" i="1"/>
  <c r="AA547" i="1"/>
  <c r="AC547" i="1" s="1"/>
  <c r="W548" i="1" l="1" a="1"/>
  <c r="W548" i="1" s="1"/>
  <c r="AB548" i="1"/>
  <c r="D549" i="1"/>
  <c r="AA548" i="1"/>
  <c r="AC548" i="1" s="1"/>
  <c r="W549" i="1" l="1" a="1"/>
  <c r="W549" i="1" s="1"/>
  <c r="AB549" i="1"/>
  <c r="D550" i="1"/>
  <c r="AA549" i="1"/>
  <c r="AC549" i="1" s="1"/>
  <c r="W550" i="1" l="1" a="1"/>
  <c r="W550" i="1" s="1"/>
  <c r="AB550" i="1"/>
  <c r="D551" i="1"/>
  <c r="AA550" i="1"/>
  <c r="AC550" i="1" s="1"/>
  <c r="W551" i="1" l="1" a="1"/>
  <c r="W551" i="1" s="1"/>
  <c r="AB551" i="1"/>
  <c r="D552" i="1"/>
  <c r="AA551" i="1"/>
  <c r="AC551" i="1" s="1"/>
  <c r="W552" i="1" l="1" a="1"/>
  <c r="W552" i="1" s="1"/>
  <c r="AB552" i="1"/>
  <c r="D553" i="1"/>
  <c r="AA552" i="1"/>
  <c r="AC552" i="1" s="1"/>
  <c r="W553" i="1" l="1" a="1"/>
  <c r="W553" i="1" s="1"/>
  <c r="AB553" i="1"/>
  <c r="D554" i="1"/>
  <c r="AA553" i="1"/>
  <c r="AC553" i="1" s="1"/>
  <c r="W554" i="1" l="1" a="1"/>
  <c r="W554" i="1" s="1"/>
  <c r="AB554" i="1"/>
  <c r="D555" i="1"/>
  <c r="AA554" i="1"/>
  <c r="AC554" i="1" s="1"/>
  <c r="W555" i="1" l="1" a="1"/>
  <c r="W555" i="1" s="1"/>
  <c r="AB555" i="1"/>
  <c r="D556" i="1"/>
  <c r="AA555" i="1"/>
  <c r="AC555" i="1" s="1"/>
  <c r="W556" i="1" l="1" a="1"/>
  <c r="W556" i="1" s="1"/>
  <c r="AB556" i="1"/>
  <c r="D557" i="1"/>
  <c r="AA556" i="1"/>
  <c r="AC556" i="1" s="1"/>
  <c r="W557" i="1" l="1" a="1"/>
  <c r="W557" i="1" s="1"/>
  <c r="AB557" i="1"/>
  <c r="D558" i="1"/>
  <c r="AA557" i="1"/>
  <c r="AC557" i="1" s="1"/>
  <c r="W558" i="1" l="1" a="1"/>
  <c r="W558" i="1" s="1"/>
  <c r="AB558" i="1"/>
  <c r="D559" i="1"/>
  <c r="AA558" i="1"/>
  <c r="AC558" i="1" s="1"/>
  <c r="W559" i="1" l="1" a="1"/>
  <c r="W559" i="1" s="1"/>
  <c r="AB559" i="1"/>
  <c r="D560" i="1"/>
  <c r="AA559" i="1"/>
  <c r="AC559" i="1" s="1"/>
  <c r="W560" i="1" l="1" a="1"/>
  <c r="W560" i="1" s="1"/>
  <c r="AB560" i="1"/>
  <c r="D561" i="1"/>
  <c r="AA560" i="1"/>
  <c r="AC560" i="1" s="1"/>
  <c r="W561" i="1" l="1" a="1"/>
  <c r="W561" i="1" s="1"/>
  <c r="AB561" i="1"/>
  <c r="D562" i="1"/>
  <c r="AA561" i="1"/>
  <c r="AC561" i="1" s="1"/>
  <c r="W562" i="1" l="1" a="1"/>
  <c r="W562" i="1" s="1"/>
  <c r="AB562" i="1"/>
  <c r="D563" i="1"/>
  <c r="AA562" i="1"/>
  <c r="AC562" i="1" s="1"/>
  <c r="W563" i="1" l="1" a="1"/>
  <c r="W563" i="1" s="1"/>
  <c r="AB563" i="1"/>
  <c r="D564" i="1"/>
  <c r="AA563" i="1"/>
  <c r="AC563" i="1" s="1"/>
  <c r="W564" i="1" l="1" a="1"/>
  <c r="W564" i="1" s="1"/>
  <c r="AB564" i="1"/>
  <c r="D565" i="1"/>
  <c r="AA564" i="1"/>
  <c r="AC564" i="1" s="1"/>
  <c r="W565" i="1" l="1" a="1"/>
  <c r="W565" i="1" s="1"/>
  <c r="AB565" i="1"/>
  <c r="D566" i="1"/>
  <c r="AA565" i="1"/>
  <c r="AC565" i="1" s="1"/>
  <c r="W566" i="1" l="1" a="1"/>
  <c r="W566" i="1" s="1"/>
  <c r="AB566" i="1"/>
  <c r="D567" i="1"/>
  <c r="AA566" i="1"/>
  <c r="AC566" i="1" s="1"/>
  <c r="W567" i="1" l="1" a="1"/>
  <c r="W567" i="1" s="1"/>
  <c r="AB567" i="1"/>
  <c r="D568" i="1"/>
  <c r="AA567" i="1"/>
  <c r="AC567" i="1" s="1"/>
  <c r="W568" i="1" l="1" a="1"/>
  <c r="W568" i="1" s="1"/>
  <c r="AB568" i="1"/>
  <c r="D569" i="1"/>
  <c r="AA568" i="1"/>
  <c r="AC568" i="1" s="1"/>
  <c r="W569" i="1" l="1" a="1"/>
  <c r="W569" i="1" s="1"/>
  <c r="AB569" i="1"/>
  <c r="D570" i="1"/>
  <c r="AA569" i="1"/>
  <c r="AC569" i="1" s="1"/>
  <c r="W570" i="1" l="1" a="1"/>
  <c r="W570" i="1" s="1"/>
  <c r="AB570" i="1"/>
  <c r="D571" i="1"/>
  <c r="AA570" i="1"/>
  <c r="AC570" i="1" s="1"/>
  <c r="W571" i="1" l="1" a="1"/>
  <c r="W571" i="1" s="1"/>
  <c r="AB571" i="1"/>
  <c r="D572" i="1"/>
  <c r="AA571" i="1"/>
  <c r="AC571" i="1" s="1"/>
  <c r="AB572" i="1" l="1"/>
  <c r="D573" i="1"/>
  <c r="AA572" i="1"/>
  <c r="AC572" i="1" s="1"/>
  <c r="W573" i="1" l="1" a="1"/>
  <c r="W573" i="1" s="1"/>
  <c r="AB573" i="1"/>
  <c r="D574" i="1"/>
  <c r="AA573" i="1"/>
  <c r="AC573" i="1" s="1"/>
  <c r="W574" i="1" l="1" a="1"/>
  <c r="W574" i="1" s="1"/>
  <c r="AB574" i="1"/>
  <c r="D575" i="1"/>
  <c r="AA574" i="1"/>
  <c r="AC574" i="1" s="1"/>
  <c r="W575" i="1" l="1" a="1"/>
  <c r="W575" i="1" s="1"/>
  <c r="AB575" i="1"/>
  <c r="D576" i="1"/>
  <c r="AA575" i="1"/>
  <c r="AC575" i="1" s="1"/>
  <c r="W576" i="1" l="1" a="1"/>
  <c r="W576" i="1" s="1"/>
  <c r="AB576" i="1"/>
  <c r="D577" i="1"/>
  <c r="AA576" i="1"/>
  <c r="AC576" i="1" s="1"/>
  <c r="W577" i="1" l="1" a="1"/>
  <c r="W577" i="1" s="1"/>
  <c r="AB577" i="1"/>
  <c r="D578" i="1"/>
  <c r="AA577" i="1"/>
  <c r="AC577" i="1" s="1"/>
  <c r="W578" i="1" l="1" a="1"/>
  <c r="W578" i="1" s="1"/>
  <c r="AB578" i="1"/>
  <c r="D579" i="1"/>
  <c r="AA578" i="1"/>
  <c r="AC578" i="1" s="1"/>
  <c r="W579" i="1" l="1" a="1"/>
  <c r="W579" i="1" s="1"/>
  <c r="AB579" i="1"/>
  <c r="D580" i="1"/>
  <c r="AA579" i="1"/>
  <c r="AC579" i="1" s="1"/>
  <c r="W580" i="1" l="1" a="1"/>
  <c r="W580" i="1" s="1"/>
  <c r="AB580" i="1"/>
  <c r="D581" i="1"/>
  <c r="AA580" i="1"/>
  <c r="AC580" i="1" s="1"/>
  <c r="W581" i="1" l="1" a="1"/>
  <c r="W581" i="1" s="1"/>
  <c r="AB581" i="1"/>
  <c r="D582" i="1"/>
  <c r="AA581" i="1"/>
  <c r="AC581" i="1" s="1"/>
  <c r="W582" i="1" l="1" a="1"/>
  <c r="W582" i="1" s="1"/>
  <c r="AB582" i="1"/>
  <c r="D583" i="1"/>
  <c r="AA582" i="1"/>
  <c r="AC582" i="1" s="1"/>
  <c r="W583" i="1" l="1" a="1"/>
  <c r="W583" i="1" s="1"/>
  <c r="AB583" i="1"/>
  <c r="D584" i="1"/>
  <c r="AA583" i="1"/>
  <c r="AC583" i="1" s="1"/>
  <c r="W584" i="1" l="1" a="1"/>
  <c r="W584" i="1" s="1"/>
  <c r="AB584" i="1"/>
  <c r="D585" i="1"/>
  <c r="AA584" i="1"/>
  <c r="AC584" i="1" s="1"/>
  <c r="W585" i="1" l="1" a="1"/>
  <c r="W585" i="1" s="1"/>
  <c r="AB585" i="1"/>
  <c r="D586" i="1"/>
  <c r="AA585" i="1"/>
  <c r="AC585" i="1" s="1"/>
  <c r="W586" i="1" l="1" a="1"/>
  <c r="W586" i="1" s="1"/>
  <c r="AB586" i="1"/>
  <c r="D587" i="1"/>
  <c r="AA586" i="1"/>
  <c r="AC586" i="1" s="1"/>
  <c r="W587" i="1" l="1" a="1"/>
  <c r="W587" i="1" s="1"/>
  <c r="AB587" i="1"/>
  <c r="D588" i="1"/>
  <c r="AA587" i="1"/>
  <c r="AC587" i="1" s="1"/>
  <c r="W588" i="1" l="1" a="1"/>
  <c r="W588" i="1" s="1"/>
  <c r="AB588" i="1"/>
  <c r="D589" i="1"/>
  <c r="AA588" i="1"/>
  <c r="AC588" i="1" s="1"/>
  <c r="W589" i="1" l="1" a="1"/>
  <c r="W589" i="1" s="1"/>
  <c r="AB589" i="1"/>
  <c r="D590" i="1"/>
  <c r="AA589" i="1"/>
  <c r="AC589" i="1" s="1"/>
  <c r="W590" i="1" l="1" a="1"/>
  <c r="W590" i="1" s="1"/>
  <c r="AB590" i="1"/>
  <c r="D591" i="1"/>
  <c r="AA590" i="1"/>
  <c r="AC590" i="1" s="1"/>
  <c r="W591" i="1" l="1" a="1"/>
  <c r="W591" i="1" s="1"/>
  <c r="AB591" i="1"/>
  <c r="D592" i="1"/>
  <c r="AA591" i="1"/>
  <c r="AC591" i="1" s="1"/>
  <c r="W592" i="1" l="1" a="1"/>
  <c r="W592" i="1" s="1"/>
  <c r="AB592" i="1"/>
  <c r="D593" i="1"/>
  <c r="AA592" i="1"/>
  <c r="AC592" i="1" s="1"/>
  <c r="W593" i="1" l="1" a="1"/>
  <c r="W593" i="1" s="1"/>
  <c r="AB593" i="1"/>
  <c r="D594" i="1"/>
  <c r="AA593" i="1"/>
  <c r="AC593" i="1" s="1"/>
  <c r="W594" i="1" l="1" a="1"/>
  <c r="W594" i="1" s="1"/>
  <c r="AB594" i="1"/>
  <c r="D595" i="1"/>
  <c r="AA594" i="1"/>
  <c r="AC594" i="1" s="1"/>
  <c r="W595" i="1" l="1" a="1"/>
  <c r="W595" i="1" s="1"/>
  <c r="AB595" i="1"/>
  <c r="D596" i="1"/>
  <c r="AA595" i="1"/>
  <c r="AC595" i="1" s="1"/>
  <c r="W596" i="1" l="1" a="1"/>
  <c r="W596" i="1" s="1"/>
  <c r="AB596" i="1"/>
  <c r="D597" i="1"/>
  <c r="AA596" i="1"/>
  <c r="AC596" i="1" s="1"/>
  <c r="W597" i="1" l="1" a="1"/>
  <c r="W597" i="1" s="1"/>
  <c r="AB597" i="1"/>
  <c r="D598" i="1"/>
  <c r="AA597" i="1"/>
  <c r="AC597" i="1" s="1"/>
  <c r="W598" i="1" l="1" a="1"/>
  <c r="W598" i="1" s="1"/>
  <c r="AB598" i="1"/>
  <c r="D599" i="1"/>
  <c r="AA598" i="1"/>
  <c r="AC598" i="1" s="1"/>
  <c r="W599" i="1" l="1" a="1"/>
  <c r="W599" i="1" s="1"/>
  <c r="AB599" i="1"/>
  <c r="D600" i="1"/>
  <c r="AA599" i="1"/>
  <c r="AC599" i="1" s="1"/>
  <c r="W600" i="1" l="1" a="1"/>
  <c r="W600" i="1" s="1"/>
  <c r="AB600" i="1"/>
  <c r="D601" i="1"/>
  <c r="AA600" i="1"/>
  <c r="AC600" i="1" s="1"/>
  <c r="W601" i="1" l="1" a="1"/>
  <c r="W601" i="1" s="1"/>
  <c r="AB601" i="1"/>
  <c r="D602" i="1"/>
  <c r="AA601" i="1"/>
  <c r="AC601" i="1" s="1"/>
  <c r="W602" i="1" l="1" a="1"/>
  <c r="W602" i="1" s="1"/>
  <c r="AB602" i="1"/>
  <c r="D603" i="1"/>
  <c r="AA602" i="1"/>
  <c r="AC602" i="1" s="1"/>
  <c r="W603" i="1" l="1" a="1"/>
  <c r="W603" i="1" s="1"/>
  <c r="AB603" i="1"/>
  <c r="D604" i="1"/>
  <c r="AA603" i="1"/>
  <c r="AC603" i="1" s="1"/>
  <c r="W604" i="1" l="1" a="1"/>
  <c r="W604" i="1" s="1"/>
  <c r="AB604" i="1"/>
  <c r="D605" i="1"/>
  <c r="AA604" i="1"/>
  <c r="AC604" i="1" s="1"/>
  <c r="W605" i="1" l="1" a="1"/>
  <c r="W605" i="1" s="1"/>
  <c r="AB605" i="1"/>
  <c r="D606" i="1"/>
  <c r="AA605" i="1"/>
  <c r="AC605" i="1" s="1"/>
  <c r="W606" i="1" l="1" a="1"/>
  <c r="W606" i="1" s="1"/>
  <c r="AB606" i="1"/>
  <c r="D607" i="1"/>
  <c r="AA606" i="1"/>
  <c r="AC606" i="1" s="1"/>
  <c r="W607" i="1" l="1" a="1"/>
  <c r="W607" i="1" s="1"/>
  <c r="AB607" i="1"/>
  <c r="D608" i="1"/>
  <c r="AA607" i="1"/>
  <c r="AC607" i="1" s="1"/>
  <c r="W608" i="1" l="1" a="1"/>
  <c r="W608" i="1" s="1"/>
  <c r="AB608" i="1"/>
  <c r="D609" i="1"/>
  <c r="AA608" i="1"/>
  <c r="AC608" i="1" s="1"/>
  <c r="W609" i="1" l="1" a="1"/>
  <c r="W609" i="1" s="1"/>
  <c r="AB609" i="1"/>
  <c r="D610" i="1"/>
  <c r="AA609" i="1"/>
  <c r="AC609" i="1" s="1"/>
  <c r="W610" i="1" l="1" a="1"/>
  <c r="W610" i="1" s="1"/>
  <c r="AB610" i="1"/>
  <c r="D611" i="1"/>
  <c r="AA610" i="1"/>
  <c r="AC610" i="1" s="1"/>
  <c r="W611" i="1" l="1" a="1"/>
  <c r="W611" i="1" s="1"/>
  <c r="AB611" i="1"/>
  <c r="D612" i="1"/>
  <c r="AA611" i="1"/>
  <c r="AC611" i="1" s="1"/>
  <c r="W612" i="1" l="1" a="1"/>
  <c r="W612" i="1" s="1"/>
  <c r="AB612" i="1"/>
  <c r="D613" i="1"/>
  <c r="AA612" i="1"/>
  <c r="AC612" i="1" s="1"/>
  <c r="W613" i="1" l="1" a="1"/>
  <c r="W613" i="1" s="1"/>
  <c r="AB613" i="1"/>
  <c r="D614" i="1"/>
  <c r="AA613" i="1"/>
  <c r="AC613" i="1" s="1"/>
  <c r="W614" i="1" l="1" a="1"/>
  <c r="W614" i="1" s="1"/>
  <c r="AB614" i="1"/>
  <c r="D615" i="1"/>
  <c r="AA614" i="1"/>
  <c r="AC614" i="1" s="1"/>
  <c r="W615" i="1" l="1" a="1"/>
  <c r="W615" i="1" s="1"/>
  <c r="AB615" i="1"/>
  <c r="D616" i="1"/>
  <c r="AA615" i="1"/>
  <c r="AC615" i="1" s="1"/>
  <c r="W616" i="1" l="1" a="1"/>
  <c r="W616" i="1" s="1"/>
  <c r="AB616" i="1"/>
  <c r="D617" i="1"/>
  <c r="AA616" i="1"/>
  <c r="AC616" i="1" s="1"/>
  <c r="W617" i="1" l="1" a="1"/>
  <c r="W617" i="1" s="1"/>
  <c r="AB617" i="1"/>
  <c r="D618" i="1"/>
  <c r="AA617" i="1"/>
  <c r="AC617" i="1" s="1"/>
  <c r="W618" i="1" l="1" a="1"/>
  <c r="W618" i="1" s="1"/>
  <c r="AB618" i="1"/>
  <c r="D619" i="1"/>
  <c r="AA618" i="1"/>
  <c r="AC618" i="1" s="1"/>
  <c r="W619" i="1" l="1" a="1"/>
  <c r="W619" i="1" s="1"/>
  <c r="AB619" i="1"/>
  <c r="D620" i="1"/>
  <c r="AA619" i="1"/>
  <c r="AC619" i="1" s="1"/>
  <c r="W620" i="1" l="1" a="1"/>
  <c r="W620" i="1" s="1"/>
  <c r="AB620" i="1"/>
  <c r="D621" i="1"/>
  <c r="AA620" i="1"/>
  <c r="AC620" i="1" s="1"/>
  <c r="W621" i="1" l="1" a="1"/>
  <c r="W621" i="1" s="1"/>
  <c r="AB621" i="1"/>
  <c r="D622" i="1"/>
  <c r="AA621" i="1"/>
  <c r="AC621" i="1" s="1"/>
  <c r="W622" i="1" l="1" a="1"/>
  <c r="W622" i="1" s="1"/>
  <c r="AB622" i="1"/>
  <c r="D623" i="1"/>
  <c r="AA622" i="1"/>
  <c r="AC622" i="1" s="1"/>
  <c r="W623" i="1" l="1" a="1"/>
  <c r="W623" i="1" s="1"/>
  <c r="AB623" i="1"/>
  <c r="D624" i="1"/>
  <c r="AA623" i="1"/>
  <c r="AC623" i="1" s="1"/>
  <c r="W624" i="1" l="1" a="1"/>
  <c r="W624" i="1" s="1"/>
  <c r="AB624" i="1"/>
  <c r="D625" i="1"/>
  <c r="AA624" i="1"/>
  <c r="AC624" i="1" s="1"/>
  <c r="W625" i="1" l="1" a="1"/>
  <c r="W625" i="1" s="1"/>
  <c r="AB625" i="1"/>
  <c r="D626" i="1"/>
  <c r="AA625" i="1"/>
  <c r="AC625" i="1" s="1"/>
  <c r="W626" i="1" l="1" a="1"/>
  <c r="W626" i="1" s="1"/>
  <c r="AB626" i="1"/>
  <c r="D627" i="1"/>
  <c r="AA626" i="1"/>
  <c r="AC626" i="1" s="1"/>
  <c r="W627" i="1" l="1" a="1"/>
  <c r="W627" i="1" s="1"/>
  <c r="AB627" i="1"/>
  <c r="D628" i="1"/>
  <c r="AA627" i="1"/>
  <c r="AC627" i="1" s="1"/>
  <c r="W628" i="1" l="1" a="1"/>
  <c r="W628" i="1" s="1"/>
  <c r="AB628" i="1"/>
  <c r="D629" i="1"/>
  <c r="AA628" i="1"/>
  <c r="AC628" i="1" s="1"/>
  <c r="W629" i="1" l="1" a="1"/>
  <c r="W629" i="1" s="1"/>
  <c r="AB629" i="1"/>
  <c r="D630" i="1"/>
  <c r="AA629" i="1"/>
  <c r="AC629" i="1" s="1"/>
  <c r="W630" i="1" l="1" a="1"/>
  <c r="W630" i="1" s="1"/>
  <c r="AB630" i="1"/>
  <c r="D631" i="1"/>
  <c r="AA630" i="1"/>
  <c r="AC630" i="1" s="1"/>
  <c r="W631" i="1" l="1" a="1"/>
  <c r="W631" i="1" s="1"/>
  <c r="AB631" i="1"/>
  <c r="D632" i="1"/>
  <c r="AA631" i="1"/>
  <c r="AC631" i="1" s="1"/>
  <c r="W632" i="1" l="1" a="1"/>
  <c r="W632" i="1" s="1"/>
  <c r="AB632" i="1"/>
  <c r="D633" i="1"/>
  <c r="AA632" i="1"/>
  <c r="AC632" i="1" s="1"/>
  <c r="W633" i="1" l="1" a="1"/>
  <c r="W633" i="1" s="1"/>
  <c r="AB633" i="1"/>
  <c r="D634" i="1"/>
  <c r="AA633" i="1"/>
  <c r="AC633" i="1" s="1"/>
  <c r="W634" i="1" l="1" a="1"/>
  <c r="W634" i="1" s="1"/>
  <c r="AB634" i="1"/>
  <c r="D635" i="1"/>
  <c r="AA634" i="1"/>
  <c r="AC634" i="1" s="1"/>
  <c r="W635" i="1" l="1" a="1"/>
  <c r="W635" i="1" s="1"/>
  <c r="AB635" i="1"/>
  <c r="D636" i="1"/>
  <c r="AA635" i="1"/>
  <c r="AC635" i="1" s="1"/>
  <c r="W636" i="1" l="1" a="1"/>
  <c r="W636" i="1" s="1"/>
  <c r="AB636" i="1"/>
  <c r="D637" i="1"/>
  <c r="AA636" i="1"/>
  <c r="AC636" i="1" s="1"/>
  <c r="W637" i="1" l="1" a="1"/>
  <c r="W637" i="1" s="1"/>
  <c r="AB637" i="1"/>
  <c r="D638" i="1"/>
  <c r="AA637" i="1"/>
  <c r="AC637" i="1" s="1"/>
  <c r="W638" i="1" l="1" a="1"/>
  <c r="W638" i="1" s="1"/>
  <c r="AB638" i="1"/>
  <c r="D639" i="1"/>
  <c r="AA638" i="1"/>
  <c r="AC638" i="1" s="1"/>
  <c r="W639" i="1" l="1" a="1"/>
  <c r="W639" i="1" s="1"/>
  <c r="AB639" i="1"/>
  <c r="D640" i="1"/>
  <c r="AA639" i="1"/>
  <c r="AC639" i="1" s="1"/>
  <c r="W640" i="1" l="1" a="1"/>
  <c r="W640" i="1" s="1"/>
  <c r="AB640" i="1"/>
  <c r="D641" i="1"/>
  <c r="AA640" i="1"/>
  <c r="AC640" i="1" s="1"/>
  <c r="W641" i="1" l="1" a="1"/>
  <c r="W641" i="1" s="1"/>
  <c r="AB641" i="1"/>
  <c r="D642" i="1"/>
  <c r="AA641" i="1"/>
  <c r="AC641" i="1" s="1"/>
  <c r="W642" i="1" l="1" a="1"/>
  <c r="W642" i="1" s="1"/>
  <c r="AB642" i="1"/>
  <c r="D643" i="1"/>
  <c r="AA642" i="1"/>
  <c r="AC642" i="1" s="1"/>
  <c r="W643" i="1" l="1" a="1"/>
  <c r="W643" i="1" s="1"/>
  <c r="AB643" i="1"/>
  <c r="D644" i="1"/>
  <c r="AA643" i="1"/>
  <c r="AC643" i="1" s="1"/>
  <c r="W644" i="1" l="1" a="1"/>
  <c r="W644" i="1" s="1"/>
  <c r="AB644" i="1"/>
  <c r="D645" i="1"/>
  <c r="AA644" i="1"/>
  <c r="AC644" i="1" s="1"/>
  <c r="W645" i="1" l="1" a="1"/>
  <c r="W645" i="1" s="1"/>
  <c r="AB645" i="1"/>
  <c r="D646" i="1"/>
  <c r="AA645" i="1"/>
  <c r="AC645" i="1" s="1"/>
  <c r="W646" i="1" l="1" a="1"/>
  <c r="W646" i="1" s="1"/>
  <c r="AB646" i="1"/>
  <c r="D647" i="1"/>
  <c r="AA646" i="1"/>
  <c r="AC646" i="1" s="1"/>
  <c r="W647" i="1" l="1" a="1"/>
  <c r="W647" i="1" s="1"/>
  <c r="AB647" i="1"/>
  <c r="D648" i="1"/>
  <c r="AA647" i="1"/>
  <c r="AC647" i="1" s="1"/>
  <c r="W648" i="1" l="1" a="1"/>
  <c r="W648" i="1" s="1"/>
  <c r="AB648" i="1"/>
  <c r="D649" i="1"/>
  <c r="AA648" i="1"/>
  <c r="AC648" i="1" s="1"/>
  <c r="W649" i="1" l="1" a="1"/>
  <c r="W649" i="1" s="1"/>
  <c r="AB649" i="1"/>
  <c r="D650" i="1"/>
  <c r="AA649" i="1"/>
  <c r="AC649" i="1" s="1"/>
  <c r="W650" i="1" l="1" a="1"/>
  <c r="W650" i="1" s="1"/>
  <c r="AB650" i="1"/>
  <c r="D651" i="1"/>
  <c r="AA650" i="1"/>
  <c r="AC650" i="1" s="1"/>
  <c r="W651" i="1" l="1" a="1"/>
  <c r="W651" i="1" s="1"/>
  <c r="AB651" i="1"/>
  <c r="D652" i="1"/>
  <c r="AA651" i="1"/>
  <c r="AC651" i="1" s="1"/>
  <c r="W652" i="1" l="1" a="1"/>
  <c r="W652" i="1" s="1"/>
  <c r="AB652" i="1"/>
  <c r="D653" i="1"/>
  <c r="AA652" i="1"/>
  <c r="AC652" i="1" s="1"/>
  <c r="W653" i="1" l="1" a="1"/>
  <c r="W653" i="1" s="1"/>
  <c r="AB653" i="1"/>
  <c r="D654" i="1"/>
  <c r="AA653" i="1"/>
  <c r="AC653" i="1" s="1"/>
  <c r="W654" i="1" l="1" a="1"/>
  <c r="W654" i="1" s="1"/>
  <c r="AB654" i="1"/>
  <c r="D655" i="1"/>
  <c r="AA654" i="1"/>
  <c r="AC654" i="1" s="1"/>
  <c r="W655" i="1" l="1" a="1"/>
  <c r="W655" i="1" s="1"/>
  <c r="AB655" i="1"/>
  <c r="D656" i="1"/>
  <c r="AA655" i="1"/>
  <c r="AC655" i="1" s="1"/>
  <c r="W656" i="1" l="1" a="1"/>
  <c r="W656" i="1" s="1"/>
  <c r="AB656" i="1"/>
  <c r="D657" i="1"/>
  <c r="AA656" i="1"/>
  <c r="AC656" i="1" s="1"/>
  <c r="W657" i="1" l="1" a="1"/>
  <c r="W657" i="1" s="1"/>
  <c r="AB657" i="1"/>
  <c r="D658" i="1"/>
  <c r="AA657" i="1"/>
  <c r="AC657" i="1" s="1"/>
  <c r="W658" i="1" l="1" a="1"/>
  <c r="W658" i="1" s="1"/>
  <c r="AB658" i="1"/>
  <c r="D659" i="1"/>
  <c r="AA658" i="1"/>
  <c r="AC658" i="1" s="1"/>
  <c r="W659" i="1" l="1" a="1"/>
  <c r="W659" i="1" s="1"/>
  <c r="AB659" i="1"/>
  <c r="D660" i="1"/>
  <c r="AA659" i="1"/>
  <c r="AC659" i="1" s="1"/>
  <c r="W660" i="1" l="1" a="1"/>
  <c r="W660" i="1" s="1"/>
  <c r="AB660" i="1"/>
  <c r="D661" i="1"/>
  <c r="AA660" i="1"/>
  <c r="AC660" i="1" s="1"/>
  <c r="W661" i="1" l="1" a="1"/>
  <c r="W661" i="1" s="1"/>
  <c r="AB661" i="1"/>
  <c r="D662" i="1"/>
  <c r="AA661" i="1"/>
  <c r="AC661" i="1" s="1"/>
  <c r="W662" i="1" l="1" a="1"/>
  <c r="W662" i="1" s="1"/>
  <c r="AB662" i="1"/>
  <c r="D663" i="1"/>
  <c r="AA662" i="1"/>
  <c r="AC662" i="1" s="1"/>
  <c r="W663" i="1" l="1" a="1"/>
  <c r="W663" i="1" s="1"/>
  <c r="AB663" i="1"/>
  <c r="D664" i="1"/>
  <c r="AA663" i="1"/>
  <c r="AC663" i="1" s="1"/>
  <c r="W664" i="1" l="1" a="1"/>
  <c r="W664" i="1" s="1"/>
  <c r="AB664" i="1"/>
  <c r="D665" i="1"/>
  <c r="AB665" i="1" s="1"/>
  <c r="AA664" i="1"/>
  <c r="AC664" i="1" s="1"/>
  <c r="D666" i="1" l="1"/>
  <c r="AB666" i="1" s="1"/>
  <c r="AA665" i="1"/>
  <c r="AC665" i="1" s="1"/>
  <c r="D667" i="1" l="1"/>
  <c r="AA666" i="1"/>
  <c r="AC666" i="1" s="1"/>
  <c r="W667" i="1" l="1" a="1"/>
  <c r="W667" i="1" s="1"/>
  <c r="AB667" i="1"/>
  <c r="D668" i="1"/>
  <c r="AA667" i="1"/>
  <c r="AC667" i="1" s="1"/>
  <c r="W668" i="1" l="1" a="1"/>
  <c r="W668" i="1" s="1"/>
  <c r="AB668" i="1"/>
  <c r="D669" i="1"/>
  <c r="AA668" i="1"/>
  <c r="AC668" i="1" s="1"/>
  <c r="W669" i="1" l="1" a="1"/>
  <c r="W669" i="1" s="1"/>
  <c r="AB669" i="1"/>
  <c r="D670" i="1"/>
  <c r="AA669" i="1"/>
  <c r="AC669" i="1" s="1"/>
  <c r="W670" i="1" l="1" a="1"/>
  <c r="W670" i="1" s="1"/>
  <c r="AB670" i="1"/>
  <c r="D671" i="1"/>
  <c r="AA670" i="1"/>
  <c r="AC670" i="1" s="1"/>
  <c r="W671" i="1" l="1" a="1"/>
  <c r="W671" i="1" s="1"/>
  <c r="AB671" i="1"/>
  <c r="D672" i="1"/>
  <c r="AA671" i="1"/>
  <c r="AC671" i="1" s="1"/>
  <c r="W672" i="1" l="1" a="1"/>
  <c r="W672" i="1" s="1"/>
  <c r="AB672" i="1"/>
  <c r="D673" i="1"/>
  <c r="AA672" i="1"/>
  <c r="AC672" i="1" s="1"/>
  <c r="W673" i="1" l="1" a="1"/>
  <c r="W673" i="1" s="1"/>
  <c r="AB673" i="1"/>
  <c r="D674" i="1"/>
  <c r="AA673" i="1"/>
  <c r="AC673" i="1" s="1"/>
  <c r="W674" i="1" l="1" a="1"/>
  <c r="W674" i="1" s="1"/>
  <c r="AB674" i="1"/>
  <c r="D675" i="1"/>
  <c r="AA674" i="1"/>
  <c r="AC674" i="1" s="1"/>
  <c r="W675" i="1" l="1" a="1"/>
  <c r="W675" i="1" s="1"/>
  <c r="AB675" i="1"/>
  <c r="D676" i="1"/>
  <c r="AA675" i="1"/>
  <c r="AC675" i="1" s="1"/>
  <c r="W676" i="1" l="1" a="1"/>
  <c r="W676" i="1" s="1"/>
  <c r="AB676" i="1"/>
  <c r="D677" i="1"/>
  <c r="AA676" i="1"/>
  <c r="AC676" i="1" s="1"/>
  <c r="W677" i="1" l="1" a="1"/>
  <c r="W677" i="1" s="1"/>
  <c r="AB677" i="1"/>
  <c r="D678" i="1"/>
  <c r="AA677" i="1"/>
  <c r="AC677" i="1" s="1"/>
  <c r="W678" i="1" l="1" a="1"/>
  <c r="W678" i="1" s="1"/>
  <c r="AB678" i="1"/>
  <c r="D679" i="1"/>
  <c r="AA678" i="1"/>
  <c r="AC678" i="1" s="1"/>
  <c r="W679" i="1" l="1" a="1"/>
  <c r="W679" i="1" s="1"/>
  <c r="AB679" i="1"/>
  <c r="D680" i="1"/>
  <c r="AA679" i="1"/>
  <c r="AC679" i="1" s="1"/>
  <c r="W680" i="1" l="1" a="1"/>
  <c r="W680" i="1" s="1"/>
  <c r="AB680" i="1"/>
  <c r="D681" i="1"/>
  <c r="AA680" i="1"/>
  <c r="AC680" i="1" s="1"/>
  <c r="W681" i="1" l="1" a="1"/>
  <c r="W681" i="1" s="1"/>
  <c r="AB681" i="1"/>
  <c r="D682" i="1"/>
  <c r="AA681" i="1"/>
  <c r="AC681" i="1" s="1"/>
  <c r="W682" i="1" l="1" a="1"/>
  <c r="W682" i="1" s="1"/>
  <c r="AB682" i="1"/>
  <c r="D683" i="1"/>
  <c r="AA682" i="1"/>
  <c r="AC682" i="1" s="1"/>
  <c r="W683" i="1" l="1" a="1"/>
  <c r="W683" i="1" s="1"/>
  <c r="AB683" i="1"/>
  <c r="D684" i="1"/>
  <c r="AA683" i="1"/>
  <c r="AC683" i="1" s="1"/>
  <c r="W684" i="1" l="1" a="1"/>
  <c r="W684" i="1" s="1"/>
  <c r="AB684" i="1"/>
  <c r="D685" i="1"/>
  <c r="AA684" i="1"/>
  <c r="AC684" i="1" s="1"/>
  <c r="W685" i="1" l="1" a="1"/>
  <c r="W685" i="1" s="1"/>
  <c r="AB685" i="1"/>
  <c r="D686" i="1"/>
  <c r="AA685" i="1"/>
  <c r="AC685" i="1" s="1"/>
  <c r="W686" i="1" l="1" a="1"/>
  <c r="W686" i="1" s="1"/>
  <c r="AB686" i="1"/>
  <c r="D687" i="1"/>
  <c r="AA686" i="1"/>
  <c r="AC686" i="1" s="1"/>
  <c r="W687" i="1" l="1" a="1"/>
  <c r="W687" i="1" s="1"/>
  <c r="AB687" i="1"/>
  <c r="D688" i="1"/>
  <c r="AA687" i="1"/>
  <c r="AC687" i="1" s="1"/>
  <c r="W688" i="1" l="1" a="1"/>
  <c r="W688" i="1" s="1"/>
  <c r="AB688" i="1"/>
  <c r="D689" i="1"/>
  <c r="AA688" i="1"/>
  <c r="AC688" i="1" s="1"/>
  <c r="W689" i="1" l="1" a="1"/>
  <c r="W689" i="1" s="1"/>
  <c r="AB689" i="1"/>
  <c r="D690" i="1"/>
  <c r="AA689" i="1"/>
  <c r="AC689" i="1" s="1"/>
  <c r="W690" i="1" l="1" a="1"/>
  <c r="W690" i="1" s="1"/>
  <c r="AB690" i="1"/>
  <c r="D691" i="1"/>
  <c r="AA690" i="1"/>
  <c r="AC690" i="1" s="1"/>
  <c r="W691" i="1" l="1" a="1"/>
  <c r="W691" i="1" s="1"/>
  <c r="AB691" i="1"/>
  <c r="D692" i="1"/>
  <c r="AA691" i="1"/>
  <c r="AC691" i="1" s="1"/>
  <c r="W692" i="1" l="1" a="1"/>
  <c r="W692" i="1" s="1"/>
  <c r="AB692" i="1"/>
  <c r="D693" i="1"/>
  <c r="AA692" i="1"/>
  <c r="AC692" i="1" s="1"/>
  <c r="W693" i="1" l="1" a="1"/>
  <c r="W693" i="1" s="1"/>
  <c r="AB693" i="1"/>
  <c r="D694" i="1"/>
  <c r="AA693" i="1"/>
  <c r="AC693" i="1" s="1"/>
  <c r="W694" i="1" l="1" a="1"/>
  <c r="W694" i="1" s="1"/>
  <c r="AB694" i="1"/>
  <c r="D695" i="1"/>
  <c r="AA694" i="1"/>
  <c r="AC694" i="1" s="1"/>
  <c r="W695" i="1" l="1" a="1"/>
  <c r="W695" i="1" s="1"/>
  <c r="AB695" i="1"/>
  <c r="D696" i="1"/>
  <c r="AA695" i="1"/>
  <c r="AC695" i="1" s="1"/>
  <c r="W696" i="1" l="1" a="1"/>
  <c r="W696" i="1" s="1"/>
  <c r="AB696" i="1"/>
  <c r="D697" i="1"/>
  <c r="AA696" i="1"/>
  <c r="AC696" i="1" s="1"/>
  <c r="W697" i="1" l="1" a="1"/>
  <c r="W697" i="1" s="1"/>
  <c r="AB697" i="1"/>
  <c r="D698" i="1"/>
  <c r="AA697" i="1"/>
  <c r="AC697" i="1" s="1"/>
  <c r="W698" i="1" l="1" a="1"/>
  <c r="W698" i="1" s="1"/>
  <c r="AB698" i="1"/>
  <c r="D699" i="1"/>
  <c r="AA698" i="1"/>
  <c r="AC698" i="1" s="1"/>
  <c r="W699" i="1" l="1" a="1"/>
  <c r="W699" i="1" s="1"/>
  <c r="AB699" i="1"/>
  <c r="D700" i="1"/>
  <c r="AA699" i="1"/>
  <c r="AC699" i="1" s="1"/>
  <c r="W700" i="1" l="1" a="1"/>
  <c r="W700" i="1" s="1"/>
  <c r="AB700" i="1"/>
  <c r="D701" i="1"/>
  <c r="AA700" i="1"/>
  <c r="AC700" i="1" s="1"/>
  <c r="W701" i="1" l="1" a="1"/>
  <c r="W701" i="1" s="1"/>
  <c r="AB701" i="1"/>
  <c r="D702" i="1"/>
  <c r="AA701" i="1"/>
  <c r="AC701" i="1" s="1"/>
  <c r="W702" i="1" l="1" a="1"/>
  <c r="W702" i="1" s="1"/>
  <c r="AB702" i="1"/>
  <c r="D703" i="1"/>
  <c r="AA702" i="1"/>
  <c r="AC702" i="1" s="1"/>
  <c r="W703" i="1" l="1" a="1"/>
  <c r="W703" i="1" s="1"/>
  <c r="AB703" i="1"/>
  <c r="D704" i="1"/>
  <c r="AA703" i="1"/>
  <c r="AC703" i="1" s="1"/>
  <c r="W704" i="1" l="1" a="1"/>
  <c r="W704" i="1" s="1"/>
  <c r="AB704" i="1"/>
  <c r="D705" i="1"/>
  <c r="AA704" i="1"/>
  <c r="AC704" i="1" s="1"/>
  <c r="W705" i="1" l="1" a="1"/>
  <c r="W705" i="1" s="1"/>
  <c r="AB705" i="1"/>
  <c r="D706" i="1"/>
  <c r="AA705" i="1"/>
  <c r="AC705" i="1" s="1"/>
  <c r="W706" i="1" l="1" a="1"/>
  <c r="W706" i="1" s="1"/>
  <c r="AB706" i="1"/>
  <c r="D707" i="1"/>
  <c r="AA706" i="1"/>
  <c r="AC706" i="1" s="1"/>
  <c r="AB707" i="1" l="1"/>
  <c r="D708" i="1"/>
  <c r="AA707" i="1"/>
  <c r="AC707" i="1" s="1"/>
  <c r="W708" i="1" l="1" a="1"/>
  <c r="W708" i="1" s="1"/>
  <c r="AB708" i="1"/>
  <c r="D709" i="1"/>
  <c r="AA708" i="1"/>
  <c r="AC708" i="1" s="1"/>
  <c r="W709" i="1" l="1" a="1"/>
  <c r="W709" i="1" s="1"/>
  <c r="AB709" i="1"/>
  <c r="D710" i="1"/>
  <c r="AA709" i="1"/>
  <c r="AC709" i="1" s="1"/>
  <c r="W710" i="1" l="1" a="1"/>
  <c r="W710" i="1" s="1"/>
  <c r="AB710" i="1"/>
  <c r="D711" i="1"/>
  <c r="AA710" i="1"/>
  <c r="AC710" i="1" s="1"/>
  <c r="W711" i="1" l="1" a="1"/>
  <c r="W711" i="1" s="1"/>
  <c r="AB711" i="1"/>
  <c r="D712" i="1"/>
  <c r="AA711" i="1"/>
  <c r="AC711" i="1" s="1"/>
  <c r="W712" i="1" l="1" a="1"/>
  <c r="W712" i="1" s="1"/>
  <c r="AB712" i="1"/>
  <c r="D713" i="1"/>
  <c r="AA712" i="1"/>
  <c r="AC712" i="1" s="1"/>
  <c r="W713" i="1" l="1" a="1"/>
  <c r="W713" i="1" s="1"/>
  <c r="AB713" i="1"/>
  <c r="D714" i="1"/>
  <c r="AA713" i="1"/>
  <c r="AC713" i="1" s="1"/>
  <c r="W714" i="1" l="1" a="1"/>
  <c r="W714" i="1" s="1"/>
  <c r="AB714" i="1"/>
  <c r="D715" i="1"/>
  <c r="AA714" i="1"/>
  <c r="AC714" i="1" s="1"/>
  <c r="W715" i="1" l="1" a="1"/>
  <c r="W715" i="1" s="1"/>
  <c r="AB715" i="1"/>
  <c r="D716" i="1"/>
  <c r="AA715" i="1"/>
  <c r="AC715" i="1" s="1"/>
  <c r="W716" i="1" l="1" a="1"/>
  <c r="W716" i="1" s="1"/>
  <c r="AB716" i="1"/>
  <c r="D717" i="1"/>
  <c r="AA716" i="1"/>
  <c r="AC716" i="1" s="1"/>
  <c r="W717" i="1" l="1" a="1"/>
  <c r="W717" i="1" s="1"/>
  <c r="AB717" i="1"/>
  <c r="D718" i="1"/>
  <c r="AA717" i="1"/>
  <c r="AC717" i="1" s="1"/>
  <c r="W718" i="1" l="1" a="1"/>
  <c r="W718" i="1" s="1"/>
  <c r="AB718" i="1"/>
  <c r="D719" i="1"/>
  <c r="AA718" i="1"/>
  <c r="AC718" i="1" s="1"/>
  <c r="W719" i="1" l="1" a="1"/>
  <c r="W719" i="1" s="1"/>
  <c r="AB719" i="1"/>
  <c r="D720" i="1"/>
  <c r="AA719" i="1"/>
  <c r="AC719" i="1" s="1"/>
  <c r="W720" i="1" l="1" a="1"/>
  <c r="W720" i="1" s="1"/>
  <c r="AB720" i="1"/>
  <c r="D721" i="1"/>
  <c r="AA720" i="1"/>
  <c r="AC720" i="1" s="1"/>
  <c r="W721" i="1" l="1" a="1"/>
  <c r="W721" i="1" s="1"/>
  <c r="AB721" i="1"/>
  <c r="D722" i="1"/>
  <c r="AA721" i="1"/>
  <c r="AC721" i="1" s="1"/>
  <c r="W722" i="1" l="1" a="1"/>
  <c r="W722" i="1" s="1"/>
  <c r="AB722" i="1"/>
  <c r="D723" i="1"/>
  <c r="AA722" i="1"/>
  <c r="AC722" i="1" s="1"/>
  <c r="W723" i="1" l="1" a="1"/>
  <c r="W723" i="1" s="1"/>
  <c r="AB723" i="1"/>
  <c r="D724" i="1"/>
  <c r="AA723" i="1"/>
  <c r="AC723" i="1" s="1"/>
  <c r="W724" i="1" l="1" a="1"/>
  <c r="W724" i="1" s="1"/>
  <c r="AB724" i="1"/>
  <c r="D725" i="1"/>
  <c r="AA724" i="1"/>
  <c r="AC724" i="1" s="1"/>
  <c r="W725" i="1" l="1" a="1"/>
  <c r="W725" i="1" s="1"/>
  <c r="AB725" i="1"/>
  <c r="D726" i="1"/>
  <c r="AA725" i="1"/>
  <c r="AC725" i="1" s="1"/>
  <c r="W726" i="1" l="1" a="1"/>
  <c r="W726" i="1" s="1"/>
  <c r="AB726" i="1"/>
  <c r="D727" i="1"/>
  <c r="AA726" i="1"/>
  <c r="AC726" i="1" s="1"/>
  <c r="W727" i="1" l="1" a="1"/>
  <c r="W727" i="1" s="1"/>
  <c r="AB727" i="1"/>
  <c r="D728" i="1"/>
  <c r="AA727" i="1"/>
  <c r="AC727" i="1" s="1"/>
  <c r="W728" i="1" l="1" a="1"/>
  <c r="W728" i="1" s="1"/>
  <c r="AB728" i="1"/>
  <c r="D729" i="1"/>
  <c r="AA728" i="1"/>
  <c r="AC728" i="1" s="1"/>
  <c r="W729" i="1" l="1" a="1"/>
  <c r="W729" i="1" s="1"/>
  <c r="AB729" i="1"/>
  <c r="D730" i="1"/>
  <c r="AA729" i="1"/>
  <c r="AC729" i="1" s="1"/>
  <c r="W730" i="1" l="1" a="1"/>
  <c r="W730" i="1" s="1"/>
  <c r="AB730" i="1"/>
  <c r="D731" i="1"/>
  <c r="AA730" i="1"/>
  <c r="AC730" i="1" s="1"/>
  <c r="W731" i="1" l="1" a="1"/>
  <c r="W731" i="1" s="1"/>
  <c r="AB731" i="1"/>
  <c r="D732" i="1"/>
  <c r="AA731" i="1"/>
  <c r="AC731" i="1" s="1"/>
  <c r="W732" i="1" l="1" a="1"/>
  <c r="W732" i="1" s="1"/>
  <c r="AB732" i="1"/>
  <c r="D733" i="1"/>
  <c r="AA732" i="1"/>
  <c r="AC732" i="1" s="1"/>
  <c r="W733" i="1" l="1" a="1"/>
  <c r="W733" i="1" s="1"/>
  <c r="AB733" i="1"/>
  <c r="D734" i="1"/>
  <c r="AA733" i="1"/>
  <c r="AC733" i="1" s="1"/>
  <c r="W734" i="1" l="1" a="1"/>
  <c r="W734" i="1" s="1"/>
  <c r="AB734" i="1"/>
  <c r="D735" i="1"/>
  <c r="AA734" i="1"/>
  <c r="AC734" i="1" s="1"/>
  <c r="W735" i="1" l="1" a="1"/>
  <c r="W735" i="1" s="1"/>
  <c r="AB735" i="1"/>
  <c r="D736" i="1"/>
  <c r="AA735" i="1"/>
  <c r="AC735" i="1" s="1"/>
  <c r="W736" i="1" l="1" a="1"/>
  <c r="W736" i="1" s="1"/>
  <c r="AB736" i="1"/>
  <c r="D737" i="1"/>
  <c r="AA736" i="1"/>
  <c r="AC736" i="1" s="1"/>
  <c r="W737" i="1" l="1" a="1"/>
  <c r="W737" i="1" s="1"/>
  <c r="AB737" i="1"/>
  <c r="D738" i="1"/>
  <c r="AA737" i="1"/>
  <c r="AC737" i="1" s="1"/>
  <c r="W738" i="1" l="1" a="1"/>
  <c r="W738" i="1" s="1"/>
  <c r="AB738" i="1"/>
  <c r="D739" i="1"/>
  <c r="AA738" i="1"/>
  <c r="AC738" i="1" s="1"/>
  <c r="W739" i="1" l="1" a="1"/>
  <c r="W739" i="1" s="1"/>
  <c r="AB739" i="1"/>
  <c r="D740" i="1"/>
  <c r="AA739" i="1"/>
  <c r="AC739" i="1" s="1"/>
  <c r="W740" i="1" l="1" a="1"/>
  <c r="W740" i="1" s="1"/>
  <c r="AB740" i="1"/>
  <c r="D741" i="1"/>
  <c r="AA740" i="1"/>
  <c r="AC740" i="1" s="1"/>
  <c r="W741" i="1" l="1" a="1"/>
  <c r="W741" i="1" s="1"/>
  <c r="AB741" i="1"/>
  <c r="D742" i="1"/>
  <c r="AA741" i="1"/>
  <c r="AC741" i="1" s="1"/>
  <c r="W742" i="1" l="1" a="1"/>
  <c r="W742" i="1" s="1"/>
  <c r="AB742" i="1"/>
  <c r="D743" i="1"/>
  <c r="AA742" i="1"/>
  <c r="AC742" i="1" s="1"/>
  <c r="W743" i="1" l="1" a="1"/>
  <c r="W743" i="1" s="1"/>
  <c r="AB743" i="1"/>
  <c r="D744" i="1"/>
  <c r="AA743" i="1"/>
  <c r="AC743" i="1" s="1"/>
  <c r="W744" i="1" l="1" a="1"/>
  <c r="W744" i="1" s="1"/>
  <c r="AB744" i="1"/>
  <c r="D745" i="1"/>
  <c r="AA744" i="1"/>
  <c r="AC744" i="1" s="1"/>
  <c r="W745" i="1" l="1" a="1"/>
  <c r="W745" i="1" s="1"/>
  <c r="AB745" i="1"/>
  <c r="D746" i="1"/>
  <c r="AA745" i="1"/>
  <c r="AC745" i="1" s="1"/>
  <c r="W746" i="1" l="1" a="1"/>
  <c r="W746" i="1" s="1"/>
  <c r="AB746" i="1"/>
  <c r="D747" i="1"/>
  <c r="AA746" i="1"/>
  <c r="AC746" i="1" s="1"/>
  <c r="W747" i="1" l="1" a="1"/>
  <c r="W747" i="1" s="1"/>
  <c r="AB747" i="1"/>
  <c r="D748" i="1"/>
  <c r="AA747" i="1"/>
  <c r="AC747" i="1" s="1"/>
  <c r="W748" i="1" l="1" a="1"/>
  <c r="W748" i="1" s="1"/>
  <c r="AB748" i="1"/>
  <c r="D749" i="1"/>
  <c r="AA748" i="1"/>
  <c r="AC748" i="1" s="1"/>
  <c r="W749" i="1" l="1" a="1"/>
  <c r="W749" i="1" s="1"/>
  <c r="AB749" i="1"/>
  <c r="D750" i="1"/>
  <c r="AA749" i="1"/>
  <c r="AC749" i="1" s="1"/>
  <c r="W750" i="1" l="1" a="1"/>
  <c r="W750" i="1" s="1"/>
  <c r="AB750" i="1"/>
  <c r="D751" i="1"/>
  <c r="AA750" i="1"/>
  <c r="AC750" i="1" s="1"/>
  <c r="W751" i="1" l="1" a="1"/>
  <c r="W751" i="1" s="1"/>
  <c r="AB751" i="1"/>
  <c r="D752" i="1"/>
  <c r="AA751" i="1"/>
  <c r="AC751" i="1" s="1"/>
  <c r="W752" i="1" l="1" a="1"/>
  <c r="W752" i="1" s="1"/>
  <c r="AB752" i="1"/>
  <c r="D753" i="1"/>
  <c r="AA752" i="1"/>
  <c r="AC752" i="1" s="1"/>
  <c r="W753" i="1" l="1" a="1"/>
  <c r="W753" i="1" s="1"/>
  <c r="AB753" i="1"/>
  <c r="D754" i="1"/>
  <c r="AA753" i="1"/>
  <c r="AC753" i="1" s="1"/>
  <c r="W754" i="1" l="1" a="1"/>
  <c r="W754" i="1" s="1"/>
  <c r="AB754" i="1"/>
  <c r="D755" i="1"/>
  <c r="AA754" i="1"/>
  <c r="AC754" i="1" s="1"/>
  <c r="W755" i="1" l="1" a="1"/>
  <c r="W755" i="1" s="1"/>
  <c r="AB755" i="1"/>
  <c r="D756" i="1"/>
  <c r="AA755" i="1"/>
  <c r="AC755" i="1" s="1"/>
  <c r="W756" i="1" l="1" a="1"/>
  <c r="W756" i="1" s="1"/>
  <c r="AB756" i="1"/>
  <c r="D757" i="1"/>
  <c r="AA756" i="1"/>
  <c r="AC756" i="1" s="1"/>
  <c r="W757" i="1" l="1" a="1"/>
  <c r="W757" i="1" s="1"/>
  <c r="AB757" i="1"/>
  <c r="D758" i="1"/>
  <c r="AA757" i="1"/>
  <c r="AC757" i="1" s="1"/>
  <c r="W758" i="1" l="1" a="1"/>
  <c r="W758" i="1" s="1"/>
  <c r="AB758" i="1"/>
  <c r="D759" i="1"/>
  <c r="AA758" i="1"/>
  <c r="AC758" i="1" s="1"/>
  <c r="AB759" i="1" l="1"/>
  <c r="W759" i="1" a="1"/>
  <c r="W759" i="1" s="1"/>
  <c r="D760" i="1"/>
  <c r="AA759" i="1"/>
  <c r="AC759" i="1" s="1"/>
  <c r="AB760" i="1" l="1"/>
  <c r="W760" i="1" a="1"/>
  <c r="W760" i="1" s="1"/>
  <c r="D761" i="1"/>
  <c r="AA760" i="1"/>
  <c r="AC760" i="1" s="1"/>
  <c r="AB761" i="1" l="1"/>
  <c r="W761" i="1" a="1"/>
  <c r="W761" i="1" s="1"/>
  <c r="D762" i="1"/>
  <c r="AA761" i="1"/>
  <c r="AC761" i="1" s="1"/>
  <c r="AB762" i="1" l="1"/>
  <c r="W762" i="1" a="1"/>
  <c r="W762" i="1" s="1"/>
  <c r="D763" i="1"/>
  <c r="AA762" i="1"/>
  <c r="AC762" i="1" s="1"/>
  <c r="AB763" i="1" l="1"/>
  <c r="W763" i="1" a="1"/>
  <c r="W763" i="1" s="1"/>
  <c r="D764" i="1"/>
  <c r="AA763" i="1"/>
  <c r="AC763" i="1" s="1"/>
  <c r="AB764" i="1" l="1"/>
  <c r="W764" i="1" a="1"/>
  <c r="W764" i="1" s="1"/>
  <c r="D765" i="1"/>
  <c r="AB765" i="1" s="1"/>
  <c r="AA764" i="1"/>
  <c r="AC764" i="1" s="1"/>
  <c r="D766" i="1" l="1"/>
  <c r="AA765" i="1"/>
  <c r="AC765" i="1" s="1"/>
  <c r="AB766" i="1" l="1"/>
  <c r="W766" i="1" a="1"/>
  <c r="W766" i="1" s="1"/>
  <c r="D767" i="1"/>
  <c r="AA766" i="1"/>
  <c r="AC766" i="1" s="1"/>
  <c r="AB767" i="1" l="1"/>
  <c r="W767" i="1" a="1"/>
  <c r="W767" i="1" s="1"/>
  <c r="D768" i="1"/>
  <c r="AA767" i="1"/>
  <c r="AC767" i="1" s="1"/>
  <c r="AB768" i="1" l="1"/>
  <c r="W768" i="1" a="1"/>
  <c r="W768" i="1" s="1"/>
  <c r="D769" i="1"/>
  <c r="AA768" i="1"/>
  <c r="AC768" i="1" s="1"/>
  <c r="AB769" i="1" l="1"/>
  <c r="W769" i="1" a="1"/>
  <c r="W769" i="1" s="1"/>
  <c r="D770" i="1"/>
  <c r="AA769" i="1"/>
  <c r="AC769" i="1" s="1"/>
  <c r="AB770" i="1" l="1"/>
  <c r="W770" i="1" a="1"/>
  <c r="W770" i="1" s="1"/>
  <c r="D771" i="1"/>
  <c r="AA770" i="1"/>
  <c r="AC770" i="1" s="1"/>
  <c r="AB771" i="1" l="1"/>
  <c r="W771" i="1" a="1"/>
  <c r="W771" i="1" s="1"/>
  <c r="D772" i="1"/>
  <c r="AA771" i="1"/>
  <c r="AC771" i="1" s="1"/>
  <c r="AB772" i="1" l="1"/>
  <c r="W772" i="1" a="1"/>
  <c r="W772" i="1" s="1"/>
  <c r="D773" i="1"/>
  <c r="AA772" i="1"/>
  <c r="AC772" i="1" s="1"/>
  <c r="AB773" i="1" l="1"/>
  <c r="W773" i="1" a="1"/>
  <c r="W773" i="1" s="1"/>
  <c r="D774" i="1"/>
  <c r="AA773" i="1"/>
  <c r="AC773" i="1" s="1"/>
  <c r="AB774" i="1" l="1"/>
  <c r="W774" i="1" a="1"/>
  <c r="W774" i="1" s="1"/>
  <c r="D775" i="1"/>
  <c r="AA774" i="1"/>
  <c r="AC774" i="1" s="1"/>
  <c r="AB775" i="1" l="1"/>
  <c r="W775" i="1" a="1"/>
  <c r="W775" i="1" s="1"/>
  <c r="D776" i="1"/>
  <c r="AA775" i="1"/>
  <c r="AC775" i="1" s="1"/>
  <c r="AB776" i="1" l="1"/>
  <c r="W776" i="1" a="1"/>
  <c r="W776" i="1" s="1"/>
  <c r="D777" i="1"/>
  <c r="AA776" i="1"/>
  <c r="AC776" i="1" s="1"/>
  <c r="AB777" i="1" l="1"/>
  <c r="W777" i="1" a="1"/>
  <c r="W777" i="1" s="1"/>
  <c r="D778" i="1"/>
  <c r="AA777" i="1"/>
  <c r="AC777" i="1" s="1"/>
  <c r="AB778" i="1" l="1"/>
  <c r="W778" i="1" a="1"/>
  <c r="W778" i="1" s="1"/>
  <c r="D779" i="1"/>
  <c r="AA778" i="1"/>
  <c r="AC778" i="1" s="1"/>
  <c r="AB779" i="1" l="1"/>
  <c r="W779" i="1" a="1"/>
  <c r="W779" i="1" s="1"/>
  <c r="D780" i="1"/>
  <c r="AA779" i="1"/>
  <c r="AC779" i="1" s="1"/>
  <c r="AB780" i="1" l="1"/>
  <c r="W780" i="1" a="1"/>
  <c r="W780" i="1" s="1"/>
  <c r="D781" i="1"/>
  <c r="AA780" i="1"/>
  <c r="AC780" i="1" s="1"/>
  <c r="AB781" i="1" l="1"/>
  <c r="W781" i="1" a="1"/>
  <c r="W781" i="1" s="1"/>
  <c r="D782" i="1"/>
  <c r="AA781" i="1"/>
  <c r="AC781" i="1" s="1"/>
  <c r="AB782" i="1" l="1"/>
  <c r="W782" i="1" a="1"/>
  <c r="W782" i="1" s="1"/>
  <c r="D783" i="1"/>
  <c r="AA782" i="1"/>
  <c r="AC782" i="1" s="1"/>
  <c r="AB783" i="1" l="1"/>
  <c r="W783" i="1" a="1"/>
  <c r="W783" i="1" s="1"/>
  <c r="D784" i="1"/>
  <c r="AA783" i="1"/>
  <c r="AC783" i="1" s="1"/>
  <c r="AB784" i="1" l="1"/>
  <c r="W784" i="1" a="1"/>
  <c r="W784" i="1" s="1"/>
  <c r="D785" i="1"/>
  <c r="AA784" i="1"/>
  <c r="AC784" i="1" s="1"/>
  <c r="AB785" i="1" l="1"/>
  <c r="W785" i="1" a="1"/>
  <c r="W785" i="1" s="1"/>
  <c r="D786" i="1"/>
  <c r="AA785" i="1"/>
  <c r="AC785" i="1" s="1"/>
  <c r="AB786" i="1" l="1"/>
  <c r="W786" i="1" a="1"/>
  <c r="W786" i="1" s="1"/>
  <c r="D787" i="1"/>
  <c r="AA786" i="1"/>
  <c r="AC786" i="1" s="1"/>
  <c r="AB787" i="1" l="1"/>
  <c r="W787" i="1" a="1"/>
  <c r="W787" i="1" s="1"/>
  <c r="D788" i="1"/>
  <c r="AA787" i="1"/>
  <c r="AC787" i="1" s="1"/>
  <c r="AB788" i="1" l="1"/>
  <c r="W788" i="1" a="1"/>
  <c r="W788" i="1" s="1"/>
  <c r="D789" i="1"/>
  <c r="AA788" i="1"/>
  <c r="AC788" i="1" s="1"/>
  <c r="AB789" i="1" l="1"/>
  <c r="W789" i="1" a="1"/>
  <c r="W789" i="1" s="1"/>
  <c r="D790" i="1"/>
  <c r="AA789" i="1"/>
  <c r="AC789" i="1" s="1"/>
  <c r="AB790" i="1" l="1"/>
  <c r="W790" i="1" a="1"/>
  <c r="W790" i="1" s="1"/>
  <c r="D791" i="1"/>
  <c r="AA790" i="1"/>
  <c r="AC790" i="1" s="1"/>
  <c r="AB791" i="1" l="1"/>
  <c r="W791" i="1" a="1"/>
  <c r="W791" i="1" s="1"/>
  <c r="D792" i="1"/>
  <c r="AA791" i="1"/>
  <c r="AC791" i="1" s="1"/>
  <c r="AB792" i="1" l="1"/>
  <c r="W792" i="1" a="1"/>
  <c r="W792" i="1" s="1"/>
  <c r="D793" i="1"/>
  <c r="AA792" i="1"/>
  <c r="AC792" i="1" s="1"/>
  <c r="AB793" i="1" l="1"/>
  <c r="W793" i="1" a="1"/>
  <c r="W793" i="1" s="1"/>
  <c r="D794" i="1"/>
  <c r="AA793" i="1"/>
  <c r="AC793" i="1" s="1"/>
  <c r="AB794" i="1" l="1"/>
  <c r="W794" i="1" a="1"/>
  <c r="W794" i="1" s="1"/>
  <c r="D795" i="1"/>
  <c r="AA794" i="1"/>
  <c r="AC794" i="1" s="1"/>
  <c r="AB795" i="1" l="1"/>
  <c r="W795" i="1" a="1"/>
  <c r="W795" i="1" s="1"/>
  <c r="D796" i="1"/>
  <c r="AA795" i="1"/>
  <c r="AC795" i="1" s="1"/>
  <c r="AB796" i="1" l="1"/>
  <c r="W796" i="1" a="1"/>
  <c r="W796" i="1" s="1"/>
  <c r="D797" i="1"/>
  <c r="AA796" i="1"/>
  <c r="AC796" i="1" s="1"/>
  <c r="AB797" i="1" l="1"/>
  <c r="W797" i="1" a="1"/>
  <c r="W797" i="1" s="1"/>
  <c r="D798" i="1"/>
  <c r="AA797" i="1"/>
  <c r="AC797" i="1" s="1"/>
  <c r="AB798" i="1" l="1"/>
  <c r="W798" i="1" a="1"/>
  <c r="W798" i="1" s="1"/>
  <c r="D799" i="1"/>
  <c r="AA798" i="1"/>
  <c r="AC798" i="1" s="1"/>
  <c r="AB799" i="1" l="1"/>
  <c r="W799" i="1" a="1"/>
  <c r="W799" i="1" s="1"/>
  <c r="D800" i="1"/>
  <c r="AA799" i="1"/>
  <c r="AC799" i="1" s="1"/>
  <c r="AB800" i="1" l="1"/>
  <c r="W800" i="1" a="1"/>
  <c r="W800" i="1" s="1"/>
  <c r="D801" i="1"/>
  <c r="AA800" i="1"/>
  <c r="AC800" i="1" s="1"/>
  <c r="AB801" i="1" l="1"/>
  <c r="W801" i="1" a="1"/>
  <c r="W801" i="1" s="1"/>
  <c r="D802" i="1"/>
  <c r="AA801" i="1"/>
  <c r="AC801" i="1" s="1"/>
  <c r="AB802" i="1" l="1"/>
  <c r="W802" i="1" a="1"/>
  <c r="W802" i="1" s="1"/>
  <c r="D803" i="1"/>
  <c r="AA802" i="1"/>
  <c r="AC802" i="1" s="1"/>
  <c r="AB803" i="1" l="1"/>
  <c r="W803" i="1" a="1"/>
  <c r="W803" i="1" s="1"/>
  <c r="D804" i="1"/>
  <c r="AA803" i="1"/>
  <c r="AC803" i="1" s="1"/>
  <c r="AB804" i="1" l="1"/>
  <c r="W804" i="1" a="1"/>
  <c r="W804" i="1" s="1"/>
  <c r="D805" i="1"/>
  <c r="AA804" i="1"/>
  <c r="AC804" i="1" s="1"/>
  <c r="AB805" i="1" l="1"/>
  <c r="W805" i="1" a="1"/>
  <c r="W805" i="1" s="1"/>
  <c r="D806" i="1"/>
  <c r="AA805" i="1"/>
  <c r="AC805" i="1" s="1"/>
  <c r="AB806" i="1" l="1"/>
  <c r="W806" i="1" a="1"/>
  <c r="W806" i="1" s="1"/>
  <c r="D807" i="1"/>
  <c r="AA806" i="1"/>
  <c r="AC806" i="1" s="1"/>
  <c r="AB807" i="1" l="1"/>
  <c r="W807" i="1" a="1"/>
  <c r="W807" i="1" s="1"/>
  <c r="D808" i="1"/>
  <c r="AA807" i="1"/>
  <c r="AC807" i="1" s="1"/>
  <c r="AB808" i="1" l="1"/>
  <c r="W808" i="1" a="1"/>
  <c r="W808" i="1" s="1"/>
  <c r="D809" i="1"/>
  <c r="AA808" i="1"/>
  <c r="AC808" i="1" s="1"/>
  <c r="AB809" i="1" l="1"/>
  <c r="W809" i="1" a="1"/>
  <c r="W809" i="1" s="1"/>
  <c r="D810" i="1"/>
  <c r="AA809" i="1"/>
  <c r="AC809" i="1" s="1"/>
  <c r="AB810" i="1" l="1"/>
  <c r="W810" i="1" a="1"/>
  <c r="W810" i="1" s="1"/>
  <c r="D811" i="1"/>
  <c r="AA810" i="1"/>
  <c r="AC810" i="1" s="1"/>
  <c r="AB811" i="1" l="1"/>
  <c r="W811" i="1" a="1"/>
  <c r="W811" i="1" s="1"/>
  <c r="D812" i="1"/>
  <c r="AB812" i="1" s="1"/>
  <c r="AA811" i="1"/>
  <c r="AC811" i="1" s="1"/>
  <c r="D813" i="1" l="1"/>
  <c r="AA812" i="1"/>
  <c r="AC812" i="1" s="1"/>
  <c r="AB813" i="1" l="1"/>
  <c r="W813" i="1" a="1"/>
  <c r="W813" i="1" s="1"/>
  <c r="D814" i="1"/>
  <c r="AA813" i="1"/>
  <c r="AC813" i="1" s="1"/>
  <c r="AB814" i="1" l="1"/>
  <c r="W814" i="1" a="1"/>
  <c r="W814" i="1" s="1"/>
  <c r="D815" i="1"/>
  <c r="AA814" i="1"/>
  <c r="AC814" i="1" s="1"/>
  <c r="AB815" i="1" l="1"/>
  <c r="W815" i="1" a="1"/>
  <c r="W815" i="1" s="1"/>
  <c r="D816" i="1"/>
  <c r="AA815" i="1"/>
  <c r="AC815" i="1" s="1"/>
  <c r="AB816" i="1" l="1"/>
  <c r="W816" i="1" a="1"/>
  <c r="W816" i="1" s="1"/>
  <c r="D817" i="1"/>
  <c r="AA816" i="1"/>
  <c r="AC816" i="1" s="1"/>
  <c r="AB817" i="1" l="1"/>
  <c r="W817" i="1" a="1"/>
  <c r="W817" i="1" s="1"/>
  <c r="D818" i="1"/>
  <c r="AA817" i="1"/>
  <c r="AC817" i="1" s="1"/>
  <c r="AB818" i="1" l="1"/>
  <c r="W818" i="1" a="1"/>
  <c r="W818" i="1" s="1"/>
  <c r="D819" i="1"/>
  <c r="AA818" i="1"/>
  <c r="AC818" i="1" s="1"/>
  <c r="AB819" i="1" l="1"/>
  <c r="W819" i="1" a="1"/>
  <c r="W819" i="1" s="1"/>
  <c r="D820" i="1"/>
  <c r="AA819" i="1"/>
  <c r="AC819" i="1" s="1"/>
  <c r="AB820" i="1" l="1"/>
  <c r="W820" i="1" a="1"/>
  <c r="W820" i="1" s="1"/>
  <c r="D821" i="1"/>
  <c r="AB821" i="1" s="1"/>
  <c r="AA820" i="1"/>
  <c r="AC820" i="1" s="1"/>
  <c r="D822" i="1" l="1"/>
  <c r="AA821" i="1"/>
  <c r="AC821" i="1" s="1"/>
  <c r="AB822" i="1" l="1"/>
  <c r="W822" i="1" a="1"/>
  <c r="W822" i="1" s="1"/>
  <c r="D823" i="1"/>
  <c r="AA822" i="1"/>
  <c r="AC822" i="1" s="1"/>
  <c r="AB823" i="1" l="1"/>
  <c r="W823" i="1" a="1"/>
  <c r="W823" i="1" s="1"/>
  <c r="D824" i="1"/>
  <c r="AA823" i="1"/>
  <c r="AC823" i="1" s="1"/>
  <c r="AB824" i="1" l="1"/>
  <c r="W824" i="1" a="1"/>
  <c r="W824" i="1" s="1"/>
  <c r="D825" i="1"/>
  <c r="AA824" i="1"/>
  <c r="AC824" i="1" s="1"/>
  <c r="AB825" i="1" l="1"/>
  <c r="W825" i="1" a="1"/>
  <c r="W825" i="1" s="1"/>
  <c r="D826" i="1"/>
  <c r="AA825" i="1"/>
  <c r="AC825" i="1" s="1"/>
  <c r="AB826" i="1" l="1"/>
  <c r="W826" i="1" a="1"/>
  <c r="W826" i="1" s="1"/>
  <c r="D827" i="1"/>
  <c r="AA826" i="1"/>
  <c r="AC826" i="1" s="1"/>
  <c r="AB827" i="1" l="1"/>
  <c r="W827" i="1" a="1"/>
  <c r="W827" i="1" s="1"/>
  <c r="D828" i="1"/>
  <c r="AA827" i="1"/>
  <c r="AC827" i="1" s="1"/>
  <c r="AB828" i="1" l="1"/>
  <c r="W828" i="1" a="1"/>
  <c r="W828" i="1" s="1"/>
  <c r="D829" i="1"/>
  <c r="AA828" i="1"/>
  <c r="AC828" i="1" s="1"/>
  <c r="AB829" i="1" l="1"/>
  <c r="W829" i="1" a="1"/>
  <c r="W829" i="1" s="1"/>
  <c r="D830" i="1"/>
  <c r="AA829" i="1"/>
  <c r="AC829" i="1" s="1"/>
  <c r="AB830" i="1" l="1"/>
  <c r="W830" i="1" a="1"/>
  <c r="W830" i="1" s="1"/>
  <c r="D831" i="1"/>
  <c r="AA830" i="1"/>
  <c r="AC830" i="1" s="1"/>
  <c r="AB831" i="1" l="1"/>
  <c r="W831" i="1" a="1"/>
  <c r="W831" i="1" s="1"/>
  <c r="D832" i="1"/>
  <c r="AA831" i="1"/>
  <c r="AC831" i="1" s="1"/>
  <c r="AB832" i="1" l="1"/>
  <c r="W832" i="1" a="1"/>
  <c r="W832" i="1" s="1"/>
  <c r="D833" i="1"/>
  <c r="AA832" i="1"/>
  <c r="AC832" i="1" s="1"/>
  <c r="AB833" i="1" l="1"/>
  <c r="W833" i="1" a="1"/>
  <c r="W833" i="1" s="1"/>
  <c r="D834" i="1"/>
  <c r="AA833" i="1"/>
  <c r="AC833" i="1" s="1"/>
  <c r="AB834" i="1" l="1"/>
  <c r="W834" i="1" a="1"/>
  <c r="W834" i="1" s="1"/>
  <c r="D835" i="1"/>
  <c r="AA834" i="1"/>
  <c r="AC834" i="1" s="1"/>
  <c r="AB835" i="1" l="1"/>
  <c r="W835" i="1" a="1"/>
  <c r="W835" i="1" s="1"/>
  <c r="D836" i="1"/>
  <c r="AA835" i="1"/>
  <c r="AC835" i="1" s="1"/>
  <c r="AB836" i="1" l="1"/>
  <c r="W836" i="1" a="1"/>
  <c r="W836" i="1" s="1"/>
  <c r="D837" i="1"/>
  <c r="AA836" i="1"/>
  <c r="AC836" i="1" s="1"/>
  <c r="AB837" i="1" l="1"/>
  <c r="W837" i="1" a="1"/>
  <c r="W837" i="1" s="1"/>
  <c r="D838" i="1"/>
  <c r="AA837" i="1"/>
  <c r="AC837" i="1" s="1"/>
  <c r="AB838" i="1" l="1"/>
  <c r="W838" i="1" a="1"/>
  <c r="W838" i="1" s="1"/>
  <c r="D839" i="1"/>
  <c r="AA838" i="1"/>
  <c r="AC838" i="1" s="1"/>
  <c r="AB839" i="1" l="1"/>
  <c r="W839" i="1" a="1"/>
  <c r="W839" i="1" s="1"/>
  <c r="D840" i="1"/>
  <c r="AA839" i="1"/>
  <c r="AC839" i="1" s="1"/>
  <c r="AB840" i="1" l="1"/>
  <c r="W840" i="1" a="1"/>
  <c r="W840" i="1" s="1"/>
  <c r="D841" i="1"/>
  <c r="AA840" i="1"/>
  <c r="AC840" i="1" s="1"/>
  <c r="AB841" i="1" l="1"/>
  <c r="W841" i="1" a="1"/>
  <c r="W841" i="1" s="1"/>
  <c r="D842" i="1"/>
  <c r="AA841" i="1"/>
  <c r="AC841" i="1" s="1"/>
  <c r="AB842" i="1" l="1"/>
  <c r="W842" i="1" a="1"/>
  <c r="W842" i="1" s="1"/>
  <c r="D843" i="1"/>
  <c r="AA842" i="1"/>
  <c r="AC842" i="1" s="1"/>
  <c r="AB843" i="1" l="1"/>
  <c r="W843" i="1" a="1"/>
  <c r="W843" i="1" s="1"/>
  <c r="D844" i="1"/>
  <c r="AA843" i="1"/>
  <c r="AC843" i="1" s="1"/>
  <c r="AB844" i="1" l="1"/>
  <c r="W844" i="1" a="1"/>
  <c r="W844" i="1" s="1"/>
  <c r="D845" i="1"/>
  <c r="AA844" i="1"/>
  <c r="AC844" i="1" s="1"/>
  <c r="AB845" i="1" l="1"/>
  <c r="W845" i="1" a="1"/>
  <c r="W845" i="1" s="1"/>
  <c r="D846" i="1"/>
  <c r="AA845" i="1"/>
  <c r="AC845" i="1" s="1"/>
  <c r="AB846" i="1" l="1"/>
  <c r="W846" i="1" a="1"/>
  <c r="W846" i="1" s="1"/>
  <c r="D847" i="1"/>
  <c r="AA846" i="1"/>
  <c r="AC846" i="1" s="1"/>
  <c r="AB847" i="1" l="1"/>
  <c r="W847" i="1" a="1"/>
  <c r="W847" i="1" s="1"/>
  <c r="D848" i="1"/>
  <c r="AA847" i="1"/>
  <c r="AC847" i="1" s="1"/>
  <c r="AB848" i="1" l="1"/>
  <c r="W848" i="1" a="1"/>
  <c r="W848" i="1" s="1"/>
  <c r="D849" i="1"/>
  <c r="AA848" i="1"/>
  <c r="AC848" i="1" s="1"/>
  <c r="AB849" i="1" l="1"/>
  <c r="W849" i="1" a="1"/>
  <c r="W849" i="1" s="1"/>
  <c r="D850" i="1"/>
  <c r="AA849" i="1"/>
  <c r="AC849" i="1" s="1"/>
  <c r="AB850" i="1" l="1"/>
  <c r="W850" i="1" a="1"/>
  <c r="W850" i="1" s="1"/>
  <c r="D851" i="1"/>
  <c r="AA850" i="1"/>
  <c r="AC850" i="1" s="1"/>
  <c r="AB851" i="1" l="1"/>
  <c r="W851" i="1" a="1"/>
  <c r="W851" i="1" s="1"/>
  <c r="D852" i="1"/>
  <c r="AA851" i="1"/>
  <c r="AC851" i="1" s="1"/>
  <c r="AB852" i="1" l="1"/>
  <c r="W852" i="1" a="1"/>
  <c r="W852" i="1" s="1"/>
  <c r="D853" i="1"/>
  <c r="AA852" i="1"/>
  <c r="AC852" i="1" s="1"/>
  <c r="AB853" i="1" l="1"/>
  <c r="W853" i="1" a="1"/>
  <c r="W853" i="1" s="1"/>
  <c r="D854" i="1"/>
  <c r="AA853" i="1"/>
  <c r="AC853" i="1" s="1"/>
  <c r="AB854" i="1" l="1"/>
  <c r="W854" i="1" a="1"/>
  <c r="W854" i="1" s="1"/>
  <c r="D855" i="1"/>
  <c r="AA854" i="1"/>
  <c r="AC854" i="1" s="1"/>
  <c r="AB855" i="1" l="1"/>
  <c r="W855" i="1" a="1"/>
  <c r="W855" i="1" s="1"/>
  <c r="D856" i="1"/>
  <c r="AA855" i="1"/>
  <c r="AC855" i="1" s="1"/>
  <c r="AB856" i="1" l="1"/>
  <c r="W856" i="1" a="1"/>
  <c r="W856" i="1" s="1"/>
  <c r="D857" i="1"/>
  <c r="AA856" i="1"/>
  <c r="AC856" i="1" s="1"/>
  <c r="AB857" i="1" l="1"/>
  <c r="W857" i="1" a="1"/>
  <c r="W857" i="1" s="1"/>
  <c r="D858" i="1"/>
  <c r="AA857" i="1"/>
  <c r="AC857" i="1" s="1"/>
  <c r="AB858" i="1" l="1"/>
  <c r="W858" i="1" a="1"/>
  <c r="W858" i="1" s="1"/>
  <c r="D859" i="1"/>
  <c r="AA858" i="1"/>
  <c r="AC858" i="1" s="1"/>
  <c r="AB859" i="1" l="1"/>
  <c r="W859" i="1" a="1"/>
  <c r="W859" i="1" s="1"/>
  <c r="D860" i="1"/>
  <c r="AA859" i="1"/>
  <c r="AC859" i="1" s="1"/>
  <c r="AB860" i="1" l="1"/>
  <c r="W860" i="1" a="1"/>
  <c r="W860" i="1" s="1"/>
  <c r="D861" i="1"/>
  <c r="AA860" i="1"/>
  <c r="AC860" i="1" s="1"/>
  <c r="AB861" i="1" l="1"/>
  <c r="W861" i="1" a="1"/>
  <c r="W861" i="1" s="1"/>
  <c r="D862" i="1"/>
  <c r="AA861" i="1"/>
  <c r="AC861" i="1" s="1"/>
  <c r="AB862" i="1" l="1"/>
  <c r="W862" i="1" a="1"/>
  <c r="W862" i="1" s="1"/>
  <c r="D863" i="1"/>
  <c r="AA862" i="1"/>
  <c r="AC862" i="1" s="1"/>
  <c r="AB863" i="1" l="1"/>
  <c r="W863" i="1" a="1"/>
  <c r="W863" i="1" s="1"/>
  <c r="D864" i="1"/>
  <c r="AA863" i="1"/>
  <c r="AC863" i="1" s="1"/>
  <c r="AB864" i="1" l="1"/>
  <c r="W864" i="1" a="1"/>
  <c r="W864" i="1" s="1"/>
  <c r="D865" i="1"/>
  <c r="AA864" i="1"/>
  <c r="AC864" i="1" s="1"/>
  <c r="AB865" i="1" l="1"/>
  <c r="W865" i="1" a="1"/>
  <c r="W865" i="1" s="1"/>
  <c r="D866" i="1"/>
  <c r="AA865" i="1"/>
  <c r="AC865" i="1" s="1"/>
  <c r="AB866" i="1" l="1"/>
  <c r="W866" i="1" a="1"/>
  <c r="W866" i="1" s="1"/>
  <c r="D867" i="1"/>
  <c r="AA866" i="1"/>
  <c r="AC866" i="1" s="1"/>
  <c r="AB867" i="1" l="1"/>
  <c r="W867" i="1" a="1"/>
  <c r="W867" i="1" s="1"/>
  <c r="D868" i="1"/>
  <c r="AA867" i="1"/>
  <c r="AC867" i="1" s="1"/>
  <c r="AB868" i="1" l="1"/>
  <c r="W868" i="1" a="1"/>
  <c r="W868" i="1" s="1"/>
  <c r="D869" i="1"/>
  <c r="AA868" i="1"/>
  <c r="AC868" i="1" s="1"/>
  <c r="AB869" i="1" l="1"/>
  <c r="W869" i="1" a="1"/>
  <c r="W869" i="1" s="1"/>
  <c r="D870" i="1"/>
  <c r="AA869" i="1"/>
  <c r="AC869" i="1" s="1"/>
  <c r="AB870" i="1" l="1"/>
  <c r="W870" i="1" a="1"/>
  <c r="W870" i="1" s="1"/>
  <c r="D871" i="1"/>
  <c r="AA870" i="1"/>
  <c r="AC870" i="1" s="1"/>
  <c r="AB871" i="1" l="1"/>
  <c r="W871" i="1" a="1"/>
  <c r="W871" i="1" s="1"/>
  <c r="D872" i="1"/>
  <c r="AA871" i="1"/>
  <c r="AC871" i="1" s="1"/>
  <c r="AB872" i="1" l="1"/>
  <c r="W872" i="1" a="1"/>
  <c r="W872" i="1" s="1"/>
  <c r="D873" i="1"/>
  <c r="AA872" i="1"/>
  <c r="AC872" i="1" s="1"/>
  <c r="AB873" i="1" l="1"/>
  <c r="W873" i="1" a="1"/>
  <c r="W873" i="1" s="1"/>
  <c r="D874" i="1"/>
  <c r="AA873" i="1"/>
  <c r="AC873" i="1" s="1"/>
  <c r="AB874" i="1" l="1"/>
  <c r="W874" i="1" a="1"/>
  <c r="W874" i="1" s="1"/>
  <c r="D875" i="1"/>
  <c r="AA874" i="1"/>
  <c r="AC874" i="1" s="1"/>
  <c r="AB875" i="1" l="1"/>
  <c r="W875" i="1" a="1"/>
  <c r="W875" i="1" s="1"/>
  <c r="D876" i="1"/>
  <c r="AA875" i="1"/>
  <c r="AC875" i="1" s="1"/>
  <c r="AB876" i="1" l="1"/>
  <c r="W876" i="1" a="1"/>
  <c r="W876" i="1" s="1"/>
  <c r="D877" i="1"/>
  <c r="AA876" i="1"/>
  <c r="AC876" i="1" s="1"/>
  <c r="AB877" i="1" l="1"/>
  <c r="W877" i="1" a="1"/>
  <c r="W877" i="1" s="1"/>
  <c r="D878" i="1"/>
  <c r="AA877" i="1"/>
  <c r="AC877" i="1" s="1"/>
  <c r="AB878" i="1" l="1"/>
  <c r="W878" i="1" a="1"/>
  <c r="W878" i="1" s="1"/>
  <c r="D879" i="1"/>
  <c r="AA878" i="1"/>
  <c r="AC878" i="1" s="1"/>
  <c r="AB879" i="1" l="1"/>
  <c r="W879" i="1" a="1"/>
  <c r="W879" i="1" s="1"/>
  <c r="D880" i="1"/>
  <c r="AA879" i="1"/>
  <c r="AC879" i="1" s="1"/>
  <c r="AB880" i="1" l="1"/>
  <c r="W880" i="1" a="1"/>
  <c r="W880" i="1" s="1"/>
  <c r="D881" i="1"/>
  <c r="AA880" i="1"/>
  <c r="AC880" i="1" s="1"/>
  <c r="AB881" i="1" l="1"/>
  <c r="W881" i="1" a="1"/>
  <c r="W881" i="1" s="1"/>
  <c r="W32" i="8"/>
  <c r="D882" i="1"/>
  <c r="AA881" i="1"/>
  <c r="AC881" i="1" s="1"/>
  <c r="AB882" i="1" l="1"/>
  <c r="W882" i="1" a="1"/>
  <c r="W882" i="1" s="1"/>
  <c r="D883" i="1"/>
  <c r="AA882" i="1"/>
  <c r="AC882" i="1" s="1"/>
  <c r="AB883" i="1" l="1"/>
  <c r="W883" i="1" a="1"/>
  <c r="W883" i="1" s="1"/>
  <c r="D884" i="1"/>
  <c r="AA883" i="1"/>
  <c r="AC883" i="1" s="1"/>
  <c r="AB884" i="1" l="1"/>
  <c r="W884" i="1" a="1"/>
  <c r="W884" i="1" s="1"/>
  <c r="D885" i="1"/>
  <c r="AA884" i="1"/>
  <c r="AC884" i="1" s="1"/>
  <c r="AB885" i="1" l="1"/>
  <c r="W885" i="1" a="1"/>
  <c r="W885" i="1" s="1"/>
  <c r="D886" i="1"/>
  <c r="AA885" i="1"/>
  <c r="AC885" i="1" s="1"/>
  <c r="AB886" i="1" l="1"/>
  <c r="W886" i="1" a="1"/>
  <c r="W886" i="1" s="1"/>
  <c r="D887" i="1"/>
  <c r="AA886" i="1"/>
  <c r="AC886" i="1" s="1"/>
  <c r="AB887" i="1" l="1"/>
  <c r="W887" i="1" a="1"/>
  <c r="W887" i="1" s="1"/>
  <c r="D888" i="1"/>
  <c r="AB888" i="1" s="1"/>
  <c r="AA887" i="1"/>
  <c r="AC887" i="1" s="1"/>
  <c r="D889" i="1" l="1"/>
  <c r="AB889" i="1" s="1"/>
  <c r="AA888" i="1"/>
  <c r="AC888" i="1" s="1"/>
  <c r="D890" i="1" l="1"/>
  <c r="AA889" i="1"/>
  <c r="AC889" i="1" s="1"/>
  <c r="W890" i="1" l="1" a="1"/>
  <c r="W890" i="1" s="1"/>
  <c r="AB890" i="1"/>
  <c r="D891" i="1"/>
  <c r="AA890" i="1"/>
  <c r="AC890" i="1" s="1"/>
  <c r="W891" i="1" l="1" a="1"/>
  <c r="W891" i="1" s="1"/>
  <c r="AB891" i="1"/>
  <c r="D892" i="1"/>
  <c r="AA891" i="1"/>
  <c r="AC891" i="1" s="1"/>
  <c r="W892" i="1" l="1" a="1"/>
  <c r="W892" i="1" s="1"/>
  <c r="AB892" i="1"/>
  <c r="D893" i="1"/>
  <c r="AA892" i="1"/>
  <c r="AC892" i="1" s="1"/>
  <c r="W893" i="1" l="1" a="1"/>
  <c r="W893" i="1" s="1"/>
  <c r="AB893" i="1"/>
  <c r="D894" i="1"/>
  <c r="AA893" i="1"/>
  <c r="AC893" i="1" s="1"/>
  <c r="W894" i="1" l="1" a="1"/>
  <c r="W894" i="1" s="1"/>
  <c r="AB894" i="1"/>
  <c r="D895" i="1"/>
  <c r="AB895" i="1" s="1"/>
  <c r="AA894" i="1"/>
  <c r="AC894" i="1" s="1"/>
  <c r="W895" i="1" l="1" a="1"/>
  <c r="W895" i="1" s="1"/>
  <c r="W62" i="8"/>
  <c r="W34" i="8"/>
  <c r="D896" i="1"/>
  <c r="AA895" i="1"/>
  <c r="AC895" i="1" s="1"/>
  <c r="W896" i="1" l="1" a="1"/>
  <c r="W896" i="1" s="1"/>
  <c r="AB896" i="1"/>
  <c r="D897" i="1"/>
  <c r="AA896" i="1"/>
  <c r="AC896" i="1" s="1"/>
  <c r="W897" i="1" l="1" a="1"/>
  <c r="W897" i="1" s="1"/>
  <c r="AB897" i="1"/>
  <c r="D898" i="1"/>
  <c r="AA897" i="1"/>
  <c r="AC897" i="1" s="1"/>
  <c r="W898" i="1" l="1" a="1"/>
  <c r="W898" i="1" s="1"/>
  <c r="AB898" i="1"/>
  <c r="D899" i="1"/>
  <c r="AA898" i="1"/>
  <c r="AC898" i="1" s="1"/>
  <c r="W899" i="1" l="1" a="1"/>
  <c r="W899" i="1" s="1"/>
  <c r="AB899" i="1"/>
  <c r="D900" i="1"/>
  <c r="AA899" i="1"/>
  <c r="AC899" i="1" s="1"/>
  <c r="W900" i="1" l="1" a="1"/>
  <c r="W900" i="1" s="1"/>
  <c r="AB900" i="1"/>
  <c r="D901" i="1"/>
  <c r="AA900" i="1"/>
  <c r="AC900" i="1" s="1"/>
  <c r="W901" i="1" l="1" a="1"/>
  <c r="W901" i="1" s="1"/>
  <c r="AB901" i="1"/>
  <c r="D902" i="1"/>
  <c r="AA901" i="1"/>
  <c r="AC901" i="1" s="1"/>
  <c r="W902" i="1" l="1" a="1"/>
  <c r="W902" i="1" s="1"/>
  <c r="AB902" i="1"/>
  <c r="D903" i="1"/>
  <c r="AA902" i="1"/>
  <c r="AC902" i="1" s="1"/>
  <c r="W903" i="1" l="1" a="1"/>
  <c r="W903" i="1" s="1"/>
  <c r="AB903" i="1"/>
  <c r="D904" i="1"/>
  <c r="AA903" i="1"/>
  <c r="AC903" i="1" s="1"/>
  <c r="W904" i="1" l="1" a="1"/>
  <c r="W904" i="1" s="1"/>
  <c r="AB904" i="1"/>
  <c r="D905" i="1"/>
  <c r="AA904" i="1"/>
  <c r="AC904" i="1" s="1"/>
  <c r="W905" i="1" l="1" a="1"/>
  <c r="W905" i="1" s="1"/>
  <c r="AB905" i="1"/>
  <c r="D906" i="1"/>
  <c r="AA905" i="1"/>
  <c r="AC905" i="1" s="1"/>
  <c r="W906" i="1" l="1" a="1"/>
  <c r="W906" i="1" s="1"/>
  <c r="AB906" i="1"/>
  <c r="D907" i="1"/>
  <c r="AA906" i="1"/>
  <c r="AC906" i="1" s="1"/>
  <c r="W907" i="1" l="1" a="1"/>
  <c r="W907" i="1" s="1"/>
  <c r="AB907" i="1"/>
  <c r="D908" i="1"/>
  <c r="AA907" i="1"/>
  <c r="AC907" i="1" s="1"/>
  <c r="W908" i="1" l="1" a="1"/>
  <c r="W908" i="1" s="1"/>
  <c r="AB908" i="1"/>
  <c r="D909" i="1"/>
  <c r="AA908" i="1"/>
  <c r="AC908" i="1" s="1"/>
  <c r="W909" i="1" l="1" a="1"/>
  <c r="W909" i="1" s="1"/>
  <c r="AB909" i="1"/>
  <c r="D910" i="1"/>
  <c r="AA909" i="1"/>
  <c r="AC909" i="1" s="1"/>
  <c r="W910" i="1" l="1" a="1"/>
  <c r="W910" i="1" s="1"/>
  <c r="AB910" i="1"/>
  <c r="D911" i="1"/>
  <c r="AA910" i="1"/>
  <c r="AC910" i="1" s="1"/>
  <c r="W911" i="1" l="1" a="1"/>
  <c r="W911" i="1" s="1"/>
  <c r="AB911" i="1"/>
  <c r="D912" i="1"/>
  <c r="AA911" i="1"/>
  <c r="AC911" i="1" s="1"/>
  <c r="W912" i="1" l="1" a="1"/>
  <c r="W912" i="1" s="1"/>
  <c r="AB912" i="1"/>
  <c r="D913" i="1"/>
  <c r="AA912" i="1"/>
  <c r="AC912" i="1" s="1"/>
  <c r="W913" i="1" l="1" a="1"/>
  <c r="W913" i="1" s="1"/>
  <c r="AB913" i="1"/>
  <c r="D914" i="1"/>
  <c r="AA913" i="1"/>
  <c r="AC913" i="1" s="1"/>
  <c r="W914" i="1" l="1" a="1"/>
  <c r="W914" i="1" s="1"/>
  <c r="AB914" i="1"/>
  <c r="D915" i="1"/>
  <c r="AA914" i="1"/>
  <c r="AC914" i="1" s="1"/>
  <c r="W915" i="1" l="1" a="1"/>
  <c r="W915" i="1" s="1"/>
  <c r="AB915" i="1"/>
  <c r="D916" i="1"/>
  <c r="AA915" i="1"/>
  <c r="AC915" i="1" s="1"/>
  <c r="W916" i="1" l="1" a="1"/>
  <c r="W916" i="1" s="1"/>
  <c r="AB916" i="1"/>
  <c r="D917" i="1"/>
  <c r="AA916" i="1"/>
  <c r="AC916" i="1" s="1"/>
  <c r="W917" i="1" l="1" a="1"/>
  <c r="W917" i="1" s="1"/>
  <c r="AB917" i="1"/>
  <c r="D918" i="1"/>
  <c r="AA917" i="1"/>
  <c r="AC917" i="1" s="1"/>
  <c r="W918" i="1" l="1" a="1"/>
  <c r="W918" i="1" s="1"/>
  <c r="AB918" i="1"/>
  <c r="D919" i="1"/>
  <c r="AA918" i="1"/>
  <c r="AC918" i="1" s="1"/>
  <c r="W919" i="1" l="1" a="1"/>
  <c r="W919" i="1" s="1"/>
  <c r="AB919" i="1"/>
  <c r="D920" i="1"/>
  <c r="AA919" i="1"/>
  <c r="AC919" i="1" s="1"/>
  <c r="W920" i="1" l="1" a="1"/>
  <c r="W920" i="1" s="1"/>
  <c r="AB920" i="1"/>
  <c r="D921" i="1"/>
  <c r="AA920" i="1"/>
  <c r="AC920" i="1" s="1"/>
  <c r="W921" i="1" l="1" a="1"/>
  <c r="W921" i="1" s="1"/>
  <c r="AB921" i="1"/>
  <c r="D922" i="1"/>
  <c r="AA921" i="1"/>
  <c r="AC921" i="1" s="1"/>
  <c r="W63" i="8" l="1"/>
  <c r="AB922" i="1"/>
  <c r="D923" i="1"/>
  <c r="AA922" i="1"/>
  <c r="AC922" i="1" s="1"/>
  <c r="W923" i="1" l="1" a="1"/>
  <c r="W923" i="1" s="1"/>
  <c r="AB923" i="1"/>
  <c r="D924" i="1"/>
  <c r="AA923" i="1"/>
  <c r="AC923" i="1" s="1"/>
  <c r="W924" i="1" l="1" a="1"/>
  <c r="W924" i="1" s="1"/>
  <c r="AB924" i="1"/>
  <c r="D925" i="1"/>
  <c r="AA924" i="1"/>
  <c r="AC924" i="1" s="1"/>
  <c r="W925" i="1" l="1" a="1"/>
  <c r="W925" i="1" s="1"/>
  <c r="AB925" i="1"/>
  <c r="D926" i="1"/>
  <c r="AA925" i="1"/>
  <c r="AC925" i="1" s="1"/>
  <c r="W926" i="1" l="1" a="1"/>
  <c r="W926" i="1" s="1"/>
  <c r="AB926" i="1"/>
  <c r="D927" i="1"/>
  <c r="AA926" i="1"/>
  <c r="AC926" i="1" s="1"/>
  <c r="W927" i="1" l="1" a="1"/>
  <c r="W927" i="1" s="1"/>
  <c r="AB927" i="1"/>
  <c r="D928" i="1"/>
  <c r="AA927" i="1"/>
  <c r="AC927" i="1" s="1"/>
  <c r="W928" i="1" l="1" a="1"/>
  <c r="W928" i="1" s="1"/>
  <c r="AB928" i="1"/>
  <c r="D929" i="1"/>
  <c r="AA928" i="1"/>
  <c r="AC928" i="1" s="1"/>
  <c r="W929" i="1" l="1" a="1"/>
  <c r="W929" i="1" s="1"/>
  <c r="AB929" i="1"/>
  <c r="D930" i="1"/>
  <c r="AA929" i="1"/>
  <c r="AC929" i="1" s="1"/>
  <c r="W930" i="1" l="1" a="1"/>
  <c r="W930" i="1" s="1"/>
  <c r="AB930" i="1"/>
  <c r="D931" i="1"/>
  <c r="AA930" i="1"/>
  <c r="AC930" i="1" s="1"/>
  <c r="W931" i="1" l="1" a="1"/>
  <c r="W931" i="1" s="1"/>
  <c r="AB931" i="1"/>
  <c r="D932" i="1"/>
  <c r="AA931" i="1"/>
  <c r="AC931" i="1" s="1"/>
  <c r="W932" i="1" l="1" a="1"/>
  <c r="W932" i="1" s="1"/>
  <c r="AB932" i="1"/>
  <c r="D933" i="1"/>
  <c r="AA932" i="1"/>
  <c r="AC932" i="1" s="1"/>
  <c r="W933" i="1" l="1" a="1"/>
  <c r="W933" i="1" s="1"/>
  <c r="AB933" i="1"/>
  <c r="D934" i="1"/>
  <c r="AA933" i="1"/>
  <c r="AC933" i="1" s="1"/>
  <c r="W934" i="1" l="1" a="1"/>
  <c r="W934" i="1" s="1"/>
  <c r="AB934" i="1"/>
  <c r="D935" i="1"/>
  <c r="AA934" i="1"/>
  <c r="AC934" i="1" s="1"/>
  <c r="W935" i="1" l="1" a="1"/>
  <c r="W935" i="1" s="1"/>
  <c r="AB935" i="1"/>
  <c r="D936" i="1"/>
  <c r="AA935" i="1"/>
  <c r="AC935" i="1" s="1"/>
  <c r="W936" i="1" l="1" a="1"/>
  <c r="W936" i="1" s="1"/>
  <c r="AB936" i="1"/>
  <c r="D937" i="1"/>
  <c r="AA936" i="1"/>
  <c r="AC936" i="1" s="1"/>
  <c r="W937" i="1" l="1" a="1"/>
  <c r="W937" i="1" s="1"/>
  <c r="AB937" i="1"/>
  <c r="D938" i="1"/>
  <c r="AA937" i="1"/>
  <c r="AC937" i="1" s="1"/>
  <c r="W938" i="1" l="1" a="1"/>
  <c r="W938" i="1" s="1"/>
  <c r="AB938" i="1"/>
  <c r="D939" i="1"/>
  <c r="AA938" i="1"/>
  <c r="AC938" i="1" s="1"/>
  <c r="W939" i="1" l="1" a="1"/>
  <c r="W939" i="1" s="1"/>
  <c r="AB939" i="1"/>
  <c r="D940" i="1"/>
  <c r="AA939" i="1"/>
  <c r="AC939" i="1" s="1"/>
  <c r="W940" i="1" l="1" a="1"/>
  <c r="W940" i="1" s="1"/>
  <c r="AB940" i="1"/>
  <c r="D941" i="1"/>
  <c r="AA940" i="1"/>
  <c r="AC940" i="1" s="1"/>
  <c r="W941" i="1" l="1" a="1"/>
  <c r="W941" i="1" s="1"/>
  <c r="AB941" i="1"/>
  <c r="D942" i="1"/>
  <c r="AA941" i="1"/>
  <c r="AC941" i="1" s="1"/>
  <c r="W942" i="1" l="1" a="1"/>
  <c r="W942" i="1" s="1"/>
  <c r="AB942" i="1"/>
  <c r="D943" i="1"/>
  <c r="AA942" i="1"/>
  <c r="AC942" i="1" s="1"/>
  <c r="W943" i="1" l="1" a="1"/>
  <c r="W943" i="1" s="1"/>
  <c r="AB943" i="1"/>
  <c r="D944" i="1"/>
  <c r="AA943" i="1"/>
  <c r="AC943" i="1" s="1"/>
  <c r="W944" i="1" l="1" a="1"/>
  <c r="W944" i="1" s="1"/>
  <c r="AB944" i="1"/>
  <c r="D945" i="1"/>
  <c r="AA944" i="1"/>
  <c r="AC944" i="1" s="1"/>
  <c r="W945" i="1" l="1" a="1"/>
  <c r="W945" i="1" s="1"/>
  <c r="AB945" i="1"/>
  <c r="D946" i="1"/>
  <c r="AA945" i="1"/>
  <c r="AC945" i="1" s="1"/>
  <c r="W946" i="1" l="1" a="1"/>
  <c r="W946" i="1" s="1"/>
  <c r="AB946" i="1"/>
  <c r="D947" i="1"/>
  <c r="AA946" i="1"/>
  <c r="AC946" i="1" s="1"/>
  <c r="W947" i="1" l="1" a="1"/>
  <c r="W947" i="1" s="1"/>
  <c r="AB947" i="1"/>
  <c r="D948" i="1"/>
  <c r="AA947" i="1"/>
  <c r="AC947" i="1" s="1"/>
  <c r="W948" i="1" l="1" a="1"/>
  <c r="W948" i="1" s="1"/>
  <c r="AB948" i="1"/>
  <c r="D949" i="1"/>
  <c r="AA948" i="1"/>
  <c r="AC948" i="1" s="1"/>
  <c r="W949" i="1" l="1" a="1"/>
  <c r="W949" i="1" s="1"/>
  <c r="AB949" i="1"/>
  <c r="D950" i="1"/>
  <c r="AA949" i="1"/>
  <c r="AC949" i="1" s="1"/>
  <c r="W950" i="1" l="1" a="1"/>
  <c r="W950" i="1" s="1"/>
  <c r="AB950" i="1"/>
  <c r="D951" i="1"/>
  <c r="AA950" i="1"/>
  <c r="AC950" i="1" s="1"/>
  <c r="W951" i="1" l="1" a="1"/>
  <c r="W951" i="1" s="1"/>
  <c r="AB951" i="1"/>
  <c r="D952" i="1"/>
  <c r="AA951" i="1"/>
  <c r="AC951" i="1" s="1"/>
  <c r="W952" i="1" l="1" a="1"/>
  <c r="W952" i="1" s="1"/>
  <c r="AB952" i="1"/>
  <c r="D953" i="1"/>
  <c r="AA952" i="1"/>
  <c r="AC952" i="1" s="1"/>
  <c r="W953" i="1" l="1" a="1"/>
  <c r="W953" i="1" s="1"/>
  <c r="AB953" i="1"/>
  <c r="D954" i="1"/>
  <c r="AA953" i="1"/>
  <c r="AC953" i="1" s="1"/>
  <c r="W954" i="1" l="1" a="1"/>
  <c r="W954" i="1" s="1"/>
  <c r="AB954" i="1"/>
  <c r="D955" i="1"/>
  <c r="AA954" i="1"/>
  <c r="AC954" i="1" s="1"/>
  <c r="W955" i="1" l="1" a="1"/>
  <c r="W955" i="1" s="1"/>
  <c r="AB955" i="1"/>
  <c r="D956" i="1"/>
  <c r="AA955" i="1"/>
  <c r="AC955" i="1" s="1"/>
  <c r="W956" i="1" l="1" a="1"/>
  <c r="W956" i="1" s="1"/>
  <c r="AB956" i="1"/>
  <c r="D957" i="1"/>
  <c r="AA956" i="1"/>
  <c r="AC956" i="1" s="1"/>
  <c r="W957" i="1" l="1" a="1"/>
  <c r="W957" i="1" s="1"/>
  <c r="AB957" i="1"/>
  <c r="D958" i="1"/>
  <c r="AA957" i="1"/>
  <c r="AC957" i="1" s="1"/>
  <c r="W958" i="1" l="1" a="1"/>
  <c r="W958" i="1" s="1"/>
  <c r="AB958" i="1"/>
  <c r="D959" i="1"/>
  <c r="AA958" i="1"/>
  <c r="AC958" i="1" s="1"/>
  <c r="W959" i="1" l="1" a="1"/>
  <c r="W959" i="1" s="1"/>
  <c r="AB959" i="1"/>
  <c r="D960" i="1"/>
  <c r="AA959" i="1"/>
  <c r="AC959" i="1" s="1"/>
  <c r="W960" i="1" l="1" a="1"/>
  <c r="W960" i="1" s="1"/>
  <c r="AB960" i="1"/>
  <c r="D961" i="1"/>
  <c r="AA960" i="1"/>
  <c r="AC960" i="1" s="1"/>
  <c r="W961" i="1" l="1" a="1"/>
  <c r="W961" i="1" s="1"/>
  <c r="AB961" i="1"/>
  <c r="D962" i="1"/>
  <c r="AA961" i="1"/>
  <c r="AC961" i="1" s="1"/>
  <c r="W962" i="1" l="1" a="1"/>
  <c r="W962" i="1" s="1"/>
  <c r="AB962" i="1"/>
  <c r="D963" i="1"/>
  <c r="AA962" i="1"/>
  <c r="AC962" i="1" s="1"/>
  <c r="W963" i="1" l="1" a="1"/>
  <c r="W963" i="1" s="1"/>
  <c r="AB963" i="1"/>
  <c r="D964" i="1"/>
  <c r="AA963" i="1"/>
  <c r="AC963" i="1" s="1"/>
  <c r="W964" i="1" l="1" a="1"/>
  <c r="W964" i="1" s="1"/>
  <c r="AB964" i="1"/>
  <c r="D965" i="1"/>
  <c r="AA964" i="1"/>
  <c r="AC964" i="1" s="1"/>
  <c r="W965" i="1" l="1" a="1"/>
  <c r="W965" i="1" s="1"/>
  <c r="AB965" i="1"/>
  <c r="D966" i="1"/>
  <c r="AA965" i="1"/>
  <c r="AC965" i="1" s="1"/>
  <c r="W966" i="1" l="1" a="1"/>
  <c r="W966" i="1" s="1"/>
  <c r="AB966" i="1"/>
  <c r="D967" i="1"/>
  <c r="AA966" i="1"/>
  <c r="AC966" i="1" s="1"/>
  <c r="W967" i="1" l="1" a="1"/>
  <c r="W967" i="1" s="1"/>
  <c r="AB967" i="1"/>
  <c r="D968" i="1"/>
  <c r="AA967" i="1"/>
  <c r="AC967" i="1" s="1"/>
  <c r="W968" i="1" l="1" a="1"/>
  <c r="W968" i="1" s="1"/>
  <c r="AB968" i="1"/>
  <c r="D969" i="1"/>
  <c r="AA968" i="1"/>
  <c r="AC968" i="1" s="1"/>
  <c r="W969" i="1" l="1" a="1"/>
  <c r="W969" i="1" s="1"/>
  <c r="AB969" i="1"/>
  <c r="D970" i="1"/>
  <c r="AA969" i="1"/>
  <c r="AC969" i="1" s="1"/>
  <c r="W970" i="1" l="1" a="1"/>
  <c r="W970" i="1" s="1"/>
  <c r="AB970" i="1"/>
  <c r="D971" i="1"/>
  <c r="AA970" i="1"/>
  <c r="AC970" i="1" s="1"/>
  <c r="W971" i="1" l="1" a="1"/>
  <c r="W971" i="1" s="1"/>
  <c r="AB971" i="1"/>
  <c r="D972" i="1"/>
  <c r="AA971" i="1"/>
  <c r="AC971" i="1" s="1"/>
  <c r="W972" i="1" l="1" a="1"/>
  <c r="W972" i="1" s="1"/>
  <c r="AB972" i="1"/>
  <c r="D973" i="1"/>
  <c r="AA972" i="1"/>
  <c r="AC972" i="1" s="1"/>
  <c r="W973" i="1" l="1" a="1"/>
  <c r="W973" i="1" s="1"/>
  <c r="AB973" i="1"/>
  <c r="D974" i="1"/>
  <c r="AA973" i="1"/>
  <c r="AC973" i="1" s="1"/>
  <c r="W974" i="1" l="1" a="1"/>
  <c r="W974" i="1" s="1"/>
  <c r="AB974" i="1"/>
  <c r="D975" i="1"/>
  <c r="AA974" i="1"/>
  <c r="AC974" i="1" s="1"/>
  <c r="W975" i="1" l="1" a="1"/>
  <c r="W975" i="1" s="1"/>
  <c r="AB975" i="1"/>
  <c r="D976" i="1"/>
  <c r="AB976" i="1" s="1"/>
  <c r="AA975" i="1"/>
  <c r="AC975" i="1" s="1"/>
  <c r="D977" i="1" l="1"/>
  <c r="AA976" i="1"/>
  <c r="AC976" i="1" s="1"/>
  <c r="W977" i="1" l="1" a="1"/>
  <c r="W977" i="1" s="1"/>
  <c r="AB977" i="1"/>
  <c r="D978" i="1"/>
  <c r="AA977" i="1"/>
  <c r="AC977" i="1" s="1"/>
  <c r="W978" i="1" l="1" a="1"/>
  <c r="W978" i="1" s="1"/>
  <c r="AB978" i="1"/>
  <c r="D979" i="1"/>
  <c r="AA978" i="1"/>
  <c r="AC978" i="1" s="1"/>
  <c r="W979" i="1" l="1" a="1"/>
  <c r="W979" i="1" s="1"/>
  <c r="AB979" i="1"/>
  <c r="D980" i="1"/>
  <c r="AA979" i="1"/>
  <c r="AC979" i="1" s="1"/>
  <c r="W980" i="1" l="1" a="1"/>
  <c r="W980" i="1" s="1"/>
  <c r="AB980" i="1"/>
  <c r="D981" i="1"/>
  <c r="AA980" i="1"/>
  <c r="AC980" i="1" s="1"/>
  <c r="W981" i="1" l="1" a="1"/>
  <c r="W981" i="1" s="1"/>
  <c r="AB981" i="1"/>
  <c r="D982" i="1"/>
  <c r="AA981" i="1"/>
  <c r="AC981" i="1" s="1"/>
  <c r="W982" i="1" l="1" a="1"/>
  <c r="W982" i="1" s="1"/>
  <c r="AB982" i="1"/>
  <c r="D983" i="1"/>
  <c r="AA982" i="1"/>
  <c r="AC982" i="1" s="1"/>
  <c r="W983" i="1" l="1" a="1"/>
  <c r="W983" i="1" s="1"/>
  <c r="AB983" i="1"/>
  <c r="D984" i="1"/>
  <c r="AA983" i="1"/>
  <c r="AC983" i="1" s="1"/>
  <c r="W984" i="1" l="1" a="1"/>
  <c r="W984" i="1" s="1"/>
  <c r="AB984" i="1"/>
  <c r="D985" i="1"/>
  <c r="AA984" i="1"/>
  <c r="AC984" i="1" s="1"/>
  <c r="W985" i="1" l="1" a="1"/>
  <c r="W985" i="1" s="1"/>
  <c r="AB985" i="1"/>
  <c r="D986" i="1"/>
  <c r="AA985" i="1"/>
  <c r="AC985" i="1" s="1"/>
  <c r="W986" i="1" l="1" a="1"/>
  <c r="W986" i="1" s="1"/>
  <c r="AB986" i="1"/>
  <c r="D987" i="1"/>
  <c r="AA986" i="1"/>
  <c r="AC986" i="1" s="1"/>
  <c r="W987" i="1" l="1" a="1"/>
  <c r="W987" i="1" s="1"/>
  <c r="AB987" i="1"/>
  <c r="D988" i="1"/>
  <c r="AA987" i="1"/>
  <c r="AC987" i="1" s="1"/>
  <c r="W988" i="1" l="1" a="1"/>
  <c r="W988" i="1" s="1"/>
  <c r="AB988" i="1"/>
  <c r="D989" i="1"/>
  <c r="AA988" i="1"/>
  <c r="AC988" i="1" s="1"/>
  <c r="W989" i="1" l="1" a="1"/>
  <c r="W989" i="1" s="1"/>
  <c r="AB989" i="1"/>
  <c r="D990" i="1"/>
  <c r="AA989" i="1"/>
  <c r="AC989" i="1" s="1"/>
  <c r="W990" i="1" l="1" a="1"/>
  <c r="W990" i="1" s="1"/>
  <c r="AB990" i="1"/>
  <c r="D991" i="1"/>
  <c r="AA990" i="1"/>
  <c r="AC990" i="1" s="1"/>
  <c r="W991" i="1" l="1" a="1"/>
  <c r="W991" i="1" s="1"/>
  <c r="AB991" i="1"/>
  <c r="D992" i="1"/>
  <c r="AA991" i="1"/>
  <c r="AC991" i="1" s="1"/>
  <c r="W992" i="1" l="1" a="1"/>
  <c r="W992" i="1" s="1"/>
  <c r="AB992" i="1"/>
  <c r="D993" i="1"/>
  <c r="AA992" i="1"/>
  <c r="AC992" i="1" s="1"/>
  <c r="W993" i="1" l="1" a="1"/>
  <c r="W993" i="1" s="1"/>
  <c r="AB993" i="1"/>
  <c r="D994" i="1"/>
  <c r="AB994" i="1" s="1"/>
  <c r="AA993" i="1"/>
  <c r="AC993" i="1" s="1"/>
  <c r="D995" i="1" l="1"/>
  <c r="AB995" i="1" s="1"/>
  <c r="AA994" i="1"/>
  <c r="AC994" i="1" s="1"/>
  <c r="D996" i="1" l="1"/>
  <c r="AB996" i="1" s="1"/>
  <c r="AA995" i="1"/>
  <c r="AC995" i="1" s="1"/>
  <c r="D997" i="1" l="1"/>
  <c r="AB997" i="1" s="1"/>
  <c r="AA996" i="1"/>
  <c r="AC996" i="1" s="1"/>
  <c r="D998" i="1" l="1"/>
  <c r="AA997" i="1"/>
  <c r="AC997" i="1" s="1"/>
  <c r="W998" i="1" l="1" a="1"/>
  <c r="W998" i="1" s="1"/>
  <c r="AB998" i="1"/>
  <c r="D999" i="1"/>
  <c r="AA998" i="1"/>
  <c r="AC998" i="1" s="1"/>
  <c r="W999" i="1" l="1" a="1"/>
  <c r="W999" i="1" s="1"/>
  <c r="AB999" i="1"/>
  <c r="D1000" i="1"/>
  <c r="AA999" i="1"/>
  <c r="AC999" i="1" s="1"/>
  <c r="W1000" i="1" l="1" a="1"/>
  <c r="W1000" i="1" s="1"/>
  <c r="AB1000" i="1"/>
  <c r="D1001" i="1"/>
  <c r="AA1000" i="1"/>
  <c r="AC1000" i="1" s="1"/>
  <c r="W1001" i="1" l="1" a="1"/>
  <c r="W1001" i="1" s="1"/>
  <c r="AB1001" i="1"/>
  <c r="D1002" i="1"/>
  <c r="AB1002" i="1" s="1"/>
  <c r="AA1001" i="1"/>
  <c r="AC1001" i="1" s="1"/>
  <c r="D1003" i="1" l="1"/>
  <c r="AB1003" i="1" s="1"/>
  <c r="AA1002" i="1"/>
  <c r="AC1002" i="1" s="1"/>
  <c r="D1004" i="1" l="1"/>
  <c r="AB1004" i="1" s="1"/>
  <c r="AA1003" i="1"/>
  <c r="AC1003" i="1" s="1"/>
  <c r="D1005" i="1" l="1"/>
  <c r="AA1004" i="1"/>
  <c r="AC1004" i="1" s="1"/>
  <c r="W1005" i="1" l="1" a="1"/>
  <c r="W1005" i="1" s="1"/>
  <c r="AB1005" i="1"/>
  <c r="D1006" i="1"/>
  <c r="AA1005" i="1"/>
  <c r="AC1005" i="1" s="1"/>
  <c r="W1006" i="1" l="1" a="1"/>
  <c r="W1006" i="1" s="1"/>
  <c r="AB1006" i="1"/>
  <c r="D1007" i="1"/>
  <c r="AA1006" i="1"/>
  <c r="AC1006" i="1" s="1"/>
  <c r="W1007" i="1" l="1" a="1"/>
  <c r="W1007" i="1" s="1"/>
  <c r="AB1007" i="1"/>
  <c r="D1008" i="1"/>
  <c r="AA1007" i="1"/>
  <c r="AC1007" i="1" s="1"/>
  <c r="W1008" i="1" l="1" a="1"/>
  <c r="W1008" i="1" s="1"/>
  <c r="AB1008" i="1"/>
  <c r="D1009" i="1"/>
  <c r="AA1008" i="1"/>
  <c r="AC1008" i="1" s="1"/>
  <c r="W1009" i="1" l="1" a="1"/>
  <c r="W1009" i="1" s="1"/>
  <c r="AB1009" i="1"/>
  <c r="D1010" i="1"/>
  <c r="AA1009" i="1"/>
  <c r="AC1009" i="1" s="1"/>
  <c r="W1010" i="1" l="1" a="1"/>
  <c r="W1010" i="1" s="1"/>
  <c r="AB1010" i="1"/>
  <c r="D1011" i="1"/>
  <c r="AA1010" i="1"/>
  <c r="AC1010" i="1" s="1"/>
  <c r="W1011" i="1" l="1" a="1"/>
  <c r="W1011" i="1" s="1"/>
  <c r="AB1011" i="1"/>
  <c r="D1012" i="1"/>
  <c r="AA1011" i="1"/>
  <c r="AC1011" i="1" s="1"/>
  <c r="W1012" i="1" l="1" a="1"/>
  <c r="W1012" i="1" s="1"/>
  <c r="AB1012" i="1"/>
  <c r="D1013" i="1"/>
  <c r="AA1012" i="1"/>
  <c r="AC1012" i="1" s="1"/>
  <c r="W1013" i="1" l="1" a="1"/>
  <c r="W1013" i="1" s="1"/>
  <c r="AB1013" i="1"/>
  <c r="D1014" i="1"/>
  <c r="AA1013" i="1"/>
  <c r="AC1013" i="1" s="1"/>
  <c r="W1014" i="1" l="1" a="1"/>
  <c r="W1014" i="1" s="1"/>
  <c r="AB1014" i="1"/>
  <c r="D1015" i="1"/>
  <c r="AA1014" i="1"/>
  <c r="AC1014" i="1" s="1"/>
  <c r="W1015" i="1" l="1" a="1"/>
  <c r="W1015" i="1" s="1"/>
  <c r="AB1015" i="1"/>
  <c r="D1016" i="1"/>
  <c r="AB1016" i="1" s="1"/>
  <c r="AA1015" i="1"/>
  <c r="AC1015" i="1" s="1"/>
  <c r="D1017" i="1" l="1"/>
  <c r="AB1017" i="1" s="1"/>
  <c r="AA1016" i="1"/>
  <c r="AC1016" i="1" s="1"/>
  <c r="D1018" i="1" l="1"/>
  <c r="AB1018" i="1" s="1"/>
  <c r="AA1017" i="1"/>
  <c r="AC1017" i="1" s="1"/>
  <c r="D1019" i="1" l="1"/>
  <c r="AB1019" i="1" s="1"/>
  <c r="AA1018" i="1"/>
  <c r="AC1018" i="1" s="1"/>
  <c r="D1020" i="1" l="1"/>
  <c r="AA1019" i="1"/>
  <c r="AC1019" i="1" s="1"/>
  <c r="W1020" i="1" l="1" a="1"/>
  <c r="W1020" i="1" s="1"/>
  <c r="AB1020" i="1"/>
  <c r="D1021" i="1"/>
  <c r="AA1020" i="1"/>
  <c r="AC1020" i="1" s="1"/>
  <c r="W1021" i="1" l="1" a="1"/>
  <c r="W1021" i="1" s="1"/>
  <c r="AB1021" i="1"/>
  <c r="D1022" i="1"/>
  <c r="AA1021" i="1"/>
  <c r="AC1021" i="1" s="1"/>
  <c r="W1022" i="1" l="1" a="1"/>
  <c r="W1022" i="1" s="1"/>
  <c r="AB1022" i="1"/>
  <c r="D1023" i="1"/>
  <c r="AA1022" i="1"/>
  <c r="AC1022" i="1" s="1"/>
  <c r="W1023" i="1" l="1" a="1"/>
  <c r="W1023" i="1" s="1"/>
  <c r="AB1023" i="1"/>
  <c r="D1024" i="1"/>
  <c r="AA1023" i="1"/>
  <c r="AC1023" i="1" s="1"/>
  <c r="W1024" i="1" l="1" a="1"/>
  <c r="W1024" i="1" s="1"/>
  <c r="AB1024" i="1"/>
  <c r="D1025" i="1"/>
  <c r="AA1024" i="1"/>
  <c r="AC1024" i="1" s="1"/>
  <c r="W1025" i="1" l="1" a="1"/>
  <c r="W1025" i="1" s="1"/>
  <c r="AB1025" i="1"/>
  <c r="D1026" i="1"/>
  <c r="AA1025" i="1"/>
  <c r="AC1025" i="1" s="1"/>
  <c r="W1026" i="1" l="1" a="1"/>
  <c r="W1026" i="1" s="1"/>
  <c r="AB1026" i="1"/>
  <c r="D1027" i="1"/>
  <c r="AA1026" i="1"/>
  <c r="AC1026" i="1" s="1"/>
  <c r="W1027" i="1" l="1" a="1"/>
  <c r="W1027" i="1" s="1"/>
  <c r="AB1027" i="1"/>
  <c r="D1028" i="1"/>
  <c r="AA1027" i="1"/>
  <c r="AC1027" i="1" s="1"/>
  <c r="W1028" i="1" l="1" a="1"/>
  <c r="W1028" i="1" s="1"/>
  <c r="AB1028" i="1"/>
  <c r="D1029" i="1"/>
  <c r="AA1028" i="1"/>
  <c r="AC1028" i="1" s="1"/>
  <c r="W1029" i="1" l="1" a="1"/>
  <c r="W1029" i="1" s="1"/>
  <c r="AB1029" i="1"/>
  <c r="D1030" i="1"/>
  <c r="W1030" i="1" s="1" a="1"/>
  <c r="W1030" i="1" s="1"/>
  <c r="AA1029" i="1"/>
  <c r="AC1029" i="1" s="1"/>
  <c r="D1031" i="1" l="1"/>
  <c r="W1031" i="1" s="1" a="1"/>
  <c r="W1031" i="1" s="1"/>
  <c r="AA1030" i="1"/>
  <c r="AC1030" i="1" s="1"/>
  <c r="D1032" i="1" l="1"/>
  <c r="W1032" i="1" s="1" a="1"/>
  <c r="W1032" i="1" s="1"/>
  <c r="AA1031" i="1"/>
  <c r="AC1031" i="1" s="1"/>
  <c r="D1033" i="1" l="1"/>
  <c r="W1033" i="1" s="1" a="1"/>
  <c r="W1033" i="1" s="1"/>
  <c r="AA1032" i="1"/>
  <c r="AC1032" i="1" s="1"/>
  <c r="D1034" i="1" l="1"/>
  <c r="W1034" i="1" s="1" a="1"/>
  <c r="W1034" i="1" s="1"/>
  <c r="AA1033" i="1"/>
  <c r="AC1033" i="1" s="1"/>
  <c r="D1035" i="1" l="1"/>
  <c r="W1035" i="1" s="1" a="1"/>
  <c r="W1035" i="1" s="1"/>
  <c r="AA1034" i="1"/>
  <c r="AC1034" i="1" s="1"/>
  <c r="D1036" i="1" l="1"/>
  <c r="W1036" i="1" s="1" a="1"/>
  <c r="W1036" i="1" s="1"/>
  <c r="AA1035" i="1"/>
  <c r="AC1035" i="1" s="1"/>
  <c r="D1037" i="1" l="1"/>
  <c r="W1037" i="1" s="1" a="1"/>
  <c r="W1037" i="1" s="1"/>
  <c r="AA1036" i="1"/>
  <c r="AC1036" i="1" s="1"/>
  <c r="D1038" i="1" l="1"/>
  <c r="W1038" i="1" s="1" a="1"/>
  <c r="W1038" i="1" s="1"/>
  <c r="AA1037" i="1"/>
  <c r="AC1037" i="1" s="1"/>
  <c r="D1039" i="1" l="1"/>
  <c r="W1039" i="1" s="1" a="1"/>
  <c r="W1039" i="1" s="1"/>
  <c r="AA1038" i="1"/>
  <c r="AC1038" i="1" s="1"/>
  <c r="D1040" i="1" l="1"/>
  <c r="W1040" i="1" s="1" a="1"/>
  <c r="W1040" i="1" s="1"/>
  <c r="AA1039" i="1"/>
  <c r="AC1039" i="1" s="1"/>
  <c r="D1041" i="1" l="1"/>
  <c r="W1041" i="1" s="1" a="1"/>
  <c r="W1041" i="1" s="1"/>
  <c r="AA1040" i="1"/>
  <c r="AC1040" i="1" s="1"/>
  <c r="D1042" i="1" l="1"/>
  <c r="W1042" i="1" s="1" a="1"/>
  <c r="W1042" i="1" s="1"/>
  <c r="AA1041" i="1"/>
  <c r="AC1041" i="1" s="1"/>
  <c r="D1043" i="1" l="1"/>
  <c r="W1043" i="1" s="1" a="1"/>
  <c r="W1043" i="1" s="1"/>
  <c r="AA1042" i="1"/>
  <c r="AC1042" i="1" s="1"/>
  <c r="D1044" i="1" l="1"/>
  <c r="W1044" i="1" s="1" a="1"/>
  <c r="W1044" i="1" s="1"/>
  <c r="AA1043" i="1"/>
  <c r="AC1043" i="1" s="1"/>
  <c r="D1045" i="1" l="1"/>
  <c r="W1045" i="1" s="1" a="1"/>
  <c r="W1045" i="1" s="1"/>
  <c r="AA1044" i="1"/>
  <c r="AC1044" i="1" s="1"/>
  <c r="D1046" i="1" l="1"/>
  <c r="W1046" i="1" s="1" a="1"/>
  <c r="W1046" i="1" s="1"/>
  <c r="AA1045" i="1"/>
  <c r="AC1045" i="1" s="1"/>
  <c r="D1047" i="1" l="1"/>
  <c r="W1047" i="1" s="1" a="1"/>
  <c r="W1047" i="1" s="1"/>
  <c r="AA1046" i="1"/>
  <c r="AC1046" i="1" s="1"/>
  <c r="D1048" i="1" l="1"/>
  <c r="W1048" i="1" s="1" a="1"/>
  <c r="W1048" i="1" s="1"/>
  <c r="AA1047" i="1"/>
  <c r="AC1047" i="1" s="1"/>
  <c r="D1049" i="1" l="1"/>
  <c r="W1049" i="1" s="1" a="1"/>
  <c r="W1049" i="1" s="1"/>
  <c r="AA1048" i="1"/>
  <c r="AC1048" i="1" s="1"/>
  <c r="D1050" i="1" l="1"/>
  <c r="W1050" i="1" s="1" a="1"/>
  <c r="W1050" i="1" s="1"/>
  <c r="AA1049" i="1"/>
  <c r="AC1049" i="1" s="1"/>
  <c r="D1051" i="1" l="1"/>
  <c r="W1051" i="1" s="1" a="1"/>
  <c r="W1051" i="1" s="1"/>
  <c r="AA1050" i="1"/>
  <c r="AC1050" i="1" s="1"/>
  <c r="D1052" i="1" l="1"/>
  <c r="W1052" i="1" s="1" a="1"/>
  <c r="W1052" i="1" s="1"/>
  <c r="AA1051" i="1"/>
  <c r="AC1051" i="1" s="1"/>
  <c r="D1053" i="1" l="1"/>
  <c r="W1053" i="1" s="1" a="1"/>
  <c r="W1053" i="1" s="1"/>
  <c r="AA1052" i="1"/>
  <c r="AC1052" i="1" s="1"/>
  <c r="D1054" i="1" l="1"/>
  <c r="W1054" i="1" s="1" a="1"/>
  <c r="W1054" i="1" s="1"/>
  <c r="AA1053" i="1"/>
  <c r="AC1053" i="1" s="1"/>
  <c r="D1055" i="1" l="1"/>
  <c r="W1055" i="1" s="1" a="1"/>
  <c r="W1055" i="1" s="1"/>
  <c r="AA1054" i="1"/>
  <c r="AC1054" i="1" s="1"/>
  <c r="D1056" i="1" l="1"/>
  <c r="W1056" i="1" s="1" a="1"/>
  <c r="W1056" i="1" s="1"/>
  <c r="AA1055" i="1"/>
  <c r="AC1055" i="1" s="1"/>
  <c r="D1057" i="1" l="1"/>
  <c r="W1057" i="1" s="1" a="1"/>
  <c r="W1057" i="1" s="1"/>
  <c r="AA1056" i="1"/>
  <c r="AC1056" i="1" s="1"/>
  <c r="D1058" i="1" l="1"/>
  <c r="W1058" i="1" s="1" a="1"/>
  <c r="W1058" i="1" s="1"/>
  <c r="AA1057" i="1"/>
  <c r="AC1057" i="1" s="1"/>
  <c r="D1059" i="1" l="1"/>
  <c r="W1059" i="1" s="1" a="1"/>
  <c r="W1059" i="1" s="1"/>
  <c r="AA1058" i="1"/>
  <c r="AC1058" i="1" s="1"/>
  <c r="D1060" i="1" l="1"/>
  <c r="W1060" i="1" s="1" a="1"/>
  <c r="W1060" i="1" s="1"/>
  <c r="AA1059" i="1"/>
  <c r="AC1059" i="1" s="1"/>
  <c r="D1061" i="1" l="1"/>
  <c r="W1061" i="1" s="1" a="1"/>
  <c r="W1061" i="1" s="1"/>
  <c r="AA1060" i="1"/>
  <c r="AC1060" i="1" s="1"/>
  <c r="D1062" i="1" l="1"/>
  <c r="W1062" i="1" s="1" a="1"/>
  <c r="W1062" i="1" s="1"/>
  <c r="AA1061" i="1"/>
  <c r="AC1061" i="1" s="1"/>
  <c r="D1063" i="1" l="1"/>
  <c r="W1063" i="1" s="1" a="1"/>
  <c r="W1063" i="1" s="1"/>
  <c r="AA1062" i="1"/>
  <c r="AC1062" i="1" s="1"/>
  <c r="D1064" i="1" l="1"/>
  <c r="W1064" i="1" s="1" a="1"/>
  <c r="W1064" i="1" s="1"/>
  <c r="AA1063" i="1"/>
  <c r="AC1063" i="1" s="1"/>
  <c r="D1065" i="1" l="1"/>
  <c r="W1065" i="1" s="1" a="1"/>
  <c r="W1065" i="1" s="1"/>
  <c r="AA1064" i="1"/>
  <c r="AC1064" i="1" s="1"/>
  <c r="D1066" i="1" l="1"/>
  <c r="W1066" i="1" s="1" a="1"/>
  <c r="W1066" i="1" s="1"/>
  <c r="AA1065" i="1"/>
  <c r="AC1065" i="1" s="1"/>
  <c r="D1067" i="1" l="1"/>
  <c r="W1067" i="1" s="1" a="1"/>
  <c r="W1067" i="1" s="1"/>
  <c r="AA1066" i="1"/>
  <c r="AC1066" i="1" s="1"/>
  <c r="D1068" i="1" l="1"/>
  <c r="W1068" i="1" s="1" a="1"/>
  <c r="W1068" i="1" s="1"/>
  <c r="AA1067" i="1"/>
  <c r="AC1067" i="1" s="1"/>
  <c r="D1069" i="1" l="1"/>
  <c r="W1069" i="1" s="1" a="1"/>
  <c r="W1069" i="1" s="1"/>
  <c r="AA1068" i="1"/>
  <c r="AC1068" i="1" s="1"/>
  <c r="D1070" i="1" l="1"/>
  <c r="W1070" i="1" s="1" a="1"/>
  <c r="W1070" i="1" s="1"/>
  <c r="AA1069" i="1"/>
  <c r="AC1069" i="1" s="1"/>
  <c r="D1071" i="1" l="1"/>
  <c r="W1071" i="1" s="1" a="1"/>
  <c r="W1071" i="1" s="1"/>
  <c r="AA1070" i="1"/>
  <c r="AC1070" i="1" s="1"/>
  <c r="D1072" i="1" l="1"/>
  <c r="W1072" i="1" s="1" a="1"/>
  <c r="W1072" i="1" s="1"/>
  <c r="AA1071" i="1"/>
  <c r="AC1071" i="1" s="1"/>
  <c r="D1073" i="1" l="1"/>
  <c r="W1073" i="1" s="1" a="1"/>
  <c r="W1073" i="1" s="1"/>
  <c r="AA1072" i="1"/>
  <c r="AC1072" i="1" s="1"/>
  <c r="D1074" i="1" l="1"/>
  <c r="W1074" i="1" s="1" a="1"/>
  <c r="W1074" i="1" s="1"/>
  <c r="AA1073" i="1"/>
  <c r="AC1073" i="1" s="1"/>
  <c r="D1075" i="1" l="1"/>
  <c r="W1075" i="1" s="1" a="1"/>
  <c r="W1075" i="1" s="1"/>
  <c r="AA1074" i="1"/>
  <c r="AC1074" i="1" s="1"/>
  <c r="D1076" i="1" l="1"/>
  <c r="W1076" i="1" s="1" a="1"/>
  <c r="W1076" i="1" s="1"/>
  <c r="AA1075" i="1"/>
  <c r="AC1075" i="1" s="1"/>
  <c r="D1077" i="1" l="1"/>
  <c r="W1077" i="1" s="1" a="1"/>
  <c r="W1077" i="1" s="1"/>
  <c r="AA1076" i="1"/>
  <c r="AC1076" i="1" s="1"/>
  <c r="D1078" i="1" l="1"/>
  <c r="W1078" i="1" s="1" a="1"/>
  <c r="W1078" i="1" s="1"/>
  <c r="AA1077" i="1"/>
  <c r="AC1077" i="1" s="1"/>
  <c r="D1079" i="1" l="1"/>
  <c r="W1079" i="1" s="1" a="1"/>
  <c r="W1079" i="1" s="1"/>
  <c r="AA1078" i="1"/>
  <c r="AC1078" i="1" s="1"/>
  <c r="D1080" i="1" l="1"/>
  <c r="W1080" i="1" s="1" a="1"/>
  <c r="W1080" i="1" s="1"/>
  <c r="AA1079" i="1"/>
  <c r="AC1079" i="1" s="1"/>
  <c r="D1081" i="1" l="1"/>
  <c r="W1081" i="1" s="1" a="1"/>
  <c r="W1081" i="1" s="1"/>
  <c r="AA1080" i="1"/>
  <c r="AC1080" i="1" s="1"/>
  <c r="D1082" i="1" l="1"/>
  <c r="AA1081" i="1"/>
  <c r="AC1081" i="1" s="1"/>
  <c r="D1083" i="1" l="1"/>
  <c r="W1083" i="1" s="1" a="1"/>
  <c r="W1083" i="1" s="1"/>
  <c r="AA1082" i="1"/>
  <c r="AC1082" i="1" s="1"/>
  <c r="D1084" i="1" l="1"/>
  <c r="W1084" i="1" s="1" a="1"/>
  <c r="W1084" i="1" s="1"/>
  <c r="AA1083" i="1"/>
  <c r="AC1083" i="1" s="1"/>
  <c r="D1085" i="1" l="1"/>
  <c r="W1085" i="1" s="1" a="1"/>
  <c r="W1085" i="1" s="1"/>
  <c r="AA1084" i="1"/>
  <c r="AC1084" i="1" s="1"/>
  <c r="D1086" i="1" l="1"/>
  <c r="W1086" i="1" s="1" a="1"/>
  <c r="W1086" i="1" s="1"/>
  <c r="AA1085" i="1"/>
  <c r="AC1085" i="1" s="1"/>
  <c r="D1087" i="1" l="1"/>
  <c r="W1087" i="1" s="1" a="1"/>
  <c r="W1087" i="1" s="1"/>
  <c r="AA1086" i="1"/>
  <c r="AC1086" i="1" s="1"/>
  <c r="D1088" i="1" l="1"/>
  <c r="W1088" i="1" s="1" a="1"/>
  <c r="W1088" i="1" s="1"/>
  <c r="AA1087" i="1"/>
  <c r="AC1087" i="1" s="1"/>
  <c r="D1089" i="1" l="1"/>
  <c r="W1089" i="1" s="1" a="1"/>
  <c r="W1089" i="1" s="1"/>
  <c r="AA1088" i="1"/>
  <c r="AC1088" i="1" s="1"/>
  <c r="D1090" i="1" l="1"/>
  <c r="W1090" i="1" s="1" a="1"/>
  <c r="W1090" i="1" s="1"/>
  <c r="AA1089" i="1"/>
  <c r="AC1089" i="1" s="1"/>
  <c r="D1091" i="1" l="1"/>
  <c r="W1091" i="1" s="1" a="1"/>
  <c r="W1091" i="1" s="1"/>
  <c r="AA1090" i="1"/>
  <c r="AC1090" i="1" s="1"/>
  <c r="D1092" i="1" l="1"/>
  <c r="W1092" i="1" s="1" a="1"/>
  <c r="W1092" i="1" s="1"/>
  <c r="AA1091" i="1"/>
  <c r="AC1091" i="1" s="1"/>
  <c r="D1093" i="1" l="1"/>
  <c r="W1093" i="1" s="1" a="1"/>
  <c r="W1093" i="1" s="1"/>
  <c r="AA1092" i="1"/>
  <c r="AC1092" i="1" s="1"/>
  <c r="D1094" i="1" l="1"/>
  <c r="W1094" i="1" s="1" a="1"/>
  <c r="W1094" i="1" s="1"/>
  <c r="AA1093" i="1"/>
  <c r="AC1093" i="1" s="1"/>
  <c r="D1095" i="1" l="1"/>
  <c r="W1095" i="1" s="1" a="1"/>
  <c r="W1095" i="1" s="1"/>
  <c r="AA1094" i="1"/>
  <c r="AC1094" i="1" s="1"/>
  <c r="D1096" i="1" l="1"/>
  <c r="W1096" i="1" s="1" a="1"/>
  <c r="W1096" i="1" s="1"/>
  <c r="AA1095" i="1"/>
  <c r="AC1095" i="1" s="1"/>
  <c r="D1097" i="1" l="1"/>
  <c r="W1097" i="1" s="1" a="1"/>
  <c r="W1097" i="1" s="1"/>
  <c r="AA1096" i="1"/>
  <c r="AC1096" i="1" s="1"/>
  <c r="D1098" i="1" l="1"/>
  <c r="W1098" i="1" s="1" a="1"/>
  <c r="W1098" i="1" s="1"/>
  <c r="AA1097" i="1"/>
  <c r="AC1097" i="1" s="1"/>
  <c r="D1099" i="1" l="1"/>
  <c r="W1099" i="1" s="1" a="1"/>
  <c r="W1099" i="1" s="1"/>
  <c r="AA1098" i="1"/>
  <c r="AC1098" i="1" s="1"/>
  <c r="D1100" i="1" l="1"/>
  <c r="W1100" i="1" s="1" a="1"/>
  <c r="W1100" i="1" s="1"/>
  <c r="AA1099" i="1"/>
  <c r="AC1099" i="1" s="1"/>
  <c r="D1101" i="1" l="1"/>
  <c r="W1101" i="1" s="1" a="1"/>
  <c r="W1101" i="1" s="1"/>
  <c r="AA1100" i="1"/>
  <c r="AC1100" i="1" s="1"/>
  <c r="D1102" i="1" l="1"/>
  <c r="W1102" i="1" s="1" a="1"/>
  <c r="W1102" i="1" s="1"/>
  <c r="AA1101" i="1"/>
  <c r="AC1101" i="1" s="1"/>
  <c r="D1103" i="1" l="1"/>
  <c r="W1103" i="1" s="1" a="1"/>
  <c r="W1103" i="1" s="1"/>
  <c r="AA1102" i="1"/>
  <c r="AC1102" i="1" s="1"/>
  <c r="D1104" i="1" l="1"/>
  <c r="W1104" i="1" s="1" a="1"/>
  <c r="W1104" i="1" s="1"/>
  <c r="AA1103" i="1"/>
  <c r="AC1103" i="1" s="1"/>
  <c r="D1105" i="1" l="1"/>
  <c r="W1105" i="1" s="1" a="1"/>
  <c r="W1105" i="1" s="1"/>
  <c r="AA1104" i="1"/>
  <c r="AC1104" i="1" s="1"/>
  <c r="D1106" i="1" l="1"/>
  <c r="W1106" i="1" s="1" a="1"/>
  <c r="W1106" i="1" s="1"/>
  <c r="AA1105" i="1"/>
  <c r="AC1105" i="1" s="1"/>
  <c r="D1107" i="1" l="1"/>
  <c r="W1107" i="1" s="1" a="1"/>
  <c r="W1107" i="1" s="1"/>
  <c r="AA1106" i="1"/>
  <c r="AC1106" i="1" s="1"/>
  <c r="D1108" i="1" l="1"/>
  <c r="W1108" i="1" s="1" a="1"/>
  <c r="W1108" i="1" s="1"/>
  <c r="AA1107" i="1"/>
  <c r="AC1107" i="1" s="1"/>
  <c r="D1109" i="1" l="1"/>
  <c r="W1109" i="1" s="1" a="1"/>
  <c r="W1109" i="1" s="1"/>
  <c r="AA1108" i="1"/>
  <c r="AC1108" i="1" s="1"/>
  <c r="D1110" i="1" l="1"/>
  <c r="W1110" i="1" s="1" a="1"/>
  <c r="W1110" i="1" s="1"/>
  <c r="AA1109" i="1"/>
  <c r="AC1109" i="1" s="1"/>
  <c r="D1111" i="1" l="1"/>
  <c r="W1111" i="1" s="1" a="1"/>
  <c r="W1111" i="1" s="1"/>
  <c r="AA1110" i="1"/>
  <c r="AC1110" i="1" s="1"/>
  <c r="D1112" i="1" l="1"/>
  <c r="AA1111" i="1"/>
  <c r="AC1111" i="1" s="1"/>
  <c r="W1112" i="1" l="1" a="1"/>
  <c r="W1112" i="1" s="1"/>
  <c r="W42" i="8"/>
  <c r="W68" i="8"/>
  <c r="D1113" i="1"/>
  <c r="W1113" i="1" s="1" a="1"/>
  <c r="W1113" i="1" s="1"/>
  <c r="AA1112" i="1"/>
  <c r="AC1112" i="1" s="1"/>
  <c r="D1114" i="1" l="1"/>
  <c r="W1114" i="1" s="1" a="1"/>
  <c r="W1114" i="1" s="1"/>
  <c r="AA1113" i="1"/>
  <c r="AC1113" i="1" s="1"/>
  <c r="D1115" i="1" l="1"/>
  <c r="W1115" i="1" s="1" a="1"/>
  <c r="W1115" i="1" s="1"/>
  <c r="AA1114" i="1"/>
  <c r="AC1114" i="1" s="1"/>
  <c r="D1116" i="1" l="1"/>
  <c r="W1116" i="1" s="1" a="1"/>
  <c r="W1116" i="1" s="1"/>
  <c r="AA1115" i="1"/>
  <c r="AC1115" i="1" s="1"/>
  <c r="D1117" i="1" l="1"/>
  <c r="W1117" i="1" s="1" a="1"/>
  <c r="W1117" i="1" s="1"/>
  <c r="AA1116" i="1"/>
  <c r="AC1116" i="1" s="1"/>
  <c r="D1118" i="1" l="1"/>
  <c r="W1118" i="1" s="1" a="1"/>
  <c r="W1118" i="1" s="1"/>
  <c r="AA1117" i="1"/>
  <c r="AC1117" i="1" s="1"/>
  <c r="D1119" i="1" l="1"/>
  <c r="W1119" i="1" s="1" a="1"/>
  <c r="W1119" i="1" s="1"/>
  <c r="AA1118" i="1"/>
  <c r="AC1118" i="1" s="1"/>
  <c r="D1120" i="1" l="1"/>
  <c r="W1120" i="1" s="1" a="1"/>
  <c r="W1120" i="1" s="1"/>
  <c r="AA1119" i="1"/>
  <c r="AC1119" i="1" s="1"/>
  <c r="D1121" i="1" l="1"/>
  <c r="W1121" i="1" s="1" a="1"/>
  <c r="W1121" i="1" s="1"/>
  <c r="AA1120" i="1"/>
  <c r="AC1120" i="1" s="1"/>
  <c r="D1122" i="1" l="1"/>
  <c r="W1122" i="1" s="1" a="1"/>
  <c r="W1122" i="1" s="1"/>
  <c r="AA1121" i="1"/>
  <c r="AC1121" i="1" s="1"/>
  <c r="D1123" i="1" l="1"/>
  <c r="W1123" i="1" s="1" a="1"/>
  <c r="W1123" i="1" s="1"/>
  <c r="AA1122" i="1"/>
  <c r="AC1122" i="1" s="1"/>
  <c r="D1124" i="1" l="1"/>
  <c r="W1124" i="1" s="1" a="1"/>
  <c r="W1124" i="1" s="1"/>
  <c r="AA1123" i="1"/>
  <c r="AC1123" i="1" s="1"/>
  <c r="D1125" i="1" l="1"/>
  <c r="W1125" i="1" s="1" a="1"/>
  <c r="W1125" i="1" s="1"/>
  <c r="AA1124" i="1"/>
  <c r="AC1124" i="1" s="1"/>
  <c r="D1126" i="1" l="1"/>
  <c r="W1126" i="1" s="1" a="1"/>
  <c r="W1126" i="1" s="1"/>
  <c r="AA1125" i="1"/>
  <c r="AC1125" i="1" s="1"/>
  <c r="D1127" i="1" l="1"/>
  <c r="W1127" i="1" s="1" a="1"/>
  <c r="W1127" i="1" s="1"/>
  <c r="AA1126" i="1"/>
  <c r="AC1126" i="1" s="1"/>
  <c r="D1128" i="1" l="1"/>
  <c r="W1128" i="1" s="1" a="1"/>
  <c r="W1128" i="1" s="1"/>
  <c r="AA1127" i="1"/>
  <c r="AC1127" i="1" s="1"/>
  <c r="D1129" i="1" l="1"/>
  <c r="W1129" i="1" s="1" a="1"/>
  <c r="W1129" i="1" s="1"/>
  <c r="AA1128" i="1"/>
  <c r="AC1128" i="1" s="1"/>
  <c r="D1130" i="1" l="1"/>
  <c r="W1130" i="1" s="1" a="1"/>
  <c r="W1130" i="1" s="1"/>
  <c r="AA1129" i="1"/>
  <c r="AC1129" i="1" s="1"/>
  <c r="D1131" i="1" l="1"/>
  <c r="W1131" i="1" s="1" a="1"/>
  <c r="W1131" i="1" s="1"/>
  <c r="AA1130" i="1"/>
  <c r="AC1130" i="1" s="1"/>
  <c r="D1132" i="1" l="1"/>
  <c r="W1132" i="1" s="1" a="1"/>
  <c r="W1132" i="1" s="1"/>
  <c r="AA1131" i="1"/>
  <c r="AC1131" i="1" s="1"/>
  <c r="D1133" i="1" l="1"/>
  <c r="W1133" i="1" s="1" a="1"/>
  <c r="W1133" i="1" s="1"/>
  <c r="AA1132" i="1"/>
  <c r="AC1132" i="1" s="1"/>
  <c r="D1134" i="1" l="1"/>
  <c r="W1134" i="1" s="1" a="1"/>
  <c r="W1134" i="1" s="1"/>
  <c r="AA1133" i="1"/>
  <c r="AC1133" i="1" s="1"/>
  <c r="D1135" i="1" l="1"/>
  <c r="W1135" i="1" s="1" a="1"/>
  <c r="W1135" i="1" s="1"/>
  <c r="AA1134" i="1"/>
  <c r="AC1134" i="1" s="1"/>
  <c r="D1136" i="1" l="1"/>
  <c r="W1136" i="1" s="1" a="1"/>
  <c r="W1136" i="1" s="1"/>
  <c r="AA1135" i="1"/>
  <c r="AC1135" i="1" s="1"/>
  <c r="D1137" i="1" l="1"/>
  <c r="W1137" i="1" s="1" a="1"/>
  <c r="W1137" i="1" s="1"/>
  <c r="AA1136" i="1"/>
  <c r="AC1136" i="1" s="1"/>
  <c r="D1138" i="1" l="1"/>
  <c r="W1138" i="1" s="1" a="1"/>
  <c r="W1138" i="1" s="1"/>
  <c r="AA1137" i="1"/>
  <c r="AC1137" i="1" s="1"/>
  <c r="D1139" i="1" l="1"/>
  <c r="W1139" i="1" s="1" a="1"/>
  <c r="W1139" i="1" s="1"/>
  <c r="AA1138" i="1"/>
  <c r="AC1138" i="1" s="1"/>
  <c r="D1140" i="1" l="1"/>
  <c r="W1140" i="1" s="1" a="1"/>
  <c r="W1140" i="1" s="1"/>
  <c r="AA1139" i="1"/>
  <c r="AC1139" i="1" s="1"/>
  <c r="D1141" i="1" l="1"/>
  <c r="W1141" i="1" s="1" a="1"/>
  <c r="W1141" i="1" s="1"/>
  <c r="AA1140" i="1"/>
  <c r="AC1140" i="1" s="1"/>
  <c r="D1142" i="1" l="1"/>
  <c r="W1142" i="1" s="1" a="1"/>
  <c r="W1142" i="1" s="1"/>
  <c r="AA1141" i="1"/>
  <c r="AC1141" i="1" s="1"/>
  <c r="D1143" i="1" l="1"/>
  <c r="W1143" i="1" s="1" a="1"/>
  <c r="W1143" i="1" s="1"/>
  <c r="AA1142" i="1"/>
  <c r="AC1142" i="1" s="1"/>
  <c r="D1144" i="1" l="1"/>
  <c r="W1144" i="1" s="1" a="1"/>
  <c r="W1144" i="1" s="1"/>
  <c r="AA1143" i="1"/>
  <c r="AC1143" i="1" s="1"/>
  <c r="D1145" i="1" l="1"/>
  <c r="W1145" i="1" s="1" a="1"/>
  <c r="W1145" i="1" s="1"/>
  <c r="AA1144" i="1"/>
  <c r="AC1144" i="1" s="1"/>
  <c r="D1146" i="1" l="1"/>
  <c r="AA1145" i="1"/>
  <c r="AC1145" i="1" s="1"/>
  <c r="D1147" i="1" l="1"/>
  <c r="AA1146" i="1"/>
  <c r="AC1146" i="1" s="1"/>
  <c r="D1148" i="1" l="1"/>
  <c r="W1148" i="1" s="1" a="1"/>
  <c r="W1148" i="1" s="1"/>
  <c r="AA1147" i="1"/>
  <c r="AC1147" i="1" s="1"/>
  <c r="D1149" i="1" l="1"/>
  <c r="W1149" i="1" s="1" a="1"/>
  <c r="W1149" i="1" s="1"/>
  <c r="AA1148" i="1"/>
  <c r="AC1148" i="1" s="1"/>
  <c r="D1150" i="1" l="1"/>
  <c r="W1150" i="1" s="1" a="1"/>
  <c r="W1150" i="1" s="1"/>
  <c r="AA1149" i="1"/>
  <c r="AC1149" i="1" s="1"/>
  <c r="D1151" i="1" l="1"/>
  <c r="W1151" i="1" s="1" a="1"/>
  <c r="W1151" i="1" s="1"/>
  <c r="AA1150" i="1"/>
  <c r="AC1150" i="1" s="1"/>
  <c r="D1152" i="1" l="1"/>
  <c r="W1152" i="1" s="1" a="1"/>
  <c r="W1152" i="1" s="1"/>
  <c r="AA1151" i="1"/>
  <c r="AC1151" i="1" s="1"/>
  <c r="D1153" i="1" l="1"/>
  <c r="W1153" i="1" s="1" a="1"/>
  <c r="W1153" i="1" s="1"/>
  <c r="AA1152" i="1"/>
  <c r="AC1152" i="1" s="1"/>
  <c r="D1154" i="1" l="1"/>
  <c r="W1154" i="1" s="1" a="1"/>
  <c r="W1154" i="1" s="1"/>
  <c r="AA1153" i="1"/>
  <c r="AC1153" i="1" s="1"/>
  <c r="D1155" i="1" l="1"/>
  <c r="W1155" i="1" s="1" a="1"/>
  <c r="W1155" i="1" s="1"/>
  <c r="AA1154" i="1"/>
  <c r="AC1154" i="1" s="1"/>
  <c r="D1156" i="1" l="1"/>
  <c r="W1156" i="1" s="1" a="1"/>
  <c r="W1156" i="1" s="1"/>
  <c r="AA1155" i="1"/>
  <c r="AC1155" i="1" s="1"/>
  <c r="D1157" i="1" l="1"/>
  <c r="W1157" i="1" s="1" a="1"/>
  <c r="W1157" i="1" s="1"/>
  <c r="AA1156" i="1"/>
  <c r="AC1156" i="1" s="1"/>
  <c r="D1158" i="1" l="1"/>
  <c r="W1158" i="1" s="1" a="1"/>
  <c r="W1158" i="1" s="1"/>
  <c r="AA1157" i="1"/>
  <c r="AC1157" i="1" s="1"/>
  <c r="D1159" i="1" l="1"/>
  <c r="W1159" i="1" s="1" a="1"/>
  <c r="W1159" i="1" s="1"/>
  <c r="AA1158" i="1"/>
  <c r="AC1158" i="1" s="1"/>
  <c r="D1160" i="1" l="1"/>
  <c r="W1160" i="1" s="1" a="1"/>
  <c r="W1160" i="1" s="1"/>
  <c r="AA1159" i="1"/>
  <c r="AC1159" i="1" s="1"/>
  <c r="D1161" i="1" l="1"/>
  <c r="W1161" i="1" s="1" a="1"/>
  <c r="W1161" i="1" s="1"/>
  <c r="AA1160" i="1"/>
  <c r="AC1160" i="1" s="1"/>
  <c r="D1162" i="1" l="1"/>
  <c r="W1162" i="1" s="1" a="1"/>
  <c r="W1162" i="1" s="1"/>
  <c r="AA1161" i="1"/>
  <c r="AC1161" i="1" s="1"/>
  <c r="D1163" i="1" l="1"/>
  <c r="W1163" i="1" s="1" a="1"/>
  <c r="W1163" i="1" s="1"/>
  <c r="AA1162" i="1"/>
  <c r="AC1162" i="1" s="1"/>
  <c r="D1164" i="1" l="1"/>
  <c r="W10" i="8" s="1"/>
  <c r="AA1163" i="1"/>
  <c r="AC1163" i="1" s="1"/>
  <c r="D1165" i="1" l="1"/>
  <c r="W1165" i="1" s="1" a="1"/>
  <c r="W1165" i="1" s="1"/>
  <c r="AA1164" i="1"/>
  <c r="AC1164" i="1" s="1"/>
  <c r="D1166" i="1" l="1"/>
  <c r="W1166" i="1" s="1" a="1"/>
  <c r="W1166" i="1" s="1"/>
  <c r="AA1165" i="1"/>
  <c r="AC1165" i="1" s="1"/>
  <c r="D1167" i="1" l="1"/>
  <c r="W1167" i="1" s="1" a="1"/>
  <c r="W1167" i="1" s="1"/>
  <c r="AA1166" i="1"/>
  <c r="AC1166" i="1" s="1"/>
  <c r="D1168" i="1" l="1"/>
  <c r="W1168" i="1" s="1" a="1"/>
  <c r="W1168" i="1" s="1"/>
  <c r="AA1167" i="1"/>
  <c r="AC1167" i="1" s="1"/>
  <c r="D1169" i="1" l="1"/>
  <c r="W1169" i="1" s="1" a="1"/>
  <c r="W1169" i="1" s="1"/>
  <c r="AA1168" i="1"/>
  <c r="AC1168" i="1" s="1"/>
  <c r="D1170" i="1" l="1"/>
  <c r="W1170" i="1" s="1" a="1"/>
  <c r="W1170" i="1" s="1"/>
  <c r="AA1169" i="1"/>
  <c r="AC1169" i="1" s="1"/>
  <c r="D1171" i="1" l="1"/>
  <c r="W1171" i="1" s="1" a="1"/>
  <c r="W1171" i="1" s="1"/>
  <c r="AA1170" i="1"/>
  <c r="AC1170" i="1" s="1"/>
  <c r="D1172" i="1" l="1"/>
  <c r="W1172" i="1" s="1" a="1"/>
  <c r="W1172" i="1" s="1"/>
  <c r="AA1171" i="1"/>
  <c r="AC1171" i="1" s="1"/>
  <c r="D1173" i="1" l="1"/>
  <c r="W1173" i="1" s="1" a="1"/>
  <c r="W1173" i="1" s="1"/>
  <c r="AA1172" i="1"/>
  <c r="AC1172" i="1" s="1"/>
  <c r="D1174" i="1" l="1"/>
  <c r="W1174" i="1" s="1" a="1"/>
  <c r="W1174" i="1" s="1"/>
  <c r="AA1173" i="1"/>
  <c r="AC1173" i="1" s="1"/>
  <c r="D1175" i="1" l="1"/>
  <c r="W1175" i="1" s="1" a="1"/>
  <c r="W1175" i="1" s="1"/>
  <c r="AA1174" i="1"/>
  <c r="AC1174" i="1" s="1"/>
  <c r="D1176" i="1" l="1"/>
  <c r="W1176" i="1" s="1" a="1"/>
  <c r="W1176" i="1" s="1"/>
  <c r="AA1175" i="1"/>
  <c r="AC1175" i="1" s="1"/>
  <c r="D1177" i="1" l="1"/>
  <c r="W1177" i="1" s="1" a="1"/>
  <c r="W1177" i="1" s="1"/>
  <c r="AA1176" i="1"/>
  <c r="AC1176" i="1" s="1"/>
  <c r="D1178" i="1" l="1"/>
  <c r="W1178" i="1" s="1" a="1"/>
  <c r="W1178" i="1" s="1"/>
  <c r="AA1177" i="1"/>
  <c r="AC1177" i="1" s="1"/>
  <c r="D1179" i="1" l="1"/>
  <c r="W1179" i="1" s="1" a="1"/>
  <c r="W1179" i="1" s="1"/>
  <c r="AA1178" i="1"/>
  <c r="AC1178" i="1" s="1"/>
  <c r="D1180" i="1" l="1"/>
  <c r="W1180" i="1" s="1" a="1"/>
  <c r="W1180" i="1" s="1"/>
  <c r="AA1179" i="1"/>
  <c r="AC1179" i="1" s="1"/>
  <c r="D1181" i="1" l="1"/>
  <c r="W1181" i="1" s="1" a="1"/>
  <c r="W1181" i="1" s="1"/>
  <c r="AA1180" i="1"/>
  <c r="AC1180" i="1" s="1"/>
  <c r="D1182" i="1" l="1"/>
  <c r="W1182" i="1" s="1" a="1"/>
  <c r="W1182" i="1" s="1"/>
  <c r="AA1181" i="1"/>
  <c r="AC1181" i="1" s="1"/>
  <c r="D1183" i="1" l="1"/>
  <c r="W1183" i="1" s="1" a="1"/>
  <c r="W1183" i="1" s="1"/>
  <c r="AA1182" i="1"/>
  <c r="AC1182" i="1" s="1"/>
  <c r="D1184" i="1" l="1"/>
  <c r="W1184" i="1" s="1" a="1"/>
  <c r="W1184" i="1" s="1"/>
  <c r="AA1183" i="1"/>
  <c r="AC1183" i="1" s="1"/>
  <c r="D1185" i="1" l="1"/>
  <c r="W1185" i="1" s="1" a="1"/>
  <c r="W1185" i="1" s="1"/>
  <c r="AA1184" i="1"/>
  <c r="AC1184" i="1" s="1"/>
  <c r="D1186" i="1" l="1"/>
  <c r="W1186" i="1" s="1" a="1"/>
  <c r="W1186" i="1" s="1"/>
  <c r="AA1185" i="1"/>
  <c r="AC1185" i="1" s="1"/>
  <c r="D1187" i="1" l="1"/>
  <c r="W1187" i="1" s="1" a="1"/>
  <c r="W1187" i="1" s="1"/>
  <c r="AA1186" i="1"/>
  <c r="AC1186" i="1" s="1"/>
  <c r="D1188" i="1" l="1"/>
  <c r="W1188" i="1" s="1" a="1"/>
  <c r="W1188" i="1" s="1"/>
  <c r="AA1187" i="1"/>
  <c r="AC1187" i="1" s="1"/>
  <c r="D1189" i="1" l="1"/>
  <c r="W1189" i="1" s="1" a="1"/>
  <c r="W1189" i="1" s="1"/>
  <c r="AA1188" i="1"/>
  <c r="AC1188" i="1" s="1"/>
  <c r="D1190" i="1" l="1"/>
  <c r="W1190" i="1" s="1" a="1"/>
  <c r="W1190" i="1" s="1"/>
  <c r="AA1189" i="1"/>
  <c r="AC1189" i="1" s="1"/>
  <c r="D1191" i="1" l="1"/>
  <c r="W1191" i="1" s="1" a="1"/>
  <c r="W1191" i="1" s="1"/>
  <c r="AA1190" i="1"/>
  <c r="AC1190" i="1" s="1"/>
  <c r="D1192" i="1" l="1"/>
  <c r="W1192" i="1" s="1" a="1"/>
  <c r="W1192" i="1" s="1"/>
  <c r="AA1191" i="1"/>
  <c r="AC1191" i="1" s="1"/>
  <c r="D1193" i="1" l="1"/>
  <c r="W1193" i="1" s="1" a="1"/>
  <c r="W1193" i="1" s="1"/>
  <c r="AA1192" i="1"/>
  <c r="AC1192" i="1" s="1"/>
  <c r="D1194" i="1" l="1"/>
  <c r="W1194" i="1" s="1" a="1"/>
  <c r="W1194" i="1" s="1"/>
  <c r="AA1193" i="1"/>
  <c r="AC1193" i="1" s="1"/>
  <c r="D1195" i="1" l="1"/>
  <c r="W1195" i="1" s="1" a="1"/>
  <c r="W1195" i="1" s="1"/>
  <c r="AA1194" i="1"/>
  <c r="AC1194" i="1" s="1"/>
  <c r="D1196" i="1" l="1"/>
  <c r="W1196" i="1" s="1" a="1"/>
  <c r="W1196" i="1" s="1"/>
  <c r="AA1195" i="1"/>
  <c r="AC1195" i="1" s="1"/>
  <c r="D1197" i="1" l="1"/>
  <c r="W1197" i="1" s="1" a="1"/>
  <c r="W1197" i="1" s="1"/>
  <c r="AA1196" i="1"/>
  <c r="AC1196" i="1" s="1"/>
  <c r="D1198" i="1" l="1"/>
  <c r="W1198" i="1" s="1" a="1"/>
  <c r="W1198" i="1" s="1"/>
  <c r="AA1197" i="1"/>
  <c r="AC1197" i="1" s="1"/>
  <c r="D1199" i="1" l="1"/>
  <c r="W1199" i="1" s="1" a="1"/>
  <c r="W1199" i="1" s="1"/>
  <c r="AA1198" i="1"/>
  <c r="AC1198" i="1" s="1"/>
  <c r="D1200" i="1" l="1"/>
  <c r="W1200" i="1" s="1" a="1"/>
  <c r="W1200" i="1" s="1"/>
  <c r="AA1199" i="1"/>
  <c r="AC1199" i="1" s="1"/>
  <c r="D1201" i="1" l="1"/>
  <c r="W1201" i="1" s="1" a="1"/>
  <c r="W1201" i="1" s="1"/>
  <c r="AA1200" i="1"/>
  <c r="AC1200" i="1" s="1"/>
  <c r="D1202" i="1" l="1"/>
  <c r="W1202" i="1" s="1" a="1"/>
  <c r="W1202" i="1" s="1"/>
  <c r="AA1201" i="1"/>
  <c r="AC1201" i="1" s="1"/>
  <c r="D1203" i="1" l="1"/>
  <c r="W1203" i="1" s="1" a="1"/>
  <c r="W1203" i="1" s="1"/>
  <c r="AA1202" i="1"/>
  <c r="AC1202" i="1" s="1"/>
  <c r="D1204" i="1" l="1"/>
  <c r="W1204" i="1" s="1" a="1"/>
  <c r="W1204" i="1" s="1"/>
  <c r="AA1203" i="1"/>
  <c r="AC1203" i="1" s="1"/>
  <c r="D1205" i="1" l="1"/>
  <c r="W1205" i="1" s="1" a="1"/>
  <c r="W1205" i="1" s="1"/>
  <c r="AA1204" i="1"/>
  <c r="AC1204" i="1" s="1"/>
  <c r="D1206" i="1" l="1"/>
  <c r="W1206" i="1" s="1" a="1"/>
  <c r="W1206" i="1" s="1"/>
  <c r="AA1205" i="1"/>
  <c r="AC1205" i="1" s="1"/>
  <c r="D1207" i="1" l="1"/>
  <c r="W1207" i="1" s="1" a="1"/>
  <c r="W1207" i="1" s="1"/>
  <c r="AA1206" i="1"/>
  <c r="AC1206" i="1" s="1"/>
  <c r="D1208" i="1" l="1"/>
  <c r="W1208" i="1" s="1" a="1"/>
  <c r="W1208" i="1" s="1"/>
  <c r="AA1207" i="1"/>
  <c r="AC1207" i="1" s="1"/>
  <c r="D1209" i="1" l="1"/>
  <c r="W1209" i="1" s="1" a="1"/>
  <c r="W1209" i="1" s="1"/>
  <c r="AA1208" i="1"/>
  <c r="AC1208" i="1" s="1"/>
  <c r="D1210" i="1" l="1"/>
  <c r="W1210" i="1" s="1" a="1"/>
  <c r="W1210" i="1" s="1"/>
  <c r="AA1209" i="1"/>
  <c r="AC1209" i="1" s="1"/>
  <c r="D1211" i="1" l="1"/>
  <c r="AA1210" i="1"/>
  <c r="AC1210" i="1" s="1"/>
  <c r="D1212" i="1" l="1"/>
  <c r="AA1211" i="1"/>
  <c r="AC1211" i="1" s="1"/>
  <c r="D1213" i="1" l="1"/>
  <c r="W1213" i="1" s="1" a="1"/>
  <c r="W1213" i="1" s="1"/>
  <c r="AA1212" i="1"/>
  <c r="AC1212" i="1" s="1"/>
  <c r="D1214" i="1" l="1"/>
  <c r="W1214" i="1" s="1" a="1"/>
  <c r="W1214" i="1" s="1"/>
  <c r="AA1213" i="1"/>
  <c r="AC1213" i="1" s="1"/>
  <c r="D1215" i="1" l="1"/>
  <c r="W1215" i="1" s="1" a="1"/>
  <c r="W1215" i="1" s="1"/>
  <c r="AA1214" i="1"/>
  <c r="AC1214" i="1" s="1"/>
  <c r="D1216" i="1" l="1"/>
  <c r="W1216" i="1" s="1" a="1"/>
  <c r="W1216" i="1" s="1"/>
  <c r="AA1215" i="1"/>
  <c r="AC1215" i="1" s="1"/>
  <c r="D1217" i="1" l="1"/>
  <c r="W1217" i="1" s="1" a="1"/>
  <c r="W1217" i="1" s="1"/>
  <c r="AA1216" i="1"/>
  <c r="AC1216" i="1" s="1"/>
  <c r="D1218" i="1" l="1"/>
  <c r="W1218" i="1" s="1" a="1"/>
  <c r="W1218" i="1" s="1"/>
  <c r="AA1217" i="1"/>
  <c r="AC1217" i="1" s="1"/>
  <c r="D1219" i="1" l="1"/>
  <c r="W1219" i="1" s="1" a="1"/>
  <c r="W1219" i="1" s="1"/>
  <c r="AA1218" i="1"/>
  <c r="AC1218" i="1" s="1"/>
  <c r="D1220" i="1" l="1"/>
  <c r="W1220" i="1" s="1" a="1"/>
  <c r="W1220" i="1" s="1"/>
  <c r="AA1219" i="1"/>
  <c r="AC1219" i="1" s="1"/>
  <c r="D1221" i="1" l="1"/>
  <c r="W1221" i="1" s="1" a="1"/>
  <c r="W1221" i="1" s="1"/>
  <c r="AA1220" i="1"/>
  <c r="AC1220" i="1" s="1"/>
  <c r="D1222" i="1" l="1"/>
  <c r="W1222" i="1" s="1" a="1"/>
  <c r="W1222" i="1" s="1"/>
  <c r="AA1221" i="1"/>
  <c r="AC1221" i="1" s="1"/>
  <c r="D1223" i="1" l="1"/>
  <c r="W1223" i="1" s="1" a="1"/>
  <c r="W1223" i="1" s="1"/>
  <c r="AA1222" i="1"/>
  <c r="AC1222" i="1" s="1"/>
  <c r="D1224" i="1" l="1"/>
  <c r="W1224" i="1" s="1" a="1"/>
  <c r="W1224" i="1" s="1"/>
  <c r="AA1223" i="1"/>
  <c r="AC1223" i="1" s="1"/>
  <c r="D1225" i="1" l="1"/>
  <c r="W1225" i="1" s="1" a="1"/>
  <c r="W1225" i="1" s="1"/>
  <c r="AA1224" i="1"/>
  <c r="AC1224" i="1" s="1"/>
  <c r="D1226" i="1" l="1"/>
  <c r="W1226" i="1" s="1" a="1"/>
  <c r="W1226" i="1" s="1"/>
  <c r="AA1225" i="1"/>
  <c r="AC1225" i="1" s="1"/>
  <c r="D1227" i="1" l="1"/>
  <c r="W1227" i="1" s="1" a="1"/>
  <c r="W1227" i="1" s="1"/>
  <c r="AA1226" i="1"/>
  <c r="AC1226" i="1" s="1"/>
  <c r="D1228" i="1" l="1"/>
  <c r="W1228" i="1" s="1" a="1"/>
  <c r="W1228" i="1" s="1"/>
  <c r="AA1227" i="1"/>
  <c r="AC1227" i="1" s="1"/>
  <c r="D1229" i="1" l="1"/>
  <c r="W1229" i="1" s="1" a="1"/>
  <c r="W1229" i="1" s="1"/>
  <c r="AA1228" i="1"/>
  <c r="AC1228" i="1" s="1"/>
  <c r="D1230" i="1" l="1"/>
  <c r="W1230" i="1" s="1" a="1"/>
  <c r="W1230" i="1" s="1"/>
  <c r="AA1229" i="1"/>
  <c r="AC1229" i="1" s="1"/>
  <c r="D1231" i="1" l="1"/>
  <c r="W1231" i="1" s="1" a="1"/>
  <c r="W1231" i="1" s="1"/>
  <c r="AA1230" i="1"/>
  <c r="AC1230" i="1" s="1"/>
  <c r="D1232" i="1" l="1"/>
  <c r="W1232" i="1" s="1" a="1"/>
  <c r="W1232" i="1" s="1"/>
  <c r="AA1231" i="1"/>
  <c r="AC1231" i="1" s="1"/>
  <c r="D1233" i="1" l="1"/>
  <c r="W1233" i="1" s="1" a="1"/>
  <c r="W1233" i="1" s="1"/>
  <c r="AA1232" i="1"/>
  <c r="AC1232" i="1" s="1"/>
  <c r="D1234" i="1" l="1"/>
  <c r="AA1233" i="1"/>
  <c r="AC1233" i="1" s="1"/>
  <c r="D1235" i="1" l="1"/>
  <c r="AA1234" i="1"/>
  <c r="AC1234" i="1" s="1"/>
  <c r="D1236" i="1" l="1"/>
  <c r="AA1235" i="1"/>
  <c r="AC1235" i="1" s="1"/>
  <c r="D1237" i="1" l="1"/>
  <c r="AA1236" i="1"/>
  <c r="AC1236" i="1" s="1"/>
  <c r="D1238" i="1" l="1"/>
  <c r="AA1237" i="1"/>
  <c r="AC1237" i="1" s="1"/>
  <c r="D1239" i="1" l="1"/>
  <c r="AA1238" i="1"/>
  <c r="AC1238" i="1" s="1"/>
  <c r="W75" i="8" l="1"/>
  <c r="D1240" i="1"/>
  <c r="W1240" i="1" s="1" a="1"/>
  <c r="W1240" i="1" s="1"/>
  <c r="AA1239" i="1"/>
  <c r="AC1239" i="1" s="1"/>
  <c r="D1241" i="1" l="1"/>
  <c r="W1241" i="1" s="1" a="1"/>
  <c r="W1241" i="1" s="1"/>
  <c r="AA1240" i="1"/>
  <c r="AC1240" i="1" s="1"/>
  <c r="D1242" i="1" l="1"/>
  <c r="W1242" i="1" s="1" a="1"/>
  <c r="W1242" i="1" s="1"/>
  <c r="AA1241" i="1"/>
  <c r="AC1241" i="1" s="1"/>
  <c r="D1243" i="1" l="1"/>
  <c r="W1243" i="1" s="1" a="1"/>
  <c r="W1243" i="1" s="1"/>
  <c r="AA1242" i="1"/>
  <c r="AC1242" i="1" s="1"/>
  <c r="D1244" i="1" l="1"/>
  <c r="W1244" i="1" s="1" a="1"/>
  <c r="W1244" i="1" s="1"/>
  <c r="AA1243" i="1"/>
  <c r="AC1243" i="1" s="1"/>
  <c r="D1245" i="1" l="1"/>
  <c r="W1245" i="1" s="1" a="1"/>
  <c r="W1245" i="1" s="1"/>
  <c r="AA1244" i="1"/>
  <c r="AC1244" i="1" s="1"/>
  <c r="D1246" i="1" l="1"/>
  <c r="W1246" i="1" s="1" a="1"/>
  <c r="W1246" i="1" s="1"/>
  <c r="AA1245" i="1"/>
  <c r="AC1245" i="1" s="1"/>
  <c r="D1247" i="1" l="1"/>
  <c r="W1247" i="1" s="1" a="1"/>
  <c r="W1247" i="1" s="1"/>
  <c r="AA1246" i="1"/>
  <c r="AC1246" i="1" s="1"/>
  <c r="D1248" i="1" l="1"/>
  <c r="W1248" i="1" s="1" a="1"/>
  <c r="W1248" i="1" s="1"/>
  <c r="AA1247" i="1"/>
  <c r="AC1247" i="1" s="1"/>
  <c r="D1249" i="1" l="1"/>
  <c r="W1249" i="1" s="1" a="1"/>
  <c r="W1249" i="1" s="1"/>
  <c r="AA1248" i="1"/>
  <c r="AC1248" i="1" s="1"/>
  <c r="D1250" i="1" l="1"/>
  <c r="W1250" i="1" s="1" a="1"/>
  <c r="W1250" i="1" s="1"/>
  <c r="AA1249" i="1"/>
  <c r="AC1249" i="1" s="1"/>
  <c r="D1251" i="1" l="1"/>
  <c r="W1251" i="1" s="1" a="1"/>
  <c r="W1251" i="1" s="1"/>
  <c r="AA1250" i="1"/>
  <c r="AC1250" i="1" s="1"/>
  <c r="D1252" i="1" l="1"/>
  <c r="W1252" i="1" s="1" a="1"/>
  <c r="W1252" i="1" s="1"/>
  <c r="AA1251" i="1"/>
  <c r="AC1251" i="1" s="1"/>
  <c r="D1253" i="1" l="1"/>
  <c r="W1253" i="1" s="1" a="1"/>
  <c r="W1253" i="1" s="1"/>
  <c r="AA1252" i="1"/>
  <c r="AC1252" i="1" s="1"/>
  <c r="D1254" i="1" l="1"/>
  <c r="W1254" i="1" s="1" a="1"/>
  <c r="W1254" i="1" s="1"/>
  <c r="AA1253" i="1"/>
  <c r="AC1253" i="1" s="1"/>
  <c r="D1255" i="1" l="1"/>
  <c r="W1255" i="1" s="1" a="1"/>
  <c r="W1255" i="1" s="1"/>
  <c r="AA1254" i="1"/>
  <c r="AC1254" i="1" s="1"/>
  <c r="D1256" i="1" l="1"/>
  <c r="W1256" i="1" s="1" a="1"/>
  <c r="W1256" i="1" s="1"/>
  <c r="AA1255" i="1"/>
  <c r="AC1255" i="1" s="1"/>
  <c r="D1257" i="1" l="1"/>
  <c r="W1257" i="1" s="1" a="1"/>
  <c r="W1257" i="1" s="1"/>
  <c r="AA1256" i="1"/>
  <c r="AC1256" i="1" s="1"/>
  <c r="D1258" i="1" l="1"/>
  <c r="W1258" i="1" s="1" a="1"/>
  <c r="W1258" i="1" s="1"/>
  <c r="AA1257" i="1"/>
  <c r="AC1257" i="1" s="1"/>
  <c r="D1259" i="1" l="1"/>
  <c r="W1259" i="1" s="1" a="1"/>
  <c r="W1259" i="1" s="1"/>
  <c r="AA1258" i="1"/>
  <c r="AC1258" i="1" s="1"/>
  <c r="D1260" i="1" l="1"/>
  <c r="W1260" i="1" s="1" a="1"/>
  <c r="W1260" i="1" s="1"/>
  <c r="AA1259" i="1"/>
  <c r="AC1259" i="1" s="1"/>
  <c r="D1261" i="1" l="1"/>
  <c r="W1261" i="1" s="1" a="1"/>
  <c r="W1261" i="1" s="1"/>
  <c r="AA1260" i="1"/>
  <c r="AC1260" i="1" s="1"/>
  <c r="D1262" i="1" l="1"/>
  <c r="W1262" i="1" s="1" a="1"/>
  <c r="W1262" i="1" s="1"/>
  <c r="AA1261" i="1"/>
  <c r="AC1261" i="1" s="1"/>
  <c r="D1263" i="1" l="1"/>
  <c r="W1263" i="1" s="1" a="1"/>
  <c r="W1263" i="1" s="1"/>
  <c r="AA1262" i="1"/>
  <c r="AC1262" i="1" s="1"/>
  <c r="D1264" i="1" l="1"/>
  <c r="W1264" i="1" s="1" a="1"/>
  <c r="W1264" i="1" s="1"/>
  <c r="AA1263" i="1"/>
  <c r="AC1263" i="1" s="1"/>
  <c r="D1265" i="1" l="1"/>
  <c r="W1265" i="1" s="1" a="1"/>
  <c r="W1265" i="1" s="1"/>
  <c r="AA1264" i="1"/>
  <c r="AC1264" i="1" s="1"/>
  <c r="D1266" i="1" l="1"/>
  <c r="W1266" i="1" s="1" a="1"/>
  <c r="W1266" i="1" s="1"/>
  <c r="AA1265" i="1"/>
  <c r="AC1265" i="1" s="1"/>
  <c r="D1267" i="1" l="1"/>
  <c r="W1267" i="1" s="1" a="1"/>
  <c r="W1267" i="1" s="1"/>
  <c r="AA1266" i="1"/>
  <c r="AC1266" i="1" s="1"/>
  <c r="D1268" i="1" l="1"/>
  <c r="W1268" i="1" s="1" a="1"/>
  <c r="W1268" i="1" s="1"/>
  <c r="AA1267" i="1"/>
  <c r="AC1267" i="1" s="1"/>
  <c r="D1269" i="1" l="1"/>
  <c r="W1269" i="1" s="1" a="1"/>
  <c r="W1269" i="1" s="1"/>
  <c r="AA1268" i="1"/>
  <c r="AC1268" i="1" s="1"/>
  <c r="D1270" i="1" l="1"/>
  <c r="W1270" i="1" s="1" a="1"/>
  <c r="W1270" i="1" s="1"/>
  <c r="AA1269" i="1"/>
  <c r="AC1269" i="1" s="1"/>
  <c r="D1271" i="1" l="1"/>
  <c r="W1271" i="1" s="1" a="1"/>
  <c r="W1271" i="1" s="1"/>
  <c r="AA1270" i="1"/>
  <c r="AC1270" i="1" s="1"/>
  <c r="D1272" i="1" l="1"/>
  <c r="W1272" i="1" s="1" a="1"/>
  <c r="W1272" i="1" s="1"/>
  <c r="AA1271" i="1"/>
  <c r="AC1271" i="1" s="1"/>
  <c r="D1273" i="1" l="1"/>
  <c r="W1273" i="1" s="1" a="1"/>
  <c r="W1273" i="1" s="1"/>
  <c r="AA1272" i="1"/>
  <c r="AC1272" i="1" s="1"/>
  <c r="D1274" i="1" l="1"/>
  <c r="W1274" i="1" s="1" a="1"/>
  <c r="W1274" i="1" s="1"/>
  <c r="AA1273" i="1"/>
  <c r="AC1273" i="1" s="1"/>
  <c r="D1275" i="1" l="1"/>
  <c r="W1275" i="1" s="1" a="1"/>
  <c r="W1275" i="1" s="1"/>
  <c r="AA1274" i="1"/>
  <c r="AC1274" i="1" s="1"/>
  <c r="D1276" i="1" l="1"/>
  <c r="W1276" i="1" s="1" a="1"/>
  <c r="W1276" i="1" s="1"/>
  <c r="AA1275" i="1"/>
  <c r="AC1275" i="1" s="1"/>
  <c r="D1277" i="1" l="1"/>
  <c r="W1277" i="1" s="1" a="1"/>
  <c r="W1277" i="1" s="1"/>
  <c r="AA1276" i="1"/>
  <c r="AC1276" i="1" s="1"/>
  <c r="D1278" i="1" l="1"/>
  <c r="W1278" i="1" s="1" a="1"/>
  <c r="W1278" i="1" s="1"/>
  <c r="AA1277" i="1"/>
  <c r="AC1277" i="1" s="1"/>
  <c r="D1279" i="1" l="1"/>
  <c r="W1279" i="1" s="1" a="1"/>
  <c r="W1279" i="1" s="1"/>
  <c r="AA1278" i="1"/>
  <c r="AC1278" i="1" s="1"/>
  <c r="D1280" i="1" l="1"/>
  <c r="W1280" i="1" s="1" a="1"/>
  <c r="W1280" i="1" s="1"/>
  <c r="AA1279" i="1"/>
  <c r="AC1279" i="1" s="1"/>
  <c r="D1281" i="1" l="1"/>
  <c r="W1281" i="1" s="1" a="1"/>
  <c r="W1281" i="1" s="1"/>
  <c r="AA1280" i="1"/>
  <c r="AC1280" i="1" s="1"/>
  <c r="D1282" i="1" l="1"/>
  <c r="W1282" i="1" s="1" a="1"/>
  <c r="W1282" i="1" s="1"/>
  <c r="AA1281" i="1"/>
  <c r="AC1281" i="1" s="1"/>
  <c r="D1283" i="1" l="1"/>
  <c r="W1283" i="1" s="1" a="1"/>
  <c r="W1283" i="1" s="1"/>
  <c r="AA1282" i="1"/>
  <c r="AC1282" i="1" s="1"/>
  <c r="D1284" i="1" l="1"/>
  <c r="W1284" i="1" s="1" a="1"/>
  <c r="W1284" i="1" s="1"/>
  <c r="AA1283" i="1"/>
  <c r="AC1283" i="1" s="1"/>
  <c r="D1285" i="1" l="1"/>
  <c r="W1285" i="1" s="1" a="1"/>
  <c r="W1285" i="1" s="1"/>
  <c r="AA1284" i="1"/>
  <c r="AC1284" i="1" s="1"/>
  <c r="D1286" i="1" l="1"/>
  <c r="W1286" i="1" s="1" a="1"/>
  <c r="W1286" i="1" s="1"/>
  <c r="AA1285" i="1"/>
  <c r="AC1285" i="1" s="1"/>
  <c r="D1287" i="1" l="1"/>
  <c r="W1287" i="1" s="1" a="1"/>
  <c r="W1287" i="1" s="1"/>
  <c r="AA1286" i="1"/>
  <c r="AC1286" i="1" s="1"/>
  <c r="D1288" i="1" l="1"/>
  <c r="W1288" i="1" s="1" a="1"/>
  <c r="W1288" i="1" s="1"/>
  <c r="AA1287" i="1"/>
  <c r="AC1287" i="1" s="1"/>
  <c r="D1289" i="1" l="1"/>
  <c r="W1289" i="1" s="1" a="1"/>
  <c r="W1289" i="1" s="1"/>
  <c r="AA1288" i="1"/>
  <c r="AC1288" i="1" s="1"/>
  <c r="D1290" i="1" l="1"/>
  <c r="W1290" i="1" s="1" a="1"/>
  <c r="W1290" i="1" s="1"/>
  <c r="AA1289" i="1"/>
  <c r="AC1289" i="1" s="1"/>
  <c r="D1291" i="1" l="1"/>
  <c r="W1291" i="1" s="1" a="1"/>
  <c r="W1291" i="1" s="1"/>
  <c r="AA1290" i="1"/>
  <c r="AC1290" i="1" s="1"/>
  <c r="D1292" i="1" l="1"/>
  <c r="AA1291" i="1"/>
  <c r="AC1291" i="1" s="1"/>
  <c r="D1293" i="1" l="1"/>
  <c r="W1293" i="1" s="1" a="1"/>
  <c r="W1293" i="1" s="1"/>
  <c r="AA1292" i="1"/>
  <c r="AC1292" i="1" s="1"/>
  <c r="D1294" i="1" l="1"/>
  <c r="W1294" i="1" s="1" a="1"/>
  <c r="W1294" i="1" s="1"/>
  <c r="AA1293" i="1"/>
  <c r="AC1293" i="1" s="1"/>
  <c r="D1295" i="1" l="1"/>
  <c r="W1295" i="1" s="1" a="1"/>
  <c r="W1295" i="1" s="1"/>
  <c r="AA1294" i="1"/>
  <c r="AC1294" i="1" s="1"/>
  <c r="D1296" i="1" l="1"/>
  <c r="W1296" i="1" s="1" a="1"/>
  <c r="W1296" i="1" s="1"/>
  <c r="AA1295" i="1"/>
  <c r="AC1295" i="1" s="1"/>
  <c r="D1297" i="1" l="1"/>
  <c r="W1297" i="1" s="1" a="1"/>
  <c r="W1297" i="1" s="1"/>
  <c r="AA1296" i="1"/>
  <c r="AC1296" i="1" s="1"/>
  <c r="D1298" i="1" l="1"/>
  <c r="W1298" i="1" s="1" a="1"/>
  <c r="W1298" i="1" s="1"/>
  <c r="AA1297" i="1"/>
  <c r="AC1297" i="1" s="1"/>
  <c r="D1299" i="1" l="1"/>
  <c r="W1299" i="1" s="1" a="1"/>
  <c r="W1299" i="1" s="1"/>
  <c r="AA1298" i="1"/>
  <c r="AC1298" i="1" s="1"/>
  <c r="D1300" i="1" l="1"/>
  <c r="W1300" i="1" s="1" a="1"/>
  <c r="W1300" i="1" s="1"/>
  <c r="AA1299" i="1"/>
  <c r="AC1299" i="1" s="1"/>
  <c r="D1301" i="1" l="1"/>
  <c r="W1301" i="1" s="1" a="1"/>
  <c r="W1301" i="1" s="1"/>
  <c r="AA1300" i="1"/>
  <c r="AC1300" i="1" s="1"/>
  <c r="D1302" i="1" l="1"/>
  <c r="W1302" i="1" s="1" a="1"/>
  <c r="W1302" i="1" s="1"/>
  <c r="AA1301" i="1"/>
  <c r="AC1301" i="1" s="1"/>
  <c r="D1303" i="1" l="1"/>
  <c r="W1303" i="1" s="1" a="1"/>
  <c r="W1303" i="1" s="1"/>
  <c r="AA1302" i="1"/>
  <c r="AC1302" i="1" s="1"/>
  <c r="D1304" i="1" l="1"/>
  <c r="W1304" i="1" s="1" a="1"/>
  <c r="W1304" i="1" s="1"/>
  <c r="AA1303" i="1"/>
  <c r="AC1303" i="1" s="1"/>
  <c r="D1305" i="1" l="1"/>
  <c r="W1305" i="1" s="1" a="1"/>
  <c r="W1305" i="1" s="1"/>
  <c r="AA1304" i="1"/>
  <c r="AC1304" i="1" s="1"/>
  <c r="D1306" i="1" l="1"/>
  <c r="W1306" i="1" s="1" a="1"/>
  <c r="W1306" i="1" s="1"/>
  <c r="AA1305" i="1"/>
  <c r="AC1305" i="1" s="1"/>
  <c r="D1307" i="1" l="1"/>
  <c r="W1307" i="1" s="1" a="1"/>
  <c r="W1307" i="1" s="1"/>
  <c r="AA1306" i="1"/>
  <c r="AC1306" i="1" s="1"/>
  <c r="D1308" i="1" l="1"/>
  <c r="W1308" i="1" s="1" a="1"/>
  <c r="W1308" i="1" s="1"/>
  <c r="AA1307" i="1"/>
  <c r="AC1307" i="1" s="1"/>
  <c r="D1309" i="1" l="1"/>
  <c r="W1309" i="1" s="1" a="1"/>
  <c r="W1309" i="1" s="1"/>
  <c r="AA1308" i="1"/>
  <c r="AC1308" i="1" s="1"/>
  <c r="D1310" i="1" l="1"/>
  <c r="W1310" i="1" s="1" a="1"/>
  <c r="W1310" i="1" s="1"/>
  <c r="AA1309" i="1"/>
  <c r="AC1309" i="1" s="1"/>
  <c r="D1311" i="1" l="1"/>
  <c r="W1311" i="1" s="1" a="1"/>
  <c r="W1311" i="1" s="1"/>
  <c r="AA1310" i="1"/>
  <c r="AC1310" i="1" s="1"/>
  <c r="D1312" i="1" l="1"/>
  <c r="W1312" i="1" s="1" a="1"/>
  <c r="W1312" i="1" s="1"/>
  <c r="AA1311" i="1"/>
  <c r="AC1311" i="1" s="1"/>
  <c r="D1313" i="1" l="1"/>
  <c r="W1313" i="1" s="1" a="1"/>
  <c r="W1313" i="1" s="1"/>
  <c r="AA1312" i="1"/>
  <c r="AC1312" i="1" s="1"/>
  <c r="D1314" i="1" l="1"/>
  <c r="W1314" i="1" s="1" a="1"/>
  <c r="W1314" i="1" s="1"/>
  <c r="AA1313" i="1"/>
  <c r="AC1313" i="1" s="1"/>
  <c r="D1315" i="1" l="1"/>
  <c r="W1315" i="1" s="1" a="1"/>
  <c r="W1315" i="1" s="1"/>
  <c r="AA1314" i="1"/>
  <c r="AC1314" i="1" s="1"/>
  <c r="D1316" i="1" l="1"/>
  <c r="W1316" i="1" s="1" a="1"/>
  <c r="W1316" i="1" s="1"/>
  <c r="AA1315" i="1"/>
  <c r="AC1315" i="1" s="1"/>
  <c r="D1317" i="1" l="1"/>
  <c r="W1317" i="1" s="1" a="1"/>
  <c r="W1317" i="1" s="1"/>
  <c r="AA1316" i="1"/>
  <c r="AC1316" i="1" s="1"/>
  <c r="D1318" i="1" l="1"/>
  <c r="W1318" i="1" s="1" a="1"/>
  <c r="W1318" i="1" s="1"/>
  <c r="AA1317" i="1"/>
  <c r="AC1317" i="1" s="1"/>
  <c r="D1319" i="1" l="1"/>
  <c r="W1319" i="1" s="1" a="1"/>
  <c r="W1319" i="1" s="1"/>
  <c r="AA1318" i="1"/>
  <c r="AC1318" i="1" s="1"/>
  <c r="D1320" i="1" l="1"/>
  <c r="W1320" i="1" s="1" a="1"/>
  <c r="W1320" i="1" s="1"/>
  <c r="AA1319" i="1"/>
  <c r="AC1319" i="1" s="1"/>
  <c r="D1321" i="1" l="1"/>
  <c r="W1321" i="1" s="1" a="1"/>
  <c r="W1321" i="1" s="1"/>
  <c r="AA1320" i="1"/>
  <c r="AC1320" i="1" s="1"/>
  <c r="D1322" i="1" l="1"/>
  <c r="W1322" i="1" s="1" a="1"/>
  <c r="W1322" i="1" s="1"/>
  <c r="AA1321" i="1"/>
  <c r="AC1321" i="1" s="1"/>
  <c r="D1323" i="1" l="1"/>
  <c r="W1323" i="1" s="1" a="1"/>
  <c r="W1323" i="1" s="1"/>
  <c r="AA1322" i="1"/>
  <c r="AC1322" i="1" s="1"/>
  <c r="D1324" i="1" l="1"/>
  <c r="W1324" i="1" s="1" a="1"/>
  <c r="W1324" i="1" s="1"/>
  <c r="AA1323" i="1"/>
  <c r="AC1323" i="1" s="1"/>
  <c r="D1325" i="1" l="1"/>
  <c r="W1325" i="1" s="1" a="1"/>
  <c r="W1325" i="1" s="1"/>
  <c r="AA1324" i="1"/>
  <c r="AC1324" i="1" s="1"/>
  <c r="D1326" i="1" l="1"/>
  <c r="W1326" i="1" s="1" a="1"/>
  <c r="W1326" i="1" s="1"/>
  <c r="AA1325" i="1"/>
  <c r="AC1325" i="1" s="1"/>
  <c r="D1327" i="1" l="1"/>
  <c r="W1327" i="1" s="1" a="1"/>
  <c r="W1327" i="1" s="1"/>
  <c r="AA1326" i="1"/>
  <c r="AC1326" i="1" s="1"/>
  <c r="D1328" i="1" l="1"/>
  <c r="W1328" i="1" s="1" a="1"/>
  <c r="W1328" i="1" s="1"/>
  <c r="AA1327" i="1"/>
  <c r="AC1327" i="1" s="1"/>
  <c r="D1329" i="1" l="1"/>
  <c r="W1329" i="1" s="1" a="1"/>
  <c r="W1329" i="1" s="1"/>
  <c r="AA1328" i="1"/>
  <c r="AC1328" i="1" s="1"/>
  <c r="D1330" i="1" l="1"/>
  <c r="W1330" i="1" s="1" a="1"/>
  <c r="W1330" i="1" s="1"/>
  <c r="AA1329" i="1"/>
  <c r="AC1329" i="1" s="1"/>
  <c r="D1331" i="1" l="1"/>
  <c r="W1331" i="1" s="1" a="1"/>
  <c r="W1331" i="1" s="1"/>
  <c r="AA1330" i="1"/>
  <c r="AC1330" i="1" s="1"/>
  <c r="D1332" i="1" l="1"/>
  <c r="W1332" i="1" s="1" a="1"/>
  <c r="W1332" i="1" s="1"/>
  <c r="AA1331" i="1"/>
  <c r="AC1331" i="1" s="1"/>
  <c r="D1333" i="1" l="1"/>
  <c r="W1333" i="1" s="1" a="1"/>
  <c r="W1333" i="1" s="1"/>
  <c r="AA1332" i="1"/>
  <c r="AC1332" i="1" s="1"/>
  <c r="D1334" i="1" l="1"/>
  <c r="W1334" i="1" s="1" a="1"/>
  <c r="W1334" i="1" s="1"/>
  <c r="AA1333" i="1"/>
  <c r="AC1333" i="1" s="1"/>
  <c r="D1335" i="1" l="1"/>
  <c r="W1335" i="1" s="1" a="1"/>
  <c r="W1335" i="1" s="1"/>
  <c r="AA1334" i="1"/>
  <c r="AC1334" i="1" s="1"/>
  <c r="D1336" i="1" l="1"/>
  <c r="W1336" i="1" s="1" a="1"/>
  <c r="W1336" i="1" s="1"/>
  <c r="AA1335" i="1"/>
  <c r="AC1335" i="1" s="1"/>
  <c r="D1337" i="1" l="1"/>
  <c r="W1337" i="1" s="1" a="1"/>
  <c r="W1337" i="1" s="1"/>
  <c r="AA1336" i="1"/>
  <c r="AC1336" i="1" s="1"/>
  <c r="D1338" i="1" l="1"/>
  <c r="W1338" i="1" s="1" a="1"/>
  <c r="W1338" i="1" s="1"/>
  <c r="AA1337" i="1"/>
  <c r="AC1337" i="1" s="1"/>
  <c r="D1339" i="1" l="1"/>
  <c r="W1339" i="1" s="1" a="1"/>
  <c r="W1339" i="1" s="1"/>
  <c r="AA1338" i="1"/>
  <c r="AC1338" i="1" s="1"/>
  <c r="D1340" i="1" l="1"/>
  <c r="W1340" i="1" s="1" a="1"/>
  <c r="W1340" i="1" s="1"/>
  <c r="AA1339" i="1"/>
  <c r="AC1339" i="1" s="1"/>
  <c r="D1341" i="1" l="1"/>
  <c r="W1341" i="1" s="1" a="1"/>
  <c r="W1341" i="1" s="1"/>
  <c r="AA1340" i="1"/>
  <c r="AC1340" i="1" s="1"/>
  <c r="D1342" i="1" l="1"/>
  <c r="W1342" i="1" s="1" a="1"/>
  <c r="W1342" i="1" s="1"/>
  <c r="AA1341" i="1"/>
  <c r="AC1341" i="1" s="1"/>
  <c r="D1343" i="1" l="1"/>
  <c r="W1343" i="1" s="1" a="1"/>
  <c r="W1343" i="1" s="1"/>
  <c r="AA1342" i="1"/>
  <c r="AC1342" i="1" s="1"/>
  <c r="D1344" i="1" l="1"/>
  <c r="W1344" i="1" s="1" a="1"/>
  <c r="W1344" i="1" s="1"/>
  <c r="AA1343" i="1"/>
  <c r="AC1343" i="1" s="1"/>
  <c r="D1345" i="1" l="1"/>
  <c r="W1345" i="1" s="1" a="1"/>
  <c r="W1345" i="1" s="1"/>
  <c r="AA1344" i="1"/>
  <c r="AC1344" i="1" s="1"/>
  <c r="D1346" i="1" l="1"/>
  <c r="W1346" i="1" s="1" a="1"/>
  <c r="W1346" i="1" s="1"/>
  <c r="AA1345" i="1"/>
  <c r="AC1345" i="1" s="1"/>
  <c r="D1347" i="1" l="1"/>
  <c r="W1347" i="1" s="1" a="1"/>
  <c r="W1347" i="1" s="1"/>
  <c r="AA1346" i="1"/>
  <c r="AC1346" i="1" s="1"/>
  <c r="D1348" i="1" l="1"/>
  <c r="W1348" i="1" s="1" a="1"/>
  <c r="W1348" i="1" s="1"/>
  <c r="AA1347" i="1"/>
  <c r="AC1347" i="1" s="1"/>
  <c r="D1349" i="1" l="1"/>
  <c r="W1349" i="1" s="1" a="1"/>
  <c r="W1349" i="1" s="1"/>
  <c r="AA1348" i="1"/>
  <c r="AC1348" i="1" s="1"/>
  <c r="D1350" i="1" l="1"/>
  <c r="W1350" i="1" s="1" a="1"/>
  <c r="W1350" i="1" s="1"/>
  <c r="AA1349" i="1"/>
  <c r="AC1349" i="1" s="1"/>
  <c r="D1351" i="1" l="1"/>
  <c r="W1351" i="1" s="1" a="1"/>
  <c r="W1351" i="1" s="1"/>
  <c r="AA1350" i="1"/>
  <c r="AC1350" i="1" s="1"/>
  <c r="D1352" i="1" l="1"/>
  <c r="W1352" i="1" s="1" a="1"/>
  <c r="W1352" i="1" s="1"/>
  <c r="AA1351" i="1"/>
  <c r="AC1351" i="1" s="1"/>
  <c r="D1353" i="1" l="1"/>
  <c r="AA1352" i="1"/>
  <c r="AC1352" i="1" s="1"/>
  <c r="D1354" i="1" l="1"/>
  <c r="W1354" i="1" s="1" a="1"/>
  <c r="W1354" i="1" s="1"/>
  <c r="AA1353" i="1"/>
  <c r="AC1353" i="1" s="1"/>
  <c r="D1355" i="1" l="1"/>
  <c r="W1355" i="1" s="1" a="1"/>
  <c r="W1355" i="1" s="1"/>
  <c r="AA1354" i="1"/>
  <c r="AC1354" i="1" s="1"/>
  <c r="D1356" i="1" l="1"/>
  <c r="W1356" i="1" s="1" a="1"/>
  <c r="W1356" i="1" s="1"/>
  <c r="AA1355" i="1"/>
  <c r="AC1355" i="1" s="1"/>
  <c r="D1357" i="1" l="1"/>
  <c r="W1357" i="1" s="1" a="1"/>
  <c r="W1357" i="1" s="1"/>
  <c r="AA1356" i="1"/>
  <c r="AC1356" i="1" s="1"/>
  <c r="D1358" i="1" l="1"/>
  <c r="W1358" i="1" s="1" a="1"/>
  <c r="W1358" i="1" s="1"/>
  <c r="AA1357" i="1"/>
  <c r="AC1357" i="1" s="1"/>
  <c r="D1359" i="1" l="1"/>
  <c r="W1359" i="1" s="1" a="1"/>
  <c r="W1359" i="1" s="1"/>
  <c r="AA1358" i="1"/>
  <c r="AC1358" i="1" s="1"/>
  <c r="D1360" i="1" l="1"/>
  <c r="W1360" i="1" s="1" a="1"/>
  <c r="W1360" i="1" s="1"/>
  <c r="AA1359" i="1"/>
  <c r="AC1359" i="1" s="1"/>
  <c r="D1361" i="1" l="1"/>
  <c r="W1361" i="1" s="1" a="1"/>
  <c r="W1361" i="1" s="1"/>
  <c r="AA1360" i="1"/>
  <c r="AC1360" i="1" s="1"/>
  <c r="D1362" i="1" l="1"/>
  <c r="W1362" i="1" s="1" a="1"/>
  <c r="W1362" i="1" s="1"/>
  <c r="AA1361" i="1"/>
  <c r="AC1361" i="1" s="1"/>
  <c r="D1363" i="1" l="1"/>
  <c r="W1363" i="1" s="1" a="1"/>
  <c r="W1363" i="1" s="1"/>
  <c r="AA1362" i="1"/>
  <c r="AC1362" i="1" s="1"/>
  <c r="D1364" i="1" l="1"/>
  <c r="W1364" i="1" s="1" a="1"/>
  <c r="W1364" i="1" s="1"/>
  <c r="AA1363" i="1"/>
  <c r="AC1363" i="1" s="1"/>
  <c r="D1365" i="1" l="1"/>
  <c r="W1365" i="1" s="1" a="1"/>
  <c r="W1365" i="1" s="1"/>
  <c r="AA1364" i="1"/>
  <c r="AC1364" i="1" s="1"/>
  <c r="D1366" i="1" l="1"/>
  <c r="W1366" i="1" s="1" a="1"/>
  <c r="W1366" i="1" s="1"/>
  <c r="AA1365" i="1"/>
  <c r="AC1365" i="1" s="1"/>
  <c r="D1367" i="1" l="1"/>
  <c r="W1367" i="1" s="1" a="1"/>
  <c r="W1367" i="1" s="1"/>
  <c r="AA1366" i="1"/>
  <c r="AC1366" i="1" s="1"/>
  <c r="D1368" i="1" l="1"/>
  <c r="W1368" i="1" s="1" a="1"/>
  <c r="W1368" i="1" s="1"/>
  <c r="AA1367" i="1"/>
  <c r="AC1367" i="1" s="1"/>
  <c r="D1369" i="1" l="1"/>
  <c r="W1369" i="1" s="1" a="1"/>
  <c r="W1369" i="1" s="1"/>
  <c r="AA1368" i="1"/>
  <c r="AC1368" i="1" s="1"/>
  <c r="D1370" i="1" l="1"/>
  <c r="W1370" i="1" s="1" a="1"/>
  <c r="W1370" i="1" s="1"/>
  <c r="AA1369" i="1"/>
  <c r="AC1369" i="1" s="1"/>
  <c r="D1371" i="1" l="1"/>
  <c r="W1371" i="1" s="1" a="1"/>
  <c r="W1371" i="1" s="1"/>
  <c r="AA1370" i="1"/>
  <c r="AC1370" i="1" s="1"/>
  <c r="D1372" i="1" l="1"/>
  <c r="W1372" i="1" s="1" a="1"/>
  <c r="W1372" i="1" s="1"/>
  <c r="AA1371" i="1"/>
  <c r="AC1371" i="1" s="1"/>
  <c r="D1373" i="1" l="1"/>
  <c r="W1373" i="1" s="1" a="1"/>
  <c r="W1373" i="1" s="1"/>
  <c r="AA1372" i="1"/>
  <c r="AC1372" i="1" s="1"/>
  <c r="D1374" i="1" l="1"/>
  <c r="W1374" i="1" s="1" a="1"/>
  <c r="W1374" i="1" s="1"/>
  <c r="AA1373" i="1"/>
  <c r="AC1373" i="1" s="1"/>
  <c r="D1375" i="1" l="1"/>
  <c r="W1375" i="1" s="1" a="1"/>
  <c r="W1375" i="1" s="1"/>
  <c r="AA1374" i="1"/>
  <c r="AC1374" i="1" s="1"/>
  <c r="D1376" i="1" l="1"/>
  <c r="W1376" i="1" s="1" a="1"/>
  <c r="W1376" i="1" s="1"/>
  <c r="AA1375" i="1"/>
  <c r="AC1375" i="1" s="1"/>
  <c r="D1377" i="1" l="1"/>
  <c r="W1377" i="1" s="1" a="1"/>
  <c r="W1377" i="1" s="1"/>
  <c r="AA1376" i="1"/>
  <c r="AC1376" i="1" s="1"/>
  <c r="D1378" i="1" l="1"/>
  <c r="W1378" i="1" s="1" a="1"/>
  <c r="W1378" i="1" s="1"/>
  <c r="AA1377" i="1"/>
  <c r="AC1377" i="1" s="1"/>
  <c r="D1379" i="1" l="1"/>
  <c r="W1379" i="1" s="1" a="1"/>
  <c r="W1379" i="1" s="1"/>
  <c r="AA1378" i="1"/>
  <c r="AC1378" i="1" s="1"/>
  <c r="D1380" i="1" l="1"/>
  <c r="AA1379" i="1"/>
  <c r="AC1379" i="1" s="1"/>
  <c r="D1381" i="1" l="1"/>
  <c r="AA1380" i="1"/>
  <c r="AC1380" i="1" s="1"/>
  <c r="W1381" i="1" l="1" a="1"/>
  <c r="W1381" i="1" s="1"/>
  <c r="W78" i="8"/>
  <c r="W18" i="8"/>
  <c r="D1382" i="1"/>
  <c r="W1382" i="1" s="1" a="1"/>
  <c r="W1382" i="1" s="1"/>
  <c r="AA1381" i="1"/>
  <c r="AC1381" i="1" s="1"/>
  <c r="D1383" i="1" l="1"/>
  <c r="W1383" i="1" s="1" a="1"/>
  <c r="W1383" i="1" s="1"/>
  <c r="AA1382" i="1"/>
  <c r="AC1382" i="1" s="1"/>
  <c r="D1384" i="1" l="1"/>
  <c r="W1384" i="1" s="1" a="1"/>
  <c r="W1384" i="1" s="1"/>
  <c r="AA1383" i="1"/>
  <c r="AC1383" i="1" s="1"/>
  <c r="D1385" i="1" l="1"/>
  <c r="W1385" i="1" s="1" a="1"/>
  <c r="W1385" i="1" s="1"/>
  <c r="AA1384" i="1"/>
  <c r="AC1384" i="1" s="1"/>
  <c r="D1386" i="1" l="1"/>
  <c r="W1386" i="1" s="1" a="1"/>
  <c r="W1386" i="1" s="1"/>
  <c r="AA1385" i="1"/>
  <c r="AC1385" i="1" s="1"/>
  <c r="D1387" i="1" l="1"/>
  <c r="W1387" i="1" s="1" a="1"/>
  <c r="W1387" i="1" s="1"/>
  <c r="AA1386" i="1"/>
  <c r="AC1386" i="1" s="1"/>
  <c r="D1388" i="1" l="1"/>
  <c r="W1388" i="1" s="1" a="1"/>
  <c r="W1388" i="1" s="1"/>
  <c r="AA1387" i="1"/>
  <c r="AC1387" i="1" s="1"/>
  <c r="D1389" i="1" l="1"/>
  <c r="W1389" i="1" s="1" a="1"/>
  <c r="W1389" i="1" s="1"/>
  <c r="AA1388" i="1"/>
  <c r="AC1388" i="1" s="1"/>
  <c r="D1390" i="1" l="1"/>
  <c r="W1390" i="1" s="1" a="1"/>
  <c r="W1390" i="1" s="1"/>
  <c r="AA1389" i="1"/>
  <c r="AC1389" i="1" s="1"/>
  <c r="D1391" i="1" l="1"/>
  <c r="W1391" i="1" s="1" a="1"/>
  <c r="W1391" i="1" s="1"/>
  <c r="AA1390" i="1"/>
  <c r="AC1390" i="1" s="1"/>
  <c r="D1392" i="1" l="1"/>
  <c r="W1392" i="1" s="1" a="1"/>
  <c r="W1392" i="1" s="1"/>
  <c r="AA1391" i="1"/>
  <c r="AC1391" i="1" s="1"/>
  <c r="D1393" i="1" l="1"/>
  <c r="W1393" i="1" s="1" a="1"/>
  <c r="W1393" i="1" s="1"/>
  <c r="AA1392" i="1"/>
  <c r="AC1392" i="1" s="1"/>
  <c r="D1394" i="1" l="1"/>
  <c r="W1394" i="1" s="1" a="1"/>
  <c r="W1394" i="1" s="1"/>
  <c r="AA1393" i="1"/>
  <c r="AC1393" i="1" s="1"/>
  <c r="D1395" i="1" l="1"/>
  <c r="W1395" i="1" s="1" a="1"/>
  <c r="W1395" i="1" s="1"/>
  <c r="AA1394" i="1"/>
  <c r="AC1394" i="1" s="1"/>
  <c r="D1396" i="1" l="1"/>
  <c r="W1396" i="1" s="1" a="1"/>
  <c r="W1396" i="1" s="1"/>
  <c r="AA1395" i="1"/>
  <c r="AC1395" i="1" s="1"/>
  <c r="D1397" i="1" l="1"/>
  <c r="W1397" i="1" s="1" a="1"/>
  <c r="W1397" i="1" s="1"/>
  <c r="AA1396" i="1"/>
  <c r="AC1396" i="1" s="1"/>
  <c r="D1398" i="1" l="1"/>
  <c r="W1398" i="1" s="1" a="1"/>
  <c r="W1398" i="1" s="1"/>
  <c r="AA1397" i="1"/>
  <c r="AC1397" i="1" s="1"/>
  <c r="D1399" i="1" l="1"/>
  <c r="W1399" i="1" s="1" a="1"/>
  <c r="W1399" i="1" s="1"/>
  <c r="AA1398" i="1"/>
  <c r="AC1398" i="1" s="1"/>
  <c r="D1400" i="1" l="1"/>
  <c r="W1400" i="1" s="1" a="1"/>
  <c r="W1400" i="1" s="1"/>
  <c r="AA1399" i="1"/>
  <c r="AC1399" i="1" s="1"/>
  <c r="D1401" i="1" l="1"/>
  <c r="W1401" i="1" s="1" a="1"/>
  <c r="W1401" i="1" s="1"/>
  <c r="AA1400" i="1"/>
  <c r="AC1400" i="1" s="1"/>
  <c r="D1402" i="1" l="1"/>
  <c r="W1402" i="1" s="1" a="1"/>
  <c r="W1402" i="1" s="1"/>
  <c r="AA1401" i="1"/>
  <c r="AC1401" i="1" s="1"/>
  <c r="D1403" i="1" l="1"/>
  <c r="W1403" i="1" s="1" a="1"/>
  <c r="W1403" i="1" s="1"/>
  <c r="AA1402" i="1"/>
  <c r="AC1402" i="1" s="1"/>
  <c r="D1404" i="1" l="1"/>
  <c r="W1404" i="1" s="1" a="1"/>
  <c r="W1404" i="1" s="1"/>
  <c r="AA1403" i="1"/>
  <c r="AC1403" i="1" s="1"/>
  <c r="D1405" i="1" l="1"/>
  <c r="W1405" i="1" s="1" a="1"/>
  <c r="W1405" i="1" s="1"/>
  <c r="AA1404" i="1"/>
  <c r="AC1404" i="1" s="1"/>
  <c r="D1406" i="1" l="1"/>
  <c r="W1406" i="1" s="1" a="1"/>
  <c r="W1406" i="1" s="1"/>
  <c r="AA1405" i="1"/>
  <c r="AC1405" i="1" s="1"/>
  <c r="D1407" i="1" l="1"/>
  <c r="W1407" i="1" s="1" a="1"/>
  <c r="W1407" i="1" s="1"/>
  <c r="AA1406" i="1"/>
  <c r="AC1406" i="1" s="1"/>
  <c r="D1408" i="1" l="1"/>
  <c r="W1408" i="1" s="1" a="1"/>
  <c r="W1408" i="1" s="1"/>
  <c r="AA1407" i="1"/>
  <c r="AC1407" i="1" s="1"/>
  <c r="D1409" i="1" l="1"/>
  <c r="W1409" i="1" s="1" a="1"/>
  <c r="W1409" i="1" s="1"/>
  <c r="AA1408" i="1"/>
  <c r="AC1408" i="1" s="1"/>
  <c r="D1410" i="1" l="1"/>
  <c r="W1410" i="1" s="1" a="1"/>
  <c r="W1410" i="1" s="1"/>
  <c r="AA1409" i="1"/>
  <c r="AC1409" i="1" s="1"/>
  <c r="D1411" i="1" l="1"/>
  <c r="W1411" i="1" s="1" a="1"/>
  <c r="W1411" i="1" s="1"/>
  <c r="AA1410" i="1"/>
  <c r="AC1410" i="1" s="1"/>
  <c r="D1412" i="1" l="1"/>
  <c r="W1412" i="1" s="1" a="1"/>
  <c r="W1412" i="1" s="1"/>
  <c r="AA1411" i="1"/>
  <c r="AC1411" i="1" s="1"/>
  <c r="D1413" i="1" l="1"/>
  <c r="W1413" i="1" s="1" a="1"/>
  <c r="W1413" i="1" s="1"/>
  <c r="AA1412" i="1"/>
  <c r="AC1412" i="1" s="1"/>
  <c r="D1414" i="1" l="1"/>
  <c r="W1414" i="1" s="1" a="1"/>
  <c r="W1414" i="1" s="1"/>
  <c r="AA1413" i="1"/>
  <c r="AC1413" i="1" s="1"/>
  <c r="D1415" i="1" l="1"/>
  <c r="W1415" i="1" s="1" a="1"/>
  <c r="W1415" i="1" s="1"/>
  <c r="AA1414" i="1"/>
  <c r="AC1414" i="1" s="1"/>
  <c r="D1416" i="1" l="1"/>
  <c r="W1416" i="1" s="1" a="1"/>
  <c r="W1416" i="1" s="1"/>
  <c r="AA1415" i="1"/>
  <c r="AC1415" i="1" s="1"/>
  <c r="D1417" i="1" l="1"/>
  <c r="W1417" i="1" s="1" a="1"/>
  <c r="W1417" i="1" s="1"/>
  <c r="AA1416" i="1"/>
  <c r="AC1416" i="1" s="1"/>
  <c r="D1418" i="1" l="1"/>
  <c r="AA1417" i="1"/>
  <c r="AC1417" i="1" s="1"/>
  <c r="D1419" i="1" l="1"/>
  <c r="AA1418" i="1"/>
  <c r="AC1418" i="1" s="1"/>
  <c r="D1420" i="1" l="1"/>
  <c r="W1420" i="1" s="1" a="1"/>
  <c r="W1420" i="1" s="1"/>
  <c r="AA1419" i="1"/>
  <c r="AC1419" i="1" s="1"/>
  <c r="D1421" i="1" l="1"/>
  <c r="W1421" i="1" s="1" a="1"/>
  <c r="W1421" i="1" s="1"/>
  <c r="AA1420" i="1"/>
  <c r="AC1420" i="1" s="1"/>
  <c r="D1422" i="1" l="1"/>
  <c r="W1422" i="1" s="1" a="1"/>
  <c r="W1422" i="1" s="1"/>
  <c r="AA1421" i="1"/>
  <c r="AC1421" i="1" s="1"/>
  <c r="D1423" i="1" l="1"/>
  <c r="W1423" i="1" s="1" a="1"/>
  <c r="W1423" i="1" s="1"/>
  <c r="AA1422" i="1"/>
  <c r="AC1422" i="1" s="1"/>
  <c r="D1424" i="1" l="1"/>
  <c r="W1424" i="1" s="1" a="1"/>
  <c r="W1424" i="1" s="1"/>
  <c r="AA1423" i="1"/>
  <c r="AC1423" i="1" s="1"/>
  <c r="D1425" i="1" l="1"/>
  <c r="W1425" i="1" s="1" a="1"/>
  <c r="W1425" i="1" s="1"/>
  <c r="AA1424" i="1"/>
  <c r="AC1424" i="1" s="1"/>
  <c r="D1426" i="1" l="1"/>
  <c r="W1426" i="1" s="1" a="1"/>
  <c r="W1426" i="1" s="1"/>
  <c r="AA1425" i="1"/>
  <c r="AC1425" i="1" s="1"/>
  <c r="D1427" i="1" l="1"/>
  <c r="W1427" i="1" s="1" a="1"/>
  <c r="W1427" i="1" s="1"/>
  <c r="AA1426" i="1"/>
  <c r="AC1426" i="1" s="1"/>
  <c r="D1428" i="1" l="1"/>
  <c r="W1428" i="1" s="1" a="1"/>
  <c r="W1428" i="1" s="1"/>
  <c r="AA1427" i="1"/>
  <c r="AC1427" i="1" s="1"/>
  <c r="D1429" i="1" l="1"/>
  <c r="W1429" i="1" s="1" a="1"/>
  <c r="W1429" i="1" s="1"/>
  <c r="AA1428" i="1"/>
  <c r="AC1428" i="1" s="1"/>
  <c r="D1430" i="1" l="1"/>
  <c r="W1430" i="1" s="1" a="1"/>
  <c r="W1430" i="1" s="1"/>
  <c r="AA1429" i="1"/>
  <c r="AC1429" i="1" s="1"/>
  <c r="D1431" i="1" l="1"/>
  <c r="W1431" i="1" s="1" a="1"/>
  <c r="W1431" i="1" s="1"/>
  <c r="AA1430" i="1"/>
  <c r="AC1430" i="1" s="1"/>
  <c r="D1432" i="1" l="1"/>
  <c r="W1432" i="1" s="1" a="1"/>
  <c r="W1432" i="1" s="1"/>
  <c r="AA1431" i="1"/>
  <c r="AC1431" i="1" s="1"/>
  <c r="D1433" i="1" l="1"/>
  <c r="W1433" i="1" s="1" a="1"/>
  <c r="W1433" i="1" s="1"/>
  <c r="AA1432" i="1"/>
  <c r="AC1432" i="1" s="1"/>
  <c r="D1434" i="1" l="1"/>
  <c r="W1434" i="1" s="1" a="1"/>
  <c r="W1434" i="1" s="1"/>
  <c r="AA1433" i="1"/>
  <c r="AC1433" i="1" s="1"/>
  <c r="D1435" i="1" l="1"/>
  <c r="W1435" i="1" s="1" a="1"/>
  <c r="W1435" i="1" s="1"/>
  <c r="AA1434" i="1"/>
  <c r="AC1434" i="1" s="1"/>
  <c r="D1436" i="1" l="1"/>
  <c r="W1436" i="1" s="1" a="1"/>
  <c r="W1436" i="1" s="1"/>
  <c r="AA1435" i="1"/>
  <c r="AC1435" i="1" s="1"/>
  <c r="D1437" i="1" l="1"/>
  <c r="W1437" i="1" s="1" a="1"/>
  <c r="W1437" i="1" s="1"/>
  <c r="AA1436" i="1"/>
  <c r="AC1436" i="1" s="1"/>
  <c r="D1438" i="1" l="1"/>
  <c r="W1438" i="1" s="1" a="1"/>
  <c r="W1438" i="1" s="1"/>
  <c r="AA1437" i="1"/>
  <c r="AC1437" i="1" s="1"/>
  <c r="D1439" i="1" l="1"/>
  <c r="W1439" i="1" s="1" a="1"/>
  <c r="W1439" i="1" s="1"/>
  <c r="AA1438" i="1"/>
  <c r="AC1438" i="1" s="1"/>
  <c r="D1440" i="1" l="1"/>
  <c r="W1440" i="1" s="1" a="1"/>
  <c r="W1440" i="1" s="1"/>
  <c r="AA1439" i="1"/>
  <c r="AC1439" i="1" s="1"/>
  <c r="D1441" i="1" l="1"/>
  <c r="W1441" i="1" s="1" a="1"/>
  <c r="W1441" i="1" s="1"/>
  <c r="AA1440" i="1"/>
  <c r="AC1440" i="1" s="1"/>
  <c r="D1442" i="1" l="1"/>
  <c r="W1442" i="1" s="1" a="1"/>
  <c r="W1442" i="1" s="1"/>
  <c r="AA1441" i="1"/>
  <c r="AC1441" i="1" s="1"/>
  <c r="D1443" i="1" l="1"/>
  <c r="W1443" i="1" s="1" a="1"/>
  <c r="W1443" i="1" s="1"/>
  <c r="AA1442" i="1"/>
  <c r="AC1442" i="1" s="1"/>
  <c r="D1444" i="1" l="1"/>
  <c r="W1444" i="1" s="1" a="1"/>
  <c r="W1444" i="1" s="1"/>
  <c r="AA1443" i="1"/>
  <c r="AC1443" i="1" s="1"/>
  <c r="D1445" i="1" l="1"/>
  <c r="W1445" i="1" s="1" a="1"/>
  <c r="W1445" i="1" s="1"/>
  <c r="AA1444" i="1"/>
  <c r="AC1444" i="1" s="1"/>
  <c r="D1446" i="1" l="1"/>
  <c r="W1446" i="1" s="1" a="1"/>
  <c r="W1446" i="1" s="1"/>
  <c r="AA1445" i="1"/>
  <c r="AC1445" i="1" s="1"/>
  <c r="D1447" i="1" l="1"/>
  <c r="W1447" i="1" s="1" a="1"/>
  <c r="W1447" i="1" s="1"/>
  <c r="AA1446" i="1"/>
  <c r="AC1446" i="1" s="1"/>
  <c r="D1448" i="1" l="1"/>
  <c r="AA1447" i="1"/>
  <c r="AC1447" i="1" s="1"/>
  <c r="D1449" i="1" l="1"/>
  <c r="W1449" i="1" s="1" a="1"/>
  <c r="W1449" i="1" s="1"/>
  <c r="AA1448" i="1"/>
  <c r="AC1448" i="1" s="1"/>
  <c r="D1450" i="1" l="1"/>
  <c r="W1450" i="1" s="1" a="1"/>
  <c r="W1450" i="1" s="1"/>
  <c r="AA1449" i="1"/>
  <c r="AC1449" i="1" s="1"/>
  <c r="D1451" i="1" l="1"/>
  <c r="W1451" i="1" s="1" a="1"/>
  <c r="W1451" i="1" s="1"/>
  <c r="AA1450" i="1"/>
  <c r="AC1450" i="1" s="1"/>
  <c r="D1452" i="1" l="1"/>
  <c r="W1452" i="1" s="1" a="1"/>
  <c r="W1452" i="1" s="1"/>
  <c r="AA1451" i="1"/>
  <c r="AC1451" i="1" s="1"/>
  <c r="D1453" i="1" l="1"/>
  <c r="W1453" i="1" s="1" a="1"/>
  <c r="W1453" i="1" s="1"/>
  <c r="AA1452" i="1"/>
  <c r="AC1452" i="1" s="1"/>
  <c r="D1454" i="1" l="1"/>
  <c r="W1454" i="1" s="1" a="1"/>
  <c r="W1454" i="1" s="1"/>
  <c r="AA1453" i="1"/>
  <c r="AC1453" i="1" s="1"/>
  <c r="D1455" i="1" l="1"/>
  <c r="W1455" i="1" s="1" a="1"/>
  <c r="W1455" i="1" s="1"/>
  <c r="AA1454" i="1"/>
  <c r="AC1454" i="1" s="1"/>
  <c r="D1456" i="1" l="1"/>
  <c r="W1456" i="1" s="1" a="1"/>
  <c r="W1456" i="1" s="1"/>
  <c r="AA1455" i="1"/>
  <c r="AC1455" i="1" s="1"/>
  <c r="D1457" i="1" l="1"/>
  <c r="W1457" i="1" s="1" a="1"/>
  <c r="W1457" i="1" s="1"/>
  <c r="AA1456" i="1"/>
  <c r="AC1456" i="1" s="1"/>
  <c r="D1458" i="1" l="1"/>
  <c r="W1458" i="1" s="1" a="1"/>
  <c r="W1458" i="1" s="1"/>
  <c r="AA1457" i="1"/>
  <c r="AC1457" i="1" s="1"/>
  <c r="D1459" i="1" l="1"/>
  <c r="W1459" i="1" s="1" a="1"/>
  <c r="W1459" i="1" s="1"/>
  <c r="AA1458" i="1"/>
  <c r="AC1458" i="1" s="1"/>
  <c r="D1460" i="1" l="1"/>
  <c r="W1460" i="1" s="1" a="1"/>
  <c r="W1460" i="1" s="1"/>
  <c r="AA1459" i="1"/>
  <c r="AC1459" i="1" s="1"/>
  <c r="D1461" i="1" l="1"/>
  <c r="W1461" i="1" s="1" a="1"/>
  <c r="W1461" i="1" s="1"/>
  <c r="AA1460" i="1"/>
  <c r="AC1460" i="1" s="1"/>
  <c r="D1462" i="1" l="1"/>
  <c r="W1462" i="1" s="1" a="1"/>
  <c r="W1462" i="1" s="1"/>
  <c r="AA1461" i="1"/>
  <c r="AC1461" i="1" s="1"/>
  <c r="D1463" i="1" l="1"/>
  <c r="W1463" i="1" s="1" a="1"/>
  <c r="W1463" i="1" s="1"/>
  <c r="AA1462" i="1"/>
  <c r="AC1462" i="1" s="1"/>
  <c r="D1464" i="1" l="1"/>
  <c r="W1464" i="1" s="1" a="1"/>
  <c r="W1464" i="1" s="1"/>
  <c r="AA1463" i="1"/>
  <c r="AC1463" i="1" s="1"/>
  <c r="D1465" i="1" l="1"/>
  <c r="W1465" i="1" s="1" a="1"/>
  <c r="W1465" i="1" s="1"/>
  <c r="AA1464" i="1"/>
  <c r="AC1464" i="1" s="1"/>
  <c r="D1466" i="1" l="1"/>
  <c r="W1466" i="1" s="1" a="1"/>
  <c r="W1466" i="1" s="1"/>
  <c r="AA1465" i="1"/>
  <c r="AC1465" i="1" s="1"/>
  <c r="D1467" i="1" l="1"/>
  <c r="W1467" i="1" s="1" a="1"/>
  <c r="W1467" i="1" s="1"/>
  <c r="AA1466" i="1"/>
  <c r="AC1466" i="1" s="1"/>
  <c r="D1468" i="1" l="1"/>
  <c r="W1468" i="1" s="1" a="1"/>
  <c r="W1468" i="1" s="1"/>
  <c r="AA1467" i="1"/>
  <c r="AC1467" i="1" s="1"/>
  <c r="D1469" i="1" l="1"/>
  <c r="W1469" i="1" s="1" a="1"/>
  <c r="W1469" i="1" s="1"/>
  <c r="AA1468" i="1"/>
  <c r="AC1468" i="1" s="1"/>
  <c r="D1470" i="1" l="1"/>
  <c r="W81" i="8" s="1"/>
  <c r="AA1469" i="1"/>
  <c r="AC1469" i="1" s="1"/>
  <c r="D1471" i="1" l="1"/>
  <c r="W1471" i="1" s="1" a="1"/>
  <c r="W1471" i="1" s="1"/>
  <c r="AA1470" i="1"/>
  <c r="AC1470" i="1" s="1"/>
  <c r="D1472" i="1" l="1"/>
  <c r="W1472" i="1" s="1" a="1"/>
  <c r="W1472" i="1" s="1"/>
  <c r="AA1471" i="1"/>
  <c r="AC1471" i="1" s="1"/>
  <c r="D1473" i="1" l="1"/>
  <c r="W1473" i="1" s="1" a="1"/>
  <c r="W1473" i="1" s="1"/>
  <c r="AA1472" i="1"/>
  <c r="AC1472" i="1" s="1"/>
  <c r="D1474" i="1" l="1"/>
  <c r="W1474" i="1" s="1" a="1"/>
  <c r="W1474" i="1" s="1"/>
  <c r="AA1473" i="1"/>
  <c r="AC1473" i="1" s="1"/>
  <c r="D1475" i="1" l="1"/>
  <c r="W1475" i="1" s="1" a="1"/>
  <c r="W1475" i="1" s="1"/>
  <c r="AA1474" i="1"/>
  <c r="AC1474" i="1" s="1"/>
  <c r="D1476" i="1" l="1"/>
  <c r="W1476" i="1" s="1" a="1"/>
  <c r="W1476" i="1" s="1"/>
  <c r="AA1475" i="1"/>
  <c r="AC1475" i="1" s="1"/>
  <c r="D1477" i="1" l="1"/>
  <c r="W1477" i="1" s="1" a="1"/>
  <c r="W1477" i="1" s="1"/>
  <c r="AA1476" i="1"/>
  <c r="AC1476" i="1" s="1"/>
  <c r="D1478" i="1" l="1"/>
  <c r="W1478" i="1" s="1" a="1"/>
  <c r="W1478" i="1" s="1"/>
  <c r="AA1477" i="1"/>
  <c r="AC1477" i="1" s="1"/>
  <c r="D1479" i="1" l="1"/>
  <c r="AA1478" i="1"/>
  <c r="AC1478" i="1" s="1"/>
  <c r="W1479" i="1" l="1" a="1"/>
  <c r="W1479" i="1" s="1"/>
  <c r="D1480" i="1"/>
  <c r="W1480" i="1" s="1" a="1"/>
  <c r="W1480" i="1" s="1"/>
  <c r="AA1479" i="1"/>
  <c r="AC1479" i="1" s="1"/>
  <c r="D1481" i="1" l="1"/>
  <c r="W1481" i="1" s="1" a="1"/>
  <c r="W1481" i="1" s="1"/>
  <c r="AA1480" i="1"/>
  <c r="AC1480" i="1" s="1"/>
  <c r="D1482" i="1" l="1"/>
  <c r="W1482" i="1" s="1" a="1"/>
  <c r="W1482" i="1" s="1"/>
  <c r="AA1481" i="1"/>
  <c r="AC1481" i="1" s="1"/>
  <c r="D1483" i="1" l="1"/>
  <c r="W1483" i="1" s="1" a="1"/>
  <c r="W1483" i="1" s="1"/>
  <c r="AA1482" i="1"/>
  <c r="AC1482" i="1" s="1"/>
  <c r="D1484" i="1" l="1"/>
  <c r="W1484" i="1" s="1" a="1"/>
  <c r="W1484" i="1" s="1"/>
  <c r="AA1483" i="1"/>
  <c r="AC1483" i="1" s="1"/>
  <c r="D1485" i="1" l="1"/>
  <c r="W1485" i="1" s="1" a="1"/>
  <c r="W1485" i="1" s="1"/>
  <c r="AA1484" i="1"/>
  <c r="AC1484" i="1" s="1"/>
  <c r="D1486" i="1" l="1"/>
  <c r="W1486" i="1" s="1" a="1"/>
  <c r="W1486" i="1" s="1"/>
  <c r="AA1485" i="1"/>
  <c r="AC1485" i="1" s="1"/>
  <c r="D1487" i="1" l="1"/>
  <c r="W1487" i="1" s="1" a="1"/>
  <c r="W1487" i="1" s="1"/>
  <c r="AA1486" i="1"/>
  <c r="AC1486" i="1" s="1"/>
  <c r="D1488" i="1" l="1"/>
  <c r="W1488" i="1" s="1" a="1"/>
  <c r="W1488" i="1" s="1"/>
  <c r="AA1487" i="1"/>
  <c r="AC1487" i="1" s="1"/>
  <c r="D1489" i="1" l="1"/>
  <c r="W1489" i="1" s="1" a="1"/>
  <c r="W1489" i="1" s="1"/>
  <c r="AA1488" i="1"/>
  <c r="AC1488" i="1" s="1"/>
  <c r="D1490" i="1" l="1"/>
  <c r="W1490" i="1" s="1" a="1"/>
  <c r="W1490" i="1" s="1"/>
  <c r="AA1489" i="1"/>
  <c r="AC1489" i="1" s="1"/>
  <c r="D1491" i="1" l="1"/>
  <c r="W1491" i="1" s="1" a="1"/>
  <c r="W1491" i="1" s="1"/>
  <c r="AA1490" i="1"/>
  <c r="AC1490" i="1" s="1"/>
  <c r="D1492" i="1" l="1"/>
  <c r="W1492" i="1" s="1" a="1"/>
  <c r="W1492" i="1" s="1"/>
  <c r="AA1491" i="1"/>
  <c r="AC1491" i="1" s="1"/>
  <c r="D1493" i="1" l="1"/>
  <c r="W1493" i="1" s="1" a="1"/>
  <c r="W1493" i="1" s="1"/>
  <c r="AA1492" i="1"/>
  <c r="AC1492" i="1" s="1"/>
  <c r="D1494" i="1" l="1"/>
  <c r="W1494" i="1" s="1" a="1"/>
  <c r="W1494" i="1" s="1"/>
  <c r="AA1493" i="1"/>
  <c r="AC1493" i="1" s="1"/>
  <c r="D1495" i="1" l="1"/>
  <c r="W1495" i="1" s="1" a="1"/>
  <c r="W1495" i="1" s="1"/>
  <c r="AA1494" i="1"/>
  <c r="AC1494" i="1" s="1"/>
  <c r="D1496" i="1" l="1"/>
  <c r="W1496" i="1" s="1" a="1"/>
  <c r="W1496" i="1" s="1"/>
  <c r="AA1495" i="1"/>
  <c r="AC1495" i="1" s="1"/>
  <c r="D1497" i="1" l="1"/>
  <c r="AA1496" i="1"/>
  <c r="AC1496" i="1" s="1"/>
  <c r="W82" i="8" l="1"/>
  <c r="W1497" i="1" a="1"/>
  <c r="W1497" i="1" s="1"/>
  <c r="D1498" i="1"/>
  <c r="W1498" i="1" s="1" a="1"/>
  <c r="W1498" i="1" s="1"/>
  <c r="AA1497" i="1"/>
  <c r="AC1497" i="1" s="1"/>
  <c r="D1499" i="1" l="1"/>
  <c r="W1499" i="1" s="1" a="1"/>
  <c r="W1499" i="1" s="1"/>
  <c r="AA1498" i="1"/>
  <c r="AC1498" i="1" s="1"/>
  <c r="D1500" i="1" l="1"/>
  <c r="W1500" i="1" s="1" a="1"/>
  <c r="W1500" i="1" s="1"/>
  <c r="AA1499" i="1"/>
  <c r="AC1499" i="1" s="1"/>
  <c r="D1501" i="1" l="1"/>
  <c r="W1501" i="1" s="1" a="1"/>
  <c r="W1501" i="1" s="1"/>
  <c r="AA1500" i="1"/>
  <c r="AC1500" i="1" s="1"/>
  <c r="D1502" i="1" l="1"/>
  <c r="W1502" i="1" s="1" a="1"/>
  <c r="W1502" i="1" s="1"/>
  <c r="AA1501" i="1"/>
  <c r="AC1501" i="1" s="1"/>
  <c r="D1503" i="1" l="1"/>
  <c r="W1503" i="1" s="1" a="1"/>
  <c r="W1503" i="1" s="1"/>
  <c r="AA1502" i="1"/>
  <c r="AC1502" i="1" s="1"/>
  <c r="D1504" i="1" l="1"/>
  <c r="W1504" i="1" s="1" a="1"/>
  <c r="W1504" i="1" s="1"/>
  <c r="AA1503" i="1"/>
  <c r="AC1503" i="1" s="1"/>
  <c r="D1505" i="1" l="1"/>
  <c r="W1505" i="1" s="1" a="1"/>
  <c r="W1505" i="1" s="1"/>
  <c r="AA1504" i="1"/>
  <c r="AC1504" i="1" s="1"/>
  <c r="D1506" i="1" l="1"/>
  <c r="W1506" i="1" s="1" a="1"/>
  <c r="W1506" i="1" s="1"/>
  <c r="AA1505" i="1"/>
  <c r="AC1505" i="1" s="1"/>
  <c r="D1507" i="1" l="1"/>
  <c r="W1507" i="1" s="1" a="1"/>
  <c r="W1507" i="1" s="1"/>
  <c r="AA1506" i="1"/>
  <c r="AC1506" i="1" s="1"/>
  <c r="D1508" i="1" l="1"/>
  <c r="W1508" i="1" s="1" a="1"/>
  <c r="W1508" i="1" s="1"/>
  <c r="AA1507" i="1"/>
  <c r="AC1507" i="1" s="1"/>
  <c r="D1509" i="1" l="1"/>
  <c r="W1509" i="1" s="1" a="1"/>
  <c r="W1509" i="1" s="1"/>
  <c r="AA1508" i="1"/>
  <c r="AC1508" i="1" s="1"/>
  <c r="D1510" i="1" l="1"/>
  <c r="W1510" i="1" s="1" a="1"/>
  <c r="W1510" i="1" s="1"/>
  <c r="AA1509" i="1"/>
  <c r="AC1509" i="1" s="1"/>
  <c r="D1511" i="1" l="1"/>
  <c r="W1511" i="1" s="1" a="1"/>
  <c r="W1511" i="1" s="1"/>
  <c r="AA1510" i="1"/>
  <c r="AC1510" i="1" s="1"/>
  <c r="D1512" i="1" l="1"/>
  <c r="W1512" i="1" s="1" a="1"/>
  <c r="W1512" i="1" s="1"/>
  <c r="AA1511" i="1"/>
  <c r="AC1511" i="1" s="1"/>
  <c r="D1513" i="1" l="1"/>
  <c r="W1513" i="1" s="1" a="1"/>
  <c r="W1513" i="1" s="1"/>
  <c r="AA1512" i="1"/>
  <c r="AC1512" i="1" s="1"/>
  <c r="D1514" i="1" l="1"/>
  <c r="W1514" i="1" s="1" a="1"/>
  <c r="W1514" i="1" s="1"/>
  <c r="AA1513" i="1"/>
  <c r="AC1513" i="1" s="1"/>
  <c r="D1515" i="1" l="1"/>
  <c r="W1515" i="1" s="1" a="1"/>
  <c r="W1515" i="1" s="1"/>
  <c r="AA1514" i="1"/>
  <c r="AC1514" i="1" s="1"/>
  <c r="D1516" i="1" l="1"/>
  <c r="W1516" i="1" s="1" a="1"/>
  <c r="W1516" i="1" s="1"/>
  <c r="AA1515" i="1"/>
  <c r="AC1515" i="1" s="1"/>
  <c r="D1517" i="1" l="1"/>
  <c r="W1517" i="1" s="1" a="1"/>
  <c r="W1517" i="1" s="1"/>
  <c r="AA1516" i="1"/>
  <c r="AC1516" i="1" s="1"/>
  <c r="D1518" i="1" l="1"/>
  <c r="W1518" i="1" s="1" a="1"/>
  <c r="W1518" i="1" s="1"/>
  <c r="AA1517" i="1"/>
  <c r="AC1517" i="1" s="1"/>
  <c r="D1519" i="1" l="1"/>
  <c r="W1519" i="1" s="1" a="1"/>
  <c r="W1519" i="1" s="1"/>
  <c r="AA1518" i="1"/>
  <c r="AC1518" i="1" s="1"/>
  <c r="D1520" i="1" l="1"/>
  <c r="W1520" i="1" s="1" a="1"/>
  <c r="W1520" i="1" s="1"/>
  <c r="AA1519" i="1"/>
  <c r="AC1519" i="1" s="1"/>
  <c r="D1521" i="1" l="1"/>
  <c r="W1521" i="1" s="1" a="1"/>
  <c r="W1521" i="1" s="1"/>
  <c r="AA1520" i="1"/>
  <c r="AC1520" i="1" s="1"/>
  <c r="D1522" i="1" l="1"/>
  <c r="W1522" i="1" s="1" a="1"/>
  <c r="W1522" i="1" s="1"/>
  <c r="AA1521" i="1"/>
  <c r="AC1521" i="1" s="1"/>
  <c r="D1523" i="1" l="1"/>
  <c r="W1523" i="1" s="1" a="1"/>
  <c r="W1523" i="1" s="1"/>
  <c r="AA1522" i="1"/>
  <c r="AC1522" i="1" s="1"/>
  <c r="D1524" i="1" l="1"/>
  <c r="W1524" i="1" s="1" a="1"/>
  <c r="W1524" i="1" s="1"/>
  <c r="AA1523" i="1"/>
  <c r="AC1523" i="1" s="1"/>
  <c r="D1525" i="1" l="1"/>
  <c r="W1525" i="1" s="1" a="1"/>
  <c r="W1525" i="1" s="1"/>
  <c r="AA1524" i="1"/>
  <c r="AC1524" i="1" s="1"/>
  <c r="D1526" i="1" l="1"/>
  <c r="W1526" i="1" s="1" a="1"/>
  <c r="W1526" i="1" s="1"/>
  <c r="AA1525" i="1"/>
  <c r="AC1525" i="1" s="1"/>
  <c r="D1527" i="1" l="1"/>
  <c r="W1527" i="1" s="1" a="1"/>
  <c r="W1527" i="1" s="1"/>
  <c r="AA1526" i="1"/>
  <c r="AC1526" i="1" s="1"/>
  <c r="D1528" i="1" l="1"/>
  <c r="W1528" i="1" s="1" a="1"/>
  <c r="W1528" i="1" s="1"/>
  <c r="AA1527" i="1"/>
  <c r="AC1527" i="1" s="1"/>
  <c r="D1529" i="1" l="1"/>
  <c r="W1529" i="1" s="1" a="1"/>
  <c r="W1529" i="1" s="1"/>
  <c r="AA1528" i="1"/>
  <c r="AC1528" i="1" s="1"/>
  <c r="D1530" i="1" l="1"/>
  <c r="W1530" i="1" s="1" a="1"/>
  <c r="W1530" i="1" s="1"/>
  <c r="AA1529" i="1"/>
  <c r="AC1529" i="1" s="1"/>
  <c r="D1531" i="1" l="1"/>
  <c r="AA1530" i="1"/>
  <c r="AC1530" i="1" s="1"/>
  <c r="D1532" i="1" l="1"/>
  <c r="AA1531" i="1"/>
  <c r="AC1531" i="1" s="1"/>
  <c r="D1533" i="1" l="1"/>
  <c r="AA1532" i="1"/>
  <c r="AC1532" i="1" s="1"/>
  <c r="D1534" i="1" l="1"/>
  <c r="AA1533" i="1"/>
  <c r="AC1533" i="1" s="1"/>
  <c r="D1535" i="1" l="1"/>
  <c r="AA1534" i="1"/>
  <c r="AC1534" i="1" s="1"/>
  <c r="D1536" i="1" l="1"/>
  <c r="W1536" i="1" s="1" a="1"/>
  <c r="W1536" i="1" s="1"/>
  <c r="AA1535" i="1"/>
  <c r="AC1535" i="1" s="1"/>
  <c r="D1537" i="1" l="1"/>
  <c r="W1537" i="1" s="1" a="1"/>
  <c r="W1537" i="1" s="1"/>
  <c r="AA1536" i="1"/>
  <c r="AC1536" i="1" s="1"/>
  <c r="D1538" i="1" l="1"/>
  <c r="W1538" i="1" s="1" a="1"/>
  <c r="W1538" i="1" s="1"/>
  <c r="AA1537" i="1"/>
  <c r="AC1537" i="1" s="1"/>
  <c r="D1539" i="1" l="1"/>
  <c r="W1539" i="1" s="1" a="1"/>
  <c r="W1539" i="1" s="1"/>
  <c r="AA1538" i="1"/>
  <c r="AC1538" i="1" s="1"/>
  <c r="D1540" i="1" l="1"/>
  <c r="W1540" i="1" s="1" a="1"/>
  <c r="W1540" i="1" s="1"/>
  <c r="AA1539" i="1"/>
  <c r="AC1539" i="1" s="1"/>
  <c r="D1541" i="1" l="1"/>
  <c r="W1541" i="1" s="1" a="1"/>
  <c r="W1541" i="1" s="1"/>
  <c r="AA1540" i="1"/>
  <c r="AC1540" i="1" s="1"/>
  <c r="D1542" i="1" l="1"/>
  <c r="W1542" i="1" s="1" a="1"/>
  <c r="W1542" i="1" s="1"/>
  <c r="AA1541" i="1"/>
  <c r="AC1541" i="1" s="1"/>
  <c r="D1543" i="1" l="1"/>
  <c r="W1543" i="1" s="1" a="1"/>
  <c r="W1543" i="1" s="1"/>
  <c r="AA1542" i="1"/>
  <c r="AC1542" i="1" s="1"/>
  <c r="D1544" i="1" l="1"/>
  <c r="W1544" i="1" s="1" a="1"/>
  <c r="W1544" i="1" s="1"/>
  <c r="AA1543" i="1"/>
  <c r="AC1543" i="1" s="1"/>
  <c r="D1545" i="1" l="1"/>
  <c r="W1545" i="1" s="1" a="1"/>
  <c r="W1545" i="1" s="1"/>
  <c r="AA1544" i="1"/>
  <c r="AC1544" i="1" s="1"/>
  <c r="D1546" i="1" l="1"/>
  <c r="W1546" i="1" s="1" a="1"/>
  <c r="W1546" i="1" s="1"/>
  <c r="AA1545" i="1"/>
  <c r="AC1545" i="1" s="1"/>
  <c r="D1547" i="1" l="1"/>
  <c r="W1547" i="1" s="1" a="1"/>
  <c r="W1547" i="1" s="1"/>
  <c r="AA1546" i="1"/>
  <c r="AC1546" i="1" s="1"/>
  <c r="D1548" i="1" l="1"/>
  <c r="W1548" i="1" s="1" a="1"/>
  <c r="W1548" i="1" s="1"/>
  <c r="AA1547" i="1"/>
  <c r="AC1547" i="1" s="1"/>
  <c r="D1549" i="1" l="1"/>
  <c r="W1549" i="1" s="1" a="1"/>
  <c r="W1549" i="1" s="1"/>
  <c r="AA1548" i="1"/>
  <c r="AC1548" i="1" s="1"/>
  <c r="D1550" i="1" l="1"/>
  <c r="W1550" i="1" s="1" a="1"/>
  <c r="W1550" i="1" s="1"/>
  <c r="AA1549" i="1"/>
  <c r="AC1549" i="1" s="1"/>
  <c r="D1551" i="1" l="1"/>
  <c r="W1551" i="1" s="1" a="1"/>
  <c r="W1551" i="1" s="1"/>
  <c r="AA1550" i="1"/>
  <c r="AC1550" i="1" s="1"/>
  <c r="D1552" i="1" l="1"/>
  <c r="W1552" i="1" s="1" a="1"/>
  <c r="W1552" i="1" s="1"/>
  <c r="AA1551" i="1"/>
  <c r="AC1551" i="1" s="1"/>
  <c r="D1553" i="1" l="1"/>
  <c r="W1553" i="1" s="1" a="1"/>
  <c r="W1553" i="1" s="1"/>
  <c r="AA1552" i="1"/>
  <c r="AC1552" i="1" s="1"/>
  <c r="D1554" i="1" l="1"/>
  <c r="W1554" i="1" s="1" a="1"/>
  <c r="W1554" i="1" s="1"/>
  <c r="AA1553" i="1"/>
  <c r="AC1553" i="1" s="1"/>
  <c r="D1555" i="1" l="1"/>
  <c r="W1555" i="1" s="1" a="1"/>
  <c r="W1555" i="1" s="1"/>
  <c r="AA1554" i="1"/>
  <c r="AC1554" i="1" s="1"/>
  <c r="D1556" i="1" l="1"/>
  <c r="W1556" i="1" s="1" a="1"/>
  <c r="W1556" i="1" s="1"/>
  <c r="AA1555" i="1"/>
  <c r="AC1555" i="1" s="1"/>
  <c r="D1557" i="1" l="1"/>
  <c r="W1557" i="1" s="1" a="1"/>
  <c r="W1557" i="1" s="1"/>
  <c r="AA1556" i="1"/>
  <c r="AC1556" i="1" s="1"/>
  <c r="D1558" i="1" l="1"/>
  <c r="W1558" i="1" s="1" a="1"/>
  <c r="W1558" i="1" s="1"/>
  <c r="AA1557" i="1"/>
  <c r="AC1557" i="1" s="1"/>
  <c r="D1559" i="1" l="1"/>
  <c r="W1559" i="1" s="1" a="1"/>
  <c r="W1559" i="1" s="1"/>
  <c r="AA1558" i="1"/>
  <c r="AC1558" i="1" s="1"/>
  <c r="D1560" i="1" l="1"/>
  <c r="W1560" i="1" s="1" a="1"/>
  <c r="W1560" i="1" s="1"/>
  <c r="AA1559" i="1"/>
  <c r="AC1559" i="1" s="1"/>
  <c r="D1561" i="1" l="1"/>
  <c r="W1561" i="1" s="1" a="1"/>
  <c r="W1561" i="1" s="1"/>
  <c r="AA1560" i="1"/>
  <c r="AC1560" i="1" s="1"/>
  <c r="D1562" i="1" l="1"/>
  <c r="W1562" i="1" s="1" a="1"/>
  <c r="W1562" i="1" s="1"/>
  <c r="AA1561" i="1"/>
  <c r="AC1561" i="1" s="1"/>
  <c r="D1563" i="1" l="1"/>
  <c r="W1563" i="1" s="1" a="1"/>
  <c r="W1563" i="1" s="1"/>
  <c r="AA1562" i="1"/>
  <c r="AC1562" i="1" s="1"/>
  <c r="D1564" i="1" l="1"/>
  <c r="W1564" i="1" s="1" a="1"/>
  <c r="W1564" i="1" s="1"/>
  <c r="AA1563" i="1"/>
  <c r="AC1563" i="1" s="1"/>
  <c r="D1565" i="1" l="1"/>
  <c r="W1565" i="1" s="1" a="1"/>
  <c r="W1565" i="1" s="1"/>
  <c r="AA1564" i="1"/>
  <c r="AC1564" i="1" s="1"/>
  <c r="D1566" i="1" l="1"/>
  <c r="W1566" i="1" s="1" a="1"/>
  <c r="W1566" i="1" s="1"/>
  <c r="AA1565" i="1"/>
  <c r="AC1565" i="1" s="1"/>
  <c r="D1567" i="1" l="1"/>
  <c r="W1567" i="1" s="1" a="1"/>
  <c r="W1567" i="1" s="1"/>
  <c r="AA1566" i="1"/>
  <c r="AC1566" i="1" s="1"/>
  <c r="D1568" i="1" l="1"/>
  <c r="W1568" i="1" s="1" a="1"/>
  <c r="W1568" i="1" s="1"/>
  <c r="AA1567" i="1"/>
  <c r="AC1567" i="1" s="1"/>
  <c r="D1569" i="1" l="1"/>
  <c r="W1569" i="1" s="1" a="1"/>
  <c r="W1569" i="1" s="1"/>
  <c r="AA1568" i="1"/>
  <c r="AC1568" i="1" s="1"/>
  <c r="D1570" i="1" l="1"/>
  <c r="W1570" i="1" s="1" a="1"/>
  <c r="W1570" i="1" s="1"/>
  <c r="AA1569" i="1"/>
  <c r="AC1569" i="1" s="1"/>
  <c r="D1571" i="1" l="1"/>
  <c r="W1571" i="1" s="1" a="1"/>
  <c r="W1571" i="1" s="1"/>
  <c r="AA1570" i="1"/>
  <c r="AC1570" i="1" s="1"/>
  <c r="D1572" i="1" l="1"/>
  <c r="W1572" i="1" s="1" a="1"/>
  <c r="W1572" i="1" s="1"/>
  <c r="AA1571" i="1"/>
  <c r="AC1571" i="1" s="1"/>
  <c r="D1573" i="1" l="1"/>
  <c r="W1573" i="1" s="1" a="1"/>
  <c r="W1573" i="1" s="1"/>
  <c r="AA1572" i="1"/>
  <c r="AC1572" i="1" s="1"/>
  <c r="D1574" i="1" l="1"/>
  <c r="W1574" i="1" s="1" a="1"/>
  <c r="W1574" i="1" s="1"/>
  <c r="AA1573" i="1"/>
  <c r="AC1573" i="1" s="1"/>
  <c r="D1575" i="1" l="1"/>
  <c r="W1575" i="1" s="1" a="1"/>
  <c r="W1575" i="1" s="1"/>
  <c r="AA1574" i="1"/>
  <c r="AC1574" i="1" s="1"/>
  <c r="D1576" i="1" l="1"/>
  <c r="W1576" i="1" s="1" a="1"/>
  <c r="W1576" i="1" s="1"/>
  <c r="AA1575" i="1"/>
  <c r="AC1575" i="1" s="1"/>
  <c r="D1577" i="1" l="1"/>
  <c r="W1577" i="1" s="1" a="1"/>
  <c r="W1577" i="1" s="1"/>
  <c r="AA1576" i="1"/>
  <c r="AC1576" i="1" s="1"/>
  <c r="D1578" i="1" l="1"/>
  <c r="W1578" i="1" s="1" a="1"/>
  <c r="W1578" i="1" s="1"/>
  <c r="AA1577" i="1"/>
  <c r="AC1577" i="1" s="1"/>
  <c r="D1579" i="1" l="1"/>
  <c r="W1579" i="1" s="1" a="1"/>
  <c r="W1579" i="1" s="1"/>
  <c r="AA1578" i="1"/>
  <c r="AC1578" i="1" s="1"/>
  <c r="D1580" i="1" l="1"/>
  <c r="W1580" i="1" s="1" a="1"/>
  <c r="W1580" i="1" s="1"/>
  <c r="AA1579" i="1"/>
  <c r="AC1579" i="1" s="1"/>
  <c r="D1581" i="1" l="1"/>
  <c r="W1581" i="1" s="1" a="1"/>
  <c r="W1581" i="1" s="1"/>
  <c r="AA1580" i="1"/>
  <c r="AC1580" i="1" s="1"/>
  <c r="D1582" i="1" l="1"/>
  <c r="W1582" i="1" s="1" a="1"/>
  <c r="W1582" i="1" s="1"/>
  <c r="AA1581" i="1"/>
  <c r="AC1581" i="1" s="1"/>
  <c r="D1583" i="1" l="1"/>
  <c r="W1583" i="1" s="1" a="1"/>
  <c r="W1583" i="1" s="1"/>
  <c r="AA1582" i="1"/>
  <c r="AC1582" i="1" s="1"/>
  <c r="D1584" i="1" l="1"/>
  <c r="W1584" i="1" s="1" a="1"/>
  <c r="W1584" i="1" s="1"/>
  <c r="AA1583" i="1"/>
  <c r="AC1583" i="1" s="1"/>
  <c r="D1585" i="1" l="1"/>
  <c r="W1585" i="1" s="1" a="1"/>
  <c r="W1585" i="1" s="1"/>
  <c r="AA1584" i="1"/>
  <c r="AC1584" i="1" s="1"/>
  <c r="D1586" i="1" l="1"/>
  <c r="W1586" i="1" s="1" a="1"/>
  <c r="W1586" i="1" s="1"/>
  <c r="AA1585" i="1"/>
  <c r="AC1585" i="1" s="1"/>
  <c r="D1587" i="1" l="1"/>
  <c r="W1587" i="1" s="1" a="1"/>
  <c r="W1587" i="1" s="1"/>
  <c r="AA1586" i="1"/>
  <c r="AC1586" i="1" s="1"/>
  <c r="D1588" i="1" l="1"/>
  <c r="W1588" i="1" s="1" a="1"/>
  <c r="W1588" i="1" s="1"/>
  <c r="AA1587" i="1"/>
  <c r="AC1587" i="1" s="1"/>
  <c r="D1589" i="1" l="1"/>
  <c r="W1589" i="1" s="1" a="1"/>
  <c r="W1589" i="1" s="1"/>
  <c r="AA1588" i="1"/>
  <c r="AC1588" i="1" s="1"/>
  <c r="D1590" i="1" l="1"/>
  <c r="W1590" i="1" s="1" a="1"/>
  <c r="W1590" i="1" s="1"/>
  <c r="AA1589" i="1"/>
  <c r="AC1589" i="1" s="1"/>
  <c r="D1591" i="1" l="1"/>
  <c r="W1591" i="1" s="1" a="1"/>
  <c r="W1591" i="1" s="1"/>
  <c r="AA1590" i="1"/>
  <c r="AC1590" i="1" s="1"/>
  <c r="D1592" i="1" l="1"/>
  <c r="W1592" i="1" s="1" a="1"/>
  <c r="W1592" i="1" s="1"/>
  <c r="AA1591" i="1"/>
  <c r="AC1591" i="1" s="1"/>
  <c r="D1593" i="1" l="1"/>
  <c r="W1593" i="1" s="1" a="1"/>
  <c r="W1593" i="1" s="1"/>
  <c r="AA1592" i="1"/>
  <c r="AC1592" i="1" s="1"/>
  <c r="D1594" i="1" l="1"/>
  <c r="W1594" i="1" s="1" a="1"/>
  <c r="W1594" i="1" s="1"/>
  <c r="AA1593" i="1"/>
  <c r="AC1593" i="1" s="1"/>
  <c r="D1595" i="1" l="1"/>
  <c r="W1595" i="1" s="1" a="1"/>
  <c r="W1595" i="1" s="1"/>
  <c r="AA1594" i="1"/>
  <c r="AC1594" i="1" s="1"/>
  <c r="D1596" i="1" l="1"/>
  <c r="W1596" i="1" s="1" a="1"/>
  <c r="W1596" i="1" s="1"/>
  <c r="AA1595" i="1"/>
  <c r="AC1595" i="1" s="1"/>
  <c r="D1597" i="1" l="1"/>
  <c r="W1597" i="1" s="1" a="1"/>
  <c r="W1597" i="1" s="1"/>
  <c r="AA1596" i="1"/>
  <c r="AC1596" i="1" s="1"/>
  <c r="D1598" i="1" l="1"/>
  <c r="W1598" i="1" s="1" a="1"/>
  <c r="W1598" i="1" s="1"/>
  <c r="AA1597" i="1"/>
  <c r="AC1597" i="1" s="1"/>
  <c r="D1599" i="1" l="1"/>
  <c r="W1599" i="1" s="1" a="1"/>
  <c r="W1599" i="1" s="1"/>
  <c r="AA1598" i="1"/>
  <c r="AC1598" i="1" s="1"/>
  <c r="D1600" i="1" l="1"/>
  <c r="W1600" i="1" s="1" a="1"/>
  <c r="W1600" i="1" s="1"/>
  <c r="AA1599" i="1"/>
  <c r="AC1599" i="1" s="1"/>
  <c r="D1601" i="1" l="1"/>
  <c r="W1601" i="1" s="1" a="1"/>
  <c r="W1601" i="1" s="1"/>
  <c r="AA1600" i="1"/>
  <c r="AC1600" i="1" s="1"/>
  <c r="D1602" i="1" l="1"/>
  <c r="W1602" i="1" s="1" a="1"/>
  <c r="W1602" i="1" s="1"/>
  <c r="AA1601" i="1"/>
  <c r="AC1601" i="1" s="1"/>
  <c r="D1603" i="1" l="1"/>
  <c r="W1603" i="1" s="1" a="1"/>
  <c r="W1603" i="1" s="1"/>
  <c r="AA1602" i="1"/>
  <c r="AC1602" i="1" s="1"/>
  <c r="D1604" i="1" l="1"/>
  <c r="W1604" i="1" s="1" a="1"/>
  <c r="W1604" i="1" s="1"/>
  <c r="AA1603" i="1"/>
  <c r="AC1603" i="1" s="1"/>
  <c r="D1605" i="1" l="1"/>
  <c r="W1605" i="1" s="1" a="1"/>
  <c r="W1605" i="1" s="1"/>
  <c r="AA1604" i="1"/>
  <c r="AC1604" i="1" s="1"/>
  <c r="D1606" i="1" l="1"/>
  <c r="W1606" i="1" s="1" a="1"/>
  <c r="W1606" i="1" s="1"/>
  <c r="AA1605" i="1"/>
  <c r="AC1605" i="1" s="1"/>
  <c r="D1607" i="1" l="1"/>
  <c r="W1607" i="1" s="1" a="1"/>
  <c r="W1607" i="1" s="1"/>
  <c r="AA1606" i="1"/>
  <c r="AC1606" i="1" s="1"/>
  <c r="D1608" i="1" l="1"/>
  <c r="W1608" i="1" s="1" a="1"/>
  <c r="W1608" i="1" s="1"/>
  <c r="AA1607" i="1"/>
  <c r="AC1607" i="1" s="1"/>
  <c r="D1609" i="1" l="1"/>
  <c r="W1609" i="1" s="1" a="1"/>
  <c r="W1609" i="1" s="1"/>
  <c r="AA1608" i="1"/>
  <c r="AC1608" i="1" s="1"/>
  <c r="D1610" i="1" l="1"/>
  <c r="W1610" i="1" s="1" a="1"/>
  <c r="W1610" i="1" s="1"/>
  <c r="AA1609" i="1"/>
  <c r="AC1609" i="1" s="1"/>
  <c r="D1611" i="1" l="1"/>
  <c r="W1611" i="1" s="1" a="1"/>
  <c r="W1611" i="1" s="1"/>
  <c r="AA1610" i="1"/>
  <c r="AC1610" i="1" s="1"/>
  <c r="D1612" i="1" l="1"/>
  <c r="W1612" i="1" s="1" a="1"/>
  <c r="W1612" i="1" s="1"/>
  <c r="AA1611" i="1"/>
  <c r="AC1611" i="1" s="1"/>
  <c r="D1613" i="1" l="1"/>
  <c r="W1613" i="1" s="1" a="1"/>
  <c r="W1613" i="1" s="1"/>
  <c r="AA1612" i="1"/>
  <c r="AC1612" i="1" s="1"/>
  <c r="D1614" i="1" l="1"/>
  <c r="AA1613" i="1"/>
  <c r="AC1613" i="1" s="1"/>
  <c r="D1615" i="1" l="1"/>
  <c r="W1615" i="1" s="1" a="1"/>
  <c r="W1615" i="1" s="1"/>
  <c r="AA1614" i="1"/>
  <c r="AC1614" i="1" s="1"/>
  <c r="D1616" i="1" l="1"/>
  <c r="W1616" i="1" s="1" a="1"/>
  <c r="W1616" i="1" s="1"/>
  <c r="AA1615" i="1"/>
  <c r="AC1615" i="1" s="1"/>
  <c r="D1617" i="1" l="1"/>
  <c r="W1617" i="1" s="1" a="1"/>
  <c r="W1617" i="1" s="1"/>
  <c r="AA1616" i="1"/>
  <c r="AC1616" i="1" s="1"/>
  <c r="D1618" i="1" l="1"/>
  <c r="W1618" i="1" s="1" a="1"/>
  <c r="W1618" i="1" s="1"/>
  <c r="AA1617" i="1"/>
  <c r="AC1617" i="1" s="1"/>
  <c r="D1619" i="1" l="1"/>
  <c r="W1619" i="1" s="1" a="1"/>
  <c r="W1619" i="1" s="1"/>
  <c r="AA1618" i="1"/>
  <c r="AC1618" i="1" s="1"/>
  <c r="D1620" i="1" l="1"/>
  <c r="W1620" i="1" s="1" a="1"/>
  <c r="W1620" i="1" s="1"/>
  <c r="AA1619" i="1"/>
  <c r="AC1619" i="1" s="1"/>
  <c r="D1621" i="1" l="1"/>
  <c r="W1621" i="1" s="1" a="1"/>
  <c r="W1621" i="1" s="1"/>
  <c r="AA1620" i="1"/>
  <c r="AC1620" i="1" s="1"/>
  <c r="D1622" i="1" l="1"/>
  <c r="W1622" i="1" s="1" a="1"/>
  <c r="W1622" i="1" s="1"/>
  <c r="AA1621" i="1"/>
  <c r="AC1621" i="1" s="1"/>
  <c r="D1623" i="1" l="1"/>
  <c r="W1623" i="1" s="1" a="1"/>
  <c r="W1623" i="1" s="1"/>
  <c r="AA1622" i="1"/>
  <c r="AC1622" i="1" s="1"/>
  <c r="D1624" i="1" l="1"/>
  <c r="AA1623" i="1"/>
  <c r="AC1623" i="1" s="1"/>
  <c r="W1624" i="1" l="1" a="1"/>
  <c r="W1624" i="1" s="1"/>
  <c r="D1625" i="1"/>
  <c r="W1625" i="1" s="1" a="1"/>
  <c r="W1625" i="1" s="1"/>
  <c r="AA1624" i="1"/>
  <c r="AC1624" i="1" s="1"/>
  <c r="D1626" i="1" l="1"/>
  <c r="W1626" i="1" s="1" a="1"/>
  <c r="W1626" i="1" s="1"/>
  <c r="AA1625" i="1"/>
  <c r="AC1625" i="1" s="1"/>
  <c r="D1627" i="1" l="1"/>
  <c r="W1627" i="1" s="1" a="1"/>
  <c r="W1627" i="1" s="1"/>
  <c r="AA1626" i="1"/>
  <c r="AC1626" i="1" s="1"/>
  <c r="D1628" i="1" l="1"/>
  <c r="W1628" i="1" s="1" a="1"/>
  <c r="W1628" i="1" s="1"/>
  <c r="AA1627" i="1"/>
  <c r="AC1627" i="1" s="1"/>
  <c r="D1629" i="1" l="1"/>
  <c r="W1629" i="1" s="1" a="1"/>
  <c r="W1629" i="1" s="1"/>
  <c r="AA1628" i="1"/>
  <c r="AC1628" i="1" s="1"/>
  <c r="D1630" i="1" l="1"/>
  <c r="W1630" i="1" s="1" a="1"/>
  <c r="W1630" i="1" s="1"/>
  <c r="AA1629" i="1"/>
  <c r="AC1629" i="1" s="1"/>
  <c r="D1631" i="1" l="1"/>
  <c r="W1631" i="1" s="1" a="1"/>
  <c r="W1631" i="1" s="1"/>
  <c r="AA1630" i="1"/>
  <c r="AC1630" i="1" s="1"/>
  <c r="D1632" i="1" l="1"/>
  <c r="W1632" i="1" s="1" a="1"/>
  <c r="W1632" i="1" s="1"/>
  <c r="AA1631" i="1"/>
  <c r="AC1631" i="1" s="1"/>
  <c r="D1633" i="1" l="1"/>
  <c r="W1633" i="1" s="1" a="1"/>
  <c r="W1633" i="1" s="1"/>
  <c r="AA1632" i="1"/>
  <c r="AC1632" i="1" s="1"/>
  <c r="D1634" i="1" l="1"/>
  <c r="W1634" i="1" s="1" a="1"/>
  <c r="W1634" i="1" s="1"/>
  <c r="AA1633" i="1"/>
  <c r="AC1633" i="1" s="1"/>
  <c r="D1635" i="1" l="1"/>
  <c r="W1635" i="1" s="1" a="1"/>
  <c r="W1635" i="1" s="1"/>
  <c r="AA1634" i="1"/>
  <c r="AC1634" i="1" s="1"/>
  <c r="D1636" i="1" l="1"/>
  <c r="W1636" i="1" s="1" a="1"/>
  <c r="W1636" i="1" s="1"/>
  <c r="AA1635" i="1"/>
  <c r="AC1635" i="1" s="1"/>
  <c r="D1637" i="1" l="1"/>
  <c r="W1637" i="1" s="1" a="1"/>
  <c r="W1637" i="1" s="1"/>
  <c r="AA1636" i="1"/>
  <c r="AC1636" i="1" s="1"/>
  <c r="D1638" i="1" l="1"/>
  <c r="W1638" i="1" s="1" a="1"/>
  <c r="W1638" i="1" s="1"/>
  <c r="AA1637" i="1"/>
  <c r="AC1637" i="1" s="1"/>
  <c r="D1639" i="1" l="1"/>
  <c r="W1639" i="1" s="1" a="1"/>
  <c r="W1639" i="1" s="1"/>
  <c r="AA1638" i="1"/>
  <c r="AC1638" i="1" s="1"/>
  <c r="D1640" i="1" l="1"/>
  <c r="W1640" i="1" s="1" a="1"/>
  <c r="W1640" i="1" s="1"/>
  <c r="AA1639" i="1"/>
  <c r="AC1639" i="1" s="1"/>
  <c r="D1641" i="1" l="1"/>
  <c r="AA1640" i="1"/>
  <c r="AC1640" i="1" s="1"/>
  <c r="D1642" i="1" l="1"/>
  <c r="AA1641" i="1"/>
  <c r="AC1641" i="1" s="1"/>
  <c r="D1643" i="1" l="1"/>
  <c r="W1643" i="1" s="1" a="1"/>
  <c r="W1643" i="1" s="1"/>
  <c r="AA1642" i="1"/>
  <c r="AC1642" i="1" s="1"/>
  <c r="D1644" i="1" l="1"/>
  <c r="W1644" i="1" s="1" a="1"/>
  <c r="W1644" i="1" s="1"/>
  <c r="AA1643" i="1"/>
  <c r="AC1643" i="1" s="1"/>
  <c r="D1645" i="1" l="1"/>
  <c r="W1645" i="1" s="1" a="1"/>
  <c r="W1645" i="1" s="1"/>
  <c r="AA1644" i="1"/>
  <c r="AC1644" i="1" s="1"/>
  <c r="D1646" i="1" l="1"/>
  <c r="W1646" i="1" s="1" a="1"/>
  <c r="W1646" i="1" s="1"/>
  <c r="AA1645" i="1"/>
  <c r="AC1645" i="1" s="1"/>
  <c r="D1647" i="1" l="1"/>
  <c r="W1647" i="1" s="1" a="1"/>
  <c r="W1647" i="1" s="1"/>
  <c r="AA1646" i="1"/>
  <c r="AC1646" i="1" s="1"/>
  <c r="D1648" i="1" l="1"/>
  <c r="W1648" i="1" s="1" a="1"/>
  <c r="W1648" i="1" s="1"/>
  <c r="AA1647" i="1"/>
  <c r="AC1647" i="1" s="1"/>
  <c r="D1649" i="1" l="1"/>
  <c r="W1649" i="1" s="1" a="1"/>
  <c r="W1649" i="1" s="1"/>
  <c r="AA1648" i="1"/>
  <c r="AC1648" i="1" s="1"/>
  <c r="D1650" i="1" l="1"/>
  <c r="W1650" i="1" s="1" a="1"/>
  <c r="W1650" i="1" s="1"/>
  <c r="AA1649" i="1"/>
  <c r="AC1649" i="1" s="1"/>
  <c r="D1651" i="1" l="1"/>
  <c r="W1651" i="1" s="1" a="1"/>
  <c r="W1651" i="1" s="1"/>
  <c r="AA1650" i="1"/>
  <c r="AC1650" i="1" s="1"/>
  <c r="D1652" i="1" l="1"/>
  <c r="W1652" i="1" s="1" a="1"/>
  <c r="W1652" i="1" s="1"/>
  <c r="AA1651" i="1"/>
  <c r="AC1651" i="1" s="1"/>
  <c r="D1653" i="1" l="1"/>
  <c r="W1653" i="1" s="1" a="1"/>
  <c r="W1653" i="1" s="1"/>
  <c r="AA1652" i="1"/>
  <c r="AC1652" i="1" s="1"/>
  <c r="D1654" i="1" l="1"/>
  <c r="W1654" i="1" s="1" a="1"/>
  <c r="W1654" i="1" s="1"/>
  <c r="AA1653" i="1"/>
  <c r="AC1653" i="1" s="1"/>
  <c r="D1655" i="1" l="1"/>
  <c r="W1655" i="1" s="1" a="1"/>
  <c r="W1655" i="1" s="1"/>
  <c r="AA1654" i="1"/>
  <c r="AC1654" i="1" s="1"/>
  <c r="D1656" i="1" l="1"/>
  <c r="W1656" i="1" s="1" a="1"/>
  <c r="W1656" i="1" s="1"/>
  <c r="AA1655" i="1"/>
  <c r="AC1655" i="1" s="1"/>
  <c r="D1657" i="1" l="1"/>
  <c r="W1657" i="1" s="1" a="1"/>
  <c r="W1657" i="1" s="1"/>
  <c r="AA1656" i="1"/>
  <c r="AC1656" i="1" s="1"/>
  <c r="D1658" i="1" l="1"/>
  <c r="W1658" i="1" s="1" a="1"/>
  <c r="W1658" i="1" s="1"/>
  <c r="AA1657" i="1"/>
  <c r="AC1657" i="1" s="1"/>
  <c r="D1659" i="1" l="1"/>
  <c r="W1659" i="1" s="1" a="1"/>
  <c r="W1659" i="1" s="1"/>
  <c r="AA1658" i="1"/>
  <c r="AC1658" i="1" s="1"/>
  <c r="D1660" i="1" l="1"/>
  <c r="W1660" i="1" s="1" a="1"/>
  <c r="W1660" i="1" s="1"/>
  <c r="AA1659" i="1"/>
  <c r="AC1659" i="1" s="1"/>
  <c r="D1661" i="1" l="1"/>
  <c r="W1661" i="1" s="1" a="1"/>
  <c r="W1661" i="1" s="1"/>
  <c r="AA1660" i="1"/>
  <c r="AC1660" i="1" s="1"/>
  <c r="D1662" i="1" l="1"/>
  <c r="W1662" i="1" s="1" a="1"/>
  <c r="W1662" i="1" s="1"/>
  <c r="AA1661" i="1"/>
  <c r="AC1661" i="1" s="1"/>
  <c r="D1663" i="1" l="1"/>
  <c r="W1663" i="1" s="1" a="1"/>
  <c r="W1663" i="1" s="1"/>
  <c r="AA1662" i="1"/>
  <c r="AC1662" i="1" s="1"/>
  <c r="D1664" i="1" l="1"/>
  <c r="W1664" i="1" s="1" a="1"/>
  <c r="W1664" i="1" s="1"/>
  <c r="AA1663" i="1"/>
  <c r="AC1663" i="1" s="1"/>
  <c r="D1665" i="1" l="1"/>
  <c r="W1665" i="1" s="1" a="1"/>
  <c r="W1665" i="1" s="1"/>
  <c r="AA1664" i="1"/>
  <c r="AC1664" i="1" s="1"/>
  <c r="D1666" i="1" l="1"/>
  <c r="W1666" i="1" s="1" a="1"/>
  <c r="W1666" i="1" s="1"/>
  <c r="AA1665" i="1"/>
  <c r="AC1665" i="1" s="1"/>
  <c r="D1667" i="1" l="1"/>
  <c r="W1667" i="1" s="1" a="1"/>
  <c r="W1667" i="1" s="1"/>
  <c r="AA1666" i="1"/>
  <c r="AC1666" i="1" s="1"/>
  <c r="D1668" i="1" l="1"/>
  <c r="W1668" i="1" s="1" a="1"/>
  <c r="W1668" i="1" s="1"/>
  <c r="AA1667" i="1"/>
  <c r="AC1667" i="1" s="1"/>
  <c r="D1669" i="1" l="1"/>
  <c r="W1669" i="1" s="1" a="1"/>
  <c r="W1669" i="1" s="1"/>
  <c r="AA1668" i="1"/>
  <c r="AC1668" i="1" s="1"/>
  <c r="D1670" i="1" l="1"/>
  <c r="W1670" i="1" s="1" a="1"/>
  <c r="W1670" i="1" s="1"/>
  <c r="AA1669" i="1"/>
  <c r="AC1669" i="1" s="1"/>
  <c r="D1671" i="1" l="1"/>
  <c r="W1671" i="1" s="1" a="1"/>
  <c r="W1671" i="1" s="1"/>
  <c r="AA1670" i="1"/>
  <c r="AC1670" i="1" s="1"/>
  <c r="D1672" i="1" l="1"/>
  <c r="W1672" i="1" s="1" a="1"/>
  <c r="W1672" i="1" s="1"/>
  <c r="AA1671" i="1"/>
  <c r="AC1671" i="1" s="1"/>
  <c r="D1673" i="1" l="1"/>
  <c r="W1673" i="1" s="1" a="1"/>
  <c r="W1673" i="1" s="1"/>
  <c r="AA1672" i="1"/>
  <c r="AC1672" i="1" s="1"/>
  <c r="D1674" i="1" l="1"/>
  <c r="W1674" i="1" s="1" a="1"/>
  <c r="W1674" i="1" s="1"/>
  <c r="AA1673" i="1"/>
  <c r="AC1673" i="1" s="1"/>
  <c r="D1675" i="1" l="1"/>
  <c r="W1675" i="1" s="1" a="1"/>
  <c r="W1675" i="1" s="1"/>
  <c r="AA1674" i="1"/>
  <c r="AC1674" i="1" s="1"/>
  <c r="D1676" i="1" l="1"/>
  <c r="W1676" i="1" s="1" a="1"/>
  <c r="W1676" i="1" s="1"/>
  <c r="AA1675" i="1"/>
  <c r="AC1675" i="1" s="1"/>
  <c r="D1677" i="1" l="1"/>
  <c r="W1677" i="1" s="1" a="1"/>
  <c r="W1677" i="1" s="1"/>
  <c r="AA1676" i="1"/>
  <c r="AC1676" i="1" s="1"/>
  <c r="D1678" i="1" l="1"/>
  <c r="W1678" i="1" s="1" a="1"/>
  <c r="W1678" i="1" s="1"/>
  <c r="AA1677" i="1"/>
  <c r="AC1677" i="1" s="1"/>
  <c r="D1679" i="1" l="1"/>
  <c r="W1679" i="1" s="1" a="1"/>
  <c r="W1679" i="1" s="1"/>
  <c r="AA1678" i="1"/>
  <c r="AC1678" i="1" s="1"/>
  <c r="D1680" i="1" l="1"/>
  <c r="W1680" i="1" s="1" a="1"/>
  <c r="W1680" i="1" s="1"/>
  <c r="AA1679" i="1"/>
  <c r="AC1679" i="1" s="1"/>
  <c r="D1681" i="1" l="1"/>
  <c r="W1681" i="1" s="1" a="1"/>
  <c r="W1681" i="1" s="1"/>
  <c r="AA1680" i="1"/>
  <c r="AC1680" i="1" s="1"/>
  <c r="D1682" i="1" l="1"/>
  <c r="W1682" i="1" s="1" a="1"/>
  <c r="W1682" i="1" s="1"/>
  <c r="AA1681" i="1"/>
  <c r="AC1681" i="1" s="1"/>
  <c r="D1683" i="1" l="1"/>
  <c r="W1683" i="1" s="1" a="1"/>
  <c r="W1683" i="1" s="1"/>
  <c r="AA1682" i="1"/>
  <c r="AC1682" i="1" s="1"/>
  <c r="D1684" i="1" l="1"/>
  <c r="W1684" i="1" s="1" a="1"/>
  <c r="W1684" i="1" s="1"/>
  <c r="AA1683" i="1"/>
  <c r="AC1683" i="1" s="1"/>
  <c r="D1685" i="1" l="1"/>
  <c r="W1685" i="1" s="1" a="1"/>
  <c r="W1685" i="1" s="1"/>
  <c r="AA1684" i="1"/>
  <c r="AC1684" i="1" s="1"/>
  <c r="D1686" i="1" l="1"/>
  <c r="W1686" i="1" s="1" a="1"/>
  <c r="W1686" i="1" s="1"/>
  <c r="AA1685" i="1"/>
  <c r="AC1685" i="1" s="1"/>
  <c r="D1687" i="1" l="1"/>
  <c r="W1687" i="1" s="1" a="1"/>
  <c r="W1687" i="1" s="1"/>
  <c r="AA1686" i="1"/>
  <c r="AC1686" i="1" s="1"/>
  <c r="D1688" i="1" l="1"/>
  <c r="W1688" i="1" s="1" a="1"/>
  <c r="W1688" i="1" s="1"/>
  <c r="AA1687" i="1"/>
  <c r="AC1687" i="1" s="1"/>
  <c r="D1689" i="1" l="1"/>
  <c r="AA1688" i="1"/>
  <c r="AC1688" i="1" s="1"/>
  <c r="D1690" i="1" l="1"/>
  <c r="W1690" i="1" s="1" a="1"/>
  <c r="W1690" i="1" s="1"/>
  <c r="AA1689" i="1"/>
  <c r="AC1689" i="1" s="1"/>
  <c r="D1691" i="1" l="1"/>
  <c r="W1691" i="1" s="1" a="1"/>
  <c r="W1691" i="1" s="1"/>
  <c r="AA1690" i="1"/>
  <c r="AC1690" i="1" s="1"/>
  <c r="D1692" i="1" l="1"/>
  <c r="W1692" i="1" s="1" a="1"/>
  <c r="W1692" i="1" s="1"/>
  <c r="AA1691" i="1"/>
  <c r="AC1691" i="1" s="1"/>
  <c r="D1693" i="1" l="1"/>
  <c r="W1693" i="1" s="1" a="1"/>
  <c r="W1693" i="1" s="1"/>
  <c r="AA1692" i="1"/>
  <c r="AC1692" i="1" s="1"/>
  <c r="D1694" i="1" l="1"/>
  <c r="W1694" i="1" s="1" a="1"/>
  <c r="W1694" i="1" s="1"/>
  <c r="AA1693" i="1"/>
  <c r="AC1693" i="1" s="1"/>
  <c r="D1695" i="1" l="1"/>
  <c r="W1695" i="1" s="1" a="1"/>
  <c r="W1695" i="1" s="1"/>
  <c r="AA1694" i="1"/>
  <c r="AC1694" i="1" s="1"/>
  <c r="D1696" i="1" l="1"/>
  <c r="W1696" i="1" s="1" a="1"/>
  <c r="W1696" i="1" s="1"/>
  <c r="AA1695" i="1"/>
  <c r="AC1695" i="1" s="1"/>
  <c r="D1697" i="1" l="1"/>
  <c r="W1697" i="1" s="1" a="1"/>
  <c r="W1697" i="1" s="1"/>
  <c r="AA1696" i="1"/>
  <c r="AC1696" i="1" s="1"/>
  <c r="D1698" i="1" l="1"/>
  <c r="W1698" i="1" s="1" a="1"/>
  <c r="W1698" i="1" s="1"/>
  <c r="AA1697" i="1"/>
  <c r="AC1697" i="1" s="1"/>
  <c r="D1699" i="1" l="1"/>
  <c r="W1699" i="1" s="1" a="1"/>
  <c r="W1699" i="1" s="1"/>
  <c r="AA1698" i="1"/>
  <c r="AC1698" i="1" s="1"/>
  <c r="D1700" i="1" l="1"/>
  <c r="W1700" i="1" s="1" a="1"/>
  <c r="W1700" i="1" s="1"/>
  <c r="AA1699" i="1"/>
  <c r="AC1699" i="1" s="1"/>
  <c r="D1701" i="1" l="1"/>
  <c r="W1701" i="1" s="1" a="1"/>
  <c r="W1701" i="1" s="1"/>
  <c r="AA1700" i="1"/>
  <c r="AC1700" i="1" s="1"/>
  <c r="D1702" i="1" l="1"/>
  <c r="W1702" i="1" s="1" a="1"/>
  <c r="W1702" i="1" s="1"/>
  <c r="AA1701" i="1"/>
  <c r="AC1701" i="1" s="1"/>
  <c r="D1703" i="1" l="1"/>
  <c r="W1703" i="1" s="1" a="1"/>
  <c r="W1703" i="1" s="1"/>
  <c r="AA1702" i="1"/>
  <c r="AC1702" i="1" s="1"/>
  <c r="D1704" i="1" l="1"/>
  <c r="W1704" i="1" s="1" a="1"/>
  <c r="W1704" i="1" s="1"/>
  <c r="AA1703" i="1"/>
  <c r="AC1703" i="1" s="1"/>
  <c r="D1705" i="1" l="1"/>
  <c r="W1705" i="1" s="1" a="1"/>
  <c r="W1705" i="1" s="1"/>
  <c r="AA1704" i="1"/>
  <c r="AC1704" i="1" s="1"/>
  <c r="D1706" i="1" l="1"/>
  <c r="W1706" i="1" s="1" a="1"/>
  <c r="W1706" i="1" s="1"/>
  <c r="AA1705" i="1"/>
  <c r="AC1705" i="1" s="1"/>
  <c r="D1707" i="1" l="1"/>
  <c r="W1707" i="1" s="1" a="1"/>
  <c r="W1707" i="1" s="1"/>
  <c r="AA1706" i="1"/>
  <c r="AC1706" i="1" s="1"/>
  <c r="D1708" i="1" l="1"/>
  <c r="W1708" i="1" s="1" a="1"/>
  <c r="W1708" i="1" s="1"/>
  <c r="AA1707" i="1"/>
  <c r="AC1707" i="1" s="1"/>
  <c r="D1709" i="1" l="1"/>
  <c r="W1709" i="1" s="1" a="1"/>
  <c r="W1709" i="1" s="1"/>
  <c r="AA1708" i="1"/>
  <c r="AC1708" i="1" s="1"/>
  <c r="D1710" i="1" l="1"/>
  <c r="W1710" i="1" s="1" a="1"/>
  <c r="W1710" i="1" s="1"/>
  <c r="AA1709" i="1"/>
  <c r="AC1709" i="1" s="1"/>
  <c r="D1711" i="1" l="1"/>
  <c r="W1711" i="1" s="1" a="1"/>
  <c r="W1711" i="1" s="1"/>
  <c r="AA1710" i="1"/>
  <c r="AC1710" i="1" s="1"/>
  <c r="D1712" i="1" l="1"/>
  <c r="AA1711" i="1"/>
  <c r="AC1711" i="1" s="1"/>
  <c r="D1713" i="1" l="1"/>
  <c r="AA1712" i="1"/>
  <c r="AC1712" i="1" s="1"/>
  <c r="D1714" i="1" l="1"/>
  <c r="AA1713" i="1"/>
  <c r="AC1713" i="1" s="1"/>
  <c r="D1715" i="1" l="1"/>
  <c r="W1715" i="1" s="1" a="1"/>
  <c r="W1715" i="1" s="1"/>
  <c r="AA1714" i="1"/>
  <c r="AC1714" i="1" s="1"/>
  <c r="D1716" i="1" l="1"/>
  <c r="W1716" i="1" s="1" a="1"/>
  <c r="W1716" i="1" s="1"/>
  <c r="AA1715" i="1"/>
  <c r="AC1715" i="1" s="1"/>
  <c r="D1717" i="1" l="1"/>
  <c r="W1717" i="1" s="1" a="1"/>
  <c r="W1717" i="1" s="1"/>
  <c r="AA1716" i="1"/>
  <c r="AC1716" i="1" s="1"/>
  <c r="D1718" i="1" l="1"/>
  <c r="W1718" i="1" s="1" a="1"/>
  <c r="W1718" i="1" s="1"/>
  <c r="AA1717" i="1"/>
  <c r="AC1717" i="1" s="1"/>
  <c r="D1719" i="1" l="1"/>
  <c r="W1719" i="1" s="1" a="1"/>
  <c r="W1719" i="1" s="1"/>
  <c r="AA1718" i="1"/>
  <c r="AC1718" i="1" s="1"/>
  <c r="D1720" i="1" l="1"/>
  <c r="W1720" i="1" s="1" a="1"/>
  <c r="W1720" i="1" s="1"/>
  <c r="AA1719" i="1"/>
  <c r="AC1719" i="1" s="1"/>
  <c r="D1721" i="1" l="1"/>
  <c r="W1721" i="1" s="1" a="1"/>
  <c r="W1721" i="1" s="1"/>
  <c r="AA1720" i="1"/>
  <c r="AC1720" i="1" s="1"/>
  <c r="D1722" i="1" l="1"/>
  <c r="W1722" i="1" s="1" a="1"/>
  <c r="W1722" i="1" s="1"/>
  <c r="AA1721" i="1"/>
  <c r="AC1721" i="1" s="1"/>
  <c r="D1723" i="1" l="1"/>
  <c r="W1723" i="1" s="1" a="1"/>
  <c r="W1723" i="1" s="1"/>
  <c r="AA1722" i="1"/>
  <c r="AC1722" i="1" s="1"/>
  <c r="D1724" i="1" l="1"/>
  <c r="W1724" i="1" s="1" a="1"/>
  <c r="W1724" i="1" s="1"/>
  <c r="AA1723" i="1"/>
  <c r="AC1723" i="1" s="1"/>
  <c r="D1725" i="1" l="1"/>
  <c r="W1725" i="1" s="1" a="1"/>
  <c r="W1725" i="1" s="1"/>
  <c r="AA1724" i="1"/>
  <c r="AC1724" i="1" s="1"/>
  <c r="D1726" i="1" l="1"/>
  <c r="W1726" i="1" s="1" a="1"/>
  <c r="W1726" i="1" s="1"/>
  <c r="AA1725" i="1"/>
  <c r="AC1725" i="1" s="1"/>
  <c r="D1727" i="1" l="1"/>
  <c r="W1727" i="1" s="1" a="1"/>
  <c r="W1727" i="1" s="1"/>
  <c r="AA1726" i="1"/>
  <c r="AC1726" i="1" s="1"/>
  <c r="D1728" i="1" l="1"/>
  <c r="AA1727" i="1"/>
  <c r="AC1727" i="1" s="1"/>
  <c r="D1729" i="1" l="1"/>
  <c r="AA1728" i="1"/>
  <c r="AC1728" i="1" s="1"/>
  <c r="D1730" i="1" l="1"/>
  <c r="AA1729" i="1"/>
  <c r="AC1729" i="1" s="1"/>
  <c r="D1731" i="1" l="1"/>
  <c r="AA1730" i="1"/>
  <c r="AC1730" i="1" s="1"/>
  <c r="D1732" i="1" l="1"/>
  <c r="AA1731" i="1"/>
  <c r="AC1731" i="1" s="1"/>
  <c r="D1733" i="1" l="1"/>
  <c r="AA1732" i="1"/>
  <c r="AC1732" i="1" s="1"/>
  <c r="W1733" i="1" l="1" a="1"/>
  <c r="W1733" i="1" s="1"/>
  <c r="D1734" i="1"/>
  <c r="W1734" i="1" s="1" a="1"/>
  <c r="W1734" i="1" s="1"/>
  <c r="AA1733" i="1"/>
  <c r="AC1733" i="1" s="1"/>
  <c r="D1735" i="1" l="1"/>
  <c r="W1735" i="1" s="1" a="1"/>
  <c r="W1735" i="1" s="1"/>
  <c r="AA1734" i="1"/>
  <c r="AC1734" i="1" s="1"/>
  <c r="D1736" i="1" l="1"/>
  <c r="W1736" i="1" s="1" a="1"/>
  <c r="W1736" i="1" s="1"/>
  <c r="AA1735" i="1"/>
  <c r="AC1735" i="1" s="1"/>
  <c r="D1737" i="1" l="1"/>
  <c r="W1737" i="1" s="1" a="1"/>
  <c r="W1737" i="1" s="1"/>
  <c r="AA1736" i="1"/>
  <c r="AC1736" i="1" s="1"/>
  <c r="D1738" i="1" l="1"/>
  <c r="W1738" i="1" s="1" a="1"/>
  <c r="W1738" i="1" s="1"/>
  <c r="AA1737" i="1"/>
  <c r="AC1737" i="1" s="1"/>
  <c r="D1739" i="1" l="1"/>
  <c r="W1739" i="1" s="1" a="1"/>
  <c r="W1739" i="1" s="1"/>
  <c r="AA1738" i="1"/>
  <c r="AC1738" i="1" s="1"/>
  <c r="D1740" i="1" l="1"/>
  <c r="W1740" i="1" s="1" a="1"/>
  <c r="W1740" i="1" s="1"/>
  <c r="AA1739" i="1"/>
  <c r="AC1739" i="1" s="1"/>
  <c r="D1741" i="1" l="1"/>
  <c r="W1741" i="1" s="1" a="1"/>
  <c r="W1741" i="1" s="1"/>
  <c r="AA1740" i="1"/>
  <c r="AC1740" i="1" s="1"/>
  <c r="D1742" i="1" l="1"/>
  <c r="AA1741" i="1"/>
  <c r="AC1741" i="1" s="1"/>
  <c r="W1742" i="1" l="1" a="1"/>
  <c r="W1742" i="1" s="1"/>
  <c r="W4" i="8"/>
  <c r="W35" i="8"/>
  <c r="W65" i="8"/>
  <c r="D1743" i="1"/>
  <c r="W1743" i="1" s="1" a="1"/>
  <c r="W1743" i="1" s="1"/>
  <c r="AA1742" i="1"/>
  <c r="AC1742" i="1" s="1"/>
  <c r="D1744" i="1" l="1"/>
  <c r="W1744" i="1" s="1" a="1"/>
  <c r="W1744" i="1" s="1"/>
  <c r="AA1743" i="1"/>
  <c r="AC1743" i="1" s="1"/>
  <c r="D1745" i="1" l="1"/>
  <c r="W1745" i="1" s="1" a="1"/>
  <c r="W1745" i="1" s="1"/>
  <c r="AA1744" i="1"/>
  <c r="AC1744" i="1" s="1"/>
  <c r="D1746" i="1" l="1"/>
  <c r="W1746" i="1" s="1" a="1"/>
  <c r="W1746" i="1" s="1"/>
  <c r="AA1745" i="1"/>
  <c r="AC1745" i="1" s="1"/>
  <c r="D1747" i="1" l="1"/>
  <c r="W1747" i="1" s="1" a="1"/>
  <c r="W1747" i="1" s="1"/>
  <c r="AA1746" i="1"/>
  <c r="AC1746" i="1" s="1"/>
  <c r="D1748" i="1" l="1"/>
  <c r="W1748" i="1" s="1" a="1"/>
  <c r="W1748" i="1" s="1"/>
  <c r="AA1747" i="1"/>
  <c r="AC1747" i="1" s="1"/>
  <c r="D1749" i="1" l="1"/>
  <c r="W1749" i="1" s="1" a="1"/>
  <c r="W1749" i="1" s="1"/>
  <c r="AA1748" i="1"/>
  <c r="AC1748" i="1" s="1"/>
  <c r="D1750" i="1" l="1"/>
  <c r="W1750" i="1" s="1" a="1"/>
  <c r="W1750" i="1" s="1"/>
  <c r="AA1749" i="1"/>
  <c r="AC1749" i="1" s="1"/>
  <c r="D1751" i="1" l="1"/>
  <c r="W1751" i="1" s="1" a="1"/>
  <c r="W1751" i="1" s="1"/>
  <c r="AA1750" i="1"/>
  <c r="AC1750" i="1" s="1"/>
  <c r="D1752" i="1" l="1"/>
  <c r="W1752" i="1" s="1" a="1"/>
  <c r="W1752" i="1" s="1"/>
  <c r="AA1751" i="1"/>
  <c r="AC1751" i="1" s="1"/>
  <c r="D1753" i="1" l="1"/>
  <c r="W1753" i="1" s="1" a="1"/>
  <c r="W1753" i="1" s="1"/>
  <c r="AA1752" i="1"/>
  <c r="AC1752" i="1" s="1"/>
  <c r="D1754" i="1" l="1"/>
  <c r="W1754" i="1" s="1" a="1"/>
  <c r="W1754" i="1" s="1"/>
  <c r="AA1753" i="1"/>
  <c r="AC1753" i="1" s="1"/>
  <c r="D1755" i="1" l="1"/>
  <c r="W1755" i="1" s="1" a="1"/>
  <c r="W1755" i="1" s="1"/>
  <c r="AA1754" i="1"/>
  <c r="AC1754" i="1" s="1"/>
  <c r="D1756" i="1" l="1"/>
  <c r="W1756" i="1" s="1" a="1"/>
  <c r="W1756" i="1" s="1"/>
  <c r="AA1755" i="1"/>
  <c r="AC1755" i="1" s="1"/>
  <c r="D1757" i="1" l="1"/>
  <c r="W1757" i="1" s="1" a="1"/>
  <c r="W1757" i="1" s="1"/>
  <c r="AA1756" i="1"/>
  <c r="AC1756" i="1" s="1"/>
  <c r="D1758" i="1" l="1"/>
  <c r="W1758" i="1" s="1" a="1"/>
  <c r="W1758" i="1" s="1"/>
  <c r="AA1757" i="1"/>
  <c r="AC1757" i="1" s="1"/>
  <c r="D1759" i="1" l="1"/>
  <c r="W1759" i="1" s="1" a="1"/>
  <c r="W1759" i="1" s="1"/>
  <c r="AA1758" i="1"/>
  <c r="AC1758" i="1" s="1"/>
  <c r="D1760" i="1" l="1"/>
  <c r="W1760" i="1" s="1" a="1"/>
  <c r="W1760" i="1" s="1"/>
  <c r="AA1759" i="1"/>
  <c r="AC1759" i="1" s="1"/>
  <c r="D1761" i="1" l="1"/>
  <c r="W1761" i="1" s="1" a="1"/>
  <c r="W1761" i="1" s="1"/>
  <c r="AA1760" i="1"/>
  <c r="AC1760" i="1" s="1"/>
  <c r="D1762" i="1" l="1"/>
  <c r="W1762" i="1" s="1" a="1"/>
  <c r="W1762" i="1" s="1"/>
  <c r="AA1761" i="1"/>
  <c r="AC1761" i="1" s="1"/>
  <c r="D1763" i="1" l="1"/>
  <c r="W1763" i="1" s="1" a="1"/>
  <c r="W1763" i="1" s="1"/>
  <c r="AA1762" i="1"/>
  <c r="AC1762" i="1" s="1"/>
  <c r="D1764" i="1" l="1"/>
  <c r="W1764" i="1" s="1" a="1"/>
  <c r="W1764" i="1" s="1"/>
  <c r="AA1763" i="1"/>
  <c r="AC1763" i="1" s="1"/>
  <c r="D1765" i="1" l="1"/>
  <c r="W1765" i="1" s="1" a="1"/>
  <c r="W1765" i="1" s="1"/>
  <c r="AA1764" i="1"/>
  <c r="AC1764" i="1" s="1"/>
  <c r="D1766" i="1" l="1"/>
  <c r="W1766" i="1" s="1" a="1"/>
  <c r="W1766" i="1" s="1"/>
  <c r="AA1765" i="1"/>
  <c r="AC1765" i="1" s="1"/>
  <c r="D1767" i="1" l="1"/>
  <c r="W1767" i="1" s="1" a="1"/>
  <c r="W1767" i="1" s="1"/>
  <c r="AA1766" i="1"/>
  <c r="AC1766" i="1" s="1"/>
  <c r="D1768" i="1" l="1"/>
  <c r="W1768" i="1" s="1" a="1"/>
  <c r="W1768" i="1" s="1"/>
  <c r="AA1767" i="1"/>
  <c r="AC1767" i="1" s="1"/>
  <c r="D1769" i="1" l="1"/>
  <c r="W1769" i="1" s="1" a="1"/>
  <c r="W1769" i="1" s="1"/>
  <c r="AA1768" i="1"/>
  <c r="AC1768" i="1" s="1"/>
  <c r="D1770" i="1" l="1"/>
  <c r="W1770" i="1" s="1" a="1"/>
  <c r="W1770" i="1" s="1"/>
  <c r="AA1769" i="1"/>
  <c r="AC1769" i="1" s="1"/>
  <c r="D1771" i="1" l="1"/>
  <c r="W1771" i="1" s="1" a="1"/>
  <c r="W1771" i="1" s="1"/>
  <c r="AA1770" i="1"/>
  <c r="AC1770" i="1" s="1"/>
  <c r="D1772" i="1" l="1"/>
  <c r="W1772" i="1" s="1" a="1"/>
  <c r="W1772" i="1" s="1"/>
  <c r="AA1771" i="1"/>
  <c r="AC1771" i="1" s="1"/>
  <c r="D1773" i="1" l="1"/>
  <c r="W1773" i="1" s="1" a="1"/>
  <c r="W1773" i="1" s="1"/>
  <c r="AA1772" i="1"/>
  <c r="AC1772" i="1" s="1"/>
  <c r="D1774" i="1" l="1"/>
  <c r="W1774" i="1" s="1" a="1"/>
  <c r="W1774" i="1" s="1"/>
  <c r="AA1773" i="1"/>
  <c r="AC1773" i="1" s="1"/>
  <c r="D1775" i="1" l="1"/>
  <c r="W1775" i="1" s="1" a="1"/>
  <c r="W1775" i="1" s="1"/>
  <c r="AA1774" i="1"/>
  <c r="AC1774" i="1" s="1"/>
  <c r="D1776" i="1" l="1"/>
  <c r="W1776" i="1" s="1" a="1"/>
  <c r="W1776" i="1" s="1"/>
  <c r="AA1775" i="1"/>
  <c r="AC1775" i="1" s="1"/>
  <c r="D1777" i="1" l="1"/>
  <c r="W1777" i="1" s="1" a="1"/>
  <c r="W1777" i="1" s="1"/>
  <c r="AA1776" i="1"/>
  <c r="AC1776" i="1" s="1"/>
  <c r="D1778" i="1" l="1"/>
  <c r="W1778" i="1" s="1" a="1"/>
  <c r="W1778" i="1" s="1"/>
  <c r="AA1777" i="1"/>
  <c r="AC1777" i="1" s="1"/>
  <c r="D1779" i="1" l="1"/>
  <c r="W1779" i="1" s="1" a="1"/>
  <c r="W1779" i="1" s="1"/>
  <c r="AA1778" i="1"/>
  <c r="AC1778" i="1" s="1"/>
  <c r="D1780" i="1" l="1"/>
  <c r="W1780" i="1" s="1" a="1"/>
  <c r="W1780" i="1" s="1"/>
  <c r="AA1779" i="1"/>
  <c r="AC1779" i="1" s="1"/>
  <c r="D1781" i="1" l="1"/>
  <c r="W1781" i="1" s="1" a="1"/>
  <c r="W1781" i="1" s="1"/>
  <c r="AA1780" i="1"/>
  <c r="AC1780" i="1" s="1"/>
  <c r="D1782" i="1" l="1"/>
  <c r="W1782" i="1" s="1" a="1"/>
  <c r="W1782" i="1" s="1"/>
  <c r="AA1781" i="1"/>
  <c r="AC1781" i="1" s="1"/>
  <c r="D1783" i="1" l="1"/>
  <c r="W1783" i="1" s="1" a="1"/>
  <c r="W1783" i="1" s="1"/>
  <c r="AA1782" i="1"/>
  <c r="AC1782" i="1" s="1"/>
  <c r="D1784" i="1" l="1"/>
  <c r="W1784" i="1" s="1" a="1"/>
  <c r="W1784" i="1" s="1"/>
  <c r="AA1783" i="1"/>
  <c r="AC1783" i="1" s="1"/>
  <c r="D1785" i="1" l="1"/>
  <c r="W1785" i="1" s="1" a="1"/>
  <c r="W1785" i="1" s="1"/>
  <c r="AA1784" i="1"/>
  <c r="AC1784" i="1" s="1"/>
  <c r="D1786" i="1" l="1"/>
  <c r="W1786" i="1" s="1" a="1"/>
  <c r="W1786" i="1" s="1"/>
  <c r="AA1785" i="1"/>
  <c r="AC1785" i="1" s="1"/>
  <c r="D1787" i="1" l="1"/>
  <c r="W1787" i="1" s="1" a="1"/>
  <c r="W1787" i="1" s="1"/>
  <c r="AA1786" i="1"/>
  <c r="AC1786" i="1" s="1"/>
  <c r="D1788" i="1" l="1"/>
  <c r="W1788" i="1" s="1" a="1"/>
  <c r="W1788" i="1" s="1"/>
  <c r="AA1787" i="1"/>
  <c r="AC1787" i="1" s="1"/>
  <c r="D1789" i="1" l="1"/>
  <c r="W1789" i="1" s="1" a="1"/>
  <c r="W1789" i="1" s="1"/>
  <c r="AA1788" i="1"/>
  <c r="AC1788" i="1" s="1"/>
  <c r="D1790" i="1" l="1"/>
  <c r="W1790" i="1" s="1" a="1"/>
  <c r="W1790" i="1" s="1"/>
  <c r="AA1789" i="1"/>
  <c r="AC1789" i="1" s="1"/>
  <c r="D1791" i="1" l="1"/>
  <c r="W1791" i="1" s="1" a="1"/>
  <c r="W1791" i="1" s="1"/>
  <c r="AA1790" i="1"/>
  <c r="AC1790" i="1" s="1"/>
  <c r="D1792" i="1" l="1"/>
  <c r="W1792" i="1" s="1" a="1"/>
  <c r="W1792" i="1" s="1"/>
  <c r="AA1791" i="1"/>
  <c r="AC1791" i="1" s="1"/>
  <c r="D1793" i="1" l="1"/>
  <c r="W1793" i="1" s="1" a="1"/>
  <c r="W1793" i="1" s="1"/>
  <c r="AA1792" i="1"/>
  <c r="AC1792" i="1" s="1"/>
  <c r="D1794" i="1" l="1"/>
  <c r="W1794" i="1" s="1" a="1"/>
  <c r="W1794" i="1" s="1"/>
  <c r="AA1793" i="1"/>
  <c r="AC1793" i="1" s="1"/>
  <c r="D1795" i="1" l="1"/>
  <c r="W1795" i="1" s="1" a="1"/>
  <c r="W1795" i="1" s="1"/>
  <c r="AA1794" i="1"/>
  <c r="AC1794" i="1" s="1"/>
  <c r="D1796" i="1" l="1"/>
  <c r="W1796" i="1" s="1" a="1"/>
  <c r="W1796" i="1" s="1"/>
  <c r="AA1795" i="1"/>
  <c r="AC1795" i="1" s="1"/>
  <c r="D1797" i="1" l="1"/>
  <c r="W1797" i="1" s="1" a="1"/>
  <c r="W1797" i="1" s="1"/>
  <c r="AA1796" i="1"/>
  <c r="AC1796" i="1" s="1"/>
  <c r="D1798" i="1" l="1"/>
  <c r="W1798" i="1" s="1" a="1"/>
  <c r="W1798" i="1" s="1"/>
  <c r="AA1797" i="1"/>
  <c r="AC1797" i="1" s="1"/>
  <c r="D1799" i="1" l="1"/>
  <c r="W1799" i="1" s="1" a="1"/>
  <c r="W1799" i="1" s="1"/>
  <c r="AA1798" i="1"/>
  <c r="AC1798" i="1" s="1"/>
  <c r="D1800" i="1" l="1"/>
  <c r="W1800" i="1" s="1" a="1"/>
  <c r="W1800" i="1" s="1"/>
  <c r="AA1799" i="1"/>
  <c r="AC1799" i="1" s="1"/>
  <c r="D1801" i="1" l="1"/>
  <c r="W1801" i="1" s="1" a="1"/>
  <c r="W1801" i="1" s="1"/>
  <c r="AA1800" i="1"/>
  <c r="AC1800" i="1" s="1"/>
  <c r="D1802" i="1" l="1"/>
  <c r="W1802" i="1" s="1" a="1"/>
  <c r="W1802" i="1" s="1"/>
  <c r="AA1801" i="1"/>
  <c r="AC1801" i="1" s="1"/>
  <c r="D1803" i="1" l="1"/>
  <c r="W1803" i="1" s="1" a="1"/>
  <c r="W1803" i="1" s="1"/>
  <c r="AA1802" i="1"/>
  <c r="AC1802" i="1" s="1"/>
  <c r="D1804" i="1" l="1"/>
  <c r="W1804" i="1" s="1" a="1"/>
  <c r="W1804" i="1" s="1"/>
  <c r="AA1803" i="1"/>
  <c r="AC1803" i="1" s="1"/>
  <c r="D1805" i="1" l="1"/>
  <c r="W1805" i="1" s="1" a="1"/>
  <c r="W1805" i="1" s="1"/>
  <c r="AA1804" i="1"/>
  <c r="AC1804" i="1" s="1"/>
  <c r="D1806" i="1" l="1"/>
  <c r="W1806" i="1" s="1" a="1"/>
  <c r="W1806" i="1" s="1"/>
  <c r="AA1805" i="1"/>
  <c r="AC1805" i="1" s="1"/>
  <c r="D1807" i="1" l="1"/>
  <c r="W1807" i="1" s="1" a="1"/>
  <c r="W1807" i="1" s="1"/>
  <c r="AA1806" i="1"/>
  <c r="AC1806" i="1" s="1"/>
  <c r="D1808" i="1" l="1"/>
  <c r="W1808" i="1" s="1" a="1"/>
  <c r="W1808" i="1" s="1"/>
  <c r="AA1807" i="1"/>
  <c r="AC1807" i="1" s="1"/>
  <c r="D1809" i="1" l="1"/>
  <c r="W1809" i="1" s="1" a="1"/>
  <c r="W1809" i="1" s="1"/>
  <c r="AA1808" i="1"/>
  <c r="AC1808" i="1" s="1"/>
  <c r="D1810" i="1" l="1"/>
  <c r="W1810" i="1" s="1" a="1"/>
  <c r="W1810" i="1" s="1"/>
  <c r="AA1809" i="1"/>
  <c r="AC1809" i="1" s="1"/>
  <c r="D1811" i="1" l="1"/>
  <c r="AA1810" i="1"/>
  <c r="AC1810" i="1" s="1"/>
  <c r="D1812" i="1" l="1"/>
  <c r="W1812" i="1" s="1" a="1"/>
  <c r="W1812" i="1" s="1"/>
  <c r="AA1811" i="1"/>
  <c r="AC1811" i="1" s="1"/>
  <c r="D1813" i="1" l="1"/>
  <c r="W1813" i="1" s="1" a="1"/>
  <c r="W1813" i="1" s="1"/>
  <c r="AA1812" i="1"/>
  <c r="AC1812" i="1" s="1"/>
  <c r="D1814" i="1" l="1"/>
  <c r="W1814" i="1" s="1" a="1"/>
  <c r="W1814" i="1" s="1"/>
  <c r="AA1813" i="1"/>
  <c r="AC1813" i="1" s="1"/>
  <c r="D1815" i="1" l="1"/>
  <c r="AA1814" i="1"/>
  <c r="AC1814" i="1" s="1"/>
  <c r="W1815" i="1" l="1" a="1"/>
  <c r="W1815" i="1" s="1"/>
  <c r="D1816" i="1"/>
  <c r="W1816" i="1" s="1" a="1"/>
  <c r="W1816" i="1" s="1"/>
  <c r="AA1815" i="1"/>
  <c r="AC1815" i="1" s="1"/>
  <c r="D1817" i="1" l="1"/>
  <c r="W1817" i="1" s="1" a="1"/>
  <c r="W1817" i="1" s="1"/>
  <c r="AA1816" i="1"/>
  <c r="AC1816" i="1" s="1"/>
  <c r="D1818" i="1" l="1"/>
  <c r="W1818" i="1" s="1" a="1"/>
  <c r="W1818" i="1" s="1"/>
  <c r="AA1817" i="1"/>
  <c r="AC1817" i="1" s="1"/>
  <c r="D1819" i="1" l="1"/>
  <c r="W1819" i="1" s="1" a="1"/>
  <c r="W1819" i="1" s="1"/>
  <c r="AA1818" i="1"/>
  <c r="AC1818" i="1" s="1"/>
  <c r="D1820" i="1" l="1"/>
  <c r="W1820" i="1" s="1" a="1"/>
  <c r="W1820" i="1" s="1"/>
  <c r="AA1819" i="1"/>
  <c r="AC1819" i="1" s="1"/>
  <c r="D1821" i="1" l="1"/>
  <c r="W1821" i="1" s="1" a="1"/>
  <c r="W1821" i="1" s="1"/>
  <c r="AA1820" i="1"/>
  <c r="AC1820" i="1" s="1"/>
  <c r="D1822" i="1" l="1"/>
  <c r="W1822" i="1" s="1" a="1"/>
  <c r="W1822" i="1" s="1"/>
  <c r="AA1821" i="1"/>
  <c r="AC1821" i="1" s="1"/>
  <c r="D1823" i="1" l="1"/>
  <c r="W1823" i="1" s="1" a="1"/>
  <c r="W1823" i="1" s="1"/>
  <c r="AA1822" i="1"/>
  <c r="AC1822" i="1" s="1"/>
  <c r="D1824" i="1" l="1"/>
  <c r="W1824" i="1" s="1" a="1"/>
  <c r="W1824" i="1" s="1"/>
  <c r="AA1823" i="1"/>
  <c r="AC1823" i="1" s="1"/>
  <c r="D1825" i="1" l="1"/>
  <c r="W1825" i="1" s="1" a="1"/>
  <c r="W1825" i="1" s="1"/>
  <c r="AA1824" i="1"/>
  <c r="AC1824" i="1" s="1"/>
  <c r="D1826" i="1" l="1"/>
  <c r="W1826" i="1" s="1" a="1"/>
  <c r="W1826" i="1" s="1"/>
  <c r="AA1825" i="1"/>
  <c r="AC1825" i="1" s="1"/>
  <c r="D1827" i="1" l="1"/>
  <c r="W1827" i="1" s="1" a="1"/>
  <c r="W1827" i="1" s="1"/>
  <c r="AA1826" i="1"/>
  <c r="AC1826" i="1" s="1"/>
  <c r="D1828" i="1" l="1"/>
  <c r="W1828" i="1" s="1" a="1"/>
  <c r="W1828" i="1" s="1"/>
  <c r="AA1827" i="1"/>
  <c r="AC1827" i="1" s="1"/>
  <c r="D1829" i="1" l="1"/>
  <c r="W1829" i="1" s="1" a="1"/>
  <c r="W1829" i="1" s="1"/>
  <c r="AA1828" i="1"/>
  <c r="AC1828" i="1" s="1"/>
  <c r="D1830" i="1" l="1"/>
  <c r="W1830" i="1" s="1" a="1"/>
  <c r="W1830" i="1" s="1"/>
  <c r="AA1829" i="1"/>
  <c r="AC1829" i="1" s="1"/>
  <c r="D1831" i="1" l="1"/>
  <c r="W1831" i="1" s="1" a="1"/>
  <c r="W1831" i="1" s="1"/>
  <c r="AA1830" i="1"/>
  <c r="AC1830" i="1" s="1"/>
  <c r="D1832" i="1" l="1"/>
  <c r="W1832" i="1" s="1" a="1"/>
  <c r="W1832" i="1" s="1"/>
  <c r="AA1831" i="1"/>
  <c r="AC1831" i="1" s="1"/>
  <c r="D1833" i="1" l="1"/>
  <c r="W1833" i="1" s="1" a="1"/>
  <c r="W1833" i="1" s="1"/>
  <c r="AA1832" i="1"/>
  <c r="AC1832" i="1" s="1"/>
  <c r="D1834" i="1" l="1"/>
  <c r="W1834" i="1" s="1" a="1"/>
  <c r="W1834" i="1" s="1"/>
  <c r="AA1833" i="1"/>
  <c r="AC1833" i="1" s="1"/>
  <c r="D1835" i="1" l="1"/>
  <c r="W1835" i="1" s="1" a="1"/>
  <c r="W1835" i="1" s="1"/>
  <c r="AA1834" i="1"/>
  <c r="AC1834" i="1" s="1"/>
  <c r="D1836" i="1" l="1"/>
  <c r="W1836" i="1" s="1" a="1"/>
  <c r="W1836" i="1" s="1"/>
  <c r="AA1835" i="1"/>
  <c r="AC1835" i="1" s="1"/>
  <c r="D1837" i="1" l="1"/>
  <c r="W1837" i="1" s="1" a="1"/>
  <c r="W1837" i="1" s="1"/>
  <c r="AA1836" i="1"/>
  <c r="AC1836" i="1" s="1"/>
  <c r="D1838" i="1" l="1"/>
  <c r="W1838" i="1" s="1" a="1"/>
  <c r="W1838" i="1" s="1"/>
  <c r="AA1837" i="1"/>
  <c r="AC1837" i="1" s="1"/>
  <c r="D1839" i="1" l="1"/>
  <c r="W1839" i="1" s="1" a="1"/>
  <c r="W1839" i="1" s="1"/>
  <c r="AA1838" i="1"/>
  <c r="AC1838" i="1" s="1"/>
  <c r="D1840" i="1" l="1"/>
  <c r="W1840" i="1" s="1" a="1"/>
  <c r="W1840" i="1" s="1"/>
  <c r="AA1839" i="1"/>
  <c r="AC1839" i="1" s="1"/>
  <c r="D1841" i="1" l="1"/>
  <c r="W1841" i="1" s="1" a="1"/>
  <c r="W1841" i="1" s="1"/>
  <c r="AA1840" i="1"/>
  <c r="AC1840" i="1" s="1"/>
  <c r="D1842" i="1" l="1"/>
  <c r="W1842" i="1" s="1" a="1"/>
  <c r="W1842" i="1" s="1"/>
  <c r="AA1841" i="1"/>
  <c r="AC1841" i="1" s="1"/>
  <c r="D1843" i="1" l="1"/>
  <c r="W1843" i="1" s="1" a="1"/>
  <c r="W1843" i="1" s="1"/>
  <c r="AA1842" i="1"/>
  <c r="AC1842" i="1" s="1"/>
  <c r="D1844" i="1" l="1"/>
  <c r="W1844" i="1" s="1" a="1"/>
  <c r="W1844" i="1" s="1"/>
  <c r="AA1843" i="1"/>
  <c r="AC1843" i="1" s="1"/>
  <c r="D1845" i="1" l="1"/>
  <c r="W1845" i="1" s="1" a="1"/>
  <c r="W1845" i="1" s="1"/>
  <c r="AA1844" i="1"/>
  <c r="AC1844" i="1" s="1"/>
  <c r="D1846" i="1" l="1"/>
  <c r="AA1845" i="1"/>
  <c r="AC1845" i="1" s="1"/>
  <c r="W1846" i="1" l="1" a="1"/>
  <c r="W1846" i="1" s="1"/>
  <c r="W66" i="8"/>
  <c r="W6" i="8"/>
  <c r="W41" i="8"/>
  <c r="D1847" i="1"/>
  <c r="W1847" i="1" s="1" a="1"/>
  <c r="W1847" i="1" s="1"/>
  <c r="AA1846" i="1"/>
  <c r="AC1846" i="1" s="1"/>
  <c r="D1848" i="1" l="1"/>
  <c r="W1848" i="1" s="1" a="1"/>
  <c r="W1848" i="1" s="1"/>
  <c r="AA1847" i="1"/>
  <c r="AC1847" i="1" s="1"/>
  <c r="D1849" i="1" l="1"/>
  <c r="W1849" i="1" s="1" a="1"/>
  <c r="W1849" i="1" s="1"/>
  <c r="AA1848" i="1"/>
  <c r="AC1848" i="1" s="1"/>
  <c r="D1850" i="1" l="1"/>
  <c r="W1850" i="1" s="1" a="1"/>
  <c r="W1850" i="1" s="1"/>
  <c r="AA1849" i="1"/>
  <c r="AC1849" i="1" s="1"/>
  <c r="D1851" i="1" l="1"/>
  <c r="W1851" i="1" s="1" a="1"/>
  <c r="W1851" i="1" s="1"/>
  <c r="AA1850" i="1"/>
  <c r="AC1850" i="1" s="1"/>
  <c r="D1852" i="1" l="1"/>
  <c r="W1852" i="1" s="1" a="1"/>
  <c r="W1852" i="1" s="1"/>
  <c r="AA1851" i="1"/>
  <c r="AC1851" i="1" s="1"/>
  <c r="D1853" i="1" l="1"/>
  <c r="W1853" i="1" s="1" a="1"/>
  <c r="W1853" i="1" s="1"/>
  <c r="AA1852" i="1"/>
  <c r="AC1852" i="1" s="1"/>
  <c r="D1854" i="1" l="1"/>
  <c r="W1854" i="1" s="1" a="1"/>
  <c r="W1854" i="1" s="1"/>
  <c r="AA1853" i="1"/>
  <c r="AC1853" i="1" s="1"/>
  <c r="D1855" i="1" l="1"/>
  <c r="W1855" i="1" s="1" a="1"/>
  <c r="W1855" i="1" s="1"/>
  <c r="AA1854" i="1"/>
  <c r="AC1854" i="1" s="1"/>
  <c r="D1856" i="1" l="1"/>
  <c r="W1856" i="1" s="1" a="1"/>
  <c r="W1856" i="1" s="1"/>
  <c r="AA1855" i="1"/>
  <c r="AC1855" i="1" s="1"/>
  <c r="D1857" i="1" l="1"/>
  <c r="W1857" i="1" s="1" a="1"/>
  <c r="W1857" i="1" s="1"/>
  <c r="AA1856" i="1"/>
  <c r="AC1856" i="1" s="1"/>
  <c r="D1858" i="1" l="1"/>
  <c r="W1858" i="1" s="1" a="1"/>
  <c r="W1858" i="1" s="1"/>
  <c r="AA1857" i="1"/>
  <c r="AC1857" i="1" s="1"/>
  <c r="D1859" i="1" l="1"/>
  <c r="W1859" i="1" s="1" a="1"/>
  <c r="W1859" i="1" s="1"/>
  <c r="AA1858" i="1"/>
  <c r="AC1858" i="1" s="1"/>
  <c r="D1860" i="1" l="1"/>
  <c r="W1860" i="1" s="1" a="1"/>
  <c r="W1860" i="1" s="1"/>
  <c r="AA1859" i="1"/>
  <c r="AC1859" i="1" s="1"/>
  <c r="D1861" i="1" l="1"/>
  <c r="W1861" i="1" s="1" a="1"/>
  <c r="W1861" i="1" s="1"/>
  <c r="AA1860" i="1"/>
  <c r="AC1860" i="1" s="1"/>
  <c r="D1862" i="1" l="1"/>
  <c r="W1862" i="1" s="1" a="1"/>
  <c r="W1862" i="1" s="1"/>
  <c r="AA1861" i="1"/>
  <c r="AC1861" i="1" s="1"/>
  <c r="D1863" i="1" l="1"/>
  <c r="W1863" i="1" s="1" a="1"/>
  <c r="W1863" i="1" s="1"/>
  <c r="AA1862" i="1"/>
  <c r="AC1862" i="1" s="1"/>
  <c r="D1864" i="1" l="1"/>
  <c r="W1864" i="1" s="1" a="1"/>
  <c r="W1864" i="1" s="1"/>
  <c r="AA1863" i="1"/>
  <c r="AC1863" i="1" s="1"/>
  <c r="D1865" i="1" l="1"/>
  <c r="W1865" i="1" s="1" a="1"/>
  <c r="W1865" i="1" s="1"/>
  <c r="AA1864" i="1"/>
  <c r="AC1864" i="1" s="1"/>
  <c r="D1866" i="1" l="1"/>
  <c r="W1866" i="1" s="1" a="1"/>
  <c r="W1866" i="1" s="1"/>
  <c r="AA1865" i="1"/>
  <c r="AC1865" i="1" s="1"/>
  <c r="D1867" i="1" l="1"/>
  <c r="W1867" i="1" s="1" a="1"/>
  <c r="W1867" i="1" s="1"/>
  <c r="AA1866" i="1"/>
  <c r="AC1866" i="1" s="1"/>
  <c r="D1868" i="1" l="1"/>
  <c r="W1868" i="1" s="1" a="1"/>
  <c r="W1868" i="1" s="1"/>
  <c r="AA1867" i="1"/>
  <c r="AC1867" i="1" s="1"/>
  <c r="D1869" i="1" l="1"/>
  <c r="W1869" i="1" s="1" a="1"/>
  <c r="W1869" i="1" s="1"/>
  <c r="AA1868" i="1"/>
  <c r="AC1868" i="1" s="1"/>
  <c r="D1870" i="1" l="1"/>
  <c r="W1870" i="1" s="1" a="1"/>
  <c r="W1870" i="1" s="1"/>
  <c r="AA1869" i="1"/>
  <c r="AC1869" i="1" s="1"/>
  <c r="D1871" i="1" l="1"/>
  <c r="W1871" i="1" s="1" a="1"/>
  <c r="W1871" i="1" s="1"/>
  <c r="AA1870" i="1"/>
  <c r="AC1870" i="1" s="1"/>
  <c r="D1872" i="1" l="1"/>
  <c r="W1872" i="1" s="1" a="1"/>
  <c r="W1872" i="1" s="1"/>
  <c r="AA1871" i="1"/>
  <c r="AC1871" i="1" s="1"/>
  <c r="D1873" i="1" l="1"/>
  <c r="W1873" i="1" s="1" a="1"/>
  <c r="W1873" i="1" s="1"/>
  <c r="AA1872" i="1"/>
  <c r="AC1872" i="1" s="1"/>
  <c r="D1874" i="1" l="1"/>
  <c r="W1874" i="1" s="1" a="1"/>
  <c r="W1874" i="1" s="1"/>
  <c r="AA1873" i="1"/>
  <c r="AC1873" i="1" s="1"/>
  <c r="D1875" i="1" l="1"/>
  <c r="W1875" i="1" s="1" a="1"/>
  <c r="W1875" i="1" s="1"/>
  <c r="AA1874" i="1"/>
  <c r="AC1874" i="1" s="1"/>
  <c r="D1876" i="1" l="1"/>
  <c r="AA1875" i="1"/>
  <c r="AC1875" i="1" s="1"/>
  <c r="D1877" i="1" l="1"/>
  <c r="AA1876" i="1"/>
  <c r="AC1876" i="1" s="1"/>
  <c r="D1878" i="1" l="1"/>
  <c r="AA1877" i="1"/>
  <c r="AC1877" i="1" s="1"/>
  <c r="D1879" i="1" l="1"/>
  <c r="AA1878" i="1"/>
  <c r="AC1878" i="1" s="1"/>
  <c r="D1880" i="1" l="1"/>
  <c r="W1880" i="1" s="1" a="1"/>
  <c r="W1880" i="1" s="1"/>
  <c r="AA1879" i="1"/>
  <c r="AC1879" i="1" s="1"/>
  <c r="D1881" i="1" l="1"/>
  <c r="W1881" i="1" s="1" a="1"/>
  <c r="W1881" i="1" s="1"/>
  <c r="AA1880" i="1"/>
  <c r="AC1880" i="1" s="1"/>
  <c r="D1882" i="1" l="1"/>
  <c r="W1882" i="1" s="1" a="1"/>
  <c r="W1882" i="1" s="1"/>
  <c r="AA1881" i="1"/>
  <c r="AC1881" i="1" s="1"/>
  <c r="D1883" i="1" l="1"/>
  <c r="W1883" i="1" s="1" a="1"/>
  <c r="W1883" i="1" s="1"/>
  <c r="AA1882" i="1"/>
  <c r="AC1882" i="1" s="1"/>
  <c r="D1884" i="1" l="1"/>
  <c r="W1884" i="1" s="1" a="1"/>
  <c r="W1884" i="1" s="1"/>
  <c r="AA1883" i="1"/>
  <c r="AC1883" i="1" s="1"/>
  <c r="D1885" i="1" l="1"/>
  <c r="W1885" i="1" s="1" a="1"/>
  <c r="W1885" i="1" s="1"/>
  <c r="AA1884" i="1"/>
  <c r="AC1884" i="1" s="1"/>
  <c r="D1886" i="1" l="1"/>
  <c r="W1886" i="1" s="1" a="1"/>
  <c r="W1886" i="1" s="1"/>
  <c r="AA1885" i="1"/>
  <c r="AC1885" i="1" s="1"/>
  <c r="D1887" i="1" l="1"/>
  <c r="W1887" i="1" s="1" a="1"/>
  <c r="W1887" i="1" s="1"/>
  <c r="AA1886" i="1"/>
  <c r="AC1886" i="1" s="1"/>
  <c r="D1888" i="1" l="1"/>
  <c r="W1888" i="1" s="1" a="1"/>
  <c r="W1888" i="1" s="1"/>
  <c r="AA1887" i="1"/>
  <c r="AC1887" i="1" s="1"/>
  <c r="D1889" i="1" l="1"/>
  <c r="W1889" i="1" s="1" a="1"/>
  <c r="W1889" i="1" s="1"/>
  <c r="AA1888" i="1"/>
  <c r="AC1888" i="1" s="1"/>
  <c r="D1890" i="1" l="1"/>
  <c r="W1890" i="1" s="1" a="1"/>
  <c r="W1890" i="1" s="1"/>
  <c r="AA1889" i="1"/>
  <c r="AC1889" i="1" s="1"/>
  <c r="D1891" i="1" l="1"/>
  <c r="W1891" i="1" s="1" a="1"/>
  <c r="W1891" i="1" s="1"/>
  <c r="AA1890" i="1"/>
  <c r="AC1890" i="1" s="1"/>
  <c r="D1892" i="1" l="1"/>
  <c r="W1892" i="1" s="1" a="1"/>
  <c r="W1892" i="1" s="1"/>
  <c r="AA1891" i="1"/>
  <c r="AC1891" i="1" s="1"/>
  <c r="D1893" i="1" l="1"/>
  <c r="W1893" i="1" s="1" a="1"/>
  <c r="W1893" i="1" s="1"/>
  <c r="AA1892" i="1"/>
  <c r="AC1892" i="1" s="1"/>
  <c r="D1894" i="1" l="1"/>
  <c r="W1894" i="1" s="1" a="1"/>
  <c r="W1894" i="1" s="1"/>
  <c r="AA1893" i="1"/>
  <c r="AC1893" i="1" s="1"/>
  <c r="D1895" i="1" l="1"/>
  <c r="W1895" i="1" s="1" a="1"/>
  <c r="W1895" i="1" s="1"/>
  <c r="AA1894" i="1"/>
  <c r="AC1894" i="1" s="1"/>
  <c r="D1896" i="1" l="1"/>
  <c r="W1896" i="1" s="1" a="1"/>
  <c r="W1896" i="1" s="1"/>
  <c r="AA1895" i="1"/>
  <c r="AC1895" i="1" s="1"/>
  <c r="D1897" i="1" l="1"/>
  <c r="W1897" i="1" s="1" a="1"/>
  <c r="W1897" i="1" s="1"/>
  <c r="AA1896" i="1"/>
  <c r="AC1896" i="1" s="1"/>
  <c r="D1898" i="1" l="1"/>
  <c r="W1898" i="1" s="1" a="1"/>
  <c r="W1898" i="1" s="1"/>
  <c r="AA1897" i="1"/>
  <c r="AC1897" i="1" s="1"/>
  <c r="D1899" i="1" l="1"/>
  <c r="W1899" i="1" s="1" a="1"/>
  <c r="W1899" i="1" s="1"/>
  <c r="AA1898" i="1"/>
  <c r="AC1898" i="1" s="1"/>
  <c r="D1900" i="1" l="1"/>
  <c r="W1900" i="1" s="1" a="1"/>
  <c r="W1900" i="1" s="1"/>
  <c r="AA1899" i="1"/>
  <c r="AC1899" i="1" s="1"/>
  <c r="D1901" i="1" l="1"/>
  <c r="W1901" i="1" s="1" a="1"/>
  <c r="W1901" i="1" s="1"/>
  <c r="AA1900" i="1"/>
  <c r="AC1900" i="1" s="1"/>
  <c r="D1902" i="1" l="1"/>
  <c r="W1902" i="1" s="1" a="1"/>
  <c r="W1902" i="1" s="1"/>
  <c r="AA1901" i="1"/>
  <c r="AC1901" i="1" s="1"/>
  <c r="D1903" i="1" l="1"/>
  <c r="W1903" i="1" s="1" a="1"/>
  <c r="W1903" i="1" s="1"/>
  <c r="AA1902" i="1"/>
  <c r="AC1902" i="1" s="1"/>
  <c r="D1904" i="1" l="1"/>
  <c r="W1904" i="1" s="1" a="1"/>
  <c r="W1904" i="1" s="1"/>
  <c r="AA1903" i="1"/>
  <c r="AC1903" i="1" s="1"/>
  <c r="D1905" i="1" l="1"/>
  <c r="W1905" i="1" s="1" a="1"/>
  <c r="W1905" i="1" s="1"/>
  <c r="AA1904" i="1"/>
  <c r="AC1904" i="1" s="1"/>
  <c r="D1906" i="1" l="1"/>
  <c r="W1906" i="1" s="1" a="1"/>
  <c r="W1906" i="1" s="1"/>
  <c r="AA1905" i="1"/>
  <c r="AC1905" i="1" s="1"/>
  <c r="D1907" i="1" l="1"/>
  <c r="W1907" i="1" s="1" a="1"/>
  <c r="W1907" i="1" s="1"/>
  <c r="AA1906" i="1"/>
  <c r="AC1906" i="1" s="1"/>
  <c r="D1908" i="1" l="1"/>
  <c r="W1908" i="1" s="1" a="1"/>
  <c r="W1908" i="1" s="1"/>
  <c r="AA1907" i="1"/>
  <c r="AC1907" i="1" s="1"/>
  <c r="D1909" i="1" l="1"/>
  <c r="W1909" i="1" s="1" a="1"/>
  <c r="W1909" i="1" s="1"/>
  <c r="AA1908" i="1"/>
  <c r="AC1908" i="1" s="1"/>
  <c r="D1910" i="1" l="1"/>
  <c r="W1910" i="1" s="1" a="1"/>
  <c r="W1910" i="1" s="1"/>
  <c r="AA1909" i="1"/>
  <c r="AC1909" i="1" s="1"/>
  <c r="D1911" i="1" l="1"/>
  <c r="W1911" i="1" s="1" a="1"/>
  <c r="W1911" i="1" s="1"/>
  <c r="AA1910" i="1"/>
  <c r="AC1910" i="1" s="1"/>
  <c r="D1912" i="1" l="1"/>
  <c r="W1912" i="1" s="1" a="1"/>
  <c r="W1912" i="1" s="1"/>
  <c r="AA1911" i="1"/>
  <c r="AC1911" i="1" s="1"/>
  <c r="D1913" i="1" l="1"/>
  <c r="W1913" i="1" s="1" a="1"/>
  <c r="W1913" i="1" s="1"/>
  <c r="AA1912" i="1"/>
  <c r="AC1912" i="1" s="1"/>
  <c r="D1914" i="1" l="1"/>
  <c r="W1914" i="1" s="1" a="1"/>
  <c r="W1914" i="1" s="1"/>
  <c r="AA1913" i="1"/>
  <c r="AC1913" i="1" s="1"/>
  <c r="D1915" i="1" l="1"/>
  <c r="W1915" i="1" s="1" a="1"/>
  <c r="W1915" i="1" s="1"/>
  <c r="AA1914" i="1"/>
  <c r="AC1914" i="1" s="1"/>
  <c r="D1916" i="1" l="1"/>
  <c r="W1916" i="1" s="1" a="1"/>
  <c r="W1916" i="1" s="1"/>
  <c r="AA1915" i="1"/>
  <c r="AC1915" i="1" s="1"/>
  <c r="D1917" i="1" l="1"/>
  <c r="W1917" i="1" s="1" a="1"/>
  <c r="W1917" i="1" s="1"/>
  <c r="AA1916" i="1"/>
  <c r="AC1916" i="1" s="1"/>
  <c r="D1918" i="1" l="1"/>
  <c r="W1918" i="1" s="1" a="1"/>
  <c r="W1918" i="1" s="1"/>
  <c r="AA1917" i="1"/>
  <c r="AC1917" i="1" s="1"/>
  <c r="D1919" i="1" l="1"/>
  <c r="W1919" i="1" s="1" a="1"/>
  <c r="W1919" i="1" s="1"/>
  <c r="AA1918" i="1"/>
  <c r="AC1918" i="1" s="1"/>
  <c r="D1920" i="1" l="1"/>
  <c r="W1920" i="1" s="1" a="1"/>
  <c r="W1920" i="1" s="1"/>
  <c r="AA1919" i="1"/>
  <c r="AC1919" i="1" s="1"/>
  <c r="D1921" i="1" l="1"/>
  <c r="W1921" i="1" s="1" a="1"/>
  <c r="W1921" i="1" s="1"/>
  <c r="AA1920" i="1"/>
  <c r="AC1920" i="1" s="1"/>
  <c r="D1922" i="1" l="1"/>
  <c r="W1922" i="1" s="1" a="1"/>
  <c r="W1922" i="1" s="1"/>
  <c r="AA1921" i="1"/>
  <c r="AC1921" i="1" s="1"/>
  <c r="D1923" i="1" l="1"/>
  <c r="W1923" i="1" s="1" a="1"/>
  <c r="W1923" i="1" s="1"/>
  <c r="AA1922" i="1"/>
  <c r="AC1922" i="1" s="1"/>
  <c r="D1924" i="1" l="1"/>
  <c r="W1924" i="1" s="1" a="1"/>
  <c r="W1924" i="1" s="1"/>
  <c r="AA1923" i="1"/>
  <c r="AC1923" i="1" s="1"/>
  <c r="D1925" i="1" l="1"/>
  <c r="W1925" i="1" s="1" a="1"/>
  <c r="W1925" i="1" s="1"/>
  <c r="AA1924" i="1"/>
  <c r="AC1924" i="1" s="1"/>
  <c r="D1926" i="1" l="1"/>
  <c r="W1926" i="1" s="1" a="1"/>
  <c r="W1926" i="1" s="1"/>
  <c r="AA1925" i="1"/>
  <c r="AC1925" i="1" s="1"/>
  <c r="D1927" i="1" l="1"/>
  <c r="W1927" i="1" s="1" a="1"/>
  <c r="W1927" i="1" s="1"/>
  <c r="AA1926" i="1"/>
  <c r="AC1926" i="1" s="1"/>
  <c r="D1928" i="1" l="1"/>
  <c r="W1928" i="1" s="1" a="1"/>
  <c r="W1928" i="1" s="1"/>
  <c r="AA1927" i="1"/>
  <c r="AC1927" i="1" s="1"/>
  <c r="D1929" i="1" l="1"/>
  <c r="W1929" i="1" s="1" a="1"/>
  <c r="W1929" i="1" s="1"/>
  <c r="AA1928" i="1"/>
  <c r="AC1928" i="1" s="1"/>
  <c r="D1930" i="1" l="1"/>
  <c r="W1930" i="1" s="1" a="1"/>
  <c r="W1930" i="1" s="1"/>
  <c r="AA1929" i="1"/>
  <c r="AC1929" i="1" s="1"/>
  <c r="D1931" i="1" l="1"/>
  <c r="W1931" i="1" s="1" a="1"/>
  <c r="W1931" i="1" s="1"/>
  <c r="AA1930" i="1"/>
  <c r="AC1930" i="1" s="1"/>
  <c r="D1932" i="1" l="1"/>
  <c r="W1932" i="1" s="1" a="1"/>
  <c r="W1932" i="1" s="1"/>
  <c r="AA1931" i="1"/>
  <c r="AC1931" i="1" s="1"/>
  <c r="D1933" i="1" l="1"/>
  <c r="W1933" i="1" s="1" a="1"/>
  <c r="W1933" i="1" s="1"/>
  <c r="AA1932" i="1"/>
  <c r="AC1932" i="1" s="1"/>
  <c r="D1934" i="1" l="1"/>
  <c r="W1934" i="1" s="1" a="1"/>
  <c r="W1934" i="1" s="1"/>
  <c r="AA1933" i="1"/>
  <c r="AC1933" i="1" s="1"/>
  <c r="D1935" i="1" l="1"/>
  <c r="W1935" i="1" s="1" a="1"/>
  <c r="W1935" i="1" s="1"/>
  <c r="AA1934" i="1"/>
  <c r="AC1934" i="1" s="1"/>
  <c r="D1936" i="1" l="1"/>
  <c r="W1936" i="1" s="1" a="1"/>
  <c r="W1936" i="1" s="1"/>
  <c r="AA1935" i="1"/>
  <c r="AC1935" i="1" s="1"/>
  <c r="D1937" i="1" l="1"/>
  <c r="W1937" i="1" s="1" a="1"/>
  <c r="W1937" i="1" s="1"/>
  <c r="AA1936" i="1"/>
  <c r="AC1936" i="1" s="1"/>
  <c r="D1938" i="1" l="1"/>
  <c r="W1938" i="1" s="1" a="1"/>
  <c r="W1938" i="1" s="1"/>
  <c r="AA1937" i="1"/>
  <c r="AC1937" i="1" s="1"/>
  <c r="D1939" i="1" l="1"/>
  <c r="W1939" i="1" s="1" a="1"/>
  <c r="W1939" i="1" s="1"/>
  <c r="AA1938" i="1"/>
  <c r="AC1938" i="1" s="1"/>
  <c r="D1940" i="1" l="1"/>
  <c r="W1940" i="1" s="1" a="1"/>
  <c r="W1940" i="1" s="1"/>
  <c r="AA1939" i="1"/>
  <c r="AC1939" i="1" s="1"/>
  <c r="D1941" i="1" l="1"/>
  <c r="W1941" i="1" s="1" a="1"/>
  <c r="W1941" i="1" s="1"/>
  <c r="AA1940" i="1"/>
  <c r="AC1940" i="1" s="1"/>
  <c r="D1942" i="1" l="1"/>
  <c r="W1942" i="1" s="1" a="1"/>
  <c r="W1942" i="1" s="1"/>
  <c r="AA1941" i="1"/>
  <c r="AC1941" i="1" s="1"/>
  <c r="D1943" i="1" l="1"/>
  <c r="W1943" i="1" s="1" a="1"/>
  <c r="W1943" i="1" s="1"/>
  <c r="AA1942" i="1"/>
  <c r="AC1942" i="1" s="1"/>
  <c r="D1944" i="1" l="1"/>
  <c r="W1944" i="1" s="1" a="1"/>
  <c r="W1944" i="1" s="1"/>
  <c r="AA1943" i="1"/>
  <c r="AC1943" i="1" s="1"/>
  <c r="D1945" i="1" l="1"/>
  <c r="W1945" i="1" s="1" a="1"/>
  <c r="W1945" i="1" s="1"/>
  <c r="AA1944" i="1"/>
  <c r="AC1944" i="1" s="1"/>
  <c r="D1946" i="1" l="1"/>
  <c r="W1946" i="1" s="1" a="1"/>
  <c r="W1946" i="1" s="1"/>
  <c r="AA1945" i="1"/>
  <c r="AC1945" i="1" s="1"/>
  <c r="D1947" i="1" l="1"/>
  <c r="W1947" i="1" s="1" a="1"/>
  <c r="W1947" i="1" s="1"/>
  <c r="AA1946" i="1"/>
  <c r="AC1946" i="1" s="1"/>
  <c r="D1948" i="1" l="1"/>
  <c r="W1948" i="1" s="1" a="1"/>
  <c r="W1948" i="1" s="1"/>
  <c r="AA1947" i="1"/>
  <c r="AC1947" i="1" s="1"/>
  <c r="D1949" i="1" l="1"/>
  <c r="W1949" i="1" s="1" a="1"/>
  <c r="W1949" i="1" s="1"/>
  <c r="AA1948" i="1"/>
  <c r="AC1948" i="1" s="1"/>
  <c r="D1950" i="1" l="1"/>
  <c r="W1950" i="1" s="1" a="1"/>
  <c r="W1950" i="1" s="1"/>
  <c r="AA1949" i="1"/>
  <c r="AC1949" i="1" s="1"/>
  <c r="D1951" i="1" l="1"/>
  <c r="W1951" i="1" s="1" a="1"/>
  <c r="W1951" i="1" s="1"/>
  <c r="AA1950" i="1"/>
  <c r="AC1950" i="1" s="1"/>
  <c r="D1952" i="1" l="1"/>
  <c r="W1952" i="1" s="1" a="1"/>
  <c r="W1952" i="1" s="1"/>
  <c r="AA1951" i="1"/>
  <c r="AC1951" i="1" s="1"/>
  <c r="D1953" i="1" l="1"/>
  <c r="W1953" i="1" s="1" a="1"/>
  <c r="W1953" i="1" s="1"/>
  <c r="AA1952" i="1"/>
  <c r="AC1952" i="1" s="1"/>
  <c r="D1954" i="1" l="1"/>
  <c r="W1954" i="1" s="1" a="1"/>
  <c r="W1954" i="1" s="1"/>
  <c r="AA1953" i="1"/>
  <c r="AC1953" i="1" s="1"/>
  <c r="D1955" i="1" l="1"/>
  <c r="W1955" i="1" s="1" a="1"/>
  <c r="W1955" i="1" s="1"/>
  <c r="AA1954" i="1"/>
  <c r="AC1954" i="1" s="1"/>
  <c r="D1956" i="1" l="1"/>
  <c r="W1956" i="1" s="1" a="1"/>
  <c r="W1956" i="1" s="1"/>
  <c r="AA1955" i="1"/>
  <c r="AC1955" i="1" s="1"/>
  <c r="D1957" i="1" l="1"/>
  <c r="W1957" i="1" s="1" a="1"/>
  <c r="W1957" i="1" s="1"/>
  <c r="AA1956" i="1"/>
  <c r="AC1956" i="1" s="1"/>
  <c r="D1958" i="1" l="1"/>
  <c r="W1958" i="1" s="1" a="1"/>
  <c r="W1958" i="1" s="1"/>
  <c r="AA1957" i="1"/>
  <c r="AC1957" i="1" s="1"/>
  <c r="D1959" i="1" l="1"/>
  <c r="W1959" i="1" s="1" a="1"/>
  <c r="W1959" i="1" s="1"/>
  <c r="AA1958" i="1"/>
  <c r="AC1958" i="1" s="1"/>
  <c r="D1960" i="1" l="1"/>
  <c r="W1960" i="1" s="1" a="1"/>
  <c r="W1960" i="1" s="1"/>
  <c r="AA1959" i="1"/>
  <c r="AC1959" i="1" s="1"/>
  <c r="D1961" i="1" l="1"/>
  <c r="W1961" i="1" s="1" a="1"/>
  <c r="W1961" i="1" s="1"/>
  <c r="AA1960" i="1"/>
  <c r="AC1960" i="1" s="1"/>
  <c r="D1962" i="1" l="1"/>
  <c r="W1962" i="1" s="1" a="1"/>
  <c r="W1962" i="1" s="1"/>
  <c r="AA1961" i="1"/>
  <c r="AC1961" i="1" s="1"/>
  <c r="D1963" i="1" l="1"/>
  <c r="W1963" i="1" s="1" a="1"/>
  <c r="W1963" i="1" s="1"/>
  <c r="AA1962" i="1"/>
  <c r="AC1962" i="1" s="1"/>
  <c r="D1964" i="1" l="1"/>
  <c r="W1964" i="1" s="1" a="1"/>
  <c r="W1964" i="1" s="1"/>
  <c r="AA1963" i="1"/>
  <c r="AC1963" i="1" s="1"/>
  <c r="D1965" i="1" l="1"/>
  <c r="W1965" i="1" s="1" a="1"/>
  <c r="W1965" i="1" s="1"/>
  <c r="AA1964" i="1"/>
  <c r="AC1964" i="1" s="1"/>
  <c r="D1966" i="1" l="1"/>
  <c r="W1966" i="1" s="1" a="1"/>
  <c r="W1966" i="1" s="1"/>
  <c r="AA1965" i="1"/>
  <c r="AC1965" i="1" s="1"/>
  <c r="D1967" i="1" l="1"/>
  <c r="AA1966" i="1"/>
  <c r="AC1966" i="1" s="1"/>
  <c r="D1968" i="1" l="1"/>
  <c r="AA1967" i="1"/>
  <c r="AC1967" i="1" s="1"/>
  <c r="D1969" i="1" l="1"/>
  <c r="AA1968" i="1"/>
  <c r="AC1968" i="1" s="1"/>
  <c r="D1970" i="1" l="1"/>
  <c r="AA1969" i="1"/>
  <c r="AC1969" i="1" s="1"/>
  <c r="D1971" i="1" l="1"/>
  <c r="AA1970" i="1"/>
  <c r="AC1970" i="1" s="1"/>
  <c r="D1972" i="1" l="1"/>
  <c r="W1972" i="1" s="1" a="1"/>
  <c r="W1972" i="1" s="1"/>
  <c r="AA1971" i="1"/>
  <c r="AC1971" i="1" s="1"/>
  <c r="D1973" i="1" l="1"/>
  <c r="W1973" i="1" s="1" a="1"/>
  <c r="W1973" i="1" s="1"/>
  <c r="AA1972" i="1"/>
  <c r="AC1972" i="1" s="1"/>
  <c r="D1974" i="1" l="1"/>
  <c r="W1974" i="1" s="1" a="1"/>
  <c r="W1974" i="1" s="1"/>
  <c r="AA1973" i="1"/>
  <c r="AC1973" i="1" s="1"/>
  <c r="D1975" i="1" l="1"/>
  <c r="W1975" i="1" s="1" a="1"/>
  <c r="W1975" i="1" s="1"/>
  <c r="AA1974" i="1"/>
  <c r="AC1974" i="1" s="1"/>
  <c r="D1976" i="1" l="1"/>
  <c r="W1976" i="1" s="1" a="1"/>
  <c r="W1976" i="1" s="1"/>
  <c r="AA1975" i="1"/>
  <c r="AC1975" i="1" s="1"/>
  <c r="D1977" i="1" l="1"/>
  <c r="W1977" i="1" s="1" a="1"/>
  <c r="W1977" i="1" s="1"/>
  <c r="AA1976" i="1"/>
  <c r="AC1976" i="1" s="1"/>
  <c r="D1978" i="1" l="1"/>
  <c r="W1978" i="1" s="1" a="1"/>
  <c r="W1978" i="1" s="1"/>
  <c r="AA1977" i="1"/>
  <c r="AC1977" i="1" s="1"/>
  <c r="D1979" i="1" l="1"/>
  <c r="W1979" i="1" s="1" a="1"/>
  <c r="W1979" i="1" s="1"/>
  <c r="AA1978" i="1"/>
  <c r="AC1978" i="1" s="1"/>
  <c r="D1980" i="1" l="1"/>
  <c r="W1980" i="1" s="1" a="1"/>
  <c r="W1980" i="1" s="1"/>
  <c r="AA1979" i="1"/>
  <c r="AC1979" i="1" s="1"/>
  <c r="D1981" i="1" l="1"/>
  <c r="W1981" i="1" s="1" a="1"/>
  <c r="W1981" i="1" s="1"/>
  <c r="AA1980" i="1"/>
  <c r="AC1980" i="1" s="1"/>
  <c r="D1982" i="1" l="1"/>
  <c r="W1982" i="1" s="1" a="1"/>
  <c r="W1982" i="1" s="1"/>
  <c r="AA1981" i="1"/>
  <c r="AC1981" i="1" s="1"/>
  <c r="D1983" i="1" l="1"/>
  <c r="W1983" i="1" s="1" a="1"/>
  <c r="W1983" i="1" s="1"/>
  <c r="AA1982" i="1"/>
  <c r="AC1982" i="1" s="1"/>
  <c r="D1984" i="1" l="1"/>
  <c r="W1984" i="1" s="1" a="1"/>
  <c r="W1984" i="1" s="1"/>
  <c r="AA1983" i="1"/>
  <c r="AC1983" i="1" s="1"/>
  <c r="D1985" i="1" l="1"/>
  <c r="W1985" i="1" s="1" a="1"/>
  <c r="W1985" i="1" s="1"/>
  <c r="AA1984" i="1"/>
  <c r="AC1984" i="1" s="1"/>
  <c r="D1986" i="1" l="1"/>
  <c r="W1986" i="1" s="1" a="1"/>
  <c r="W1986" i="1" s="1"/>
  <c r="AA1985" i="1"/>
  <c r="AC1985" i="1" s="1"/>
  <c r="D1987" i="1" l="1"/>
  <c r="W1987" i="1" s="1" a="1"/>
  <c r="W1987" i="1" s="1"/>
  <c r="AA1986" i="1"/>
  <c r="AC1986" i="1" s="1"/>
  <c r="D1988" i="1" l="1"/>
  <c r="W1988" i="1" s="1" a="1"/>
  <c r="W1988" i="1" s="1"/>
  <c r="AA1987" i="1"/>
  <c r="AC1987" i="1" s="1"/>
  <c r="D1989" i="1" l="1"/>
  <c r="W1989" i="1" s="1" a="1"/>
  <c r="W1989" i="1" s="1"/>
  <c r="AA1988" i="1"/>
  <c r="AC1988" i="1" s="1"/>
  <c r="D1990" i="1" l="1"/>
  <c r="W1990" i="1" s="1" a="1"/>
  <c r="W1990" i="1" s="1"/>
  <c r="AA1989" i="1"/>
  <c r="AC1989" i="1" s="1"/>
  <c r="D1991" i="1" l="1"/>
  <c r="W1991" i="1" s="1" a="1"/>
  <c r="W1991" i="1" s="1"/>
  <c r="AA1990" i="1"/>
  <c r="AC1990" i="1" s="1"/>
  <c r="D1992" i="1" l="1"/>
  <c r="W1992" i="1" s="1" a="1"/>
  <c r="W1992" i="1" s="1"/>
  <c r="AA1991" i="1"/>
  <c r="AC1991" i="1" s="1"/>
  <c r="D1993" i="1" l="1"/>
  <c r="W1993" i="1" s="1" a="1"/>
  <c r="W1993" i="1" s="1"/>
  <c r="AA1992" i="1"/>
  <c r="AC1992" i="1" s="1"/>
  <c r="D1994" i="1" l="1"/>
  <c r="AA1993" i="1"/>
  <c r="AC1993" i="1" s="1"/>
  <c r="D1995" i="1" l="1"/>
  <c r="W1995" i="1" s="1" a="1"/>
  <c r="W1995" i="1" s="1"/>
  <c r="AA1994" i="1"/>
  <c r="AC1994" i="1" s="1"/>
  <c r="D1996" i="1" l="1"/>
  <c r="W1996" i="1" s="1" a="1"/>
  <c r="W1996" i="1" s="1"/>
  <c r="AA1995" i="1"/>
  <c r="AC1995" i="1" s="1"/>
  <c r="D1997" i="1" l="1"/>
  <c r="W1997" i="1" s="1" a="1"/>
  <c r="W1997" i="1" s="1"/>
  <c r="AA1996" i="1"/>
  <c r="AC1996" i="1" s="1"/>
  <c r="D1998" i="1" l="1"/>
  <c r="W1998" i="1" s="1" a="1"/>
  <c r="W1998" i="1" s="1"/>
  <c r="AA1997" i="1"/>
  <c r="AC1997" i="1" s="1"/>
  <c r="D1999" i="1" l="1"/>
  <c r="W1999" i="1" s="1" a="1"/>
  <c r="W1999" i="1" s="1"/>
  <c r="AA1998" i="1"/>
  <c r="AC1998" i="1" s="1"/>
  <c r="D2000" i="1" l="1"/>
  <c r="W2000" i="1" s="1" a="1"/>
  <c r="W2000" i="1" s="1"/>
  <c r="AA1999" i="1"/>
  <c r="AC1999" i="1" s="1"/>
  <c r="D2001" i="1" l="1"/>
  <c r="W2001" i="1" s="1" a="1"/>
  <c r="W2001" i="1" s="1"/>
  <c r="AA2000" i="1"/>
  <c r="AC2000" i="1" s="1"/>
  <c r="D2002" i="1" l="1"/>
  <c r="W2002" i="1" s="1" a="1"/>
  <c r="W2002" i="1" s="1"/>
  <c r="AA2001" i="1"/>
  <c r="AC2001" i="1" s="1"/>
  <c r="D2003" i="1" l="1"/>
  <c r="W2003" i="1" s="1" a="1"/>
  <c r="W2003" i="1" s="1"/>
  <c r="AA2002" i="1"/>
  <c r="AC2002" i="1" s="1"/>
  <c r="D2004" i="1" l="1"/>
  <c r="W2004" i="1" s="1" a="1"/>
  <c r="W2004" i="1" s="1"/>
  <c r="AA2003" i="1"/>
  <c r="AC2003" i="1" s="1"/>
  <c r="D2005" i="1" l="1"/>
  <c r="W2005" i="1" s="1" a="1"/>
  <c r="W2005" i="1" s="1"/>
  <c r="AA2004" i="1"/>
  <c r="AC2004" i="1" s="1"/>
  <c r="D2006" i="1" l="1"/>
  <c r="W2006" i="1" s="1" a="1"/>
  <c r="W2006" i="1" s="1"/>
  <c r="AA2005" i="1"/>
  <c r="AC2005" i="1" s="1"/>
  <c r="D2007" i="1" l="1"/>
  <c r="W2007" i="1" s="1" a="1"/>
  <c r="W2007" i="1" s="1"/>
  <c r="AA2006" i="1"/>
  <c r="AC2006" i="1" s="1"/>
  <c r="D2008" i="1" l="1"/>
  <c r="W2008" i="1" s="1" a="1"/>
  <c r="W2008" i="1" s="1"/>
  <c r="AA2007" i="1"/>
  <c r="AC2007" i="1" s="1"/>
  <c r="D2009" i="1" l="1"/>
  <c r="W2009" i="1" s="1" a="1"/>
  <c r="W2009" i="1" s="1"/>
  <c r="AA2008" i="1"/>
  <c r="AC2008" i="1" s="1"/>
  <c r="D2010" i="1" l="1"/>
  <c r="W2010" i="1" s="1" a="1"/>
  <c r="W2010" i="1" s="1"/>
  <c r="AA2009" i="1"/>
  <c r="AC2009" i="1" s="1"/>
  <c r="D2011" i="1" l="1"/>
  <c r="W2011" i="1" s="1" a="1"/>
  <c r="W2011" i="1" s="1"/>
  <c r="AA2010" i="1"/>
  <c r="AC2010" i="1" s="1"/>
  <c r="D2012" i="1" l="1"/>
  <c r="W2012" i="1" s="1" a="1"/>
  <c r="W2012" i="1" s="1"/>
  <c r="AA2011" i="1"/>
  <c r="AC2011" i="1" s="1"/>
  <c r="D2013" i="1" l="1"/>
  <c r="W2013" i="1" s="1" a="1"/>
  <c r="W2013" i="1" s="1"/>
  <c r="AA2012" i="1"/>
  <c r="AC2012" i="1" s="1"/>
  <c r="D2014" i="1" l="1"/>
  <c r="W2014" i="1" s="1" a="1"/>
  <c r="W2014" i="1" s="1"/>
  <c r="AA2013" i="1"/>
  <c r="AC2013" i="1" s="1"/>
  <c r="D2015" i="1" l="1"/>
  <c r="W2015" i="1" s="1" a="1"/>
  <c r="W2015" i="1" s="1"/>
  <c r="AA2014" i="1"/>
  <c r="AC2014" i="1" s="1"/>
  <c r="D2016" i="1" l="1"/>
  <c r="W2016" i="1" s="1" a="1"/>
  <c r="W2016" i="1" s="1"/>
  <c r="AA2015" i="1"/>
  <c r="AC2015" i="1" s="1"/>
  <c r="D2017" i="1" l="1"/>
  <c r="W2017" i="1" s="1" a="1"/>
  <c r="W2017" i="1" s="1"/>
  <c r="AA2016" i="1"/>
  <c r="AC2016" i="1" s="1"/>
  <c r="D2018" i="1" l="1"/>
  <c r="W2018" i="1" s="1" a="1"/>
  <c r="W2018" i="1" s="1"/>
  <c r="AA2017" i="1"/>
  <c r="AC2017" i="1" s="1"/>
  <c r="D2019" i="1" l="1"/>
  <c r="W2019" i="1" s="1" a="1"/>
  <c r="W2019" i="1" s="1"/>
  <c r="AA2018" i="1"/>
  <c r="AC2018" i="1" s="1"/>
  <c r="D2020" i="1" l="1"/>
  <c r="W2020" i="1" s="1" a="1"/>
  <c r="W2020" i="1" s="1"/>
  <c r="AA2019" i="1"/>
  <c r="AC2019" i="1" s="1"/>
  <c r="D2021" i="1" l="1"/>
  <c r="W2021" i="1" s="1" a="1"/>
  <c r="W2021" i="1" s="1"/>
  <c r="AA2020" i="1"/>
  <c r="AC2020" i="1" s="1"/>
  <c r="D2022" i="1" l="1"/>
  <c r="W2022" i="1" s="1" a="1"/>
  <c r="W2022" i="1" s="1"/>
  <c r="AA2021" i="1"/>
  <c r="AC2021" i="1" s="1"/>
  <c r="D2023" i="1" l="1"/>
  <c r="W2023" i="1" s="1" a="1"/>
  <c r="W2023" i="1" s="1"/>
  <c r="AA2022" i="1"/>
  <c r="AC2022" i="1" s="1"/>
  <c r="D2024" i="1" l="1"/>
  <c r="W2024" i="1" s="1" a="1"/>
  <c r="W2024" i="1" s="1"/>
  <c r="AA2023" i="1"/>
  <c r="AC2023" i="1" s="1"/>
  <c r="D2025" i="1" l="1"/>
  <c r="W2025" i="1" s="1" a="1"/>
  <c r="W2025" i="1" s="1"/>
  <c r="AA2024" i="1"/>
  <c r="AC2024" i="1" s="1"/>
  <c r="D2026" i="1" l="1"/>
  <c r="W2026" i="1" s="1" a="1"/>
  <c r="W2026" i="1" s="1"/>
  <c r="AA2025" i="1"/>
  <c r="AC2025" i="1" s="1"/>
  <c r="D2027" i="1" l="1"/>
  <c r="W2027" i="1" s="1" a="1"/>
  <c r="W2027" i="1" s="1"/>
  <c r="AA2026" i="1"/>
  <c r="AC2026" i="1" s="1"/>
  <c r="D2028" i="1" l="1"/>
  <c r="W2028" i="1" s="1" a="1"/>
  <c r="W2028" i="1" s="1"/>
  <c r="AA2027" i="1"/>
  <c r="AC2027" i="1" s="1"/>
  <c r="D2029" i="1" l="1"/>
  <c r="W2029" i="1" s="1" a="1"/>
  <c r="W2029" i="1" s="1"/>
  <c r="AA2028" i="1"/>
  <c r="AC2028" i="1" s="1"/>
  <c r="D2030" i="1" l="1"/>
  <c r="W2030" i="1" s="1" a="1"/>
  <c r="W2030" i="1" s="1"/>
  <c r="AA2029" i="1"/>
  <c r="AC2029" i="1" s="1"/>
  <c r="D2031" i="1" l="1"/>
  <c r="W2031" i="1" s="1" a="1"/>
  <c r="W2031" i="1" s="1"/>
  <c r="AA2030" i="1"/>
  <c r="AC2030" i="1" s="1"/>
  <c r="D2032" i="1" l="1"/>
  <c r="W2032" i="1" s="1" a="1"/>
  <c r="W2032" i="1" s="1"/>
  <c r="AA2031" i="1"/>
  <c r="AC2031" i="1" s="1"/>
  <c r="D2033" i="1" l="1"/>
  <c r="W2033" i="1" s="1" a="1"/>
  <c r="W2033" i="1" s="1"/>
  <c r="AA2032" i="1"/>
  <c r="AC2032" i="1" s="1"/>
  <c r="D2034" i="1" l="1"/>
  <c r="W2034" i="1" s="1" a="1"/>
  <c r="W2034" i="1" s="1"/>
  <c r="AA2033" i="1"/>
  <c r="AC2033" i="1" s="1"/>
  <c r="D2035" i="1" l="1"/>
  <c r="W2035" i="1" s="1" a="1"/>
  <c r="W2035" i="1" s="1"/>
  <c r="AA2034" i="1"/>
  <c r="AC2034" i="1" s="1"/>
  <c r="D2036" i="1" l="1"/>
  <c r="W2036" i="1" s="1" a="1"/>
  <c r="W2036" i="1" s="1"/>
  <c r="AA2035" i="1"/>
  <c r="AC2035" i="1" s="1"/>
  <c r="D2037" i="1" l="1"/>
  <c r="W2037" i="1" s="1" a="1"/>
  <c r="W2037" i="1" s="1"/>
  <c r="AA2036" i="1"/>
  <c r="AC2036" i="1" s="1"/>
  <c r="D2038" i="1" l="1"/>
  <c r="W2038" i="1" s="1" a="1"/>
  <c r="W2038" i="1" s="1"/>
  <c r="AA2037" i="1"/>
  <c r="AC2037" i="1" s="1"/>
  <c r="D2039" i="1" l="1"/>
  <c r="W2039" i="1" s="1" a="1"/>
  <c r="W2039" i="1" s="1"/>
  <c r="AA2038" i="1"/>
  <c r="AC2038" i="1" s="1"/>
  <c r="D2040" i="1" l="1"/>
  <c r="W2040" i="1" s="1" a="1"/>
  <c r="W2040" i="1" s="1"/>
  <c r="AA2039" i="1"/>
  <c r="AC2039" i="1" s="1"/>
  <c r="D2041" i="1" l="1"/>
  <c r="W2041" i="1" s="1" a="1"/>
  <c r="W2041" i="1" s="1"/>
  <c r="AA2040" i="1"/>
  <c r="AC2040" i="1" s="1"/>
  <c r="D2042" i="1" l="1"/>
  <c r="W2042" i="1" s="1" a="1"/>
  <c r="W2042" i="1" s="1"/>
  <c r="AA2041" i="1"/>
  <c r="AC2041" i="1" s="1"/>
  <c r="D2043" i="1" l="1"/>
  <c r="W2043" i="1" s="1" a="1"/>
  <c r="W2043" i="1" s="1"/>
  <c r="AA2042" i="1"/>
  <c r="AC2042" i="1" s="1"/>
  <c r="D2044" i="1" l="1"/>
  <c r="W2044" i="1" s="1" a="1"/>
  <c r="W2044" i="1" s="1"/>
  <c r="AA2043" i="1"/>
  <c r="AC2043" i="1" s="1"/>
  <c r="D2045" i="1" l="1"/>
  <c r="W2045" i="1" s="1" a="1"/>
  <c r="W2045" i="1" s="1"/>
  <c r="AA2044" i="1"/>
  <c r="AC2044" i="1" s="1"/>
  <c r="D2046" i="1" l="1"/>
  <c r="W2046" i="1" s="1" a="1"/>
  <c r="W2046" i="1" s="1"/>
  <c r="AA2045" i="1"/>
  <c r="AC2045" i="1" s="1"/>
  <c r="D2047" i="1" l="1"/>
  <c r="W2047" i="1" s="1" a="1"/>
  <c r="W2047" i="1" s="1"/>
  <c r="AA2046" i="1"/>
  <c r="AC2046" i="1" s="1"/>
  <c r="D2048" i="1" l="1"/>
  <c r="W2048" i="1" s="1" a="1"/>
  <c r="W2048" i="1" s="1"/>
  <c r="AA2047" i="1"/>
  <c r="AC2047" i="1" s="1"/>
  <c r="D2049" i="1" l="1"/>
  <c r="W2049" i="1" s="1" a="1"/>
  <c r="W2049" i="1" s="1"/>
  <c r="AA2048" i="1"/>
  <c r="AC2048" i="1" s="1"/>
  <c r="D2050" i="1" l="1"/>
  <c r="W2050" i="1" s="1" a="1"/>
  <c r="W2050" i="1" s="1"/>
  <c r="AA2049" i="1"/>
  <c r="AC2049" i="1" s="1"/>
  <c r="D2051" i="1" l="1"/>
  <c r="W2051" i="1" s="1" a="1"/>
  <c r="W2051" i="1" s="1"/>
  <c r="AA2050" i="1"/>
  <c r="AC2050" i="1" s="1"/>
  <c r="D2052" i="1" l="1"/>
  <c r="W2052" i="1" s="1" a="1"/>
  <c r="W2052" i="1" s="1"/>
  <c r="AA2051" i="1"/>
  <c r="AC2051" i="1" s="1"/>
  <c r="D2053" i="1" l="1"/>
  <c r="W2053" i="1" s="1" a="1"/>
  <c r="W2053" i="1" s="1"/>
  <c r="AA2052" i="1"/>
  <c r="AC2052" i="1" s="1"/>
  <c r="D2054" i="1" l="1"/>
  <c r="W2054" i="1" s="1" a="1"/>
  <c r="W2054" i="1" s="1"/>
  <c r="AA2053" i="1"/>
  <c r="AC2053" i="1" s="1"/>
  <c r="D2055" i="1" l="1"/>
  <c r="W2055" i="1" s="1" a="1"/>
  <c r="W2055" i="1" s="1"/>
  <c r="AA2054" i="1"/>
  <c r="AC2054" i="1" s="1"/>
  <c r="D2056" i="1" l="1"/>
  <c r="W2056" i="1" s="1" a="1"/>
  <c r="W2056" i="1" s="1"/>
  <c r="AA2055" i="1"/>
  <c r="AC2055" i="1" s="1"/>
  <c r="D2057" i="1" l="1"/>
  <c r="W2057" i="1" s="1" a="1"/>
  <c r="W2057" i="1" s="1"/>
  <c r="AA2056" i="1"/>
  <c r="AC2056" i="1" s="1"/>
  <c r="D2058" i="1" l="1"/>
  <c r="W2058" i="1" s="1" a="1"/>
  <c r="W2058" i="1" s="1"/>
  <c r="AA2057" i="1"/>
  <c r="AC2057" i="1" s="1"/>
  <c r="D2059" i="1" l="1"/>
  <c r="W2059" i="1" s="1" a="1"/>
  <c r="W2059" i="1" s="1"/>
  <c r="AA2058" i="1"/>
  <c r="AC2058" i="1" s="1"/>
  <c r="D2060" i="1" l="1"/>
  <c r="W2060" i="1" s="1" a="1"/>
  <c r="W2060" i="1" s="1"/>
  <c r="AA2059" i="1"/>
  <c r="AC2059" i="1" s="1"/>
  <c r="D2061" i="1" l="1"/>
  <c r="W2061" i="1" s="1" a="1"/>
  <c r="W2061" i="1" s="1"/>
  <c r="AA2060" i="1"/>
  <c r="AC2060" i="1" s="1"/>
  <c r="D2062" i="1" l="1"/>
  <c r="W2062" i="1" s="1" a="1"/>
  <c r="W2062" i="1" s="1"/>
  <c r="AA2061" i="1"/>
  <c r="AC2061" i="1" s="1"/>
  <c r="D2063" i="1" l="1"/>
  <c r="W2063" i="1" s="1" a="1"/>
  <c r="W2063" i="1" s="1"/>
  <c r="AA2062" i="1"/>
  <c r="AC2062" i="1" s="1"/>
  <c r="D2064" i="1" l="1"/>
  <c r="W2064" i="1" s="1" a="1"/>
  <c r="W2064" i="1" s="1"/>
  <c r="AA2063" i="1"/>
  <c r="AC2063" i="1" s="1"/>
  <c r="D2065" i="1" l="1"/>
  <c r="W2065" i="1" s="1" a="1"/>
  <c r="W2065" i="1" s="1"/>
  <c r="AA2064" i="1"/>
  <c r="AC2064" i="1" s="1"/>
  <c r="D2066" i="1" l="1"/>
  <c r="W12" i="8" s="1"/>
  <c r="AA2065" i="1"/>
  <c r="AC2065" i="1" s="1"/>
  <c r="D2067" i="1" l="1"/>
  <c r="W2067" i="1" s="1" a="1"/>
  <c r="W2067" i="1" s="1"/>
  <c r="AA2066" i="1"/>
  <c r="AC2066" i="1" s="1"/>
  <c r="D2068" i="1" l="1"/>
  <c r="W2068" i="1" s="1" a="1"/>
  <c r="W2068" i="1" s="1"/>
  <c r="AA2067" i="1"/>
  <c r="AC2067" i="1" s="1"/>
  <c r="D2069" i="1" l="1"/>
  <c r="W2069" i="1" s="1" a="1"/>
  <c r="W2069" i="1" s="1"/>
  <c r="AA2068" i="1"/>
  <c r="AC2068" i="1" s="1"/>
  <c r="D2070" i="1" l="1"/>
  <c r="W2070" i="1" s="1" a="1"/>
  <c r="W2070" i="1" s="1"/>
  <c r="AA2069" i="1"/>
  <c r="AC2069" i="1" s="1"/>
  <c r="D2071" i="1" l="1"/>
  <c r="W2071" i="1" s="1" a="1"/>
  <c r="W2071" i="1" s="1"/>
  <c r="AA2070" i="1"/>
  <c r="AC2070" i="1" s="1"/>
  <c r="D2072" i="1" l="1"/>
  <c r="W2072" i="1" s="1" a="1"/>
  <c r="W2072" i="1" s="1"/>
  <c r="AA2071" i="1"/>
  <c r="AC2071" i="1" s="1"/>
  <c r="D2073" i="1" l="1"/>
  <c r="W2073" i="1" s="1" a="1"/>
  <c r="W2073" i="1" s="1"/>
  <c r="AA2072" i="1"/>
  <c r="AC2072" i="1" s="1"/>
  <c r="D2074" i="1" l="1"/>
  <c r="W2074" i="1" s="1" a="1"/>
  <c r="W2074" i="1" s="1"/>
  <c r="AA2073" i="1"/>
  <c r="AC2073" i="1" s="1"/>
  <c r="D2075" i="1" l="1"/>
  <c r="W2075" i="1" s="1" a="1"/>
  <c r="W2075" i="1" s="1"/>
  <c r="AA2074" i="1"/>
  <c r="AC2074" i="1" s="1"/>
  <c r="D2076" i="1" l="1"/>
  <c r="W2076" i="1" s="1" a="1"/>
  <c r="W2076" i="1" s="1"/>
  <c r="AA2075" i="1"/>
  <c r="AC2075" i="1" s="1"/>
  <c r="D2077" i="1" l="1"/>
  <c r="W2077" i="1" s="1" a="1"/>
  <c r="W2077" i="1" s="1"/>
  <c r="AA2076" i="1"/>
  <c r="AC2076" i="1" s="1"/>
  <c r="D2078" i="1" l="1"/>
  <c r="W2078" i="1" s="1" a="1"/>
  <c r="W2078" i="1" s="1"/>
  <c r="AA2077" i="1"/>
  <c r="AC2077" i="1" s="1"/>
  <c r="D2079" i="1" l="1"/>
  <c r="W2079" i="1" s="1" a="1"/>
  <c r="W2079" i="1" s="1"/>
  <c r="AA2078" i="1"/>
  <c r="AC2078" i="1" s="1"/>
  <c r="D2080" i="1" l="1"/>
  <c r="W2080" i="1" s="1" a="1"/>
  <c r="W2080" i="1" s="1"/>
  <c r="AA2079" i="1"/>
  <c r="AC2079" i="1" s="1"/>
  <c r="D2081" i="1" l="1"/>
  <c r="W2081" i="1" s="1" a="1"/>
  <c r="W2081" i="1" s="1"/>
  <c r="AA2080" i="1"/>
  <c r="AC2080" i="1" s="1"/>
  <c r="D2082" i="1" l="1"/>
  <c r="W2082" i="1" s="1" a="1"/>
  <c r="W2082" i="1" s="1"/>
  <c r="AA2081" i="1"/>
  <c r="AC2081" i="1" s="1"/>
  <c r="D2083" i="1" l="1"/>
  <c r="W2083" i="1" s="1" a="1"/>
  <c r="W2083" i="1" s="1"/>
  <c r="AA2082" i="1"/>
  <c r="AC2082" i="1" s="1"/>
  <c r="D2084" i="1" l="1"/>
  <c r="W2084" i="1" s="1" a="1"/>
  <c r="W2084" i="1" s="1"/>
  <c r="AA2083" i="1"/>
  <c r="AC2083" i="1" s="1"/>
  <c r="D2085" i="1" l="1"/>
  <c r="W2085" i="1" s="1" a="1"/>
  <c r="W2085" i="1" s="1"/>
  <c r="AA2084" i="1"/>
  <c r="AC2084" i="1" s="1"/>
  <c r="D2086" i="1" l="1"/>
  <c r="W2086" i="1" s="1" a="1"/>
  <c r="W2086" i="1" s="1"/>
  <c r="AA2085" i="1"/>
  <c r="AC2085" i="1" s="1"/>
  <c r="D2087" i="1" l="1"/>
  <c r="W2087" i="1" s="1" a="1"/>
  <c r="W2087" i="1" s="1"/>
  <c r="AA2086" i="1"/>
  <c r="AC2086" i="1" s="1"/>
  <c r="D2088" i="1" l="1"/>
  <c r="W2088" i="1" s="1" a="1"/>
  <c r="W2088" i="1" s="1"/>
  <c r="AA2087" i="1"/>
  <c r="AC2087" i="1" s="1"/>
  <c r="D2089" i="1" l="1"/>
  <c r="W2089" i="1" s="1" a="1"/>
  <c r="W2089" i="1" s="1"/>
  <c r="AA2088" i="1"/>
  <c r="AC2088" i="1" s="1"/>
  <c r="D2090" i="1" l="1"/>
  <c r="W2090" i="1" s="1" a="1"/>
  <c r="W2090" i="1" s="1"/>
  <c r="AA2089" i="1"/>
  <c r="AC2089" i="1" s="1"/>
  <c r="D2091" i="1" l="1"/>
  <c r="W2091" i="1" s="1" a="1"/>
  <c r="W2091" i="1" s="1"/>
  <c r="AA2090" i="1"/>
  <c r="AC2090" i="1" s="1"/>
  <c r="D2092" i="1" l="1"/>
  <c r="W2092" i="1" s="1" a="1"/>
  <c r="W2092" i="1" s="1"/>
  <c r="AA2091" i="1"/>
  <c r="AC2091" i="1" s="1"/>
  <c r="D2093" i="1" l="1"/>
  <c r="W2093" i="1" s="1" a="1"/>
  <c r="W2093" i="1" s="1"/>
  <c r="AA2092" i="1"/>
  <c r="AC2092" i="1" s="1"/>
  <c r="D2094" i="1" l="1"/>
  <c r="W2094" i="1" s="1" a="1"/>
  <c r="W2094" i="1" s="1"/>
  <c r="AA2093" i="1"/>
  <c r="AC2093" i="1" s="1"/>
  <c r="D2095" i="1" l="1"/>
  <c r="W2095" i="1" s="1" a="1"/>
  <c r="W2095" i="1" s="1"/>
  <c r="AA2094" i="1"/>
  <c r="AC2094" i="1" s="1"/>
  <c r="D2096" i="1" l="1"/>
  <c r="W2096" i="1" s="1" a="1"/>
  <c r="W2096" i="1" s="1"/>
  <c r="AA2095" i="1"/>
  <c r="AC2095" i="1" s="1"/>
  <c r="D2097" i="1" l="1"/>
  <c r="W2097" i="1" s="1" a="1"/>
  <c r="W2097" i="1" s="1"/>
  <c r="AA2096" i="1"/>
  <c r="AC2096" i="1" s="1"/>
  <c r="D2098" i="1" l="1"/>
  <c r="W2098" i="1" s="1" a="1"/>
  <c r="W2098" i="1" s="1"/>
  <c r="AA2097" i="1"/>
  <c r="AC2097" i="1" s="1"/>
  <c r="D2099" i="1" l="1"/>
  <c r="W2099" i="1" s="1" a="1"/>
  <c r="W2099" i="1" s="1"/>
  <c r="AA2098" i="1"/>
  <c r="AC2098" i="1" s="1"/>
  <c r="D2100" i="1" l="1"/>
  <c r="W2100" i="1" s="1" a="1"/>
  <c r="W2100" i="1" s="1"/>
  <c r="AA2099" i="1"/>
  <c r="AC2099" i="1" s="1"/>
  <c r="D2101" i="1" l="1"/>
  <c r="W2101" i="1" s="1" a="1"/>
  <c r="W2101" i="1" s="1"/>
  <c r="AA2100" i="1"/>
  <c r="AC2100" i="1" s="1"/>
  <c r="D2102" i="1" l="1"/>
  <c r="W2102" i="1" s="1" a="1"/>
  <c r="W2102" i="1" s="1"/>
  <c r="AA2101" i="1"/>
  <c r="AC2101" i="1" s="1"/>
  <c r="D2103" i="1" l="1"/>
  <c r="W2103" i="1" s="1" a="1"/>
  <c r="W2103" i="1" s="1"/>
  <c r="AA2102" i="1"/>
  <c r="AC2102" i="1" s="1"/>
  <c r="D2104" i="1" l="1"/>
  <c r="W2104" i="1" s="1" a="1"/>
  <c r="W2104" i="1" s="1"/>
  <c r="AA2103" i="1"/>
  <c r="AC2103" i="1" s="1"/>
  <c r="D2105" i="1" l="1"/>
  <c r="W2105" i="1" s="1" a="1"/>
  <c r="W2105" i="1" s="1"/>
  <c r="AA2104" i="1"/>
  <c r="AC2104" i="1" s="1"/>
  <c r="D2106" i="1" l="1"/>
  <c r="W2106" i="1" s="1" a="1"/>
  <c r="W2106" i="1" s="1"/>
  <c r="AA2105" i="1"/>
  <c r="AC2105" i="1" s="1"/>
  <c r="D2107" i="1" l="1"/>
  <c r="W2107" i="1" s="1" a="1"/>
  <c r="W2107" i="1" s="1"/>
  <c r="AA2106" i="1"/>
  <c r="AC2106" i="1" s="1"/>
  <c r="D2108" i="1" l="1"/>
  <c r="W2108" i="1" s="1" a="1"/>
  <c r="W2108" i="1" s="1"/>
  <c r="AA2107" i="1"/>
  <c r="AC2107" i="1" s="1"/>
  <c r="D2109" i="1" l="1"/>
  <c r="W2109" i="1" s="1" a="1"/>
  <c r="W2109" i="1" s="1"/>
  <c r="AA2108" i="1"/>
  <c r="AC2108" i="1" s="1"/>
  <c r="D2110" i="1" l="1"/>
  <c r="W2110" i="1" s="1" a="1"/>
  <c r="W2110" i="1" s="1"/>
  <c r="AA2109" i="1"/>
  <c r="AC2109" i="1" s="1"/>
  <c r="D2111" i="1" l="1"/>
  <c r="W46" i="8" s="1"/>
  <c r="AA2110" i="1"/>
  <c r="AC2110" i="1" s="1"/>
  <c r="D2112" i="1" l="1"/>
  <c r="W2112" i="1" s="1" a="1"/>
  <c r="W2112" i="1" s="1"/>
  <c r="AA2111" i="1"/>
  <c r="AC2111" i="1" s="1"/>
  <c r="D2113" i="1" l="1"/>
  <c r="W2113" i="1" s="1" a="1"/>
  <c r="W2113" i="1" s="1"/>
  <c r="AA2112" i="1"/>
  <c r="AC2112" i="1" s="1"/>
  <c r="D2114" i="1" l="1"/>
  <c r="W2114" i="1" s="1" a="1"/>
  <c r="W2114" i="1" s="1"/>
  <c r="AA2113" i="1"/>
  <c r="AC2113" i="1" s="1"/>
  <c r="D2115" i="1" l="1"/>
  <c r="W2115" i="1" s="1" a="1"/>
  <c r="W2115" i="1" s="1"/>
  <c r="AA2114" i="1"/>
  <c r="AC2114" i="1" s="1"/>
  <c r="D2116" i="1" l="1"/>
  <c r="W2116" i="1" s="1" a="1"/>
  <c r="W2116" i="1" s="1"/>
  <c r="AA2115" i="1"/>
  <c r="AC2115" i="1" s="1"/>
  <c r="D2117" i="1" l="1"/>
  <c r="W2117" i="1" s="1" a="1"/>
  <c r="W2117" i="1" s="1"/>
  <c r="AA2116" i="1"/>
  <c r="AC2116" i="1" s="1"/>
  <c r="D2118" i="1" l="1"/>
  <c r="W2118" i="1" s="1" a="1"/>
  <c r="W2118" i="1" s="1"/>
  <c r="AA2117" i="1"/>
  <c r="AC2117" i="1" s="1"/>
  <c r="D2119" i="1" l="1"/>
  <c r="W2119" i="1" s="1" a="1"/>
  <c r="W2119" i="1" s="1"/>
  <c r="AA2118" i="1"/>
  <c r="AC2118" i="1" s="1"/>
  <c r="D2120" i="1" l="1"/>
  <c r="W2120" i="1" s="1" a="1"/>
  <c r="W2120" i="1" s="1"/>
  <c r="AA2119" i="1"/>
  <c r="AC2119" i="1" s="1"/>
  <c r="D2121" i="1" l="1"/>
  <c r="W2121" i="1" s="1" a="1"/>
  <c r="W2121" i="1" s="1"/>
  <c r="AA2120" i="1"/>
  <c r="AC2120" i="1" s="1"/>
  <c r="D2122" i="1" l="1"/>
  <c r="W2122" i="1" s="1" a="1"/>
  <c r="W2122" i="1" s="1"/>
  <c r="AA2121" i="1"/>
  <c r="AC2121" i="1" s="1"/>
  <c r="D2123" i="1" l="1"/>
  <c r="W2123" i="1" s="1" a="1"/>
  <c r="W2123" i="1" s="1"/>
  <c r="AA2122" i="1"/>
  <c r="AC2122" i="1" s="1"/>
  <c r="D2124" i="1" l="1"/>
  <c r="W2124" i="1" s="1" a="1"/>
  <c r="W2124" i="1" s="1"/>
  <c r="AA2123" i="1"/>
  <c r="AC2123" i="1" s="1"/>
  <c r="D2125" i="1" l="1"/>
  <c r="W2125" i="1" s="1" a="1"/>
  <c r="W2125" i="1" s="1"/>
  <c r="AA2124" i="1"/>
  <c r="AC2124" i="1" s="1"/>
  <c r="D2126" i="1" l="1"/>
  <c r="W2126" i="1" s="1" a="1"/>
  <c r="W2126" i="1" s="1"/>
  <c r="AA2125" i="1"/>
  <c r="AC2125" i="1" s="1"/>
  <c r="D2127" i="1" l="1"/>
  <c r="W2127" i="1" s="1" a="1"/>
  <c r="W2127" i="1" s="1"/>
  <c r="AA2126" i="1"/>
  <c r="AC2126" i="1" s="1"/>
  <c r="D2128" i="1" l="1"/>
  <c r="W2128" i="1" s="1" a="1"/>
  <c r="W2128" i="1" s="1"/>
  <c r="AA2127" i="1"/>
  <c r="AC2127" i="1" s="1"/>
  <c r="D2129" i="1" l="1"/>
  <c r="W2129" i="1" s="1" a="1"/>
  <c r="W2129" i="1" s="1"/>
  <c r="AA2128" i="1"/>
  <c r="AC2128" i="1" s="1"/>
  <c r="D2130" i="1" l="1"/>
  <c r="W2130" i="1" s="1" a="1"/>
  <c r="W2130" i="1" s="1"/>
  <c r="AA2129" i="1"/>
  <c r="AC2129" i="1" s="1"/>
  <c r="D2131" i="1" l="1"/>
  <c r="W2131" i="1" s="1" a="1"/>
  <c r="W2131" i="1" s="1"/>
  <c r="AA2130" i="1"/>
  <c r="AC2130" i="1" s="1"/>
  <c r="D2132" i="1" l="1"/>
  <c r="W2132" i="1" s="1" a="1"/>
  <c r="W2132" i="1" s="1"/>
  <c r="AA2131" i="1"/>
  <c r="AC2131" i="1" s="1"/>
  <c r="D2133" i="1" l="1"/>
  <c r="W2133" i="1" s="1" a="1"/>
  <c r="W2133" i="1" s="1"/>
  <c r="AA2132" i="1"/>
  <c r="AC2132" i="1" s="1"/>
  <c r="D2134" i="1" l="1"/>
  <c r="W2134" i="1" s="1" a="1"/>
  <c r="W2134" i="1" s="1"/>
  <c r="AA2133" i="1"/>
  <c r="AC2133" i="1" s="1"/>
  <c r="D2135" i="1" l="1"/>
  <c r="W2135" i="1" s="1" a="1"/>
  <c r="W2135" i="1" s="1"/>
  <c r="AA2134" i="1"/>
  <c r="AC2134" i="1" s="1"/>
  <c r="D2136" i="1" l="1"/>
  <c r="W2136" i="1" s="1" a="1"/>
  <c r="W2136" i="1" s="1"/>
  <c r="AA2135" i="1"/>
  <c r="AC2135" i="1" s="1"/>
  <c r="D2137" i="1" l="1"/>
  <c r="W2137" i="1" s="1" a="1"/>
  <c r="W2137" i="1" s="1"/>
  <c r="AA2136" i="1"/>
  <c r="AC2136" i="1" s="1"/>
  <c r="D2138" i="1" l="1"/>
  <c r="W2138" i="1" s="1" a="1"/>
  <c r="W2138" i="1" s="1"/>
  <c r="AA2137" i="1"/>
  <c r="AC2137" i="1" s="1"/>
  <c r="D2139" i="1" l="1"/>
  <c r="W2139" i="1" s="1" a="1"/>
  <c r="W2139" i="1" s="1"/>
  <c r="AA2138" i="1"/>
  <c r="AC2138" i="1" s="1"/>
  <c r="D2140" i="1" l="1"/>
  <c r="W2140" i="1" s="1" a="1"/>
  <c r="W2140" i="1" s="1"/>
  <c r="AA2139" i="1"/>
  <c r="AC2139" i="1" s="1"/>
  <c r="D2141" i="1" l="1"/>
  <c r="W2141" i="1" s="1" a="1"/>
  <c r="W2141" i="1" s="1"/>
  <c r="AA2140" i="1"/>
  <c r="AC2140" i="1" s="1"/>
  <c r="D2142" i="1" l="1"/>
  <c r="W2142" i="1" s="1" a="1"/>
  <c r="W2142" i="1" s="1"/>
  <c r="AA2141" i="1"/>
  <c r="AC2141" i="1" s="1"/>
  <c r="D2143" i="1" l="1"/>
  <c r="W2143" i="1" s="1" a="1"/>
  <c r="W2143" i="1" s="1"/>
  <c r="AA2142" i="1"/>
  <c r="AC2142" i="1" s="1"/>
  <c r="D2144" i="1" l="1"/>
  <c r="W2144" i="1" s="1" a="1"/>
  <c r="W2144" i="1" s="1"/>
  <c r="AA2143" i="1"/>
  <c r="AC2143" i="1" s="1"/>
  <c r="D2145" i="1" l="1"/>
  <c r="W2145" i="1" s="1" a="1"/>
  <c r="W2145" i="1" s="1"/>
  <c r="AA2144" i="1"/>
  <c r="AC2144" i="1" s="1"/>
  <c r="D2146" i="1" l="1"/>
  <c r="W2146" i="1" s="1" a="1"/>
  <c r="W2146" i="1" s="1"/>
  <c r="AA2145" i="1"/>
  <c r="AC2145" i="1" s="1"/>
  <c r="D2147" i="1" l="1"/>
  <c r="W2147" i="1" s="1" a="1"/>
  <c r="W2147" i="1" s="1"/>
  <c r="AA2146" i="1"/>
  <c r="AC2146" i="1" s="1"/>
  <c r="D2148" i="1" l="1"/>
  <c r="W2148" i="1" s="1" a="1"/>
  <c r="W2148" i="1" s="1"/>
  <c r="AA2147" i="1"/>
  <c r="AC2147" i="1" s="1"/>
  <c r="D2149" i="1" l="1"/>
  <c r="W2149" i="1" s="1" a="1"/>
  <c r="W2149" i="1" s="1"/>
  <c r="AA2148" i="1"/>
  <c r="AC2148" i="1" s="1"/>
  <c r="D2150" i="1" l="1"/>
  <c r="W2150" i="1" s="1" a="1"/>
  <c r="W2150" i="1" s="1"/>
  <c r="AA2149" i="1"/>
  <c r="AC2149" i="1" s="1"/>
  <c r="D2151" i="1" l="1"/>
  <c r="W2151" i="1" s="1" a="1"/>
  <c r="W2151" i="1" s="1"/>
  <c r="AA2150" i="1"/>
  <c r="AC2150" i="1" s="1"/>
  <c r="D2152" i="1" l="1"/>
  <c r="W2152" i="1" s="1" a="1"/>
  <c r="W2152" i="1" s="1"/>
  <c r="AA2151" i="1"/>
  <c r="AC2151" i="1" s="1"/>
  <c r="D2153" i="1" l="1"/>
  <c r="W2153" i="1" s="1" a="1"/>
  <c r="W2153" i="1" s="1"/>
  <c r="AA2152" i="1"/>
  <c r="AC2152" i="1" s="1"/>
  <c r="D2154" i="1" l="1"/>
  <c r="W2154" i="1" s="1" a="1"/>
  <c r="W2154" i="1" s="1"/>
  <c r="AA2153" i="1"/>
  <c r="AC2153" i="1" s="1"/>
  <c r="D2155" i="1" l="1"/>
  <c r="W2155" i="1" s="1" a="1"/>
  <c r="W2155" i="1" s="1"/>
  <c r="AA2154" i="1"/>
  <c r="AC2154" i="1" s="1"/>
  <c r="D2156" i="1" l="1"/>
  <c r="W2156" i="1" s="1" a="1"/>
  <c r="W2156" i="1" s="1"/>
  <c r="AA2155" i="1"/>
  <c r="AC2155" i="1" s="1"/>
  <c r="D2157" i="1" l="1"/>
  <c r="W2157" i="1" s="1" a="1"/>
  <c r="W2157" i="1" s="1"/>
  <c r="AA2156" i="1"/>
  <c r="AC2156" i="1" s="1"/>
  <c r="D2158" i="1" l="1"/>
  <c r="W2158" i="1" s="1" a="1"/>
  <c r="W2158" i="1" s="1"/>
  <c r="AA2157" i="1"/>
  <c r="AC2157" i="1" s="1"/>
  <c r="D2159" i="1" l="1"/>
  <c r="W2159" i="1" s="1" a="1"/>
  <c r="W2159" i="1" s="1"/>
  <c r="AA2158" i="1"/>
  <c r="AC2158" i="1" s="1"/>
  <c r="D2160" i="1" l="1"/>
  <c r="W2160" i="1" s="1" a="1"/>
  <c r="W2160" i="1" s="1"/>
  <c r="AA2159" i="1"/>
  <c r="AC2159" i="1" s="1"/>
  <c r="D2161" i="1" l="1"/>
  <c r="W2161" i="1" s="1" a="1"/>
  <c r="W2161" i="1" s="1"/>
  <c r="AA2160" i="1"/>
  <c r="AC2160" i="1" s="1"/>
  <c r="D2162" i="1" l="1"/>
  <c r="W2162" i="1" s="1" a="1"/>
  <c r="W2162" i="1" s="1"/>
  <c r="AA2161" i="1"/>
  <c r="AC2161" i="1" s="1"/>
  <c r="D2163" i="1" l="1"/>
  <c r="W2163" i="1" s="1" a="1"/>
  <c r="W2163" i="1" s="1"/>
  <c r="AA2162" i="1"/>
  <c r="AC2162" i="1" s="1"/>
  <c r="D2164" i="1" l="1"/>
  <c r="W2164" i="1" s="1" a="1"/>
  <c r="W2164" i="1" s="1"/>
  <c r="AA2163" i="1"/>
  <c r="AC2163" i="1" s="1"/>
  <c r="D2165" i="1" l="1"/>
  <c r="W2165" i="1" s="1" a="1"/>
  <c r="W2165" i="1" s="1"/>
  <c r="AA2164" i="1"/>
  <c r="AC2164" i="1" s="1"/>
  <c r="D2166" i="1" l="1"/>
  <c r="W2166" i="1" s="1" a="1"/>
  <c r="W2166" i="1" s="1"/>
  <c r="AA2165" i="1"/>
  <c r="AC2165" i="1" s="1"/>
  <c r="D2167" i="1" l="1"/>
  <c r="W2167" i="1" s="1" a="1"/>
  <c r="W2167" i="1" s="1"/>
  <c r="AA2166" i="1"/>
  <c r="AC2166" i="1" s="1"/>
  <c r="D2168" i="1" l="1"/>
  <c r="W2168" i="1" s="1" a="1"/>
  <c r="W2168" i="1" s="1"/>
  <c r="AA2167" i="1"/>
  <c r="AC2167" i="1" s="1"/>
  <c r="D2169" i="1" l="1"/>
  <c r="W2169" i="1" s="1" a="1"/>
  <c r="W2169" i="1" s="1"/>
  <c r="AA2168" i="1"/>
  <c r="AC2168" i="1" s="1"/>
  <c r="D2170" i="1" l="1"/>
  <c r="W2170" i="1" s="1" a="1"/>
  <c r="W2170" i="1" s="1"/>
  <c r="AA2169" i="1"/>
  <c r="AC2169" i="1" s="1"/>
  <c r="D2171" i="1" l="1"/>
  <c r="W2171" i="1" s="1" a="1"/>
  <c r="W2171" i="1" s="1"/>
  <c r="AA2170" i="1"/>
  <c r="AC2170" i="1" s="1"/>
  <c r="D2172" i="1" l="1"/>
  <c r="W2172" i="1" s="1" a="1"/>
  <c r="W2172" i="1" s="1"/>
  <c r="AA2171" i="1"/>
  <c r="AC2171" i="1" s="1"/>
  <c r="D2173" i="1" l="1"/>
  <c r="W2173" i="1" s="1" a="1"/>
  <c r="W2173" i="1" s="1"/>
  <c r="AA2172" i="1"/>
  <c r="AC2172" i="1" s="1"/>
  <c r="D2174" i="1" l="1"/>
  <c r="W2174" i="1" s="1" a="1"/>
  <c r="W2174" i="1" s="1"/>
  <c r="AA2173" i="1"/>
  <c r="AC2173" i="1" s="1"/>
  <c r="D2175" i="1" l="1"/>
  <c r="W2175" i="1" s="1" a="1"/>
  <c r="W2175" i="1" s="1"/>
  <c r="AA2174" i="1"/>
  <c r="AC2174" i="1" s="1"/>
  <c r="D2176" i="1" l="1"/>
  <c r="W2176" i="1" s="1" a="1"/>
  <c r="W2176" i="1" s="1"/>
  <c r="AA2175" i="1"/>
  <c r="AC2175" i="1" s="1"/>
  <c r="D2177" i="1" l="1"/>
  <c r="W2177" i="1" s="1" a="1"/>
  <c r="W2177" i="1" s="1"/>
  <c r="AA2176" i="1"/>
  <c r="AC2176" i="1" s="1"/>
  <c r="D2178" i="1" l="1"/>
  <c r="W2178" i="1" s="1" a="1"/>
  <c r="W2178" i="1" s="1"/>
  <c r="AA2177" i="1"/>
  <c r="AC2177" i="1" s="1"/>
  <c r="D2179" i="1" l="1"/>
  <c r="W2179" i="1" s="1" a="1"/>
  <c r="W2179" i="1" s="1"/>
  <c r="AA2178" i="1"/>
  <c r="AC2178" i="1" s="1"/>
  <c r="D2180" i="1" l="1"/>
  <c r="W2180" i="1" s="1" a="1"/>
  <c r="W2180" i="1" s="1"/>
  <c r="AA2179" i="1"/>
  <c r="AC2179" i="1" s="1"/>
  <c r="D2181" i="1" l="1"/>
  <c r="W2181" i="1" s="1" a="1"/>
  <c r="W2181" i="1" s="1"/>
  <c r="AA2180" i="1"/>
  <c r="AC2180" i="1" s="1"/>
  <c r="D2182" i="1" l="1"/>
  <c r="W2182" i="1" s="1" a="1"/>
  <c r="W2182" i="1" s="1"/>
  <c r="AA2181" i="1"/>
  <c r="AC2181" i="1" s="1"/>
  <c r="D2183" i="1" l="1"/>
  <c r="W2183" i="1" s="1" a="1"/>
  <c r="W2183" i="1" s="1"/>
  <c r="AA2182" i="1"/>
  <c r="AC2182" i="1" s="1"/>
  <c r="D2184" i="1" l="1"/>
  <c r="W2184" i="1" s="1" a="1"/>
  <c r="W2184" i="1" s="1"/>
  <c r="AA2183" i="1"/>
  <c r="AC2183" i="1" s="1"/>
  <c r="D2185" i="1" l="1"/>
  <c r="W2185" i="1" s="1" a="1"/>
  <c r="W2185" i="1" s="1"/>
  <c r="AA2184" i="1"/>
  <c r="AC2184" i="1" s="1"/>
  <c r="D2186" i="1" l="1"/>
  <c r="W2186" i="1" s="1" a="1"/>
  <c r="W2186" i="1" s="1"/>
  <c r="AA2185" i="1"/>
  <c r="AC2185" i="1" s="1"/>
  <c r="D2187" i="1" l="1"/>
  <c r="W2187" i="1" s="1" a="1"/>
  <c r="W2187" i="1" s="1"/>
  <c r="AA2186" i="1"/>
  <c r="AC2186" i="1" s="1"/>
  <c r="D2188" i="1" l="1"/>
  <c r="AA2187" i="1"/>
  <c r="AC2187" i="1" s="1"/>
  <c r="W16" i="8" l="1"/>
  <c r="W47" i="8"/>
  <c r="D2189" i="1"/>
  <c r="W2189" i="1" s="1" a="1"/>
  <c r="W2189" i="1" s="1"/>
  <c r="AA2188" i="1"/>
  <c r="AC2188" i="1" s="1"/>
  <c r="D2190" i="1" l="1"/>
  <c r="W2190" i="1" s="1" a="1"/>
  <c r="W2190" i="1" s="1"/>
  <c r="AA2189" i="1"/>
  <c r="AC2189" i="1" s="1"/>
  <c r="D2191" i="1" l="1"/>
  <c r="W2191" i="1" s="1" a="1"/>
  <c r="W2191" i="1" s="1"/>
  <c r="AA2190" i="1"/>
  <c r="AC2190" i="1" s="1"/>
  <c r="D2192" i="1" l="1"/>
  <c r="W2192" i="1" s="1" a="1"/>
  <c r="W2192" i="1" s="1"/>
  <c r="AA2191" i="1"/>
  <c r="AC2191" i="1" s="1"/>
  <c r="D2193" i="1" l="1"/>
  <c r="W2193" i="1" s="1" a="1"/>
  <c r="W2193" i="1" s="1"/>
  <c r="AA2192" i="1"/>
  <c r="AC2192" i="1" s="1"/>
  <c r="D2194" i="1" l="1"/>
  <c r="W2194" i="1" s="1" a="1"/>
  <c r="W2194" i="1" s="1"/>
  <c r="AA2193" i="1"/>
  <c r="AC2193" i="1" s="1"/>
  <c r="D2195" i="1" l="1"/>
  <c r="W2195" i="1" s="1" a="1"/>
  <c r="W2195" i="1" s="1"/>
  <c r="AA2194" i="1"/>
  <c r="AC2194" i="1" s="1"/>
  <c r="D2196" i="1" l="1"/>
  <c r="W2196" i="1" s="1" a="1"/>
  <c r="W2196" i="1" s="1"/>
  <c r="AA2195" i="1"/>
  <c r="AC2195" i="1" s="1"/>
  <c r="D2197" i="1" l="1"/>
  <c r="W2197" i="1" s="1" a="1"/>
  <c r="W2197" i="1" s="1"/>
  <c r="AA2196" i="1"/>
  <c r="AC2196" i="1" s="1"/>
  <c r="D2198" i="1" l="1"/>
  <c r="W2198" i="1" s="1" a="1"/>
  <c r="W2198" i="1" s="1"/>
  <c r="AA2197" i="1"/>
  <c r="AC2197" i="1" s="1"/>
  <c r="D2199" i="1" l="1"/>
  <c r="W2199" i="1" s="1" a="1"/>
  <c r="W2199" i="1" s="1"/>
  <c r="AA2198" i="1"/>
  <c r="AC2198" i="1" s="1"/>
  <c r="D2200" i="1" l="1"/>
  <c r="W2200" i="1" s="1" a="1"/>
  <c r="W2200" i="1" s="1"/>
  <c r="AA2199" i="1"/>
  <c r="AC2199" i="1" s="1"/>
  <c r="D2201" i="1" l="1"/>
  <c r="W2201" i="1" s="1" a="1"/>
  <c r="W2201" i="1" s="1"/>
  <c r="AA2200" i="1"/>
  <c r="AC2200" i="1" s="1"/>
  <c r="D2202" i="1" l="1"/>
  <c r="W2202" i="1" s="1" a="1"/>
  <c r="W2202" i="1" s="1"/>
  <c r="AA2201" i="1"/>
  <c r="AC2201" i="1" s="1"/>
  <c r="D2203" i="1" l="1"/>
  <c r="W2203" i="1" s="1" a="1"/>
  <c r="W2203" i="1" s="1"/>
  <c r="AA2202" i="1"/>
  <c r="AC2202" i="1" s="1"/>
  <c r="D2204" i="1" l="1"/>
  <c r="W2204" i="1" s="1" a="1"/>
  <c r="W2204" i="1" s="1"/>
  <c r="AA2203" i="1"/>
  <c r="AC2203" i="1" s="1"/>
  <c r="D2205" i="1" l="1"/>
  <c r="W2205" i="1" s="1" a="1"/>
  <c r="W2205" i="1" s="1"/>
  <c r="AA2204" i="1"/>
  <c r="AC2204" i="1" s="1"/>
  <c r="D2206" i="1" l="1"/>
  <c r="W2206" i="1" s="1" a="1"/>
  <c r="W2206" i="1" s="1"/>
  <c r="AA2205" i="1"/>
  <c r="AC2205" i="1" s="1"/>
  <c r="D2207" i="1" l="1"/>
  <c r="W2207" i="1" s="1" a="1"/>
  <c r="W2207" i="1" s="1"/>
  <c r="AA2206" i="1"/>
  <c r="AC2206" i="1" s="1"/>
  <c r="D2208" i="1" l="1"/>
  <c r="W2208" i="1" s="1" a="1"/>
  <c r="W2208" i="1" s="1"/>
  <c r="AA2207" i="1"/>
  <c r="AC2207" i="1" s="1"/>
  <c r="D2209" i="1" l="1"/>
  <c r="W2209" i="1" s="1" a="1"/>
  <c r="W2209" i="1" s="1"/>
  <c r="AA2208" i="1"/>
  <c r="AC2208" i="1" s="1"/>
  <c r="D2210" i="1" l="1"/>
  <c r="W2210" i="1" s="1" a="1"/>
  <c r="W2210" i="1" s="1"/>
  <c r="AA2209" i="1"/>
  <c r="AC2209" i="1" s="1"/>
  <c r="D2211" i="1" l="1"/>
  <c r="W2211" i="1" s="1" a="1"/>
  <c r="W2211" i="1" s="1"/>
  <c r="AA2210" i="1"/>
  <c r="AC2210" i="1" s="1"/>
  <c r="D2212" i="1" l="1"/>
  <c r="W2212" i="1" s="1" a="1"/>
  <c r="W2212" i="1" s="1"/>
  <c r="AA2211" i="1"/>
  <c r="AC2211" i="1" s="1"/>
  <c r="D2213" i="1" l="1"/>
  <c r="W2213" i="1" s="1" a="1"/>
  <c r="W2213" i="1" s="1"/>
  <c r="AA2212" i="1"/>
  <c r="AC2212" i="1" s="1"/>
  <c r="D2214" i="1" l="1"/>
  <c r="W2214" i="1" s="1" a="1"/>
  <c r="W2214" i="1" s="1"/>
  <c r="AA2213" i="1"/>
  <c r="AC2213" i="1" s="1"/>
  <c r="D2215" i="1" l="1"/>
  <c r="W2215" i="1" s="1" a="1"/>
  <c r="W2215" i="1" s="1"/>
  <c r="AA2214" i="1"/>
  <c r="AC2214" i="1" s="1"/>
  <c r="D2216" i="1" l="1"/>
  <c r="W2216" i="1" s="1" a="1"/>
  <c r="W2216" i="1" s="1"/>
  <c r="AA2215" i="1"/>
  <c r="AC2215" i="1" s="1"/>
  <c r="D2217" i="1" l="1"/>
  <c r="W2217" i="1" s="1" a="1"/>
  <c r="W2217" i="1" s="1"/>
  <c r="AA2216" i="1"/>
  <c r="AC2216" i="1" s="1"/>
  <c r="D2218" i="1" l="1"/>
  <c r="W2218" i="1" s="1" a="1"/>
  <c r="W2218" i="1" s="1"/>
  <c r="AA2217" i="1"/>
  <c r="AC2217" i="1" s="1"/>
  <c r="D2219" i="1" l="1"/>
  <c r="W2219" i="1" s="1" a="1"/>
  <c r="W2219" i="1" s="1"/>
  <c r="AA2218" i="1"/>
  <c r="AC2218" i="1" s="1"/>
  <c r="D2220" i="1" l="1"/>
  <c r="W2220" i="1" s="1" a="1"/>
  <c r="W2220" i="1" s="1"/>
  <c r="AA2219" i="1"/>
  <c r="AC2219" i="1" s="1"/>
  <c r="D2221" i="1" l="1"/>
  <c r="W2221" i="1" s="1" a="1"/>
  <c r="W2221" i="1" s="1"/>
  <c r="AA2220" i="1"/>
  <c r="AC2220" i="1" s="1"/>
  <c r="D2222" i="1" l="1"/>
  <c r="W2222" i="1" s="1" a="1"/>
  <c r="W2222" i="1" s="1"/>
  <c r="AA2221" i="1"/>
  <c r="AC2221" i="1" s="1"/>
  <c r="D2223" i="1" l="1"/>
  <c r="W2223" i="1" s="1" a="1"/>
  <c r="W2223" i="1" s="1"/>
  <c r="AA2222" i="1"/>
  <c r="AC2222" i="1" s="1"/>
  <c r="D2224" i="1" l="1"/>
  <c r="AA2223" i="1"/>
  <c r="AC2223" i="1" s="1"/>
  <c r="D2225" i="1" l="1"/>
  <c r="W2225" i="1" s="1" a="1"/>
  <c r="W2225" i="1" s="1"/>
  <c r="AA2224" i="1"/>
  <c r="AC2224" i="1" s="1"/>
  <c r="D2226" i="1" l="1"/>
  <c r="W2226" i="1" s="1" a="1"/>
  <c r="W2226" i="1" s="1"/>
  <c r="AA2225" i="1"/>
  <c r="AC2225" i="1" s="1"/>
  <c r="D2227" i="1" l="1"/>
  <c r="W2227" i="1" s="1" a="1"/>
  <c r="W2227" i="1" s="1"/>
  <c r="AA2226" i="1"/>
  <c r="AC2226" i="1" s="1"/>
  <c r="D2228" i="1" l="1"/>
  <c r="W2228" i="1" s="1" a="1"/>
  <c r="W2228" i="1" s="1"/>
  <c r="AA2227" i="1"/>
  <c r="AC2227" i="1" s="1"/>
  <c r="D2229" i="1" l="1"/>
  <c r="W2229" i="1" s="1" a="1"/>
  <c r="W2229" i="1" s="1"/>
  <c r="AA2228" i="1"/>
  <c r="AC2228" i="1" s="1"/>
  <c r="D2230" i="1" l="1"/>
  <c r="W2230" i="1" s="1" a="1"/>
  <c r="W2230" i="1" s="1"/>
  <c r="AA2229" i="1"/>
  <c r="AC2229" i="1" s="1"/>
  <c r="D2231" i="1" l="1"/>
  <c r="W2231" i="1" s="1" a="1"/>
  <c r="W2231" i="1" s="1"/>
  <c r="AA2230" i="1"/>
  <c r="AC2230" i="1" s="1"/>
  <c r="D2232" i="1" l="1"/>
  <c r="W2232" i="1" s="1" a="1"/>
  <c r="W2232" i="1" s="1"/>
  <c r="AA2231" i="1"/>
  <c r="AC2231" i="1" s="1"/>
  <c r="D2233" i="1" l="1"/>
  <c r="W2233" i="1" s="1" a="1"/>
  <c r="W2233" i="1" s="1"/>
  <c r="AA2232" i="1"/>
  <c r="AC2232" i="1" s="1"/>
  <c r="D2234" i="1" l="1"/>
  <c r="W2234" i="1" s="1" a="1"/>
  <c r="W2234" i="1" s="1"/>
  <c r="AA2233" i="1"/>
  <c r="AC2233" i="1" s="1"/>
  <c r="D2235" i="1" l="1"/>
  <c r="W2235" i="1" s="1" a="1"/>
  <c r="W2235" i="1" s="1"/>
  <c r="AA2234" i="1"/>
  <c r="AC2234" i="1" s="1"/>
  <c r="D2236" i="1" l="1"/>
  <c r="W2236" i="1" s="1" a="1"/>
  <c r="W2236" i="1" s="1"/>
  <c r="AA2235" i="1"/>
  <c r="AC2235" i="1" s="1"/>
  <c r="D2237" i="1" l="1"/>
  <c r="W2237" i="1" s="1" a="1"/>
  <c r="W2237" i="1" s="1"/>
  <c r="AA2236" i="1"/>
  <c r="AC2236" i="1" s="1"/>
  <c r="D2238" i="1" l="1"/>
  <c r="W2238" i="1" s="1" a="1"/>
  <c r="W2238" i="1" s="1"/>
  <c r="AA2237" i="1"/>
  <c r="AC2237" i="1" s="1"/>
  <c r="D2239" i="1" l="1"/>
  <c r="W2239" i="1" s="1" a="1"/>
  <c r="W2239" i="1" s="1"/>
  <c r="AA2238" i="1"/>
  <c r="AC2238" i="1" s="1"/>
  <c r="D2240" i="1" l="1"/>
  <c r="W2240" i="1" s="1" a="1"/>
  <c r="W2240" i="1" s="1"/>
  <c r="AA2239" i="1"/>
  <c r="AC2239" i="1" s="1"/>
  <c r="D2241" i="1" l="1"/>
  <c r="W2241" i="1" s="1" a="1"/>
  <c r="W2241" i="1" s="1"/>
  <c r="AA2240" i="1"/>
  <c r="AC2240" i="1" s="1"/>
  <c r="D2242" i="1" l="1"/>
  <c r="W2242" i="1" s="1" a="1"/>
  <c r="W2242" i="1" s="1"/>
  <c r="AA2241" i="1"/>
  <c r="AC2241" i="1" s="1"/>
  <c r="D2243" i="1" l="1"/>
  <c r="W2243" i="1" s="1" a="1"/>
  <c r="W2243" i="1" s="1"/>
  <c r="AA2242" i="1"/>
  <c r="AC2242" i="1" s="1"/>
  <c r="D2244" i="1" l="1"/>
  <c r="W2244" i="1" s="1" a="1"/>
  <c r="W2244" i="1" s="1"/>
  <c r="AA2243" i="1"/>
  <c r="AC2243" i="1" s="1"/>
  <c r="D2245" i="1" l="1"/>
  <c r="W2245" i="1" s="1" a="1"/>
  <c r="W2245" i="1" s="1"/>
  <c r="AA2244" i="1"/>
  <c r="AC2244" i="1" s="1"/>
  <c r="D2246" i="1" l="1"/>
  <c r="W2246" i="1" s="1" a="1"/>
  <c r="W2246" i="1" s="1"/>
  <c r="AA2245" i="1"/>
  <c r="AC2245" i="1" s="1"/>
  <c r="D2247" i="1" l="1"/>
  <c r="W2247" i="1" s="1" a="1"/>
  <c r="W2247" i="1" s="1"/>
  <c r="AA2246" i="1"/>
  <c r="AC2246" i="1" s="1"/>
  <c r="D2248" i="1" l="1"/>
  <c r="W2248" i="1" s="1" a="1"/>
  <c r="W2248" i="1" s="1"/>
  <c r="AA2247" i="1"/>
  <c r="AC2247" i="1" s="1"/>
  <c r="D2249" i="1" l="1"/>
  <c r="W2249" i="1" s="1" a="1"/>
  <c r="W2249" i="1" s="1"/>
  <c r="AA2248" i="1"/>
  <c r="AC2248" i="1" s="1"/>
  <c r="D2250" i="1" l="1"/>
  <c r="W2250" i="1" s="1" a="1"/>
  <c r="W2250" i="1" s="1"/>
  <c r="AA2249" i="1"/>
  <c r="AC2249" i="1" s="1"/>
  <c r="D2251" i="1" l="1"/>
  <c r="W2251" i="1" s="1" a="1"/>
  <c r="W2251" i="1" s="1"/>
  <c r="AA2250" i="1"/>
  <c r="AC2250" i="1" s="1"/>
  <c r="D2252" i="1" l="1"/>
  <c r="W2252" i="1" s="1" a="1"/>
  <c r="W2252" i="1" s="1"/>
  <c r="AA2251" i="1"/>
  <c r="AC2251" i="1" s="1"/>
  <c r="D2253" i="1" l="1"/>
  <c r="W2253" i="1" s="1" a="1"/>
  <c r="W2253" i="1" s="1"/>
  <c r="AA2252" i="1"/>
  <c r="AC2252" i="1" s="1"/>
  <c r="D2254" i="1" l="1"/>
  <c r="W2254" i="1" s="1" a="1"/>
  <c r="W2254" i="1" s="1"/>
  <c r="AA2253" i="1"/>
  <c r="AC2253" i="1" s="1"/>
  <c r="D2255" i="1" l="1"/>
  <c r="W2255" i="1" s="1" a="1"/>
  <c r="W2255" i="1" s="1"/>
  <c r="AA2254" i="1"/>
  <c r="AC2254" i="1" s="1"/>
  <c r="D2256" i="1" l="1"/>
  <c r="W2256" i="1" s="1" a="1"/>
  <c r="W2256" i="1" s="1"/>
  <c r="AA2255" i="1"/>
  <c r="AC2255" i="1" s="1"/>
  <c r="D2257" i="1" l="1"/>
  <c r="W2257" i="1" s="1" a="1"/>
  <c r="W2257" i="1" s="1"/>
  <c r="AA2256" i="1"/>
  <c r="AC2256" i="1" s="1"/>
  <c r="D2258" i="1" l="1"/>
  <c r="W2258" i="1" s="1" a="1"/>
  <c r="W2258" i="1" s="1"/>
  <c r="AA2257" i="1"/>
  <c r="AC2257" i="1" s="1"/>
  <c r="D2259" i="1" l="1"/>
  <c r="W2259" i="1" s="1" a="1"/>
  <c r="W2259" i="1" s="1"/>
  <c r="AA2258" i="1"/>
  <c r="AC2258" i="1" s="1"/>
  <c r="D2260" i="1" l="1"/>
  <c r="W2260" i="1" s="1" a="1"/>
  <c r="W2260" i="1" s="1"/>
  <c r="AA2259" i="1"/>
  <c r="AC2259" i="1" s="1"/>
  <c r="D2261" i="1" l="1"/>
  <c r="W2261" i="1" s="1" a="1"/>
  <c r="W2261" i="1" s="1"/>
  <c r="AA2260" i="1"/>
  <c r="AC2260" i="1" s="1"/>
  <c r="D2262" i="1" l="1"/>
  <c r="W2262" i="1" s="1" a="1"/>
  <c r="W2262" i="1" s="1"/>
  <c r="AA2261" i="1"/>
  <c r="AC2261" i="1" s="1"/>
  <c r="D2263" i="1" l="1"/>
  <c r="W2263" i="1" s="1" a="1"/>
  <c r="W2263" i="1" s="1"/>
  <c r="AA2262" i="1"/>
  <c r="AC2262" i="1" s="1"/>
  <c r="D2264" i="1" l="1"/>
  <c r="W2264" i="1" s="1" a="1"/>
  <c r="W2264" i="1" s="1"/>
  <c r="AA2263" i="1"/>
  <c r="AC2263" i="1" s="1"/>
  <c r="D2265" i="1" l="1"/>
  <c r="W2265" i="1" s="1" a="1"/>
  <c r="W2265" i="1" s="1"/>
  <c r="AA2264" i="1"/>
  <c r="AC2264" i="1" s="1"/>
  <c r="D2266" i="1" l="1"/>
  <c r="W2266" i="1" s="1" a="1"/>
  <c r="W2266" i="1" s="1"/>
  <c r="AA2265" i="1"/>
  <c r="AC2265" i="1" s="1"/>
  <c r="D2267" i="1" l="1"/>
  <c r="W2267" i="1" s="1" a="1"/>
  <c r="W2267" i="1" s="1"/>
  <c r="AA2266" i="1"/>
  <c r="AC2266" i="1" s="1"/>
  <c r="D2268" i="1" l="1"/>
  <c r="W2268" i="1" s="1" a="1"/>
  <c r="W2268" i="1" s="1"/>
  <c r="AA2267" i="1"/>
  <c r="AC2267" i="1" s="1"/>
  <c r="D2269" i="1" l="1"/>
  <c r="W2269" i="1" s="1" a="1"/>
  <c r="W2269" i="1" s="1"/>
  <c r="AA2268" i="1"/>
  <c r="AC2268" i="1" s="1"/>
  <c r="D2270" i="1" l="1"/>
  <c r="W2270" i="1" s="1" a="1"/>
  <c r="W2270" i="1" s="1"/>
  <c r="AA2269" i="1"/>
  <c r="AC2269" i="1" s="1"/>
  <c r="D2271" i="1" l="1"/>
  <c r="W2271" i="1" s="1" a="1"/>
  <c r="W2271" i="1" s="1"/>
  <c r="AA2270" i="1"/>
  <c r="AC2270" i="1" s="1"/>
  <c r="D2272" i="1" l="1"/>
  <c r="W2272" i="1" s="1" a="1"/>
  <c r="W2272" i="1" s="1"/>
  <c r="AA2271" i="1"/>
  <c r="AC2271" i="1" s="1"/>
  <c r="D2273" i="1" l="1"/>
  <c r="W2273" i="1" s="1" a="1"/>
  <c r="W2273" i="1" s="1"/>
  <c r="AA2272" i="1"/>
  <c r="AC2272" i="1" s="1"/>
  <c r="D2274" i="1" l="1"/>
  <c r="AA2273" i="1"/>
  <c r="AC2273" i="1" s="1"/>
  <c r="W49" i="8" l="1"/>
  <c r="D2275" i="1"/>
  <c r="W2275" i="1" s="1" a="1"/>
  <c r="W2275" i="1" s="1"/>
  <c r="AA2274" i="1"/>
  <c r="AC2274" i="1" s="1"/>
  <c r="D2276" i="1" l="1"/>
  <c r="W2276" i="1" s="1" a="1"/>
  <c r="W2276" i="1" s="1"/>
  <c r="AA2275" i="1"/>
  <c r="AC2275" i="1" s="1"/>
  <c r="D2277" i="1" l="1"/>
  <c r="W2277" i="1" s="1" a="1"/>
  <c r="W2277" i="1" s="1"/>
  <c r="AA2276" i="1"/>
  <c r="AC2276" i="1" s="1"/>
  <c r="D2278" i="1" l="1"/>
  <c r="W2278" i="1" s="1" a="1"/>
  <c r="W2278" i="1" s="1"/>
  <c r="AA2277" i="1"/>
  <c r="AC2277" i="1" s="1"/>
  <c r="D2279" i="1" l="1"/>
  <c r="W2279" i="1" s="1" a="1"/>
  <c r="W2279" i="1" s="1"/>
  <c r="AA2278" i="1"/>
  <c r="AC2278" i="1" s="1"/>
  <c r="D2280" i="1" l="1"/>
  <c r="W2280" i="1" s="1" a="1"/>
  <c r="W2280" i="1" s="1"/>
  <c r="AA2279" i="1"/>
  <c r="AC2279" i="1" s="1"/>
  <c r="D2281" i="1" l="1"/>
  <c r="W2281" i="1" s="1" a="1"/>
  <c r="W2281" i="1" s="1"/>
  <c r="AA2280" i="1"/>
  <c r="AC2280" i="1" s="1"/>
  <c r="D2282" i="1" l="1"/>
  <c r="W2282" i="1" s="1" a="1"/>
  <c r="W2282" i="1" s="1"/>
  <c r="AA2281" i="1"/>
  <c r="AC2281" i="1" s="1"/>
  <c r="D2283" i="1" l="1"/>
  <c r="W2283" i="1" s="1" a="1"/>
  <c r="W2283" i="1" s="1"/>
  <c r="AA2282" i="1"/>
  <c r="AC2282" i="1" s="1"/>
  <c r="D2284" i="1" l="1"/>
  <c r="W2284" i="1" s="1" a="1"/>
  <c r="W2284" i="1" s="1"/>
  <c r="AA2283" i="1"/>
  <c r="AC2283" i="1" s="1"/>
  <c r="D2285" i="1" l="1"/>
  <c r="W2285" i="1" s="1" a="1"/>
  <c r="W2285" i="1" s="1"/>
  <c r="AA2284" i="1"/>
  <c r="AC2284" i="1" s="1"/>
  <c r="D2286" i="1" l="1"/>
  <c r="W2286" i="1" s="1" a="1"/>
  <c r="W2286" i="1" s="1"/>
  <c r="AA2285" i="1"/>
  <c r="AC2285" i="1" s="1"/>
  <c r="D2287" i="1" l="1"/>
  <c r="W2287" i="1" s="1" a="1"/>
  <c r="W2287" i="1" s="1"/>
  <c r="AA2286" i="1"/>
  <c r="AC2286" i="1" s="1"/>
  <c r="D2288" i="1" l="1"/>
  <c r="W2288" i="1" s="1" a="1"/>
  <c r="W2288" i="1" s="1"/>
  <c r="AA2287" i="1"/>
  <c r="AC2287" i="1" s="1"/>
  <c r="D2289" i="1" l="1"/>
  <c r="W2289" i="1" s="1" a="1"/>
  <c r="W2289" i="1" s="1"/>
  <c r="AA2288" i="1"/>
  <c r="AC2288" i="1" s="1"/>
  <c r="D2290" i="1" l="1"/>
  <c r="W2290" i="1" s="1" a="1"/>
  <c r="W2290" i="1" s="1"/>
  <c r="AA2289" i="1"/>
  <c r="AC2289" i="1" s="1"/>
  <c r="D2291" i="1" l="1"/>
  <c r="W2291" i="1" s="1" a="1"/>
  <c r="W2291" i="1" s="1"/>
  <c r="AA2290" i="1"/>
  <c r="AC2290" i="1" s="1"/>
  <c r="D2292" i="1" l="1"/>
  <c r="W2292" i="1" s="1" a="1"/>
  <c r="W2292" i="1" s="1"/>
  <c r="AA2291" i="1"/>
  <c r="AC2291" i="1" s="1"/>
  <c r="D2293" i="1" l="1"/>
  <c r="W2293" i="1" s="1" a="1"/>
  <c r="W2293" i="1" s="1"/>
  <c r="AA2292" i="1"/>
  <c r="AC2292" i="1" s="1"/>
  <c r="D2294" i="1" l="1"/>
  <c r="W2294" i="1" s="1" a="1"/>
  <c r="W2294" i="1" s="1"/>
  <c r="AA2293" i="1"/>
  <c r="AC2293" i="1" s="1"/>
  <c r="D2295" i="1" l="1"/>
  <c r="W2295" i="1" s="1" a="1"/>
  <c r="W2295" i="1" s="1"/>
  <c r="AA2294" i="1"/>
  <c r="AC2294" i="1" s="1"/>
  <c r="D2296" i="1" l="1"/>
  <c r="W2296" i="1" s="1" a="1"/>
  <c r="W2296" i="1" s="1"/>
  <c r="AA2295" i="1"/>
  <c r="AC2295" i="1" s="1"/>
  <c r="D2297" i="1" l="1"/>
  <c r="AA2296" i="1"/>
  <c r="AC2296" i="1" s="1"/>
  <c r="D2298" i="1" l="1"/>
  <c r="AA2297" i="1"/>
  <c r="AC2297" i="1" s="1"/>
  <c r="D2299" i="1" l="1"/>
  <c r="AA2298" i="1"/>
  <c r="AC2298" i="1" s="1"/>
  <c r="D2300" i="1" l="1"/>
  <c r="AA2299" i="1"/>
  <c r="AC2299" i="1" s="1"/>
  <c r="D2301" i="1" l="1"/>
  <c r="W2301" i="1" s="1" a="1"/>
  <c r="W2301" i="1" s="1"/>
  <c r="AA2300" i="1"/>
  <c r="AC2300" i="1" s="1"/>
  <c r="D2302" i="1" l="1"/>
  <c r="W2302" i="1" s="1" a="1"/>
  <c r="W2302" i="1" s="1"/>
  <c r="AA2301" i="1"/>
  <c r="AC2301" i="1" s="1"/>
  <c r="D2303" i="1" l="1"/>
  <c r="W2303" i="1" s="1" a="1"/>
  <c r="W2303" i="1" s="1"/>
  <c r="AA2302" i="1"/>
  <c r="AC2302" i="1" s="1"/>
  <c r="D2304" i="1" l="1"/>
  <c r="W2304" i="1" s="1" a="1"/>
  <c r="W2304" i="1" s="1"/>
  <c r="AA2303" i="1"/>
  <c r="AC2303" i="1" s="1"/>
  <c r="D2305" i="1" l="1"/>
  <c r="W2305" i="1" s="1" a="1"/>
  <c r="W2305" i="1" s="1"/>
  <c r="AA2304" i="1"/>
  <c r="AC2304" i="1" s="1"/>
  <c r="D2306" i="1" l="1"/>
  <c r="W2306" i="1" s="1" a="1"/>
  <c r="W2306" i="1" s="1"/>
  <c r="AA2305" i="1"/>
  <c r="AC2305" i="1" s="1"/>
  <c r="D2307" i="1" l="1"/>
  <c r="W2307" i="1" s="1" a="1"/>
  <c r="W2307" i="1" s="1"/>
  <c r="AA2306" i="1"/>
  <c r="AC2306" i="1" s="1"/>
  <c r="D2308" i="1" l="1"/>
  <c r="W2308" i="1" s="1" a="1"/>
  <c r="W2308" i="1" s="1"/>
  <c r="AA2307" i="1"/>
  <c r="AC2307" i="1" s="1"/>
  <c r="D2309" i="1" l="1"/>
  <c r="W19" i="8" s="1"/>
  <c r="AA2308" i="1"/>
  <c r="AC2308" i="1" s="1"/>
  <c r="D2310" i="1" l="1"/>
  <c r="W2310" i="1" s="1" a="1"/>
  <c r="W2310" i="1" s="1"/>
  <c r="AA2309" i="1"/>
  <c r="AC2309" i="1" s="1"/>
  <c r="D2311" i="1" l="1"/>
  <c r="W2311" i="1" s="1" a="1"/>
  <c r="W2311" i="1" s="1"/>
  <c r="AA2310" i="1"/>
  <c r="AC2310" i="1" s="1"/>
  <c r="D2312" i="1" l="1"/>
  <c r="W2312" i="1" s="1" a="1"/>
  <c r="W2312" i="1" s="1"/>
  <c r="AA2311" i="1"/>
  <c r="AC2311" i="1" s="1"/>
  <c r="D2313" i="1" l="1"/>
  <c r="W2313" i="1" s="1" a="1"/>
  <c r="W2313" i="1" s="1"/>
  <c r="AA2312" i="1"/>
  <c r="AC2312" i="1" s="1"/>
  <c r="D2314" i="1" l="1"/>
  <c r="W2314" i="1" s="1" a="1"/>
  <c r="W2314" i="1" s="1"/>
  <c r="AA2313" i="1"/>
  <c r="AC2313" i="1" s="1"/>
  <c r="D2315" i="1" l="1"/>
  <c r="W2315" i="1" s="1" a="1"/>
  <c r="W2315" i="1" s="1"/>
  <c r="AA2314" i="1"/>
  <c r="AC2314" i="1" s="1"/>
  <c r="D2316" i="1" l="1"/>
  <c r="W2316" i="1" s="1" a="1"/>
  <c r="W2316" i="1" s="1"/>
  <c r="AA2315" i="1"/>
  <c r="AC2315" i="1" s="1"/>
  <c r="D2317" i="1" l="1"/>
  <c r="W2317" i="1" s="1" a="1"/>
  <c r="W2317" i="1" s="1"/>
  <c r="AA2316" i="1"/>
  <c r="AC2316" i="1" s="1"/>
  <c r="D2318" i="1" l="1"/>
  <c r="W2318" i="1" s="1" a="1"/>
  <c r="W2318" i="1" s="1"/>
  <c r="AA2317" i="1"/>
  <c r="AC2317" i="1" s="1"/>
  <c r="D2319" i="1" l="1"/>
  <c r="W2319" i="1" s="1" a="1"/>
  <c r="W2319" i="1" s="1"/>
  <c r="AA2318" i="1"/>
  <c r="AC2318" i="1" s="1"/>
  <c r="D2320" i="1" l="1"/>
  <c r="W2320" i="1" s="1" a="1"/>
  <c r="W2320" i="1" s="1"/>
  <c r="AA2319" i="1"/>
  <c r="AC2319" i="1" s="1"/>
  <c r="D2321" i="1" l="1"/>
  <c r="W2321" i="1" s="1" a="1"/>
  <c r="W2321" i="1" s="1"/>
  <c r="AA2320" i="1"/>
  <c r="AC2320" i="1" s="1"/>
  <c r="D2322" i="1" l="1"/>
  <c r="W2322" i="1" s="1" a="1"/>
  <c r="W2322" i="1" s="1"/>
  <c r="AA2321" i="1"/>
  <c r="AC2321" i="1" s="1"/>
  <c r="D2323" i="1" l="1"/>
  <c r="W2323" i="1" s="1" a="1"/>
  <c r="W2323" i="1" s="1"/>
  <c r="AA2322" i="1"/>
  <c r="AC2322" i="1" s="1"/>
  <c r="D2324" i="1" l="1"/>
  <c r="W2324" i="1" s="1" a="1"/>
  <c r="W2324" i="1" s="1"/>
  <c r="AA2323" i="1"/>
  <c r="AC2323" i="1" s="1"/>
  <c r="D2325" i="1" l="1"/>
  <c r="W2325" i="1" s="1" a="1"/>
  <c r="W2325" i="1" s="1"/>
  <c r="AA2324" i="1"/>
  <c r="AC2324" i="1" s="1"/>
  <c r="D2326" i="1" l="1"/>
  <c r="W2326" i="1" s="1" a="1"/>
  <c r="W2326" i="1" s="1"/>
  <c r="AA2325" i="1"/>
  <c r="AC2325" i="1" s="1"/>
  <c r="D2327" i="1" l="1"/>
  <c r="W2327" i="1" s="1" a="1"/>
  <c r="W2327" i="1" s="1"/>
  <c r="AA2326" i="1"/>
  <c r="AC2326" i="1" s="1"/>
  <c r="D2328" i="1" l="1"/>
  <c r="W2328" i="1" s="1" a="1"/>
  <c r="W2328" i="1" s="1"/>
  <c r="AA2327" i="1"/>
  <c r="AC2327" i="1" s="1"/>
  <c r="D2329" i="1" l="1"/>
  <c r="W2329" i="1" s="1" a="1"/>
  <c r="W2329" i="1" s="1"/>
  <c r="AA2328" i="1"/>
  <c r="AC2328" i="1" s="1"/>
  <c r="D2330" i="1" l="1"/>
  <c r="W2330" i="1" s="1" a="1"/>
  <c r="W2330" i="1" s="1"/>
  <c r="AA2329" i="1"/>
  <c r="AC2329" i="1" s="1"/>
  <c r="D2331" i="1" l="1"/>
  <c r="W2331" i="1" s="1" a="1"/>
  <c r="W2331" i="1" s="1"/>
  <c r="AA2330" i="1"/>
  <c r="AC2330" i="1" s="1"/>
  <c r="D2332" i="1" l="1"/>
  <c r="W2332" i="1" s="1" a="1"/>
  <c r="W2332" i="1" s="1"/>
  <c r="AA2331" i="1"/>
  <c r="AC2331" i="1" s="1"/>
  <c r="D2333" i="1" l="1"/>
  <c r="W2333" i="1" s="1" a="1"/>
  <c r="W2333" i="1" s="1"/>
  <c r="AA2332" i="1"/>
  <c r="AC2332" i="1" s="1"/>
  <c r="D2334" i="1" l="1"/>
  <c r="W2334" i="1" s="1" a="1"/>
  <c r="W2334" i="1" s="1"/>
  <c r="AA2333" i="1"/>
  <c r="AC2333" i="1" s="1"/>
  <c r="D2335" i="1" l="1"/>
  <c r="W2335" i="1" s="1" a="1"/>
  <c r="W2335" i="1" s="1"/>
  <c r="AA2334" i="1"/>
  <c r="AC2334" i="1" s="1"/>
  <c r="D2336" i="1" l="1"/>
  <c r="W2336" i="1" s="1" a="1"/>
  <c r="W2336" i="1" s="1"/>
  <c r="AA2335" i="1"/>
  <c r="AC2335" i="1" s="1"/>
  <c r="D2337" i="1" l="1"/>
  <c r="W2337" i="1" s="1" a="1"/>
  <c r="W2337" i="1" s="1"/>
  <c r="AA2336" i="1"/>
  <c r="AC2336" i="1" s="1"/>
  <c r="D2338" i="1" l="1"/>
  <c r="W2338" i="1" s="1" a="1"/>
  <c r="W2338" i="1" s="1"/>
  <c r="AA2337" i="1"/>
  <c r="AC2337" i="1" s="1"/>
  <c r="D2339" i="1" l="1"/>
  <c r="W2339" i="1" s="1" a="1"/>
  <c r="W2339" i="1" s="1"/>
  <c r="AA2338" i="1"/>
  <c r="AC2338" i="1" s="1"/>
  <c r="D2340" i="1" l="1"/>
  <c r="W2340" i="1" s="1" a="1"/>
  <c r="W2340" i="1" s="1"/>
  <c r="AA2339" i="1"/>
  <c r="AC2339" i="1" s="1"/>
  <c r="D2341" i="1" l="1"/>
  <c r="W2341" i="1" s="1" a="1"/>
  <c r="W2341" i="1" s="1"/>
  <c r="AA2340" i="1"/>
  <c r="AC2340" i="1" s="1"/>
  <c r="D2342" i="1" l="1"/>
  <c r="W2342" i="1" s="1" a="1"/>
  <c r="W2342" i="1" s="1"/>
  <c r="AA2341" i="1"/>
  <c r="AC2341" i="1" s="1"/>
  <c r="D2343" i="1" l="1"/>
  <c r="W2343" i="1" s="1" a="1"/>
  <c r="W2343" i="1" s="1"/>
  <c r="AA2342" i="1"/>
  <c r="AC2342" i="1" s="1"/>
  <c r="D2344" i="1" l="1"/>
  <c r="W2344" i="1" s="1" a="1"/>
  <c r="W2344" i="1" s="1"/>
  <c r="AA2343" i="1"/>
  <c r="AC2343" i="1" s="1"/>
  <c r="D2345" i="1" l="1"/>
  <c r="W2345" i="1" s="1" a="1"/>
  <c r="W2345" i="1" s="1"/>
  <c r="AA2344" i="1"/>
  <c r="AC2344" i="1" s="1"/>
  <c r="D2346" i="1" l="1"/>
  <c r="W2346" i="1" s="1" a="1"/>
  <c r="W2346" i="1" s="1"/>
  <c r="AA2345" i="1"/>
  <c r="AC2345" i="1" s="1"/>
  <c r="D2347" i="1" l="1"/>
  <c r="W2347" i="1" s="1" a="1"/>
  <c r="W2347" i="1" s="1"/>
  <c r="AA2346" i="1"/>
  <c r="AC2346" i="1" s="1"/>
  <c r="D2348" i="1" l="1"/>
  <c r="W53" i="8" s="1"/>
  <c r="AA2347" i="1"/>
  <c r="AC2347" i="1" s="1"/>
  <c r="D2349" i="1" l="1"/>
  <c r="W2349" i="1" s="1" a="1"/>
  <c r="W2349" i="1" s="1"/>
  <c r="AA2348" i="1"/>
  <c r="AC2348" i="1" s="1"/>
  <c r="D2350" i="1" l="1"/>
  <c r="W2350" i="1" s="1" a="1"/>
  <c r="W2350" i="1" s="1"/>
  <c r="AA2349" i="1"/>
  <c r="AC2349" i="1" s="1"/>
  <c r="D2351" i="1" l="1"/>
  <c r="W2351" i="1" s="1" a="1"/>
  <c r="W2351" i="1" s="1"/>
  <c r="AA2350" i="1"/>
  <c r="AC2350" i="1" s="1"/>
  <c r="D2352" i="1" l="1"/>
  <c r="W2352" i="1" s="1" a="1"/>
  <c r="W2352" i="1" s="1"/>
  <c r="AA2351" i="1"/>
  <c r="AC2351" i="1" s="1"/>
  <c r="D2353" i="1" l="1"/>
  <c r="W2353" i="1" s="1" a="1"/>
  <c r="W2353" i="1" s="1"/>
  <c r="AA2352" i="1"/>
  <c r="AC2352" i="1" s="1"/>
  <c r="D2354" i="1" l="1"/>
  <c r="W2354" i="1" s="1" a="1"/>
  <c r="W2354" i="1" s="1"/>
  <c r="AA2353" i="1"/>
  <c r="AC2353" i="1" s="1"/>
  <c r="D2355" i="1" l="1"/>
  <c r="W2355" i="1" s="1" a="1"/>
  <c r="W2355" i="1" s="1"/>
  <c r="AA2354" i="1"/>
  <c r="AC2354" i="1" s="1"/>
  <c r="D2356" i="1" l="1"/>
  <c r="W2356" i="1" s="1" a="1"/>
  <c r="W2356" i="1" s="1"/>
  <c r="AA2355" i="1"/>
  <c r="AC2355" i="1" s="1"/>
  <c r="D2357" i="1" l="1"/>
  <c r="W2357" i="1" s="1" a="1"/>
  <c r="W2357" i="1" s="1"/>
  <c r="AA2356" i="1"/>
  <c r="AC2356" i="1" s="1"/>
  <c r="D2358" i="1" l="1"/>
  <c r="W2358" i="1" s="1" a="1"/>
  <c r="W2358" i="1" s="1"/>
  <c r="AA2357" i="1"/>
  <c r="AC2357" i="1" s="1"/>
  <c r="D2359" i="1" l="1"/>
  <c r="W2359" i="1" s="1" a="1"/>
  <c r="W2359" i="1" s="1"/>
  <c r="AA2358" i="1"/>
  <c r="AC2358" i="1" s="1"/>
  <c r="D2360" i="1" l="1"/>
  <c r="W2360" i="1" s="1" a="1"/>
  <c r="W2360" i="1" s="1"/>
  <c r="AA2359" i="1"/>
  <c r="AC2359" i="1" s="1"/>
  <c r="D2361" i="1" l="1"/>
  <c r="W2361" i="1" s="1" a="1"/>
  <c r="W2361" i="1" s="1"/>
  <c r="AA2360" i="1"/>
  <c r="AC2360" i="1" s="1"/>
  <c r="D2362" i="1" l="1"/>
  <c r="W2362" i="1" s="1" a="1"/>
  <c r="W2362" i="1" s="1"/>
  <c r="AA2361" i="1"/>
  <c r="AC2361" i="1" s="1"/>
  <c r="D2363" i="1" l="1"/>
  <c r="W2363" i="1" s="1" a="1"/>
  <c r="W2363" i="1" s="1"/>
  <c r="AA2362" i="1"/>
  <c r="AC2362" i="1" s="1"/>
  <c r="D2364" i="1" l="1"/>
  <c r="W2364" i="1" s="1" a="1"/>
  <c r="W2364" i="1" s="1"/>
  <c r="AA2363" i="1"/>
  <c r="AC2363" i="1" s="1"/>
  <c r="D2365" i="1" l="1"/>
  <c r="W2365" i="1" s="1" a="1"/>
  <c r="W2365" i="1" s="1"/>
  <c r="AA2364" i="1"/>
  <c r="AC2364" i="1" s="1"/>
  <c r="D2366" i="1" l="1"/>
  <c r="W2366" i="1" s="1" a="1"/>
  <c r="W2366" i="1" s="1"/>
  <c r="AA2365" i="1"/>
  <c r="AC2365" i="1" s="1"/>
  <c r="D2367" i="1" l="1"/>
  <c r="W2367" i="1" s="1" a="1"/>
  <c r="W2367" i="1" s="1"/>
  <c r="AA2366" i="1"/>
  <c r="AC2366" i="1" s="1"/>
  <c r="D2368" i="1" l="1"/>
  <c r="W2368" i="1" s="1" a="1"/>
  <c r="W2368" i="1" s="1"/>
  <c r="AA2367" i="1"/>
  <c r="AC2367" i="1" s="1"/>
  <c r="D2369" i="1" l="1"/>
  <c r="W2369" i="1" s="1" a="1"/>
  <c r="W2369" i="1" s="1"/>
  <c r="AA2368" i="1"/>
  <c r="AC2368" i="1" s="1"/>
  <c r="D2370" i="1" l="1"/>
  <c r="W2370" i="1" s="1" a="1"/>
  <c r="W2370" i="1" s="1"/>
  <c r="AA2369" i="1"/>
  <c r="AC2369" i="1" s="1"/>
  <c r="D2371" i="1" l="1"/>
  <c r="W2371" i="1" s="1" a="1"/>
  <c r="W2371" i="1" s="1"/>
  <c r="AA2370" i="1"/>
  <c r="AC2370" i="1" s="1"/>
  <c r="D2372" i="1" l="1"/>
  <c r="W2372" i="1" s="1" a="1"/>
  <c r="W2372" i="1" s="1"/>
  <c r="AA2371" i="1"/>
  <c r="AC2371" i="1" s="1"/>
  <c r="D2373" i="1" l="1"/>
  <c r="W2373" i="1" s="1" a="1"/>
  <c r="W2373" i="1" s="1"/>
  <c r="AA2372" i="1"/>
  <c r="AC2372" i="1" s="1"/>
  <c r="D2374" i="1" l="1"/>
  <c r="W2374" i="1" s="1" a="1"/>
  <c r="W2374" i="1" s="1"/>
  <c r="AA2373" i="1"/>
  <c r="AC2373" i="1" s="1"/>
  <c r="D2375" i="1" l="1"/>
  <c r="W2375" i="1" s="1" a="1"/>
  <c r="W2375" i="1" s="1"/>
  <c r="AA2374" i="1"/>
  <c r="AC2374" i="1" s="1"/>
  <c r="D2376" i="1" l="1"/>
  <c r="AA2375" i="1"/>
  <c r="AC2375" i="1" s="1"/>
  <c r="D2377" i="1" l="1"/>
  <c r="W2377" i="1" s="1" a="1"/>
  <c r="W2377" i="1" s="1"/>
  <c r="AA2376" i="1"/>
  <c r="AC2376" i="1" s="1"/>
  <c r="D2378" i="1" l="1"/>
  <c r="W2378" i="1" s="1" a="1"/>
  <c r="W2378" i="1" s="1"/>
  <c r="AA2377" i="1"/>
  <c r="AC2377" i="1" s="1"/>
  <c r="D2379" i="1" l="1"/>
  <c r="W2379" i="1" s="1" a="1"/>
  <c r="W2379" i="1" s="1"/>
  <c r="AA2378" i="1"/>
  <c r="AC2378" i="1" s="1"/>
  <c r="D2380" i="1" l="1"/>
  <c r="W2380" i="1" s="1" a="1"/>
  <c r="W2380" i="1" s="1"/>
  <c r="AA2379" i="1"/>
  <c r="AC2379" i="1" s="1"/>
  <c r="D2381" i="1" l="1"/>
  <c r="W2381" i="1" s="1" a="1"/>
  <c r="W2381" i="1" s="1"/>
  <c r="AA2380" i="1"/>
  <c r="AC2380" i="1" s="1"/>
  <c r="D2382" i="1" l="1"/>
  <c r="W2382" i="1" s="1" a="1"/>
  <c r="W2382" i="1" s="1"/>
  <c r="AA2381" i="1"/>
  <c r="AC2381" i="1" s="1"/>
  <c r="D2383" i="1" l="1"/>
  <c r="W2383" i="1" s="1" a="1"/>
  <c r="W2383" i="1" s="1"/>
  <c r="AA2382" i="1"/>
  <c r="AC2382" i="1" s="1"/>
  <c r="D2384" i="1" l="1"/>
  <c r="W2384" i="1" s="1" a="1"/>
  <c r="W2384" i="1" s="1"/>
  <c r="AA2383" i="1"/>
  <c r="AC2383" i="1" s="1"/>
  <c r="D2385" i="1" l="1"/>
  <c r="W2385" i="1" s="1" a="1"/>
  <c r="W2385" i="1" s="1"/>
  <c r="AA2384" i="1"/>
  <c r="AC2384" i="1" s="1"/>
  <c r="D2386" i="1" l="1"/>
  <c r="W2386" i="1" s="1" a="1"/>
  <c r="W2386" i="1" s="1"/>
  <c r="AA2385" i="1"/>
  <c r="AC2385" i="1" s="1"/>
  <c r="D2387" i="1" l="1"/>
  <c r="AA2386" i="1"/>
  <c r="AC2386" i="1" s="1"/>
  <c r="D2388" i="1" l="1"/>
  <c r="AA2387" i="1"/>
  <c r="AC2387" i="1" s="1"/>
  <c r="D2389" i="1" l="1"/>
  <c r="AA2388" i="1"/>
  <c r="AC2388" i="1" s="1"/>
  <c r="D2390" i="1" l="1"/>
  <c r="W2390" i="1" s="1" a="1"/>
  <c r="W2390" i="1" s="1"/>
  <c r="AA2389" i="1"/>
  <c r="AC2389" i="1" s="1"/>
  <c r="D2391" i="1" l="1"/>
  <c r="W2391" i="1" s="1" a="1"/>
  <c r="W2391" i="1" s="1"/>
  <c r="AA2390" i="1"/>
  <c r="AC2390" i="1" s="1"/>
  <c r="D2392" i="1" l="1"/>
  <c r="W2392" i="1" s="1" a="1"/>
  <c r="W2392" i="1" s="1"/>
  <c r="AA2391" i="1"/>
  <c r="AC2391" i="1" s="1"/>
  <c r="D2393" i="1" l="1"/>
  <c r="W2393" i="1" s="1" a="1"/>
  <c r="W2393" i="1" s="1"/>
  <c r="AA2392" i="1"/>
  <c r="AC2392" i="1" s="1"/>
  <c r="D2394" i="1" l="1"/>
  <c r="W2394" i="1" s="1" a="1"/>
  <c r="W2394" i="1" s="1"/>
  <c r="AA2393" i="1"/>
  <c r="AC2393" i="1" s="1"/>
  <c r="D2395" i="1" l="1"/>
  <c r="W2395" i="1" s="1" a="1"/>
  <c r="W2395" i="1" s="1"/>
  <c r="AA2394" i="1"/>
  <c r="AC2394" i="1" s="1"/>
  <c r="D2396" i="1" l="1"/>
  <c r="W2396" i="1" s="1" a="1"/>
  <c r="W2396" i="1" s="1"/>
  <c r="AA2395" i="1"/>
  <c r="AC2395" i="1" s="1"/>
  <c r="D2397" i="1" l="1"/>
  <c r="W2397" i="1" s="1" a="1"/>
  <c r="W2397" i="1" s="1"/>
  <c r="AA2396" i="1"/>
  <c r="AC2396" i="1" s="1"/>
  <c r="D2398" i="1" l="1"/>
  <c r="W2398" i="1" s="1" a="1"/>
  <c r="W2398" i="1" s="1"/>
  <c r="AA2397" i="1"/>
  <c r="AC2397" i="1" s="1"/>
  <c r="D2399" i="1" l="1"/>
  <c r="W2399" i="1" s="1" a="1"/>
  <c r="W2399" i="1" s="1"/>
  <c r="AA2398" i="1"/>
  <c r="AC2398" i="1" s="1"/>
  <c r="D2400" i="1" l="1"/>
  <c r="W2400" i="1" s="1" a="1"/>
  <c r="W2400" i="1" s="1"/>
  <c r="AA2399" i="1"/>
  <c r="AC2399" i="1" s="1"/>
  <c r="D2401" i="1" l="1"/>
  <c r="W2401" i="1" s="1" a="1"/>
  <c r="W2401" i="1" s="1"/>
  <c r="AA2400" i="1"/>
  <c r="AC2400" i="1" s="1"/>
  <c r="D2402" i="1" l="1"/>
  <c r="W2402" i="1" s="1" a="1"/>
  <c r="W2402" i="1" s="1"/>
  <c r="AA2401" i="1"/>
  <c r="AC2401" i="1" s="1"/>
  <c r="D2403" i="1" l="1"/>
  <c r="W2403" i="1" s="1" a="1"/>
  <c r="W2403" i="1" s="1"/>
  <c r="AA2402" i="1"/>
  <c r="AC2402" i="1" s="1"/>
  <c r="D2404" i="1" l="1"/>
  <c r="W2404" i="1" s="1" a="1"/>
  <c r="W2404" i="1" s="1"/>
  <c r="AA2403" i="1"/>
  <c r="AC2403" i="1" s="1"/>
  <c r="D2405" i="1" l="1"/>
  <c r="W2405" i="1" s="1" a="1"/>
  <c r="W2405" i="1" s="1"/>
  <c r="AA2404" i="1"/>
  <c r="AC2404" i="1" s="1"/>
  <c r="D2406" i="1" l="1"/>
  <c r="W2406" i="1" s="1" a="1"/>
  <c r="W2406" i="1" s="1"/>
  <c r="AA2405" i="1"/>
  <c r="AC2405" i="1" s="1"/>
  <c r="D2407" i="1" l="1"/>
  <c r="W2407" i="1" s="1" a="1"/>
  <c r="W2407" i="1" s="1"/>
  <c r="AA2406" i="1"/>
  <c r="AC2406" i="1" s="1"/>
  <c r="D2408" i="1" l="1"/>
  <c r="AA2407" i="1"/>
  <c r="AC2407" i="1" s="1"/>
  <c r="D2409" i="1" l="1"/>
  <c r="AA2408" i="1"/>
  <c r="AC2408" i="1" s="1"/>
  <c r="D2410" i="1" l="1"/>
  <c r="W2410" i="1" s="1" a="1"/>
  <c r="W2410" i="1" s="1"/>
  <c r="AA2409" i="1"/>
  <c r="AC2409" i="1" s="1"/>
  <c r="D2411" i="1" l="1"/>
  <c r="W2411" i="1" s="1" a="1"/>
  <c r="W2411" i="1" s="1"/>
  <c r="AA2410" i="1"/>
  <c r="AC2410" i="1" s="1"/>
  <c r="D2412" i="1" l="1"/>
  <c r="W2412" i="1" s="1" a="1"/>
  <c r="W2412" i="1" s="1"/>
  <c r="AA2411" i="1"/>
  <c r="AC2411" i="1" s="1"/>
  <c r="D2413" i="1" l="1"/>
  <c r="W2413" i="1" s="1" a="1"/>
  <c r="W2413" i="1" s="1"/>
  <c r="AA2412" i="1"/>
  <c r="AC2412" i="1" s="1"/>
  <c r="D2414" i="1" l="1"/>
  <c r="W2414" i="1" s="1" a="1"/>
  <c r="W2414" i="1" s="1"/>
  <c r="AA2413" i="1"/>
  <c r="AC2413" i="1" s="1"/>
  <c r="D2415" i="1" l="1"/>
  <c r="W2415" i="1" s="1" a="1"/>
  <c r="W2415" i="1" s="1"/>
  <c r="AA2414" i="1"/>
  <c r="AC2414" i="1" s="1"/>
  <c r="D2416" i="1" l="1"/>
  <c r="W2416" i="1" s="1" a="1"/>
  <c r="W2416" i="1" s="1"/>
  <c r="AA2415" i="1"/>
  <c r="AC2415" i="1" s="1"/>
  <c r="D2417" i="1" l="1"/>
  <c r="W2417" i="1" s="1" a="1"/>
  <c r="W2417" i="1" s="1"/>
  <c r="AA2416" i="1"/>
  <c r="AC2416" i="1" s="1"/>
  <c r="D2418" i="1" l="1"/>
  <c r="W2418" i="1" s="1" a="1"/>
  <c r="W2418" i="1" s="1"/>
  <c r="AA2417" i="1"/>
  <c r="AC2417" i="1" s="1"/>
  <c r="D2419" i="1" l="1"/>
  <c r="W2419" i="1" s="1" a="1"/>
  <c r="W2419" i="1" s="1"/>
  <c r="AA2418" i="1"/>
  <c r="AC2418" i="1" s="1"/>
  <c r="D2420" i="1" l="1"/>
  <c r="W2420" i="1" s="1" a="1"/>
  <c r="W2420" i="1" s="1"/>
  <c r="AA2419" i="1"/>
  <c r="AC2419" i="1" s="1"/>
  <c r="D2421" i="1" l="1"/>
  <c r="W2421" i="1" s="1" a="1"/>
  <c r="W2421" i="1" s="1"/>
  <c r="AA2420" i="1"/>
  <c r="AC2420" i="1" s="1"/>
  <c r="D2422" i="1" l="1"/>
  <c r="W2422" i="1" s="1" a="1"/>
  <c r="W2422" i="1" s="1"/>
  <c r="AA2421" i="1"/>
  <c r="AC2421" i="1" s="1"/>
  <c r="D2423" i="1" l="1"/>
  <c r="W2423" i="1" s="1" a="1"/>
  <c r="W2423" i="1" s="1"/>
  <c r="AA2422" i="1"/>
  <c r="AC2422" i="1" s="1"/>
  <c r="D2424" i="1" l="1"/>
  <c r="W2424" i="1" s="1" a="1"/>
  <c r="W2424" i="1" s="1"/>
  <c r="AA2423" i="1"/>
  <c r="AC2423" i="1" s="1"/>
  <c r="D2425" i="1" l="1"/>
  <c r="W2425" i="1" s="1" a="1"/>
  <c r="W2425" i="1" s="1"/>
  <c r="AA2424" i="1"/>
  <c r="AC2424" i="1" s="1"/>
  <c r="D2426" i="1" l="1"/>
  <c r="W2426" i="1" s="1" a="1"/>
  <c r="W2426" i="1" s="1"/>
  <c r="AA2425" i="1"/>
  <c r="AC2425" i="1" s="1"/>
  <c r="D2427" i="1" l="1"/>
  <c r="W2427" i="1" s="1" a="1"/>
  <c r="W2427" i="1" s="1"/>
  <c r="AA2426" i="1"/>
  <c r="AC2426" i="1" s="1"/>
  <c r="D2428" i="1" l="1"/>
  <c r="W2428" i="1" s="1" a="1"/>
  <c r="W2428" i="1" s="1"/>
  <c r="AA2427" i="1"/>
  <c r="AC2427" i="1" s="1"/>
  <c r="D2429" i="1" l="1"/>
  <c r="W2429" i="1" s="1" a="1"/>
  <c r="W2429" i="1" s="1"/>
  <c r="AA2428" i="1"/>
  <c r="AC2428" i="1" s="1"/>
  <c r="D2430" i="1" l="1"/>
  <c r="W2430" i="1" s="1" a="1"/>
  <c r="W2430" i="1" s="1"/>
  <c r="AA2429" i="1"/>
  <c r="AC2429" i="1" s="1"/>
  <c r="D2431" i="1" l="1"/>
  <c r="W2431" i="1" s="1" a="1"/>
  <c r="W2431" i="1" s="1"/>
  <c r="AA2430" i="1"/>
  <c r="AC2430" i="1" s="1"/>
  <c r="D2432" i="1" l="1"/>
  <c r="W2432" i="1" s="1" a="1"/>
  <c r="W2432" i="1" s="1"/>
  <c r="AA2431" i="1"/>
  <c r="AC2431" i="1" s="1"/>
  <c r="D2433" i="1" l="1"/>
  <c r="W2433" i="1" s="1" a="1"/>
  <c r="W2433" i="1" s="1"/>
  <c r="AA2432" i="1"/>
  <c r="AC2432" i="1" s="1"/>
  <c r="D2434" i="1" l="1"/>
  <c r="W2434" i="1" s="1" a="1"/>
  <c r="W2434" i="1" s="1"/>
  <c r="AA2433" i="1"/>
  <c r="AC2433" i="1" s="1"/>
  <c r="D2435" i="1" l="1"/>
  <c r="W2435" i="1" s="1" a="1"/>
  <c r="W2435" i="1" s="1"/>
  <c r="AA2434" i="1"/>
  <c r="AC2434" i="1" s="1"/>
  <c r="D2436" i="1" l="1"/>
  <c r="W2436" i="1" s="1" a="1"/>
  <c r="W2436" i="1" s="1"/>
  <c r="AA2435" i="1"/>
  <c r="AC2435" i="1" s="1"/>
  <c r="D2437" i="1" l="1"/>
  <c r="W2437" i="1" s="1" a="1"/>
  <c r="W2437" i="1" s="1"/>
  <c r="AA2436" i="1"/>
  <c r="AC2436" i="1" s="1"/>
  <c r="D2438" i="1" l="1"/>
  <c r="W2438" i="1" s="1" a="1"/>
  <c r="W2438" i="1" s="1"/>
  <c r="AA2437" i="1"/>
  <c r="AC2437" i="1" s="1"/>
  <c r="D2439" i="1" l="1"/>
  <c r="W2439" i="1" s="1" a="1"/>
  <c r="W2439" i="1" s="1"/>
  <c r="AA2438" i="1"/>
  <c r="AC2438" i="1" s="1"/>
  <c r="D2440" i="1" l="1"/>
  <c r="W2440" i="1" s="1" a="1"/>
  <c r="W2440" i="1" s="1"/>
  <c r="AA2439" i="1"/>
  <c r="AC2439" i="1" s="1"/>
  <c r="D2441" i="1" l="1"/>
  <c r="W2441" i="1" s="1" a="1"/>
  <c r="W2441" i="1" s="1"/>
  <c r="AA2440" i="1"/>
  <c r="AC2440" i="1" s="1"/>
  <c r="D2442" i="1" l="1"/>
  <c r="W2442" i="1" s="1" a="1"/>
  <c r="W2442" i="1" s="1"/>
  <c r="AA2441" i="1"/>
  <c r="AC2441" i="1" s="1"/>
  <c r="D2443" i="1" l="1"/>
  <c r="W2443" i="1" s="1" a="1"/>
  <c r="W2443" i="1" s="1"/>
  <c r="AA2442" i="1"/>
  <c r="AC2442" i="1" s="1"/>
  <c r="D2444" i="1" l="1"/>
  <c r="AA2443" i="1"/>
  <c r="AC2443" i="1" s="1"/>
  <c r="D2445" i="1" l="1"/>
  <c r="W2445" i="1" s="1" a="1"/>
  <c r="W2445" i="1" s="1"/>
  <c r="AA2444" i="1"/>
  <c r="AC2444" i="1" s="1"/>
  <c r="D2446" i="1" l="1"/>
  <c r="W2446" i="1" s="1" a="1"/>
  <c r="W2446" i="1" s="1"/>
  <c r="AA2445" i="1"/>
  <c r="AC2445" i="1" s="1"/>
  <c r="D2447" i="1" l="1"/>
  <c r="W2447" i="1" s="1" a="1"/>
  <c r="W2447" i="1" s="1"/>
  <c r="AA2446" i="1"/>
  <c r="AC2446" i="1" s="1"/>
  <c r="D2448" i="1" l="1"/>
  <c r="W2448" i="1" s="1" a="1"/>
  <c r="W2448" i="1" s="1"/>
  <c r="AA2447" i="1"/>
  <c r="AC2447" i="1" s="1"/>
  <c r="D2449" i="1" l="1"/>
  <c r="W2449" i="1" s="1" a="1"/>
  <c r="W2449" i="1" s="1"/>
  <c r="AA2448" i="1"/>
  <c r="AC2448" i="1" s="1"/>
  <c r="D2450" i="1" l="1"/>
  <c r="AA2449" i="1"/>
  <c r="AC2449" i="1" s="1"/>
  <c r="W2450" i="1" l="1" a="1"/>
  <c r="W2450" i="1" s="1"/>
  <c r="D2451" i="1"/>
  <c r="W2451" i="1" s="1" a="1"/>
  <c r="W2451" i="1" s="1"/>
  <c r="AA2450" i="1"/>
  <c r="AC2450" i="1" s="1"/>
  <c r="D2452" i="1" l="1"/>
  <c r="W2452" i="1" s="1" a="1"/>
  <c r="W2452" i="1" s="1"/>
  <c r="AA2451" i="1"/>
  <c r="AC2451" i="1" s="1"/>
  <c r="D2453" i="1" l="1"/>
  <c r="W2453" i="1" s="1" a="1"/>
  <c r="W2453" i="1" s="1"/>
  <c r="AA2452" i="1"/>
  <c r="AC2452" i="1" s="1"/>
  <c r="D2454" i="1" l="1"/>
  <c r="W2454" i="1" s="1" a="1"/>
  <c r="W2454" i="1" s="1"/>
  <c r="AA2453" i="1"/>
  <c r="AC2453" i="1" s="1"/>
  <c r="D2455" i="1" l="1"/>
  <c r="W2455" i="1" s="1" a="1"/>
  <c r="W2455" i="1" s="1"/>
  <c r="AA2454" i="1"/>
  <c r="AC2454" i="1" s="1"/>
  <c r="D2456" i="1" l="1"/>
  <c r="W2456" i="1" s="1" a="1"/>
  <c r="W2456" i="1" s="1"/>
  <c r="AA2455" i="1"/>
  <c r="AC2455" i="1" s="1"/>
  <c r="D2457" i="1" l="1"/>
  <c r="W2457" i="1" s="1" a="1"/>
  <c r="W2457" i="1" s="1"/>
  <c r="AA2456" i="1"/>
  <c r="AC2456" i="1" s="1"/>
  <c r="D2458" i="1" l="1"/>
  <c r="W2458" i="1" s="1" a="1"/>
  <c r="W2458" i="1" s="1"/>
  <c r="AA2457" i="1"/>
  <c r="AC2457" i="1" s="1"/>
  <c r="D2459" i="1" l="1"/>
  <c r="W2459" i="1" s="1" a="1"/>
  <c r="W2459" i="1" s="1"/>
  <c r="AA2458" i="1"/>
  <c r="AC2458" i="1" s="1"/>
  <c r="D2460" i="1" l="1"/>
  <c r="W2460" i="1" s="1" a="1"/>
  <c r="W2460" i="1" s="1"/>
  <c r="AA2459" i="1"/>
  <c r="AC2459" i="1" s="1"/>
  <c r="D2461" i="1" l="1"/>
  <c r="W2461" i="1" s="1" a="1"/>
  <c r="W2461" i="1" s="1"/>
  <c r="AA2460" i="1"/>
  <c r="AC2460" i="1" s="1"/>
  <c r="D2462" i="1" l="1"/>
  <c r="W2462" i="1" s="1" a="1"/>
  <c r="W2462" i="1" s="1"/>
  <c r="AA2461" i="1"/>
  <c r="AC2461" i="1" s="1"/>
  <c r="D2463" i="1" l="1"/>
  <c r="W2463" i="1" s="1" a="1"/>
  <c r="W2463" i="1" s="1"/>
  <c r="AA2462" i="1"/>
  <c r="AC2462" i="1" s="1"/>
  <c r="D2464" i="1" l="1"/>
  <c r="W2464" i="1" s="1" a="1"/>
  <c r="W2464" i="1" s="1"/>
  <c r="AA2463" i="1"/>
  <c r="AC2463" i="1" s="1"/>
  <c r="D2465" i="1" l="1"/>
  <c r="W2465" i="1" s="1" a="1"/>
  <c r="W2465" i="1" s="1"/>
  <c r="AA2464" i="1"/>
  <c r="AC2464" i="1" s="1"/>
  <c r="D2466" i="1" l="1"/>
  <c r="W2466" i="1" s="1" a="1"/>
  <c r="W2466" i="1" s="1"/>
  <c r="AA2465" i="1"/>
  <c r="AC2465" i="1" s="1"/>
  <c r="D2467" i="1" l="1"/>
  <c r="W2467" i="1" s="1" a="1"/>
  <c r="W2467" i="1" s="1"/>
  <c r="AA2466" i="1"/>
  <c r="AC2466" i="1" s="1"/>
  <c r="D2468" i="1" l="1"/>
  <c r="W2468" i="1" s="1" a="1"/>
  <c r="W2468" i="1" s="1"/>
  <c r="AA2467" i="1"/>
  <c r="AC2467" i="1" s="1"/>
  <c r="D2469" i="1" l="1"/>
  <c r="W2469" i="1" s="1" a="1"/>
  <c r="W2469" i="1" s="1"/>
  <c r="AA2468" i="1"/>
  <c r="AC2468" i="1" s="1"/>
  <c r="D2470" i="1" l="1"/>
  <c r="W2470" i="1" s="1" a="1"/>
  <c r="W2470" i="1" s="1"/>
  <c r="AA2469" i="1"/>
  <c r="AC2469" i="1" s="1"/>
  <c r="D2471" i="1" l="1"/>
  <c r="W2471" i="1" s="1" a="1"/>
  <c r="W2471" i="1" s="1"/>
  <c r="AA2470" i="1"/>
  <c r="AC2470" i="1" s="1"/>
  <c r="D2472" i="1" l="1"/>
  <c r="W2472" i="1" s="1" a="1"/>
  <c r="W2472" i="1" s="1"/>
  <c r="AA2471" i="1"/>
  <c r="AC2471" i="1" s="1"/>
  <c r="D2473" i="1" l="1"/>
  <c r="W88" i="8" s="1"/>
  <c r="AA2472" i="1"/>
  <c r="AC2472" i="1" s="1"/>
  <c r="W29" i="8" l="1"/>
  <c r="W2473" i="1" a="1"/>
  <c r="W2473" i="1" s="1"/>
  <c r="D2474" i="1"/>
  <c r="W2474" i="1" s="1" a="1"/>
  <c r="W2474" i="1" s="1"/>
  <c r="AA2473" i="1"/>
  <c r="AC2473" i="1" s="1"/>
  <c r="D2475" i="1" l="1"/>
  <c r="W2475" i="1" s="1" a="1"/>
  <c r="W2475" i="1" s="1"/>
  <c r="AA2474" i="1"/>
  <c r="AC2474" i="1" s="1"/>
  <c r="D2476" i="1" l="1"/>
  <c r="W2476" i="1" s="1" a="1"/>
  <c r="W2476" i="1" s="1"/>
  <c r="AA2475" i="1"/>
  <c r="AC2475" i="1" s="1"/>
  <c r="D2477" i="1" l="1"/>
  <c r="AA2476" i="1"/>
  <c r="AC2476" i="1" s="1"/>
  <c r="D2478" i="1" l="1"/>
  <c r="AA2477" i="1"/>
  <c r="AC2477" i="1" s="1"/>
  <c r="D2479" i="1" l="1"/>
  <c r="W2479" i="1" s="1" a="1"/>
  <c r="W2479" i="1" s="1"/>
  <c r="AA2478" i="1"/>
  <c r="AC2478" i="1" s="1"/>
  <c r="D2480" i="1" l="1"/>
  <c r="W2480" i="1" s="1" a="1"/>
  <c r="W2480" i="1" s="1"/>
  <c r="AA2479" i="1"/>
  <c r="AC2479" i="1" s="1"/>
  <c r="D2481" i="1" l="1"/>
  <c r="W2481" i="1" s="1" a="1"/>
  <c r="W2481" i="1" s="1"/>
  <c r="AA2480" i="1"/>
  <c r="AC2480" i="1" s="1"/>
  <c r="D2482" i="1" l="1"/>
  <c r="W2482" i="1" s="1" a="1"/>
  <c r="W2482" i="1" s="1"/>
  <c r="AA2481" i="1"/>
  <c r="AC2481" i="1" s="1"/>
  <c r="D2483" i="1" l="1"/>
  <c r="W2483" i="1" s="1" a="1"/>
  <c r="W2483" i="1" s="1"/>
  <c r="AA2482" i="1"/>
  <c r="AC2482" i="1" s="1"/>
  <c r="D2484" i="1" l="1"/>
  <c r="W2484" i="1" s="1" a="1"/>
  <c r="W2484" i="1" s="1"/>
  <c r="AA2483" i="1"/>
  <c r="AC2483" i="1" s="1"/>
  <c r="D2485" i="1" l="1"/>
  <c r="W2485" i="1" s="1" a="1"/>
  <c r="W2485" i="1" s="1"/>
  <c r="AA2484" i="1"/>
  <c r="AC2484" i="1" s="1"/>
  <c r="D2486" i="1" l="1"/>
  <c r="W2486" i="1" s="1" a="1"/>
  <c r="W2486" i="1" s="1"/>
  <c r="AA2485" i="1"/>
  <c r="AC2485" i="1" s="1"/>
  <c r="D2487" i="1" l="1"/>
  <c r="W2487" i="1" s="1" a="1"/>
  <c r="W2487" i="1" s="1"/>
  <c r="AA2486" i="1"/>
  <c r="AC2486" i="1" s="1"/>
  <c r="D2488" i="1" l="1"/>
  <c r="W2488" i="1" s="1" a="1"/>
  <c r="W2488" i="1" s="1"/>
  <c r="AA2487" i="1"/>
  <c r="AC2487" i="1" s="1"/>
  <c r="D2489" i="1" l="1"/>
  <c r="W2489" i="1" s="1" a="1"/>
  <c r="W2489" i="1" s="1"/>
  <c r="AA2488" i="1"/>
  <c r="AC2488" i="1" s="1"/>
  <c r="D2490" i="1" l="1"/>
  <c r="W2490" i="1" s="1" a="1"/>
  <c r="W2490" i="1" s="1"/>
  <c r="AA2489" i="1"/>
  <c r="AC2489" i="1" s="1"/>
  <c r="D2491" i="1" l="1"/>
  <c r="W2491" i="1" s="1" a="1"/>
  <c r="W2491" i="1" s="1"/>
  <c r="AA2490" i="1"/>
  <c r="AC2490" i="1" s="1"/>
  <c r="D2492" i="1" l="1"/>
  <c r="W2492" i="1" s="1" a="1"/>
  <c r="W2492" i="1" s="1"/>
  <c r="AA2491" i="1"/>
  <c r="AC2491" i="1" s="1"/>
  <c r="D2493" i="1" l="1"/>
  <c r="W2493" i="1" s="1" a="1"/>
  <c r="W2493" i="1" s="1"/>
  <c r="AA2492" i="1"/>
  <c r="AC2492" i="1" s="1"/>
  <c r="D2494" i="1" l="1"/>
  <c r="W2494" i="1" s="1" a="1"/>
  <c r="W2494" i="1" s="1"/>
  <c r="AA2493" i="1"/>
  <c r="AC2493" i="1" s="1"/>
  <c r="D2495" i="1" l="1"/>
  <c r="W2495" i="1" s="1" a="1"/>
  <c r="W2495" i="1" s="1"/>
  <c r="AA2494" i="1"/>
  <c r="AC2494" i="1" s="1"/>
  <c r="D2496" i="1" l="1"/>
  <c r="W2496" i="1" s="1" a="1"/>
  <c r="W2496" i="1" s="1"/>
  <c r="AA2495" i="1"/>
  <c r="AC2495" i="1" s="1"/>
  <c r="D2497" i="1" l="1"/>
  <c r="W2497" i="1" s="1" a="1"/>
  <c r="W2497" i="1" s="1"/>
  <c r="AA2496" i="1"/>
  <c r="AC2496" i="1" s="1"/>
  <c r="D2498" i="1" l="1"/>
  <c r="W2498" i="1" s="1" a="1"/>
  <c r="W2498" i="1" s="1"/>
  <c r="AA2497" i="1"/>
  <c r="AC2497" i="1" s="1"/>
  <c r="D2499" i="1" l="1"/>
  <c r="W2499" i="1" s="1" a="1"/>
  <c r="W2499" i="1" s="1"/>
  <c r="AA2498" i="1"/>
  <c r="AC2498" i="1" s="1"/>
  <c r="D2500" i="1" l="1"/>
  <c r="W2500" i="1" s="1" a="1"/>
  <c r="W2500" i="1" s="1"/>
  <c r="AA2499" i="1"/>
  <c r="AC2499" i="1" s="1"/>
  <c r="D2501" i="1" l="1"/>
  <c r="W2501" i="1" s="1" a="1"/>
  <c r="W2501" i="1" s="1"/>
  <c r="AA2500" i="1"/>
  <c r="AC2500" i="1" s="1"/>
  <c r="D2502" i="1" l="1"/>
  <c r="W2502" i="1" s="1" a="1"/>
  <c r="W2502" i="1" s="1"/>
  <c r="AA2501" i="1"/>
  <c r="AC2501" i="1" s="1"/>
  <c r="D2503" i="1" l="1"/>
  <c r="W2503" i="1" s="1" a="1"/>
  <c r="W2503" i="1" s="1"/>
  <c r="AA2502" i="1"/>
  <c r="AC2502" i="1" s="1"/>
  <c r="D2504" i="1" l="1"/>
  <c r="W2504" i="1" s="1" a="1"/>
  <c r="W2504" i="1" s="1"/>
  <c r="AA2503" i="1"/>
  <c r="AC2503" i="1" s="1"/>
  <c r="D2505" i="1" l="1"/>
  <c r="W2505" i="1" s="1" a="1"/>
  <c r="W2505" i="1" s="1"/>
  <c r="AA2504" i="1"/>
  <c r="AC2504" i="1" s="1"/>
  <c r="D2506" i="1" l="1"/>
  <c r="W2506" i="1" s="1" a="1"/>
  <c r="W2506" i="1" s="1"/>
  <c r="AA2505" i="1"/>
  <c r="AC2505" i="1" s="1"/>
  <c r="D2507" i="1" l="1"/>
  <c r="AA2506" i="1"/>
  <c r="AC2506" i="1" s="1"/>
  <c r="W2507" i="1" l="1" a="1"/>
  <c r="W2507" i="1" s="1"/>
  <c r="W30" i="8"/>
  <c r="D2508" i="1"/>
  <c r="W2508" i="1" s="1" a="1"/>
  <c r="W2508" i="1" s="1"/>
  <c r="AA2507" i="1"/>
  <c r="AC2507" i="1" s="1"/>
  <c r="D2509" i="1" l="1"/>
  <c r="W2509" i="1" s="1" a="1"/>
  <c r="W2509" i="1" s="1"/>
  <c r="AA2508" i="1"/>
  <c r="AC2508" i="1" s="1"/>
  <c r="D2510" i="1" l="1"/>
  <c r="W2510" i="1" s="1" a="1"/>
  <c r="W2510" i="1" s="1"/>
  <c r="AA2509" i="1"/>
  <c r="AC2509" i="1" s="1"/>
  <c r="D2511" i="1" l="1"/>
  <c r="W2511" i="1" s="1" a="1"/>
  <c r="W2511" i="1" s="1"/>
  <c r="AA2510" i="1"/>
  <c r="AC2510" i="1" s="1"/>
  <c r="D2512" i="1" l="1"/>
  <c r="AA2511" i="1"/>
  <c r="AC2511" i="1" s="1"/>
  <c r="W2512" i="1" l="1" a="1"/>
  <c r="W2512" i="1" s="1"/>
  <c r="W60" i="8"/>
  <c r="W89" i="8"/>
  <c r="D2513" i="1"/>
  <c r="W2513" i="1" s="1" a="1"/>
  <c r="W2513" i="1" s="1"/>
  <c r="AA2512" i="1"/>
  <c r="AC2512" i="1" s="1"/>
  <c r="D2514" i="1" l="1"/>
  <c r="W2514" i="1" s="1" a="1"/>
  <c r="W2514" i="1" s="1"/>
  <c r="AA2513" i="1"/>
  <c r="AC2513" i="1" s="1"/>
  <c r="D2515" i="1" l="1"/>
  <c r="W2515" i="1" s="1" a="1"/>
  <c r="W2515" i="1" s="1"/>
  <c r="AA2514" i="1"/>
  <c r="AC2514" i="1" s="1"/>
  <c r="D2516" i="1" l="1"/>
  <c r="W2516" i="1" s="1" a="1"/>
  <c r="W2516" i="1" s="1"/>
  <c r="AA2515" i="1"/>
  <c r="AC2515" i="1" s="1"/>
  <c r="D2517" i="1" l="1"/>
  <c r="W2517" i="1" s="1" a="1"/>
  <c r="W2517" i="1" s="1"/>
  <c r="AA2516" i="1"/>
  <c r="AC2516" i="1" s="1"/>
  <c r="D2518" i="1" l="1"/>
  <c r="W2518" i="1" s="1" a="1"/>
  <c r="W2518" i="1" s="1"/>
  <c r="AA2517" i="1"/>
  <c r="AC2517" i="1" s="1"/>
  <c r="D2519" i="1" l="1"/>
  <c r="W2519" i="1" s="1" a="1"/>
  <c r="W2519" i="1" s="1"/>
  <c r="AA2518" i="1"/>
  <c r="AC2518" i="1" s="1"/>
  <c r="D2520" i="1" l="1"/>
  <c r="W2520" i="1" s="1" a="1"/>
  <c r="W2520" i="1" s="1"/>
  <c r="AA2519" i="1"/>
  <c r="AC2519" i="1" s="1"/>
  <c r="D2521" i="1" l="1"/>
  <c r="W2521" i="1" s="1" a="1"/>
  <c r="W2521" i="1" s="1"/>
  <c r="AA2520" i="1"/>
  <c r="AC2520" i="1" s="1"/>
  <c r="D2522" i="1" l="1"/>
  <c r="W2522" i="1" s="1" a="1"/>
  <c r="W2522" i="1" s="1"/>
  <c r="AA2521" i="1"/>
  <c r="AC2521" i="1" s="1"/>
  <c r="D2523" i="1" l="1"/>
  <c r="W2523" i="1" s="1" a="1"/>
  <c r="W2523" i="1" s="1"/>
  <c r="AA2522" i="1"/>
  <c r="AC2522" i="1" s="1"/>
  <c r="D2524" i="1" l="1"/>
  <c r="W2524" i="1" s="1" a="1"/>
  <c r="W2524" i="1" s="1"/>
  <c r="AA2523" i="1"/>
  <c r="AC2523" i="1" s="1"/>
  <c r="D2525" i="1" l="1"/>
  <c r="W2525" i="1" s="1" a="1"/>
  <c r="W2525" i="1" s="1"/>
  <c r="AA2524" i="1"/>
  <c r="AC2524" i="1" s="1"/>
  <c r="D2526" i="1" l="1"/>
  <c r="W2526" i="1" s="1" a="1"/>
  <c r="W2526" i="1" s="1"/>
  <c r="AA2525" i="1"/>
  <c r="AC2525" i="1" s="1"/>
  <c r="D2527" i="1" l="1"/>
  <c r="AA2526" i="1"/>
  <c r="AC2526" i="1" s="1"/>
  <c r="AA2527" i="1" l="1"/>
  <c r="AC2527" i="1" s="1"/>
  <c r="W2527" i="1" a="1"/>
  <c r="W252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<sst xmlns="http://schemas.openxmlformats.org/spreadsheetml/2006/main" count="16062" uniqueCount="529">
  <si>
    <t>Team</t>
  </si>
  <si>
    <t>Period</t>
  </si>
  <si>
    <t>EventType</t>
  </si>
  <si>
    <t>OffensivePlay</t>
  </si>
  <si>
    <t>DefensivePlay</t>
  </si>
  <si>
    <t>Player</t>
  </si>
  <si>
    <t>Faceoff</t>
  </si>
  <si>
    <t>Shot</t>
  </si>
  <si>
    <t>Pass</t>
  </si>
  <si>
    <t>Goal</t>
  </si>
  <si>
    <t>Turnover</t>
  </si>
  <si>
    <t>Zone Entry/Exit</t>
  </si>
  <si>
    <t>Penalty</t>
  </si>
  <si>
    <t>Stoppage</t>
  </si>
  <si>
    <t>Hit</t>
  </si>
  <si>
    <t>Possession</t>
  </si>
  <si>
    <t>LoosePuck</t>
  </si>
  <si>
    <t>Save</t>
  </si>
  <si>
    <t>TeamPossessionChange</t>
  </si>
  <si>
    <t>Faceoff-AfterPenalty</t>
  </si>
  <si>
    <t>Faceoff-AfterGoal</t>
  </si>
  <si>
    <t>Faceoff-PeriodStart</t>
  </si>
  <si>
    <t>Shot-OnNet</t>
  </si>
  <si>
    <t>Shot-Missed</t>
  </si>
  <si>
    <t>Shot-Blocked</t>
  </si>
  <si>
    <t>Shot-BlockedSameTeam</t>
  </si>
  <si>
    <t>Shot-Deflected</t>
  </si>
  <si>
    <t>Shot-DeflectedOnNet</t>
  </si>
  <si>
    <t>Shot-Tipped</t>
  </si>
  <si>
    <t>Pass-Completed</t>
  </si>
  <si>
    <t>Pass-Missed</t>
  </si>
  <si>
    <t>Pass-Deflected</t>
  </si>
  <si>
    <t>Pass-Intercepted</t>
  </si>
  <si>
    <t>Turnover-Giveaway</t>
  </si>
  <si>
    <t>Turnover-Takeaway</t>
  </si>
  <si>
    <t>Zone-Entry</t>
  </si>
  <si>
    <t>Zone-Exit</t>
  </si>
  <si>
    <t>Zone-Keepin</t>
  </si>
  <si>
    <t>Penalty-Offsetting</t>
  </si>
  <si>
    <t>Stoppage-Freeze</t>
  </si>
  <si>
    <t>Stoppage-OutfofPlay</t>
  </si>
  <si>
    <t>Stoppage-PeriodEnd</t>
  </si>
  <si>
    <t>Stoppage-Goal</t>
  </si>
  <si>
    <t>Stoppage-Penalty</t>
  </si>
  <si>
    <t>Shootout-OnNet</t>
  </si>
  <si>
    <t>Shootout-Missed</t>
  </si>
  <si>
    <t>Shootout-Saved</t>
  </si>
  <si>
    <t>PenaltyShot-OnNet</t>
  </si>
  <si>
    <t>PenaltyShot-Missed</t>
  </si>
  <si>
    <t>PenaltyShot-Saved</t>
  </si>
  <si>
    <t>LoosePuck-Forecheck</t>
  </si>
  <si>
    <t>LoosePuck-Battle</t>
  </si>
  <si>
    <t>EventTypeDetail</t>
  </si>
  <si>
    <t>Shot-Wrist</t>
  </si>
  <si>
    <t>Shot-Slap</t>
  </si>
  <si>
    <t>Shot-Backhand</t>
  </si>
  <si>
    <t>Shot-Tip</t>
  </si>
  <si>
    <t>Shot-Snap</t>
  </si>
  <si>
    <t>Shot-WrapAround</t>
  </si>
  <si>
    <t>Shot-Bat</t>
  </si>
  <si>
    <t>Shot-Cradle</t>
  </si>
  <si>
    <t>Shot-Poke</t>
  </si>
  <si>
    <t>Shot-BetweenLegs</t>
  </si>
  <si>
    <t>Shot-Dumpin</t>
  </si>
  <si>
    <t>Shot-Deflection</t>
  </si>
  <si>
    <t>Shot-OneTime</t>
  </si>
  <si>
    <t>Shot-Other</t>
  </si>
  <si>
    <t>Pass-Stretch</t>
  </si>
  <si>
    <t>Pass-Rim/Wrap</t>
  </si>
  <si>
    <t>Pass-Backhand</t>
  </si>
  <si>
    <t>Pass-Forehand</t>
  </si>
  <si>
    <t>Pass-Bank</t>
  </si>
  <si>
    <t>Pass-Other</t>
  </si>
  <si>
    <t>Giveaway-Misplayed</t>
  </si>
  <si>
    <t>Giveaway-BattleLost</t>
  </si>
  <si>
    <t>Giveaway-PassIntercepted</t>
  </si>
  <si>
    <t>Giveaway-PassMissed</t>
  </si>
  <si>
    <t>Giveaway-PassBlocked</t>
  </si>
  <si>
    <t>Giveaway-ShotBlocked</t>
  </si>
  <si>
    <t>Giveaway-ShotMissed</t>
  </si>
  <si>
    <t>Giveaway-Other</t>
  </si>
  <si>
    <t>Takeaway-BattleWon</t>
  </si>
  <si>
    <t>Takeaway-PokeCheck</t>
  </si>
  <si>
    <t>Takeaway-PassIntercepted</t>
  </si>
  <si>
    <t>Takeaway-PassBlocked</t>
  </si>
  <si>
    <t>Takeaway-ShotBlocked</t>
  </si>
  <si>
    <t>Takeaway-Other</t>
  </si>
  <si>
    <t>ZoneEntry-Rush</t>
  </si>
  <si>
    <t>ZoneEntry-Pass</t>
  </si>
  <si>
    <t>ZoneEntry-DumpIn</t>
  </si>
  <si>
    <t>ZoneExit-Rush</t>
  </si>
  <si>
    <t>ZoneExit-Pass</t>
  </si>
  <si>
    <t>ZoneExit-Clear</t>
  </si>
  <si>
    <t>Zone-KeepIn</t>
  </si>
  <si>
    <t>Zone-Pinch</t>
  </si>
  <si>
    <t>Zone-Other</t>
  </si>
  <si>
    <t>Save-Glove</t>
  </si>
  <si>
    <t>Save-Blocker</t>
  </si>
  <si>
    <t>Save-LeftPad</t>
  </si>
  <si>
    <t>Save-RightPad</t>
  </si>
  <si>
    <t>Save-Stick</t>
  </si>
  <si>
    <t>Save-Scramble</t>
  </si>
  <si>
    <t>Save-Butterfly</t>
  </si>
  <si>
    <t>Save-Chest</t>
  </si>
  <si>
    <t>Save-Other</t>
  </si>
  <si>
    <t>Stoppage-StartofShootout</t>
  </si>
  <si>
    <t>Stoppage-PeriodStart</t>
  </si>
  <si>
    <t>Stoppage-PuckOutofPlay</t>
  </si>
  <si>
    <t>Stoppage-Icing</t>
  </si>
  <si>
    <t>Stoppage-Offsides</t>
  </si>
  <si>
    <t>Stoppage-GoalieStoppage</t>
  </si>
  <si>
    <t>Stoppage-ClockProblem</t>
  </si>
  <si>
    <t>Stoppage-HighStick</t>
  </si>
  <si>
    <t>Stoppage-ObjectsonIce</t>
  </si>
  <si>
    <t>Stoppage-HandPass</t>
  </si>
  <si>
    <t>Stoppage-NetDislodged</t>
  </si>
  <si>
    <t>Stoppage-HomeTimeout</t>
  </si>
  <si>
    <t>Stoppage-VisitorTimeout</t>
  </si>
  <si>
    <t>Stoppage-Injury</t>
  </si>
  <si>
    <t>Stoppage-OfficialInjury</t>
  </si>
  <si>
    <t>Stoppage-RinkRepair</t>
  </si>
  <si>
    <t>Stoppage-PlayerEquipment</t>
  </si>
  <si>
    <t>Stoppage-Challenge</t>
  </si>
  <si>
    <t>Stoppage-Other</t>
  </si>
  <si>
    <t>Penalty-Bench Penalty</t>
  </si>
  <si>
    <t>Penalty-Boarding</t>
  </si>
  <si>
    <t>Penalty-Charging</t>
  </si>
  <si>
    <t>Penalty-CrossChecking</t>
  </si>
  <si>
    <t>Penalty-DelayofGame</t>
  </si>
  <si>
    <t>Penalty-Diving</t>
  </si>
  <si>
    <t>Penalty-Elbowing</t>
  </si>
  <si>
    <t>Penalty-GoalieInterference</t>
  </si>
  <si>
    <t>Penalty-HighSticking</t>
  </si>
  <si>
    <t>Penalty-Holding</t>
  </si>
  <si>
    <t>Penalty-Interference</t>
  </si>
  <si>
    <t>Penalty-Fighting</t>
  </si>
  <si>
    <t>Penalty-Hooking</t>
  </si>
  <si>
    <t>Penalty-Roughing</t>
  </si>
  <si>
    <t>Penalty-Slashing</t>
  </si>
  <si>
    <t>Penalty-Misconduct</t>
  </si>
  <si>
    <t>Penalty-TooManyMenontheIce</t>
  </si>
  <si>
    <t>Penalty-Tripping</t>
  </si>
  <si>
    <t>Penalty-UnsportsmanlikeConduct</t>
  </si>
  <si>
    <t>Penalty-Other</t>
  </si>
  <si>
    <t>EventTypeDetail2</t>
  </si>
  <si>
    <t>DriveMiddle</t>
  </si>
  <si>
    <t>DriveWide</t>
  </si>
  <si>
    <t>DriveCorner</t>
  </si>
  <si>
    <t>DriveNetMiddle</t>
  </si>
  <si>
    <t>DriveNetWide</t>
  </si>
  <si>
    <t>CrashNet</t>
  </si>
  <si>
    <t>Delay</t>
  </si>
  <si>
    <t>Deke</t>
  </si>
  <si>
    <t>Chip</t>
  </si>
  <si>
    <t>Other</t>
  </si>
  <si>
    <t>DumpChase</t>
  </si>
  <si>
    <t>Forecheck</t>
  </si>
  <si>
    <t>Speed</t>
  </si>
  <si>
    <t>PokeCheck</t>
  </si>
  <si>
    <t>PokeCheckFailed</t>
  </si>
  <si>
    <t>SeperateFromPuck</t>
  </si>
  <si>
    <t>Backcheck</t>
  </si>
  <si>
    <t>FroceWide</t>
  </si>
  <si>
    <t>Contain</t>
  </si>
  <si>
    <t>BeatMiddle</t>
  </si>
  <si>
    <t>BeatWide</t>
  </si>
  <si>
    <t>BeatDeke</t>
  </si>
  <si>
    <t>BeatSpeed</t>
  </si>
  <si>
    <t>BoxOut</t>
  </si>
  <si>
    <t>NHL Net</t>
  </si>
  <si>
    <t>X</t>
  </si>
  <si>
    <t>Y</t>
  </si>
  <si>
    <t>Max</t>
  </si>
  <si>
    <t>Min</t>
  </si>
  <si>
    <t>PostX</t>
  </si>
  <si>
    <t>PostY</t>
  </si>
  <si>
    <t>Total Max</t>
  </si>
  <si>
    <t>Total Min</t>
  </si>
  <si>
    <t>Home</t>
  </si>
  <si>
    <t>Away</t>
  </si>
  <si>
    <t>Save-Rebound</t>
  </si>
  <si>
    <t>Save-Freeze</t>
  </si>
  <si>
    <t>ZoneEntry-Other</t>
  </si>
  <si>
    <t>ZoneExit-Other</t>
  </si>
  <si>
    <t>Stoppage-Play</t>
  </si>
  <si>
    <t>Stoppage-Period</t>
  </si>
  <si>
    <t>PenaltyShot/Shootout</t>
  </si>
  <si>
    <t>Penalty-Minor</t>
  </si>
  <si>
    <t>Penalty-Major</t>
  </si>
  <si>
    <t>Pass_Completed</t>
  </si>
  <si>
    <t>Turnover_Giveaway</t>
  </si>
  <si>
    <t>Zone_Entry</t>
  </si>
  <si>
    <t>Penalty_Minor</t>
  </si>
  <si>
    <t>PenaltyShot_OnNet</t>
  </si>
  <si>
    <t>Stoppage_Period</t>
  </si>
  <si>
    <t>LoosePuck_Forecheck</t>
  </si>
  <si>
    <t>Save_Rebound</t>
  </si>
  <si>
    <t>Faceoff_AfterPenalty</t>
  </si>
  <si>
    <t>Shot_Missed</t>
  </si>
  <si>
    <t>Pass_Missed</t>
  </si>
  <si>
    <t>Turnover_Takeaway</t>
  </si>
  <si>
    <t>Zone_Exit</t>
  </si>
  <si>
    <t>Penalty_Offsetting</t>
  </si>
  <si>
    <t>PenaltyShot_Missed</t>
  </si>
  <si>
    <t>Stoppage_Play</t>
  </si>
  <si>
    <t>LoosePuck_Battle</t>
  </si>
  <si>
    <t>Save_Freeze</t>
  </si>
  <si>
    <t>Faceoff_AfterGoal</t>
  </si>
  <si>
    <t>Shot_Blocked</t>
  </si>
  <si>
    <t>Pass_Deflected</t>
  </si>
  <si>
    <t>Zone_Keepin</t>
  </si>
  <si>
    <t>Penalty_Major</t>
  </si>
  <si>
    <t>PenaltyShot_Saved</t>
  </si>
  <si>
    <t>Stoppage_Other</t>
  </si>
  <si>
    <t>Faceoff_PeriodStart</t>
  </si>
  <si>
    <t>Shot_BlockedSameTeam</t>
  </si>
  <si>
    <t>Pass_Intercepted</t>
  </si>
  <si>
    <t>ShootoutShot_OnNet</t>
  </si>
  <si>
    <t>Shot_Deflected</t>
  </si>
  <si>
    <t>ShootoutShot_Missed</t>
  </si>
  <si>
    <t>ShootoutShot_Saved</t>
  </si>
  <si>
    <t>Shot_Tipped</t>
  </si>
  <si>
    <t>Shot_OnNetSaved</t>
  </si>
  <si>
    <t>Shot_DeflectedOnNetSaved</t>
  </si>
  <si>
    <t>Shot_TippedOnNetSaved</t>
  </si>
  <si>
    <t>Shot_OnNetGoal</t>
  </si>
  <si>
    <t>Shot_TippedGoal</t>
  </si>
  <si>
    <t>Shot_DeflectedGoal</t>
  </si>
  <si>
    <t>Shot_OnNetTippedGoal</t>
  </si>
  <si>
    <t>Shot_OnNetDeflectedGoal</t>
  </si>
  <si>
    <t>Goal_Scored</t>
  </si>
  <si>
    <t>Goal_Shootout</t>
  </si>
  <si>
    <t>Goal_PenaltyShot</t>
  </si>
  <si>
    <t>Goal-Wrist</t>
  </si>
  <si>
    <t>Goal-Slap</t>
  </si>
  <si>
    <t>Goal-Backhand</t>
  </si>
  <si>
    <t>Goal-Tip</t>
  </si>
  <si>
    <t>Goal-Snap</t>
  </si>
  <si>
    <t>Goal-WrapAround</t>
  </si>
  <si>
    <t>Goal-Bat</t>
  </si>
  <si>
    <t>Goal-Cradle</t>
  </si>
  <si>
    <t>Goal-Poke</t>
  </si>
  <si>
    <t>Goal-BetweenLegs</t>
  </si>
  <si>
    <t>Goal-Dumpin</t>
  </si>
  <si>
    <t>Goal-Deflection</t>
  </si>
  <si>
    <t>Goal-OneTime</t>
  </si>
  <si>
    <t>Goal-Other</t>
  </si>
  <si>
    <t>Play</t>
  </si>
  <si>
    <t>NextPlay</t>
  </si>
  <si>
    <t>OnIcePlayers</t>
  </si>
  <si>
    <t>EventPlayers</t>
  </si>
  <si>
    <t>OppPlayers</t>
  </si>
  <si>
    <t>Scorer</t>
  </si>
  <si>
    <t>Goalie, Defenders in Front</t>
  </si>
  <si>
    <t>All</t>
  </si>
  <si>
    <t>Winner, Next Player to Touch</t>
  </si>
  <si>
    <t>Loser</t>
  </si>
  <si>
    <t>None</t>
  </si>
  <si>
    <t>ChangePossession</t>
  </si>
  <si>
    <t>Pass_Intercepted, Pass/ShotMissed Other Team Possession</t>
  </si>
  <si>
    <t>Passer/Shooter, Intended Recipient</t>
  </si>
  <si>
    <t>Intercepteor/Blocker</t>
  </si>
  <si>
    <t>In Play</t>
  </si>
  <si>
    <t>Player who turned over</t>
  </si>
  <si>
    <t>Player who received turnover</t>
  </si>
  <si>
    <t>ShotSaved</t>
  </si>
  <si>
    <t>SequecnceDefinition</t>
  </si>
  <si>
    <t>PlayDefinition</t>
  </si>
  <si>
    <t>Series of possession, passes that lead to shot or zone entry/exit</t>
  </si>
  <si>
    <t>Loose puck to loose puck</t>
  </si>
  <si>
    <t>Rebound</t>
  </si>
  <si>
    <t>Rebound_TeamRecovered</t>
  </si>
  <si>
    <t>Rebound_OppTeamRecovered</t>
  </si>
  <si>
    <t>Rebound_ShotGenerated</t>
  </si>
  <si>
    <t>Rebound_FlurryGenerated</t>
  </si>
  <si>
    <t>Faceoff_AfterStoppage</t>
  </si>
  <si>
    <t>PenaltyShot_Shootout</t>
  </si>
  <si>
    <t>Zone_Entry_Exit</t>
  </si>
  <si>
    <t>Involved</t>
  </si>
  <si>
    <t>Invoived</t>
  </si>
  <si>
    <t>Type</t>
  </si>
  <si>
    <t>Shot_Goal</t>
  </si>
  <si>
    <t>DeadIce</t>
  </si>
  <si>
    <t>event_index</t>
  </si>
  <si>
    <t>sequence_index</t>
  </si>
  <si>
    <t>play_index</t>
  </si>
  <si>
    <t>player_role</t>
  </si>
  <si>
    <t>event_detail</t>
  </si>
  <si>
    <t>event_detail_2</t>
  </si>
  <si>
    <t>offensive_play</t>
  </si>
  <si>
    <t>defensive_play</t>
  </si>
  <si>
    <t>game_id</t>
  </si>
  <si>
    <t>home_team</t>
  </si>
  <si>
    <t>away_team</t>
  </si>
  <si>
    <t>event_team_player_2</t>
  </si>
  <si>
    <t>event_team_player_1</t>
  </si>
  <si>
    <t>event_team_player_3</t>
  </si>
  <si>
    <t>event_team_player_4</t>
  </si>
  <si>
    <t>event_team_player_5</t>
  </si>
  <si>
    <t>event_team_player_6</t>
  </si>
  <si>
    <t>opp_team_player_1</t>
  </si>
  <si>
    <t>opp_team_player_2</t>
  </si>
  <si>
    <t>opp_team_player_3</t>
  </si>
  <si>
    <t>opp_team_player_4</t>
  </si>
  <si>
    <t>opp_team_player_5</t>
  </si>
  <si>
    <t>opp_team_player_6</t>
  </si>
  <si>
    <t>-</t>
  </si>
  <si>
    <t>Velodrome</t>
  </si>
  <si>
    <t>HollowBrook</t>
  </si>
  <si>
    <t>07</t>
  </si>
  <si>
    <t>04</t>
  </si>
  <si>
    <t>03</t>
  </si>
  <si>
    <t>01</t>
  </si>
  <si>
    <t>08</t>
  </si>
  <si>
    <t>06</t>
  </si>
  <si>
    <t>05</t>
  </si>
  <si>
    <t>02</t>
  </si>
  <si>
    <t>13</t>
  </si>
  <si>
    <t>event_start_min</t>
  </si>
  <si>
    <t>event_start_sec</t>
  </si>
  <si>
    <t>event_end_min</t>
  </si>
  <si>
    <t>event_end_sec</t>
  </si>
  <si>
    <t>shift_index</t>
  </si>
  <si>
    <t>shift_start_type</t>
  </si>
  <si>
    <t>shift_stop_type</t>
  </si>
  <si>
    <t>shift_start_min</t>
  </si>
  <si>
    <t>shift_start_sec</t>
  </si>
  <si>
    <t>shift_end_min</t>
  </si>
  <si>
    <t>shift_end_sec</t>
  </si>
  <si>
    <t>home_forward_1</t>
  </si>
  <si>
    <t>home_forward_2</t>
  </si>
  <si>
    <t>home_forward_3</t>
  </si>
  <si>
    <t>home_defense_1</t>
  </si>
  <si>
    <t>home_defense_2</t>
  </si>
  <si>
    <t>home_goalie</t>
  </si>
  <si>
    <t>home_xtra</t>
  </si>
  <si>
    <t>away_forward_1</t>
  </si>
  <si>
    <t>away_forward_2</t>
  </si>
  <si>
    <t>away_forward_3</t>
  </si>
  <si>
    <t>away_defense_1</t>
  </si>
  <si>
    <t>away_defense_2</t>
  </si>
  <si>
    <t>away_goalie</t>
  </si>
  <si>
    <t>away_xtra</t>
  </si>
  <si>
    <t>stoppage_time</t>
  </si>
  <si>
    <t>clock_stoped</t>
  </si>
  <si>
    <t>home_ozone_start</t>
  </si>
  <si>
    <t>home_ozone_end</t>
  </si>
  <si>
    <t>home_dzone_start</t>
  </si>
  <si>
    <t>home_dzone_end</t>
  </si>
  <si>
    <t>home_nzone_start</t>
  </si>
  <si>
    <t>home_nzone_end</t>
  </si>
  <si>
    <t>PeriodStart</t>
  </si>
  <si>
    <t>Home Goalie Stoppage</t>
  </si>
  <si>
    <t>FaceoffAfterGoal</t>
  </si>
  <si>
    <t>GameStart</t>
  </si>
  <si>
    <t>FaceoffAfterPenalty</t>
  </si>
  <si>
    <t>OtherFaceoff</t>
  </si>
  <si>
    <t>DeadIce/Stoppage</t>
  </si>
  <si>
    <t>Period Start</t>
  </si>
  <si>
    <t>Period End</t>
  </si>
  <si>
    <t>Puck Out of Play</t>
  </si>
  <si>
    <t>Injury</t>
  </si>
  <si>
    <t>Home Penalty</t>
  </si>
  <si>
    <t>Away Penalty</t>
  </si>
  <si>
    <t>Away Goalie Stoppage</t>
  </si>
  <si>
    <t>Home Offside</t>
  </si>
  <si>
    <t>Home Icing</t>
  </si>
  <si>
    <t>Away Offside</t>
  </si>
  <si>
    <t>Away Icing</t>
  </si>
  <si>
    <t>Clock Problem</t>
  </si>
  <si>
    <t>Puck Frozen</t>
  </si>
  <si>
    <t>Puck in Crowd</t>
  </si>
  <si>
    <t>Goalie Stopped (after SOG)</t>
  </si>
  <si>
    <t>Referee or Linesperson</t>
  </si>
  <si>
    <t>High Stick</t>
  </si>
  <si>
    <t>Objects on Ice</t>
  </si>
  <si>
    <t>Hand Pass</t>
  </si>
  <si>
    <t>Premature Substitution</t>
  </si>
  <si>
    <t>Puck in Netting</t>
  </si>
  <si>
    <t>Puck in Benches</t>
  </si>
  <si>
    <t>Net Dislodged Offensive Skater</t>
  </si>
  <si>
    <t>Puck Frzn-Goalie-Bynd Ctr</t>
  </si>
  <si>
    <t>Skater Puck Frozen</t>
  </si>
  <si>
    <t>Valid stoppage type reasons (reason):</t>
  </si>
  <si>
    <t>TV timeout</t>
  </si>
  <si>
    <t>Home Timeout</t>
  </si>
  <si>
    <t>Visitor Timeout</t>
  </si>
  <si>
    <t>Player Injury</t>
  </si>
  <si>
    <t>Official Injury</t>
  </si>
  <si>
    <t>Rink Repair</t>
  </si>
  <si>
    <t>Ice problem</t>
  </si>
  <si>
    <t>Player Equipment</t>
  </si>
  <si>
    <t>Video Review</t>
  </si>
  <si>
    <t>Chlg Hm - off-side</t>
  </si>
  <si>
    <t>Chlg Vis - off-side</t>
  </si>
  <si>
    <t>Chlg Hm - goal interference</t>
  </si>
  <si>
    <t>Chlg Vis - goal interference</t>
  </si>
  <si>
    <t>Chlg League - off-side</t>
  </si>
  <si>
    <t>Chlg League - goal interference</t>
  </si>
  <si>
    <t>Switch sides</t>
  </si>
  <si>
    <t>Chlg Hm - Missed stoppage</t>
  </si>
  <si>
    <t>Chlg Vis - Missed stoppage</t>
  </si>
  <si>
    <t>Chlg League - Missed stoppage</t>
  </si>
  <si>
    <t>Chlg Hm - puck over glass</t>
  </si>
  <si>
    <t>Chlg Vis - puck over glass</t>
  </si>
  <si>
    <t>Chlg League - puck over glass</t>
  </si>
  <si>
    <t>Home Goal</t>
  </si>
  <si>
    <t>Away Goal</t>
  </si>
  <si>
    <t>Away Goalie Stopped (after Home SOG)</t>
  </si>
  <si>
    <t>Home Goalie Stopped (after Away SOG)</t>
  </si>
  <si>
    <t>shift_start</t>
  </si>
  <si>
    <t>shift_end</t>
  </si>
  <si>
    <t>home_team_strength</t>
  </si>
  <si>
    <t>away_team_strength</t>
  </si>
  <si>
    <t>home_team_en</t>
  </si>
  <si>
    <t>away_team_en</t>
  </si>
  <si>
    <t>home_team_pp</t>
  </si>
  <si>
    <t>home_team_pk</t>
  </si>
  <si>
    <t>away_team_pp</t>
  </si>
  <si>
    <t>away_team_pk</t>
  </si>
  <si>
    <t>situation</t>
  </si>
  <si>
    <t>56</t>
  </si>
  <si>
    <t>20</t>
  </si>
  <si>
    <t>14</t>
  </si>
  <si>
    <t>09</t>
  </si>
  <si>
    <t>10</t>
  </si>
  <si>
    <t>00</t>
  </si>
  <si>
    <t>54</t>
  </si>
  <si>
    <t>52</t>
  </si>
  <si>
    <t>55</t>
  </si>
  <si>
    <t>42</t>
  </si>
  <si>
    <t>41</t>
  </si>
  <si>
    <t>50</t>
  </si>
  <si>
    <t>57</t>
  </si>
  <si>
    <t>47</t>
  </si>
  <si>
    <t>44</t>
  </si>
  <si>
    <t>45</t>
  </si>
  <si>
    <t>40</t>
  </si>
  <si>
    <t>38</t>
  </si>
  <si>
    <t>34</t>
  </si>
  <si>
    <t>28</t>
  </si>
  <si>
    <t>25</t>
  </si>
  <si>
    <t>29</t>
  </si>
  <si>
    <t>26</t>
  </si>
  <si>
    <t>24</t>
  </si>
  <si>
    <t>19</t>
  </si>
  <si>
    <t>17</t>
  </si>
  <si>
    <t>15</t>
  </si>
  <si>
    <t>16</t>
  </si>
  <si>
    <t>12</t>
  </si>
  <si>
    <t>49</t>
  </si>
  <si>
    <t>48</t>
  </si>
  <si>
    <t>36</t>
  </si>
  <si>
    <t>37</t>
  </si>
  <si>
    <t>43</t>
  </si>
  <si>
    <t>35</t>
  </si>
  <si>
    <t>23</t>
  </si>
  <si>
    <t>Zone breakout pass also add pass</t>
  </si>
  <si>
    <t>Turnover (any kind) also add pass/shot/etc</t>
  </si>
  <si>
    <t>Zone dumoin/clear that results in turnover list both</t>
  </si>
  <si>
    <t>Giveaway-ZoneClear/Dump</t>
  </si>
  <si>
    <t>Takeaway-ZoneClear/Dump</t>
  </si>
  <si>
    <t>58</t>
  </si>
  <si>
    <t>duration</t>
  </si>
  <si>
    <t>time_start_total_seconds</t>
  </si>
  <si>
    <t>time_end_total_seconds</t>
  </si>
  <si>
    <t>shift_end_total_seconds</t>
  </si>
  <si>
    <t>shift_start_total_seconds</t>
  </si>
  <si>
    <t>shift_duration</t>
  </si>
  <si>
    <t>strength</t>
  </si>
  <si>
    <t>home_goals</t>
  </si>
  <si>
    <t>away_goals</t>
  </si>
  <si>
    <t>30</t>
  </si>
  <si>
    <t>21</t>
  </si>
  <si>
    <t>0</t>
  </si>
  <si>
    <t>=((C2*60)+D2)</t>
  </si>
  <si>
    <t>0.1</t>
  </si>
  <si>
    <t>51</t>
  </si>
  <si>
    <t>46</t>
  </si>
  <si>
    <t>Giveaway-AttemptedZoneClear/Dump</t>
  </si>
  <si>
    <t>Takeaway-AttemptedZoneClear/Dump</t>
  </si>
  <si>
    <t>39</t>
  </si>
  <si>
    <t>33</t>
  </si>
  <si>
    <t>27</t>
  </si>
  <si>
    <t>22</t>
  </si>
  <si>
    <t>18</t>
  </si>
  <si>
    <t>11</t>
  </si>
  <si>
    <t>59</t>
  </si>
  <si>
    <t>e</t>
  </si>
  <si>
    <t>o</t>
  </si>
  <si>
    <t>role_abrev</t>
  </si>
  <si>
    <t>role_number</t>
  </si>
  <si>
    <t>53</t>
  </si>
  <si>
    <t>31</t>
  </si>
  <si>
    <t>32</t>
  </si>
  <si>
    <t>Pass-Dump</t>
  </si>
  <si>
    <t>0.01</t>
  </si>
  <si>
    <t>Pass-Tipped</t>
  </si>
  <si>
    <t>ZoneEntry-Chip</t>
  </si>
  <si>
    <t>ZoneExit-Chip</t>
  </si>
  <si>
    <t>ZoneEntry-FromExitClear</t>
  </si>
  <si>
    <t>ZoneExit-PassMiss/Misplay</t>
  </si>
  <si>
    <t>ZoneEntry-OppTeam</t>
  </si>
  <si>
    <t>ZoneExit-OppTeam</t>
  </si>
  <si>
    <t>ZoneEntry-Lob</t>
  </si>
  <si>
    <t>ZoneExit-Lob</t>
  </si>
  <si>
    <t>Pass-Lob</t>
  </si>
  <si>
    <t>ZoneEntry-RushBreakaway</t>
  </si>
  <si>
    <t>Giveaway-ZoneEntry/ExitMisplay</t>
  </si>
  <si>
    <t>Save_Played</t>
  </si>
  <si>
    <t>Pass-Drop</t>
  </si>
  <si>
    <t>Play-Offensive</t>
  </si>
  <si>
    <t>Play-Defensive</t>
  </si>
  <si>
    <t>Play_Offensive</t>
  </si>
  <si>
    <t>Play_Defensive</t>
  </si>
  <si>
    <t>ZoneEntry-PassMiss/Misplay</t>
  </si>
  <si>
    <t>Giveaway-DumpInZone</t>
  </si>
  <si>
    <t>Timeout</t>
  </si>
  <si>
    <t>Intermission</t>
  </si>
  <si>
    <t>event_running_start</t>
  </si>
  <si>
    <t>event_running_end</t>
  </si>
  <si>
    <t>period_start_total_running_seconds</t>
  </si>
  <si>
    <t>running_intermission_duration</t>
  </si>
  <si>
    <t>Clockstop</t>
  </si>
  <si>
    <t>Faceoff-GameStart</t>
  </si>
  <si>
    <t>GameEnd</t>
  </si>
  <si>
    <t>Faceoff_GameStart</t>
  </si>
  <si>
    <t>Stoppage_GameEnd</t>
  </si>
  <si>
    <t>running_video_time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</si>
</sst>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center" vertical="center" wrapText="1"/>
    </xf>
    <xf numFmtId="43" fontId="0" fillId="0" borderId="0" xfId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quotePrefix="1" applyBorder="1"/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0" xfId="1" applyNumberFormat="1" applyFont="1"/>
    <xf numFmtId="164" fontId="3" fillId="0" borderId="0" xfId="1" applyNumberFormat="1" applyFont="1" applyAlignment="1">
      <alignment horizontal="center" vertical="center" wrapText="1"/>
    </xf>
    <xf numFmtId="164" fontId="0" fillId="0" borderId="0" xfId="1" applyNumberFormat="1" applyFont="1"/>
    <xf numFmtId="0" fontId="0" fillId="3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0" xfId="0" applyFont="1"/>
    <xf numFmtId="49" fontId="0" fillId="0" borderId="0" xfId="0" applyNumberFormat="1" applyBorder="1"/>
    <xf numFmtId="164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B87-8E62-5845-9DA4-9A73CBFF24F9}">
  <dimension ref="A1:J11"/>
  <sheetViews>
    <sheetView workbookViewId="0">
      <selection activeCell="A12" sqref="A12"/>
    </sheetView>
  </sheetViews>
  <sheetFormatPr baseColWidth="10" defaultRowHeight="16" x14ac:dyDescent="0.2"/>
  <cols>
    <col min="1" max="1" width="49.6640625" customWidth="1"/>
    <col min="2" max="2" width="20.83203125" customWidth="1"/>
    <col min="3" max="3" width="26.33203125" customWidth="1"/>
    <col min="4" max="4" width="26.6640625" customWidth="1"/>
    <col min="5" max="5" width="18" customWidth="1"/>
    <col min="9" max="9" width="22" customWidth="1"/>
  </cols>
  <sheetData>
    <row r="1" spans="1:10" x14ac:dyDescent="0.2">
      <c r="A1" t="s">
        <v>247</v>
      </c>
      <c r="B1" t="s">
        <v>248</v>
      </c>
      <c r="C1" t="s">
        <v>250</v>
      </c>
      <c r="D1" t="s">
        <v>251</v>
      </c>
      <c r="E1" t="s">
        <v>249</v>
      </c>
      <c r="I1" t="s">
        <v>266</v>
      </c>
      <c r="J1" t="s">
        <v>269</v>
      </c>
    </row>
    <row r="2" spans="1:10" x14ac:dyDescent="0.2">
      <c r="A2" t="s">
        <v>9</v>
      </c>
      <c r="B2" t="s">
        <v>13</v>
      </c>
      <c r="C2" t="s">
        <v>252</v>
      </c>
      <c r="D2" t="s">
        <v>253</v>
      </c>
      <c r="E2" t="s">
        <v>254</v>
      </c>
    </row>
    <row r="3" spans="1:10" x14ac:dyDescent="0.2">
      <c r="A3" t="s">
        <v>13</v>
      </c>
      <c r="B3" t="s">
        <v>6</v>
      </c>
      <c r="C3" t="s">
        <v>255</v>
      </c>
      <c r="D3" t="s">
        <v>256</v>
      </c>
      <c r="E3" t="s">
        <v>257</v>
      </c>
      <c r="I3" t="s">
        <v>267</v>
      </c>
      <c r="J3" t="s">
        <v>268</v>
      </c>
    </row>
    <row r="4" spans="1:10" x14ac:dyDescent="0.2">
      <c r="A4" t="s">
        <v>259</v>
      </c>
      <c r="B4" t="s">
        <v>10</v>
      </c>
      <c r="C4" t="s">
        <v>260</v>
      </c>
      <c r="D4" t="s">
        <v>261</v>
      </c>
      <c r="E4" t="s">
        <v>262</v>
      </c>
    </row>
    <row r="5" spans="1:10" x14ac:dyDescent="0.2">
      <c r="A5" t="s">
        <v>10</v>
      </c>
      <c r="B5" t="s">
        <v>258</v>
      </c>
      <c r="C5" t="s">
        <v>263</v>
      </c>
      <c r="D5" t="s">
        <v>264</v>
      </c>
      <c r="E5" t="s">
        <v>262</v>
      </c>
    </row>
    <row r="6" spans="1:10" x14ac:dyDescent="0.2">
      <c r="A6" t="s">
        <v>265</v>
      </c>
      <c r="B6" t="s">
        <v>17</v>
      </c>
    </row>
    <row r="9" spans="1:10" x14ac:dyDescent="0.2">
      <c r="A9" t="s">
        <v>457</v>
      </c>
    </row>
    <row r="10" spans="1:10" x14ac:dyDescent="0.2">
      <c r="A10" t="s">
        <v>458</v>
      </c>
    </row>
    <row r="11" spans="1:10" x14ac:dyDescent="0.2">
      <c r="A11" t="s">
        <v>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E449-BB39-5C43-8DC0-DEC76A4E5AA4}">
  <dimension ref="A1:CC98"/>
  <sheetViews>
    <sheetView workbookViewId="0">
      <selection activeCell="AC6" sqref="AC6"/>
    </sheetView>
  </sheetViews>
  <sheetFormatPr baseColWidth="10" defaultRowHeight="16" x14ac:dyDescent="0.2"/>
  <cols>
    <col min="21" max="21" width="16.6640625" customWidth="1"/>
    <col min="22" max="22" width="25.5" customWidth="1"/>
    <col min="23" max="23" width="16.5" customWidth="1"/>
    <col min="28" max="28" width="19.33203125" customWidth="1"/>
    <col min="29" max="29" width="19.6640625" customWidth="1"/>
    <col min="30" max="30" width="18.5" customWidth="1"/>
    <col min="31" max="31" width="17.33203125" customWidth="1"/>
    <col min="38" max="38" width="23.83203125" bestFit="1" customWidth="1"/>
    <col min="41" max="41" width="28.83203125" bestFit="1" customWidth="1"/>
    <col min="43" max="43" width="27.5" customWidth="1"/>
    <col min="46" max="46" width="21.5" customWidth="1"/>
    <col min="55" max="55" width="24.33203125" customWidth="1"/>
  </cols>
  <sheetData>
    <row r="1" spans="1:81" s="3" customFormat="1" ht="51" x14ac:dyDescent="0.2">
      <c r="A1" s="3" t="s">
        <v>2</v>
      </c>
      <c r="C1" s="3" t="s">
        <v>52</v>
      </c>
      <c r="E1" s="3" t="s">
        <v>144</v>
      </c>
      <c r="G1" s="3" t="s">
        <v>3</v>
      </c>
      <c r="I1" s="3" t="s">
        <v>4</v>
      </c>
      <c r="K1" s="3" t="s">
        <v>0</v>
      </c>
      <c r="N1" s="3" t="s">
        <v>169</v>
      </c>
      <c r="O1" s="3" t="s">
        <v>172</v>
      </c>
      <c r="P1" s="3" t="s">
        <v>173</v>
      </c>
      <c r="Q1" s="3" t="s">
        <v>176</v>
      </c>
      <c r="R1" s="3" t="s">
        <v>177</v>
      </c>
      <c r="T1" s="3" t="s">
        <v>247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186</v>
      </c>
      <c r="AC1" s="3" t="s">
        <v>13</v>
      </c>
      <c r="AD1" s="3" t="s">
        <v>16</v>
      </c>
      <c r="AE1" s="3" t="s">
        <v>17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188</v>
      </c>
      <c r="AP1" s="3" t="s">
        <v>187</v>
      </c>
      <c r="AQ1" s="3" t="s">
        <v>38</v>
      </c>
      <c r="AR1" s="3" t="s">
        <v>184</v>
      </c>
      <c r="AS1" s="3" t="s">
        <v>185</v>
      </c>
      <c r="AT1" s="3" t="s">
        <v>123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180</v>
      </c>
      <c r="BB1" s="3" t="s">
        <v>181</v>
      </c>
      <c r="BC1" s="3" t="s">
        <v>222</v>
      </c>
      <c r="BD1" s="3" t="s">
        <v>198</v>
      </c>
      <c r="BE1" s="3" t="s">
        <v>208</v>
      </c>
      <c r="BF1" s="3" t="s">
        <v>215</v>
      </c>
      <c r="BG1" s="3" t="s">
        <v>218</v>
      </c>
      <c r="BH1" s="3" t="s">
        <v>223</v>
      </c>
      <c r="BI1" s="3" t="s">
        <v>224</v>
      </c>
      <c r="BJ1" s="3" t="s">
        <v>225</v>
      </c>
      <c r="BK1" s="3" t="s">
        <v>226</v>
      </c>
      <c r="BL1" s="3" t="s">
        <v>227</v>
      </c>
      <c r="BM1" s="3" t="s">
        <v>230</v>
      </c>
      <c r="BN1" s="3" t="s">
        <v>231</v>
      </c>
      <c r="BO1" s="3" t="s">
        <v>232</v>
      </c>
      <c r="BP1" s="3" t="s">
        <v>509</v>
      </c>
      <c r="BQ1" s="3" t="s">
        <v>270</v>
      </c>
      <c r="BR1" s="3" t="s">
        <v>513</v>
      </c>
      <c r="BS1" s="3" t="s">
        <v>514</v>
      </c>
      <c r="BU1" t="s">
        <v>6</v>
      </c>
      <c r="BV1" t="s">
        <v>257</v>
      </c>
      <c r="CA1" s="3" t="s">
        <v>410</v>
      </c>
      <c r="CC1" s="3" t="s">
        <v>411</v>
      </c>
    </row>
    <row r="2" spans="1:81" x14ac:dyDescent="0.2">
      <c r="K2" t="s">
        <v>178</v>
      </c>
      <c r="L2" t="str">
        <f>K3</f>
        <v>Away</v>
      </c>
      <c r="N2" t="s">
        <v>170</v>
      </c>
      <c r="O2" s="2">
        <v>36</v>
      </c>
      <c r="P2" s="2">
        <v>-36</v>
      </c>
      <c r="Q2" s="2">
        <f>O2+O4</f>
        <v>38.375</v>
      </c>
      <c r="R2" s="2">
        <f>P2-O4</f>
        <v>-38.375</v>
      </c>
      <c r="T2" t="s">
        <v>513</v>
      </c>
      <c r="U2" t="s">
        <v>197</v>
      </c>
      <c r="V2" t="s">
        <v>222</v>
      </c>
      <c r="W2" t="s">
        <v>189</v>
      </c>
      <c r="X2" t="s">
        <v>230</v>
      </c>
      <c r="Y2" t="s">
        <v>190</v>
      </c>
      <c r="Z2" t="s">
        <v>191</v>
      </c>
      <c r="AA2" t="s">
        <v>192</v>
      </c>
      <c r="AB2" t="s">
        <v>193</v>
      </c>
      <c r="AC2" t="s">
        <v>194</v>
      </c>
      <c r="AD2" t="s">
        <v>195</v>
      </c>
      <c r="AE2" t="s">
        <v>196</v>
      </c>
      <c r="AF2" t="s">
        <v>67</v>
      </c>
      <c r="AG2" t="s">
        <v>67</v>
      </c>
      <c r="AH2" t="s">
        <v>67</v>
      </c>
      <c r="AI2" t="s">
        <v>67</v>
      </c>
      <c r="AJ2" t="s">
        <v>73</v>
      </c>
      <c r="AK2" t="s">
        <v>81</v>
      </c>
      <c r="AL2" t="s">
        <v>87</v>
      </c>
      <c r="AM2" t="s">
        <v>90</v>
      </c>
      <c r="AN2" t="s">
        <v>93</v>
      </c>
      <c r="AO2" t="s">
        <v>124</v>
      </c>
      <c r="AP2" t="s">
        <v>124</v>
      </c>
      <c r="AQ2" t="s">
        <v>124</v>
      </c>
      <c r="AR2" t="s">
        <v>108</v>
      </c>
      <c r="AS2" t="s">
        <v>105</v>
      </c>
      <c r="AT2" t="s">
        <v>113</v>
      </c>
      <c r="AU2" t="s">
        <v>53</v>
      </c>
      <c r="AV2" t="s">
        <v>53</v>
      </c>
      <c r="AW2" t="s">
        <v>53</v>
      </c>
      <c r="AX2" t="s">
        <v>53</v>
      </c>
      <c r="AY2" t="s">
        <v>53</v>
      </c>
      <c r="AZ2" t="s">
        <v>53</v>
      </c>
      <c r="BA2" t="s">
        <v>96</v>
      </c>
      <c r="BB2" t="s">
        <v>96</v>
      </c>
      <c r="BC2" t="s">
        <v>53</v>
      </c>
      <c r="BD2" t="s">
        <v>53</v>
      </c>
      <c r="BE2" t="s">
        <v>53</v>
      </c>
      <c r="BF2" t="s">
        <v>53</v>
      </c>
      <c r="BG2" t="s">
        <v>64</v>
      </c>
      <c r="BH2" t="s">
        <v>64</v>
      </c>
      <c r="BI2" t="s">
        <v>56</v>
      </c>
      <c r="BJ2" t="s">
        <v>53</v>
      </c>
      <c r="BL2" t="s">
        <v>64</v>
      </c>
      <c r="BM2" t="s">
        <v>233</v>
      </c>
      <c r="BN2" t="s">
        <v>233</v>
      </c>
      <c r="BO2" t="s">
        <v>233</v>
      </c>
      <c r="BP2" t="s">
        <v>96</v>
      </c>
      <c r="BQ2" t="s">
        <v>271</v>
      </c>
      <c r="BU2" t="s">
        <v>7</v>
      </c>
      <c r="BV2" t="s">
        <v>254</v>
      </c>
      <c r="BX2" t="s">
        <v>295</v>
      </c>
      <c r="BY2" t="s">
        <v>488</v>
      </c>
      <c r="CA2" t="s">
        <v>351</v>
      </c>
      <c r="CC2" t="s">
        <v>306</v>
      </c>
    </row>
    <row r="3" spans="1:81" x14ac:dyDescent="0.2">
      <c r="A3" t="s">
        <v>6</v>
      </c>
      <c r="B3" t="s">
        <v>257</v>
      </c>
      <c r="C3" t="s">
        <v>6</v>
      </c>
      <c r="E3" t="s">
        <v>53</v>
      </c>
      <c r="G3" t="s">
        <v>145</v>
      </c>
      <c r="I3" t="s">
        <v>158</v>
      </c>
      <c r="K3" t="s">
        <v>179</v>
      </c>
      <c r="L3" t="str">
        <f>K2</f>
        <v>Home</v>
      </c>
      <c r="N3" t="s">
        <v>171</v>
      </c>
      <c r="O3" s="2">
        <v>24</v>
      </c>
      <c r="P3" s="2">
        <v>-24</v>
      </c>
      <c r="Q3" s="2">
        <f>O3+O5</f>
        <v>26.375</v>
      </c>
      <c r="R3" s="2">
        <v>-24</v>
      </c>
      <c r="T3" t="s">
        <v>514</v>
      </c>
      <c r="U3" t="s">
        <v>207</v>
      </c>
      <c r="V3" t="s">
        <v>198</v>
      </c>
      <c r="W3" t="s">
        <v>199</v>
      </c>
      <c r="X3" t="s">
        <v>231</v>
      </c>
      <c r="Y3" t="s">
        <v>200</v>
      </c>
      <c r="Z3" t="s">
        <v>201</v>
      </c>
      <c r="AA3" t="s">
        <v>202</v>
      </c>
      <c r="AB3" t="s">
        <v>203</v>
      </c>
      <c r="AC3" t="s">
        <v>204</v>
      </c>
      <c r="AD3" t="s">
        <v>205</v>
      </c>
      <c r="AE3" t="s">
        <v>206</v>
      </c>
      <c r="AF3" t="s">
        <v>68</v>
      </c>
      <c r="AG3" t="s">
        <v>68</v>
      </c>
      <c r="AH3" t="s">
        <v>68</v>
      </c>
      <c r="AI3" t="s">
        <v>68</v>
      </c>
      <c r="AJ3" t="s">
        <v>74</v>
      </c>
      <c r="AK3" t="s">
        <v>82</v>
      </c>
      <c r="AL3" t="s">
        <v>88</v>
      </c>
      <c r="AM3" t="s">
        <v>91</v>
      </c>
      <c r="AN3" t="s">
        <v>94</v>
      </c>
      <c r="AO3" t="s">
        <v>125</v>
      </c>
      <c r="AP3" t="s">
        <v>125</v>
      </c>
      <c r="AQ3" t="s">
        <v>125</v>
      </c>
      <c r="AR3" t="s">
        <v>109</v>
      </c>
      <c r="AS3" t="s">
        <v>106</v>
      </c>
      <c r="AT3" t="s">
        <v>116</v>
      </c>
      <c r="AU3" t="s">
        <v>54</v>
      </c>
      <c r="AV3" t="s">
        <v>54</v>
      </c>
      <c r="AW3" t="s">
        <v>54</v>
      </c>
      <c r="AX3" t="s">
        <v>54</v>
      </c>
      <c r="AY3" t="s">
        <v>54</v>
      </c>
      <c r="AZ3" t="s">
        <v>54</v>
      </c>
      <c r="BA3" t="s">
        <v>97</v>
      </c>
      <c r="BB3" t="s">
        <v>97</v>
      </c>
      <c r="BC3" t="s">
        <v>54</v>
      </c>
      <c r="BD3" t="s">
        <v>54</v>
      </c>
      <c r="BE3" t="s">
        <v>54</v>
      </c>
      <c r="BF3" t="s">
        <v>54</v>
      </c>
      <c r="BG3" t="s">
        <v>53</v>
      </c>
      <c r="BH3" t="s">
        <v>53</v>
      </c>
      <c r="BI3" t="s">
        <v>53</v>
      </c>
      <c r="BJ3" t="s">
        <v>54</v>
      </c>
      <c r="BK3" t="s">
        <v>53</v>
      </c>
      <c r="BL3" t="s">
        <v>53</v>
      </c>
      <c r="BM3" t="s">
        <v>234</v>
      </c>
      <c r="BN3" t="s">
        <v>234</v>
      </c>
      <c r="BO3" t="s">
        <v>234</v>
      </c>
      <c r="BP3" t="s">
        <v>97</v>
      </c>
      <c r="BQ3" t="s">
        <v>272</v>
      </c>
      <c r="BR3" t="s">
        <v>145</v>
      </c>
      <c r="BS3" t="s">
        <v>158</v>
      </c>
      <c r="BU3" t="s">
        <v>8</v>
      </c>
      <c r="BV3" t="s">
        <v>278</v>
      </c>
      <c r="BX3" t="s">
        <v>294</v>
      </c>
      <c r="BY3" t="s">
        <v>489</v>
      </c>
      <c r="CA3" t="s">
        <v>353</v>
      </c>
      <c r="CC3" t="s">
        <v>358</v>
      </c>
    </row>
    <row r="4" spans="1:81" x14ac:dyDescent="0.2">
      <c r="A4" t="s">
        <v>7</v>
      </c>
      <c r="C4" t="s">
        <v>19</v>
      </c>
      <c r="E4" t="s">
        <v>54</v>
      </c>
      <c r="G4" t="s">
        <v>146</v>
      </c>
      <c r="I4" t="s">
        <v>159</v>
      </c>
      <c r="N4" t="s">
        <v>174</v>
      </c>
      <c r="O4" s="2">
        <v>2.375</v>
      </c>
      <c r="P4" s="2"/>
      <c r="Q4" s="2"/>
      <c r="R4" s="2"/>
      <c r="U4" t="s">
        <v>214</v>
      </c>
      <c r="V4" t="s">
        <v>208</v>
      </c>
      <c r="W4" t="s">
        <v>209</v>
      </c>
      <c r="X4" t="s">
        <v>232</v>
      </c>
      <c r="Z4" t="s">
        <v>210</v>
      </c>
      <c r="AA4" t="s">
        <v>211</v>
      </c>
      <c r="AB4" t="s">
        <v>212</v>
      </c>
      <c r="AC4" s="4" t="s">
        <v>213</v>
      </c>
      <c r="AE4" t="s">
        <v>509</v>
      </c>
      <c r="AF4" t="s">
        <v>69</v>
      </c>
      <c r="AG4" t="s">
        <v>69</v>
      </c>
      <c r="AH4" t="s">
        <v>69</v>
      </c>
      <c r="AI4" t="s">
        <v>69</v>
      </c>
      <c r="AJ4" t="s">
        <v>75</v>
      </c>
      <c r="AK4" t="s">
        <v>83</v>
      </c>
      <c r="AL4" t="s">
        <v>89</v>
      </c>
      <c r="AM4" t="s">
        <v>92</v>
      </c>
      <c r="AN4" t="s">
        <v>95</v>
      </c>
      <c r="AO4" t="s">
        <v>126</v>
      </c>
      <c r="AP4" t="s">
        <v>126</v>
      </c>
      <c r="AQ4" t="s">
        <v>126</v>
      </c>
      <c r="AR4" t="s">
        <v>111</v>
      </c>
      <c r="AS4" t="s">
        <v>41</v>
      </c>
      <c r="AT4" t="s">
        <v>117</v>
      </c>
      <c r="AU4" t="s">
        <v>55</v>
      </c>
      <c r="AV4" t="s">
        <v>55</v>
      </c>
      <c r="AW4" t="s">
        <v>55</v>
      </c>
      <c r="AX4" t="s">
        <v>55</v>
      </c>
      <c r="AY4" t="s">
        <v>55</v>
      </c>
      <c r="AZ4" t="s">
        <v>55</v>
      </c>
      <c r="BA4" t="s">
        <v>98</v>
      </c>
      <c r="BB4" t="s">
        <v>98</v>
      </c>
      <c r="BC4" t="s">
        <v>55</v>
      </c>
      <c r="BD4" t="s">
        <v>55</v>
      </c>
      <c r="BE4" t="s">
        <v>55</v>
      </c>
      <c r="BF4" t="s">
        <v>55</v>
      </c>
      <c r="BG4" t="s">
        <v>54</v>
      </c>
      <c r="BH4" t="s">
        <v>54</v>
      </c>
      <c r="BI4" t="s">
        <v>54</v>
      </c>
      <c r="BJ4" t="s">
        <v>55</v>
      </c>
      <c r="BK4" t="s">
        <v>54</v>
      </c>
      <c r="BL4" t="s">
        <v>54</v>
      </c>
      <c r="BM4" t="s">
        <v>235</v>
      </c>
      <c r="BN4" t="s">
        <v>235</v>
      </c>
      <c r="BO4" t="s">
        <v>235</v>
      </c>
      <c r="BP4" t="s">
        <v>98</v>
      </c>
      <c r="BQ4" t="s">
        <v>273</v>
      </c>
      <c r="BR4" t="s">
        <v>146</v>
      </c>
      <c r="BS4" t="s">
        <v>159</v>
      </c>
      <c r="BU4" t="s">
        <v>9</v>
      </c>
      <c r="BV4" t="s">
        <v>254</v>
      </c>
      <c r="BX4" t="s">
        <v>296</v>
      </c>
      <c r="CA4" t="s">
        <v>354</v>
      </c>
      <c r="CC4" t="s">
        <v>359</v>
      </c>
    </row>
    <row r="5" spans="1:81" x14ac:dyDescent="0.2">
      <c r="A5" t="s">
        <v>8</v>
      </c>
      <c r="C5" t="s">
        <v>20</v>
      </c>
      <c r="E5" t="s">
        <v>55</v>
      </c>
      <c r="G5" t="s">
        <v>147</v>
      </c>
      <c r="I5" t="s">
        <v>160</v>
      </c>
      <c r="N5" t="s">
        <v>175</v>
      </c>
      <c r="O5" s="2">
        <v>2.375</v>
      </c>
      <c r="P5" s="2"/>
      <c r="Q5" s="2"/>
      <c r="R5" s="2"/>
      <c r="U5" t="s">
        <v>275</v>
      </c>
      <c r="V5" t="s">
        <v>215</v>
      </c>
      <c r="W5" t="s">
        <v>216</v>
      </c>
      <c r="AB5" t="s">
        <v>217</v>
      </c>
      <c r="AC5" t="s">
        <v>527</v>
      </c>
      <c r="AF5" t="s">
        <v>70</v>
      </c>
      <c r="AG5" t="s">
        <v>70</v>
      </c>
      <c r="AH5" t="s">
        <v>70</v>
      </c>
      <c r="AI5" t="s">
        <v>70</v>
      </c>
      <c r="AJ5" t="s">
        <v>76</v>
      </c>
      <c r="AK5" t="s">
        <v>84</v>
      </c>
      <c r="AL5" t="s">
        <v>498</v>
      </c>
      <c r="AM5" t="s">
        <v>499</v>
      </c>
      <c r="AO5" t="s">
        <v>127</v>
      </c>
      <c r="AP5" t="s">
        <v>127</v>
      </c>
      <c r="AQ5" t="s">
        <v>127</v>
      </c>
      <c r="AR5" t="s">
        <v>112</v>
      </c>
      <c r="AT5" t="s">
        <v>120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 t="s">
        <v>57</v>
      </c>
      <c r="BA5" t="s">
        <v>99</v>
      </c>
      <c r="BB5" t="s">
        <v>99</v>
      </c>
      <c r="BC5" t="s">
        <v>57</v>
      </c>
      <c r="BD5" t="s">
        <v>57</v>
      </c>
      <c r="BE5" t="s">
        <v>57</v>
      </c>
      <c r="BF5" t="s">
        <v>57</v>
      </c>
      <c r="BG5" t="s">
        <v>55</v>
      </c>
      <c r="BH5" t="s">
        <v>55</v>
      </c>
      <c r="BI5" t="s">
        <v>55</v>
      </c>
      <c r="BJ5" t="s">
        <v>57</v>
      </c>
      <c r="BK5" t="s">
        <v>55</v>
      </c>
      <c r="BL5" t="s">
        <v>55</v>
      </c>
      <c r="BM5" t="s">
        <v>236</v>
      </c>
      <c r="BN5" t="s">
        <v>237</v>
      </c>
      <c r="BO5" t="s">
        <v>237</v>
      </c>
      <c r="BP5" t="s">
        <v>99</v>
      </c>
      <c r="BQ5" t="s">
        <v>274</v>
      </c>
      <c r="BR5" t="s">
        <v>147</v>
      </c>
      <c r="BS5" t="s">
        <v>160</v>
      </c>
      <c r="BU5" t="s">
        <v>10</v>
      </c>
      <c r="BV5" t="s">
        <v>278</v>
      </c>
      <c r="BX5" t="s">
        <v>297</v>
      </c>
      <c r="CA5" t="s">
        <v>355</v>
      </c>
      <c r="CC5" t="s">
        <v>360</v>
      </c>
    </row>
    <row r="6" spans="1:81" x14ac:dyDescent="0.2">
      <c r="A6" t="s">
        <v>9</v>
      </c>
      <c r="C6" t="s">
        <v>21</v>
      </c>
      <c r="E6" t="s">
        <v>56</v>
      </c>
      <c r="G6" t="s">
        <v>148</v>
      </c>
      <c r="I6" t="s">
        <v>161</v>
      </c>
      <c r="O6" s="2"/>
      <c r="P6" s="2"/>
      <c r="Q6" s="2"/>
      <c r="R6" s="2"/>
      <c r="U6" t="s">
        <v>526</v>
      </c>
      <c r="V6" t="s">
        <v>218</v>
      </c>
      <c r="AB6" t="s">
        <v>219</v>
      </c>
      <c r="AF6" t="s">
        <v>71</v>
      </c>
      <c r="AG6" t="s">
        <v>71</v>
      </c>
      <c r="AH6" t="s">
        <v>71</v>
      </c>
      <c r="AI6" t="s">
        <v>71</v>
      </c>
      <c r="AJ6" t="s">
        <v>77</v>
      </c>
      <c r="AK6" t="s">
        <v>85</v>
      </c>
      <c r="AL6" t="s">
        <v>500</v>
      </c>
      <c r="AM6" t="s">
        <v>501</v>
      </c>
      <c r="AO6" t="s">
        <v>128</v>
      </c>
      <c r="AP6" t="s">
        <v>128</v>
      </c>
      <c r="AQ6" t="s">
        <v>128</v>
      </c>
      <c r="AR6" t="s">
        <v>114</v>
      </c>
      <c r="AT6" t="s">
        <v>121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100</v>
      </c>
      <c r="BB6" t="s">
        <v>100</v>
      </c>
      <c r="BC6" t="s">
        <v>58</v>
      </c>
      <c r="BD6" t="s">
        <v>58</v>
      </c>
      <c r="BE6" t="s">
        <v>58</v>
      </c>
      <c r="BF6" t="s">
        <v>58</v>
      </c>
      <c r="BG6" t="s">
        <v>57</v>
      </c>
      <c r="BH6" t="s">
        <v>57</v>
      </c>
      <c r="BI6" t="s">
        <v>57</v>
      </c>
      <c r="BJ6" t="s">
        <v>58</v>
      </c>
      <c r="BK6" t="s">
        <v>57</v>
      </c>
      <c r="BL6" t="s">
        <v>57</v>
      </c>
      <c r="BM6" t="s">
        <v>237</v>
      </c>
      <c r="BN6" t="s">
        <v>238</v>
      </c>
      <c r="BO6" t="s">
        <v>238</v>
      </c>
      <c r="BP6" t="s">
        <v>100</v>
      </c>
      <c r="BR6" t="s">
        <v>148</v>
      </c>
      <c r="BS6" t="s">
        <v>161</v>
      </c>
      <c r="BU6" t="s">
        <v>277</v>
      </c>
      <c r="BV6" t="s">
        <v>278</v>
      </c>
      <c r="BX6" t="s">
        <v>298</v>
      </c>
      <c r="CA6" t="s">
        <v>356</v>
      </c>
      <c r="CC6" t="s">
        <v>361</v>
      </c>
    </row>
    <row r="7" spans="1:81" x14ac:dyDescent="0.2">
      <c r="A7" t="s">
        <v>10</v>
      </c>
      <c r="C7" t="s">
        <v>22</v>
      </c>
      <c r="E7" t="s">
        <v>57</v>
      </c>
      <c r="G7" t="s">
        <v>149</v>
      </c>
      <c r="I7" t="s">
        <v>162</v>
      </c>
      <c r="V7" t="s">
        <v>223</v>
      </c>
      <c r="AB7" t="s">
        <v>220</v>
      </c>
      <c r="AF7" t="s">
        <v>495</v>
      </c>
      <c r="AG7" t="s">
        <v>495</v>
      </c>
      <c r="AH7" t="s">
        <v>495</v>
      </c>
      <c r="AI7" t="s">
        <v>495</v>
      </c>
      <c r="AJ7" t="s">
        <v>78</v>
      </c>
      <c r="AK7" t="s">
        <v>461</v>
      </c>
      <c r="AL7" t="s">
        <v>515</v>
      </c>
      <c r="AM7" t="s">
        <v>503</v>
      </c>
      <c r="AO7" t="s">
        <v>129</v>
      </c>
      <c r="AP7" t="s">
        <v>129</v>
      </c>
      <c r="AQ7" t="s">
        <v>129</v>
      </c>
      <c r="AR7" t="s">
        <v>115</v>
      </c>
      <c r="AT7" t="s">
        <v>122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101</v>
      </c>
      <c r="BB7" t="s">
        <v>101</v>
      </c>
      <c r="BC7" t="s">
        <v>59</v>
      </c>
      <c r="BD7" t="s">
        <v>59</v>
      </c>
      <c r="BE7" t="s">
        <v>59</v>
      </c>
      <c r="BF7" t="s">
        <v>59</v>
      </c>
      <c r="BG7" t="s">
        <v>58</v>
      </c>
      <c r="BH7" t="s">
        <v>58</v>
      </c>
      <c r="BI7" t="s">
        <v>58</v>
      </c>
      <c r="BJ7" t="s">
        <v>59</v>
      </c>
      <c r="BK7" t="s">
        <v>58</v>
      </c>
      <c r="BL7" t="s">
        <v>58</v>
      </c>
      <c r="BM7" t="s">
        <v>238</v>
      </c>
      <c r="BN7" t="s">
        <v>239</v>
      </c>
      <c r="BO7" t="s">
        <v>239</v>
      </c>
      <c r="BP7" t="s">
        <v>101</v>
      </c>
      <c r="BR7" t="s">
        <v>149</v>
      </c>
      <c r="BS7" t="s">
        <v>162</v>
      </c>
      <c r="BU7" t="s">
        <v>12</v>
      </c>
      <c r="BV7" t="s">
        <v>278</v>
      </c>
      <c r="BX7" t="s">
        <v>299</v>
      </c>
      <c r="CA7" t="s">
        <v>357</v>
      </c>
      <c r="CC7" t="s">
        <v>362</v>
      </c>
    </row>
    <row r="8" spans="1:81" x14ac:dyDescent="0.2">
      <c r="A8" t="s">
        <v>277</v>
      </c>
      <c r="C8" t="s">
        <v>23</v>
      </c>
      <c r="E8" t="s">
        <v>58</v>
      </c>
      <c r="G8" t="s">
        <v>150</v>
      </c>
      <c r="I8" t="s">
        <v>163</v>
      </c>
      <c r="V8" t="s">
        <v>221</v>
      </c>
      <c r="AF8" t="s">
        <v>497</v>
      </c>
      <c r="AG8" t="s">
        <v>497</v>
      </c>
      <c r="AH8" t="s">
        <v>497</v>
      </c>
      <c r="AI8" t="s">
        <v>497</v>
      </c>
      <c r="AJ8" t="s">
        <v>79</v>
      </c>
      <c r="AK8" t="s">
        <v>480</v>
      </c>
      <c r="AL8" t="s">
        <v>502</v>
      </c>
      <c r="AM8" t="s">
        <v>505</v>
      </c>
      <c r="AO8" t="s">
        <v>130</v>
      </c>
      <c r="AP8" t="s">
        <v>130</v>
      </c>
      <c r="AQ8" t="s">
        <v>130</v>
      </c>
      <c r="AR8" t="s">
        <v>118</v>
      </c>
      <c r="AT8" t="s">
        <v>123</v>
      </c>
      <c r="AU8" t="s">
        <v>60</v>
      </c>
      <c r="AV8" t="s">
        <v>60</v>
      </c>
      <c r="AW8" t="s">
        <v>60</v>
      </c>
      <c r="AX8" t="s">
        <v>60</v>
      </c>
      <c r="AY8" t="s">
        <v>60</v>
      </c>
      <c r="AZ8" t="s">
        <v>60</v>
      </c>
      <c r="BA8" t="s">
        <v>102</v>
      </c>
      <c r="BB8" t="s">
        <v>102</v>
      </c>
      <c r="BC8" t="s">
        <v>60</v>
      </c>
      <c r="BD8" t="s">
        <v>60</v>
      </c>
      <c r="BE8" t="s">
        <v>60</v>
      </c>
      <c r="BF8" t="s">
        <v>60</v>
      </c>
      <c r="BG8" t="s">
        <v>59</v>
      </c>
      <c r="BH8" t="s">
        <v>59</v>
      </c>
      <c r="BI8" t="s">
        <v>59</v>
      </c>
      <c r="BJ8" t="s">
        <v>60</v>
      </c>
      <c r="BK8" t="s">
        <v>59</v>
      </c>
      <c r="BL8" t="s">
        <v>59</v>
      </c>
      <c r="BM8" t="s">
        <v>239</v>
      </c>
      <c r="BN8" t="s">
        <v>240</v>
      </c>
      <c r="BO8" t="s">
        <v>240</v>
      </c>
      <c r="BP8" t="s">
        <v>102</v>
      </c>
      <c r="BR8" t="s">
        <v>150</v>
      </c>
      <c r="BS8" t="s">
        <v>163</v>
      </c>
      <c r="BU8" t="s">
        <v>276</v>
      </c>
      <c r="BV8" t="s">
        <v>278</v>
      </c>
      <c r="BX8" t="s">
        <v>300</v>
      </c>
      <c r="CA8" t="s">
        <v>518</v>
      </c>
      <c r="CC8" t="s">
        <v>363</v>
      </c>
    </row>
    <row r="9" spans="1:81" x14ac:dyDescent="0.2">
      <c r="A9" t="s">
        <v>12</v>
      </c>
      <c r="C9" t="s">
        <v>24</v>
      </c>
      <c r="E9" t="s">
        <v>59</v>
      </c>
      <c r="G9" t="s">
        <v>151</v>
      </c>
      <c r="I9" t="s">
        <v>164</v>
      </c>
      <c r="V9" t="s">
        <v>224</v>
      </c>
      <c r="AF9" t="s">
        <v>506</v>
      </c>
      <c r="AG9" t="s">
        <v>506</v>
      </c>
      <c r="AH9" t="s">
        <v>506</v>
      </c>
      <c r="AI9" t="s">
        <v>506</v>
      </c>
      <c r="AJ9" t="s">
        <v>460</v>
      </c>
      <c r="AK9" t="s">
        <v>86</v>
      </c>
      <c r="AL9" t="s">
        <v>504</v>
      </c>
      <c r="AM9" t="s">
        <v>183</v>
      </c>
      <c r="AO9" t="s">
        <v>131</v>
      </c>
      <c r="AP9" t="s">
        <v>131</v>
      </c>
      <c r="AQ9" t="s">
        <v>131</v>
      </c>
      <c r="AR9" t="s">
        <v>110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  <c r="AZ9" t="s">
        <v>61</v>
      </c>
      <c r="BA9" t="s">
        <v>103</v>
      </c>
      <c r="BB9" t="s">
        <v>103</v>
      </c>
      <c r="BC9" t="s">
        <v>61</v>
      </c>
      <c r="BD9" t="s">
        <v>61</v>
      </c>
      <c r="BE9" t="s">
        <v>61</v>
      </c>
      <c r="BF9" t="s">
        <v>61</v>
      </c>
      <c r="BG9" t="s">
        <v>60</v>
      </c>
      <c r="BH9" t="s">
        <v>60</v>
      </c>
      <c r="BI9" t="s">
        <v>60</v>
      </c>
      <c r="BJ9" t="s">
        <v>61</v>
      </c>
      <c r="BK9" t="s">
        <v>60</v>
      </c>
      <c r="BL9" t="s">
        <v>60</v>
      </c>
      <c r="BM9" t="s">
        <v>240</v>
      </c>
      <c r="BN9" t="s">
        <v>241</v>
      </c>
      <c r="BO9" t="s">
        <v>241</v>
      </c>
      <c r="BP9" t="s">
        <v>103</v>
      </c>
      <c r="BR9" t="s">
        <v>151</v>
      </c>
      <c r="BS9" t="s">
        <v>164</v>
      </c>
      <c r="BU9" t="s">
        <v>13</v>
      </c>
      <c r="BV9" t="s">
        <v>257</v>
      </c>
      <c r="BX9" t="s">
        <v>301</v>
      </c>
      <c r="CC9" t="s">
        <v>352</v>
      </c>
    </row>
    <row r="10" spans="1:81" x14ac:dyDescent="0.2">
      <c r="A10" t="s">
        <v>276</v>
      </c>
      <c r="C10" t="s">
        <v>25</v>
      </c>
      <c r="E10" t="s">
        <v>60</v>
      </c>
      <c r="G10" t="s">
        <v>152</v>
      </c>
      <c r="I10" t="s">
        <v>165</v>
      </c>
      <c r="V10" t="s">
        <v>225</v>
      </c>
      <c r="AF10" t="s">
        <v>510</v>
      </c>
      <c r="AG10" t="s">
        <v>510</v>
      </c>
      <c r="AH10" t="s">
        <v>510</v>
      </c>
      <c r="AI10" t="s">
        <v>510</v>
      </c>
      <c r="AJ10" t="s">
        <v>479</v>
      </c>
      <c r="AL10" t="s">
        <v>507</v>
      </c>
      <c r="AO10" t="s">
        <v>132</v>
      </c>
      <c r="AP10" t="s">
        <v>132</v>
      </c>
      <c r="AQ10" t="s">
        <v>132</v>
      </c>
      <c r="AR10" t="s">
        <v>107</v>
      </c>
      <c r="AU10" t="s">
        <v>62</v>
      </c>
      <c r="AV10" t="s">
        <v>62</v>
      </c>
      <c r="AW10" t="s">
        <v>62</v>
      </c>
      <c r="AX10" t="s">
        <v>62</v>
      </c>
      <c r="AY10" t="s">
        <v>62</v>
      </c>
      <c r="AZ10" t="s">
        <v>62</v>
      </c>
      <c r="BA10" t="s">
        <v>104</v>
      </c>
      <c r="BB10" t="s">
        <v>104</v>
      </c>
      <c r="BC10" t="s">
        <v>62</v>
      </c>
      <c r="BD10" t="s">
        <v>62</v>
      </c>
      <c r="BE10" t="s">
        <v>62</v>
      </c>
      <c r="BF10" t="s">
        <v>62</v>
      </c>
      <c r="BG10" t="s">
        <v>61</v>
      </c>
      <c r="BH10" t="s">
        <v>61</v>
      </c>
      <c r="BI10" t="s">
        <v>61</v>
      </c>
      <c r="BJ10" t="s">
        <v>62</v>
      </c>
      <c r="BK10" t="s">
        <v>61</v>
      </c>
      <c r="BL10" t="s">
        <v>61</v>
      </c>
      <c r="BM10" t="s">
        <v>241</v>
      </c>
      <c r="BN10" t="s">
        <v>242</v>
      </c>
      <c r="BO10" t="s">
        <v>242</v>
      </c>
      <c r="BP10" t="s">
        <v>104</v>
      </c>
      <c r="BR10" t="s">
        <v>152</v>
      </c>
      <c r="BS10" t="s">
        <v>165</v>
      </c>
      <c r="BU10" t="s">
        <v>14</v>
      </c>
      <c r="BV10" t="s">
        <v>278</v>
      </c>
      <c r="BX10" t="s">
        <v>302</v>
      </c>
      <c r="CC10" t="s">
        <v>364</v>
      </c>
    </row>
    <row r="11" spans="1:81" x14ac:dyDescent="0.2">
      <c r="A11" t="s">
        <v>13</v>
      </c>
      <c r="C11" t="s">
        <v>26</v>
      </c>
      <c r="E11" t="s">
        <v>61</v>
      </c>
      <c r="G11" t="s">
        <v>153</v>
      </c>
      <c r="I11" t="s">
        <v>166</v>
      </c>
      <c r="V11" t="s">
        <v>228</v>
      </c>
      <c r="AF11" t="s">
        <v>72</v>
      </c>
      <c r="AG11" t="s">
        <v>72</v>
      </c>
      <c r="AH11" t="s">
        <v>72</v>
      </c>
      <c r="AI11" t="s">
        <v>72</v>
      </c>
      <c r="AJ11" t="s">
        <v>508</v>
      </c>
      <c r="AL11" t="s">
        <v>182</v>
      </c>
      <c r="AO11" t="s">
        <v>133</v>
      </c>
      <c r="AP11" t="s">
        <v>133</v>
      </c>
      <c r="AQ11" t="s">
        <v>133</v>
      </c>
      <c r="AR11" t="s">
        <v>43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C11" t="s">
        <v>63</v>
      </c>
      <c r="BD11" t="s">
        <v>63</v>
      </c>
      <c r="BE11" t="s">
        <v>63</v>
      </c>
      <c r="BF11" t="s">
        <v>63</v>
      </c>
      <c r="BG11" t="s">
        <v>62</v>
      </c>
      <c r="BH11" t="s">
        <v>62</v>
      </c>
      <c r="BI11" t="s">
        <v>62</v>
      </c>
      <c r="BJ11" t="s">
        <v>63</v>
      </c>
      <c r="BK11" t="s">
        <v>62</v>
      </c>
      <c r="BL11" t="s">
        <v>62</v>
      </c>
      <c r="BM11" t="s">
        <v>242</v>
      </c>
      <c r="BN11" t="s">
        <v>246</v>
      </c>
      <c r="BO11" t="s">
        <v>246</v>
      </c>
      <c r="BR11" t="s">
        <v>153</v>
      </c>
      <c r="BS11" t="s">
        <v>166</v>
      </c>
      <c r="BU11" t="s">
        <v>15</v>
      </c>
      <c r="BV11" t="s">
        <v>278</v>
      </c>
      <c r="BX11" t="s">
        <v>303</v>
      </c>
      <c r="CC11" t="s">
        <v>365</v>
      </c>
    </row>
    <row r="12" spans="1:81" x14ac:dyDescent="0.2">
      <c r="A12" t="s">
        <v>14</v>
      </c>
      <c r="C12" t="s">
        <v>27</v>
      </c>
      <c r="E12" t="s">
        <v>62</v>
      </c>
      <c r="G12" t="s">
        <v>154</v>
      </c>
      <c r="I12" t="s">
        <v>167</v>
      </c>
      <c r="V12" t="s">
        <v>229</v>
      </c>
      <c r="AJ12" t="s">
        <v>516</v>
      </c>
      <c r="AO12" t="s">
        <v>134</v>
      </c>
      <c r="AP12" t="s">
        <v>134</v>
      </c>
      <c r="AQ12" t="s">
        <v>134</v>
      </c>
      <c r="AR12" t="s">
        <v>42</v>
      </c>
      <c r="BC12" t="s">
        <v>65</v>
      </c>
      <c r="BD12" t="s">
        <v>65</v>
      </c>
      <c r="BE12" t="s">
        <v>65</v>
      </c>
      <c r="BF12" t="s">
        <v>65</v>
      </c>
      <c r="BG12" t="s">
        <v>63</v>
      </c>
      <c r="BH12" t="s">
        <v>63</v>
      </c>
      <c r="BI12" t="s">
        <v>63</v>
      </c>
      <c r="BJ12" t="s">
        <v>65</v>
      </c>
      <c r="BK12" t="s">
        <v>63</v>
      </c>
      <c r="BL12" t="s">
        <v>63</v>
      </c>
      <c r="BM12" t="s">
        <v>243</v>
      </c>
      <c r="BR12" t="s">
        <v>154</v>
      </c>
      <c r="BS12" t="s">
        <v>167</v>
      </c>
      <c r="BU12" t="s">
        <v>16</v>
      </c>
      <c r="BV12" t="s">
        <v>257</v>
      </c>
      <c r="BX12" t="s">
        <v>304</v>
      </c>
      <c r="CC12" t="s">
        <v>366</v>
      </c>
    </row>
    <row r="13" spans="1:81" x14ac:dyDescent="0.2">
      <c r="A13" t="s">
        <v>15</v>
      </c>
      <c r="C13" t="s">
        <v>28</v>
      </c>
      <c r="E13" t="s">
        <v>63</v>
      </c>
      <c r="G13" t="s">
        <v>155</v>
      </c>
      <c r="I13" t="s">
        <v>168</v>
      </c>
      <c r="V13" t="s">
        <v>281</v>
      </c>
      <c r="AJ13" t="s">
        <v>80</v>
      </c>
      <c r="AO13" t="s">
        <v>136</v>
      </c>
      <c r="AP13" t="s">
        <v>135</v>
      </c>
      <c r="AQ13" t="s">
        <v>135</v>
      </c>
      <c r="BC13" t="s">
        <v>66</v>
      </c>
      <c r="BD13" t="s">
        <v>221</v>
      </c>
      <c r="BE13" t="s">
        <v>221</v>
      </c>
      <c r="BF13" t="s">
        <v>221</v>
      </c>
      <c r="BG13" t="s">
        <v>65</v>
      </c>
      <c r="BH13" t="s">
        <v>65</v>
      </c>
      <c r="BI13" t="s">
        <v>65</v>
      </c>
      <c r="BJ13" t="s">
        <v>66</v>
      </c>
      <c r="BK13" t="s">
        <v>65</v>
      </c>
      <c r="BL13" t="s">
        <v>65</v>
      </c>
      <c r="BM13" t="s">
        <v>244</v>
      </c>
      <c r="BR13" t="s">
        <v>155</v>
      </c>
      <c r="BS13" t="s">
        <v>168</v>
      </c>
      <c r="BU13" t="s">
        <v>17</v>
      </c>
      <c r="BV13" t="s">
        <v>278</v>
      </c>
      <c r="BX13" t="s">
        <v>305</v>
      </c>
      <c r="CC13" t="s">
        <v>367</v>
      </c>
    </row>
    <row r="14" spans="1:81" x14ac:dyDescent="0.2">
      <c r="A14" t="s">
        <v>16</v>
      </c>
      <c r="C14" t="s">
        <v>29</v>
      </c>
      <c r="E14" t="s">
        <v>64</v>
      </c>
      <c r="G14" t="s">
        <v>156</v>
      </c>
      <c r="I14" t="s">
        <v>154</v>
      </c>
      <c r="AO14" t="s">
        <v>137</v>
      </c>
      <c r="AP14" t="s">
        <v>136</v>
      </c>
      <c r="AQ14" t="s">
        <v>136</v>
      </c>
      <c r="BD14" t="s">
        <v>66</v>
      </c>
      <c r="BE14" t="s">
        <v>66</v>
      </c>
      <c r="BF14" t="s">
        <v>66</v>
      </c>
      <c r="BG14" t="s">
        <v>66</v>
      </c>
      <c r="BH14" t="s">
        <v>66</v>
      </c>
      <c r="BI14" t="s">
        <v>66</v>
      </c>
      <c r="BJ14" t="s">
        <v>64</v>
      </c>
      <c r="BK14" t="s">
        <v>66</v>
      </c>
      <c r="BL14" t="s">
        <v>66</v>
      </c>
      <c r="BM14" t="s">
        <v>245</v>
      </c>
      <c r="BR14" t="s">
        <v>156</v>
      </c>
      <c r="BS14" t="s">
        <v>154</v>
      </c>
      <c r="BU14" t="s">
        <v>18</v>
      </c>
      <c r="BV14" t="s">
        <v>257</v>
      </c>
      <c r="CC14" t="s">
        <v>368</v>
      </c>
    </row>
    <row r="15" spans="1:81" x14ac:dyDescent="0.2">
      <c r="A15" t="s">
        <v>17</v>
      </c>
      <c r="C15" t="s">
        <v>30</v>
      </c>
      <c r="E15" t="s">
        <v>65</v>
      </c>
      <c r="G15" t="s">
        <v>157</v>
      </c>
      <c r="AO15" t="s">
        <v>138</v>
      </c>
      <c r="AP15" t="s">
        <v>137</v>
      </c>
      <c r="AQ15" t="s">
        <v>137</v>
      </c>
      <c r="BJ15" t="s">
        <v>56</v>
      </c>
      <c r="BM15" t="s">
        <v>246</v>
      </c>
      <c r="BR15" t="s">
        <v>157</v>
      </c>
      <c r="BU15" t="s">
        <v>270</v>
      </c>
      <c r="BV15" t="s">
        <v>279</v>
      </c>
      <c r="CC15" t="s">
        <v>369</v>
      </c>
    </row>
    <row r="16" spans="1:81" x14ac:dyDescent="0.2">
      <c r="A16" t="s">
        <v>18</v>
      </c>
      <c r="C16" t="s">
        <v>31</v>
      </c>
      <c r="E16" t="s">
        <v>66</v>
      </c>
      <c r="AO16" t="s">
        <v>140</v>
      </c>
      <c r="AP16" t="s">
        <v>138</v>
      </c>
      <c r="AQ16" t="s">
        <v>138</v>
      </c>
      <c r="CC16" t="s">
        <v>370</v>
      </c>
    </row>
    <row r="17" spans="1:81" x14ac:dyDescent="0.2">
      <c r="A17" t="s">
        <v>270</v>
      </c>
      <c r="C17" t="s">
        <v>32</v>
      </c>
      <c r="E17" t="s">
        <v>67</v>
      </c>
      <c r="AO17" t="s">
        <v>141</v>
      </c>
      <c r="AP17" t="s">
        <v>139</v>
      </c>
      <c r="AQ17" t="s">
        <v>139</v>
      </c>
      <c r="CC17" t="s">
        <v>371</v>
      </c>
    </row>
    <row r="18" spans="1:81" x14ac:dyDescent="0.2">
      <c r="A18" t="s">
        <v>282</v>
      </c>
      <c r="C18" t="s">
        <v>33</v>
      </c>
      <c r="E18" t="s">
        <v>68</v>
      </c>
      <c r="AO18" t="s">
        <v>143</v>
      </c>
      <c r="AP18" t="s">
        <v>140</v>
      </c>
      <c r="AQ18" t="s">
        <v>140</v>
      </c>
      <c r="CC18" t="s">
        <v>372</v>
      </c>
    </row>
    <row r="19" spans="1:81" x14ac:dyDescent="0.2">
      <c r="A19" t="s">
        <v>247</v>
      </c>
      <c r="C19" t="s">
        <v>34</v>
      </c>
      <c r="E19" t="s">
        <v>69</v>
      </c>
      <c r="AP19" t="s">
        <v>141</v>
      </c>
      <c r="AQ19" t="s">
        <v>141</v>
      </c>
      <c r="CC19" t="s">
        <v>373</v>
      </c>
    </row>
    <row r="20" spans="1:81" x14ac:dyDescent="0.2">
      <c r="A20" t="s">
        <v>517</v>
      </c>
      <c r="C20" t="s">
        <v>35</v>
      </c>
      <c r="E20" t="s">
        <v>70</v>
      </c>
      <c r="AP20" t="s">
        <v>142</v>
      </c>
      <c r="AQ20" t="s">
        <v>142</v>
      </c>
      <c r="CC20" t="s">
        <v>374</v>
      </c>
    </row>
    <row r="21" spans="1:81" x14ac:dyDescent="0.2">
      <c r="A21" t="s">
        <v>518</v>
      </c>
      <c r="C21" t="s">
        <v>36</v>
      </c>
      <c r="E21" t="s">
        <v>71</v>
      </c>
      <c r="AP21" t="s">
        <v>143</v>
      </c>
      <c r="AQ21" t="s">
        <v>143</v>
      </c>
      <c r="CC21" t="s">
        <v>375</v>
      </c>
    </row>
    <row r="22" spans="1:81" x14ac:dyDescent="0.2">
      <c r="A22" t="s">
        <v>523</v>
      </c>
      <c r="C22" t="s">
        <v>37</v>
      </c>
      <c r="E22" t="s">
        <v>72</v>
      </c>
      <c r="CC22" t="s">
        <v>376</v>
      </c>
    </row>
    <row r="23" spans="1:81" x14ac:dyDescent="0.2">
      <c r="A23" t="s">
        <v>354</v>
      </c>
      <c r="C23" t="s">
        <v>12</v>
      </c>
      <c r="E23" t="s">
        <v>73</v>
      </c>
      <c r="CC23" t="s">
        <v>377</v>
      </c>
    </row>
    <row r="24" spans="1:81" x14ac:dyDescent="0.2">
      <c r="A24" t="s">
        <v>525</v>
      </c>
      <c r="C24" t="s">
        <v>38</v>
      </c>
      <c r="E24" t="s">
        <v>74</v>
      </c>
      <c r="CC24" t="s">
        <v>378</v>
      </c>
    </row>
    <row r="25" spans="1:81" x14ac:dyDescent="0.2">
      <c r="C25" t="s">
        <v>39</v>
      </c>
      <c r="E25" t="s">
        <v>75</v>
      </c>
      <c r="CC25" t="s">
        <v>379</v>
      </c>
    </row>
    <row r="26" spans="1:81" x14ac:dyDescent="0.2">
      <c r="C26" t="s">
        <v>40</v>
      </c>
      <c r="E26" t="s">
        <v>76</v>
      </c>
      <c r="CC26" t="s">
        <v>380</v>
      </c>
    </row>
    <row r="27" spans="1:81" x14ac:dyDescent="0.2">
      <c r="C27" t="s">
        <v>41</v>
      </c>
      <c r="E27" t="s">
        <v>77</v>
      </c>
      <c r="CC27" t="s">
        <v>381</v>
      </c>
    </row>
    <row r="28" spans="1:81" x14ac:dyDescent="0.2">
      <c r="C28" t="s">
        <v>42</v>
      </c>
      <c r="E28" t="s">
        <v>78</v>
      </c>
      <c r="CC28" t="s">
        <v>382</v>
      </c>
    </row>
    <row r="29" spans="1:81" x14ac:dyDescent="0.2">
      <c r="C29" t="s">
        <v>43</v>
      </c>
      <c r="E29" t="s">
        <v>79</v>
      </c>
      <c r="CC29" t="s">
        <v>383</v>
      </c>
    </row>
    <row r="30" spans="1:81" x14ac:dyDescent="0.2">
      <c r="C30" t="s">
        <v>44</v>
      </c>
      <c r="E30" t="s">
        <v>80</v>
      </c>
      <c r="CC30" t="s">
        <v>384</v>
      </c>
    </row>
    <row r="31" spans="1:81" x14ac:dyDescent="0.2">
      <c r="C31" t="s">
        <v>45</v>
      </c>
      <c r="E31" t="s">
        <v>81</v>
      </c>
      <c r="CC31" t="s">
        <v>385</v>
      </c>
    </row>
    <row r="32" spans="1:81" x14ac:dyDescent="0.2">
      <c r="C32" t="s">
        <v>46</v>
      </c>
      <c r="E32" t="s">
        <v>82</v>
      </c>
      <c r="CC32" t="s">
        <v>386</v>
      </c>
    </row>
    <row r="33" spans="3:81" x14ac:dyDescent="0.2">
      <c r="C33" t="s">
        <v>47</v>
      </c>
      <c r="E33" t="s">
        <v>83</v>
      </c>
      <c r="CC33" t="s">
        <v>387</v>
      </c>
    </row>
    <row r="34" spans="3:81" x14ac:dyDescent="0.2">
      <c r="C34" t="s">
        <v>48</v>
      </c>
      <c r="E34" t="s">
        <v>84</v>
      </c>
      <c r="CC34" t="s">
        <v>388</v>
      </c>
    </row>
    <row r="35" spans="3:81" x14ac:dyDescent="0.2">
      <c r="C35" t="s">
        <v>49</v>
      </c>
      <c r="E35" t="s">
        <v>85</v>
      </c>
      <c r="CC35" t="s">
        <v>389</v>
      </c>
    </row>
    <row r="36" spans="3:81" x14ac:dyDescent="0.2">
      <c r="C36" t="s">
        <v>50</v>
      </c>
      <c r="E36" t="s">
        <v>86</v>
      </c>
      <c r="CC36" t="s">
        <v>390</v>
      </c>
    </row>
    <row r="37" spans="3:81" x14ac:dyDescent="0.2">
      <c r="C37" t="s">
        <v>51</v>
      </c>
      <c r="E37" t="s">
        <v>87</v>
      </c>
      <c r="CC37" t="s">
        <v>391</v>
      </c>
    </row>
    <row r="38" spans="3:81" x14ac:dyDescent="0.2">
      <c r="C38" t="s">
        <v>180</v>
      </c>
      <c r="E38" t="s">
        <v>88</v>
      </c>
      <c r="CC38" t="s">
        <v>392</v>
      </c>
    </row>
    <row r="39" spans="3:81" x14ac:dyDescent="0.2">
      <c r="C39" t="s">
        <v>181</v>
      </c>
      <c r="E39" t="s">
        <v>89</v>
      </c>
      <c r="CC39" t="s">
        <v>393</v>
      </c>
    </row>
    <row r="40" spans="3:81" x14ac:dyDescent="0.2">
      <c r="C40" t="s">
        <v>17</v>
      </c>
      <c r="E40" t="s">
        <v>90</v>
      </c>
      <c r="CC40" t="s">
        <v>394</v>
      </c>
    </row>
    <row r="41" spans="3:81" x14ac:dyDescent="0.2">
      <c r="C41" t="s">
        <v>282</v>
      </c>
      <c r="E41" t="s">
        <v>91</v>
      </c>
      <c r="CC41" t="s">
        <v>395</v>
      </c>
    </row>
    <row r="42" spans="3:81" x14ac:dyDescent="0.2">
      <c r="C42" t="s">
        <v>247</v>
      </c>
      <c r="E42" t="s">
        <v>92</v>
      </c>
      <c r="CC42" t="s">
        <v>396</v>
      </c>
    </row>
    <row r="43" spans="3:81" x14ac:dyDescent="0.2">
      <c r="C43" t="s">
        <v>524</v>
      </c>
      <c r="E43" t="s">
        <v>93</v>
      </c>
      <c r="CC43" t="s">
        <v>397</v>
      </c>
    </row>
    <row r="44" spans="3:81" x14ac:dyDescent="0.2">
      <c r="E44" t="s">
        <v>94</v>
      </c>
      <c r="CC44" t="s">
        <v>398</v>
      </c>
    </row>
    <row r="45" spans="3:81" x14ac:dyDescent="0.2">
      <c r="E45" t="s">
        <v>95</v>
      </c>
      <c r="CC45" t="s">
        <v>399</v>
      </c>
    </row>
    <row r="46" spans="3:81" x14ac:dyDescent="0.2">
      <c r="E46" t="s">
        <v>96</v>
      </c>
      <c r="CC46" t="s">
        <v>400</v>
      </c>
    </row>
    <row r="47" spans="3:81" x14ac:dyDescent="0.2">
      <c r="E47" t="s">
        <v>97</v>
      </c>
      <c r="CC47" t="s">
        <v>401</v>
      </c>
    </row>
    <row r="48" spans="3:81" x14ac:dyDescent="0.2">
      <c r="E48" t="s">
        <v>98</v>
      </c>
      <c r="CC48" t="s">
        <v>402</v>
      </c>
    </row>
    <row r="49" spans="5:81" x14ac:dyDescent="0.2">
      <c r="E49" t="s">
        <v>99</v>
      </c>
      <c r="CC49" t="s">
        <v>403</v>
      </c>
    </row>
    <row r="50" spans="5:81" x14ac:dyDescent="0.2">
      <c r="E50" t="s">
        <v>100</v>
      </c>
      <c r="CC50" t="s">
        <v>404</v>
      </c>
    </row>
    <row r="51" spans="5:81" x14ac:dyDescent="0.2">
      <c r="E51" t="s">
        <v>101</v>
      </c>
      <c r="CC51" t="s">
        <v>405</v>
      </c>
    </row>
    <row r="52" spans="5:81" x14ac:dyDescent="0.2">
      <c r="E52" t="s">
        <v>102</v>
      </c>
      <c r="CC52" t="s">
        <v>406</v>
      </c>
    </row>
    <row r="53" spans="5:81" x14ac:dyDescent="0.2">
      <c r="E53" t="s">
        <v>103</v>
      </c>
      <c r="CC53" t="s">
        <v>407</v>
      </c>
    </row>
    <row r="54" spans="5:81" x14ac:dyDescent="0.2">
      <c r="E54" t="s">
        <v>104</v>
      </c>
      <c r="CC54" t="s">
        <v>408</v>
      </c>
    </row>
    <row r="55" spans="5:81" x14ac:dyDescent="0.2">
      <c r="E55" t="s">
        <v>105</v>
      </c>
      <c r="CC55" t="s">
        <v>409</v>
      </c>
    </row>
    <row r="56" spans="5:81" x14ac:dyDescent="0.2">
      <c r="E56" t="s">
        <v>106</v>
      </c>
      <c r="CC56" t="s">
        <v>357</v>
      </c>
    </row>
    <row r="57" spans="5:81" x14ac:dyDescent="0.2">
      <c r="E57" t="s">
        <v>41</v>
      </c>
    </row>
    <row r="58" spans="5:81" x14ac:dyDescent="0.2">
      <c r="E58" t="s">
        <v>107</v>
      </c>
    </row>
    <row r="59" spans="5:81" x14ac:dyDescent="0.2">
      <c r="E59" t="s">
        <v>43</v>
      </c>
    </row>
    <row r="60" spans="5:81" x14ac:dyDescent="0.2">
      <c r="E60" t="s">
        <v>108</v>
      </c>
    </row>
    <row r="61" spans="5:81" x14ac:dyDescent="0.2">
      <c r="E61" t="s">
        <v>109</v>
      </c>
    </row>
    <row r="62" spans="5:81" x14ac:dyDescent="0.2">
      <c r="E62" t="s">
        <v>110</v>
      </c>
    </row>
    <row r="63" spans="5:81" x14ac:dyDescent="0.2">
      <c r="E63" t="s">
        <v>111</v>
      </c>
    </row>
    <row r="64" spans="5:81" x14ac:dyDescent="0.2">
      <c r="E64" t="s">
        <v>112</v>
      </c>
    </row>
    <row r="65" spans="5:5" x14ac:dyDescent="0.2">
      <c r="E65" t="s">
        <v>113</v>
      </c>
    </row>
    <row r="66" spans="5:5" x14ac:dyDescent="0.2">
      <c r="E66" t="s">
        <v>114</v>
      </c>
    </row>
    <row r="67" spans="5:5" x14ac:dyDescent="0.2">
      <c r="E67" t="s">
        <v>115</v>
      </c>
    </row>
    <row r="68" spans="5:5" x14ac:dyDescent="0.2">
      <c r="E68" t="s">
        <v>116</v>
      </c>
    </row>
    <row r="69" spans="5:5" x14ac:dyDescent="0.2">
      <c r="E69" t="s">
        <v>117</v>
      </c>
    </row>
    <row r="70" spans="5:5" x14ac:dyDescent="0.2">
      <c r="E70" t="s">
        <v>118</v>
      </c>
    </row>
    <row r="71" spans="5:5" x14ac:dyDescent="0.2">
      <c r="E71" t="s">
        <v>119</v>
      </c>
    </row>
    <row r="72" spans="5:5" x14ac:dyDescent="0.2">
      <c r="E72" t="s">
        <v>120</v>
      </c>
    </row>
    <row r="73" spans="5:5" x14ac:dyDescent="0.2">
      <c r="E73" t="s">
        <v>121</v>
      </c>
    </row>
    <row r="74" spans="5:5" x14ac:dyDescent="0.2">
      <c r="E74" t="s">
        <v>122</v>
      </c>
    </row>
    <row r="75" spans="5:5" x14ac:dyDescent="0.2">
      <c r="E75" t="s">
        <v>123</v>
      </c>
    </row>
    <row r="76" spans="5:5" x14ac:dyDescent="0.2">
      <c r="E76" t="s">
        <v>124</v>
      </c>
    </row>
    <row r="77" spans="5:5" x14ac:dyDescent="0.2">
      <c r="E77" t="s">
        <v>125</v>
      </c>
    </row>
    <row r="78" spans="5:5" x14ac:dyDescent="0.2">
      <c r="E78" t="s">
        <v>126</v>
      </c>
    </row>
    <row r="79" spans="5:5" x14ac:dyDescent="0.2">
      <c r="E79" t="s">
        <v>127</v>
      </c>
    </row>
    <row r="80" spans="5:5" x14ac:dyDescent="0.2">
      <c r="E80" t="s">
        <v>128</v>
      </c>
    </row>
    <row r="81" spans="5:5" x14ac:dyDescent="0.2">
      <c r="E81" t="s">
        <v>129</v>
      </c>
    </row>
    <row r="82" spans="5:5" x14ac:dyDescent="0.2">
      <c r="E82" t="s">
        <v>130</v>
      </c>
    </row>
    <row r="83" spans="5:5" x14ac:dyDescent="0.2">
      <c r="E83" t="s">
        <v>131</v>
      </c>
    </row>
    <row r="84" spans="5:5" x14ac:dyDescent="0.2">
      <c r="E84" t="s">
        <v>132</v>
      </c>
    </row>
    <row r="85" spans="5:5" x14ac:dyDescent="0.2">
      <c r="E85" t="s">
        <v>133</v>
      </c>
    </row>
    <row r="86" spans="5:5" x14ac:dyDescent="0.2">
      <c r="E86" t="s">
        <v>134</v>
      </c>
    </row>
    <row r="87" spans="5:5" x14ac:dyDescent="0.2">
      <c r="E87" t="s">
        <v>135</v>
      </c>
    </row>
    <row r="88" spans="5:5" x14ac:dyDescent="0.2">
      <c r="E88" t="s">
        <v>136</v>
      </c>
    </row>
    <row r="89" spans="5:5" x14ac:dyDescent="0.2">
      <c r="E89" t="s">
        <v>137</v>
      </c>
    </row>
    <row r="90" spans="5:5" x14ac:dyDescent="0.2">
      <c r="E90" t="s">
        <v>138</v>
      </c>
    </row>
    <row r="91" spans="5:5" x14ac:dyDescent="0.2">
      <c r="E91" t="s">
        <v>139</v>
      </c>
    </row>
    <row r="92" spans="5:5" x14ac:dyDescent="0.2">
      <c r="E92" t="s">
        <v>140</v>
      </c>
    </row>
    <row r="93" spans="5:5" x14ac:dyDescent="0.2">
      <c r="E93" t="s">
        <v>141</v>
      </c>
    </row>
    <row r="94" spans="5:5" x14ac:dyDescent="0.2">
      <c r="E94" t="s">
        <v>142</v>
      </c>
    </row>
    <row r="95" spans="5:5" x14ac:dyDescent="0.2">
      <c r="E95" t="s">
        <v>143</v>
      </c>
    </row>
    <row r="96" spans="5:5" x14ac:dyDescent="0.2">
      <c r="E96" t="s">
        <v>282</v>
      </c>
    </row>
    <row r="97" spans="5:5" x14ac:dyDescent="0.2">
      <c r="E97" t="s">
        <v>511</v>
      </c>
    </row>
    <row r="98" spans="5:5" x14ac:dyDescent="0.2">
      <c r="E98" t="s">
        <v>512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0568-2B3A-4A48-AC24-E8A68FC7CC92}">
  <dimension ref="A1:AD2638"/>
  <sheetViews>
    <sheetView tabSelected="1" topLeftCell="B1" workbookViewId="0">
      <pane ySplit="1" topLeftCell="A883" activePane="bottomLeft" state="frozen"/>
      <selection pane="bottomLeft" activeCell="AB887" sqref="AB887"/>
    </sheetView>
  </sheetViews>
  <sheetFormatPr baseColWidth="10" defaultRowHeight="16" x14ac:dyDescent="0.2"/>
  <cols>
    <col min="2" max="2" width="10.83203125" customWidth="1"/>
    <col min="3" max="3" width="10.83203125" style="7" customWidth="1"/>
    <col min="4" max="5" width="10.83203125" customWidth="1"/>
    <col min="6" max="6" width="10.83203125" style="6" customWidth="1"/>
    <col min="7" max="7" width="10.83203125" customWidth="1"/>
    <col min="8" max="8" width="10.83203125" style="8" customWidth="1"/>
    <col min="10" max="10" width="10.83203125" customWidth="1"/>
    <col min="11" max="11" width="10.33203125" customWidth="1"/>
    <col min="12" max="12" width="20.83203125" customWidth="1"/>
    <col min="13" max="13" width="18.6640625" hidden="1" customWidth="1"/>
    <col min="14" max="14" width="17.6640625" hidden="1" customWidth="1"/>
    <col min="15" max="15" width="10.6640625" hidden="1" customWidth="1"/>
    <col min="16" max="16" width="9.6640625" style="7" hidden="1" customWidth="1"/>
    <col min="17" max="19" width="0" hidden="1" customWidth="1"/>
    <col min="20" max="20" width="10.83203125" style="20"/>
    <col min="24" max="24" width="21.33203125" style="7" customWidth="1"/>
    <col min="25" max="25" width="12.5" customWidth="1"/>
    <col min="26" max="26" width="12.5" style="20" customWidth="1"/>
    <col min="27" max="28" width="12.83203125" customWidth="1"/>
  </cols>
  <sheetData>
    <row r="1" spans="1:30" s="1" customFormat="1" ht="68" x14ac:dyDescent="0.2">
      <c r="A1" s="1" t="s">
        <v>283</v>
      </c>
      <c r="B1" s="1" t="s">
        <v>284</v>
      </c>
      <c r="C1" s="10" t="s">
        <v>285</v>
      </c>
      <c r="D1" s="1" t="s">
        <v>1</v>
      </c>
      <c r="E1" s="1" t="s">
        <v>318</v>
      </c>
      <c r="F1" s="1" t="s">
        <v>319</v>
      </c>
      <c r="G1" s="1" t="s">
        <v>320</v>
      </c>
      <c r="H1" s="10" t="s">
        <v>321</v>
      </c>
      <c r="I1" s="1" t="s">
        <v>0</v>
      </c>
      <c r="J1" s="1" t="s">
        <v>5</v>
      </c>
      <c r="K1" s="1" t="s">
        <v>490</v>
      </c>
      <c r="L1" s="1" t="s">
        <v>280</v>
      </c>
      <c r="M1" s="1" t="s">
        <v>287</v>
      </c>
      <c r="N1" s="1" t="s">
        <v>288</v>
      </c>
      <c r="O1" s="1" t="s">
        <v>289</v>
      </c>
      <c r="P1" s="10" t="s">
        <v>290</v>
      </c>
      <c r="Q1" s="1" t="s">
        <v>291</v>
      </c>
      <c r="R1" s="1" t="s">
        <v>292</v>
      </c>
      <c r="S1" s="1" t="s">
        <v>293</v>
      </c>
      <c r="T1" s="19" t="s">
        <v>463</v>
      </c>
      <c r="U1" s="1" t="s">
        <v>464</v>
      </c>
      <c r="V1" s="1" t="s">
        <v>465</v>
      </c>
      <c r="W1" s="1" t="s">
        <v>322</v>
      </c>
      <c r="X1" s="10" t="s">
        <v>286</v>
      </c>
      <c r="Y1" s="1" t="s">
        <v>491</v>
      </c>
      <c r="Z1" s="19" t="s">
        <v>522</v>
      </c>
      <c r="AA1" s="1" t="s">
        <v>521</v>
      </c>
      <c r="AB1" s="1" t="s">
        <v>528</v>
      </c>
      <c r="AC1" s="1" t="s">
        <v>519</v>
      </c>
      <c r="AD1" s="1" t="s">
        <v>520</v>
      </c>
    </row>
    <row r="2" spans="1:30" ht="16" customHeight="1" x14ac:dyDescent="0.2">
      <c r="A2">
        <v>0</v>
      </c>
      <c r="D2">
        <v>1</v>
      </c>
      <c r="F2"/>
      <c r="H2" s="7"/>
      <c r="L2" t="s">
        <v>354</v>
      </c>
      <c r="M2" t="s">
        <v>526</v>
      </c>
      <c r="Q2">
        <v>18976</v>
      </c>
      <c r="R2" t="s">
        <v>307</v>
      </c>
      <c r="S2" t="s">
        <v>308</v>
      </c>
      <c r="X2"/>
      <c r="AA2">
        <v>0</v>
      </c>
      <c r="AB2">
        <v>0</v>
      </c>
      <c r="AC2">
        <v>0</v>
      </c>
      <c r="AD2">
        <v>0</v>
      </c>
    </row>
    <row r="3" spans="1:30" ht="16" customHeight="1" x14ac:dyDescent="0.2">
      <c r="A3">
        <v>1</v>
      </c>
      <c r="D3">
        <v>1</v>
      </c>
      <c r="E3">
        <v>18</v>
      </c>
      <c r="F3">
        <v>0</v>
      </c>
      <c r="H3" s="7"/>
      <c r="I3" t="s">
        <v>179</v>
      </c>
      <c r="J3">
        <v>11</v>
      </c>
      <c r="K3" t="s">
        <v>488</v>
      </c>
      <c r="L3" t="s">
        <v>6</v>
      </c>
      <c r="M3" t="s">
        <v>526</v>
      </c>
      <c r="Q3">
        <v>18977</v>
      </c>
      <c r="R3" t="s">
        <v>307</v>
      </c>
      <c r="S3" t="s">
        <v>308</v>
      </c>
      <c r="T3" s="20">
        <f t="shared" ref="T3:T66" si="0">IF(AND(G3="",H3=""),0,((E3*60)+F3)-((G3*60)+H3))</f>
        <v>0</v>
      </c>
      <c r="U3">
        <f t="shared" ref="U3:U66" si="1">(E3*60)+F3</f>
        <v>1080</v>
      </c>
      <c r="V3">
        <f t="shared" ref="V3:V66" si="2">IF(AND(G3="",H3=""),U3,((G3*60)+H3))</f>
        <v>1080</v>
      </c>
      <c r="W3" cm="1">
        <f t="array" ref="W3">_xlfn._xlws.FILTER(shifts!A:A,(shifts!B:B=events!D3)*(shifts!AH:AH&gt;=events!U3)*(shifts!AI:AI&lt;=events!V3))</f>
        <v>1</v>
      </c>
      <c r="X3" t="str">
        <f t="shared" ref="X3:X66" si="3">IF(K3="e","event_team_player_"&amp;Y3,IF(K3="o","opp_team_player_"&amp;Y3,""))</f>
        <v>event_team_player_1</v>
      </c>
      <c r="Y3">
        <f>COUNTIFS(A$3:A3,"="&amp;A3,K$3:K3,"="&amp;K3)</f>
        <v>1</v>
      </c>
      <c r="Z3" s="20">
        <f>SUMIFS(T3:T3,L3:L3,"=Intermission")</f>
        <v>0</v>
      </c>
      <c r="AA3">
        <f>IF(D3=1,0,IF(D3=2,1080+Z3,IF(D3=3,(1080*2)+Z3,0)))</f>
        <v>0</v>
      </c>
      <c r="AB3" s="26">
        <f>((1080*D3)-((E3*60)+F3)*D3)+Z3</f>
        <v>0</v>
      </c>
      <c r="AC3">
        <f>IF(L2="GameStart",0,AA3+Z3)</f>
        <v>0</v>
      </c>
      <c r="AD3">
        <f>AC3+5</f>
        <v>5</v>
      </c>
    </row>
    <row r="4" spans="1:30" x14ac:dyDescent="0.2">
      <c r="A4">
        <v>1</v>
      </c>
      <c r="D4">
        <f>IF(L4="Intermission",D3+1,D3)</f>
        <v>1</v>
      </c>
      <c r="E4">
        <v>18</v>
      </c>
      <c r="F4">
        <v>0</v>
      </c>
      <c r="H4" s="7"/>
      <c r="I4" t="s">
        <v>179</v>
      </c>
      <c r="J4">
        <v>27</v>
      </c>
      <c r="K4" t="s">
        <v>488</v>
      </c>
      <c r="L4" t="s">
        <v>6</v>
      </c>
      <c r="M4" t="s">
        <v>526</v>
      </c>
      <c r="Q4">
        <v>18977</v>
      </c>
      <c r="R4" t="s">
        <v>307</v>
      </c>
      <c r="S4" t="s">
        <v>308</v>
      </c>
      <c r="T4" s="20">
        <f t="shared" si="0"/>
        <v>0</v>
      </c>
      <c r="U4">
        <f t="shared" si="1"/>
        <v>1080</v>
      </c>
      <c r="V4">
        <f t="shared" si="2"/>
        <v>1080</v>
      </c>
      <c r="W4" cm="1">
        <f t="array" ref="W4">_xlfn._xlws.FILTER(shifts!A:A,(shifts!B:B=events!D4)*(shifts!AH:AH&gt;=events!U4)*(shifts!AI:AI&lt;=events!V4))</f>
        <v>1</v>
      </c>
      <c r="X4" t="str">
        <f t="shared" si="3"/>
        <v>event_team_player_2</v>
      </c>
      <c r="Y4">
        <f>COUNTIFS(A$3:A4,"="&amp;A4,K$3:K4,"="&amp;K4)</f>
        <v>2</v>
      </c>
      <c r="Z4" s="20">
        <f>SUMIFS(T$3:T4,L$3:L4,"=Intermission")+SUMIFS(T$3:T4,L$3:L4,"=Timeout")+SUMIFS(T$3:T4,L$3:L4,"=Clockstop")</f>
        <v>0</v>
      </c>
      <c r="AA4">
        <f t="shared" ref="AA4:AA67" si="4">IF(D4=1,0,IF(D4=2,1080+Z4,IF(D4=3,(1080*2)+Z4,0)))</f>
        <v>0</v>
      </c>
      <c r="AB4" s="26">
        <f t="shared" ref="AB4:AB67" si="5">((1080*D4)-((E4*60)+F4)*D4)+Z4</f>
        <v>0</v>
      </c>
      <c r="AC4">
        <f t="shared" ref="AC4:AC67" si="6">IF(L3="GameStart",0,AA4+Z4)</f>
        <v>0</v>
      </c>
      <c r="AD4">
        <f t="shared" ref="AD4:AD6" si="7">AC4+5</f>
        <v>5</v>
      </c>
    </row>
    <row r="5" spans="1:30" x14ac:dyDescent="0.2">
      <c r="A5">
        <v>1</v>
      </c>
      <c r="D5">
        <f t="shared" ref="D5:D68" si="8">IF(L5="Intermission",D4+1,D4)</f>
        <v>1</v>
      </c>
      <c r="E5">
        <v>18</v>
      </c>
      <c r="F5">
        <v>0</v>
      </c>
      <c r="H5" s="7"/>
      <c r="I5" t="s">
        <v>179</v>
      </c>
      <c r="J5">
        <v>70</v>
      </c>
      <c r="K5" t="s">
        <v>489</v>
      </c>
      <c r="L5" t="s">
        <v>6</v>
      </c>
      <c r="M5" t="s">
        <v>526</v>
      </c>
      <c r="Q5">
        <v>18977</v>
      </c>
      <c r="R5" t="s">
        <v>307</v>
      </c>
      <c r="S5" t="s">
        <v>308</v>
      </c>
      <c r="T5" s="20">
        <f t="shared" si="0"/>
        <v>0</v>
      </c>
      <c r="U5">
        <f t="shared" si="1"/>
        <v>1080</v>
      </c>
      <c r="V5">
        <f t="shared" si="2"/>
        <v>1080</v>
      </c>
      <c r="W5" cm="1">
        <f t="array" ref="W5">_xlfn._xlws.FILTER(shifts!A:A,(shifts!B:B=events!D5)*(shifts!AH:AH&gt;=events!U5)*(shifts!AI:AI&lt;=events!V5))</f>
        <v>1</v>
      </c>
      <c r="X5" t="str">
        <f t="shared" si="3"/>
        <v>opp_team_player_1</v>
      </c>
      <c r="Y5">
        <f>COUNTIFS(A$3:A5,"="&amp;A5,K$3:K5,"="&amp;K5)</f>
        <v>1</v>
      </c>
      <c r="Z5" s="20">
        <f>SUMIFS(T$3:T5,L$3:L5,"=Intermission")+SUMIFS(T$3:T5,L$3:L5,"=Timeout")+SUMIFS(T$3:T5,L$3:L5,"=Clockstop")</f>
        <v>0</v>
      </c>
      <c r="AA5">
        <f t="shared" si="4"/>
        <v>0</v>
      </c>
      <c r="AB5" s="26">
        <f t="shared" si="5"/>
        <v>0</v>
      </c>
      <c r="AC5">
        <f t="shared" si="6"/>
        <v>0</v>
      </c>
      <c r="AD5">
        <f t="shared" si="7"/>
        <v>5</v>
      </c>
    </row>
    <row r="6" spans="1:30" x14ac:dyDescent="0.2">
      <c r="A6">
        <v>2</v>
      </c>
      <c r="D6">
        <f t="shared" si="8"/>
        <v>1</v>
      </c>
      <c r="E6">
        <v>17</v>
      </c>
      <c r="F6">
        <v>58</v>
      </c>
      <c r="H6" s="7"/>
      <c r="I6" t="s">
        <v>179</v>
      </c>
      <c r="J6">
        <v>27</v>
      </c>
      <c r="K6" t="s">
        <v>488</v>
      </c>
      <c r="L6" t="s">
        <v>8</v>
      </c>
      <c r="M6" t="s">
        <v>29</v>
      </c>
      <c r="N6" t="s">
        <v>70</v>
      </c>
      <c r="Q6">
        <v>18977</v>
      </c>
      <c r="R6" t="s">
        <v>307</v>
      </c>
      <c r="S6" t="s">
        <v>308</v>
      </c>
      <c r="T6" s="20">
        <f t="shared" si="0"/>
        <v>0</v>
      </c>
      <c r="U6">
        <f t="shared" si="1"/>
        <v>1078</v>
      </c>
      <c r="V6">
        <f t="shared" si="2"/>
        <v>1078</v>
      </c>
      <c r="W6" cm="1">
        <f t="array" ref="W6">_xlfn._xlws.FILTER(shifts!A:A,(shifts!B:B=events!D6)*(shifts!AH:AH&gt;=events!U6)*(shifts!AI:AI&lt;=events!V6))</f>
        <v>1</v>
      </c>
      <c r="X6" t="str">
        <f t="shared" si="3"/>
        <v>event_team_player_1</v>
      </c>
      <c r="Y6">
        <f>COUNTIFS(A$3:A6,"="&amp;A6,K$3:K6,"="&amp;K6)</f>
        <v>1</v>
      </c>
      <c r="Z6" s="20">
        <f>SUMIFS(T$3:T6,L$3:L6,"=Intermission")+SUMIFS(T$3:T6,L$3:L6,"=Timeout")+SUMIFS(T$3:T6,L$3:L6,"=Clockstop")</f>
        <v>0</v>
      </c>
      <c r="AA6">
        <f t="shared" si="4"/>
        <v>0</v>
      </c>
      <c r="AB6" s="26">
        <f t="shared" si="5"/>
        <v>2</v>
      </c>
      <c r="AC6">
        <f t="shared" si="6"/>
        <v>0</v>
      </c>
      <c r="AD6">
        <f t="shared" si="7"/>
        <v>5</v>
      </c>
    </row>
    <row r="7" spans="1:30" x14ac:dyDescent="0.2">
      <c r="A7">
        <v>2</v>
      </c>
      <c r="D7">
        <f t="shared" si="8"/>
        <v>1</v>
      </c>
      <c r="E7">
        <v>17</v>
      </c>
      <c r="F7">
        <v>58</v>
      </c>
      <c r="H7" s="7"/>
      <c r="I7" t="s">
        <v>179</v>
      </c>
      <c r="J7">
        <v>33</v>
      </c>
      <c r="K7" t="s">
        <v>488</v>
      </c>
      <c r="L7" t="s">
        <v>8</v>
      </c>
      <c r="M7" t="s">
        <v>29</v>
      </c>
      <c r="N7" t="s">
        <v>70</v>
      </c>
      <c r="Q7">
        <v>18977</v>
      </c>
      <c r="R7" t="s">
        <v>307</v>
      </c>
      <c r="S7" t="s">
        <v>308</v>
      </c>
      <c r="T7" s="20">
        <f t="shared" si="0"/>
        <v>0</v>
      </c>
      <c r="U7">
        <f t="shared" si="1"/>
        <v>1078</v>
      </c>
      <c r="V7">
        <f t="shared" si="2"/>
        <v>1078</v>
      </c>
      <c r="W7" cm="1">
        <f t="array" ref="W7">_xlfn._xlws.FILTER(shifts!A:A,(shifts!B:B=events!D7)*(shifts!AH:AH&gt;=events!U7)*(shifts!AI:AI&lt;=events!V7))</f>
        <v>1</v>
      </c>
      <c r="X7" t="str">
        <f t="shared" si="3"/>
        <v>event_team_player_2</v>
      </c>
      <c r="Y7">
        <f>COUNTIFS(A$3:A7,"="&amp;A7,K$3:K7,"="&amp;K7)</f>
        <v>2</v>
      </c>
      <c r="Z7" s="20">
        <f>SUMIFS(T$3:T7,L$3:L7,"=Intermission")+SUMIFS(T$3:T7,L$3:L7,"=Timeout")+SUMIFS(T$3:T7,L$3:L7,"=Clockstop")</f>
        <v>0</v>
      </c>
      <c r="AA7">
        <f t="shared" si="4"/>
        <v>0</v>
      </c>
      <c r="AB7" s="26">
        <f t="shared" si="5"/>
        <v>2</v>
      </c>
      <c r="AC7">
        <f t="shared" si="6"/>
        <v>0</v>
      </c>
    </row>
    <row r="8" spans="1:30" x14ac:dyDescent="0.2">
      <c r="A8">
        <v>3</v>
      </c>
      <c r="D8">
        <f t="shared" si="8"/>
        <v>1</v>
      </c>
      <c r="E8">
        <v>17</v>
      </c>
      <c r="F8">
        <v>58</v>
      </c>
      <c r="H8" s="7"/>
      <c r="I8" t="s">
        <v>179</v>
      </c>
      <c r="J8">
        <v>33</v>
      </c>
      <c r="K8" t="s">
        <v>488</v>
      </c>
      <c r="L8" t="s">
        <v>8</v>
      </c>
      <c r="M8" t="s">
        <v>29</v>
      </c>
      <c r="N8" t="s">
        <v>70</v>
      </c>
      <c r="Q8">
        <v>18977</v>
      </c>
      <c r="R8" t="s">
        <v>307</v>
      </c>
      <c r="S8" t="s">
        <v>308</v>
      </c>
      <c r="T8" s="20">
        <f t="shared" si="0"/>
        <v>0</v>
      </c>
      <c r="U8">
        <f t="shared" si="1"/>
        <v>1078</v>
      </c>
      <c r="V8">
        <f t="shared" si="2"/>
        <v>1078</v>
      </c>
      <c r="W8" cm="1">
        <f t="array" ref="W8">_xlfn._xlws.FILTER(shifts!A:A,(shifts!B:B=events!D8)*(shifts!AH:AH&gt;=events!U8)*(shifts!AI:AI&lt;=events!V8))</f>
        <v>1</v>
      </c>
      <c r="X8" t="str">
        <f t="shared" si="3"/>
        <v>event_team_player_1</v>
      </c>
      <c r="Y8">
        <f>COUNTIFS(A$3:A8,"="&amp;A8,K$3:K8,"="&amp;K8)</f>
        <v>1</v>
      </c>
      <c r="Z8" s="20">
        <f>SUMIFS(T$3:T8,L$3:L8,"=Intermission")+SUMIFS(T$3:T8,L$3:L8,"=Timeout")+SUMIFS(T$3:T8,L$3:L8,"=Clockstop")</f>
        <v>0</v>
      </c>
      <c r="AA8">
        <f t="shared" si="4"/>
        <v>0</v>
      </c>
      <c r="AB8" s="26">
        <f t="shared" si="5"/>
        <v>2</v>
      </c>
      <c r="AC8">
        <f t="shared" si="6"/>
        <v>0</v>
      </c>
    </row>
    <row r="9" spans="1:30" x14ac:dyDescent="0.2">
      <c r="A9">
        <v>3</v>
      </c>
      <c r="D9">
        <f t="shared" si="8"/>
        <v>1</v>
      </c>
      <c r="E9">
        <v>17</v>
      </c>
      <c r="F9">
        <v>58</v>
      </c>
      <c r="H9" s="7"/>
      <c r="I9" t="s">
        <v>179</v>
      </c>
      <c r="J9">
        <v>27</v>
      </c>
      <c r="K9" t="s">
        <v>488</v>
      </c>
      <c r="L9" t="s">
        <v>8</v>
      </c>
      <c r="M9" t="s">
        <v>29</v>
      </c>
      <c r="N9" t="s">
        <v>70</v>
      </c>
      <c r="Q9">
        <v>18977</v>
      </c>
      <c r="R9" t="s">
        <v>307</v>
      </c>
      <c r="S9" t="s">
        <v>308</v>
      </c>
      <c r="T9" s="20">
        <f t="shared" si="0"/>
        <v>0</v>
      </c>
      <c r="U9">
        <f t="shared" si="1"/>
        <v>1078</v>
      </c>
      <c r="V9">
        <f t="shared" si="2"/>
        <v>1078</v>
      </c>
      <c r="W9" cm="1">
        <f t="array" ref="W9">_xlfn._xlws.FILTER(shifts!A:A,(shifts!B:B=events!D9)*(shifts!AH:AH&gt;=events!U9)*(shifts!AI:AI&lt;=events!V9))</f>
        <v>1</v>
      </c>
      <c r="X9" t="str">
        <f t="shared" si="3"/>
        <v>event_team_player_2</v>
      </c>
      <c r="Y9">
        <f>COUNTIFS(A$3:A9,"="&amp;A9,K$3:K9,"="&amp;K9)</f>
        <v>2</v>
      </c>
      <c r="Z9" s="20">
        <f>SUMIFS(T$3:T9,L$3:L9,"=Intermission")+SUMIFS(T$3:T9,L$3:L9,"=Timeout")+SUMIFS(T$3:T9,L$3:L9,"=Clockstop")</f>
        <v>0</v>
      </c>
      <c r="AA9">
        <f t="shared" si="4"/>
        <v>0</v>
      </c>
      <c r="AB9" s="26">
        <f t="shared" si="5"/>
        <v>2</v>
      </c>
      <c r="AC9">
        <f t="shared" si="6"/>
        <v>0</v>
      </c>
    </row>
    <row r="10" spans="1:30" x14ac:dyDescent="0.2">
      <c r="A10">
        <v>4</v>
      </c>
      <c r="D10">
        <f t="shared" si="8"/>
        <v>1</v>
      </c>
      <c r="E10">
        <v>17</v>
      </c>
      <c r="F10">
        <v>55</v>
      </c>
      <c r="G10">
        <v>17</v>
      </c>
      <c r="H10" s="7">
        <v>53</v>
      </c>
      <c r="I10" t="s">
        <v>179</v>
      </c>
      <c r="J10">
        <v>27</v>
      </c>
      <c r="K10" t="s">
        <v>488</v>
      </c>
      <c r="L10" t="s">
        <v>15</v>
      </c>
      <c r="Q10">
        <v>18977</v>
      </c>
      <c r="R10" t="s">
        <v>307</v>
      </c>
      <c r="S10" t="s">
        <v>308</v>
      </c>
      <c r="T10" s="20">
        <f t="shared" si="0"/>
        <v>2</v>
      </c>
      <c r="U10">
        <f t="shared" si="1"/>
        <v>1075</v>
      </c>
      <c r="V10">
        <f t="shared" si="2"/>
        <v>1073</v>
      </c>
      <c r="W10" cm="1">
        <f t="array" ref="W10">_xlfn._xlws.FILTER(shifts!A:A,(shifts!B:B=events!D10)*(shifts!AH:AH&gt;=events!U10)*(shifts!AI:AI&lt;=events!V10))</f>
        <v>1</v>
      </c>
      <c r="X10" t="str">
        <f t="shared" si="3"/>
        <v>event_team_player_1</v>
      </c>
      <c r="Y10">
        <f>COUNTIFS(A$3:A10,"="&amp;A10,K$3:K10,"="&amp;K10)</f>
        <v>1</v>
      </c>
      <c r="Z10" s="20">
        <f>SUMIFS(T$3:T10,L$3:L10,"=Intermission")+SUMIFS(T$3:T10,L$3:L10,"=Timeout")+SUMIFS(T$3:T10,L$3:L10,"=Clockstop")</f>
        <v>0</v>
      </c>
      <c r="AA10">
        <f t="shared" si="4"/>
        <v>0</v>
      </c>
      <c r="AB10" s="26">
        <f t="shared" si="5"/>
        <v>5</v>
      </c>
      <c r="AC10">
        <f t="shared" si="6"/>
        <v>0</v>
      </c>
    </row>
    <row r="11" spans="1:30" x14ac:dyDescent="0.2">
      <c r="A11">
        <v>5</v>
      </c>
      <c r="D11">
        <f t="shared" si="8"/>
        <v>1</v>
      </c>
      <c r="E11">
        <v>17</v>
      </c>
      <c r="F11">
        <v>50</v>
      </c>
      <c r="H11" s="7"/>
      <c r="I11" t="s">
        <v>179</v>
      </c>
      <c r="J11">
        <v>33</v>
      </c>
      <c r="K11" t="s">
        <v>488</v>
      </c>
      <c r="L11" t="s">
        <v>8</v>
      </c>
      <c r="M11" t="s">
        <v>30</v>
      </c>
      <c r="N11" t="s">
        <v>70</v>
      </c>
      <c r="Q11">
        <v>18977</v>
      </c>
      <c r="R11" t="s">
        <v>307</v>
      </c>
      <c r="S11" t="s">
        <v>308</v>
      </c>
      <c r="T11" s="20">
        <f t="shared" si="0"/>
        <v>0</v>
      </c>
      <c r="U11">
        <f t="shared" si="1"/>
        <v>1070</v>
      </c>
      <c r="V11">
        <f t="shared" si="2"/>
        <v>1070</v>
      </c>
      <c r="W11" cm="1">
        <f t="array" ref="W11">_xlfn._xlws.FILTER(shifts!A:A,(shifts!B:B=events!D11)*(shifts!AH:AH&gt;=events!U11)*(shifts!AI:AI&lt;=events!V11))</f>
        <v>1</v>
      </c>
      <c r="X11" t="str">
        <f t="shared" si="3"/>
        <v>event_team_player_1</v>
      </c>
      <c r="Y11">
        <f>COUNTIFS(A$3:A11,"="&amp;A11,K$3:K11,"="&amp;K11)</f>
        <v>1</v>
      </c>
      <c r="Z11" s="20">
        <f>SUMIFS(T$3:T11,L$3:L11,"=Intermission")+SUMIFS(T$3:T11,L$3:L11,"=Timeout")+SUMIFS(T$3:T11,L$3:L11,"=Clockstop")</f>
        <v>0</v>
      </c>
      <c r="AA11">
        <f t="shared" si="4"/>
        <v>0</v>
      </c>
      <c r="AB11" s="26">
        <f t="shared" si="5"/>
        <v>10</v>
      </c>
      <c r="AC11">
        <f t="shared" si="6"/>
        <v>0</v>
      </c>
    </row>
    <row r="12" spans="1:30" x14ac:dyDescent="0.2">
      <c r="A12">
        <v>5</v>
      </c>
      <c r="D12">
        <f t="shared" si="8"/>
        <v>1</v>
      </c>
      <c r="E12">
        <v>17</v>
      </c>
      <c r="F12">
        <v>50</v>
      </c>
      <c r="H12" s="7"/>
      <c r="I12" t="s">
        <v>179</v>
      </c>
      <c r="J12">
        <v>27</v>
      </c>
      <c r="K12" t="s">
        <v>488</v>
      </c>
      <c r="L12" t="s">
        <v>8</v>
      </c>
      <c r="M12" t="s">
        <v>30</v>
      </c>
      <c r="N12" t="s">
        <v>70</v>
      </c>
      <c r="Q12">
        <v>18977</v>
      </c>
      <c r="R12" t="s">
        <v>307</v>
      </c>
      <c r="S12" t="s">
        <v>308</v>
      </c>
      <c r="T12" s="20">
        <f t="shared" si="0"/>
        <v>0</v>
      </c>
      <c r="U12">
        <f t="shared" si="1"/>
        <v>1070</v>
      </c>
      <c r="V12">
        <f t="shared" si="2"/>
        <v>1070</v>
      </c>
      <c r="W12" cm="1">
        <f t="array" ref="W12">_xlfn._xlws.FILTER(shifts!A:A,(shifts!B:B=events!D12)*(shifts!AH:AH&gt;=events!U12)*(shifts!AI:AI&lt;=events!V12))</f>
        <v>1</v>
      </c>
      <c r="X12" t="str">
        <f t="shared" si="3"/>
        <v>event_team_player_2</v>
      </c>
      <c r="Y12">
        <f>COUNTIFS(A$3:A12,"="&amp;A12,K$3:K12,"="&amp;K12)</f>
        <v>2</v>
      </c>
      <c r="Z12" s="20">
        <f>SUMIFS(T$3:T12,L$3:L12,"=Intermission")+SUMIFS(T$3:T12,L$3:L12,"=Timeout")+SUMIFS(T$3:T12,L$3:L12,"=Clockstop")</f>
        <v>0</v>
      </c>
      <c r="AA12">
        <f t="shared" si="4"/>
        <v>0</v>
      </c>
      <c r="AB12" s="26">
        <f t="shared" si="5"/>
        <v>10</v>
      </c>
      <c r="AC12">
        <f t="shared" si="6"/>
        <v>0</v>
      </c>
    </row>
    <row r="13" spans="1:30" x14ac:dyDescent="0.2">
      <c r="A13">
        <v>6</v>
      </c>
      <c r="D13">
        <f t="shared" si="8"/>
        <v>1</v>
      </c>
      <c r="E13">
        <v>17</v>
      </c>
      <c r="F13">
        <v>47</v>
      </c>
      <c r="H13" s="7"/>
      <c r="I13" t="s">
        <v>179</v>
      </c>
      <c r="J13">
        <v>33</v>
      </c>
      <c r="K13" t="s">
        <v>488</v>
      </c>
      <c r="L13" t="s">
        <v>10</v>
      </c>
      <c r="M13" t="s">
        <v>33</v>
      </c>
      <c r="N13" t="s">
        <v>73</v>
      </c>
      <c r="Q13">
        <v>18977</v>
      </c>
      <c r="R13" t="s">
        <v>307</v>
      </c>
      <c r="S13" t="s">
        <v>308</v>
      </c>
      <c r="T13" s="20">
        <f t="shared" si="0"/>
        <v>0</v>
      </c>
      <c r="U13">
        <f t="shared" si="1"/>
        <v>1067</v>
      </c>
      <c r="V13">
        <f t="shared" si="2"/>
        <v>1067</v>
      </c>
      <c r="W13" cm="1">
        <f t="array" ref="W13">_xlfn._xlws.FILTER(shifts!A:A,(shifts!B:B=events!D13)*(shifts!AH:AH&gt;=events!U13)*(shifts!AI:AI&lt;=events!V13))</f>
        <v>1</v>
      </c>
      <c r="X13" t="str">
        <f t="shared" si="3"/>
        <v>event_team_player_1</v>
      </c>
      <c r="Y13">
        <f>COUNTIFS(A$3:A13,"="&amp;A13,K$3:K13,"="&amp;K13)</f>
        <v>1</v>
      </c>
      <c r="Z13" s="20">
        <f>SUMIFS(T$3:T13,L$3:L13,"=Intermission")+SUMIFS(T$3:T13,L$3:L13,"=Timeout")+SUMIFS(T$3:T13,L$3:L13,"=Clockstop")</f>
        <v>0</v>
      </c>
      <c r="AA13">
        <f t="shared" si="4"/>
        <v>0</v>
      </c>
      <c r="AB13" s="26">
        <f t="shared" si="5"/>
        <v>13</v>
      </c>
      <c r="AC13">
        <f t="shared" si="6"/>
        <v>0</v>
      </c>
    </row>
    <row r="14" spans="1:30" x14ac:dyDescent="0.2">
      <c r="A14">
        <v>6</v>
      </c>
      <c r="D14">
        <f t="shared" si="8"/>
        <v>1</v>
      </c>
      <c r="E14">
        <v>17</v>
      </c>
      <c r="F14">
        <v>47</v>
      </c>
      <c r="H14" s="7"/>
      <c r="I14" t="s">
        <v>179</v>
      </c>
      <c r="J14">
        <v>70</v>
      </c>
      <c r="K14" t="s">
        <v>489</v>
      </c>
      <c r="L14" t="s">
        <v>10</v>
      </c>
      <c r="M14" t="s">
        <v>33</v>
      </c>
      <c r="N14" t="s">
        <v>73</v>
      </c>
      <c r="Q14">
        <v>18977</v>
      </c>
      <c r="R14" t="s">
        <v>307</v>
      </c>
      <c r="S14" t="s">
        <v>308</v>
      </c>
      <c r="T14" s="20">
        <f t="shared" si="0"/>
        <v>0</v>
      </c>
      <c r="U14">
        <f t="shared" si="1"/>
        <v>1067</v>
      </c>
      <c r="V14">
        <f t="shared" si="2"/>
        <v>1067</v>
      </c>
      <c r="W14" cm="1">
        <f t="array" ref="W14">_xlfn._xlws.FILTER(shifts!A:A,(shifts!B:B=events!D14)*(shifts!AH:AH&gt;=events!U14)*(shifts!AI:AI&lt;=events!V14))</f>
        <v>1</v>
      </c>
      <c r="X14" t="str">
        <f t="shared" si="3"/>
        <v>opp_team_player_1</v>
      </c>
      <c r="Y14">
        <f>COUNTIFS(A$3:A14,"="&amp;A14,K$3:K14,"="&amp;K14)</f>
        <v>1</v>
      </c>
      <c r="Z14" s="20">
        <f>SUMIFS(T$3:T14,L$3:L14,"=Intermission")+SUMIFS(T$3:T14,L$3:L14,"=Timeout")+SUMIFS(T$3:T14,L$3:L14,"=Clockstop")</f>
        <v>0</v>
      </c>
      <c r="AA14">
        <f t="shared" si="4"/>
        <v>0</v>
      </c>
      <c r="AB14" s="26">
        <f t="shared" si="5"/>
        <v>13</v>
      </c>
      <c r="AC14">
        <f t="shared" si="6"/>
        <v>0</v>
      </c>
    </row>
    <row r="15" spans="1:30" x14ac:dyDescent="0.2">
      <c r="A15">
        <v>7</v>
      </c>
      <c r="D15">
        <f t="shared" si="8"/>
        <v>1</v>
      </c>
      <c r="E15">
        <v>17</v>
      </c>
      <c r="F15">
        <v>45</v>
      </c>
      <c r="H15" s="7"/>
      <c r="I15" t="s">
        <v>178</v>
      </c>
      <c r="J15">
        <v>49</v>
      </c>
      <c r="K15" t="s">
        <v>488</v>
      </c>
      <c r="L15" t="s">
        <v>13</v>
      </c>
      <c r="M15" t="s">
        <v>184</v>
      </c>
      <c r="N15" t="s">
        <v>109</v>
      </c>
      <c r="Q15">
        <v>18977</v>
      </c>
      <c r="R15" t="s">
        <v>307</v>
      </c>
      <c r="S15" t="s">
        <v>308</v>
      </c>
      <c r="T15" s="20">
        <f t="shared" si="0"/>
        <v>0</v>
      </c>
      <c r="U15">
        <f t="shared" si="1"/>
        <v>1065</v>
      </c>
      <c r="V15">
        <f t="shared" si="2"/>
        <v>1065</v>
      </c>
      <c r="W15" cm="1">
        <f t="array" ref="W15">_xlfn._xlws.FILTER(shifts!A:A,(shifts!B:B=events!D15)*(shifts!AH:AH&gt;=events!U15)*(shifts!AI:AI&lt;=events!V15))</f>
        <v>1</v>
      </c>
      <c r="X15" t="str">
        <f t="shared" si="3"/>
        <v>event_team_player_1</v>
      </c>
      <c r="Y15">
        <f>COUNTIFS(A$3:A15,"="&amp;A15,K$3:K15,"="&amp;K15)</f>
        <v>1</v>
      </c>
      <c r="Z15" s="20">
        <f>SUMIFS(T$3:T15,L$3:L15,"=Intermission")+SUMIFS(T$3:T15,L$3:L15,"=Timeout")+SUMIFS(T$3:T15,L$3:L15,"=Clockstop")</f>
        <v>0</v>
      </c>
      <c r="AA15">
        <f t="shared" si="4"/>
        <v>0</v>
      </c>
      <c r="AB15" s="26">
        <f t="shared" si="5"/>
        <v>15</v>
      </c>
      <c r="AC15">
        <f t="shared" si="6"/>
        <v>0</v>
      </c>
    </row>
    <row r="16" spans="1:30" x14ac:dyDescent="0.2">
      <c r="A16">
        <v>8</v>
      </c>
      <c r="D16">
        <f t="shared" si="8"/>
        <v>1</v>
      </c>
      <c r="E16">
        <v>17</v>
      </c>
      <c r="F16">
        <v>45</v>
      </c>
      <c r="G16">
        <v>17</v>
      </c>
      <c r="H16" s="7">
        <v>23</v>
      </c>
      <c r="I16" t="s">
        <v>178</v>
      </c>
      <c r="J16">
        <v>49</v>
      </c>
      <c r="K16" t="s">
        <v>488</v>
      </c>
      <c r="L16" t="s">
        <v>282</v>
      </c>
      <c r="Q16">
        <v>18977</v>
      </c>
      <c r="R16" t="s">
        <v>307</v>
      </c>
      <c r="S16" t="s">
        <v>308</v>
      </c>
      <c r="T16" s="20">
        <f t="shared" si="0"/>
        <v>22</v>
      </c>
      <c r="U16">
        <f t="shared" si="1"/>
        <v>1065</v>
      </c>
      <c r="V16">
        <f t="shared" si="2"/>
        <v>1043</v>
      </c>
      <c r="W16" cm="1">
        <f t="array" ref="W16">_xlfn._xlws.FILTER(shifts!A:A,(shifts!B:B=events!D16)*(shifts!AH:AH&gt;=events!U16)*(shifts!AI:AI&lt;=events!V16))</f>
        <v>1</v>
      </c>
      <c r="X16" t="str">
        <f t="shared" si="3"/>
        <v>event_team_player_1</v>
      </c>
      <c r="Y16">
        <f>COUNTIFS(A$3:A16,"="&amp;A16,K$3:K16,"="&amp;K16)</f>
        <v>1</v>
      </c>
      <c r="Z16" s="20">
        <f>SUMIFS(T$3:T16,L$3:L16,"=Intermission")+SUMIFS(T$3:T16,L$3:L16,"=Timeout")+SUMIFS(T$3:T16,L$3:L16,"=Clockstop")</f>
        <v>0</v>
      </c>
      <c r="AA16">
        <f t="shared" si="4"/>
        <v>0</v>
      </c>
      <c r="AB16" s="26">
        <f t="shared" si="5"/>
        <v>15</v>
      </c>
      <c r="AC16">
        <f t="shared" si="6"/>
        <v>0</v>
      </c>
    </row>
    <row r="17" spans="1:29" x14ac:dyDescent="0.2">
      <c r="A17">
        <v>9</v>
      </c>
      <c r="D17">
        <f>IF(L17="Intermission",D16+1,D16)</f>
        <v>1</v>
      </c>
      <c r="E17">
        <v>17</v>
      </c>
      <c r="F17">
        <v>23</v>
      </c>
      <c r="H17" s="7"/>
      <c r="I17" t="s">
        <v>178</v>
      </c>
      <c r="J17">
        <v>70</v>
      </c>
      <c r="K17" t="s">
        <v>488</v>
      </c>
      <c r="L17" t="s">
        <v>6</v>
      </c>
      <c r="M17" t="s">
        <v>6</v>
      </c>
      <c r="Q17">
        <v>18977</v>
      </c>
      <c r="R17" t="s">
        <v>307</v>
      </c>
      <c r="S17" t="s">
        <v>308</v>
      </c>
      <c r="T17" s="20">
        <f t="shared" si="0"/>
        <v>0</v>
      </c>
      <c r="U17">
        <f t="shared" si="1"/>
        <v>1043</v>
      </c>
      <c r="V17">
        <f t="shared" si="2"/>
        <v>1043</v>
      </c>
      <c r="W17" cm="1">
        <f t="array" ref="W17">_xlfn._xlws.FILTER(shifts!A:A,(shifts!B:B=events!D17)*(shifts!AH:AH&gt;=events!U17)*(shifts!AI:AI&lt;=events!V17))</f>
        <v>1</v>
      </c>
      <c r="X17" t="str">
        <f t="shared" si="3"/>
        <v>event_team_player_1</v>
      </c>
      <c r="Y17">
        <f>COUNTIFS(A$3:A17,"="&amp;A17,K$3:K17,"="&amp;K17)</f>
        <v>1</v>
      </c>
      <c r="Z17" s="20">
        <f>SUMIFS(T$3:T17,L$3:L17,"=Intermission")+SUMIFS(T$3:T17,L$3:L17,"=Timeout")+SUMIFS(T$3:T17,L$3:L17,"=Clockstop")</f>
        <v>0</v>
      </c>
      <c r="AA17">
        <f t="shared" si="4"/>
        <v>0</v>
      </c>
      <c r="AB17" s="26">
        <f t="shared" si="5"/>
        <v>37</v>
      </c>
      <c r="AC17">
        <f t="shared" si="6"/>
        <v>0</v>
      </c>
    </row>
    <row r="18" spans="1:29" x14ac:dyDescent="0.2">
      <c r="A18">
        <v>9</v>
      </c>
      <c r="D18">
        <f t="shared" si="8"/>
        <v>1</v>
      </c>
      <c r="E18">
        <v>17</v>
      </c>
      <c r="F18">
        <v>23</v>
      </c>
      <c r="H18" s="7"/>
      <c r="I18" t="s">
        <v>178</v>
      </c>
      <c r="J18">
        <v>11</v>
      </c>
      <c r="K18" t="s">
        <v>489</v>
      </c>
      <c r="L18" t="s">
        <v>6</v>
      </c>
      <c r="M18" t="s">
        <v>6</v>
      </c>
      <c r="Q18">
        <v>18977</v>
      </c>
      <c r="R18" t="s">
        <v>307</v>
      </c>
      <c r="S18" t="s">
        <v>308</v>
      </c>
      <c r="T18" s="20">
        <f t="shared" si="0"/>
        <v>0</v>
      </c>
      <c r="U18">
        <f t="shared" si="1"/>
        <v>1043</v>
      </c>
      <c r="V18">
        <f t="shared" si="2"/>
        <v>1043</v>
      </c>
      <c r="W18" cm="1">
        <f t="array" ref="W18">_xlfn._xlws.FILTER(shifts!A:A,(shifts!B:B=events!D18)*(shifts!AH:AH&gt;=events!U18)*(shifts!AI:AI&lt;=events!V18))</f>
        <v>1</v>
      </c>
      <c r="X18" t="str">
        <f t="shared" si="3"/>
        <v>opp_team_player_1</v>
      </c>
      <c r="Y18">
        <f>COUNTIFS(A$3:A18,"="&amp;A18,K$3:K18,"="&amp;K18)</f>
        <v>1</v>
      </c>
      <c r="Z18" s="20">
        <f>SUMIFS(T$3:T18,L$3:L18,"=Intermission")+SUMIFS(T$3:T18,L$3:L18,"=Timeout")+SUMIFS(T$3:T18,L$3:L18,"=Clockstop")</f>
        <v>0</v>
      </c>
      <c r="AA18">
        <f t="shared" si="4"/>
        <v>0</v>
      </c>
      <c r="AB18" s="26">
        <f t="shared" si="5"/>
        <v>37</v>
      </c>
      <c r="AC18">
        <f t="shared" si="6"/>
        <v>0</v>
      </c>
    </row>
    <row r="19" spans="1:29" x14ac:dyDescent="0.2">
      <c r="A19">
        <v>10</v>
      </c>
      <c r="D19">
        <f t="shared" si="8"/>
        <v>1</v>
      </c>
      <c r="E19">
        <v>17</v>
      </c>
      <c r="F19">
        <v>22</v>
      </c>
      <c r="G19">
        <v>17</v>
      </c>
      <c r="H19" s="7">
        <v>20</v>
      </c>
      <c r="I19" t="s">
        <v>178</v>
      </c>
      <c r="J19">
        <v>70</v>
      </c>
      <c r="K19" t="s">
        <v>488</v>
      </c>
      <c r="L19" t="s">
        <v>15</v>
      </c>
      <c r="Q19">
        <v>18977</v>
      </c>
      <c r="R19" t="s">
        <v>307</v>
      </c>
      <c r="S19" t="s">
        <v>308</v>
      </c>
      <c r="T19" s="20">
        <f t="shared" si="0"/>
        <v>2</v>
      </c>
      <c r="U19">
        <f t="shared" si="1"/>
        <v>1042</v>
      </c>
      <c r="V19">
        <f t="shared" si="2"/>
        <v>1040</v>
      </c>
      <c r="W19" cm="1">
        <f t="array" ref="W19">_xlfn._xlws.FILTER(shifts!A:A,(shifts!B:B=events!D19)*(shifts!AH:AH&gt;=events!U19)*(shifts!AI:AI&lt;=events!V19))</f>
        <v>1</v>
      </c>
      <c r="X19" t="str">
        <f t="shared" si="3"/>
        <v>event_team_player_1</v>
      </c>
      <c r="Y19">
        <f>COUNTIFS(A$3:A19,"="&amp;A19,K$3:K19,"="&amp;K19)</f>
        <v>1</v>
      </c>
      <c r="Z19" s="20">
        <f>SUMIFS(T$3:T19,L$3:L19,"=Intermission")+SUMIFS(T$3:T19,L$3:L19,"=Timeout")+SUMIFS(T$3:T19,L$3:L19,"=Clockstop")</f>
        <v>0</v>
      </c>
      <c r="AA19">
        <f t="shared" si="4"/>
        <v>0</v>
      </c>
      <c r="AB19" s="26">
        <f t="shared" si="5"/>
        <v>38</v>
      </c>
      <c r="AC19">
        <f t="shared" si="6"/>
        <v>0</v>
      </c>
    </row>
    <row r="20" spans="1:29" x14ac:dyDescent="0.2">
      <c r="A20">
        <v>11</v>
      </c>
      <c r="D20">
        <f t="shared" si="8"/>
        <v>1</v>
      </c>
      <c r="E20">
        <v>17</v>
      </c>
      <c r="F20">
        <v>20</v>
      </c>
      <c r="H20" s="7"/>
      <c r="I20" t="s">
        <v>178</v>
      </c>
      <c r="J20">
        <v>70</v>
      </c>
      <c r="K20" t="s">
        <v>488</v>
      </c>
      <c r="L20" t="s">
        <v>8</v>
      </c>
      <c r="M20" t="s">
        <v>29</v>
      </c>
      <c r="N20" t="s">
        <v>69</v>
      </c>
      <c r="Q20">
        <v>18977</v>
      </c>
      <c r="R20" t="s">
        <v>307</v>
      </c>
      <c r="S20" t="s">
        <v>308</v>
      </c>
      <c r="T20" s="20">
        <f t="shared" si="0"/>
        <v>0</v>
      </c>
      <c r="U20">
        <f t="shared" si="1"/>
        <v>1040</v>
      </c>
      <c r="V20">
        <f t="shared" si="2"/>
        <v>1040</v>
      </c>
      <c r="W20" cm="1">
        <f t="array" ref="W20">_xlfn._xlws.FILTER(shifts!A:A,(shifts!B:B=events!D20)*(shifts!AH:AH&gt;=events!U20)*(shifts!AI:AI&lt;=events!V20))</f>
        <v>1</v>
      </c>
      <c r="X20" t="str">
        <f t="shared" si="3"/>
        <v>event_team_player_1</v>
      </c>
      <c r="Y20">
        <f>COUNTIFS(A$3:A20,"="&amp;A20,K$3:K20,"="&amp;K20)</f>
        <v>1</v>
      </c>
      <c r="Z20" s="20">
        <f>SUMIFS(T$3:T20,L$3:L20,"=Intermission")+SUMIFS(T$3:T20,L$3:L20,"=Timeout")+SUMIFS(T$3:T20,L$3:L20,"=Clockstop")</f>
        <v>0</v>
      </c>
      <c r="AA20">
        <f t="shared" si="4"/>
        <v>0</v>
      </c>
      <c r="AB20" s="26">
        <f t="shared" si="5"/>
        <v>40</v>
      </c>
      <c r="AC20">
        <f t="shared" si="6"/>
        <v>0</v>
      </c>
    </row>
    <row r="21" spans="1:29" x14ac:dyDescent="0.2">
      <c r="A21">
        <v>11</v>
      </c>
      <c r="D21">
        <f t="shared" si="8"/>
        <v>1</v>
      </c>
      <c r="E21">
        <v>17</v>
      </c>
      <c r="F21">
        <v>20</v>
      </c>
      <c r="H21" s="7"/>
      <c r="I21" t="s">
        <v>178</v>
      </c>
      <c r="J21">
        <v>87</v>
      </c>
      <c r="K21" t="s">
        <v>488</v>
      </c>
      <c r="L21" t="s">
        <v>8</v>
      </c>
      <c r="M21" t="s">
        <v>29</v>
      </c>
      <c r="N21" t="s">
        <v>69</v>
      </c>
      <c r="Q21">
        <v>18977</v>
      </c>
      <c r="R21" t="s">
        <v>307</v>
      </c>
      <c r="S21" t="s">
        <v>308</v>
      </c>
      <c r="T21" s="20">
        <f t="shared" si="0"/>
        <v>0</v>
      </c>
      <c r="U21">
        <f t="shared" si="1"/>
        <v>1040</v>
      </c>
      <c r="V21">
        <f t="shared" si="2"/>
        <v>1040</v>
      </c>
      <c r="W21" cm="1">
        <f t="array" ref="W21">_xlfn._xlws.FILTER(shifts!A:A,(shifts!B:B=events!D21)*(shifts!AH:AH&gt;=events!U21)*(shifts!AI:AI&lt;=events!V21))</f>
        <v>1</v>
      </c>
      <c r="X21" t="str">
        <f t="shared" si="3"/>
        <v>event_team_player_2</v>
      </c>
      <c r="Y21">
        <f>COUNTIFS(A$3:A21,"="&amp;A21,K$3:K21,"="&amp;K21)</f>
        <v>2</v>
      </c>
      <c r="Z21" s="20">
        <f>SUMIFS(T$3:T21,L$3:L21,"=Intermission")+SUMIFS(T$3:T21,L$3:L21,"=Timeout")+SUMIFS(T$3:T21,L$3:L21,"=Clockstop")</f>
        <v>0</v>
      </c>
      <c r="AA21">
        <f t="shared" si="4"/>
        <v>0</v>
      </c>
      <c r="AB21" s="26">
        <f t="shared" si="5"/>
        <v>40</v>
      </c>
      <c r="AC21">
        <f t="shared" si="6"/>
        <v>0</v>
      </c>
    </row>
    <row r="22" spans="1:29" x14ac:dyDescent="0.2">
      <c r="A22">
        <v>12</v>
      </c>
      <c r="D22">
        <f t="shared" si="8"/>
        <v>1</v>
      </c>
      <c r="E22">
        <v>17</v>
      </c>
      <c r="F22">
        <v>20</v>
      </c>
      <c r="G22">
        <v>17</v>
      </c>
      <c r="H22" s="7">
        <v>17</v>
      </c>
      <c r="I22" t="s">
        <v>178</v>
      </c>
      <c r="J22">
        <v>87</v>
      </c>
      <c r="K22" t="s">
        <v>488</v>
      </c>
      <c r="L22" t="s">
        <v>15</v>
      </c>
      <c r="Q22">
        <v>18977</v>
      </c>
      <c r="R22" t="s">
        <v>307</v>
      </c>
      <c r="S22" t="s">
        <v>308</v>
      </c>
      <c r="T22" s="20">
        <f t="shared" si="0"/>
        <v>3</v>
      </c>
      <c r="U22">
        <f t="shared" si="1"/>
        <v>1040</v>
      </c>
      <c r="V22">
        <f t="shared" si="2"/>
        <v>1037</v>
      </c>
      <c r="W22" cm="1">
        <f t="array" ref="W22">_xlfn._xlws.FILTER(shifts!A:A,(shifts!B:B=events!D22)*(shifts!AH:AH&gt;=events!U22)*(shifts!AI:AI&lt;=events!V22))</f>
        <v>1</v>
      </c>
      <c r="X22" t="str">
        <f t="shared" si="3"/>
        <v>event_team_player_1</v>
      </c>
      <c r="Y22">
        <f>COUNTIFS(A$3:A22,"="&amp;A22,K$3:K22,"="&amp;K22)</f>
        <v>1</v>
      </c>
      <c r="Z22" s="20">
        <f>SUMIFS(T$3:T22,L$3:L22,"=Intermission")+SUMIFS(T$3:T22,L$3:L22,"=Timeout")+SUMIFS(T$3:T22,L$3:L22,"=Clockstop")</f>
        <v>0</v>
      </c>
      <c r="AA22">
        <f t="shared" si="4"/>
        <v>0</v>
      </c>
      <c r="AB22" s="26">
        <f t="shared" si="5"/>
        <v>40</v>
      </c>
      <c r="AC22">
        <f t="shared" si="6"/>
        <v>0</v>
      </c>
    </row>
    <row r="23" spans="1:29" x14ac:dyDescent="0.2">
      <c r="A23">
        <v>13</v>
      </c>
      <c r="D23">
        <f t="shared" si="8"/>
        <v>1</v>
      </c>
      <c r="E23">
        <v>17</v>
      </c>
      <c r="F23">
        <v>17</v>
      </c>
      <c r="H23" s="7"/>
      <c r="I23" t="s">
        <v>178</v>
      </c>
      <c r="J23">
        <v>87</v>
      </c>
      <c r="K23" t="s">
        <v>488</v>
      </c>
      <c r="L23" t="s">
        <v>8</v>
      </c>
      <c r="M23" t="s">
        <v>30</v>
      </c>
      <c r="N23" t="s">
        <v>67</v>
      </c>
      <c r="Q23">
        <v>18977</v>
      </c>
      <c r="R23" t="s">
        <v>307</v>
      </c>
      <c r="S23" t="s">
        <v>308</v>
      </c>
      <c r="T23" s="20">
        <f t="shared" si="0"/>
        <v>0</v>
      </c>
      <c r="U23">
        <f t="shared" si="1"/>
        <v>1037</v>
      </c>
      <c r="V23">
        <f t="shared" si="2"/>
        <v>1037</v>
      </c>
      <c r="W23" cm="1">
        <f t="array" ref="W23">_xlfn._xlws.FILTER(shifts!A:A,(shifts!B:B=events!D23)*(shifts!AH:AH&gt;=events!U23)*(shifts!AI:AI&lt;=events!V23))</f>
        <v>1</v>
      </c>
      <c r="X23" t="str">
        <f t="shared" si="3"/>
        <v>event_team_player_1</v>
      </c>
      <c r="Y23">
        <f>COUNTIFS(A$3:A23,"="&amp;A23,K$3:K23,"="&amp;K23)</f>
        <v>1</v>
      </c>
      <c r="Z23" s="20">
        <f>SUMIFS(T$3:T23,L$3:L23,"=Intermission")+SUMIFS(T$3:T23,L$3:L23,"=Timeout")+SUMIFS(T$3:T23,L$3:L23,"=Clockstop")</f>
        <v>0</v>
      </c>
      <c r="AA23">
        <f t="shared" si="4"/>
        <v>0</v>
      </c>
      <c r="AB23" s="26">
        <f t="shared" si="5"/>
        <v>43</v>
      </c>
      <c r="AC23">
        <f t="shared" si="6"/>
        <v>0</v>
      </c>
    </row>
    <row r="24" spans="1:29" x14ac:dyDescent="0.2">
      <c r="A24">
        <v>13</v>
      </c>
      <c r="D24">
        <f t="shared" si="8"/>
        <v>1</v>
      </c>
      <c r="E24">
        <v>17</v>
      </c>
      <c r="F24">
        <v>17</v>
      </c>
      <c r="H24" s="7"/>
      <c r="I24" t="s">
        <v>178</v>
      </c>
      <c r="J24">
        <v>70</v>
      </c>
      <c r="K24" t="s">
        <v>488</v>
      </c>
      <c r="L24" t="s">
        <v>8</v>
      </c>
      <c r="M24" t="s">
        <v>30</v>
      </c>
      <c r="N24" t="s">
        <v>67</v>
      </c>
      <c r="Q24">
        <v>18977</v>
      </c>
      <c r="R24" t="s">
        <v>307</v>
      </c>
      <c r="S24" t="s">
        <v>308</v>
      </c>
      <c r="T24" s="20">
        <f t="shared" si="0"/>
        <v>0</v>
      </c>
      <c r="U24">
        <f t="shared" si="1"/>
        <v>1037</v>
      </c>
      <c r="V24">
        <f t="shared" si="2"/>
        <v>1037</v>
      </c>
      <c r="W24" cm="1">
        <f t="array" ref="W24">_xlfn._xlws.FILTER(shifts!A:A,(shifts!B:B=events!D24)*(shifts!AH:AH&gt;=events!U24)*(shifts!AI:AI&lt;=events!V24))</f>
        <v>1</v>
      </c>
      <c r="X24" t="str">
        <f t="shared" si="3"/>
        <v>event_team_player_2</v>
      </c>
      <c r="Y24">
        <f>COUNTIFS(A$3:A24,"="&amp;A24,K$3:K24,"="&amp;K24)</f>
        <v>2</v>
      </c>
      <c r="Z24" s="20">
        <f>SUMIFS(T$3:T24,L$3:L24,"=Intermission")+SUMIFS(T$3:T24,L$3:L24,"=Timeout")+SUMIFS(T$3:T24,L$3:L24,"=Clockstop")</f>
        <v>0</v>
      </c>
      <c r="AA24">
        <f t="shared" si="4"/>
        <v>0</v>
      </c>
      <c r="AB24" s="26">
        <f t="shared" si="5"/>
        <v>43</v>
      </c>
      <c r="AC24">
        <f t="shared" si="6"/>
        <v>0</v>
      </c>
    </row>
    <row r="25" spans="1:29" x14ac:dyDescent="0.2">
      <c r="A25">
        <v>14</v>
      </c>
      <c r="D25">
        <f t="shared" si="8"/>
        <v>1</v>
      </c>
      <c r="E25">
        <v>17</v>
      </c>
      <c r="F25">
        <v>17</v>
      </c>
      <c r="H25" s="7"/>
      <c r="I25" t="s">
        <v>178</v>
      </c>
      <c r="J25">
        <v>87</v>
      </c>
      <c r="K25" t="s">
        <v>488</v>
      </c>
      <c r="L25" t="s">
        <v>277</v>
      </c>
      <c r="M25" t="s">
        <v>36</v>
      </c>
      <c r="N25" t="s">
        <v>88</v>
      </c>
      <c r="Q25">
        <v>18977</v>
      </c>
      <c r="R25" t="s">
        <v>307</v>
      </c>
      <c r="S25" t="s">
        <v>308</v>
      </c>
      <c r="T25" s="20">
        <f t="shared" si="0"/>
        <v>0</v>
      </c>
      <c r="U25">
        <f t="shared" si="1"/>
        <v>1037</v>
      </c>
      <c r="V25">
        <f t="shared" si="2"/>
        <v>1037</v>
      </c>
      <c r="W25" cm="1">
        <f t="array" ref="W25">_xlfn._xlws.FILTER(shifts!A:A,(shifts!B:B=events!D25)*(shifts!AH:AH&gt;=events!U25)*(shifts!AI:AI&lt;=events!V25))</f>
        <v>1</v>
      </c>
      <c r="X25" t="str">
        <f t="shared" si="3"/>
        <v>event_team_player_1</v>
      </c>
      <c r="Y25">
        <f>COUNTIFS(A$3:A25,"="&amp;A25,K$3:K25,"="&amp;K25)</f>
        <v>1</v>
      </c>
      <c r="Z25" s="20">
        <f>SUMIFS(T$3:T25,L$3:L25,"=Intermission")+SUMIFS(T$3:T25,L$3:L25,"=Timeout")+SUMIFS(T$3:T25,L$3:L25,"=Clockstop")</f>
        <v>0</v>
      </c>
      <c r="AA25">
        <f t="shared" si="4"/>
        <v>0</v>
      </c>
      <c r="AB25" s="26">
        <f t="shared" si="5"/>
        <v>43</v>
      </c>
      <c r="AC25">
        <f t="shared" si="6"/>
        <v>0</v>
      </c>
    </row>
    <row r="26" spans="1:29" x14ac:dyDescent="0.2">
      <c r="A26">
        <v>14</v>
      </c>
      <c r="D26">
        <f t="shared" si="8"/>
        <v>1</v>
      </c>
      <c r="E26">
        <v>17</v>
      </c>
      <c r="F26">
        <v>17</v>
      </c>
      <c r="H26" s="7"/>
      <c r="I26" t="s">
        <v>178</v>
      </c>
      <c r="J26">
        <v>70</v>
      </c>
      <c r="K26" t="s">
        <v>488</v>
      </c>
      <c r="L26" t="s">
        <v>277</v>
      </c>
      <c r="M26" t="s">
        <v>36</v>
      </c>
      <c r="N26" t="s">
        <v>88</v>
      </c>
      <c r="Q26">
        <v>18977</v>
      </c>
      <c r="R26" t="s">
        <v>307</v>
      </c>
      <c r="S26" t="s">
        <v>308</v>
      </c>
      <c r="T26" s="20">
        <f t="shared" si="0"/>
        <v>0</v>
      </c>
      <c r="U26">
        <f t="shared" si="1"/>
        <v>1037</v>
      </c>
      <c r="V26">
        <f t="shared" si="2"/>
        <v>1037</v>
      </c>
      <c r="W26" cm="1">
        <f t="array" ref="W26">_xlfn._xlws.FILTER(shifts!A:A,(shifts!B:B=events!D26)*(shifts!AH:AH&gt;=events!U26)*(shifts!AI:AI&lt;=events!V26))</f>
        <v>1</v>
      </c>
      <c r="X26" t="str">
        <f t="shared" si="3"/>
        <v>event_team_player_2</v>
      </c>
      <c r="Y26">
        <f>COUNTIFS(A$3:A26,"="&amp;A26,K$3:K26,"="&amp;K26)</f>
        <v>2</v>
      </c>
      <c r="Z26" s="20">
        <f>SUMIFS(T$3:T26,L$3:L26,"=Intermission")+SUMIFS(T$3:T26,L$3:L26,"=Timeout")+SUMIFS(T$3:T26,L$3:L26,"=Clockstop")</f>
        <v>0</v>
      </c>
      <c r="AA26">
        <f t="shared" si="4"/>
        <v>0</v>
      </c>
      <c r="AB26" s="26">
        <f t="shared" si="5"/>
        <v>43</v>
      </c>
      <c r="AC26">
        <f t="shared" si="6"/>
        <v>0</v>
      </c>
    </row>
    <row r="27" spans="1:29" x14ac:dyDescent="0.2">
      <c r="A27">
        <v>15</v>
      </c>
      <c r="B27">
        <v>1</v>
      </c>
      <c r="D27">
        <f t="shared" si="8"/>
        <v>1</v>
      </c>
      <c r="E27">
        <v>17</v>
      </c>
      <c r="F27">
        <v>14</v>
      </c>
      <c r="H27" s="7"/>
      <c r="I27" t="s">
        <v>179</v>
      </c>
      <c r="J27">
        <v>11</v>
      </c>
      <c r="K27" t="s">
        <v>488</v>
      </c>
      <c r="L27" t="s">
        <v>10</v>
      </c>
      <c r="M27" t="s">
        <v>34</v>
      </c>
      <c r="N27" t="s">
        <v>82</v>
      </c>
      <c r="Q27">
        <v>18977</v>
      </c>
      <c r="R27" t="s">
        <v>307</v>
      </c>
      <c r="S27" t="s">
        <v>308</v>
      </c>
      <c r="T27" s="20">
        <f t="shared" si="0"/>
        <v>0</v>
      </c>
      <c r="U27">
        <f t="shared" si="1"/>
        <v>1034</v>
      </c>
      <c r="V27">
        <f t="shared" si="2"/>
        <v>1034</v>
      </c>
      <c r="W27" cm="1">
        <f t="array" ref="W27">_xlfn._xlws.FILTER(shifts!A:A,(shifts!B:B=events!D27)*(shifts!AH:AH&gt;=events!U27)*(shifts!AI:AI&lt;=events!V27))</f>
        <v>1</v>
      </c>
      <c r="X27" t="str">
        <f t="shared" si="3"/>
        <v>event_team_player_1</v>
      </c>
      <c r="Y27">
        <f>COUNTIFS(A$3:A27,"="&amp;A27,K$3:K27,"="&amp;K27)</f>
        <v>1</v>
      </c>
      <c r="Z27" s="20">
        <f>SUMIFS(T$3:T27,L$3:L27,"=Intermission")+SUMIFS(T$3:T27,L$3:L27,"=Timeout")+SUMIFS(T$3:T27,L$3:L27,"=Clockstop")</f>
        <v>0</v>
      </c>
      <c r="AA27">
        <f t="shared" si="4"/>
        <v>0</v>
      </c>
      <c r="AB27" s="26">
        <f t="shared" si="5"/>
        <v>46</v>
      </c>
      <c r="AC27">
        <f t="shared" si="6"/>
        <v>0</v>
      </c>
    </row>
    <row r="28" spans="1:29" x14ac:dyDescent="0.2">
      <c r="A28">
        <v>15</v>
      </c>
      <c r="B28">
        <v>1</v>
      </c>
      <c r="D28">
        <f t="shared" si="8"/>
        <v>1</v>
      </c>
      <c r="E28">
        <v>17</v>
      </c>
      <c r="F28">
        <v>14</v>
      </c>
      <c r="H28" s="7"/>
      <c r="I28" t="s">
        <v>179</v>
      </c>
      <c r="J28">
        <v>75</v>
      </c>
      <c r="K28" t="s">
        <v>489</v>
      </c>
      <c r="L28" t="s">
        <v>10</v>
      </c>
      <c r="M28" t="s">
        <v>34</v>
      </c>
      <c r="N28" t="s">
        <v>82</v>
      </c>
      <c r="Q28">
        <v>18977</v>
      </c>
      <c r="R28" t="s">
        <v>307</v>
      </c>
      <c r="S28" t="s">
        <v>308</v>
      </c>
      <c r="T28" s="20">
        <f t="shared" si="0"/>
        <v>0</v>
      </c>
      <c r="U28">
        <f t="shared" si="1"/>
        <v>1034</v>
      </c>
      <c r="V28">
        <f t="shared" si="2"/>
        <v>1034</v>
      </c>
      <c r="W28" cm="1">
        <f t="array" ref="W28">_xlfn._xlws.FILTER(shifts!A:A,(shifts!B:B=events!D28)*(shifts!AH:AH&gt;=events!U28)*(shifts!AI:AI&lt;=events!V28))</f>
        <v>1</v>
      </c>
      <c r="X28" t="str">
        <f t="shared" si="3"/>
        <v>opp_team_player_1</v>
      </c>
      <c r="Y28">
        <f>COUNTIFS(A$3:A28,"="&amp;A28,K$3:K28,"="&amp;K28)</f>
        <v>1</v>
      </c>
      <c r="Z28" s="20">
        <f>SUMIFS(T$3:T28,L$3:L28,"=Intermission")+SUMIFS(T$3:T28,L$3:L28,"=Timeout")+SUMIFS(T$3:T28,L$3:L28,"=Clockstop")</f>
        <v>0</v>
      </c>
      <c r="AA28">
        <f t="shared" si="4"/>
        <v>0</v>
      </c>
      <c r="AB28" s="26">
        <f t="shared" si="5"/>
        <v>46</v>
      </c>
      <c r="AC28">
        <f t="shared" si="6"/>
        <v>0</v>
      </c>
    </row>
    <row r="29" spans="1:29" x14ac:dyDescent="0.2">
      <c r="A29">
        <v>16</v>
      </c>
      <c r="B29">
        <v>1</v>
      </c>
      <c r="D29">
        <f t="shared" si="8"/>
        <v>1</v>
      </c>
      <c r="E29">
        <v>17</v>
      </c>
      <c r="F29">
        <v>13</v>
      </c>
      <c r="G29">
        <v>17</v>
      </c>
      <c r="H29" s="7">
        <v>12</v>
      </c>
      <c r="I29" t="s">
        <v>179</v>
      </c>
      <c r="J29">
        <v>11</v>
      </c>
      <c r="K29" t="s">
        <v>488</v>
      </c>
      <c r="L29" t="s">
        <v>15</v>
      </c>
      <c r="Q29">
        <v>18977</v>
      </c>
      <c r="R29" t="s">
        <v>307</v>
      </c>
      <c r="S29" t="s">
        <v>308</v>
      </c>
      <c r="T29" s="20">
        <f t="shared" si="0"/>
        <v>1</v>
      </c>
      <c r="U29">
        <f t="shared" si="1"/>
        <v>1033</v>
      </c>
      <c r="V29">
        <f t="shared" si="2"/>
        <v>1032</v>
      </c>
      <c r="W29" cm="1">
        <f t="array" ref="W29">_xlfn._xlws.FILTER(shifts!A:A,(shifts!B:B=events!D29)*(shifts!AH:AH&gt;=events!U29)*(shifts!AI:AI&lt;=events!V29))</f>
        <v>1</v>
      </c>
      <c r="X29" t="str">
        <f t="shared" si="3"/>
        <v>event_team_player_1</v>
      </c>
      <c r="Y29">
        <f>COUNTIFS(A$3:A29,"="&amp;A29,K$3:K29,"="&amp;K29)</f>
        <v>1</v>
      </c>
      <c r="Z29" s="20">
        <f>SUMIFS(T$3:T29,L$3:L29,"=Intermission")+SUMIFS(T$3:T29,L$3:L29,"=Timeout")+SUMIFS(T$3:T29,L$3:L29,"=Clockstop")</f>
        <v>0</v>
      </c>
      <c r="AA29">
        <f t="shared" si="4"/>
        <v>0</v>
      </c>
      <c r="AB29" s="26">
        <f t="shared" si="5"/>
        <v>47</v>
      </c>
      <c r="AC29">
        <f t="shared" si="6"/>
        <v>0</v>
      </c>
    </row>
    <row r="30" spans="1:29" x14ac:dyDescent="0.2">
      <c r="A30">
        <v>17</v>
      </c>
      <c r="B30">
        <v>1</v>
      </c>
      <c r="C30" s="7">
        <v>1</v>
      </c>
      <c r="D30">
        <f t="shared" si="8"/>
        <v>1</v>
      </c>
      <c r="E30">
        <v>17</v>
      </c>
      <c r="F30">
        <v>12</v>
      </c>
      <c r="G30">
        <v>17</v>
      </c>
      <c r="H30" s="7">
        <v>10</v>
      </c>
      <c r="I30" t="s">
        <v>179</v>
      </c>
      <c r="J30">
        <v>11</v>
      </c>
      <c r="K30" t="s">
        <v>488</v>
      </c>
      <c r="L30" t="s">
        <v>277</v>
      </c>
      <c r="M30" t="s">
        <v>35</v>
      </c>
      <c r="N30" t="s">
        <v>87</v>
      </c>
      <c r="Q30">
        <v>18977</v>
      </c>
      <c r="R30" t="s">
        <v>307</v>
      </c>
      <c r="S30" t="s">
        <v>308</v>
      </c>
      <c r="T30" s="20">
        <f t="shared" si="0"/>
        <v>2</v>
      </c>
      <c r="U30">
        <f t="shared" si="1"/>
        <v>1032</v>
      </c>
      <c r="V30">
        <f t="shared" si="2"/>
        <v>1030</v>
      </c>
      <c r="W30" cm="1">
        <f t="array" ref="W30">_xlfn._xlws.FILTER(shifts!A:A,(shifts!B:B=events!D30)*(shifts!AH:AH&gt;=events!U30)*(shifts!AI:AI&lt;=events!V30))</f>
        <v>1</v>
      </c>
      <c r="X30" t="str">
        <f t="shared" si="3"/>
        <v>event_team_player_1</v>
      </c>
      <c r="Y30">
        <f>COUNTIFS(A$3:A30,"="&amp;A30,K$3:K30,"="&amp;K30)</f>
        <v>1</v>
      </c>
      <c r="Z30" s="20">
        <f>SUMIFS(T$3:T30,L$3:L30,"=Intermission")+SUMIFS(T$3:T30,L$3:L30,"=Timeout")+SUMIFS(T$3:T30,L$3:L30,"=Clockstop")</f>
        <v>0</v>
      </c>
      <c r="AA30">
        <f t="shared" si="4"/>
        <v>0</v>
      </c>
      <c r="AB30" s="26">
        <f t="shared" si="5"/>
        <v>48</v>
      </c>
      <c r="AC30">
        <f t="shared" si="6"/>
        <v>0</v>
      </c>
    </row>
    <row r="31" spans="1:29" x14ac:dyDescent="0.2">
      <c r="A31">
        <v>17</v>
      </c>
      <c r="B31">
        <v>1</v>
      </c>
      <c r="C31" s="7">
        <v>1</v>
      </c>
      <c r="D31">
        <f t="shared" si="8"/>
        <v>1</v>
      </c>
      <c r="E31">
        <v>17</v>
      </c>
      <c r="F31">
        <v>12</v>
      </c>
      <c r="G31">
        <v>17</v>
      </c>
      <c r="H31" s="7">
        <v>10</v>
      </c>
      <c r="I31" t="s">
        <v>179</v>
      </c>
      <c r="J31">
        <v>19</v>
      </c>
      <c r="K31" t="s">
        <v>488</v>
      </c>
      <c r="L31" t="s">
        <v>277</v>
      </c>
      <c r="M31" t="s">
        <v>35</v>
      </c>
      <c r="N31" t="s">
        <v>87</v>
      </c>
      <c r="Q31">
        <v>18977</v>
      </c>
      <c r="R31" t="s">
        <v>307</v>
      </c>
      <c r="S31" t="s">
        <v>308</v>
      </c>
      <c r="T31" s="20">
        <f t="shared" si="0"/>
        <v>2</v>
      </c>
      <c r="U31">
        <f t="shared" si="1"/>
        <v>1032</v>
      </c>
      <c r="V31">
        <f t="shared" si="2"/>
        <v>1030</v>
      </c>
      <c r="W31" cm="1">
        <f t="array" ref="W31">_xlfn._xlws.FILTER(shifts!A:A,(shifts!B:B=events!D31)*(shifts!AH:AH&gt;=events!U31)*(shifts!AI:AI&lt;=events!V31))</f>
        <v>1</v>
      </c>
      <c r="X31" t="str">
        <f t="shared" si="3"/>
        <v>event_team_player_2</v>
      </c>
      <c r="Y31">
        <f>COUNTIFS(A$3:A31,"="&amp;A31,K$3:K31,"="&amp;K31)</f>
        <v>2</v>
      </c>
      <c r="Z31" s="20">
        <f>SUMIFS(T$3:T31,L$3:L31,"=Intermission")+SUMIFS(T$3:T31,L$3:L31,"=Timeout")+SUMIFS(T$3:T31,L$3:L31,"=Clockstop")</f>
        <v>0</v>
      </c>
      <c r="AA31">
        <f t="shared" si="4"/>
        <v>0</v>
      </c>
      <c r="AB31" s="26">
        <f t="shared" si="5"/>
        <v>48</v>
      </c>
      <c r="AC31">
        <f t="shared" si="6"/>
        <v>0</v>
      </c>
    </row>
    <row r="32" spans="1:29" x14ac:dyDescent="0.2">
      <c r="A32">
        <v>17</v>
      </c>
      <c r="B32">
        <v>1</v>
      </c>
      <c r="C32" s="7">
        <v>1</v>
      </c>
      <c r="D32">
        <f t="shared" si="8"/>
        <v>1</v>
      </c>
      <c r="E32">
        <v>17</v>
      </c>
      <c r="F32">
        <v>12</v>
      </c>
      <c r="G32">
        <v>17</v>
      </c>
      <c r="H32" s="7">
        <v>10</v>
      </c>
      <c r="I32" t="s">
        <v>179</v>
      </c>
      <c r="J32">
        <v>22</v>
      </c>
      <c r="K32" t="s">
        <v>488</v>
      </c>
      <c r="L32" t="s">
        <v>277</v>
      </c>
      <c r="M32" t="s">
        <v>35</v>
      </c>
      <c r="N32" t="s">
        <v>87</v>
      </c>
      <c r="Q32">
        <v>18977</v>
      </c>
      <c r="R32" t="s">
        <v>307</v>
      </c>
      <c r="S32" t="s">
        <v>308</v>
      </c>
      <c r="T32" s="20">
        <f t="shared" si="0"/>
        <v>2</v>
      </c>
      <c r="U32">
        <f t="shared" si="1"/>
        <v>1032</v>
      </c>
      <c r="V32">
        <f t="shared" si="2"/>
        <v>1030</v>
      </c>
      <c r="W32" cm="1">
        <f t="array" ref="W32">_xlfn._xlws.FILTER(shifts!A:A,(shifts!B:B=events!D32)*(shifts!AH:AH&gt;=events!U32)*(shifts!AI:AI&lt;=events!V32))</f>
        <v>1</v>
      </c>
      <c r="X32" t="str">
        <f t="shared" si="3"/>
        <v>event_team_player_3</v>
      </c>
      <c r="Y32">
        <f>COUNTIFS(A$3:A32,"="&amp;A32,K$3:K32,"="&amp;K32)</f>
        <v>3</v>
      </c>
      <c r="Z32" s="20">
        <f>SUMIFS(T$3:T32,L$3:L32,"=Intermission")+SUMIFS(T$3:T32,L$3:L32,"=Timeout")+SUMIFS(T$3:T32,L$3:L32,"=Clockstop")</f>
        <v>0</v>
      </c>
      <c r="AA32">
        <f t="shared" si="4"/>
        <v>0</v>
      </c>
      <c r="AB32" s="26">
        <f t="shared" si="5"/>
        <v>48</v>
      </c>
      <c r="AC32">
        <f t="shared" si="6"/>
        <v>0</v>
      </c>
    </row>
    <row r="33" spans="1:29" x14ac:dyDescent="0.2">
      <c r="A33">
        <v>17</v>
      </c>
      <c r="B33">
        <v>1</v>
      </c>
      <c r="C33" s="7">
        <v>1</v>
      </c>
      <c r="D33">
        <f t="shared" si="8"/>
        <v>1</v>
      </c>
      <c r="E33">
        <v>17</v>
      </c>
      <c r="F33">
        <v>12</v>
      </c>
      <c r="G33">
        <v>17</v>
      </c>
      <c r="H33" s="7">
        <v>10</v>
      </c>
      <c r="I33" t="s">
        <v>179</v>
      </c>
      <c r="J33">
        <v>84</v>
      </c>
      <c r="K33" t="s">
        <v>489</v>
      </c>
      <c r="L33" t="s">
        <v>277</v>
      </c>
      <c r="M33" t="s">
        <v>35</v>
      </c>
      <c r="N33" t="s">
        <v>87</v>
      </c>
      <c r="Q33">
        <v>18977</v>
      </c>
      <c r="R33" t="s">
        <v>307</v>
      </c>
      <c r="S33" t="s">
        <v>308</v>
      </c>
      <c r="T33" s="20">
        <f t="shared" si="0"/>
        <v>2</v>
      </c>
      <c r="U33">
        <f t="shared" si="1"/>
        <v>1032</v>
      </c>
      <c r="V33">
        <f t="shared" si="2"/>
        <v>1030</v>
      </c>
      <c r="W33" cm="1">
        <f t="array" ref="W33">_xlfn._xlws.FILTER(shifts!A:A,(shifts!B:B=events!D33)*(shifts!AH:AH&gt;=events!U33)*(shifts!AI:AI&lt;=events!V33))</f>
        <v>1</v>
      </c>
      <c r="X33" t="str">
        <f t="shared" si="3"/>
        <v>opp_team_player_1</v>
      </c>
      <c r="Y33">
        <f>COUNTIFS(A$3:A33,"="&amp;A33,K$3:K33,"="&amp;K33)</f>
        <v>1</v>
      </c>
      <c r="Z33" s="20">
        <f>SUMIFS(T$3:T33,L$3:L33,"=Intermission")+SUMIFS(T$3:T33,L$3:L33,"=Timeout")+SUMIFS(T$3:T33,L$3:L33,"=Clockstop")</f>
        <v>0</v>
      </c>
      <c r="AA33">
        <f t="shared" si="4"/>
        <v>0</v>
      </c>
      <c r="AB33" s="26">
        <f t="shared" si="5"/>
        <v>48</v>
      </c>
      <c r="AC33">
        <f t="shared" si="6"/>
        <v>0</v>
      </c>
    </row>
    <row r="34" spans="1:29" x14ac:dyDescent="0.2">
      <c r="A34">
        <v>17</v>
      </c>
      <c r="B34">
        <v>1</v>
      </c>
      <c r="C34" s="7">
        <v>1</v>
      </c>
      <c r="D34">
        <f t="shared" si="8"/>
        <v>1</v>
      </c>
      <c r="E34">
        <v>17</v>
      </c>
      <c r="F34">
        <v>12</v>
      </c>
      <c r="G34">
        <v>17</v>
      </c>
      <c r="H34" s="7">
        <v>10</v>
      </c>
      <c r="I34" t="s">
        <v>179</v>
      </c>
      <c r="J34">
        <v>87</v>
      </c>
      <c r="K34" t="s">
        <v>489</v>
      </c>
      <c r="L34" t="s">
        <v>277</v>
      </c>
      <c r="M34" t="s">
        <v>35</v>
      </c>
      <c r="N34" t="s">
        <v>87</v>
      </c>
      <c r="Q34">
        <v>18977</v>
      </c>
      <c r="R34" t="s">
        <v>307</v>
      </c>
      <c r="S34" t="s">
        <v>308</v>
      </c>
      <c r="T34" s="20">
        <f t="shared" si="0"/>
        <v>2</v>
      </c>
      <c r="U34">
        <f t="shared" si="1"/>
        <v>1032</v>
      </c>
      <c r="V34">
        <f t="shared" si="2"/>
        <v>1030</v>
      </c>
      <c r="W34" cm="1">
        <f t="array" ref="W34">_xlfn._xlws.FILTER(shifts!A:A,(shifts!B:B=events!D34)*(shifts!AH:AH&gt;=events!U34)*(shifts!AI:AI&lt;=events!V34))</f>
        <v>1</v>
      </c>
      <c r="X34" t="str">
        <f t="shared" si="3"/>
        <v>opp_team_player_2</v>
      </c>
      <c r="Y34">
        <f>COUNTIFS(A$3:A34,"="&amp;A34,K$3:K34,"="&amp;K34)</f>
        <v>2</v>
      </c>
      <c r="Z34" s="20">
        <f>SUMIFS(T$3:T34,L$3:L34,"=Intermission")+SUMIFS(T$3:T34,L$3:L34,"=Timeout")+SUMIFS(T$3:T34,L$3:L34,"=Clockstop")</f>
        <v>0</v>
      </c>
      <c r="AA34">
        <f t="shared" si="4"/>
        <v>0</v>
      </c>
      <c r="AB34" s="26">
        <f t="shared" si="5"/>
        <v>48</v>
      </c>
      <c r="AC34">
        <f t="shared" si="6"/>
        <v>0</v>
      </c>
    </row>
    <row r="35" spans="1:29" x14ac:dyDescent="0.2">
      <c r="A35">
        <v>18</v>
      </c>
      <c r="B35">
        <v>1</v>
      </c>
      <c r="C35" s="7">
        <v>1</v>
      </c>
      <c r="D35">
        <f t="shared" si="8"/>
        <v>1</v>
      </c>
      <c r="E35">
        <v>17</v>
      </c>
      <c r="F35">
        <v>10</v>
      </c>
      <c r="H35" s="7"/>
      <c r="I35" t="s">
        <v>179</v>
      </c>
      <c r="J35">
        <v>11</v>
      </c>
      <c r="K35" t="s">
        <v>488</v>
      </c>
      <c r="L35" t="s">
        <v>7</v>
      </c>
      <c r="M35" t="s">
        <v>24</v>
      </c>
      <c r="N35" t="s">
        <v>53</v>
      </c>
      <c r="Q35">
        <v>18977</v>
      </c>
      <c r="R35" t="s">
        <v>307</v>
      </c>
      <c r="S35" t="s">
        <v>308</v>
      </c>
      <c r="T35" s="20">
        <f t="shared" si="0"/>
        <v>0</v>
      </c>
      <c r="U35">
        <f t="shared" si="1"/>
        <v>1030</v>
      </c>
      <c r="V35">
        <f t="shared" si="2"/>
        <v>1030</v>
      </c>
      <c r="W35" cm="1">
        <f t="array" ref="W35">_xlfn._xlws.FILTER(shifts!A:A,(shifts!B:B=events!D35)*(shifts!AH:AH&gt;=events!U35)*(shifts!AI:AI&lt;=events!V35))</f>
        <v>1</v>
      </c>
      <c r="X35" t="str">
        <f t="shared" si="3"/>
        <v>event_team_player_1</v>
      </c>
      <c r="Y35">
        <f>COUNTIFS(A$3:A35,"="&amp;A35,K$3:K35,"="&amp;K35)</f>
        <v>1</v>
      </c>
      <c r="Z35" s="20">
        <f>SUMIFS(T$3:T35,L$3:L35,"=Intermission")+SUMIFS(T$3:T35,L$3:L35,"=Timeout")+SUMIFS(T$3:T35,L$3:L35,"=Clockstop")</f>
        <v>0</v>
      </c>
      <c r="AA35">
        <f t="shared" si="4"/>
        <v>0</v>
      </c>
      <c r="AB35" s="26">
        <f t="shared" si="5"/>
        <v>50</v>
      </c>
      <c r="AC35">
        <f t="shared" si="6"/>
        <v>0</v>
      </c>
    </row>
    <row r="36" spans="1:29" x14ac:dyDescent="0.2">
      <c r="A36">
        <v>18</v>
      </c>
      <c r="B36">
        <v>1</v>
      </c>
      <c r="C36" s="7">
        <v>1</v>
      </c>
      <c r="D36">
        <f t="shared" si="8"/>
        <v>1</v>
      </c>
      <c r="E36">
        <v>17</v>
      </c>
      <c r="F36">
        <v>10</v>
      </c>
      <c r="H36" s="7"/>
      <c r="I36" t="s">
        <v>179</v>
      </c>
      <c r="J36">
        <v>84</v>
      </c>
      <c r="K36" t="s">
        <v>489</v>
      </c>
      <c r="L36" t="s">
        <v>7</v>
      </c>
      <c r="M36" t="s">
        <v>24</v>
      </c>
      <c r="N36" t="s">
        <v>53</v>
      </c>
      <c r="Q36">
        <v>18977</v>
      </c>
      <c r="R36" t="s">
        <v>307</v>
      </c>
      <c r="S36" t="s">
        <v>308</v>
      </c>
      <c r="T36" s="20">
        <f t="shared" si="0"/>
        <v>0</v>
      </c>
      <c r="U36">
        <f t="shared" si="1"/>
        <v>1030</v>
      </c>
      <c r="V36">
        <f t="shared" si="2"/>
        <v>1030</v>
      </c>
      <c r="W36" cm="1">
        <f t="array" ref="W36">_xlfn._xlws.FILTER(shifts!A:A,(shifts!B:B=events!D36)*(shifts!AH:AH&gt;=events!U36)*(shifts!AI:AI&lt;=events!V36))</f>
        <v>1</v>
      </c>
      <c r="X36" t="str">
        <f t="shared" si="3"/>
        <v>opp_team_player_1</v>
      </c>
      <c r="Y36">
        <f>COUNTIFS(A$3:A36,"="&amp;A36,K$3:K36,"="&amp;K36)</f>
        <v>1</v>
      </c>
      <c r="Z36" s="20">
        <f>SUMIFS(T$3:T36,L$3:L36,"=Intermission")+SUMIFS(T$3:T36,L$3:L36,"=Timeout")+SUMIFS(T$3:T36,L$3:L36,"=Clockstop")</f>
        <v>0</v>
      </c>
      <c r="AA36">
        <f t="shared" si="4"/>
        <v>0</v>
      </c>
      <c r="AB36" s="26">
        <f t="shared" si="5"/>
        <v>50</v>
      </c>
      <c r="AC36">
        <f t="shared" si="6"/>
        <v>0</v>
      </c>
    </row>
    <row r="37" spans="1:29" x14ac:dyDescent="0.2">
      <c r="A37">
        <v>19</v>
      </c>
      <c r="D37">
        <f t="shared" si="8"/>
        <v>1</v>
      </c>
      <c r="E37">
        <v>17</v>
      </c>
      <c r="F37" s="5" t="s">
        <v>309</v>
      </c>
      <c r="G37">
        <v>17</v>
      </c>
      <c r="H37" s="15" t="s">
        <v>310</v>
      </c>
      <c r="I37" t="s">
        <v>179</v>
      </c>
      <c r="J37">
        <v>19</v>
      </c>
      <c r="K37" t="s">
        <v>488</v>
      </c>
      <c r="L37" t="s">
        <v>15</v>
      </c>
      <c r="Q37">
        <v>18977</v>
      </c>
      <c r="R37" t="s">
        <v>307</v>
      </c>
      <c r="S37" t="s">
        <v>308</v>
      </c>
      <c r="T37" s="20">
        <f t="shared" si="0"/>
        <v>3</v>
      </c>
      <c r="U37">
        <f t="shared" si="1"/>
        <v>1027</v>
      </c>
      <c r="V37">
        <f t="shared" si="2"/>
        <v>1024</v>
      </c>
      <c r="W37" cm="1">
        <f t="array" ref="W37">_xlfn._xlws.FILTER(shifts!A:A,(shifts!B:B=events!D37)*(shifts!AH:AH&gt;=events!U37)*(shifts!AI:AI&lt;=events!V37))</f>
        <v>1</v>
      </c>
      <c r="X37" t="str">
        <f t="shared" si="3"/>
        <v>event_team_player_1</v>
      </c>
      <c r="Y37">
        <f>COUNTIFS(A$3:A37,"="&amp;A37,K$3:K37,"="&amp;K37)</f>
        <v>1</v>
      </c>
      <c r="Z37" s="20">
        <f>SUMIFS(T$3:T37,L$3:L37,"=Intermission")+SUMIFS(T$3:T37,L$3:L37,"=Timeout")+SUMIFS(T$3:T37,L$3:L37,"=Clockstop")</f>
        <v>0</v>
      </c>
      <c r="AA37">
        <f t="shared" si="4"/>
        <v>0</v>
      </c>
      <c r="AB37" s="26">
        <f t="shared" si="5"/>
        <v>53</v>
      </c>
      <c r="AC37">
        <f t="shared" si="6"/>
        <v>0</v>
      </c>
    </row>
    <row r="38" spans="1:29" x14ac:dyDescent="0.2">
      <c r="A38">
        <v>20</v>
      </c>
      <c r="D38">
        <f t="shared" si="8"/>
        <v>1</v>
      </c>
      <c r="E38">
        <v>17</v>
      </c>
      <c r="F38" s="5" t="s">
        <v>311</v>
      </c>
      <c r="H38" s="7"/>
      <c r="I38" t="s">
        <v>179</v>
      </c>
      <c r="J38">
        <v>19</v>
      </c>
      <c r="K38" t="s">
        <v>488</v>
      </c>
      <c r="L38" t="s">
        <v>10</v>
      </c>
      <c r="M38" t="s">
        <v>33</v>
      </c>
      <c r="N38" t="s">
        <v>73</v>
      </c>
      <c r="Q38">
        <v>18977</v>
      </c>
      <c r="R38" t="s">
        <v>307</v>
      </c>
      <c r="S38" t="s">
        <v>308</v>
      </c>
      <c r="T38" s="20">
        <f t="shared" si="0"/>
        <v>0</v>
      </c>
      <c r="U38">
        <f t="shared" si="1"/>
        <v>1023</v>
      </c>
      <c r="V38">
        <f t="shared" si="2"/>
        <v>1023</v>
      </c>
      <c r="W38" cm="1">
        <f t="array" ref="W38">_xlfn._xlws.FILTER(shifts!A:A,(shifts!B:B=events!D38)*(shifts!AH:AH&gt;=events!U38)*(shifts!AI:AI&lt;=events!V38))</f>
        <v>1</v>
      </c>
      <c r="X38" t="str">
        <f t="shared" si="3"/>
        <v>event_team_player_1</v>
      </c>
      <c r="Y38">
        <f>COUNTIFS(A$3:A38,"="&amp;A38,K$3:K38,"="&amp;K38)</f>
        <v>1</v>
      </c>
      <c r="Z38" s="20">
        <f>SUMIFS(T$3:T38,L$3:L38,"=Intermission")+SUMIFS(T$3:T38,L$3:L38,"=Timeout")+SUMIFS(T$3:T38,L$3:L38,"=Clockstop")</f>
        <v>0</v>
      </c>
      <c r="AA38">
        <f t="shared" si="4"/>
        <v>0</v>
      </c>
      <c r="AB38" s="26">
        <f t="shared" si="5"/>
        <v>57</v>
      </c>
      <c r="AC38">
        <f t="shared" si="6"/>
        <v>0</v>
      </c>
    </row>
    <row r="39" spans="1:29" x14ac:dyDescent="0.2">
      <c r="A39">
        <v>20</v>
      </c>
      <c r="D39">
        <f t="shared" si="8"/>
        <v>1</v>
      </c>
      <c r="E39">
        <v>17</v>
      </c>
      <c r="F39" s="5" t="s">
        <v>311</v>
      </c>
      <c r="H39" s="7"/>
      <c r="I39" t="s">
        <v>179</v>
      </c>
      <c r="J39">
        <v>49</v>
      </c>
      <c r="K39" t="s">
        <v>489</v>
      </c>
      <c r="L39" t="s">
        <v>10</v>
      </c>
      <c r="M39" t="s">
        <v>33</v>
      </c>
      <c r="N39" t="s">
        <v>73</v>
      </c>
      <c r="Q39">
        <v>18977</v>
      </c>
      <c r="R39" t="s">
        <v>307</v>
      </c>
      <c r="S39" t="s">
        <v>308</v>
      </c>
      <c r="T39" s="20">
        <f t="shared" si="0"/>
        <v>0</v>
      </c>
      <c r="U39">
        <f t="shared" si="1"/>
        <v>1023</v>
      </c>
      <c r="V39">
        <f t="shared" si="2"/>
        <v>1023</v>
      </c>
      <c r="W39" cm="1">
        <f t="array" ref="W39">_xlfn._xlws.FILTER(shifts!A:A,(shifts!B:B=events!D39)*(shifts!AH:AH&gt;=events!U39)*(shifts!AI:AI&lt;=events!V39))</f>
        <v>1</v>
      </c>
      <c r="X39" t="str">
        <f t="shared" si="3"/>
        <v>opp_team_player_1</v>
      </c>
      <c r="Y39">
        <f>COUNTIFS(A$3:A39,"="&amp;A39,K$3:K39,"="&amp;K39)</f>
        <v>1</v>
      </c>
      <c r="Z39" s="20">
        <f>SUMIFS(T$3:T39,L$3:L39,"=Intermission")+SUMIFS(T$3:T39,L$3:L39,"=Timeout")+SUMIFS(T$3:T39,L$3:L39,"=Clockstop")</f>
        <v>0</v>
      </c>
      <c r="AA39">
        <f t="shared" si="4"/>
        <v>0</v>
      </c>
      <c r="AB39" s="26">
        <f t="shared" si="5"/>
        <v>57</v>
      </c>
      <c r="AC39">
        <f t="shared" si="6"/>
        <v>0</v>
      </c>
    </row>
    <row r="40" spans="1:29" x14ac:dyDescent="0.2">
      <c r="A40">
        <v>21</v>
      </c>
      <c r="D40">
        <f t="shared" si="8"/>
        <v>1</v>
      </c>
      <c r="E40">
        <v>17</v>
      </c>
      <c r="F40" s="5" t="s">
        <v>312</v>
      </c>
      <c r="H40" s="7"/>
      <c r="I40" t="s">
        <v>178</v>
      </c>
      <c r="J40">
        <v>49</v>
      </c>
      <c r="K40" t="s">
        <v>488</v>
      </c>
      <c r="L40" t="s">
        <v>277</v>
      </c>
      <c r="M40" t="s">
        <v>36</v>
      </c>
      <c r="N40" t="s">
        <v>88</v>
      </c>
      <c r="Q40">
        <v>18977</v>
      </c>
      <c r="R40" t="s">
        <v>307</v>
      </c>
      <c r="S40" t="s">
        <v>308</v>
      </c>
      <c r="T40" s="20">
        <f t="shared" si="0"/>
        <v>0</v>
      </c>
      <c r="U40">
        <f t="shared" si="1"/>
        <v>1021</v>
      </c>
      <c r="V40">
        <f t="shared" si="2"/>
        <v>1021</v>
      </c>
      <c r="W40" cm="1">
        <f t="array" ref="W40">_xlfn._xlws.FILTER(shifts!A:A,(shifts!B:B=events!D40)*(shifts!AH:AH&gt;=events!U40)*(shifts!AI:AI&lt;=events!V40))</f>
        <v>1</v>
      </c>
      <c r="X40" t="str">
        <f t="shared" si="3"/>
        <v>event_team_player_1</v>
      </c>
      <c r="Y40">
        <f>COUNTIFS(A$3:A40,"="&amp;A40,K$3:K40,"="&amp;K40)</f>
        <v>1</v>
      </c>
      <c r="Z40" s="20">
        <f>SUMIFS(T$3:T40,L$3:L40,"=Intermission")+SUMIFS(T$3:T40,L$3:L40,"=Timeout")+SUMIFS(T$3:T40,L$3:L40,"=Clockstop")</f>
        <v>0</v>
      </c>
      <c r="AA40">
        <f t="shared" si="4"/>
        <v>0</v>
      </c>
      <c r="AB40" s="26">
        <f t="shared" si="5"/>
        <v>59</v>
      </c>
      <c r="AC40">
        <f t="shared" si="6"/>
        <v>0</v>
      </c>
    </row>
    <row r="41" spans="1:29" x14ac:dyDescent="0.2">
      <c r="A41">
        <v>21</v>
      </c>
      <c r="D41">
        <f t="shared" si="8"/>
        <v>1</v>
      </c>
      <c r="E41">
        <v>17</v>
      </c>
      <c r="F41" s="5" t="s">
        <v>312</v>
      </c>
      <c r="H41" s="7"/>
      <c r="I41" t="s">
        <v>178</v>
      </c>
      <c r="J41">
        <v>87</v>
      </c>
      <c r="K41" t="s">
        <v>488</v>
      </c>
      <c r="L41" t="s">
        <v>277</v>
      </c>
      <c r="M41" t="s">
        <v>36</v>
      </c>
      <c r="N41" t="s">
        <v>88</v>
      </c>
      <c r="Q41">
        <v>18977</v>
      </c>
      <c r="R41" t="s">
        <v>307</v>
      </c>
      <c r="S41" t="s">
        <v>308</v>
      </c>
      <c r="T41" s="20">
        <f t="shared" si="0"/>
        <v>0</v>
      </c>
      <c r="U41">
        <f t="shared" si="1"/>
        <v>1021</v>
      </c>
      <c r="V41">
        <f t="shared" si="2"/>
        <v>1021</v>
      </c>
      <c r="W41" cm="1">
        <f t="array" ref="W41">_xlfn._xlws.FILTER(shifts!A:A,(shifts!B:B=events!D41)*(shifts!AH:AH&gt;=events!U41)*(shifts!AI:AI&lt;=events!V41))</f>
        <v>1</v>
      </c>
      <c r="X41" t="str">
        <f t="shared" si="3"/>
        <v>event_team_player_2</v>
      </c>
      <c r="Y41">
        <f>COUNTIFS(A$3:A41,"="&amp;A41,K$3:K41,"="&amp;K41)</f>
        <v>2</v>
      </c>
      <c r="Z41" s="20">
        <f>SUMIFS(T$3:T41,L$3:L41,"=Intermission")+SUMIFS(T$3:T41,L$3:L41,"=Timeout")+SUMIFS(T$3:T41,L$3:L41,"=Clockstop")</f>
        <v>0</v>
      </c>
      <c r="AA41">
        <f t="shared" si="4"/>
        <v>0</v>
      </c>
      <c r="AB41" s="26">
        <f t="shared" si="5"/>
        <v>59</v>
      </c>
      <c r="AC41">
        <f t="shared" si="6"/>
        <v>0</v>
      </c>
    </row>
    <row r="42" spans="1:29" x14ac:dyDescent="0.2">
      <c r="A42">
        <v>21</v>
      </c>
      <c r="D42">
        <f t="shared" si="8"/>
        <v>1</v>
      </c>
      <c r="E42">
        <v>17</v>
      </c>
      <c r="F42" s="5" t="s">
        <v>312</v>
      </c>
      <c r="H42" s="7"/>
      <c r="I42" t="s">
        <v>178</v>
      </c>
      <c r="J42">
        <v>33</v>
      </c>
      <c r="K42" t="s">
        <v>489</v>
      </c>
      <c r="L42" t="s">
        <v>277</v>
      </c>
      <c r="M42" t="s">
        <v>36</v>
      </c>
      <c r="N42" t="s">
        <v>88</v>
      </c>
      <c r="Q42">
        <v>18977</v>
      </c>
      <c r="R42" t="s">
        <v>307</v>
      </c>
      <c r="S42" t="s">
        <v>308</v>
      </c>
      <c r="T42" s="20">
        <f t="shared" si="0"/>
        <v>0</v>
      </c>
      <c r="U42">
        <f t="shared" si="1"/>
        <v>1021</v>
      </c>
      <c r="V42">
        <f t="shared" si="2"/>
        <v>1021</v>
      </c>
      <c r="W42" cm="1">
        <f t="array" ref="W42">_xlfn._xlws.FILTER(shifts!A:A,(shifts!B:B=events!D42)*(shifts!AH:AH&gt;=events!U42)*(shifts!AI:AI&lt;=events!V42))</f>
        <v>1</v>
      </c>
      <c r="X42" t="str">
        <f t="shared" si="3"/>
        <v>opp_team_player_1</v>
      </c>
      <c r="Y42">
        <f>COUNTIFS(A$3:A42,"="&amp;A42,K$3:K42,"="&amp;K42)</f>
        <v>1</v>
      </c>
      <c r="Z42" s="20">
        <f>SUMIFS(T$3:T42,L$3:L42,"=Intermission")+SUMIFS(T$3:T42,L$3:L42,"=Timeout")+SUMIFS(T$3:T42,L$3:L42,"=Clockstop")</f>
        <v>0</v>
      </c>
      <c r="AA42">
        <f t="shared" si="4"/>
        <v>0</v>
      </c>
      <c r="AB42" s="26">
        <f t="shared" si="5"/>
        <v>59</v>
      </c>
      <c r="AC42">
        <f t="shared" si="6"/>
        <v>0</v>
      </c>
    </row>
    <row r="43" spans="1:29" x14ac:dyDescent="0.2">
      <c r="A43">
        <v>22</v>
      </c>
      <c r="D43">
        <f t="shared" si="8"/>
        <v>1</v>
      </c>
      <c r="E43">
        <v>16</v>
      </c>
      <c r="F43">
        <v>58</v>
      </c>
      <c r="H43" s="7"/>
      <c r="I43" t="s">
        <v>178</v>
      </c>
      <c r="J43">
        <v>87</v>
      </c>
      <c r="K43" t="s">
        <v>488</v>
      </c>
      <c r="L43" t="s">
        <v>277</v>
      </c>
      <c r="M43" t="s">
        <v>35</v>
      </c>
      <c r="N43" t="s">
        <v>89</v>
      </c>
      <c r="Q43">
        <v>18977</v>
      </c>
      <c r="R43" t="s">
        <v>307</v>
      </c>
      <c r="S43" t="s">
        <v>308</v>
      </c>
      <c r="T43" s="20">
        <f t="shared" si="0"/>
        <v>0</v>
      </c>
      <c r="U43">
        <f t="shared" si="1"/>
        <v>1018</v>
      </c>
      <c r="V43">
        <f t="shared" si="2"/>
        <v>1018</v>
      </c>
      <c r="W43" cm="1">
        <f t="array" ref="W43">_xlfn._xlws.FILTER(shifts!A:A,(shifts!B:B=events!D43)*(shifts!AH:AH&gt;=events!U43)*(shifts!AI:AI&lt;=events!V43))</f>
        <v>1</v>
      </c>
      <c r="X43" t="str">
        <f t="shared" si="3"/>
        <v>event_team_player_1</v>
      </c>
      <c r="Y43">
        <f>COUNTIFS(A$3:A43,"="&amp;A43,K$3:K43,"="&amp;K43)</f>
        <v>1</v>
      </c>
      <c r="Z43" s="20">
        <f>SUMIFS(T$3:T43,L$3:L43,"=Intermission")+SUMIFS(T$3:T43,L$3:L43,"=Timeout")+SUMIFS(T$3:T43,L$3:L43,"=Clockstop")</f>
        <v>0</v>
      </c>
      <c r="AA43">
        <f t="shared" si="4"/>
        <v>0</v>
      </c>
      <c r="AB43" s="26">
        <f t="shared" si="5"/>
        <v>62</v>
      </c>
      <c r="AC43">
        <f t="shared" si="6"/>
        <v>0</v>
      </c>
    </row>
    <row r="44" spans="1:29" x14ac:dyDescent="0.2">
      <c r="A44">
        <v>22</v>
      </c>
      <c r="D44">
        <f t="shared" si="8"/>
        <v>1</v>
      </c>
      <c r="E44">
        <v>16</v>
      </c>
      <c r="F44">
        <v>58</v>
      </c>
      <c r="H44" s="7"/>
      <c r="I44" t="s">
        <v>178</v>
      </c>
      <c r="J44">
        <v>27</v>
      </c>
      <c r="K44" t="s">
        <v>489</v>
      </c>
      <c r="L44" t="s">
        <v>277</v>
      </c>
      <c r="M44" t="s">
        <v>35</v>
      </c>
      <c r="N44" t="s">
        <v>89</v>
      </c>
      <c r="Q44">
        <v>18977</v>
      </c>
      <c r="R44" t="s">
        <v>307</v>
      </c>
      <c r="S44" t="s">
        <v>308</v>
      </c>
      <c r="T44" s="20">
        <f t="shared" si="0"/>
        <v>0</v>
      </c>
      <c r="U44">
        <f t="shared" si="1"/>
        <v>1018</v>
      </c>
      <c r="V44">
        <f t="shared" si="2"/>
        <v>1018</v>
      </c>
      <c r="W44" cm="1">
        <f t="array" ref="W44">_xlfn._xlws.FILTER(shifts!A:A,(shifts!B:B=events!D44)*(shifts!AH:AH&gt;=events!U44)*(shifts!AI:AI&lt;=events!V44))</f>
        <v>1</v>
      </c>
      <c r="X44" t="str">
        <f t="shared" si="3"/>
        <v>opp_team_player_1</v>
      </c>
      <c r="Y44">
        <f>COUNTIFS(A$3:A44,"="&amp;A44,K$3:K44,"="&amp;K44)</f>
        <v>1</v>
      </c>
      <c r="Z44" s="20">
        <f>SUMIFS(T$3:T44,L$3:L44,"=Intermission")+SUMIFS(T$3:T44,L$3:L44,"=Timeout")+SUMIFS(T$3:T44,L$3:L44,"=Clockstop")</f>
        <v>0</v>
      </c>
      <c r="AA44">
        <f t="shared" si="4"/>
        <v>0</v>
      </c>
      <c r="AB44" s="26">
        <f t="shared" si="5"/>
        <v>62</v>
      </c>
      <c r="AC44">
        <f t="shared" si="6"/>
        <v>0</v>
      </c>
    </row>
    <row r="45" spans="1:29" x14ac:dyDescent="0.2">
      <c r="A45">
        <v>23</v>
      </c>
      <c r="D45">
        <f t="shared" si="8"/>
        <v>1</v>
      </c>
      <c r="E45">
        <v>16</v>
      </c>
      <c r="F45">
        <v>54</v>
      </c>
      <c r="H45" s="7"/>
      <c r="I45" t="s">
        <v>178</v>
      </c>
      <c r="J45">
        <v>87</v>
      </c>
      <c r="K45" t="s">
        <v>488</v>
      </c>
      <c r="L45" t="s">
        <v>10</v>
      </c>
      <c r="M45" t="s">
        <v>33</v>
      </c>
      <c r="N45" t="s">
        <v>75</v>
      </c>
      <c r="Q45">
        <v>18977</v>
      </c>
      <c r="R45" t="s">
        <v>307</v>
      </c>
      <c r="S45" t="s">
        <v>308</v>
      </c>
      <c r="T45" s="20">
        <f t="shared" si="0"/>
        <v>0</v>
      </c>
      <c r="U45">
        <f t="shared" si="1"/>
        <v>1014</v>
      </c>
      <c r="V45">
        <f t="shared" si="2"/>
        <v>1014</v>
      </c>
      <c r="W45" cm="1">
        <f t="array" ref="W45">_xlfn._xlws.FILTER(shifts!A:A,(shifts!B:B=events!D45)*(shifts!AH:AH&gt;=events!U45)*(shifts!AI:AI&lt;=events!V45))</f>
        <v>2</v>
      </c>
      <c r="X45" t="str">
        <f t="shared" si="3"/>
        <v>event_team_player_1</v>
      </c>
      <c r="Y45">
        <f>COUNTIFS(A$3:A45,"="&amp;A45,K$3:K45,"="&amp;K45)</f>
        <v>1</v>
      </c>
      <c r="Z45" s="20">
        <f>SUMIFS(T$3:T45,L$3:L45,"=Intermission")+SUMIFS(T$3:T45,L$3:L45,"=Timeout")+SUMIFS(T$3:T45,L$3:L45,"=Clockstop")</f>
        <v>0</v>
      </c>
      <c r="AA45">
        <f t="shared" si="4"/>
        <v>0</v>
      </c>
      <c r="AB45" s="26">
        <f t="shared" si="5"/>
        <v>66</v>
      </c>
      <c r="AC45">
        <f t="shared" si="6"/>
        <v>0</v>
      </c>
    </row>
    <row r="46" spans="1:29" x14ac:dyDescent="0.2">
      <c r="A46">
        <v>23</v>
      </c>
      <c r="D46">
        <f t="shared" si="8"/>
        <v>1</v>
      </c>
      <c r="E46">
        <v>16</v>
      </c>
      <c r="F46">
        <v>54</v>
      </c>
      <c r="H46" s="7"/>
      <c r="I46" t="s">
        <v>178</v>
      </c>
      <c r="J46">
        <v>27</v>
      </c>
      <c r="K46" t="s">
        <v>489</v>
      </c>
      <c r="L46" t="s">
        <v>10</v>
      </c>
      <c r="M46" t="s">
        <v>33</v>
      </c>
      <c r="N46" t="s">
        <v>75</v>
      </c>
      <c r="Q46">
        <v>18977</v>
      </c>
      <c r="R46" t="s">
        <v>307</v>
      </c>
      <c r="S46" t="s">
        <v>308</v>
      </c>
      <c r="T46" s="20">
        <f t="shared" si="0"/>
        <v>0</v>
      </c>
      <c r="U46">
        <f t="shared" si="1"/>
        <v>1014</v>
      </c>
      <c r="V46">
        <f t="shared" si="2"/>
        <v>1014</v>
      </c>
      <c r="W46" cm="1">
        <f t="array" ref="W46">_xlfn._xlws.FILTER(shifts!A:A,(shifts!B:B=events!D46)*(shifts!AH:AH&gt;=events!U46)*(shifts!AI:AI&lt;=events!V46))</f>
        <v>2</v>
      </c>
      <c r="X46" t="str">
        <f t="shared" si="3"/>
        <v>opp_team_player_1</v>
      </c>
      <c r="Y46">
        <f>COUNTIFS(A$3:A46,"="&amp;A46,K$3:K46,"="&amp;K46)</f>
        <v>1</v>
      </c>
      <c r="Z46" s="20">
        <f>SUMIFS(T$3:T46,L$3:L46,"=Intermission")+SUMIFS(T$3:T46,L$3:L46,"=Timeout")+SUMIFS(T$3:T46,L$3:L46,"=Clockstop")</f>
        <v>0</v>
      </c>
      <c r="AA46">
        <f t="shared" si="4"/>
        <v>0</v>
      </c>
      <c r="AB46" s="26">
        <f t="shared" si="5"/>
        <v>66</v>
      </c>
      <c r="AC46">
        <f t="shared" si="6"/>
        <v>0</v>
      </c>
    </row>
    <row r="47" spans="1:29" x14ac:dyDescent="0.2">
      <c r="A47">
        <v>24</v>
      </c>
      <c r="D47">
        <f t="shared" si="8"/>
        <v>1</v>
      </c>
      <c r="E47">
        <v>16</v>
      </c>
      <c r="F47">
        <v>54</v>
      </c>
      <c r="G47">
        <v>16</v>
      </c>
      <c r="H47" s="7">
        <v>49</v>
      </c>
      <c r="I47" t="s">
        <v>179</v>
      </c>
      <c r="J47">
        <v>11</v>
      </c>
      <c r="K47" t="s">
        <v>488</v>
      </c>
      <c r="L47" t="s">
        <v>15</v>
      </c>
      <c r="Q47">
        <v>18977</v>
      </c>
      <c r="R47" t="s">
        <v>307</v>
      </c>
      <c r="S47" t="s">
        <v>308</v>
      </c>
      <c r="T47" s="20">
        <f t="shared" si="0"/>
        <v>5</v>
      </c>
      <c r="U47">
        <f t="shared" si="1"/>
        <v>1014</v>
      </c>
      <c r="V47">
        <f t="shared" si="2"/>
        <v>1009</v>
      </c>
      <c r="W47" cm="1">
        <f t="array" ref="W47">_xlfn._xlws.FILTER(shifts!A:A,(shifts!B:B=events!D47)*(shifts!AH:AH&gt;=events!U47)*(shifts!AI:AI&lt;=events!V47))</f>
        <v>2</v>
      </c>
      <c r="X47" t="str">
        <f t="shared" si="3"/>
        <v>event_team_player_1</v>
      </c>
      <c r="Y47">
        <f>COUNTIFS(A$3:A47,"="&amp;A47,K$3:K47,"="&amp;K47)</f>
        <v>1</v>
      </c>
      <c r="Z47" s="20">
        <f>SUMIFS(T$3:T47,L$3:L47,"=Intermission")+SUMIFS(T$3:T47,L$3:L47,"=Timeout")+SUMIFS(T$3:T47,L$3:L47,"=Clockstop")</f>
        <v>0</v>
      </c>
      <c r="AA47">
        <f t="shared" si="4"/>
        <v>0</v>
      </c>
      <c r="AB47" s="26">
        <f t="shared" si="5"/>
        <v>66</v>
      </c>
      <c r="AC47">
        <f t="shared" si="6"/>
        <v>0</v>
      </c>
    </row>
    <row r="48" spans="1:29" x14ac:dyDescent="0.2">
      <c r="A48">
        <v>25</v>
      </c>
      <c r="D48">
        <f t="shared" si="8"/>
        <v>1</v>
      </c>
      <c r="E48">
        <v>16</v>
      </c>
      <c r="F48">
        <v>49</v>
      </c>
      <c r="H48" s="7"/>
      <c r="I48" t="s">
        <v>179</v>
      </c>
      <c r="J48">
        <v>11</v>
      </c>
      <c r="K48" t="s">
        <v>488</v>
      </c>
      <c r="L48" t="s">
        <v>10</v>
      </c>
      <c r="M48" t="s">
        <v>33</v>
      </c>
      <c r="N48" t="s">
        <v>73</v>
      </c>
      <c r="Q48">
        <v>18977</v>
      </c>
      <c r="R48" t="s">
        <v>307</v>
      </c>
      <c r="S48" t="s">
        <v>308</v>
      </c>
      <c r="T48" s="20">
        <f t="shared" si="0"/>
        <v>0</v>
      </c>
      <c r="U48">
        <f t="shared" si="1"/>
        <v>1009</v>
      </c>
      <c r="V48">
        <f t="shared" si="2"/>
        <v>1009</v>
      </c>
      <c r="W48" cm="1">
        <f t="array" ref="W48">_xlfn._xlws.FILTER(shifts!A:A,(shifts!B:B=events!D48)*(shifts!AH:AH&gt;=events!U48)*(shifts!AI:AI&lt;=events!V48))</f>
        <v>2</v>
      </c>
      <c r="X48" t="str">
        <f t="shared" si="3"/>
        <v>event_team_player_1</v>
      </c>
      <c r="Y48">
        <f>COUNTIFS(A$3:A48,"="&amp;A48,K$3:K48,"="&amp;K48)</f>
        <v>1</v>
      </c>
      <c r="Z48" s="20">
        <f>SUMIFS(T$3:T48,L$3:L48,"=Intermission")+SUMIFS(T$3:T48,L$3:L48,"=Timeout")+SUMIFS(T$3:T48,L$3:L48,"=Clockstop")</f>
        <v>0</v>
      </c>
      <c r="AA48">
        <f t="shared" si="4"/>
        <v>0</v>
      </c>
      <c r="AB48" s="26">
        <f t="shared" si="5"/>
        <v>71</v>
      </c>
      <c r="AC48">
        <f t="shared" si="6"/>
        <v>0</v>
      </c>
    </row>
    <row r="49" spans="1:29" x14ac:dyDescent="0.2">
      <c r="A49">
        <v>25</v>
      </c>
      <c r="D49">
        <f t="shared" si="8"/>
        <v>1</v>
      </c>
      <c r="E49">
        <v>16</v>
      </c>
      <c r="F49">
        <v>49</v>
      </c>
      <c r="H49" s="7"/>
      <c r="I49" t="s">
        <v>179</v>
      </c>
      <c r="J49">
        <v>87</v>
      </c>
      <c r="K49" t="s">
        <v>489</v>
      </c>
      <c r="L49" t="s">
        <v>10</v>
      </c>
      <c r="M49" t="s">
        <v>33</v>
      </c>
      <c r="N49" t="s">
        <v>73</v>
      </c>
      <c r="Q49">
        <v>18977</v>
      </c>
      <c r="R49" t="s">
        <v>307</v>
      </c>
      <c r="S49" t="s">
        <v>308</v>
      </c>
      <c r="T49" s="20">
        <f t="shared" si="0"/>
        <v>0</v>
      </c>
      <c r="U49">
        <f t="shared" si="1"/>
        <v>1009</v>
      </c>
      <c r="V49">
        <f t="shared" si="2"/>
        <v>1009</v>
      </c>
      <c r="W49" cm="1">
        <f t="array" ref="W49">_xlfn._xlws.FILTER(shifts!A:A,(shifts!B:B=events!D49)*(shifts!AH:AH&gt;=events!U49)*(shifts!AI:AI&lt;=events!V49))</f>
        <v>2</v>
      </c>
      <c r="X49" t="str">
        <f t="shared" si="3"/>
        <v>opp_team_player_1</v>
      </c>
      <c r="Y49">
        <f>COUNTIFS(A$3:A49,"="&amp;A49,K$3:K49,"="&amp;K49)</f>
        <v>1</v>
      </c>
      <c r="Z49" s="20">
        <f>SUMIFS(T$3:T49,L$3:L49,"=Intermission")+SUMIFS(T$3:T49,L$3:L49,"=Timeout")+SUMIFS(T$3:T49,L$3:L49,"=Clockstop")</f>
        <v>0</v>
      </c>
      <c r="AA49">
        <f t="shared" si="4"/>
        <v>0</v>
      </c>
      <c r="AB49" s="26">
        <f t="shared" si="5"/>
        <v>71</v>
      </c>
      <c r="AC49">
        <f t="shared" si="6"/>
        <v>0</v>
      </c>
    </row>
    <row r="50" spans="1:29" x14ac:dyDescent="0.2">
      <c r="A50">
        <v>26</v>
      </c>
      <c r="D50">
        <f t="shared" si="8"/>
        <v>1</v>
      </c>
      <c r="E50">
        <v>16</v>
      </c>
      <c r="F50">
        <v>49</v>
      </c>
      <c r="G50">
        <v>16</v>
      </c>
      <c r="H50" s="7">
        <v>47</v>
      </c>
      <c r="I50" t="s">
        <v>178</v>
      </c>
      <c r="J50">
        <v>87</v>
      </c>
      <c r="K50" t="s">
        <v>488</v>
      </c>
      <c r="L50" t="s">
        <v>15</v>
      </c>
      <c r="Q50">
        <v>18977</v>
      </c>
      <c r="R50" t="s">
        <v>307</v>
      </c>
      <c r="S50" t="s">
        <v>308</v>
      </c>
      <c r="T50" s="20">
        <f t="shared" si="0"/>
        <v>2</v>
      </c>
      <c r="U50">
        <f t="shared" si="1"/>
        <v>1009</v>
      </c>
      <c r="V50">
        <f t="shared" si="2"/>
        <v>1007</v>
      </c>
      <c r="W50" cm="1">
        <f t="array" ref="W50">_xlfn._xlws.FILTER(shifts!A:A,(shifts!B:B=events!D50)*(shifts!AH:AH&gt;=events!U50)*(shifts!AI:AI&lt;=events!V50))</f>
        <v>2</v>
      </c>
      <c r="X50" t="str">
        <f t="shared" si="3"/>
        <v>event_team_player_1</v>
      </c>
      <c r="Y50">
        <f>COUNTIFS(A$3:A50,"="&amp;A50,K$3:K50,"="&amp;K50)</f>
        <v>1</v>
      </c>
      <c r="Z50" s="20">
        <f>SUMIFS(T$3:T50,L$3:L50,"=Intermission")+SUMIFS(T$3:T50,L$3:L50,"=Timeout")+SUMIFS(T$3:T50,L$3:L50,"=Clockstop")</f>
        <v>0</v>
      </c>
      <c r="AA50">
        <f t="shared" si="4"/>
        <v>0</v>
      </c>
      <c r="AB50" s="26">
        <f t="shared" si="5"/>
        <v>71</v>
      </c>
      <c r="AC50">
        <f t="shared" si="6"/>
        <v>0</v>
      </c>
    </row>
    <row r="51" spans="1:29" x14ac:dyDescent="0.2">
      <c r="A51">
        <v>26</v>
      </c>
      <c r="D51">
        <f t="shared" si="8"/>
        <v>1</v>
      </c>
      <c r="E51">
        <v>16</v>
      </c>
      <c r="F51">
        <v>47</v>
      </c>
      <c r="H51" s="7"/>
      <c r="I51" t="s">
        <v>178</v>
      </c>
      <c r="J51">
        <v>87</v>
      </c>
      <c r="K51" t="s">
        <v>488</v>
      </c>
      <c r="L51" t="s">
        <v>8</v>
      </c>
      <c r="M51" t="s">
        <v>29</v>
      </c>
      <c r="N51" t="s">
        <v>72</v>
      </c>
      <c r="Q51">
        <v>18977</v>
      </c>
      <c r="R51" t="s">
        <v>307</v>
      </c>
      <c r="S51" t="s">
        <v>308</v>
      </c>
      <c r="T51" s="20">
        <f t="shared" si="0"/>
        <v>0</v>
      </c>
      <c r="U51">
        <f t="shared" si="1"/>
        <v>1007</v>
      </c>
      <c r="V51">
        <f t="shared" si="2"/>
        <v>1007</v>
      </c>
      <c r="W51" cm="1">
        <f t="array" ref="W51">_xlfn._xlws.FILTER(shifts!A:A,(shifts!B:B=events!D51)*(shifts!AH:AH&gt;=events!U51)*(shifts!AI:AI&lt;=events!V51))</f>
        <v>2</v>
      </c>
      <c r="X51" t="str">
        <f t="shared" si="3"/>
        <v>event_team_player_2</v>
      </c>
      <c r="Y51">
        <f>COUNTIFS(A$3:A51,"="&amp;A51,K$3:K51,"="&amp;K51)</f>
        <v>2</v>
      </c>
      <c r="Z51" s="20">
        <f>SUMIFS(T$3:T51,L$3:L51,"=Intermission")+SUMIFS(T$3:T51,L$3:L51,"=Timeout")+SUMIFS(T$3:T51,L$3:L51,"=Clockstop")</f>
        <v>0</v>
      </c>
      <c r="AA51">
        <f t="shared" si="4"/>
        <v>0</v>
      </c>
      <c r="AB51" s="26">
        <f t="shared" si="5"/>
        <v>73</v>
      </c>
      <c r="AC51">
        <f t="shared" si="6"/>
        <v>0</v>
      </c>
    </row>
    <row r="52" spans="1:29" x14ac:dyDescent="0.2">
      <c r="A52">
        <v>26</v>
      </c>
      <c r="D52">
        <f t="shared" si="8"/>
        <v>1</v>
      </c>
      <c r="E52">
        <v>16</v>
      </c>
      <c r="F52">
        <v>47</v>
      </c>
      <c r="H52" s="7"/>
      <c r="I52" t="s">
        <v>178</v>
      </c>
      <c r="J52">
        <v>75</v>
      </c>
      <c r="K52" t="s">
        <v>488</v>
      </c>
      <c r="L52" t="s">
        <v>8</v>
      </c>
      <c r="M52" t="s">
        <v>29</v>
      </c>
      <c r="N52" t="s">
        <v>72</v>
      </c>
      <c r="Q52">
        <v>18977</v>
      </c>
      <c r="R52" t="s">
        <v>307</v>
      </c>
      <c r="S52" t="s">
        <v>308</v>
      </c>
      <c r="T52" s="20">
        <f t="shared" si="0"/>
        <v>0</v>
      </c>
      <c r="U52">
        <f t="shared" si="1"/>
        <v>1007</v>
      </c>
      <c r="V52">
        <f t="shared" si="2"/>
        <v>1007</v>
      </c>
      <c r="W52" cm="1">
        <f t="array" ref="W52">_xlfn._xlws.FILTER(shifts!A:A,(shifts!B:B=events!D52)*(shifts!AH:AH&gt;=events!U52)*(shifts!AI:AI&lt;=events!V52))</f>
        <v>2</v>
      </c>
      <c r="X52" t="str">
        <f t="shared" si="3"/>
        <v>event_team_player_3</v>
      </c>
      <c r="Y52">
        <f>COUNTIFS(A$3:A52,"="&amp;A52,K$3:K52,"="&amp;K52)</f>
        <v>3</v>
      </c>
      <c r="Z52" s="20">
        <f>SUMIFS(T$3:T52,L$3:L52,"=Intermission")+SUMIFS(T$3:T52,L$3:L52,"=Timeout")+SUMIFS(T$3:T52,L$3:L52,"=Clockstop")</f>
        <v>0</v>
      </c>
      <c r="AA52">
        <f t="shared" si="4"/>
        <v>0</v>
      </c>
      <c r="AB52" s="26">
        <f t="shared" si="5"/>
        <v>73</v>
      </c>
      <c r="AC52">
        <f t="shared" si="6"/>
        <v>0</v>
      </c>
    </row>
    <row r="53" spans="1:29" x14ac:dyDescent="0.2">
      <c r="A53">
        <v>26</v>
      </c>
      <c r="D53">
        <f t="shared" si="8"/>
        <v>1</v>
      </c>
      <c r="E53">
        <v>16</v>
      </c>
      <c r="F53">
        <v>47</v>
      </c>
      <c r="H53" s="7"/>
      <c r="I53" t="s">
        <v>178</v>
      </c>
      <c r="J53">
        <v>11</v>
      </c>
      <c r="K53" t="s">
        <v>489</v>
      </c>
      <c r="L53" t="s">
        <v>8</v>
      </c>
      <c r="M53" t="s">
        <v>29</v>
      </c>
      <c r="N53" t="s">
        <v>72</v>
      </c>
      <c r="Q53">
        <v>18977</v>
      </c>
      <c r="R53" t="s">
        <v>307</v>
      </c>
      <c r="S53" t="s">
        <v>308</v>
      </c>
      <c r="T53" s="20">
        <f t="shared" si="0"/>
        <v>0</v>
      </c>
      <c r="U53">
        <f t="shared" si="1"/>
        <v>1007</v>
      </c>
      <c r="V53">
        <f t="shared" si="2"/>
        <v>1007</v>
      </c>
      <c r="W53" cm="1">
        <f t="array" ref="W53">_xlfn._xlws.FILTER(shifts!A:A,(shifts!B:B=events!D53)*(shifts!AH:AH&gt;=events!U53)*(shifts!AI:AI&lt;=events!V53))</f>
        <v>2</v>
      </c>
      <c r="X53" t="str">
        <f t="shared" si="3"/>
        <v>opp_team_player_1</v>
      </c>
      <c r="Y53">
        <f>COUNTIFS(A$3:A53,"="&amp;A53,K$3:K53,"="&amp;K53)</f>
        <v>1</v>
      </c>
      <c r="Z53" s="20">
        <f>SUMIFS(T$3:T53,L$3:L53,"=Intermission")+SUMIFS(T$3:T53,L$3:L53,"=Timeout")+SUMIFS(T$3:T53,L$3:L53,"=Clockstop")</f>
        <v>0</v>
      </c>
      <c r="AA53">
        <f t="shared" si="4"/>
        <v>0</v>
      </c>
      <c r="AB53" s="26">
        <f t="shared" si="5"/>
        <v>73</v>
      </c>
      <c r="AC53">
        <f t="shared" si="6"/>
        <v>0</v>
      </c>
    </row>
    <row r="54" spans="1:29" x14ac:dyDescent="0.2">
      <c r="A54">
        <v>27</v>
      </c>
      <c r="B54">
        <v>2</v>
      </c>
      <c r="D54">
        <f t="shared" si="8"/>
        <v>1</v>
      </c>
      <c r="E54">
        <v>16</v>
      </c>
      <c r="F54">
        <v>45</v>
      </c>
      <c r="H54" s="7"/>
      <c r="I54" t="s">
        <v>178</v>
      </c>
      <c r="J54">
        <v>75</v>
      </c>
      <c r="K54" t="s">
        <v>488</v>
      </c>
      <c r="L54" t="s">
        <v>10</v>
      </c>
      <c r="M54" t="s">
        <v>33</v>
      </c>
      <c r="N54" t="s">
        <v>75</v>
      </c>
      <c r="Q54">
        <v>18977</v>
      </c>
      <c r="R54" t="s">
        <v>307</v>
      </c>
      <c r="S54" t="s">
        <v>308</v>
      </c>
      <c r="T54" s="20">
        <f t="shared" si="0"/>
        <v>0</v>
      </c>
      <c r="U54">
        <f t="shared" si="1"/>
        <v>1005</v>
      </c>
      <c r="V54">
        <f t="shared" si="2"/>
        <v>1005</v>
      </c>
      <c r="W54" cm="1">
        <f t="array" ref="W54">_xlfn._xlws.FILTER(shifts!A:A,(shifts!B:B=events!D54)*(shifts!AH:AH&gt;=events!U54)*(shifts!AI:AI&lt;=events!V54))</f>
        <v>2</v>
      </c>
      <c r="X54" t="str">
        <f t="shared" si="3"/>
        <v>event_team_player_1</v>
      </c>
      <c r="Y54">
        <f>COUNTIFS(A$3:A54,"="&amp;A54,K$3:K54,"="&amp;K54)</f>
        <v>1</v>
      </c>
      <c r="Z54" s="20">
        <f>SUMIFS(T$3:T54,L$3:L54,"=Intermission")+SUMIFS(T$3:T54,L$3:L54,"=Timeout")+SUMIFS(T$3:T54,L$3:L54,"=Clockstop")</f>
        <v>0</v>
      </c>
      <c r="AA54">
        <f t="shared" si="4"/>
        <v>0</v>
      </c>
      <c r="AB54" s="26">
        <f t="shared" si="5"/>
        <v>75</v>
      </c>
      <c r="AC54">
        <f t="shared" si="6"/>
        <v>0</v>
      </c>
    </row>
    <row r="55" spans="1:29" x14ac:dyDescent="0.2">
      <c r="A55">
        <v>27</v>
      </c>
      <c r="B55">
        <v>2</v>
      </c>
      <c r="D55">
        <f t="shared" si="8"/>
        <v>1</v>
      </c>
      <c r="E55">
        <v>16</v>
      </c>
      <c r="F55">
        <v>45</v>
      </c>
      <c r="H55" s="7"/>
      <c r="I55" t="s">
        <v>178</v>
      </c>
      <c r="J55">
        <v>22</v>
      </c>
      <c r="K55" t="s">
        <v>488</v>
      </c>
      <c r="L55" t="s">
        <v>10</v>
      </c>
      <c r="M55" t="s">
        <v>33</v>
      </c>
      <c r="N55" t="s">
        <v>75</v>
      </c>
      <c r="Q55">
        <v>18977</v>
      </c>
      <c r="R55" t="s">
        <v>307</v>
      </c>
      <c r="S55" t="s">
        <v>308</v>
      </c>
      <c r="T55" s="20">
        <f t="shared" si="0"/>
        <v>0</v>
      </c>
      <c r="U55">
        <f t="shared" si="1"/>
        <v>1005</v>
      </c>
      <c r="V55">
        <f t="shared" si="2"/>
        <v>1005</v>
      </c>
      <c r="W55" cm="1">
        <f t="array" ref="W55">_xlfn._xlws.FILTER(shifts!A:A,(shifts!B:B=events!D55)*(shifts!AH:AH&gt;=events!U55)*(shifts!AI:AI&lt;=events!V55))</f>
        <v>2</v>
      </c>
      <c r="X55" t="str">
        <f t="shared" si="3"/>
        <v>event_team_player_2</v>
      </c>
      <c r="Y55">
        <f>COUNTIFS(A$3:A55,"="&amp;A55,K$3:K55,"="&amp;K55)</f>
        <v>2</v>
      </c>
      <c r="Z55" s="20">
        <f>SUMIFS(T$3:T55,L$3:L55,"=Intermission")+SUMIFS(T$3:T55,L$3:L55,"=Timeout")+SUMIFS(T$3:T55,L$3:L55,"=Clockstop")</f>
        <v>0</v>
      </c>
      <c r="AA55">
        <f t="shared" si="4"/>
        <v>0</v>
      </c>
      <c r="AB55" s="26">
        <f t="shared" si="5"/>
        <v>75</v>
      </c>
      <c r="AC55">
        <f t="shared" si="6"/>
        <v>0</v>
      </c>
    </row>
    <row r="56" spans="1:29" x14ac:dyDescent="0.2">
      <c r="A56">
        <v>27</v>
      </c>
      <c r="B56">
        <v>2</v>
      </c>
      <c r="D56">
        <f t="shared" si="8"/>
        <v>1</v>
      </c>
      <c r="E56">
        <v>16</v>
      </c>
      <c r="F56">
        <v>45</v>
      </c>
      <c r="H56" s="7"/>
      <c r="I56" t="s">
        <v>178</v>
      </c>
      <c r="J56">
        <v>19</v>
      </c>
      <c r="K56" t="s">
        <v>489</v>
      </c>
      <c r="L56" t="s">
        <v>10</v>
      </c>
      <c r="M56" t="s">
        <v>33</v>
      </c>
      <c r="N56" t="s">
        <v>75</v>
      </c>
      <c r="Q56">
        <v>18977</v>
      </c>
      <c r="R56" t="s">
        <v>307</v>
      </c>
      <c r="S56" t="s">
        <v>308</v>
      </c>
      <c r="T56" s="20">
        <f t="shared" si="0"/>
        <v>0</v>
      </c>
      <c r="U56">
        <f t="shared" si="1"/>
        <v>1005</v>
      </c>
      <c r="V56">
        <f t="shared" si="2"/>
        <v>1005</v>
      </c>
      <c r="W56" cm="1">
        <f t="array" ref="W56">_xlfn._xlws.FILTER(shifts!A:A,(shifts!B:B=events!D56)*(shifts!AH:AH&gt;=events!U56)*(shifts!AI:AI&lt;=events!V56))</f>
        <v>2</v>
      </c>
      <c r="X56" t="str">
        <f t="shared" si="3"/>
        <v>opp_team_player_1</v>
      </c>
      <c r="Y56">
        <f>COUNTIFS(A$3:A56,"="&amp;A56,K$3:K56,"="&amp;K56)</f>
        <v>1</v>
      </c>
      <c r="Z56" s="20">
        <f>SUMIFS(T$3:T56,L$3:L56,"=Intermission")+SUMIFS(T$3:T56,L$3:L56,"=Timeout")+SUMIFS(T$3:T56,L$3:L56,"=Clockstop")</f>
        <v>0</v>
      </c>
      <c r="AA56">
        <f t="shared" si="4"/>
        <v>0</v>
      </c>
      <c r="AB56" s="26">
        <f t="shared" si="5"/>
        <v>75</v>
      </c>
      <c r="AC56">
        <f t="shared" si="6"/>
        <v>0</v>
      </c>
    </row>
    <row r="57" spans="1:29" x14ac:dyDescent="0.2">
      <c r="A57">
        <v>28</v>
      </c>
      <c r="B57">
        <v>2</v>
      </c>
      <c r="D57">
        <f t="shared" si="8"/>
        <v>1</v>
      </c>
      <c r="E57">
        <v>16</v>
      </c>
      <c r="F57">
        <v>45</v>
      </c>
      <c r="G57">
        <v>16</v>
      </c>
      <c r="H57" s="7">
        <v>43</v>
      </c>
      <c r="I57" t="s">
        <v>179</v>
      </c>
      <c r="J57">
        <v>19</v>
      </c>
      <c r="K57" t="s">
        <v>488</v>
      </c>
      <c r="L57" t="s">
        <v>277</v>
      </c>
      <c r="M57" t="s">
        <v>36</v>
      </c>
      <c r="N57" t="s">
        <v>87</v>
      </c>
      <c r="Q57">
        <v>18977</v>
      </c>
      <c r="R57" t="s">
        <v>307</v>
      </c>
      <c r="S57" t="s">
        <v>308</v>
      </c>
      <c r="T57" s="20">
        <f t="shared" si="0"/>
        <v>2</v>
      </c>
      <c r="U57">
        <f t="shared" si="1"/>
        <v>1005</v>
      </c>
      <c r="V57">
        <f t="shared" si="2"/>
        <v>1003</v>
      </c>
      <c r="W57" cm="1">
        <f t="array" ref="W57">_xlfn._xlws.FILTER(shifts!A:A,(shifts!B:B=events!D57)*(shifts!AH:AH&gt;=events!U57)*(shifts!AI:AI&lt;=events!V57))</f>
        <v>2</v>
      </c>
      <c r="X57" t="str">
        <f t="shared" si="3"/>
        <v>event_team_player_1</v>
      </c>
      <c r="Y57">
        <f>COUNTIFS(A$3:A57,"="&amp;A57,K$3:K57,"="&amp;K57)</f>
        <v>1</v>
      </c>
      <c r="Z57" s="20">
        <f>SUMIFS(T$3:T57,L$3:L57,"=Intermission")+SUMIFS(T$3:T57,L$3:L57,"=Timeout")+SUMIFS(T$3:T57,L$3:L57,"=Clockstop")</f>
        <v>0</v>
      </c>
      <c r="AA57">
        <f t="shared" si="4"/>
        <v>0</v>
      </c>
      <c r="AB57" s="26">
        <f t="shared" si="5"/>
        <v>75</v>
      </c>
      <c r="AC57">
        <f t="shared" si="6"/>
        <v>0</v>
      </c>
    </row>
    <row r="58" spans="1:29" x14ac:dyDescent="0.2">
      <c r="A58">
        <v>29</v>
      </c>
      <c r="B58">
        <v>2</v>
      </c>
      <c r="D58">
        <f t="shared" si="8"/>
        <v>1</v>
      </c>
      <c r="E58">
        <v>16</v>
      </c>
      <c r="F58">
        <v>43</v>
      </c>
      <c r="G58">
        <v>16</v>
      </c>
      <c r="H58" s="7">
        <v>40</v>
      </c>
      <c r="I58" t="s">
        <v>179</v>
      </c>
      <c r="J58">
        <v>19</v>
      </c>
      <c r="K58" t="s">
        <v>488</v>
      </c>
      <c r="L58" t="s">
        <v>15</v>
      </c>
      <c r="Q58">
        <v>18977</v>
      </c>
      <c r="R58" t="s">
        <v>307</v>
      </c>
      <c r="S58" t="s">
        <v>308</v>
      </c>
      <c r="T58" s="20">
        <f t="shared" si="0"/>
        <v>3</v>
      </c>
      <c r="U58">
        <f t="shared" si="1"/>
        <v>1003</v>
      </c>
      <c r="V58">
        <f t="shared" si="2"/>
        <v>1000</v>
      </c>
      <c r="W58" cm="1">
        <f t="array" ref="W58">_xlfn._xlws.FILTER(shifts!A:A,(shifts!B:B=events!D58)*(shifts!AH:AH&gt;=events!U58)*(shifts!AI:AI&lt;=events!V58))</f>
        <v>2</v>
      </c>
      <c r="X58" t="str">
        <f t="shared" si="3"/>
        <v>event_team_player_1</v>
      </c>
      <c r="Y58">
        <f>COUNTIFS(A$3:A58,"="&amp;A58,K$3:K58,"="&amp;K58)</f>
        <v>1</v>
      </c>
      <c r="Z58" s="20">
        <f>SUMIFS(T$3:T58,L$3:L58,"=Intermission")+SUMIFS(T$3:T58,L$3:L58,"=Timeout")+SUMIFS(T$3:T58,L$3:L58,"=Clockstop")</f>
        <v>0</v>
      </c>
      <c r="AA58">
        <f t="shared" si="4"/>
        <v>0</v>
      </c>
      <c r="AB58" s="26">
        <f t="shared" si="5"/>
        <v>77</v>
      </c>
      <c r="AC58">
        <f t="shared" si="6"/>
        <v>0</v>
      </c>
    </row>
    <row r="59" spans="1:29" x14ac:dyDescent="0.2">
      <c r="A59">
        <v>30</v>
      </c>
      <c r="B59">
        <v>2</v>
      </c>
      <c r="C59" s="7">
        <v>2</v>
      </c>
      <c r="D59">
        <f t="shared" si="8"/>
        <v>1</v>
      </c>
      <c r="E59">
        <v>16</v>
      </c>
      <c r="F59">
        <v>40</v>
      </c>
      <c r="G59">
        <v>16</v>
      </c>
      <c r="H59" s="7">
        <v>39</v>
      </c>
      <c r="I59" t="s">
        <v>179</v>
      </c>
      <c r="J59">
        <v>19</v>
      </c>
      <c r="K59" t="s">
        <v>488</v>
      </c>
      <c r="L59" t="s">
        <v>277</v>
      </c>
      <c r="M59" t="s">
        <v>35</v>
      </c>
      <c r="N59" t="s">
        <v>87</v>
      </c>
      <c r="Q59">
        <v>18977</v>
      </c>
      <c r="R59" t="s">
        <v>307</v>
      </c>
      <c r="S59" t="s">
        <v>308</v>
      </c>
      <c r="T59" s="20">
        <f t="shared" si="0"/>
        <v>1</v>
      </c>
      <c r="U59">
        <f t="shared" si="1"/>
        <v>1000</v>
      </c>
      <c r="V59">
        <f t="shared" si="2"/>
        <v>999</v>
      </c>
      <c r="W59" cm="1">
        <f t="array" ref="W59">_xlfn._xlws.FILTER(shifts!A:A,(shifts!B:B=events!D59)*(shifts!AH:AH&gt;=events!U59)*(shifts!AI:AI&lt;=events!V59))</f>
        <v>3</v>
      </c>
      <c r="X59" t="str">
        <f t="shared" si="3"/>
        <v>event_team_player_1</v>
      </c>
      <c r="Y59">
        <f>COUNTIFS(A$3:A59,"="&amp;A59,K$3:K59,"="&amp;K59)</f>
        <v>1</v>
      </c>
      <c r="Z59" s="20">
        <f>SUMIFS(T$3:T59,L$3:L59,"=Intermission")+SUMIFS(T$3:T59,L$3:L59,"=Timeout")+SUMIFS(T$3:T59,L$3:L59,"=Clockstop")</f>
        <v>0</v>
      </c>
      <c r="AA59">
        <f t="shared" si="4"/>
        <v>0</v>
      </c>
      <c r="AB59" s="26">
        <f t="shared" si="5"/>
        <v>80</v>
      </c>
      <c r="AC59">
        <f t="shared" si="6"/>
        <v>0</v>
      </c>
    </row>
    <row r="60" spans="1:29" x14ac:dyDescent="0.2">
      <c r="A60">
        <v>30</v>
      </c>
      <c r="B60">
        <v>2</v>
      </c>
      <c r="C60" s="7">
        <v>2</v>
      </c>
      <c r="D60">
        <f t="shared" si="8"/>
        <v>1</v>
      </c>
      <c r="E60">
        <v>16</v>
      </c>
      <c r="F60">
        <v>40</v>
      </c>
      <c r="G60">
        <v>16</v>
      </c>
      <c r="H60" s="7">
        <v>39</v>
      </c>
      <c r="I60" t="s">
        <v>179</v>
      </c>
      <c r="J60">
        <v>87</v>
      </c>
      <c r="K60" t="s">
        <v>489</v>
      </c>
      <c r="L60" t="s">
        <v>277</v>
      </c>
      <c r="M60" t="s">
        <v>35</v>
      </c>
      <c r="N60" t="s">
        <v>87</v>
      </c>
      <c r="Q60">
        <v>18977</v>
      </c>
      <c r="R60" t="s">
        <v>307</v>
      </c>
      <c r="S60" t="s">
        <v>308</v>
      </c>
      <c r="T60" s="20">
        <f t="shared" si="0"/>
        <v>1</v>
      </c>
      <c r="U60">
        <f t="shared" si="1"/>
        <v>1000</v>
      </c>
      <c r="V60">
        <f t="shared" si="2"/>
        <v>999</v>
      </c>
      <c r="W60" cm="1">
        <f t="array" ref="W60">_xlfn._xlws.FILTER(shifts!A:A,(shifts!B:B=events!D60)*(shifts!AH:AH&gt;=events!U60)*(shifts!AI:AI&lt;=events!V60))</f>
        <v>3</v>
      </c>
      <c r="X60" t="str">
        <f t="shared" si="3"/>
        <v>opp_team_player_1</v>
      </c>
      <c r="Y60">
        <f>COUNTIFS(A$3:A60,"="&amp;A60,K$3:K60,"="&amp;K60)</f>
        <v>1</v>
      </c>
      <c r="Z60" s="20">
        <f>SUMIFS(T$3:T60,L$3:L60,"=Intermission")+SUMIFS(T$3:T60,L$3:L60,"=Timeout")+SUMIFS(T$3:T60,L$3:L60,"=Clockstop")</f>
        <v>0</v>
      </c>
      <c r="AA60">
        <f t="shared" si="4"/>
        <v>0</v>
      </c>
      <c r="AB60" s="26">
        <f t="shared" si="5"/>
        <v>80</v>
      </c>
      <c r="AC60">
        <f t="shared" si="6"/>
        <v>0</v>
      </c>
    </row>
    <row r="61" spans="1:29" x14ac:dyDescent="0.2">
      <c r="A61">
        <v>31</v>
      </c>
      <c r="B61">
        <v>2</v>
      </c>
      <c r="C61" s="7">
        <v>2</v>
      </c>
      <c r="D61">
        <f t="shared" si="8"/>
        <v>1</v>
      </c>
      <c r="E61">
        <v>16</v>
      </c>
      <c r="F61">
        <v>39</v>
      </c>
      <c r="H61" s="7"/>
      <c r="I61" t="s">
        <v>179</v>
      </c>
      <c r="J61">
        <v>19</v>
      </c>
      <c r="K61" t="s">
        <v>488</v>
      </c>
      <c r="L61" t="s">
        <v>7</v>
      </c>
      <c r="M61" t="s">
        <v>22</v>
      </c>
      <c r="N61" t="s">
        <v>53</v>
      </c>
      <c r="Q61">
        <v>18977</v>
      </c>
      <c r="R61" t="s">
        <v>307</v>
      </c>
      <c r="S61" t="s">
        <v>308</v>
      </c>
      <c r="T61" s="20">
        <f t="shared" si="0"/>
        <v>0</v>
      </c>
      <c r="U61">
        <f t="shared" si="1"/>
        <v>999</v>
      </c>
      <c r="V61">
        <f t="shared" si="2"/>
        <v>999</v>
      </c>
      <c r="W61" cm="1">
        <f t="array" ref="W61">_xlfn._xlws.FILTER(shifts!A:A,(shifts!B:B=events!D61)*(shifts!AH:AH&gt;=events!U61)*(shifts!AI:AI&lt;=events!V61))</f>
        <v>3</v>
      </c>
      <c r="X61" t="str">
        <f t="shared" si="3"/>
        <v>event_team_player_1</v>
      </c>
      <c r="Y61">
        <f>COUNTIFS(A$3:A61,"="&amp;A61,K$3:K61,"="&amp;K61)</f>
        <v>1</v>
      </c>
      <c r="Z61" s="20">
        <f>SUMIFS(T$3:T61,L$3:L61,"=Intermission")+SUMIFS(T$3:T61,L$3:L61,"=Timeout")+SUMIFS(T$3:T61,L$3:L61,"=Clockstop")</f>
        <v>0</v>
      </c>
      <c r="AA61">
        <f t="shared" si="4"/>
        <v>0</v>
      </c>
      <c r="AB61" s="26">
        <f t="shared" si="5"/>
        <v>81</v>
      </c>
      <c r="AC61">
        <f t="shared" si="6"/>
        <v>0</v>
      </c>
    </row>
    <row r="62" spans="1:29" x14ac:dyDescent="0.2">
      <c r="A62">
        <v>31</v>
      </c>
      <c r="B62">
        <v>2</v>
      </c>
      <c r="C62" s="7">
        <v>2</v>
      </c>
      <c r="D62">
        <f t="shared" si="8"/>
        <v>1</v>
      </c>
      <c r="E62">
        <v>16</v>
      </c>
      <c r="F62">
        <v>39</v>
      </c>
      <c r="H62" s="7"/>
      <c r="I62" t="s">
        <v>179</v>
      </c>
      <c r="J62">
        <v>39</v>
      </c>
      <c r="K62" t="s">
        <v>489</v>
      </c>
      <c r="L62" t="s">
        <v>7</v>
      </c>
      <c r="M62" t="s">
        <v>22</v>
      </c>
      <c r="N62" t="s">
        <v>53</v>
      </c>
      <c r="Q62">
        <v>18977</v>
      </c>
      <c r="R62" t="s">
        <v>307</v>
      </c>
      <c r="S62" t="s">
        <v>308</v>
      </c>
      <c r="T62" s="20">
        <f t="shared" si="0"/>
        <v>0</v>
      </c>
      <c r="U62">
        <f t="shared" si="1"/>
        <v>999</v>
      </c>
      <c r="V62">
        <f t="shared" si="2"/>
        <v>999</v>
      </c>
      <c r="W62" cm="1">
        <f t="array" ref="W62">_xlfn._xlws.FILTER(shifts!A:A,(shifts!B:B=events!D62)*(shifts!AH:AH&gt;=events!U62)*(shifts!AI:AI&lt;=events!V62))</f>
        <v>3</v>
      </c>
      <c r="X62" t="str">
        <f t="shared" si="3"/>
        <v>opp_team_player_1</v>
      </c>
      <c r="Y62">
        <f>COUNTIFS(A$3:A62,"="&amp;A62,K$3:K62,"="&amp;K62)</f>
        <v>1</v>
      </c>
      <c r="Z62" s="20">
        <f>SUMIFS(T$3:T62,L$3:L62,"=Intermission")+SUMIFS(T$3:T62,L$3:L62,"=Timeout")+SUMIFS(T$3:T62,L$3:L62,"=Clockstop")</f>
        <v>0</v>
      </c>
      <c r="AA62">
        <f t="shared" si="4"/>
        <v>0</v>
      </c>
      <c r="AB62" s="26">
        <f t="shared" si="5"/>
        <v>81</v>
      </c>
      <c r="AC62">
        <f t="shared" si="6"/>
        <v>0</v>
      </c>
    </row>
    <row r="63" spans="1:29" x14ac:dyDescent="0.2">
      <c r="A63">
        <v>31</v>
      </c>
      <c r="B63">
        <v>2</v>
      </c>
      <c r="C63" s="7">
        <v>2</v>
      </c>
      <c r="D63">
        <f t="shared" si="8"/>
        <v>1</v>
      </c>
      <c r="E63">
        <v>16</v>
      </c>
      <c r="F63">
        <v>39</v>
      </c>
      <c r="H63" s="7"/>
      <c r="I63" t="s">
        <v>179</v>
      </c>
      <c r="J63">
        <v>87</v>
      </c>
      <c r="K63" t="s">
        <v>489</v>
      </c>
      <c r="L63" t="s">
        <v>7</v>
      </c>
      <c r="M63" t="s">
        <v>22</v>
      </c>
      <c r="N63" t="s">
        <v>53</v>
      </c>
      <c r="Q63">
        <v>18977</v>
      </c>
      <c r="R63" t="s">
        <v>307</v>
      </c>
      <c r="S63" t="s">
        <v>308</v>
      </c>
      <c r="T63" s="20">
        <f t="shared" si="0"/>
        <v>0</v>
      </c>
      <c r="U63">
        <f t="shared" si="1"/>
        <v>999</v>
      </c>
      <c r="V63">
        <f t="shared" si="2"/>
        <v>999</v>
      </c>
      <c r="W63" cm="1">
        <f t="array" ref="W63">_xlfn._xlws.FILTER(shifts!A:A,(shifts!B:B=events!D63)*(shifts!AH:AH&gt;=events!U63)*(shifts!AI:AI&lt;=events!V63))</f>
        <v>3</v>
      </c>
      <c r="X63" t="str">
        <f t="shared" si="3"/>
        <v>opp_team_player_2</v>
      </c>
      <c r="Y63">
        <f>COUNTIFS(A$3:A63,"="&amp;A63,K$3:K63,"="&amp;K63)</f>
        <v>2</v>
      </c>
      <c r="Z63" s="20">
        <f>SUMIFS(T$3:T63,L$3:L63,"=Intermission")+SUMIFS(T$3:T63,L$3:L63,"=Timeout")+SUMIFS(T$3:T63,L$3:L63,"=Clockstop")</f>
        <v>0</v>
      </c>
      <c r="AA63">
        <f t="shared" si="4"/>
        <v>0</v>
      </c>
      <c r="AB63" s="26">
        <f t="shared" si="5"/>
        <v>81</v>
      </c>
      <c r="AC63">
        <f t="shared" si="6"/>
        <v>0</v>
      </c>
    </row>
    <row r="64" spans="1:29" x14ac:dyDescent="0.2">
      <c r="A64">
        <v>32</v>
      </c>
      <c r="B64">
        <v>2</v>
      </c>
      <c r="C64" s="7">
        <v>2</v>
      </c>
      <c r="D64">
        <f t="shared" si="8"/>
        <v>1</v>
      </c>
      <c r="E64">
        <v>16</v>
      </c>
      <c r="F64">
        <v>39</v>
      </c>
      <c r="H64" s="7"/>
      <c r="I64" t="s">
        <v>178</v>
      </c>
      <c r="J64">
        <v>39</v>
      </c>
      <c r="K64" t="s">
        <v>488</v>
      </c>
      <c r="L64" t="s">
        <v>17</v>
      </c>
      <c r="M64" t="s">
        <v>181</v>
      </c>
      <c r="N64" t="s">
        <v>102</v>
      </c>
      <c r="Q64">
        <v>18977</v>
      </c>
      <c r="R64" t="s">
        <v>307</v>
      </c>
      <c r="S64" t="s">
        <v>308</v>
      </c>
      <c r="T64" s="20">
        <f t="shared" si="0"/>
        <v>0</v>
      </c>
      <c r="U64">
        <f t="shared" si="1"/>
        <v>999</v>
      </c>
      <c r="V64">
        <f t="shared" si="2"/>
        <v>999</v>
      </c>
      <c r="W64" cm="1">
        <f t="array" ref="W64">_xlfn._xlws.FILTER(shifts!A:A,(shifts!B:B=events!D64)*(shifts!AH:AH&gt;=events!U64)*(shifts!AI:AI&lt;=events!V64))</f>
        <v>3</v>
      </c>
      <c r="X64" t="str">
        <f t="shared" si="3"/>
        <v>event_team_player_1</v>
      </c>
      <c r="Y64">
        <f>COUNTIFS(A$3:A64,"="&amp;A64,K$3:K64,"="&amp;K64)</f>
        <v>1</v>
      </c>
      <c r="Z64" s="20">
        <f>SUMIFS(T$3:T64,L$3:L64,"=Intermission")+SUMIFS(T$3:T64,L$3:L64,"=Timeout")+SUMIFS(T$3:T64,L$3:L64,"=Clockstop")</f>
        <v>0</v>
      </c>
      <c r="AA64">
        <f t="shared" si="4"/>
        <v>0</v>
      </c>
      <c r="AB64" s="26">
        <f t="shared" si="5"/>
        <v>81</v>
      </c>
      <c r="AC64">
        <f t="shared" si="6"/>
        <v>0</v>
      </c>
    </row>
    <row r="65" spans="1:29" x14ac:dyDescent="0.2">
      <c r="A65">
        <v>32</v>
      </c>
      <c r="B65">
        <v>2</v>
      </c>
      <c r="C65" s="7">
        <v>2</v>
      </c>
      <c r="D65">
        <f t="shared" si="8"/>
        <v>1</v>
      </c>
      <c r="E65">
        <v>16</v>
      </c>
      <c r="F65">
        <v>39</v>
      </c>
      <c r="H65" s="7"/>
      <c r="I65" t="s">
        <v>178</v>
      </c>
      <c r="J65">
        <v>19</v>
      </c>
      <c r="K65" t="s">
        <v>489</v>
      </c>
      <c r="L65" t="s">
        <v>17</v>
      </c>
      <c r="M65" t="s">
        <v>181</v>
      </c>
      <c r="N65" t="s">
        <v>102</v>
      </c>
      <c r="Q65">
        <v>18977</v>
      </c>
      <c r="R65" t="s">
        <v>307</v>
      </c>
      <c r="S65" t="s">
        <v>308</v>
      </c>
      <c r="T65" s="20">
        <f t="shared" si="0"/>
        <v>0</v>
      </c>
      <c r="U65">
        <f t="shared" si="1"/>
        <v>999</v>
      </c>
      <c r="V65">
        <f t="shared" si="2"/>
        <v>999</v>
      </c>
      <c r="W65" cm="1">
        <f t="array" ref="W65">_xlfn._xlws.FILTER(shifts!A:A,(shifts!B:B=events!D65)*(shifts!AH:AH&gt;=events!U65)*(shifts!AI:AI&lt;=events!V65))</f>
        <v>3</v>
      </c>
      <c r="X65" t="str">
        <f t="shared" si="3"/>
        <v>opp_team_player_1</v>
      </c>
      <c r="Y65">
        <f>COUNTIFS(A$3:A65,"="&amp;A65,K$3:K65,"="&amp;K65)</f>
        <v>1</v>
      </c>
      <c r="Z65" s="20">
        <f>SUMIFS(T$3:T65,L$3:L65,"=Intermission")+SUMIFS(T$3:T65,L$3:L65,"=Timeout")+SUMIFS(T$3:T65,L$3:L65,"=Clockstop")</f>
        <v>0</v>
      </c>
      <c r="AA65">
        <f t="shared" si="4"/>
        <v>0</v>
      </c>
      <c r="AB65" s="26">
        <f t="shared" si="5"/>
        <v>81</v>
      </c>
      <c r="AC65">
        <f t="shared" si="6"/>
        <v>0</v>
      </c>
    </row>
    <row r="66" spans="1:29" x14ac:dyDescent="0.2">
      <c r="A66">
        <v>33</v>
      </c>
      <c r="B66">
        <v>2</v>
      </c>
      <c r="C66" s="7">
        <v>2</v>
      </c>
      <c r="D66">
        <f t="shared" si="8"/>
        <v>1</v>
      </c>
      <c r="E66">
        <v>16</v>
      </c>
      <c r="F66">
        <v>39</v>
      </c>
      <c r="H66" s="7"/>
      <c r="I66" t="s">
        <v>178</v>
      </c>
      <c r="J66">
        <v>39</v>
      </c>
      <c r="K66" t="s">
        <v>488</v>
      </c>
      <c r="L66" t="s">
        <v>13</v>
      </c>
      <c r="M66" t="s">
        <v>39</v>
      </c>
      <c r="N66" t="s">
        <v>110</v>
      </c>
      <c r="Q66">
        <v>18977</v>
      </c>
      <c r="R66" t="s">
        <v>307</v>
      </c>
      <c r="S66" t="s">
        <v>308</v>
      </c>
      <c r="T66" s="20">
        <f t="shared" si="0"/>
        <v>0</v>
      </c>
      <c r="U66">
        <f t="shared" si="1"/>
        <v>999</v>
      </c>
      <c r="V66">
        <f t="shared" si="2"/>
        <v>999</v>
      </c>
      <c r="W66" cm="1">
        <f t="array" ref="W66">_xlfn._xlws.FILTER(shifts!A:A,(shifts!B:B=events!D66)*(shifts!AH:AH&gt;=events!U66)*(shifts!AI:AI&lt;=events!V66))</f>
        <v>3</v>
      </c>
      <c r="X66" t="str">
        <f t="shared" si="3"/>
        <v>event_team_player_1</v>
      </c>
      <c r="Y66">
        <f>COUNTIFS(A$3:A66,"="&amp;A66,K$3:K66,"="&amp;K66)</f>
        <v>1</v>
      </c>
      <c r="Z66" s="20">
        <f>SUMIFS(T$3:T66,L$3:L66,"=Intermission")+SUMIFS(T$3:T66,L$3:L66,"=Timeout")+SUMIFS(T$3:T66,L$3:L66,"=Clockstop")</f>
        <v>0</v>
      </c>
      <c r="AA66">
        <f t="shared" si="4"/>
        <v>0</v>
      </c>
      <c r="AB66" s="26">
        <f t="shared" si="5"/>
        <v>81</v>
      </c>
      <c r="AC66">
        <f t="shared" si="6"/>
        <v>0</v>
      </c>
    </row>
    <row r="67" spans="1:29" x14ac:dyDescent="0.2">
      <c r="A67">
        <v>34</v>
      </c>
      <c r="D67">
        <f t="shared" si="8"/>
        <v>1</v>
      </c>
      <c r="E67">
        <v>16</v>
      </c>
      <c r="F67">
        <v>34</v>
      </c>
      <c r="G67">
        <v>16</v>
      </c>
      <c r="H67" s="7">
        <v>15</v>
      </c>
      <c r="I67" t="s">
        <v>178</v>
      </c>
      <c r="K67" t="s">
        <v>488</v>
      </c>
      <c r="L67" t="s">
        <v>282</v>
      </c>
      <c r="Q67">
        <v>18977</v>
      </c>
      <c r="R67" t="s">
        <v>307</v>
      </c>
      <c r="S67" t="s">
        <v>308</v>
      </c>
      <c r="T67" s="20">
        <f t="shared" ref="T67:T130" si="9">IF(AND(G67="",H67=""),0,((E67*60)+F67)-((G67*60)+H67))</f>
        <v>19</v>
      </c>
      <c r="U67">
        <f t="shared" ref="U67:U130" si="10">(E67*60)+F67</f>
        <v>994</v>
      </c>
      <c r="V67">
        <f t="shared" ref="V67:V130" si="11">IF(AND(G67="",H67=""),U67,((G67*60)+H67))</f>
        <v>975</v>
      </c>
      <c r="W67" cm="1">
        <f t="array" ref="W67">_xlfn._xlws.FILTER(shifts!A:A,(shifts!B:B=events!D67)*(shifts!AH:AH&gt;=events!U67)*(shifts!AI:AI&lt;=events!V67))</f>
        <v>3</v>
      </c>
      <c r="X67" t="str">
        <f t="shared" ref="X67:X130" si="12">IF(K67="e","event_team_player_"&amp;Y67,IF(K67="o","opp_team_player_"&amp;Y67,""))</f>
        <v>event_team_player_1</v>
      </c>
      <c r="Y67">
        <f>COUNTIFS(A$3:A67,"="&amp;A67,K$3:K67,"="&amp;K67)</f>
        <v>1</v>
      </c>
      <c r="Z67" s="20">
        <f>SUMIFS(T$3:T67,L$3:L67,"=Intermission")+SUMIFS(T$3:T67,L$3:L67,"=Timeout")+SUMIFS(T$3:T67,L$3:L67,"=Clockstop")</f>
        <v>0</v>
      </c>
      <c r="AA67">
        <f t="shared" si="4"/>
        <v>0</v>
      </c>
      <c r="AB67" s="26">
        <f t="shared" si="5"/>
        <v>86</v>
      </c>
      <c r="AC67">
        <f t="shared" si="6"/>
        <v>0</v>
      </c>
    </row>
    <row r="68" spans="1:29" x14ac:dyDescent="0.2">
      <c r="A68">
        <v>35</v>
      </c>
      <c r="D68">
        <f t="shared" si="8"/>
        <v>1</v>
      </c>
      <c r="E68">
        <v>16</v>
      </c>
      <c r="F68">
        <v>15</v>
      </c>
      <c r="H68" s="7"/>
      <c r="I68" t="s">
        <v>178</v>
      </c>
      <c r="J68">
        <v>42</v>
      </c>
      <c r="K68" t="s">
        <v>488</v>
      </c>
      <c r="L68" t="s">
        <v>6</v>
      </c>
      <c r="M68" t="s">
        <v>6</v>
      </c>
      <c r="Q68">
        <v>18977</v>
      </c>
      <c r="R68" t="s">
        <v>307</v>
      </c>
      <c r="S68" t="s">
        <v>308</v>
      </c>
      <c r="T68" s="20">
        <f t="shared" si="9"/>
        <v>0</v>
      </c>
      <c r="U68">
        <f t="shared" si="10"/>
        <v>975</v>
      </c>
      <c r="V68">
        <f t="shared" si="11"/>
        <v>975</v>
      </c>
      <c r="W68" cm="1">
        <f t="array" ref="W68">_xlfn._xlws.FILTER(shifts!A:A,(shifts!B:B=events!D68)*(shifts!AH:AH&gt;=events!U68)*(shifts!AI:AI&lt;=events!V68))</f>
        <v>3</v>
      </c>
      <c r="X68" t="str">
        <f t="shared" si="12"/>
        <v>event_team_player_1</v>
      </c>
      <c r="Y68">
        <f>COUNTIFS(A$3:A68,"="&amp;A68,K$3:K68,"="&amp;K68)</f>
        <v>1</v>
      </c>
      <c r="Z68" s="20">
        <f>SUMIFS(T$3:T68,L$3:L68,"=Intermission")+SUMIFS(T$3:T68,L$3:L68,"=Timeout")+SUMIFS(T$3:T68,L$3:L68,"=Clockstop")</f>
        <v>0</v>
      </c>
      <c r="AA68">
        <f t="shared" ref="AA68:AA131" si="13">IF(D68=1,0,IF(D68=2,1080+Z68,IF(D68=3,(1080*2)+Z68,0)))</f>
        <v>0</v>
      </c>
      <c r="AB68" s="26">
        <f t="shared" ref="AB68:AB131" si="14">((1080*D68)-((E68*60)+F68)*D68)+Z68</f>
        <v>105</v>
      </c>
      <c r="AC68">
        <f t="shared" ref="AC68:AC131" si="15">IF(L67="GameStart",0,AA68+Z68)</f>
        <v>0</v>
      </c>
    </row>
    <row r="69" spans="1:29" x14ac:dyDescent="0.2">
      <c r="A69">
        <v>35</v>
      </c>
      <c r="D69">
        <f t="shared" ref="D69:D132" si="16">IF(L69="Intermission",D68+1,D68)</f>
        <v>1</v>
      </c>
      <c r="E69">
        <v>16</v>
      </c>
      <c r="F69">
        <v>15</v>
      </c>
      <c r="H69" s="7"/>
      <c r="I69" t="s">
        <v>178</v>
      </c>
      <c r="J69">
        <v>22</v>
      </c>
      <c r="K69" t="s">
        <v>488</v>
      </c>
      <c r="L69" t="s">
        <v>6</v>
      </c>
      <c r="M69" t="s">
        <v>6</v>
      </c>
      <c r="Q69">
        <v>18977</v>
      </c>
      <c r="R69" t="s">
        <v>307</v>
      </c>
      <c r="S69" t="s">
        <v>308</v>
      </c>
      <c r="T69" s="20">
        <f t="shared" si="9"/>
        <v>0</v>
      </c>
      <c r="U69">
        <f t="shared" si="10"/>
        <v>975</v>
      </c>
      <c r="V69">
        <f t="shared" si="11"/>
        <v>975</v>
      </c>
      <c r="W69" cm="1">
        <f t="array" ref="W69">_xlfn._xlws.FILTER(shifts!A:A,(shifts!B:B=events!D69)*(shifts!AH:AH&gt;=events!U69)*(shifts!AI:AI&lt;=events!V69))</f>
        <v>3</v>
      </c>
      <c r="X69" t="str">
        <f t="shared" si="12"/>
        <v>event_team_player_2</v>
      </c>
      <c r="Y69">
        <f>COUNTIFS(A$3:A69,"="&amp;A69,K$3:K69,"="&amp;K69)</f>
        <v>2</v>
      </c>
      <c r="Z69" s="20">
        <f>SUMIFS(T$3:T69,L$3:L69,"=Intermission")+SUMIFS(T$3:T69,L$3:L69,"=Timeout")+SUMIFS(T$3:T69,L$3:L69,"=Clockstop")</f>
        <v>0</v>
      </c>
      <c r="AA69">
        <f t="shared" si="13"/>
        <v>0</v>
      </c>
      <c r="AB69" s="26">
        <f t="shared" si="14"/>
        <v>105</v>
      </c>
      <c r="AC69">
        <f t="shared" si="15"/>
        <v>0</v>
      </c>
    </row>
    <row r="70" spans="1:29" x14ac:dyDescent="0.2">
      <c r="A70">
        <v>35</v>
      </c>
      <c r="D70">
        <f t="shared" si="16"/>
        <v>1</v>
      </c>
      <c r="E70">
        <v>16</v>
      </c>
      <c r="F70">
        <v>15</v>
      </c>
      <c r="H70" s="7"/>
      <c r="I70" t="s">
        <v>178</v>
      </c>
      <c r="J70">
        <v>26</v>
      </c>
      <c r="K70" t="s">
        <v>489</v>
      </c>
      <c r="L70" t="s">
        <v>6</v>
      </c>
      <c r="M70" t="s">
        <v>6</v>
      </c>
      <c r="Q70">
        <v>18977</v>
      </c>
      <c r="R70" t="s">
        <v>307</v>
      </c>
      <c r="S70" t="s">
        <v>308</v>
      </c>
      <c r="T70" s="20">
        <f t="shared" si="9"/>
        <v>0</v>
      </c>
      <c r="U70">
        <f t="shared" si="10"/>
        <v>975</v>
      </c>
      <c r="V70">
        <f t="shared" si="11"/>
        <v>975</v>
      </c>
      <c r="W70" cm="1">
        <f t="array" ref="W70">_xlfn._xlws.FILTER(shifts!A:A,(shifts!B:B=events!D70)*(shifts!AH:AH&gt;=events!U70)*(shifts!AI:AI&lt;=events!V70))</f>
        <v>3</v>
      </c>
      <c r="X70" t="str">
        <f t="shared" si="12"/>
        <v>opp_team_player_1</v>
      </c>
      <c r="Y70">
        <f>COUNTIFS(A$3:A70,"="&amp;A70,K$3:K70,"="&amp;K70)</f>
        <v>1</v>
      </c>
      <c r="Z70" s="20">
        <f>SUMIFS(T$3:T70,L$3:L70,"=Intermission")+SUMIFS(T$3:T70,L$3:L70,"=Timeout")+SUMIFS(T$3:T70,L$3:L70,"=Clockstop")</f>
        <v>0</v>
      </c>
      <c r="AA70">
        <f t="shared" si="13"/>
        <v>0</v>
      </c>
      <c r="AB70" s="26">
        <f t="shared" si="14"/>
        <v>105</v>
      </c>
      <c r="AC70">
        <f t="shared" si="15"/>
        <v>0</v>
      </c>
    </row>
    <row r="71" spans="1:29" x14ac:dyDescent="0.2">
      <c r="A71">
        <v>36</v>
      </c>
      <c r="D71">
        <f t="shared" si="16"/>
        <v>1</v>
      </c>
      <c r="E71">
        <v>16</v>
      </c>
      <c r="F71">
        <v>15</v>
      </c>
      <c r="G71">
        <v>16</v>
      </c>
      <c r="H71" s="15" t="s">
        <v>313</v>
      </c>
      <c r="I71" t="s">
        <v>178</v>
      </c>
      <c r="J71">
        <v>22</v>
      </c>
      <c r="K71" t="s">
        <v>488</v>
      </c>
      <c r="L71" t="s">
        <v>15</v>
      </c>
      <c r="Q71">
        <v>18977</v>
      </c>
      <c r="R71" t="s">
        <v>307</v>
      </c>
      <c r="S71" t="s">
        <v>308</v>
      </c>
      <c r="T71" s="20">
        <f t="shared" si="9"/>
        <v>7</v>
      </c>
      <c r="U71">
        <f t="shared" si="10"/>
        <v>975</v>
      </c>
      <c r="V71">
        <f t="shared" si="11"/>
        <v>968</v>
      </c>
      <c r="W71" cm="1">
        <f t="array" ref="W71">_xlfn._xlws.FILTER(shifts!A:A,(shifts!B:B=events!D71)*(shifts!AH:AH&gt;=events!U71)*(shifts!AI:AI&lt;=events!V71))</f>
        <v>3</v>
      </c>
      <c r="X71" t="str">
        <f t="shared" si="12"/>
        <v>event_team_player_1</v>
      </c>
      <c r="Y71">
        <f>COUNTIFS(A$3:A71,"="&amp;A71,K$3:K71,"="&amp;K71)</f>
        <v>1</v>
      </c>
      <c r="Z71" s="20">
        <f>SUMIFS(T$3:T71,L$3:L71,"=Intermission")+SUMIFS(T$3:T71,L$3:L71,"=Timeout")+SUMIFS(T$3:T71,L$3:L71,"=Clockstop")</f>
        <v>0</v>
      </c>
      <c r="AA71">
        <f t="shared" si="13"/>
        <v>0</v>
      </c>
      <c r="AB71" s="26">
        <f t="shared" si="14"/>
        <v>105</v>
      </c>
      <c r="AC71">
        <f t="shared" si="15"/>
        <v>0</v>
      </c>
    </row>
    <row r="72" spans="1:29" x14ac:dyDescent="0.2">
      <c r="A72">
        <v>37</v>
      </c>
      <c r="D72">
        <f t="shared" si="16"/>
        <v>1</v>
      </c>
      <c r="E72">
        <v>16</v>
      </c>
      <c r="F72" s="5" t="s">
        <v>313</v>
      </c>
      <c r="H72" s="7"/>
      <c r="I72" t="s">
        <v>178</v>
      </c>
      <c r="J72">
        <v>22</v>
      </c>
      <c r="K72" t="s">
        <v>488</v>
      </c>
      <c r="L72" t="s">
        <v>10</v>
      </c>
      <c r="M72" t="s">
        <v>33</v>
      </c>
      <c r="N72" t="s">
        <v>75</v>
      </c>
      <c r="Q72">
        <v>18977</v>
      </c>
      <c r="R72" t="s">
        <v>307</v>
      </c>
      <c r="S72" t="s">
        <v>308</v>
      </c>
      <c r="T72" s="20">
        <f t="shared" si="9"/>
        <v>0</v>
      </c>
      <c r="U72">
        <f t="shared" si="10"/>
        <v>968</v>
      </c>
      <c r="V72">
        <f t="shared" si="11"/>
        <v>968</v>
      </c>
      <c r="W72" cm="1">
        <f t="array" ref="W72">_xlfn._xlws.FILTER(shifts!A:A,(shifts!B:B=events!D72)*(shifts!AH:AH&gt;=events!U72)*(shifts!AI:AI&lt;=events!V72))</f>
        <v>3</v>
      </c>
      <c r="X72" t="str">
        <f t="shared" si="12"/>
        <v>event_team_player_1</v>
      </c>
      <c r="Y72">
        <f>COUNTIFS(A$3:A72,"="&amp;A72,K$3:K72,"="&amp;K72)</f>
        <v>1</v>
      </c>
      <c r="Z72" s="20">
        <f>SUMIFS(T$3:T72,L$3:L72,"=Intermission")+SUMIFS(T$3:T72,L$3:L72,"=Timeout")+SUMIFS(T$3:T72,L$3:L72,"=Clockstop")</f>
        <v>0</v>
      </c>
      <c r="AA72">
        <f t="shared" si="13"/>
        <v>0</v>
      </c>
      <c r="AB72" s="26">
        <f t="shared" si="14"/>
        <v>112</v>
      </c>
      <c r="AC72">
        <f t="shared" si="15"/>
        <v>0</v>
      </c>
    </row>
    <row r="73" spans="1:29" x14ac:dyDescent="0.2">
      <c r="A73">
        <v>37</v>
      </c>
      <c r="D73">
        <f t="shared" si="16"/>
        <v>1</v>
      </c>
      <c r="E73">
        <v>16</v>
      </c>
      <c r="F73" s="5" t="s">
        <v>313</v>
      </c>
      <c r="H73" s="7"/>
      <c r="I73" t="s">
        <v>178</v>
      </c>
      <c r="J73">
        <v>24</v>
      </c>
      <c r="K73" t="s">
        <v>488</v>
      </c>
      <c r="L73" t="s">
        <v>10</v>
      </c>
      <c r="M73" t="s">
        <v>33</v>
      </c>
      <c r="N73" t="s">
        <v>75</v>
      </c>
      <c r="Q73">
        <v>18977</v>
      </c>
      <c r="R73" t="s">
        <v>307</v>
      </c>
      <c r="S73" t="s">
        <v>308</v>
      </c>
      <c r="T73" s="20">
        <f t="shared" si="9"/>
        <v>0</v>
      </c>
      <c r="U73">
        <f t="shared" si="10"/>
        <v>968</v>
      </c>
      <c r="V73">
        <f t="shared" si="11"/>
        <v>968</v>
      </c>
      <c r="W73" cm="1">
        <f t="array" ref="W73">_xlfn._xlws.FILTER(shifts!A:A,(shifts!B:B=events!D73)*(shifts!AH:AH&gt;=events!U73)*(shifts!AI:AI&lt;=events!V73))</f>
        <v>3</v>
      </c>
      <c r="X73" t="str">
        <f t="shared" si="12"/>
        <v>event_team_player_2</v>
      </c>
      <c r="Y73">
        <f>COUNTIFS(A$3:A73,"="&amp;A73,K$3:K73,"="&amp;K73)</f>
        <v>2</v>
      </c>
      <c r="Z73" s="20">
        <f>SUMIFS(T$3:T73,L$3:L73,"=Intermission")+SUMIFS(T$3:T73,L$3:L73,"=Timeout")+SUMIFS(T$3:T73,L$3:L73,"=Clockstop")</f>
        <v>0</v>
      </c>
      <c r="AA73">
        <f t="shared" si="13"/>
        <v>0</v>
      </c>
      <c r="AB73" s="26">
        <f t="shared" si="14"/>
        <v>112</v>
      </c>
      <c r="AC73">
        <f t="shared" si="15"/>
        <v>0</v>
      </c>
    </row>
    <row r="74" spans="1:29" x14ac:dyDescent="0.2">
      <c r="A74">
        <v>37</v>
      </c>
      <c r="D74">
        <f t="shared" si="16"/>
        <v>1</v>
      </c>
      <c r="E74">
        <v>16</v>
      </c>
      <c r="F74" s="5" t="s">
        <v>313</v>
      </c>
      <c r="H74" s="7"/>
      <c r="I74" t="s">
        <v>178</v>
      </c>
      <c r="J74">
        <v>13</v>
      </c>
      <c r="K74" t="s">
        <v>489</v>
      </c>
      <c r="L74" t="s">
        <v>10</v>
      </c>
      <c r="M74" t="s">
        <v>33</v>
      </c>
      <c r="N74" t="s">
        <v>75</v>
      </c>
      <c r="Q74">
        <v>18977</v>
      </c>
      <c r="R74" t="s">
        <v>307</v>
      </c>
      <c r="S74" t="s">
        <v>308</v>
      </c>
      <c r="T74" s="20">
        <f t="shared" si="9"/>
        <v>0</v>
      </c>
      <c r="U74">
        <f t="shared" si="10"/>
        <v>968</v>
      </c>
      <c r="V74">
        <f t="shared" si="11"/>
        <v>968</v>
      </c>
      <c r="W74" cm="1">
        <f t="array" ref="W74">_xlfn._xlws.FILTER(shifts!A:A,(shifts!B:B=events!D74)*(shifts!AH:AH&gt;=events!U74)*(shifts!AI:AI&lt;=events!V74))</f>
        <v>3</v>
      </c>
      <c r="X74" t="str">
        <f t="shared" si="12"/>
        <v>opp_team_player_1</v>
      </c>
      <c r="Y74">
        <f>COUNTIFS(A$3:A74,"="&amp;A74,K$3:K74,"="&amp;K74)</f>
        <v>1</v>
      </c>
      <c r="Z74" s="20">
        <f>SUMIFS(T$3:T74,L$3:L74,"=Intermission")+SUMIFS(T$3:T74,L$3:L74,"=Timeout")+SUMIFS(T$3:T74,L$3:L74,"=Clockstop")</f>
        <v>0</v>
      </c>
      <c r="AA74">
        <f t="shared" si="13"/>
        <v>0</v>
      </c>
      <c r="AB74" s="26">
        <f t="shared" si="14"/>
        <v>112</v>
      </c>
      <c r="AC74">
        <f t="shared" si="15"/>
        <v>0</v>
      </c>
    </row>
    <row r="75" spans="1:29" x14ac:dyDescent="0.2">
      <c r="A75">
        <v>38</v>
      </c>
      <c r="D75">
        <f t="shared" si="16"/>
        <v>1</v>
      </c>
      <c r="E75">
        <v>16</v>
      </c>
      <c r="F75" s="5" t="s">
        <v>309</v>
      </c>
      <c r="H75" s="7"/>
      <c r="I75" t="s">
        <v>178</v>
      </c>
      <c r="J75">
        <v>22</v>
      </c>
      <c r="K75" t="s">
        <v>488</v>
      </c>
      <c r="L75" t="s">
        <v>10</v>
      </c>
      <c r="M75" t="s">
        <v>34</v>
      </c>
      <c r="N75" t="s">
        <v>81</v>
      </c>
      <c r="Q75">
        <v>18977</v>
      </c>
      <c r="R75" t="s">
        <v>307</v>
      </c>
      <c r="S75" t="s">
        <v>308</v>
      </c>
      <c r="T75" s="20">
        <f t="shared" si="9"/>
        <v>0</v>
      </c>
      <c r="U75">
        <f t="shared" si="10"/>
        <v>967</v>
      </c>
      <c r="V75">
        <f t="shared" si="11"/>
        <v>967</v>
      </c>
      <c r="W75" cm="1">
        <f t="array" ref="W75">_xlfn._xlws.FILTER(shifts!A:A,(shifts!B:B=events!D75)*(shifts!AH:AH&gt;=events!U75)*(shifts!AI:AI&lt;=events!V75))</f>
        <v>3</v>
      </c>
      <c r="X75" t="str">
        <f t="shared" si="12"/>
        <v>event_team_player_1</v>
      </c>
      <c r="Y75">
        <f>COUNTIFS(A$3:A75,"="&amp;A75,K$3:K75,"="&amp;K75)</f>
        <v>1</v>
      </c>
      <c r="Z75" s="20">
        <f>SUMIFS(T$3:T75,L$3:L75,"=Intermission")+SUMIFS(T$3:T75,L$3:L75,"=Timeout")+SUMIFS(T$3:T75,L$3:L75,"=Clockstop")</f>
        <v>0</v>
      </c>
      <c r="AA75">
        <f t="shared" si="13"/>
        <v>0</v>
      </c>
      <c r="AB75" s="26">
        <f t="shared" si="14"/>
        <v>113</v>
      </c>
      <c r="AC75">
        <f t="shared" si="15"/>
        <v>0</v>
      </c>
    </row>
    <row r="76" spans="1:29" x14ac:dyDescent="0.2">
      <c r="A76">
        <v>39</v>
      </c>
      <c r="D76">
        <f t="shared" si="16"/>
        <v>1</v>
      </c>
      <c r="E76">
        <v>16</v>
      </c>
      <c r="F76" s="5" t="s">
        <v>309</v>
      </c>
      <c r="H76" s="7"/>
      <c r="I76" t="s">
        <v>178</v>
      </c>
      <c r="J76">
        <v>13</v>
      </c>
      <c r="K76" t="s">
        <v>489</v>
      </c>
      <c r="L76" t="s">
        <v>10</v>
      </c>
      <c r="M76" t="s">
        <v>34</v>
      </c>
      <c r="N76" t="s">
        <v>81</v>
      </c>
      <c r="Q76">
        <v>18977</v>
      </c>
      <c r="R76" t="s">
        <v>307</v>
      </c>
      <c r="S76" t="s">
        <v>308</v>
      </c>
      <c r="T76" s="20">
        <f t="shared" si="9"/>
        <v>0</v>
      </c>
      <c r="U76">
        <f t="shared" si="10"/>
        <v>967</v>
      </c>
      <c r="V76">
        <f t="shared" si="11"/>
        <v>967</v>
      </c>
      <c r="W76" cm="1">
        <f t="array" ref="W76">_xlfn._xlws.FILTER(shifts!A:A,(shifts!B:B=events!D76)*(shifts!AH:AH&gt;=events!U76)*(shifts!AI:AI&lt;=events!V76))</f>
        <v>3</v>
      </c>
      <c r="X76" t="str">
        <f t="shared" si="12"/>
        <v>opp_team_player_1</v>
      </c>
      <c r="Y76">
        <f>COUNTIFS(A$3:A76,"="&amp;A76,K$3:K76,"="&amp;K76)</f>
        <v>1</v>
      </c>
      <c r="Z76" s="20">
        <f>SUMIFS(T$3:T76,L$3:L76,"=Intermission")+SUMIFS(T$3:T76,L$3:L76,"=Timeout")+SUMIFS(T$3:T76,L$3:L76,"=Clockstop")</f>
        <v>0</v>
      </c>
      <c r="AA76">
        <f t="shared" si="13"/>
        <v>0</v>
      </c>
      <c r="AB76" s="26">
        <f t="shared" si="14"/>
        <v>113</v>
      </c>
      <c r="AC76">
        <f t="shared" si="15"/>
        <v>0</v>
      </c>
    </row>
    <row r="77" spans="1:29" x14ac:dyDescent="0.2">
      <c r="A77">
        <v>40</v>
      </c>
      <c r="D77">
        <f t="shared" si="16"/>
        <v>1</v>
      </c>
      <c r="E77">
        <v>16</v>
      </c>
      <c r="F77" s="5" t="s">
        <v>314</v>
      </c>
      <c r="H77" s="7"/>
      <c r="I77" t="s">
        <v>178</v>
      </c>
      <c r="J77">
        <v>22</v>
      </c>
      <c r="K77" t="s">
        <v>488</v>
      </c>
      <c r="L77" t="s">
        <v>13</v>
      </c>
      <c r="M77" t="s">
        <v>184</v>
      </c>
      <c r="N77" t="s">
        <v>108</v>
      </c>
      <c r="Q77">
        <v>18977</v>
      </c>
      <c r="R77" t="s">
        <v>307</v>
      </c>
      <c r="S77" t="s">
        <v>308</v>
      </c>
      <c r="T77" s="20">
        <f t="shared" si="9"/>
        <v>0</v>
      </c>
      <c r="U77">
        <f t="shared" si="10"/>
        <v>966</v>
      </c>
      <c r="V77">
        <f t="shared" si="11"/>
        <v>966</v>
      </c>
      <c r="W77" cm="1">
        <f t="array" ref="W77">_xlfn._xlws.FILTER(shifts!A:A,(shifts!B:B=events!D77)*(shifts!AH:AH&gt;=events!U77)*(shifts!AI:AI&lt;=events!V77))</f>
        <v>3</v>
      </c>
      <c r="X77" t="str">
        <f t="shared" si="12"/>
        <v>event_team_player_1</v>
      </c>
      <c r="Y77">
        <f>COUNTIFS(A$3:A77,"="&amp;A77,K$3:K77,"="&amp;K77)</f>
        <v>1</v>
      </c>
      <c r="Z77" s="20">
        <f>SUMIFS(T$3:T77,L$3:L77,"=Intermission")+SUMIFS(T$3:T77,L$3:L77,"=Timeout")+SUMIFS(T$3:T77,L$3:L77,"=Clockstop")</f>
        <v>0</v>
      </c>
      <c r="AA77">
        <f t="shared" si="13"/>
        <v>0</v>
      </c>
      <c r="AB77" s="26">
        <f t="shared" si="14"/>
        <v>114</v>
      </c>
      <c r="AC77">
        <f t="shared" si="15"/>
        <v>0</v>
      </c>
    </row>
    <row r="78" spans="1:29" x14ac:dyDescent="0.2">
      <c r="A78">
        <v>40</v>
      </c>
      <c r="D78">
        <f t="shared" si="16"/>
        <v>1</v>
      </c>
      <c r="E78">
        <v>16</v>
      </c>
      <c r="F78" s="5" t="s">
        <v>315</v>
      </c>
      <c r="G78">
        <v>15</v>
      </c>
      <c r="H78" s="7">
        <v>40</v>
      </c>
      <c r="I78" t="s">
        <v>178</v>
      </c>
      <c r="K78" t="s">
        <v>488</v>
      </c>
      <c r="L78" t="s">
        <v>282</v>
      </c>
      <c r="Q78">
        <v>18977</v>
      </c>
      <c r="R78" t="s">
        <v>307</v>
      </c>
      <c r="S78" t="s">
        <v>308</v>
      </c>
      <c r="T78" s="20">
        <f t="shared" si="9"/>
        <v>25</v>
      </c>
      <c r="U78">
        <f t="shared" si="10"/>
        <v>965</v>
      </c>
      <c r="V78">
        <f t="shared" si="11"/>
        <v>940</v>
      </c>
      <c r="W78" cm="1">
        <f t="array" ref="W78">_xlfn._xlws.FILTER(shifts!A:A,(shifts!B:B=events!D78)*(shifts!AH:AH&gt;=events!U78)*(shifts!AI:AI&lt;=events!V78))</f>
        <v>3</v>
      </c>
      <c r="X78" t="str">
        <f t="shared" si="12"/>
        <v>event_team_player_2</v>
      </c>
      <c r="Y78">
        <f>COUNTIFS(A$3:A78,"="&amp;A78,K$3:K78,"="&amp;K78)</f>
        <v>2</v>
      </c>
      <c r="Z78" s="20">
        <f>SUMIFS(T$3:T78,L$3:L78,"=Intermission")+SUMIFS(T$3:T78,L$3:L78,"=Timeout")+SUMIFS(T$3:T78,L$3:L78,"=Clockstop")</f>
        <v>0</v>
      </c>
      <c r="AA78">
        <f t="shared" si="13"/>
        <v>0</v>
      </c>
      <c r="AB78" s="26">
        <f t="shared" si="14"/>
        <v>115</v>
      </c>
      <c r="AC78">
        <f t="shared" si="15"/>
        <v>0</v>
      </c>
    </row>
    <row r="79" spans="1:29" x14ac:dyDescent="0.2">
      <c r="A79">
        <v>41</v>
      </c>
      <c r="D79">
        <f t="shared" si="16"/>
        <v>1</v>
      </c>
      <c r="E79">
        <v>15</v>
      </c>
      <c r="F79">
        <v>40</v>
      </c>
      <c r="H79" s="7"/>
      <c r="I79" t="s">
        <v>178</v>
      </c>
      <c r="J79">
        <v>42</v>
      </c>
      <c r="K79" t="s">
        <v>488</v>
      </c>
      <c r="L79" t="s">
        <v>6</v>
      </c>
      <c r="M79" t="s">
        <v>6</v>
      </c>
      <c r="Q79">
        <v>18977</v>
      </c>
      <c r="R79" t="s">
        <v>307</v>
      </c>
      <c r="S79" t="s">
        <v>308</v>
      </c>
      <c r="T79" s="20">
        <f t="shared" si="9"/>
        <v>0</v>
      </c>
      <c r="U79">
        <f t="shared" si="10"/>
        <v>940</v>
      </c>
      <c r="V79">
        <f t="shared" si="11"/>
        <v>940</v>
      </c>
      <c r="W79" cm="1">
        <f t="array" ref="W79">_xlfn._xlws.FILTER(shifts!A:A,(shifts!B:B=events!D79)*(shifts!AH:AH&gt;=events!U79)*(shifts!AI:AI&lt;=events!V79))</f>
        <v>3</v>
      </c>
      <c r="X79" t="str">
        <f t="shared" si="12"/>
        <v>event_team_player_1</v>
      </c>
      <c r="Y79">
        <f>COUNTIFS(A$3:A79,"="&amp;A79,K$3:K79,"="&amp;K79)</f>
        <v>1</v>
      </c>
      <c r="Z79" s="20">
        <f>SUMIFS(T$3:T79,L$3:L79,"=Intermission")+SUMIFS(T$3:T79,L$3:L79,"=Timeout")+SUMIFS(T$3:T79,L$3:L79,"=Clockstop")</f>
        <v>0</v>
      </c>
      <c r="AA79">
        <f t="shared" si="13"/>
        <v>0</v>
      </c>
      <c r="AB79" s="26">
        <f t="shared" si="14"/>
        <v>140</v>
      </c>
      <c r="AC79">
        <f t="shared" si="15"/>
        <v>0</v>
      </c>
    </row>
    <row r="80" spans="1:29" x14ac:dyDescent="0.2">
      <c r="A80">
        <v>41</v>
      </c>
      <c r="D80">
        <f t="shared" si="16"/>
        <v>1</v>
      </c>
      <c r="E80">
        <v>15</v>
      </c>
      <c r="F80">
        <v>40</v>
      </c>
      <c r="H80" s="7"/>
      <c r="I80" t="s">
        <v>178</v>
      </c>
      <c r="J80">
        <v>24</v>
      </c>
      <c r="K80" t="s">
        <v>488</v>
      </c>
      <c r="L80" t="s">
        <v>6</v>
      </c>
      <c r="M80" t="s">
        <v>6</v>
      </c>
      <c r="Q80">
        <v>18977</v>
      </c>
      <c r="R80" t="s">
        <v>307</v>
      </c>
      <c r="S80" t="s">
        <v>308</v>
      </c>
      <c r="T80" s="20">
        <f t="shared" si="9"/>
        <v>0</v>
      </c>
      <c r="U80">
        <f t="shared" si="10"/>
        <v>940</v>
      </c>
      <c r="V80">
        <f t="shared" si="11"/>
        <v>940</v>
      </c>
      <c r="W80" cm="1">
        <f t="array" ref="W80">_xlfn._xlws.FILTER(shifts!A:A,(shifts!B:B=events!D80)*(shifts!AH:AH&gt;=events!U80)*(shifts!AI:AI&lt;=events!V80))</f>
        <v>3</v>
      </c>
      <c r="X80" t="str">
        <f t="shared" si="12"/>
        <v>event_team_player_2</v>
      </c>
      <c r="Y80">
        <f>COUNTIFS(A$3:A80,"="&amp;A80,K$3:K80,"="&amp;K80)</f>
        <v>2</v>
      </c>
      <c r="Z80" s="20">
        <f>SUMIFS(T$3:T80,L$3:L80,"=Intermission")+SUMIFS(T$3:T80,L$3:L80,"=Timeout")+SUMIFS(T$3:T80,L$3:L80,"=Clockstop")</f>
        <v>0</v>
      </c>
      <c r="AA80">
        <f t="shared" si="13"/>
        <v>0</v>
      </c>
      <c r="AB80" s="26">
        <f t="shared" si="14"/>
        <v>140</v>
      </c>
      <c r="AC80">
        <f t="shared" si="15"/>
        <v>0</v>
      </c>
    </row>
    <row r="81" spans="1:29" x14ac:dyDescent="0.2">
      <c r="A81">
        <v>41</v>
      </c>
      <c r="D81">
        <f t="shared" si="16"/>
        <v>1</v>
      </c>
      <c r="E81">
        <v>15</v>
      </c>
      <c r="F81">
        <v>40</v>
      </c>
      <c r="H81" s="7"/>
      <c r="I81" t="s">
        <v>178</v>
      </c>
      <c r="J81">
        <v>26</v>
      </c>
      <c r="K81" t="s">
        <v>489</v>
      </c>
      <c r="L81" t="s">
        <v>6</v>
      </c>
      <c r="M81" t="s">
        <v>6</v>
      </c>
      <c r="Q81">
        <v>18977</v>
      </c>
      <c r="R81" t="s">
        <v>307</v>
      </c>
      <c r="S81" t="s">
        <v>308</v>
      </c>
      <c r="T81" s="20">
        <f t="shared" si="9"/>
        <v>0</v>
      </c>
      <c r="U81">
        <f t="shared" si="10"/>
        <v>940</v>
      </c>
      <c r="V81">
        <f t="shared" si="11"/>
        <v>940</v>
      </c>
      <c r="W81" cm="1">
        <f t="array" ref="W81">_xlfn._xlws.FILTER(shifts!A:A,(shifts!B:B=events!D81)*(shifts!AH:AH&gt;=events!U81)*(shifts!AI:AI&lt;=events!V81))</f>
        <v>3</v>
      </c>
      <c r="X81" t="str">
        <f t="shared" si="12"/>
        <v>opp_team_player_1</v>
      </c>
      <c r="Y81">
        <f>COUNTIFS(A$3:A81,"="&amp;A81,K$3:K81,"="&amp;K81)</f>
        <v>1</v>
      </c>
      <c r="Z81" s="20">
        <f>SUMIFS(T$3:T81,L$3:L81,"=Intermission")+SUMIFS(T$3:T81,L$3:L81,"=Timeout")+SUMIFS(T$3:T81,L$3:L81,"=Clockstop")</f>
        <v>0</v>
      </c>
      <c r="AA81">
        <f t="shared" si="13"/>
        <v>0</v>
      </c>
      <c r="AB81" s="26">
        <f t="shared" si="14"/>
        <v>140</v>
      </c>
      <c r="AC81">
        <f t="shared" si="15"/>
        <v>0</v>
      </c>
    </row>
    <row r="82" spans="1:29" x14ac:dyDescent="0.2">
      <c r="A82">
        <v>42</v>
      </c>
      <c r="D82">
        <f t="shared" si="16"/>
        <v>1</v>
      </c>
      <c r="E82">
        <v>15</v>
      </c>
      <c r="F82">
        <v>39</v>
      </c>
      <c r="G82">
        <v>15</v>
      </c>
      <c r="H82" s="7">
        <v>35</v>
      </c>
      <c r="I82" t="s">
        <v>179</v>
      </c>
      <c r="J82">
        <v>13</v>
      </c>
      <c r="K82" t="s">
        <v>488</v>
      </c>
      <c r="L82" t="s">
        <v>15</v>
      </c>
      <c r="Q82">
        <v>18977</v>
      </c>
      <c r="R82" t="s">
        <v>307</v>
      </c>
      <c r="S82" t="s">
        <v>308</v>
      </c>
      <c r="T82" s="20">
        <f t="shared" si="9"/>
        <v>4</v>
      </c>
      <c r="U82">
        <f t="shared" si="10"/>
        <v>939</v>
      </c>
      <c r="V82">
        <f t="shared" si="11"/>
        <v>935</v>
      </c>
      <c r="W82" cm="1">
        <f t="array" ref="W82">_xlfn._xlws.FILTER(shifts!A:A,(shifts!B:B=events!D82)*(shifts!AH:AH&gt;=events!U82)*(shifts!AI:AI&lt;=events!V82))</f>
        <v>3</v>
      </c>
      <c r="X82" t="str">
        <f t="shared" si="12"/>
        <v>event_team_player_1</v>
      </c>
      <c r="Y82">
        <f>COUNTIFS(A$3:A82,"="&amp;A82,K$3:K82,"="&amp;K82)</f>
        <v>1</v>
      </c>
      <c r="Z82" s="20">
        <f>SUMIFS(T$3:T82,L$3:L82,"=Intermission")+SUMIFS(T$3:T82,L$3:L82,"=Timeout")+SUMIFS(T$3:T82,L$3:L82,"=Clockstop")</f>
        <v>0</v>
      </c>
      <c r="AA82">
        <f t="shared" si="13"/>
        <v>0</v>
      </c>
      <c r="AB82" s="26">
        <f t="shared" si="14"/>
        <v>141</v>
      </c>
      <c r="AC82">
        <f t="shared" si="15"/>
        <v>0</v>
      </c>
    </row>
    <row r="83" spans="1:29" x14ac:dyDescent="0.2">
      <c r="A83">
        <v>43</v>
      </c>
      <c r="B83">
        <v>3</v>
      </c>
      <c r="D83">
        <f t="shared" si="16"/>
        <v>1</v>
      </c>
      <c r="E83">
        <v>15</v>
      </c>
      <c r="F83">
        <v>35</v>
      </c>
      <c r="H83" s="7"/>
      <c r="I83" t="s">
        <v>179</v>
      </c>
      <c r="J83">
        <v>22</v>
      </c>
      <c r="K83" t="s">
        <v>488</v>
      </c>
      <c r="L83" t="s">
        <v>10</v>
      </c>
      <c r="M83" t="s">
        <v>34</v>
      </c>
      <c r="N83" t="s">
        <v>82</v>
      </c>
      <c r="Q83">
        <v>18977</v>
      </c>
      <c r="R83" t="s">
        <v>307</v>
      </c>
      <c r="S83" t="s">
        <v>308</v>
      </c>
      <c r="T83" s="20">
        <f t="shared" si="9"/>
        <v>0</v>
      </c>
      <c r="U83">
        <f t="shared" si="10"/>
        <v>935</v>
      </c>
      <c r="V83">
        <f t="shared" si="11"/>
        <v>935</v>
      </c>
      <c r="W83" cm="1">
        <f t="array" ref="W83">_xlfn._xlws.FILTER(shifts!A:A,(shifts!B:B=events!D83)*(shifts!AH:AH&gt;=events!U83)*(shifts!AI:AI&lt;=events!V83))</f>
        <v>3</v>
      </c>
      <c r="X83" t="str">
        <f t="shared" si="12"/>
        <v>event_team_player_1</v>
      </c>
      <c r="Y83">
        <f>COUNTIFS(A$3:A83,"="&amp;A83,K$3:K83,"="&amp;K83)</f>
        <v>1</v>
      </c>
      <c r="Z83" s="20">
        <f>SUMIFS(T$3:T83,L$3:L83,"=Intermission")+SUMIFS(T$3:T83,L$3:L83,"=Timeout")+SUMIFS(T$3:T83,L$3:L83,"=Clockstop")</f>
        <v>0</v>
      </c>
      <c r="AA83">
        <f t="shared" si="13"/>
        <v>0</v>
      </c>
      <c r="AB83" s="26">
        <f t="shared" si="14"/>
        <v>145</v>
      </c>
      <c r="AC83">
        <f t="shared" si="15"/>
        <v>0</v>
      </c>
    </row>
    <row r="84" spans="1:29" x14ac:dyDescent="0.2">
      <c r="A84">
        <v>44</v>
      </c>
      <c r="B84">
        <v>3</v>
      </c>
      <c r="D84">
        <f t="shared" si="16"/>
        <v>1</v>
      </c>
      <c r="E84">
        <v>15</v>
      </c>
      <c r="F84">
        <v>32</v>
      </c>
      <c r="G84">
        <v>15</v>
      </c>
      <c r="H84" s="7">
        <v>27</v>
      </c>
      <c r="I84" t="s">
        <v>178</v>
      </c>
      <c r="J84">
        <v>42</v>
      </c>
      <c r="K84" t="s">
        <v>488</v>
      </c>
      <c r="L84" t="s">
        <v>277</v>
      </c>
      <c r="M84" t="s">
        <v>36</v>
      </c>
      <c r="N84" t="s">
        <v>87</v>
      </c>
      <c r="Q84">
        <v>18977</v>
      </c>
      <c r="R84" t="s">
        <v>307</v>
      </c>
      <c r="S84" t="s">
        <v>308</v>
      </c>
      <c r="T84" s="20">
        <f t="shared" si="9"/>
        <v>5</v>
      </c>
      <c r="U84">
        <f t="shared" si="10"/>
        <v>932</v>
      </c>
      <c r="V84">
        <f t="shared" si="11"/>
        <v>927</v>
      </c>
      <c r="W84" cm="1">
        <f t="array" ref="W84">_xlfn._xlws.FILTER(shifts!A:A,(shifts!B:B=events!D84)*(shifts!AH:AH&gt;=events!U84)*(shifts!AI:AI&lt;=events!V84))</f>
        <v>3</v>
      </c>
      <c r="X84" t="str">
        <f t="shared" si="12"/>
        <v>event_team_player_1</v>
      </c>
      <c r="Y84">
        <f>COUNTIFS(A$3:A84,"="&amp;A84,K$3:K84,"="&amp;K84)</f>
        <v>1</v>
      </c>
      <c r="Z84" s="20">
        <f>SUMIFS(T$3:T84,L$3:L84,"=Intermission")+SUMIFS(T$3:T84,L$3:L84,"=Timeout")+SUMIFS(T$3:T84,L$3:L84,"=Clockstop")</f>
        <v>0</v>
      </c>
      <c r="AA84">
        <f t="shared" si="13"/>
        <v>0</v>
      </c>
      <c r="AB84" s="26">
        <f t="shared" si="14"/>
        <v>148</v>
      </c>
      <c r="AC84">
        <f t="shared" si="15"/>
        <v>0</v>
      </c>
    </row>
    <row r="85" spans="1:29" x14ac:dyDescent="0.2">
      <c r="A85">
        <v>44</v>
      </c>
      <c r="B85">
        <v>3</v>
      </c>
      <c r="D85">
        <f t="shared" si="16"/>
        <v>1</v>
      </c>
      <c r="E85">
        <v>15</v>
      </c>
      <c r="F85">
        <v>32</v>
      </c>
      <c r="G85">
        <v>15</v>
      </c>
      <c r="H85" s="7">
        <v>27</v>
      </c>
      <c r="I85" t="s">
        <v>178</v>
      </c>
      <c r="J85">
        <v>26</v>
      </c>
      <c r="K85" t="s">
        <v>489</v>
      </c>
      <c r="L85" t="s">
        <v>277</v>
      </c>
      <c r="M85" t="s">
        <v>36</v>
      </c>
      <c r="N85" t="s">
        <v>87</v>
      </c>
      <c r="Q85">
        <v>18977</v>
      </c>
      <c r="R85" t="s">
        <v>307</v>
      </c>
      <c r="S85" t="s">
        <v>308</v>
      </c>
      <c r="T85" s="20">
        <f t="shared" si="9"/>
        <v>5</v>
      </c>
      <c r="U85">
        <f t="shared" si="10"/>
        <v>932</v>
      </c>
      <c r="V85">
        <f t="shared" si="11"/>
        <v>927</v>
      </c>
      <c r="W85" cm="1">
        <f t="array" ref="W85">_xlfn._xlws.FILTER(shifts!A:A,(shifts!B:B=events!D85)*(shifts!AH:AH&gt;=events!U85)*(shifts!AI:AI&lt;=events!V85))</f>
        <v>3</v>
      </c>
      <c r="X85" t="str">
        <f t="shared" si="12"/>
        <v>opp_team_player_1</v>
      </c>
      <c r="Y85">
        <f>COUNTIFS(A$3:A85,"="&amp;A85,K$3:K85,"="&amp;K85)</f>
        <v>1</v>
      </c>
      <c r="Z85" s="20">
        <f>SUMIFS(T$3:T85,L$3:L85,"=Intermission")+SUMIFS(T$3:T85,L$3:L85,"=Timeout")+SUMIFS(T$3:T85,L$3:L85,"=Clockstop")</f>
        <v>0</v>
      </c>
      <c r="AA85">
        <f t="shared" si="13"/>
        <v>0</v>
      </c>
      <c r="AB85" s="26">
        <f t="shared" si="14"/>
        <v>148</v>
      </c>
      <c r="AC85">
        <f t="shared" si="15"/>
        <v>0</v>
      </c>
    </row>
    <row r="86" spans="1:29" x14ac:dyDescent="0.2">
      <c r="A86">
        <v>45</v>
      </c>
      <c r="B86">
        <v>3</v>
      </c>
      <c r="D86">
        <f t="shared" si="16"/>
        <v>1</v>
      </c>
      <c r="E86">
        <v>15</v>
      </c>
      <c r="F86">
        <v>27</v>
      </c>
      <c r="G86">
        <v>15</v>
      </c>
      <c r="H86" s="7">
        <v>25</v>
      </c>
      <c r="I86" t="s">
        <v>178</v>
      </c>
      <c r="J86">
        <v>42</v>
      </c>
      <c r="K86" t="s">
        <v>488</v>
      </c>
      <c r="L86" t="s">
        <v>15</v>
      </c>
      <c r="Q86">
        <v>18977</v>
      </c>
      <c r="R86" t="s">
        <v>307</v>
      </c>
      <c r="S86" t="s">
        <v>308</v>
      </c>
      <c r="T86" s="20">
        <f t="shared" si="9"/>
        <v>2</v>
      </c>
      <c r="U86">
        <f t="shared" si="10"/>
        <v>927</v>
      </c>
      <c r="V86">
        <f t="shared" si="11"/>
        <v>925</v>
      </c>
      <c r="W86" cm="1">
        <f t="array" ref="W86">_xlfn._xlws.FILTER(shifts!A:A,(shifts!B:B=events!D86)*(shifts!AH:AH&gt;=events!U86)*(shifts!AI:AI&lt;=events!V86))</f>
        <v>3</v>
      </c>
      <c r="X86" t="str">
        <f t="shared" si="12"/>
        <v>event_team_player_1</v>
      </c>
      <c r="Y86">
        <f>COUNTIFS(A$3:A86,"="&amp;A86,K$3:K86,"="&amp;K86)</f>
        <v>1</v>
      </c>
      <c r="Z86" s="20">
        <f>SUMIFS(T$3:T86,L$3:L86,"=Intermission")+SUMIFS(T$3:T86,L$3:L86,"=Timeout")+SUMIFS(T$3:T86,L$3:L86,"=Clockstop")</f>
        <v>0</v>
      </c>
      <c r="AA86">
        <f t="shared" si="13"/>
        <v>0</v>
      </c>
      <c r="AB86" s="26">
        <f t="shared" si="14"/>
        <v>153</v>
      </c>
      <c r="AC86">
        <f t="shared" si="15"/>
        <v>0</v>
      </c>
    </row>
    <row r="87" spans="1:29" x14ac:dyDescent="0.2">
      <c r="A87">
        <v>46</v>
      </c>
      <c r="B87">
        <v>3</v>
      </c>
      <c r="C87" s="7">
        <v>3</v>
      </c>
      <c r="D87">
        <f t="shared" si="16"/>
        <v>1</v>
      </c>
      <c r="E87">
        <v>15</v>
      </c>
      <c r="F87">
        <v>25</v>
      </c>
      <c r="G87">
        <v>15</v>
      </c>
      <c r="H87" s="7">
        <v>22</v>
      </c>
      <c r="I87" t="s">
        <v>178</v>
      </c>
      <c r="J87">
        <v>42</v>
      </c>
      <c r="K87" t="s">
        <v>488</v>
      </c>
      <c r="L87" t="s">
        <v>277</v>
      </c>
      <c r="M87" t="s">
        <v>35</v>
      </c>
      <c r="N87" t="s">
        <v>87</v>
      </c>
      <c r="Q87">
        <v>18977</v>
      </c>
      <c r="R87" t="s">
        <v>307</v>
      </c>
      <c r="S87" t="s">
        <v>308</v>
      </c>
      <c r="T87" s="20">
        <f t="shared" si="9"/>
        <v>3</v>
      </c>
      <c r="U87">
        <f t="shared" si="10"/>
        <v>925</v>
      </c>
      <c r="V87">
        <f t="shared" si="11"/>
        <v>922</v>
      </c>
      <c r="W87" cm="1">
        <f t="array" ref="W87">_xlfn._xlws.FILTER(shifts!A:A,(shifts!B:B=events!D87)*(shifts!AH:AH&gt;=events!U87)*(shifts!AI:AI&lt;=events!V87))</f>
        <v>3</v>
      </c>
      <c r="X87" t="str">
        <f t="shared" si="12"/>
        <v>event_team_player_1</v>
      </c>
      <c r="Y87">
        <f>COUNTIFS(A$3:A87,"="&amp;A87,K$3:K87,"="&amp;K87)</f>
        <v>1</v>
      </c>
      <c r="Z87" s="20">
        <f>SUMIFS(T$3:T87,L$3:L87,"=Intermission")+SUMIFS(T$3:T87,L$3:L87,"=Timeout")+SUMIFS(T$3:T87,L$3:L87,"=Clockstop")</f>
        <v>0</v>
      </c>
      <c r="AA87">
        <f t="shared" si="13"/>
        <v>0</v>
      </c>
      <c r="AB87" s="26">
        <f t="shared" si="14"/>
        <v>155</v>
      </c>
      <c r="AC87">
        <f t="shared" si="15"/>
        <v>0</v>
      </c>
    </row>
    <row r="88" spans="1:29" x14ac:dyDescent="0.2">
      <c r="A88">
        <v>46</v>
      </c>
      <c r="B88">
        <v>3</v>
      </c>
      <c r="C88" s="7">
        <v>3</v>
      </c>
      <c r="D88">
        <f t="shared" si="16"/>
        <v>1</v>
      </c>
      <c r="E88">
        <v>15</v>
      </c>
      <c r="F88">
        <v>25</v>
      </c>
      <c r="G88">
        <v>15</v>
      </c>
      <c r="H88" s="7">
        <v>22</v>
      </c>
      <c r="I88" t="s">
        <v>178</v>
      </c>
      <c r="J88">
        <v>24</v>
      </c>
      <c r="K88" t="s">
        <v>488</v>
      </c>
      <c r="L88" t="s">
        <v>277</v>
      </c>
      <c r="M88" t="s">
        <v>35</v>
      </c>
      <c r="N88" t="s">
        <v>87</v>
      </c>
      <c r="Q88">
        <v>18977</v>
      </c>
      <c r="R88" t="s">
        <v>307</v>
      </c>
      <c r="S88" t="s">
        <v>308</v>
      </c>
      <c r="T88" s="20">
        <f t="shared" si="9"/>
        <v>3</v>
      </c>
      <c r="U88">
        <f t="shared" si="10"/>
        <v>925</v>
      </c>
      <c r="V88">
        <f t="shared" si="11"/>
        <v>922</v>
      </c>
      <c r="W88" cm="1">
        <f t="array" ref="W88">_xlfn._xlws.FILTER(shifts!A:A,(shifts!B:B=events!D88)*(shifts!AH:AH&gt;=events!U88)*(shifts!AI:AI&lt;=events!V88))</f>
        <v>3</v>
      </c>
      <c r="X88" t="str">
        <f t="shared" si="12"/>
        <v>event_team_player_2</v>
      </c>
      <c r="Y88">
        <f>COUNTIFS(A$3:A88,"="&amp;A88,K$3:K88,"="&amp;K88)</f>
        <v>2</v>
      </c>
      <c r="Z88" s="20">
        <f>SUMIFS(T$3:T88,L$3:L88,"=Intermission")+SUMIFS(T$3:T88,L$3:L88,"=Timeout")+SUMIFS(T$3:T88,L$3:L88,"=Clockstop")</f>
        <v>0</v>
      </c>
      <c r="AA88">
        <f t="shared" si="13"/>
        <v>0</v>
      </c>
      <c r="AB88" s="26">
        <f t="shared" si="14"/>
        <v>155</v>
      </c>
      <c r="AC88">
        <f t="shared" si="15"/>
        <v>0</v>
      </c>
    </row>
    <row r="89" spans="1:29" x14ac:dyDescent="0.2">
      <c r="A89">
        <v>46</v>
      </c>
      <c r="B89">
        <v>3</v>
      </c>
      <c r="C89" s="7">
        <v>3</v>
      </c>
      <c r="D89">
        <f t="shared" si="16"/>
        <v>1</v>
      </c>
      <c r="E89">
        <v>15</v>
      </c>
      <c r="F89">
        <v>25</v>
      </c>
      <c r="G89">
        <v>15</v>
      </c>
      <c r="H89" s="7">
        <v>22</v>
      </c>
      <c r="I89" t="s">
        <v>178</v>
      </c>
      <c r="J89">
        <v>91</v>
      </c>
      <c r="K89" t="s">
        <v>488</v>
      </c>
      <c r="L89" t="s">
        <v>277</v>
      </c>
      <c r="M89" t="s">
        <v>35</v>
      </c>
      <c r="N89" t="s">
        <v>87</v>
      </c>
      <c r="Q89">
        <v>18977</v>
      </c>
      <c r="R89" t="s">
        <v>307</v>
      </c>
      <c r="S89" t="s">
        <v>308</v>
      </c>
      <c r="T89" s="20">
        <f t="shared" si="9"/>
        <v>3</v>
      </c>
      <c r="U89">
        <f t="shared" si="10"/>
        <v>925</v>
      </c>
      <c r="V89">
        <f t="shared" si="11"/>
        <v>922</v>
      </c>
      <c r="W89" cm="1">
        <f t="array" ref="W89">_xlfn._xlws.FILTER(shifts!A:A,(shifts!B:B=events!D89)*(shifts!AH:AH&gt;=events!U89)*(shifts!AI:AI&lt;=events!V89))</f>
        <v>3</v>
      </c>
      <c r="X89" t="str">
        <f t="shared" si="12"/>
        <v>event_team_player_3</v>
      </c>
      <c r="Y89">
        <f>COUNTIFS(A$3:A89,"="&amp;A89,K$3:K89,"="&amp;K89)</f>
        <v>3</v>
      </c>
      <c r="Z89" s="20">
        <f>SUMIFS(T$3:T89,L$3:L89,"=Intermission")+SUMIFS(T$3:T89,L$3:L89,"=Timeout")+SUMIFS(T$3:T89,L$3:L89,"=Clockstop")</f>
        <v>0</v>
      </c>
      <c r="AA89">
        <f t="shared" si="13"/>
        <v>0</v>
      </c>
      <c r="AB89" s="26">
        <f t="shared" si="14"/>
        <v>155</v>
      </c>
      <c r="AC89">
        <f t="shared" si="15"/>
        <v>0</v>
      </c>
    </row>
    <row r="90" spans="1:29" x14ac:dyDescent="0.2">
      <c r="A90">
        <v>46</v>
      </c>
      <c r="B90">
        <v>3</v>
      </c>
      <c r="C90" s="7">
        <v>3</v>
      </c>
      <c r="D90">
        <f t="shared" si="16"/>
        <v>1</v>
      </c>
      <c r="E90">
        <v>15</v>
      </c>
      <c r="F90">
        <v>25</v>
      </c>
      <c r="G90">
        <v>15</v>
      </c>
      <c r="H90" s="7">
        <v>22</v>
      </c>
      <c r="I90" t="s">
        <v>178</v>
      </c>
      <c r="J90">
        <v>13</v>
      </c>
      <c r="K90" t="s">
        <v>489</v>
      </c>
      <c r="L90" t="s">
        <v>277</v>
      </c>
      <c r="M90" t="s">
        <v>35</v>
      </c>
      <c r="N90" t="s">
        <v>87</v>
      </c>
      <c r="Q90">
        <v>18977</v>
      </c>
      <c r="R90" t="s">
        <v>307</v>
      </c>
      <c r="S90" t="s">
        <v>308</v>
      </c>
      <c r="T90" s="20">
        <f t="shared" si="9"/>
        <v>3</v>
      </c>
      <c r="U90">
        <f t="shared" si="10"/>
        <v>925</v>
      </c>
      <c r="V90">
        <f t="shared" si="11"/>
        <v>922</v>
      </c>
      <c r="W90" cm="1">
        <f t="array" ref="W90">_xlfn._xlws.FILTER(shifts!A:A,(shifts!B:B=events!D90)*(shifts!AH:AH&gt;=events!U90)*(shifts!AI:AI&lt;=events!V90))</f>
        <v>3</v>
      </c>
      <c r="X90" t="str">
        <f t="shared" si="12"/>
        <v>opp_team_player_1</v>
      </c>
      <c r="Y90">
        <f>COUNTIFS(A$3:A90,"="&amp;A90,K$3:K90,"="&amp;K90)</f>
        <v>1</v>
      </c>
      <c r="Z90" s="20">
        <f>SUMIFS(T$3:T90,L$3:L90,"=Intermission")+SUMIFS(T$3:T90,L$3:L90,"=Timeout")+SUMIFS(T$3:T90,L$3:L90,"=Clockstop")</f>
        <v>0</v>
      </c>
      <c r="AA90">
        <f t="shared" si="13"/>
        <v>0</v>
      </c>
      <c r="AB90" s="26">
        <f t="shared" si="14"/>
        <v>155</v>
      </c>
      <c r="AC90">
        <f t="shared" si="15"/>
        <v>0</v>
      </c>
    </row>
    <row r="91" spans="1:29" x14ac:dyDescent="0.2">
      <c r="A91">
        <v>46</v>
      </c>
      <c r="B91">
        <v>3</v>
      </c>
      <c r="C91" s="7">
        <v>3</v>
      </c>
      <c r="D91">
        <f t="shared" si="16"/>
        <v>1</v>
      </c>
      <c r="E91">
        <v>15</v>
      </c>
      <c r="F91">
        <v>25</v>
      </c>
      <c r="G91">
        <v>15</v>
      </c>
      <c r="H91" s="7">
        <v>22</v>
      </c>
      <c r="I91" t="s">
        <v>178</v>
      </c>
      <c r="J91">
        <v>2</v>
      </c>
      <c r="K91" t="s">
        <v>489</v>
      </c>
      <c r="L91" t="s">
        <v>277</v>
      </c>
      <c r="M91" t="s">
        <v>35</v>
      </c>
      <c r="N91" t="s">
        <v>87</v>
      </c>
      <c r="Q91">
        <v>18977</v>
      </c>
      <c r="R91" t="s">
        <v>307</v>
      </c>
      <c r="S91" t="s">
        <v>308</v>
      </c>
      <c r="T91" s="20">
        <f t="shared" si="9"/>
        <v>3</v>
      </c>
      <c r="U91">
        <f t="shared" si="10"/>
        <v>925</v>
      </c>
      <c r="V91">
        <f t="shared" si="11"/>
        <v>922</v>
      </c>
      <c r="W91" cm="1">
        <f t="array" ref="W91">_xlfn._xlws.FILTER(shifts!A:A,(shifts!B:B=events!D91)*(shifts!AH:AH&gt;=events!U91)*(shifts!AI:AI&lt;=events!V91))</f>
        <v>3</v>
      </c>
      <c r="X91" t="str">
        <f t="shared" si="12"/>
        <v>opp_team_player_2</v>
      </c>
      <c r="Y91">
        <f>COUNTIFS(A$3:A91,"="&amp;A91,K$3:K91,"="&amp;K91)</f>
        <v>2</v>
      </c>
      <c r="Z91" s="20">
        <f>SUMIFS(T$3:T91,L$3:L91,"=Intermission")+SUMIFS(T$3:T91,L$3:L91,"=Timeout")+SUMIFS(T$3:T91,L$3:L91,"=Clockstop")</f>
        <v>0</v>
      </c>
      <c r="AA91">
        <f t="shared" si="13"/>
        <v>0</v>
      </c>
      <c r="AB91" s="26">
        <f t="shared" si="14"/>
        <v>155</v>
      </c>
      <c r="AC91">
        <f t="shared" si="15"/>
        <v>0</v>
      </c>
    </row>
    <row r="92" spans="1:29" x14ac:dyDescent="0.2">
      <c r="A92">
        <v>46</v>
      </c>
      <c r="B92">
        <v>3</v>
      </c>
      <c r="C92" s="7">
        <v>3</v>
      </c>
      <c r="D92">
        <f t="shared" si="16"/>
        <v>1</v>
      </c>
      <c r="E92">
        <v>15</v>
      </c>
      <c r="F92">
        <v>25</v>
      </c>
      <c r="G92">
        <v>15</v>
      </c>
      <c r="H92" s="7">
        <v>22</v>
      </c>
      <c r="I92" t="s">
        <v>178</v>
      </c>
      <c r="J92">
        <v>18</v>
      </c>
      <c r="K92" t="s">
        <v>489</v>
      </c>
      <c r="L92" t="s">
        <v>277</v>
      </c>
      <c r="M92" t="s">
        <v>35</v>
      </c>
      <c r="N92" t="s">
        <v>87</v>
      </c>
      <c r="Q92">
        <v>18977</v>
      </c>
      <c r="R92" t="s">
        <v>307</v>
      </c>
      <c r="S92" t="s">
        <v>308</v>
      </c>
      <c r="T92" s="20">
        <f t="shared" si="9"/>
        <v>3</v>
      </c>
      <c r="U92">
        <f t="shared" si="10"/>
        <v>925</v>
      </c>
      <c r="V92">
        <f t="shared" si="11"/>
        <v>922</v>
      </c>
      <c r="W92" cm="1">
        <f t="array" ref="W92">_xlfn._xlws.FILTER(shifts!A:A,(shifts!B:B=events!D92)*(shifts!AH:AH&gt;=events!U92)*(shifts!AI:AI&lt;=events!V92))</f>
        <v>3</v>
      </c>
      <c r="X92" t="str">
        <f t="shared" si="12"/>
        <v>opp_team_player_3</v>
      </c>
      <c r="Y92">
        <f>COUNTIFS(A$3:A92,"="&amp;A92,K$3:K92,"="&amp;K92)</f>
        <v>3</v>
      </c>
      <c r="Z92" s="20">
        <f>SUMIFS(T$3:T92,L$3:L92,"=Intermission")+SUMIFS(T$3:T92,L$3:L92,"=Timeout")+SUMIFS(T$3:T92,L$3:L92,"=Clockstop")</f>
        <v>0</v>
      </c>
      <c r="AA92">
        <f t="shared" si="13"/>
        <v>0</v>
      </c>
      <c r="AB92" s="26">
        <f t="shared" si="14"/>
        <v>155</v>
      </c>
      <c r="AC92">
        <f t="shared" si="15"/>
        <v>0</v>
      </c>
    </row>
    <row r="93" spans="1:29" x14ac:dyDescent="0.2">
      <c r="A93">
        <v>47</v>
      </c>
      <c r="D93">
        <f t="shared" si="16"/>
        <v>1</v>
      </c>
      <c r="E93">
        <v>15</v>
      </c>
      <c r="F93" s="6" t="s">
        <v>422</v>
      </c>
      <c r="I93" t="s">
        <v>178</v>
      </c>
      <c r="J93">
        <v>52</v>
      </c>
      <c r="K93" t="s">
        <v>488</v>
      </c>
      <c r="L93" t="s">
        <v>277</v>
      </c>
      <c r="M93" t="s">
        <v>210</v>
      </c>
      <c r="N93" t="s">
        <v>93</v>
      </c>
      <c r="Q93">
        <f t="shared" ref="Q93:Q131" si="17">Q92</f>
        <v>18977</v>
      </c>
      <c r="R93" t="str">
        <f t="shared" ref="R93:R131" si="18">R92</f>
        <v>Velodrome</v>
      </c>
      <c r="S93" t="str">
        <f t="shared" ref="S93:S131" si="19">S92</f>
        <v>HollowBrook</v>
      </c>
      <c r="T93" s="20">
        <f t="shared" si="9"/>
        <v>0</v>
      </c>
      <c r="U93">
        <f t="shared" si="10"/>
        <v>920</v>
      </c>
      <c r="V93">
        <f t="shared" si="11"/>
        <v>920</v>
      </c>
      <c r="W93" cm="1">
        <f t="array" ref="W93">_xlfn._xlws.FILTER(shifts!A:A,(shifts!B:B=events!D93)*(shifts!AH:AH&gt;=events!U93)*(shifts!AI:AI&lt;=events!V93))</f>
        <v>3</v>
      </c>
      <c r="X93" t="str">
        <f t="shared" si="12"/>
        <v>event_team_player_1</v>
      </c>
      <c r="Y93">
        <f>COUNTIFS(A$3:A93,"="&amp;A93,K$3:K93,"="&amp;K93)</f>
        <v>1</v>
      </c>
      <c r="Z93" s="20">
        <f>SUMIFS(T$3:T93,L$3:L93,"=Intermission")+SUMIFS(T$3:T93,L$3:L93,"=Timeout")+SUMIFS(T$3:T93,L$3:L93,"=Clockstop")</f>
        <v>0</v>
      </c>
      <c r="AA93">
        <f t="shared" si="13"/>
        <v>0</v>
      </c>
      <c r="AB93" s="26">
        <f t="shared" si="14"/>
        <v>160</v>
      </c>
      <c r="AC93">
        <f t="shared" si="15"/>
        <v>0</v>
      </c>
    </row>
    <row r="94" spans="1:29" x14ac:dyDescent="0.2">
      <c r="A94">
        <v>48</v>
      </c>
      <c r="D94">
        <f t="shared" si="16"/>
        <v>1</v>
      </c>
      <c r="E94">
        <v>15</v>
      </c>
      <c r="F94" s="6" t="s">
        <v>422</v>
      </c>
      <c r="I94" t="s">
        <v>178</v>
      </c>
      <c r="J94">
        <v>52</v>
      </c>
      <c r="K94" t="s">
        <v>488</v>
      </c>
      <c r="L94" t="s">
        <v>8</v>
      </c>
      <c r="M94" t="s">
        <v>189</v>
      </c>
      <c r="N94" t="s">
        <v>69</v>
      </c>
      <c r="Q94">
        <f t="shared" si="17"/>
        <v>18977</v>
      </c>
      <c r="R94" t="str">
        <f t="shared" si="18"/>
        <v>Velodrome</v>
      </c>
      <c r="S94" t="str">
        <f t="shared" si="19"/>
        <v>HollowBrook</v>
      </c>
      <c r="T94" s="20">
        <f t="shared" si="9"/>
        <v>0</v>
      </c>
      <c r="U94">
        <f t="shared" si="10"/>
        <v>920</v>
      </c>
      <c r="V94">
        <f t="shared" si="11"/>
        <v>920</v>
      </c>
      <c r="W94" cm="1">
        <f t="array" ref="W94">_xlfn._xlws.FILTER(shifts!A:A,(shifts!B:B=events!D94)*(shifts!AH:AH&gt;=events!U94)*(shifts!AI:AI&lt;=events!V94))</f>
        <v>3</v>
      </c>
      <c r="X94" t="str">
        <f t="shared" si="12"/>
        <v>event_team_player_1</v>
      </c>
      <c r="Y94">
        <f>COUNTIFS(A$3:A94,"="&amp;A94,K$3:K94,"="&amp;K94)</f>
        <v>1</v>
      </c>
      <c r="Z94" s="20">
        <f>SUMIFS(T$3:T94,L$3:L94,"=Intermission")+SUMIFS(T$3:T94,L$3:L94,"=Timeout")+SUMIFS(T$3:T94,L$3:L94,"=Clockstop")</f>
        <v>0</v>
      </c>
      <c r="AA94">
        <f t="shared" si="13"/>
        <v>0</v>
      </c>
      <c r="AB94" s="26">
        <f t="shared" si="14"/>
        <v>160</v>
      </c>
      <c r="AC94">
        <f t="shared" si="15"/>
        <v>0</v>
      </c>
    </row>
    <row r="95" spans="1:29" x14ac:dyDescent="0.2">
      <c r="A95">
        <v>49</v>
      </c>
      <c r="D95">
        <f t="shared" si="16"/>
        <v>1</v>
      </c>
      <c r="E95">
        <v>15</v>
      </c>
      <c r="F95" s="6" t="s">
        <v>422</v>
      </c>
      <c r="I95" t="s">
        <v>178</v>
      </c>
      <c r="J95">
        <v>42</v>
      </c>
      <c r="K95" t="s">
        <v>488</v>
      </c>
      <c r="L95" t="s">
        <v>8</v>
      </c>
      <c r="M95" t="s">
        <v>189</v>
      </c>
      <c r="N95" t="s">
        <v>69</v>
      </c>
      <c r="Q95">
        <f t="shared" si="17"/>
        <v>18977</v>
      </c>
      <c r="R95" t="str">
        <f t="shared" si="18"/>
        <v>Velodrome</v>
      </c>
      <c r="S95" t="str">
        <f t="shared" si="19"/>
        <v>HollowBrook</v>
      </c>
      <c r="T95" s="20">
        <f t="shared" si="9"/>
        <v>0</v>
      </c>
      <c r="U95">
        <f t="shared" si="10"/>
        <v>920</v>
      </c>
      <c r="V95">
        <f t="shared" si="11"/>
        <v>920</v>
      </c>
      <c r="W95" cm="1">
        <f t="array" ref="W95">_xlfn._xlws.FILTER(shifts!A:A,(shifts!B:B=events!D95)*(shifts!AH:AH&gt;=events!U95)*(shifts!AI:AI&lt;=events!V95))</f>
        <v>3</v>
      </c>
      <c r="X95" t="str">
        <f t="shared" si="12"/>
        <v>event_team_player_1</v>
      </c>
      <c r="Y95">
        <f>COUNTIFS(A$3:A95,"="&amp;A95,K$3:K95,"="&amp;K95)</f>
        <v>1</v>
      </c>
      <c r="Z95" s="20">
        <f>SUMIFS(T$3:T95,L$3:L95,"=Intermission")+SUMIFS(T$3:T95,L$3:L95,"=Timeout")+SUMIFS(T$3:T95,L$3:L95,"=Clockstop")</f>
        <v>0</v>
      </c>
      <c r="AA95">
        <f t="shared" si="13"/>
        <v>0</v>
      </c>
      <c r="AB95" s="26">
        <f t="shared" si="14"/>
        <v>160</v>
      </c>
      <c r="AC95">
        <f t="shared" si="15"/>
        <v>0</v>
      </c>
    </row>
    <row r="96" spans="1:29" x14ac:dyDescent="0.2">
      <c r="A96">
        <v>50</v>
      </c>
      <c r="D96">
        <f t="shared" si="16"/>
        <v>1</v>
      </c>
      <c r="E96">
        <v>15</v>
      </c>
      <c r="F96" s="6" t="s">
        <v>422</v>
      </c>
      <c r="G96">
        <v>15</v>
      </c>
      <c r="H96" s="8" t="s">
        <v>317</v>
      </c>
      <c r="I96" t="s">
        <v>178</v>
      </c>
      <c r="J96">
        <v>42</v>
      </c>
      <c r="K96" t="s">
        <v>488</v>
      </c>
      <c r="L96" t="s">
        <v>15</v>
      </c>
      <c r="Q96">
        <f t="shared" si="17"/>
        <v>18977</v>
      </c>
      <c r="R96" t="str">
        <f t="shared" si="18"/>
        <v>Velodrome</v>
      </c>
      <c r="S96" t="str">
        <f t="shared" si="19"/>
        <v>HollowBrook</v>
      </c>
      <c r="T96" s="20">
        <f t="shared" si="9"/>
        <v>7</v>
      </c>
      <c r="U96">
        <f t="shared" si="10"/>
        <v>920</v>
      </c>
      <c r="V96">
        <f t="shared" si="11"/>
        <v>913</v>
      </c>
      <c r="W96" cm="1">
        <f t="array" ref="W96">_xlfn._xlws.FILTER(shifts!A:A,(shifts!B:B=events!D96)*(shifts!AH:AH&gt;=events!U96)*(shifts!AI:AI&lt;=events!V96))</f>
        <v>3</v>
      </c>
      <c r="X96" t="str">
        <f t="shared" si="12"/>
        <v>event_team_player_1</v>
      </c>
      <c r="Y96">
        <f>COUNTIFS(A$3:A96,"="&amp;A96,K$3:K96,"="&amp;K96)</f>
        <v>1</v>
      </c>
      <c r="Z96" s="20">
        <f>SUMIFS(T$3:T96,L$3:L96,"=Intermission")+SUMIFS(T$3:T96,L$3:L96,"=Timeout")+SUMIFS(T$3:T96,L$3:L96,"=Clockstop")</f>
        <v>0</v>
      </c>
      <c r="AA96">
        <f t="shared" si="13"/>
        <v>0</v>
      </c>
      <c r="AB96" s="26">
        <f t="shared" si="14"/>
        <v>160</v>
      </c>
      <c r="AC96">
        <f t="shared" si="15"/>
        <v>0</v>
      </c>
    </row>
    <row r="97" spans="1:29" x14ac:dyDescent="0.2">
      <c r="A97">
        <v>51</v>
      </c>
      <c r="D97">
        <f t="shared" si="16"/>
        <v>1</v>
      </c>
      <c r="E97">
        <v>15</v>
      </c>
      <c r="F97" s="6" t="s">
        <v>317</v>
      </c>
      <c r="I97" t="s">
        <v>178</v>
      </c>
      <c r="J97">
        <v>42</v>
      </c>
      <c r="K97" t="s">
        <v>488</v>
      </c>
      <c r="L97" t="s">
        <v>8</v>
      </c>
      <c r="M97" t="s">
        <v>189</v>
      </c>
      <c r="N97" t="s">
        <v>70</v>
      </c>
      <c r="Q97">
        <f t="shared" si="17"/>
        <v>18977</v>
      </c>
      <c r="R97" t="str">
        <f t="shared" si="18"/>
        <v>Velodrome</v>
      </c>
      <c r="S97" t="str">
        <f t="shared" si="19"/>
        <v>HollowBrook</v>
      </c>
      <c r="T97" s="20">
        <f t="shared" si="9"/>
        <v>0</v>
      </c>
      <c r="U97">
        <f t="shared" si="10"/>
        <v>913</v>
      </c>
      <c r="V97">
        <f t="shared" si="11"/>
        <v>913</v>
      </c>
      <c r="W97" cm="1">
        <f t="array" ref="W97">_xlfn._xlws.FILTER(shifts!A:A,(shifts!B:B=events!D97)*(shifts!AH:AH&gt;=events!U97)*(shifts!AI:AI&lt;=events!V97))</f>
        <v>3</v>
      </c>
      <c r="X97" t="str">
        <f t="shared" si="12"/>
        <v>event_team_player_1</v>
      </c>
      <c r="Y97">
        <f>COUNTIFS(A$3:A97,"="&amp;A97,K$3:K97,"="&amp;K97)</f>
        <v>1</v>
      </c>
      <c r="Z97" s="20">
        <f>SUMIFS(T$3:T97,L$3:L97,"=Intermission")+SUMIFS(T$3:T97,L$3:L97,"=Timeout")+SUMIFS(T$3:T97,L$3:L97,"=Clockstop")</f>
        <v>0</v>
      </c>
      <c r="AA97">
        <f t="shared" si="13"/>
        <v>0</v>
      </c>
      <c r="AB97" s="26">
        <f t="shared" si="14"/>
        <v>167</v>
      </c>
      <c r="AC97">
        <f t="shared" si="15"/>
        <v>0</v>
      </c>
    </row>
    <row r="98" spans="1:29" x14ac:dyDescent="0.2">
      <c r="A98">
        <v>51</v>
      </c>
      <c r="D98">
        <f t="shared" si="16"/>
        <v>1</v>
      </c>
      <c r="E98">
        <v>15</v>
      </c>
      <c r="F98" s="6" t="s">
        <v>317</v>
      </c>
      <c r="I98" t="s">
        <v>178</v>
      </c>
      <c r="J98">
        <v>22</v>
      </c>
      <c r="K98" t="s">
        <v>488</v>
      </c>
      <c r="L98" t="s">
        <v>8</v>
      </c>
      <c r="M98" t="s">
        <v>189</v>
      </c>
      <c r="N98" t="s">
        <v>70</v>
      </c>
      <c r="Q98">
        <f t="shared" si="17"/>
        <v>18977</v>
      </c>
      <c r="R98" t="str">
        <f t="shared" si="18"/>
        <v>Velodrome</v>
      </c>
      <c r="S98" t="str">
        <f t="shared" si="19"/>
        <v>HollowBrook</v>
      </c>
      <c r="T98" s="20">
        <f t="shared" si="9"/>
        <v>0</v>
      </c>
      <c r="U98">
        <f t="shared" si="10"/>
        <v>913</v>
      </c>
      <c r="V98">
        <f t="shared" si="11"/>
        <v>913</v>
      </c>
      <c r="W98" cm="1">
        <f t="array" ref="W98">_xlfn._xlws.FILTER(shifts!A:A,(shifts!B:B=events!D98)*(shifts!AH:AH&gt;=events!U98)*(shifts!AI:AI&lt;=events!V98))</f>
        <v>3</v>
      </c>
      <c r="X98" t="str">
        <f t="shared" si="12"/>
        <v>event_team_player_2</v>
      </c>
      <c r="Y98">
        <f>COUNTIFS(A$3:A98,"="&amp;A98,K$3:K98,"="&amp;K98)</f>
        <v>2</v>
      </c>
      <c r="Z98" s="20">
        <f>SUMIFS(T$3:T98,L$3:L98,"=Intermission")+SUMIFS(T$3:T98,L$3:L98,"=Timeout")+SUMIFS(T$3:T98,L$3:L98,"=Clockstop")</f>
        <v>0</v>
      </c>
      <c r="AA98">
        <f t="shared" si="13"/>
        <v>0</v>
      </c>
      <c r="AB98" s="26">
        <f t="shared" si="14"/>
        <v>167</v>
      </c>
      <c r="AC98">
        <f t="shared" si="15"/>
        <v>0</v>
      </c>
    </row>
    <row r="99" spans="1:29" x14ac:dyDescent="0.2">
      <c r="A99">
        <v>52</v>
      </c>
      <c r="D99">
        <f t="shared" si="16"/>
        <v>1</v>
      </c>
      <c r="E99">
        <v>15</v>
      </c>
      <c r="F99" s="6" t="s">
        <v>424</v>
      </c>
      <c r="I99" t="s">
        <v>178</v>
      </c>
      <c r="J99">
        <v>22</v>
      </c>
      <c r="K99" t="s">
        <v>488</v>
      </c>
      <c r="L99" t="s">
        <v>10</v>
      </c>
      <c r="M99" t="s">
        <v>190</v>
      </c>
      <c r="N99" t="s">
        <v>73</v>
      </c>
      <c r="Q99">
        <f t="shared" si="17"/>
        <v>18977</v>
      </c>
      <c r="R99" t="str">
        <f t="shared" si="18"/>
        <v>Velodrome</v>
      </c>
      <c r="S99" t="str">
        <f t="shared" si="19"/>
        <v>HollowBrook</v>
      </c>
      <c r="T99" s="20">
        <f t="shared" si="9"/>
        <v>0</v>
      </c>
      <c r="U99">
        <f t="shared" si="10"/>
        <v>909</v>
      </c>
      <c r="V99">
        <f t="shared" si="11"/>
        <v>909</v>
      </c>
      <c r="W99" cm="1">
        <f t="array" ref="W99">_xlfn._xlws.FILTER(shifts!A:A,(shifts!B:B=events!D99)*(shifts!AH:AH&gt;=events!U99)*(shifts!AI:AI&lt;=events!V99))</f>
        <v>3</v>
      </c>
      <c r="X99" t="str">
        <f t="shared" si="12"/>
        <v>event_team_player_1</v>
      </c>
      <c r="Y99">
        <f>COUNTIFS(A$3:A99,"="&amp;A99,K$3:K99,"="&amp;K99)</f>
        <v>1</v>
      </c>
      <c r="Z99" s="20">
        <f>SUMIFS(T$3:T99,L$3:L99,"=Intermission")+SUMIFS(T$3:T99,L$3:L99,"=Timeout")+SUMIFS(T$3:T99,L$3:L99,"=Clockstop")</f>
        <v>0</v>
      </c>
      <c r="AA99">
        <f t="shared" si="13"/>
        <v>0</v>
      </c>
      <c r="AB99" s="26">
        <f t="shared" si="14"/>
        <v>171</v>
      </c>
      <c r="AC99">
        <f t="shared" si="15"/>
        <v>0</v>
      </c>
    </row>
    <row r="100" spans="1:29" x14ac:dyDescent="0.2">
      <c r="A100">
        <v>52</v>
      </c>
      <c r="D100">
        <f t="shared" si="16"/>
        <v>1</v>
      </c>
      <c r="E100">
        <v>15</v>
      </c>
      <c r="F100" s="6" t="s">
        <v>424</v>
      </c>
      <c r="I100" t="s">
        <v>178</v>
      </c>
      <c r="J100">
        <v>13</v>
      </c>
      <c r="K100" t="s">
        <v>489</v>
      </c>
      <c r="L100" t="s">
        <v>10</v>
      </c>
      <c r="M100" t="s">
        <v>190</v>
      </c>
      <c r="N100" t="s">
        <v>73</v>
      </c>
      <c r="Q100">
        <f t="shared" si="17"/>
        <v>18977</v>
      </c>
      <c r="R100" t="str">
        <f t="shared" si="18"/>
        <v>Velodrome</v>
      </c>
      <c r="S100" t="str">
        <f t="shared" si="19"/>
        <v>HollowBrook</v>
      </c>
      <c r="T100" s="20">
        <f t="shared" si="9"/>
        <v>0</v>
      </c>
      <c r="U100">
        <f t="shared" si="10"/>
        <v>909</v>
      </c>
      <c r="V100">
        <f t="shared" si="11"/>
        <v>909</v>
      </c>
      <c r="W100" cm="1">
        <f t="array" ref="W100">_xlfn._xlws.FILTER(shifts!A:A,(shifts!B:B=events!D100)*(shifts!AH:AH&gt;=events!U100)*(shifts!AI:AI&lt;=events!V100))</f>
        <v>3</v>
      </c>
      <c r="X100" t="str">
        <f t="shared" si="12"/>
        <v>opp_team_player_1</v>
      </c>
      <c r="Y100">
        <f>COUNTIFS(A$3:A100,"="&amp;A100,K$3:K100,"="&amp;K100)</f>
        <v>1</v>
      </c>
      <c r="Z100" s="20">
        <f>SUMIFS(T$3:T100,L$3:L100,"=Intermission")+SUMIFS(T$3:T100,L$3:L100,"=Timeout")+SUMIFS(T$3:T100,L$3:L100,"=Clockstop")</f>
        <v>0</v>
      </c>
      <c r="AA100">
        <f t="shared" si="13"/>
        <v>0</v>
      </c>
      <c r="AB100" s="26">
        <f t="shared" si="14"/>
        <v>171</v>
      </c>
      <c r="AC100">
        <f t="shared" si="15"/>
        <v>0</v>
      </c>
    </row>
    <row r="101" spans="1:29" x14ac:dyDescent="0.2">
      <c r="A101">
        <v>52</v>
      </c>
      <c r="D101">
        <f t="shared" si="16"/>
        <v>1</v>
      </c>
      <c r="E101">
        <v>15</v>
      </c>
      <c r="F101" s="6" t="s">
        <v>424</v>
      </c>
      <c r="I101" t="s">
        <v>178</v>
      </c>
      <c r="J101">
        <v>2</v>
      </c>
      <c r="K101" t="s">
        <v>489</v>
      </c>
      <c r="L101" t="s">
        <v>10</v>
      </c>
      <c r="M101" t="s">
        <v>190</v>
      </c>
      <c r="N101" t="s">
        <v>73</v>
      </c>
      <c r="Q101">
        <f t="shared" si="17"/>
        <v>18977</v>
      </c>
      <c r="R101" t="str">
        <f t="shared" si="18"/>
        <v>Velodrome</v>
      </c>
      <c r="S101" t="str">
        <f t="shared" si="19"/>
        <v>HollowBrook</v>
      </c>
      <c r="T101" s="20">
        <f t="shared" si="9"/>
        <v>0</v>
      </c>
      <c r="U101">
        <f t="shared" si="10"/>
        <v>909</v>
      </c>
      <c r="V101">
        <f t="shared" si="11"/>
        <v>909</v>
      </c>
      <c r="W101" cm="1">
        <f t="array" ref="W101">_xlfn._xlws.FILTER(shifts!A:A,(shifts!B:B=events!D101)*(shifts!AH:AH&gt;=events!U101)*(shifts!AI:AI&lt;=events!V101))</f>
        <v>3</v>
      </c>
      <c r="X101" t="str">
        <f t="shared" si="12"/>
        <v>opp_team_player_2</v>
      </c>
      <c r="Y101">
        <f>COUNTIFS(A$3:A101,"="&amp;A101,K$3:K101,"="&amp;K101)</f>
        <v>2</v>
      </c>
      <c r="Z101" s="20">
        <f>SUMIFS(T$3:T101,L$3:L101,"=Intermission")+SUMIFS(T$3:T101,L$3:L101,"=Timeout")+SUMIFS(T$3:T101,L$3:L101,"=Clockstop")</f>
        <v>0</v>
      </c>
      <c r="AA101">
        <f t="shared" si="13"/>
        <v>0</v>
      </c>
      <c r="AB101" s="26">
        <f t="shared" si="14"/>
        <v>171</v>
      </c>
      <c r="AC101">
        <f t="shared" si="15"/>
        <v>0</v>
      </c>
    </row>
    <row r="102" spans="1:29" x14ac:dyDescent="0.2">
      <c r="A102">
        <v>53</v>
      </c>
      <c r="D102">
        <f t="shared" si="16"/>
        <v>1</v>
      </c>
      <c r="E102">
        <v>15</v>
      </c>
      <c r="F102" s="6" t="s">
        <v>424</v>
      </c>
      <c r="G102">
        <v>15</v>
      </c>
      <c r="H102" s="8" t="s">
        <v>315</v>
      </c>
      <c r="I102" t="s">
        <v>179</v>
      </c>
      <c r="J102">
        <v>2</v>
      </c>
      <c r="K102" t="s">
        <v>488</v>
      </c>
      <c r="L102" t="s">
        <v>15</v>
      </c>
      <c r="Q102">
        <f t="shared" si="17"/>
        <v>18977</v>
      </c>
      <c r="R102" t="str">
        <f t="shared" si="18"/>
        <v>Velodrome</v>
      </c>
      <c r="S102" t="str">
        <f t="shared" si="19"/>
        <v>HollowBrook</v>
      </c>
      <c r="T102" s="20">
        <f t="shared" si="9"/>
        <v>4</v>
      </c>
      <c r="U102">
        <f t="shared" si="10"/>
        <v>909</v>
      </c>
      <c r="V102">
        <f t="shared" si="11"/>
        <v>905</v>
      </c>
      <c r="W102" cm="1">
        <f t="array" ref="W102">_xlfn._xlws.FILTER(shifts!A:A,(shifts!B:B=events!D102)*(shifts!AH:AH&gt;=events!U102)*(shifts!AI:AI&lt;=events!V102))</f>
        <v>3</v>
      </c>
      <c r="X102" t="str">
        <f t="shared" si="12"/>
        <v>event_team_player_1</v>
      </c>
      <c r="Y102">
        <f>COUNTIFS(A$3:A102,"="&amp;A102,K$3:K102,"="&amp;K102)</f>
        <v>1</v>
      </c>
      <c r="Z102" s="20">
        <f>SUMIFS(T$3:T102,L$3:L102,"=Intermission")+SUMIFS(T$3:T102,L$3:L102,"=Timeout")+SUMIFS(T$3:T102,L$3:L102,"=Clockstop")</f>
        <v>0</v>
      </c>
      <c r="AA102">
        <f t="shared" si="13"/>
        <v>0</v>
      </c>
      <c r="AB102" s="26">
        <f t="shared" si="14"/>
        <v>171</v>
      </c>
      <c r="AC102">
        <f t="shared" si="15"/>
        <v>0</v>
      </c>
    </row>
    <row r="103" spans="1:29" x14ac:dyDescent="0.2">
      <c r="A103">
        <v>54</v>
      </c>
      <c r="D103">
        <f t="shared" si="16"/>
        <v>1</v>
      </c>
      <c r="E103">
        <v>15</v>
      </c>
      <c r="F103" s="6" t="s">
        <v>315</v>
      </c>
      <c r="I103" t="s">
        <v>179</v>
      </c>
      <c r="J103">
        <v>2</v>
      </c>
      <c r="K103" t="s">
        <v>488</v>
      </c>
      <c r="L103" t="s">
        <v>10</v>
      </c>
      <c r="M103" t="s">
        <v>190</v>
      </c>
      <c r="N103" t="s">
        <v>73</v>
      </c>
      <c r="Q103">
        <f t="shared" si="17"/>
        <v>18977</v>
      </c>
      <c r="R103" t="str">
        <f t="shared" si="18"/>
        <v>Velodrome</v>
      </c>
      <c r="S103" t="str">
        <f t="shared" si="19"/>
        <v>HollowBrook</v>
      </c>
      <c r="T103" s="20">
        <f t="shared" si="9"/>
        <v>0</v>
      </c>
      <c r="U103">
        <f t="shared" si="10"/>
        <v>905</v>
      </c>
      <c r="V103">
        <f t="shared" si="11"/>
        <v>905</v>
      </c>
      <c r="W103" cm="1">
        <f t="array" ref="W103">_xlfn._xlws.FILTER(shifts!A:A,(shifts!B:B=events!D103)*(shifts!AH:AH&gt;=events!U103)*(shifts!AI:AI&lt;=events!V103))</f>
        <v>3</v>
      </c>
      <c r="X103" t="str">
        <f t="shared" si="12"/>
        <v>event_team_player_1</v>
      </c>
      <c r="Y103">
        <f>COUNTIFS(A$3:A103,"="&amp;A103,K$3:K103,"="&amp;K103)</f>
        <v>1</v>
      </c>
      <c r="Z103" s="20">
        <f>SUMIFS(T$3:T103,L$3:L103,"=Intermission")+SUMIFS(T$3:T103,L$3:L103,"=Timeout")+SUMIFS(T$3:T103,L$3:L103,"=Clockstop")</f>
        <v>0</v>
      </c>
      <c r="AA103">
        <f t="shared" si="13"/>
        <v>0</v>
      </c>
      <c r="AB103" s="26">
        <f t="shared" si="14"/>
        <v>175</v>
      </c>
      <c r="AC103">
        <f t="shared" si="15"/>
        <v>0</v>
      </c>
    </row>
    <row r="104" spans="1:29" x14ac:dyDescent="0.2">
      <c r="A104">
        <v>54</v>
      </c>
      <c r="B104">
        <v>3</v>
      </c>
      <c r="D104">
        <f t="shared" si="16"/>
        <v>1</v>
      </c>
      <c r="E104">
        <v>15</v>
      </c>
      <c r="F104" s="6" t="s">
        <v>315</v>
      </c>
      <c r="I104" t="s">
        <v>179</v>
      </c>
      <c r="J104">
        <v>91</v>
      </c>
      <c r="K104" t="s">
        <v>489</v>
      </c>
      <c r="L104" t="s">
        <v>10</v>
      </c>
      <c r="M104" t="s">
        <v>190</v>
      </c>
      <c r="N104" t="s">
        <v>73</v>
      </c>
      <c r="Q104">
        <f t="shared" si="17"/>
        <v>18977</v>
      </c>
      <c r="R104" t="str">
        <f t="shared" si="18"/>
        <v>Velodrome</v>
      </c>
      <c r="S104" t="str">
        <f t="shared" si="19"/>
        <v>HollowBrook</v>
      </c>
      <c r="T104" s="20">
        <f t="shared" si="9"/>
        <v>0</v>
      </c>
      <c r="U104">
        <f t="shared" si="10"/>
        <v>905</v>
      </c>
      <c r="V104">
        <f t="shared" si="11"/>
        <v>905</v>
      </c>
      <c r="W104" cm="1">
        <f t="array" ref="W104">_xlfn._xlws.FILTER(shifts!A:A,(shifts!B:B=events!D104)*(shifts!AH:AH&gt;=events!U104)*(shifts!AI:AI&lt;=events!V104))</f>
        <v>3</v>
      </c>
      <c r="X104" t="str">
        <f t="shared" si="12"/>
        <v>opp_team_player_1</v>
      </c>
      <c r="Y104">
        <f>COUNTIFS(A$3:A104,"="&amp;A104,K$3:K104,"="&amp;K104)</f>
        <v>1</v>
      </c>
      <c r="Z104" s="20">
        <f>SUMIFS(T$3:T104,L$3:L104,"=Intermission")+SUMIFS(T$3:T104,L$3:L104,"=Timeout")+SUMIFS(T$3:T104,L$3:L104,"=Clockstop")</f>
        <v>0</v>
      </c>
      <c r="AA104">
        <f t="shared" si="13"/>
        <v>0</v>
      </c>
      <c r="AB104" s="26">
        <f t="shared" si="14"/>
        <v>175</v>
      </c>
      <c r="AC104">
        <f t="shared" si="15"/>
        <v>0</v>
      </c>
    </row>
    <row r="105" spans="1:29" x14ac:dyDescent="0.2">
      <c r="A105">
        <v>55</v>
      </c>
      <c r="B105">
        <v>3</v>
      </c>
      <c r="D105">
        <f t="shared" si="16"/>
        <v>1</v>
      </c>
      <c r="E105">
        <v>15</v>
      </c>
      <c r="F105" s="6" t="s">
        <v>426</v>
      </c>
      <c r="G105">
        <v>14</v>
      </c>
      <c r="H105" s="8" t="s">
        <v>427</v>
      </c>
      <c r="I105" t="s">
        <v>179</v>
      </c>
      <c r="J105">
        <v>13</v>
      </c>
      <c r="K105" t="s">
        <v>488</v>
      </c>
      <c r="L105" t="s">
        <v>277</v>
      </c>
      <c r="M105" t="s">
        <v>201</v>
      </c>
      <c r="N105" t="s">
        <v>90</v>
      </c>
      <c r="Q105">
        <f t="shared" si="17"/>
        <v>18977</v>
      </c>
      <c r="R105" t="str">
        <f t="shared" si="18"/>
        <v>Velodrome</v>
      </c>
      <c r="S105" t="str">
        <f t="shared" si="19"/>
        <v>HollowBrook</v>
      </c>
      <c r="T105" s="20">
        <f t="shared" si="9"/>
        <v>6</v>
      </c>
      <c r="U105">
        <f t="shared" si="10"/>
        <v>900</v>
      </c>
      <c r="V105">
        <f t="shared" si="11"/>
        <v>894</v>
      </c>
      <c r="W105" cm="1">
        <f t="array" ref="W105">_xlfn._xlws.FILTER(shifts!A:A,(shifts!B:B=events!D105)*(shifts!AH:AH&gt;=events!U105)*(shifts!AI:AI&lt;=events!V105))</f>
        <v>3</v>
      </c>
      <c r="X105" t="str">
        <f t="shared" si="12"/>
        <v>event_team_player_1</v>
      </c>
      <c r="Y105">
        <f>COUNTIFS(A$3:A105,"="&amp;A105,K$3:K105,"="&amp;K105)</f>
        <v>1</v>
      </c>
      <c r="Z105" s="20">
        <f>SUMIFS(T$3:T105,L$3:L105,"=Intermission")+SUMIFS(T$3:T105,L$3:L105,"=Timeout")+SUMIFS(T$3:T105,L$3:L105,"=Clockstop")</f>
        <v>0</v>
      </c>
      <c r="AA105">
        <f t="shared" si="13"/>
        <v>0</v>
      </c>
      <c r="AB105" s="26">
        <f t="shared" si="14"/>
        <v>180</v>
      </c>
      <c r="AC105">
        <f t="shared" si="15"/>
        <v>0</v>
      </c>
    </row>
    <row r="106" spans="1:29" x14ac:dyDescent="0.2">
      <c r="A106">
        <v>55</v>
      </c>
      <c r="B106">
        <v>3</v>
      </c>
      <c r="D106">
        <f t="shared" si="16"/>
        <v>1</v>
      </c>
      <c r="E106">
        <v>15</v>
      </c>
      <c r="F106" s="6" t="s">
        <v>426</v>
      </c>
      <c r="G106">
        <v>14</v>
      </c>
      <c r="H106" s="8" t="s">
        <v>427</v>
      </c>
      <c r="I106" t="s">
        <v>179</v>
      </c>
      <c r="J106">
        <v>91</v>
      </c>
      <c r="K106" t="s">
        <v>489</v>
      </c>
      <c r="L106" t="s">
        <v>277</v>
      </c>
      <c r="M106" t="s">
        <v>201</v>
      </c>
      <c r="N106" t="s">
        <v>90</v>
      </c>
      <c r="Q106">
        <f t="shared" si="17"/>
        <v>18977</v>
      </c>
      <c r="R106" t="str">
        <f t="shared" si="18"/>
        <v>Velodrome</v>
      </c>
      <c r="S106" t="str">
        <f t="shared" si="19"/>
        <v>HollowBrook</v>
      </c>
      <c r="T106" s="20">
        <f t="shared" si="9"/>
        <v>6</v>
      </c>
      <c r="U106">
        <f t="shared" si="10"/>
        <v>900</v>
      </c>
      <c r="V106">
        <f t="shared" si="11"/>
        <v>894</v>
      </c>
      <c r="W106" cm="1">
        <f t="array" ref="W106">_xlfn._xlws.FILTER(shifts!A:A,(shifts!B:B=events!D106)*(shifts!AH:AH&gt;=events!U106)*(shifts!AI:AI&lt;=events!V106))</f>
        <v>3</v>
      </c>
      <c r="X106" t="str">
        <f t="shared" si="12"/>
        <v>opp_team_player_1</v>
      </c>
      <c r="Y106">
        <f>COUNTIFS(A$3:A106,"="&amp;A106,K$3:K106,"="&amp;K106)</f>
        <v>1</v>
      </c>
      <c r="Z106" s="20">
        <f>SUMIFS(T$3:T106,L$3:L106,"=Intermission")+SUMIFS(T$3:T106,L$3:L106,"=Timeout")+SUMIFS(T$3:T106,L$3:L106,"=Clockstop")</f>
        <v>0</v>
      </c>
      <c r="AA106">
        <f t="shared" si="13"/>
        <v>0</v>
      </c>
      <c r="AB106" s="26">
        <f t="shared" si="14"/>
        <v>180</v>
      </c>
      <c r="AC106">
        <f t="shared" si="15"/>
        <v>0</v>
      </c>
    </row>
    <row r="107" spans="1:29" x14ac:dyDescent="0.2">
      <c r="A107">
        <v>55</v>
      </c>
      <c r="B107">
        <v>3</v>
      </c>
      <c r="D107">
        <f t="shared" si="16"/>
        <v>1</v>
      </c>
      <c r="E107">
        <v>15</v>
      </c>
      <c r="F107" s="6" t="s">
        <v>426</v>
      </c>
      <c r="G107">
        <v>14</v>
      </c>
      <c r="H107" s="8" t="s">
        <v>427</v>
      </c>
      <c r="I107" t="s">
        <v>179</v>
      </c>
      <c r="J107">
        <v>52</v>
      </c>
      <c r="K107" t="s">
        <v>489</v>
      </c>
      <c r="L107" t="s">
        <v>277</v>
      </c>
      <c r="M107" t="s">
        <v>201</v>
      </c>
      <c r="N107" t="s">
        <v>90</v>
      </c>
      <c r="Q107">
        <f t="shared" si="17"/>
        <v>18977</v>
      </c>
      <c r="R107" t="str">
        <f t="shared" si="18"/>
        <v>Velodrome</v>
      </c>
      <c r="S107" t="str">
        <f t="shared" si="19"/>
        <v>HollowBrook</v>
      </c>
      <c r="T107" s="20">
        <f t="shared" si="9"/>
        <v>6</v>
      </c>
      <c r="U107">
        <f t="shared" si="10"/>
        <v>900</v>
      </c>
      <c r="V107">
        <f t="shared" si="11"/>
        <v>894</v>
      </c>
      <c r="W107" cm="1">
        <f t="array" ref="W107">_xlfn._xlws.FILTER(shifts!A:A,(shifts!B:B=events!D107)*(shifts!AH:AH&gt;=events!U107)*(shifts!AI:AI&lt;=events!V107))</f>
        <v>3</v>
      </c>
      <c r="X107" t="str">
        <f t="shared" si="12"/>
        <v>opp_team_player_2</v>
      </c>
      <c r="Y107">
        <f>COUNTIFS(A$3:A107,"="&amp;A107,K$3:K107,"="&amp;K107)</f>
        <v>2</v>
      </c>
      <c r="Z107" s="20">
        <f>SUMIFS(T$3:T107,L$3:L107,"=Intermission")+SUMIFS(T$3:T107,L$3:L107,"=Timeout")+SUMIFS(T$3:T107,L$3:L107,"=Clockstop")</f>
        <v>0</v>
      </c>
      <c r="AA107">
        <f t="shared" si="13"/>
        <v>0</v>
      </c>
      <c r="AB107" s="26">
        <f t="shared" si="14"/>
        <v>180</v>
      </c>
      <c r="AC107">
        <f t="shared" si="15"/>
        <v>0</v>
      </c>
    </row>
    <row r="108" spans="1:29" x14ac:dyDescent="0.2">
      <c r="A108">
        <v>56</v>
      </c>
      <c r="B108">
        <v>3</v>
      </c>
      <c r="D108">
        <f t="shared" si="16"/>
        <v>1</v>
      </c>
      <c r="E108">
        <v>14</v>
      </c>
      <c r="F108" s="6" t="s">
        <v>427</v>
      </c>
      <c r="G108">
        <v>14</v>
      </c>
      <c r="H108" s="8" t="s">
        <v>428</v>
      </c>
      <c r="I108" t="s">
        <v>179</v>
      </c>
      <c r="J108">
        <v>13</v>
      </c>
      <c r="K108" t="s">
        <v>488</v>
      </c>
      <c r="L108" t="s">
        <v>15</v>
      </c>
      <c r="Q108">
        <f t="shared" si="17"/>
        <v>18977</v>
      </c>
      <c r="R108" t="str">
        <f t="shared" si="18"/>
        <v>Velodrome</v>
      </c>
      <c r="S108" t="str">
        <f t="shared" si="19"/>
        <v>HollowBrook</v>
      </c>
      <c r="T108" s="20">
        <f t="shared" si="9"/>
        <v>2</v>
      </c>
      <c r="U108">
        <f t="shared" si="10"/>
        <v>894</v>
      </c>
      <c r="V108">
        <f t="shared" si="11"/>
        <v>892</v>
      </c>
      <c r="W108" cm="1">
        <f t="array" ref="W108">_xlfn._xlws.FILTER(shifts!A:A,(shifts!B:B=events!D108)*(shifts!AH:AH&gt;=events!U108)*(shifts!AI:AI&lt;=events!V108))</f>
        <v>3</v>
      </c>
      <c r="X108" t="str">
        <f t="shared" si="12"/>
        <v>event_team_player_1</v>
      </c>
      <c r="Y108">
        <f>COUNTIFS(A$3:A108,"="&amp;A108,K$3:K108,"="&amp;K108)</f>
        <v>1</v>
      </c>
      <c r="Z108" s="20">
        <f>SUMIFS(T$3:T108,L$3:L108,"=Intermission")+SUMIFS(T$3:T108,L$3:L108,"=Timeout")+SUMIFS(T$3:T108,L$3:L108,"=Clockstop")</f>
        <v>0</v>
      </c>
      <c r="AA108">
        <f t="shared" si="13"/>
        <v>0</v>
      </c>
      <c r="AB108" s="26">
        <f t="shared" si="14"/>
        <v>186</v>
      </c>
      <c r="AC108">
        <f t="shared" si="15"/>
        <v>0</v>
      </c>
    </row>
    <row r="109" spans="1:29" x14ac:dyDescent="0.2">
      <c r="A109">
        <v>57</v>
      </c>
      <c r="B109">
        <v>3</v>
      </c>
      <c r="D109">
        <f t="shared" si="16"/>
        <v>1</v>
      </c>
      <c r="E109">
        <v>14</v>
      </c>
      <c r="F109" s="6" t="s">
        <v>430</v>
      </c>
      <c r="G109">
        <v>14</v>
      </c>
      <c r="H109" s="8" t="s">
        <v>431</v>
      </c>
      <c r="I109" t="s">
        <v>179</v>
      </c>
      <c r="J109">
        <v>13</v>
      </c>
      <c r="K109" t="s">
        <v>488</v>
      </c>
      <c r="L109" t="s">
        <v>277</v>
      </c>
      <c r="M109" t="s">
        <v>191</v>
      </c>
      <c r="N109" t="s">
        <v>87</v>
      </c>
      <c r="Q109">
        <f t="shared" si="17"/>
        <v>18977</v>
      </c>
      <c r="R109" t="str">
        <f t="shared" si="18"/>
        <v>Velodrome</v>
      </c>
      <c r="S109" t="str">
        <f t="shared" si="19"/>
        <v>HollowBrook</v>
      </c>
      <c r="T109" s="20">
        <f t="shared" si="9"/>
        <v>1</v>
      </c>
      <c r="U109">
        <f t="shared" si="10"/>
        <v>882</v>
      </c>
      <c r="V109">
        <f t="shared" si="11"/>
        <v>881</v>
      </c>
      <c r="W109" cm="1">
        <f t="array" ref="W109">_xlfn._xlws.FILTER(shifts!A:A,(shifts!B:B=events!D109)*(shifts!AH:AH&gt;=events!U109)*(shifts!AI:AI&lt;=events!V109))</f>
        <v>3</v>
      </c>
      <c r="X109" t="str">
        <f t="shared" si="12"/>
        <v>event_team_player_1</v>
      </c>
      <c r="Y109">
        <f>COUNTIFS(A$3:A109,"="&amp;A109,K$3:K109,"="&amp;K109)</f>
        <v>1</v>
      </c>
      <c r="Z109" s="20">
        <f>SUMIFS(T$3:T109,L$3:L109,"=Intermission")+SUMIFS(T$3:T109,L$3:L109,"=Timeout")+SUMIFS(T$3:T109,L$3:L109,"=Clockstop")</f>
        <v>0</v>
      </c>
      <c r="AA109">
        <f t="shared" si="13"/>
        <v>0</v>
      </c>
      <c r="AB109" s="26">
        <f t="shared" si="14"/>
        <v>198</v>
      </c>
      <c r="AC109">
        <f t="shared" si="15"/>
        <v>0</v>
      </c>
    </row>
    <row r="110" spans="1:29" x14ac:dyDescent="0.2">
      <c r="A110">
        <v>57</v>
      </c>
      <c r="B110">
        <v>3</v>
      </c>
      <c r="D110">
        <f t="shared" si="16"/>
        <v>1</v>
      </c>
      <c r="E110">
        <v>14</v>
      </c>
      <c r="F110" s="6" t="s">
        <v>430</v>
      </c>
      <c r="G110">
        <v>14</v>
      </c>
      <c r="H110" s="8" t="s">
        <v>431</v>
      </c>
      <c r="I110" t="s">
        <v>179</v>
      </c>
      <c r="J110">
        <v>22</v>
      </c>
      <c r="K110" t="s">
        <v>489</v>
      </c>
      <c r="L110" t="s">
        <v>277</v>
      </c>
      <c r="M110" t="s">
        <v>191</v>
      </c>
      <c r="N110" t="s">
        <v>87</v>
      </c>
      <c r="Q110">
        <f t="shared" si="17"/>
        <v>18977</v>
      </c>
      <c r="R110" t="str">
        <f t="shared" si="18"/>
        <v>Velodrome</v>
      </c>
      <c r="S110" t="str">
        <f t="shared" si="19"/>
        <v>HollowBrook</v>
      </c>
      <c r="T110" s="20">
        <f t="shared" si="9"/>
        <v>1</v>
      </c>
      <c r="U110">
        <f t="shared" si="10"/>
        <v>882</v>
      </c>
      <c r="V110">
        <f t="shared" si="11"/>
        <v>881</v>
      </c>
      <c r="W110" cm="1">
        <f t="array" ref="W110">_xlfn._xlws.FILTER(shifts!A:A,(shifts!B:B=events!D110)*(shifts!AH:AH&gt;=events!U110)*(shifts!AI:AI&lt;=events!V110))</f>
        <v>3</v>
      </c>
      <c r="X110" t="str">
        <f t="shared" si="12"/>
        <v>opp_team_player_1</v>
      </c>
      <c r="Y110">
        <f>COUNTIFS(A$3:A110,"="&amp;A110,K$3:K110,"="&amp;K110)</f>
        <v>1</v>
      </c>
      <c r="Z110" s="20">
        <f>SUMIFS(T$3:T110,L$3:L110,"=Intermission")+SUMIFS(T$3:T110,L$3:L110,"=Timeout")+SUMIFS(T$3:T110,L$3:L110,"=Clockstop")</f>
        <v>0</v>
      </c>
      <c r="AA110">
        <f t="shared" si="13"/>
        <v>0</v>
      </c>
      <c r="AB110" s="26">
        <f t="shared" si="14"/>
        <v>198</v>
      </c>
      <c r="AC110">
        <f t="shared" si="15"/>
        <v>0</v>
      </c>
    </row>
    <row r="111" spans="1:29" x14ac:dyDescent="0.2">
      <c r="A111">
        <v>58</v>
      </c>
      <c r="B111">
        <v>3</v>
      </c>
      <c r="D111">
        <f t="shared" si="16"/>
        <v>1</v>
      </c>
      <c r="E111">
        <v>14</v>
      </c>
      <c r="F111" s="6" t="s">
        <v>430</v>
      </c>
      <c r="I111" t="s">
        <v>179</v>
      </c>
      <c r="J111">
        <v>13</v>
      </c>
      <c r="K111" t="s">
        <v>488</v>
      </c>
      <c r="L111" t="s">
        <v>10</v>
      </c>
      <c r="M111" t="s">
        <v>190</v>
      </c>
      <c r="N111" t="s">
        <v>73</v>
      </c>
      <c r="Q111">
        <f t="shared" si="17"/>
        <v>18977</v>
      </c>
      <c r="R111" t="str">
        <f t="shared" si="18"/>
        <v>Velodrome</v>
      </c>
      <c r="S111" t="str">
        <f t="shared" si="19"/>
        <v>HollowBrook</v>
      </c>
      <c r="T111" s="20">
        <f t="shared" si="9"/>
        <v>0</v>
      </c>
      <c r="U111">
        <f t="shared" si="10"/>
        <v>882</v>
      </c>
      <c r="V111">
        <f t="shared" si="11"/>
        <v>882</v>
      </c>
      <c r="W111" cm="1">
        <f t="array" ref="W111">_xlfn._xlws.FILTER(shifts!A:A,(shifts!B:B=events!D111)*(shifts!AH:AH&gt;=events!U111)*(shifts!AI:AI&lt;=events!V111))</f>
        <v>3</v>
      </c>
      <c r="X111" t="str">
        <f t="shared" si="12"/>
        <v>event_team_player_1</v>
      </c>
      <c r="Y111">
        <f>COUNTIFS(A$3:A111,"="&amp;A111,K$3:K111,"="&amp;K111)</f>
        <v>1</v>
      </c>
      <c r="Z111" s="20">
        <f>SUMIFS(T$3:T111,L$3:L111,"=Intermission")+SUMIFS(T$3:T111,L$3:L111,"=Timeout")+SUMIFS(T$3:T111,L$3:L111,"=Clockstop")</f>
        <v>0</v>
      </c>
      <c r="AA111">
        <f t="shared" si="13"/>
        <v>0</v>
      </c>
      <c r="AB111" s="26">
        <f t="shared" si="14"/>
        <v>198</v>
      </c>
      <c r="AC111">
        <f t="shared" si="15"/>
        <v>0</v>
      </c>
    </row>
    <row r="112" spans="1:29" x14ac:dyDescent="0.2">
      <c r="A112">
        <v>58</v>
      </c>
      <c r="B112">
        <v>3</v>
      </c>
      <c r="D112">
        <f t="shared" si="16"/>
        <v>1</v>
      </c>
      <c r="E112">
        <v>14</v>
      </c>
      <c r="F112" s="6" t="s">
        <v>430</v>
      </c>
      <c r="I112" t="s">
        <v>179</v>
      </c>
      <c r="J112">
        <v>22</v>
      </c>
      <c r="K112" t="s">
        <v>489</v>
      </c>
      <c r="L112" t="s">
        <v>10</v>
      </c>
      <c r="M112" t="s">
        <v>190</v>
      </c>
      <c r="N112" t="s">
        <v>73</v>
      </c>
      <c r="Q112">
        <f t="shared" si="17"/>
        <v>18977</v>
      </c>
      <c r="R112" t="str">
        <f t="shared" si="18"/>
        <v>Velodrome</v>
      </c>
      <c r="S112" t="str">
        <f t="shared" si="19"/>
        <v>HollowBrook</v>
      </c>
      <c r="T112" s="20">
        <f t="shared" si="9"/>
        <v>0</v>
      </c>
      <c r="U112">
        <f t="shared" si="10"/>
        <v>882</v>
      </c>
      <c r="V112">
        <f t="shared" si="11"/>
        <v>882</v>
      </c>
      <c r="W112" cm="1">
        <f t="array" ref="W112">_xlfn._xlws.FILTER(shifts!A:A,(shifts!B:B=events!D112)*(shifts!AH:AH&gt;=events!U112)*(shifts!AI:AI&lt;=events!V112))</f>
        <v>3</v>
      </c>
      <c r="X112" t="str">
        <f t="shared" si="12"/>
        <v>opp_team_player_1</v>
      </c>
      <c r="Y112">
        <f>COUNTIFS(A$3:A112,"="&amp;A112,K$3:K112,"="&amp;K112)</f>
        <v>1</v>
      </c>
      <c r="Z112" s="20">
        <f>SUMIFS(T$3:T112,L$3:L112,"=Intermission")+SUMIFS(T$3:T112,L$3:L112,"=Timeout")+SUMIFS(T$3:T112,L$3:L112,"=Clockstop")</f>
        <v>0</v>
      </c>
      <c r="AA112">
        <f t="shared" si="13"/>
        <v>0</v>
      </c>
      <c r="AB112" s="26">
        <f t="shared" si="14"/>
        <v>198</v>
      </c>
      <c r="AC112">
        <f t="shared" si="15"/>
        <v>0</v>
      </c>
    </row>
    <row r="113" spans="1:29" x14ac:dyDescent="0.2">
      <c r="A113">
        <v>59</v>
      </c>
      <c r="D113">
        <f t="shared" si="16"/>
        <v>1</v>
      </c>
      <c r="E113">
        <v>14</v>
      </c>
      <c r="F113" s="6" t="s">
        <v>432</v>
      </c>
      <c r="G113">
        <v>14</v>
      </c>
      <c r="H113" s="8" t="s">
        <v>434</v>
      </c>
      <c r="I113" t="s">
        <v>178</v>
      </c>
      <c r="J113">
        <v>91</v>
      </c>
      <c r="K113" t="s">
        <v>488</v>
      </c>
      <c r="L113" t="s">
        <v>15</v>
      </c>
      <c r="Q113">
        <f t="shared" si="17"/>
        <v>18977</v>
      </c>
      <c r="R113" t="str">
        <f t="shared" si="18"/>
        <v>Velodrome</v>
      </c>
      <c r="S113" t="str">
        <f t="shared" si="19"/>
        <v>HollowBrook</v>
      </c>
      <c r="T113" s="20">
        <f t="shared" si="9"/>
        <v>3</v>
      </c>
      <c r="U113">
        <f t="shared" si="10"/>
        <v>890</v>
      </c>
      <c r="V113">
        <f t="shared" si="11"/>
        <v>887</v>
      </c>
      <c r="W113" cm="1">
        <f t="array" ref="W113">_xlfn._xlws.FILTER(shifts!A:A,(shifts!B:B=events!D113)*(shifts!AH:AH&gt;=events!U113)*(shifts!AI:AI&lt;=events!V113))</f>
        <v>3</v>
      </c>
      <c r="X113" t="str">
        <f t="shared" si="12"/>
        <v>event_team_player_1</v>
      </c>
      <c r="Y113">
        <f>COUNTIFS(A$3:A113,"="&amp;A113,K$3:K113,"="&amp;K113)</f>
        <v>1</v>
      </c>
      <c r="Z113" s="20">
        <f>SUMIFS(T$3:T113,L$3:L113,"=Intermission")+SUMIFS(T$3:T113,L$3:L113,"=Timeout")+SUMIFS(T$3:T113,L$3:L113,"=Clockstop")</f>
        <v>0</v>
      </c>
      <c r="AA113">
        <f t="shared" si="13"/>
        <v>0</v>
      </c>
      <c r="AB113" s="26">
        <f t="shared" si="14"/>
        <v>190</v>
      </c>
      <c r="AC113">
        <f t="shared" si="15"/>
        <v>0</v>
      </c>
    </row>
    <row r="114" spans="1:29" x14ac:dyDescent="0.2">
      <c r="A114">
        <v>60</v>
      </c>
      <c r="D114">
        <f t="shared" si="16"/>
        <v>1</v>
      </c>
      <c r="E114">
        <v>14</v>
      </c>
      <c r="F114" s="6" t="s">
        <v>434</v>
      </c>
      <c r="I114" t="s">
        <v>178</v>
      </c>
      <c r="J114">
        <v>91</v>
      </c>
      <c r="K114" t="s">
        <v>488</v>
      </c>
      <c r="L114" t="s">
        <v>8</v>
      </c>
      <c r="M114" t="s">
        <v>189</v>
      </c>
      <c r="N114" t="s">
        <v>70</v>
      </c>
      <c r="Q114">
        <f t="shared" si="17"/>
        <v>18977</v>
      </c>
      <c r="R114" t="str">
        <f t="shared" si="18"/>
        <v>Velodrome</v>
      </c>
      <c r="S114" t="str">
        <f t="shared" si="19"/>
        <v>HollowBrook</v>
      </c>
      <c r="T114" s="20">
        <f t="shared" si="9"/>
        <v>0</v>
      </c>
      <c r="U114">
        <f t="shared" si="10"/>
        <v>887</v>
      </c>
      <c r="V114">
        <f t="shared" si="11"/>
        <v>887</v>
      </c>
      <c r="W114" cm="1">
        <f t="array" ref="W114">_xlfn._xlws.FILTER(shifts!A:A,(shifts!B:B=events!D114)*(shifts!AH:AH&gt;=events!U114)*(shifts!AI:AI&lt;=events!V114))</f>
        <v>3</v>
      </c>
      <c r="X114" t="str">
        <f t="shared" si="12"/>
        <v>event_team_player_1</v>
      </c>
      <c r="Y114">
        <f>COUNTIFS(A$3:A114,"="&amp;A114,K$3:K114,"="&amp;K114)</f>
        <v>1</v>
      </c>
      <c r="Z114" s="20">
        <f>SUMIFS(T$3:T114,L$3:L114,"=Intermission")+SUMIFS(T$3:T114,L$3:L114,"=Timeout")+SUMIFS(T$3:T114,L$3:L114,"=Clockstop")</f>
        <v>0</v>
      </c>
      <c r="AA114">
        <f t="shared" si="13"/>
        <v>0</v>
      </c>
      <c r="AB114" s="26">
        <f t="shared" si="14"/>
        <v>193</v>
      </c>
      <c r="AC114">
        <f t="shared" si="15"/>
        <v>0</v>
      </c>
    </row>
    <row r="115" spans="1:29" x14ac:dyDescent="0.2">
      <c r="A115">
        <v>60</v>
      </c>
      <c r="D115">
        <f t="shared" si="16"/>
        <v>1</v>
      </c>
      <c r="E115">
        <v>14</v>
      </c>
      <c r="F115" s="6" t="s">
        <v>434</v>
      </c>
      <c r="I115" t="s">
        <v>178</v>
      </c>
      <c r="J115">
        <v>22</v>
      </c>
      <c r="K115" t="s">
        <v>488</v>
      </c>
      <c r="L115" t="s">
        <v>8</v>
      </c>
      <c r="M115" t="s">
        <v>189</v>
      </c>
      <c r="N115" t="s">
        <v>70</v>
      </c>
      <c r="Q115">
        <f t="shared" si="17"/>
        <v>18977</v>
      </c>
      <c r="R115" t="str">
        <f t="shared" si="18"/>
        <v>Velodrome</v>
      </c>
      <c r="S115" t="str">
        <f t="shared" si="19"/>
        <v>HollowBrook</v>
      </c>
      <c r="T115" s="20">
        <f t="shared" si="9"/>
        <v>0</v>
      </c>
      <c r="U115">
        <f t="shared" si="10"/>
        <v>887</v>
      </c>
      <c r="V115">
        <f t="shared" si="11"/>
        <v>887</v>
      </c>
      <c r="W115" cm="1">
        <f t="array" ref="W115">_xlfn._xlws.FILTER(shifts!A:A,(shifts!B:B=events!D115)*(shifts!AH:AH&gt;=events!U115)*(shifts!AI:AI&lt;=events!V115))</f>
        <v>3</v>
      </c>
      <c r="X115" t="str">
        <f t="shared" si="12"/>
        <v>event_team_player_2</v>
      </c>
      <c r="Y115">
        <f>COUNTIFS(A$3:A115,"="&amp;A115,K$3:K115,"="&amp;K115)</f>
        <v>2</v>
      </c>
      <c r="Z115" s="20">
        <f>SUMIFS(T$3:T115,L$3:L115,"=Intermission")+SUMIFS(T$3:T115,L$3:L115,"=Timeout")+SUMIFS(T$3:T115,L$3:L115,"=Clockstop")</f>
        <v>0</v>
      </c>
      <c r="AA115">
        <f t="shared" si="13"/>
        <v>0</v>
      </c>
      <c r="AB115" s="26">
        <f t="shared" si="14"/>
        <v>193</v>
      </c>
      <c r="AC115">
        <f t="shared" si="15"/>
        <v>0</v>
      </c>
    </row>
    <row r="116" spans="1:29" x14ac:dyDescent="0.2">
      <c r="A116">
        <v>61</v>
      </c>
      <c r="D116">
        <f t="shared" si="16"/>
        <v>1</v>
      </c>
      <c r="E116">
        <v>14</v>
      </c>
      <c r="F116" s="6" t="s">
        <v>436</v>
      </c>
      <c r="G116">
        <v>14</v>
      </c>
      <c r="H116" s="8" t="s">
        <v>435</v>
      </c>
      <c r="I116" t="s">
        <v>178</v>
      </c>
      <c r="J116">
        <v>22</v>
      </c>
      <c r="K116" t="s">
        <v>488</v>
      </c>
      <c r="L116" t="s">
        <v>15</v>
      </c>
      <c r="Q116">
        <f t="shared" si="17"/>
        <v>18977</v>
      </c>
      <c r="R116" t="str">
        <f t="shared" si="18"/>
        <v>Velodrome</v>
      </c>
      <c r="S116" t="str">
        <f t="shared" si="19"/>
        <v>HollowBrook</v>
      </c>
      <c r="T116" s="20">
        <f t="shared" si="9"/>
        <v>1</v>
      </c>
      <c r="U116">
        <f t="shared" si="10"/>
        <v>885</v>
      </c>
      <c r="V116">
        <f t="shared" si="11"/>
        <v>884</v>
      </c>
      <c r="W116" cm="1">
        <f t="array" ref="W116">_xlfn._xlws.FILTER(shifts!A:A,(shifts!B:B=events!D116)*(shifts!AH:AH&gt;=events!U116)*(shifts!AI:AI&lt;=events!V116))</f>
        <v>3</v>
      </c>
      <c r="X116" t="str">
        <f t="shared" si="12"/>
        <v>event_team_player_1</v>
      </c>
      <c r="Y116">
        <f>COUNTIFS(A$3:A116,"="&amp;A116,K$3:K116,"="&amp;K116)</f>
        <v>1</v>
      </c>
      <c r="Z116" s="20">
        <f>SUMIFS(T$3:T116,L$3:L116,"=Intermission")+SUMIFS(T$3:T116,L$3:L116,"=Timeout")+SUMIFS(T$3:T116,L$3:L116,"=Clockstop")</f>
        <v>0</v>
      </c>
      <c r="AA116">
        <f t="shared" si="13"/>
        <v>0</v>
      </c>
      <c r="AB116" s="26">
        <f t="shared" si="14"/>
        <v>195</v>
      </c>
      <c r="AC116">
        <f t="shared" si="15"/>
        <v>0</v>
      </c>
    </row>
    <row r="117" spans="1:29" x14ac:dyDescent="0.2">
      <c r="A117">
        <v>62</v>
      </c>
      <c r="B117">
        <v>4</v>
      </c>
      <c r="D117">
        <f t="shared" si="16"/>
        <v>1</v>
      </c>
      <c r="E117">
        <v>14</v>
      </c>
      <c r="F117" s="6" t="s">
        <v>435</v>
      </c>
      <c r="I117" t="s">
        <v>178</v>
      </c>
      <c r="J117">
        <v>22</v>
      </c>
      <c r="K117" t="s">
        <v>488</v>
      </c>
      <c r="L117" t="s">
        <v>8</v>
      </c>
      <c r="M117" t="s">
        <v>189</v>
      </c>
      <c r="N117" t="s">
        <v>69</v>
      </c>
      <c r="Q117">
        <f t="shared" si="17"/>
        <v>18977</v>
      </c>
      <c r="R117" t="str">
        <f t="shared" si="18"/>
        <v>Velodrome</v>
      </c>
      <c r="S117" t="str">
        <f t="shared" si="19"/>
        <v>HollowBrook</v>
      </c>
      <c r="T117" s="20">
        <f t="shared" si="9"/>
        <v>0</v>
      </c>
      <c r="U117">
        <f t="shared" si="10"/>
        <v>884</v>
      </c>
      <c r="V117">
        <f t="shared" si="11"/>
        <v>884</v>
      </c>
      <c r="W117" cm="1">
        <f t="array" ref="W117">_xlfn._xlws.FILTER(shifts!A:A,(shifts!B:B=events!D117)*(shifts!AH:AH&gt;=events!U117)*(shifts!AI:AI&lt;=events!V117))</f>
        <v>3</v>
      </c>
      <c r="X117" t="str">
        <f t="shared" si="12"/>
        <v>event_team_player_1</v>
      </c>
      <c r="Y117">
        <f>COUNTIFS(A$3:A117,"="&amp;A117,K$3:K117,"="&amp;K117)</f>
        <v>1</v>
      </c>
      <c r="Z117" s="20">
        <f>SUMIFS(T$3:T117,L$3:L117,"=Intermission")+SUMIFS(T$3:T117,L$3:L117,"=Timeout")+SUMIFS(T$3:T117,L$3:L117,"=Clockstop")</f>
        <v>0</v>
      </c>
      <c r="AA117">
        <f t="shared" si="13"/>
        <v>0</v>
      </c>
      <c r="AB117" s="26">
        <f t="shared" si="14"/>
        <v>196</v>
      </c>
      <c r="AC117">
        <f t="shared" si="15"/>
        <v>0</v>
      </c>
    </row>
    <row r="118" spans="1:29" x14ac:dyDescent="0.2">
      <c r="A118">
        <v>62</v>
      </c>
      <c r="B118">
        <v>4</v>
      </c>
      <c r="D118">
        <f t="shared" si="16"/>
        <v>1</v>
      </c>
      <c r="E118">
        <v>14</v>
      </c>
      <c r="F118" s="6" t="s">
        <v>435</v>
      </c>
      <c r="I118" t="s">
        <v>178</v>
      </c>
      <c r="J118">
        <v>52</v>
      </c>
      <c r="K118" t="s">
        <v>488</v>
      </c>
      <c r="L118" t="s">
        <v>8</v>
      </c>
      <c r="M118" t="s">
        <v>189</v>
      </c>
      <c r="N118" t="s">
        <v>69</v>
      </c>
      <c r="Q118">
        <f t="shared" si="17"/>
        <v>18977</v>
      </c>
      <c r="R118" t="str">
        <f t="shared" si="18"/>
        <v>Velodrome</v>
      </c>
      <c r="S118" t="str">
        <f t="shared" si="19"/>
        <v>HollowBrook</v>
      </c>
      <c r="T118" s="20">
        <f t="shared" si="9"/>
        <v>0</v>
      </c>
      <c r="U118">
        <f t="shared" si="10"/>
        <v>884</v>
      </c>
      <c r="V118">
        <f t="shared" si="11"/>
        <v>884</v>
      </c>
      <c r="W118" cm="1">
        <f t="array" ref="W118">_xlfn._xlws.FILTER(shifts!A:A,(shifts!B:B=events!D118)*(shifts!AH:AH&gt;=events!U118)*(shifts!AI:AI&lt;=events!V118))</f>
        <v>3</v>
      </c>
      <c r="X118" t="str">
        <f t="shared" si="12"/>
        <v>event_team_player_2</v>
      </c>
      <c r="Y118">
        <f>COUNTIFS(A$3:A118,"="&amp;A118,K$3:K118,"="&amp;K118)</f>
        <v>2</v>
      </c>
      <c r="Z118" s="20">
        <f>SUMIFS(T$3:T118,L$3:L118,"=Intermission")+SUMIFS(T$3:T118,L$3:L118,"=Timeout")+SUMIFS(T$3:T118,L$3:L118,"=Clockstop")</f>
        <v>0</v>
      </c>
      <c r="AA118">
        <f t="shared" si="13"/>
        <v>0</v>
      </c>
      <c r="AB118" s="26">
        <f t="shared" si="14"/>
        <v>196</v>
      </c>
      <c r="AC118">
        <f t="shared" si="15"/>
        <v>0</v>
      </c>
    </row>
    <row r="119" spans="1:29" x14ac:dyDescent="0.2">
      <c r="A119">
        <v>63</v>
      </c>
      <c r="B119">
        <v>4</v>
      </c>
      <c r="D119">
        <f t="shared" si="16"/>
        <v>1</v>
      </c>
      <c r="E119">
        <v>14</v>
      </c>
      <c r="F119" s="6" t="s">
        <v>435</v>
      </c>
      <c r="G119">
        <v>14</v>
      </c>
      <c r="H119" s="8" t="s">
        <v>430</v>
      </c>
      <c r="I119" t="s">
        <v>178</v>
      </c>
      <c r="J119">
        <v>52</v>
      </c>
      <c r="K119" t="s">
        <v>488</v>
      </c>
      <c r="L119" t="s">
        <v>277</v>
      </c>
      <c r="M119" t="s">
        <v>201</v>
      </c>
      <c r="N119" t="s">
        <v>90</v>
      </c>
      <c r="Q119">
        <f t="shared" si="17"/>
        <v>18977</v>
      </c>
      <c r="R119" t="str">
        <f t="shared" si="18"/>
        <v>Velodrome</v>
      </c>
      <c r="S119" t="str">
        <f t="shared" si="19"/>
        <v>HollowBrook</v>
      </c>
      <c r="T119" s="20">
        <f t="shared" si="9"/>
        <v>2</v>
      </c>
      <c r="U119">
        <f t="shared" si="10"/>
        <v>884</v>
      </c>
      <c r="V119">
        <f t="shared" si="11"/>
        <v>882</v>
      </c>
      <c r="W119" cm="1">
        <f t="array" ref="W119">_xlfn._xlws.FILTER(shifts!A:A,(shifts!B:B=events!D119)*(shifts!AH:AH&gt;=events!U119)*(shifts!AI:AI&lt;=events!V119))</f>
        <v>3</v>
      </c>
      <c r="X119" t="str">
        <f t="shared" si="12"/>
        <v>event_team_player_1</v>
      </c>
      <c r="Y119">
        <f>COUNTIFS(A$3:A119,"="&amp;A119,K$3:K119,"="&amp;K119)</f>
        <v>1</v>
      </c>
      <c r="Z119" s="20">
        <f>SUMIFS(T$3:T119,L$3:L119,"=Intermission")+SUMIFS(T$3:T119,L$3:L119,"=Timeout")+SUMIFS(T$3:T119,L$3:L119,"=Clockstop")</f>
        <v>0</v>
      </c>
      <c r="AA119">
        <f t="shared" si="13"/>
        <v>0</v>
      </c>
      <c r="AB119" s="26">
        <f t="shared" si="14"/>
        <v>196</v>
      </c>
      <c r="AC119">
        <f t="shared" si="15"/>
        <v>0</v>
      </c>
    </row>
    <row r="120" spans="1:29" x14ac:dyDescent="0.2">
      <c r="A120">
        <v>64</v>
      </c>
      <c r="B120">
        <v>4</v>
      </c>
      <c r="D120">
        <f t="shared" si="16"/>
        <v>1</v>
      </c>
      <c r="E120">
        <v>14</v>
      </c>
      <c r="F120" s="6" t="s">
        <v>430</v>
      </c>
      <c r="G120">
        <v>14</v>
      </c>
      <c r="H120" s="8" t="s">
        <v>431</v>
      </c>
      <c r="I120" t="s">
        <v>178</v>
      </c>
      <c r="J120">
        <v>52</v>
      </c>
      <c r="K120" t="s">
        <v>488</v>
      </c>
      <c r="L120" t="s">
        <v>15</v>
      </c>
      <c r="Q120">
        <f t="shared" si="17"/>
        <v>18977</v>
      </c>
      <c r="R120" t="str">
        <f t="shared" si="18"/>
        <v>Velodrome</v>
      </c>
      <c r="S120" t="str">
        <f t="shared" si="19"/>
        <v>HollowBrook</v>
      </c>
      <c r="T120" s="20">
        <f t="shared" si="9"/>
        <v>1</v>
      </c>
      <c r="U120">
        <f t="shared" si="10"/>
        <v>882</v>
      </c>
      <c r="V120">
        <f t="shared" si="11"/>
        <v>881</v>
      </c>
      <c r="W120" cm="1">
        <f t="array" ref="W120">_xlfn._xlws.FILTER(shifts!A:A,(shifts!B:B=events!D120)*(shifts!AH:AH&gt;=events!U120)*(shifts!AI:AI&lt;=events!V120))</f>
        <v>3</v>
      </c>
      <c r="X120" t="str">
        <f t="shared" si="12"/>
        <v>event_team_player_1</v>
      </c>
      <c r="Y120">
        <f>COUNTIFS(A$3:A120,"="&amp;A120,K$3:K120,"="&amp;K120)</f>
        <v>1</v>
      </c>
      <c r="Z120" s="20">
        <f>SUMIFS(T$3:T120,L$3:L120,"=Intermission")+SUMIFS(T$3:T120,L$3:L120,"=Timeout")+SUMIFS(T$3:T120,L$3:L120,"=Clockstop")</f>
        <v>0</v>
      </c>
      <c r="AA120">
        <f t="shared" si="13"/>
        <v>0</v>
      </c>
      <c r="AB120" s="26">
        <f t="shared" si="14"/>
        <v>198</v>
      </c>
      <c r="AC120">
        <f t="shared" si="15"/>
        <v>0</v>
      </c>
    </row>
    <row r="121" spans="1:29" x14ac:dyDescent="0.2">
      <c r="A121">
        <v>65</v>
      </c>
      <c r="B121">
        <v>4</v>
      </c>
      <c r="D121">
        <f t="shared" si="16"/>
        <v>1</v>
      </c>
      <c r="E121">
        <v>14</v>
      </c>
      <c r="F121" s="6" t="s">
        <v>431</v>
      </c>
      <c r="G121">
        <v>14</v>
      </c>
      <c r="H121" s="8" t="s">
        <v>438</v>
      </c>
      <c r="I121" t="s">
        <v>178</v>
      </c>
      <c r="J121">
        <v>52</v>
      </c>
      <c r="K121" t="s">
        <v>488</v>
      </c>
      <c r="L121" t="s">
        <v>277</v>
      </c>
      <c r="M121" t="s">
        <v>191</v>
      </c>
      <c r="N121" t="s">
        <v>87</v>
      </c>
      <c r="Q121">
        <f t="shared" si="17"/>
        <v>18977</v>
      </c>
      <c r="R121" t="str">
        <f t="shared" si="18"/>
        <v>Velodrome</v>
      </c>
      <c r="S121" t="str">
        <f t="shared" si="19"/>
        <v>HollowBrook</v>
      </c>
      <c r="T121" s="20">
        <f t="shared" si="9"/>
        <v>3</v>
      </c>
      <c r="U121">
        <f t="shared" si="10"/>
        <v>881</v>
      </c>
      <c r="V121">
        <f t="shared" si="11"/>
        <v>878</v>
      </c>
      <c r="W121" cm="1">
        <f t="array" ref="W121">_xlfn._xlws.FILTER(shifts!A:A,(shifts!B:B=events!D121)*(shifts!AH:AH&gt;=events!U121)*(shifts!AI:AI&lt;=events!V121))</f>
        <v>4</v>
      </c>
      <c r="X121" t="str">
        <f t="shared" si="12"/>
        <v>event_team_player_1</v>
      </c>
      <c r="Y121">
        <f>COUNTIFS(A$3:A121,"="&amp;A121,K$3:K121,"="&amp;K121)</f>
        <v>1</v>
      </c>
      <c r="Z121" s="20">
        <f>SUMIFS(T$3:T121,L$3:L121,"=Intermission")+SUMIFS(T$3:T121,L$3:L121,"=Timeout")+SUMIFS(T$3:T121,L$3:L121,"=Clockstop")</f>
        <v>0</v>
      </c>
      <c r="AA121">
        <f t="shared" si="13"/>
        <v>0</v>
      </c>
      <c r="AB121" s="26">
        <f t="shared" si="14"/>
        <v>199</v>
      </c>
      <c r="AC121">
        <f t="shared" si="15"/>
        <v>0</v>
      </c>
    </row>
    <row r="122" spans="1:29" x14ac:dyDescent="0.2">
      <c r="A122">
        <v>66</v>
      </c>
      <c r="B122">
        <v>4</v>
      </c>
      <c r="D122">
        <f t="shared" si="16"/>
        <v>1</v>
      </c>
      <c r="E122">
        <v>14</v>
      </c>
      <c r="F122" s="6" t="s">
        <v>438</v>
      </c>
      <c r="I122" t="s">
        <v>179</v>
      </c>
      <c r="J122">
        <v>11</v>
      </c>
      <c r="K122" t="s">
        <v>488</v>
      </c>
      <c r="L122" t="s">
        <v>10</v>
      </c>
      <c r="M122" t="s">
        <v>200</v>
      </c>
      <c r="N122" t="s">
        <v>82</v>
      </c>
      <c r="Q122">
        <f t="shared" si="17"/>
        <v>18977</v>
      </c>
      <c r="R122" t="str">
        <f t="shared" si="18"/>
        <v>Velodrome</v>
      </c>
      <c r="S122" t="str">
        <f t="shared" si="19"/>
        <v>HollowBrook</v>
      </c>
      <c r="T122" s="20">
        <f t="shared" si="9"/>
        <v>0</v>
      </c>
      <c r="U122">
        <f t="shared" si="10"/>
        <v>878</v>
      </c>
      <c r="V122">
        <f t="shared" si="11"/>
        <v>878</v>
      </c>
      <c r="W122" cm="1">
        <f t="array" ref="W122">_xlfn._xlws.FILTER(shifts!A:A,(shifts!B:B=events!D122)*(shifts!AH:AH&gt;=events!U122)*(shifts!AI:AI&lt;=events!V122))</f>
        <v>4</v>
      </c>
      <c r="X122" t="str">
        <f t="shared" si="12"/>
        <v>event_team_player_1</v>
      </c>
      <c r="Y122">
        <f>COUNTIFS(A$3:A122,"="&amp;A122,K$3:K122,"="&amp;K122)</f>
        <v>1</v>
      </c>
      <c r="Z122" s="20">
        <f>SUMIFS(T$3:T122,L$3:L122,"=Intermission")+SUMIFS(T$3:T122,L$3:L122,"=Timeout")+SUMIFS(T$3:T122,L$3:L122,"=Clockstop")</f>
        <v>0</v>
      </c>
      <c r="AA122">
        <f t="shared" si="13"/>
        <v>0</v>
      </c>
      <c r="AB122" s="26">
        <f t="shared" si="14"/>
        <v>202</v>
      </c>
      <c r="AC122">
        <f t="shared" si="15"/>
        <v>0</v>
      </c>
    </row>
    <row r="123" spans="1:29" x14ac:dyDescent="0.2">
      <c r="A123">
        <v>66</v>
      </c>
      <c r="D123">
        <f t="shared" si="16"/>
        <v>1</v>
      </c>
      <c r="E123">
        <v>14</v>
      </c>
      <c r="F123" s="6" t="s">
        <v>438</v>
      </c>
      <c r="I123" t="s">
        <v>179</v>
      </c>
      <c r="J123">
        <v>52</v>
      </c>
      <c r="K123" t="s">
        <v>489</v>
      </c>
      <c r="L123" t="s">
        <v>10</v>
      </c>
      <c r="M123" t="s">
        <v>200</v>
      </c>
      <c r="N123" t="s">
        <v>82</v>
      </c>
      <c r="Q123">
        <f t="shared" si="17"/>
        <v>18977</v>
      </c>
      <c r="R123" t="str">
        <f t="shared" si="18"/>
        <v>Velodrome</v>
      </c>
      <c r="S123" t="str">
        <f t="shared" si="19"/>
        <v>HollowBrook</v>
      </c>
      <c r="T123" s="20">
        <f t="shared" si="9"/>
        <v>0</v>
      </c>
      <c r="U123">
        <f t="shared" si="10"/>
        <v>878</v>
      </c>
      <c r="V123">
        <f t="shared" si="11"/>
        <v>878</v>
      </c>
      <c r="W123" cm="1">
        <f t="array" ref="W123">_xlfn._xlws.FILTER(shifts!A:A,(shifts!B:B=events!D123)*(shifts!AH:AH&gt;=events!U123)*(shifts!AI:AI&lt;=events!V123))</f>
        <v>4</v>
      </c>
      <c r="X123" t="str">
        <f t="shared" si="12"/>
        <v>opp_team_player_1</v>
      </c>
      <c r="Y123">
        <f>COUNTIFS(A$3:A123,"="&amp;A123,K$3:K123,"="&amp;K123)</f>
        <v>1</v>
      </c>
      <c r="Z123" s="20">
        <f>SUMIFS(T$3:T123,L$3:L123,"=Intermission")+SUMIFS(T$3:T123,L$3:L123,"=Timeout")+SUMIFS(T$3:T123,L$3:L123,"=Clockstop")</f>
        <v>0</v>
      </c>
      <c r="AA123">
        <f t="shared" si="13"/>
        <v>0</v>
      </c>
      <c r="AB123" s="26">
        <f t="shared" si="14"/>
        <v>202</v>
      </c>
      <c r="AC123">
        <f t="shared" si="15"/>
        <v>0</v>
      </c>
    </row>
    <row r="124" spans="1:29" x14ac:dyDescent="0.2">
      <c r="A124">
        <v>67</v>
      </c>
      <c r="D124">
        <f t="shared" si="16"/>
        <v>1</v>
      </c>
      <c r="E124">
        <v>14</v>
      </c>
      <c r="F124" s="6" t="s">
        <v>439</v>
      </c>
      <c r="I124" t="s">
        <v>178</v>
      </c>
      <c r="J124">
        <v>24</v>
      </c>
      <c r="K124" t="s">
        <v>488</v>
      </c>
      <c r="L124" t="s">
        <v>7</v>
      </c>
      <c r="M124" t="s">
        <v>198</v>
      </c>
      <c r="N124" t="s">
        <v>53</v>
      </c>
      <c r="Q124">
        <f t="shared" si="17"/>
        <v>18977</v>
      </c>
      <c r="R124" t="str">
        <f t="shared" si="18"/>
        <v>Velodrome</v>
      </c>
      <c r="S124" t="str">
        <f t="shared" si="19"/>
        <v>HollowBrook</v>
      </c>
      <c r="T124" s="20">
        <f t="shared" si="9"/>
        <v>0</v>
      </c>
      <c r="U124">
        <f t="shared" si="10"/>
        <v>874</v>
      </c>
      <c r="V124">
        <f t="shared" si="11"/>
        <v>874</v>
      </c>
      <c r="W124" cm="1">
        <f t="array" ref="W124">_xlfn._xlws.FILTER(shifts!A:A,(shifts!B:B=events!D124)*(shifts!AH:AH&gt;=events!U124)*(shifts!AI:AI&lt;=events!V124))</f>
        <v>4</v>
      </c>
      <c r="X124" t="str">
        <f t="shared" si="12"/>
        <v>event_team_player_1</v>
      </c>
      <c r="Y124">
        <f>COUNTIFS(A$3:A124,"="&amp;A124,K$3:K124,"="&amp;K124)</f>
        <v>1</v>
      </c>
      <c r="Z124" s="20">
        <f>SUMIFS(T$3:T124,L$3:L124,"=Intermission")+SUMIFS(T$3:T124,L$3:L124,"=Timeout")+SUMIFS(T$3:T124,L$3:L124,"=Clockstop")</f>
        <v>0</v>
      </c>
      <c r="AA124">
        <f t="shared" si="13"/>
        <v>0</v>
      </c>
      <c r="AB124" s="26">
        <f t="shared" si="14"/>
        <v>206</v>
      </c>
      <c r="AC124">
        <f t="shared" si="15"/>
        <v>0</v>
      </c>
    </row>
    <row r="125" spans="1:29" x14ac:dyDescent="0.2">
      <c r="A125">
        <v>68</v>
      </c>
      <c r="D125">
        <f t="shared" si="16"/>
        <v>1</v>
      </c>
      <c r="E125">
        <v>14</v>
      </c>
      <c r="F125" s="6" t="s">
        <v>440</v>
      </c>
      <c r="G125">
        <v>14</v>
      </c>
      <c r="H125" s="8" t="s">
        <v>441</v>
      </c>
      <c r="I125" t="s">
        <v>178</v>
      </c>
      <c r="J125">
        <v>42</v>
      </c>
      <c r="K125" t="s">
        <v>488</v>
      </c>
      <c r="L125" t="s">
        <v>15</v>
      </c>
      <c r="Q125">
        <f t="shared" si="17"/>
        <v>18977</v>
      </c>
      <c r="R125" t="str">
        <f t="shared" si="18"/>
        <v>Velodrome</v>
      </c>
      <c r="S125" t="str">
        <f t="shared" si="19"/>
        <v>HollowBrook</v>
      </c>
      <c r="T125" s="20">
        <f t="shared" si="9"/>
        <v>3</v>
      </c>
      <c r="U125">
        <f t="shared" si="10"/>
        <v>868</v>
      </c>
      <c r="V125">
        <f t="shared" si="11"/>
        <v>865</v>
      </c>
      <c r="W125" cm="1">
        <f t="array" ref="W125">_xlfn._xlws.FILTER(shifts!A:A,(shifts!B:B=events!D125)*(shifts!AH:AH&gt;=events!U125)*(shifts!AI:AI&lt;=events!V125))</f>
        <v>4</v>
      </c>
      <c r="X125" t="str">
        <f t="shared" si="12"/>
        <v>event_team_player_1</v>
      </c>
      <c r="Y125">
        <f>COUNTIFS(A$3:A125,"="&amp;A125,K$3:K125,"="&amp;K125)</f>
        <v>1</v>
      </c>
      <c r="Z125" s="20">
        <f>SUMIFS(T$3:T125,L$3:L125,"=Intermission")+SUMIFS(T$3:T125,L$3:L125,"=Timeout")+SUMIFS(T$3:T125,L$3:L125,"=Clockstop")</f>
        <v>0</v>
      </c>
      <c r="AA125">
        <f t="shared" si="13"/>
        <v>0</v>
      </c>
      <c r="AB125" s="26">
        <f t="shared" si="14"/>
        <v>212</v>
      </c>
      <c r="AC125">
        <f t="shared" si="15"/>
        <v>0</v>
      </c>
    </row>
    <row r="126" spans="1:29" x14ac:dyDescent="0.2">
      <c r="A126">
        <v>68</v>
      </c>
      <c r="D126">
        <f t="shared" si="16"/>
        <v>1</v>
      </c>
      <c r="E126">
        <v>14</v>
      </c>
      <c r="F126" s="6" t="s">
        <v>442</v>
      </c>
      <c r="G126">
        <v>14</v>
      </c>
      <c r="H126" s="8" t="s">
        <v>443</v>
      </c>
      <c r="I126" t="s">
        <v>178</v>
      </c>
      <c r="J126">
        <v>18</v>
      </c>
      <c r="K126" t="s">
        <v>489</v>
      </c>
      <c r="L126" t="s">
        <v>15</v>
      </c>
      <c r="Q126">
        <f t="shared" si="17"/>
        <v>18977</v>
      </c>
      <c r="R126" t="str">
        <f t="shared" si="18"/>
        <v>Velodrome</v>
      </c>
      <c r="S126" t="str">
        <f t="shared" si="19"/>
        <v>HollowBrook</v>
      </c>
      <c r="T126" s="20">
        <f t="shared" si="9"/>
        <v>3</v>
      </c>
      <c r="U126">
        <f t="shared" si="10"/>
        <v>869</v>
      </c>
      <c r="V126">
        <f t="shared" si="11"/>
        <v>866</v>
      </c>
      <c r="W126" cm="1">
        <f t="array" ref="W126">_xlfn._xlws.FILTER(shifts!A:A,(shifts!B:B=events!D126)*(shifts!AH:AH&gt;=events!U126)*(shifts!AI:AI&lt;=events!V126))</f>
        <v>4</v>
      </c>
      <c r="X126" t="str">
        <f t="shared" si="12"/>
        <v>opp_team_player_1</v>
      </c>
      <c r="Y126">
        <f>COUNTIFS(A$3:A126,"="&amp;A126,K$3:K126,"="&amp;K126)</f>
        <v>1</v>
      </c>
      <c r="Z126" s="20">
        <f>SUMIFS(T$3:T126,L$3:L126,"=Intermission")+SUMIFS(T$3:T126,L$3:L126,"=Timeout")+SUMIFS(T$3:T126,L$3:L126,"=Clockstop")</f>
        <v>0</v>
      </c>
      <c r="AA126">
        <f t="shared" si="13"/>
        <v>0</v>
      </c>
      <c r="AB126" s="26">
        <f t="shared" si="14"/>
        <v>211</v>
      </c>
      <c r="AC126">
        <f t="shared" si="15"/>
        <v>0</v>
      </c>
    </row>
    <row r="127" spans="1:29" x14ac:dyDescent="0.2">
      <c r="A127">
        <v>69</v>
      </c>
      <c r="D127">
        <f t="shared" si="16"/>
        <v>1</v>
      </c>
      <c r="E127">
        <v>14</v>
      </c>
      <c r="F127" s="6" t="s">
        <v>443</v>
      </c>
      <c r="I127" t="s">
        <v>178</v>
      </c>
      <c r="J127">
        <v>42</v>
      </c>
      <c r="K127" t="s">
        <v>488</v>
      </c>
      <c r="L127" t="s">
        <v>8</v>
      </c>
      <c r="M127" t="s">
        <v>189</v>
      </c>
      <c r="N127" t="s">
        <v>69</v>
      </c>
      <c r="Q127">
        <f t="shared" si="17"/>
        <v>18977</v>
      </c>
      <c r="R127" t="str">
        <f t="shared" si="18"/>
        <v>Velodrome</v>
      </c>
      <c r="S127" t="str">
        <f t="shared" si="19"/>
        <v>HollowBrook</v>
      </c>
      <c r="T127" s="20">
        <f t="shared" si="9"/>
        <v>0</v>
      </c>
      <c r="U127">
        <f t="shared" si="10"/>
        <v>866</v>
      </c>
      <c r="V127">
        <f t="shared" si="11"/>
        <v>866</v>
      </c>
      <c r="W127" cm="1">
        <f t="array" ref="W127">_xlfn._xlws.FILTER(shifts!A:A,(shifts!B:B=events!D127)*(shifts!AH:AH&gt;=events!U127)*(shifts!AI:AI&lt;=events!V127))</f>
        <v>4</v>
      </c>
      <c r="X127" t="str">
        <f t="shared" si="12"/>
        <v>event_team_player_1</v>
      </c>
      <c r="Y127">
        <f>COUNTIFS(A$3:A127,"="&amp;A127,K$3:K127,"="&amp;K127)</f>
        <v>1</v>
      </c>
      <c r="Z127" s="20">
        <f>SUMIFS(T$3:T127,L$3:L127,"=Intermission")+SUMIFS(T$3:T127,L$3:L127,"=Timeout")+SUMIFS(T$3:T127,L$3:L127,"=Clockstop")</f>
        <v>0</v>
      </c>
      <c r="AA127">
        <f t="shared" si="13"/>
        <v>0</v>
      </c>
      <c r="AB127" s="26">
        <f t="shared" si="14"/>
        <v>214</v>
      </c>
      <c r="AC127">
        <f t="shared" si="15"/>
        <v>0</v>
      </c>
    </row>
    <row r="128" spans="1:29" x14ac:dyDescent="0.2">
      <c r="A128">
        <v>69</v>
      </c>
      <c r="D128">
        <f t="shared" si="16"/>
        <v>1</v>
      </c>
      <c r="E128">
        <v>14</v>
      </c>
      <c r="F128" s="6" t="s">
        <v>443</v>
      </c>
      <c r="I128" t="s">
        <v>178</v>
      </c>
      <c r="J128">
        <v>91</v>
      </c>
      <c r="K128" t="s">
        <v>488</v>
      </c>
      <c r="L128" t="s">
        <v>8</v>
      </c>
      <c r="M128" t="s">
        <v>189</v>
      </c>
      <c r="N128" t="s">
        <v>69</v>
      </c>
      <c r="Q128">
        <f t="shared" si="17"/>
        <v>18977</v>
      </c>
      <c r="R128" t="str">
        <f t="shared" si="18"/>
        <v>Velodrome</v>
      </c>
      <c r="S128" t="str">
        <f t="shared" si="19"/>
        <v>HollowBrook</v>
      </c>
      <c r="T128" s="20">
        <f t="shared" si="9"/>
        <v>0</v>
      </c>
      <c r="U128">
        <f t="shared" si="10"/>
        <v>866</v>
      </c>
      <c r="V128">
        <f t="shared" si="11"/>
        <v>866</v>
      </c>
      <c r="W128" cm="1">
        <f t="array" ref="W128">_xlfn._xlws.FILTER(shifts!A:A,(shifts!B:B=events!D128)*(shifts!AH:AH&gt;=events!U128)*(shifts!AI:AI&lt;=events!V128))</f>
        <v>4</v>
      </c>
      <c r="X128" t="str">
        <f t="shared" si="12"/>
        <v>event_team_player_2</v>
      </c>
      <c r="Y128">
        <f>COUNTIFS(A$3:A128,"="&amp;A128,K$3:K128,"="&amp;K128)</f>
        <v>2</v>
      </c>
      <c r="Z128" s="20">
        <f>SUMIFS(T$3:T128,L$3:L128,"=Intermission")+SUMIFS(T$3:T128,L$3:L128,"=Timeout")+SUMIFS(T$3:T128,L$3:L128,"=Clockstop")</f>
        <v>0</v>
      </c>
      <c r="AA128">
        <f t="shared" si="13"/>
        <v>0</v>
      </c>
      <c r="AB128" s="26">
        <f t="shared" si="14"/>
        <v>214</v>
      </c>
      <c r="AC128">
        <f t="shared" si="15"/>
        <v>0</v>
      </c>
    </row>
    <row r="129" spans="1:29" x14ac:dyDescent="0.2">
      <c r="A129">
        <v>70</v>
      </c>
      <c r="D129">
        <f t="shared" si="16"/>
        <v>1</v>
      </c>
      <c r="E129">
        <v>14</v>
      </c>
      <c r="F129" s="6" t="s">
        <v>441</v>
      </c>
      <c r="G129">
        <v>14</v>
      </c>
      <c r="H129" s="8" t="s">
        <v>444</v>
      </c>
      <c r="I129" t="s">
        <v>178</v>
      </c>
      <c r="J129">
        <v>91</v>
      </c>
      <c r="K129" t="s">
        <v>488</v>
      </c>
      <c r="L129" t="s">
        <v>15</v>
      </c>
      <c r="Q129">
        <f t="shared" si="17"/>
        <v>18977</v>
      </c>
      <c r="R129" t="str">
        <f t="shared" si="18"/>
        <v>Velodrome</v>
      </c>
      <c r="S129" t="str">
        <f t="shared" si="19"/>
        <v>HollowBrook</v>
      </c>
      <c r="T129" s="20">
        <f t="shared" si="9"/>
        <v>1</v>
      </c>
      <c r="U129">
        <f t="shared" si="10"/>
        <v>865</v>
      </c>
      <c r="V129">
        <f t="shared" si="11"/>
        <v>864</v>
      </c>
      <c r="W129" cm="1">
        <f t="array" ref="W129">_xlfn._xlws.FILTER(shifts!A:A,(shifts!B:B=events!D129)*(shifts!AH:AH&gt;=events!U129)*(shifts!AI:AI&lt;=events!V129))</f>
        <v>4</v>
      </c>
      <c r="X129" t="str">
        <f t="shared" si="12"/>
        <v>event_team_player_1</v>
      </c>
      <c r="Y129">
        <f>COUNTIFS(A$3:A129,"="&amp;A129,K$3:K129,"="&amp;K129)</f>
        <v>1</v>
      </c>
      <c r="Z129" s="20">
        <f>SUMIFS(T$3:T129,L$3:L129,"=Intermission")+SUMIFS(T$3:T129,L$3:L129,"=Timeout")+SUMIFS(T$3:T129,L$3:L129,"=Clockstop")</f>
        <v>0</v>
      </c>
      <c r="AA129">
        <f t="shared" si="13"/>
        <v>0</v>
      </c>
      <c r="AB129" s="26">
        <f t="shared" si="14"/>
        <v>215</v>
      </c>
      <c r="AC129">
        <f t="shared" si="15"/>
        <v>0</v>
      </c>
    </row>
    <row r="130" spans="1:29" x14ac:dyDescent="0.2">
      <c r="A130">
        <v>71</v>
      </c>
      <c r="B130">
        <v>5</v>
      </c>
      <c r="D130">
        <f t="shared" si="16"/>
        <v>1</v>
      </c>
      <c r="E130">
        <v>14</v>
      </c>
      <c r="F130" s="6" t="s">
        <v>444</v>
      </c>
      <c r="I130" t="s">
        <v>178</v>
      </c>
      <c r="J130">
        <v>91</v>
      </c>
      <c r="K130" t="s">
        <v>488</v>
      </c>
      <c r="L130" t="s">
        <v>10</v>
      </c>
      <c r="M130" t="s">
        <v>190</v>
      </c>
      <c r="N130" t="s">
        <v>75</v>
      </c>
      <c r="Q130">
        <f t="shared" si="17"/>
        <v>18977</v>
      </c>
      <c r="R130" t="str">
        <f t="shared" si="18"/>
        <v>Velodrome</v>
      </c>
      <c r="S130" t="str">
        <f t="shared" si="19"/>
        <v>HollowBrook</v>
      </c>
      <c r="T130" s="20">
        <f t="shared" si="9"/>
        <v>0</v>
      </c>
      <c r="U130">
        <f t="shared" si="10"/>
        <v>864</v>
      </c>
      <c r="V130">
        <f t="shared" si="11"/>
        <v>864</v>
      </c>
      <c r="W130" cm="1">
        <f t="array" ref="W130">_xlfn._xlws.FILTER(shifts!A:A,(shifts!B:B=events!D130)*(shifts!AH:AH&gt;=events!U130)*(shifts!AI:AI&lt;=events!V130))</f>
        <v>4</v>
      </c>
      <c r="X130" t="str">
        <f t="shared" si="12"/>
        <v>event_team_player_1</v>
      </c>
      <c r="Y130">
        <f>COUNTIFS(A$3:A130,"="&amp;A130,K$3:K130,"="&amp;K130)</f>
        <v>1</v>
      </c>
      <c r="Z130" s="20">
        <f>SUMIFS(T$3:T130,L$3:L130,"=Intermission")+SUMIFS(T$3:T130,L$3:L130,"=Timeout")+SUMIFS(T$3:T130,L$3:L130,"=Clockstop")</f>
        <v>0</v>
      </c>
      <c r="AA130">
        <f t="shared" si="13"/>
        <v>0</v>
      </c>
      <c r="AB130" s="26">
        <f t="shared" si="14"/>
        <v>216</v>
      </c>
      <c r="AC130">
        <f t="shared" si="15"/>
        <v>0</v>
      </c>
    </row>
    <row r="131" spans="1:29" x14ac:dyDescent="0.2">
      <c r="A131">
        <v>71</v>
      </c>
      <c r="B131">
        <v>5</v>
      </c>
      <c r="D131">
        <f t="shared" si="16"/>
        <v>1</v>
      </c>
      <c r="E131">
        <v>14</v>
      </c>
      <c r="F131" s="6" t="s">
        <v>444</v>
      </c>
      <c r="I131" t="s">
        <v>178</v>
      </c>
      <c r="J131">
        <v>19</v>
      </c>
      <c r="K131" t="s">
        <v>489</v>
      </c>
      <c r="L131" t="s">
        <v>10</v>
      </c>
      <c r="M131" t="s">
        <v>190</v>
      </c>
      <c r="N131" t="s">
        <v>75</v>
      </c>
      <c r="Q131">
        <f t="shared" si="17"/>
        <v>18977</v>
      </c>
      <c r="R131" t="str">
        <f t="shared" si="18"/>
        <v>Velodrome</v>
      </c>
      <c r="S131" t="str">
        <f t="shared" si="19"/>
        <v>HollowBrook</v>
      </c>
      <c r="T131" s="20">
        <f t="shared" ref="T131:T194" si="20">IF(AND(G131="",H131=""),0,((E131*60)+F131)-((G131*60)+H131))</f>
        <v>0</v>
      </c>
      <c r="U131">
        <f t="shared" ref="U131:U194" si="21">(E131*60)+F131</f>
        <v>864</v>
      </c>
      <c r="V131">
        <f t="shared" ref="V131:V194" si="22">IF(AND(G131="",H131=""),U131,((G131*60)+H131))</f>
        <v>864</v>
      </c>
      <c r="W131" cm="1">
        <f t="array" ref="W131">_xlfn._xlws.FILTER(shifts!A:A,(shifts!B:B=events!D131)*(shifts!AH:AH&gt;=events!U131)*(shifts!AI:AI&lt;=events!V131))</f>
        <v>4</v>
      </c>
      <c r="X131" t="str">
        <f t="shared" ref="X131:X194" si="23">IF(K131="e","event_team_player_"&amp;Y131,IF(K131="o","opp_team_player_"&amp;Y131,""))</f>
        <v>opp_team_player_1</v>
      </c>
      <c r="Y131">
        <f>COUNTIFS(A$3:A131,"="&amp;A131,K$3:K131,"="&amp;K131)</f>
        <v>1</v>
      </c>
      <c r="Z131" s="20">
        <f>SUMIFS(T$3:T131,L$3:L131,"=Intermission")+SUMIFS(T$3:T131,L$3:L131,"=Timeout")+SUMIFS(T$3:T131,L$3:L131,"=Clockstop")</f>
        <v>0</v>
      </c>
      <c r="AA131">
        <f t="shared" si="13"/>
        <v>0</v>
      </c>
      <c r="AB131" s="26">
        <f t="shared" si="14"/>
        <v>216</v>
      </c>
      <c r="AC131">
        <f t="shared" si="15"/>
        <v>0</v>
      </c>
    </row>
    <row r="132" spans="1:29" x14ac:dyDescent="0.2">
      <c r="A132">
        <v>72</v>
      </c>
      <c r="B132">
        <v>5</v>
      </c>
      <c r="D132">
        <f t="shared" si="16"/>
        <v>1</v>
      </c>
      <c r="E132">
        <v>14</v>
      </c>
      <c r="F132" s="6" t="s">
        <v>444</v>
      </c>
      <c r="G132">
        <v>14</v>
      </c>
      <c r="H132" s="8" t="s">
        <v>445</v>
      </c>
      <c r="I132" t="s">
        <v>179</v>
      </c>
      <c r="J132">
        <v>19</v>
      </c>
      <c r="K132" t="s">
        <v>488</v>
      </c>
      <c r="L132" t="s">
        <v>277</v>
      </c>
      <c r="M132" t="s">
        <v>201</v>
      </c>
      <c r="N132" t="s">
        <v>90</v>
      </c>
      <c r="Q132">
        <f t="shared" ref="Q132:Q195" si="24">Q131</f>
        <v>18977</v>
      </c>
      <c r="R132" t="str">
        <f t="shared" ref="R132:R195" si="25">R131</f>
        <v>Velodrome</v>
      </c>
      <c r="S132" t="str">
        <f t="shared" ref="S132:S195" si="26">S131</f>
        <v>HollowBrook</v>
      </c>
      <c r="T132" s="20">
        <f t="shared" si="20"/>
        <v>5</v>
      </c>
      <c r="U132">
        <f t="shared" si="21"/>
        <v>864</v>
      </c>
      <c r="V132">
        <f t="shared" si="22"/>
        <v>859</v>
      </c>
      <c r="W132" cm="1">
        <f t="array" ref="W132">_xlfn._xlws.FILTER(shifts!A:A,(shifts!B:B=events!D132)*(shifts!AH:AH&gt;=events!U132)*(shifts!AI:AI&lt;=events!V132))</f>
        <v>4</v>
      </c>
      <c r="X132" t="str">
        <f t="shared" si="23"/>
        <v>event_team_player_1</v>
      </c>
      <c r="Y132">
        <f>COUNTIFS(A$3:A132,"="&amp;A132,K$3:K132,"="&amp;K132)</f>
        <v>1</v>
      </c>
      <c r="Z132" s="20">
        <f>SUMIFS(T$3:T132,L$3:L132,"=Intermission")+SUMIFS(T$3:T132,L$3:L132,"=Timeout")+SUMIFS(T$3:T132,L$3:L132,"=Clockstop")</f>
        <v>0</v>
      </c>
      <c r="AA132">
        <f t="shared" ref="AA132:AA195" si="27">IF(D132=1,0,IF(D132=2,1080+Z132,IF(D132=3,(1080*2)+Z132,0)))</f>
        <v>0</v>
      </c>
      <c r="AB132" s="26">
        <f t="shared" ref="AB132:AB195" si="28">((1080*D132)-((E132*60)+F132)*D132)+Z132</f>
        <v>216</v>
      </c>
      <c r="AC132">
        <f t="shared" ref="AC132:AC195" si="29">IF(L131="GameStart",0,AA132+Z132)</f>
        <v>0</v>
      </c>
    </row>
    <row r="133" spans="1:29" x14ac:dyDescent="0.2">
      <c r="A133">
        <v>73</v>
      </c>
      <c r="B133">
        <v>5</v>
      </c>
      <c r="D133">
        <f t="shared" ref="D133:D196" si="30">IF(L133="Intermission",D132+1,D132)</f>
        <v>1</v>
      </c>
      <c r="E133">
        <v>14</v>
      </c>
      <c r="F133" s="6" t="s">
        <v>445</v>
      </c>
      <c r="I133" t="s">
        <v>179</v>
      </c>
      <c r="J133">
        <v>19</v>
      </c>
      <c r="K133" t="s">
        <v>488</v>
      </c>
      <c r="L133" t="s">
        <v>8</v>
      </c>
      <c r="M133" t="s">
        <v>189</v>
      </c>
      <c r="N133" t="s">
        <v>69</v>
      </c>
      <c r="Q133">
        <f t="shared" si="24"/>
        <v>18977</v>
      </c>
      <c r="R133" t="str">
        <f t="shared" si="25"/>
        <v>Velodrome</v>
      </c>
      <c r="S133" t="str">
        <f t="shared" si="26"/>
        <v>HollowBrook</v>
      </c>
      <c r="T133" s="20">
        <f t="shared" si="20"/>
        <v>0</v>
      </c>
      <c r="U133">
        <f t="shared" si="21"/>
        <v>859</v>
      </c>
      <c r="V133">
        <f t="shared" si="22"/>
        <v>859</v>
      </c>
      <c r="W133" cm="1">
        <f t="array" ref="W133">_xlfn._xlws.FILTER(shifts!A:A,(shifts!B:B=events!D133)*(shifts!AH:AH&gt;=events!U133)*(shifts!AI:AI&lt;=events!V133))</f>
        <v>4</v>
      </c>
      <c r="X133" t="str">
        <f t="shared" si="23"/>
        <v>event_team_player_1</v>
      </c>
      <c r="Y133">
        <f>COUNTIFS(A$3:A133,"="&amp;A133,K$3:K133,"="&amp;K133)</f>
        <v>1</v>
      </c>
      <c r="Z133" s="20">
        <f>SUMIFS(T$3:T133,L$3:L133,"=Intermission")+SUMIFS(T$3:T133,L$3:L133,"=Timeout")+SUMIFS(T$3:T133,L$3:L133,"=Clockstop")</f>
        <v>0</v>
      </c>
      <c r="AA133">
        <f t="shared" si="27"/>
        <v>0</v>
      </c>
      <c r="AB133" s="26">
        <f t="shared" si="28"/>
        <v>221</v>
      </c>
      <c r="AC133">
        <f t="shared" si="29"/>
        <v>0</v>
      </c>
    </row>
    <row r="134" spans="1:29" x14ac:dyDescent="0.2">
      <c r="A134">
        <v>73</v>
      </c>
      <c r="B134">
        <v>5</v>
      </c>
      <c r="D134">
        <f t="shared" si="30"/>
        <v>1</v>
      </c>
      <c r="E134">
        <v>14</v>
      </c>
      <c r="F134" s="6" t="s">
        <v>445</v>
      </c>
      <c r="I134" t="s">
        <v>179</v>
      </c>
      <c r="J134">
        <v>40</v>
      </c>
      <c r="K134" t="s">
        <v>488</v>
      </c>
      <c r="L134" t="s">
        <v>8</v>
      </c>
      <c r="M134" t="s">
        <v>189</v>
      </c>
      <c r="N134" t="s">
        <v>69</v>
      </c>
      <c r="Q134">
        <f t="shared" si="24"/>
        <v>18977</v>
      </c>
      <c r="R134" t="str">
        <f t="shared" si="25"/>
        <v>Velodrome</v>
      </c>
      <c r="S134" t="str">
        <f t="shared" si="26"/>
        <v>HollowBrook</v>
      </c>
      <c r="T134" s="20">
        <f t="shared" si="20"/>
        <v>0</v>
      </c>
      <c r="U134">
        <f t="shared" si="21"/>
        <v>859</v>
      </c>
      <c r="V134">
        <f t="shared" si="22"/>
        <v>859</v>
      </c>
      <c r="W134" cm="1">
        <f t="array" ref="W134">_xlfn._xlws.FILTER(shifts!A:A,(shifts!B:B=events!D134)*(shifts!AH:AH&gt;=events!U134)*(shifts!AI:AI&lt;=events!V134))</f>
        <v>4</v>
      </c>
      <c r="X134" t="str">
        <f t="shared" si="23"/>
        <v>event_team_player_2</v>
      </c>
      <c r="Y134">
        <f>COUNTIFS(A$3:A134,"="&amp;A134,K$3:K134,"="&amp;K134)</f>
        <v>2</v>
      </c>
      <c r="Z134" s="20">
        <f>SUMIFS(T$3:T134,L$3:L134,"=Intermission")+SUMIFS(T$3:T134,L$3:L134,"=Timeout")+SUMIFS(T$3:T134,L$3:L134,"=Clockstop")</f>
        <v>0</v>
      </c>
      <c r="AA134">
        <f t="shared" si="27"/>
        <v>0</v>
      </c>
      <c r="AB134" s="26">
        <f t="shared" si="28"/>
        <v>221</v>
      </c>
      <c r="AC134">
        <f t="shared" si="29"/>
        <v>0</v>
      </c>
    </row>
    <row r="135" spans="1:29" x14ac:dyDescent="0.2">
      <c r="A135">
        <v>73</v>
      </c>
      <c r="B135">
        <v>5</v>
      </c>
      <c r="D135">
        <f t="shared" si="30"/>
        <v>1</v>
      </c>
      <c r="E135">
        <v>14</v>
      </c>
      <c r="F135" s="6" t="s">
        <v>445</v>
      </c>
      <c r="I135" t="s">
        <v>179</v>
      </c>
      <c r="J135">
        <v>91</v>
      </c>
      <c r="K135" t="s">
        <v>489</v>
      </c>
      <c r="L135" t="s">
        <v>8</v>
      </c>
      <c r="M135" t="s">
        <v>189</v>
      </c>
      <c r="N135" t="s">
        <v>69</v>
      </c>
      <c r="Q135">
        <f t="shared" si="24"/>
        <v>18977</v>
      </c>
      <c r="R135" t="str">
        <f t="shared" si="25"/>
        <v>Velodrome</v>
      </c>
      <c r="S135" t="str">
        <f t="shared" si="26"/>
        <v>HollowBrook</v>
      </c>
      <c r="T135" s="20">
        <f t="shared" si="20"/>
        <v>0</v>
      </c>
      <c r="U135">
        <f t="shared" si="21"/>
        <v>859</v>
      </c>
      <c r="V135">
        <f t="shared" si="22"/>
        <v>859</v>
      </c>
      <c r="W135" cm="1">
        <f t="array" ref="W135">_xlfn._xlws.FILTER(shifts!A:A,(shifts!B:B=events!D135)*(shifts!AH:AH&gt;=events!U135)*(shifts!AI:AI&lt;=events!V135))</f>
        <v>4</v>
      </c>
      <c r="X135" t="str">
        <f t="shared" si="23"/>
        <v>opp_team_player_1</v>
      </c>
      <c r="Y135">
        <f>COUNTIFS(A$3:A135,"="&amp;A135,K$3:K135,"="&amp;K135)</f>
        <v>1</v>
      </c>
      <c r="Z135" s="20">
        <f>SUMIFS(T$3:T135,L$3:L135,"=Intermission")+SUMIFS(T$3:T135,L$3:L135,"=Timeout")+SUMIFS(T$3:T135,L$3:L135,"=Clockstop")</f>
        <v>0</v>
      </c>
      <c r="AA135">
        <f t="shared" si="27"/>
        <v>0</v>
      </c>
      <c r="AB135" s="26">
        <f t="shared" si="28"/>
        <v>221</v>
      </c>
      <c r="AC135">
        <f t="shared" si="29"/>
        <v>0</v>
      </c>
    </row>
    <row r="136" spans="1:29" x14ac:dyDescent="0.2">
      <c r="A136">
        <v>74</v>
      </c>
      <c r="B136">
        <v>5</v>
      </c>
      <c r="D136">
        <f t="shared" si="30"/>
        <v>1</v>
      </c>
      <c r="E136">
        <v>14</v>
      </c>
      <c r="F136" s="6" t="s">
        <v>446</v>
      </c>
      <c r="G136">
        <v>14</v>
      </c>
      <c r="H136" s="8" t="s">
        <v>447</v>
      </c>
      <c r="I136" t="s">
        <v>179</v>
      </c>
      <c r="J136">
        <v>40</v>
      </c>
      <c r="K136" t="s">
        <v>488</v>
      </c>
      <c r="L136" t="s">
        <v>15</v>
      </c>
      <c r="Q136">
        <f t="shared" si="24"/>
        <v>18977</v>
      </c>
      <c r="R136" t="str">
        <f t="shared" si="25"/>
        <v>Velodrome</v>
      </c>
      <c r="S136" t="str">
        <f t="shared" si="26"/>
        <v>HollowBrook</v>
      </c>
      <c r="T136" s="20">
        <f t="shared" si="20"/>
        <v>2</v>
      </c>
      <c r="U136">
        <f t="shared" si="21"/>
        <v>857</v>
      </c>
      <c r="V136">
        <f t="shared" si="22"/>
        <v>855</v>
      </c>
      <c r="W136" cm="1">
        <f t="array" ref="W136">_xlfn._xlws.FILTER(shifts!A:A,(shifts!B:B=events!D136)*(shifts!AH:AH&gt;=events!U136)*(shifts!AI:AI&lt;=events!V136))</f>
        <v>4</v>
      </c>
      <c r="X136" t="str">
        <f t="shared" si="23"/>
        <v>event_team_player_1</v>
      </c>
      <c r="Y136">
        <f>COUNTIFS(A$3:A136,"="&amp;A136,K$3:K136,"="&amp;K136)</f>
        <v>1</v>
      </c>
      <c r="Z136" s="20">
        <f>SUMIFS(T$3:T136,L$3:L136,"=Intermission")+SUMIFS(T$3:T136,L$3:L136,"=Timeout")+SUMIFS(T$3:T136,L$3:L136,"=Clockstop")</f>
        <v>0</v>
      </c>
      <c r="AA136">
        <f t="shared" si="27"/>
        <v>0</v>
      </c>
      <c r="AB136" s="26">
        <f t="shared" si="28"/>
        <v>223</v>
      </c>
      <c r="AC136">
        <f t="shared" si="29"/>
        <v>0</v>
      </c>
    </row>
    <row r="137" spans="1:29" x14ac:dyDescent="0.2">
      <c r="A137">
        <v>75</v>
      </c>
      <c r="B137">
        <v>5</v>
      </c>
      <c r="C137" s="7">
        <v>4</v>
      </c>
      <c r="D137">
        <f t="shared" si="30"/>
        <v>1</v>
      </c>
      <c r="E137">
        <v>14</v>
      </c>
      <c r="F137" s="6" t="s">
        <v>447</v>
      </c>
      <c r="G137">
        <v>14</v>
      </c>
      <c r="H137" s="8" t="s">
        <v>423</v>
      </c>
      <c r="I137" t="s">
        <v>179</v>
      </c>
      <c r="J137">
        <v>40</v>
      </c>
      <c r="K137" t="s">
        <v>488</v>
      </c>
      <c r="L137" t="s">
        <v>277</v>
      </c>
      <c r="M137" t="s">
        <v>191</v>
      </c>
      <c r="N137" t="s">
        <v>87</v>
      </c>
      <c r="Q137">
        <f t="shared" si="24"/>
        <v>18977</v>
      </c>
      <c r="R137" t="str">
        <f t="shared" si="25"/>
        <v>Velodrome</v>
      </c>
      <c r="S137" t="str">
        <f t="shared" si="26"/>
        <v>HollowBrook</v>
      </c>
      <c r="T137" s="20">
        <f t="shared" si="20"/>
        <v>1</v>
      </c>
      <c r="U137">
        <f t="shared" si="21"/>
        <v>855</v>
      </c>
      <c r="V137">
        <f t="shared" si="22"/>
        <v>854</v>
      </c>
      <c r="W137" cm="1">
        <f t="array" ref="W137">_xlfn._xlws.FILTER(shifts!A:A,(shifts!B:B=events!D137)*(shifts!AH:AH&gt;=events!U137)*(shifts!AI:AI&lt;=events!V137))</f>
        <v>4</v>
      </c>
      <c r="X137" t="str">
        <f t="shared" si="23"/>
        <v>event_team_player_1</v>
      </c>
      <c r="Y137">
        <f>COUNTIFS(A$3:A137,"="&amp;A137,K$3:K137,"="&amp;K137)</f>
        <v>1</v>
      </c>
      <c r="Z137" s="20">
        <f>SUMIFS(T$3:T137,L$3:L137,"=Intermission")+SUMIFS(T$3:T137,L$3:L137,"=Timeout")+SUMIFS(T$3:T137,L$3:L137,"=Clockstop")</f>
        <v>0</v>
      </c>
      <c r="AA137">
        <f t="shared" si="27"/>
        <v>0</v>
      </c>
      <c r="AB137" s="26">
        <f t="shared" si="28"/>
        <v>225</v>
      </c>
      <c r="AC137">
        <f t="shared" si="29"/>
        <v>0</v>
      </c>
    </row>
    <row r="138" spans="1:29" x14ac:dyDescent="0.2">
      <c r="A138">
        <v>75</v>
      </c>
      <c r="B138">
        <v>5</v>
      </c>
      <c r="C138" s="7">
        <v>4</v>
      </c>
      <c r="D138">
        <f t="shared" si="30"/>
        <v>1</v>
      </c>
      <c r="E138">
        <v>14</v>
      </c>
      <c r="F138" s="6" t="s">
        <v>447</v>
      </c>
      <c r="G138">
        <v>14</v>
      </c>
      <c r="H138" s="8" t="s">
        <v>423</v>
      </c>
      <c r="I138" t="s">
        <v>179</v>
      </c>
      <c r="J138">
        <v>11</v>
      </c>
      <c r="K138" t="s">
        <v>488</v>
      </c>
      <c r="L138" t="s">
        <v>277</v>
      </c>
      <c r="M138" t="s">
        <v>191</v>
      </c>
      <c r="N138" t="s">
        <v>87</v>
      </c>
      <c r="Q138">
        <f t="shared" si="24"/>
        <v>18977</v>
      </c>
      <c r="R138" t="str">
        <f t="shared" si="25"/>
        <v>Velodrome</v>
      </c>
      <c r="S138" t="str">
        <f t="shared" si="26"/>
        <v>HollowBrook</v>
      </c>
      <c r="T138" s="20">
        <f t="shared" si="20"/>
        <v>1</v>
      </c>
      <c r="U138">
        <f t="shared" si="21"/>
        <v>855</v>
      </c>
      <c r="V138">
        <f t="shared" si="22"/>
        <v>854</v>
      </c>
      <c r="W138" cm="1">
        <f t="array" ref="W138">_xlfn._xlws.FILTER(shifts!A:A,(shifts!B:B=events!D138)*(shifts!AH:AH&gt;=events!U138)*(shifts!AI:AI&lt;=events!V138))</f>
        <v>4</v>
      </c>
      <c r="X138" t="str">
        <f t="shared" si="23"/>
        <v>event_team_player_2</v>
      </c>
      <c r="Y138">
        <f>COUNTIFS(A$3:A138,"="&amp;A138,K$3:K138,"="&amp;K138)</f>
        <v>2</v>
      </c>
      <c r="Z138" s="20">
        <f>SUMIFS(T$3:T138,L$3:L138,"=Intermission")+SUMIFS(T$3:T138,L$3:L138,"=Timeout")+SUMIFS(T$3:T138,L$3:L138,"=Clockstop")</f>
        <v>0</v>
      </c>
      <c r="AA138">
        <f t="shared" si="27"/>
        <v>0</v>
      </c>
      <c r="AB138" s="26">
        <f t="shared" si="28"/>
        <v>225</v>
      </c>
      <c r="AC138">
        <f t="shared" si="29"/>
        <v>0</v>
      </c>
    </row>
    <row r="139" spans="1:29" x14ac:dyDescent="0.2">
      <c r="A139">
        <v>75</v>
      </c>
      <c r="B139">
        <v>5</v>
      </c>
      <c r="C139" s="7">
        <v>4</v>
      </c>
      <c r="D139">
        <f t="shared" si="30"/>
        <v>1</v>
      </c>
      <c r="E139">
        <v>14</v>
      </c>
      <c r="F139" s="6" t="s">
        <v>447</v>
      </c>
      <c r="G139">
        <v>14</v>
      </c>
      <c r="H139" s="8" t="s">
        <v>423</v>
      </c>
      <c r="I139" t="s">
        <v>179</v>
      </c>
      <c r="J139">
        <v>9</v>
      </c>
      <c r="K139" t="s">
        <v>489</v>
      </c>
      <c r="L139" t="s">
        <v>277</v>
      </c>
      <c r="M139" t="s">
        <v>191</v>
      </c>
      <c r="N139" t="s">
        <v>87</v>
      </c>
      <c r="Q139">
        <f t="shared" si="24"/>
        <v>18977</v>
      </c>
      <c r="R139" t="str">
        <f t="shared" si="25"/>
        <v>Velodrome</v>
      </c>
      <c r="S139" t="str">
        <f t="shared" si="26"/>
        <v>HollowBrook</v>
      </c>
      <c r="T139" s="20">
        <f t="shared" si="20"/>
        <v>1</v>
      </c>
      <c r="U139">
        <f t="shared" si="21"/>
        <v>855</v>
      </c>
      <c r="V139">
        <f t="shared" si="22"/>
        <v>854</v>
      </c>
      <c r="W139" cm="1">
        <f t="array" ref="W139">_xlfn._xlws.FILTER(shifts!A:A,(shifts!B:B=events!D139)*(shifts!AH:AH&gt;=events!U139)*(shifts!AI:AI&lt;=events!V139))</f>
        <v>4</v>
      </c>
      <c r="X139" t="str">
        <f t="shared" si="23"/>
        <v>opp_team_player_1</v>
      </c>
      <c r="Y139">
        <f>COUNTIFS(A$3:A139,"="&amp;A139,K$3:K139,"="&amp;K139)</f>
        <v>1</v>
      </c>
      <c r="Z139" s="20">
        <f>SUMIFS(T$3:T139,L$3:L139,"=Intermission")+SUMIFS(T$3:T139,L$3:L139,"=Timeout")+SUMIFS(T$3:T139,L$3:L139,"=Clockstop")</f>
        <v>0</v>
      </c>
      <c r="AA139">
        <f t="shared" si="27"/>
        <v>0</v>
      </c>
      <c r="AB139" s="26">
        <f t="shared" si="28"/>
        <v>225</v>
      </c>
      <c r="AC139">
        <f t="shared" si="29"/>
        <v>0</v>
      </c>
    </row>
    <row r="140" spans="1:29" x14ac:dyDescent="0.2">
      <c r="A140">
        <v>75</v>
      </c>
      <c r="B140">
        <v>5</v>
      </c>
      <c r="C140" s="7">
        <v>4</v>
      </c>
      <c r="D140">
        <f t="shared" si="30"/>
        <v>1</v>
      </c>
      <c r="E140">
        <v>14</v>
      </c>
      <c r="F140" s="6" t="s">
        <v>447</v>
      </c>
      <c r="G140">
        <v>14</v>
      </c>
      <c r="H140" s="8" t="s">
        <v>423</v>
      </c>
      <c r="I140" t="s">
        <v>179</v>
      </c>
      <c r="J140">
        <v>52</v>
      </c>
      <c r="K140" t="s">
        <v>489</v>
      </c>
      <c r="L140" t="s">
        <v>277</v>
      </c>
      <c r="M140" t="s">
        <v>191</v>
      </c>
      <c r="N140" t="s">
        <v>87</v>
      </c>
      <c r="Q140">
        <f t="shared" si="24"/>
        <v>18977</v>
      </c>
      <c r="R140" t="str">
        <f t="shared" si="25"/>
        <v>Velodrome</v>
      </c>
      <c r="S140" t="str">
        <f t="shared" si="26"/>
        <v>HollowBrook</v>
      </c>
      <c r="T140" s="20">
        <f t="shared" si="20"/>
        <v>1</v>
      </c>
      <c r="U140">
        <f t="shared" si="21"/>
        <v>855</v>
      </c>
      <c r="V140">
        <f t="shared" si="22"/>
        <v>854</v>
      </c>
      <c r="W140" cm="1">
        <f t="array" ref="W140">_xlfn._xlws.FILTER(shifts!A:A,(shifts!B:B=events!D140)*(shifts!AH:AH&gt;=events!U140)*(shifts!AI:AI&lt;=events!V140))</f>
        <v>4</v>
      </c>
      <c r="X140" t="str">
        <f t="shared" si="23"/>
        <v>opp_team_player_2</v>
      </c>
      <c r="Y140">
        <f>COUNTIFS(A$3:A140,"="&amp;A140,K$3:K140,"="&amp;K140)</f>
        <v>2</v>
      </c>
      <c r="Z140" s="20">
        <f>SUMIFS(T$3:T140,L$3:L140,"=Intermission")+SUMIFS(T$3:T140,L$3:L140,"=Timeout")+SUMIFS(T$3:T140,L$3:L140,"=Clockstop")</f>
        <v>0</v>
      </c>
      <c r="AA140">
        <f t="shared" si="27"/>
        <v>0</v>
      </c>
      <c r="AB140" s="26">
        <f t="shared" si="28"/>
        <v>225</v>
      </c>
      <c r="AC140">
        <f t="shared" si="29"/>
        <v>0</v>
      </c>
    </row>
    <row r="141" spans="1:29" x14ac:dyDescent="0.2">
      <c r="A141">
        <v>76</v>
      </c>
      <c r="B141">
        <v>5</v>
      </c>
      <c r="C141" s="7">
        <v>4</v>
      </c>
      <c r="D141">
        <f t="shared" si="30"/>
        <v>1</v>
      </c>
      <c r="E141">
        <v>14</v>
      </c>
      <c r="F141" s="6" t="s">
        <v>447</v>
      </c>
      <c r="I141" t="s">
        <v>179</v>
      </c>
      <c r="J141">
        <v>40</v>
      </c>
      <c r="K141" t="s">
        <v>488</v>
      </c>
      <c r="L141" t="s">
        <v>7</v>
      </c>
      <c r="M141" t="s">
        <v>222</v>
      </c>
      <c r="N141" t="s">
        <v>53</v>
      </c>
      <c r="Q141">
        <f t="shared" si="24"/>
        <v>18977</v>
      </c>
      <c r="R141" t="str">
        <f t="shared" si="25"/>
        <v>Velodrome</v>
      </c>
      <c r="S141" t="str">
        <f t="shared" si="26"/>
        <v>HollowBrook</v>
      </c>
      <c r="T141" s="20">
        <f t="shared" si="20"/>
        <v>0</v>
      </c>
      <c r="U141">
        <f t="shared" si="21"/>
        <v>855</v>
      </c>
      <c r="V141">
        <f t="shared" si="22"/>
        <v>855</v>
      </c>
      <c r="W141" cm="1">
        <f t="array" ref="W141">_xlfn._xlws.FILTER(shifts!A:A,(shifts!B:B=events!D141)*(shifts!AH:AH&gt;=events!U141)*(shifts!AI:AI&lt;=events!V141))</f>
        <v>4</v>
      </c>
      <c r="X141" t="str">
        <f t="shared" si="23"/>
        <v>event_team_player_1</v>
      </c>
      <c r="Y141">
        <f>COUNTIFS(A$3:A141,"="&amp;A141,K$3:K141,"="&amp;K141)</f>
        <v>1</v>
      </c>
      <c r="Z141" s="20">
        <f>SUMIFS(T$3:T141,L$3:L141,"=Intermission")+SUMIFS(T$3:T141,L$3:L141,"=Timeout")+SUMIFS(T$3:T141,L$3:L141,"=Clockstop")</f>
        <v>0</v>
      </c>
      <c r="AA141">
        <f t="shared" si="27"/>
        <v>0</v>
      </c>
      <c r="AB141" s="26">
        <f t="shared" si="28"/>
        <v>225</v>
      </c>
      <c r="AC141">
        <f t="shared" si="29"/>
        <v>0</v>
      </c>
    </row>
    <row r="142" spans="1:29" x14ac:dyDescent="0.2">
      <c r="A142">
        <v>76</v>
      </c>
      <c r="B142">
        <v>5</v>
      </c>
      <c r="C142" s="7">
        <v>4</v>
      </c>
      <c r="D142">
        <f t="shared" si="30"/>
        <v>1</v>
      </c>
      <c r="E142">
        <v>14</v>
      </c>
      <c r="F142" s="6" t="s">
        <v>447</v>
      </c>
      <c r="I142" t="s">
        <v>179</v>
      </c>
      <c r="J142">
        <v>39</v>
      </c>
      <c r="K142" t="s">
        <v>489</v>
      </c>
      <c r="L142" t="s">
        <v>7</v>
      </c>
      <c r="M142" t="s">
        <v>222</v>
      </c>
      <c r="N142" t="s">
        <v>53</v>
      </c>
      <c r="Q142">
        <f t="shared" si="24"/>
        <v>18977</v>
      </c>
      <c r="R142" t="str">
        <f t="shared" si="25"/>
        <v>Velodrome</v>
      </c>
      <c r="S142" t="str">
        <f t="shared" si="26"/>
        <v>HollowBrook</v>
      </c>
      <c r="T142" s="20">
        <f t="shared" si="20"/>
        <v>0</v>
      </c>
      <c r="U142">
        <f t="shared" si="21"/>
        <v>855</v>
      </c>
      <c r="V142">
        <f t="shared" si="22"/>
        <v>855</v>
      </c>
      <c r="W142" cm="1">
        <f t="array" ref="W142">_xlfn._xlws.FILTER(shifts!A:A,(shifts!B:B=events!D142)*(shifts!AH:AH&gt;=events!U142)*(shifts!AI:AI&lt;=events!V142))</f>
        <v>4</v>
      </c>
      <c r="X142" t="str">
        <f t="shared" si="23"/>
        <v>opp_team_player_1</v>
      </c>
      <c r="Y142">
        <f>COUNTIFS(A$3:A142,"="&amp;A142,K$3:K142,"="&amp;K142)</f>
        <v>1</v>
      </c>
      <c r="Z142" s="20">
        <f>SUMIFS(T$3:T142,L$3:L142,"=Intermission")+SUMIFS(T$3:T142,L$3:L142,"=Timeout")+SUMIFS(T$3:T142,L$3:L142,"=Clockstop")</f>
        <v>0</v>
      </c>
      <c r="AA142">
        <f t="shared" si="27"/>
        <v>0</v>
      </c>
      <c r="AB142" s="26">
        <f t="shared" si="28"/>
        <v>225</v>
      </c>
      <c r="AC142">
        <f t="shared" si="29"/>
        <v>0</v>
      </c>
    </row>
    <row r="143" spans="1:29" x14ac:dyDescent="0.2">
      <c r="A143">
        <v>76</v>
      </c>
      <c r="B143">
        <v>5</v>
      </c>
      <c r="C143" s="7">
        <v>4</v>
      </c>
      <c r="D143">
        <f t="shared" si="30"/>
        <v>1</v>
      </c>
      <c r="E143">
        <v>14</v>
      </c>
      <c r="F143" s="6" t="s">
        <v>447</v>
      </c>
      <c r="I143" t="s">
        <v>179</v>
      </c>
      <c r="J143">
        <v>9</v>
      </c>
      <c r="K143" t="s">
        <v>489</v>
      </c>
      <c r="L143" t="s">
        <v>7</v>
      </c>
      <c r="M143" t="s">
        <v>222</v>
      </c>
      <c r="N143" t="s">
        <v>53</v>
      </c>
      <c r="Q143">
        <f t="shared" si="24"/>
        <v>18977</v>
      </c>
      <c r="R143" t="str">
        <f t="shared" si="25"/>
        <v>Velodrome</v>
      </c>
      <c r="S143" t="str">
        <f t="shared" si="26"/>
        <v>HollowBrook</v>
      </c>
      <c r="T143" s="20">
        <f t="shared" si="20"/>
        <v>0</v>
      </c>
      <c r="U143">
        <f t="shared" si="21"/>
        <v>855</v>
      </c>
      <c r="V143">
        <f t="shared" si="22"/>
        <v>855</v>
      </c>
      <c r="W143" cm="1">
        <f t="array" ref="W143">_xlfn._xlws.FILTER(shifts!A:A,(shifts!B:B=events!D143)*(shifts!AH:AH&gt;=events!U143)*(shifts!AI:AI&lt;=events!V143))</f>
        <v>4</v>
      </c>
      <c r="X143" t="str">
        <f t="shared" si="23"/>
        <v>opp_team_player_2</v>
      </c>
      <c r="Y143">
        <f>COUNTIFS(A$3:A143,"="&amp;A143,K$3:K143,"="&amp;K143)</f>
        <v>2</v>
      </c>
      <c r="Z143" s="20">
        <f>SUMIFS(T$3:T143,L$3:L143,"=Intermission")+SUMIFS(T$3:T143,L$3:L143,"=Timeout")+SUMIFS(T$3:T143,L$3:L143,"=Clockstop")</f>
        <v>0</v>
      </c>
      <c r="AA143">
        <f t="shared" si="27"/>
        <v>0</v>
      </c>
      <c r="AB143" s="26">
        <f t="shared" si="28"/>
        <v>225</v>
      </c>
      <c r="AC143">
        <f t="shared" si="29"/>
        <v>0</v>
      </c>
    </row>
    <row r="144" spans="1:29" x14ac:dyDescent="0.2">
      <c r="A144">
        <v>77</v>
      </c>
      <c r="B144">
        <v>5</v>
      </c>
      <c r="C144" s="7">
        <v>4</v>
      </c>
      <c r="D144">
        <f t="shared" si="30"/>
        <v>1</v>
      </c>
      <c r="E144">
        <v>14</v>
      </c>
      <c r="F144" s="6" t="s">
        <v>447</v>
      </c>
      <c r="I144" t="s">
        <v>178</v>
      </c>
      <c r="J144">
        <v>39</v>
      </c>
      <c r="K144" t="s">
        <v>488</v>
      </c>
      <c r="L144" t="s">
        <v>17</v>
      </c>
      <c r="M144" t="s">
        <v>206</v>
      </c>
      <c r="N144" t="s">
        <v>96</v>
      </c>
      <c r="Q144">
        <f t="shared" si="24"/>
        <v>18977</v>
      </c>
      <c r="R144" t="str">
        <f t="shared" si="25"/>
        <v>Velodrome</v>
      </c>
      <c r="S144" t="str">
        <f t="shared" si="26"/>
        <v>HollowBrook</v>
      </c>
      <c r="T144" s="20">
        <f t="shared" si="20"/>
        <v>0</v>
      </c>
      <c r="U144">
        <f t="shared" si="21"/>
        <v>855</v>
      </c>
      <c r="V144">
        <f t="shared" si="22"/>
        <v>855</v>
      </c>
      <c r="W144" cm="1">
        <f t="array" ref="W144">_xlfn._xlws.FILTER(shifts!A:A,(shifts!B:B=events!D144)*(shifts!AH:AH&gt;=events!U144)*(shifts!AI:AI&lt;=events!V144))</f>
        <v>4</v>
      </c>
      <c r="X144" t="str">
        <f t="shared" si="23"/>
        <v>event_team_player_1</v>
      </c>
      <c r="Y144">
        <f>COUNTIFS(A$3:A144,"="&amp;A144,K$3:K144,"="&amp;K144)</f>
        <v>1</v>
      </c>
      <c r="Z144" s="20">
        <f>SUMIFS(T$3:T144,L$3:L144,"=Intermission")+SUMIFS(T$3:T144,L$3:L144,"=Timeout")+SUMIFS(T$3:T144,L$3:L144,"=Clockstop")</f>
        <v>0</v>
      </c>
      <c r="AA144">
        <f t="shared" si="27"/>
        <v>0</v>
      </c>
      <c r="AB144" s="26">
        <f t="shared" si="28"/>
        <v>225</v>
      </c>
      <c r="AC144">
        <f t="shared" si="29"/>
        <v>0</v>
      </c>
    </row>
    <row r="145" spans="1:29" x14ac:dyDescent="0.2">
      <c r="A145">
        <v>77</v>
      </c>
      <c r="B145">
        <v>5</v>
      </c>
      <c r="C145" s="7">
        <v>4</v>
      </c>
      <c r="D145">
        <f t="shared" si="30"/>
        <v>1</v>
      </c>
      <c r="E145">
        <v>14</v>
      </c>
      <c r="F145" s="6" t="s">
        <v>447</v>
      </c>
      <c r="I145" t="s">
        <v>178</v>
      </c>
      <c r="J145">
        <v>40</v>
      </c>
      <c r="K145" t="s">
        <v>489</v>
      </c>
      <c r="L145" t="s">
        <v>17</v>
      </c>
      <c r="M145" t="s">
        <v>206</v>
      </c>
      <c r="N145" t="s">
        <v>96</v>
      </c>
      <c r="Q145">
        <f t="shared" si="24"/>
        <v>18977</v>
      </c>
      <c r="R145" t="str">
        <f t="shared" si="25"/>
        <v>Velodrome</v>
      </c>
      <c r="S145" t="str">
        <f t="shared" si="26"/>
        <v>HollowBrook</v>
      </c>
      <c r="T145" s="20">
        <f t="shared" si="20"/>
        <v>0</v>
      </c>
      <c r="U145">
        <f t="shared" si="21"/>
        <v>855</v>
      </c>
      <c r="V145">
        <f t="shared" si="22"/>
        <v>855</v>
      </c>
      <c r="W145" cm="1">
        <f t="array" ref="W145">_xlfn._xlws.FILTER(shifts!A:A,(shifts!B:B=events!D145)*(shifts!AH:AH&gt;=events!U145)*(shifts!AI:AI&lt;=events!V145))</f>
        <v>4</v>
      </c>
      <c r="X145" t="str">
        <f t="shared" si="23"/>
        <v>opp_team_player_1</v>
      </c>
      <c r="Y145">
        <f>COUNTIFS(A$3:A145,"="&amp;A145,K$3:K145,"="&amp;K145)</f>
        <v>1</v>
      </c>
      <c r="Z145" s="20">
        <f>SUMIFS(T$3:T145,L$3:L145,"=Intermission")+SUMIFS(T$3:T145,L$3:L145,"=Timeout")+SUMIFS(T$3:T145,L$3:L145,"=Clockstop")</f>
        <v>0</v>
      </c>
      <c r="AA145">
        <f t="shared" si="27"/>
        <v>0</v>
      </c>
      <c r="AB145" s="26">
        <f t="shared" si="28"/>
        <v>225</v>
      </c>
      <c r="AC145">
        <f t="shared" si="29"/>
        <v>0</v>
      </c>
    </row>
    <row r="146" spans="1:29" x14ac:dyDescent="0.2">
      <c r="A146">
        <v>78</v>
      </c>
      <c r="B146">
        <v>5</v>
      </c>
      <c r="C146" s="7">
        <v>4</v>
      </c>
      <c r="D146">
        <f t="shared" si="30"/>
        <v>1</v>
      </c>
      <c r="E146">
        <v>14</v>
      </c>
      <c r="F146" s="6" t="s">
        <v>448</v>
      </c>
      <c r="I146" t="s">
        <v>178</v>
      </c>
      <c r="J146">
        <v>39</v>
      </c>
      <c r="K146" t="s">
        <v>488</v>
      </c>
      <c r="L146" t="s">
        <v>13</v>
      </c>
      <c r="M146" t="s">
        <v>204</v>
      </c>
      <c r="N146" t="s">
        <v>110</v>
      </c>
      <c r="Q146">
        <f t="shared" si="24"/>
        <v>18977</v>
      </c>
      <c r="R146" t="str">
        <f t="shared" si="25"/>
        <v>Velodrome</v>
      </c>
      <c r="S146" t="str">
        <f t="shared" si="26"/>
        <v>HollowBrook</v>
      </c>
      <c r="T146" s="20">
        <f t="shared" si="20"/>
        <v>0</v>
      </c>
      <c r="U146">
        <f t="shared" si="21"/>
        <v>856</v>
      </c>
      <c r="V146">
        <f t="shared" si="22"/>
        <v>856</v>
      </c>
      <c r="W146" cm="1">
        <f t="array" ref="W146">_xlfn._xlws.FILTER(shifts!A:A,(shifts!B:B=events!D146)*(shifts!AH:AH&gt;=events!U146)*(shifts!AI:AI&lt;=events!V146))</f>
        <v>4</v>
      </c>
      <c r="X146" t="str">
        <f t="shared" si="23"/>
        <v>event_team_player_1</v>
      </c>
      <c r="Y146">
        <f>COUNTIFS(A$3:A146,"="&amp;A146,K$3:K146,"="&amp;K146)</f>
        <v>1</v>
      </c>
      <c r="Z146" s="20">
        <f>SUMIFS(T$3:T146,L$3:L146,"=Intermission")+SUMIFS(T$3:T146,L$3:L146,"=Timeout")+SUMIFS(T$3:T146,L$3:L146,"=Clockstop")</f>
        <v>0</v>
      </c>
      <c r="AA146">
        <f t="shared" si="27"/>
        <v>0</v>
      </c>
      <c r="AB146" s="26">
        <f t="shared" si="28"/>
        <v>224</v>
      </c>
      <c r="AC146">
        <f t="shared" si="29"/>
        <v>0</v>
      </c>
    </row>
    <row r="147" spans="1:29" x14ac:dyDescent="0.2">
      <c r="A147">
        <v>79</v>
      </c>
      <c r="D147">
        <f t="shared" si="30"/>
        <v>1</v>
      </c>
      <c r="E147">
        <v>14</v>
      </c>
      <c r="F147" s="6" t="s">
        <v>448</v>
      </c>
      <c r="G147">
        <v>13</v>
      </c>
      <c r="H147" s="8" t="s">
        <v>477</v>
      </c>
      <c r="I147" t="s">
        <v>178</v>
      </c>
      <c r="J147">
        <v>39</v>
      </c>
      <c r="K147" t="s">
        <v>488</v>
      </c>
      <c r="L147" t="s">
        <v>282</v>
      </c>
      <c r="Q147">
        <f t="shared" si="24"/>
        <v>18977</v>
      </c>
      <c r="R147" t="str">
        <f t="shared" si="25"/>
        <v>Velodrome</v>
      </c>
      <c r="S147" t="str">
        <f t="shared" si="26"/>
        <v>HollowBrook</v>
      </c>
      <c r="T147" s="20">
        <f t="shared" si="20"/>
        <v>25</v>
      </c>
      <c r="U147">
        <f t="shared" si="21"/>
        <v>856</v>
      </c>
      <c r="V147">
        <f t="shared" si="22"/>
        <v>831</v>
      </c>
      <c r="W147">
        <v>5</v>
      </c>
      <c r="X147" t="str">
        <f t="shared" si="23"/>
        <v>event_team_player_1</v>
      </c>
      <c r="Y147">
        <f>COUNTIFS(A$3:A147,"="&amp;A147,K$3:K147,"="&amp;K147)</f>
        <v>1</v>
      </c>
      <c r="Z147" s="20">
        <f>SUMIFS(T$3:T147,L$3:L147,"=Intermission")+SUMIFS(T$3:T147,L$3:L147,"=Timeout")+SUMIFS(T$3:T147,L$3:L147,"=Clockstop")</f>
        <v>0</v>
      </c>
      <c r="AA147">
        <f t="shared" si="27"/>
        <v>0</v>
      </c>
      <c r="AB147" s="26">
        <f t="shared" si="28"/>
        <v>224</v>
      </c>
      <c r="AC147">
        <f t="shared" si="29"/>
        <v>0</v>
      </c>
    </row>
    <row r="148" spans="1:29" x14ac:dyDescent="0.2">
      <c r="A148">
        <v>80</v>
      </c>
      <c r="D148">
        <f t="shared" si="30"/>
        <v>1</v>
      </c>
      <c r="E148">
        <v>13</v>
      </c>
      <c r="F148" s="6" t="s">
        <v>432</v>
      </c>
      <c r="I148" t="s">
        <v>178</v>
      </c>
      <c r="J148">
        <v>70</v>
      </c>
      <c r="K148" t="s">
        <v>488</v>
      </c>
      <c r="L148" t="s">
        <v>6</v>
      </c>
      <c r="M148" t="s">
        <v>275</v>
      </c>
      <c r="Q148">
        <f t="shared" si="24"/>
        <v>18977</v>
      </c>
      <c r="R148" t="str">
        <f t="shared" si="25"/>
        <v>Velodrome</v>
      </c>
      <c r="S148" t="str">
        <f t="shared" si="26"/>
        <v>HollowBrook</v>
      </c>
      <c r="T148" s="20">
        <f t="shared" si="20"/>
        <v>0</v>
      </c>
      <c r="U148">
        <f t="shared" si="21"/>
        <v>830</v>
      </c>
      <c r="V148">
        <f t="shared" si="22"/>
        <v>830</v>
      </c>
      <c r="W148" cm="1">
        <f t="array" ref="W148">_xlfn._xlws.FILTER(shifts!A:A,(shifts!B:B=events!D148)*(shifts!AH:AH&gt;=events!U148)*(shifts!AI:AI&lt;=events!V148))</f>
        <v>5</v>
      </c>
      <c r="X148" t="str">
        <f t="shared" si="23"/>
        <v>event_team_player_1</v>
      </c>
      <c r="Y148">
        <f>COUNTIFS(A$3:A148,"="&amp;A148,K$3:K148,"="&amp;K148)</f>
        <v>1</v>
      </c>
      <c r="Z148" s="20">
        <f>SUMIFS(T$3:T148,L$3:L148,"=Intermission")+SUMIFS(T$3:T148,L$3:L148,"=Timeout")+SUMIFS(T$3:T148,L$3:L148,"=Clockstop")</f>
        <v>0</v>
      </c>
      <c r="AA148">
        <f t="shared" si="27"/>
        <v>0</v>
      </c>
      <c r="AB148" s="26">
        <f t="shared" si="28"/>
        <v>250</v>
      </c>
      <c r="AC148">
        <f t="shared" si="29"/>
        <v>0</v>
      </c>
    </row>
    <row r="149" spans="1:29" x14ac:dyDescent="0.2">
      <c r="A149">
        <v>80</v>
      </c>
      <c r="D149">
        <f t="shared" si="30"/>
        <v>1</v>
      </c>
      <c r="E149">
        <v>13</v>
      </c>
      <c r="F149" s="6" t="s">
        <v>432</v>
      </c>
      <c r="I149" t="s">
        <v>178</v>
      </c>
      <c r="J149">
        <v>11</v>
      </c>
      <c r="K149" t="s">
        <v>489</v>
      </c>
      <c r="L149" t="s">
        <v>6</v>
      </c>
      <c r="M149" t="s">
        <v>275</v>
      </c>
      <c r="Q149">
        <f t="shared" si="24"/>
        <v>18977</v>
      </c>
      <c r="R149" t="str">
        <f t="shared" si="25"/>
        <v>Velodrome</v>
      </c>
      <c r="S149" t="str">
        <f t="shared" si="26"/>
        <v>HollowBrook</v>
      </c>
      <c r="T149" s="20">
        <f t="shared" si="20"/>
        <v>0</v>
      </c>
      <c r="U149">
        <f t="shared" si="21"/>
        <v>830</v>
      </c>
      <c r="V149">
        <f t="shared" si="22"/>
        <v>830</v>
      </c>
      <c r="W149" cm="1">
        <f t="array" ref="W149">_xlfn._xlws.FILTER(shifts!A:A,(shifts!B:B=events!D149)*(shifts!AH:AH&gt;=events!U149)*(shifts!AI:AI&lt;=events!V149))</f>
        <v>5</v>
      </c>
      <c r="X149" t="str">
        <f t="shared" si="23"/>
        <v>opp_team_player_1</v>
      </c>
      <c r="Y149">
        <f>COUNTIFS(A$3:A149,"="&amp;A149,K$3:K149,"="&amp;K149)</f>
        <v>1</v>
      </c>
      <c r="Z149" s="20">
        <f>SUMIFS(T$3:T149,L$3:L149,"=Intermission")+SUMIFS(T$3:T149,L$3:L149,"=Timeout")+SUMIFS(T$3:T149,L$3:L149,"=Clockstop")</f>
        <v>0</v>
      </c>
      <c r="AA149">
        <f t="shared" si="27"/>
        <v>0</v>
      </c>
      <c r="AB149" s="26">
        <f t="shared" si="28"/>
        <v>250</v>
      </c>
      <c r="AC149">
        <f t="shared" si="29"/>
        <v>0</v>
      </c>
    </row>
    <row r="150" spans="1:29" x14ac:dyDescent="0.2">
      <c r="A150">
        <v>81</v>
      </c>
      <c r="B150">
        <v>6</v>
      </c>
      <c r="D150">
        <f t="shared" si="30"/>
        <v>1</v>
      </c>
      <c r="E150">
        <v>13</v>
      </c>
      <c r="F150" s="6" t="s">
        <v>451</v>
      </c>
      <c r="G150">
        <v>13</v>
      </c>
      <c r="H150" s="8" t="s">
        <v>435</v>
      </c>
      <c r="I150" t="s">
        <v>178</v>
      </c>
      <c r="J150">
        <v>70</v>
      </c>
      <c r="K150" t="s">
        <v>488</v>
      </c>
      <c r="L150" t="s">
        <v>15</v>
      </c>
      <c r="Q150">
        <f t="shared" si="24"/>
        <v>18977</v>
      </c>
      <c r="R150" t="str">
        <f t="shared" si="25"/>
        <v>Velodrome</v>
      </c>
      <c r="S150" t="str">
        <f t="shared" si="26"/>
        <v>HollowBrook</v>
      </c>
      <c r="T150" s="20">
        <f t="shared" si="20"/>
        <v>4</v>
      </c>
      <c r="U150">
        <f t="shared" si="21"/>
        <v>828</v>
      </c>
      <c r="V150">
        <f t="shared" si="22"/>
        <v>824</v>
      </c>
      <c r="W150" cm="1">
        <f t="array" ref="W150">_xlfn._xlws.FILTER(shifts!A:A,(shifts!B:B=events!D150)*(shifts!AH:AH&gt;=events!U150)*(shifts!AI:AI&lt;=events!V150))</f>
        <v>5</v>
      </c>
      <c r="X150" t="str">
        <f t="shared" si="23"/>
        <v>event_team_player_1</v>
      </c>
      <c r="Y150">
        <f>COUNTIFS(A$3:A150,"="&amp;A150,K$3:K150,"="&amp;K150)</f>
        <v>1</v>
      </c>
      <c r="Z150" s="20">
        <f>SUMIFS(T$3:T150,L$3:L150,"=Intermission")+SUMIFS(T$3:T150,L$3:L150,"=Timeout")+SUMIFS(T$3:T150,L$3:L150,"=Clockstop")</f>
        <v>0</v>
      </c>
      <c r="AA150">
        <f t="shared" si="27"/>
        <v>0</v>
      </c>
      <c r="AB150" s="26">
        <f t="shared" si="28"/>
        <v>252</v>
      </c>
      <c r="AC150">
        <f t="shared" si="29"/>
        <v>0</v>
      </c>
    </row>
    <row r="151" spans="1:29" x14ac:dyDescent="0.2">
      <c r="A151">
        <v>82</v>
      </c>
      <c r="B151">
        <v>6</v>
      </c>
      <c r="D151">
        <f t="shared" si="30"/>
        <v>1</v>
      </c>
      <c r="E151">
        <v>13</v>
      </c>
      <c r="F151" s="6" t="s">
        <v>435</v>
      </c>
      <c r="G151">
        <v>13</v>
      </c>
      <c r="H151" s="8" t="s">
        <v>431</v>
      </c>
      <c r="I151" t="s">
        <v>178</v>
      </c>
      <c r="J151">
        <v>70</v>
      </c>
      <c r="K151" t="s">
        <v>488</v>
      </c>
      <c r="L151" t="s">
        <v>15</v>
      </c>
      <c r="Q151">
        <f t="shared" si="24"/>
        <v>18977</v>
      </c>
      <c r="R151" t="str">
        <f t="shared" si="25"/>
        <v>Velodrome</v>
      </c>
      <c r="S151" t="str">
        <f t="shared" si="26"/>
        <v>HollowBrook</v>
      </c>
      <c r="T151" s="20">
        <f t="shared" si="20"/>
        <v>3</v>
      </c>
      <c r="U151">
        <f t="shared" si="21"/>
        <v>824</v>
      </c>
      <c r="V151">
        <f t="shared" si="22"/>
        <v>821</v>
      </c>
      <c r="W151" cm="1">
        <f t="array" ref="W151">_xlfn._xlws.FILTER(shifts!A:A,(shifts!B:B=events!D151)*(shifts!AH:AH&gt;=events!U151)*(shifts!AI:AI&lt;=events!V151))</f>
        <v>5</v>
      </c>
      <c r="X151" t="str">
        <f t="shared" si="23"/>
        <v>event_team_player_1</v>
      </c>
      <c r="Y151">
        <f>COUNTIFS(A$3:A151,"="&amp;A151,K$3:K151,"="&amp;K151)</f>
        <v>1</v>
      </c>
      <c r="Z151" s="20">
        <f>SUMIFS(T$3:T151,L$3:L151,"=Intermission")+SUMIFS(T$3:T151,L$3:L151,"=Timeout")+SUMIFS(T$3:T151,L$3:L151,"=Clockstop")</f>
        <v>0</v>
      </c>
      <c r="AA151">
        <f t="shared" si="27"/>
        <v>0</v>
      </c>
      <c r="AB151" s="26">
        <f t="shared" si="28"/>
        <v>256</v>
      </c>
      <c r="AC151">
        <f t="shared" si="29"/>
        <v>0</v>
      </c>
    </row>
    <row r="152" spans="1:29" x14ac:dyDescent="0.2">
      <c r="A152">
        <v>83</v>
      </c>
      <c r="B152">
        <v>6</v>
      </c>
      <c r="D152">
        <f t="shared" si="30"/>
        <v>1</v>
      </c>
      <c r="E152">
        <v>13</v>
      </c>
      <c r="F152" s="6" t="s">
        <v>437</v>
      </c>
      <c r="I152" t="s">
        <v>178</v>
      </c>
      <c r="J152">
        <v>70</v>
      </c>
      <c r="K152" t="s">
        <v>488</v>
      </c>
      <c r="L152" t="s">
        <v>8</v>
      </c>
      <c r="M152" t="s">
        <v>189</v>
      </c>
      <c r="N152" t="s">
        <v>70</v>
      </c>
      <c r="Q152">
        <f t="shared" si="24"/>
        <v>18977</v>
      </c>
      <c r="R152" t="str">
        <f t="shared" si="25"/>
        <v>Velodrome</v>
      </c>
      <c r="S152" t="str">
        <f t="shared" si="26"/>
        <v>HollowBrook</v>
      </c>
      <c r="T152" s="20">
        <f t="shared" si="20"/>
        <v>0</v>
      </c>
      <c r="U152">
        <f t="shared" si="21"/>
        <v>820</v>
      </c>
      <c r="V152">
        <f t="shared" si="22"/>
        <v>820</v>
      </c>
      <c r="W152" cm="1">
        <f t="array" ref="W152">_xlfn._xlws.FILTER(shifts!A:A,(shifts!B:B=events!D152)*(shifts!AH:AH&gt;=events!U152)*(shifts!AI:AI&lt;=events!V152))</f>
        <v>5</v>
      </c>
      <c r="X152" t="str">
        <f t="shared" si="23"/>
        <v>event_team_player_1</v>
      </c>
      <c r="Y152">
        <f>COUNTIFS(A$3:A152,"="&amp;A152,K$3:K152,"="&amp;K152)</f>
        <v>1</v>
      </c>
      <c r="Z152" s="20">
        <f>SUMIFS(T$3:T152,L$3:L152,"=Intermission")+SUMIFS(T$3:T152,L$3:L152,"=Timeout")+SUMIFS(T$3:T152,L$3:L152,"=Clockstop")</f>
        <v>0</v>
      </c>
      <c r="AA152">
        <f t="shared" si="27"/>
        <v>0</v>
      </c>
      <c r="AB152" s="26">
        <f t="shared" si="28"/>
        <v>260</v>
      </c>
      <c r="AC152">
        <f t="shared" si="29"/>
        <v>0</v>
      </c>
    </row>
    <row r="153" spans="1:29" x14ac:dyDescent="0.2">
      <c r="A153">
        <v>83</v>
      </c>
      <c r="B153">
        <v>6</v>
      </c>
      <c r="D153">
        <f t="shared" si="30"/>
        <v>1</v>
      </c>
      <c r="E153">
        <v>13</v>
      </c>
      <c r="F153" s="6" t="s">
        <v>437</v>
      </c>
      <c r="I153" t="s">
        <v>178</v>
      </c>
      <c r="J153">
        <v>9</v>
      </c>
      <c r="K153" t="s">
        <v>488</v>
      </c>
      <c r="L153" t="s">
        <v>8</v>
      </c>
      <c r="M153" t="s">
        <v>189</v>
      </c>
      <c r="N153" t="s">
        <v>70</v>
      </c>
      <c r="Q153">
        <f t="shared" si="24"/>
        <v>18977</v>
      </c>
      <c r="R153" t="str">
        <f t="shared" si="25"/>
        <v>Velodrome</v>
      </c>
      <c r="S153" t="str">
        <f t="shared" si="26"/>
        <v>HollowBrook</v>
      </c>
      <c r="T153" s="20">
        <f t="shared" si="20"/>
        <v>0</v>
      </c>
      <c r="U153">
        <f t="shared" si="21"/>
        <v>820</v>
      </c>
      <c r="V153">
        <f t="shared" si="22"/>
        <v>820</v>
      </c>
      <c r="W153" cm="1">
        <f t="array" ref="W153">_xlfn._xlws.FILTER(shifts!A:A,(shifts!B:B=events!D153)*(shifts!AH:AH&gt;=events!U153)*(shifts!AI:AI&lt;=events!V153))</f>
        <v>5</v>
      </c>
      <c r="X153" t="str">
        <f t="shared" si="23"/>
        <v>event_team_player_2</v>
      </c>
      <c r="Y153">
        <f>COUNTIFS(A$3:A153,"="&amp;A153,K$3:K153,"="&amp;K153)</f>
        <v>2</v>
      </c>
      <c r="Z153" s="20">
        <f>SUMIFS(T$3:T153,L$3:L153,"=Intermission")+SUMIFS(T$3:T153,L$3:L153,"=Timeout")+SUMIFS(T$3:T153,L$3:L153,"=Clockstop")</f>
        <v>0</v>
      </c>
      <c r="AA153">
        <f t="shared" si="27"/>
        <v>0</v>
      </c>
      <c r="AB153" s="26">
        <f t="shared" si="28"/>
        <v>260</v>
      </c>
      <c r="AC153">
        <f t="shared" si="29"/>
        <v>0</v>
      </c>
    </row>
    <row r="154" spans="1:29" x14ac:dyDescent="0.2">
      <c r="A154">
        <v>84</v>
      </c>
      <c r="B154">
        <v>6</v>
      </c>
      <c r="D154">
        <f t="shared" si="30"/>
        <v>1</v>
      </c>
      <c r="E154">
        <v>13</v>
      </c>
      <c r="F154" s="6" t="s">
        <v>437</v>
      </c>
      <c r="I154" t="s">
        <v>178</v>
      </c>
      <c r="J154">
        <v>70</v>
      </c>
      <c r="K154" t="s">
        <v>488</v>
      </c>
      <c r="L154" t="s">
        <v>277</v>
      </c>
      <c r="M154" t="s">
        <v>201</v>
      </c>
      <c r="N154" t="s">
        <v>91</v>
      </c>
      <c r="Q154">
        <f t="shared" si="24"/>
        <v>18977</v>
      </c>
      <c r="R154" t="str">
        <f t="shared" si="25"/>
        <v>Velodrome</v>
      </c>
      <c r="S154" t="str">
        <f t="shared" si="26"/>
        <v>HollowBrook</v>
      </c>
      <c r="T154" s="20">
        <f t="shared" si="20"/>
        <v>0</v>
      </c>
      <c r="U154">
        <f t="shared" si="21"/>
        <v>820</v>
      </c>
      <c r="V154">
        <f t="shared" si="22"/>
        <v>820</v>
      </c>
      <c r="W154" cm="1">
        <f t="array" ref="W154">_xlfn._xlws.FILTER(shifts!A:A,(shifts!B:B=events!D154)*(shifts!AH:AH&gt;=events!U154)*(shifts!AI:AI&lt;=events!V154))</f>
        <v>5</v>
      </c>
      <c r="X154" t="str">
        <f t="shared" si="23"/>
        <v>event_team_player_1</v>
      </c>
      <c r="Y154">
        <f>COUNTIFS(A$3:A154,"="&amp;A154,K$3:K154,"="&amp;K154)</f>
        <v>1</v>
      </c>
      <c r="Z154" s="20">
        <f>SUMIFS(T$3:T154,L$3:L154,"=Intermission")+SUMIFS(T$3:T154,L$3:L154,"=Timeout")+SUMIFS(T$3:T154,L$3:L154,"=Clockstop")</f>
        <v>0</v>
      </c>
      <c r="AA154">
        <f t="shared" si="27"/>
        <v>0</v>
      </c>
      <c r="AB154" s="26">
        <f t="shared" si="28"/>
        <v>260</v>
      </c>
      <c r="AC154">
        <f t="shared" si="29"/>
        <v>0</v>
      </c>
    </row>
    <row r="155" spans="1:29" x14ac:dyDescent="0.2">
      <c r="A155">
        <v>84</v>
      </c>
      <c r="B155">
        <v>6</v>
      </c>
      <c r="D155">
        <f t="shared" si="30"/>
        <v>1</v>
      </c>
      <c r="E155">
        <v>13</v>
      </c>
      <c r="F155" s="6" t="s">
        <v>437</v>
      </c>
      <c r="I155" t="s">
        <v>178</v>
      </c>
      <c r="J155">
        <v>9</v>
      </c>
      <c r="K155" t="s">
        <v>488</v>
      </c>
      <c r="L155" t="s">
        <v>277</v>
      </c>
      <c r="M155" t="s">
        <v>201</v>
      </c>
      <c r="N155" t="s">
        <v>91</v>
      </c>
      <c r="Q155">
        <f t="shared" si="24"/>
        <v>18977</v>
      </c>
      <c r="R155" t="str">
        <f t="shared" si="25"/>
        <v>Velodrome</v>
      </c>
      <c r="S155" t="str">
        <f t="shared" si="26"/>
        <v>HollowBrook</v>
      </c>
      <c r="T155" s="20">
        <f t="shared" si="20"/>
        <v>0</v>
      </c>
      <c r="U155">
        <f t="shared" si="21"/>
        <v>820</v>
      </c>
      <c r="V155">
        <f t="shared" si="22"/>
        <v>820</v>
      </c>
      <c r="W155" cm="1">
        <f t="array" ref="W155">_xlfn._xlws.FILTER(shifts!A:A,(shifts!B:B=events!D155)*(shifts!AH:AH&gt;=events!U155)*(shifts!AI:AI&lt;=events!V155))</f>
        <v>5</v>
      </c>
      <c r="X155" t="str">
        <f t="shared" si="23"/>
        <v>event_team_player_2</v>
      </c>
      <c r="Y155">
        <f>COUNTIFS(A$3:A155,"="&amp;A155,K$3:K155,"="&amp;K155)</f>
        <v>2</v>
      </c>
      <c r="Z155" s="20">
        <f>SUMIFS(T$3:T155,L$3:L155,"=Intermission")+SUMIFS(T$3:T155,L$3:L155,"=Timeout")+SUMIFS(T$3:T155,L$3:L155,"=Clockstop")</f>
        <v>0</v>
      </c>
      <c r="AA155">
        <f t="shared" si="27"/>
        <v>0</v>
      </c>
      <c r="AB155" s="26">
        <f t="shared" si="28"/>
        <v>260</v>
      </c>
      <c r="AC155">
        <f t="shared" si="29"/>
        <v>0</v>
      </c>
    </row>
    <row r="156" spans="1:29" x14ac:dyDescent="0.2">
      <c r="A156">
        <v>85</v>
      </c>
      <c r="B156">
        <v>6</v>
      </c>
      <c r="D156">
        <f t="shared" si="30"/>
        <v>1</v>
      </c>
      <c r="E156">
        <v>13</v>
      </c>
      <c r="F156" s="6" t="s">
        <v>437</v>
      </c>
      <c r="G156">
        <v>13</v>
      </c>
      <c r="H156" s="8" t="s">
        <v>438</v>
      </c>
      <c r="I156" t="s">
        <v>178</v>
      </c>
      <c r="J156">
        <v>9</v>
      </c>
      <c r="K156" t="s">
        <v>488</v>
      </c>
      <c r="L156" t="s">
        <v>15</v>
      </c>
      <c r="Q156">
        <f t="shared" si="24"/>
        <v>18977</v>
      </c>
      <c r="R156" t="str">
        <f t="shared" si="25"/>
        <v>Velodrome</v>
      </c>
      <c r="S156" t="str">
        <f t="shared" si="26"/>
        <v>HollowBrook</v>
      </c>
      <c r="T156" s="20">
        <f t="shared" si="20"/>
        <v>2</v>
      </c>
      <c r="U156">
        <f t="shared" si="21"/>
        <v>820</v>
      </c>
      <c r="V156">
        <f t="shared" si="22"/>
        <v>818</v>
      </c>
      <c r="W156" cm="1">
        <f t="array" ref="W156">_xlfn._xlws.FILTER(shifts!A:A,(shifts!B:B=events!D156)*(shifts!AH:AH&gt;=events!U156)*(shifts!AI:AI&lt;=events!V156))</f>
        <v>5</v>
      </c>
      <c r="X156" t="str">
        <f t="shared" si="23"/>
        <v>event_team_player_1</v>
      </c>
      <c r="Y156">
        <f>COUNTIFS(A$3:A156,"="&amp;A156,K$3:K156,"="&amp;K156)</f>
        <v>1</v>
      </c>
      <c r="Z156" s="20">
        <f>SUMIFS(T$3:T156,L$3:L156,"=Intermission")+SUMIFS(T$3:T156,L$3:L156,"=Timeout")+SUMIFS(T$3:T156,L$3:L156,"=Clockstop")</f>
        <v>0</v>
      </c>
      <c r="AA156">
        <f t="shared" si="27"/>
        <v>0</v>
      </c>
      <c r="AB156" s="26">
        <f t="shared" si="28"/>
        <v>260</v>
      </c>
      <c r="AC156">
        <f t="shared" si="29"/>
        <v>0</v>
      </c>
    </row>
    <row r="157" spans="1:29" x14ac:dyDescent="0.2">
      <c r="A157">
        <v>86</v>
      </c>
      <c r="B157">
        <v>6</v>
      </c>
      <c r="C157" s="7">
        <v>5</v>
      </c>
      <c r="D157">
        <f t="shared" si="30"/>
        <v>1</v>
      </c>
      <c r="E157">
        <v>13</v>
      </c>
      <c r="F157" s="6" t="s">
        <v>438</v>
      </c>
      <c r="G157">
        <v>13</v>
      </c>
      <c r="H157" s="8" t="s">
        <v>455</v>
      </c>
      <c r="I157" t="s">
        <v>178</v>
      </c>
      <c r="J157">
        <v>9</v>
      </c>
      <c r="K157" t="s">
        <v>488</v>
      </c>
      <c r="L157" t="s">
        <v>277</v>
      </c>
      <c r="M157" t="s">
        <v>191</v>
      </c>
      <c r="N157" t="s">
        <v>87</v>
      </c>
      <c r="Q157">
        <f t="shared" si="24"/>
        <v>18977</v>
      </c>
      <c r="R157" t="str">
        <f t="shared" si="25"/>
        <v>Velodrome</v>
      </c>
      <c r="S157" t="str">
        <f t="shared" si="26"/>
        <v>HollowBrook</v>
      </c>
      <c r="T157" s="20">
        <f t="shared" si="20"/>
        <v>3</v>
      </c>
      <c r="U157">
        <f t="shared" si="21"/>
        <v>818</v>
      </c>
      <c r="V157">
        <f t="shared" si="22"/>
        <v>815</v>
      </c>
      <c r="W157" cm="1">
        <f t="array" ref="W157">_xlfn._xlws.FILTER(shifts!A:A,(shifts!B:B=events!D157)*(shifts!AH:AH&gt;=events!U157)*(shifts!AI:AI&lt;=events!V157))</f>
        <v>5</v>
      </c>
      <c r="X157" t="str">
        <f t="shared" si="23"/>
        <v>event_team_player_1</v>
      </c>
      <c r="Y157">
        <f>COUNTIFS(A$3:A157,"="&amp;A157,K$3:K157,"="&amp;K157)</f>
        <v>1</v>
      </c>
      <c r="Z157" s="20">
        <f>SUMIFS(T$3:T157,L$3:L157,"=Intermission")+SUMIFS(T$3:T157,L$3:L157,"=Timeout")+SUMIFS(T$3:T157,L$3:L157,"=Clockstop")</f>
        <v>0</v>
      </c>
      <c r="AA157">
        <f t="shared" si="27"/>
        <v>0</v>
      </c>
      <c r="AB157" s="26">
        <f t="shared" si="28"/>
        <v>262</v>
      </c>
      <c r="AC157">
        <f t="shared" si="29"/>
        <v>0</v>
      </c>
    </row>
    <row r="158" spans="1:29" x14ac:dyDescent="0.2">
      <c r="A158">
        <v>86</v>
      </c>
      <c r="B158">
        <v>6</v>
      </c>
      <c r="C158" s="7">
        <v>5</v>
      </c>
      <c r="D158">
        <f t="shared" si="30"/>
        <v>1</v>
      </c>
      <c r="E158">
        <v>13</v>
      </c>
      <c r="F158" s="6" t="s">
        <v>438</v>
      </c>
      <c r="G158">
        <v>13</v>
      </c>
      <c r="H158" s="8" t="s">
        <v>455</v>
      </c>
      <c r="I158" t="s">
        <v>178</v>
      </c>
      <c r="J158">
        <v>14</v>
      </c>
      <c r="K158" t="s">
        <v>488</v>
      </c>
      <c r="L158" t="s">
        <v>277</v>
      </c>
      <c r="M158" t="s">
        <v>191</v>
      </c>
      <c r="N158" t="s">
        <v>87</v>
      </c>
      <c r="Q158">
        <f t="shared" si="24"/>
        <v>18977</v>
      </c>
      <c r="R158" t="str">
        <f t="shared" si="25"/>
        <v>Velodrome</v>
      </c>
      <c r="S158" t="str">
        <f t="shared" si="26"/>
        <v>HollowBrook</v>
      </c>
      <c r="T158" s="20">
        <f t="shared" si="20"/>
        <v>3</v>
      </c>
      <c r="U158">
        <f t="shared" si="21"/>
        <v>818</v>
      </c>
      <c r="V158">
        <f t="shared" si="22"/>
        <v>815</v>
      </c>
      <c r="W158" cm="1">
        <f t="array" ref="W158">_xlfn._xlws.FILTER(shifts!A:A,(shifts!B:B=events!D158)*(shifts!AH:AH&gt;=events!U158)*(shifts!AI:AI&lt;=events!V158))</f>
        <v>5</v>
      </c>
      <c r="X158" t="str">
        <f t="shared" si="23"/>
        <v>event_team_player_2</v>
      </c>
      <c r="Y158">
        <f>COUNTIFS(A$3:A158,"="&amp;A158,K$3:K158,"="&amp;K158)</f>
        <v>2</v>
      </c>
      <c r="Z158" s="20">
        <f>SUMIFS(T$3:T158,L$3:L158,"=Intermission")+SUMIFS(T$3:T158,L$3:L158,"=Timeout")+SUMIFS(T$3:T158,L$3:L158,"=Clockstop")</f>
        <v>0</v>
      </c>
      <c r="AA158">
        <f t="shared" si="27"/>
        <v>0</v>
      </c>
      <c r="AB158" s="26">
        <f t="shared" si="28"/>
        <v>262</v>
      </c>
      <c r="AC158">
        <f t="shared" si="29"/>
        <v>0</v>
      </c>
    </row>
    <row r="159" spans="1:29" x14ac:dyDescent="0.2">
      <c r="A159">
        <v>86</v>
      </c>
      <c r="B159">
        <v>6</v>
      </c>
      <c r="C159" s="7">
        <v>5</v>
      </c>
      <c r="D159">
        <f t="shared" si="30"/>
        <v>1</v>
      </c>
      <c r="E159">
        <v>13</v>
      </c>
      <c r="F159" s="6" t="s">
        <v>438</v>
      </c>
      <c r="G159">
        <v>13</v>
      </c>
      <c r="H159" s="8" t="s">
        <v>455</v>
      </c>
      <c r="I159" t="s">
        <v>178</v>
      </c>
      <c r="J159">
        <v>61</v>
      </c>
      <c r="K159" t="s">
        <v>488</v>
      </c>
      <c r="L159" t="s">
        <v>277</v>
      </c>
      <c r="M159" t="s">
        <v>191</v>
      </c>
      <c r="N159" t="s">
        <v>87</v>
      </c>
      <c r="Q159">
        <f t="shared" si="24"/>
        <v>18977</v>
      </c>
      <c r="R159" t="str">
        <f t="shared" si="25"/>
        <v>Velodrome</v>
      </c>
      <c r="S159" t="str">
        <f t="shared" si="26"/>
        <v>HollowBrook</v>
      </c>
      <c r="T159" s="20">
        <f t="shared" si="20"/>
        <v>3</v>
      </c>
      <c r="U159">
        <f t="shared" si="21"/>
        <v>818</v>
      </c>
      <c r="V159">
        <f t="shared" si="22"/>
        <v>815</v>
      </c>
      <c r="W159" cm="1">
        <f t="array" ref="W159">_xlfn._xlws.FILTER(shifts!A:A,(shifts!B:B=events!D159)*(shifts!AH:AH&gt;=events!U159)*(shifts!AI:AI&lt;=events!V159))</f>
        <v>5</v>
      </c>
      <c r="X159" t="str">
        <f t="shared" si="23"/>
        <v>event_team_player_3</v>
      </c>
      <c r="Y159">
        <f>COUNTIFS(A$3:A159,"="&amp;A159,K$3:K159,"="&amp;K159)</f>
        <v>3</v>
      </c>
      <c r="Z159" s="20">
        <f>SUMIFS(T$3:T159,L$3:L159,"=Intermission")+SUMIFS(T$3:T159,L$3:L159,"=Timeout")+SUMIFS(T$3:T159,L$3:L159,"=Clockstop")</f>
        <v>0</v>
      </c>
      <c r="AA159">
        <f t="shared" si="27"/>
        <v>0</v>
      </c>
      <c r="AB159" s="26">
        <f t="shared" si="28"/>
        <v>262</v>
      </c>
      <c r="AC159">
        <f t="shared" si="29"/>
        <v>0</v>
      </c>
    </row>
    <row r="160" spans="1:29" x14ac:dyDescent="0.2">
      <c r="A160">
        <v>86</v>
      </c>
      <c r="B160">
        <v>6</v>
      </c>
      <c r="C160" s="7">
        <v>5</v>
      </c>
      <c r="D160">
        <f t="shared" si="30"/>
        <v>1</v>
      </c>
      <c r="E160">
        <v>13</v>
      </c>
      <c r="F160" s="6" t="s">
        <v>438</v>
      </c>
      <c r="G160">
        <v>13</v>
      </c>
      <c r="H160" s="8" t="s">
        <v>455</v>
      </c>
      <c r="I160" t="s">
        <v>178</v>
      </c>
      <c r="J160">
        <v>5</v>
      </c>
      <c r="K160" t="s">
        <v>489</v>
      </c>
      <c r="L160" t="s">
        <v>277</v>
      </c>
      <c r="M160" t="s">
        <v>191</v>
      </c>
      <c r="N160" t="s">
        <v>87</v>
      </c>
      <c r="Q160">
        <f t="shared" si="24"/>
        <v>18977</v>
      </c>
      <c r="R160" t="str">
        <f t="shared" si="25"/>
        <v>Velodrome</v>
      </c>
      <c r="S160" t="str">
        <f t="shared" si="26"/>
        <v>HollowBrook</v>
      </c>
      <c r="T160" s="20">
        <f t="shared" si="20"/>
        <v>3</v>
      </c>
      <c r="U160">
        <f t="shared" si="21"/>
        <v>818</v>
      </c>
      <c r="V160">
        <f t="shared" si="22"/>
        <v>815</v>
      </c>
      <c r="W160" cm="1">
        <f t="array" ref="W160">_xlfn._xlws.FILTER(shifts!A:A,(shifts!B:B=events!D160)*(shifts!AH:AH&gt;=events!U160)*(shifts!AI:AI&lt;=events!V160))</f>
        <v>5</v>
      </c>
      <c r="X160" t="str">
        <f t="shared" si="23"/>
        <v>opp_team_player_1</v>
      </c>
      <c r="Y160">
        <f>COUNTIFS(A$3:A160,"="&amp;A160,K$3:K160,"="&amp;K160)</f>
        <v>1</v>
      </c>
      <c r="Z160" s="20">
        <f>SUMIFS(T$3:T160,L$3:L160,"=Intermission")+SUMIFS(T$3:T160,L$3:L160,"=Timeout")+SUMIFS(T$3:T160,L$3:L160,"=Clockstop")</f>
        <v>0</v>
      </c>
      <c r="AA160">
        <f t="shared" si="27"/>
        <v>0</v>
      </c>
      <c r="AB160" s="26">
        <f t="shared" si="28"/>
        <v>262</v>
      </c>
      <c r="AC160">
        <f t="shared" si="29"/>
        <v>0</v>
      </c>
    </row>
    <row r="161" spans="1:29" x14ac:dyDescent="0.2">
      <c r="A161">
        <v>86</v>
      </c>
      <c r="B161">
        <v>6</v>
      </c>
      <c r="C161" s="7">
        <v>5</v>
      </c>
      <c r="D161">
        <f t="shared" si="30"/>
        <v>1</v>
      </c>
      <c r="E161">
        <v>13</v>
      </c>
      <c r="F161" s="6" t="s">
        <v>438</v>
      </c>
      <c r="G161">
        <v>13</v>
      </c>
      <c r="H161" s="8" t="s">
        <v>455</v>
      </c>
      <c r="I161" t="s">
        <v>178</v>
      </c>
      <c r="J161">
        <v>11</v>
      </c>
      <c r="K161" t="s">
        <v>489</v>
      </c>
      <c r="L161" t="s">
        <v>277</v>
      </c>
      <c r="M161" t="s">
        <v>191</v>
      </c>
      <c r="N161" t="s">
        <v>87</v>
      </c>
      <c r="Q161">
        <f t="shared" si="24"/>
        <v>18977</v>
      </c>
      <c r="R161" t="str">
        <f t="shared" si="25"/>
        <v>Velodrome</v>
      </c>
      <c r="S161" t="str">
        <f t="shared" si="26"/>
        <v>HollowBrook</v>
      </c>
      <c r="T161" s="20">
        <f t="shared" si="20"/>
        <v>3</v>
      </c>
      <c r="U161">
        <f t="shared" si="21"/>
        <v>818</v>
      </c>
      <c r="V161">
        <f t="shared" si="22"/>
        <v>815</v>
      </c>
      <c r="W161" cm="1">
        <f t="array" ref="W161">_xlfn._xlws.FILTER(shifts!A:A,(shifts!B:B=events!D161)*(shifts!AH:AH&gt;=events!U161)*(shifts!AI:AI&lt;=events!V161))</f>
        <v>5</v>
      </c>
      <c r="X161" t="str">
        <f t="shared" si="23"/>
        <v>opp_team_player_2</v>
      </c>
      <c r="Y161">
        <f>COUNTIFS(A$3:A161,"="&amp;A161,K$3:K161,"="&amp;K161)</f>
        <v>2</v>
      </c>
      <c r="Z161" s="20">
        <f>SUMIFS(T$3:T161,L$3:L161,"=Intermission")+SUMIFS(T$3:T161,L$3:L161,"=Timeout")+SUMIFS(T$3:T161,L$3:L161,"=Clockstop")</f>
        <v>0</v>
      </c>
      <c r="AA161">
        <f t="shared" si="27"/>
        <v>0</v>
      </c>
      <c r="AB161" s="26">
        <f t="shared" si="28"/>
        <v>262</v>
      </c>
      <c r="AC161">
        <f t="shared" si="29"/>
        <v>0</v>
      </c>
    </row>
    <row r="162" spans="1:29" x14ac:dyDescent="0.2">
      <c r="A162">
        <v>86</v>
      </c>
      <c r="B162">
        <v>6</v>
      </c>
      <c r="C162" s="7">
        <v>5</v>
      </c>
      <c r="D162">
        <f t="shared" si="30"/>
        <v>1</v>
      </c>
      <c r="E162">
        <v>13</v>
      </c>
      <c r="F162" s="6" t="s">
        <v>438</v>
      </c>
      <c r="G162">
        <v>13</v>
      </c>
      <c r="H162" s="8" t="s">
        <v>455</v>
      </c>
      <c r="I162" t="s">
        <v>178</v>
      </c>
      <c r="J162">
        <v>27</v>
      </c>
      <c r="K162" t="s">
        <v>489</v>
      </c>
      <c r="L162" t="s">
        <v>277</v>
      </c>
      <c r="M162" t="s">
        <v>191</v>
      </c>
      <c r="N162" t="s">
        <v>87</v>
      </c>
      <c r="Q162">
        <f t="shared" si="24"/>
        <v>18977</v>
      </c>
      <c r="R162" t="str">
        <f t="shared" si="25"/>
        <v>Velodrome</v>
      </c>
      <c r="S162" t="str">
        <f t="shared" si="26"/>
        <v>HollowBrook</v>
      </c>
      <c r="T162" s="20">
        <f t="shared" si="20"/>
        <v>3</v>
      </c>
      <c r="U162">
        <f t="shared" si="21"/>
        <v>818</v>
      </c>
      <c r="V162">
        <f t="shared" si="22"/>
        <v>815</v>
      </c>
      <c r="W162" cm="1">
        <f t="array" ref="W162">_xlfn._xlws.FILTER(shifts!A:A,(shifts!B:B=events!D162)*(shifts!AH:AH&gt;=events!U162)*(shifts!AI:AI&lt;=events!V162))</f>
        <v>5</v>
      </c>
      <c r="X162" t="str">
        <f t="shared" si="23"/>
        <v>opp_team_player_3</v>
      </c>
      <c r="Y162">
        <f>COUNTIFS(A$3:A162,"="&amp;A162,K$3:K162,"="&amp;K162)</f>
        <v>3</v>
      </c>
      <c r="Z162" s="20">
        <f>SUMIFS(T$3:T162,L$3:L162,"=Intermission")+SUMIFS(T$3:T162,L$3:L162,"=Timeout")+SUMIFS(T$3:T162,L$3:L162,"=Clockstop")</f>
        <v>0</v>
      </c>
      <c r="AA162">
        <f t="shared" si="27"/>
        <v>0</v>
      </c>
      <c r="AB162" s="26">
        <f t="shared" si="28"/>
        <v>262</v>
      </c>
      <c r="AC162">
        <f t="shared" si="29"/>
        <v>0</v>
      </c>
    </row>
    <row r="163" spans="1:29" x14ac:dyDescent="0.2">
      <c r="A163">
        <v>87</v>
      </c>
      <c r="B163">
        <v>6</v>
      </c>
      <c r="C163" s="7">
        <v>5</v>
      </c>
      <c r="D163">
        <f t="shared" si="30"/>
        <v>1</v>
      </c>
      <c r="E163">
        <v>13</v>
      </c>
      <c r="F163" s="6" t="s">
        <v>455</v>
      </c>
      <c r="I163" t="s">
        <v>178</v>
      </c>
      <c r="J163">
        <v>9</v>
      </c>
      <c r="K163" t="s">
        <v>488</v>
      </c>
      <c r="L163" t="s">
        <v>7</v>
      </c>
      <c r="M163" t="s">
        <v>222</v>
      </c>
      <c r="N163" t="s">
        <v>57</v>
      </c>
      <c r="Q163">
        <f t="shared" si="24"/>
        <v>18977</v>
      </c>
      <c r="R163" t="str">
        <f t="shared" si="25"/>
        <v>Velodrome</v>
      </c>
      <c r="S163" t="str">
        <f t="shared" si="26"/>
        <v>HollowBrook</v>
      </c>
      <c r="T163" s="20">
        <f t="shared" si="20"/>
        <v>0</v>
      </c>
      <c r="U163">
        <f t="shared" si="21"/>
        <v>815</v>
      </c>
      <c r="V163">
        <f t="shared" si="22"/>
        <v>815</v>
      </c>
      <c r="W163" cm="1">
        <f t="array" ref="W163">_xlfn._xlws.FILTER(shifts!A:A,(shifts!B:B=events!D163)*(shifts!AH:AH&gt;=events!U163)*(shifts!AI:AI&lt;=events!V163))</f>
        <v>5</v>
      </c>
      <c r="X163" t="str">
        <f t="shared" si="23"/>
        <v>event_team_player_1</v>
      </c>
      <c r="Y163">
        <f>COUNTIFS(A$3:A163,"="&amp;A163,K$3:K163,"="&amp;K163)</f>
        <v>1</v>
      </c>
      <c r="Z163" s="20">
        <f>SUMIFS(T$3:T163,L$3:L163,"=Intermission")+SUMIFS(T$3:T163,L$3:L163,"=Timeout")+SUMIFS(T$3:T163,L$3:L163,"=Clockstop")</f>
        <v>0</v>
      </c>
      <c r="AA163">
        <f t="shared" si="27"/>
        <v>0</v>
      </c>
      <c r="AB163" s="26">
        <f t="shared" si="28"/>
        <v>265</v>
      </c>
      <c r="AC163">
        <f t="shared" si="29"/>
        <v>0</v>
      </c>
    </row>
    <row r="164" spans="1:29" x14ac:dyDescent="0.2">
      <c r="A164">
        <v>87</v>
      </c>
      <c r="B164">
        <v>6</v>
      </c>
      <c r="C164" s="7">
        <v>5</v>
      </c>
      <c r="D164">
        <f t="shared" si="30"/>
        <v>1</v>
      </c>
      <c r="E164">
        <v>13</v>
      </c>
      <c r="F164" s="6" t="s">
        <v>455</v>
      </c>
      <c r="I164" t="s">
        <v>178</v>
      </c>
      <c r="J164">
        <v>99</v>
      </c>
      <c r="K164" t="s">
        <v>489</v>
      </c>
      <c r="L164" t="s">
        <v>7</v>
      </c>
      <c r="M164" t="s">
        <v>222</v>
      </c>
      <c r="N164" t="s">
        <v>57</v>
      </c>
      <c r="Q164">
        <f t="shared" si="24"/>
        <v>18977</v>
      </c>
      <c r="R164" t="str">
        <f t="shared" si="25"/>
        <v>Velodrome</v>
      </c>
      <c r="S164" t="str">
        <f t="shared" si="26"/>
        <v>HollowBrook</v>
      </c>
      <c r="T164" s="20">
        <f t="shared" si="20"/>
        <v>0</v>
      </c>
      <c r="U164">
        <f t="shared" si="21"/>
        <v>815</v>
      </c>
      <c r="V164">
        <f t="shared" si="22"/>
        <v>815</v>
      </c>
      <c r="W164" cm="1">
        <f t="array" ref="W164">_xlfn._xlws.FILTER(shifts!A:A,(shifts!B:B=events!D164)*(shifts!AH:AH&gt;=events!U164)*(shifts!AI:AI&lt;=events!V164))</f>
        <v>5</v>
      </c>
      <c r="X164" t="str">
        <f t="shared" si="23"/>
        <v>opp_team_player_1</v>
      </c>
      <c r="Y164">
        <f>COUNTIFS(A$3:A164,"="&amp;A164,K$3:K164,"="&amp;K164)</f>
        <v>1</v>
      </c>
      <c r="Z164" s="20">
        <f>SUMIFS(T$3:T164,L$3:L164,"=Intermission")+SUMIFS(T$3:T164,L$3:L164,"=Timeout")+SUMIFS(T$3:T164,L$3:L164,"=Clockstop")</f>
        <v>0</v>
      </c>
      <c r="AA164">
        <f t="shared" si="27"/>
        <v>0</v>
      </c>
      <c r="AB164" s="26">
        <f t="shared" si="28"/>
        <v>265</v>
      </c>
      <c r="AC164">
        <f t="shared" si="29"/>
        <v>0</v>
      </c>
    </row>
    <row r="165" spans="1:29" x14ac:dyDescent="0.2">
      <c r="A165">
        <v>87</v>
      </c>
      <c r="B165">
        <v>6</v>
      </c>
      <c r="C165" s="7">
        <v>5</v>
      </c>
      <c r="D165">
        <f t="shared" si="30"/>
        <v>1</v>
      </c>
      <c r="E165">
        <v>13</v>
      </c>
      <c r="F165" s="6" t="s">
        <v>455</v>
      </c>
      <c r="I165" t="s">
        <v>178</v>
      </c>
      <c r="J165">
        <v>27</v>
      </c>
      <c r="K165" t="s">
        <v>489</v>
      </c>
      <c r="L165" t="s">
        <v>7</v>
      </c>
      <c r="M165" t="s">
        <v>222</v>
      </c>
      <c r="N165" t="s">
        <v>57</v>
      </c>
      <c r="Q165">
        <f t="shared" si="24"/>
        <v>18977</v>
      </c>
      <c r="R165" t="str">
        <f t="shared" si="25"/>
        <v>Velodrome</v>
      </c>
      <c r="S165" t="str">
        <f t="shared" si="26"/>
        <v>HollowBrook</v>
      </c>
      <c r="T165" s="20">
        <f t="shared" si="20"/>
        <v>0</v>
      </c>
      <c r="U165">
        <f t="shared" si="21"/>
        <v>815</v>
      </c>
      <c r="V165">
        <f t="shared" si="22"/>
        <v>815</v>
      </c>
      <c r="W165" cm="1">
        <f t="array" ref="W165">_xlfn._xlws.FILTER(shifts!A:A,(shifts!B:B=events!D165)*(shifts!AH:AH&gt;=events!U165)*(shifts!AI:AI&lt;=events!V165))</f>
        <v>5</v>
      </c>
      <c r="X165" t="str">
        <f t="shared" si="23"/>
        <v>opp_team_player_2</v>
      </c>
      <c r="Y165">
        <f>COUNTIFS(A$3:A165,"="&amp;A165,K$3:K165,"="&amp;K165)</f>
        <v>2</v>
      </c>
      <c r="Z165" s="20">
        <f>SUMIFS(T$3:T165,L$3:L165,"=Intermission")+SUMIFS(T$3:T165,L$3:L165,"=Timeout")+SUMIFS(T$3:T165,L$3:L165,"=Clockstop")</f>
        <v>0</v>
      </c>
      <c r="AA165">
        <f t="shared" si="27"/>
        <v>0</v>
      </c>
      <c r="AB165" s="26">
        <f t="shared" si="28"/>
        <v>265</v>
      </c>
      <c r="AC165">
        <f t="shared" si="29"/>
        <v>0</v>
      </c>
    </row>
    <row r="166" spans="1:29" x14ac:dyDescent="0.2">
      <c r="A166">
        <v>88</v>
      </c>
      <c r="B166">
        <v>6</v>
      </c>
      <c r="C166" s="7">
        <v>5</v>
      </c>
      <c r="D166">
        <f t="shared" si="30"/>
        <v>1</v>
      </c>
      <c r="E166">
        <v>13</v>
      </c>
      <c r="F166" s="6" t="s">
        <v>455</v>
      </c>
      <c r="I166" t="s">
        <v>179</v>
      </c>
      <c r="J166">
        <v>99</v>
      </c>
      <c r="K166" t="s">
        <v>488</v>
      </c>
      <c r="L166" t="s">
        <v>17</v>
      </c>
      <c r="M166" t="s">
        <v>196</v>
      </c>
      <c r="N166" t="s">
        <v>97</v>
      </c>
      <c r="Q166">
        <f t="shared" si="24"/>
        <v>18977</v>
      </c>
      <c r="R166" t="str">
        <f t="shared" si="25"/>
        <v>Velodrome</v>
      </c>
      <c r="S166" t="str">
        <f t="shared" si="26"/>
        <v>HollowBrook</v>
      </c>
      <c r="T166" s="20">
        <f t="shared" si="20"/>
        <v>0</v>
      </c>
      <c r="U166">
        <f t="shared" si="21"/>
        <v>815</v>
      </c>
      <c r="V166">
        <f t="shared" si="22"/>
        <v>815</v>
      </c>
      <c r="W166" cm="1">
        <f t="array" ref="W166">_xlfn._xlws.FILTER(shifts!A:A,(shifts!B:B=events!D166)*(shifts!AH:AH&gt;=events!U166)*(shifts!AI:AI&lt;=events!V166))</f>
        <v>5</v>
      </c>
      <c r="X166" t="str">
        <f t="shared" si="23"/>
        <v>event_team_player_1</v>
      </c>
      <c r="Y166">
        <f>COUNTIFS(A$3:A166,"="&amp;A166,K$3:K166,"="&amp;K166)</f>
        <v>1</v>
      </c>
      <c r="Z166" s="20">
        <f>SUMIFS(T$3:T166,L$3:L166,"=Intermission")+SUMIFS(T$3:T166,L$3:L166,"=Timeout")+SUMIFS(T$3:T166,L$3:L166,"=Clockstop")</f>
        <v>0</v>
      </c>
      <c r="AA166">
        <f t="shared" si="27"/>
        <v>0</v>
      </c>
      <c r="AB166" s="26">
        <f t="shared" si="28"/>
        <v>265</v>
      </c>
      <c r="AC166">
        <f t="shared" si="29"/>
        <v>0</v>
      </c>
    </row>
    <row r="167" spans="1:29" x14ac:dyDescent="0.2">
      <c r="A167">
        <v>88</v>
      </c>
      <c r="B167">
        <v>6</v>
      </c>
      <c r="C167" s="7">
        <v>5</v>
      </c>
      <c r="D167">
        <f t="shared" si="30"/>
        <v>1</v>
      </c>
      <c r="E167">
        <v>13</v>
      </c>
      <c r="F167" s="6" t="s">
        <v>455</v>
      </c>
      <c r="I167" t="s">
        <v>179</v>
      </c>
      <c r="J167">
        <v>9</v>
      </c>
      <c r="K167" t="s">
        <v>489</v>
      </c>
      <c r="L167" t="s">
        <v>17</v>
      </c>
      <c r="M167" t="s">
        <v>196</v>
      </c>
      <c r="N167" t="s">
        <v>97</v>
      </c>
      <c r="Q167">
        <f t="shared" si="24"/>
        <v>18977</v>
      </c>
      <c r="R167" t="str">
        <f t="shared" si="25"/>
        <v>Velodrome</v>
      </c>
      <c r="S167" t="str">
        <f t="shared" si="26"/>
        <v>HollowBrook</v>
      </c>
      <c r="T167" s="20">
        <f t="shared" si="20"/>
        <v>0</v>
      </c>
      <c r="U167">
        <f t="shared" si="21"/>
        <v>815</v>
      </c>
      <c r="V167">
        <f t="shared" si="22"/>
        <v>815</v>
      </c>
      <c r="W167" cm="1">
        <f t="array" ref="W167">_xlfn._xlws.FILTER(shifts!A:A,(shifts!B:B=events!D167)*(shifts!AH:AH&gt;=events!U167)*(shifts!AI:AI&lt;=events!V167))</f>
        <v>5</v>
      </c>
      <c r="X167" t="str">
        <f t="shared" si="23"/>
        <v>opp_team_player_1</v>
      </c>
      <c r="Y167">
        <f>COUNTIFS(A$3:A167,"="&amp;A167,K$3:K167,"="&amp;K167)</f>
        <v>1</v>
      </c>
      <c r="Z167" s="20">
        <f>SUMIFS(T$3:T167,L$3:L167,"=Intermission")+SUMIFS(T$3:T167,L$3:L167,"=Timeout")+SUMIFS(T$3:T167,L$3:L167,"=Clockstop")</f>
        <v>0</v>
      </c>
      <c r="AA167">
        <f t="shared" si="27"/>
        <v>0</v>
      </c>
      <c r="AB167" s="26">
        <f t="shared" si="28"/>
        <v>265</v>
      </c>
      <c r="AC167">
        <f t="shared" si="29"/>
        <v>0</v>
      </c>
    </row>
    <row r="168" spans="1:29" x14ac:dyDescent="0.2">
      <c r="A168">
        <v>89</v>
      </c>
      <c r="D168">
        <f t="shared" si="30"/>
        <v>1</v>
      </c>
      <c r="E168">
        <v>13</v>
      </c>
      <c r="F168" s="6" t="s">
        <v>455</v>
      </c>
      <c r="I168" t="s">
        <v>179</v>
      </c>
      <c r="J168">
        <v>99</v>
      </c>
      <c r="K168" t="s">
        <v>488</v>
      </c>
      <c r="L168" t="s">
        <v>270</v>
      </c>
      <c r="M168" t="s">
        <v>272</v>
      </c>
      <c r="Q168">
        <f t="shared" si="24"/>
        <v>18977</v>
      </c>
      <c r="R168" t="str">
        <f t="shared" si="25"/>
        <v>Velodrome</v>
      </c>
      <c r="S168" t="str">
        <f t="shared" si="26"/>
        <v>HollowBrook</v>
      </c>
      <c r="T168" s="20">
        <f t="shared" si="20"/>
        <v>0</v>
      </c>
      <c r="U168">
        <f t="shared" si="21"/>
        <v>815</v>
      </c>
      <c r="V168">
        <f t="shared" si="22"/>
        <v>815</v>
      </c>
      <c r="W168" cm="1">
        <f t="array" ref="W168">_xlfn._xlws.FILTER(shifts!A:A,(shifts!B:B=events!D168)*(shifts!AH:AH&gt;=events!U168)*(shifts!AI:AI&lt;=events!V168))</f>
        <v>5</v>
      </c>
      <c r="X168" t="str">
        <f t="shared" si="23"/>
        <v>event_team_player_1</v>
      </c>
      <c r="Y168">
        <f>COUNTIFS(A$3:A168,"="&amp;A168,K$3:K168,"="&amp;K168)</f>
        <v>1</v>
      </c>
      <c r="Z168" s="20">
        <f>SUMIFS(T$3:T168,L$3:L168,"=Intermission")+SUMIFS(T$3:T168,L$3:L168,"=Timeout")+SUMIFS(T$3:T168,L$3:L168,"=Clockstop")</f>
        <v>0</v>
      </c>
      <c r="AA168">
        <f t="shared" si="27"/>
        <v>0</v>
      </c>
      <c r="AB168" s="26">
        <f t="shared" si="28"/>
        <v>265</v>
      </c>
      <c r="AC168">
        <f t="shared" si="29"/>
        <v>0</v>
      </c>
    </row>
    <row r="169" spans="1:29" x14ac:dyDescent="0.2">
      <c r="A169">
        <v>90</v>
      </c>
      <c r="D169">
        <f t="shared" si="30"/>
        <v>1</v>
      </c>
      <c r="E169">
        <v>13</v>
      </c>
      <c r="F169" s="6" t="s">
        <v>439</v>
      </c>
      <c r="I169" t="s">
        <v>179</v>
      </c>
      <c r="J169">
        <v>27</v>
      </c>
      <c r="K169" t="s">
        <v>488</v>
      </c>
      <c r="L169" t="s">
        <v>13</v>
      </c>
      <c r="M169" t="s">
        <v>204</v>
      </c>
      <c r="N169" t="s">
        <v>107</v>
      </c>
      <c r="Q169">
        <f t="shared" si="24"/>
        <v>18977</v>
      </c>
      <c r="R169" t="str">
        <f t="shared" si="25"/>
        <v>Velodrome</v>
      </c>
      <c r="S169" t="str">
        <f t="shared" si="26"/>
        <v>HollowBrook</v>
      </c>
      <c r="T169" s="20">
        <f t="shared" si="20"/>
        <v>0</v>
      </c>
      <c r="U169">
        <f t="shared" si="21"/>
        <v>814</v>
      </c>
      <c r="V169">
        <f t="shared" si="22"/>
        <v>814</v>
      </c>
      <c r="W169" cm="1">
        <f t="array" ref="W169">_xlfn._xlws.FILTER(shifts!A:A,(shifts!B:B=events!D169)*(shifts!AH:AH&gt;=events!U169)*(shifts!AI:AI&lt;=events!V169))</f>
        <v>5</v>
      </c>
      <c r="X169" t="str">
        <f t="shared" si="23"/>
        <v>event_team_player_1</v>
      </c>
      <c r="Y169">
        <f>COUNTIFS(A$3:A169,"="&amp;A169,K$3:K169,"="&amp;K169)</f>
        <v>1</v>
      </c>
      <c r="Z169" s="20">
        <f>SUMIFS(T$3:T169,L$3:L169,"=Intermission")+SUMIFS(T$3:T169,L$3:L169,"=Timeout")+SUMIFS(T$3:T169,L$3:L169,"=Clockstop")</f>
        <v>0</v>
      </c>
      <c r="AA169">
        <f t="shared" si="27"/>
        <v>0</v>
      </c>
      <c r="AB169" s="26">
        <f t="shared" si="28"/>
        <v>266</v>
      </c>
      <c r="AC169">
        <f t="shared" si="29"/>
        <v>0</v>
      </c>
    </row>
    <row r="170" spans="1:29" x14ac:dyDescent="0.2">
      <c r="A170">
        <v>91</v>
      </c>
      <c r="D170">
        <f t="shared" si="30"/>
        <v>1</v>
      </c>
      <c r="E170">
        <v>13</v>
      </c>
      <c r="F170" s="6" t="s">
        <v>439</v>
      </c>
      <c r="G170">
        <v>13</v>
      </c>
      <c r="H170" s="8" t="s">
        <v>423</v>
      </c>
      <c r="I170" t="s">
        <v>179</v>
      </c>
      <c r="J170">
        <v>27</v>
      </c>
      <c r="K170" t="s">
        <v>488</v>
      </c>
      <c r="L170" t="s">
        <v>282</v>
      </c>
      <c r="Q170">
        <f t="shared" si="24"/>
        <v>18977</v>
      </c>
      <c r="R170" t="str">
        <f t="shared" si="25"/>
        <v>Velodrome</v>
      </c>
      <c r="S170" t="str">
        <f t="shared" si="26"/>
        <v>HollowBrook</v>
      </c>
      <c r="T170" s="20">
        <f t="shared" si="20"/>
        <v>20</v>
      </c>
      <c r="U170">
        <f t="shared" si="21"/>
        <v>814</v>
      </c>
      <c r="V170">
        <f t="shared" si="22"/>
        <v>794</v>
      </c>
      <c r="W170" cm="1">
        <f t="array" ref="W170">_xlfn._xlws.FILTER(shifts!A:A,(shifts!B:B=events!D170)*(shifts!AH:AH&gt;=events!U170)*(shifts!AI:AI&lt;=events!V170))</f>
        <v>5</v>
      </c>
      <c r="X170" t="str">
        <f t="shared" si="23"/>
        <v>event_team_player_1</v>
      </c>
      <c r="Y170">
        <f>COUNTIFS(A$3:A170,"="&amp;A170,K$3:K170,"="&amp;K170)</f>
        <v>1</v>
      </c>
      <c r="Z170" s="20">
        <f>SUMIFS(T$3:T170,L$3:L170,"=Intermission")+SUMIFS(T$3:T170,L$3:L170,"=Timeout")+SUMIFS(T$3:T170,L$3:L170,"=Clockstop")</f>
        <v>0</v>
      </c>
      <c r="AA170">
        <f t="shared" si="27"/>
        <v>0</v>
      </c>
      <c r="AB170" s="26">
        <f t="shared" si="28"/>
        <v>266</v>
      </c>
      <c r="AC170">
        <f t="shared" si="29"/>
        <v>0</v>
      </c>
    </row>
    <row r="171" spans="1:29" x14ac:dyDescent="0.2">
      <c r="A171">
        <v>92</v>
      </c>
      <c r="D171">
        <f t="shared" si="30"/>
        <v>1</v>
      </c>
      <c r="E171">
        <v>13</v>
      </c>
      <c r="F171" s="6" t="s">
        <v>423</v>
      </c>
      <c r="I171" t="s">
        <v>179</v>
      </c>
      <c r="J171">
        <v>11</v>
      </c>
      <c r="K171" t="s">
        <v>488</v>
      </c>
      <c r="L171" t="s">
        <v>6</v>
      </c>
      <c r="M171" t="s">
        <v>275</v>
      </c>
      <c r="Q171">
        <f t="shared" si="24"/>
        <v>18977</v>
      </c>
      <c r="R171" t="str">
        <f t="shared" si="25"/>
        <v>Velodrome</v>
      </c>
      <c r="S171" t="str">
        <f t="shared" si="26"/>
        <v>HollowBrook</v>
      </c>
      <c r="T171" s="20">
        <f t="shared" si="20"/>
        <v>0</v>
      </c>
      <c r="U171">
        <f t="shared" si="21"/>
        <v>794</v>
      </c>
      <c r="V171">
        <f t="shared" si="22"/>
        <v>794</v>
      </c>
      <c r="W171" cm="1">
        <f t="array" ref="W171">_xlfn._xlws.FILTER(shifts!A:A,(shifts!B:B=events!D171)*(shifts!AH:AH&gt;=events!U171)*(shifts!AI:AI&lt;=events!V171))</f>
        <v>5</v>
      </c>
      <c r="X171" t="str">
        <f t="shared" si="23"/>
        <v>event_team_player_1</v>
      </c>
      <c r="Y171">
        <f>COUNTIFS(A$3:A171,"="&amp;A171,K$3:K171,"="&amp;K171)</f>
        <v>1</v>
      </c>
      <c r="Z171" s="20">
        <f>SUMIFS(T$3:T171,L$3:L171,"=Intermission")+SUMIFS(T$3:T171,L$3:L171,"=Timeout")+SUMIFS(T$3:T171,L$3:L171,"=Clockstop")</f>
        <v>0</v>
      </c>
      <c r="AA171">
        <f t="shared" si="27"/>
        <v>0</v>
      </c>
      <c r="AB171" s="26">
        <f t="shared" si="28"/>
        <v>286</v>
      </c>
      <c r="AC171">
        <f t="shared" si="29"/>
        <v>0</v>
      </c>
    </row>
    <row r="172" spans="1:29" x14ac:dyDescent="0.2">
      <c r="A172">
        <v>92</v>
      </c>
      <c r="D172">
        <f t="shared" si="30"/>
        <v>1</v>
      </c>
      <c r="E172">
        <v>13</v>
      </c>
      <c r="F172" s="6" t="s">
        <v>423</v>
      </c>
      <c r="I172" t="s">
        <v>179</v>
      </c>
      <c r="J172">
        <v>70</v>
      </c>
      <c r="K172" t="s">
        <v>489</v>
      </c>
      <c r="L172" t="s">
        <v>6</v>
      </c>
      <c r="M172" t="s">
        <v>275</v>
      </c>
      <c r="Q172">
        <f t="shared" si="24"/>
        <v>18977</v>
      </c>
      <c r="R172" t="str">
        <f t="shared" si="25"/>
        <v>Velodrome</v>
      </c>
      <c r="S172" t="str">
        <f t="shared" si="26"/>
        <v>HollowBrook</v>
      </c>
      <c r="T172" s="20">
        <f t="shared" si="20"/>
        <v>0</v>
      </c>
      <c r="U172">
        <f t="shared" si="21"/>
        <v>794</v>
      </c>
      <c r="V172">
        <f t="shared" si="22"/>
        <v>794</v>
      </c>
      <c r="W172" cm="1">
        <f t="array" ref="W172">_xlfn._xlws.FILTER(shifts!A:A,(shifts!B:B=events!D172)*(shifts!AH:AH&gt;=events!U172)*(shifts!AI:AI&lt;=events!V172))</f>
        <v>5</v>
      </c>
      <c r="X172" t="str">
        <f t="shared" si="23"/>
        <v>opp_team_player_1</v>
      </c>
      <c r="Y172">
        <f>COUNTIFS(A$3:A172,"="&amp;A172,K$3:K172,"="&amp;K172)</f>
        <v>1</v>
      </c>
      <c r="Z172" s="20">
        <f>SUMIFS(T$3:T172,L$3:L172,"=Intermission")+SUMIFS(T$3:T172,L$3:L172,"=Timeout")+SUMIFS(T$3:T172,L$3:L172,"=Clockstop")</f>
        <v>0</v>
      </c>
      <c r="AA172">
        <f t="shared" si="27"/>
        <v>0</v>
      </c>
      <c r="AB172" s="26">
        <f t="shared" si="28"/>
        <v>286</v>
      </c>
      <c r="AC172">
        <f t="shared" si="29"/>
        <v>0</v>
      </c>
    </row>
    <row r="173" spans="1:29" x14ac:dyDescent="0.2">
      <c r="A173">
        <v>93</v>
      </c>
      <c r="B173">
        <v>7</v>
      </c>
      <c r="D173">
        <f t="shared" si="30"/>
        <v>1</v>
      </c>
      <c r="E173">
        <v>13</v>
      </c>
      <c r="F173" s="6" t="s">
        <v>315</v>
      </c>
      <c r="I173" t="s">
        <v>179</v>
      </c>
      <c r="J173">
        <v>40</v>
      </c>
      <c r="K173" t="s">
        <v>488</v>
      </c>
      <c r="L173" t="s">
        <v>10</v>
      </c>
      <c r="M173" t="s">
        <v>190</v>
      </c>
      <c r="N173" t="s">
        <v>77</v>
      </c>
      <c r="Q173">
        <f t="shared" si="24"/>
        <v>18977</v>
      </c>
      <c r="R173" t="str">
        <f t="shared" si="25"/>
        <v>Velodrome</v>
      </c>
      <c r="S173" t="str">
        <f t="shared" si="26"/>
        <v>HollowBrook</v>
      </c>
      <c r="T173" s="20">
        <f t="shared" si="20"/>
        <v>0</v>
      </c>
      <c r="U173">
        <f t="shared" si="21"/>
        <v>785</v>
      </c>
      <c r="V173">
        <f t="shared" si="22"/>
        <v>785</v>
      </c>
      <c r="W173" cm="1">
        <f t="array" ref="W173">_xlfn._xlws.FILTER(shifts!A:A,(shifts!B:B=events!D173)*(shifts!AH:AH&gt;=events!U173)*(shifts!AI:AI&lt;=events!V173))</f>
        <v>5</v>
      </c>
      <c r="X173" t="str">
        <f t="shared" si="23"/>
        <v>event_team_player_1</v>
      </c>
      <c r="Y173">
        <f>COUNTIFS(A$3:A173,"="&amp;A173,K$3:K173,"="&amp;K173)</f>
        <v>1</v>
      </c>
      <c r="Z173" s="20">
        <f>SUMIFS(T$3:T173,L$3:L173,"=Intermission")+SUMIFS(T$3:T173,L$3:L173,"=Timeout")+SUMIFS(T$3:T173,L$3:L173,"=Clockstop")</f>
        <v>0</v>
      </c>
      <c r="AA173">
        <f t="shared" si="27"/>
        <v>0</v>
      </c>
      <c r="AB173" s="26">
        <f t="shared" si="28"/>
        <v>295</v>
      </c>
      <c r="AC173">
        <f t="shared" si="29"/>
        <v>0</v>
      </c>
    </row>
    <row r="174" spans="1:29" x14ac:dyDescent="0.2">
      <c r="A174">
        <v>93</v>
      </c>
      <c r="B174">
        <v>7</v>
      </c>
      <c r="D174">
        <f t="shared" si="30"/>
        <v>1</v>
      </c>
      <c r="E174">
        <v>13</v>
      </c>
      <c r="F174" s="6" t="s">
        <v>315</v>
      </c>
      <c r="I174" t="s">
        <v>179</v>
      </c>
      <c r="J174">
        <v>11</v>
      </c>
      <c r="K174" t="s">
        <v>488</v>
      </c>
      <c r="L174" t="s">
        <v>10</v>
      </c>
      <c r="M174" t="s">
        <v>190</v>
      </c>
      <c r="N174" t="s">
        <v>77</v>
      </c>
      <c r="Q174">
        <f t="shared" si="24"/>
        <v>18977</v>
      </c>
      <c r="R174" t="str">
        <f t="shared" si="25"/>
        <v>Velodrome</v>
      </c>
      <c r="S174" t="str">
        <f t="shared" si="26"/>
        <v>HollowBrook</v>
      </c>
      <c r="T174" s="20">
        <f t="shared" si="20"/>
        <v>0</v>
      </c>
      <c r="U174">
        <f t="shared" si="21"/>
        <v>785</v>
      </c>
      <c r="V174">
        <f t="shared" si="22"/>
        <v>785</v>
      </c>
      <c r="W174" cm="1">
        <f t="array" ref="W174">_xlfn._xlws.FILTER(shifts!A:A,(shifts!B:B=events!D174)*(shifts!AH:AH&gt;=events!U174)*(shifts!AI:AI&lt;=events!V174))</f>
        <v>5</v>
      </c>
      <c r="X174" t="str">
        <f t="shared" si="23"/>
        <v>event_team_player_2</v>
      </c>
      <c r="Y174">
        <f>COUNTIFS(A$3:A174,"="&amp;A174,K$3:K174,"="&amp;K174)</f>
        <v>2</v>
      </c>
      <c r="Z174" s="20">
        <f>SUMIFS(T$3:T174,L$3:L174,"=Intermission")+SUMIFS(T$3:T174,L$3:L174,"=Timeout")+SUMIFS(T$3:T174,L$3:L174,"=Clockstop")</f>
        <v>0</v>
      </c>
      <c r="AA174">
        <f t="shared" si="27"/>
        <v>0</v>
      </c>
      <c r="AB174" s="26">
        <f t="shared" si="28"/>
        <v>295</v>
      </c>
      <c r="AC174">
        <f t="shared" si="29"/>
        <v>0</v>
      </c>
    </row>
    <row r="175" spans="1:29" x14ac:dyDescent="0.2">
      <c r="A175">
        <v>93</v>
      </c>
      <c r="B175">
        <v>7</v>
      </c>
      <c r="D175">
        <f t="shared" si="30"/>
        <v>1</v>
      </c>
      <c r="E175">
        <v>13</v>
      </c>
      <c r="F175" s="6" t="s">
        <v>315</v>
      </c>
      <c r="I175" t="s">
        <v>179</v>
      </c>
      <c r="J175">
        <v>14</v>
      </c>
      <c r="K175" t="s">
        <v>489</v>
      </c>
      <c r="L175" t="s">
        <v>10</v>
      </c>
      <c r="M175" t="s">
        <v>190</v>
      </c>
      <c r="N175" t="s">
        <v>77</v>
      </c>
      <c r="Q175">
        <f t="shared" si="24"/>
        <v>18977</v>
      </c>
      <c r="R175" t="str">
        <f t="shared" si="25"/>
        <v>Velodrome</v>
      </c>
      <c r="S175" t="str">
        <f t="shared" si="26"/>
        <v>HollowBrook</v>
      </c>
      <c r="T175" s="20">
        <f t="shared" si="20"/>
        <v>0</v>
      </c>
      <c r="U175">
        <f t="shared" si="21"/>
        <v>785</v>
      </c>
      <c r="V175">
        <f t="shared" si="22"/>
        <v>785</v>
      </c>
      <c r="W175" cm="1">
        <f t="array" ref="W175">_xlfn._xlws.FILTER(shifts!A:A,(shifts!B:B=events!D175)*(shifts!AH:AH&gt;=events!U175)*(shifts!AI:AI&lt;=events!V175))</f>
        <v>5</v>
      </c>
      <c r="X175" t="str">
        <f t="shared" si="23"/>
        <v>opp_team_player_1</v>
      </c>
      <c r="Y175">
        <f>COUNTIFS(A$3:A175,"="&amp;A175,K$3:K175,"="&amp;K175)</f>
        <v>1</v>
      </c>
      <c r="Z175" s="20">
        <f>SUMIFS(T$3:T175,L$3:L175,"=Intermission")+SUMIFS(T$3:T175,L$3:L175,"=Timeout")+SUMIFS(T$3:T175,L$3:L175,"=Clockstop")</f>
        <v>0</v>
      </c>
      <c r="AA175">
        <f t="shared" si="27"/>
        <v>0</v>
      </c>
      <c r="AB175" s="26">
        <f t="shared" si="28"/>
        <v>295</v>
      </c>
      <c r="AC175">
        <f t="shared" si="29"/>
        <v>0</v>
      </c>
    </row>
    <row r="176" spans="1:29" x14ac:dyDescent="0.2">
      <c r="A176">
        <v>94</v>
      </c>
      <c r="B176">
        <v>7</v>
      </c>
      <c r="D176">
        <f t="shared" si="30"/>
        <v>1</v>
      </c>
      <c r="E176">
        <v>13</v>
      </c>
      <c r="F176" s="6" t="s">
        <v>310</v>
      </c>
      <c r="G176">
        <v>13</v>
      </c>
      <c r="H176" s="8" t="s">
        <v>316</v>
      </c>
      <c r="I176" t="s">
        <v>179</v>
      </c>
      <c r="J176">
        <v>27</v>
      </c>
      <c r="K176" t="s">
        <v>488</v>
      </c>
      <c r="L176" t="s">
        <v>15</v>
      </c>
      <c r="Q176">
        <f t="shared" si="24"/>
        <v>18977</v>
      </c>
      <c r="R176" t="str">
        <f t="shared" si="25"/>
        <v>Velodrome</v>
      </c>
      <c r="S176" t="str">
        <f t="shared" si="26"/>
        <v>HollowBrook</v>
      </c>
      <c r="T176" s="20">
        <f t="shared" si="20"/>
        <v>2</v>
      </c>
      <c r="U176">
        <f t="shared" si="21"/>
        <v>784</v>
      </c>
      <c r="V176">
        <f t="shared" si="22"/>
        <v>782</v>
      </c>
      <c r="W176" cm="1">
        <f t="array" ref="W176">_xlfn._xlws.FILTER(shifts!A:A,(shifts!B:B=events!D176)*(shifts!AH:AH&gt;=events!U176)*(shifts!AI:AI&lt;=events!V176))</f>
        <v>5</v>
      </c>
      <c r="X176" t="str">
        <f t="shared" si="23"/>
        <v>event_team_player_1</v>
      </c>
      <c r="Y176">
        <f>COUNTIFS(A$3:A176,"="&amp;A176,K$3:K176,"="&amp;K176)</f>
        <v>1</v>
      </c>
      <c r="Z176" s="20">
        <f>SUMIFS(T$3:T176,L$3:L176,"=Intermission")+SUMIFS(T$3:T176,L$3:L176,"=Timeout")+SUMIFS(T$3:T176,L$3:L176,"=Clockstop")</f>
        <v>0</v>
      </c>
      <c r="AA176">
        <f t="shared" si="27"/>
        <v>0</v>
      </c>
      <c r="AB176" s="26">
        <f t="shared" si="28"/>
        <v>296</v>
      </c>
      <c r="AC176">
        <f t="shared" si="29"/>
        <v>0</v>
      </c>
    </row>
    <row r="177" spans="1:29" x14ac:dyDescent="0.2">
      <c r="A177">
        <v>95</v>
      </c>
      <c r="B177">
        <v>7</v>
      </c>
      <c r="D177">
        <f t="shared" si="30"/>
        <v>1</v>
      </c>
      <c r="E177">
        <v>13</v>
      </c>
      <c r="F177" s="6" t="s">
        <v>316</v>
      </c>
      <c r="I177" t="s">
        <v>179</v>
      </c>
      <c r="J177">
        <v>27</v>
      </c>
      <c r="K177" t="s">
        <v>488</v>
      </c>
      <c r="L177" t="s">
        <v>8</v>
      </c>
      <c r="M177" t="s">
        <v>189</v>
      </c>
      <c r="N177" t="s">
        <v>69</v>
      </c>
      <c r="Q177">
        <f t="shared" si="24"/>
        <v>18977</v>
      </c>
      <c r="R177" t="str">
        <f t="shared" si="25"/>
        <v>Velodrome</v>
      </c>
      <c r="S177" t="str">
        <f t="shared" si="26"/>
        <v>HollowBrook</v>
      </c>
      <c r="T177" s="20">
        <f t="shared" si="20"/>
        <v>0</v>
      </c>
      <c r="U177">
        <f t="shared" si="21"/>
        <v>782</v>
      </c>
      <c r="V177">
        <f t="shared" si="22"/>
        <v>782</v>
      </c>
      <c r="W177" cm="1">
        <f t="array" ref="W177">_xlfn._xlws.FILTER(shifts!A:A,(shifts!B:B=events!D177)*(shifts!AH:AH&gt;=events!U177)*(shifts!AI:AI&lt;=events!V177))</f>
        <v>5</v>
      </c>
      <c r="X177" t="str">
        <f t="shared" si="23"/>
        <v>event_team_player_1</v>
      </c>
      <c r="Y177">
        <f>COUNTIFS(A$3:A177,"="&amp;A177,K$3:K177,"="&amp;K177)</f>
        <v>1</v>
      </c>
      <c r="Z177" s="20">
        <f>SUMIFS(T$3:T177,L$3:L177,"=Intermission")+SUMIFS(T$3:T177,L$3:L177,"=Timeout")+SUMIFS(T$3:T177,L$3:L177,"=Clockstop")</f>
        <v>0</v>
      </c>
      <c r="AA177">
        <f t="shared" si="27"/>
        <v>0</v>
      </c>
      <c r="AB177" s="26">
        <f t="shared" si="28"/>
        <v>298</v>
      </c>
      <c r="AC177">
        <f t="shared" si="29"/>
        <v>0</v>
      </c>
    </row>
    <row r="178" spans="1:29" x14ac:dyDescent="0.2">
      <c r="A178">
        <v>95</v>
      </c>
      <c r="B178">
        <v>7</v>
      </c>
      <c r="D178">
        <f t="shared" si="30"/>
        <v>1</v>
      </c>
      <c r="E178">
        <v>13</v>
      </c>
      <c r="F178" s="6" t="s">
        <v>316</v>
      </c>
      <c r="I178" t="s">
        <v>179</v>
      </c>
      <c r="J178">
        <v>19</v>
      </c>
      <c r="K178" t="s">
        <v>488</v>
      </c>
      <c r="L178" t="s">
        <v>8</v>
      </c>
      <c r="M178" t="s">
        <v>189</v>
      </c>
      <c r="N178" t="s">
        <v>69</v>
      </c>
      <c r="Q178">
        <f t="shared" si="24"/>
        <v>18977</v>
      </c>
      <c r="R178" t="str">
        <f t="shared" si="25"/>
        <v>Velodrome</v>
      </c>
      <c r="S178" t="str">
        <f t="shared" si="26"/>
        <v>HollowBrook</v>
      </c>
      <c r="T178" s="20">
        <f t="shared" si="20"/>
        <v>0</v>
      </c>
      <c r="U178">
        <f t="shared" si="21"/>
        <v>782</v>
      </c>
      <c r="V178">
        <f t="shared" si="22"/>
        <v>782</v>
      </c>
      <c r="W178" cm="1">
        <f t="array" ref="W178">_xlfn._xlws.FILTER(shifts!A:A,(shifts!B:B=events!D178)*(shifts!AH:AH&gt;=events!U178)*(shifts!AI:AI&lt;=events!V178))</f>
        <v>5</v>
      </c>
      <c r="X178" t="str">
        <f t="shared" si="23"/>
        <v>event_team_player_2</v>
      </c>
      <c r="Y178">
        <f>COUNTIFS(A$3:A178,"="&amp;A178,K$3:K178,"="&amp;K178)</f>
        <v>2</v>
      </c>
      <c r="Z178" s="20">
        <f>SUMIFS(T$3:T178,L$3:L178,"=Intermission")+SUMIFS(T$3:T178,L$3:L178,"=Timeout")+SUMIFS(T$3:T178,L$3:L178,"=Clockstop")</f>
        <v>0</v>
      </c>
      <c r="AA178">
        <f t="shared" si="27"/>
        <v>0</v>
      </c>
      <c r="AB178" s="26">
        <f t="shared" si="28"/>
        <v>298</v>
      </c>
      <c r="AC178">
        <f t="shared" si="29"/>
        <v>0</v>
      </c>
    </row>
    <row r="179" spans="1:29" x14ac:dyDescent="0.2">
      <c r="A179">
        <v>95</v>
      </c>
      <c r="B179">
        <v>7</v>
      </c>
      <c r="D179">
        <f t="shared" si="30"/>
        <v>1</v>
      </c>
      <c r="E179">
        <v>13</v>
      </c>
      <c r="F179" s="6" t="s">
        <v>316</v>
      </c>
      <c r="I179" t="s">
        <v>179</v>
      </c>
      <c r="J179">
        <v>61</v>
      </c>
      <c r="K179" t="s">
        <v>489</v>
      </c>
      <c r="L179" t="s">
        <v>8</v>
      </c>
      <c r="M179" t="s">
        <v>189</v>
      </c>
      <c r="N179" t="s">
        <v>69</v>
      </c>
      <c r="Q179">
        <f t="shared" si="24"/>
        <v>18977</v>
      </c>
      <c r="R179" t="str">
        <f t="shared" si="25"/>
        <v>Velodrome</v>
      </c>
      <c r="S179" t="str">
        <f t="shared" si="26"/>
        <v>HollowBrook</v>
      </c>
      <c r="T179" s="20">
        <f t="shared" si="20"/>
        <v>0</v>
      </c>
      <c r="U179">
        <f t="shared" si="21"/>
        <v>782</v>
      </c>
      <c r="V179">
        <f t="shared" si="22"/>
        <v>782</v>
      </c>
      <c r="W179" cm="1">
        <f t="array" ref="W179">_xlfn._xlws.FILTER(shifts!A:A,(shifts!B:B=events!D179)*(shifts!AH:AH&gt;=events!U179)*(shifts!AI:AI&lt;=events!V179))</f>
        <v>5</v>
      </c>
      <c r="X179" t="str">
        <f t="shared" si="23"/>
        <v>opp_team_player_1</v>
      </c>
      <c r="Y179">
        <f>COUNTIFS(A$3:A179,"="&amp;A179,K$3:K179,"="&amp;K179)</f>
        <v>1</v>
      </c>
      <c r="Z179" s="20">
        <f>SUMIFS(T$3:T179,L$3:L179,"=Intermission")+SUMIFS(T$3:T179,L$3:L179,"=Timeout")+SUMIFS(T$3:T179,L$3:L179,"=Clockstop")</f>
        <v>0</v>
      </c>
      <c r="AA179">
        <f t="shared" si="27"/>
        <v>0</v>
      </c>
      <c r="AB179" s="26">
        <f t="shared" si="28"/>
        <v>298</v>
      </c>
      <c r="AC179">
        <f t="shared" si="29"/>
        <v>0</v>
      </c>
    </row>
    <row r="180" spans="1:29" x14ac:dyDescent="0.2">
      <c r="A180">
        <v>96</v>
      </c>
      <c r="B180">
        <v>7</v>
      </c>
      <c r="D180">
        <f t="shared" si="30"/>
        <v>1</v>
      </c>
      <c r="E180">
        <v>13</v>
      </c>
      <c r="F180" s="6" t="s">
        <v>426</v>
      </c>
      <c r="G180">
        <v>12</v>
      </c>
      <c r="H180" s="8" t="s">
        <v>433</v>
      </c>
      <c r="I180" t="s">
        <v>179</v>
      </c>
      <c r="J180">
        <v>19</v>
      </c>
      <c r="K180" t="s">
        <v>488</v>
      </c>
      <c r="L180" t="s">
        <v>15</v>
      </c>
      <c r="Q180">
        <f t="shared" si="24"/>
        <v>18977</v>
      </c>
      <c r="R180" t="str">
        <f t="shared" si="25"/>
        <v>Velodrome</v>
      </c>
      <c r="S180" t="str">
        <f t="shared" si="26"/>
        <v>HollowBrook</v>
      </c>
      <c r="T180" s="20">
        <f t="shared" si="20"/>
        <v>3</v>
      </c>
      <c r="U180">
        <f t="shared" si="21"/>
        <v>780</v>
      </c>
      <c r="V180">
        <f t="shared" si="22"/>
        <v>777</v>
      </c>
      <c r="W180" cm="1">
        <f t="array" ref="W180">_xlfn._xlws.FILTER(shifts!A:A,(shifts!B:B=events!D180)*(shifts!AH:AH&gt;=events!U180)*(shifts!AI:AI&lt;=events!V180))</f>
        <v>5</v>
      </c>
      <c r="X180" t="str">
        <f t="shared" si="23"/>
        <v>event_team_player_1</v>
      </c>
      <c r="Y180">
        <f>COUNTIFS(A$3:A180,"="&amp;A180,K$3:K180,"="&amp;K180)</f>
        <v>1</v>
      </c>
      <c r="Z180" s="20">
        <f>SUMIFS(T$3:T180,L$3:L180,"=Intermission")+SUMIFS(T$3:T180,L$3:L180,"=Timeout")+SUMIFS(T$3:T180,L$3:L180,"=Clockstop")</f>
        <v>0</v>
      </c>
      <c r="AA180">
        <f t="shared" si="27"/>
        <v>0</v>
      </c>
      <c r="AB180" s="26">
        <f t="shared" si="28"/>
        <v>300</v>
      </c>
      <c r="AC180">
        <f t="shared" si="29"/>
        <v>0</v>
      </c>
    </row>
    <row r="181" spans="1:29" x14ac:dyDescent="0.2">
      <c r="A181">
        <v>96</v>
      </c>
      <c r="B181">
        <v>7</v>
      </c>
      <c r="D181">
        <f t="shared" si="30"/>
        <v>1</v>
      </c>
      <c r="E181">
        <v>13</v>
      </c>
      <c r="F181" s="6" t="s">
        <v>426</v>
      </c>
      <c r="G181">
        <v>12</v>
      </c>
      <c r="H181" s="8" t="s">
        <v>433</v>
      </c>
      <c r="I181" t="s">
        <v>179</v>
      </c>
      <c r="J181">
        <v>70</v>
      </c>
      <c r="K181" t="s">
        <v>489</v>
      </c>
      <c r="L181" t="s">
        <v>15</v>
      </c>
      <c r="Q181">
        <f t="shared" si="24"/>
        <v>18977</v>
      </c>
      <c r="R181" t="str">
        <f t="shared" si="25"/>
        <v>Velodrome</v>
      </c>
      <c r="S181" t="str">
        <f t="shared" si="26"/>
        <v>HollowBrook</v>
      </c>
      <c r="T181" s="20">
        <f t="shared" si="20"/>
        <v>3</v>
      </c>
      <c r="U181">
        <f t="shared" si="21"/>
        <v>780</v>
      </c>
      <c r="V181">
        <f t="shared" si="22"/>
        <v>777</v>
      </c>
      <c r="W181" cm="1">
        <f t="array" ref="W181">_xlfn._xlws.FILTER(shifts!A:A,(shifts!B:B=events!D181)*(shifts!AH:AH&gt;=events!U181)*(shifts!AI:AI&lt;=events!V181))</f>
        <v>5</v>
      </c>
      <c r="X181" t="str">
        <f t="shared" si="23"/>
        <v>opp_team_player_1</v>
      </c>
      <c r="Y181">
        <f>COUNTIFS(A$3:A181,"="&amp;A181,K$3:K181,"="&amp;K181)</f>
        <v>1</v>
      </c>
      <c r="Z181" s="20">
        <f>SUMIFS(T$3:T181,L$3:L181,"=Intermission")+SUMIFS(T$3:T181,L$3:L181,"=Timeout")+SUMIFS(T$3:T181,L$3:L181,"=Clockstop")</f>
        <v>0</v>
      </c>
      <c r="AA181">
        <f t="shared" si="27"/>
        <v>0</v>
      </c>
      <c r="AB181" s="26">
        <f t="shared" si="28"/>
        <v>300</v>
      </c>
      <c r="AC181">
        <f t="shared" si="29"/>
        <v>0</v>
      </c>
    </row>
    <row r="182" spans="1:29" x14ac:dyDescent="0.2">
      <c r="A182">
        <v>97</v>
      </c>
      <c r="D182">
        <f t="shared" si="30"/>
        <v>1</v>
      </c>
      <c r="E182">
        <v>12</v>
      </c>
      <c r="F182" s="6" t="s">
        <v>433</v>
      </c>
      <c r="I182" t="s">
        <v>179</v>
      </c>
      <c r="J182">
        <v>19</v>
      </c>
      <c r="K182" t="s">
        <v>488</v>
      </c>
      <c r="L182" t="s">
        <v>10</v>
      </c>
      <c r="M182" t="s">
        <v>190</v>
      </c>
      <c r="N182" t="s">
        <v>77</v>
      </c>
      <c r="Q182">
        <f t="shared" si="24"/>
        <v>18977</v>
      </c>
      <c r="R182" t="str">
        <f t="shared" si="25"/>
        <v>Velodrome</v>
      </c>
      <c r="S182" t="str">
        <f t="shared" si="26"/>
        <v>HollowBrook</v>
      </c>
      <c r="T182" s="20">
        <f t="shared" si="20"/>
        <v>0</v>
      </c>
      <c r="U182">
        <f t="shared" si="21"/>
        <v>777</v>
      </c>
      <c r="V182">
        <f t="shared" si="22"/>
        <v>777</v>
      </c>
      <c r="W182" cm="1">
        <f t="array" ref="W182">_xlfn._xlws.FILTER(shifts!A:A,(shifts!B:B=events!D182)*(shifts!AH:AH&gt;=events!U182)*(shifts!AI:AI&lt;=events!V182))</f>
        <v>5</v>
      </c>
      <c r="X182" t="str">
        <f t="shared" si="23"/>
        <v>event_team_player_1</v>
      </c>
      <c r="Y182">
        <f>COUNTIFS(A$3:A182,"="&amp;A182,K$3:K182,"="&amp;K182)</f>
        <v>1</v>
      </c>
      <c r="Z182" s="20">
        <f>SUMIFS(T$3:T182,L$3:L182,"=Intermission")+SUMIFS(T$3:T182,L$3:L182,"=Timeout")+SUMIFS(T$3:T182,L$3:L182,"=Clockstop")</f>
        <v>0</v>
      </c>
      <c r="AA182">
        <f t="shared" si="27"/>
        <v>0</v>
      </c>
      <c r="AB182" s="26">
        <f t="shared" si="28"/>
        <v>303</v>
      </c>
      <c r="AC182">
        <f t="shared" si="29"/>
        <v>0</v>
      </c>
    </row>
    <row r="183" spans="1:29" x14ac:dyDescent="0.2">
      <c r="A183">
        <v>97</v>
      </c>
      <c r="D183">
        <f t="shared" si="30"/>
        <v>1</v>
      </c>
      <c r="E183">
        <v>12</v>
      </c>
      <c r="F183" s="6" t="s">
        <v>433</v>
      </c>
      <c r="I183" t="s">
        <v>179</v>
      </c>
      <c r="J183">
        <v>70</v>
      </c>
      <c r="K183" t="s">
        <v>489</v>
      </c>
      <c r="L183" t="s">
        <v>10</v>
      </c>
      <c r="M183" t="s">
        <v>190</v>
      </c>
      <c r="N183" t="s">
        <v>77</v>
      </c>
      <c r="Q183">
        <f t="shared" si="24"/>
        <v>18977</v>
      </c>
      <c r="R183" t="str">
        <f t="shared" si="25"/>
        <v>Velodrome</v>
      </c>
      <c r="S183" t="str">
        <f t="shared" si="26"/>
        <v>HollowBrook</v>
      </c>
      <c r="T183" s="20">
        <f t="shared" si="20"/>
        <v>0</v>
      </c>
      <c r="U183">
        <f t="shared" si="21"/>
        <v>777</v>
      </c>
      <c r="V183">
        <f t="shared" si="22"/>
        <v>777</v>
      </c>
      <c r="W183" cm="1">
        <f t="array" ref="W183">_xlfn._xlws.FILTER(shifts!A:A,(shifts!B:B=events!D183)*(shifts!AH:AH&gt;=events!U183)*(shifts!AI:AI&lt;=events!V183))</f>
        <v>5</v>
      </c>
      <c r="X183" t="str">
        <f t="shared" si="23"/>
        <v>opp_team_player_1</v>
      </c>
      <c r="Y183">
        <f>COUNTIFS(A$3:A183,"="&amp;A183,K$3:K183,"="&amp;K183)</f>
        <v>1</v>
      </c>
      <c r="Z183" s="20">
        <f>SUMIFS(T$3:T183,L$3:L183,"=Intermission")+SUMIFS(T$3:T183,L$3:L183,"=Timeout")+SUMIFS(T$3:T183,L$3:L183,"=Clockstop")</f>
        <v>0</v>
      </c>
      <c r="AA183">
        <f t="shared" si="27"/>
        <v>0</v>
      </c>
      <c r="AB183" s="26">
        <f t="shared" si="28"/>
        <v>303</v>
      </c>
      <c r="AC183">
        <f t="shared" si="29"/>
        <v>0</v>
      </c>
    </row>
    <row r="184" spans="1:29" x14ac:dyDescent="0.2">
      <c r="A184">
        <v>98</v>
      </c>
      <c r="D184">
        <f t="shared" si="30"/>
        <v>1</v>
      </c>
      <c r="E184">
        <v>12</v>
      </c>
      <c r="F184" s="6" t="s">
        <v>428</v>
      </c>
      <c r="G184">
        <v>12</v>
      </c>
      <c r="H184" s="8" t="s">
        <v>432</v>
      </c>
      <c r="I184" t="s">
        <v>178</v>
      </c>
      <c r="J184">
        <v>70</v>
      </c>
      <c r="K184" t="s">
        <v>488</v>
      </c>
      <c r="L184" t="s">
        <v>15</v>
      </c>
      <c r="Q184">
        <f t="shared" si="24"/>
        <v>18977</v>
      </c>
      <c r="R184" t="str">
        <f t="shared" si="25"/>
        <v>Velodrome</v>
      </c>
      <c r="S184" t="str">
        <f t="shared" si="26"/>
        <v>HollowBrook</v>
      </c>
      <c r="T184" s="20">
        <f t="shared" si="20"/>
        <v>2</v>
      </c>
      <c r="U184">
        <f t="shared" si="21"/>
        <v>772</v>
      </c>
      <c r="V184">
        <f t="shared" si="22"/>
        <v>770</v>
      </c>
      <c r="W184" cm="1">
        <f t="array" ref="W184">_xlfn._xlws.FILTER(shifts!A:A,(shifts!B:B=events!D184)*(shifts!AH:AH&gt;=events!U184)*(shifts!AI:AI&lt;=events!V184))</f>
        <v>5</v>
      </c>
      <c r="X184" t="str">
        <f t="shared" si="23"/>
        <v>event_team_player_1</v>
      </c>
      <c r="Y184">
        <f>COUNTIFS(A$3:A184,"="&amp;A184,K$3:K184,"="&amp;K184)</f>
        <v>1</v>
      </c>
      <c r="Z184" s="20">
        <f>SUMIFS(T$3:T184,L$3:L184,"=Intermission")+SUMIFS(T$3:T184,L$3:L184,"=Timeout")+SUMIFS(T$3:T184,L$3:L184,"=Clockstop")</f>
        <v>0</v>
      </c>
      <c r="AA184">
        <f t="shared" si="27"/>
        <v>0</v>
      </c>
      <c r="AB184" s="26">
        <f t="shared" si="28"/>
        <v>308</v>
      </c>
      <c r="AC184">
        <f t="shared" si="29"/>
        <v>0</v>
      </c>
    </row>
    <row r="185" spans="1:29" x14ac:dyDescent="0.2">
      <c r="A185">
        <v>99</v>
      </c>
      <c r="D185">
        <f t="shared" si="30"/>
        <v>1</v>
      </c>
      <c r="E185">
        <v>12</v>
      </c>
      <c r="F185" s="6" t="s">
        <v>432</v>
      </c>
      <c r="I185" t="s">
        <v>178</v>
      </c>
      <c r="J185">
        <v>70</v>
      </c>
      <c r="K185" t="s">
        <v>488</v>
      </c>
      <c r="L185" t="s">
        <v>10</v>
      </c>
      <c r="M185" t="s">
        <v>190</v>
      </c>
      <c r="N185" t="s">
        <v>77</v>
      </c>
      <c r="Q185">
        <f t="shared" si="24"/>
        <v>18977</v>
      </c>
      <c r="R185" t="str">
        <f t="shared" si="25"/>
        <v>Velodrome</v>
      </c>
      <c r="S185" t="str">
        <f t="shared" si="26"/>
        <v>HollowBrook</v>
      </c>
      <c r="T185" s="20">
        <f t="shared" si="20"/>
        <v>0</v>
      </c>
      <c r="U185">
        <f t="shared" si="21"/>
        <v>770</v>
      </c>
      <c r="V185">
        <f t="shared" si="22"/>
        <v>770</v>
      </c>
      <c r="W185" cm="1">
        <f t="array" ref="W185">_xlfn._xlws.FILTER(shifts!A:A,(shifts!B:B=events!D185)*(shifts!AH:AH&gt;=events!U185)*(shifts!AI:AI&lt;=events!V185))</f>
        <v>5</v>
      </c>
      <c r="X185" t="str">
        <f t="shared" si="23"/>
        <v>event_team_player_1</v>
      </c>
      <c r="Y185">
        <f>COUNTIFS(A$3:A185,"="&amp;A185,K$3:K185,"="&amp;K185)</f>
        <v>1</v>
      </c>
      <c r="Z185" s="20">
        <f>SUMIFS(T$3:T185,L$3:L185,"=Intermission")+SUMIFS(T$3:T185,L$3:L185,"=Timeout")+SUMIFS(T$3:T185,L$3:L185,"=Clockstop")</f>
        <v>0</v>
      </c>
      <c r="AA185">
        <f t="shared" si="27"/>
        <v>0</v>
      </c>
      <c r="AB185" s="26">
        <f t="shared" si="28"/>
        <v>310</v>
      </c>
      <c r="AC185">
        <f t="shared" si="29"/>
        <v>0</v>
      </c>
    </row>
    <row r="186" spans="1:29" x14ac:dyDescent="0.2">
      <c r="A186">
        <v>99</v>
      </c>
      <c r="D186">
        <f t="shared" si="30"/>
        <v>1</v>
      </c>
      <c r="E186">
        <v>12</v>
      </c>
      <c r="F186" s="6" t="s">
        <v>432</v>
      </c>
      <c r="I186" t="s">
        <v>178</v>
      </c>
      <c r="J186">
        <v>99</v>
      </c>
      <c r="K186" t="s">
        <v>489</v>
      </c>
      <c r="L186" t="s">
        <v>10</v>
      </c>
      <c r="M186" t="s">
        <v>190</v>
      </c>
      <c r="N186" t="s">
        <v>77</v>
      </c>
      <c r="Q186">
        <f t="shared" si="24"/>
        <v>18977</v>
      </c>
      <c r="R186" t="str">
        <f t="shared" si="25"/>
        <v>Velodrome</v>
      </c>
      <c r="S186" t="str">
        <f t="shared" si="26"/>
        <v>HollowBrook</v>
      </c>
      <c r="T186" s="20">
        <f t="shared" si="20"/>
        <v>0</v>
      </c>
      <c r="U186">
        <f t="shared" si="21"/>
        <v>770</v>
      </c>
      <c r="V186">
        <f t="shared" si="22"/>
        <v>770</v>
      </c>
      <c r="W186" cm="1">
        <f t="array" ref="W186">_xlfn._xlws.FILTER(shifts!A:A,(shifts!B:B=events!D186)*(shifts!AH:AH&gt;=events!U186)*(shifts!AI:AI&lt;=events!V186))</f>
        <v>5</v>
      </c>
      <c r="X186" t="str">
        <f t="shared" si="23"/>
        <v>opp_team_player_1</v>
      </c>
      <c r="Y186">
        <f>COUNTIFS(A$3:A186,"="&amp;A186,K$3:K186,"="&amp;K186)</f>
        <v>1</v>
      </c>
      <c r="Z186" s="20">
        <f>SUMIFS(T$3:T186,L$3:L186,"=Intermission")+SUMIFS(T$3:T186,L$3:L186,"=Timeout")+SUMIFS(T$3:T186,L$3:L186,"=Clockstop")</f>
        <v>0</v>
      </c>
      <c r="AA186">
        <f t="shared" si="27"/>
        <v>0</v>
      </c>
      <c r="AB186" s="26">
        <f t="shared" si="28"/>
        <v>310</v>
      </c>
      <c r="AC186">
        <f t="shared" si="29"/>
        <v>0</v>
      </c>
    </row>
    <row r="187" spans="1:29" x14ac:dyDescent="0.2">
      <c r="A187">
        <v>100</v>
      </c>
      <c r="D187">
        <f t="shared" si="30"/>
        <v>1</v>
      </c>
      <c r="E187">
        <v>12</v>
      </c>
      <c r="F187" s="6" t="s">
        <v>454</v>
      </c>
      <c r="G187">
        <v>12</v>
      </c>
      <c r="H187" s="8" t="s">
        <v>437</v>
      </c>
      <c r="I187" t="s">
        <v>179</v>
      </c>
      <c r="J187">
        <v>19</v>
      </c>
      <c r="K187" t="s">
        <v>488</v>
      </c>
      <c r="L187" t="s">
        <v>277</v>
      </c>
      <c r="M187" t="s">
        <v>201</v>
      </c>
      <c r="N187" t="s">
        <v>90</v>
      </c>
      <c r="Q187">
        <f t="shared" si="24"/>
        <v>18977</v>
      </c>
      <c r="R187" t="str">
        <f t="shared" si="25"/>
        <v>Velodrome</v>
      </c>
      <c r="S187" t="str">
        <f t="shared" si="26"/>
        <v>HollowBrook</v>
      </c>
      <c r="T187" s="20">
        <f t="shared" si="20"/>
        <v>3</v>
      </c>
      <c r="U187">
        <f t="shared" si="21"/>
        <v>763</v>
      </c>
      <c r="V187">
        <f t="shared" si="22"/>
        <v>760</v>
      </c>
      <c r="W187" cm="1">
        <f t="array" ref="W187">_xlfn._xlws.FILTER(shifts!A:A,(shifts!B:B=events!D187)*(shifts!AH:AH&gt;=events!U187)*(shifts!AI:AI&lt;=events!V187))</f>
        <v>5</v>
      </c>
      <c r="X187" t="str">
        <f t="shared" si="23"/>
        <v>event_team_player_1</v>
      </c>
      <c r="Y187">
        <f>COUNTIFS(A$3:A187,"="&amp;A187,K$3:K187,"="&amp;K187)</f>
        <v>1</v>
      </c>
      <c r="Z187" s="20">
        <f>SUMIFS(T$3:T187,L$3:L187,"=Intermission")+SUMIFS(T$3:T187,L$3:L187,"=Timeout")+SUMIFS(T$3:T187,L$3:L187,"=Clockstop")</f>
        <v>0</v>
      </c>
      <c r="AA187">
        <f t="shared" si="27"/>
        <v>0</v>
      </c>
      <c r="AB187" s="26">
        <f t="shared" si="28"/>
        <v>317</v>
      </c>
      <c r="AC187">
        <f t="shared" si="29"/>
        <v>0</v>
      </c>
    </row>
    <row r="188" spans="1:29" x14ac:dyDescent="0.2">
      <c r="A188">
        <v>100</v>
      </c>
      <c r="D188">
        <f t="shared" si="30"/>
        <v>1</v>
      </c>
      <c r="E188">
        <v>12</v>
      </c>
      <c r="F188" s="6" t="s">
        <v>454</v>
      </c>
      <c r="G188">
        <v>12</v>
      </c>
      <c r="H188" s="8" t="s">
        <v>437</v>
      </c>
      <c r="I188" t="s">
        <v>179</v>
      </c>
      <c r="J188">
        <v>61</v>
      </c>
      <c r="K188" t="s">
        <v>489</v>
      </c>
      <c r="L188" t="s">
        <v>277</v>
      </c>
      <c r="M188" t="s">
        <v>201</v>
      </c>
      <c r="N188" t="s">
        <v>90</v>
      </c>
      <c r="Q188">
        <f t="shared" si="24"/>
        <v>18977</v>
      </c>
      <c r="R188" t="str">
        <f t="shared" si="25"/>
        <v>Velodrome</v>
      </c>
      <c r="S188" t="str">
        <f t="shared" si="26"/>
        <v>HollowBrook</v>
      </c>
      <c r="T188" s="20">
        <f t="shared" si="20"/>
        <v>3</v>
      </c>
      <c r="U188">
        <f t="shared" si="21"/>
        <v>763</v>
      </c>
      <c r="V188">
        <f t="shared" si="22"/>
        <v>760</v>
      </c>
      <c r="W188" cm="1">
        <f t="array" ref="W188">_xlfn._xlws.FILTER(shifts!A:A,(shifts!B:B=events!D188)*(shifts!AH:AH&gt;=events!U188)*(shifts!AI:AI&lt;=events!V188))</f>
        <v>5</v>
      </c>
      <c r="X188" t="str">
        <f t="shared" si="23"/>
        <v>opp_team_player_1</v>
      </c>
      <c r="Y188">
        <f>COUNTIFS(A$3:A188,"="&amp;A188,K$3:K188,"="&amp;K188)</f>
        <v>1</v>
      </c>
      <c r="Z188" s="20">
        <f>SUMIFS(T$3:T188,L$3:L188,"=Intermission")+SUMIFS(T$3:T188,L$3:L188,"=Timeout")+SUMIFS(T$3:T188,L$3:L188,"=Clockstop")</f>
        <v>0</v>
      </c>
      <c r="AA188">
        <f t="shared" si="27"/>
        <v>0</v>
      </c>
      <c r="AB188" s="26">
        <f t="shared" si="28"/>
        <v>317</v>
      </c>
      <c r="AC188">
        <f t="shared" si="29"/>
        <v>0</v>
      </c>
    </row>
    <row r="189" spans="1:29" x14ac:dyDescent="0.2">
      <c r="A189">
        <v>101</v>
      </c>
      <c r="D189">
        <f t="shared" si="30"/>
        <v>1</v>
      </c>
      <c r="E189">
        <v>12</v>
      </c>
      <c r="F189" s="6" t="s">
        <v>437</v>
      </c>
      <c r="G189">
        <v>12</v>
      </c>
      <c r="H189" s="8" t="s">
        <v>453</v>
      </c>
      <c r="I189" t="s">
        <v>179</v>
      </c>
      <c r="J189">
        <v>19</v>
      </c>
      <c r="K189" t="s">
        <v>488</v>
      </c>
      <c r="L189" t="s">
        <v>15</v>
      </c>
      <c r="Q189">
        <f t="shared" si="24"/>
        <v>18977</v>
      </c>
      <c r="R189" t="str">
        <f t="shared" si="25"/>
        <v>Velodrome</v>
      </c>
      <c r="S189" t="str">
        <f t="shared" si="26"/>
        <v>HollowBrook</v>
      </c>
      <c r="T189" s="20">
        <f t="shared" si="20"/>
        <v>3</v>
      </c>
      <c r="U189">
        <f t="shared" si="21"/>
        <v>760</v>
      </c>
      <c r="V189">
        <f t="shared" si="22"/>
        <v>757</v>
      </c>
      <c r="W189" cm="1">
        <f t="array" ref="W189">_xlfn._xlws.FILTER(shifts!A:A,(shifts!B:B=events!D189)*(shifts!AH:AH&gt;=events!U189)*(shifts!AI:AI&lt;=events!V189))</f>
        <v>5</v>
      </c>
      <c r="X189" t="str">
        <f t="shared" si="23"/>
        <v>event_team_player_1</v>
      </c>
      <c r="Y189">
        <f>COUNTIFS(A$3:A189,"="&amp;A189,K$3:K189,"="&amp;K189)</f>
        <v>1</v>
      </c>
      <c r="Z189" s="20">
        <f>SUMIFS(T$3:T189,L$3:L189,"=Intermission")+SUMIFS(T$3:T189,L$3:L189,"=Timeout")+SUMIFS(T$3:T189,L$3:L189,"=Clockstop")</f>
        <v>0</v>
      </c>
      <c r="AA189">
        <f t="shared" si="27"/>
        <v>0</v>
      </c>
      <c r="AB189" s="26">
        <f t="shared" si="28"/>
        <v>320</v>
      </c>
      <c r="AC189">
        <f t="shared" si="29"/>
        <v>0</v>
      </c>
    </row>
    <row r="190" spans="1:29" x14ac:dyDescent="0.2">
      <c r="A190">
        <v>101</v>
      </c>
      <c r="D190">
        <f t="shared" si="30"/>
        <v>1</v>
      </c>
      <c r="E190">
        <v>12</v>
      </c>
      <c r="F190" s="6" t="s">
        <v>437</v>
      </c>
      <c r="G190">
        <v>12</v>
      </c>
      <c r="H190" s="8" t="s">
        <v>453</v>
      </c>
      <c r="I190" t="s">
        <v>179</v>
      </c>
      <c r="J190">
        <v>70</v>
      </c>
      <c r="K190" t="s">
        <v>489</v>
      </c>
      <c r="L190" t="s">
        <v>15</v>
      </c>
      <c r="Q190">
        <f t="shared" si="24"/>
        <v>18977</v>
      </c>
      <c r="R190" t="str">
        <f t="shared" si="25"/>
        <v>Velodrome</v>
      </c>
      <c r="S190" t="str">
        <f t="shared" si="26"/>
        <v>HollowBrook</v>
      </c>
      <c r="T190" s="20">
        <f t="shared" si="20"/>
        <v>3</v>
      </c>
      <c r="U190">
        <f t="shared" si="21"/>
        <v>760</v>
      </c>
      <c r="V190">
        <f t="shared" si="22"/>
        <v>757</v>
      </c>
      <c r="W190" cm="1">
        <f t="array" ref="W190">_xlfn._xlws.FILTER(shifts!A:A,(shifts!B:B=events!D190)*(shifts!AH:AH&gt;=events!U190)*(shifts!AI:AI&lt;=events!V190))</f>
        <v>5</v>
      </c>
      <c r="X190" t="str">
        <f t="shared" si="23"/>
        <v>opp_team_player_1</v>
      </c>
      <c r="Y190">
        <f>COUNTIFS(A$3:A190,"="&amp;A190,K$3:K190,"="&amp;K190)</f>
        <v>1</v>
      </c>
      <c r="Z190" s="20">
        <f>SUMIFS(T$3:T190,L$3:L190,"=Intermission")+SUMIFS(T$3:T190,L$3:L190,"=Timeout")+SUMIFS(T$3:T190,L$3:L190,"=Clockstop")</f>
        <v>0</v>
      </c>
      <c r="AA190">
        <f t="shared" si="27"/>
        <v>0</v>
      </c>
      <c r="AB190" s="26">
        <f t="shared" si="28"/>
        <v>320</v>
      </c>
      <c r="AC190">
        <f t="shared" si="29"/>
        <v>0</v>
      </c>
    </row>
    <row r="191" spans="1:29" x14ac:dyDescent="0.2">
      <c r="A191">
        <v>102</v>
      </c>
      <c r="D191">
        <f t="shared" si="30"/>
        <v>1</v>
      </c>
      <c r="E191">
        <v>12</v>
      </c>
      <c r="F191" s="6" t="s">
        <v>453</v>
      </c>
      <c r="G191">
        <v>12</v>
      </c>
      <c r="H191" s="8" t="s">
        <v>452</v>
      </c>
      <c r="I191" t="s">
        <v>179</v>
      </c>
      <c r="J191">
        <v>19</v>
      </c>
      <c r="K191" t="s">
        <v>488</v>
      </c>
      <c r="L191" t="s">
        <v>277</v>
      </c>
      <c r="M191" t="s">
        <v>191</v>
      </c>
      <c r="N191" t="s">
        <v>87</v>
      </c>
      <c r="Q191">
        <f t="shared" si="24"/>
        <v>18977</v>
      </c>
      <c r="R191" t="str">
        <f t="shared" si="25"/>
        <v>Velodrome</v>
      </c>
      <c r="S191" t="str">
        <f t="shared" si="26"/>
        <v>HollowBrook</v>
      </c>
      <c r="T191" s="20">
        <f t="shared" si="20"/>
        <v>1</v>
      </c>
      <c r="U191">
        <f t="shared" si="21"/>
        <v>757</v>
      </c>
      <c r="V191">
        <f t="shared" si="22"/>
        <v>756</v>
      </c>
      <c r="W191" cm="1">
        <f t="array" ref="W191">_xlfn._xlws.FILTER(shifts!A:A,(shifts!B:B=events!D191)*(shifts!AH:AH&gt;=events!U191)*(shifts!AI:AI&lt;=events!V191))</f>
        <v>5</v>
      </c>
      <c r="X191" t="str">
        <f t="shared" si="23"/>
        <v>event_team_player_1</v>
      </c>
      <c r="Y191">
        <f>COUNTIFS(A$3:A191,"="&amp;A191,K$3:K191,"="&amp;K191)</f>
        <v>1</v>
      </c>
      <c r="Z191" s="20">
        <f>SUMIFS(T$3:T191,L$3:L191,"=Intermission")+SUMIFS(T$3:T191,L$3:L191,"=Timeout")+SUMIFS(T$3:T191,L$3:L191,"=Clockstop")</f>
        <v>0</v>
      </c>
      <c r="AA191">
        <f t="shared" si="27"/>
        <v>0</v>
      </c>
      <c r="AB191" s="26">
        <f t="shared" si="28"/>
        <v>323</v>
      </c>
      <c r="AC191">
        <f t="shared" si="29"/>
        <v>0</v>
      </c>
    </row>
    <row r="192" spans="1:29" x14ac:dyDescent="0.2">
      <c r="A192">
        <v>102</v>
      </c>
      <c r="D192">
        <f t="shared" si="30"/>
        <v>1</v>
      </c>
      <c r="E192">
        <v>12</v>
      </c>
      <c r="F192" s="6" t="s">
        <v>453</v>
      </c>
      <c r="G192">
        <v>12</v>
      </c>
      <c r="H192" s="8" t="s">
        <v>452</v>
      </c>
      <c r="I192" t="s">
        <v>179</v>
      </c>
      <c r="J192">
        <v>11</v>
      </c>
      <c r="K192" t="s">
        <v>488</v>
      </c>
      <c r="L192" t="s">
        <v>277</v>
      </c>
      <c r="M192" t="s">
        <v>191</v>
      </c>
      <c r="N192" t="s">
        <v>87</v>
      </c>
      <c r="Q192">
        <f t="shared" si="24"/>
        <v>18977</v>
      </c>
      <c r="R192" t="str">
        <f t="shared" si="25"/>
        <v>Velodrome</v>
      </c>
      <c r="S192" t="str">
        <f t="shared" si="26"/>
        <v>HollowBrook</v>
      </c>
      <c r="T192" s="20">
        <f t="shared" si="20"/>
        <v>1</v>
      </c>
      <c r="U192">
        <f t="shared" si="21"/>
        <v>757</v>
      </c>
      <c r="V192">
        <f t="shared" si="22"/>
        <v>756</v>
      </c>
      <c r="W192" cm="1">
        <f t="array" ref="W192">_xlfn._xlws.FILTER(shifts!A:A,(shifts!B:B=events!D192)*(shifts!AH:AH&gt;=events!U192)*(shifts!AI:AI&lt;=events!V192))</f>
        <v>5</v>
      </c>
      <c r="X192" t="str">
        <f t="shared" si="23"/>
        <v>event_team_player_2</v>
      </c>
      <c r="Y192">
        <f>COUNTIFS(A$3:A192,"="&amp;A192,K$3:K192,"="&amp;K192)</f>
        <v>2</v>
      </c>
      <c r="Z192" s="20">
        <f>SUMIFS(T$3:T192,L$3:L192,"=Intermission")+SUMIFS(T$3:T192,L$3:L192,"=Timeout")+SUMIFS(T$3:T192,L$3:L192,"=Clockstop")</f>
        <v>0</v>
      </c>
      <c r="AA192">
        <f t="shared" si="27"/>
        <v>0</v>
      </c>
      <c r="AB192" s="26">
        <f t="shared" si="28"/>
        <v>323</v>
      </c>
      <c r="AC192">
        <f t="shared" si="29"/>
        <v>0</v>
      </c>
    </row>
    <row r="193" spans="1:29" x14ac:dyDescent="0.2">
      <c r="A193">
        <v>102</v>
      </c>
      <c r="D193">
        <f t="shared" si="30"/>
        <v>1</v>
      </c>
      <c r="E193">
        <v>12</v>
      </c>
      <c r="F193" s="6" t="s">
        <v>453</v>
      </c>
      <c r="G193">
        <v>12</v>
      </c>
      <c r="H193" s="8" t="s">
        <v>452</v>
      </c>
      <c r="I193" t="s">
        <v>179</v>
      </c>
      <c r="J193">
        <v>9</v>
      </c>
      <c r="K193" t="s">
        <v>489</v>
      </c>
      <c r="L193" t="s">
        <v>277</v>
      </c>
      <c r="M193" t="s">
        <v>191</v>
      </c>
      <c r="N193" t="s">
        <v>87</v>
      </c>
      <c r="Q193">
        <f t="shared" si="24"/>
        <v>18977</v>
      </c>
      <c r="R193" t="str">
        <f t="shared" si="25"/>
        <v>Velodrome</v>
      </c>
      <c r="S193" t="str">
        <f t="shared" si="26"/>
        <v>HollowBrook</v>
      </c>
      <c r="T193" s="20">
        <f t="shared" si="20"/>
        <v>1</v>
      </c>
      <c r="U193">
        <f t="shared" si="21"/>
        <v>757</v>
      </c>
      <c r="V193">
        <f t="shared" si="22"/>
        <v>756</v>
      </c>
      <c r="W193" cm="1">
        <f t="array" ref="W193">_xlfn._xlws.FILTER(shifts!A:A,(shifts!B:B=events!D193)*(shifts!AH:AH&gt;=events!U193)*(shifts!AI:AI&lt;=events!V193))</f>
        <v>5</v>
      </c>
      <c r="X193" t="str">
        <f t="shared" si="23"/>
        <v>opp_team_player_1</v>
      </c>
      <c r="Y193">
        <f>COUNTIFS(A$3:A193,"="&amp;A193,K$3:K193,"="&amp;K193)</f>
        <v>1</v>
      </c>
      <c r="Z193" s="20">
        <f>SUMIFS(T$3:T193,L$3:L193,"=Intermission")+SUMIFS(T$3:T193,L$3:L193,"=Timeout")+SUMIFS(T$3:T193,L$3:L193,"=Clockstop")</f>
        <v>0</v>
      </c>
      <c r="AA193">
        <f t="shared" si="27"/>
        <v>0</v>
      </c>
      <c r="AB193" s="26">
        <f t="shared" si="28"/>
        <v>323</v>
      </c>
      <c r="AC193">
        <f t="shared" si="29"/>
        <v>0</v>
      </c>
    </row>
    <row r="194" spans="1:29" x14ac:dyDescent="0.2">
      <c r="A194">
        <v>102</v>
      </c>
      <c r="D194">
        <f t="shared" si="30"/>
        <v>1</v>
      </c>
      <c r="E194">
        <v>12</v>
      </c>
      <c r="F194" s="6" t="s">
        <v>453</v>
      </c>
      <c r="G194">
        <v>12</v>
      </c>
      <c r="H194" s="8" t="s">
        <v>452</v>
      </c>
      <c r="I194" t="s">
        <v>179</v>
      </c>
      <c r="J194">
        <v>84</v>
      </c>
      <c r="K194" t="s">
        <v>489</v>
      </c>
      <c r="L194" t="s">
        <v>277</v>
      </c>
      <c r="M194" t="s">
        <v>191</v>
      </c>
      <c r="N194" t="s">
        <v>87</v>
      </c>
      <c r="Q194">
        <f t="shared" si="24"/>
        <v>18977</v>
      </c>
      <c r="R194" t="str">
        <f t="shared" si="25"/>
        <v>Velodrome</v>
      </c>
      <c r="S194" t="str">
        <f t="shared" si="26"/>
        <v>HollowBrook</v>
      </c>
      <c r="T194" s="20">
        <f t="shared" si="20"/>
        <v>1</v>
      </c>
      <c r="U194">
        <f t="shared" si="21"/>
        <v>757</v>
      </c>
      <c r="V194">
        <f t="shared" si="22"/>
        <v>756</v>
      </c>
      <c r="W194" cm="1">
        <f t="array" ref="W194">_xlfn._xlws.FILTER(shifts!A:A,(shifts!B:B=events!D194)*(shifts!AH:AH&gt;=events!U194)*(shifts!AI:AI&lt;=events!V194))</f>
        <v>5</v>
      </c>
      <c r="X194" t="str">
        <f t="shared" si="23"/>
        <v>opp_team_player_2</v>
      </c>
      <c r="Y194">
        <f>COUNTIFS(A$3:A194,"="&amp;A194,K$3:K194,"="&amp;K194)</f>
        <v>2</v>
      </c>
      <c r="Z194" s="20">
        <f>SUMIFS(T$3:T194,L$3:L194,"=Intermission")+SUMIFS(T$3:T194,L$3:L194,"=Timeout")+SUMIFS(T$3:T194,L$3:L194,"=Clockstop")</f>
        <v>0</v>
      </c>
      <c r="AA194">
        <f t="shared" si="27"/>
        <v>0</v>
      </c>
      <c r="AB194" s="26">
        <f t="shared" si="28"/>
        <v>323</v>
      </c>
      <c r="AC194">
        <f t="shared" si="29"/>
        <v>0</v>
      </c>
    </row>
    <row r="195" spans="1:29" x14ac:dyDescent="0.2">
      <c r="A195">
        <v>103</v>
      </c>
      <c r="D195">
        <f t="shared" si="30"/>
        <v>1</v>
      </c>
      <c r="E195">
        <v>12</v>
      </c>
      <c r="F195" s="6" t="s">
        <v>452</v>
      </c>
      <c r="I195" t="s">
        <v>179</v>
      </c>
      <c r="J195">
        <v>19</v>
      </c>
      <c r="K195" t="s">
        <v>488</v>
      </c>
      <c r="L195" t="s">
        <v>7</v>
      </c>
      <c r="M195" t="s">
        <v>208</v>
      </c>
      <c r="N195" t="s">
        <v>53</v>
      </c>
      <c r="Q195">
        <f t="shared" si="24"/>
        <v>18977</v>
      </c>
      <c r="R195" t="str">
        <f t="shared" si="25"/>
        <v>Velodrome</v>
      </c>
      <c r="S195" t="str">
        <f t="shared" si="26"/>
        <v>HollowBrook</v>
      </c>
      <c r="T195" s="20">
        <f t="shared" ref="T195:T258" si="31">IF(AND(G195="",H195=""),0,((E195*60)+F195)-((G195*60)+H195))</f>
        <v>0</v>
      </c>
      <c r="U195">
        <f t="shared" ref="U195:U258" si="32">(E195*60)+F195</f>
        <v>756</v>
      </c>
      <c r="V195">
        <f t="shared" ref="V195:V258" si="33">IF(AND(G195="",H195=""),U195,((G195*60)+H195))</f>
        <v>756</v>
      </c>
      <c r="W195" cm="1">
        <f t="array" ref="W195">_xlfn._xlws.FILTER(shifts!A:A,(shifts!B:B=events!D195)*(shifts!AH:AH&gt;=events!U195)*(shifts!AI:AI&lt;=events!V195))</f>
        <v>5</v>
      </c>
      <c r="X195" t="str">
        <f t="shared" ref="X195:X258" si="34">IF(K195="e","event_team_player_"&amp;Y195,IF(K195="o","opp_team_player_"&amp;Y195,""))</f>
        <v>event_team_player_1</v>
      </c>
      <c r="Y195">
        <f>COUNTIFS(A$3:A195,"="&amp;A195,K$3:K195,"="&amp;K195)</f>
        <v>1</v>
      </c>
      <c r="Z195" s="20">
        <f>SUMIFS(T$3:T195,L$3:L195,"=Intermission")+SUMIFS(T$3:T195,L$3:L195,"=Timeout")+SUMIFS(T$3:T195,L$3:L195,"=Clockstop")</f>
        <v>0</v>
      </c>
      <c r="AA195">
        <f t="shared" si="27"/>
        <v>0</v>
      </c>
      <c r="AB195" s="26">
        <f t="shared" si="28"/>
        <v>324</v>
      </c>
      <c r="AC195">
        <f t="shared" si="29"/>
        <v>0</v>
      </c>
    </row>
    <row r="196" spans="1:29" x14ac:dyDescent="0.2">
      <c r="A196">
        <v>103</v>
      </c>
      <c r="D196">
        <f t="shared" si="30"/>
        <v>1</v>
      </c>
      <c r="E196">
        <v>12</v>
      </c>
      <c r="F196" s="6" t="s">
        <v>452</v>
      </c>
      <c r="I196" t="s">
        <v>179</v>
      </c>
      <c r="J196">
        <v>9</v>
      </c>
      <c r="K196" t="s">
        <v>489</v>
      </c>
      <c r="L196" t="s">
        <v>7</v>
      </c>
      <c r="M196" t="s">
        <v>208</v>
      </c>
      <c r="N196" t="s">
        <v>53</v>
      </c>
      <c r="Q196">
        <f t="shared" ref="Q196:Q259" si="35">Q195</f>
        <v>18977</v>
      </c>
      <c r="R196" t="str">
        <f t="shared" ref="R196:R259" si="36">R195</f>
        <v>Velodrome</v>
      </c>
      <c r="S196" t="str">
        <f t="shared" ref="S196:S259" si="37">S195</f>
        <v>HollowBrook</v>
      </c>
      <c r="T196" s="20">
        <f t="shared" si="31"/>
        <v>0</v>
      </c>
      <c r="U196">
        <f t="shared" si="32"/>
        <v>756</v>
      </c>
      <c r="V196">
        <f t="shared" si="33"/>
        <v>756</v>
      </c>
      <c r="W196" cm="1">
        <f t="array" ref="W196">_xlfn._xlws.FILTER(shifts!A:A,(shifts!B:B=events!D196)*(shifts!AH:AH&gt;=events!U196)*(shifts!AI:AI&lt;=events!V196))</f>
        <v>5</v>
      </c>
      <c r="X196" t="str">
        <f t="shared" si="34"/>
        <v>opp_team_player_1</v>
      </c>
      <c r="Y196">
        <f>COUNTIFS(A$3:A196,"="&amp;A196,K$3:K196,"="&amp;K196)</f>
        <v>1</v>
      </c>
      <c r="Z196" s="20">
        <f>SUMIFS(T$3:T196,L$3:L196,"=Intermission")+SUMIFS(T$3:T196,L$3:L196,"=Timeout")+SUMIFS(T$3:T196,L$3:L196,"=Clockstop")</f>
        <v>0</v>
      </c>
      <c r="AA196">
        <f t="shared" ref="AA196:AA259" si="38">IF(D196=1,0,IF(D196=2,1080+Z196,IF(D196=3,(1080*2)+Z196,0)))</f>
        <v>0</v>
      </c>
      <c r="AB196" s="26">
        <f t="shared" ref="AB196:AB259" si="39">((1080*D196)-((E196*60)+F196)*D196)+Z196</f>
        <v>324</v>
      </c>
      <c r="AC196">
        <f t="shared" ref="AC196:AC259" si="40">IF(L195="GameStart",0,AA196+Z196)</f>
        <v>0</v>
      </c>
    </row>
    <row r="197" spans="1:29" x14ac:dyDescent="0.2">
      <c r="A197">
        <v>104</v>
      </c>
      <c r="D197">
        <f t="shared" ref="D197:D260" si="41">IF(L197="Intermission",D196+1,D196)</f>
        <v>1</v>
      </c>
      <c r="E197">
        <v>12</v>
      </c>
      <c r="F197" s="6" t="s">
        <v>439</v>
      </c>
      <c r="G197">
        <v>12</v>
      </c>
      <c r="H197" s="8" t="s">
        <v>442</v>
      </c>
      <c r="I197" t="s">
        <v>179</v>
      </c>
      <c r="J197">
        <v>19</v>
      </c>
      <c r="K197" t="s">
        <v>488</v>
      </c>
      <c r="L197" t="s">
        <v>15</v>
      </c>
      <c r="Q197">
        <f t="shared" si="35"/>
        <v>18977</v>
      </c>
      <c r="R197" t="str">
        <f t="shared" si="36"/>
        <v>Velodrome</v>
      </c>
      <c r="S197" t="str">
        <f t="shared" si="37"/>
        <v>HollowBrook</v>
      </c>
      <c r="T197" s="20">
        <f t="shared" si="31"/>
        <v>5</v>
      </c>
      <c r="U197">
        <f t="shared" si="32"/>
        <v>754</v>
      </c>
      <c r="V197">
        <f t="shared" si="33"/>
        <v>749</v>
      </c>
      <c r="W197" cm="1">
        <f t="array" ref="W197">_xlfn._xlws.FILTER(shifts!A:A,(shifts!B:B=events!D197)*(shifts!AH:AH&gt;=events!U197)*(shifts!AI:AI&lt;=events!V197))</f>
        <v>5</v>
      </c>
      <c r="X197" t="str">
        <f t="shared" si="34"/>
        <v>event_team_player_1</v>
      </c>
      <c r="Y197">
        <f>COUNTIFS(A$3:A197,"="&amp;A197,K$3:K197,"="&amp;K197)</f>
        <v>1</v>
      </c>
      <c r="Z197" s="20">
        <f>SUMIFS(T$3:T197,L$3:L197,"=Intermission")+SUMIFS(T$3:T197,L$3:L197,"=Timeout")+SUMIFS(T$3:T197,L$3:L197,"=Clockstop")</f>
        <v>0</v>
      </c>
      <c r="AA197">
        <f t="shared" si="38"/>
        <v>0</v>
      </c>
      <c r="AB197" s="26">
        <f t="shared" si="39"/>
        <v>326</v>
      </c>
      <c r="AC197">
        <f t="shared" si="40"/>
        <v>0</v>
      </c>
    </row>
    <row r="198" spans="1:29" x14ac:dyDescent="0.2">
      <c r="A198">
        <v>104</v>
      </c>
      <c r="D198">
        <f t="shared" si="41"/>
        <v>1</v>
      </c>
      <c r="E198">
        <v>12</v>
      </c>
      <c r="F198" s="6" t="s">
        <v>439</v>
      </c>
      <c r="G198">
        <v>12</v>
      </c>
      <c r="H198" s="8" t="s">
        <v>442</v>
      </c>
      <c r="I198" t="s">
        <v>179</v>
      </c>
      <c r="J198">
        <v>84</v>
      </c>
      <c r="K198" t="s">
        <v>489</v>
      </c>
      <c r="L198" t="s">
        <v>15</v>
      </c>
      <c r="Q198">
        <f t="shared" si="35"/>
        <v>18977</v>
      </c>
      <c r="R198" t="str">
        <f t="shared" si="36"/>
        <v>Velodrome</v>
      </c>
      <c r="S198" t="str">
        <f t="shared" si="37"/>
        <v>HollowBrook</v>
      </c>
      <c r="T198" s="20">
        <f t="shared" si="31"/>
        <v>5</v>
      </c>
      <c r="U198">
        <f t="shared" si="32"/>
        <v>754</v>
      </c>
      <c r="V198">
        <f t="shared" si="33"/>
        <v>749</v>
      </c>
      <c r="W198" cm="1">
        <f t="array" ref="W198">_xlfn._xlws.FILTER(shifts!A:A,(shifts!B:B=events!D198)*(shifts!AH:AH&gt;=events!U198)*(shifts!AI:AI&lt;=events!V198))</f>
        <v>5</v>
      </c>
      <c r="X198" t="str">
        <f t="shared" si="34"/>
        <v>opp_team_player_1</v>
      </c>
      <c r="Y198">
        <f>COUNTIFS(A$3:A198,"="&amp;A198,K$3:K198,"="&amp;K198)</f>
        <v>1</v>
      </c>
      <c r="Z198" s="20">
        <f>SUMIFS(T$3:T198,L$3:L198,"=Intermission")+SUMIFS(T$3:T198,L$3:L198,"=Timeout")+SUMIFS(T$3:T198,L$3:L198,"=Clockstop")</f>
        <v>0</v>
      </c>
      <c r="AA198">
        <f t="shared" si="38"/>
        <v>0</v>
      </c>
      <c r="AB198" s="26">
        <f t="shared" si="39"/>
        <v>326</v>
      </c>
      <c r="AC198">
        <f t="shared" si="40"/>
        <v>0</v>
      </c>
    </row>
    <row r="199" spans="1:29" x14ac:dyDescent="0.2">
      <c r="A199">
        <v>105</v>
      </c>
      <c r="D199">
        <f t="shared" si="41"/>
        <v>1</v>
      </c>
      <c r="E199">
        <v>12</v>
      </c>
      <c r="F199" s="6" t="s">
        <v>440</v>
      </c>
      <c r="I199" t="s">
        <v>179</v>
      </c>
      <c r="J199">
        <v>19</v>
      </c>
      <c r="K199" t="s">
        <v>488</v>
      </c>
      <c r="L199" t="s">
        <v>8</v>
      </c>
      <c r="M199" t="s">
        <v>189</v>
      </c>
      <c r="N199" t="s">
        <v>68</v>
      </c>
      <c r="Q199">
        <f t="shared" si="35"/>
        <v>18977</v>
      </c>
      <c r="R199" t="str">
        <f t="shared" si="36"/>
        <v>Velodrome</v>
      </c>
      <c r="S199" t="str">
        <f t="shared" si="37"/>
        <v>HollowBrook</v>
      </c>
      <c r="T199" s="20">
        <f t="shared" si="31"/>
        <v>0</v>
      </c>
      <c r="U199">
        <f t="shared" si="32"/>
        <v>748</v>
      </c>
      <c r="V199">
        <f t="shared" si="33"/>
        <v>748</v>
      </c>
      <c r="W199" cm="1">
        <f t="array" ref="W199">_xlfn._xlws.FILTER(shifts!A:A,(shifts!B:B=events!D199)*(shifts!AH:AH&gt;=events!U199)*(shifts!AI:AI&lt;=events!V199))</f>
        <v>5</v>
      </c>
      <c r="X199" t="str">
        <f t="shared" si="34"/>
        <v>event_team_player_1</v>
      </c>
      <c r="Y199">
        <f>COUNTIFS(A$3:A199,"="&amp;A199,K$3:K199,"="&amp;K199)</f>
        <v>1</v>
      </c>
      <c r="Z199" s="20">
        <f>SUMIFS(T$3:T199,L$3:L199,"=Intermission")+SUMIFS(T$3:T199,L$3:L199,"=Timeout")+SUMIFS(T$3:T199,L$3:L199,"=Clockstop")</f>
        <v>0</v>
      </c>
      <c r="AA199">
        <f t="shared" si="38"/>
        <v>0</v>
      </c>
      <c r="AB199" s="26">
        <f t="shared" si="39"/>
        <v>332</v>
      </c>
      <c r="AC199">
        <f t="shared" si="40"/>
        <v>0</v>
      </c>
    </row>
    <row r="200" spans="1:29" x14ac:dyDescent="0.2">
      <c r="A200">
        <v>105</v>
      </c>
      <c r="D200">
        <f t="shared" si="41"/>
        <v>1</v>
      </c>
      <c r="E200">
        <v>12</v>
      </c>
      <c r="F200" s="6" t="s">
        <v>440</v>
      </c>
      <c r="I200" t="s">
        <v>179</v>
      </c>
      <c r="J200">
        <v>11</v>
      </c>
      <c r="K200" t="s">
        <v>488</v>
      </c>
      <c r="L200" t="s">
        <v>8</v>
      </c>
      <c r="M200" t="s">
        <v>189</v>
      </c>
      <c r="N200" t="s">
        <v>68</v>
      </c>
      <c r="Q200">
        <f t="shared" si="35"/>
        <v>18977</v>
      </c>
      <c r="R200" t="str">
        <f t="shared" si="36"/>
        <v>Velodrome</v>
      </c>
      <c r="S200" t="str">
        <f t="shared" si="37"/>
        <v>HollowBrook</v>
      </c>
      <c r="T200" s="20">
        <f t="shared" si="31"/>
        <v>0</v>
      </c>
      <c r="U200">
        <f t="shared" si="32"/>
        <v>748</v>
      </c>
      <c r="V200">
        <f t="shared" si="33"/>
        <v>748</v>
      </c>
      <c r="W200" cm="1">
        <f t="array" ref="W200">_xlfn._xlws.FILTER(shifts!A:A,(shifts!B:B=events!D200)*(shifts!AH:AH&gt;=events!U200)*(shifts!AI:AI&lt;=events!V200))</f>
        <v>5</v>
      </c>
      <c r="X200" t="str">
        <f t="shared" si="34"/>
        <v>event_team_player_2</v>
      </c>
      <c r="Y200">
        <f>COUNTIFS(A$3:A200,"="&amp;A200,K$3:K200,"="&amp;K200)</f>
        <v>2</v>
      </c>
      <c r="Z200" s="20">
        <f>SUMIFS(T$3:T200,L$3:L200,"=Intermission")+SUMIFS(T$3:T200,L$3:L200,"=Timeout")+SUMIFS(T$3:T200,L$3:L200,"=Clockstop")</f>
        <v>0</v>
      </c>
      <c r="AA200">
        <f t="shared" si="38"/>
        <v>0</v>
      </c>
      <c r="AB200" s="26">
        <f t="shared" si="39"/>
        <v>332</v>
      </c>
      <c r="AC200">
        <f t="shared" si="40"/>
        <v>0</v>
      </c>
    </row>
    <row r="201" spans="1:29" x14ac:dyDescent="0.2">
      <c r="A201">
        <v>105</v>
      </c>
      <c r="D201">
        <f t="shared" si="41"/>
        <v>1</v>
      </c>
      <c r="E201">
        <v>12</v>
      </c>
      <c r="F201" s="6" t="s">
        <v>440</v>
      </c>
      <c r="I201" t="s">
        <v>179</v>
      </c>
      <c r="J201">
        <v>84</v>
      </c>
      <c r="K201" t="s">
        <v>489</v>
      </c>
      <c r="L201" t="s">
        <v>8</v>
      </c>
      <c r="M201" t="s">
        <v>189</v>
      </c>
      <c r="N201" t="s">
        <v>68</v>
      </c>
      <c r="Q201">
        <f t="shared" si="35"/>
        <v>18977</v>
      </c>
      <c r="R201" t="str">
        <f t="shared" si="36"/>
        <v>Velodrome</v>
      </c>
      <c r="S201" t="str">
        <f t="shared" si="37"/>
        <v>HollowBrook</v>
      </c>
      <c r="T201" s="20">
        <f t="shared" si="31"/>
        <v>0</v>
      </c>
      <c r="U201">
        <f t="shared" si="32"/>
        <v>748</v>
      </c>
      <c r="V201">
        <f t="shared" si="33"/>
        <v>748</v>
      </c>
      <c r="W201" cm="1">
        <f t="array" ref="W201">_xlfn._xlws.FILTER(shifts!A:A,(shifts!B:B=events!D201)*(shifts!AH:AH&gt;=events!U201)*(shifts!AI:AI&lt;=events!V201))</f>
        <v>5</v>
      </c>
      <c r="X201" t="str">
        <f t="shared" si="34"/>
        <v>opp_team_player_1</v>
      </c>
      <c r="Y201">
        <f>COUNTIFS(A$3:A201,"="&amp;A201,K$3:K201,"="&amp;K201)</f>
        <v>1</v>
      </c>
      <c r="Z201" s="20">
        <f>SUMIFS(T$3:T201,L$3:L201,"=Intermission")+SUMIFS(T$3:T201,L$3:L201,"=Timeout")+SUMIFS(T$3:T201,L$3:L201,"=Clockstop")</f>
        <v>0</v>
      </c>
      <c r="AA201">
        <f t="shared" si="38"/>
        <v>0</v>
      </c>
      <c r="AB201" s="26">
        <f t="shared" si="39"/>
        <v>332</v>
      </c>
      <c r="AC201">
        <f t="shared" si="40"/>
        <v>0</v>
      </c>
    </row>
    <row r="202" spans="1:29" x14ac:dyDescent="0.2">
      <c r="A202">
        <v>106</v>
      </c>
      <c r="D202">
        <f t="shared" si="41"/>
        <v>1</v>
      </c>
      <c r="E202">
        <v>12</v>
      </c>
      <c r="F202" s="6" t="s">
        <v>443</v>
      </c>
      <c r="I202" t="s">
        <v>179</v>
      </c>
      <c r="J202">
        <v>11</v>
      </c>
      <c r="K202" t="s">
        <v>488</v>
      </c>
      <c r="L202" t="s">
        <v>10</v>
      </c>
      <c r="M202" t="s">
        <v>190</v>
      </c>
      <c r="N202" t="s">
        <v>73</v>
      </c>
      <c r="Q202">
        <f t="shared" si="35"/>
        <v>18977</v>
      </c>
      <c r="R202" t="str">
        <f t="shared" si="36"/>
        <v>Velodrome</v>
      </c>
      <c r="S202" t="str">
        <f t="shared" si="37"/>
        <v>HollowBrook</v>
      </c>
      <c r="T202" s="20">
        <f t="shared" si="31"/>
        <v>0</v>
      </c>
      <c r="U202">
        <f t="shared" si="32"/>
        <v>746</v>
      </c>
      <c r="V202">
        <f t="shared" si="33"/>
        <v>746</v>
      </c>
      <c r="W202" cm="1">
        <f t="array" ref="W202">_xlfn._xlws.FILTER(shifts!A:A,(shifts!B:B=events!D202)*(shifts!AH:AH&gt;=events!U202)*(shifts!AI:AI&lt;=events!V202))</f>
        <v>5</v>
      </c>
      <c r="X202" t="str">
        <f t="shared" si="34"/>
        <v>event_team_player_1</v>
      </c>
      <c r="Y202">
        <f>COUNTIFS(A$3:A202,"="&amp;A202,K$3:K202,"="&amp;K202)</f>
        <v>1</v>
      </c>
      <c r="Z202" s="20">
        <f>SUMIFS(T$3:T202,L$3:L202,"=Intermission")+SUMIFS(T$3:T202,L$3:L202,"=Timeout")+SUMIFS(T$3:T202,L$3:L202,"=Clockstop")</f>
        <v>0</v>
      </c>
      <c r="AA202">
        <f t="shared" si="38"/>
        <v>0</v>
      </c>
      <c r="AB202" s="26">
        <f t="shared" si="39"/>
        <v>334</v>
      </c>
      <c r="AC202">
        <f t="shared" si="40"/>
        <v>0</v>
      </c>
    </row>
    <row r="203" spans="1:29" x14ac:dyDescent="0.2">
      <c r="A203">
        <v>107</v>
      </c>
      <c r="D203">
        <f t="shared" si="41"/>
        <v>1</v>
      </c>
      <c r="E203">
        <v>12</v>
      </c>
      <c r="F203" s="6" t="s">
        <v>444</v>
      </c>
      <c r="I203" t="s">
        <v>178</v>
      </c>
      <c r="J203">
        <v>14</v>
      </c>
      <c r="K203" t="s">
        <v>488</v>
      </c>
      <c r="L203" t="s">
        <v>10</v>
      </c>
      <c r="M203" t="s">
        <v>190</v>
      </c>
      <c r="N203" t="s">
        <v>75</v>
      </c>
      <c r="Q203">
        <f t="shared" si="35"/>
        <v>18977</v>
      </c>
      <c r="R203" t="str">
        <f t="shared" si="36"/>
        <v>Velodrome</v>
      </c>
      <c r="S203" t="str">
        <f t="shared" si="37"/>
        <v>HollowBrook</v>
      </c>
      <c r="T203" s="20">
        <f t="shared" si="31"/>
        <v>0</v>
      </c>
      <c r="U203">
        <f t="shared" si="32"/>
        <v>744</v>
      </c>
      <c r="V203">
        <f t="shared" si="33"/>
        <v>744</v>
      </c>
      <c r="W203" cm="1">
        <f t="array" ref="W203">_xlfn._xlws.FILTER(shifts!A:A,(shifts!B:B=events!D203)*(shifts!AH:AH&gt;=events!U203)*(shifts!AI:AI&lt;=events!V203))</f>
        <v>5</v>
      </c>
      <c r="X203" t="str">
        <f t="shared" si="34"/>
        <v>event_team_player_1</v>
      </c>
      <c r="Y203">
        <f>COUNTIFS(A$3:A203,"="&amp;A203,K$3:K203,"="&amp;K203)</f>
        <v>1</v>
      </c>
      <c r="Z203" s="20">
        <f>SUMIFS(T$3:T203,L$3:L203,"=Intermission")+SUMIFS(T$3:T203,L$3:L203,"=Timeout")+SUMIFS(T$3:T203,L$3:L203,"=Clockstop")</f>
        <v>0</v>
      </c>
      <c r="AA203">
        <f t="shared" si="38"/>
        <v>0</v>
      </c>
      <c r="AB203" s="26">
        <f t="shared" si="39"/>
        <v>336</v>
      </c>
      <c r="AC203">
        <f t="shared" si="40"/>
        <v>0</v>
      </c>
    </row>
    <row r="204" spans="1:29" x14ac:dyDescent="0.2">
      <c r="A204">
        <v>107</v>
      </c>
      <c r="D204">
        <f t="shared" si="41"/>
        <v>1</v>
      </c>
      <c r="E204">
        <v>12</v>
      </c>
      <c r="F204" s="6" t="s">
        <v>444</v>
      </c>
      <c r="I204" t="s">
        <v>178</v>
      </c>
      <c r="J204">
        <v>8</v>
      </c>
      <c r="K204" t="s">
        <v>489</v>
      </c>
      <c r="L204" t="s">
        <v>10</v>
      </c>
      <c r="M204" t="s">
        <v>190</v>
      </c>
      <c r="N204" t="s">
        <v>75</v>
      </c>
      <c r="Q204">
        <f t="shared" si="35"/>
        <v>18977</v>
      </c>
      <c r="R204" t="str">
        <f t="shared" si="36"/>
        <v>Velodrome</v>
      </c>
      <c r="S204" t="str">
        <f t="shared" si="37"/>
        <v>HollowBrook</v>
      </c>
      <c r="T204" s="20">
        <f t="shared" si="31"/>
        <v>0</v>
      </c>
      <c r="U204">
        <f t="shared" si="32"/>
        <v>744</v>
      </c>
      <c r="V204">
        <f t="shared" si="33"/>
        <v>744</v>
      </c>
      <c r="W204" cm="1">
        <f t="array" ref="W204">_xlfn._xlws.FILTER(shifts!A:A,(shifts!B:B=events!D204)*(shifts!AH:AH&gt;=events!U204)*(shifts!AI:AI&lt;=events!V204))</f>
        <v>5</v>
      </c>
      <c r="X204" t="str">
        <f t="shared" si="34"/>
        <v>opp_team_player_1</v>
      </c>
      <c r="Y204">
        <f>COUNTIFS(A$3:A204,"="&amp;A204,K$3:K204,"="&amp;K204)</f>
        <v>1</v>
      </c>
      <c r="Z204" s="20">
        <f>SUMIFS(T$3:T204,L$3:L204,"=Intermission")+SUMIFS(T$3:T204,L$3:L204,"=Timeout")+SUMIFS(T$3:T204,L$3:L204,"=Clockstop")</f>
        <v>0</v>
      </c>
      <c r="AA204">
        <f t="shared" si="38"/>
        <v>0</v>
      </c>
      <c r="AB204" s="26">
        <f t="shared" si="39"/>
        <v>336</v>
      </c>
      <c r="AC204">
        <f t="shared" si="40"/>
        <v>0</v>
      </c>
    </row>
    <row r="205" spans="1:29" x14ac:dyDescent="0.2">
      <c r="A205">
        <v>108</v>
      </c>
      <c r="D205">
        <f t="shared" si="41"/>
        <v>1</v>
      </c>
      <c r="E205">
        <v>12</v>
      </c>
      <c r="F205" s="6" t="s">
        <v>456</v>
      </c>
      <c r="I205" t="s">
        <v>179</v>
      </c>
      <c r="J205">
        <v>8</v>
      </c>
      <c r="K205" t="s">
        <v>488</v>
      </c>
      <c r="L205" t="s">
        <v>7</v>
      </c>
      <c r="M205" t="s">
        <v>208</v>
      </c>
      <c r="N205" t="s">
        <v>53</v>
      </c>
      <c r="Q205">
        <f t="shared" si="35"/>
        <v>18977</v>
      </c>
      <c r="R205" t="str">
        <f t="shared" si="36"/>
        <v>Velodrome</v>
      </c>
      <c r="S205" t="str">
        <f t="shared" si="37"/>
        <v>HollowBrook</v>
      </c>
      <c r="T205" s="20">
        <f t="shared" si="31"/>
        <v>0</v>
      </c>
      <c r="U205">
        <f t="shared" si="32"/>
        <v>743</v>
      </c>
      <c r="V205">
        <f t="shared" si="33"/>
        <v>743</v>
      </c>
      <c r="W205" cm="1">
        <f t="array" ref="W205">_xlfn._xlws.FILTER(shifts!A:A,(shifts!B:B=events!D205)*(shifts!AH:AH&gt;=events!U205)*(shifts!AI:AI&lt;=events!V205))</f>
        <v>5</v>
      </c>
      <c r="X205" t="str">
        <f t="shared" si="34"/>
        <v>event_team_player_1</v>
      </c>
      <c r="Y205">
        <f>COUNTIFS(A$3:A205,"="&amp;A205,K$3:K205,"="&amp;K205)</f>
        <v>1</v>
      </c>
      <c r="Z205" s="20">
        <f>SUMIFS(T$3:T205,L$3:L205,"=Intermission")+SUMIFS(T$3:T205,L$3:L205,"=Timeout")+SUMIFS(T$3:T205,L$3:L205,"=Clockstop")</f>
        <v>0</v>
      </c>
      <c r="AA205">
        <f t="shared" si="38"/>
        <v>0</v>
      </c>
      <c r="AB205" s="26">
        <f t="shared" si="39"/>
        <v>337</v>
      </c>
      <c r="AC205">
        <f t="shared" si="40"/>
        <v>0</v>
      </c>
    </row>
    <row r="206" spans="1:29" x14ac:dyDescent="0.2">
      <c r="A206">
        <v>108</v>
      </c>
      <c r="D206">
        <f t="shared" si="41"/>
        <v>1</v>
      </c>
      <c r="E206">
        <v>12</v>
      </c>
      <c r="F206" s="6" t="s">
        <v>456</v>
      </c>
      <c r="I206" t="s">
        <v>179</v>
      </c>
      <c r="J206">
        <v>9</v>
      </c>
      <c r="K206" t="s">
        <v>489</v>
      </c>
      <c r="L206" t="s">
        <v>7</v>
      </c>
      <c r="M206" t="s">
        <v>208</v>
      </c>
      <c r="N206" t="s">
        <v>53</v>
      </c>
      <c r="Q206">
        <f t="shared" si="35"/>
        <v>18977</v>
      </c>
      <c r="R206" t="str">
        <f t="shared" si="36"/>
        <v>Velodrome</v>
      </c>
      <c r="S206" t="str">
        <f t="shared" si="37"/>
        <v>HollowBrook</v>
      </c>
      <c r="T206" s="20">
        <f t="shared" si="31"/>
        <v>0</v>
      </c>
      <c r="U206">
        <f t="shared" si="32"/>
        <v>743</v>
      </c>
      <c r="V206">
        <f t="shared" si="33"/>
        <v>743</v>
      </c>
      <c r="W206" cm="1">
        <f t="array" ref="W206">_xlfn._xlws.FILTER(shifts!A:A,(shifts!B:B=events!D206)*(shifts!AH:AH&gt;=events!U206)*(shifts!AI:AI&lt;=events!V206))</f>
        <v>5</v>
      </c>
      <c r="X206" t="str">
        <f t="shared" si="34"/>
        <v>opp_team_player_1</v>
      </c>
      <c r="Y206">
        <f>COUNTIFS(A$3:A206,"="&amp;A206,K$3:K206,"="&amp;K206)</f>
        <v>1</v>
      </c>
      <c r="Z206" s="20">
        <f>SUMIFS(T$3:T206,L$3:L206,"=Intermission")+SUMIFS(T$3:T206,L$3:L206,"=Timeout")+SUMIFS(T$3:T206,L$3:L206,"=Clockstop")</f>
        <v>0</v>
      </c>
      <c r="AA206">
        <f t="shared" si="38"/>
        <v>0</v>
      </c>
      <c r="AB206" s="26">
        <f t="shared" si="39"/>
        <v>337</v>
      </c>
      <c r="AC206">
        <f t="shared" si="40"/>
        <v>0</v>
      </c>
    </row>
    <row r="207" spans="1:29" x14ac:dyDescent="0.2">
      <c r="A207">
        <v>109</v>
      </c>
      <c r="D207">
        <f t="shared" si="41"/>
        <v>1</v>
      </c>
      <c r="E207">
        <v>12</v>
      </c>
      <c r="F207" s="6" t="s">
        <v>446</v>
      </c>
      <c r="G207">
        <v>12</v>
      </c>
      <c r="H207" s="8" t="s">
        <v>447</v>
      </c>
      <c r="I207" t="s">
        <v>179</v>
      </c>
      <c r="J207">
        <v>19</v>
      </c>
      <c r="K207" t="s">
        <v>488</v>
      </c>
      <c r="L207" t="s">
        <v>15</v>
      </c>
      <c r="Q207">
        <f t="shared" si="35"/>
        <v>18977</v>
      </c>
      <c r="R207" t="str">
        <f t="shared" si="36"/>
        <v>Velodrome</v>
      </c>
      <c r="S207" t="str">
        <f t="shared" si="37"/>
        <v>HollowBrook</v>
      </c>
      <c r="T207" s="20">
        <f t="shared" si="31"/>
        <v>2</v>
      </c>
      <c r="U207">
        <f t="shared" si="32"/>
        <v>737</v>
      </c>
      <c r="V207">
        <f t="shared" si="33"/>
        <v>735</v>
      </c>
      <c r="W207" cm="1">
        <f t="array" ref="W207">_xlfn._xlws.FILTER(shifts!A:A,(shifts!B:B=events!D207)*(shifts!AH:AH&gt;=events!U207)*(shifts!AI:AI&lt;=events!V207))</f>
        <v>5</v>
      </c>
      <c r="X207" t="str">
        <f t="shared" si="34"/>
        <v>event_team_player_1</v>
      </c>
      <c r="Y207">
        <f>COUNTIFS(A$3:A207,"="&amp;A207,K$3:K207,"="&amp;K207)</f>
        <v>1</v>
      </c>
      <c r="Z207" s="20">
        <f>SUMIFS(T$3:T207,L$3:L207,"=Intermission")+SUMIFS(T$3:T207,L$3:L207,"=Timeout")+SUMIFS(T$3:T207,L$3:L207,"=Clockstop")</f>
        <v>0</v>
      </c>
      <c r="AA207">
        <f t="shared" si="38"/>
        <v>0</v>
      </c>
      <c r="AB207" s="26">
        <f t="shared" si="39"/>
        <v>343</v>
      </c>
      <c r="AC207">
        <f t="shared" si="40"/>
        <v>0</v>
      </c>
    </row>
    <row r="208" spans="1:29" x14ac:dyDescent="0.2">
      <c r="A208">
        <v>110</v>
      </c>
      <c r="D208">
        <f t="shared" si="41"/>
        <v>1</v>
      </c>
      <c r="E208">
        <v>12</v>
      </c>
      <c r="F208" s="6" t="s">
        <v>447</v>
      </c>
      <c r="I208" t="s">
        <v>179</v>
      </c>
      <c r="J208">
        <v>19</v>
      </c>
      <c r="K208" t="s">
        <v>488</v>
      </c>
      <c r="L208" t="s">
        <v>7</v>
      </c>
      <c r="M208" t="s">
        <v>222</v>
      </c>
      <c r="N208" t="s">
        <v>53</v>
      </c>
      <c r="Q208">
        <f t="shared" si="35"/>
        <v>18977</v>
      </c>
      <c r="R208" t="str">
        <f t="shared" si="36"/>
        <v>Velodrome</v>
      </c>
      <c r="S208" t="str">
        <f t="shared" si="37"/>
        <v>HollowBrook</v>
      </c>
      <c r="T208" s="20">
        <f t="shared" si="31"/>
        <v>0</v>
      </c>
      <c r="U208">
        <f t="shared" si="32"/>
        <v>735</v>
      </c>
      <c r="V208">
        <f t="shared" si="33"/>
        <v>735</v>
      </c>
      <c r="W208" cm="1">
        <f t="array" ref="W208">_xlfn._xlws.FILTER(shifts!A:A,(shifts!B:B=events!D208)*(shifts!AH:AH&gt;=events!U208)*(shifts!AI:AI&lt;=events!V208))</f>
        <v>5</v>
      </c>
      <c r="X208" t="str">
        <f t="shared" si="34"/>
        <v>event_team_player_1</v>
      </c>
      <c r="Y208">
        <f>COUNTIFS(A$3:A208,"="&amp;A208,K$3:K208,"="&amp;K208)</f>
        <v>1</v>
      </c>
      <c r="Z208" s="20">
        <f>SUMIFS(T$3:T208,L$3:L208,"=Intermission")+SUMIFS(T$3:T208,L$3:L208,"=Timeout")+SUMIFS(T$3:T208,L$3:L208,"=Clockstop")</f>
        <v>0</v>
      </c>
      <c r="AA208">
        <f t="shared" si="38"/>
        <v>0</v>
      </c>
      <c r="AB208" s="26">
        <f t="shared" si="39"/>
        <v>345</v>
      </c>
      <c r="AC208">
        <f t="shared" si="40"/>
        <v>0</v>
      </c>
    </row>
    <row r="209" spans="1:29" x14ac:dyDescent="0.2">
      <c r="A209">
        <v>110</v>
      </c>
      <c r="D209">
        <f t="shared" si="41"/>
        <v>1</v>
      </c>
      <c r="E209">
        <v>12</v>
      </c>
      <c r="F209" s="6" t="s">
        <v>447</v>
      </c>
      <c r="I209" t="s">
        <v>179</v>
      </c>
      <c r="J209">
        <v>39</v>
      </c>
      <c r="K209" t="s">
        <v>489</v>
      </c>
      <c r="L209" t="s">
        <v>7</v>
      </c>
      <c r="M209" t="s">
        <v>222</v>
      </c>
      <c r="N209" t="s">
        <v>53</v>
      </c>
      <c r="Q209">
        <f t="shared" si="35"/>
        <v>18977</v>
      </c>
      <c r="R209" t="str">
        <f t="shared" si="36"/>
        <v>Velodrome</v>
      </c>
      <c r="S209" t="str">
        <f t="shared" si="37"/>
        <v>HollowBrook</v>
      </c>
      <c r="T209" s="20">
        <f t="shared" si="31"/>
        <v>0</v>
      </c>
      <c r="U209">
        <f t="shared" si="32"/>
        <v>735</v>
      </c>
      <c r="V209">
        <f t="shared" si="33"/>
        <v>735</v>
      </c>
      <c r="W209" cm="1">
        <f t="array" ref="W209">_xlfn._xlws.FILTER(shifts!A:A,(shifts!B:B=events!D209)*(shifts!AH:AH&gt;=events!U209)*(shifts!AI:AI&lt;=events!V209))</f>
        <v>5</v>
      </c>
      <c r="X209" t="str">
        <f t="shared" si="34"/>
        <v>opp_team_player_1</v>
      </c>
      <c r="Y209">
        <f>COUNTIFS(A$3:A209,"="&amp;A209,K$3:K209,"="&amp;K209)</f>
        <v>1</v>
      </c>
      <c r="Z209" s="20">
        <f>SUMIFS(T$3:T209,L$3:L209,"=Intermission")+SUMIFS(T$3:T209,L$3:L209,"=Timeout")+SUMIFS(T$3:T209,L$3:L209,"=Clockstop")</f>
        <v>0</v>
      </c>
      <c r="AA209">
        <f t="shared" si="38"/>
        <v>0</v>
      </c>
      <c r="AB209" s="26">
        <f t="shared" si="39"/>
        <v>345</v>
      </c>
      <c r="AC209">
        <f t="shared" si="40"/>
        <v>0</v>
      </c>
    </row>
    <row r="210" spans="1:29" x14ac:dyDescent="0.2">
      <c r="A210">
        <v>110</v>
      </c>
      <c r="D210">
        <f t="shared" si="41"/>
        <v>1</v>
      </c>
      <c r="E210">
        <v>12</v>
      </c>
      <c r="F210" s="6" t="s">
        <v>447</v>
      </c>
      <c r="I210" t="s">
        <v>179</v>
      </c>
      <c r="J210">
        <v>84</v>
      </c>
      <c r="K210" t="s">
        <v>489</v>
      </c>
      <c r="L210" t="s">
        <v>7</v>
      </c>
      <c r="M210" t="s">
        <v>222</v>
      </c>
      <c r="N210" t="s">
        <v>53</v>
      </c>
      <c r="Q210">
        <f t="shared" si="35"/>
        <v>18977</v>
      </c>
      <c r="R210" t="str">
        <f t="shared" si="36"/>
        <v>Velodrome</v>
      </c>
      <c r="S210" t="str">
        <f t="shared" si="37"/>
        <v>HollowBrook</v>
      </c>
      <c r="T210" s="20">
        <f t="shared" si="31"/>
        <v>0</v>
      </c>
      <c r="U210">
        <f t="shared" si="32"/>
        <v>735</v>
      </c>
      <c r="V210">
        <f t="shared" si="33"/>
        <v>735</v>
      </c>
      <c r="W210" cm="1">
        <f t="array" ref="W210">_xlfn._xlws.FILTER(shifts!A:A,(shifts!B:B=events!D210)*(shifts!AH:AH&gt;=events!U210)*(shifts!AI:AI&lt;=events!V210))</f>
        <v>5</v>
      </c>
      <c r="X210" t="str">
        <f t="shared" si="34"/>
        <v>opp_team_player_2</v>
      </c>
      <c r="Y210">
        <f>COUNTIFS(A$3:A210,"="&amp;A210,K$3:K210,"="&amp;K210)</f>
        <v>2</v>
      </c>
      <c r="Z210" s="20">
        <f>SUMIFS(T$3:T210,L$3:L210,"=Intermission")+SUMIFS(T$3:T210,L$3:L210,"=Timeout")+SUMIFS(T$3:T210,L$3:L210,"=Clockstop")</f>
        <v>0</v>
      </c>
      <c r="AA210">
        <f t="shared" si="38"/>
        <v>0</v>
      </c>
      <c r="AB210" s="26">
        <f t="shared" si="39"/>
        <v>345</v>
      </c>
      <c r="AC210">
        <f t="shared" si="40"/>
        <v>0</v>
      </c>
    </row>
    <row r="211" spans="1:29" x14ac:dyDescent="0.2">
      <c r="A211">
        <v>111</v>
      </c>
      <c r="D211">
        <f t="shared" si="41"/>
        <v>1</v>
      </c>
      <c r="E211">
        <v>12</v>
      </c>
      <c r="F211" s="6" t="s">
        <v>447</v>
      </c>
      <c r="I211" t="s">
        <v>178</v>
      </c>
      <c r="J211">
        <v>39</v>
      </c>
      <c r="K211" t="s">
        <v>488</v>
      </c>
      <c r="L211" t="s">
        <v>17</v>
      </c>
      <c r="M211" t="s">
        <v>196</v>
      </c>
      <c r="N211" t="s">
        <v>97</v>
      </c>
      <c r="Q211">
        <f t="shared" si="35"/>
        <v>18977</v>
      </c>
      <c r="R211" t="str">
        <f t="shared" si="36"/>
        <v>Velodrome</v>
      </c>
      <c r="S211" t="str">
        <f t="shared" si="37"/>
        <v>HollowBrook</v>
      </c>
      <c r="T211" s="20">
        <f t="shared" si="31"/>
        <v>0</v>
      </c>
      <c r="U211">
        <f t="shared" si="32"/>
        <v>735</v>
      </c>
      <c r="V211">
        <f t="shared" si="33"/>
        <v>735</v>
      </c>
      <c r="W211" cm="1">
        <f t="array" ref="W211">_xlfn._xlws.FILTER(shifts!A:A,(shifts!B:B=events!D211)*(shifts!AH:AH&gt;=events!U211)*(shifts!AI:AI&lt;=events!V211))</f>
        <v>5</v>
      </c>
      <c r="X211" t="str">
        <f t="shared" si="34"/>
        <v>event_team_player_1</v>
      </c>
      <c r="Y211">
        <f>COUNTIFS(A$3:A211,"="&amp;A211,K$3:K211,"="&amp;K211)</f>
        <v>1</v>
      </c>
      <c r="Z211" s="20">
        <f>SUMIFS(T$3:T211,L$3:L211,"=Intermission")+SUMIFS(T$3:T211,L$3:L211,"=Timeout")+SUMIFS(T$3:T211,L$3:L211,"=Clockstop")</f>
        <v>0</v>
      </c>
      <c r="AA211">
        <f t="shared" si="38"/>
        <v>0</v>
      </c>
      <c r="AB211" s="26">
        <f t="shared" si="39"/>
        <v>345</v>
      </c>
      <c r="AC211">
        <f t="shared" si="40"/>
        <v>0</v>
      </c>
    </row>
    <row r="212" spans="1:29" x14ac:dyDescent="0.2">
      <c r="A212">
        <v>111</v>
      </c>
      <c r="D212">
        <f t="shared" si="41"/>
        <v>1</v>
      </c>
      <c r="E212">
        <v>12</v>
      </c>
      <c r="F212" s="6" t="s">
        <v>447</v>
      </c>
      <c r="I212" t="s">
        <v>178</v>
      </c>
      <c r="J212">
        <v>19</v>
      </c>
      <c r="K212" t="s">
        <v>489</v>
      </c>
      <c r="L212" t="s">
        <v>17</v>
      </c>
      <c r="M212" t="s">
        <v>196</v>
      </c>
      <c r="N212" t="s">
        <v>97</v>
      </c>
      <c r="Q212">
        <f t="shared" si="35"/>
        <v>18977</v>
      </c>
      <c r="R212" t="str">
        <f t="shared" si="36"/>
        <v>Velodrome</v>
      </c>
      <c r="S212" t="str">
        <f t="shared" si="37"/>
        <v>HollowBrook</v>
      </c>
      <c r="T212" s="20">
        <f t="shared" si="31"/>
        <v>0</v>
      </c>
      <c r="U212">
        <f t="shared" si="32"/>
        <v>735</v>
      </c>
      <c r="V212">
        <f t="shared" si="33"/>
        <v>735</v>
      </c>
      <c r="W212" cm="1">
        <f t="array" ref="W212">_xlfn._xlws.FILTER(shifts!A:A,(shifts!B:B=events!D212)*(shifts!AH:AH&gt;=events!U212)*(shifts!AI:AI&lt;=events!V212))</f>
        <v>5</v>
      </c>
      <c r="X212" t="str">
        <f t="shared" si="34"/>
        <v>opp_team_player_1</v>
      </c>
      <c r="Y212">
        <f>COUNTIFS(A$3:A212,"="&amp;A212,K$3:K212,"="&amp;K212)</f>
        <v>1</v>
      </c>
      <c r="Z212" s="20">
        <f>SUMIFS(T$3:T212,L$3:L212,"=Intermission")+SUMIFS(T$3:T212,L$3:L212,"=Timeout")+SUMIFS(T$3:T212,L$3:L212,"=Clockstop")</f>
        <v>0</v>
      </c>
      <c r="AA212">
        <f t="shared" si="38"/>
        <v>0</v>
      </c>
      <c r="AB212" s="26">
        <f t="shared" si="39"/>
        <v>345</v>
      </c>
      <c r="AC212">
        <f t="shared" si="40"/>
        <v>0</v>
      </c>
    </row>
    <row r="213" spans="1:29" x14ac:dyDescent="0.2">
      <c r="A213">
        <v>112</v>
      </c>
      <c r="D213">
        <f t="shared" si="41"/>
        <v>1</v>
      </c>
      <c r="E213">
        <v>12</v>
      </c>
      <c r="F213" s="6" t="s">
        <v>447</v>
      </c>
      <c r="I213" t="s">
        <v>178</v>
      </c>
      <c r="J213">
        <v>39</v>
      </c>
      <c r="K213" t="s">
        <v>488</v>
      </c>
      <c r="L213" t="s">
        <v>270</v>
      </c>
      <c r="M213" t="s">
        <v>272</v>
      </c>
      <c r="Q213">
        <f t="shared" si="35"/>
        <v>18977</v>
      </c>
      <c r="R213" t="str">
        <f t="shared" si="36"/>
        <v>Velodrome</v>
      </c>
      <c r="S213" t="str">
        <f t="shared" si="37"/>
        <v>HollowBrook</v>
      </c>
      <c r="T213" s="20">
        <f t="shared" si="31"/>
        <v>0</v>
      </c>
      <c r="U213">
        <f t="shared" si="32"/>
        <v>735</v>
      </c>
      <c r="V213">
        <f t="shared" si="33"/>
        <v>735</v>
      </c>
      <c r="W213" cm="1">
        <f t="array" ref="W213">_xlfn._xlws.FILTER(shifts!A:A,(shifts!B:B=events!D213)*(shifts!AH:AH&gt;=events!U213)*(shifts!AI:AI&lt;=events!V213))</f>
        <v>5</v>
      </c>
      <c r="X213" t="str">
        <f t="shared" si="34"/>
        <v>event_team_player_1</v>
      </c>
      <c r="Y213">
        <f>COUNTIFS(A$3:A213,"="&amp;A213,K$3:K213,"="&amp;K213)</f>
        <v>1</v>
      </c>
      <c r="Z213" s="20">
        <f>SUMIFS(T$3:T213,L$3:L213,"=Intermission")+SUMIFS(T$3:T213,L$3:L213,"=Timeout")+SUMIFS(T$3:T213,L$3:L213,"=Clockstop")</f>
        <v>0</v>
      </c>
      <c r="AA213">
        <f t="shared" si="38"/>
        <v>0</v>
      </c>
      <c r="AB213" s="26">
        <f t="shared" si="39"/>
        <v>345</v>
      </c>
      <c r="AC213">
        <f t="shared" si="40"/>
        <v>0</v>
      </c>
    </row>
    <row r="214" spans="1:29" x14ac:dyDescent="0.2">
      <c r="A214">
        <v>113</v>
      </c>
      <c r="D214">
        <f t="shared" si="41"/>
        <v>1</v>
      </c>
      <c r="E214">
        <v>12</v>
      </c>
      <c r="F214" s="6" t="s">
        <v>317</v>
      </c>
      <c r="G214">
        <v>12</v>
      </c>
      <c r="H214" s="8" t="s">
        <v>449</v>
      </c>
      <c r="I214" t="s">
        <v>179</v>
      </c>
      <c r="J214">
        <v>19</v>
      </c>
      <c r="K214" t="s">
        <v>488</v>
      </c>
      <c r="L214" t="s">
        <v>15</v>
      </c>
      <c r="Q214">
        <f t="shared" si="35"/>
        <v>18977</v>
      </c>
      <c r="R214" t="str">
        <f t="shared" si="36"/>
        <v>Velodrome</v>
      </c>
      <c r="S214" t="str">
        <f t="shared" si="37"/>
        <v>HollowBrook</v>
      </c>
      <c r="T214" s="20">
        <f t="shared" si="31"/>
        <v>1</v>
      </c>
      <c r="U214">
        <f t="shared" si="32"/>
        <v>733</v>
      </c>
      <c r="V214">
        <f t="shared" si="33"/>
        <v>732</v>
      </c>
      <c r="W214" cm="1">
        <f t="array" ref="W214">_xlfn._xlws.FILTER(shifts!A:A,(shifts!B:B=events!D214)*(shifts!AH:AH&gt;=events!U214)*(shifts!AI:AI&lt;=events!V214))</f>
        <v>5</v>
      </c>
      <c r="X214" t="str">
        <f t="shared" si="34"/>
        <v>event_team_player_1</v>
      </c>
      <c r="Y214">
        <f>COUNTIFS(A$3:A214,"="&amp;A214,K$3:K214,"="&amp;K214)</f>
        <v>1</v>
      </c>
      <c r="Z214" s="20">
        <f>SUMIFS(T$3:T214,L$3:L214,"=Intermission")+SUMIFS(T$3:T214,L$3:L214,"=Timeout")+SUMIFS(T$3:T214,L$3:L214,"=Clockstop")</f>
        <v>0</v>
      </c>
      <c r="AA214">
        <f t="shared" si="38"/>
        <v>0</v>
      </c>
      <c r="AB214" s="26">
        <f t="shared" si="39"/>
        <v>347</v>
      </c>
      <c r="AC214">
        <f t="shared" si="40"/>
        <v>0</v>
      </c>
    </row>
    <row r="215" spans="1:29" x14ac:dyDescent="0.2">
      <c r="A215">
        <v>113</v>
      </c>
      <c r="D215">
        <f t="shared" si="41"/>
        <v>1</v>
      </c>
      <c r="E215">
        <v>12</v>
      </c>
      <c r="F215" s="6" t="s">
        <v>317</v>
      </c>
      <c r="G215">
        <v>12</v>
      </c>
      <c r="H215" s="8" t="s">
        <v>449</v>
      </c>
      <c r="I215" t="s">
        <v>179</v>
      </c>
      <c r="J215">
        <v>84</v>
      </c>
      <c r="K215" t="s">
        <v>489</v>
      </c>
      <c r="L215" t="s">
        <v>15</v>
      </c>
      <c r="Q215">
        <f t="shared" si="35"/>
        <v>18977</v>
      </c>
      <c r="R215" t="str">
        <f t="shared" si="36"/>
        <v>Velodrome</v>
      </c>
      <c r="S215" t="str">
        <f t="shared" si="37"/>
        <v>HollowBrook</v>
      </c>
      <c r="T215" s="20">
        <f t="shared" si="31"/>
        <v>1</v>
      </c>
      <c r="U215">
        <f t="shared" si="32"/>
        <v>733</v>
      </c>
      <c r="V215">
        <f t="shared" si="33"/>
        <v>732</v>
      </c>
      <c r="W215" cm="1">
        <f t="array" ref="W215">_xlfn._xlws.FILTER(shifts!A:A,(shifts!B:B=events!D215)*(shifts!AH:AH&gt;=events!U215)*(shifts!AI:AI&lt;=events!V215))</f>
        <v>5</v>
      </c>
      <c r="X215" t="str">
        <f t="shared" si="34"/>
        <v>opp_team_player_1</v>
      </c>
      <c r="Y215">
        <f>COUNTIFS(A$3:A215,"="&amp;A215,K$3:K215,"="&amp;K215)</f>
        <v>1</v>
      </c>
      <c r="Z215" s="20">
        <f>SUMIFS(T$3:T215,L$3:L215,"=Intermission")+SUMIFS(T$3:T215,L$3:L215,"=Timeout")+SUMIFS(T$3:T215,L$3:L215,"=Clockstop")</f>
        <v>0</v>
      </c>
      <c r="AA215">
        <f t="shared" si="38"/>
        <v>0</v>
      </c>
      <c r="AB215" s="26">
        <f t="shared" si="39"/>
        <v>347</v>
      </c>
      <c r="AC215">
        <f t="shared" si="40"/>
        <v>0</v>
      </c>
    </row>
    <row r="216" spans="1:29" x14ac:dyDescent="0.2">
      <c r="A216">
        <v>114</v>
      </c>
      <c r="D216">
        <f t="shared" si="41"/>
        <v>1</v>
      </c>
      <c r="E216">
        <v>12</v>
      </c>
      <c r="F216" s="6" t="s">
        <v>449</v>
      </c>
      <c r="I216" t="s">
        <v>179</v>
      </c>
      <c r="J216">
        <v>19</v>
      </c>
      <c r="K216" t="s">
        <v>488</v>
      </c>
      <c r="L216" t="s">
        <v>10</v>
      </c>
      <c r="M216" t="s">
        <v>190</v>
      </c>
      <c r="N216" t="s">
        <v>75</v>
      </c>
      <c r="Q216">
        <f t="shared" si="35"/>
        <v>18977</v>
      </c>
      <c r="R216" t="str">
        <f t="shared" si="36"/>
        <v>Velodrome</v>
      </c>
      <c r="S216" t="str">
        <f t="shared" si="37"/>
        <v>HollowBrook</v>
      </c>
      <c r="T216" s="20">
        <f t="shared" si="31"/>
        <v>0</v>
      </c>
      <c r="U216">
        <f t="shared" si="32"/>
        <v>732</v>
      </c>
      <c r="V216">
        <f t="shared" si="33"/>
        <v>732</v>
      </c>
      <c r="W216" cm="1">
        <f t="array" ref="W216">_xlfn._xlws.FILTER(shifts!A:A,(shifts!B:B=events!D216)*(shifts!AH:AH&gt;=events!U216)*(shifts!AI:AI&lt;=events!V216))</f>
        <v>5</v>
      </c>
      <c r="X216" t="str">
        <f t="shared" si="34"/>
        <v>event_team_player_1</v>
      </c>
      <c r="Y216">
        <f>COUNTIFS(A$3:A216,"="&amp;A216,K$3:K216,"="&amp;K216)</f>
        <v>1</v>
      </c>
      <c r="Z216" s="20">
        <f>SUMIFS(T$3:T216,L$3:L216,"=Intermission")+SUMIFS(T$3:T216,L$3:L216,"=Timeout")+SUMIFS(T$3:T216,L$3:L216,"=Clockstop")</f>
        <v>0</v>
      </c>
      <c r="AA216">
        <f t="shared" si="38"/>
        <v>0</v>
      </c>
      <c r="AB216" s="26">
        <f t="shared" si="39"/>
        <v>348</v>
      </c>
      <c r="AC216">
        <f t="shared" si="40"/>
        <v>0</v>
      </c>
    </row>
    <row r="217" spans="1:29" x14ac:dyDescent="0.2">
      <c r="A217">
        <v>114</v>
      </c>
      <c r="D217">
        <f t="shared" si="41"/>
        <v>1</v>
      </c>
      <c r="E217">
        <v>12</v>
      </c>
      <c r="F217" s="6" t="s">
        <v>449</v>
      </c>
      <c r="I217" t="s">
        <v>179</v>
      </c>
      <c r="J217">
        <v>9</v>
      </c>
      <c r="K217" t="s">
        <v>489</v>
      </c>
      <c r="L217" t="s">
        <v>10</v>
      </c>
      <c r="M217" t="s">
        <v>190</v>
      </c>
      <c r="N217" t="s">
        <v>75</v>
      </c>
      <c r="Q217">
        <f t="shared" si="35"/>
        <v>18977</v>
      </c>
      <c r="R217" t="str">
        <f t="shared" si="36"/>
        <v>Velodrome</v>
      </c>
      <c r="S217" t="str">
        <f t="shared" si="37"/>
        <v>HollowBrook</v>
      </c>
      <c r="T217" s="20">
        <f t="shared" si="31"/>
        <v>0</v>
      </c>
      <c r="U217">
        <f t="shared" si="32"/>
        <v>732</v>
      </c>
      <c r="V217">
        <f t="shared" si="33"/>
        <v>732</v>
      </c>
      <c r="W217" cm="1">
        <f t="array" ref="W217">_xlfn._xlws.FILTER(shifts!A:A,(shifts!B:B=events!D217)*(shifts!AH:AH&gt;=events!U217)*(shifts!AI:AI&lt;=events!V217))</f>
        <v>5</v>
      </c>
      <c r="X217" t="str">
        <f t="shared" si="34"/>
        <v>opp_team_player_1</v>
      </c>
      <c r="Y217">
        <f>COUNTIFS(A$3:A217,"="&amp;A217,K$3:K217,"="&amp;K217)</f>
        <v>1</v>
      </c>
      <c r="Z217" s="20">
        <f>SUMIFS(T$3:T217,L$3:L217,"=Intermission")+SUMIFS(T$3:T217,L$3:L217,"=Timeout")+SUMIFS(T$3:T217,L$3:L217,"=Clockstop")</f>
        <v>0</v>
      </c>
      <c r="AA217">
        <f t="shared" si="38"/>
        <v>0</v>
      </c>
      <c r="AB217" s="26">
        <f t="shared" si="39"/>
        <v>348</v>
      </c>
      <c r="AC217">
        <f t="shared" si="40"/>
        <v>0</v>
      </c>
    </row>
    <row r="218" spans="1:29" x14ac:dyDescent="0.2">
      <c r="A218">
        <v>114</v>
      </c>
      <c r="D218">
        <f t="shared" si="41"/>
        <v>1</v>
      </c>
      <c r="E218">
        <v>12</v>
      </c>
      <c r="F218" s="6" t="s">
        <v>449</v>
      </c>
      <c r="I218" t="s">
        <v>179</v>
      </c>
      <c r="J218">
        <v>84</v>
      </c>
      <c r="K218" t="s">
        <v>489</v>
      </c>
      <c r="L218" t="s">
        <v>10</v>
      </c>
      <c r="M218" t="s">
        <v>190</v>
      </c>
      <c r="N218" t="s">
        <v>75</v>
      </c>
      <c r="Q218">
        <f t="shared" si="35"/>
        <v>18977</v>
      </c>
      <c r="R218" t="str">
        <f t="shared" si="36"/>
        <v>Velodrome</v>
      </c>
      <c r="S218" t="str">
        <f t="shared" si="37"/>
        <v>HollowBrook</v>
      </c>
      <c r="T218" s="20">
        <f t="shared" si="31"/>
        <v>0</v>
      </c>
      <c r="U218">
        <f t="shared" si="32"/>
        <v>732</v>
      </c>
      <c r="V218">
        <f t="shared" si="33"/>
        <v>732</v>
      </c>
      <c r="W218" cm="1">
        <f t="array" ref="W218">_xlfn._xlws.FILTER(shifts!A:A,(shifts!B:B=events!D218)*(shifts!AH:AH&gt;=events!U218)*(shifts!AI:AI&lt;=events!V218))</f>
        <v>5</v>
      </c>
      <c r="X218" t="str">
        <f t="shared" si="34"/>
        <v>opp_team_player_2</v>
      </c>
      <c r="Y218">
        <f>COUNTIFS(A$3:A218,"="&amp;A218,K$3:K218,"="&amp;K218)</f>
        <v>2</v>
      </c>
      <c r="Z218" s="20">
        <f>SUMIFS(T$3:T218,L$3:L218,"=Intermission")+SUMIFS(T$3:T218,L$3:L218,"=Timeout")+SUMIFS(T$3:T218,L$3:L218,"=Clockstop")</f>
        <v>0</v>
      </c>
      <c r="AA218">
        <f t="shared" si="38"/>
        <v>0</v>
      </c>
      <c r="AB218" s="26">
        <f t="shared" si="39"/>
        <v>348</v>
      </c>
      <c r="AC218">
        <f t="shared" si="40"/>
        <v>0</v>
      </c>
    </row>
    <row r="219" spans="1:29" x14ac:dyDescent="0.2">
      <c r="A219">
        <v>115</v>
      </c>
      <c r="D219">
        <f t="shared" si="41"/>
        <v>1</v>
      </c>
      <c r="E219">
        <v>12</v>
      </c>
      <c r="F219" s="6" t="s">
        <v>449</v>
      </c>
      <c r="G219">
        <v>12</v>
      </c>
      <c r="H219" s="8" t="s">
        <v>425</v>
      </c>
      <c r="I219" t="s">
        <v>178</v>
      </c>
      <c r="J219">
        <v>70</v>
      </c>
      <c r="K219" t="s">
        <v>488</v>
      </c>
      <c r="L219" t="s">
        <v>15</v>
      </c>
      <c r="Q219">
        <f t="shared" si="35"/>
        <v>18977</v>
      </c>
      <c r="R219" t="str">
        <f t="shared" si="36"/>
        <v>Velodrome</v>
      </c>
      <c r="S219" t="str">
        <f t="shared" si="37"/>
        <v>HollowBrook</v>
      </c>
      <c r="T219" s="20">
        <f t="shared" si="31"/>
        <v>2</v>
      </c>
      <c r="U219">
        <f t="shared" si="32"/>
        <v>732</v>
      </c>
      <c r="V219">
        <f t="shared" si="33"/>
        <v>730</v>
      </c>
      <c r="W219" cm="1">
        <f t="array" ref="W219">_xlfn._xlws.FILTER(shifts!A:A,(shifts!B:B=events!D219)*(shifts!AH:AH&gt;=events!U219)*(shifts!AI:AI&lt;=events!V219))</f>
        <v>5</v>
      </c>
      <c r="X219" t="str">
        <f t="shared" si="34"/>
        <v>event_team_player_1</v>
      </c>
      <c r="Y219">
        <f>COUNTIFS(A$3:A219,"="&amp;A219,K$3:K219,"="&amp;K219)</f>
        <v>1</v>
      </c>
      <c r="Z219" s="20">
        <f>SUMIFS(T$3:T219,L$3:L219,"=Intermission")+SUMIFS(T$3:T219,L$3:L219,"=Timeout")+SUMIFS(T$3:T219,L$3:L219,"=Clockstop")</f>
        <v>0</v>
      </c>
      <c r="AA219">
        <f t="shared" si="38"/>
        <v>0</v>
      </c>
      <c r="AB219" s="26">
        <f t="shared" si="39"/>
        <v>348</v>
      </c>
      <c r="AC219">
        <f t="shared" si="40"/>
        <v>0</v>
      </c>
    </row>
    <row r="220" spans="1:29" x14ac:dyDescent="0.2">
      <c r="A220">
        <v>115</v>
      </c>
      <c r="D220">
        <f t="shared" si="41"/>
        <v>1</v>
      </c>
      <c r="E220">
        <v>12</v>
      </c>
      <c r="F220" s="6" t="s">
        <v>449</v>
      </c>
      <c r="G220">
        <v>12</v>
      </c>
      <c r="H220" s="8" t="s">
        <v>425</v>
      </c>
      <c r="I220" t="s">
        <v>178</v>
      </c>
      <c r="J220">
        <v>19</v>
      </c>
      <c r="K220" t="s">
        <v>489</v>
      </c>
      <c r="L220" t="s">
        <v>15</v>
      </c>
      <c r="Q220">
        <f t="shared" si="35"/>
        <v>18977</v>
      </c>
      <c r="R220" t="str">
        <f t="shared" si="36"/>
        <v>Velodrome</v>
      </c>
      <c r="S220" t="str">
        <f t="shared" si="37"/>
        <v>HollowBrook</v>
      </c>
      <c r="T220" s="20">
        <f t="shared" si="31"/>
        <v>2</v>
      </c>
      <c r="U220">
        <f t="shared" si="32"/>
        <v>732</v>
      </c>
      <c r="V220">
        <f t="shared" si="33"/>
        <v>730</v>
      </c>
      <c r="W220" cm="1">
        <f t="array" ref="W220">_xlfn._xlws.FILTER(shifts!A:A,(shifts!B:B=events!D220)*(shifts!AH:AH&gt;=events!U220)*(shifts!AI:AI&lt;=events!V220))</f>
        <v>5</v>
      </c>
      <c r="X220" t="str">
        <f t="shared" si="34"/>
        <v>opp_team_player_1</v>
      </c>
      <c r="Y220">
        <f>COUNTIFS(A$3:A220,"="&amp;A220,K$3:K220,"="&amp;K220)</f>
        <v>1</v>
      </c>
      <c r="Z220" s="20">
        <f>SUMIFS(T$3:T220,L$3:L220,"=Intermission")+SUMIFS(T$3:T220,L$3:L220,"=Timeout")+SUMIFS(T$3:T220,L$3:L220,"=Clockstop")</f>
        <v>0</v>
      </c>
      <c r="AA220">
        <f t="shared" si="38"/>
        <v>0</v>
      </c>
      <c r="AB220" s="26">
        <f t="shared" si="39"/>
        <v>348</v>
      </c>
      <c r="AC220">
        <f t="shared" si="40"/>
        <v>0</v>
      </c>
    </row>
    <row r="221" spans="1:29" x14ac:dyDescent="0.2">
      <c r="A221">
        <v>116</v>
      </c>
      <c r="D221">
        <f t="shared" si="41"/>
        <v>1</v>
      </c>
      <c r="E221">
        <v>12</v>
      </c>
      <c r="F221" s="6" t="s">
        <v>309</v>
      </c>
      <c r="I221" t="s">
        <v>178</v>
      </c>
      <c r="J221">
        <v>70</v>
      </c>
      <c r="K221" t="s">
        <v>488</v>
      </c>
      <c r="L221" t="s">
        <v>277</v>
      </c>
      <c r="M221" t="s">
        <v>201</v>
      </c>
      <c r="N221" t="s">
        <v>92</v>
      </c>
      <c r="Q221">
        <f t="shared" si="35"/>
        <v>18977</v>
      </c>
      <c r="R221" t="str">
        <f t="shared" si="36"/>
        <v>Velodrome</v>
      </c>
      <c r="S221" t="str">
        <f t="shared" si="37"/>
        <v>HollowBrook</v>
      </c>
      <c r="T221" s="20">
        <f t="shared" si="31"/>
        <v>0</v>
      </c>
      <c r="U221">
        <f t="shared" si="32"/>
        <v>727</v>
      </c>
      <c r="V221">
        <f t="shared" si="33"/>
        <v>727</v>
      </c>
      <c r="W221" cm="1">
        <f t="array" ref="W221">_xlfn._xlws.FILTER(shifts!A:A,(shifts!B:B=events!D221)*(shifts!AH:AH&gt;=events!U221)*(shifts!AI:AI&lt;=events!V221))</f>
        <v>5</v>
      </c>
      <c r="X221" t="str">
        <f t="shared" si="34"/>
        <v>event_team_player_1</v>
      </c>
      <c r="Y221">
        <f>COUNTIFS(A$3:A221,"="&amp;A221,K$3:K221,"="&amp;K221)</f>
        <v>1</v>
      </c>
      <c r="Z221" s="20">
        <f>SUMIFS(T$3:T221,L$3:L221,"=Intermission")+SUMIFS(T$3:T221,L$3:L221,"=Timeout")+SUMIFS(T$3:T221,L$3:L221,"=Clockstop")</f>
        <v>0</v>
      </c>
      <c r="AA221">
        <f t="shared" si="38"/>
        <v>0</v>
      </c>
      <c r="AB221" s="26">
        <f t="shared" si="39"/>
        <v>353</v>
      </c>
      <c r="AC221">
        <f t="shared" si="40"/>
        <v>0</v>
      </c>
    </row>
    <row r="222" spans="1:29" x14ac:dyDescent="0.2">
      <c r="A222">
        <v>117</v>
      </c>
      <c r="D222">
        <f t="shared" si="41"/>
        <v>1</v>
      </c>
      <c r="E222">
        <v>12</v>
      </c>
      <c r="F222" s="6" t="s">
        <v>314</v>
      </c>
      <c r="I222" t="s">
        <v>178</v>
      </c>
      <c r="J222">
        <v>70</v>
      </c>
      <c r="K222" t="s">
        <v>488</v>
      </c>
      <c r="L222" t="s">
        <v>277</v>
      </c>
      <c r="M222" t="s">
        <v>191</v>
      </c>
      <c r="N222" t="s">
        <v>89</v>
      </c>
      <c r="Q222">
        <f t="shared" si="35"/>
        <v>18977</v>
      </c>
      <c r="R222" t="str">
        <f t="shared" si="36"/>
        <v>Velodrome</v>
      </c>
      <c r="S222" t="str">
        <f t="shared" si="37"/>
        <v>HollowBrook</v>
      </c>
      <c r="T222" s="20">
        <f t="shared" si="31"/>
        <v>0</v>
      </c>
      <c r="U222">
        <f t="shared" si="32"/>
        <v>726</v>
      </c>
      <c r="V222">
        <f t="shared" si="33"/>
        <v>726</v>
      </c>
      <c r="W222" cm="1">
        <f t="array" ref="W222">_xlfn._xlws.FILTER(shifts!A:A,(shifts!B:B=events!D222)*(shifts!AH:AH&gt;=events!U222)*(shifts!AI:AI&lt;=events!V222))</f>
        <v>5</v>
      </c>
      <c r="X222" t="str">
        <f t="shared" si="34"/>
        <v>event_team_player_1</v>
      </c>
      <c r="Y222">
        <f>COUNTIFS(A$3:A222,"="&amp;A222,K$3:K222,"="&amp;K222)</f>
        <v>1</v>
      </c>
      <c r="Z222" s="20">
        <f>SUMIFS(T$3:T222,L$3:L222,"=Intermission")+SUMIFS(T$3:T222,L$3:L222,"=Timeout")+SUMIFS(T$3:T222,L$3:L222,"=Clockstop")</f>
        <v>0</v>
      </c>
      <c r="AA222">
        <f t="shared" si="38"/>
        <v>0</v>
      </c>
      <c r="AB222" s="26">
        <f t="shared" si="39"/>
        <v>354</v>
      </c>
      <c r="AC222">
        <f t="shared" si="40"/>
        <v>0</v>
      </c>
    </row>
    <row r="223" spans="1:29" x14ac:dyDescent="0.2">
      <c r="A223">
        <v>118</v>
      </c>
      <c r="D223">
        <f t="shared" si="41"/>
        <v>1</v>
      </c>
      <c r="E223">
        <v>12</v>
      </c>
      <c r="F223" s="6" t="s">
        <v>314</v>
      </c>
      <c r="G223">
        <v>12</v>
      </c>
      <c r="H223" s="8" t="s">
        <v>310</v>
      </c>
      <c r="I223" t="s">
        <v>179</v>
      </c>
      <c r="J223">
        <v>27</v>
      </c>
      <c r="K223" t="s">
        <v>488</v>
      </c>
      <c r="L223" t="s">
        <v>15</v>
      </c>
      <c r="Q223">
        <f t="shared" si="35"/>
        <v>18977</v>
      </c>
      <c r="R223" t="str">
        <f t="shared" si="36"/>
        <v>Velodrome</v>
      </c>
      <c r="S223" t="str">
        <f t="shared" si="37"/>
        <v>HollowBrook</v>
      </c>
      <c r="T223" s="20">
        <f t="shared" si="31"/>
        <v>2</v>
      </c>
      <c r="U223">
        <f t="shared" si="32"/>
        <v>726</v>
      </c>
      <c r="V223">
        <f t="shared" si="33"/>
        <v>724</v>
      </c>
      <c r="W223" cm="1">
        <f t="array" ref="W223">_xlfn._xlws.FILTER(shifts!A:A,(shifts!B:B=events!D223)*(shifts!AH:AH&gt;=events!U223)*(shifts!AI:AI&lt;=events!V223))</f>
        <v>5</v>
      </c>
      <c r="X223" t="str">
        <f t="shared" si="34"/>
        <v>event_team_player_1</v>
      </c>
      <c r="Y223">
        <f>COUNTIFS(A$3:A223,"="&amp;A223,K$3:K223,"="&amp;K223)</f>
        <v>1</v>
      </c>
      <c r="Z223" s="20">
        <f>SUMIFS(T$3:T223,L$3:L223,"=Intermission")+SUMIFS(T$3:T223,L$3:L223,"=Timeout")+SUMIFS(T$3:T223,L$3:L223,"=Clockstop")</f>
        <v>0</v>
      </c>
      <c r="AA223">
        <f t="shared" si="38"/>
        <v>0</v>
      </c>
      <c r="AB223" s="26">
        <f t="shared" si="39"/>
        <v>354</v>
      </c>
      <c r="AC223">
        <f t="shared" si="40"/>
        <v>0</v>
      </c>
    </row>
    <row r="224" spans="1:29" x14ac:dyDescent="0.2">
      <c r="A224">
        <v>119</v>
      </c>
      <c r="D224">
        <f t="shared" si="41"/>
        <v>1</v>
      </c>
      <c r="E224">
        <v>12</v>
      </c>
      <c r="F224" s="6" t="s">
        <v>311</v>
      </c>
      <c r="I224" t="s">
        <v>179</v>
      </c>
      <c r="J224">
        <v>27</v>
      </c>
      <c r="K224" t="s">
        <v>488</v>
      </c>
      <c r="L224" t="s">
        <v>277</v>
      </c>
      <c r="M224" t="s">
        <v>201</v>
      </c>
      <c r="N224" t="s">
        <v>91</v>
      </c>
      <c r="Q224">
        <f t="shared" si="35"/>
        <v>18977</v>
      </c>
      <c r="R224" t="str">
        <f t="shared" si="36"/>
        <v>Velodrome</v>
      </c>
      <c r="S224" t="str">
        <f t="shared" si="37"/>
        <v>HollowBrook</v>
      </c>
      <c r="T224" s="20">
        <f t="shared" si="31"/>
        <v>0</v>
      </c>
      <c r="U224">
        <f t="shared" si="32"/>
        <v>723</v>
      </c>
      <c r="V224">
        <f t="shared" si="33"/>
        <v>723</v>
      </c>
      <c r="W224" cm="1">
        <f t="array" ref="W224">_xlfn._xlws.FILTER(shifts!A:A,(shifts!B:B=events!D224)*(shifts!AH:AH&gt;=events!U224)*(shifts!AI:AI&lt;=events!V224))</f>
        <v>6</v>
      </c>
      <c r="X224" t="str">
        <f t="shared" si="34"/>
        <v>event_team_player_1</v>
      </c>
      <c r="Y224">
        <f>COUNTIFS(A$3:A224,"="&amp;A224,K$3:K224,"="&amp;K224)</f>
        <v>1</v>
      </c>
      <c r="Z224" s="20">
        <f>SUMIFS(T$3:T224,L$3:L224,"=Intermission")+SUMIFS(T$3:T224,L$3:L224,"=Timeout")+SUMIFS(T$3:T224,L$3:L224,"=Clockstop")</f>
        <v>0</v>
      </c>
      <c r="AA224">
        <f t="shared" si="38"/>
        <v>0</v>
      </c>
      <c r="AB224" s="26">
        <f t="shared" si="39"/>
        <v>357</v>
      </c>
      <c r="AC224">
        <f t="shared" si="40"/>
        <v>0</v>
      </c>
    </row>
    <row r="225" spans="1:29" x14ac:dyDescent="0.2">
      <c r="A225">
        <v>119</v>
      </c>
      <c r="D225">
        <f t="shared" si="41"/>
        <v>1</v>
      </c>
      <c r="E225">
        <v>12</v>
      </c>
      <c r="F225" s="6" t="s">
        <v>311</v>
      </c>
      <c r="I225" t="s">
        <v>179</v>
      </c>
      <c r="J225">
        <v>11</v>
      </c>
      <c r="K225" t="s">
        <v>488</v>
      </c>
      <c r="L225" t="s">
        <v>277</v>
      </c>
      <c r="M225" t="s">
        <v>201</v>
      </c>
      <c r="N225" t="s">
        <v>91</v>
      </c>
      <c r="Q225">
        <f t="shared" si="35"/>
        <v>18977</v>
      </c>
      <c r="R225" t="str">
        <f t="shared" si="36"/>
        <v>Velodrome</v>
      </c>
      <c r="S225" t="str">
        <f t="shared" si="37"/>
        <v>HollowBrook</v>
      </c>
      <c r="T225" s="20">
        <f t="shared" si="31"/>
        <v>0</v>
      </c>
      <c r="U225">
        <f t="shared" si="32"/>
        <v>723</v>
      </c>
      <c r="V225">
        <f t="shared" si="33"/>
        <v>723</v>
      </c>
      <c r="W225" cm="1">
        <f t="array" ref="W225">_xlfn._xlws.FILTER(shifts!A:A,(shifts!B:B=events!D225)*(shifts!AH:AH&gt;=events!U225)*(shifts!AI:AI&lt;=events!V225))</f>
        <v>6</v>
      </c>
      <c r="X225" t="str">
        <f t="shared" si="34"/>
        <v>event_team_player_2</v>
      </c>
      <c r="Y225">
        <f>COUNTIFS(A$3:A225,"="&amp;A225,K$3:K225,"="&amp;K225)</f>
        <v>2</v>
      </c>
      <c r="Z225" s="20">
        <f>SUMIFS(T$3:T225,L$3:L225,"=Intermission")+SUMIFS(T$3:T225,L$3:L225,"=Timeout")+SUMIFS(T$3:T225,L$3:L225,"=Clockstop")</f>
        <v>0</v>
      </c>
      <c r="AA225">
        <f t="shared" si="38"/>
        <v>0</v>
      </c>
      <c r="AB225" s="26">
        <f t="shared" si="39"/>
        <v>357</v>
      </c>
      <c r="AC225">
        <f t="shared" si="40"/>
        <v>0</v>
      </c>
    </row>
    <row r="226" spans="1:29" x14ac:dyDescent="0.2">
      <c r="A226">
        <v>120</v>
      </c>
      <c r="D226">
        <f t="shared" si="41"/>
        <v>1</v>
      </c>
      <c r="E226">
        <v>12</v>
      </c>
      <c r="F226" s="6" t="s">
        <v>311</v>
      </c>
      <c r="I226" t="s">
        <v>179</v>
      </c>
      <c r="J226">
        <v>11</v>
      </c>
      <c r="K226" t="s">
        <v>488</v>
      </c>
      <c r="L226" t="s">
        <v>10</v>
      </c>
      <c r="M226" t="s">
        <v>190</v>
      </c>
      <c r="N226" t="s">
        <v>75</v>
      </c>
      <c r="Q226">
        <f t="shared" si="35"/>
        <v>18977</v>
      </c>
      <c r="R226" t="str">
        <f t="shared" si="36"/>
        <v>Velodrome</v>
      </c>
      <c r="S226" t="str">
        <f t="shared" si="37"/>
        <v>HollowBrook</v>
      </c>
      <c r="T226" s="20">
        <f t="shared" si="31"/>
        <v>0</v>
      </c>
      <c r="U226">
        <f t="shared" si="32"/>
        <v>723</v>
      </c>
      <c r="V226">
        <f t="shared" si="33"/>
        <v>723</v>
      </c>
      <c r="W226" cm="1">
        <f t="array" ref="W226">_xlfn._xlws.FILTER(shifts!A:A,(shifts!B:B=events!D226)*(shifts!AH:AH&gt;=events!U226)*(shifts!AI:AI&lt;=events!V226))</f>
        <v>6</v>
      </c>
      <c r="X226" t="str">
        <f t="shared" si="34"/>
        <v>event_team_player_1</v>
      </c>
      <c r="Y226">
        <f>COUNTIFS(A$3:A226,"="&amp;A226,K$3:K226,"="&amp;K226)</f>
        <v>1</v>
      </c>
      <c r="Z226" s="20">
        <f>SUMIFS(T$3:T226,L$3:L226,"=Intermission")+SUMIFS(T$3:T226,L$3:L226,"=Timeout")+SUMIFS(T$3:T226,L$3:L226,"=Clockstop")</f>
        <v>0</v>
      </c>
      <c r="AA226">
        <f t="shared" si="38"/>
        <v>0</v>
      </c>
      <c r="AB226" s="26">
        <f t="shared" si="39"/>
        <v>357</v>
      </c>
      <c r="AC226">
        <f t="shared" si="40"/>
        <v>0</v>
      </c>
    </row>
    <row r="227" spans="1:29" x14ac:dyDescent="0.2">
      <c r="A227">
        <v>120</v>
      </c>
      <c r="D227">
        <f t="shared" si="41"/>
        <v>1</v>
      </c>
      <c r="E227">
        <v>12</v>
      </c>
      <c r="F227" s="6" t="s">
        <v>312</v>
      </c>
      <c r="I227" t="s">
        <v>179</v>
      </c>
      <c r="J227">
        <v>49</v>
      </c>
      <c r="K227" t="s">
        <v>489</v>
      </c>
      <c r="L227" t="s">
        <v>10</v>
      </c>
      <c r="M227" t="s">
        <v>190</v>
      </c>
      <c r="N227" t="s">
        <v>75</v>
      </c>
      <c r="Q227">
        <f t="shared" si="35"/>
        <v>18977</v>
      </c>
      <c r="R227" t="str">
        <f t="shared" si="36"/>
        <v>Velodrome</v>
      </c>
      <c r="S227" t="str">
        <f t="shared" si="37"/>
        <v>HollowBrook</v>
      </c>
      <c r="T227" s="20">
        <f t="shared" si="31"/>
        <v>0</v>
      </c>
      <c r="U227">
        <f t="shared" si="32"/>
        <v>721</v>
      </c>
      <c r="V227">
        <f t="shared" si="33"/>
        <v>721</v>
      </c>
      <c r="W227" cm="1">
        <f t="array" ref="W227">_xlfn._xlws.FILTER(shifts!A:A,(shifts!B:B=events!D227)*(shifts!AH:AH&gt;=events!U227)*(shifts!AI:AI&lt;=events!V227))</f>
        <v>6</v>
      </c>
      <c r="X227" t="str">
        <f t="shared" si="34"/>
        <v>opp_team_player_1</v>
      </c>
      <c r="Y227">
        <f>COUNTIFS(A$3:A227,"="&amp;A227,K$3:K227,"="&amp;K227)</f>
        <v>1</v>
      </c>
      <c r="Z227" s="20">
        <f>SUMIFS(T$3:T227,L$3:L227,"=Intermission")+SUMIFS(T$3:T227,L$3:L227,"=Timeout")+SUMIFS(T$3:T227,L$3:L227,"=Clockstop")</f>
        <v>0</v>
      </c>
      <c r="AA227">
        <f t="shared" si="38"/>
        <v>0</v>
      </c>
      <c r="AB227" s="26">
        <f t="shared" si="39"/>
        <v>359</v>
      </c>
      <c r="AC227">
        <f t="shared" si="40"/>
        <v>0</v>
      </c>
    </row>
    <row r="228" spans="1:29" x14ac:dyDescent="0.2">
      <c r="A228">
        <v>121</v>
      </c>
      <c r="D228">
        <f t="shared" si="41"/>
        <v>1</v>
      </c>
      <c r="E228">
        <v>11</v>
      </c>
      <c r="F228" s="6" t="s">
        <v>429</v>
      </c>
      <c r="I228" t="s">
        <v>178</v>
      </c>
      <c r="J228">
        <v>49</v>
      </c>
      <c r="K228" t="s">
        <v>488</v>
      </c>
      <c r="L228" t="s">
        <v>277</v>
      </c>
      <c r="M228" t="s">
        <v>191</v>
      </c>
      <c r="N228" t="s">
        <v>89</v>
      </c>
      <c r="Q228">
        <f t="shared" si="35"/>
        <v>18977</v>
      </c>
      <c r="R228" t="str">
        <f t="shared" si="36"/>
        <v>Velodrome</v>
      </c>
      <c r="S228" t="str">
        <f t="shared" si="37"/>
        <v>HollowBrook</v>
      </c>
      <c r="T228" s="20">
        <f t="shared" si="31"/>
        <v>0</v>
      </c>
      <c r="U228">
        <f t="shared" si="32"/>
        <v>715</v>
      </c>
      <c r="V228">
        <f t="shared" si="33"/>
        <v>715</v>
      </c>
      <c r="W228" cm="1">
        <f t="array" ref="W228">_xlfn._xlws.FILTER(shifts!A:A,(shifts!B:B=events!D228)*(shifts!AH:AH&gt;=events!U228)*(shifts!AI:AI&lt;=events!V228))</f>
        <v>7</v>
      </c>
      <c r="X228" t="str">
        <f t="shared" si="34"/>
        <v>event_team_player_1</v>
      </c>
      <c r="Y228">
        <f>COUNTIFS(A$3:A228,"="&amp;A228,K$3:K228,"="&amp;K228)</f>
        <v>1</v>
      </c>
      <c r="Z228" s="20">
        <f>SUMIFS(T$3:T228,L$3:L228,"=Intermission")+SUMIFS(T$3:T228,L$3:L228,"=Timeout")+SUMIFS(T$3:T228,L$3:L228,"=Clockstop")</f>
        <v>0</v>
      </c>
      <c r="AA228">
        <f t="shared" si="38"/>
        <v>0</v>
      </c>
      <c r="AB228" s="26">
        <f t="shared" si="39"/>
        <v>365</v>
      </c>
      <c r="AC228">
        <f t="shared" si="40"/>
        <v>0</v>
      </c>
    </row>
    <row r="229" spans="1:29" x14ac:dyDescent="0.2">
      <c r="A229">
        <v>122</v>
      </c>
      <c r="D229">
        <f t="shared" si="41"/>
        <v>1</v>
      </c>
      <c r="E229">
        <v>11</v>
      </c>
      <c r="F229" s="6" t="s">
        <v>429</v>
      </c>
      <c r="I229" t="s">
        <v>178</v>
      </c>
      <c r="J229">
        <v>49</v>
      </c>
      <c r="K229" t="s">
        <v>488</v>
      </c>
      <c r="L229" t="s">
        <v>10</v>
      </c>
      <c r="M229" t="s">
        <v>190</v>
      </c>
      <c r="N229" t="s">
        <v>460</v>
      </c>
      <c r="Q229">
        <f t="shared" si="35"/>
        <v>18977</v>
      </c>
      <c r="R229" t="str">
        <f t="shared" si="36"/>
        <v>Velodrome</v>
      </c>
      <c r="S229" t="str">
        <f t="shared" si="37"/>
        <v>HollowBrook</v>
      </c>
      <c r="T229" s="20">
        <f t="shared" si="31"/>
        <v>0</v>
      </c>
      <c r="U229">
        <f t="shared" si="32"/>
        <v>715</v>
      </c>
      <c r="V229">
        <f t="shared" si="33"/>
        <v>715</v>
      </c>
      <c r="W229" cm="1">
        <f t="array" ref="W229">_xlfn._xlws.FILTER(shifts!A:A,(shifts!B:B=events!D229)*(shifts!AH:AH&gt;=events!U229)*(shifts!AI:AI&lt;=events!V229))</f>
        <v>7</v>
      </c>
      <c r="X229" t="str">
        <f t="shared" si="34"/>
        <v>event_team_player_1</v>
      </c>
      <c r="Y229">
        <f>COUNTIFS(A$3:A229,"="&amp;A229,K$3:K229,"="&amp;K229)</f>
        <v>1</v>
      </c>
      <c r="Z229" s="20">
        <f>SUMIFS(T$3:T229,L$3:L229,"=Intermission")+SUMIFS(T$3:T229,L$3:L229,"=Timeout")+SUMIFS(T$3:T229,L$3:L229,"=Clockstop")</f>
        <v>0</v>
      </c>
      <c r="AA229">
        <f t="shared" si="38"/>
        <v>0</v>
      </c>
      <c r="AB229" s="26">
        <f t="shared" si="39"/>
        <v>365</v>
      </c>
      <c r="AC229">
        <f t="shared" si="40"/>
        <v>0</v>
      </c>
    </row>
    <row r="230" spans="1:29" x14ac:dyDescent="0.2">
      <c r="A230">
        <v>122</v>
      </c>
      <c r="D230">
        <f t="shared" si="41"/>
        <v>1</v>
      </c>
      <c r="E230">
        <v>11</v>
      </c>
      <c r="F230" s="6" t="s">
        <v>429</v>
      </c>
      <c r="I230" t="s">
        <v>178</v>
      </c>
      <c r="J230">
        <v>27</v>
      </c>
      <c r="K230" t="s">
        <v>489</v>
      </c>
      <c r="L230" t="s">
        <v>10</v>
      </c>
      <c r="M230" t="s">
        <v>190</v>
      </c>
      <c r="N230" t="s">
        <v>460</v>
      </c>
      <c r="Q230">
        <f t="shared" si="35"/>
        <v>18977</v>
      </c>
      <c r="R230" t="str">
        <f t="shared" si="36"/>
        <v>Velodrome</v>
      </c>
      <c r="S230" t="str">
        <f t="shared" si="37"/>
        <v>HollowBrook</v>
      </c>
      <c r="T230" s="20">
        <f t="shared" si="31"/>
        <v>0</v>
      </c>
      <c r="U230">
        <f t="shared" si="32"/>
        <v>715</v>
      </c>
      <c r="V230">
        <f t="shared" si="33"/>
        <v>715</v>
      </c>
      <c r="W230" cm="1">
        <f t="array" ref="W230">_xlfn._xlws.FILTER(shifts!A:A,(shifts!B:B=events!D230)*(shifts!AH:AH&gt;=events!U230)*(shifts!AI:AI&lt;=events!V230))</f>
        <v>7</v>
      </c>
      <c r="X230" t="str">
        <f t="shared" si="34"/>
        <v>opp_team_player_1</v>
      </c>
      <c r="Y230">
        <f>COUNTIFS(A$3:A230,"="&amp;A230,K$3:K230,"="&amp;K230)</f>
        <v>1</v>
      </c>
      <c r="Z230" s="20">
        <f>SUMIFS(T$3:T230,L$3:L230,"=Intermission")+SUMIFS(T$3:T230,L$3:L230,"=Timeout")+SUMIFS(T$3:T230,L$3:L230,"=Clockstop")</f>
        <v>0</v>
      </c>
      <c r="AA230">
        <f t="shared" si="38"/>
        <v>0</v>
      </c>
      <c r="AB230" s="26">
        <f t="shared" si="39"/>
        <v>365</v>
      </c>
      <c r="AC230">
        <f t="shared" si="40"/>
        <v>0</v>
      </c>
    </row>
    <row r="231" spans="1:29" x14ac:dyDescent="0.2">
      <c r="A231">
        <v>123</v>
      </c>
      <c r="D231">
        <f t="shared" si="41"/>
        <v>1</v>
      </c>
      <c r="E231">
        <v>11</v>
      </c>
      <c r="F231" s="6" t="s">
        <v>427</v>
      </c>
      <c r="G231">
        <v>11</v>
      </c>
      <c r="H231" s="8" t="s">
        <v>428</v>
      </c>
      <c r="I231" t="s">
        <v>179</v>
      </c>
      <c r="J231">
        <v>27</v>
      </c>
      <c r="K231" t="s">
        <v>488</v>
      </c>
      <c r="L231" t="s">
        <v>15</v>
      </c>
      <c r="Q231">
        <f t="shared" si="35"/>
        <v>18977</v>
      </c>
      <c r="R231" t="str">
        <f t="shared" si="36"/>
        <v>Velodrome</v>
      </c>
      <c r="S231" t="str">
        <f t="shared" si="37"/>
        <v>HollowBrook</v>
      </c>
      <c r="T231" s="20">
        <f t="shared" si="31"/>
        <v>2</v>
      </c>
      <c r="U231">
        <f t="shared" si="32"/>
        <v>714</v>
      </c>
      <c r="V231">
        <f t="shared" si="33"/>
        <v>712</v>
      </c>
      <c r="W231" cm="1">
        <f t="array" ref="W231">_xlfn._xlws.FILTER(shifts!A:A,(shifts!B:B=events!D231)*(shifts!AH:AH&gt;=events!U231)*(shifts!AI:AI&lt;=events!V231))</f>
        <v>7</v>
      </c>
      <c r="X231" t="str">
        <f t="shared" si="34"/>
        <v>event_team_player_1</v>
      </c>
      <c r="Y231">
        <f>COUNTIFS(A$3:A231,"="&amp;A231,K$3:K231,"="&amp;K231)</f>
        <v>1</v>
      </c>
      <c r="Z231" s="20">
        <f>SUMIFS(T$3:T231,L$3:L231,"=Intermission")+SUMIFS(T$3:T231,L$3:L231,"=Timeout")+SUMIFS(T$3:T231,L$3:L231,"=Clockstop")</f>
        <v>0</v>
      </c>
      <c r="AA231">
        <f t="shared" si="38"/>
        <v>0</v>
      </c>
      <c r="AB231" s="26">
        <f t="shared" si="39"/>
        <v>366</v>
      </c>
      <c r="AC231">
        <f t="shared" si="40"/>
        <v>0</v>
      </c>
    </row>
    <row r="232" spans="1:29" x14ac:dyDescent="0.2">
      <c r="A232">
        <v>124</v>
      </c>
      <c r="D232">
        <f t="shared" si="41"/>
        <v>1</v>
      </c>
      <c r="E232">
        <v>11</v>
      </c>
      <c r="F232" s="6" t="s">
        <v>428</v>
      </c>
      <c r="I232" t="s">
        <v>179</v>
      </c>
      <c r="J232">
        <v>27</v>
      </c>
      <c r="K232" t="s">
        <v>488</v>
      </c>
      <c r="L232" t="s">
        <v>8</v>
      </c>
      <c r="M232" t="s">
        <v>199</v>
      </c>
      <c r="N232" t="s">
        <v>67</v>
      </c>
      <c r="Q232">
        <f t="shared" si="35"/>
        <v>18977</v>
      </c>
      <c r="R232" t="str">
        <f t="shared" si="36"/>
        <v>Velodrome</v>
      </c>
      <c r="S232" t="str">
        <f t="shared" si="37"/>
        <v>HollowBrook</v>
      </c>
      <c r="T232" s="20">
        <f t="shared" si="31"/>
        <v>0</v>
      </c>
      <c r="U232">
        <f t="shared" si="32"/>
        <v>712</v>
      </c>
      <c r="V232">
        <f t="shared" si="33"/>
        <v>712</v>
      </c>
      <c r="W232" cm="1">
        <f t="array" ref="W232">_xlfn._xlws.FILTER(shifts!A:A,(shifts!B:B=events!D232)*(shifts!AH:AH&gt;=events!U232)*(shifts!AI:AI&lt;=events!V232))</f>
        <v>7</v>
      </c>
      <c r="X232" t="str">
        <f t="shared" si="34"/>
        <v>event_team_player_1</v>
      </c>
      <c r="Y232">
        <f>COUNTIFS(A$3:A232,"="&amp;A232,K$3:K232,"="&amp;K232)</f>
        <v>1</v>
      </c>
      <c r="Z232" s="20">
        <f>SUMIFS(T$3:T232,L$3:L232,"=Intermission")+SUMIFS(T$3:T232,L$3:L232,"=Timeout")+SUMIFS(T$3:T232,L$3:L232,"=Clockstop")</f>
        <v>0</v>
      </c>
      <c r="AA232">
        <f t="shared" si="38"/>
        <v>0</v>
      </c>
      <c r="AB232" s="26">
        <f t="shared" si="39"/>
        <v>368</v>
      </c>
      <c r="AC232">
        <f t="shared" si="40"/>
        <v>0</v>
      </c>
    </row>
    <row r="233" spans="1:29" x14ac:dyDescent="0.2">
      <c r="A233">
        <v>124</v>
      </c>
      <c r="D233">
        <f t="shared" si="41"/>
        <v>1</v>
      </c>
      <c r="E233">
        <v>11</v>
      </c>
      <c r="F233" s="6" t="s">
        <v>428</v>
      </c>
      <c r="I233" t="s">
        <v>179</v>
      </c>
      <c r="J233">
        <v>11</v>
      </c>
      <c r="K233" t="s">
        <v>488</v>
      </c>
      <c r="L233" t="s">
        <v>8</v>
      </c>
      <c r="M233" t="s">
        <v>199</v>
      </c>
      <c r="N233" t="s">
        <v>67</v>
      </c>
      <c r="Q233">
        <f t="shared" si="35"/>
        <v>18977</v>
      </c>
      <c r="R233" t="str">
        <f t="shared" si="36"/>
        <v>Velodrome</v>
      </c>
      <c r="S233" t="str">
        <f t="shared" si="37"/>
        <v>HollowBrook</v>
      </c>
      <c r="T233" s="20">
        <f t="shared" si="31"/>
        <v>0</v>
      </c>
      <c r="U233">
        <f t="shared" si="32"/>
        <v>712</v>
      </c>
      <c r="V233">
        <f t="shared" si="33"/>
        <v>712</v>
      </c>
      <c r="W233" cm="1">
        <f t="array" ref="W233">_xlfn._xlws.FILTER(shifts!A:A,(shifts!B:B=events!D233)*(shifts!AH:AH&gt;=events!U233)*(shifts!AI:AI&lt;=events!V233))</f>
        <v>7</v>
      </c>
      <c r="X233" t="str">
        <f t="shared" si="34"/>
        <v>event_team_player_2</v>
      </c>
      <c r="Y233">
        <f>COUNTIFS(A$3:A233,"="&amp;A233,K$3:K233,"="&amp;K233)</f>
        <v>2</v>
      </c>
      <c r="Z233" s="20">
        <f>SUMIFS(T$3:T233,L$3:L233,"=Intermission")+SUMIFS(T$3:T233,L$3:L233,"=Timeout")+SUMIFS(T$3:T233,L$3:L233,"=Clockstop")</f>
        <v>0</v>
      </c>
      <c r="AA233">
        <f t="shared" si="38"/>
        <v>0</v>
      </c>
      <c r="AB233" s="26">
        <f t="shared" si="39"/>
        <v>368</v>
      </c>
      <c r="AC233">
        <f t="shared" si="40"/>
        <v>0</v>
      </c>
    </row>
    <row r="234" spans="1:29" x14ac:dyDescent="0.2">
      <c r="A234">
        <v>125</v>
      </c>
      <c r="D234">
        <f t="shared" si="41"/>
        <v>1</v>
      </c>
      <c r="E234">
        <v>11</v>
      </c>
      <c r="F234" s="6" t="s">
        <v>428</v>
      </c>
      <c r="I234" t="s">
        <v>179</v>
      </c>
      <c r="J234">
        <v>27</v>
      </c>
      <c r="K234" t="s">
        <v>488</v>
      </c>
      <c r="L234" t="s">
        <v>277</v>
      </c>
      <c r="M234" t="s">
        <v>201</v>
      </c>
      <c r="N234" t="s">
        <v>183</v>
      </c>
      <c r="Q234">
        <f t="shared" si="35"/>
        <v>18977</v>
      </c>
      <c r="R234" t="str">
        <f t="shared" si="36"/>
        <v>Velodrome</v>
      </c>
      <c r="S234" t="str">
        <f t="shared" si="37"/>
        <v>HollowBrook</v>
      </c>
      <c r="T234" s="20">
        <f t="shared" si="31"/>
        <v>0</v>
      </c>
      <c r="U234">
        <f t="shared" si="32"/>
        <v>712</v>
      </c>
      <c r="V234">
        <f t="shared" si="33"/>
        <v>712</v>
      </c>
      <c r="W234" cm="1">
        <f t="array" ref="W234">_xlfn._xlws.FILTER(shifts!A:A,(shifts!B:B=events!D234)*(shifts!AH:AH&gt;=events!U234)*(shifts!AI:AI&lt;=events!V234))</f>
        <v>7</v>
      </c>
      <c r="X234" t="str">
        <f t="shared" si="34"/>
        <v>event_team_player_1</v>
      </c>
      <c r="Y234">
        <f>COUNTIFS(A$3:A234,"="&amp;A234,K$3:K234,"="&amp;K234)</f>
        <v>1</v>
      </c>
      <c r="Z234" s="20">
        <f>SUMIFS(T$3:T234,L$3:L234,"=Intermission")+SUMIFS(T$3:T234,L$3:L234,"=Timeout")+SUMIFS(T$3:T234,L$3:L234,"=Clockstop")</f>
        <v>0</v>
      </c>
      <c r="AA234">
        <f t="shared" si="38"/>
        <v>0</v>
      </c>
      <c r="AB234" s="26">
        <f t="shared" si="39"/>
        <v>368</v>
      </c>
      <c r="AC234">
        <f t="shared" si="40"/>
        <v>0</v>
      </c>
    </row>
    <row r="235" spans="1:29" x14ac:dyDescent="0.2">
      <c r="A235">
        <v>126</v>
      </c>
      <c r="D235">
        <f t="shared" si="41"/>
        <v>1</v>
      </c>
      <c r="E235">
        <v>11</v>
      </c>
      <c r="F235" s="6" t="s">
        <v>477</v>
      </c>
      <c r="I235" t="s">
        <v>179</v>
      </c>
      <c r="J235">
        <v>27</v>
      </c>
      <c r="K235" t="s">
        <v>488</v>
      </c>
      <c r="L235" t="s">
        <v>277</v>
      </c>
      <c r="M235" t="s">
        <v>191</v>
      </c>
      <c r="N235" t="s">
        <v>89</v>
      </c>
      <c r="Q235">
        <f t="shared" si="35"/>
        <v>18977</v>
      </c>
      <c r="R235" t="str">
        <f t="shared" si="36"/>
        <v>Velodrome</v>
      </c>
      <c r="S235" t="str">
        <f t="shared" si="37"/>
        <v>HollowBrook</v>
      </c>
      <c r="T235" s="20">
        <f t="shared" si="31"/>
        <v>0</v>
      </c>
      <c r="U235">
        <f t="shared" si="32"/>
        <v>711</v>
      </c>
      <c r="V235">
        <f t="shared" si="33"/>
        <v>711</v>
      </c>
      <c r="W235" cm="1">
        <f t="array" ref="W235">_xlfn._xlws.FILTER(shifts!A:A,(shifts!B:B=events!D235)*(shifts!AH:AH&gt;=events!U235)*(shifts!AI:AI&lt;=events!V235))</f>
        <v>7</v>
      </c>
      <c r="X235" t="str">
        <f t="shared" si="34"/>
        <v>event_team_player_1</v>
      </c>
      <c r="Y235">
        <f>COUNTIFS(A$3:A235,"="&amp;A235,K$3:K235,"="&amp;K235)</f>
        <v>1</v>
      </c>
      <c r="Z235" s="20">
        <f>SUMIFS(T$3:T235,L$3:L235,"=Intermission")+SUMIFS(T$3:T235,L$3:L235,"=Timeout")+SUMIFS(T$3:T235,L$3:L235,"=Clockstop")</f>
        <v>0</v>
      </c>
      <c r="AA235">
        <f t="shared" si="38"/>
        <v>0</v>
      </c>
      <c r="AB235" s="26">
        <f t="shared" si="39"/>
        <v>369</v>
      </c>
      <c r="AC235">
        <f t="shared" si="40"/>
        <v>0</v>
      </c>
    </row>
    <row r="236" spans="1:29" x14ac:dyDescent="0.2">
      <c r="A236">
        <v>127</v>
      </c>
      <c r="D236">
        <f t="shared" si="41"/>
        <v>1</v>
      </c>
      <c r="E236">
        <v>11</v>
      </c>
      <c r="F236" s="6" t="s">
        <v>477</v>
      </c>
      <c r="I236" t="s">
        <v>179</v>
      </c>
      <c r="J236">
        <v>27</v>
      </c>
      <c r="K236" t="s">
        <v>488</v>
      </c>
      <c r="L236" t="s">
        <v>10</v>
      </c>
      <c r="M236" t="s">
        <v>190</v>
      </c>
      <c r="N236" t="s">
        <v>75</v>
      </c>
      <c r="Q236">
        <f t="shared" si="35"/>
        <v>18977</v>
      </c>
      <c r="R236" t="str">
        <f t="shared" si="36"/>
        <v>Velodrome</v>
      </c>
      <c r="S236" t="str">
        <f t="shared" si="37"/>
        <v>HollowBrook</v>
      </c>
      <c r="T236" s="20">
        <f t="shared" si="31"/>
        <v>0</v>
      </c>
      <c r="U236">
        <f t="shared" si="32"/>
        <v>711</v>
      </c>
      <c r="V236">
        <f t="shared" si="33"/>
        <v>711</v>
      </c>
      <c r="W236" cm="1">
        <f t="array" ref="W236">_xlfn._xlws.FILTER(shifts!A:A,(shifts!B:B=events!D236)*(shifts!AH:AH&gt;=events!U236)*(shifts!AI:AI&lt;=events!V236))</f>
        <v>7</v>
      </c>
      <c r="X236" t="str">
        <f t="shared" si="34"/>
        <v>event_team_player_1</v>
      </c>
      <c r="Y236">
        <f>COUNTIFS(A$3:A236,"="&amp;A236,K$3:K236,"="&amp;K236)</f>
        <v>1</v>
      </c>
      <c r="Z236" s="20">
        <f>SUMIFS(T$3:T236,L$3:L236,"=Intermission")+SUMIFS(T$3:T236,L$3:L236,"=Timeout")+SUMIFS(T$3:T236,L$3:L236,"=Clockstop")</f>
        <v>0</v>
      </c>
      <c r="AA236">
        <f t="shared" si="38"/>
        <v>0</v>
      </c>
      <c r="AB236" s="26">
        <f t="shared" si="39"/>
        <v>369</v>
      </c>
      <c r="AC236">
        <f t="shared" si="40"/>
        <v>0</v>
      </c>
    </row>
    <row r="237" spans="1:29" x14ac:dyDescent="0.2">
      <c r="A237">
        <v>127</v>
      </c>
      <c r="D237">
        <f t="shared" si="41"/>
        <v>1</v>
      </c>
      <c r="E237">
        <v>11</v>
      </c>
      <c r="F237" s="6" t="s">
        <v>477</v>
      </c>
      <c r="I237" t="s">
        <v>179</v>
      </c>
      <c r="J237">
        <v>87</v>
      </c>
      <c r="K237" t="s">
        <v>489</v>
      </c>
      <c r="L237" t="s">
        <v>10</v>
      </c>
      <c r="M237" t="s">
        <v>190</v>
      </c>
      <c r="N237" t="s">
        <v>75</v>
      </c>
      <c r="Q237">
        <f t="shared" si="35"/>
        <v>18977</v>
      </c>
      <c r="R237" t="str">
        <f t="shared" si="36"/>
        <v>Velodrome</v>
      </c>
      <c r="S237" t="str">
        <f t="shared" si="37"/>
        <v>HollowBrook</v>
      </c>
      <c r="T237" s="20">
        <f t="shared" si="31"/>
        <v>0</v>
      </c>
      <c r="U237">
        <f t="shared" si="32"/>
        <v>711</v>
      </c>
      <c r="V237">
        <f t="shared" si="33"/>
        <v>711</v>
      </c>
      <c r="W237" cm="1">
        <f t="array" ref="W237">_xlfn._xlws.FILTER(shifts!A:A,(shifts!B:B=events!D237)*(shifts!AH:AH&gt;=events!U237)*(shifts!AI:AI&lt;=events!V237))</f>
        <v>7</v>
      </c>
      <c r="X237" t="str">
        <f t="shared" si="34"/>
        <v>opp_team_player_1</v>
      </c>
      <c r="Y237">
        <f>COUNTIFS(A$3:A237,"="&amp;A237,K$3:K237,"="&amp;K237)</f>
        <v>1</v>
      </c>
      <c r="Z237" s="20">
        <f>SUMIFS(T$3:T237,L$3:L237,"=Intermission")+SUMIFS(T$3:T237,L$3:L237,"=Timeout")+SUMIFS(T$3:T237,L$3:L237,"=Clockstop")</f>
        <v>0</v>
      </c>
      <c r="AA237">
        <f t="shared" si="38"/>
        <v>0</v>
      </c>
      <c r="AB237" s="26">
        <f t="shared" si="39"/>
        <v>369</v>
      </c>
      <c r="AC237">
        <f t="shared" si="40"/>
        <v>0</v>
      </c>
    </row>
    <row r="238" spans="1:29" x14ac:dyDescent="0.2">
      <c r="A238">
        <v>128</v>
      </c>
      <c r="D238">
        <f t="shared" si="41"/>
        <v>1</v>
      </c>
      <c r="E238">
        <v>11</v>
      </c>
      <c r="F238" s="6" t="s">
        <v>477</v>
      </c>
      <c r="G238">
        <v>11</v>
      </c>
      <c r="H238" s="8" t="s">
        <v>450</v>
      </c>
      <c r="I238" t="s">
        <v>178</v>
      </c>
      <c r="J238">
        <v>87</v>
      </c>
      <c r="K238" t="s">
        <v>488</v>
      </c>
      <c r="L238" t="s">
        <v>15</v>
      </c>
      <c r="Q238">
        <f t="shared" si="35"/>
        <v>18977</v>
      </c>
      <c r="R238" t="str">
        <f t="shared" si="36"/>
        <v>Velodrome</v>
      </c>
      <c r="S238" t="str">
        <f t="shared" si="37"/>
        <v>HollowBrook</v>
      </c>
      <c r="T238" s="20">
        <f t="shared" si="31"/>
        <v>2</v>
      </c>
      <c r="U238">
        <f t="shared" si="32"/>
        <v>711</v>
      </c>
      <c r="V238">
        <f t="shared" si="33"/>
        <v>709</v>
      </c>
      <c r="W238" cm="1">
        <f t="array" ref="W238">_xlfn._xlws.FILTER(shifts!A:A,(shifts!B:B=events!D238)*(shifts!AH:AH&gt;=events!U238)*(shifts!AI:AI&lt;=events!V238))</f>
        <v>7</v>
      </c>
      <c r="X238" t="str">
        <f t="shared" si="34"/>
        <v>event_team_player_1</v>
      </c>
      <c r="Y238">
        <f>COUNTIFS(A$3:A238,"="&amp;A238,K$3:K238,"="&amp;K238)</f>
        <v>1</v>
      </c>
      <c r="Z238" s="20">
        <f>SUMIFS(T$3:T238,L$3:L238,"=Intermission")+SUMIFS(T$3:T238,L$3:L238,"=Timeout")+SUMIFS(T$3:T238,L$3:L238,"=Clockstop")</f>
        <v>0</v>
      </c>
      <c r="AA238">
        <f t="shared" si="38"/>
        <v>0</v>
      </c>
      <c r="AB238" s="26">
        <f t="shared" si="39"/>
        <v>369</v>
      </c>
      <c r="AC238">
        <f t="shared" si="40"/>
        <v>0</v>
      </c>
    </row>
    <row r="239" spans="1:29" x14ac:dyDescent="0.2">
      <c r="A239">
        <v>129</v>
      </c>
      <c r="D239">
        <f t="shared" si="41"/>
        <v>1</v>
      </c>
      <c r="E239">
        <v>11</v>
      </c>
      <c r="F239" s="6" t="s">
        <v>451</v>
      </c>
      <c r="I239" t="s">
        <v>178</v>
      </c>
      <c r="J239">
        <v>87</v>
      </c>
      <c r="K239" t="s">
        <v>488</v>
      </c>
      <c r="L239" t="s">
        <v>277</v>
      </c>
      <c r="M239" t="s">
        <v>201</v>
      </c>
      <c r="N239" t="s">
        <v>91</v>
      </c>
      <c r="Q239">
        <f t="shared" si="35"/>
        <v>18977</v>
      </c>
      <c r="R239" t="str">
        <f t="shared" si="36"/>
        <v>Velodrome</v>
      </c>
      <c r="S239" t="str">
        <f t="shared" si="37"/>
        <v>HollowBrook</v>
      </c>
      <c r="T239" s="20">
        <f t="shared" si="31"/>
        <v>0</v>
      </c>
      <c r="U239">
        <f t="shared" si="32"/>
        <v>708</v>
      </c>
      <c r="V239">
        <f t="shared" si="33"/>
        <v>708</v>
      </c>
      <c r="W239" cm="1">
        <f t="array" ref="W239">_xlfn._xlws.FILTER(shifts!A:A,(shifts!B:B=events!D239)*(shifts!AH:AH&gt;=events!U239)*(shifts!AI:AI&lt;=events!V239))</f>
        <v>8</v>
      </c>
      <c r="X239" t="str">
        <f t="shared" si="34"/>
        <v>event_team_player_1</v>
      </c>
      <c r="Y239">
        <f>COUNTIFS(A$3:A239,"="&amp;A239,K$3:K239,"="&amp;K239)</f>
        <v>1</v>
      </c>
      <c r="Z239" s="20">
        <f>SUMIFS(T$3:T239,L$3:L239,"=Intermission")+SUMIFS(T$3:T239,L$3:L239,"=Timeout")+SUMIFS(T$3:T239,L$3:L239,"=Clockstop")</f>
        <v>0</v>
      </c>
      <c r="AA239">
        <f t="shared" si="38"/>
        <v>0</v>
      </c>
      <c r="AB239" s="26">
        <f t="shared" si="39"/>
        <v>372</v>
      </c>
      <c r="AC239">
        <f t="shared" si="40"/>
        <v>0</v>
      </c>
    </row>
    <row r="240" spans="1:29" x14ac:dyDescent="0.2">
      <c r="A240">
        <v>129</v>
      </c>
      <c r="D240">
        <f t="shared" si="41"/>
        <v>1</v>
      </c>
      <c r="E240">
        <v>11</v>
      </c>
      <c r="F240" s="6" t="s">
        <v>451</v>
      </c>
      <c r="I240" t="s">
        <v>178</v>
      </c>
      <c r="J240">
        <v>49</v>
      </c>
      <c r="K240" t="s">
        <v>488</v>
      </c>
      <c r="L240" t="s">
        <v>277</v>
      </c>
      <c r="M240" t="s">
        <v>201</v>
      </c>
      <c r="N240" t="s">
        <v>91</v>
      </c>
      <c r="Q240">
        <f t="shared" si="35"/>
        <v>18977</v>
      </c>
      <c r="R240" t="str">
        <f t="shared" si="36"/>
        <v>Velodrome</v>
      </c>
      <c r="S240" t="str">
        <f t="shared" si="37"/>
        <v>HollowBrook</v>
      </c>
      <c r="T240" s="20">
        <f t="shared" si="31"/>
        <v>0</v>
      </c>
      <c r="U240">
        <f t="shared" si="32"/>
        <v>708</v>
      </c>
      <c r="V240">
        <f t="shared" si="33"/>
        <v>708</v>
      </c>
      <c r="W240" cm="1">
        <f t="array" ref="W240">_xlfn._xlws.FILTER(shifts!A:A,(shifts!B:B=events!D240)*(shifts!AH:AH&gt;=events!U240)*(shifts!AI:AI&lt;=events!V240))</f>
        <v>8</v>
      </c>
      <c r="X240" t="str">
        <f t="shared" si="34"/>
        <v>event_team_player_2</v>
      </c>
      <c r="Y240">
        <f>COUNTIFS(A$3:A240,"="&amp;A240,K$3:K240,"="&amp;K240)</f>
        <v>2</v>
      </c>
      <c r="Z240" s="20">
        <f>SUMIFS(T$3:T240,L$3:L240,"=Intermission")+SUMIFS(T$3:T240,L$3:L240,"=Timeout")+SUMIFS(T$3:T240,L$3:L240,"=Clockstop")</f>
        <v>0</v>
      </c>
      <c r="AA240">
        <f t="shared" si="38"/>
        <v>0</v>
      </c>
      <c r="AB240" s="26">
        <f t="shared" si="39"/>
        <v>372</v>
      </c>
      <c r="AC240">
        <f t="shared" si="40"/>
        <v>0</v>
      </c>
    </row>
    <row r="241" spans="1:29" x14ac:dyDescent="0.2">
      <c r="A241">
        <v>129</v>
      </c>
      <c r="D241">
        <f t="shared" si="41"/>
        <v>1</v>
      </c>
      <c r="E241">
        <v>11</v>
      </c>
      <c r="F241" s="6" t="s">
        <v>451</v>
      </c>
      <c r="I241" t="s">
        <v>178</v>
      </c>
      <c r="J241">
        <v>22</v>
      </c>
      <c r="K241" t="s">
        <v>489</v>
      </c>
      <c r="L241" t="s">
        <v>277</v>
      </c>
      <c r="M241" t="s">
        <v>201</v>
      </c>
      <c r="N241" t="s">
        <v>91</v>
      </c>
      <c r="Q241">
        <f t="shared" si="35"/>
        <v>18977</v>
      </c>
      <c r="R241" t="str">
        <f t="shared" si="36"/>
        <v>Velodrome</v>
      </c>
      <c r="S241" t="str">
        <f t="shared" si="37"/>
        <v>HollowBrook</v>
      </c>
      <c r="T241" s="20">
        <f t="shared" si="31"/>
        <v>0</v>
      </c>
      <c r="U241">
        <f t="shared" si="32"/>
        <v>708</v>
      </c>
      <c r="V241">
        <f t="shared" si="33"/>
        <v>708</v>
      </c>
      <c r="W241" cm="1">
        <f t="array" ref="W241">_xlfn._xlws.FILTER(shifts!A:A,(shifts!B:B=events!D241)*(shifts!AH:AH&gt;=events!U241)*(shifts!AI:AI&lt;=events!V241))</f>
        <v>8</v>
      </c>
      <c r="X241" t="str">
        <f t="shared" si="34"/>
        <v>opp_team_player_1</v>
      </c>
      <c r="Y241">
        <f>COUNTIFS(A$3:A241,"="&amp;A241,K$3:K241,"="&amp;K241)</f>
        <v>1</v>
      </c>
      <c r="Z241" s="20">
        <f>SUMIFS(T$3:T241,L$3:L241,"=Intermission")+SUMIFS(T$3:T241,L$3:L241,"=Timeout")+SUMIFS(T$3:T241,L$3:L241,"=Clockstop")</f>
        <v>0</v>
      </c>
      <c r="AA241">
        <f t="shared" si="38"/>
        <v>0</v>
      </c>
      <c r="AB241" s="26">
        <f t="shared" si="39"/>
        <v>372</v>
      </c>
      <c r="AC241">
        <f t="shared" si="40"/>
        <v>0</v>
      </c>
    </row>
    <row r="242" spans="1:29" x14ac:dyDescent="0.2">
      <c r="A242">
        <v>130</v>
      </c>
      <c r="D242">
        <f t="shared" si="41"/>
        <v>1</v>
      </c>
      <c r="E242">
        <v>11</v>
      </c>
      <c r="F242" s="6" t="s">
        <v>451</v>
      </c>
      <c r="I242" t="s">
        <v>178</v>
      </c>
      <c r="J242">
        <v>87</v>
      </c>
      <c r="K242" t="s">
        <v>488</v>
      </c>
      <c r="L242" t="s">
        <v>8</v>
      </c>
      <c r="M242" t="s">
        <v>189</v>
      </c>
      <c r="N242" t="s">
        <v>67</v>
      </c>
      <c r="Q242">
        <f t="shared" si="35"/>
        <v>18977</v>
      </c>
      <c r="R242" t="str">
        <f t="shared" si="36"/>
        <v>Velodrome</v>
      </c>
      <c r="S242" t="str">
        <f t="shared" si="37"/>
        <v>HollowBrook</v>
      </c>
      <c r="T242" s="20">
        <f t="shared" si="31"/>
        <v>0</v>
      </c>
      <c r="U242">
        <f t="shared" si="32"/>
        <v>708</v>
      </c>
      <c r="V242">
        <f t="shared" si="33"/>
        <v>708</v>
      </c>
      <c r="W242" cm="1">
        <f t="array" ref="W242">_xlfn._xlws.FILTER(shifts!A:A,(shifts!B:B=events!D242)*(shifts!AH:AH&gt;=events!U242)*(shifts!AI:AI&lt;=events!V242))</f>
        <v>8</v>
      </c>
      <c r="X242" t="str">
        <f t="shared" si="34"/>
        <v>event_team_player_1</v>
      </c>
      <c r="Y242">
        <f>COUNTIFS(A$3:A242,"="&amp;A242,K$3:K242,"="&amp;K242)</f>
        <v>1</v>
      </c>
      <c r="Z242" s="20">
        <f>SUMIFS(T$3:T242,L$3:L242,"=Intermission")+SUMIFS(T$3:T242,L$3:L242,"=Timeout")+SUMIFS(T$3:T242,L$3:L242,"=Clockstop")</f>
        <v>0</v>
      </c>
      <c r="AA242">
        <f t="shared" si="38"/>
        <v>0</v>
      </c>
      <c r="AB242" s="26">
        <f t="shared" si="39"/>
        <v>372</v>
      </c>
      <c r="AC242">
        <f t="shared" si="40"/>
        <v>0</v>
      </c>
    </row>
    <row r="243" spans="1:29" x14ac:dyDescent="0.2">
      <c r="A243">
        <v>130</v>
      </c>
      <c r="D243">
        <f t="shared" si="41"/>
        <v>1</v>
      </c>
      <c r="E243">
        <v>11</v>
      </c>
      <c r="F243" s="6" t="s">
        <v>451</v>
      </c>
      <c r="I243" t="s">
        <v>178</v>
      </c>
      <c r="J243">
        <v>49</v>
      </c>
      <c r="K243" t="s">
        <v>488</v>
      </c>
      <c r="L243" t="s">
        <v>8</v>
      </c>
      <c r="M243" t="s">
        <v>189</v>
      </c>
      <c r="N243" t="s">
        <v>67</v>
      </c>
      <c r="Q243">
        <f t="shared" si="35"/>
        <v>18977</v>
      </c>
      <c r="R243" t="str">
        <f t="shared" si="36"/>
        <v>Velodrome</v>
      </c>
      <c r="S243" t="str">
        <f t="shared" si="37"/>
        <v>HollowBrook</v>
      </c>
      <c r="T243" s="20">
        <f t="shared" si="31"/>
        <v>0</v>
      </c>
      <c r="U243">
        <f t="shared" si="32"/>
        <v>708</v>
      </c>
      <c r="V243">
        <f t="shared" si="33"/>
        <v>708</v>
      </c>
      <c r="W243" cm="1">
        <f t="array" ref="W243">_xlfn._xlws.FILTER(shifts!A:A,(shifts!B:B=events!D243)*(shifts!AH:AH&gt;=events!U243)*(shifts!AI:AI&lt;=events!V243))</f>
        <v>8</v>
      </c>
      <c r="X243" t="str">
        <f t="shared" si="34"/>
        <v>event_team_player_2</v>
      </c>
      <c r="Y243">
        <f>COUNTIFS(A$3:A243,"="&amp;A243,K$3:K243,"="&amp;K243)</f>
        <v>2</v>
      </c>
      <c r="Z243" s="20">
        <f>SUMIFS(T$3:T243,L$3:L243,"=Intermission")+SUMIFS(T$3:T243,L$3:L243,"=Timeout")+SUMIFS(T$3:T243,L$3:L243,"=Clockstop")</f>
        <v>0</v>
      </c>
      <c r="AA243">
        <f t="shared" si="38"/>
        <v>0</v>
      </c>
      <c r="AB243" s="26">
        <f t="shared" si="39"/>
        <v>372</v>
      </c>
      <c r="AC243">
        <f t="shared" si="40"/>
        <v>0</v>
      </c>
    </row>
    <row r="244" spans="1:29" x14ac:dyDescent="0.2">
      <c r="A244">
        <v>130</v>
      </c>
      <c r="D244">
        <f t="shared" si="41"/>
        <v>1</v>
      </c>
      <c r="E244">
        <v>11</v>
      </c>
      <c r="F244" s="6" t="s">
        <v>451</v>
      </c>
      <c r="I244" t="s">
        <v>178</v>
      </c>
      <c r="J244">
        <v>22</v>
      </c>
      <c r="K244" t="s">
        <v>489</v>
      </c>
      <c r="L244" t="s">
        <v>8</v>
      </c>
      <c r="M244" t="s">
        <v>189</v>
      </c>
      <c r="N244" t="s">
        <v>67</v>
      </c>
      <c r="Q244">
        <f t="shared" si="35"/>
        <v>18977</v>
      </c>
      <c r="R244" t="str">
        <f t="shared" si="36"/>
        <v>Velodrome</v>
      </c>
      <c r="S244" t="str">
        <f t="shared" si="37"/>
        <v>HollowBrook</v>
      </c>
      <c r="T244" s="20">
        <f t="shared" si="31"/>
        <v>0</v>
      </c>
      <c r="U244">
        <f t="shared" si="32"/>
        <v>708</v>
      </c>
      <c r="V244">
        <f t="shared" si="33"/>
        <v>708</v>
      </c>
      <c r="W244" cm="1">
        <f t="array" ref="W244">_xlfn._xlws.FILTER(shifts!A:A,(shifts!B:B=events!D244)*(shifts!AH:AH&gt;=events!U244)*(shifts!AI:AI&lt;=events!V244))</f>
        <v>8</v>
      </c>
      <c r="X244" t="str">
        <f t="shared" si="34"/>
        <v>opp_team_player_1</v>
      </c>
      <c r="Y244">
        <f>COUNTIFS(A$3:A244,"="&amp;A244,K$3:K244,"="&amp;K244)</f>
        <v>1</v>
      </c>
      <c r="Z244" s="20">
        <f>SUMIFS(T$3:T244,L$3:L244,"=Intermission")+SUMIFS(T$3:T244,L$3:L244,"=Timeout")+SUMIFS(T$3:T244,L$3:L244,"=Clockstop")</f>
        <v>0</v>
      </c>
      <c r="AA244">
        <f t="shared" si="38"/>
        <v>0</v>
      </c>
      <c r="AB244" s="26">
        <f t="shared" si="39"/>
        <v>372</v>
      </c>
      <c r="AC244">
        <f t="shared" si="40"/>
        <v>0</v>
      </c>
    </row>
    <row r="245" spans="1:29" x14ac:dyDescent="0.2">
      <c r="A245">
        <v>131</v>
      </c>
      <c r="D245">
        <f t="shared" si="41"/>
        <v>1</v>
      </c>
      <c r="E245">
        <v>11</v>
      </c>
      <c r="F245" s="6" t="s">
        <v>451</v>
      </c>
      <c r="G245">
        <v>11</v>
      </c>
      <c r="H245" s="8" t="s">
        <v>478</v>
      </c>
      <c r="I245" t="s">
        <v>178</v>
      </c>
      <c r="J245">
        <v>49</v>
      </c>
      <c r="K245" t="s">
        <v>488</v>
      </c>
      <c r="L245" t="s">
        <v>15</v>
      </c>
      <c r="Q245">
        <f t="shared" si="35"/>
        <v>18977</v>
      </c>
      <c r="R245" t="str">
        <f t="shared" si="36"/>
        <v>Velodrome</v>
      </c>
      <c r="S245" t="str">
        <f t="shared" si="37"/>
        <v>HollowBrook</v>
      </c>
      <c r="T245" s="20">
        <f t="shared" si="31"/>
        <v>2</v>
      </c>
      <c r="U245">
        <f t="shared" si="32"/>
        <v>708</v>
      </c>
      <c r="V245">
        <f t="shared" si="33"/>
        <v>706</v>
      </c>
      <c r="W245" cm="1">
        <f t="array" ref="W245">_xlfn._xlws.FILTER(shifts!A:A,(shifts!B:B=events!D245)*(shifts!AH:AH&gt;=events!U245)*(shifts!AI:AI&lt;=events!V245))</f>
        <v>8</v>
      </c>
      <c r="X245" t="str">
        <f t="shared" si="34"/>
        <v>event_team_player_1</v>
      </c>
      <c r="Y245">
        <f>COUNTIFS(A$3:A245,"="&amp;A245,K$3:K245,"="&amp;K245)</f>
        <v>1</v>
      </c>
      <c r="Z245" s="20">
        <f>SUMIFS(T$3:T245,L$3:L245,"=Intermission")+SUMIFS(T$3:T245,L$3:L245,"=Timeout")+SUMIFS(T$3:T245,L$3:L245,"=Clockstop")</f>
        <v>0</v>
      </c>
      <c r="AA245">
        <f t="shared" si="38"/>
        <v>0</v>
      </c>
      <c r="AB245" s="26">
        <f t="shared" si="39"/>
        <v>372</v>
      </c>
      <c r="AC245">
        <f t="shared" si="40"/>
        <v>0</v>
      </c>
    </row>
    <row r="246" spans="1:29" x14ac:dyDescent="0.2">
      <c r="A246">
        <v>131</v>
      </c>
      <c r="D246">
        <f t="shared" si="41"/>
        <v>1</v>
      </c>
      <c r="E246">
        <v>11</v>
      </c>
      <c r="F246" s="6" t="s">
        <v>451</v>
      </c>
      <c r="G246">
        <v>11</v>
      </c>
      <c r="H246" s="8" t="s">
        <v>478</v>
      </c>
      <c r="I246" t="s">
        <v>178</v>
      </c>
      <c r="J246">
        <v>5</v>
      </c>
      <c r="K246" t="s">
        <v>489</v>
      </c>
      <c r="L246" t="s">
        <v>15</v>
      </c>
      <c r="Q246">
        <f t="shared" si="35"/>
        <v>18977</v>
      </c>
      <c r="R246" t="str">
        <f t="shared" si="36"/>
        <v>Velodrome</v>
      </c>
      <c r="S246" t="str">
        <f t="shared" si="37"/>
        <v>HollowBrook</v>
      </c>
      <c r="T246" s="20">
        <f t="shared" si="31"/>
        <v>2</v>
      </c>
      <c r="U246">
        <f t="shared" si="32"/>
        <v>708</v>
      </c>
      <c r="V246">
        <f t="shared" si="33"/>
        <v>706</v>
      </c>
      <c r="W246" cm="1">
        <f t="array" ref="W246">_xlfn._xlws.FILTER(shifts!A:A,(shifts!B:B=events!D246)*(shifts!AH:AH&gt;=events!U246)*(shifts!AI:AI&lt;=events!V246))</f>
        <v>8</v>
      </c>
      <c r="X246" t="str">
        <f t="shared" si="34"/>
        <v>opp_team_player_1</v>
      </c>
      <c r="Y246">
        <f>COUNTIFS(A$3:A246,"="&amp;A246,K$3:K246,"="&amp;K246)</f>
        <v>1</v>
      </c>
      <c r="Z246" s="20">
        <f>SUMIFS(T$3:T246,L$3:L246,"=Intermission")+SUMIFS(T$3:T246,L$3:L246,"=Timeout")+SUMIFS(T$3:T246,L$3:L246,"=Clockstop")</f>
        <v>0</v>
      </c>
      <c r="AA246">
        <f t="shared" si="38"/>
        <v>0</v>
      </c>
      <c r="AB246" s="26">
        <f t="shared" si="39"/>
        <v>372</v>
      </c>
      <c r="AC246">
        <f t="shared" si="40"/>
        <v>0</v>
      </c>
    </row>
    <row r="247" spans="1:29" x14ac:dyDescent="0.2">
      <c r="A247">
        <v>132</v>
      </c>
      <c r="D247">
        <f t="shared" si="41"/>
        <v>1</v>
      </c>
      <c r="E247">
        <v>11</v>
      </c>
      <c r="F247" s="6" t="s">
        <v>478</v>
      </c>
      <c r="G247">
        <v>11</v>
      </c>
      <c r="H247" s="8" t="s">
        <v>435</v>
      </c>
      <c r="I247" t="s">
        <v>178</v>
      </c>
      <c r="J247">
        <v>49</v>
      </c>
      <c r="K247" t="s">
        <v>488</v>
      </c>
      <c r="L247" t="s">
        <v>277</v>
      </c>
      <c r="M247" t="s">
        <v>191</v>
      </c>
      <c r="N247" t="s">
        <v>87</v>
      </c>
      <c r="Q247">
        <f t="shared" si="35"/>
        <v>18977</v>
      </c>
      <c r="R247" t="str">
        <f t="shared" si="36"/>
        <v>Velodrome</v>
      </c>
      <c r="S247" t="str">
        <f t="shared" si="37"/>
        <v>HollowBrook</v>
      </c>
      <c r="T247" s="20">
        <f t="shared" si="31"/>
        <v>2</v>
      </c>
      <c r="U247">
        <f t="shared" si="32"/>
        <v>706</v>
      </c>
      <c r="V247">
        <f t="shared" si="33"/>
        <v>704</v>
      </c>
      <c r="W247" cm="1">
        <f t="array" ref="W247">_xlfn._xlws.FILTER(shifts!A:A,(shifts!B:B=events!D247)*(shifts!AH:AH&gt;=events!U247)*(shifts!AI:AI&lt;=events!V247))</f>
        <v>8</v>
      </c>
      <c r="X247" t="str">
        <f t="shared" si="34"/>
        <v>event_team_player_1</v>
      </c>
      <c r="Y247">
        <f>COUNTIFS(A$3:A247,"="&amp;A247,K$3:K247,"="&amp;K247)</f>
        <v>1</v>
      </c>
      <c r="Z247" s="20">
        <f>SUMIFS(T$3:T247,L$3:L247,"=Intermission")+SUMIFS(T$3:T247,L$3:L247,"=Timeout")+SUMIFS(T$3:T247,L$3:L247,"=Clockstop")</f>
        <v>0</v>
      </c>
      <c r="AA247">
        <f t="shared" si="38"/>
        <v>0</v>
      </c>
      <c r="AB247" s="26">
        <f t="shared" si="39"/>
        <v>374</v>
      </c>
      <c r="AC247">
        <f t="shared" si="40"/>
        <v>0</v>
      </c>
    </row>
    <row r="248" spans="1:29" x14ac:dyDescent="0.2">
      <c r="A248">
        <v>132</v>
      </c>
      <c r="D248">
        <f t="shared" si="41"/>
        <v>1</v>
      </c>
      <c r="E248">
        <v>11</v>
      </c>
      <c r="F248" s="6" t="s">
        <v>478</v>
      </c>
      <c r="G248">
        <v>11</v>
      </c>
      <c r="H248" s="8" t="s">
        <v>435</v>
      </c>
      <c r="I248" t="s">
        <v>178</v>
      </c>
      <c r="J248">
        <v>75</v>
      </c>
      <c r="K248" t="s">
        <v>488</v>
      </c>
      <c r="L248" t="s">
        <v>277</v>
      </c>
      <c r="M248" t="s">
        <v>191</v>
      </c>
      <c r="N248" t="s">
        <v>87</v>
      </c>
      <c r="Q248">
        <f t="shared" si="35"/>
        <v>18977</v>
      </c>
      <c r="R248" t="str">
        <f t="shared" si="36"/>
        <v>Velodrome</v>
      </c>
      <c r="S248" t="str">
        <f t="shared" si="37"/>
        <v>HollowBrook</v>
      </c>
      <c r="T248" s="20">
        <f t="shared" si="31"/>
        <v>2</v>
      </c>
      <c r="U248">
        <f t="shared" si="32"/>
        <v>706</v>
      </c>
      <c r="V248">
        <f t="shared" si="33"/>
        <v>704</v>
      </c>
      <c r="W248" cm="1">
        <f t="array" ref="W248">_xlfn._xlws.FILTER(shifts!A:A,(shifts!B:B=events!D248)*(shifts!AH:AH&gt;=events!U248)*(shifts!AI:AI&lt;=events!V248))</f>
        <v>8</v>
      </c>
      <c r="X248" t="str">
        <f t="shared" si="34"/>
        <v>event_team_player_2</v>
      </c>
      <c r="Y248">
        <f>COUNTIFS(A$3:A248,"="&amp;A248,K$3:K248,"="&amp;K248)</f>
        <v>2</v>
      </c>
      <c r="Z248" s="20">
        <f>SUMIFS(T$3:T248,L$3:L248,"=Intermission")+SUMIFS(T$3:T248,L$3:L248,"=Timeout")+SUMIFS(T$3:T248,L$3:L248,"=Clockstop")</f>
        <v>0</v>
      </c>
      <c r="AA248">
        <f t="shared" si="38"/>
        <v>0</v>
      </c>
      <c r="AB248" s="26">
        <f t="shared" si="39"/>
        <v>374</v>
      </c>
      <c r="AC248">
        <f t="shared" si="40"/>
        <v>0</v>
      </c>
    </row>
    <row r="249" spans="1:29" x14ac:dyDescent="0.2">
      <c r="A249">
        <v>132</v>
      </c>
      <c r="D249">
        <f t="shared" si="41"/>
        <v>1</v>
      </c>
      <c r="E249">
        <v>11</v>
      </c>
      <c r="F249" s="6" t="s">
        <v>478</v>
      </c>
      <c r="G249">
        <v>11</v>
      </c>
      <c r="H249" s="8" t="s">
        <v>435</v>
      </c>
      <c r="I249" t="s">
        <v>178</v>
      </c>
      <c r="J249">
        <v>5</v>
      </c>
      <c r="K249" t="s">
        <v>489</v>
      </c>
      <c r="L249" t="s">
        <v>277</v>
      </c>
      <c r="M249" t="s">
        <v>191</v>
      </c>
      <c r="N249" t="s">
        <v>87</v>
      </c>
      <c r="Q249">
        <f t="shared" si="35"/>
        <v>18977</v>
      </c>
      <c r="R249" t="str">
        <f t="shared" si="36"/>
        <v>Velodrome</v>
      </c>
      <c r="S249" t="str">
        <f t="shared" si="37"/>
        <v>HollowBrook</v>
      </c>
      <c r="T249" s="20">
        <f t="shared" si="31"/>
        <v>2</v>
      </c>
      <c r="U249">
        <f t="shared" si="32"/>
        <v>706</v>
      </c>
      <c r="V249">
        <f t="shared" si="33"/>
        <v>704</v>
      </c>
      <c r="W249" cm="1">
        <f t="array" ref="W249">_xlfn._xlws.FILTER(shifts!A:A,(shifts!B:B=events!D249)*(shifts!AH:AH&gt;=events!U249)*(shifts!AI:AI&lt;=events!V249))</f>
        <v>8</v>
      </c>
      <c r="X249" t="str">
        <f t="shared" si="34"/>
        <v>opp_team_player_1</v>
      </c>
      <c r="Y249">
        <f>COUNTIFS(A$3:A249,"="&amp;A249,K$3:K249,"="&amp;K249)</f>
        <v>1</v>
      </c>
      <c r="Z249" s="20">
        <f>SUMIFS(T$3:T249,L$3:L249,"=Intermission")+SUMIFS(T$3:T249,L$3:L249,"=Timeout")+SUMIFS(T$3:T249,L$3:L249,"=Clockstop")</f>
        <v>0</v>
      </c>
      <c r="AA249">
        <f t="shared" si="38"/>
        <v>0</v>
      </c>
      <c r="AB249" s="26">
        <f t="shared" si="39"/>
        <v>374</v>
      </c>
      <c r="AC249">
        <f t="shared" si="40"/>
        <v>0</v>
      </c>
    </row>
    <row r="250" spans="1:29" x14ac:dyDescent="0.2">
      <c r="A250">
        <v>132</v>
      </c>
      <c r="D250">
        <f t="shared" si="41"/>
        <v>1</v>
      </c>
      <c r="E250">
        <v>11</v>
      </c>
      <c r="F250" s="6" t="s">
        <v>478</v>
      </c>
      <c r="G250">
        <v>11</v>
      </c>
      <c r="H250" s="8" t="s">
        <v>435</v>
      </c>
      <c r="I250" t="s">
        <v>178</v>
      </c>
      <c r="J250">
        <v>27</v>
      </c>
      <c r="K250" t="s">
        <v>489</v>
      </c>
      <c r="L250" t="s">
        <v>277</v>
      </c>
      <c r="M250" t="s">
        <v>191</v>
      </c>
      <c r="N250" t="s">
        <v>87</v>
      </c>
      <c r="Q250">
        <f t="shared" si="35"/>
        <v>18977</v>
      </c>
      <c r="R250" t="str">
        <f t="shared" si="36"/>
        <v>Velodrome</v>
      </c>
      <c r="S250" t="str">
        <f t="shared" si="37"/>
        <v>HollowBrook</v>
      </c>
      <c r="T250" s="20">
        <f t="shared" si="31"/>
        <v>2</v>
      </c>
      <c r="U250">
        <f t="shared" si="32"/>
        <v>706</v>
      </c>
      <c r="V250">
        <f t="shared" si="33"/>
        <v>704</v>
      </c>
      <c r="W250" cm="1">
        <f t="array" ref="W250">_xlfn._xlws.FILTER(shifts!A:A,(shifts!B:B=events!D250)*(shifts!AH:AH&gt;=events!U250)*(shifts!AI:AI&lt;=events!V250))</f>
        <v>8</v>
      </c>
      <c r="X250" t="str">
        <f t="shared" si="34"/>
        <v>opp_team_player_2</v>
      </c>
      <c r="Y250">
        <f>COUNTIFS(A$3:A250,"="&amp;A250,K$3:K250,"="&amp;K250)</f>
        <v>2</v>
      </c>
      <c r="Z250" s="20">
        <f>SUMIFS(T$3:T250,L$3:L250,"=Intermission")+SUMIFS(T$3:T250,L$3:L250,"=Timeout")+SUMIFS(T$3:T250,L$3:L250,"=Clockstop")</f>
        <v>0</v>
      </c>
      <c r="AA250">
        <f t="shared" si="38"/>
        <v>0</v>
      </c>
      <c r="AB250" s="26">
        <f t="shared" si="39"/>
        <v>374</v>
      </c>
      <c r="AC250">
        <f t="shared" si="40"/>
        <v>0</v>
      </c>
    </row>
    <row r="251" spans="1:29" x14ac:dyDescent="0.2">
      <c r="A251">
        <v>132</v>
      </c>
      <c r="D251">
        <f t="shared" si="41"/>
        <v>1</v>
      </c>
      <c r="E251">
        <v>11</v>
      </c>
      <c r="F251" s="6" t="s">
        <v>478</v>
      </c>
      <c r="G251">
        <v>11</v>
      </c>
      <c r="H251" s="8" t="s">
        <v>435</v>
      </c>
      <c r="I251" t="s">
        <v>178</v>
      </c>
      <c r="J251">
        <v>26</v>
      </c>
      <c r="K251" t="s">
        <v>489</v>
      </c>
      <c r="L251" t="s">
        <v>277</v>
      </c>
      <c r="M251" t="s">
        <v>191</v>
      </c>
      <c r="N251" t="s">
        <v>87</v>
      </c>
      <c r="Q251">
        <f t="shared" si="35"/>
        <v>18977</v>
      </c>
      <c r="R251" t="str">
        <f t="shared" si="36"/>
        <v>Velodrome</v>
      </c>
      <c r="S251" t="str">
        <f t="shared" si="37"/>
        <v>HollowBrook</v>
      </c>
      <c r="T251" s="20">
        <f t="shared" si="31"/>
        <v>2</v>
      </c>
      <c r="U251">
        <f t="shared" si="32"/>
        <v>706</v>
      </c>
      <c r="V251">
        <f t="shared" si="33"/>
        <v>704</v>
      </c>
      <c r="W251" cm="1">
        <f t="array" ref="W251">_xlfn._xlws.FILTER(shifts!A:A,(shifts!B:B=events!D251)*(shifts!AH:AH&gt;=events!U251)*(shifts!AI:AI&lt;=events!V251))</f>
        <v>8</v>
      </c>
      <c r="X251" t="str">
        <f t="shared" si="34"/>
        <v>opp_team_player_3</v>
      </c>
      <c r="Y251">
        <f>COUNTIFS(A$3:A251,"="&amp;A251,K$3:K251,"="&amp;K251)</f>
        <v>3</v>
      </c>
      <c r="Z251" s="20">
        <f>SUMIFS(T$3:T251,L$3:L251,"=Intermission")+SUMIFS(T$3:T251,L$3:L251,"=Timeout")+SUMIFS(T$3:T251,L$3:L251,"=Clockstop")</f>
        <v>0</v>
      </c>
      <c r="AA251">
        <f t="shared" si="38"/>
        <v>0</v>
      </c>
      <c r="AB251" s="26">
        <f t="shared" si="39"/>
        <v>374</v>
      </c>
      <c r="AC251">
        <f t="shared" si="40"/>
        <v>0</v>
      </c>
    </row>
    <row r="252" spans="1:29" x14ac:dyDescent="0.2">
      <c r="A252">
        <v>133</v>
      </c>
      <c r="D252">
        <f t="shared" si="41"/>
        <v>1</v>
      </c>
      <c r="E252">
        <v>11</v>
      </c>
      <c r="F252" s="6" t="s">
        <v>435</v>
      </c>
      <c r="I252" t="s">
        <v>179</v>
      </c>
      <c r="J252">
        <v>5</v>
      </c>
      <c r="K252" t="s">
        <v>488</v>
      </c>
      <c r="L252" t="s">
        <v>10</v>
      </c>
      <c r="M252" t="s">
        <v>200</v>
      </c>
      <c r="N252" t="s">
        <v>82</v>
      </c>
      <c r="Q252">
        <f t="shared" si="35"/>
        <v>18977</v>
      </c>
      <c r="R252" t="str">
        <f t="shared" si="36"/>
        <v>Velodrome</v>
      </c>
      <c r="S252" t="str">
        <f t="shared" si="37"/>
        <v>HollowBrook</v>
      </c>
      <c r="T252" s="20">
        <f t="shared" si="31"/>
        <v>0</v>
      </c>
      <c r="U252">
        <f t="shared" si="32"/>
        <v>704</v>
      </c>
      <c r="V252">
        <f t="shared" si="33"/>
        <v>704</v>
      </c>
      <c r="W252" cm="1">
        <f t="array" ref="W252">_xlfn._xlws.FILTER(shifts!A:A,(shifts!B:B=events!D252)*(shifts!AH:AH&gt;=events!U252)*(shifts!AI:AI&lt;=events!V252))</f>
        <v>8</v>
      </c>
      <c r="X252" t="str">
        <f t="shared" si="34"/>
        <v>event_team_player_1</v>
      </c>
      <c r="Y252">
        <f>COUNTIFS(A$3:A252,"="&amp;A252,K$3:K252,"="&amp;K252)</f>
        <v>1</v>
      </c>
      <c r="Z252" s="20">
        <f>SUMIFS(T$3:T252,L$3:L252,"=Intermission")+SUMIFS(T$3:T252,L$3:L252,"=Timeout")+SUMIFS(T$3:T252,L$3:L252,"=Clockstop")</f>
        <v>0</v>
      </c>
      <c r="AA252">
        <f t="shared" si="38"/>
        <v>0</v>
      </c>
      <c r="AB252" s="26">
        <f t="shared" si="39"/>
        <v>376</v>
      </c>
      <c r="AC252">
        <f t="shared" si="40"/>
        <v>0</v>
      </c>
    </row>
    <row r="253" spans="1:29" x14ac:dyDescent="0.2">
      <c r="A253">
        <v>133</v>
      </c>
      <c r="D253">
        <f t="shared" si="41"/>
        <v>1</v>
      </c>
      <c r="E253">
        <v>11</v>
      </c>
      <c r="F253" s="6" t="s">
        <v>435</v>
      </c>
      <c r="I253" t="s">
        <v>179</v>
      </c>
      <c r="J253">
        <v>49</v>
      </c>
      <c r="K253" t="s">
        <v>489</v>
      </c>
      <c r="L253" t="s">
        <v>10</v>
      </c>
      <c r="M253" t="s">
        <v>200</v>
      </c>
      <c r="N253" t="s">
        <v>82</v>
      </c>
      <c r="Q253">
        <f t="shared" si="35"/>
        <v>18977</v>
      </c>
      <c r="R253" t="str">
        <f t="shared" si="36"/>
        <v>Velodrome</v>
      </c>
      <c r="S253" t="str">
        <f t="shared" si="37"/>
        <v>HollowBrook</v>
      </c>
      <c r="T253" s="20">
        <f t="shared" si="31"/>
        <v>0</v>
      </c>
      <c r="U253">
        <f t="shared" si="32"/>
        <v>704</v>
      </c>
      <c r="V253">
        <f t="shared" si="33"/>
        <v>704</v>
      </c>
      <c r="W253" cm="1">
        <f t="array" ref="W253">_xlfn._xlws.FILTER(shifts!A:A,(shifts!B:B=events!D253)*(shifts!AH:AH&gt;=events!U253)*(shifts!AI:AI&lt;=events!V253))</f>
        <v>8</v>
      </c>
      <c r="X253" t="str">
        <f t="shared" si="34"/>
        <v>opp_team_player_1</v>
      </c>
      <c r="Y253">
        <f>COUNTIFS(A$3:A253,"="&amp;A253,K$3:K253,"="&amp;K253)</f>
        <v>1</v>
      </c>
      <c r="Z253" s="20">
        <f>SUMIFS(T$3:T253,L$3:L253,"=Intermission")+SUMIFS(T$3:T253,L$3:L253,"=Timeout")+SUMIFS(T$3:T253,L$3:L253,"=Clockstop")</f>
        <v>0</v>
      </c>
      <c r="AA253">
        <f t="shared" si="38"/>
        <v>0</v>
      </c>
      <c r="AB253" s="26">
        <f t="shared" si="39"/>
        <v>376</v>
      </c>
      <c r="AC253">
        <f t="shared" si="40"/>
        <v>0</v>
      </c>
    </row>
    <row r="254" spans="1:29" x14ac:dyDescent="0.2">
      <c r="A254">
        <v>134</v>
      </c>
      <c r="D254">
        <f t="shared" si="41"/>
        <v>1</v>
      </c>
      <c r="E254">
        <v>11</v>
      </c>
      <c r="F254" s="6" t="s">
        <v>454</v>
      </c>
      <c r="I254" t="s">
        <v>179</v>
      </c>
      <c r="J254">
        <v>26</v>
      </c>
      <c r="K254" t="s">
        <v>488</v>
      </c>
      <c r="L254" t="s">
        <v>10</v>
      </c>
      <c r="M254" t="s">
        <v>190</v>
      </c>
      <c r="N254" t="s">
        <v>479</v>
      </c>
      <c r="Q254">
        <f t="shared" si="35"/>
        <v>18977</v>
      </c>
      <c r="R254" t="str">
        <f t="shared" si="36"/>
        <v>Velodrome</v>
      </c>
      <c r="S254" t="str">
        <f t="shared" si="37"/>
        <v>HollowBrook</v>
      </c>
      <c r="T254" s="20">
        <f t="shared" si="31"/>
        <v>0</v>
      </c>
      <c r="U254">
        <f t="shared" si="32"/>
        <v>703</v>
      </c>
      <c r="V254">
        <f t="shared" si="33"/>
        <v>703</v>
      </c>
      <c r="W254" cm="1">
        <f t="array" ref="W254">_xlfn._xlws.FILTER(shifts!A:A,(shifts!B:B=events!D254)*(shifts!AH:AH&gt;=events!U254)*(shifts!AI:AI&lt;=events!V254))</f>
        <v>8</v>
      </c>
      <c r="X254" t="str">
        <f t="shared" si="34"/>
        <v>event_team_player_1</v>
      </c>
      <c r="Y254">
        <f>COUNTIFS(A$3:A254,"="&amp;A254,K$3:K254,"="&amp;K254)</f>
        <v>1</v>
      </c>
      <c r="Z254" s="20">
        <f>SUMIFS(T$3:T254,L$3:L254,"=Intermission")+SUMIFS(T$3:T254,L$3:L254,"=Timeout")+SUMIFS(T$3:T254,L$3:L254,"=Clockstop")</f>
        <v>0</v>
      </c>
      <c r="AA254">
        <f t="shared" si="38"/>
        <v>0</v>
      </c>
      <c r="AB254" s="26">
        <f t="shared" si="39"/>
        <v>377</v>
      </c>
      <c r="AC254">
        <f t="shared" si="40"/>
        <v>0</v>
      </c>
    </row>
    <row r="255" spans="1:29" x14ac:dyDescent="0.2">
      <c r="A255">
        <v>134</v>
      </c>
      <c r="D255">
        <f t="shared" si="41"/>
        <v>1</v>
      </c>
      <c r="E255">
        <v>11</v>
      </c>
      <c r="F255" s="6" t="s">
        <v>454</v>
      </c>
      <c r="I255" t="s">
        <v>179</v>
      </c>
      <c r="J255">
        <v>22</v>
      </c>
      <c r="K255" t="s">
        <v>488</v>
      </c>
      <c r="L255" t="s">
        <v>10</v>
      </c>
      <c r="M255" t="s">
        <v>190</v>
      </c>
      <c r="N255" t="s">
        <v>479</v>
      </c>
      <c r="Q255">
        <f t="shared" si="35"/>
        <v>18977</v>
      </c>
      <c r="R255" t="str">
        <f t="shared" si="36"/>
        <v>Velodrome</v>
      </c>
      <c r="S255" t="str">
        <f t="shared" si="37"/>
        <v>HollowBrook</v>
      </c>
      <c r="T255" s="20">
        <f t="shared" si="31"/>
        <v>0</v>
      </c>
      <c r="U255">
        <f t="shared" si="32"/>
        <v>703</v>
      </c>
      <c r="V255">
        <f t="shared" si="33"/>
        <v>703</v>
      </c>
      <c r="W255" cm="1">
        <f t="array" ref="W255">_xlfn._xlws.FILTER(shifts!A:A,(shifts!B:B=events!D255)*(shifts!AH:AH&gt;=events!U255)*(shifts!AI:AI&lt;=events!V255))</f>
        <v>8</v>
      </c>
      <c r="X255" t="str">
        <f t="shared" si="34"/>
        <v>event_team_player_2</v>
      </c>
      <c r="Y255">
        <f>COUNTIFS(A$3:A255,"="&amp;A255,K$3:K255,"="&amp;K255)</f>
        <v>2</v>
      </c>
      <c r="Z255" s="20">
        <f>SUMIFS(T$3:T255,L$3:L255,"=Intermission")+SUMIFS(T$3:T255,L$3:L255,"=Timeout")+SUMIFS(T$3:T255,L$3:L255,"=Clockstop")</f>
        <v>0</v>
      </c>
      <c r="AA255">
        <f t="shared" si="38"/>
        <v>0</v>
      </c>
      <c r="AB255" s="26">
        <f t="shared" si="39"/>
        <v>377</v>
      </c>
      <c r="AC255">
        <f t="shared" si="40"/>
        <v>0</v>
      </c>
    </row>
    <row r="256" spans="1:29" x14ac:dyDescent="0.2">
      <c r="A256">
        <v>135</v>
      </c>
      <c r="D256">
        <f t="shared" si="41"/>
        <v>1</v>
      </c>
      <c r="E256">
        <v>11</v>
      </c>
      <c r="F256" s="6" t="s">
        <v>454</v>
      </c>
      <c r="I256" t="s">
        <v>179</v>
      </c>
      <c r="J256">
        <v>84</v>
      </c>
      <c r="K256" t="s">
        <v>489</v>
      </c>
      <c r="L256" t="s">
        <v>10</v>
      </c>
      <c r="M256" t="s">
        <v>190</v>
      </c>
      <c r="N256" t="s">
        <v>479</v>
      </c>
      <c r="Q256">
        <f t="shared" si="35"/>
        <v>18977</v>
      </c>
      <c r="R256" t="str">
        <f t="shared" si="36"/>
        <v>Velodrome</v>
      </c>
      <c r="S256" t="str">
        <f t="shared" si="37"/>
        <v>HollowBrook</v>
      </c>
      <c r="T256" s="20">
        <f t="shared" si="31"/>
        <v>0</v>
      </c>
      <c r="U256">
        <f t="shared" si="32"/>
        <v>703</v>
      </c>
      <c r="V256">
        <f t="shared" si="33"/>
        <v>703</v>
      </c>
      <c r="W256" cm="1">
        <f t="array" ref="W256">_xlfn._xlws.FILTER(shifts!A:A,(shifts!B:B=events!D256)*(shifts!AH:AH&gt;=events!U256)*(shifts!AI:AI&lt;=events!V256))</f>
        <v>8</v>
      </c>
      <c r="X256" t="str">
        <f t="shared" si="34"/>
        <v>opp_team_player_1</v>
      </c>
      <c r="Y256">
        <f>COUNTIFS(A$3:A256,"="&amp;A256,K$3:K256,"="&amp;K256)</f>
        <v>1</v>
      </c>
      <c r="Z256" s="20">
        <f>SUMIFS(T$3:T256,L$3:L256,"=Intermission")+SUMIFS(T$3:T256,L$3:L256,"=Timeout")+SUMIFS(T$3:T256,L$3:L256,"=Clockstop")</f>
        <v>0</v>
      </c>
      <c r="AA256">
        <f t="shared" si="38"/>
        <v>0</v>
      </c>
      <c r="AB256" s="26">
        <f t="shared" si="39"/>
        <v>377</v>
      </c>
      <c r="AC256">
        <f t="shared" si="40"/>
        <v>0</v>
      </c>
    </row>
    <row r="257" spans="1:29" x14ac:dyDescent="0.2">
      <c r="A257">
        <v>136</v>
      </c>
      <c r="D257">
        <f t="shared" si="41"/>
        <v>1</v>
      </c>
      <c r="E257">
        <v>11</v>
      </c>
      <c r="F257" s="6" t="s">
        <v>454</v>
      </c>
      <c r="I257" t="s">
        <v>178</v>
      </c>
      <c r="J257">
        <v>84</v>
      </c>
      <c r="K257" t="s">
        <v>488</v>
      </c>
      <c r="L257" t="s">
        <v>277</v>
      </c>
      <c r="M257" t="s">
        <v>210</v>
      </c>
      <c r="N257" t="s">
        <v>93</v>
      </c>
      <c r="Q257">
        <f t="shared" si="35"/>
        <v>18977</v>
      </c>
      <c r="R257" t="str">
        <f t="shared" si="36"/>
        <v>Velodrome</v>
      </c>
      <c r="S257" t="str">
        <f t="shared" si="37"/>
        <v>HollowBrook</v>
      </c>
      <c r="T257" s="20">
        <f t="shared" si="31"/>
        <v>0</v>
      </c>
      <c r="U257">
        <f t="shared" si="32"/>
        <v>703</v>
      </c>
      <c r="V257">
        <f t="shared" si="33"/>
        <v>703</v>
      </c>
      <c r="W257" cm="1">
        <f t="array" ref="W257">_xlfn._xlws.FILTER(shifts!A:A,(shifts!B:B=events!D257)*(shifts!AH:AH&gt;=events!U257)*(shifts!AI:AI&lt;=events!V257))</f>
        <v>8</v>
      </c>
      <c r="X257" t="str">
        <f t="shared" si="34"/>
        <v>event_team_player_1</v>
      </c>
      <c r="Y257">
        <f>COUNTIFS(A$3:A257,"="&amp;A257,K$3:K257,"="&amp;K257)</f>
        <v>1</v>
      </c>
      <c r="Z257" s="20">
        <f>SUMIFS(T$3:T257,L$3:L257,"=Intermission")+SUMIFS(T$3:T257,L$3:L257,"=Timeout")+SUMIFS(T$3:T257,L$3:L257,"=Clockstop")</f>
        <v>0</v>
      </c>
      <c r="AA257">
        <f t="shared" si="38"/>
        <v>0</v>
      </c>
      <c r="AB257" s="26">
        <f t="shared" si="39"/>
        <v>377</v>
      </c>
      <c r="AC257">
        <f t="shared" si="40"/>
        <v>0</v>
      </c>
    </row>
    <row r="258" spans="1:29" x14ac:dyDescent="0.2">
      <c r="A258">
        <v>137</v>
      </c>
      <c r="D258">
        <f t="shared" si="41"/>
        <v>1</v>
      </c>
      <c r="E258">
        <v>11</v>
      </c>
      <c r="F258" s="6" t="s">
        <v>430</v>
      </c>
      <c r="G258">
        <v>11</v>
      </c>
      <c r="H258" s="8" t="s">
        <v>481</v>
      </c>
      <c r="I258" t="s">
        <v>178</v>
      </c>
      <c r="J258">
        <v>84</v>
      </c>
      <c r="K258" t="s">
        <v>488</v>
      </c>
      <c r="L258" t="s">
        <v>15</v>
      </c>
      <c r="Q258">
        <f t="shared" si="35"/>
        <v>18977</v>
      </c>
      <c r="R258" t="str">
        <f t="shared" si="36"/>
        <v>Velodrome</v>
      </c>
      <c r="S258" t="str">
        <f t="shared" si="37"/>
        <v>HollowBrook</v>
      </c>
      <c r="T258" s="20">
        <f t="shared" si="31"/>
        <v>3</v>
      </c>
      <c r="U258">
        <f t="shared" si="32"/>
        <v>702</v>
      </c>
      <c r="V258">
        <f t="shared" si="33"/>
        <v>699</v>
      </c>
      <c r="W258" cm="1">
        <f t="array" ref="W258">_xlfn._xlws.FILTER(shifts!A:A,(shifts!B:B=events!D258)*(shifts!AH:AH&gt;=events!U258)*(shifts!AI:AI&lt;=events!V258))</f>
        <v>8</v>
      </c>
      <c r="X258" t="str">
        <f t="shared" si="34"/>
        <v>event_team_player_1</v>
      </c>
      <c r="Y258">
        <f>COUNTIFS(A$3:A258,"="&amp;A258,K$3:K258,"="&amp;K258)</f>
        <v>1</v>
      </c>
      <c r="Z258" s="20">
        <f>SUMIFS(T$3:T258,L$3:L258,"=Intermission")+SUMIFS(T$3:T258,L$3:L258,"=Timeout")+SUMIFS(T$3:T258,L$3:L258,"=Clockstop")</f>
        <v>0</v>
      </c>
      <c r="AA258">
        <f t="shared" si="38"/>
        <v>0</v>
      </c>
      <c r="AB258" s="26">
        <f t="shared" si="39"/>
        <v>378</v>
      </c>
      <c r="AC258">
        <f t="shared" si="40"/>
        <v>0</v>
      </c>
    </row>
    <row r="259" spans="1:29" x14ac:dyDescent="0.2">
      <c r="A259">
        <v>138</v>
      </c>
      <c r="D259">
        <f t="shared" si="41"/>
        <v>1</v>
      </c>
      <c r="E259">
        <v>11</v>
      </c>
      <c r="F259" s="6" t="s">
        <v>481</v>
      </c>
      <c r="I259" t="s">
        <v>178</v>
      </c>
      <c r="J259">
        <v>84</v>
      </c>
      <c r="K259" t="s">
        <v>488</v>
      </c>
      <c r="L259" t="s">
        <v>8</v>
      </c>
      <c r="M259" t="s">
        <v>199</v>
      </c>
      <c r="N259" t="s">
        <v>70</v>
      </c>
      <c r="Q259">
        <f t="shared" si="35"/>
        <v>18977</v>
      </c>
      <c r="R259" t="str">
        <f t="shared" si="36"/>
        <v>Velodrome</v>
      </c>
      <c r="S259" t="str">
        <f t="shared" si="37"/>
        <v>HollowBrook</v>
      </c>
      <c r="T259" s="20">
        <f t="shared" ref="T259:T322" si="42">IF(AND(G259="",H259=""),0,((E259*60)+F259)-((G259*60)+H259))</f>
        <v>0</v>
      </c>
      <c r="U259">
        <f t="shared" ref="U259:U322" si="43">(E259*60)+F259</f>
        <v>699</v>
      </c>
      <c r="V259">
        <f t="shared" ref="V259:V322" si="44">IF(AND(G259="",H259=""),U259,((G259*60)+H259))</f>
        <v>699</v>
      </c>
      <c r="W259" cm="1">
        <f t="array" ref="W259">_xlfn._xlws.FILTER(shifts!A:A,(shifts!B:B=events!D259)*(shifts!AH:AH&gt;=events!U259)*(shifts!AI:AI&lt;=events!V259))</f>
        <v>8</v>
      </c>
      <c r="X259" t="str">
        <f t="shared" ref="X259:X322" si="45">IF(K259="e","event_team_player_"&amp;Y259,IF(K259="o","opp_team_player_"&amp;Y259,""))</f>
        <v>event_team_player_1</v>
      </c>
      <c r="Y259">
        <f>COUNTIFS(A$3:A259,"="&amp;A259,K$3:K259,"="&amp;K259)</f>
        <v>1</v>
      </c>
      <c r="Z259" s="20">
        <f>SUMIFS(T$3:T259,L$3:L259,"=Intermission")+SUMIFS(T$3:T259,L$3:L259,"=Timeout")+SUMIFS(T$3:T259,L$3:L259,"=Clockstop")</f>
        <v>0</v>
      </c>
      <c r="AA259">
        <f t="shared" si="38"/>
        <v>0</v>
      </c>
      <c r="AB259" s="26">
        <f t="shared" si="39"/>
        <v>381</v>
      </c>
      <c r="AC259">
        <f t="shared" si="40"/>
        <v>0</v>
      </c>
    </row>
    <row r="260" spans="1:29" x14ac:dyDescent="0.2">
      <c r="A260">
        <v>138</v>
      </c>
      <c r="D260">
        <f t="shared" si="41"/>
        <v>1</v>
      </c>
      <c r="E260">
        <v>11</v>
      </c>
      <c r="F260" s="6" t="s">
        <v>481</v>
      </c>
      <c r="I260" t="s">
        <v>178</v>
      </c>
      <c r="J260">
        <v>75</v>
      </c>
      <c r="K260" t="s">
        <v>488</v>
      </c>
      <c r="L260" t="s">
        <v>8</v>
      </c>
      <c r="M260" t="s">
        <v>199</v>
      </c>
      <c r="N260" t="s">
        <v>70</v>
      </c>
      <c r="Q260">
        <f t="shared" ref="Q260:Q323" si="46">Q259</f>
        <v>18977</v>
      </c>
      <c r="R260" t="str">
        <f t="shared" ref="R260:R323" si="47">R259</f>
        <v>Velodrome</v>
      </c>
      <c r="S260" t="str">
        <f t="shared" ref="S260:S323" si="48">S259</f>
        <v>HollowBrook</v>
      </c>
      <c r="T260" s="20">
        <f t="shared" si="42"/>
        <v>0</v>
      </c>
      <c r="U260">
        <f t="shared" si="43"/>
        <v>699</v>
      </c>
      <c r="V260">
        <f t="shared" si="44"/>
        <v>699</v>
      </c>
      <c r="W260" cm="1">
        <f t="array" ref="W260">_xlfn._xlws.FILTER(shifts!A:A,(shifts!B:B=events!D260)*(shifts!AH:AH&gt;=events!U260)*(shifts!AI:AI&lt;=events!V260))</f>
        <v>8</v>
      </c>
      <c r="X260" t="str">
        <f t="shared" si="45"/>
        <v>event_team_player_2</v>
      </c>
      <c r="Y260">
        <f>COUNTIFS(A$3:A260,"="&amp;A260,K$3:K260,"="&amp;K260)</f>
        <v>2</v>
      </c>
      <c r="Z260" s="20">
        <f>SUMIFS(T$3:T260,L$3:L260,"=Intermission")+SUMIFS(T$3:T260,L$3:L260,"=Timeout")+SUMIFS(T$3:T260,L$3:L260,"=Clockstop")</f>
        <v>0</v>
      </c>
      <c r="AA260">
        <f t="shared" ref="AA260:AA323" si="49">IF(D260=1,0,IF(D260=2,1080+Z260,IF(D260=3,(1080*2)+Z260,0)))</f>
        <v>0</v>
      </c>
      <c r="AB260" s="26">
        <f t="shared" ref="AB260:AB323" si="50">((1080*D260)-((E260*60)+F260)*D260)+Z260</f>
        <v>381</v>
      </c>
      <c r="AC260">
        <f t="shared" ref="AC260:AC323" si="51">IF(L259="GameStart",0,AA260+Z260)</f>
        <v>0</v>
      </c>
    </row>
    <row r="261" spans="1:29" x14ac:dyDescent="0.2">
      <c r="A261">
        <v>138</v>
      </c>
      <c r="D261">
        <f t="shared" ref="D261:D324" si="52">IF(L261="Intermission",D260+1,D260)</f>
        <v>1</v>
      </c>
      <c r="E261">
        <v>11</v>
      </c>
      <c r="F261" s="6" t="s">
        <v>481</v>
      </c>
      <c r="I261" t="s">
        <v>178</v>
      </c>
      <c r="J261">
        <v>26</v>
      </c>
      <c r="K261" t="s">
        <v>489</v>
      </c>
      <c r="L261" t="s">
        <v>8</v>
      </c>
      <c r="M261" t="s">
        <v>199</v>
      </c>
      <c r="N261" t="s">
        <v>70</v>
      </c>
      <c r="Q261">
        <f t="shared" si="46"/>
        <v>18977</v>
      </c>
      <c r="R261" t="str">
        <f t="shared" si="47"/>
        <v>Velodrome</v>
      </c>
      <c r="S261" t="str">
        <f t="shared" si="48"/>
        <v>HollowBrook</v>
      </c>
      <c r="T261" s="20">
        <f t="shared" si="42"/>
        <v>0</v>
      </c>
      <c r="U261">
        <f t="shared" si="43"/>
        <v>699</v>
      </c>
      <c r="V261">
        <f t="shared" si="44"/>
        <v>699</v>
      </c>
      <c r="W261" cm="1">
        <f t="array" ref="W261">_xlfn._xlws.FILTER(shifts!A:A,(shifts!B:B=events!D261)*(shifts!AH:AH&gt;=events!U261)*(shifts!AI:AI&lt;=events!V261))</f>
        <v>8</v>
      </c>
      <c r="X261" t="str">
        <f t="shared" si="45"/>
        <v>opp_team_player_1</v>
      </c>
      <c r="Y261">
        <f>COUNTIFS(A$3:A261,"="&amp;A261,K$3:K261,"="&amp;K261)</f>
        <v>1</v>
      </c>
      <c r="Z261" s="20">
        <f>SUMIFS(T$3:T261,L$3:L261,"=Intermission")+SUMIFS(T$3:T261,L$3:L261,"=Timeout")+SUMIFS(T$3:T261,L$3:L261,"=Clockstop")</f>
        <v>0</v>
      </c>
      <c r="AA261">
        <f t="shared" si="49"/>
        <v>0</v>
      </c>
      <c r="AB261" s="26">
        <f t="shared" si="50"/>
        <v>381</v>
      </c>
      <c r="AC261">
        <f t="shared" si="51"/>
        <v>0</v>
      </c>
    </row>
    <row r="262" spans="1:29" x14ac:dyDescent="0.2">
      <c r="A262">
        <v>139</v>
      </c>
      <c r="D262">
        <f t="shared" si="52"/>
        <v>1</v>
      </c>
      <c r="E262">
        <v>11</v>
      </c>
      <c r="F262" s="6" t="s">
        <v>452</v>
      </c>
      <c r="I262" t="s">
        <v>178</v>
      </c>
      <c r="J262">
        <v>75</v>
      </c>
      <c r="K262" t="s">
        <v>488</v>
      </c>
      <c r="L262" t="s">
        <v>7</v>
      </c>
      <c r="M262" t="s">
        <v>198</v>
      </c>
      <c r="N262" t="s">
        <v>53</v>
      </c>
      <c r="Q262">
        <f t="shared" si="46"/>
        <v>18977</v>
      </c>
      <c r="R262" t="str">
        <f t="shared" si="47"/>
        <v>Velodrome</v>
      </c>
      <c r="S262" t="str">
        <f t="shared" si="48"/>
        <v>HollowBrook</v>
      </c>
      <c r="T262" s="20">
        <f t="shared" si="42"/>
        <v>0</v>
      </c>
      <c r="U262">
        <f t="shared" si="43"/>
        <v>696</v>
      </c>
      <c r="V262">
        <f t="shared" si="44"/>
        <v>696</v>
      </c>
      <c r="W262" cm="1">
        <f t="array" ref="W262">_xlfn._xlws.FILTER(shifts!A:A,(shifts!B:B=events!D262)*(shifts!AH:AH&gt;=events!U262)*(shifts!AI:AI&lt;=events!V262))</f>
        <v>8</v>
      </c>
      <c r="X262" t="str">
        <f t="shared" si="45"/>
        <v>event_team_player_1</v>
      </c>
      <c r="Y262">
        <f>COUNTIFS(A$3:A262,"="&amp;A262,K$3:K262,"="&amp;K262)</f>
        <v>1</v>
      </c>
      <c r="Z262" s="20">
        <f>SUMIFS(T$3:T262,L$3:L262,"=Intermission")+SUMIFS(T$3:T262,L$3:L262,"=Timeout")+SUMIFS(T$3:T262,L$3:L262,"=Clockstop")</f>
        <v>0</v>
      </c>
      <c r="AA262">
        <f t="shared" si="49"/>
        <v>0</v>
      </c>
      <c r="AB262" s="26">
        <f t="shared" si="50"/>
        <v>384</v>
      </c>
      <c r="AC262">
        <f t="shared" si="51"/>
        <v>0</v>
      </c>
    </row>
    <row r="263" spans="1:29" x14ac:dyDescent="0.2">
      <c r="A263">
        <v>140</v>
      </c>
      <c r="D263">
        <f t="shared" si="52"/>
        <v>1</v>
      </c>
      <c r="E263">
        <v>11</v>
      </c>
      <c r="F263" s="6" t="s">
        <v>452</v>
      </c>
      <c r="I263" t="s">
        <v>178</v>
      </c>
      <c r="J263">
        <v>75</v>
      </c>
      <c r="K263" t="s">
        <v>488</v>
      </c>
      <c r="L263" t="s">
        <v>10</v>
      </c>
      <c r="M263" t="s">
        <v>190</v>
      </c>
      <c r="N263" t="s">
        <v>79</v>
      </c>
      <c r="Q263">
        <f t="shared" si="46"/>
        <v>18977</v>
      </c>
      <c r="R263" t="str">
        <f t="shared" si="47"/>
        <v>Velodrome</v>
      </c>
      <c r="S263" t="str">
        <f t="shared" si="48"/>
        <v>HollowBrook</v>
      </c>
      <c r="T263" s="20">
        <f t="shared" si="42"/>
        <v>0</v>
      </c>
      <c r="U263">
        <f t="shared" si="43"/>
        <v>696</v>
      </c>
      <c r="V263">
        <f t="shared" si="44"/>
        <v>696</v>
      </c>
      <c r="W263" cm="1">
        <f t="array" ref="W263">_xlfn._xlws.FILTER(shifts!A:A,(shifts!B:B=events!D263)*(shifts!AH:AH&gt;=events!U263)*(shifts!AI:AI&lt;=events!V263))</f>
        <v>8</v>
      </c>
      <c r="X263" t="str">
        <f t="shared" si="45"/>
        <v>event_team_player_1</v>
      </c>
      <c r="Y263">
        <f>COUNTIFS(A$3:A263,"="&amp;A263,K$3:K263,"="&amp;K263)</f>
        <v>1</v>
      </c>
      <c r="Z263" s="20">
        <f>SUMIFS(T$3:T263,L$3:L263,"=Intermission")+SUMIFS(T$3:T263,L$3:L263,"=Timeout")+SUMIFS(T$3:T263,L$3:L263,"=Clockstop")</f>
        <v>0</v>
      </c>
      <c r="AA263">
        <f t="shared" si="49"/>
        <v>0</v>
      </c>
      <c r="AB263" s="26">
        <f t="shared" si="50"/>
        <v>384</v>
      </c>
      <c r="AC263">
        <f t="shared" si="51"/>
        <v>0</v>
      </c>
    </row>
    <row r="264" spans="1:29" x14ac:dyDescent="0.2">
      <c r="A264">
        <v>141</v>
      </c>
      <c r="D264">
        <f t="shared" si="52"/>
        <v>1</v>
      </c>
      <c r="E264">
        <v>11</v>
      </c>
      <c r="F264" s="6" t="s">
        <v>439</v>
      </c>
      <c r="G264">
        <v>11</v>
      </c>
      <c r="H264" s="8" t="s">
        <v>482</v>
      </c>
      <c r="I264" t="s">
        <v>178</v>
      </c>
      <c r="J264">
        <v>27</v>
      </c>
      <c r="K264" t="s">
        <v>488</v>
      </c>
      <c r="L264" t="s">
        <v>15</v>
      </c>
      <c r="Q264">
        <f t="shared" si="46"/>
        <v>18977</v>
      </c>
      <c r="R264" t="str">
        <f t="shared" si="47"/>
        <v>Velodrome</v>
      </c>
      <c r="S264" t="str">
        <f t="shared" si="48"/>
        <v>HollowBrook</v>
      </c>
      <c r="T264" s="20">
        <f t="shared" si="42"/>
        <v>1</v>
      </c>
      <c r="U264">
        <f t="shared" si="43"/>
        <v>694</v>
      </c>
      <c r="V264">
        <f t="shared" si="44"/>
        <v>693</v>
      </c>
      <c r="W264" cm="1">
        <f t="array" ref="W264">_xlfn._xlws.FILTER(shifts!A:A,(shifts!B:B=events!D264)*(shifts!AH:AH&gt;=events!U264)*(shifts!AI:AI&lt;=events!V264))</f>
        <v>8</v>
      </c>
      <c r="X264" t="str">
        <f t="shared" si="45"/>
        <v>event_team_player_1</v>
      </c>
      <c r="Y264">
        <f>COUNTIFS(A$3:A264,"="&amp;A264,K$3:K264,"="&amp;K264)</f>
        <v>1</v>
      </c>
      <c r="Z264" s="20">
        <f>SUMIFS(T$3:T264,L$3:L264,"=Intermission")+SUMIFS(T$3:T264,L$3:L264,"=Timeout")+SUMIFS(T$3:T264,L$3:L264,"=Clockstop")</f>
        <v>0</v>
      </c>
      <c r="AA264">
        <f t="shared" si="49"/>
        <v>0</v>
      </c>
      <c r="AB264" s="26">
        <f t="shared" si="50"/>
        <v>386</v>
      </c>
      <c r="AC264">
        <f t="shared" si="51"/>
        <v>0</v>
      </c>
    </row>
    <row r="265" spans="1:29" x14ac:dyDescent="0.2">
      <c r="A265">
        <v>142</v>
      </c>
      <c r="D265">
        <f t="shared" si="52"/>
        <v>1</v>
      </c>
      <c r="E265">
        <v>11</v>
      </c>
      <c r="F265" s="6" t="s">
        <v>482</v>
      </c>
      <c r="G265">
        <v>11</v>
      </c>
      <c r="H265" s="8" t="s">
        <v>472</v>
      </c>
      <c r="I265" t="s">
        <v>178</v>
      </c>
      <c r="J265">
        <v>27</v>
      </c>
      <c r="K265" t="s">
        <v>488</v>
      </c>
      <c r="L265" t="s">
        <v>15</v>
      </c>
      <c r="Q265">
        <f t="shared" si="46"/>
        <v>18977</v>
      </c>
      <c r="R265" t="str">
        <f t="shared" si="47"/>
        <v>Velodrome</v>
      </c>
      <c r="S265" t="str">
        <f t="shared" si="48"/>
        <v>HollowBrook</v>
      </c>
      <c r="T265" s="20">
        <f t="shared" si="42"/>
        <v>3</v>
      </c>
      <c r="U265">
        <f t="shared" si="43"/>
        <v>693</v>
      </c>
      <c r="V265">
        <f t="shared" si="44"/>
        <v>690</v>
      </c>
      <c r="W265" cm="1">
        <f t="array" ref="W265">_xlfn._xlws.FILTER(shifts!A:A,(shifts!B:B=events!D265)*(shifts!AH:AH&gt;=events!U265)*(shifts!AI:AI&lt;=events!V265))</f>
        <v>8</v>
      </c>
      <c r="X265" t="str">
        <f t="shared" si="45"/>
        <v>event_team_player_1</v>
      </c>
      <c r="Y265">
        <f>COUNTIFS(A$3:A265,"="&amp;A265,K$3:K265,"="&amp;K265)</f>
        <v>1</v>
      </c>
      <c r="Z265" s="20">
        <f>SUMIFS(T$3:T265,L$3:L265,"=Intermission")+SUMIFS(T$3:T265,L$3:L265,"=Timeout")+SUMIFS(T$3:T265,L$3:L265,"=Clockstop")</f>
        <v>0</v>
      </c>
      <c r="AA265">
        <f t="shared" si="49"/>
        <v>0</v>
      </c>
      <c r="AB265" s="26">
        <f t="shared" si="50"/>
        <v>387</v>
      </c>
      <c r="AC265">
        <f t="shared" si="51"/>
        <v>0</v>
      </c>
    </row>
    <row r="266" spans="1:29" x14ac:dyDescent="0.2">
      <c r="A266">
        <v>142</v>
      </c>
      <c r="D266">
        <f t="shared" si="52"/>
        <v>1</v>
      </c>
      <c r="E266">
        <v>11</v>
      </c>
      <c r="F266" s="6" t="s">
        <v>482</v>
      </c>
      <c r="G266">
        <v>11</v>
      </c>
      <c r="H266" s="8" t="s">
        <v>472</v>
      </c>
      <c r="I266" t="s">
        <v>178</v>
      </c>
      <c r="J266">
        <v>49</v>
      </c>
      <c r="K266" t="s">
        <v>489</v>
      </c>
      <c r="L266" t="s">
        <v>15</v>
      </c>
      <c r="Q266">
        <f t="shared" si="46"/>
        <v>18977</v>
      </c>
      <c r="R266" t="str">
        <f t="shared" si="47"/>
        <v>Velodrome</v>
      </c>
      <c r="S266" t="str">
        <f t="shared" si="48"/>
        <v>HollowBrook</v>
      </c>
      <c r="T266" s="20">
        <f t="shared" si="42"/>
        <v>3</v>
      </c>
      <c r="U266">
        <f t="shared" si="43"/>
        <v>693</v>
      </c>
      <c r="V266">
        <f t="shared" si="44"/>
        <v>690</v>
      </c>
      <c r="W266" cm="1">
        <f t="array" ref="W266">_xlfn._xlws.FILTER(shifts!A:A,(shifts!B:B=events!D266)*(shifts!AH:AH&gt;=events!U266)*(shifts!AI:AI&lt;=events!V266))</f>
        <v>8</v>
      </c>
      <c r="X266" t="str">
        <f t="shared" si="45"/>
        <v>opp_team_player_1</v>
      </c>
      <c r="Y266">
        <f>COUNTIFS(A$3:A266,"="&amp;A266,K$3:K266,"="&amp;K266)</f>
        <v>1</v>
      </c>
      <c r="Z266" s="20">
        <f>SUMIFS(T$3:T266,L$3:L266,"=Intermission")+SUMIFS(T$3:T266,L$3:L266,"=Timeout")+SUMIFS(T$3:T266,L$3:L266,"=Clockstop")</f>
        <v>0</v>
      </c>
      <c r="AA266">
        <f t="shared" si="49"/>
        <v>0</v>
      </c>
      <c r="AB266" s="26">
        <f t="shared" si="50"/>
        <v>387</v>
      </c>
      <c r="AC266">
        <f t="shared" si="51"/>
        <v>0</v>
      </c>
    </row>
    <row r="267" spans="1:29" x14ac:dyDescent="0.2">
      <c r="A267">
        <v>142</v>
      </c>
      <c r="D267">
        <f t="shared" si="52"/>
        <v>1</v>
      </c>
      <c r="E267">
        <v>11</v>
      </c>
      <c r="F267" s="6" t="s">
        <v>482</v>
      </c>
      <c r="G267">
        <v>11</v>
      </c>
      <c r="H267" s="8" t="s">
        <v>472</v>
      </c>
      <c r="I267" t="s">
        <v>178</v>
      </c>
      <c r="J267">
        <v>75</v>
      </c>
      <c r="K267" t="s">
        <v>489</v>
      </c>
      <c r="L267" t="s">
        <v>15</v>
      </c>
      <c r="Q267">
        <f t="shared" si="46"/>
        <v>18977</v>
      </c>
      <c r="R267" t="str">
        <f t="shared" si="47"/>
        <v>Velodrome</v>
      </c>
      <c r="S267" t="str">
        <f t="shared" si="48"/>
        <v>HollowBrook</v>
      </c>
      <c r="T267" s="20">
        <f t="shared" si="42"/>
        <v>3</v>
      </c>
      <c r="U267">
        <f t="shared" si="43"/>
        <v>693</v>
      </c>
      <c r="V267">
        <f t="shared" si="44"/>
        <v>690</v>
      </c>
      <c r="W267" cm="1">
        <f t="array" ref="W267">_xlfn._xlws.FILTER(shifts!A:A,(shifts!B:B=events!D267)*(shifts!AH:AH&gt;=events!U267)*(shifts!AI:AI&lt;=events!V267))</f>
        <v>8</v>
      </c>
      <c r="X267" t="str">
        <f t="shared" si="45"/>
        <v>opp_team_player_2</v>
      </c>
      <c r="Y267">
        <f>COUNTIFS(A$3:A267,"="&amp;A267,K$3:K267,"="&amp;K267)</f>
        <v>2</v>
      </c>
      <c r="Z267" s="20">
        <f>SUMIFS(T$3:T267,L$3:L267,"=Intermission")+SUMIFS(T$3:T267,L$3:L267,"=Timeout")+SUMIFS(T$3:T267,L$3:L267,"=Clockstop")</f>
        <v>0</v>
      </c>
      <c r="AA267">
        <f t="shared" si="49"/>
        <v>0</v>
      </c>
      <c r="AB267" s="26">
        <f t="shared" si="50"/>
        <v>387</v>
      </c>
      <c r="AC267">
        <f t="shared" si="51"/>
        <v>0</v>
      </c>
    </row>
    <row r="268" spans="1:29" x14ac:dyDescent="0.2">
      <c r="A268">
        <v>143</v>
      </c>
      <c r="D268">
        <f t="shared" si="52"/>
        <v>1</v>
      </c>
      <c r="E268">
        <v>11</v>
      </c>
      <c r="F268" s="6" t="s">
        <v>472</v>
      </c>
      <c r="I268" t="s">
        <v>179</v>
      </c>
      <c r="J268">
        <v>27</v>
      </c>
      <c r="K268" t="s">
        <v>488</v>
      </c>
      <c r="L268" t="s">
        <v>8</v>
      </c>
      <c r="M268" t="s">
        <v>189</v>
      </c>
      <c r="N268" t="s">
        <v>70</v>
      </c>
      <c r="Q268">
        <f t="shared" si="46"/>
        <v>18977</v>
      </c>
      <c r="R268" t="str">
        <f t="shared" si="47"/>
        <v>Velodrome</v>
      </c>
      <c r="S268" t="str">
        <f t="shared" si="48"/>
        <v>HollowBrook</v>
      </c>
      <c r="T268" s="20">
        <f t="shared" si="42"/>
        <v>0</v>
      </c>
      <c r="U268">
        <f t="shared" si="43"/>
        <v>690</v>
      </c>
      <c r="V268">
        <f t="shared" si="44"/>
        <v>690</v>
      </c>
      <c r="W268" cm="1">
        <f t="array" ref="W268">_xlfn._xlws.FILTER(shifts!A:A,(shifts!B:B=events!D268)*(shifts!AH:AH&gt;=events!U268)*(shifts!AI:AI&lt;=events!V268))</f>
        <v>8</v>
      </c>
      <c r="X268" t="str">
        <f t="shared" si="45"/>
        <v>event_team_player_1</v>
      </c>
      <c r="Y268">
        <f>COUNTIFS(A$3:A268,"="&amp;A268,K$3:K268,"="&amp;K268)</f>
        <v>1</v>
      </c>
      <c r="Z268" s="20">
        <f>SUMIFS(T$3:T268,L$3:L268,"=Intermission")+SUMIFS(T$3:T268,L$3:L268,"=Timeout")+SUMIFS(T$3:T268,L$3:L268,"=Clockstop")</f>
        <v>0</v>
      </c>
      <c r="AA268">
        <f t="shared" si="49"/>
        <v>0</v>
      </c>
      <c r="AB268" s="26">
        <f t="shared" si="50"/>
        <v>390</v>
      </c>
      <c r="AC268">
        <f t="shared" si="51"/>
        <v>0</v>
      </c>
    </row>
    <row r="269" spans="1:29" x14ac:dyDescent="0.2">
      <c r="A269">
        <v>143</v>
      </c>
      <c r="D269">
        <f t="shared" si="52"/>
        <v>1</v>
      </c>
      <c r="E269">
        <v>11</v>
      </c>
      <c r="F269" s="6" t="s">
        <v>472</v>
      </c>
      <c r="I269" t="s">
        <v>179</v>
      </c>
      <c r="J269">
        <v>13</v>
      </c>
      <c r="K269" t="s">
        <v>488</v>
      </c>
      <c r="L269" t="s">
        <v>8</v>
      </c>
      <c r="M269" t="s">
        <v>189</v>
      </c>
      <c r="N269" t="s">
        <v>70</v>
      </c>
      <c r="Q269">
        <f t="shared" si="46"/>
        <v>18977</v>
      </c>
      <c r="R269" t="str">
        <f t="shared" si="47"/>
        <v>Velodrome</v>
      </c>
      <c r="S269" t="str">
        <f t="shared" si="48"/>
        <v>HollowBrook</v>
      </c>
      <c r="T269" s="20">
        <f t="shared" si="42"/>
        <v>0</v>
      </c>
      <c r="U269">
        <f t="shared" si="43"/>
        <v>690</v>
      </c>
      <c r="V269">
        <f t="shared" si="44"/>
        <v>690</v>
      </c>
      <c r="W269" cm="1">
        <f t="array" ref="W269">_xlfn._xlws.FILTER(shifts!A:A,(shifts!B:B=events!D269)*(shifts!AH:AH&gt;=events!U269)*(shifts!AI:AI&lt;=events!V269))</f>
        <v>8</v>
      </c>
      <c r="X269" t="str">
        <f t="shared" si="45"/>
        <v>event_team_player_2</v>
      </c>
      <c r="Y269">
        <f>COUNTIFS(A$3:A269,"="&amp;A269,K$3:K269,"="&amp;K269)</f>
        <v>2</v>
      </c>
      <c r="Z269" s="20">
        <f>SUMIFS(T$3:T269,L$3:L269,"=Intermission")+SUMIFS(T$3:T269,L$3:L269,"=Timeout")+SUMIFS(T$3:T269,L$3:L269,"=Clockstop")</f>
        <v>0</v>
      </c>
      <c r="AA269">
        <f t="shared" si="49"/>
        <v>0</v>
      </c>
      <c r="AB269" s="26">
        <f t="shared" si="50"/>
        <v>390</v>
      </c>
      <c r="AC269">
        <f t="shared" si="51"/>
        <v>0</v>
      </c>
    </row>
    <row r="270" spans="1:29" x14ac:dyDescent="0.2">
      <c r="A270">
        <v>144</v>
      </c>
      <c r="D270">
        <f t="shared" si="52"/>
        <v>1</v>
      </c>
      <c r="E270">
        <v>11</v>
      </c>
      <c r="F270" s="6" t="s">
        <v>472</v>
      </c>
      <c r="I270" t="s">
        <v>179</v>
      </c>
      <c r="J270">
        <v>27</v>
      </c>
      <c r="K270" t="s">
        <v>488</v>
      </c>
      <c r="L270" t="s">
        <v>277</v>
      </c>
      <c r="M270" t="s">
        <v>201</v>
      </c>
      <c r="N270" t="s">
        <v>91</v>
      </c>
      <c r="Q270">
        <f t="shared" si="46"/>
        <v>18977</v>
      </c>
      <c r="R270" t="str">
        <f t="shared" si="47"/>
        <v>Velodrome</v>
      </c>
      <c r="S270" t="str">
        <f t="shared" si="48"/>
        <v>HollowBrook</v>
      </c>
      <c r="T270" s="20">
        <f t="shared" si="42"/>
        <v>0</v>
      </c>
      <c r="U270">
        <f t="shared" si="43"/>
        <v>690</v>
      </c>
      <c r="V270">
        <f t="shared" si="44"/>
        <v>690</v>
      </c>
      <c r="W270" cm="1">
        <f t="array" ref="W270">_xlfn._xlws.FILTER(shifts!A:A,(shifts!B:B=events!D270)*(shifts!AH:AH&gt;=events!U270)*(shifts!AI:AI&lt;=events!V270))</f>
        <v>8</v>
      </c>
      <c r="X270" t="str">
        <f t="shared" si="45"/>
        <v>event_team_player_1</v>
      </c>
      <c r="Y270">
        <f>COUNTIFS(A$3:A270,"="&amp;A270,K$3:K270,"="&amp;K270)</f>
        <v>1</v>
      </c>
      <c r="Z270" s="20">
        <f>SUMIFS(T$3:T270,L$3:L270,"=Intermission")+SUMIFS(T$3:T270,L$3:L270,"=Timeout")+SUMIFS(T$3:T270,L$3:L270,"=Clockstop")</f>
        <v>0</v>
      </c>
      <c r="AA270">
        <f t="shared" si="49"/>
        <v>0</v>
      </c>
      <c r="AB270" s="26">
        <f t="shared" si="50"/>
        <v>390</v>
      </c>
      <c r="AC270">
        <f t="shared" si="51"/>
        <v>0</v>
      </c>
    </row>
    <row r="271" spans="1:29" x14ac:dyDescent="0.2">
      <c r="A271">
        <v>144</v>
      </c>
      <c r="D271">
        <f t="shared" si="52"/>
        <v>1</v>
      </c>
      <c r="E271">
        <v>11</v>
      </c>
      <c r="F271" s="6" t="s">
        <v>472</v>
      </c>
      <c r="I271" t="s">
        <v>179</v>
      </c>
      <c r="J271">
        <v>13</v>
      </c>
      <c r="K271" t="s">
        <v>488</v>
      </c>
      <c r="L271" t="s">
        <v>277</v>
      </c>
      <c r="M271" t="s">
        <v>201</v>
      </c>
      <c r="N271" t="s">
        <v>91</v>
      </c>
      <c r="Q271">
        <f t="shared" si="46"/>
        <v>18977</v>
      </c>
      <c r="R271" t="str">
        <f t="shared" si="47"/>
        <v>Velodrome</v>
      </c>
      <c r="S271" t="str">
        <f t="shared" si="48"/>
        <v>HollowBrook</v>
      </c>
      <c r="T271" s="20">
        <f t="shared" si="42"/>
        <v>0</v>
      </c>
      <c r="U271">
        <f t="shared" si="43"/>
        <v>690</v>
      </c>
      <c r="V271">
        <f t="shared" si="44"/>
        <v>690</v>
      </c>
      <c r="W271" cm="1">
        <f t="array" ref="W271">_xlfn._xlws.FILTER(shifts!A:A,(shifts!B:B=events!D271)*(shifts!AH:AH&gt;=events!U271)*(shifts!AI:AI&lt;=events!V271))</f>
        <v>8</v>
      </c>
      <c r="X271" t="str">
        <f t="shared" si="45"/>
        <v>event_team_player_2</v>
      </c>
      <c r="Y271">
        <f>COUNTIFS(A$3:A271,"="&amp;A271,K$3:K271,"="&amp;K271)</f>
        <v>2</v>
      </c>
      <c r="Z271" s="20">
        <f>SUMIFS(T$3:T271,L$3:L271,"=Intermission")+SUMIFS(T$3:T271,L$3:L271,"=Timeout")+SUMIFS(T$3:T271,L$3:L271,"=Clockstop")</f>
        <v>0</v>
      </c>
      <c r="AA271">
        <f t="shared" si="49"/>
        <v>0</v>
      </c>
      <c r="AB271" s="26">
        <f t="shared" si="50"/>
        <v>390</v>
      </c>
      <c r="AC271">
        <f t="shared" si="51"/>
        <v>0</v>
      </c>
    </row>
    <row r="272" spans="1:29" x14ac:dyDescent="0.2">
      <c r="A272">
        <v>145</v>
      </c>
      <c r="D272">
        <f t="shared" si="52"/>
        <v>1</v>
      </c>
      <c r="E272">
        <v>11</v>
      </c>
      <c r="F272" s="6" t="s">
        <v>442</v>
      </c>
      <c r="G272">
        <v>11</v>
      </c>
      <c r="H272" s="8" t="s">
        <v>440</v>
      </c>
      <c r="I272" t="s">
        <v>179</v>
      </c>
      <c r="J272">
        <v>13</v>
      </c>
      <c r="K272" t="s">
        <v>488</v>
      </c>
      <c r="L272" t="s">
        <v>15</v>
      </c>
      <c r="Q272">
        <f t="shared" si="46"/>
        <v>18977</v>
      </c>
      <c r="R272" t="str">
        <f t="shared" si="47"/>
        <v>Velodrome</v>
      </c>
      <c r="S272" t="str">
        <f t="shared" si="48"/>
        <v>HollowBrook</v>
      </c>
      <c r="T272" s="20">
        <f t="shared" si="42"/>
        <v>1</v>
      </c>
      <c r="U272">
        <f t="shared" si="43"/>
        <v>689</v>
      </c>
      <c r="V272">
        <f t="shared" si="44"/>
        <v>688</v>
      </c>
      <c r="W272" cm="1">
        <f t="array" ref="W272">_xlfn._xlws.FILTER(shifts!A:A,(shifts!B:B=events!D272)*(shifts!AH:AH&gt;=events!U272)*(shifts!AI:AI&lt;=events!V272))</f>
        <v>8</v>
      </c>
      <c r="X272" t="str">
        <f t="shared" si="45"/>
        <v>event_team_player_1</v>
      </c>
      <c r="Y272">
        <f>COUNTIFS(A$3:A272,"="&amp;A272,K$3:K272,"="&amp;K272)</f>
        <v>1</v>
      </c>
      <c r="Z272" s="20">
        <f>SUMIFS(T$3:T272,L$3:L272,"=Intermission")+SUMIFS(T$3:T272,L$3:L272,"=Timeout")+SUMIFS(T$3:T272,L$3:L272,"=Clockstop")</f>
        <v>0</v>
      </c>
      <c r="AA272">
        <f t="shared" si="49"/>
        <v>0</v>
      </c>
      <c r="AB272" s="26">
        <f t="shared" si="50"/>
        <v>391</v>
      </c>
      <c r="AC272">
        <f t="shared" si="51"/>
        <v>0</v>
      </c>
    </row>
    <row r="273" spans="1:29" x14ac:dyDescent="0.2">
      <c r="A273">
        <v>146</v>
      </c>
      <c r="D273">
        <f t="shared" si="52"/>
        <v>1</v>
      </c>
      <c r="E273">
        <v>11</v>
      </c>
      <c r="F273" s="6" t="s">
        <v>440</v>
      </c>
      <c r="G273">
        <v>11</v>
      </c>
      <c r="H273" s="8" t="s">
        <v>441</v>
      </c>
      <c r="I273" t="s">
        <v>179</v>
      </c>
      <c r="J273">
        <v>13</v>
      </c>
      <c r="K273" t="s">
        <v>488</v>
      </c>
      <c r="L273" t="s">
        <v>277</v>
      </c>
      <c r="M273" t="s">
        <v>191</v>
      </c>
      <c r="N273" t="s">
        <v>87</v>
      </c>
      <c r="Q273">
        <f t="shared" si="46"/>
        <v>18977</v>
      </c>
      <c r="R273" t="str">
        <f t="shared" si="47"/>
        <v>Velodrome</v>
      </c>
      <c r="S273" t="str">
        <f t="shared" si="48"/>
        <v>HollowBrook</v>
      </c>
      <c r="T273" s="20">
        <f t="shared" si="42"/>
        <v>3</v>
      </c>
      <c r="U273">
        <f t="shared" si="43"/>
        <v>688</v>
      </c>
      <c r="V273">
        <f t="shared" si="44"/>
        <v>685</v>
      </c>
      <c r="W273" cm="1">
        <f t="array" ref="W273">_xlfn._xlws.FILTER(shifts!A:A,(shifts!B:B=events!D273)*(shifts!AH:AH&gt;=events!U273)*(shifts!AI:AI&lt;=events!V273))</f>
        <v>8</v>
      </c>
      <c r="X273" t="str">
        <f t="shared" si="45"/>
        <v>event_team_player_1</v>
      </c>
      <c r="Y273">
        <f>COUNTIFS(A$3:A273,"="&amp;A273,K$3:K273,"="&amp;K273)</f>
        <v>1</v>
      </c>
      <c r="Z273" s="20">
        <f>SUMIFS(T$3:T273,L$3:L273,"=Intermission")+SUMIFS(T$3:T273,L$3:L273,"=Timeout")+SUMIFS(T$3:T273,L$3:L273,"=Clockstop")</f>
        <v>0</v>
      </c>
      <c r="AA273">
        <f t="shared" si="49"/>
        <v>0</v>
      </c>
      <c r="AB273" s="26">
        <f t="shared" si="50"/>
        <v>392</v>
      </c>
      <c r="AC273">
        <f t="shared" si="51"/>
        <v>0</v>
      </c>
    </row>
    <row r="274" spans="1:29" x14ac:dyDescent="0.2">
      <c r="A274">
        <v>146</v>
      </c>
      <c r="D274">
        <f t="shared" si="52"/>
        <v>1</v>
      </c>
      <c r="E274">
        <v>11</v>
      </c>
      <c r="F274" s="6" t="s">
        <v>440</v>
      </c>
      <c r="G274">
        <v>11</v>
      </c>
      <c r="H274" s="8" t="s">
        <v>441</v>
      </c>
      <c r="I274" t="s">
        <v>179</v>
      </c>
      <c r="J274">
        <v>22</v>
      </c>
      <c r="K274" t="s">
        <v>488</v>
      </c>
      <c r="L274" t="s">
        <v>277</v>
      </c>
      <c r="M274" t="s">
        <v>191</v>
      </c>
      <c r="N274" t="s">
        <v>87</v>
      </c>
      <c r="Q274">
        <f t="shared" si="46"/>
        <v>18977</v>
      </c>
      <c r="R274" t="str">
        <f t="shared" si="47"/>
        <v>Velodrome</v>
      </c>
      <c r="S274" t="str">
        <f t="shared" si="48"/>
        <v>HollowBrook</v>
      </c>
      <c r="T274" s="20">
        <f t="shared" si="42"/>
        <v>3</v>
      </c>
      <c r="U274">
        <f t="shared" si="43"/>
        <v>688</v>
      </c>
      <c r="V274">
        <f t="shared" si="44"/>
        <v>685</v>
      </c>
      <c r="W274" cm="1">
        <f t="array" ref="W274">_xlfn._xlws.FILTER(shifts!A:A,(shifts!B:B=events!D274)*(shifts!AH:AH&gt;=events!U274)*(shifts!AI:AI&lt;=events!V274))</f>
        <v>8</v>
      </c>
      <c r="X274" t="str">
        <f t="shared" si="45"/>
        <v>event_team_player_2</v>
      </c>
      <c r="Y274">
        <f>COUNTIFS(A$3:A274,"="&amp;A274,K$3:K274,"="&amp;K274)</f>
        <v>2</v>
      </c>
      <c r="Z274" s="20">
        <f>SUMIFS(T$3:T274,L$3:L274,"=Intermission")+SUMIFS(T$3:T274,L$3:L274,"=Timeout")+SUMIFS(T$3:T274,L$3:L274,"=Clockstop")</f>
        <v>0</v>
      </c>
      <c r="AA274">
        <f t="shared" si="49"/>
        <v>0</v>
      </c>
      <c r="AB274" s="26">
        <f t="shared" si="50"/>
        <v>392</v>
      </c>
      <c r="AC274">
        <f t="shared" si="51"/>
        <v>0</v>
      </c>
    </row>
    <row r="275" spans="1:29" x14ac:dyDescent="0.2">
      <c r="A275">
        <v>146</v>
      </c>
      <c r="D275">
        <f t="shared" si="52"/>
        <v>1</v>
      </c>
      <c r="E275">
        <v>11</v>
      </c>
      <c r="F275" s="6" t="s">
        <v>440</v>
      </c>
      <c r="G275">
        <v>11</v>
      </c>
      <c r="H275" s="8" t="s">
        <v>441</v>
      </c>
      <c r="I275" t="s">
        <v>179</v>
      </c>
      <c r="J275">
        <v>87</v>
      </c>
      <c r="K275" t="s">
        <v>489</v>
      </c>
      <c r="L275" t="s">
        <v>277</v>
      </c>
      <c r="M275" t="s">
        <v>191</v>
      </c>
      <c r="N275" t="s">
        <v>87</v>
      </c>
      <c r="Q275">
        <f t="shared" si="46"/>
        <v>18977</v>
      </c>
      <c r="R275" t="str">
        <f t="shared" si="47"/>
        <v>Velodrome</v>
      </c>
      <c r="S275" t="str">
        <f t="shared" si="48"/>
        <v>HollowBrook</v>
      </c>
      <c r="T275" s="20">
        <f t="shared" si="42"/>
        <v>3</v>
      </c>
      <c r="U275">
        <f t="shared" si="43"/>
        <v>688</v>
      </c>
      <c r="V275">
        <f t="shared" si="44"/>
        <v>685</v>
      </c>
      <c r="W275" cm="1">
        <f t="array" ref="W275">_xlfn._xlws.FILTER(shifts!A:A,(shifts!B:B=events!D275)*(shifts!AH:AH&gt;=events!U275)*(shifts!AI:AI&lt;=events!V275))</f>
        <v>8</v>
      </c>
      <c r="X275" t="str">
        <f t="shared" si="45"/>
        <v>opp_team_player_1</v>
      </c>
      <c r="Y275">
        <f>COUNTIFS(A$3:A275,"="&amp;A275,K$3:K275,"="&amp;K275)</f>
        <v>1</v>
      </c>
      <c r="Z275" s="20">
        <f>SUMIFS(T$3:T275,L$3:L275,"=Intermission")+SUMIFS(T$3:T275,L$3:L275,"=Timeout")+SUMIFS(T$3:T275,L$3:L275,"=Clockstop")</f>
        <v>0</v>
      </c>
      <c r="AA275">
        <f t="shared" si="49"/>
        <v>0</v>
      </c>
      <c r="AB275" s="26">
        <f t="shared" si="50"/>
        <v>392</v>
      </c>
      <c r="AC275">
        <f t="shared" si="51"/>
        <v>0</v>
      </c>
    </row>
    <row r="276" spans="1:29" x14ac:dyDescent="0.2">
      <c r="A276">
        <v>146</v>
      </c>
      <c r="D276">
        <f t="shared" si="52"/>
        <v>1</v>
      </c>
      <c r="E276">
        <v>11</v>
      </c>
      <c r="F276" s="6" t="s">
        <v>440</v>
      </c>
      <c r="G276">
        <v>11</v>
      </c>
      <c r="H276" s="8" t="s">
        <v>441</v>
      </c>
      <c r="I276" t="s">
        <v>179</v>
      </c>
      <c r="J276">
        <v>84</v>
      </c>
      <c r="K276" t="s">
        <v>489</v>
      </c>
      <c r="L276" t="s">
        <v>277</v>
      </c>
      <c r="M276" t="s">
        <v>191</v>
      </c>
      <c r="N276" t="s">
        <v>87</v>
      </c>
      <c r="Q276">
        <f t="shared" si="46"/>
        <v>18977</v>
      </c>
      <c r="R276" t="str">
        <f t="shared" si="47"/>
        <v>Velodrome</v>
      </c>
      <c r="S276" t="str">
        <f t="shared" si="48"/>
        <v>HollowBrook</v>
      </c>
      <c r="T276" s="20">
        <f t="shared" si="42"/>
        <v>3</v>
      </c>
      <c r="U276">
        <f t="shared" si="43"/>
        <v>688</v>
      </c>
      <c r="V276">
        <f t="shared" si="44"/>
        <v>685</v>
      </c>
      <c r="W276" cm="1">
        <f t="array" ref="W276">_xlfn._xlws.FILTER(shifts!A:A,(shifts!B:B=events!D276)*(shifts!AH:AH&gt;=events!U276)*(shifts!AI:AI&lt;=events!V276))</f>
        <v>8</v>
      </c>
      <c r="X276" t="str">
        <f t="shared" si="45"/>
        <v>opp_team_player_2</v>
      </c>
      <c r="Y276">
        <f>COUNTIFS(A$3:A276,"="&amp;A276,K$3:K276,"="&amp;K276)</f>
        <v>2</v>
      </c>
      <c r="Z276" s="20">
        <f>SUMIFS(T$3:T276,L$3:L276,"=Intermission")+SUMIFS(T$3:T276,L$3:L276,"=Timeout")+SUMIFS(T$3:T276,L$3:L276,"=Clockstop")</f>
        <v>0</v>
      </c>
      <c r="AA276">
        <f t="shared" si="49"/>
        <v>0</v>
      </c>
      <c r="AB276" s="26">
        <f t="shared" si="50"/>
        <v>392</v>
      </c>
      <c r="AC276">
        <f t="shared" si="51"/>
        <v>0</v>
      </c>
    </row>
    <row r="277" spans="1:29" x14ac:dyDescent="0.2">
      <c r="A277">
        <v>147</v>
      </c>
      <c r="D277">
        <f t="shared" si="52"/>
        <v>1</v>
      </c>
      <c r="E277">
        <v>11</v>
      </c>
      <c r="F277" s="6" t="s">
        <v>456</v>
      </c>
      <c r="I277" t="s">
        <v>179</v>
      </c>
      <c r="J277">
        <v>13</v>
      </c>
      <c r="K277" t="s">
        <v>488</v>
      </c>
      <c r="L277" t="s">
        <v>10</v>
      </c>
      <c r="M277" t="s">
        <v>190</v>
      </c>
      <c r="N277" t="s">
        <v>73</v>
      </c>
      <c r="Q277">
        <f t="shared" si="46"/>
        <v>18977</v>
      </c>
      <c r="R277" t="str">
        <f t="shared" si="47"/>
        <v>Velodrome</v>
      </c>
      <c r="S277" t="str">
        <f t="shared" si="48"/>
        <v>HollowBrook</v>
      </c>
      <c r="T277" s="20">
        <f t="shared" si="42"/>
        <v>0</v>
      </c>
      <c r="U277">
        <f t="shared" si="43"/>
        <v>683</v>
      </c>
      <c r="V277">
        <f t="shared" si="44"/>
        <v>683</v>
      </c>
      <c r="W277" cm="1">
        <f t="array" ref="W277">_xlfn._xlws.FILTER(shifts!A:A,(shifts!B:B=events!D277)*(shifts!AH:AH&gt;=events!U277)*(shifts!AI:AI&lt;=events!V277))</f>
        <v>9</v>
      </c>
      <c r="X277" t="str">
        <f t="shared" si="45"/>
        <v>event_team_player_1</v>
      </c>
      <c r="Y277">
        <f>COUNTIFS(A$3:A277,"="&amp;A277,K$3:K277,"="&amp;K277)</f>
        <v>1</v>
      </c>
      <c r="Z277" s="20">
        <f>SUMIFS(T$3:T277,L$3:L277,"=Intermission")+SUMIFS(T$3:T277,L$3:L277,"=Timeout")+SUMIFS(T$3:T277,L$3:L277,"=Clockstop")</f>
        <v>0</v>
      </c>
      <c r="AA277">
        <f t="shared" si="49"/>
        <v>0</v>
      </c>
      <c r="AB277" s="26">
        <f t="shared" si="50"/>
        <v>397</v>
      </c>
      <c r="AC277">
        <f t="shared" si="51"/>
        <v>0</v>
      </c>
    </row>
    <row r="278" spans="1:29" x14ac:dyDescent="0.2">
      <c r="A278">
        <v>147</v>
      </c>
      <c r="D278">
        <f t="shared" si="52"/>
        <v>1</v>
      </c>
      <c r="E278">
        <v>11</v>
      </c>
      <c r="F278" s="6" t="s">
        <v>456</v>
      </c>
      <c r="I278" t="s">
        <v>179</v>
      </c>
      <c r="J278">
        <v>87</v>
      </c>
      <c r="K278" t="s">
        <v>489</v>
      </c>
      <c r="L278" t="s">
        <v>10</v>
      </c>
      <c r="M278" t="s">
        <v>190</v>
      </c>
      <c r="N278" t="s">
        <v>73</v>
      </c>
      <c r="Q278">
        <f t="shared" si="46"/>
        <v>18977</v>
      </c>
      <c r="R278" t="str">
        <f t="shared" si="47"/>
        <v>Velodrome</v>
      </c>
      <c r="S278" t="str">
        <f t="shared" si="48"/>
        <v>HollowBrook</v>
      </c>
      <c r="T278" s="20">
        <f t="shared" si="42"/>
        <v>0</v>
      </c>
      <c r="U278">
        <f t="shared" si="43"/>
        <v>683</v>
      </c>
      <c r="V278">
        <f t="shared" si="44"/>
        <v>683</v>
      </c>
      <c r="W278" cm="1">
        <f t="array" ref="W278">_xlfn._xlws.FILTER(shifts!A:A,(shifts!B:B=events!D278)*(shifts!AH:AH&gt;=events!U278)*(shifts!AI:AI&lt;=events!V278))</f>
        <v>9</v>
      </c>
      <c r="X278" t="str">
        <f t="shared" si="45"/>
        <v>opp_team_player_1</v>
      </c>
      <c r="Y278">
        <f>COUNTIFS(A$3:A278,"="&amp;A278,K$3:K278,"="&amp;K278)</f>
        <v>1</v>
      </c>
      <c r="Z278" s="20">
        <f>SUMIFS(T$3:T278,L$3:L278,"=Intermission")+SUMIFS(T$3:T278,L$3:L278,"=Timeout")+SUMIFS(T$3:T278,L$3:L278,"=Clockstop")</f>
        <v>0</v>
      </c>
      <c r="AA278">
        <f t="shared" si="49"/>
        <v>0</v>
      </c>
      <c r="AB278" s="26">
        <f t="shared" si="50"/>
        <v>397</v>
      </c>
      <c r="AC278">
        <f t="shared" si="51"/>
        <v>0</v>
      </c>
    </row>
    <row r="279" spans="1:29" x14ac:dyDescent="0.2">
      <c r="A279">
        <v>147</v>
      </c>
      <c r="D279">
        <f t="shared" si="52"/>
        <v>1</v>
      </c>
      <c r="E279">
        <v>11</v>
      </c>
      <c r="F279" s="6" t="s">
        <v>456</v>
      </c>
      <c r="I279" t="s">
        <v>179</v>
      </c>
      <c r="J279">
        <v>84</v>
      </c>
      <c r="K279" t="s">
        <v>489</v>
      </c>
      <c r="L279" t="s">
        <v>10</v>
      </c>
      <c r="M279" t="s">
        <v>190</v>
      </c>
      <c r="N279" t="s">
        <v>73</v>
      </c>
      <c r="Q279">
        <f t="shared" si="46"/>
        <v>18977</v>
      </c>
      <c r="R279" t="str">
        <f t="shared" si="47"/>
        <v>Velodrome</v>
      </c>
      <c r="S279" t="str">
        <f t="shared" si="48"/>
        <v>HollowBrook</v>
      </c>
      <c r="T279" s="20">
        <f t="shared" si="42"/>
        <v>0</v>
      </c>
      <c r="U279">
        <f t="shared" si="43"/>
        <v>683</v>
      </c>
      <c r="V279">
        <f t="shared" si="44"/>
        <v>683</v>
      </c>
      <c r="W279" cm="1">
        <f t="array" ref="W279">_xlfn._xlws.FILTER(shifts!A:A,(shifts!B:B=events!D279)*(shifts!AH:AH&gt;=events!U279)*(shifts!AI:AI&lt;=events!V279))</f>
        <v>9</v>
      </c>
      <c r="X279" t="str">
        <f t="shared" si="45"/>
        <v>opp_team_player_2</v>
      </c>
      <c r="Y279">
        <f>COUNTIFS(A$3:A279,"="&amp;A279,K$3:K279,"="&amp;K279)</f>
        <v>2</v>
      </c>
      <c r="Z279" s="20">
        <f>SUMIFS(T$3:T279,L$3:L279,"=Intermission")+SUMIFS(T$3:T279,L$3:L279,"=Timeout")+SUMIFS(T$3:T279,L$3:L279,"=Clockstop")</f>
        <v>0</v>
      </c>
      <c r="AA279">
        <f t="shared" si="49"/>
        <v>0</v>
      </c>
      <c r="AB279" s="26">
        <f t="shared" si="50"/>
        <v>397</v>
      </c>
      <c r="AC279">
        <f t="shared" si="51"/>
        <v>0</v>
      </c>
    </row>
    <row r="280" spans="1:29" x14ac:dyDescent="0.2">
      <c r="A280">
        <v>148</v>
      </c>
      <c r="D280">
        <f t="shared" si="52"/>
        <v>1</v>
      </c>
      <c r="E280">
        <v>11</v>
      </c>
      <c r="F280" s="6" t="s">
        <v>484</v>
      </c>
      <c r="I280" t="s">
        <v>178</v>
      </c>
      <c r="J280">
        <v>84</v>
      </c>
      <c r="K280" t="s">
        <v>488</v>
      </c>
      <c r="L280" t="s">
        <v>10</v>
      </c>
      <c r="M280" t="s">
        <v>190</v>
      </c>
      <c r="N280" t="s">
        <v>479</v>
      </c>
      <c r="Q280">
        <f t="shared" si="46"/>
        <v>18977</v>
      </c>
      <c r="R280" t="str">
        <f t="shared" si="47"/>
        <v>Velodrome</v>
      </c>
      <c r="S280" t="str">
        <f t="shared" si="48"/>
        <v>HollowBrook</v>
      </c>
      <c r="T280" s="20">
        <f t="shared" si="42"/>
        <v>0</v>
      </c>
      <c r="U280">
        <f t="shared" si="43"/>
        <v>682</v>
      </c>
      <c r="V280">
        <f t="shared" si="44"/>
        <v>682</v>
      </c>
      <c r="W280" cm="1">
        <f t="array" ref="W280">_xlfn._xlws.FILTER(shifts!A:A,(shifts!B:B=events!D280)*(shifts!AH:AH&gt;=events!U280)*(shifts!AI:AI&lt;=events!V280))</f>
        <v>9</v>
      </c>
      <c r="X280" t="str">
        <f t="shared" si="45"/>
        <v>event_team_player_1</v>
      </c>
      <c r="Y280">
        <f>COUNTIFS(A$3:A280,"="&amp;A280,K$3:K280,"="&amp;K280)</f>
        <v>1</v>
      </c>
      <c r="Z280" s="20">
        <f>SUMIFS(T$3:T280,L$3:L280,"=Intermission")+SUMIFS(T$3:T280,L$3:L280,"=Timeout")+SUMIFS(T$3:T280,L$3:L280,"=Clockstop")</f>
        <v>0</v>
      </c>
      <c r="AA280">
        <f t="shared" si="49"/>
        <v>0</v>
      </c>
      <c r="AB280" s="26">
        <f t="shared" si="50"/>
        <v>398</v>
      </c>
      <c r="AC280">
        <f t="shared" si="51"/>
        <v>0</v>
      </c>
    </row>
    <row r="281" spans="1:29" x14ac:dyDescent="0.2">
      <c r="A281">
        <v>148</v>
      </c>
      <c r="D281">
        <f t="shared" si="52"/>
        <v>1</v>
      </c>
      <c r="E281">
        <v>11</v>
      </c>
      <c r="F281" s="6" t="s">
        <v>484</v>
      </c>
      <c r="I281" t="s">
        <v>178</v>
      </c>
      <c r="J281">
        <v>26</v>
      </c>
      <c r="K281" t="s">
        <v>489</v>
      </c>
      <c r="L281" t="s">
        <v>10</v>
      </c>
      <c r="M281" t="s">
        <v>190</v>
      </c>
      <c r="N281" t="s">
        <v>479</v>
      </c>
      <c r="Q281">
        <f t="shared" si="46"/>
        <v>18977</v>
      </c>
      <c r="R281" t="str">
        <f t="shared" si="47"/>
        <v>Velodrome</v>
      </c>
      <c r="S281" t="str">
        <f t="shared" si="48"/>
        <v>HollowBrook</v>
      </c>
      <c r="T281" s="20">
        <f t="shared" si="42"/>
        <v>0</v>
      </c>
      <c r="U281">
        <f t="shared" si="43"/>
        <v>682</v>
      </c>
      <c r="V281">
        <f t="shared" si="44"/>
        <v>682</v>
      </c>
      <c r="W281" cm="1">
        <f t="array" ref="W281">_xlfn._xlws.FILTER(shifts!A:A,(shifts!B:B=events!D281)*(shifts!AH:AH&gt;=events!U281)*(shifts!AI:AI&lt;=events!V281))</f>
        <v>9</v>
      </c>
      <c r="X281" t="str">
        <f t="shared" si="45"/>
        <v>opp_team_player_1</v>
      </c>
      <c r="Y281">
        <f>COUNTIFS(A$3:A281,"="&amp;A281,K$3:K281,"="&amp;K281)</f>
        <v>1</v>
      </c>
      <c r="Z281" s="20">
        <f>SUMIFS(T$3:T281,L$3:L281,"=Intermission")+SUMIFS(T$3:T281,L$3:L281,"=Timeout")+SUMIFS(T$3:T281,L$3:L281,"=Clockstop")</f>
        <v>0</v>
      </c>
      <c r="AA281">
        <f t="shared" si="49"/>
        <v>0</v>
      </c>
      <c r="AB281" s="26">
        <f t="shared" si="50"/>
        <v>398</v>
      </c>
      <c r="AC281">
        <f t="shared" si="51"/>
        <v>0</v>
      </c>
    </row>
    <row r="282" spans="1:29" x14ac:dyDescent="0.2">
      <c r="A282">
        <v>149</v>
      </c>
      <c r="D282">
        <f t="shared" si="52"/>
        <v>1</v>
      </c>
      <c r="E282">
        <v>11</v>
      </c>
      <c r="F282" s="6" t="s">
        <v>473</v>
      </c>
      <c r="G282">
        <v>11</v>
      </c>
      <c r="H282" s="8" t="s">
        <v>445</v>
      </c>
      <c r="I282" t="s">
        <v>179</v>
      </c>
      <c r="J282">
        <v>26</v>
      </c>
      <c r="K282" t="s">
        <v>488</v>
      </c>
      <c r="L282" t="s">
        <v>15</v>
      </c>
      <c r="Q282">
        <f t="shared" si="46"/>
        <v>18977</v>
      </c>
      <c r="R282" t="str">
        <f t="shared" si="47"/>
        <v>Velodrome</v>
      </c>
      <c r="S282" t="str">
        <f t="shared" si="48"/>
        <v>HollowBrook</v>
      </c>
      <c r="T282" s="20">
        <f t="shared" si="42"/>
        <v>2</v>
      </c>
      <c r="U282">
        <f t="shared" si="43"/>
        <v>681</v>
      </c>
      <c r="V282">
        <f t="shared" si="44"/>
        <v>679</v>
      </c>
      <c r="W282" cm="1">
        <f t="array" ref="W282">_xlfn._xlws.FILTER(shifts!A:A,(shifts!B:B=events!D282)*(shifts!AH:AH&gt;=events!U282)*(shifts!AI:AI&lt;=events!V282))</f>
        <v>9</v>
      </c>
      <c r="X282" t="str">
        <f t="shared" si="45"/>
        <v>event_team_player_1</v>
      </c>
      <c r="Y282">
        <f>COUNTIFS(A$3:A282,"="&amp;A282,K$3:K282,"="&amp;K282)</f>
        <v>1</v>
      </c>
      <c r="Z282" s="20">
        <f>SUMIFS(T$3:T282,L$3:L282,"=Intermission")+SUMIFS(T$3:T282,L$3:L282,"=Timeout")+SUMIFS(T$3:T282,L$3:L282,"=Clockstop")</f>
        <v>0</v>
      </c>
      <c r="AA282">
        <f t="shared" si="49"/>
        <v>0</v>
      </c>
      <c r="AB282" s="26">
        <f t="shared" si="50"/>
        <v>399</v>
      </c>
      <c r="AC282">
        <f t="shared" si="51"/>
        <v>0</v>
      </c>
    </row>
    <row r="283" spans="1:29" x14ac:dyDescent="0.2">
      <c r="A283">
        <v>149</v>
      </c>
      <c r="D283">
        <f t="shared" si="52"/>
        <v>1</v>
      </c>
      <c r="E283">
        <v>11</v>
      </c>
      <c r="F283" s="6" t="s">
        <v>473</v>
      </c>
      <c r="G283">
        <v>11</v>
      </c>
      <c r="H283" s="8" t="s">
        <v>445</v>
      </c>
      <c r="I283" t="s">
        <v>179</v>
      </c>
      <c r="J283">
        <v>49</v>
      </c>
      <c r="K283" t="s">
        <v>489</v>
      </c>
      <c r="L283" t="s">
        <v>15</v>
      </c>
      <c r="Q283">
        <f t="shared" si="46"/>
        <v>18977</v>
      </c>
      <c r="R283" t="str">
        <f t="shared" si="47"/>
        <v>Velodrome</v>
      </c>
      <c r="S283" t="str">
        <f t="shared" si="48"/>
        <v>HollowBrook</v>
      </c>
      <c r="T283" s="20">
        <f t="shared" si="42"/>
        <v>2</v>
      </c>
      <c r="U283">
        <f t="shared" si="43"/>
        <v>681</v>
      </c>
      <c r="V283">
        <f t="shared" si="44"/>
        <v>679</v>
      </c>
      <c r="W283" cm="1">
        <f t="array" ref="W283">_xlfn._xlws.FILTER(shifts!A:A,(shifts!B:B=events!D283)*(shifts!AH:AH&gt;=events!U283)*(shifts!AI:AI&lt;=events!V283))</f>
        <v>9</v>
      </c>
      <c r="X283" t="str">
        <f t="shared" si="45"/>
        <v>opp_team_player_1</v>
      </c>
      <c r="Y283">
        <f>COUNTIFS(A$3:A283,"="&amp;A283,K$3:K283,"="&amp;K283)</f>
        <v>1</v>
      </c>
      <c r="Z283" s="20">
        <f>SUMIFS(T$3:T283,L$3:L283,"=Intermission")+SUMIFS(T$3:T283,L$3:L283,"=Timeout")+SUMIFS(T$3:T283,L$3:L283,"=Clockstop")</f>
        <v>0</v>
      </c>
      <c r="AA283">
        <f t="shared" si="49"/>
        <v>0</v>
      </c>
      <c r="AB283" s="26">
        <f t="shared" si="50"/>
        <v>399</v>
      </c>
      <c r="AC283">
        <f t="shared" si="51"/>
        <v>0</v>
      </c>
    </row>
    <row r="284" spans="1:29" x14ac:dyDescent="0.2">
      <c r="A284">
        <v>149</v>
      </c>
      <c r="D284">
        <f t="shared" si="52"/>
        <v>1</v>
      </c>
      <c r="E284">
        <v>11</v>
      </c>
      <c r="F284" s="6" t="s">
        <v>473</v>
      </c>
      <c r="G284">
        <v>11</v>
      </c>
      <c r="H284" s="8" t="s">
        <v>445</v>
      </c>
      <c r="I284" t="s">
        <v>179</v>
      </c>
      <c r="J284">
        <v>75</v>
      </c>
      <c r="K284" t="s">
        <v>489</v>
      </c>
      <c r="L284" t="s">
        <v>15</v>
      </c>
      <c r="Q284">
        <f t="shared" si="46"/>
        <v>18977</v>
      </c>
      <c r="R284" t="str">
        <f t="shared" si="47"/>
        <v>Velodrome</v>
      </c>
      <c r="S284" t="str">
        <f t="shared" si="48"/>
        <v>HollowBrook</v>
      </c>
      <c r="T284" s="20">
        <f t="shared" si="42"/>
        <v>2</v>
      </c>
      <c r="U284">
        <f t="shared" si="43"/>
        <v>681</v>
      </c>
      <c r="V284">
        <f t="shared" si="44"/>
        <v>679</v>
      </c>
      <c r="W284" cm="1">
        <f t="array" ref="W284">_xlfn._xlws.FILTER(shifts!A:A,(shifts!B:B=events!D284)*(shifts!AH:AH&gt;=events!U284)*(shifts!AI:AI&lt;=events!V284))</f>
        <v>9</v>
      </c>
      <c r="X284" t="str">
        <f t="shared" si="45"/>
        <v>opp_team_player_2</v>
      </c>
      <c r="Y284">
        <f>COUNTIFS(A$3:A284,"="&amp;A284,K$3:K284,"="&amp;K284)</f>
        <v>2</v>
      </c>
      <c r="Z284" s="20">
        <f>SUMIFS(T$3:T284,L$3:L284,"=Intermission")+SUMIFS(T$3:T284,L$3:L284,"=Timeout")+SUMIFS(T$3:T284,L$3:L284,"=Clockstop")</f>
        <v>0</v>
      </c>
      <c r="AA284">
        <f t="shared" si="49"/>
        <v>0</v>
      </c>
      <c r="AB284" s="26">
        <f t="shared" si="50"/>
        <v>399</v>
      </c>
      <c r="AC284">
        <f t="shared" si="51"/>
        <v>0</v>
      </c>
    </row>
    <row r="285" spans="1:29" x14ac:dyDescent="0.2">
      <c r="A285">
        <v>149</v>
      </c>
      <c r="D285">
        <f t="shared" si="52"/>
        <v>1</v>
      </c>
      <c r="E285">
        <v>11</v>
      </c>
      <c r="F285" s="6" t="s">
        <v>473</v>
      </c>
      <c r="G285">
        <v>11</v>
      </c>
      <c r="H285" s="8" t="s">
        <v>445</v>
      </c>
      <c r="I285" t="s">
        <v>179</v>
      </c>
      <c r="J285">
        <v>84</v>
      </c>
      <c r="K285" t="s">
        <v>489</v>
      </c>
      <c r="L285" t="s">
        <v>15</v>
      </c>
      <c r="Q285">
        <f t="shared" si="46"/>
        <v>18977</v>
      </c>
      <c r="R285" t="str">
        <f t="shared" si="47"/>
        <v>Velodrome</v>
      </c>
      <c r="S285" t="str">
        <f t="shared" si="48"/>
        <v>HollowBrook</v>
      </c>
      <c r="T285" s="20">
        <f t="shared" si="42"/>
        <v>2</v>
      </c>
      <c r="U285">
        <f t="shared" si="43"/>
        <v>681</v>
      </c>
      <c r="V285">
        <f t="shared" si="44"/>
        <v>679</v>
      </c>
      <c r="W285" cm="1">
        <f t="array" ref="W285">_xlfn._xlws.FILTER(shifts!A:A,(shifts!B:B=events!D285)*(shifts!AH:AH&gt;=events!U285)*(shifts!AI:AI&lt;=events!V285))</f>
        <v>9</v>
      </c>
      <c r="X285" t="str">
        <f t="shared" si="45"/>
        <v>opp_team_player_3</v>
      </c>
      <c r="Y285">
        <f>COUNTIFS(A$3:A285,"="&amp;A285,K$3:K285,"="&amp;K285)</f>
        <v>3</v>
      </c>
      <c r="Z285" s="20">
        <f>SUMIFS(T$3:T285,L$3:L285,"=Intermission")+SUMIFS(T$3:T285,L$3:L285,"=Timeout")+SUMIFS(T$3:T285,L$3:L285,"=Clockstop")</f>
        <v>0</v>
      </c>
      <c r="AA285">
        <f t="shared" si="49"/>
        <v>0</v>
      </c>
      <c r="AB285" s="26">
        <f t="shared" si="50"/>
        <v>399</v>
      </c>
      <c r="AC285">
        <f t="shared" si="51"/>
        <v>0</v>
      </c>
    </row>
    <row r="286" spans="1:29" x14ac:dyDescent="0.2">
      <c r="A286">
        <v>149</v>
      </c>
      <c r="D286">
        <f t="shared" si="52"/>
        <v>1</v>
      </c>
      <c r="E286">
        <v>11</v>
      </c>
      <c r="F286" s="6" t="s">
        <v>473</v>
      </c>
      <c r="G286">
        <v>11</v>
      </c>
      <c r="H286" s="8" t="s">
        <v>445</v>
      </c>
      <c r="I286" t="s">
        <v>179</v>
      </c>
      <c r="J286">
        <v>42</v>
      </c>
      <c r="K286" t="s">
        <v>489</v>
      </c>
      <c r="L286" t="s">
        <v>15</v>
      </c>
      <c r="Q286">
        <f t="shared" si="46"/>
        <v>18977</v>
      </c>
      <c r="R286" t="str">
        <f t="shared" si="47"/>
        <v>Velodrome</v>
      </c>
      <c r="S286" t="str">
        <f t="shared" si="48"/>
        <v>HollowBrook</v>
      </c>
      <c r="T286" s="20">
        <f t="shared" si="42"/>
        <v>2</v>
      </c>
      <c r="U286">
        <f t="shared" si="43"/>
        <v>681</v>
      </c>
      <c r="V286">
        <f t="shared" si="44"/>
        <v>679</v>
      </c>
      <c r="W286" cm="1">
        <f t="array" ref="W286">_xlfn._xlws.FILTER(shifts!A:A,(shifts!B:B=events!D286)*(shifts!AH:AH&gt;=events!U286)*(shifts!AI:AI&lt;=events!V286))</f>
        <v>9</v>
      </c>
      <c r="X286" t="str">
        <f t="shared" si="45"/>
        <v>opp_team_player_4</v>
      </c>
      <c r="Y286">
        <f>COUNTIFS(A$3:A286,"="&amp;A286,K$3:K286,"="&amp;K286)</f>
        <v>4</v>
      </c>
      <c r="Z286" s="20">
        <f>SUMIFS(T$3:T286,L$3:L286,"=Intermission")+SUMIFS(T$3:T286,L$3:L286,"=Timeout")+SUMIFS(T$3:T286,L$3:L286,"=Clockstop")</f>
        <v>0</v>
      </c>
      <c r="AA286">
        <f t="shared" si="49"/>
        <v>0</v>
      </c>
      <c r="AB286" s="26">
        <f t="shared" si="50"/>
        <v>399</v>
      </c>
      <c r="AC286">
        <f t="shared" si="51"/>
        <v>0</v>
      </c>
    </row>
    <row r="287" spans="1:29" x14ac:dyDescent="0.2">
      <c r="A287">
        <v>150</v>
      </c>
      <c r="D287">
        <f t="shared" si="52"/>
        <v>1</v>
      </c>
      <c r="E287">
        <v>11</v>
      </c>
      <c r="F287" s="6" t="s">
        <v>445</v>
      </c>
      <c r="I287" t="s">
        <v>179</v>
      </c>
      <c r="J287">
        <v>26</v>
      </c>
      <c r="K287" t="s">
        <v>488</v>
      </c>
      <c r="L287" t="s">
        <v>7</v>
      </c>
      <c r="M287" t="s">
        <v>215</v>
      </c>
      <c r="N287" t="s">
        <v>53</v>
      </c>
      <c r="Q287">
        <f t="shared" si="46"/>
        <v>18977</v>
      </c>
      <c r="R287" t="str">
        <f t="shared" si="47"/>
        <v>Velodrome</v>
      </c>
      <c r="S287" t="str">
        <f t="shared" si="48"/>
        <v>HollowBrook</v>
      </c>
      <c r="T287" s="20">
        <f t="shared" si="42"/>
        <v>0</v>
      </c>
      <c r="U287">
        <f t="shared" si="43"/>
        <v>679</v>
      </c>
      <c r="V287">
        <f t="shared" si="44"/>
        <v>679</v>
      </c>
      <c r="W287" cm="1">
        <f t="array" ref="W287">_xlfn._xlws.FILTER(shifts!A:A,(shifts!B:B=events!D287)*(shifts!AH:AH&gt;=events!U287)*(shifts!AI:AI&lt;=events!V287))</f>
        <v>9</v>
      </c>
      <c r="X287" t="str">
        <f t="shared" si="45"/>
        <v>event_team_player_1</v>
      </c>
      <c r="Y287">
        <f>COUNTIFS(A$3:A287,"="&amp;A287,K$3:K287,"="&amp;K287)</f>
        <v>1</v>
      </c>
      <c r="Z287" s="20">
        <f>SUMIFS(T$3:T287,L$3:L287,"=Intermission")+SUMIFS(T$3:T287,L$3:L287,"=Timeout")+SUMIFS(T$3:T287,L$3:L287,"=Clockstop")</f>
        <v>0</v>
      </c>
      <c r="AA287">
        <f t="shared" si="49"/>
        <v>0</v>
      </c>
      <c r="AB287" s="26">
        <f t="shared" si="50"/>
        <v>401</v>
      </c>
      <c r="AC287">
        <f t="shared" si="51"/>
        <v>0</v>
      </c>
    </row>
    <row r="288" spans="1:29" x14ac:dyDescent="0.2">
      <c r="A288">
        <v>150</v>
      </c>
      <c r="D288">
        <f t="shared" si="52"/>
        <v>1</v>
      </c>
      <c r="E288">
        <v>11</v>
      </c>
      <c r="F288" s="6" t="s">
        <v>445</v>
      </c>
      <c r="I288" t="s">
        <v>179</v>
      </c>
      <c r="J288">
        <v>13</v>
      </c>
      <c r="K288" t="s">
        <v>488</v>
      </c>
      <c r="L288" t="s">
        <v>7</v>
      </c>
      <c r="M288" t="s">
        <v>215</v>
      </c>
      <c r="N288" t="s">
        <v>53</v>
      </c>
      <c r="Q288">
        <f t="shared" si="46"/>
        <v>18977</v>
      </c>
      <c r="R288" t="str">
        <f t="shared" si="47"/>
        <v>Velodrome</v>
      </c>
      <c r="S288" t="str">
        <f t="shared" si="48"/>
        <v>HollowBrook</v>
      </c>
      <c r="T288" s="20">
        <f t="shared" si="42"/>
        <v>0</v>
      </c>
      <c r="U288">
        <f t="shared" si="43"/>
        <v>679</v>
      </c>
      <c r="V288">
        <f t="shared" si="44"/>
        <v>679</v>
      </c>
      <c r="W288" cm="1">
        <f t="array" ref="W288">_xlfn._xlws.FILTER(shifts!A:A,(shifts!B:B=events!D288)*(shifts!AH:AH&gt;=events!U288)*(shifts!AI:AI&lt;=events!V288))</f>
        <v>9</v>
      </c>
      <c r="X288" t="str">
        <f t="shared" si="45"/>
        <v>event_team_player_2</v>
      </c>
      <c r="Y288">
        <f>COUNTIFS(A$3:A288,"="&amp;A288,K$3:K288,"="&amp;K288)</f>
        <v>2</v>
      </c>
      <c r="Z288" s="20">
        <f>SUMIFS(T$3:T288,L$3:L288,"=Intermission")+SUMIFS(T$3:T288,L$3:L288,"=Timeout")+SUMIFS(T$3:T288,L$3:L288,"=Clockstop")</f>
        <v>0</v>
      </c>
      <c r="AA288">
        <f t="shared" si="49"/>
        <v>0</v>
      </c>
      <c r="AB288" s="26">
        <f t="shared" si="50"/>
        <v>401</v>
      </c>
      <c r="AC288">
        <f t="shared" si="51"/>
        <v>0</v>
      </c>
    </row>
    <row r="289" spans="1:29" x14ac:dyDescent="0.2">
      <c r="A289">
        <v>150</v>
      </c>
      <c r="D289">
        <f t="shared" si="52"/>
        <v>1</v>
      </c>
      <c r="E289">
        <v>11</v>
      </c>
      <c r="F289" s="6" t="s">
        <v>445</v>
      </c>
      <c r="I289" t="s">
        <v>179</v>
      </c>
      <c r="J289">
        <v>84</v>
      </c>
      <c r="K289" t="s">
        <v>489</v>
      </c>
      <c r="L289" t="s">
        <v>7</v>
      </c>
      <c r="M289" t="s">
        <v>215</v>
      </c>
      <c r="N289" t="s">
        <v>53</v>
      </c>
      <c r="Q289">
        <f t="shared" si="46"/>
        <v>18977</v>
      </c>
      <c r="R289" t="str">
        <f t="shared" si="47"/>
        <v>Velodrome</v>
      </c>
      <c r="S289" t="str">
        <f t="shared" si="48"/>
        <v>HollowBrook</v>
      </c>
      <c r="T289" s="20">
        <f t="shared" si="42"/>
        <v>0</v>
      </c>
      <c r="U289">
        <f t="shared" si="43"/>
        <v>679</v>
      </c>
      <c r="V289">
        <f t="shared" si="44"/>
        <v>679</v>
      </c>
      <c r="W289" cm="1">
        <f t="array" ref="W289">_xlfn._xlws.FILTER(shifts!A:A,(shifts!B:B=events!D289)*(shifts!AH:AH&gt;=events!U289)*(shifts!AI:AI&lt;=events!V289))</f>
        <v>9</v>
      </c>
      <c r="X289" t="str">
        <f t="shared" si="45"/>
        <v>opp_team_player_1</v>
      </c>
      <c r="Y289">
        <f>COUNTIFS(A$3:A289,"="&amp;A289,K$3:K289,"="&amp;K289)</f>
        <v>1</v>
      </c>
      <c r="Z289" s="20">
        <f>SUMIFS(T$3:T289,L$3:L289,"=Intermission")+SUMIFS(T$3:T289,L$3:L289,"=Timeout")+SUMIFS(T$3:T289,L$3:L289,"=Clockstop")</f>
        <v>0</v>
      </c>
      <c r="AA289">
        <f t="shared" si="49"/>
        <v>0</v>
      </c>
      <c r="AB289" s="26">
        <f t="shared" si="50"/>
        <v>401</v>
      </c>
      <c r="AC289">
        <f t="shared" si="51"/>
        <v>0</v>
      </c>
    </row>
    <row r="290" spans="1:29" x14ac:dyDescent="0.2">
      <c r="A290">
        <v>150</v>
      </c>
      <c r="D290">
        <f t="shared" si="52"/>
        <v>1</v>
      </c>
      <c r="E290">
        <v>11</v>
      </c>
      <c r="F290" s="6" t="s">
        <v>445</v>
      </c>
      <c r="I290" t="s">
        <v>179</v>
      </c>
      <c r="J290">
        <v>42</v>
      </c>
      <c r="K290" t="s">
        <v>489</v>
      </c>
      <c r="L290" t="s">
        <v>7</v>
      </c>
      <c r="M290" t="s">
        <v>215</v>
      </c>
      <c r="N290" t="s">
        <v>53</v>
      </c>
      <c r="Q290">
        <f t="shared" si="46"/>
        <v>18977</v>
      </c>
      <c r="R290" t="str">
        <f t="shared" si="47"/>
        <v>Velodrome</v>
      </c>
      <c r="S290" t="str">
        <f t="shared" si="48"/>
        <v>HollowBrook</v>
      </c>
      <c r="T290" s="20">
        <f t="shared" si="42"/>
        <v>0</v>
      </c>
      <c r="U290">
        <f t="shared" si="43"/>
        <v>679</v>
      </c>
      <c r="V290">
        <f t="shared" si="44"/>
        <v>679</v>
      </c>
      <c r="W290" cm="1">
        <f t="array" ref="W290">_xlfn._xlws.FILTER(shifts!A:A,(shifts!B:B=events!D290)*(shifts!AH:AH&gt;=events!U290)*(shifts!AI:AI&lt;=events!V290))</f>
        <v>9</v>
      </c>
      <c r="X290" t="str">
        <f t="shared" si="45"/>
        <v>opp_team_player_2</v>
      </c>
      <c r="Y290">
        <f>COUNTIFS(A$3:A290,"="&amp;A290,K$3:K290,"="&amp;K290)</f>
        <v>2</v>
      </c>
      <c r="Z290" s="20">
        <f>SUMIFS(T$3:T290,L$3:L290,"=Intermission")+SUMIFS(T$3:T290,L$3:L290,"=Timeout")+SUMIFS(T$3:T290,L$3:L290,"=Clockstop")</f>
        <v>0</v>
      </c>
      <c r="AA290">
        <f t="shared" si="49"/>
        <v>0</v>
      </c>
      <c r="AB290" s="26">
        <f t="shared" si="50"/>
        <v>401</v>
      </c>
      <c r="AC290">
        <f t="shared" si="51"/>
        <v>0</v>
      </c>
    </row>
    <row r="291" spans="1:29" x14ac:dyDescent="0.2">
      <c r="A291">
        <v>150</v>
      </c>
      <c r="D291">
        <f t="shared" si="52"/>
        <v>1</v>
      </c>
      <c r="E291">
        <v>11</v>
      </c>
      <c r="F291" s="6" t="s">
        <v>445</v>
      </c>
      <c r="I291" t="s">
        <v>179</v>
      </c>
      <c r="J291">
        <v>75</v>
      </c>
      <c r="K291" t="s">
        <v>489</v>
      </c>
      <c r="L291" t="s">
        <v>7</v>
      </c>
      <c r="M291" t="s">
        <v>215</v>
      </c>
      <c r="N291" t="s">
        <v>53</v>
      </c>
      <c r="Q291">
        <f t="shared" si="46"/>
        <v>18977</v>
      </c>
      <c r="R291" t="str">
        <f t="shared" si="47"/>
        <v>Velodrome</v>
      </c>
      <c r="S291" t="str">
        <f t="shared" si="48"/>
        <v>HollowBrook</v>
      </c>
      <c r="T291" s="20">
        <f t="shared" si="42"/>
        <v>0</v>
      </c>
      <c r="U291">
        <f t="shared" si="43"/>
        <v>679</v>
      </c>
      <c r="V291">
        <f t="shared" si="44"/>
        <v>679</v>
      </c>
      <c r="W291" cm="1">
        <f t="array" ref="W291">_xlfn._xlws.FILTER(shifts!A:A,(shifts!B:B=events!D291)*(shifts!AH:AH&gt;=events!U291)*(shifts!AI:AI&lt;=events!V291))</f>
        <v>9</v>
      </c>
      <c r="X291" t="str">
        <f t="shared" si="45"/>
        <v>opp_team_player_3</v>
      </c>
      <c r="Y291">
        <f>COUNTIFS(A$3:A291,"="&amp;A291,K$3:K291,"="&amp;K291)</f>
        <v>3</v>
      </c>
      <c r="Z291" s="20">
        <f>SUMIFS(T$3:T291,L$3:L291,"=Intermission")+SUMIFS(T$3:T291,L$3:L291,"=Timeout")+SUMIFS(T$3:T291,L$3:L291,"=Clockstop")</f>
        <v>0</v>
      </c>
      <c r="AA291">
        <f t="shared" si="49"/>
        <v>0</v>
      </c>
      <c r="AB291" s="26">
        <f t="shared" si="50"/>
        <v>401</v>
      </c>
      <c r="AC291">
        <f t="shared" si="51"/>
        <v>0</v>
      </c>
    </row>
    <row r="292" spans="1:29" x14ac:dyDescent="0.2">
      <c r="A292">
        <v>150</v>
      </c>
      <c r="D292">
        <f t="shared" si="52"/>
        <v>1</v>
      </c>
      <c r="E292">
        <v>11</v>
      </c>
      <c r="F292" s="6" t="s">
        <v>445</v>
      </c>
      <c r="I292" t="s">
        <v>179</v>
      </c>
      <c r="J292">
        <v>87</v>
      </c>
      <c r="K292" t="s">
        <v>489</v>
      </c>
      <c r="L292" t="s">
        <v>7</v>
      </c>
      <c r="M292" t="s">
        <v>215</v>
      </c>
      <c r="N292" t="s">
        <v>53</v>
      </c>
      <c r="Q292">
        <f t="shared" si="46"/>
        <v>18977</v>
      </c>
      <c r="R292" t="str">
        <f t="shared" si="47"/>
        <v>Velodrome</v>
      </c>
      <c r="S292" t="str">
        <f t="shared" si="48"/>
        <v>HollowBrook</v>
      </c>
      <c r="T292" s="20">
        <f t="shared" si="42"/>
        <v>0</v>
      </c>
      <c r="U292">
        <f t="shared" si="43"/>
        <v>679</v>
      </c>
      <c r="V292">
        <f t="shared" si="44"/>
        <v>679</v>
      </c>
      <c r="W292" cm="1">
        <f t="array" ref="W292">_xlfn._xlws.FILTER(shifts!A:A,(shifts!B:B=events!D292)*(shifts!AH:AH&gt;=events!U292)*(shifts!AI:AI&lt;=events!V292))</f>
        <v>9</v>
      </c>
      <c r="X292" t="str">
        <f t="shared" si="45"/>
        <v>opp_team_player_4</v>
      </c>
      <c r="Y292">
        <f>COUNTIFS(A$3:A292,"="&amp;A292,K$3:K292,"="&amp;K292)</f>
        <v>4</v>
      </c>
      <c r="Z292" s="20">
        <f>SUMIFS(T$3:T292,L$3:L292,"=Intermission")+SUMIFS(T$3:T292,L$3:L292,"=Timeout")+SUMIFS(T$3:T292,L$3:L292,"=Clockstop")</f>
        <v>0</v>
      </c>
      <c r="AA292">
        <f t="shared" si="49"/>
        <v>0</v>
      </c>
      <c r="AB292" s="26">
        <f t="shared" si="50"/>
        <v>401</v>
      </c>
      <c r="AC292">
        <f t="shared" si="51"/>
        <v>0</v>
      </c>
    </row>
    <row r="293" spans="1:29" x14ac:dyDescent="0.2">
      <c r="A293">
        <v>151</v>
      </c>
      <c r="D293">
        <f t="shared" si="52"/>
        <v>1</v>
      </c>
      <c r="E293">
        <v>11</v>
      </c>
      <c r="F293" s="6" t="s">
        <v>423</v>
      </c>
      <c r="I293" t="s">
        <v>179</v>
      </c>
      <c r="J293">
        <v>22</v>
      </c>
      <c r="K293" t="s">
        <v>488</v>
      </c>
      <c r="L293" t="s">
        <v>8</v>
      </c>
      <c r="M293" t="s">
        <v>209</v>
      </c>
      <c r="N293" t="s">
        <v>69</v>
      </c>
      <c r="Q293">
        <f t="shared" si="46"/>
        <v>18977</v>
      </c>
      <c r="R293" t="str">
        <f t="shared" si="47"/>
        <v>Velodrome</v>
      </c>
      <c r="S293" t="str">
        <f t="shared" si="48"/>
        <v>HollowBrook</v>
      </c>
      <c r="T293" s="20">
        <f t="shared" si="42"/>
        <v>0</v>
      </c>
      <c r="U293">
        <f t="shared" si="43"/>
        <v>674</v>
      </c>
      <c r="V293">
        <f t="shared" si="44"/>
        <v>674</v>
      </c>
      <c r="W293" cm="1">
        <f t="array" ref="W293">_xlfn._xlws.FILTER(shifts!A:A,(shifts!B:B=events!D293)*(shifts!AH:AH&gt;=events!U293)*(shifts!AI:AI&lt;=events!V293))</f>
        <v>9</v>
      </c>
      <c r="X293" t="str">
        <f t="shared" si="45"/>
        <v>event_team_player_1</v>
      </c>
      <c r="Y293">
        <f>COUNTIFS(A$3:A293,"="&amp;A293,K$3:K293,"="&amp;K293)</f>
        <v>1</v>
      </c>
      <c r="Z293" s="20">
        <f>SUMIFS(T$3:T293,L$3:L293,"=Intermission")+SUMIFS(T$3:T293,L$3:L293,"=Timeout")+SUMIFS(T$3:T293,L$3:L293,"=Clockstop")</f>
        <v>0</v>
      </c>
      <c r="AA293">
        <f t="shared" si="49"/>
        <v>0</v>
      </c>
      <c r="AB293" s="26">
        <f t="shared" si="50"/>
        <v>406</v>
      </c>
      <c r="AC293">
        <f t="shared" si="51"/>
        <v>0</v>
      </c>
    </row>
    <row r="294" spans="1:29" x14ac:dyDescent="0.2">
      <c r="A294">
        <v>151</v>
      </c>
      <c r="D294">
        <f t="shared" si="52"/>
        <v>1</v>
      </c>
      <c r="E294">
        <v>11</v>
      </c>
      <c r="F294" s="6" t="s">
        <v>423</v>
      </c>
      <c r="I294" t="s">
        <v>179</v>
      </c>
      <c r="J294">
        <v>84</v>
      </c>
      <c r="K294" t="s">
        <v>489</v>
      </c>
      <c r="L294" t="s">
        <v>8</v>
      </c>
      <c r="M294" t="s">
        <v>209</v>
      </c>
      <c r="N294" t="s">
        <v>69</v>
      </c>
      <c r="Q294">
        <f t="shared" si="46"/>
        <v>18977</v>
      </c>
      <c r="R294" t="str">
        <f t="shared" si="47"/>
        <v>Velodrome</v>
      </c>
      <c r="S294" t="str">
        <f t="shared" si="48"/>
        <v>HollowBrook</v>
      </c>
      <c r="T294" s="20">
        <f t="shared" si="42"/>
        <v>0</v>
      </c>
      <c r="U294">
        <f t="shared" si="43"/>
        <v>674</v>
      </c>
      <c r="V294">
        <f t="shared" si="44"/>
        <v>674</v>
      </c>
      <c r="W294" cm="1">
        <f t="array" ref="W294">_xlfn._xlws.FILTER(shifts!A:A,(shifts!B:B=events!D294)*(shifts!AH:AH&gt;=events!U294)*(shifts!AI:AI&lt;=events!V294))</f>
        <v>9</v>
      </c>
      <c r="X294" t="str">
        <f t="shared" si="45"/>
        <v>opp_team_player_1</v>
      </c>
      <c r="Y294">
        <f>COUNTIFS(A$3:A294,"="&amp;A294,K$3:K294,"="&amp;K294)</f>
        <v>1</v>
      </c>
      <c r="Z294" s="20">
        <f>SUMIFS(T$3:T294,L$3:L294,"=Intermission")+SUMIFS(T$3:T294,L$3:L294,"=Timeout")+SUMIFS(T$3:T294,L$3:L294,"=Clockstop")</f>
        <v>0</v>
      </c>
      <c r="AA294">
        <f t="shared" si="49"/>
        <v>0</v>
      </c>
      <c r="AB294" s="26">
        <f t="shared" si="50"/>
        <v>406</v>
      </c>
      <c r="AC294">
        <f t="shared" si="51"/>
        <v>0</v>
      </c>
    </row>
    <row r="295" spans="1:29" x14ac:dyDescent="0.2">
      <c r="A295">
        <v>151</v>
      </c>
      <c r="D295">
        <f t="shared" si="52"/>
        <v>1</v>
      </c>
      <c r="E295">
        <v>11</v>
      </c>
      <c r="F295" s="6" t="s">
        <v>423</v>
      </c>
      <c r="I295" t="s">
        <v>179</v>
      </c>
      <c r="J295">
        <v>42</v>
      </c>
      <c r="K295" t="s">
        <v>489</v>
      </c>
      <c r="L295" t="s">
        <v>8</v>
      </c>
      <c r="M295" t="s">
        <v>209</v>
      </c>
      <c r="N295" t="s">
        <v>69</v>
      </c>
      <c r="Q295">
        <f t="shared" si="46"/>
        <v>18977</v>
      </c>
      <c r="R295" t="str">
        <f t="shared" si="47"/>
        <v>Velodrome</v>
      </c>
      <c r="S295" t="str">
        <f t="shared" si="48"/>
        <v>HollowBrook</v>
      </c>
      <c r="T295" s="20">
        <f t="shared" si="42"/>
        <v>0</v>
      </c>
      <c r="U295">
        <f t="shared" si="43"/>
        <v>674</v>
      </c>
      <c r="V295">
        <f t="shared" si="44"/>
        <v>674</v>
      </c>
      <c r="W295" cm="1">
        <f t="array" ref="W295">_xlfn._xlws.FILTER(shifts!A:A,(shifts!B:B=events!D295)*(shifts!AH:AH&gt;=events!U295)*(shifts!AI:AI&lt;=events!V295))</f>
        <v>9</v>
      </c>
      <c r="X295" t="str">
        <f t="shared" si="45"/>
        <v>opp_team_player_2</v>
      </c>
      <c r="Y295">
        <f>COUNTIFS(A$3:A295,"="&amp;A295,K$3:K295,"="&amp;K295)</f>
        <v>2</v>
      </c>
      <c r="Z295" s="20">
        <f>SUMIFS(T$3:T295,L$3:L295,"=Intermission")+SUMIFS(T$3:T295,L$3:L295,"=Timeout")+SUMIFS(T$3:T295,L$3:L295,"=Clockstop")</f>
        <v>0</v>
      </c>
      <c r="AA295">
        <f t="shared" si="49"/>
        <v>0</v>
      </c>
      <c r="AB295" s="26">
        <f t="shared" si="50"/>
        <v>406</v>
      </c>
      <c r="AC295">
        <f t="shared" si="51"/>
        <v>0</v>
      </c>
    </row>
    <row r="296" spans="1:29" x14ac:dyDescent="0.2">
      <c r="A296">
        <v>152</v>
      </c>
      <c r="D296">
        <f t="shared" si="52"/>
        <v>1</v>
      </c>
      <c r="E296">
        <v>11</v>
      </c>
      <c r="F296" s="6" t="s">
        <v>423</v>
      </c>
      <c r="I296" t="s">
        <v>179</v>
      </c>
      <c r="J296">
        <v>22</v>
      </c>
      <c r="K296" t="s">
        <v>488</v>
      </c>
      <c r="L296" t="s">
        <v>10</v>
      </c>
      <c r="M296" t="s">
        <v>190</v>
      </c>
      <c r="N296" t="s">
        <v>77</v>
      </c>
      <c r="Q296">
        <f t="shared" si="46"/>
        <v>18977</v>
      </c>
      <c r="R296" t="str">
        <f t="shared" si="47"/>
        <v>Velodrome</v>
      </c>
      <c r="S296" t="str">
        <f t="shared" si="48"/>
        <v>HollowBrook</v>
      </c>
      <c r="T296" s="20">
        <f t="shared" si="42"/>
        <v>0</v>
      </c>
      <c r="U296">
        <f t="shared" si="43"/>
        <v>674</v>
      </c>
      <c r="V296">
        <f t="shared" si="44"/>
        <v>674</v>
      </c>
      <c r="W296" cm="1">
        <f t="array" ref="W296">_xlfn._xlws.FILTER(shifts!A:A,(shifts!B:B=events!D296)*(shifts!AH:AH&gt;=events!U296)*(shifts!AI:AI&lt;=events!V296))</f>
        <v>9</v>
      </c>
      <c r="X296" t="str">
        <f t="shared" si="45"/>
        <v>event_team_player_1</v>
      </c>
      <c r="Y296">
        <f>COUNTIFS(A$3:A296,"="&amp;A296,K$3:K296,"="&amp;K296)</f>
        <v>1</v>
      </c>
      <c r="Z296" s="20">
        <f>SUMIFS(T$3:T296,L$3:L296,"=Intermission")+SUMIFS(T$3:T296,L$3:L296,"=Timeout")+SUMIFS(T$3:T296,L$3:L296,"=Clockstop")</f>
        <v>0</v>
      </c>
      <c r="AA296">
        <f t="shared" si="49"/>
        <v>0</v>
      </c>
      <c r="AB296" s="26">
        <f t="shared" si="50"/>
        <v>406</v>
      </c>
      <c r="AC296">
        <f t="shared" si="51"/>
        <v>0</v>
      </c>
    </row>
    <row r="297" spans="1:29" x14ac:dyDescent="0.2">
      <c r="A297">
        <v>152</v>
      </c>
      <c r="D297">
        <f t="shared" si="52"/>
        <v>1</v>
      </c>
      <c r="E297">
        <v>11</v>
      </c>
      <c r="F297" s="6" t="s">
        <v>423</v>
      </c>
      <c r="I297" t="s">
        <v>179</v>
      </c>
      <c r="J297">
        <v>84</v>
      </c>
      <c r="K297" t="s">
        <v>489</v>
      </c>
      <c r="L297" t="s">
        <v>10</v>
      </c>
      <c r="M297" t="s">
        <v>190</v>
      </c>
      <c r="N297" t="s">
        <v>77</v>
      </c>
      <c r="Q297">
        <f t="shared" si="46"/>
        <v>18977</v>
      </c>
      <c r="R297" t="str">
        <f t="shared" si="47"/>
        <v>Velodrome</v>
      </c>
      <c r="S297" t="str">
        <f t="shared" si="48"/>
        <v>HollowBrook</v>
      </c>
      <c r="T297" s="20">
        <f t="shared" si="42"/>
        <v>0</v>
      </c>
      <c r="U297">
        <f t="shared" si="43"/>
        <v>674</v>
      </c>
      <c r="V297">
        <f t="shared" si="44"/>
        <v>674</v>
      </c>
      <c r="W297" cm="1">
        <f t="array" ref="W297">_xlfn._xlws.FILTER(shifts!A:A,(shifts!B:B=events!D297)*(shifts!AH:AH&gt;=events!U297)*(shifts!AI:AI&lt;=events!V297))</f>
        <v>9</v>
      </c>
      <c r="X297" t="str">
        <f t="shared" si="45"/>
        <v>opp_team_player_1</v>
      </c>
      <c r="Y297">
        <f>COUNTIFS(A$3:A297,"="&amp;A297,K$3:K297,"="&amp;K297)</f>
        <v>1</v>
      </c>
      <c r="Z297" s="20">
        <f>SUMIFS(T$3:T297,L$3:L297,"=Intermission")+SUMIFS(T$3:T297,L$3:L297,"=Timeout")+SUMIFS(T$3:T297,L$3:L297,"=Clockstop")</f>
        <v>0</v>
      </c>
      <c r="AA297">
        <f t="shared" si="49"/>
        <v>0</v>
      </c>
      <c r="AB297" s="26">
        <f t="shared" si="50"/>
        <v>406</v>
      </c>
      <c r="AC297">
        <f t="shared" si="51"/>
        <v>0</v>
      </c>
    </row>
    <row r="298" spans="1:29" x14ac:dyDescent="0.2">
      <c r="A298">
        <v>152</v>
      </c>
      <c r="D298">
        <f t="shared" si="52"/>
        <v>1</v>
      </c>
      <c r="E298">
        <v>11</v>
      </c>
      <c r="F298" s="6" t="s">
        <v>423</v>
      </c>
      <c r="I298" t="s">
        <v>179</v>
      </c>
      <c r="J298">
        <v>42</v>
      </c>
      <c r="K298" t="s">
        <v>489</v>
      </c>
      <c r="L298" t="s">
        <v>10</v>
      </c>
      <c r="M298" t="s">
        <v>190</v>
      </c>
      <c r="N298" t="s">
        <v>77</v>
      </c>
      <c r="Q298">
        <f t="shared" si="46"/>
        <v>18977</v>
      </c>
      <c r="R298" t="str">
        <f t="shared" si="47"/>
        <v>Velodrome</v>
      </c>
      <c r="S298" t="str">
        <f t="shared" si="48"/>
        <v>HollowBrook</v>
      </c>
      <c r="T298" s="20">
        <f t="shared" si="42"/>
        <v>0</v>
      </c>
      <c r="U298">
        <f t="shared" si="43"/>
        <v>674</v>
      </c>
      <c r="V298">
        <f t="shared" si="44"/>
        <v>674</v>
      </c>
      <c r="W298" cm="1">
        <f t="array" ref="W298">_xlfn._xlws.FILTER(shifts!A:A,(shifts!B:B=events!D298)*(shifts!AH:AH&gt;=events!U298)*(shifts!AI:AI&lt;=events!V298))</f>
        <v>9</v>
      </c>
      <c r="X298" t="str">
        <f t="shared" si="45"/>
        <v>opp_team_player_2</v>
      </c>
      <c r="Y298">
        <f>COUNTIFS(A$3:A298,"="&amp;A298,K$3:K298,"="&amp;K298)</f>
        <v>2</v>
      </c>
      <c r="Z298" s="20">
        <f>SUMIFS(T$3:T298,L$3:L298,"=Intermission")+SUMIFS(T$3:T298,L$3:L298,"=Timeout")+SUMIFS(T$3:T298,L$3:L298,"=Clockstop")</f>
        <v>0</v>
      </c>
      <c r="AA298">
        <f t="shared" si="49"/>
        <v>0</v>
      </c>
      <c r="AB298" s="26">
        <f t="shared" si="50"/>
        <v>406</v>
      </c>
      <c r="AC298">
        <f t="shared" si="51"/>
        <v>0</v>
      </c>
    </row>
    <row r="299" spans="1:29" x14ac:dyDescent="0.2">
      <c r="A299">
        <v>153</v>
      </c>
      <c r="D299">
        <f t="shared" si="52"/>
        <v>1</v>
      </c>
      <c r="E299">
        <v>11</v>
      </c>
      <c r="F299" s="6" t="s">
        <v>317</v>
      </c>
      <c r="G299">
        <v>11</v>
      </c>
      <c r="H299" s="8" t="s">
        <v>425</v>
      </c>
      <c r="I299" t="s">
        <v>178</v>
      </c>
      <c r="J299">
        <v>42</v>
      </c>
      <c r="K299" t="s">
        <v>488</v>
      </c>
      <c r="L299" t="s">
        <v>15</v>
      </c>
      <c r="Q299">
        <f t="shared" si="46"/>
        <v>18977</v>
      </c>
      <c r="R299" t="str">
        <f t="shared" si="47"/>
        <v>Velodrome</v>
      </c>
      <c r="S299" t="str">
        <f t="shared" si="48"/>
        <v>HollowBrook</v>
      </c>
      <c r="T299" s="20">
        <f t="shared" si="42"/>
        <v>3</v>
      </c>
      <c r="U299">
        <f t="shared" si="43"/>
        <v>673</v>
      </c>
      <c r="V299">
        <f t="shared" si="44"/>
        <v>670</v>
      </c>
      <c r="W299" cm="1">
        <f t="array" ref="W299">_xlfn._xlws.FILTER(shifts!A:A,(shifts!B:B=events!D299)*(shifts!AH:AH&gt;=events!U299)*(shifts!AI:AI&lt;=events!V299))</f>
        <v>9</v>
      </c>
      <c r="X299" t="str">
        <f t="shared" si="45"/>
        <v>event_team_player_1</v>
      </c>
      <c r="Y299">
        <f>COUNTIFS(A$3:A299,"="&amp;A299,K$3:K299,"="&amp;K299)</f>
        <v>1</v>
      </c>
      <c r="Z299" s="20">
        <f>SUMIFS(T$3:T299,L$3:L299,"=Intermission")+SUMIFS(T$3:T299,L$3:L299,"=Timeout")+SUMIFS(T$3:T299,L$3:L299,"=Clockstop")</f>
        <v>0</v>
      </c>
      <c r="AA299">
        <f t="shared" si="49"/>
        <v>0</v>
      </c>
      <c r="AB299" s="26">
        <f t="shared" si="50"/>
        <v>407</v>
      </c>
      <c r="AC299">
        <f t="shared" si="51"/>
        <v>0</v>
      </c>
    </row>
    <row r="300" spans="1:29" x14ac:dyDescent="0.2">
      <c r="A300">
        <v>154</v>
      </c>
      <c r="D300">
        <f t="shared" si="52"/>
        <v>1</v>
      </c>
      <c r="E300">
        <v>11</v>
      </c>
      <c r="F300" s="6" t="s">
        <v>425</v>
      </c>
      <c r="G300">
        <v>11</v>
      </c>
      <c r="H300" s="8" t="s">
        <v>424</v>
      </c>
      <c r="I300" t="s">
        <v>178</v>
      </c>
      <c r="J300">
        <v>42</v>
      </c>
      <c r="K300" t="s">
        <v>488</v>
      </c>
      <c r="L300" t="s">
        <v>15</v>
      </c>
      <c r="Q300">
        <f t="shared" si="46"/>
        <v>18977</v>
      </c>
      <c r="R300" t="str">
        <f t="shared" si="47"/>
        <v>Velodrome</v>
      </c>
      <c r="S300" t="str">
        <f t="shared" si="48"/>
        <v>HollowBrook</v>
      </c>
      <c r="T300" s="20">
        <f t="shared" si="42"/>
        <v>1</v>
      </c>
      <c r="U300">
        <f t="shared" si="43"/>
        <v>670</v>
      </c>
      <c r="V300">
        <f t="shared" si="44"/>
        <v>669</v>
      </c>
      <c r="W300" cm="1">
        <f t="array" ref="W300">_xlfn._xlws.FILTER(shifts!A:A,(shifts!B:B=events!D300)*(shifts!AH:AH&gt;=events!U300)*(shifts!AI:AI&lt;=events!V300))</f>
        <v>9</v>
      </c>
      <c r="X300" t="str">
        <f t="shared" si="45"/>
        <v>event_team_player_1</v>
      </c>
      <c r="Y300">
        <f>COUNTIFS(A$3:A300,"="&amp;A300,K$3:K300,"="&amp;K300)</f>
        <v>1</v>
      </c>
      <c r="Z300" s="20">
        <f>SUMIFS(T$3:T300,L$3:L300,"=Intermission")+SUMIFS(T$3:T300,L$3:L300,"=Timeout")+SUMIFS(T$3:T300,L$3:L300,"=Clockstop")</f>
        <v>0</v>
      </c>
      <c r="AA300">
        <f t="shared" si="49"/>
        <v>0</v>
      </c>
      <c r="AB300" s="26">
        <f t="shared" si="50"/>
        <v>410</v>
      </c>
      <c r="AC300">
        <f t="shared" si="51"/>
        <v>0</v>
      </c>
    </row>
    <row r="301" spans="1:29" x14ac:dyDescent="0.2">
      <c r="A301">
        <v>155</v>
      </c>
      <c r="D301">
        <f t="shared" si="52"/>
        <v>1</v>
      </c>
      <c r="E301">
        <v>11</v>
      </c>
      <c r="F301" s="6" t="s">
        <v>424</v>
      </c>
      <c r="I301" t="s">
        <v>178</v>
      </c>
      <c r="J301">
        <v>42</v>
      </c>
      <c r="K301" t="s">
        <v>488</v>
      </c>
      <c r="L301" t="s">
        <v>277</v>
      </c>
      <c r="M301" t="s">
        <v>201</v>
      </c>
      <c r="N301" t="s">
        <v>91</v>
      </c>
      <c r="Q301">
        <f t="shared" si="46"/>
        <v>18977</v>
      </c>
      <c r="R301" t="str">
        <f t="shared" si="47"/>
        <v>Velodrome</v>
      </c>
      <c r="S301" t="str">
        <f t="shared" si="48"/>
        <v>HollowBrook</v>
      </c>
      <c r="T301" s="20">
        <f t="shared" si="42"/>
        <v>0</v>
      </c>
      <c r="U301">
        <f t="shared" si="43"/>
        <v>669</v>
      </c>
      <c r="V301">
        <f t="shared" si="44"/>
        <v>669</v>
      </c>
      <c r="W301" cm="1">
        <f t="array" ref="W301">_xlfn._xlws.FILTER(shifts!A:A,(shifts!B:B=events!D301)*(shifts!AH:AH&gt;=events!U301)*(shifts!AI:AI&lt;=events!V301))</f>
        <v>9</v>
      </c>
      <c r="X301" t="str">
        <f t="shared" si="45"/>
        <v>event_team_player_1</v>
      </c>
      <c r="Y301">
        <f>COUNTIFS(A$3:A301,"="&amp;A301,K$3:K301,"="&amp;K301)</f>
        <v>1</v>
      </c>
      <c r="Z301" s="20">
        <f>SUMIFS(T$3:T301,L$3:L301,"=Intermission")+SUMIFS(T$3:T301,L$3:L301,"=Timeout")+SUMIFS(T$3:T301,L$3:L301,"=Clockstop")</f>
        <v>0</v>
      </c>
      <c r="AA301">
        <f t="shared" si="49"/>
        <v>0</v>
      </c>
      <c r="AB301" s="26">
        <f t="shared" si="50"/>
        <v>411</v>
      </c>
      <c r="AC301">
        <f t="shared" si="51"/>
        <v>0</v>
      </c>
    </row>
    <row r="302" spans="1:29" x14ac:dyDescent="0.2">
      <c r="A302">
        <v>155</v>
      </c>
      <c r="D302">
        <f t="shared" si="52"/>
        <v>1</v>
      </c>
      <c r="E302">
        <v>11</v>
      </c>
      <c r="F302" s="6" t="s">
        <v>424</v>
      </c>
      <c r="I302" t="s">
        <v>178</v>
      </c>
      <c r="J302">
        <v>49</v>
      </c>
      <c r="K302" t="s">
        <v>488</v>
      </c>
      <c r="L302" t="s">
        <v>277</v>
      </c>
      <c r="M302" t="s">
        <v>201</v>
      </c>
      <c r="N302" t="s">
        <v>91</v>
      </c>
      <c r="Q302">
        <f t="shared" si="46"/>
        <v>18977</v>
      </c>
      <c r="R302" t="str">
        <f t="shared" si="47"/>
        <v>Velodrome</v>
      </c>
      <c r="S302" t="str">
        <f t="shared" si="48"/>
        <v>HollowBrook</v>
      </c>
      <c r="T302" s="20">
        <f t="shared" si="42"/>
        <v>0</v>
      </c>
      <c r="U302">
        <f t="shared" si="43"/>
        <v>669</v>
      </c>
      <c r="V302">
        <f t="shared" si="44"/>
        <v>669</v>
      </c>
      <c r="W302" cm="1">
        <f t="array" ref="W302">_xlfn._xlws.FILTER(shifts!A:A,(shifts!B:B=events!D302)*(shifts!AH:AH&gt;=events!U302)*(shifts!AI:AI&lt;=events!V302))</f>
        <v>9</v>
      </c>
      <c r="X302" t="str">
        <f t="shared" si="45"/>
        <v>event_team_player_2</v>
      </c>
      <c r="Y302">
        <f>COUNTIFS(A$3:A302,"="&amp;A302,K$3:K302,"="&amp;K302)</f>
        <v>2</v>
      </c>
      <c r="Z302" s="20">
        <f>SUMIFS(T$3:T302,L$3:L302,"=Intermission")+SUMIFS(T$3:T302,L$3:L302,"=Timeout")+SUMIFS(T$3:T302,L$3:L302,"=Clockstop")</f>
        <v>0</v>
      </c>
      <c r="AA302">
        <f t="shared" si="49"/>
        <v>0</v>
      </c>
      <c r="AB302" s="26">
        <f t="shared" si="50"/>
        <v>411</v>
      </c>
      <c r="AC302">
        <f t="shared" si="51"/>
        <v>0</v>
      </c>
    </row>
    <row r="303" spans="1:29" x14ac:dyDescent="0.2">
      <c r="A303">
        <v>155</v>
      </c>
      <c r="D303">
        <f t="shared" si="52"/>
        <v>1</v>
      </c>
      <c r="E303">
        <v>11</v>
      </c>
      <c r="F303" s="6" t="s">
        <v>424</v>
      </c>
      <c r="I303" t="s">
        <v>178</v>
      </c>
      <c r="J303">
        <v>13</v>
      </c>
      <c r="K303" t="s">
        <v>489</v>
      </c>
      <c r="L303" t="s">
        <v>277</v>
      </c>
      <c r="M303" t="s">
        <v>201</v>
      </c>
      <c r="N303" t="s">
        <v>91</v>
      </c>
      <c r="Q303">
        <f t="shared" si="46"/>
        <v>18977</v>
      </c>
      <c r="R303" t="str">
        <f t="shared" si="47"/>
        <v>Velodrome</v>
      </c>
      <c r="S303" t="str">
        <f t="shared" si="48"/>
        <v>HollowBrook</v>
      </c>
      <c r="T303" s="20">
        <f t="shared" si="42"/>
        <v>0</v>
      </c>
      <c r="U303">
        <f t="shared" si="43"/>
        <v>669</v>
      </c>
      <c r="V303">
        <f t="shared" si="44"/>
        <v>669</v>
      </c>
      <c r="W303" cm="1">
        <f t="array" ref="W303">_xlfn._xlws.FILTER(shifts!A:A,(shifts!B:B=events!D303)*(shifts!AH:AH&gt;=events!U303)*(shifts!AI:AI&lt;=events!V303))</f>
        <v>9</v>
      </c>
      <c r="X303" t="str">
        <f t="shared" si="45"/>
        <v>opp_team_player_1</v>
      </c>
      <c r="Y303">
        <f>COUNTIFS(A$3:A303,"="&amp;A303,K$3:K303,"="&amp;K303)</f>
        <v>1</v>
      </c>
      <c r="Z303" s="20">
        <f>SUMIFS(T$3:T303,L$3:L303,"=Intermission")+SUMIFS(T$3:T303,L$3:L303,"=Timeout")+SUMIFS(T$3:T303,L$3:L303,"=Clockstop")</f>
        <v>0</v>
      </c>
      <c r="AA303">
        <f t="shared" si="49"/>
        <v>0</v>
      </c>
      <c r="AB303" s="26">
        <f t="shared" si="50"/>
        <v>411</v>
      </c>
      <c r="AC303">
        <f t="shared" si="51"/>
        <v>0</v>
      </c>
    </row>
    <row r="304" spans="1:29" x14ac:dyDescent="0.2">
      <c r="A304">
        <v>155</v>
      </c>
      <c r="D304">
        <f t="shared" si="52"/>
        <v>1</v>
      </c>
      <c r="E304">
        <v>11</v>
      </c>
      <c r="F304" s="6" t="s">
        <v>424</v>
      </c>
      <c r="I304" t="s">
        <v>178</v>
      </c>
      <c r="J304">
        <v>33</v>
      </c>
      <c r="K304" t="s">
        <v>489</v>
      </c>
      <c r="L304" t="s">
        <v>277</v>
      </c>
      <c r="M304" t="s">
        <v>201</v>
      </c>
      <c r="N304" t="s">
        <v>91</v>
      </c>
      <c r="Q304">
        <f t="shared" si="46"/>
        <v>18977</v>
      </c>
      <c r="R304" t="str">
        <f t="shared" si="47"/>
        <v>Velodrome</v>
      </c>
      <c r="S304" t="str">
        <f t="shared" si="48"/>
        <v>HollowBrook</v>
      </c>
      <c r="T304" s="20">
        <f t="shared" si="42"/>
        <v>0</v>
      </c>
      <c r="U304">
        <f t="shared" si="43"/>
        <v>669</v>
      </c>
      <c r="V304">
        <f t="shared" si="44"/>
        <v>669</v>
      </c>
      <c r="W304" cm="1">
        <f t="array" ref="W304">_xlfn._xlws.FILTER(shifts!A:A,(shifts!B:B=events!D304)*(shifts!AH:AH&gt;=events!U304)*(shifts!AI:AI&lt;=events!V304))</f>
        <v>9</v>
      </c>
      <c r="X304" t="str">
        <f t="shared" si="45"/>
        <v>opp_team_player_2</v>
      </c>
      <c r="Y304">
        <f>COUNTIFS(A$3:A304,"="&amp;A304,K$3:K304,"="&amp;K304)</f>
        <v>2</v>
      </c>
      <c r="Z304" s="20">
        <f>SUMIFS(T$3:T304,L$3:L304,"=Intermission")+SUMIFS(T$3:T304,L$3:L304,"=Timeout")+SUMIFS(T$3:T304,L$3:L304,"=Clockstop")</f>
        <v>0</v>
      </c>
      <c r="AA304">
        <f t="shared" si="49"/>
        <v>0</v>
      </c>
      <c r="AB304" s="26">
        <f t="shared" si="50"/>
        <v>411</v>
      </c>
      <c r="AC304">
        <f t="shared" si="51"/>
        <v>0</v>
      </c>
    </row>
    <row r="305" spans="1:29" x14ac:dyDescent="0.2">
      <c r="A305">
        <v>156</v>
      </c>
      <c r="D305">
        <f t="shared" si="52"/>
        <v>1</v>
      </c>
      <c r="E305">
        <v>11</v>
      </c>
      <c r="F305" s="6" t="s">
        <v>424</v>
      </c>
      <c r="I305" t="s">
        <v>178</v>
      </c>
      <c r="J305">
        <v>42</v>
      </c>
      <c r="K305" t="s">
        <v>488</v>
      </c>
      <c r="L305" t="s">
        <v>8</v>
      </c>
      <c r="M305" t="s">
        <v>216</v>
      </c>
      <c r="N305" t="s">
        <v>67</v>
      </c>
      <c r="Q305">
        <f t="shared" si="46"/>
        <v>18977</v>
      </c>
      <c r="R305" t="str">
        <f t="shared" si="47"/>
        <v>Velodrome</v>
      </c>
      <c r="S305" t="str">
        <f t="shared" si="48"/>
        <v>HollowBrook</v>
      </c>
      <c r="T305" s="20">
        <f t="shared" si="42"/>
        <v>0</v>
      </c>
      <c r="U305">
        <f t="shared" si="43"/>
        <v>669</v>
      </c>
      <c r="V305">
        <f t="shared" si="44"/>
        <v>669</v>
      </c>
      <c r="W305" cm="1">
        <f t="array" ref="W305">_xlfn._xlws.FILTER(shifts!A:A,(shifts!B:B=events!D305)*(shifts!AH:AH&gt;=events!U305)*(shifts!AI:AI&lt;=events!V305))</f>
        <v>9</v>
      </c>
      <c r="X305" t="str">
        <f t="shared" si="45"/>
        <v>event_team_player_1</v>
      </c>
      <c r="Y305">
        <f>COUNTIFS(A$3:A305,"="&amp;A305,K$3:K305,"="&amp;K305)</f>
        <v>1</v>
      </c>
      <c r="Z305" s="20">
        <f>SUMIFS(T$3:T305,L$3:L305,"=Intermission")+SUMIFS(T$3:T305,L$3:L305,"=Timeout")+SUMIFS(T$3:T305,L$3:L305,"=Clockstop")</f>
        <v>0</v>
      </c>
      <c r="AA305">
        <f t="shared" si="49"/>
        <v>0</v>
      </c>
      <c r="AB305" s="26">
        <f t="shared" si="50"/>
        <v>411</v>
      </c>
      <c r="AC305">
        <f t="shared" si="51"/>
        <v>0</v>
      </c>
    </row>
    <row r="306" spans="1:29" x14ac:dyDescent="0.2">
      <c r="A306">
        <v>156</v>
      </c>
      <c r="D306">
        <f t="shared" si="52"/>
        <v>1</v>
      </c>
      <c r="E306">
        <v>11</v>
      </c>
      <c r="F306" s="6" t="s">
        <v>424</v>
      </c>
      <c r="I306" t="s">
        <v>178</v>
      </c>
      <c r="J306">
        <v>49</v>
      </c>
      <c r="K306" t="s">
        <v>488</v>
      </c>
      <c r="L306" t="s">
        <v>8</v>
      </c>
      <c r="M306" t="s">
        <v>216</v>
      </c>
      <c r="N306" t="s">
        <v>67</v>
      </c>
      <c r="Q306">
        <f t="shared" si="46"/>
        <v>18977</v>
      </c>
      <c r="R306" t="str">
        <f t="shared" si="47"/>
        <v>Velodrome</v>
      </c>
      <c r="S306" t="str">
        <f t="shared" si="48"/>
        <v>HollowBrook</v>
      </c>
      <c r="T306" s="20">
        <f t="shared" si="42"/>
        <v>0</v>
      </c>
      <c r="U306">
        <f t="shared" si="43"/>
        <v>669</v>
      </c>
      <c r="V306">
        <f t="shared" si="44"/>
        <v>669</v>
      </c>
      <c r="W306" cm="1">
        <f t="array" ref="W306">_xlfn._xlws.FILTER(shifts!A:A,(shifts!B:B=events!D306)*(shifts!AH:AH&gt;=events!U306)*(shifts!AI:AI&lt;=events!V306))</f>
        <v>9</v>
      </c>
      <c r="X306" t="str">
        <f t="shared" si="45"/>
        <v>event_team_player_2</v>
      </c>
      <c r="Y306">
        <f>COUNTIFS(A$3:A306,"="&amp;A306,K$3:K306,"="&amp;K306)</f>
        <v>2</v>
      </c>
      <c r="Z306" s="20">
        <f>SUMIFS(T$3:T306,L$3:L306,"=Intermission")+SUMIFS(T$3:T306,L$3:L306,"=Timeout")+SUMIFS(T$3:T306,L$3:L306,"=Clockstop")</f>
        <v>0</v>
      </c>
      <c r="AA306">
        <f t="shared" si="49"/>
        <v>0</v>
      </c>
      <c r="AB306" s="26">
        <f t="shared" si="50"/>
        <v>411</v>
      </c>
      <c r="AC306">
        <f t="shared" si="51"/>
        <v>0</v>
      </c>
    </row>
    <row r="307" spans="1:29" x14ac:dyDescent="0.2">
      <c r="A307">
        <v>156</v>
      </c>
      <c r="D307">
        <f t="shared" si="52"/>
        <v>1</v>
      </c>
      <c r="E307">
        <v>11</v>
      </c>
      <c r="F307" s="6" t="s">
        <v>424</v>
      </c>
      <c r="I307" t="s">
        <v>178</v>
      </c>
      <c r="J307">
        <v>13</v>
      </c>
      <c r="K307" t="s">
        <v>489</v>
      </c>
      <c r="L307" t="s">
        <v>8</v>
      </c>
      <c r="M307" t="s">
        <v>216</v>
      </c>
      <c r="N307" t="s">
        <v>67</v>
      </c>
      <c r="Q307">
        <f t="shared" si="46"/>
        <v>18977</v>
      </c>
      <c r="R307" t="str">
        <f t="shared" si="47"/>
        <v>Velodrome</v>
      </c>
      <c r="S307" t="str">
        <f t="shared" si="48"/>
        <v>HollowBrook</v>
      </c>
      <c r="T307" s="20">
        <f t="shared" si="42"/>
        <v>0</v>
      </c>
      <c r="U307">
        <f t="shared" si="43"/>
        <v>669</v>
      </c>
      <c r="V307">
        <f t="shared" si="44"/>
        <v>669</v>
      </c>
      <c r="W307" cm="1">
        <f t="array" ref="W307">_xlfn._xlws.FILTER(shifts!A:A,(shifts!B:B=events!D307)*(shifts!AH:AH&gt;=events!U307)*(shifts!AI:AI&lt;=events!V307))</f>
        <v>9</v>
      </c>
      <c r="X307" t="str">
        <f t="shared" si="45"/>
        <v>opp_team_player_1</v>
      </c>
      <c r="Y307">
        <f>COUNTIFS(A$3:A307,"="&amp;A307,K$3:K307,"="&amp;K307)</f>
        <v>1</v>
      </c>
      <c r="Z307" s="20">
        <f>SUMIFS(T$3:T307,L$3:L307,"=Intermission")+SUMIFS(T$3:T307,L$3:L307,"=Timeout")+SUMIFS(T$3:T307,L$3:L307,"=Clockstop")</f>
        <v>0</v>
      </c>
      <c r="AA307">
        <f t="shared" si="49"/>
        <v>0</v>
      </c>
      <c r="AB307" s="26">
        <f t="shared" si="50"/>
        <v>411</v>
      </c>
      <c r="AC307">
        <f t="shared" si="51"/>
        <v>0</v>
      </c>
    </row>
    <row r="308" spans="1:29" x14ac:dyDescent="0.2">
      <c r="A308">
        <v>156</v>
      </c>
      <c r="D308">
        <f t="shared" si="52"/>
        <v>1</v>
      </c>
      <c r="E308">
        <v>11</v>
      </c>
      <c r="F308" s="6" t="s">
        <v>424</v>
      </c>
      <c r="I308" t="s">
        <v>178</v>
      </c>
      <c r="J308">
        <v>33</v>
      </c>
      <c r="K308" t="s">
        <v>489</v>
      </c>
      <c r="L308" t="s">
        <v>8</v>
      </c>
      <c r="M308" t="s">
        <v>216</v>
      </c>
      <c r="N308" t="s">
        <v>67</v>
      </c>
      <c r="Q308">
        <f t="shared" si="46"/>
        <v>18977</v>
      </c>
      <c r="R308" t="str">
        <f t="shared" si="47"/>
        <v>Velodrome</v>
      </c>
      <c r="S308" t="str">
        <f t="shared" si="48"/>
        <v>HollowBrook</v>
      </c>
      <c r="T308" s="20">
        <f t="shared" si="42"/>
        <v>0</v>
      </c>
      <c r="U308">
        <f t="shared" si="43"/>
        <v>669</v>
      </c>
      <c r="V308">
        <f t="shared" si="44"/>
        <v>669</v>
      </c>
      <c r="W308" cm="1">
        <f t="array" ref="W308">_xlfn._xlws.FILTER(shifts!A:A,(shifts!B:B=events!D308)*(shifts!AH:AH&gt;=events!U308)*(shifts!AI:AI&lt;=events!V308))</f>
        <v>9</v>
      </c>
      <c r="X308" t="str">
        <f t="shared" si="45"/>
        <v>opp_team_player_2</v>
      </c>
      <c r="Y308">
        <f>COUNTIFS(A$3:A308,"="&amp;A308,K$3:K308,"="&amp;K308)</f>
        <v>2</v>
      </c>
      <c r="Z308" s="20">
        <f>SUMIFS(T$3:T308,L$3:L308,"=Intermission")+SUMIFS(T$3:T308,L$3:L308,"=Timeout")+SUMIFS(T$3:T308,L$3:L308,"=Clockstop")</f>
        <v>0</v>
      </c>
      <c r="AA308">
        <f t="shared" si="49"/>
        <v>0</v>
      </c>
      <c r="AB308" s="26">
        <f t="shared" si="50"/>
        <v>411</v>
      </c>
      <c r="AC308">
        <f t="shared" si="51"/>
        <v>0</v>
      </c>
    </row>
    <row r="309" spans="1:29" x14ac:dyDescent="0.2">
      <c r="A309">
        <v>157</v>
      </c>
      <c r="D309">
        <f t="shared" si="52"/>
        <v>1</v>
      </c>
      <c r="E309">
        <v>11</v>
      </c>
      <c r="F309" s="6" t="s">
        <v>424</v>
      </c>
      <c r="I309" t="s">
        <v>178</v>
      </c>
      <c r="J309">
        <v>42</v>
      </c>
      <c r="K309" t="s">
        <v>488</v>
      </c>
      <c r="L309" t="s">
        <v>10</v>
      </c>
      <c r="M309" t="s">
        <v>190</v>
      </c>
      <c r="N309" t="s">
        <v>75</v>
      </c>
      <c r="Q309">
        <f t="shared" si="46"/>
        <v>18977</v>
      </c>
      <c r="R309" t="str">
        <f t="shared" si="47"/>
        <v>Velodrome</v>
      </c>
      <c r="S309" t="str">
        <f t="shared" si="48"/>
        <v>HollowBrook</v>
      </c>
      <c r="T309" s="20">
        <f t="shared" si="42"/>
        <v>0</v>
      </c>
      <c r="U309">
        <f t="shared" si="43"/>
        <v>669</v>
      </c>
      <c r="V309">
        <f t="shared" si="44"/>
        <v>669</v>
      </c>
      <c r="W309" cm="1">
        <f t="array" ref="W309">_xlfn._xlws.FILTER(shifts!A:A,(shifts!B:B=events!D309)*(shifts!AH:AH&gt;=events!U309)*(shifts!AI:AI&lt;=events!V309))</f>
        <v>9</v>
      </c>
      <c r="X309" t="str">
        <f t="shared" si="45"/>
        <v>event_team_player_1</v>
      </c>
      <c r="Y309">
        <f>COUNTIFS(A$3:A309,"="&amp;A309,K$3:K309,"="&amp;K309)</f>
        <v>1</v>
      </c>
      <c r="Z309" s="20">
        <f>SUMIFS(T$3:T309,L$3:L309,"=Intermission")+SUMIFS(T$3:T309,L$3:L309,"=Timeout")+SUMIFS(T$3:T309,L$3:L309,"=Clockstop")</f>
        <v>0</v>
      </c>
      <c r="AA309">
        <f t="shared" si="49"/>
        <v>0</v>
      </c>
      <c r="AB309" s="26">
        <f t="shared" si="50"/>
        <v>411</v>
      </c>
      <c r="AC309">
        <f t="shared" si="51"/>
        <v>0</v>
      </c>
    </row>
    <row r="310" spans="1:29" x14ac:dyDescent="0.2">
      <c r="A310">
        <v>157</v>
      </c>
      <c r="D310">
        <f t="shared" si="52"/>
        <v>1</v>
      </c>
      <c r="E310">
        <v>11</v>
      </c>
      <c r="F310" s="6" t="s">
        <v>424</v>
      </c>
      <c r="I310" t="s">
        <v>178</v>
      </c>
      <c r="J310">
        <v>49</v>
      </c>
      <c r="K310" t="s">
        <v>488</v>
      </c>
      <c r="L310" t="s">
        <v>10</v>
      </c>
      <c r="M310" t="s">
        <v>190</v>
      </c>
      <c r="N310" t="s">
        <v>75</v>
      </c>
      <c r="Q310">
        <f t="shared" si="46"/>
        <v>18977</v>
      </c>
      <c r="R310" t="str">
        <f t="shared" si="47"/>
        <v>Velodrome</v>
      </c>
      <c r="S310" t="str">
        <f t="shared" si="48"/>
        <v>HollowBrook</v>
      </c>
      <c r="T310" s="20">
        <f t="shared" si="42"/>
        <v>0</v>
      </c>
      <c r="U310">
        <f t="shared" si="43"/>
        <v>669</v>
      </c>
      <c r="V310">
        <f t="shared" si="44"/>
        <v>669</v>
      </c>
      <c r="W310" cm="1">
        <f t="array" ref="W310">_xlfn._xlws.FILTER(shifts!A:A,(shifts!B:B=events!D310)*(shifts!AH:AH&gt;=events!U310)*(shifts!AI:AI&lt;=events!V310))</f>
        <v>9</v>
      </c>
      <c r="X310" t="str">
        <f t="shared" si="45"/>
        <v>event_team_player_2</v>
      </c>
      <c r="Y310">
        <f>COUNTIFS(A$3:A310,"="&amp;A310,K$3:K310,"="&amp;K310)</f>
        <v>2</v>
      </c>
      <c r="Z310" s="20">
        <f>SUMIFS(T$3:T310,L$3:L310,"=Intermission")+SUMIFS(T$3:T310,L$3:L310,"=Timeout")+SUMIFS(T$3:T310,L$3:L310,"=Clockstop")</f>
        <v>0</v>
      </c>
      <c r="AA310">
        <f t="shared" si="49"/>
        <v>0</v>
      </c>
      <c r="AB310" s="26">
        <f t="shared" si="50"/>
        <v>411</v>
      </c>
      <c r="AC310">
        <f t="shared" si="51"/>
        <v>0</v>
      </c>
    </row>
    <row r="311" spans="1:29" x14ac:dyDescent="0.2">
      <c r="A311">
        <v>157</v>
      </c>
      <c r="D311">
        <f t="shared" si="52"/>
        <v>1</v>
      </c>
      <c r="E311">
        <v>11</v>
      </c>
      <c r="F311" s="6" t="s">
        <v>424</v>
      </c>
      <c r="I311" t="s">
        <v>178</v>
      </c>
      <c r="J311">
        <v>33</v>
      </c>
      <c r="K311" t="s">
        <v>489</v>
      </c>
      <c r="L311" t="s">
        <v>10</v>
      </c>
      <c r="M311" t="s">
        <v>190</v>
      </c>
      <c r="N311" t="s">
        <v>75</v>
      </c>
      <c r="Q311">
        <f t="shared" si="46"/>
        <v>18977</v>
      </c>
      <c r="R311" t="str">
        <f t="shared" si="47"/>
        <v>Velodrome</v>
      </c>
      <c r="S311" t="str">
        <f t="shared" si="48"/>
        <v>HollowBrook</v>
      </c>
      <c r="T311" s="20">
        <f t="shared" si="42"/>
        <v>0</v>
      </c>
      <c r="U311">
        <f t="shared" si="43"/>
        <v>669</v>
      </c>
      <c r="V311">
        <f t="shared" si="44"/>
        <v>669</v>
      </c>
      <c r="W311" cm="1">
        <f t="array" ref="W311">_xlfn._xlws.FILTER(shifts!A:A,(shifts!B:B=events!D311)*(shifts!AH:AH&gt;=events!U311)*(shifts!AI:AI&lt;=events!V311))</f>
        <v>9</v>
      </c>
      <c r="X311" t="str">
        <f t="shared" si="45"/>
        <v>opp_team_player_1</v>
      </c>
      <c r="Y311">
        <f>COUNTIFS(A$3:A311,"="&amp;A311,K$3:K311,"="&amp;K311)</f>
        <v>1</v>
      </c>
      <c r="Z311" s="20">
        <f>SUMIFS(T$3:T311,L$3:L311,"=Intermission")+SUMIFS(T$3:T311,L$3:L311,"=Timeout")+SUMIFS(T$3:T311,L$3:L311,"=Clockstop")</f>
        <v>0</v>
      </c>
      <c r="AA311">
        <f t="shared" si="49"/>
        <v>0</v>
      </c>
      <c r="AB311" s="26">
        <f t="shared" si="50"/>
        <v>411</v>
      </c>
      <c r="AC311">
        <f t="shared" si="51"/>
        <v>0</v>
      </c>
    </row>
    <row r="312" spans="1:29" x14ac:dyDescent="0.2">
      <c r="A312">
        <v>158</v>
      </c>
      <c r="D312">
        <f t="shared" si="52"/>
        <v>1</v>
      </c>
      <c r="E312">
        <v>11</v>
      </c>
      <c r="F312" s="6" t="s">
        <v>313</v>
      </c>
      <c r="I312" t="s">
        <v>179</v>
      </c>
      <c r="J312">
        <v>33</v>
      </c>
      <c r="K312" t="s">
        <v>488</v>
      </c>
      <c r="L312" t="s">
        <v>277</v>
      </c>
      <c r="M312" t="s">
        <v>191</v>
      </c>
      <c r="N312" t="s">
        <v>89</v>
      </c>
      <c r="Q312">
        <f t="shared" si="46"/>
        <v>18977</v>
      </c>
      <c r="R312" t="str">
        <f t="shared" si="47"/>
        <v>Velodrome</v>
      </c>
      <c r="S312" t="str">
        <f t="shared" si="48"/>
        <v>HollowBrook</v>
      </c>
      <c r="T312" s="20">
        <f t="shared" si="42"/>
        <v>0</v>
      </c>
      <c r="U312">
        <f t="shared" si="43"/>
        <v>668</v>
      </c>
      <c r="V312">
        <f t="shared" si="44"/>
        <v>668</v>
      </c>
      <c r="W312" cm="1">
        <f t="array" ref="W312">_xlfn._xlws.FILTER(shifts!A:A,(shifts!B:B=events!D312)*(shifts!AH:AH&gt;=events!U312)*(shifts!AI:AI&lt;=events!V312))</f>
        <v>9</v>
      </c>
      <c r="X312" t="str">
        <f t="shared" si="45"/>
        <v>event_team_player_1</v>
      </c>
      <c r="Y312">
        <f>COUNTIFS(A$3:A312,"="&amp;A312,K$3:K312,"="&amp;K312)</f>
        <v>1</v>
      </c>
      <c r="Z312" s="20">
        <f>SUMIFS(T$3:T312,L$3:L312,"=Intermission")+SUMIFS(T$3:T312,L$3:L312,"=Timeout")+SUMIFS(T$3:T312,L$3:L312,"=Clockstop")</f>
        <v>0</v>
      </c>
      <c r="AA312">
        <f t="shared" si="49"/>
        <v>0</v>
      </c>
      <c r="AB312" s="26">
        <f t="shared" si="50"/>
        <v>412</v>
      </c>
      <c r="AC312">
        <f t="shared" si="51"/>
        <v>0</v>
      </c>
    </row>
    <row r="313" spans="1:29" x14ac:dyDescent="0.2">
      <c r="A313">
        <v>159</v>
      </c>
      <c r="D313">
        <f t="shared" si="52"/>
        <v>1</v>
      </c>
      <c r="E313">
        <v>11</v>
      </c>
      <c r="F313" s="6" t="s">
        <v>313</v>
      </c>
      <c r="I313" t="s">
        <v>179</v>
      </c>
      <c r="J313">
        <v>33</v>
      </c>
      <c r="K313" t="s">
        <v>488</v>
      </c>
      <c r="L313" t="s">
        <v>10</v>
      </c>
      <c r="M313" t="s">
        <v>190</v>
      </c>
      <c r="N313" t="s">
        <v>460</v>
      </c>
      <c r="Q313">
        <f t="shared" si="46"/>
        <v>18977</v>
      </c>
      <c r="R313" t="str">
        <f t="shared" si="47"/>
        <v>Velodrome</v>
      </c>
      <c r="S313" t="str">
        <f t="shared" si="48"/>
        <v>HollowBrook</v>
      </c>
      <c r="T313" s="20">
        <f t="shared" si="42"/>
        <v>0</v>
      </c>
      <c r="U313">
        <f t="shared" si="43"/>
        <v>668</v>
      </c>
      <c r="V313">
        <f t="shared" si="44"/>
        <v>668</v>
      </c>
      <c r="W313" cm="1">
        <f t="array" ref="W313">_xlfn._xlws.FILTER(shifts!A:A,(shifts!B:B=events!D313)*(shifts!AH:AH&gt;=events!U313)*(shifts!AI:AI&lt;=events!V313))</f>
        <v>9</v>
      </c>
      <c r="X313" t="str">
        <f t="shared" si="45"/>
        <v>event_team_player_1</v>
      </c>
      <c r="Y313">
        <f>COUNTIFS(A$3:A313,"="&amp;A313,K$3:K313,"="&amp;K313)</f>
        <v>1</v>
      </c>
      <c r="Z313" s="20">
        <f>SUMIFS(T$3:T313,L$3:L313,"=Intermission")+SUMIFS(T$3:T313,L$3:L313,"=Timeout")+SUMIFS(T$3:T313,L$3:L313,"=Clockstop")</f>
        <v>0</v>
      </c>
      <c r="AA313">
        <f t="shared" si="49"/>
        <v>0</v>
      </c>
      <c r="AB313" s="26">
        <f t="shared" si="50"/>
        <v>412</v>
      </c>
      <c r="AC313">
        <f t="shared" si="51"/>
        <v>0</v>
      </c>
    </row>
    <row r="314" spans="1:29" x14ac:dyDescent="0.2">
      <c r="A314">
        <v>160</v>
      </c>
      <c r="D314">
        <f t="shared" si="52"/>
        <v>1</v>
      </c>
      <c r="E314">
        <v>11</v>
      </c>
      <c r="F314" s="6" t="s">
        <v>315</v>
      </c>
      <c r="G314">
        <v>11</v>
      </c>
      <c r="H314" s="8" t="s">
        <v>311</v>
      </c>
      <c r="I314" t="s">
        <v>178</v>
      </c>
      <c r="J314">
        <v>39</v>
      </c>
      <c r="K314" t="s">
        <v>488</v>
      </c>
      <c r="L314" t="s">
        <v>15</v>
      </c>
      <c r="Q314">
        <f t="shared" si="46"/>
        <v>18977</v>
      </c>
      <c r="R314" t="str">
        <f t="shared" si="47"/>
        <v>Velodrome</v>
      </c>
      <c r="S314" t="str">
        <f t="shared" si="48"/>
        <v>HollowBrook</v>
      </c>
      <c r="T314" s="20">
        <f t="shared" si="42"/>
        <v>2</v>
      </c>
      <c r="U314">
        <f t="shared" si="43"/>
        <v>665</v>
      </c>
      <c r="V314">
        <f t="shared" si="44"/>
        <v>663</v>
      </c>
      <c r="W314" cm="1">
        <f t="array" ref="W314">_xlfn._xlws.FILTER(shifts!A:A,(shifts!B:B=events!D314)*(shifts!AH:AH&gt;=events!U314)*(shifts!AI:AI&lt;=events!V314))</f>
        <v>9</v>
      </c>
      <c r="X314" t="str">
        <f t="shared" si="45"/>
        <v>event_team_player_1</v>
      </c>
      <c r="Y314">
        <f>COUNTIFS(A$3:A314,"="&amp;A314,K$3:K314,"="&amp;K314)</f>
        <v>1</v>
      </c>
      <c r="Z314" s="20">
        <f>SUMIFS(T$3:T314,L$3:L314,"=Intermission")+SUMIFS(T$3:T314,L$3:L314,"=Timeout")+SUMIFS(T$3:T314,L$3:L314,"=Clockstop")</f>
        <v>0</v>
      </c>
      <c r="AA314">
        <f t="shared" si="49"/>
        <v>0</v>
      </c>
      <c r="AB314" s="26">
        <f t="shared" si="50"/>
        <v>415</v>
      </c>
      <c r="AC314">
        <f t="shared" si="51"/>
        <v>0</v>
      </c>
    </row>
    <row r="315" spans="1:29" x14ac:dyDescent="0.2">
      <c r="A315">
        <v>161</v>
      </c>
      <c r="D315">
        <f t="shared" si="52"/>
        <v>1</v>
      </c>
      <c r="E315">
        <v>11</v>
      </c>
      <c r="F315" s="6" t="s">
        <v>316</v>
      </c>
      <c r="G315">
        <v>11</v>
      </c>
      <c r="H315" s="8" t="s">
        <v>426</v>
      </c>
      <c r="I315" t="s">
        <v>178</v>
      </c>
      <c r="J315">
        <v>84</v>
      </c>
      <c r="K315" t="s">
        <v>488</v>
      </c>
      <c r="L315" t="s">
        <v>15</v>
      </c>
      <c r="Q315">
        <f t="shared" si="46"/>
        <v>18977</v>
      </c>
      <c r="R315" t="str">
        <f t="shared" si="47"/>
        <v>Velodrome</v>
      </c>
      <c r="S315" t="str">
        <f t="shared" si="48"/>
        <v>HollowBrook</v>
      </c>
      <c r="T315" s="20">
        <f t="shared" si="42"/>
        <v>2</v>
      </c>
      <c r="U315">
        <f t="shared" si="43"/>
        <v>662</v>
      </c>
      <c r="V315">
        <f t="shared" si="44"/>
        <v>660</v>
      </c>
      <c r="W315" cm="1">
        <f t="array" ref="W315">_xlfn._xlws.FILTER(shifts!A:A,(shifts!B:B=events!D315)*(shifts!AH:AH&gt;=events!U315)*(shifts!AI:AI&lt;=events!V315))</f>
        <v>9</v>
      </c>
      <c r="X315" t="str">
        <f t="shared" si="45"/>
        <v>event_team_player_1</v>
      </c>
      <c r="Y315">
        <f>COUNTIFS(A$3:A315,"="&amp;A315,K$3:K315,"="&amp;K315)</f>
        <v>1</v>
      </c>
      <c r="Z315" s="20">
        <f>SUMIFS(T$3:T315,L$3:L315,"=Intermission")+SUMIFS(T$3:T315,L$3:L315,"=Timeout")+SUMIFS(T$3:T315,L$3:L315,"=Clockstop")</f>
        <v>0</v>
      </c>
      <c r="AA315">
        <f t="shared" si="49"/>
        <v>0</v>
      </c>
      <c r="AB315" s="26">
        <f t="shared" si="50"/>
        <v>418</v>
      </c>
      <c r="AC315">
        <f t="shared" si="51"/>
        <v>0</v>
      </c>
    </row>
    <row r="316" spans="1:29" x14ac:dyDescent="0.2">
      <c r="A316">
        <v>162</v>
      </c>
      <c r="D316">
        <f t="shared" si="52"/>
        <v>1</v>
      </c>
      <c r="E316">
        <v>11</v>
      </c>
      <c r="F316" s="6" t="s">
        <v>426</v>
      </c>
      <c r="I316" t="s">
        <v>178</v>
      </c>
      <c r="J316">
        <v>84</v>
      </c>
      <c r="K316" t="s">
        <v>488</v>
      </c>
      <c r="L316" t="s">
        <v>8</v>
      </c>
      <c r="M316" t="s">
        <v>189</v>
      </c>
      <c r="N316" t="s">
        <v>70</v>
      </c>
      <c r="Q316">
        <f t="shared" si="46"/>
        <v>18977</v>
      </c>
      <c r="R316" t="str">
        <f t="shared" si="47"/>
        <v>Velodrome</v>
      </c>
      <c r="S316" t="str">
        <f t="shared" si="48"/>
        <v>HollowBrook</v>
      </c>
      <c r="T316" s="20">
        <f t="shared" si="42"/>
        <v>0</v>
      </c>
      <c r="U316">
        <f t="shared" si="43"/>
        <v>660</v>
      </c>
      <c r="V316">
        <f t="shared" si="44"/>
        <v>660</v>
      </c>
      <c r="W316" cm="1">
        <f t="array" ref="W316">_xlfn._xlws.FILTER(shifts!A:A,(shifts!B:B=events!D316)*(shifts!AH:AH&gt;=events!U316)*(shifts!AI:AI&lt;=events!V316))</f>
        <v>9</v>
      </c>
      <c r="X316" t="str">
        <f t="shared" si="45"/>
        <v>event_team_player_1</v>
      </c>
      <c r="Y316">
        <f>COUNTIFS(A$3:A316,"="&amp;A316,K$3:K316,"="&amp;K316)</f>
        <v>1</v>
      </c>
      <c r="Z316" s="20">
        <f>SUMIFS(T$3:T316,L$3:L316,"=Intermission")+SUMIFS(T$3:T316,L$3:L316,"=Timeout")+SUMIFS(T$3:T316,L$3:L316,"=Clockstop")</f>
        <v>0</v>
      </c>
      <c r="AA316">
        <f t="shared" si="49"/>
        <v>0</v>
      </c>
      <c r="AB316" s="26">
        <f t="shared" si="50"/>
        <v>420</v>
      </c>
      <c r="AC316">
        <f t="shared" si="51"/>
        <v>0</v>
      </c>
    </row>
    <row r="317" spans="1:29" x14ac:dyDescent="0.2">
      <c r="A317">
        <v>162</v>
      </c>
      <c r="D317">
        <f t="shared" si="52"/>
        <v>1</v>
      </c>
      <c r="E317">
        <v>11</v>
      </c>
      <c r="F317" s="6" t="s">
        <v>426</v>
      </c>
      <c r="I317" t="s">
        <v>178</v>
      </c>
      <c r="J317">
        <v>87</v>
      </c>
      <c r="K317" t="s">
        <v>488</v>
      </c>
      <c r="L317" t="s">
        <v>8</v>
      </c>
      <c r="M317" t="s">
        <v>189</v>
      </c>
      <c r="N317" t="s">
        <v>70</v>
      </c>
      <c r="Q317">
        <f t="shared" si="46"/>
        <v>18977</v>
      </c>
      <c r="R317" t="str">
        <f t="shared" si="47"/>
        <v>Velodrome</v>
      </c>
      <c r="S317" t="str">
        <f t="shared" si="48"/>
        <v>HollowBrook</v>
      </c>
      <c r="T317" s="20">
        <f t="shared" si="42"/>
        <v>0</v>
      </c>
      <c r="U317">
        <f t="shared" si="43"/>
        <v>660</v>
      </c>
      <c r="V317">
        <f t="shared" si="44"/>
        <v>660</v>
      </c>
      <c r="W317" cm="1">
        <f t="array" ref="W317">_xlfn._xlws.FILTER(shifts!A:A,(shifts!B:B=events!D317)*(shifts!AH:AH&gt;=events!U317)*(shifts!AI:AI&lt;=events!V317))</f>
        <v>9</v>
      </c>
      <c r="X317" t="str">
        <f t="shared" si="45"/>
        <v>event_team_player_2</v>
      </c>
      <c r="Y317">
        <f>COUNTIFS(A$3:A317,"="&amp;A317,K$3:K317,"="&amp;K317)</f>
        <v>2</v>
      </c>
      <c r="Z317" s="20">
        <f>SUMIFS(T$3:T317,L$3:L317,"=Intermission")+SUMIFS(T$3:T317,L$3:L317,"=Timeout")+SUMIFS(T$3:T317,L$3:L317,"=Clockstop")</f>
        <v>0</v>
      </c>
      <c r="AA317">
        <f t="shared" si="49"/>
        <v>0</v>
      </c>
      <c r="AB317" s="26">
        <f t="shared" si="50"/>
        <v>420</v>
      </c>
      <c r="AC317">
        <f t="shared" si="51"/>
        <v>0</v>
      </c>
    </row>
    <row r="318" spans="1:29" x14ac:dyDescent="0.2">
      <c r="A318">
        <v>163</v>
      </c>
      <c r="D318">
        <f t="shared" si="52"/>
        <v>1</v>
      </c>
      <c r="E318">
        <v>10</v>
      </c>
      <c r="F318" s="6" t="s">
        <v>487</v>
      </c>
      <c r="G318">
        <v>10</v>
      </c>
      <c r="H318" s="8" t="s">
        <v>433</v>
      </c>
      <c r="I318" t="s">
        <v>178</v>
      </c>
      <c r="J318">
        <v>87</v>
      </c>
      <c r="K318" t="s">
        <v>488</v>
      </c>
      <c r="L318" t="s">
        <v>15</v>
      </c>
      <c r="Q318">
        <f t="shared" si="46"/>
        <v>18977</v>
      </c>
      <c r="R318" t="str">
        <f t="shared" si="47"/>
        <v>Velodrome</v>
      </c>
      <c r="S318" t="str">
        <f t="shared" si="48"/>
        <v>HollowBrook</v>
      </c>
      <c r="T318" s="20">
        <f t="shared" si="42"/>
        <v>2</v>
      </c>
      <c r="U318">
        <f t="shared" si="43"/>
        <v>659</v>
      </c>
      <c r="V318">
        <f t="shared" si="44"/>
        <v>657</v>
      </c>
      <c r="W318" cm="1">
        <f t="array" ref="W318">_xlfn._xlws.FILTER(shifts!A:A,(shifts!B:B=events!D318)*(shifts!AH:AH&gt;=events!U318)*(shifts!AI:AI&lt;=events!V318))</f>
        <v>9</v>
      </c>
      <c r="X318" t="str">
        <f t="shared" si="45"/>
        <v>event_team_player_1</v>
      </c>
      <c r="Y318">
        <f>COUNTIFS(A$3:A318,"="&amp;A318,K$3:K318,"="&amp;K318)</f>
        <v>1</v>
      </c>
      <c r="Z318" s="20">
        <f>SUMIFS(T$3:T318,L$3:L318,"=Intermission")+SUMIFS(T$3:T318,L$3:L318,"=Timeout")+SUMIFS(T$3:T318,L$3:L318,"=Clockstop")</f>
        <v>0</v>
      </c>
      <c r="AA318">
        <f t="shared" si="49"/>
        <v>0</v>
      </c>
      <c r="AB318" s="26">
        <f t="shared" si="50"/>
        <v>421</v>
      </c>
      <c r="AC318">
        <f t="shared" si="51"/>
        <v>0</v>
      </c>
    </row>
    <row r="319" spans="1:29" x14ac:dyDescent="0.2">
      <c r="A319">
        <v>164</v>
      </c>
      <c r="D319">
        <f t="shared" si="52"/>
        <v>1</v>
      </c>
      <c r="E319">
        <v>10</v>
      </c>
      <c r="F319" s="6" t="s">
        <v>433</v>
      </c>
      <c r="I319" t="s">
        <v>178</v>
      </c>
      <c r="J319">
        <v>87</v>
      </c>
      <c r="K319" t="s">
        <v>488</v>
      </c>
      <c r="L319" t="s">
        <v>8</v>
      </c>
      <c r="M319" t="s">
        <v>216</v>
      </c>
      <c r="N319" t="s">
        <v>67</v>
      </c>
      <c r="Q319">
        <f t="shared" si="46"/>
        <v>18977</v>
      </c>
      <c r="R319" t="str">
        <f t="shared" si="47"/>
        <v>Velodrome</v>
      </c>
      <c r="S319" t="str">
        <f t="shared" si="48"/>
        <v>HollowBrook</v>
      </c>
      <c r="T319" s="20">
        <f t="shared" si="42"/>
        <v>0</v>
      </c>
      <c r="U319">
        <f t="shared" si="43"/>
        <v>657</v>
      </c>
      <c r="V319">
        <f t="shared" si="44"/>
        <v>657</v>
      </c>
      <c r="W319" cm="1">
        <f t="array" ref="W319">_xlfn._xlws.FILTER(shifts!A:A,(shifts!B:B=events!D319)*(shifts!AH:AH&gt;=events!U319)*(shifts!AI:AI&lt;=events!V319))</f>
        <v>9</v>
      </c>
      <c r="X319" t="str">
        <f t="shared" si="45"/>
        <v>event_team_player_1</v>
      </c>
      <c r="Y319">
        <f>COUNTIFS(A$3:A319,"="&amp;A319,K$3:K319,"="&amp;K319)</f>
        <v>1</v>
      </c>
      <c r="Z319" s="20">
        <f>SUMIFS(T$3:T319,L$3:L319,"=Intermission")+SUMIFS(T$3:T319,L$3:L319,"=Timeout")+SUMIFS(T$3:T319,L$3:L319,"=Clockstop")</f>
        <v>0</v>
      </c>
      <c r="AA319">
        <f t="shared" si="49"/>
        <v>0</v>
      </c>
      <c r="AB319" s="26">
        <f t="shared" si="50"/>
        <v>423</v>
      </c>
      <c r="AC319">
        <f t="shared" si="51"/>
        <v>0</v>
      </c>
    </row>
    <row r="320" spans="1:29" x14ac:dyDescent="0.2">
      <c r="A320">
        <v>164</v>
      </c>
      <c r="D320">
        <f t="shared" si="52"/>
        <v>1</v>
      </c>
      <c r="E320">
        <v>10</v>
      </c>
      <c r="F320" s="6" t="s">
        <v>433</v>
      </c>
      <c r="I320" t="s">
        <v>178</v>
      </c>
      <c r="J320">
        <v>49</v>
      </c>
      <c r="K320" t="s">
        <v>488</v>
      </c>
      <c r="L320" t="s">
        <v>8</v>
      </c>
      <c r="M320" t="s">
        <v>216</v>
      </c>
      <c r="N320" t="s">
        <v>67</v>
      </c>
      <c r="Q320">
        <f t="shared" si="46"/>
        <v>18977</v>
      </c>
      <c r="R320" t="str">
        <f t="shared" si="47"/>
        <v>Velodrome</v>
      </c>
      <c r="S320" t="str">
        <f t="shared" si="48"/>
        <v>HollowBrook</v>
      </c>
      <c r="T320" s="20">
        <f t="shared" si="42"/>
        <v>0</v>
      </c>
      <c r="U320">
        <f t="shared" si="43"/>
        <v>657</v>
      </c>
      <c r="V320">
        <f t="shared" si="44"/>
        <v>657</v>
      </c>
      <c r="W320" cm="1">
        <f t="array" ref="W320">_xlfn._xlws.FILTER(shifts!A:A,(shifts!B:B=events!D320)*(shifts!AH:AH&gt;=events!U320)*(shifts!AI:AI&lt;=events!V320))</f>
        <v>9</v>
      </c>
      <c r="X320" t="str">
        <f t="shared" si="45"/>
        <v>event_team_player_2</v>
      </c>
      <c r="Y320">
        <f>COUNTIFS(A$3:A320,"="&amp;A320,K$3:K320,"="&amp;K320)</f>
        <v>2</v>
      </c>
      <c r="Z320" s="20">
        <f>SUMIFS(T$3:T320,L$3:L320,"=Intermission")+SUMIFS(T$3:T320,L$3:L320,"=Timeout")+SUMIFS(T$3:T320,L$3:L320,"=Clockstop")</f>
        <v>0</v>
      </c>
      <c r="AA320">
        <f t="shared" si="49"/>
        <v>0</v>
      </c>
      <c r="AB320" s="26">
        <f t="shared" si="50"/>
        <v>423</v>
      </c>
      <c r="AC320">
        <f t="shared" si="51"/>
        <v>0</v>
      </c>
    </row>
    <row r="321" spans="1:29" x14ac:dyDescent="0.2">
      <c r="A321">
        <v>164</v>
      </c>
      <c r="D321">
        <f t="shared" si="52"/>
        <v>1</v>
      </c>
      <c r="E321">
        <v>10</v>
      </c>
      <c r="F321" s="6" t="s">
        <v>433</v>
      </c>
      <c r="I321" t="s">
        <v>178</v>
      </c>
      <c r="J321">
        <v>33</v>
      </c>
      <c r="K321" t="s">
        <v>489</v>
      </c>
      <c r="L321" t="s">
        <v>8</v>
      </c>
      <c r="M321" t="s">
        <v>216</v>
      </c>
      <c r="N321" t="s">
        <v>67</v>
      </c>
      <c r="Q321">
        <f t="shared" si="46"/>
        <v>18977</v>
      </c>
      <c r="R321" t="str">
        <f t="shared" si="47"/>
        <v>Velodrome</v>
      </c>
      <c r="S321" t="str">
        <f t="shared" si="48"/>
        <v>HollowBrook</v>
      </c>
      <c r="T321" s="20">
        <f t="shared" si="42"/>
        <v>0</v>
      </c>
      <c r="U321">
        <f t="shared" si="43"/>
        <v>657</v>
      </c>
      <c r="V321">
        <f t="shared" si="44"/>
        <v>657</v>
      </c>
      <c r="W321" cm="1">
        <f t="array" ref="W321">_xlfn._xlws.FILTER(shifts!A:A,(shifts!B:B=events!D321)*(shifts!AH:AH&gt;=events!U321)*(shifts!AI:AI&lt;=events!V321))</f>
        <v>9</v>
      </c>
      <c r="X321" t="str">
        <f t="shared" si="45"/>
        <v>opp_team_player_1</v>
      </c>
      <c r="Y321">
        <f>COUNTIFS(A$3:A321,"="&amp;A321,K$3:K321,"="&amp;K321)</f>
        <v>1</v>
      </c>
      <c r="Z321" s="20">
        <f>SUMIFS(T$3:T321,L$3:L321,"=Intermission")+SUMIFS(T$3:T321,L$3:L321,"=Timeout")+SUMIFS(T$3:T321,L$3:L321,"=Clockstop")</f>
        <v>0</v>
      </c>
      <c r="AA321">
        <f t="shared" si="49"/>
        <v>0</v>
      </c>
      <c r="AB321" s="26">
        <f t="shared" si="50"/>
        <v>423</v>
      </c>
      <c r="AC321">
        <f t="shared" si="51"/>
        <v>0</v>
      </c>
    </row>
    <row r="322" spans="1:29" x14ac:dyDescent="0.2">
      <c r="A322">
        <v>165</v>
      </c>
      <c r="D322">
        <f t="shared" si="52"/>
        <v>1</v>
      </c>
      <c r="E322">
        <v>10</v>
      </c>
      <c r="F322" s="6" t="s">
        <v>433</v>
      </c>
      <c r="I322" t="s">
        <v>178</v>
      </c>
      <c r="J322">
        <v>87</v>
      </c>
      <c r="K322" t="s">
        <v>488</v>
      </c>
      <c r="L322" t="s">
        <v>10</v>
      </c>
      <c r="M322" t="s">
        <v>190</v>
      </c>
      <c r="N322" t="s">
        <v>479</v>
      </c>
      <c r="Q322">
        <f t="shared" si="46"/>
        <v>18977</v>
      </c>
      <c r="R322" t="str">
        <f t="shared" si="47"/>
        <v>Velodrome</v>
      </c>
      <c r="S322" t="str">
        <f t="shared" si="48"/>
        <v>HollowBrook</v>
      </c>
      <c r="T322" s="20">
        <f t="shared" si="42"/>
        <v>0</v>
      </c>
      <c r="U322">
        <f t="shared" si="43"/>
        <v>657</v>
      </c>
      <c r="V322">
        <f t="shared" si="44"/>
        <v>657</v>
      </c>
      <c r="W322" cm="1">
        <f t="array" ref="W322">_xlfn._xlws.FILTER(shifts!A:A,(shifts!B:B=events!D322)*(shifts!AH:AH&gt;=events!U322)*(shifts!AI:AI&lt;=events!V322))</f>
        <v>9</v>
      </c>
      <c r="X322" t="str">
        <f t="shared" si="45"/>
        <v>event_team_player_1</v>
      </c>
      <c r="Y322">
        <f>COUNTIFS(A$3:A322,"="&amp;A322,K$3:K322,"="&amp;K322)</f>
        <v>1</v>
      </c>
      <c r="Z322" s="20">
        <f>SUMIFS(T$3:T322,L$3:L322,"=Intermission")+SUMIFS(T$3:T322,L$3:L322,"=Timeout")+SUMIFS(T$3:T322,L$3:L322,"=Clockstop")</f>
        <v>0</v>
      </c>
      <c r="AA322">
        <f t="shared" si="49"/>
        <v>0</v>
      </c>
      <c r="AB322" s="26">
        <f t="shared" si="50"/>
        <v>423</v>
      </c>
      <c r="AC322">
        <f t="shared" si="51"/>
        <v>0</v>
      </c>
    </row>
    <row r="323" spans="1:29" x14ac:dyDescent="0.2">
      <c r="A323">
        <v>165</v>
      </c>
      <c r="D323">
        <f t="shared" si="52"/>
        <v>1</v>
      </c>
      <c r="E323">
        <v>10</v>
      </c>
      <c r="F323" s="6" t="s">
        <v>433</v>
      </c>
      <c r="I323" t="s">
        <v>178</v>
      </c>
      <c r="J323">
        <v>49</v>
      </c>
      <c r="K323" t="s">
        <v>488</v>
      </c>
      <c r="L323" t="s">
        <v>10</v>
      </c>
      <c r="M323" t="s">
        <v>190</v>
      </c>
      <c r="N323" t="s">
        <v>479</v>
      </c>
      <c r="Q323">
        <f t="shared" si="46"/>
        <v>18977</v>
      </c>
      <c r="R323" t="str">
        <f t="shared" si="47"/>
        <v>Velodrome</v>
      </c>
      <c r="S323" t="str">
        <f t="shared" si="48"/>
        <v>HollowBrook</v>
      </c>
      <c r="T323" s="20">
        <f t="shared" ref="T323:T386" si="53">IF(AND(G323="",H323=""),0,((E323*60)+F323)-((G323*60)+H323))</f>
        <v>0</v>
      </c>
      <c r="U323">
        <f t="shared" ref="U323:U386" si="54">(E323*60)+F323</f>
        <v>657</v>
      </c>
      <c r="V323">
        <f t="shared" ref="V323:V386" si="55">IF(AND(G323="",H323=""),U323,((G323*60)+H323))</f>
        <v>657</v>
      </c>
      <c r="W323" cm="1">
        <f t="array" ref="W323">_xlfn._xlws.FILTER(shifts!A:A,(shifts!B:B=events!D323)*(shifts!AH:AH&gt;=events!U323)*(shifts!AI:AI&lt;=events!V323))</f>
        <v>9</v>
      </c>
      <c r="X323" t="str">
        <f t="shared" ref="X323:X386" si="56">IF(K323="e","event_team_player_"&amp;Y323,IF(K323="o","opp_team_player_"&amp;Y323,""))</f>
        <v>event_team_player_2</v>
      </c>
      <c r="Y323">
        <f>COUNTIFS(A$3:A323,"="&amp;A323,K$3:K323,"="&amp;K323)</f>
        <v>2</v>
      </c>
      <c r="Z323" s="20">
        <f>SUMIFS(T$3:T323,L$3:L323,"=Intermission")+SUMIFS(T$3:T323,L$3:L323,"=Timeout")+SUMIFS(T$3:T323,L$3:L323,"=Clockstop")</f>
        <v>0</v>
      </c>
      <c r="AA323">
        <f t="shared" si="49"/>
        <v>0</v>
      </c>
      <c r="AB323" s="26">
        <f t="shared" si="50"/>
        <v>423</v>
      </c>
      <c r="AC323">
        <f t="shared" si="51"/>
        <v>0</v>
      </c>
    </row>
    <row r="324" spans="1:29" x14ac:dyDescent="0.2">
      <c r="A324">
        <v>165</v>
      </c>
      <c r="D324">
        <f t="shared" si="52"/>
        <v>1</v>
      </c>
      <c r="E324">
        <v>10</v>
      </c>
      <c r="F324" s="6" t="s">
        <v>433</v>
      </c>
      <c r="I324" t="s">
        <v>178</v>
      </c>
      <c r="J324">
        <v>33</v>
      </c>
      <c r="K324" t="s">
        <v>489</v>
      </c>
      <c r="L324" t="s">
        <v>10</v>
      </c>
      <c r="M324" t="s">
        <v>190</v>
      </c>
      <c r="N324" t="s">
        <v>479</v>
      </c>
      <c r="Q324">
        <f t="shared" ref="Q324:Q387" si="57">Q323</f>
        <v>18977</v>
      </c>
      <c r="R324" t="str">
        <f t="shared" ref="R324:R387" si="58">R323</f>
        <v>Velodrome</v>
      </c>
      <c r="S324" t="str">
        <f t="shared" ref="S324:S387" si="59">S323</f>
        <v>HollowBrook</v>
      </c>
      <c r="T324" s="20">
        <f t="shared" si="53"/>
        <v>0</v>
      </c>
      <c r="U324">
        <f t="shared" si="54"/>
        <v>657</v>
      </c>
      <c r="V324">
        <f t="shared" si="55"/>
        <v>657</v>
      </c>
      <c r="W324" cm="1">
        <f t="array" ref="W324">_xlfn._xlws.FILTER(shifts!A:A,(shifts!B:B=events!D324)*(shifts!AH:AH&gt;=events!U324)*(shifts!AI:AI&lt;=events!V324))</f>
        <v>9</v>
      </c>
      <c r="X324" t="str">
        <f t="shared" si="56"/>
        <v>opp_team_player_1</v>
      </c>
      <c r="Y324">
        <f>COUNTIFS(A$3:A324,"="&amp;A324,K$3:K324,"="&amp;K324)</f>
        <v>1</v>
      </c>
      <c r="Z324" s="20">
        <f>SUMIFS(T$3:T324,L$3:L324,"=Intermission")+SUMIFS(T$3:T324,L$3:L324,"=Timeout")+SUMIFS(T$3:T324,L$3:L324,"=Clockstop")</f>
        <v>0</v>
      </c>
      <c r="AA324">
        <f t="shared" ref="AA324:AA387" si="60">IF(D324=1,0,IF(D324=2,1080+Z324,IF(D324=3,(1080*2)+Z324,0)))</f>
        <v>0</v>
      </c>
      <c r="AB324" s="26">
        <f t="shared" ref="AB324:AB387" si="61">((1080*D324)-((E324*60)+F324)*D324)+Z324</f>
        <v>423</v>
      </c>
      <c r="AC324">
        <f t="shared" ref="AC324:AC387" si="62">IF(L323="GameStart",0,AA324+Z324)</f>
        <v>0</v>
      </c>
    </row>
    <row r="325" spans="1:29" x14ac:dyDescent="0.2">
      <c r="A325">
        <v>166</v>
      </c>
      <c r="D325">
        <f t="shared" ref="D325:D388" si="63">IF(L325="Intermission",D324+1,D324)</f>
        <v>1</v>
      </c>
      <c r="E325">
        <v>10</v>
      </c>
      <c r="F325" s="6" t="s">
        <v>433</v>
      </c>
      <c r="I325" t="s">
        <v>179</v>
      </c>
      <c r="J325">
        <v>33</v>
      </c>
      <c r="K325" t="s">
        <v>488</v>
      </c>
      <c r="L325" t="s">
        <v>277</v>
      </c>
      <c r="M325" t="s">
        <v>210</v>
      </c>
      <c r="N325" t="s">
        <v>93</v>
      </c>
      <c r="Q325">
        <f t="shared" si="57"/>
        <v>18977</v>
      </c>
      <c r="R325" t="str">
        <f t="shared" si="58"/>
        <v>Velodrome</v>
      </c>
      <c r="S325" t="str">
        <f t="shared" si="59"/>
        <v>HollowBrook</v>
      </c>
      <c r="T325" s="20">
        <f t="shared" si="53"/>
        <v>0</v>
      </c>
      <c r="U325">
        <f t="shared" si="54"/>
        <v>657</v>
      </c>
      <c r="V325">
        <f t="shared" si="55"/>
        <v>657</v>
      </c>
      <c r="W325" cm="1">
        <f t="array" ref="W325">_xlfn._xlws.FILTER(shifts!A:A,(shifts!B:B=events!D325)*(shifts!AH:AH&gt;=events!U325)*(shifts!AI:AI&lt;=events!V325))</f>
        <v>9</v>
      </c>
      <c r="X325" t="str">
        <f t="shared" si="56"/>
        <v>event_team_player_1</v>
      </c>
      <c r="Y325">
        <f>COUNTIFS(A$3:A325,"="&amp;A325,K$3:K325,"="&amp;K325)</f>
        <v>1</v>
      </c>
      <c r="Z325" s="20">
        <f>SUMIFS(T$3:T325,L$3:L325,"=Intermission")+SUMIFS(T$3:T325,L$3:L325,"=Timeout")+SUMIFS(T$3:T325,L$3:L325,"=Clockstop")</f>
        <v>0</v>
      </c>
      <c r="AA325">
        <f t="shared" si="60"/>
        <v>0</v>
      </c>
      <c r="AB325" s="26">
        <f t="shared" si="61"/>
        <v>423</v>
      </c>
      <c r="AC325">
        <f t="shared" si="62"/>
        <v>0</v>
      </c>
    </row>
    <row r="326" spans="1:29" x14ac:dyDescent="0.2">
      <c r="A326">
        <v>167</v>
      </c>
      <c r="D326">
        <f t="shared" si="63"/>
        <v>1</v>
      </c>
      <c r="E326">
        <v>10</v>
      </c>
      <c r="F326" s="6" t="s">
        <v>429</v>
      </c>
      <c r="I326" t="s">
        <v>179</v>
      </c>
      <c r="J326">
        <v>33</v>
      </c>
      <c r="K326" t="s">
        <v>488</v>
      </c>
      <c r="L326" t="s">
        <v>7</v>
      </c>
      <c r="M326" t="s">
        <v>208</v>
      </c>
      <c r="N326" t="s">
        <v>53</v>
      </c>
      <c r="Q326">
        <f t="shared" si="57"/>
        <v>18977</v>
      </c>
      <c r="R326" t="str">
        <f t="shared" si="58"/>
        <v>Velodrome</v>
      </c>
      <c r="S326" t="str">
        <f t="shared" si="59"/>
        <v>HollowBrook</v>
      </c>
      <c r="T326" s="20">
        <f t="shared" si="53"/>
        <v>0</v>
      </c>
      <c r="U326">
        <f t="shared" si="54"/>
        <v>655</v>
      </c>
      <c r="V326">
        <f t="shared" si="55"/>
        <v>655</v>
      </c>
      <c r="W326" cm="1">
        <f t="array" ref="W326">_xlfn._xlws.FILTER(shifts!A:A,(shifts!B:B=events!D326)*(shifts!AH:AH&gt;=events!U326)*(shifts!AI:AI&lt;=events!V326))</f>
        <v>9</v>
      </c>
      <c r="X326" t="str">
        <f t="shared" si="56"/>
        <v>event_team_player_1</v>
      </c>
      <c r="Y326">
        <f>COUNTIFS(A$3:A326,"="&amp;A326,K$3:K326,"="&amp;K326)</f>
        <v>1</v>
      </c>
      <c r="Z326" s="20">
        <f>SUMIFS(T$3:T326,L$3:L326,"=Intermission")+SUMIFS(T$3:T326,L$3:L326,"=Timeout")+SUMIFS(T$3:T326,L$3:L326,"=Clockstop")</f>
        <v>0</v>
      </c>
      <c r="AA326">
        <f t="shared" si="60"/>
        <v>0</v>
      </c>
      <c r="AB326" s="26">
        <f t="shared" si="61"/>
        <v>425</v>
      </c>
      <c r="AC326">
        <f t="shared" si="62"/>
        <v>0</v>
      </c>
    </row>
    <row r="327" spans="1:29" x14ac:dyDescent="0.2">
      <c r="A327">
        <v>167</v>
      </c>
      <c r="D327">
        <f t="shared" si="63"/>
        <v>1</v>
      </c>
      <c r="E327">
        <v>10</v>
      </c>
      <c r="F327" s="6" t="s">
        <v>429</v>
      </c>
      <c r="I327" t="s">
        <v>179</v>
      </c>
      <c r="J327">
        <v>87</v>
      </c>
      <c r="K327" t="s">
        <v>489</v>
      </c>
      <c r="L327" t="s">
        <v>7</v>
      </c>
      <c r="M327" t="s">
        <v>208</v>
      </c>
      <c r="N327" t="s">
        <v>53</v>
      </c>
      <c r="Q327">
        <f t="shared" si="57"/>
        <v>18977</v>
      </c>
      <c r="R327" t="str">
        <f t="shared" si="58"/>
        <v>Velodrome</v>
      </c>
      <c r="S327" t="str">
        <f t="shared" si="59"/>
        <v>HollowBrook</v>
      </c>
      <c r="T327" s="20">
        <f t="shared" si="53"/>
        <v>0</v>
      </c>
      <c r="U327">
        <f t="shared" si="54"/>
        <v>655</v>
      </c>
      <c r="V327">
        <f t="shared" si="55"/>
        <v>655</v>
      </c>
      <c r="W327" cm="1">
        <f t="array" ref="W327">_xlfn._xlws.FILTER(shifts!A:A,(shifts!B:B=events!D327)*(shifts!AH:AH&gt;=events!U327)*(shifts!AI:AI&lt;=events!V327))</f>
        <v>9</v>
      </c>
      <c r="X327" t="str">
        <f t="shared" si="56"/>
        <v>opp_team_player_1</v>
      </c>
      <c r="Y327">
        <f>COUNTIFS(A$3:A327,"="&amp;A327,K$3:K327,"="&amp;K327)</f>
        <v>1</v>
      </c>
      <c r="Z327" s="20">
        <f>SUMIFS(T$3:T327,L$3:L327,"=Intermission")+SUMIFS(T$3:T327,L$3:L327,"=Timeout")+SUMIFS(T$3:T327,L$3:L327,"=Clockstop")</f>
        <v>0</v>
      </c>
      <c r="AA327">
        <f t="shared" si="60"/>
        <v>0</v>
      </c>
      <c r="AB327" s="26">
        <f t="shared" si="61"/>
        <v>425</v>
      </c>
      <c r="AC327">
        <f t="shared" si="62"/>
        <v>0</v>
      </c>
    </row>
    <row r="328" spans="1:29" x14ac:dyDescent="0.2">
      <c r="A328">
        <v>168</v>
      </c>
      <c r="D328">
        <f t="shared" si="63"/>
        <v>1</v>
      </c>
      <c r="E328">
        <v>10</v>
      </c>
      <c r="F328" s="6" t="s">
        <v>427</v>
      </c>
      <c r="G328">
        <v>10</v>
      </c>
      <c r="H328" s="8" t="s">
        <v>428</v>
      </c>
      <c r="I328" t="s">
        <v>179</v>
      </c>
      <c r="J328">
        <v>33</v>
      </c>
      <c r="K328" t="s">
        <v>488</v>
      </c>
      <c r="L328" t="s">
        <v>15</v>
      </c>
      <c r="Q328">
        <f t="shared" si="57"/>
        <v>18977</v>
      </c>
      <c r="R328" t="str">
        <f t="shared" si="58"/>
        <v>Velodrome</v>
      </c>
      <c r="S328" t="str">
        <f t="shared" si="59"/>
        <v>HollowBrook</v>
      </c>
      <c r="T328" s="20">
        <f t="shared" si="53"/>
        <v>2</v>
      </c>
      <c r="U328">
        <f t="shared" si="54"/>
        <v>654</v>
      </c>
      <c r="V328">
        <f t="shared" si="55"/>
        <v>652</v>
      </c>
      <c r="W328" cm="1">
        <f t="array" ref="W328">_xlfn._xlws.FILTER(shifts!A:A,(shifts!B:B=events!D328)*(shifts!AH:AH&gt;=events!U328)*(shifts!AI:AI&lt;=events!V328))</f>
        <v>9</v>
      </c>
      <c r="X328" t="str">
        <f t="shared" si="56"/>
        <v>event_team_player_1</v>
      </c>
      <c r="Y328">
        <f>COUNTIFS(A$3:A328,"="&amp;A328,K$3:K328,"="&amp;K328)</f>
        <v>1</v>
      </c>
      <c r="Z328" s="20">
        <f>SUMIFS(T$3:T328,L$3:L328,"=Intermission")+SUMIFS(T$3:T328,L$3:L328,"=Timeout")+SUMIFS(T$3:T328,L$3:L328,"=Clockstop")</f>
        <v>0</v>
      </c>
      <c r="AA328">
        <f t="shared" si="60"/>
        <v>0</v>
      </c>
      <c r="AB328" s="26">
        <f t="shared" si="61"/>
        <v>426</v>
      </c>
      <c r="AC328">
        <f t="shared" si="62"/>
        <v>0</v>
      </c>
    </row>
    <row r="329" spans="1:29" x14ac:dyDescent="0.2">
      <c r="A329">
        <v>169</v>
      </c>
      <c r="D329">
        <f t="shared" si="63"/>
        <v>1</v>
      </c>
      <c r="E329">
        <v>10</v>
      </c>
      <c r="F329" s="6" t="s">
        <v>428</v>
      </c>
      <c r="I329" t="s">
        <v>179</v>
      </c>
      <c r="J329">
        <v>33</v>
      </c>
      <c r="K329" t="s">
        <v>488</v>
      </c>
      <c r="L329" t="s">
        <v>8</v>
      </c>
      <c r="M329" t="s">
        <v>199</v>
      </c>
      <c r="N329" t="s">
        <v>70</v>
      </c>
      <c r="Q329">
        <f t="shared" si="57"/>
        <v>18977</v>
      </c>
      <c r="R329" t="str">
        <f t="shared" si="58"/>
        <v>Velodrome</v>
      </c>
      <c r="S329" t="str">
        <f t="shared" si="59"/>
        <v>HollowBrook</v>
      </c>
      <c r="T329" s="20">
        <f t="shared" si="53"/>
        <v>0</v>
      </c>
      <c r="U329">
        <f t="shared" si="54"/>
        <v>652</v>
      </c>
      <c r="V329">
        <f t="shared" si="55"/>
        <v>652</v>
      </c>
      <c r="W329" cm="1">
        <f t="array" ref="W329">_xlfn._xlws.FILTER(shifts!A:A,(shifts!B:B=events!D329)*(shifts!AH:AH&gt;=events!U329)*(shifts!AI:AI&lt;=events!V329))</f>
        <v>9</v>
      </c>
      <c r="X329" t="str">
        <f t="shared" si="56"/>
        <v>event_team_player_1</v>
      </c>
      <c r="Y329">
        <f>COUNTIFS(A$3:A329,"="&amp;A329,K$3:K329,"="&amp;K329)</f>
        <v>1</v>
      </c>
      <c r="Z329" s="20">
        <f>SUMIFS(T$3:T329,L$3:L329,"=Intermission")+SUMIFS(T$3:T329,L$3:L329,"=Timeout")+SUMIFS(T$3:T329,L$3:L329,"=Clockstop")</f>
        <v>0</v>
      </c>
      <c r="AA329">
        <f t="shared" si="60"/>
        <v>0</v>
      </c>
      <c r="AB329" s="26">
        <f t="shared" si="61"/>
        <v>428</v>
      </c>
      <c r="AC329">
        <f t="shared" si="62"/>
        <v>0</v>
      </c>
    </row>
    <row r="330" spans="1:29" x14ac:dyDescent="0.2">
      <c r="A330">
        <v>169</v>
      </c>
      <c r="D330">
        <f t="shared" si="63"/>
        <v>1</v>
      </c>
      <c r="E330">
        <v>10</v>
      </c>
      <c r="F330" s="6" t="s">
        <v>428</v>
      </c>
      <c r="I330" t="s">
        <v>179</v>
      </c>
      <c r="J330">
        <v>13</v>
      </c>
      <c r="K330" t="s">
        <v>488</v>
      </c>
      <c r="L330" t="s">
        <v>8</v>
      </c>
      <c r="M330" t="s">
        <v>199</v>
      </c>
      <c r="N330" t="s">
        <v>70</v>
      </c>
      <c r="Q330">
        <f t="shared" si="57"/>
        <v>18977</v>
      </c>
      <c r="R330" t="str">
        <f t="shared" si="58"/>
        <v>Velodrome</v>
      </c>
      <c r="S330" t="str">
        <f t="shared" si="59"/>
        <v>HollowBrook</v>
      </c>
      <c r="T330" s="20">
        <f t="shared" si="53"/>
        <v>0</v>
      </c>
      <c r="U330">
        <f t="shared" si="54"/>
        <v>652</v>
      </c>
      <c r="V330">
        <f t="shared" si="55"/>
        <v>652</v>
      </c>
      <c r="W330" cm="1">
        <f t="array" ref="W330">_xlfn._xlws.FILTER(shifts!A:A,(shifts!B:B=events!D330)*(shifts!AH:AH&gt;=events!U330)*(shifts!AI:AI&lt;=events!V330))</f>
        <v>9</v>
      </c>
      <c r="X330" t="str">
        <f t="shared" si="56"/>
        <v>event_team_player_2</v>
      </c>
      <c r="Y330">
        <f>COUNTIFS(A$3:A330,"="&amp;A330,K$3:K330,"="&amp;K330)</f>
        <v>2</v>
      </c>
      <c r="Z330" s="20">
        <f>SUMIFS(T$3:T330,L$3:L330,"=Intermission")+SUMIFS(T$3:T330,L$3:L330,"=Timeout")+SUMIFS(T$3:T330,L$3:L330,"=Clockstop")</f>
        <v>0</v>
      </c>
      <c r="AA330">
        <f t="shared" si="60"/>
        <v>0</v>
      </c>
      <c r="AB330" s="26">
        <f t="shared" si="61"/>
        <v>428</v>
      </c>
      <c r="AC330">
        <f t="shared" si="62"/>
        <v>0</v>
      </c>
    </row>
    <row r="331" spans="1:29" x14ac:dyDescent="0.2">
      <c r="A331">
        <v>169</v>
      </c>
      <c r="D331">
        <f t="shared" si="63"/>
        <v>1</v>
      </c>
      <c r="E331">
        <v>10</v>
      </c>
      <c r="F331" s="6" t="s">
        <v>428</v>
      </c>
      <c r="I331" t="s">
        <v>179</v>
      </c>
      <c r="J331">
        <v>87</v>
      </c>
      <c r="K331" t="s">
        <v>489</v>
      </c>
      <c r="L331" t="s">
        <v>8</v>
      </c>
      <c r="M331" t="s">
        <v>199</v>
      </c>
      <c r="N331" t="s">
        <v>70</v>
      </c>
      <c r="Q331">
        <f t="shared" si="57"/>
        <v>18977</v>
      </c>
      <c r="R331" t="str">
        <f t="shared" si="58"/>
        <v>Velodrome</v>
      </c>
      <c r="S331" t="str">
        <f t="shared" si="59"/>
        <v>HollowBrook</v>
      </c>
      <c r="T331" s="20">
        <f t="shared" si="53"/>
        <v>0</v>
      </c>
      <c r="U331">
        <f t="shared" si="54"/>
        <v>652</v>
      </c>
      <c r="V331">
        <f t="shared" si="55"/>
        <v>652</v>
      </c>
      <c r="W331" cm="1">
        <f t="array" ref="W331">_xlfn._xlws.FILTER(shifts!A:A,(shifts!B:B=events!D331)*(shifts!AH:AH&gt;=events!U331)*(shifts!AI:AI&lt;=events!V331))</f>
        <v>9</v>
      </c>
      <c r="X331" t="str">
        <f t="shared" si="56"/>
        <v>opp_team_player_1</v>
      </c>
      <c r="Y331">
        <f>COUNTIFS(A$3:A331,"="&amp;A331,K$3:K331,"="&amp;K331)</f>
        <v>1</v>
      </c>
      <c r="Z331" s="20">
        <f>SUMIFS(T$3:T331,L$3:L331,"=Intermission")+SUMIFS(T$3:T331,L$3:L331,"=Timeout")+SUMIFS(T$3:T331,L$3:L331,"=Clockstop")</f>
        <v>0</v>
      </c>
      <c r="AA331">
        <f t="shared" si="60"/>
        <v>0</v>
      </c>
      <c r="AB331" s="26">
        <f t="shared" si="61"/>
        <v>428</v>
      </c>
      <c r="AC331">
        <f t="shared" si="62"/>
        <v>0</v>
      </c>
    </row>
    <row r="332" spans="1:29" x14ac:dyDescent="0.2">
      <c r="A332">
        <v>170</v>
      </c>
      <c r="D332">
        <f t="shared" si="63"/>
        <v>1</v>
      </c>
      <c r="E332">
        <v>10</v>
      </c>
      <c r="F332" s="6" t="s">
        <v>428</v>
      </c>
      <c r="I332" t="s">
        <v>179</v>
      </c>
      <c r="J332">
        <v>33</v>
      </c>
      <c r="K332" t="s">
        <v>488</v>
      </c>
      <c r="L332" t="s">
        <v>10</v>
      </c>
      <c r="M332" t="s">
        <v>190</v>
      </c>
      <c r="N332" t="s">
        <v>76</v>
      </c>
      <c r="Q332">
        <f t="shared" si="57"/>
        <v>18977</v>
      </c>
      <c r="R332" t="str">
        <f t="shared" si="58"/>
        <v>Velodrome</v>
      </c>
      <c r="S332" t="str">
        <f t="shared" si="59"/>
        <v>HollowBrook</v>
      </c>
      <c r="T332" s="20">
        <f t="shared" si="53"/>
        <v>0</v>
      </c>
      <c r="U332">
        <f t="shared" si="54"/>
        <v>652</v>
      </c>
      <c r="V332">
        <f t="shared" si="55"/>
        <v>652</v>
      </c>
      <c r="W332" cm="1">
        <f t="array" ref="W332">_xlfn._xlws.FILTER(shifts!A:A,(shifts!B:B=events!D332)*(shifts!AH:AH&gt;=events!U332)*(shifts!AI:AI&lt;=events!V332))</f>
        <v>9</v>
      </c>
      <c r="X332" t="str">
        <f t="shared" si="56"/>
        <v>event_team_player_1</v>
      </c>
      <c r="Y332">
        <f>COUNTIFS(A$3:A332,"="&amp;A332,K$3:K332,"="&amp;K332)</f>
        <v>1</v>
      </c>
      <c r="Z332" s="20">
        <f>SUMIFS(T$3:T332,L$3:L332,"=Intermission")+SUMIFS(T$3:T332,L$3:L332,"=Timeout")+SUMIFS(T$3:T332,L$3:L332,"=Clockstop")</f>
        <v>0</v>
      </c>
      <c r="AA332">
        <f t="shared" si="60"/>
        <v>0</v>
      </c>
      <c r="AB332" s="26">
        <f t="shared" si="61"/>
        <v>428</v>
      </c>
      <c r="AC332">
        <f t="shared" si="62"/>
        <v>0</v>
      </c>
    </row>
    <row r="333" spans="1:29" x14ac:dyDescent="0.2">
      <c r="A333">
        <v>170</v>
      </c>
      <c r="D333">
        <f t="shared" si="63"/>
        <v>1</v>
      </c>
      <c r="E333">
        <v>10</v>
      </c>
      <c r="F333" s="6" t="s">
        <v>428</v>
      </c>
      <c r="I333" t="s">
        <v>179</v>
      </c>
      <c r="J333">
        <v>13</v>
      </c>
      <c r="K333" t="s">
        <v>488</v>
      </c>
      <c r="L333" t="s">
        <v>10</v>
      </c>
      <c r="M333" t="s">
        <v>190</v>
      </c>
      <c r="N333" t="s">
        <v>76</v>
      </c>
      <c r="Q333">
        <f t="shared" si="57"/>
        <v>18977</v>
      </c>
      <c r="R333" t="str">
        <f t="shared" si="58"/>
        <v>Velodrome</v>
      </c>
      <c r="S333" t="str">
        <f t="shared" si="59"/>
        <v>HollowBrook</v>
      </c>
      <c r="T333" s="20">
        <f t="shared" si="53"/>
        <v>0</v>
      </c>
      <c r="U333">
        <f t="shared" si="54"/>
        <v>652</v>
      </c>
      <c r="V333">
        <f t="shared" si="55"/>
        <v>652</v>
      </c>
      <c r="W333" cm="1">
        <f t="array" ref="W333">_xlfn._xlws.FILTER(shifts!A:A,(shifts!B:B=events!D333)*(shifts!AH:AH&gt;=events!U333)*(shifts!AI:AI&lt;=events!V333))</f>
        <v>9</v>
      </c>
      <c r="X333" t="str">
        <f t="shared" si="56"/>
        <v>event_team_player_2</v>
      </c>
      <c r="Y333">
        <f>COUNTIFS(A$3:A333,"="&amp;A333,K$3:K333,"="&amp;K333)</f>
        <v>2</v>
      </c>
      <c r="Z333" s="20">
        <f>SUMIFS(T$3:T333,L$3:L333,"=Intermission")+SUMIFS(T$3:T333,L$3:L333,"=Timeout")+SUMIFS(T$3:T333,L$3:L333,"=Clockstop")</f>
        <v>0</v>
      </c>
      <c r="AA333">
        <f t="shared" si="60"/>
        <v>0</v>
      </c>
      <c r="AB333" s="26">
        <f t="shared" si="61"/>
        <v>428</v>
      </c>
      <c r="AC333">
        <f t="shared" si="62"/>
        <v>0</v>
      </c>
    </row>
    <row r="334" spans="1:29" x14ac:dyDescent="0.2">
      <c r="A334">
        <v>170</v>
      </c>
      <c r="D334">
        <f t="shared" si="63"/>
        <v>1</v>
      </c>
      <c r="E334">
        <v>10</v>
      </c>
      <c r="F334" s="6" t="s">
        <v>428</v>
      </c>
      <c r="I334" t="s">
        <v>179</v>
      </c>
      <c r="J334">
        <v>87</v>
      </c>
      <c r="K334" t="s">
        <v>489</v>
      </c>
      <c r="L334" t="s">
        <v>10</v>
      </c>
      <c r="M334" t="s">
        <v>190</v>
      </c>
      <c r="N334" t="s">
        <v>76</v>
      </c>
      <c r="Q334">
        <f t="shared" si="57"/>
        <v>18977</v>
      </c>
      <c r="R334" t="str">
        <f t="shared" si="58"/>
        <v>Velodrome</v>
      </c>
      <c r="S334" t="str">
        <f t="shared" si="59"/>
        <v>HollowBrook</v>
      </c>
      <c r="T334" s="20">
        <f t="shared" si="53"/>
        <v>0</v>
      </c>
      <c r="U334">
        <f t="shared" si="54"/>
        <v>652</v>
      </c>
      <c r="V334">
        <f t="shared" si="55"/>
        <v>652</v>
      </c>
      <c r="W334" cm="1">
        <f t="array" ref="W334">_xlfn._xlws.FILTER(shifts!A:A,(shifts!B:B=events!D334)*(shifts!AH:AH&gt;=events!U334)*(shifts!AI:AI&lt;=events!V334))</f>
        <v>9</v>
      </c>
      <c r="X334" t="str">
        <f t="shared" si="56"/>
        <v>opp_team_player_1</v>
      </c>
      <c r="Y334">
        <f>COUNTIFS(A$3:A334,"="&amp;A334,K$3:K334,"="&amp;K334)</f>
        <v>1</v>
      </c>
      <c r="Z334" s="20">
        <f>SUMIFS(T$3:T334,L$3:L334,"=Intermission")+SUMIFS(T$3:T334,L$3:L334,"=Timeout")+SUMIFS(T$3:T334,L$3:L334,"=Clockstop")</f>
        <v>0</v>
      </c>
      <c r="AA334">
        <f t="shared" si="60"/>
        <v>0</v>
      </c>
      <c r="AB334" s="26">
        <f t="shared" si="61"/>
        <v>428</v>
      </c>
      <c r="AC334">
        <f t="shared" si="62"/>
        <v>0</v>
      </c>
    </row>
    <row r="335" spans="1:29" x14ac:dyDescent="0.2">
      <c r="A335">
        <v>171</v>
      </c>
      <c r="D335">
        <f t="shared" si="63"/>
        <v>1</v>
      </c>
      <c r="E335">
        <v>10</v>
      </c>
      <c r="F335" s="6" t="s">
        <v>450</v>
      </c>
      <c r="G335">
        <v>10</v>
      </c>
      <c r="H335" s="8" t="s">
        <v>434</v>
      </c>
      <c r="I335" t="s">
        <v>178</v>
      </c>
      <c r="J335">
        <v>84</v>
      </c>
      <c r="K335" t="s">
        <v>488</v>
      </c>
      <c r="L335" t="s">
        <v>277</v>
      </c>
      <c r="M335" t="s">
        <v>201</v>
      </c>
      <c r="N335" t="s">
        <v>90</v>
      </c>
      <c r="Q335">
        <f t="shared" si="57"/>
        <v>18977</v>
      </c>
      <c r="R335" t="str">
        <f t="shared" si="58"/>
        <v>Velodrome</v>
      </c>
      <c r="S335" t="str">
        <f t="shared" si="59"/>
        <v>HollowBrook</v>
      </c>
      <c r="T335" s="20">
        <f t="shared" si="53"/>
        <v>2</v>
      </c>
      <c r="U335">
        <f t="shared" si="54"/>
        <v>649</v>
      </c>
      <c r="V335">
        <f t="shared" si="55"/>
        <v>647</v>
      </c>
      <c r="W335" cm="1">
        <f t="array" ref="W335">_xlfn._xlws.FILTER(shifts!A:A,(shifts!B:B=events!D335)*(shifts!AH:AH&gt;=events!U335)*(shifts!AI:AI&lt;=events!V335))</f>
        <v>9</v>
      </c>
      <c r="X335" t="str">
        <f t="shared" si="56"/>
        <v>event_team_player_1</v>
      </c>
      <c r="Y335">
        <f>COUNTIFS(A$3:A335,"="&amp;A335,K$3:K335,"="&amp;K335)</f>
        <v>1</v>
      </c>
      <c r="Z335" s="20">
        <f>SUMIFS(T$3:T335,L$3:L335,"=Intermission")+SUMIFS(T$3:T335,L$3:L335,"=Timeout")+SUMIFS(T$3:T335,L$3:L335,"=Clockstop")</f>
        <v>0</v>
      </c>
      <c r="AA335">
        <f t="shared" si="60"/>
        <v>0</v>
      </c>
      <c r="AB335" s="26">
        <f t="shared" si="61"/>
        <v>431</v>
      </c>
      <c r="AC335">
        <f t="shared" si="62"/>
        <v>0</v>
      </c>
    </row>
    <row r="336" spans="1:29" x14ac:dyDescent="0.2">
      <c r="A336">
        <v>171</v>
      </c>
      <c r="D336">
        <f t="shared" si="63"/>
        <v>1</v>
      </c>
      <c r="E336">
        <v>10</v>
      </c>
      <c r="F336" s="6" t="s">
        <v>450</v>
      </c>
      <c r="G336">
        <v>10</v>
      </c>
      <c r="H336" s="8" t="s">
        <v>434</v>
      </c>
      <c r="I336" t="s">
        <v>178</v>
      </c>
      <c r="J336">
        <v>13</v>
      </c>
      <c r="K336" t="s">
        <v>489</v>
      </c>
      <c r="L336" t="s">
        <v>277</v>
      </c>
      <c r="M336" t="s">
        <v>201</v>
      </c>
      <c r="N336" t="s">
        <v>90</v>
      </c>
      <c r="Q336">
        <f t="shared" si="57"/>
        <v>18977</v>
      </c>
      <c r="R336" t="str">
        <f t="shared" si="58"/>
        <v>Velodrome</v>
      </c>
      <c r="S336" t="str">
        <f t="shared" si="59"/>
        <v>HollowBrook</v>
      </c>
      <c r="T336" s="20">
        <f t="shared" si="53"/>
        <v>2</v>
      </c>
      <c r="U336">
        <f t="shared" si="54"/>
        <v>649</v>
      </c>
      <c r="V336">
        <f t="shared" si="55"/>
        <v>647</v>
      </c>
      <c r="W336" cm="1">
        <f t="array" ref="W336">_xlfn._xlws.FILTER(shifts!A:A,(shifts!B:B=events!D336)*(shifts!AH:AH&gt;=events!U336)*(shifts!AI:AI&lt;=events!V336))</f>
        <v>9</v>
      </c>
      <c r="X336" t="str">
        <f t="shared" si="56"/>
        <v>opp_team_player_1</v>
      </c>
      <c r="Y336">
        <f>COUNTIFS(A$3:A336,"="&amp;A336,K$3:K336,"="&amp;K336)</f>
        <v>1</v>
      </c>
      <c r="Z336" s="20">
        <f>SUMIFS(T$3:T336,L$3:L336,"=Intermission")+SUMIFS(T$3:T336,L$3:L336,"=Timeout")+SUMIFS(T$3:T336,L$3:L336,"=Clockstop")</f>
        <v>0</v>
      </c>
      <c r="AA336">
        <f t="shared" si="60"/>
        <v>0</v>
      </c>
      <c r="AB336" s="26">
        <f t="shared" si="61"/>
        <v>431</v>
      </c>
      <c r="AC336">
        <f t="shared" si="62"/>
        <v>0</v>
      </c>
    </row>
    <row r="337" spans="1:29" x14ac:dyDescent="0.2">
      <c r="A337">
        <v>172</v>
      </c>
      <c r="D337">
        <f t="shared" si="63"/>
        <v>1</v>
      </c>
      <c r="E337">
        <v>10</v>
      </c>
      <c r="F337" s="6" t="s">
        <v>434</v>
      </c>
      <c r="G337">
        <v>10</v>
      </c>
      <c r="H337" s="8" t="s">
        <v>436</v>
      </c>
      <c r="I337" t="s">
        <v>178</v>
      </c>
      <c r="J337">
        <v>84</v>
      </c>
      <c r="K337" t="s">
        <v>488</v>
      </c>
      <c r="L337" t="s">
        <v>15</v>
      </c>
      <c r="Q337">
        <f t="shared" si="57"/>
        <v>18977</v>
      </c>
      <c r="R337" t="str">
        <f t="shared" si="58"/>
        <v>Velodrome</v>
      </c>
      <c r="S337" t="str">
        <f t="shared" si="59"/>
        <v>HollowBrook</v>
      </c>
      <c r="T337" s="20">
        <f t="shared" si="53"/>
        <v>2</v>
      </c>
      <c r="U337">
        <f t="shared" si="54"/>
        <v>647</v>
      </c>
      <c r="V337">
        <f t="shared" si="55"/>
        <v>645</v>
      </c>
      <c r="W337" cm="1">
        <f t="array" ref="W337">_xlfn._xlws.FILTER(shifts!A:A,(shifts!B:B=events!D337)*(shifts!AH:AH&gt;=events!U337)*(shifts!AI:AI&lt;=events!V337))</f>
        <v>9</v>
      </c>
      <c r="X337" t="str">
        <f t="shared" si="56"/>
        <v>event_team_player_1</v>
      </c>
      <c r="Y337">
        <f>COUNTIFS(A$3:A337,"="&amp;A337,K$3:K337,"="&amp;K337)</f>
        <v>1</v>
      </c>
      <c r="Z337" s="20">
        <f>SUMIFS(T$3:T337,L$3:L337,"=Intermission")+SUMIFS(T$3:T337,L$3:L337,"=Timeout")+SUMIFS(T$3:T337,L$3:L337,"=Clockstop")</f>
        <v>0</v>
      </c>
      <c r="AA337">
        <f t="shared" si="60"/>
        <v>0</v>
      </c>
      <c r="AB337" s="26">
        <f t="shared" si="61"/>
        <v>433</v>
      </c>
      <c r="AC337">
        <f t="shared" si="62"/>
        <v>0</v>
      </c>
    </row>
    <row r="338" spans="1:29" x14ac:dyDescent="0.2">
      <c r="A338">
        <v>173</v>
      </c>
      <c r="D338">
        <f t="shared" si="63"/>
        <v>1</v>
      </c>
      <c r="E338">
        <v>10</v>
      </c>
      <c r="F338" s="6" t="s">
        <v>436</v>
      </c>
      <c r="G338">
        <v>10</v>
      </c>
      <c r="H338" s="8" t="s">
        <v>435</v>
      </c>
      <c r="I338" t="s">
        <v>178</v>
      </c>
      <c r="J338">
        <v>84</v>
      </c>
      <c r="K338" t="s">
        <v>488</v>
      </c>
      <c r="L338" t="s">
        <v>277</v>
      </c>
      <c r="M338" t="s">
        <v>191</v>
      </c>
      <c r="N338" t="s">
        <v>87</v>
      </c>
      <c r="Q338">
        <f t="shared" si="57"/>
        <v>18977</v>
      </c>
      <c r="R338" t="str">
        <f t="shared" si="58"/>
        <v>Velodrome</v>
      </c>
      <c r="S338" t="str">
        <f t="shared" si="59"/>
        <v>HollowBrook</v>
      </c>
      <c r="T338" s="20">
        <f t="shared" si="53"/>
        <v>1</v>
      </c>
      <c r="U338">
        <f t="shared" si="54"/>
        <v>645</v>
      </c>
      <c r="V338">
        <f t="shared" si="55"/>
        <v>644</v>
      </c>
      <c r="W338" cm="1">
        <f t="array" ref="W338">_xlfn._xlws.FILTER(shifts!A:A,(shifts!B:B=events!D338)*(shifts!AH:AH&gt;=events!U338)*(shifts!AI:AI&lt;=events!V338))</f>
        <v>9</v>
      </c>
      <c r="X338" t="str">
        <f t="shared" si="56"/>
        <v>event_team_player_1</v>
      </c>
      <c r="Y338">
        <f>COUNTIFS(A$3:A338,"="&amp;A338,K$3:K338,"="&amp;K338)</f>
        <v>1</v>
      </c>
      <c r="Z338" s="20">
        <f>SUMIFS(T$3:T338,L$3:L338,"=Intermission")+SUMIFS(T$3:T338,L$3:L338,"=Timeout")+SUMIFS(T$3:T338,L$3:L338,"=Clockstop")</f>
        <v>0</v>
      </c>
      <c r="AA338">
        <f t="shared" si="60"/>
        <v>0</v>
      </c>
      <c r="AB338" s="26">
        <f t="shared" si="61"/>
        <v>435</v>
      </c>
      <c r="AC338">
        <f t="shared" si="62"/>
        <v>0</v>
      </c>
    </row>
    <row r="339" spans="1:29" x14ac:dyDescent="0.2">
      <c r="A339">
        <v>173</v>
      </c>
      <c r="D339">
        <f t="shared" si="63"/>
        <v>1</v>
      </c>
      <c r="E339">
        <v>10</v>
      </c>
      <c r="F339" s="6" t="s">
        <v>436</v>
      </c>
      <c r="G339">
        <v>10</v>
      </c>
      <c r="H339" s="8" t="s">
        <v>435</v>
      </c>
      <c r="I339" t="s">
        <v>178</v>
      </c>
      <c r="J339">
        <v>49</v>
      </c>
      <c r="K339" t="s">
        <v>488</v>
      </c>
      <c r="L339" t="s">
        <v>277</v>
      </c>
      <c r="M339" t="s">
        <v>191</v>
      </c>
      <c r="N339" t="s">
        <v>87</v>
      </c>
      <c r="Q339">
        <f t="shared" si="57"/>
        <v>18977</v>
      </c>
      <c r="R339" t="str">
        <f t="shared" si="58"/>
        <v>Velodrome</v>
      </c>
      <c r="S339" t="str">
        <f t="shared" si="59"/>
        <v>HollowBrook</v>
      </c>
      <c r="T339" s="20">
        <f t="shared" si="53"/>
        <v>1</v>
      </c>
      <c r="U339">
        <f t="shared" si="54"/>
        <v>645</v>
      </c>
      <c r="V339">
        <f t="shared" si="55"/>
        <v>644</v>
      </c>
      <c r="W339" cm="1">
        <f t="array" ref="W339">_xlfn._xlws.FILTER(shifts!A:A,(shifts!B:B=events!D339)*(shifts!AH:AH&gt;=events!U339)*(shifts!AI:AI&lt;=events!V339))</f>
        <v>9</v>
      </c>
      <c r="X339" t="str">
        <f t="shared" si="56"/>
        <v>event_team_player_2</v>
      </c>
      <c r="Y339">
        <f>COUNTIFS(A$3:A339,"="&amp;A339,K$3:K339,"="&amp;K339)</f>
        <v>2</v>
      </c>
      <c r="Z339" s="20">
        <f>SUMIFS(T$3:T339,L$3:L339,"=Intermission")+SUMIFS(T$3:T339,L$3:L339,"=Timeout")+SUMIFS(T$3:T339,L$3:L339,"=Clockstop")</f>
        <v>0</v>
      </c>
      <c r="AA339">
        <f t="shared" si="60"/>
        <v>0</v>
      </c>
      <c r="AB339" s="26">
        <f t="shared" si="61"/>
        <v>435</v>
      </c>
      <c r="AC339">
        <f t="shared" si="62"/>
        <v>0</v>
      </c>
    </row>
    <row r="340" spans="1:29" x14ac:dyDescent="0.2">
      <c r="A340">
        <v>173</v>
      </c>
      <c r="D340">
        <f t="shared" si="63"/>
        <v>1</v>
      </c>
      <c r="E340">
        <v>10</v>
      </c>
      <c r="F340" s="6" t="s">
        <v>436</v>
      </c>
      <c r="G340">
        <v>10</v>
      </c>
      <c r="H340" s="8" t="s">
        <v>435</v>
      </c>
      <c r="I340" t="s">
        <v>178</v>
      </c>
      <c r="J340">
        <v>26</v>
      </c>
      <c r="K340" t="s">
        <v>489</v>
      </c>
      <c r="L340" t="s">
        <v>277</v>
      </c>
      <c r="M340" t="s">
        <v>191</v>
      </c>
      <c r="N340" t="s">
        <v>87</v>
      </c>
      <c r="Q340">
        <f t="shared" si="57"/>
        <v>18977</v>
      </c>
      <c r="R340" t="str">
        <f t="shared" si="58"/>
        <v>Velodrome</v>
      </c>
      <c r="S340" t="str">
        <f t="shared" si="59"/>
        <v>HollowBrook</v>
      </c>
      <c r="T340" s="20">
        <f t="shared" si="53"/>
        <v>1</v>
      </c>
      <c r="U340">
        <f t="shared" si="54"/>
        <v>645</v>
      </c>
      <c r="V340">
        <f t="shared" si="55"/>
        <v>644</v>
      </c>
      <c r="W340" cm="1">
        <f t="array" ref="W340">_xlfn._xlws.FILTER(shifts!A:A,(shifts!B:B=events!D340)*(shifts!AH:AH&gt;=events!U340)*(shifts!AI:AI&lt;=events!V340))</f>
        <v>9</v>
      </c>
      <c r="X340" t="str">
        <f t="shared" si="56"/>
        <v>opp_team_player_1</v>
      </c>
      <c r="Y340">
        <f>COUNTIFS(A$3:A340,"="&amp;A340,K$3:K340,"="&amp;K340)</f>
        <v>1</v>
      </c>
      <c r="Z340" s="20">
        <f>SUMIFS(T$3:T340,L$3:L340,"=Intermission")+SUMIFS(T$3:T340,L$3:L340,"=Timeout")+SUMIFS(T$3:T340,L$3:L340,"=Clockstop")</f>
        <v>0</v>
      </c>
      <c r="AA340">
        <f t="shared" si="60"/>
        <v>0</v>
      </c>
      <c r="AB340" s="26">
        <f t="shared" si="61"/>
        <v>435</v>
      </c>
      <c r="AC340">
        <f t="shared" si="62"/>
        <v>0</v>
      </c>
    </row>
    <row r="341" spans="1:29" x14ac:dyDescent="0.2">
      <c r="A341">
        <v>173</v>
      </c>
      <c r="D341">
        <f t="shared" si="63"/>
        <v>1</v>
      </c>
      <c r="E341">
        <v>10</v>
      </c>
      <c r="F341" s="6" t="s">
        <v>436</v>
      </c>
      <c r="G341">
        <v>10</v>
      </c>
      <c r="H341" s="8" t="s">
        <v>435</v>
      </c>
      <c r="I341" t="s">
        <v>178</v>
      </c>
      <c r="J341">
        <v>18</v>
      </c>
      <c r="K341" t="s">
        <v>489</v>
      </c>
      <c r="L341" t="s">
        <v>277</v>
      </c>
      <c r="M341" t="s">
        <v>191</v>
      </c>
      <c r="N341" t="s">
        <v>87</v>
      </c>
      <c r="Q341">
        <f t="shared" si="57"/>
        <v>18977</v>
      </c>
      <c r="R341" t="str">
        <f t="shared" si="58"/>
        <v>Velodrome</v>
      </c>
      <c r="S341" t="str">
        <f t="shared" si="59"/>
        <v>HollowBrook</v>
      </c>
      <c r="T341" s="20">
        <f t="shared" si="53"/>
        <v>1</v>
      </c>
      <c r="U341">
        <f t="shared" si="54"/>
        <v>645</v>
      </c>
      <c r="V341">
        <f t="shared" si="55"/>
        <v>644</v>
      </c>
      <c r="W341" cm="1">
        <f t="array" ref="W341">_xlfn._xlws.FILTER(shifts!A:A,(shifts!B:B=events!D341)*(shifts!AH:AH&gt;=events!U341)*(shifts!AI:AI&lt;=events!V341))</f>
        <v>9</v>
      </c>
      <c r="X341" t="str">
        <f t="shared" si="56"/>
        <v>opp_team_player_2</v>
      </c>
      <c r="Y341">
        <f>COUNTIFS(A$3:A341,"="&amp;A341,K$3:K341,"="&amp;K341)</f>
        <v>2</v>
      </c>
      <c r="Z341" s="20">
        <f>SUMIFS(T$3:T341,L$3:L341,"=Intermission")+SUMIFS(T$3:T341,L$3:L341,"=Timeout")+SUMIFS(T$3:T341,L$3:L341,"=Clockstop")</f>
        <v>0</v>
      </c>
      <c r="AA341">
        <f t="shared" si="60"/>
        <v>0</v>
      </c>
      <c r="AB341" s="26">
        <f t="shared" si="61"/>
        <v>435</v>
      </c>
      <c r="AC341">
        <f t="shared" si="62"/>
        <v>0</v>
      </c>
    </row>
    <row r="342" spans="1:29" x14ac:dyDescent="0.2">
      <c r="A342">
        <v>173</v>
      </c>
      <c r="D342">
        <f t="shared" si="63"/>
        <v>1</v>
      </c>
      <c r="E342">
        <v>10</v>
      </c>
      <c r="F342" s="6" t="s">
        <v>436</v>
      </c>
      <c r="G342">
        <v>10</v>
      </c>
      <c r="H342" s="8" t="s">
        <v>435</v>
      </c>
      <c r="I342" t="s">
        <v>178</v>
      </c>
      <c r="J342">
        <v>33</v>
      </c>
      <c r="K342" t="s">
        <v>489</v>
      </c>
      <c r="L342" t="s">
        <v>277</v>
      </c>
      <c r="M342" t="s">
        <v>191</v>
      </c>
      <c r="N342" t="s">
        <v>87</v>
      </c>
      <c r="Q342">
        <f t="shared" si="57"/>
        <v>18977</v>
      </c>
      <c r="R342" t="str">
        <f t="shared" si="58"/>
        <v>Velodrome</v>
      </c>
      <c r="S342" t="str">
        <f t="shared" si="59"/>
        <v>HollowBrook</v>
      </c>
      <c r="T342" s="20">
        <f t="shared" si="53"/>
        <v>1</v>
      </c>
      <c r="U342">
        <f t="shared" si="54"/>
        <v>645</v>
      </c>
      <c r="V342">
        <f t="shared" si="55"/>
        <v>644</v>
      </c>
      <c r="W342" cm="1">
        <f t="array" ref="W342">_xlfn._xlws.FILTER(shifts!A:A,(shifts!B:B=events!D342)*(shifts!AH:AH&gt;=events!U342)*(shifts!AI:AI&lt;=events!V342))</f>
        <v>9</v>
      </c>
      <c r="X342" t="str">
        <f t="shared" si="56"/>
        <v>opp_team_player_3</v>
      </c>
      <c r="Y342">
        <f>COUNTIFS(A$3:A342,"="&amp;A342,K$3:K342,"="&amp;K342)</f>
        <v>3</v>
      </c>
      <c r="Z342" s="20">
        <f>SUMIFS(T$3:T342,L$3:L342,"=Intermission")+SUMIFS(T$3:T342,L$3:L342,"=Timeout")+SUMIFS(T$3:T342,L$3:L342,"=Clockstop")</f>
        <v>0</v>
      </c>
      <c r="AA342">
        <f t="shared" si="60"/>
        <v>0</v>
      </c>
      <c r="AB342" s="26">
        <f t="shared" si="61"/>
        <v>435</v>
      </c>
      <c r="AC342">
        <f t="shared" si="62"/>
        <v>0</v>
      </c>
    </row>
    <row r="343" spans="1:29" x14ac:dyDescent="0.2">
      <c r="A343">
        <v>174</v>
      </c>
      <c r="D343">
        <f t="shared" si="63"/>
        <v>1</v>
      </c>
      <c r="E343">
        <v>10</v>
      </c>
      <c r="F343" s="6" t="s">
        <v>435</v>
      </c>
      <c r="I343" t="s">
        <v>178</v>
      </c>
      <c r="J343">
        <v>84</v>
      </c>
      <c r="K343" t="s">
        <v>488</v>
      </c>
      <c r="L343" t="s">
        <v>7</v>
      </c>
      <c r="M343" t="s">
        <v>222</v>
      </c>
      <c r="N343" t="s">
        <v>53</v>
      </c>
      <c r="Q343">
        <f t="shared" si="57"/>
        <v>18977</v>
      </c>
      <c r="R343" t="str">
        <f t="shared" si="58"/>
        <v>Velodrome</v>
      </c>
      <c r="S343" t="str">
        <f t="shared" si="59"/>
        <v>HollowBrook</v>
      </c>
      <c r="T343" s="20">
        <f t="shared" si="53"/>
        <v>0</v>
      </c>
      <c r="U343">
        <f t="shared" si="54"/>
        <v>644</v>
      </c>
      <c r="V343">
        <f t="shared" si="55"/>
        <v>644</v>
      </c>
      <c r="W343" cm="1">
        <f t="array" ref="W343">_xlfn._xlws.FILTER(shifts!A:A,(shifts!B:B=events!D343)*(shifts!AH:AH&gt;=events!U343)*(shifts!AI:AI&lt;=events!V343))</f>
        <v>9</v>
      </c>
      <c r="X343" t="str">
        <f t="shared" si="56"/>
        <v>event_team_player_1</v>
      </c>
      <c r="Y343">
        <f>COUNTIFS(A$3:A343,"="&amp;A343,K$3:K343,"="&amp;K343)</f>
        <v>1</v>
      </c>
      <c r="Z343" s="20">
        <f>SUMIFS(T$3:T343,L$3:L343,"=Intermission")+SUMIFS(T$3:T343,L$3:L343,"=Timeout")+SUMIFS(T$3:T343,L$3:L343,"=Clockstop")</f>
        <v>0</v>
      </c>
      <c r="AA343">
        <f t="shared" si="60"/>
        <v>0</v>
      </c>
      <c r="AB343" s="26">
        <f t="shared" si="61"/>
        <v>436</v>
      </c>
      <c r="AC343">
        <f t="shared" si="62"/>
        <v>0</v>
      </c>
    </row>
    <row r="344" spans="1:29" x14ac:dyDescent="0.2">
      <c r="A344">
        <v>174</v>
      </c>
      <c r="D344">
        <f t="shared" si="63"/>
        <v>1</v>
      </c>
      <c r="E344">
        <v>10</v>
      </c>
      <c r="F344" s="6" t="s">
        <v>435</v>
      </c>
      <c r="I344" t="s">
        <v>178</v>
      </c>
      <c r="J344">
        <v>99</v>
      </c>
      <c r="K344" t="s">
        <v>489</v>
      </c>
      <c r="L344" t="s">
        <v>7</v>
      </c>
      <c r="M344" t="s">
        <v>222</v>
      </c>
      <c r="N344" t="s">
        <v>53</v>
      </c>
      <c r="Q344">
        <f t="shared" si="57"/>
        <v>18977</v>
      </c>
      <c r="R344" t="str">
        <f t="shared" si="58"/>
        <v>Velodrome</v>
      </c>
      <c r="S344" t="str">
        <f t="shared" si="59"/>
        <v>HollowBrook</v>
      </c>
      <c r="T344" s="20">
        <f t="shared" si="53"/>
        <v>0</v>
      </c>
      <c r="U344">
        <f t="shared" si="54"/>
        <v>644</v>
      </c>
      <c r="V344">
        <f t="shared" si="55"/>
        <v>644</v>
      </c>
      <c r="W344" cm="1">
        <f t="array" ref="W344">_xlfn._xlws.FILTER(shifts!A:A,(shifts!B:B=events!D344)*(shifts!AH:AH&gt;=events!U344)*(shifts!AI:AI&lt;=events!V344))</f>
        <v>9</v>
      </c>
      <c r="X344" t="str">
        <f t="shared" si="56"/>
        <v>opp_team_player_1</v>
      </c>
      <c r="Y344">
        <f>COUNTIFS(A$3:A344,"="&amp;A344,K$3:K344,"="&amp;K344)</f>
        <v>1</v>
      </c>
      <c r="Z344" s="20">
        <f>SUMIFS(T$3:T344,L$3:L344,"=Intermission")+SUMIFS(T$3:T344,L$3:L344,"=Timeout")+SUMIFS(T$3:T344,L$3:L344,"=Clockstop")</f>
        <v>0</v>
      </c>
      <c r="AA344">
        <f t="shared" si="60"/>
        <v>0</v>
      </c>
      <c r="AB344" s="26">
        <f t="shared" si="61"/>
        <v>436</v>
      </c>
      <c r="AC344">
        <f t="shared" si="62"/>
        <v>0</v>
      </c>
    </row>
    <row r="345" spans="1:29" x14ac:dyDescent="0.2">
      <c r="A345">
        <v>174</v>
      </c>
      <c r="D345">
        <f t="shared" si="63"/>
        <v>1</v>
      </c>
      <c r="E345">
        <v>10</v>
      </c>
      <c r="F345" s="6" t="s">
        <v>435</v>
      </c>
      <c r="I345" t="s">
        <v>178</v>
      </c>
      <c r="J345">
        <v>26</v>
      </c>
      <c r="K345" t="s">
        <v>489</v>
      </c>
      <c r="L345" t="s">
        <v>7</v>
      </c>
      <c r="M345" t="s">
        <v>222</v>
      </c>
      <c r="N345" t="s">
        <v>53</v>
      </c>
      <c r="Q345">
        <f t="shared" si="57"/>
        <v>18977</v>
      </c>
      <c r="R345" t="str">
        <f t="shared" si="58"/>
        <v>Velodrome</v>
      </c>
      <c r="S345" t="str">
        <f t="shared" si="59"/>
        <v>HollowBrook</v>
      </c>
      <c r="T345" s="20">
        <f t="shared" si="53"/>
        <v>0</v>
      </c>
      <c r="U345">
        <f t="shared" si="54"/>
        <v>644</v>
      </c>
      <c r="V345">
        <f t="shared" si="55"/>
        <v>644</v>
      </c>
      <c r="W345" cm="1">
        <f t="array" ref="W345">_xlfn._xlws.FILTER(shifts!A:A,(shifts!B:B=events!D345)*(shifts!AH:AH&gt;=events!U345)*(shifts!AI:AI&lt;=events!V345))</f>
        <v>9</v>
      </c>
      <c r="X345" t="str">
        <f t="shared" si="56"/>
        <v>opp_team_player_2</v>
      </c>
      <c r="Y345">
        <f>COUNTIFS(A$3:A345,"="&amp;A345,K$3:K345,"="&amp;K345)</f>
        <v>2</v>
      </c>
      <c r="Z345" s="20">
        <f>SUMIFS(T$3:T345,L$3:L345,"=Intermission")+SUMIFS(T$3:T345,L$3:L345,"=Timeout")+SUMIFS(T$3:T345,L$3:L345,"=Clockstop")</f>
        <v>0</v>
      </c>
      <c r="AA345">
        <f t="shared" si="60"/>
        <v>0</v>
      </c>
      <c r="AB345" s="26">
        <f t="shared" si="61"/>
        <v>436</v>
      </c>
      <c r="AC345">
        <f t="shared" si="62"/>
        <v>0</v>
      </c>
    </row>
    <row r="346" spans="1:29" x14ac:dyDescent="0.2">
      <c r="A346">
        <v>175</v>
      </c>
      <c r="D346">
        <f t="shared" si="63"/>
        <v>1</v>
      </c>
      <c r="E346">
        <v>10</v>
      </c>
      <c r="F346" s="6" t="s">
        <v>435</v>
      </c>
      <c r="I346" t="s">
        <v>179</v>
      </c>
      <c r="J346">
        <v>99</v>
      </c>
      <c r="K346" t="s">
        <v>488</v>
      </c>
      <c r="L346" t="s">
        <v>17</v>
      </c>
      <c r="M346" t="s">
        <v>206</v>
      </c>
      <c r="N346" t="s">
        <v>102</v>
      </c>
      <c r="Q346">
        <f t="shared" si="57"/>
        <v>18977</v>
      </c>
      <c r="R346" t="str">
        <f t="shared" si="58"/>
        <v>Velodrome</v>
      </c>
      <c r="S346" t="str">
        <f t="shared" si="59"/>
        <v>HollowBrook</v>
      </c>
      <c r="T346" s="20">
        <f t="shared" si="53"/>
        <v>0</v>
      </c>
      <c r="U346">
        <f t="shared" si="54"/>
        <v>644</v>
      </c>
      <c r="V346">
        <f t="shared" si="55"/>
        <v>644</v>
      </c>
      <c r="W346" cm="1">
        <f t="array" ref="W346">_xlfn._xlws.FILTER(shifts!A:A,(shifts!B:B=events!D346)*(shifts!AH:AH&gt;=events!U346)*(shifts!AI:AI&lt;=events!V346))</f>
        <v>9</v>
      </c>
      <c r="X346" t="str">
        <f t="shared" si="56"/>
        <v>event_team_player_1</v>
      </c>
      <c r="Y346">
        <f>COUNTIFS(A$3:A346,"="&amp;A346,K$3:K346,"="&amp;K346)</f>
        <v>1</v>
      </c>
      <c r="Z346" s="20">
        <f>SUMIFS(T$3:T346,L$3:L346,"=Intermission")+SUMIFS(T$3:T346,L$3:L346,"=Timeout")+SUMIFS(T$3:T346,L$3:L346,"=Clockstop")</f>
        <v>0</v>
      </c>
      <c r="AA346">
        <f t="shared" si="60"/>
        <v>0</v>
      </c>
      <c r="AB346" s="26">
        <f t="shared" si="61"/>
        <v>436</v>
      </c>
      <c r="AC346">
        <f t="shared" si="62"/>
        <v>0</v>
      </c>
    </row>
    <row r="347" spans="1:29" x14ac:dyDescent="0.2">
      <c r="A347">
        <v>175</v>
      </c>
      <c r="D347">
        <f t="shared" si="63"/>
        <v>1</v>
      </c>
      <c r="E347">
        <v>10</v>
      </c>
      <c r="F347" s="6" t="s">
        <v>435</v>
      </c>
      <c r="I347" t="s">
        <v>179</v>
      </c>
      <c r="J347">
        <v>84</v>
      </c>
      <c r="K347" t="s">
        <v>489</v>
      </c>
      <c r="L347" t="s">
        <v>17</v>
      </c>
      <c r="M347" t="s">
        <v>206</v>
      </c>
      <c r="N347" t="s">
        <v>102</v>
      </c>
      <c r="Q347">
        <f t="shared" si="57"/>
        <v>18977</v>
      </c>
      <c r="R347" t="str">
        <f t="shared" si="58"/>
        <v>Velodrome</v>
      </c>
      <c r="S347" t="str">
        <f t="shared" si="59"/>
        <v>HollowBrook</v>
      </c>
      <c r="T347" s="20">
        <f t="shared" si="53"/>
        <v>0</v>
      </c>
      <c r="U347">
        <f t="shared" si="54"/>
        <v>644</v>
      </c>
      <c r="V347">
        <f t="shared" si="55"/>
        <v>644</v>
      </c>
      <c r="W347" cm="1">
        <f t="array" ref="W347">_xlfn._xlws.FILTER(shifts!A:A,(shifts!B:B=events!D347)*(shifts!AH:AH&gt;=events!U347)*(shifts!AI:AI&lt;=events!V347))</f>
        <v>9</v>
      </c>
      <c r="X347" t="str">
        <f t="shared" si="56"/>
        <v>opp_team_player_1</v>
      </c>
      <c r="Y347">
        <f>COUNTIFS(A$3:A347,"="&amp;A347,K$3:K347,"="&amp;K347)</f>
        <v>1</v>
      </c>
      <c r="Z347" s="20">
        <f>SUMIFS(T$3:T347,L$3:L347,"=Intermission")+SUMIFS(T$3:T347,L$3:L347,"=Timeout")+SUMIFS(T$3:T347,L$3:L347,"=Clockstop")</f>
        <v>0</v>
      </c>
      <c r="AA347">
        <f t="shared" si="60"/>
        <v>0</v>
      </c>
      <c r="AB347" s="26">
        <f t="shared" si="61"/>
        <v>436</v>
      </c>
      <c r="AC347">
        <f t="shared" si="62"/>
        <v>0</v>
      </c>
    </row>
    <row r="348" spans="1:29" x14ac:dyDescent="0.2">
      <c r="A348">
        <v>176</v>
      </c>
      <c r="D348">
        <f t="shared" si="63"/>
        <v>1</v>
      </c>
      <c r="E348">
        <v>10</v>
      </c>
      <c r="F348" s="6" t="s">
        <v>431</v>
      </c>
      <c r="I348" t="s">
        <v>179</v>
      </c>
      <c r="J348">
        <v>99</v>
      </c>
      <c r="K348" t="s">
        <v>488</v>
      </c>
      <c r="L348" t="s">
        <v>13</v>
      </c>
      <c r="M348" t="s">
        <v>204</v>
      </c>
      <c r="N348" t="s">
        <v>110</v>
      </c>
      <c r="Q348">
        <f t="shared" si="57"/>
        <v>18977</v>
      </c>
      <c r="R348" t="str">
        <f t="shared" si="58"/>
        <v>Velodrome</v>
      </c>
      <c r="S348" t="str">
        <f t="shared" si="59"/>
        <v>HollowBrook</v>
      </c>
      <c r="T348" s="20">
        <f t="shared" si="53"/>
        <v>0</v>
      </c>
      <c r="U348">
        <f t="shared" si="54"/>
        <v>641</v>
      </c>
      <c r="V348">
        <f t="shared" si="55"/>
        <v>641</v>
      </c>
      <c r="W348" cm="1">
        <f t="array" ref="W348">_xlfn._xlws.FILTER(shifts!A:A,(shifts!B:B=events!D348)*(shifts!AH:AH&gt;=events!U348)*(shifts!AI:AI&lt;=events!V348))</f>
        <v>9</v>
      </c>
      <c r="X348" t="str">
        <f t="shared" si="56"/>
        <v>event_team_player_1</v>
      </c>
      <c r="Y348">
        <f>COUNTIFS(A$3:A348,"="&amp;A348,K$3:K348,"="&amp;K348)</f>
        <v>1</v>
      </c>
      <c r="Z348" s="20">
        <f>SUMIFS(T$3:T348,L$3:L348,"=Intermission")+SUMIFS(T$3:T348,L$3:L348,"=Timeout")+SUMIFS(T$3:T348,L$3:L348,"=Clockstop")</f>
        <v>0</v>
      </c>
      <c r="AA348">
        <f t="shared" si="60"/>
        <v>0</v>
      </c>
      <c r="AB348" s="26">
        <f t="shared" si="61"/>
        <v>439</v>
      </c>
      <c r="AC348">
        <f t="shared" si="62"/>
        <v>0</v>
      </c>
    </row>
    <row r="349" spans="1:29" x14ac:dyDescent="0.2">
      <c r="A349">
        <v>177</v>
      </c>
      <c r="D349">
        <f t="shared" si="63"/>
        <v>1</v>
      </c>
      <c r="E349">
        <v>10</v>
      </c>
      <c r="F349" s="6" t="s">
        <v>437</v>
      </c>
      <c r="G349">
        <v>10</v>
      </c>
      <c r="H349" s="8" t="s">
        <v>483</v>
      </c>
      <c r="I349" t="s">
        <v>179</v>
      </c>
      <c r="J349">
        <v>99</v>
      </c>
      <c r="K349" t="s">
        <v>488</v>
      </c>
      <c r="L349" t="s">
        <v>282</v>
      </c>
      <c r="Q349">
        <f t="shared" si="57"/>
        <v>18977</v>
      </c>
      <c r="R349" t="str">
        <f t="shared" si="58"/>
        <v>Velodrome</v>
      </c>
      <c r="S349" t="str">
        <f t="shared" si="59"/>
        <v>HollowBrook</v>
      </c>
      <c r="T349" s="20">
        <f t="shared" si="53"/>
        <v>13</v>
      </c>
      <c r="U349">
        <f t="shared" si="54"/>
        <v>640</v>
      </c>
      <c r="V349">
        <f t="shared" si="55"/>
        <v>627</v>
      </c>
      <c r="W349" cm="1">
        <f t="array" ref="W349">_xlfn._xlws.FILTER(shifts!A:A,(shifts!B:B=events!D349)*(shifts!AH:AH&gt;=events!U349)*(shifts!AI:AI&lt;=events!V349))</f>
        <v>10</v>
      </c>
      <c r="X349" t="str">
        <f t="shared" si="56"/>
        <v>event_team_player_1</v>
      </c>
      <c r="Y349">
        <f>COUNTIFS(A$3:A349,"="&amp;A349,K$3:K349,"="&amp;K349)</f>
        <v>1</v>
      </c>
      <c r="Z349" s="20">
        <f>SUMIFS(T$3:T349,L$3:L349,"=Intermission")+SUMIFS(T$3:T349,L$3:L349,"=Timeout")+SUMIFS(T$3:T349,L$3:L349,"=Clockstop")</f>
        <v>0</v>
      </c>
      <c r="AA349">
        <f t="shared" si="60"/>
        <v>0</v>
      </c>
      <c r="AB349" s="26">
        <f t="shared" si="61"/>
        <v>440</v>
      </c>
      <c r="AC349">
        <f t="shared" si="62"/>
        <v>0</v>
      </c>
    </row>
    <row r="350" spans="1:29" x14ac:dyDescent="0.2">
      <c r="A350">
        <v>178</v>
      </c>
      <c r="D350">
        <f t="shared" si="63"/>
        <v>1</v>
      </c>
      <c r="E350">
        <v>10</v>
      </c>
      <c r="F350" s="6" t="s">
        <v>483</v>
      </c>
      <c r="I350" t="s">
        <v>179</v>
      </c>
      <c r="J350">
        <v>26</v>
      </c>
      <c r="K350" t="s">
        <v>488</v>
      </c>
      <c r="L350" t="s">
        <v>6</v>
      </c>
      <c r="M350" t="s">
        <v>275</v>
      </c>
      <c r="Q350">
        <f t="shared" si="57"/>
        <v>18977</v>
      </c>
      <c r="R350" t="str">
        <f t="shared" si="58"/>
        <v>Velodrome</v>
      </c>
      <c r="S350" t="str">
        <f t="shared" si="59"/>
        <v>HollowBrook</v>
      </c>
      <c r="T350" s="20">
        <f t="shared" si="53"/>
        <v>0</v>
      </c>
      <c r="U350">
        <f t="shared" si="54"/>
        <v>627</v>
      </c>
      <c r="V350">
        <f t="shared" si="55"/>
        <v>627</v>
      </c>
      <c r="W350" cm="1">
        <f t="array" ref="W350">_xlfn._xlws.FILTER(shifts!A:A,(shifts!B:B=events!D350)*(shifts!AH:AH&gt;=events!U350)*(shifts!AI:AI&lt;=events!V350))</f>
        <v>10</v>
      </c>
      <c r="X350" t="str">
        <f t="shared" si="56"/>
        <v>event_team_player_1</v>
      </c>
      <c r="Y350">
        <f>COUNTIFS(A$3:A350,"="&amp;A350,K$3:K350,"="&amp;K350)</f>
        <v>1</v>
      </c>
      <c r="Z350" s="20">
        <f>SUMIFS(T$3:T350,L$3:L350,"=Intermission")+SUMIFS(T$3:T350,L$3:L350,"=Timeout")+SUMIFS(T$3:T350,L$3:L350,"=Clockstop")</f>
        <v>0</v>
      </c>
      <c r="AA350">
        <f t="shared" si="60"/>
        <v>0</v>
      </c>
      <c r="AB350" s="26">
        <f t="shared" si="61"/>
        <v>453</v>
      </c>
      <c r="AC350">
        <f t="shared" si="62"/>
        <v>0</v>
      </c>
    </row>
    <row r="351" spans="1:29" x14ac:dyDescent="0.2">
      <c r="A351">
        <v>178</v>
      </c>
      <c r="D351">
        <f t="shared" si="63"/>
        <v>1</v>
      </c>
      <c r="E351">
        <v>10</v>
      </c>
      <c r="F351" s="6" t="s">
        <v>483</v>
      </c>
      <c r="I351" t="s">
        <v>179</v>
      </c>
      <c r="J351">
        <v>42</v>
      </c>
      <c r="K351" t="s">
        <v>489</v>
      </c>
      <c r="L351" t="s">
        <v>6</v>
      </c>
      <c r="M351" t="s">
        <v>275</v>
      </c>
      <c r="Q351">
        <f t="shared" si="57"/>
        <v>18977</v>
      </c>
      <c r="R351" t="str">
        <f t="shared" si="58"/>
        <v>Velodrome</v>
      </c>
      <c r="S351" t="str">
        <f t="shared" si="59"/>
        <v>HollowBrook</v>
      </c>
      <c r="T351" s="20">
        <f t="shared" si="53"/>
        <v>0</v>
      </c>
      <c r="U351">
        <f t="shared" si="54"/>
        <v>627</v>
      </c>
      <c r="V351">
        <f t="shared" si="55"/>
        <v>627</v>
      </c>
      <c r="W351" cm="1">
        <f t="array" ref="W351">_xlfn._xlws.FILTER(shifts!A:A,(shifts!B:B=events!D351)*(shifts!AH:AH&gt;=events!U351)*(shifts!AI:AI&lt;=events!V351))</f>
        <v>10</v>
      </c>
      <c r="X351" t="str">
        <f t="shared" si="56"/>
        <v>opp_team_player_1</v>
      </c>
      <c r="Y351">
        <f>COUNTIFS(A$3:A351,"="&amp;A351,K$3:K351,"="&amp;K351)</f>
        <v>1</v>
      </c>
      <c r="Z351" s="20">
        <f>SUMIFS(T$3:T351,L$3:L351,"=Intermission")+SUMIFS(T$3:T351,L$3:L351,"=Timeout")+SUMIFS(T$3:T351,L$3:L351,"=Clockstop")</f>
        <v>0</v>
      </c>
      <c r="AA351">
        <f t="shared" si="60"/>
        <v>0</v>
      </c>
      <c r="AB351" s="26">
        <f t="shared" si="61"/>
        <v>453</v>
      </c>
      <c r="AC351">
        <f t="shared" si="62"/>
        <v>0</v>
      </c>
    </row>
    <row r="352" spans="1:29" x14ac:dyDescent="0.2">
      <c r="A352">
        <v>179</v>
      </c>
      <c r="D352">
        <f t="shared" si="63"/>
        <v>1</v>
      </c>
      <c r="E352">
        <v>10</v>
      </c>
      <c r="F352" s="6" t="s">
        <v>443</v>
      </c>
      <c r="I352" t="s">
        <v>179</v>
      </c>
      <c r="J352">
        <v>33</v>
      </c>
      <c r="K352" t="s">
        <v>488</v>
      </c>
      <c r="L352" t="s">
        <v>10</v>
      </c>
      <c r="M352" t="s">
        <v>190</v>
      </c>
      <c r="N352" t="s">
        <v>479</v>
      </c>
      <c r="Q352">
        <f t="shared" si="57"/>
        <v>18977</v>
      </c>
      <c r="R352" t="str">
        <f t="shared" si="58"/>
        <v>Velodrome</v>
      </c>
      <c r="S352" t="str">
        <f t="shared" si="59"/>
        <v>HollowBrook</v>
      </c>
      <c r="T352" s="20">
        <f t="shared" si="53"/>
        <v>0</v>
      </c>
      <c r="U352">
        <f t="shared" si="54"/>
        <v>626</v>
      </c>
      <c r="V352">
        <f t="shared" si="55"/>
        <v>626</v>
      </c>
      <c r="W352" cm="1">
        <f t="array" ref="W352">_xlfn._xlws.FILTER(shifts!A:A,(shifts!B:B=events!D352)*(shifts!AH:AH&gt;=events!U352)*(shifts!AI:AI&lt;=events!V352))</f>
        <v>10</v>
      </c>
      <c r="X352" t="str">
        <f t="shared" si="56"/>
        <v>event_team_player_1</v>
      </c>
      <c r="Y352">
        <f>COUNTIFS(A$3:A352,"="&amp;A352,K$3:K352,"="&amp;K352)</f>
        <v>1</v>
      </c>
      <c r="Z352" s="20">
        <f>SUMIFS(T$3:T352,L$3:L352,"=Intermission")+SUMIFS(T$3:T352,L$3:L352,"=Timeout")+SUMIFS(T$3:T352,L$3:L352,"=Clockstop")</f>
        <v>0</v>
      </c>
      <c r="AA352">
        <f t="shared" si="60"/>
        <v>0</v>
      </c>
      <c r="AB352" s="26">
        <f t="shared" si="61"/>
        <v>454</v>
      </c>
      <c r="AC352">
        <f t="shared" si="62"/>
        <v>0</v>
      </c>
    </row>
    <row r="353" spans="1:29" x14ac:dyDescent="0.2">
      <c r="A353">
        <v>180</v>
      </c>
      <c r="D353">
        <f t="shared" si="63"/>
        <v>1</v>
      </c>
      <c r="E353">
        <v>10</v>
      </c>
      <c r="F353" s="6" t="s">
        <v>484</v>
      </c>
      <c r="I353" t="s">
        <v>178</v>
      </c>
      <c r="J353">
        <v>87</v>
      </c>
      <c r="K353" t="s">
        <v>488</v>
      </c>
      <c r="L353" t="s">
        <v>10</v>
      </c>
      <c r="M353" t="s">
        <v>190</v>
      </c>
      <c r="N353" t="s">
        <v>73</v>
      </c>
      <c r="Q353">
        <f t="shared" si="57"/>
        <v>18977</v>
      </c>
      <c r="R353" t="str">
        <f t="shared" si="58"/>
        <v>Velodrome</v>
      </c>
      <c r="S353" t="str">
        <f t="shared" si="59"/>
        <v>HollowBrook</v>
      </c>
      <c r="T353" s="20">
        <f t="shared" si="53"/>
        <v>0</v>
      </c>
      <c r="U353">
        <f t="shared" si="54"/>
        <v>622</v>
      </c>
      <c r="V353">
        <f t="shared" si="55"/>
        <v>622</v>
      </c>
      <c r="W353" cm="1">
        <f t="array" ref="W353">_xlfn._xlws.FILTER(shifts!A:A,(shifts!B:B=events!D353)*(shifts!AH:AH&gt;=events!U353)*(shifts!AI:AI&lt;=events!V353))</f>
        <v>10</v>
      </c>
      <c r="X353" t="str">
        <f t="shared" si="56"/>
        <v>event_team_player_1</v>
      </c>
      <c r="Y353">
        <f>COUNTIFS(A$3:A353,"="&amp;A353,K$3:K353,"="&amp;K353)</f>
        <v>1</v>
      </c>
      <c r="Z353" s="20">
        <f>SUMIFS(T$3:T353,L$3:L353,"=Intermission")+SUMIFS(T$3:T353,L$3:L353,"=Timeout")+SUMIFS(T$3:T353,L$3:L353,"=Clockstop")</f>
        <v>0</v>
      </c>
      <c r="AA353">
        <f t="shared" si="60"/>
        <v>0</v>
      </c>
      <c r="AB353" s="26">
        <f t="shared" si="61"/>
        <v>458</v>
      </c>
      <c r="AC353">
        <f t="shared" si="62"/>
        <v>0</v>
      </c>
    </row>
    <row r="354" spans="1:29" x14ac:dyDescent="0.2">
      <c r="A354">
        <v>181</v>
      </c>
      <c r="D354">
        <f t="shared" si="63"/>
        <v>1</v>
      </c>
      <c r="E354">
        <v>10</v>
      </c>
      <c r="F354" s="6" t="s">
        <v>422</v>
      </c>
      <c r="I354" t="s">
        <v>179</v>
      </c>
      <c r="J354">
        <v>26</v>
      </c>
      <c r="K354" t="s">
        <v>488</v>
      </c>
      <c r="L354" t="s">
        <v>277</v>
      </c>
      <c r="M354" t="s">
        <v>201</v>
      </c>
      <c r="N354" t="s">
        <v>92</v>
      </c>
      <c r="Q354">
        <f t="shared" si="57"/>
        <v>18977</v>
      </c>
      <c r="R354" t="str">
        <f t="shared" si="58"/>
        <v>Velodrome</v>
      </c>
      <c r="S354" t="str">
        <f t="shared" si="59"/>
        <v>HollowBrook</v>
      </c>
      <c r="T354" s="20">
        <f t="shared" si="53"/>
        <v>0</v>
      </c>
      <c r="U354">
        <f t="shared" si="54"/>
        <v>620</v>
      </c>
      <c r="V354">
        <f t="shared" si="55"/>
        <v>620</v>
      </c>
      <c r="W354" cm="1">
        <f t="array" ref="W354">_xlfn._xlws.FILTER(shifts!A:A,(shifts!B:B=events!D354)*(shifts!AH:AH&gt;=events!U354)*(shifts!AI:AI&lt;=events!V354))</f>
        <v>10</v>
      </c>
      <c r="X354" t="str">
        <f t="shared" si="56"/>
        <v>event_team_player_1</v>
      </c>
      <c r="Y354">
        <f>COUNTIFS(A$3:A354,"="&amp;A354,K$3:K354,"="&amp;K354)</f>
        <v>1</v>
      </c>
      <c r="Z354" s="20">
        <f>SUMIFS(T$3:T354,L$3:L354,"=Intermission")+SUMIFS(T$3:T354,L$3:L354,"=Timeout")+SUMIFS(T$3:T354,L$3:L354,"=Clockstop")</f>
        <v>0</v>
      </c>
      <c r="AA354">
        <f t="shared" si="60"/>
        <v>0</v>
      </c>
      <c r="AB354" s="26">
        <f t="shared" si="61"/>
        <v>460</v>
      </c>
      <c r="AC354">
        <f t="shared" si="62"/>
        <v>0</v>
      </c>
    </row>
    <row r="355" spans="1:29" x14ac:dyDescent="0.2">
      <c r="A355">
        <v>182</v>
      </c>
      <c r="D355">
        <f t="shared" si="63"/>
        <v>1</v>
      </c>
      <c r="E355">
        <v>10</v>
      </c>
      <c r="F355" s="6" t="s">
        <v>422</v>
      </c>
      <c r="I355" t="s">
        <v>179</v>
      </c>
      <c r="J355">
        <v>26</v>
      </c>
      <c r="K355" t="s">
        <v>488</v>
      </c>
      <c r="L355" t="s">
        <v>10</v>
      </c>
      <c r="M355" t="s">
        <v>190</v>
      </c>
      <c r="N355" t="s">
        <v>460</v>
      </c>
      <c r="Q355">
        <f t="shared" si="57"/>
        <v>18977</v>
      </c>
      <c r="R355" t="str">
        <f t="shared" si="58"/>
        <v>Velodrome</v>
      </c>
      <c r="S355" t="str">
        <f t="shared" si="59"/>
        <v>HollowBrook</v>
      </c>
      <c r="T355" s="20">
        <f t="shared" si="53"/>
        <v>0</v>
      </c>
      <c r="U355">
        <f t="shared" si="54"/>
        <v>620</v>
      </c>
      <c r="V355">
        <f t="shared" si="55"/>
        <v>620</v>
      </c>
      <c r="W355" cm="1">
        <f t="array" ref="W355">_xlfn._xlws.FILTER(shifts!A:A,(shifts!B:B=events!D355)*(shifts!AH:AH&gt;=events!U355)*(shifts!AI:AI&lt;=events!V355))</f>
        <v>10</v>
      </c>
      <c r="X355" t="str">
        <f t="shared" si="56"/>
        <v>event_team_player_1</v>
      </c>
      <c r="Y355">
        <f>COUNTIFS(A$3:A355,"="&amp;A355,K$3:K355,"="&amp;K355)</f>
        <v>1</v>
      </c>
      <c r="Z355" s="20">
        <f>SUMIFS(T$3:T355,L$3:L355,"=Intermission")+SUMIFS(T$3:T355,L$3:L355,"=Timeout")+SUMIFS(T$3:T355,L$3:L355,"=Clockstop")</f>
        <v>0</v>
      </c>
      <c r="AA355">
        <f t="shared" si="60"/>
        <v>0</v>
      </c>
      <c r="AB355" s="26">
        <f t="shared" si="61"/>
        <v>460</v>
      </c>
      <c r="AC355">
        <f t="shared" si="62"/>
        <v>0</v>
      </c>
    </row>
    <row r="356" spans="1:29" x14ac:dyDescent="0.2">
      <c r="A356">
        <v>183</v>
      </c>
      <c r="D356">
        <f t="shared" si="63"/>
        <v>1</v>
      </c>
      <c r="E356">
        <v>10</v>
      </c>
      <c r="F356" s="6" t="s">
        <v>485</v>
      </c>
      <c r="G356">
        <v>10</v>
      </c>
      <c r="H356" s="8" t="s">
        <v>447</v>
      </c>
      <c r="I356" t="s">
        <v>178</v>
      </c>
      <c r="J356">
        <v>22</v>
      </c>
      <c r="K356" t="s">
        <v>488</v>
      </c>
      <c r="L356" t="s">
        <v>15</v>
      </c>
      <c r="Q356">
        <f t="shared" si="57"/>
        <v>18977</v>
      </c>
      <c r="R356" t="str">
        <f t="shared" si="58"/>
        <v>Velodrome</v>
      </c>
      <c r="S356" t="str">
        <f t="shared" si="59"/>
        <v>HollowBrook</v>
      </c>
      <c r="T356" s="20">
        <f t="shared" si="53"/>
        <v>3</v>
      </c>
      <c r="U356">
        <f t="shared" si="54"/>
        <v>618</v>
      </c>
      <c r="V356">
        <f t="shared" si="55"/>
        <v>615</v>
      </c>
      <c r="W356" cm="1">
        <f t="array" ref="W356">_xlfn._xlws.FILTER(shifts!A:A,(shifts!B:B=events!D356)*(shifts!AH:AH&gt;=events!U356)*(shifts!AI:AI&lt;=events!V356))</f>
        <v>10</v>
      </c>
      <c r="X356" t="str">
        <f t="shared" si="56"/>
        <v>event_team_player_1</v>
      </c>
      <c r="Y356">
        <f>COUNTIFS(A$3:A356,"="&amp;A356,K$3:K356,"="&amp;K356)</f>
        <v>1</v>
      </c>
      <c r="Z356" s="20">
        <f>SUMIFS(T$3:T356,L$3:L356,"=Intermission")+SUMIFS(T$3:T356,L$3:L356,"=Timeout")+SUMIFS(T$3:T356,L$3:L356,"=Clockstop")</f>
        <v>0</v>
      </c>
      <c r="AA356">
        <f t="shared" si="60"/>
        <v>0</v>
      </c>
      <c r="AB356" s="26">
        <f t="shared" si="61"/>
        <v>462</v>
      </c>
      <c r="AC356">
        <f t="shared" si="62"/>
        <v>0</v>
      </c>
    </row>
    <row r="357" spans="1:29" x14ac:dyDescent="0.2">
      <c r="A357">
        <v>184</v>
      </c>
      <c r="D357">
        <f t="shared" si="63"/>
        <v>1</v>
      </c>
      <c r="E357">
        <v>10</v>
      </c>
      <c r="F357" s="6" t="s">
        <v>423</v>
      </c>
      <c r="I357" t="s">
        <v>178</v>
      </c>
      <c r="J357">
        <v>22</v>
      </c>
      <c r="K357" t="s">
        <v>488</v>
      </c>
      <c r="L357" t="s">
        <v>10</v>
      </c>
      <c r="M357" t="s">
        <v>190</v>
      </c>
      <c r="N357" t="s">
        <v>479</v>
      </c>
      <c r="Q357">
        <f t="shared" si="57"/>
        <v>18977</v>
      </c>
      <c r="R357" t="str">
        <f t="shared" si="58"/>
        <v>Velodrome</v>
      </c>
      <c r="S357" t="str">
        <f t="shared" si="59"/>
        <v>HollowBrook</v>
      </c>
      <c r="T357" s="20">
        <f t="shared" si="53"/>
        <v>0</v>
      </c>
      <c r="U357">
        <f t="shared" si="54"/>
        <v>614</v>
      </c>
      <c r="V357">
        <f t="shared" si="55"/>
        <v>614</v>
      </c>
      <c r="W357" cm="1">
        <f t="array" ref="W357">_xlfn._xlws.FILTER(shifts!A:A,(shifts!B:B=events!D357)*(shifts!AH:AH&gt;=events!U357)*(shifts!AI:AI&lt;=events!V357))</f>
        <v>10</v>
      </c>
      <c r="X357" t="str">
        <f t="shared" si="56"/>
        <v>event_team_player_1</v>
      </c>
      <c r="Y357">
        <f>COUNTIFS(A$3:A357,"="&amp;A357,K$3:K357,"="&amp;K357)</f>
        <v>1</v>
      </c>
      <c r="Z357" s="20">
        <f>SUMIFS(T$3:T357,L$3:L357,"=Intermission")+SUMIFS(T$3:T357,L$3:L357,"=Timeout")+SUMIFS(T$3:T357,L$3:L357,"=Clockstop")</f>
        <v>0</v>
      </c>
      <c r="AA357">
        <f t="shared" si="60"/>
        <v>0</v>
      </c>
      <c r="AB357" s="26">
        <f t="shared" si="61"/>
        <v>466</v>
      </c>
      <c r="AC357">
        <f t="shared" si="62"/>
        <v>0</v>
      </c>
    </row>
    <row r="358" spans="1:29" x14ac:dyDescent="0.2">
      <c r="A358">
        <v>184</v>
      </c>
      <c r="D358">
        <f t="shared" si="63"/>
        <v>1</v>
      </c>
      <c r="E358">
        <v>10</v>
      </c>
      <c r="F358" s="6" t="s">
        <v>423</v>
      </c>
      <c r="I358" t="s">
        <v>178</v>
      </c>
      <c r="J358">
        <v>26</v>
      </c>
      <c r="K358" t="s">
        <v>489</v>
      </c>
      <c r="L358" t="s">
        <v>10</v>
      </c>
      <c r="M358" t="s">
        <v>190</v>
      </c>
      <c r="N358" t="s">
        <v>479</v>
      </c>
      <c r="Q358">
        <f t="shared" si="57"/>
        <v>18977</v>
      </c>
      <c r="R358" t="str">
        <f t="shared" si="58"/>
        <v>Velodrome</v>
      </c>
      <c r="S358" t="str">
        <f t="shared" si="59"/>
        <v>HollowBrook</v>
      </c>
      <c r="T358" s="20">
        <f t="shared" si="53"/>
        <v>0</v>
      </c>
      <c r="U358">
        <f t="shared" si="54"/>
        <v>614</v>
      </c>
      <c r="V358">
        <f t="shared" si="55"/>
        <v>614</v>
      </c>
      <c r="W358" cm="1">
        <f t="array" ref="W358">_xlfn._xlws.FILTER(shifts!A:A,(shifts!B:B=events!D358)*(shifts!AH:AH&gt;=events!U358)*(shifts!AI:AI&lt;=events!V358))</f>
        <v>10</v>
      </c>
      <c r="X358" t="str">
        <f t="shared" si="56"/>
        <v>opp_team_player_1</v>
      </c>
      <c r="Y358">
        <f>COUNTIFS(A$3:A358,"="&amp;A358,K$3:K358,"="&amp;K358)</f>
        <v>1</v>
      </c>
      <c r="Z358" s="20">
        <f>SUMIFS(T$3:T358,L$3:L358,"=Intermission")+SUMIFS(T$3:T358,L$3:L358,"=Timeout")+SUMIFS(T$3:T358,L$3:L358,"=Clockstop")</f>
        <v>0</v>
      </c>
      <c r="AA358">
        <f t="shared" si="60"/>
        <v>0</v>
      </c>
      <c r="AB358" s="26">
        <f t="shared" si="61"/>
        <v>466</v>
      </c>
      <c r="AC358">
        <f t="shared" si="62"/>
        <v>0</v>
      </c>
    </row>
    <row r="359" spans="1:29" x14ac:dyDescent="0.2">
      <c r="A359">
        <v>185</v>
      </c>
      <c r="D359">
        <f t="shared" si="63"/>
        <v>1</v>
      </c>
      <c r="E359">
        <v>10</v>
      </c>
      <c r="F359" s="6" t="s">
        <v>317</v>
      </c>
      <c r="I359" t="s">
        <v>179</v>
      </c>
      <c r="J359">
        <v>26</v>
      </c>
      <c r="K359" t="s">
        <v>488</v>
      </c>
      <c r="L359" t="s">
        <v>10</v>
      </c>
      <c r="M359" t="s">
        <v>190</v>
      </c>
      <c r="N359" t="s">
        <v>73</v>
      </c>
      <c r="Q359">
        <f t="shared" si="57"/>
        <v>18977</v>
      </c>
      <c r="R359" t="str">
        <f t="shared" si="58"/>
        <v>Velodrome</v>
      </c>
      <c r="S359" t="str">
        <f t="shared" si="59"/>
        <v>HollowBrook</v>
      </c>
      <c r="T359" s="20">
        <f t="shared" si="53"/>
        <v>0</v>
      </c>
      <c r="U359">
        <f t="shared" si="54"/>
        <v>613</v>
      </c>
      <c r="V359">
        <f t="shared" si="55"/>
        <v>613</v>
      </c>
      <c r="W359" cm="1">
        <f t="array" ref="W359">_xlfn._xlws.FILTER(shifts!A:A,(shifts!B:B=events!D359)*(shifts!AH:AH&gt;=events!U359)*(shifts!AI:AI&lt;=events!V359))</f>
        <v>10</v>
      </c>
      <c r="X359" t="str">
        <f t="shared" si="56"/>
        <v>event_team_player_1</v>
      </c>
      <c r="Y359">
        <f>COUNTIFS(A$3:A359,"="&amp;A359,K$3:K359,"="&amp;K359)</f>
        <v>1</v>
      </c>
      <c r="Z359" s="20">
        <f>SUMIFS(T$3:T359,L$3:L359,"=Intermission")+SUMIFS(T$3:T359,L$3:L359,"=Timeout")+SUMIFS(T$3:T359,L$3:L359,"=Clockstop")</f>
        <v>0</v>
      </c>
      <c r="AA359">
        <f t="shared" si="60"/>
        <v>0</v>
      </c>
      <c r="AB359" s="26">
        <f t="shared" si="61"/>
        <v>467</v>
      </c>
      <c r="AC359">
        <f t="shared" si="62"/>
        <v>0</v>
      </c>
    </row>
    <row r="360" spans="1:29" x14ac:dyDescent="0.2">
      <c r="A360">
        <v>186</v>
      </c>
      <c r="D360">
        <f t="shared" si="63"/>
        <v>1</v>
      </c>
      <c r="E360">
        <v>10</v>
      </c>
      <c r="F360" s="6" t="s">
        <v>449</v>
      </c>
      <c r="I360" t="s">
        <v>178</v>
      </c>
      <c r="J360">
        <v>49</v>
      </c>
      <c r="K360" t="s">
        <v>488</v>
      </c>
      <c r="L360" t="s">
        <v>10</v>
      </c>
      <c r="M360" t="s">
        <v>190</v>
      </c>
      <c r="N360" t="s">
        <v>73</v>
      </c>
      <c r="Q360">
        <f t="shared" si="57"/>
        <v>18977</v>
      </c>
      <c r="R360" t="str">
        <f t="shared" si="58"/>
        <v>Velodrome</v>
      </c>
      <c r="S360" t="str">
        <f t="shared" si="59"/>
        <v>HollowBrook</v>
      </c>
      <c r="T360" s="20">
        <f t="shared" si="53"/>
        <v>0</v>
      </c>
      <c r="U360">
        <f t="shared" si="54"/>
        <v>612</v>
      </c>
      <c r="V360">
        <f t="shared" si="55"/>
        <v>612</v>
      </c>
      <c r="W360" cm="1">
        <f t="array" ref="W360">_xlfn._xlws.FILTER(shifts!A:A,(shifts!B:B=events!D360)*(shifts!AH:AH&gt;=events!U360)*(shifts!AI:AI&lt;=events!V360))</f>
        <v>10</v>
      </c>
      <c r="X360" t="str">
        <f t="shared" si="56"/>
        <v>event_team_player_1</v>
      </c>
      <c r="Y360">
        <f>COUNTIFS(A$3:A360,"="&amp;A360,K$3:K360,"="&amp;K360)</f>
        <v>1</v>
      </c>
      <c r="Z360" s="20">
        <f>SUMIFS(T$3:T360,L$3:L360,"=Intermission")+SUMIFS(T$3:T360,L$3:L360,"=Timeout")+SUMIFS(T$3:T360,L$3:L360,"=Clockstop")</f>
        <v>0</v>
      </c>
      <c r="AA360">
        <f t="shared" si="60"/>
        <v>0</v>
      </c>
      <c r="AB360" s="26">
        <f t="shared" si="61"/>
        <v>468</v>
      </c>
      <c r="AC360">
        <f t="shared" si="62"/>
        <v>0</v>
      </c>
    </row>
    <row r="361" spans="1:29" x14ac:dyDescent="0.2">
      <c r="A361">
        <v>187</v>
      </c>
      <c r="D361">
        <f t="shared" si="63"/>
        <v>1</v>
      </c>
      <c r="E361">
        <v>10</v>
      </c>
      <c r="F361" s="6" t="s">
        <v>486</v>
      </c>
      <c r="G361">
        <v>10</v>
      </c>
      <c r="H361" s="8" t="s">
        <v>313</v>
      </c>
      <c r="I361" t="s">
        <v>179</v>
      </c>
      <c r="J361">
        <v>13</v>
      </c>
      <c r="K361" t="s">
        <v>488</v>
      </c>
      <c r="L361" t="s">
        <v>277</v>
      </c>
      <c r="M361" t="s">
        <v>191</v>
      </c>
      <c r="N361" t="s">
        <v>87</v>
      </c>
      <c r="Q361">
        <f t="shared" si="57"/>
        <v>18977</v>
      </c>
      <c r="R361" t="str">
        <f t="shared" si="58"/>
        <v>Velodrome</v>
      </c>
      <c r="S361" t="str">
        <f t="shared" si="59"/>
        <v>HollowBrook</v>
      </c>
      <c r="T361" s="20">
        <f t="shared" si="53"/>
        <v>3</v>
      </c>
      <c r="U361">
        <f t="shared" si="54"/>
        <v>611</v>
      </c>
      <c r="V361">
        <f t="shared" si="55"/>
        <v>608</v>
      </c>
      <c r="W361" cm="1">
        <f t="array" ref="W361">_xlfn._xlws.FILTER(shifts!A:A,(shifts!B:B=events!D361)*(shifts!AH:AH&gt;=events!U361)*(shifts!AI:AI&lt;=events!V361))</f>
        <v>10</v>
      </c>
      <c r="X361" t="str">
        <f t="shared" si="56"/>
        <v>event_team_player_1</v>
      </c>
      <c r="Y361">
        <f>COUNTIFS(A$3:A361,"="&amp;A361,K$3:K361,"="&amp;K361)</f>
        <v>1</v>
      </c>
      <c r="Z361" s="20">
        <f>SUMIFS(T$3:T361,L$3:L361,"=Intermission")+SUMIFS(T$3:T361,L$3:L361,"=Timeout")+SUMIFS(T$3:T361,L$3:L361,"=Clockstop")</f>
        <v>0</v>
      </c>
      <c r="AA361">
        <f t="shared" si="60"/>
        <v>0</v>
      </c>
      <c r="AB361" s="26">
        <f t="shared" si="61"/>
        <v>469</v>
      </c>
      <c r="AC361">
        <f t="shared" si="62"/>
        <v>0</v>
      </c>
    </row>
    <row r="362" spans="1:29" x14ac:dyDescent="0.2">
      <c r="A362">
        <v>187</v>
      </c>
      <c r="D362">
        <f t="shared" si="63"/>
        <v>1</v>
      </c>
      <c r="E362">
        <v>10</v>
      </c>
      <c r="F362" s="6" t="s">
        <v>486</v>
      </c>
      <c r="G362">
        <v>10</v>
      </c>
      <c r="H362" s="8" t="s">
        <v>313</v>
      </c>
      <c r="I362" t="s">
        <v>179</v>
      </c>
      <c r="J362">
        <v>26</v>
      </c>
      <c r="K362" t="s">
        <v>488</v>
      </c>
      <c r="L362" t="s">
        <v>277</v>
      </c>
      <c r="M362" t="s">
        <v>191</v>
      </c>
      <c r="N362" t="s">
        <v>87</v>
      </c>
      <c r="Q362">
        <f t="shared" si="57"/>
        <v>18977</v>
      </c>
      <c r="R362" t="str">
        <f t="shared" si="58"/>
        <v>Velodrome</v>
      </c>
      <c r="S362" t="str">
        <f t="shared" si="59"/>
        <v>HollowBrook</v>
      </c>
      <c r="T362" s="20">
        <f t="shared" si="53"/>
        <v>3</v>
      </c>
      <c r="U362">
        <f t="shared" si="54"/>
        <v>611</v>
      </c>
      <c r="V362">
        <f t="shared" si="55"/>
        <v>608</v>
      </c>
      <c r="W362" cm="1">
        <f t="array" ref="W362">_xlfn._xlws.FILTER(shifts!A:A,(shifts!B:B=events!D362)*(shifts!AH:AH&gt;=events!U362)*(shifts!AI:AI&lt;=events!V362))</f>
        <v>10</v>
      </c>
      <c r="X362" t="str">
        <f t="shared" si="56"/>
        <v>event_team_player_2</v>
      </c>
      <c r="Y362">
        <f>COUNTIFS(A$3:A362,"="&amp;A362,K$3:K362,"="&amp;K362)</f>
        <v>2</v>
      </c>
      <c r="Z362" s="20">
        <f>SUMIFS(T$3:T362,L$3:L362,"=Intermission")+SUMIFS(T$3:T362,L$3:L362,"=Timeout")+SUMIFS(T$3:T362,L$3:L362,"=Clockstop")</f>
        <v>0</v>
      </c>
      <c r="AA362">
        <f t="shared" si="60"/>
        <v>0</v>
      </c>
      <c r="AB362" s="26">
        <f t="shared" si="61"/>
        <v>469</v>
      </c>
      <c r="AC362">
        <f t="shared" si="62"/>
        <v>0</v>
      </c>
    </row>
    <row r="363" spans="1:29" x14ac:dyDescent="0.2">
      <c r="A363">
        <v>187</v>
      </c>
      <c r="D363">
        <f t="shared" si="63"/>
        <v>1</v>
      </c>
      <c r="E363">
        <v>10</v>
      </c>
      <c r="F363" s="6" t="s">
        <v>486</v>
      </c>
      <c r="G363">
        <v>10</v>
      </c>
      <c r="H363" s="8" t="s">
        <v>313</v>
      </c>
      <c r="I363" t="s">
        <v>179</v>
      </c>
      <c r="J363">
        <v>75</v>
      </c>
      <c r="K363" t="s">
        <v>489</v>
      </c>
      <c r="L363" t="s">
        <v>277</v>
      </c>
      <c r="M363" t="s">
        <v>191</v>
      </c>
      <c r="N363" t="s">
        <v>87</v>
      </c>
      <c r="Q363">
        <f t="shared" si="57"/>
        <v>18977</v>
      </c>
      <c r="R363" t="str">
        <f t="shared" si="58"/>
        <v>Velodrome</v>
      </c>
      <c r="S363" t="str">
        <f t="shared" si="59"/>
        <v>HollowBrook</v>
      </c>
      <c r="T363" s="20">
        <f t="shared" si="53"/>
        <v>3</v>
      </c>
      <c r="U363">
        <f t="shared" si="54"/>
        <v>611</v>
      </c>
      <c r="V363">
        <f t="shared" si="55"/>
        <v>608</v>
      </c>
      <c r="W363" cm="1">
        <f t="array" ref="W363">_xlfn._xlws.FILTER(shifts!A:A,(shifts!B:B=events!D363)*(shifts!AH:AH&gt;=events!U363)*(shifts!AI:AI&lt;=events!V363))</f>
        <v>10</v>
      </c>
      <c r="X363" t="str">
        <f t="shared" si="56"/>
        <v>opp_team_player_1</v>
      </c>
      <c r="Y363">
        <f>COUNTIFS(A$3:A363,"="&amp;A363,K$3:K363,"="&amp;K363)</f>
        <v>1</v>
      </c>
      <c r="Z363" s="20">
        <f>SUMIFS(T$3:T363,L$3:L363,"=Intermission")+SUMIFS(T$3:T363,L$3:L363,"=Timeout")+SUMIFS(T$3:T363,L$3:L363,"=Clockstop")</f>
        <v>0</v>
      </c>
      <c r="AA363">
        <f t="shared" si="60"/>
        <v>0</v>
      </c>
      <c r="AB363" s="26">
        <f t="shared" si="61"/>
        <v>469</v>
      </c>
      <c r="AC363">
        <f t="shared" si="62"/>
        <v>0</v>
      </c>
    </row>
    <row r="364" spans="1:29" x14ac:dyDescent="0.2">
      <c r="A364">
        <v>187</v>
      </c>
      <c r="D364">
        <f t="shared" si="63"/>
        <v>1</v>
      </c>
      <c r="E364">
        <v>10</v>
      </c>
      <c r="F364" s="6" t="s">
        <v>486</v>
      </c>
      <c r="G364">
        <v>10</v>
      </c>
      <c r="H364" s="8" t="s">
        <v>313</v>
      </c>
      <c r="I364" t="s">
        <v>179</v>
      </c>
      <c r="J364">
        <v>49</v>
      </c>
      <c r="K364" t="s">
        <v>489</v>
      </c>
      <c r="L364" t="s">
        <v>277</v>
      </c>
      <c r="M364" t="s">
        <v>191</v>
      </c>
      <c r="N364" t="s">
        <v>87</v>
      </c>
      <c r="Q364">
        <f t="shared" si="57"/>
        <v>18977</v>
      </c>
      <c r="R364" t="str">
        <f t="shared" si="58"/>
        <v>Velodrome</v>
      </c>
      <c r="S364" t="str">
        <f t="shared" si="59"/>
        <v>HollowBrook</v>
      </c>
      <c r="T364" s="20">
        <f t="shared" si="53"/>
        <v>3</v>
      </c>
      <c r="U364">
        <f t="shared" si="54"/>
        <v>611</v>
      </c>
      <c r="V364">
        <f t="shared" si="55"/>
        <v>608</v>
      </c>
      <c r="W364" cm="1">
        <f t="array" ref="W364">_xlfn._xlws.FILTER(shifts!A:A,(shifts!B:B=events!D364)*(shifts!AH:AH&gt;=events!U364)*(shifts!AI:AI&lt;=events!V364))</f>
        <v>10</v>
      </c>
      <c r="X364" t="str">
        <f t="shared" si="56"/>
        <v>opp_team_player_2</v>
      </c>
      <c r="Y364">
        <f>COUNTIFS(A$3:A364,"="&amp;A364,K$3:K364,"="&amp;K364)</f>
        <v>2</v>
      </c>
      <c r="Z364" s="20">
        <f>SUMIFS(T$3:T364,L$3:L364,"=Intermission")+SUMIFS(T$3:T364,L$3:L364,"=Timeout")+SUMIFS(T$3:T364,L$3:L364,"=Clockstop")</f>
        <v>0</v>
      </c>
      <c r="AA364">
        <f t="shared" si="60"/>
        <v>0</v>
      </c>
      <c r="AB364" s="26">
        <f t="shared" si="61"/>
        <v>469</v>
      </c>
      <c r="AC364">
        <f t="shared" si="62"/>
        <v>0</v>
      </c>
    </row>
    <row r="365" spans="1:29" x14ac:dyDescent="0.2">
      <c r="A365">
        <v>188</v>
      </c>
      <c r="D365">
        <f t="shared" si="63"/>
        <v>1</v>
      </c>
      <c r="E365">
        <v>10</v>
      </c>
      <c r="F365" s="6" t="s">
        <v>309</v>
      </c>
      <c r="I365" t="s">
        <v>178</v>
      </c>
      <c r="J365">
        <v>49</v>
      </c>
      <c r="K365" t="s">
        <v>488</v>
      </c>
      <c r="L365" t="s">
        <v>12</v>
      </c>
      <c r="M365" t="s">
        <v>192</v>
      </c>
      <c r="N365" t="s">
        <v>141</v>
      </c>
      <c r="Q365">
        <f t="shared" si="57"/>
        <v>18977</v>
      </c>
      <c r="R365" t="str">
        <f t="shared" si="58"/>
        <v>Velodrome</v>
      </c>
      <c r="S365" t="str">
        <f t="shared" si="59"/>
        <v>HollowBrook</v>
      </c>
      <c r="T365" s="20">
        <f t="shared" si="53"/>
        <v>0</v>
      </c>
      <c r="U365">
        <f t="shared" si="54"/>
        <v>607</v>
      </c>
      <c r="V365">
        <f t="shared" si="55"/>
        <v>607</v>
      </c>
      <c r="W365" cm="1">
        <f t="array" ref="W365">_xlfn._xlws.FILTER(shifts!A:A,(shifts!B:B=events!D365)*(shifts!AH:AH&gt;=events!U365)*(shifts!AI:AI&lt;=events!V365))</f>
        <v>11</v>
      </c>
      <c r="X365" t="str">
        <f t="shared" si="56"/>
        <v>event_team_player_1</v>
      </c>
      <c r="Y365">
        <f>COUNTIFS(A$3:A365,"="&amp;A365,K$3:K365,"="&amp;K365)</f>
        <v>1</v>
      </c>
      <c r="Z365" s="20">
        <f>SUMIFS(T$3:T365,L$3:L365,"=Intermission")+SUMIFS(T$3:T365,L$3:L365,"=Timeout")+SUMIFS(T$3:T365,L$3:L365,"=Clockstop")</f>
        <v>0</v>
      </c>
      <c r="AA365">
        <f t="shared" si="60"/>
        <v>0</v>
      </c>
      <c r="AB365" s="26">
        <f t="shared" si="61"/>
        <v>473</v>
      </c>
      <c r="AC365">
        <f t="shared" si="62"/>
        <v>0</v>
      </c>
    </row>
    <row r="366" spans="1:29" x14ac:dyDescent="0.2">
      <c r="A366">
        <v>188</v>
      </c>
      <c r="D366">
        <f t="shared" si="63"/>
        <v>1</v>
      </c>
      <c r="E366">
        <v>10</v>
      </c>
      <c r="F366" s="6" t="s">
        <v>309</v>
      </c>
      <c r="I366" t="s">
        <v>178</v>
      </c>
      <c r="J366">
        <v>13</v>
      </c>
      <c r="K366" t="s">
        <v>489</v>
      </c>
      <c r="L366" t="s">
        <v>12</v>
      </c>
      <c r="M366" t="s">
        <v>192</v>
      </c>
      <c r="N366" t="s">
        <v>141</v>
      </c>
      <c r="Q366">
        <f t="shared" si="57"/>
        <v>18977</v>
      </c>
      <c r="R366" t="str">
        <f t="shared" si="58"/>
        <v>Velodrome</v>
      </c>
      <c r="S366" t="str">
        <f t="shared" si="59"/>
        <v>HollowBrook</v>
      </c>
      <c r="T366" s="20">
        <f t="shared" si="53"/>
        <v>0</v>
      </c>
      <c r="U366">
        <f t="shared" si="54"/>
        <v>607</v>
      </c>
      <c r="V366">
        <f t="shared" si="55"/>
        <v>607</v>
      </c>
      <c r="W366" cm="1">
        <f t="array" ref="W366">_xlfn._xlws.FILTER(shifts!A:A,(shifts!B:B=events!D366)*(shifts!AH:AH&gt;=events!U366)*(shifts!AI:AI&lt;=events!V366))</f>
        <v>11</v>
      </c>
      <c r="X366" t="str">
        <f t="shared" si="56"/>
        <v>opp_team_player_1</v>
      </c>
      <c r="Y366">
        <f>COUNTIFS(A$3:A366,"="&amp;A366,K$3:K366,"="&amp;K366)</f>
        <v>1</v>
      </c>
      <c r="Z366" s="20">
        <f>SUMIFS(T$3:T366,L$3:L366,"=Intermission")+SUMIFS(T$3:T366,L$3:L366,"=Timeout")+SUMIFS(T$3:T366,L$3:L366,"=Clockstop")</f>
        <v>0</v>
      </c>
      <c r="AA366">
        <f t="shared" si="60"/>
        <v>0</v>
      </c>
      <c r="AB366" s="26">
        <f t="shared" si="61"/>
        <v>473</v>
      </c>
      <c r="AC366">
        <f t="shared" si="62"/>
        <v>0</v>
      </c>
    </row>
    <row r="367" spans="1:29" x14ac:dyDescent="0.2">
      <c r="A367">
        <v>189</v>
      </c>
      <c r="D367">
        <f t="shared" si="63"/>
        <v>1</v>
      </c>
      <c r="E367">
        <v>10</v>
      </c>
      <c r="F367" s="6" t="s">
        <v>309</v>
      </c>
      <c r="G367">
        <v>9</v>
      </c>
      <c r="H367" s="8" t="s">
        <v>438</v>
      </c>
      <c r="I367" t="s">
        <v>178</v>
      </c>
      <c r="J367">
        <v>49</v>
      </c>
      <c r="K367" t="s">
        <v>488</v>
      </c>
      <c r="L367" t="s">
        <v>282</v>
      </c>
      <c r="Q367">
        <f t="shared" si="57"/>
        <v>18977</v>
      </c>
      <c r="R367" t="str">
        <f t="shared" si="58"/>
        <v>Velodrome</v>
      </c>
      <c r="S367" t="str">
        <f t="shared" si="59"/>
        <v>HollowBrook</v>
      </c>
      <c r="T367" s="20">
        <f t="shared" si="53"/>
        <v>29</v>
      </c>
      <c r="U367">
        <f t="shared" si="54"/>
        <v>607</v>
      </c>
      <c r="V367">
        <f t="shared" si="55"/>
        <v>578</v>
      </c>
      <c r="W367" cm="1">
        <f t="array" ref="W367">_xlfn._xlws.FILTER(shifts!A:A,(shifts!B:B=events!D367)*(shifts!AH:AH&gt;=events!U367)*(shifts!AI:AI&lt;=events!V367))</f>
        <v>11</v>
      </c>
      <c r="X367" t="str">
        <f t="shared" si="56"/>
        <v>event_team_player_1</v>
      </c>
      <c r="Y367">
        <f>COUNTIFS(A$3:A367,"="&amp;A367,K$3:K367,"="&amp;K367)</f>
        <v>1</v>
      </c>
      <c r="Z367" s="20">
        <f>SUMIFS(T$3:T367,L$3:L367,"=Intermission")+SUMIFS(T$3:T367,L$3:L367,"=Timeout")+SUMIFS(T$3:T367,L$3:L367,"=Clockstop")</f>
        <v>0</v>
      </c>
      <c r="AA367">
        <f t="shared" si="60"/>
        <v>0</v>
      </c>
      <c r="AB367" s="26">
        <f t="shared" si="61"/>
        <v>473</v>
      </c>
      <c r="AC367">
        <f t="shared" si="62"/>
        <v>0</v>
      </c>
    </row>
    <row r="368" spans="1:29" x14ac:dyDescent="0.2">
      <c r="A368">
        <v>190</v>
      </c>
      <c r="D368">
        <f t="shared" si="63"/>
        <v>1</v>
      </c>
      <c r="E368">
        <v>9</v>
      </c>
      <c r="F368" s="6" t="s">
        <v>438</v>
      </c>
      <c r="I368" t="s">
        <v>178</v>
      </c>
      <c r="J368">
        <v>42</v>
      </c>
      <c r="K368" t="s">
        <v>488</v>
      </c>
      <c r="L368" t="s">
        <v>6</v>
      </c>
      <c r="M368" t="s">
        <v>197</v>
      </c>
      <c r="Q368">
        <f t="shared" si="57"/>
        <v>18977</v>
      </c>
      <c r="R368" t="str">
        <f t="shared" si="58"/>
        <v>Velodrome</v>
      </c>
      <c r="S368" t="str">
        <f t="shared" si="59"/>
        <v>HollowBrook</v>
      </c>
      <c r="T368" s="20">
        <f t="shared" si="53"/>
        <v>0</v>
      </c>
      <c r="U368">
        <f t="shared" si="54"/>
        <v>578</v>
      </c>
      <c r="V368">
        <f t="shared" si="55"/>
        <v>578</v>
      </c>
      <c r="W368" cm="1">
        <f t="array" ref="W368">_xlfn._xlws.FILTER(shifts!A:A,(shifts!B:B=events!D368)*(shifts!AH:AH&gt;=events!U368)*(shifts!AI:AI&lt;=events!V368))</f>
        <v>11</v>
      </c>
      <c r="X368" t="str">
        <f t="shared" si="56"/>
        <v>event_team_player_1</v>
      </c>
      <c r="Y368">
        <f>COUNTIFS(A$3:A368,"="&amp;A368,K$3:K368,"="&amp;K368)</f>
        <v>1</v>
      </c>
      <c r="Z368" s="20">
        <f>SUMIFS(T$3:T368,L$3:L368,"=Intermission")+SUMIFS(T$3:T368,L$3:L368,"=Timeout")+SUMIFS(T$3:T368,L$3:L368,"=Clockstop")</f>
        <v>0</v>
      </c>
      <c r="AA368">
        <f t="shared" si="60"/>
        <v>0</v>
      </c>
      <c r="AB368" s="26">
        <f t="shared" si="61"/>
        <v>502</v>
      </c>
      <c r="AC368">
        <f t="shared" si="62"/>
        <v>0</v>
      </c>
    </row>
    <row r="369" spans="1:29" x14ac:dyDescent="0.2">
      <c r="A369">
        <v>190</v>
      </c>
      <c r="D369">
        <f t="shared" si="63"/>
        <v>1</v>
      </c>
      <c r="E369">
        <v>9</v>
      </c>
      <c r="F369" s="6" t="s">
        <v>438</v>
      </c>
      <c r="I369" t="s">
        <v>178</v>
      </c>
      <c r="J369">
        <v>87</v>
      </c>
      <c r="K369" t="s">
        <v>488</v>
      </c>
      <c r="L369" t="s">
        <v>6</v>
      </c>
      <c r="M369" t="s">
        <v>197</v>
      </c>
      <c r="Q369">
        <f t="shared" si="57"/>
        <v>18977</v>
      </c>
      <c r="R369" t="str">
        <f t="shared" si="58"/>
        <v>Velodrome</v>
      </c>
      <c r="S369" t="str">
        <f t="shared" si="59"/>
        <v>HollowBrook</v>
      </c>
      <c r="T369" s="20">
        <f t="shared" si="53"/>
        <v>0</v>
      </c>
      <c r="U369">
        <f t="shared" si="54"/>
        <v>578</v>
      </c>
      <c r="V369">
        <f t="shared" si="55"/>
        <v>578</v>
      </c>
      <c r="W369" cm="1">
        <f t="array" ref="W369">_xlfn._xlws.FILTER(shifts!A:A,(shifts!B:B=events!D369)*(shifts!AH:AH&gt;=events!U369)*(shifts!AI:AI&lt;=events!V369))</f>
        <v>11</v>
      </c>
      <c r="X369" t="str">
        <f t="shared" si="56"/>
        <v>event_team_player_2</v>
      </c>
      <c r="Y369">
        <f>COUNTIFS(A$3:A369,"="&amp;A369,K$3:K369,"="&amp;K369)</f>
        <v>2</v>
      </c>
      <c r="Z369" s="20">
        <f>SUMIFS(T$3:T369,L$3:L369,"=Intermission")+SUMIFS(T$3:T369,L$3:L369,"=Timeout")+SUMIFS(T$3:T369,L$3:L369,"=Clockstop")</f>
        <v>0</v>
      </c>
      <c r="AA369">
        <f t="shared" si="60"/>
        <v>0</v>
      </c>
      <c r="AB369" s="26">
        <f t="shared" si="61"/>
        <v>502</v>
      </c>
      <c r="AC369">
        <f t="shared" si="62"/>
        <v>0</v>
      </c>
    </row>
    <row r="370" spans="1:29" x14ac:dyDescent="0.2">
      <c r="A370">
        <v>190</v>
      </c>
      <c r="D370">
        <f t="shared" si="63"/>
        <v>1</v>
      </c>
      <c r="E370">
        <v>9</v>
      </c>
      <c r="F370" s="6" t="s">
        <v>438</v>
      </c>
      <c r="I370" t="s">
        <v>178</v>
      </c>
      <c r="J370">
        <v>11</v>
      </c>
      <c r="K370" t="s">
        <v>489</v>
      </c>
      <c r="L370" t="s">
        <v>6</v>
      </c>
      <c r="M370" t="s">
        <v>197</v>
      </c>
      <c r="Q370">
        <f t="shared" si="57"/>
        <v>18977</v>
      </c>
      <c r="R370" t="str">
        <f t="shared" si="58"/>
        <v>Velodrome</v>
      </c>
      <c r="S370" t="str">
        <f t="shared" si="59"/>
        <v>HollowBrook</v>
      </c>
      <c r="T370" s="20">
        <f t="shared" si="53"/>
        <v>0</v>
      </c>
      <c r="U370">
        <f t="shared" si="54"/>
        <v>578</v>
      </c>
      <c r="V370">
        <f t="shared" si="55"/>
        <v>578</v>
      </c>
      <c r="W370" cm="1">
        <f t="array" ref="W370">_xlfn._xlws.FILTER(shifts!A:A,(shifts!B:B=events!D370)*(shifts!AH:AH&gt;=events!U370)*(shifts!AI:AI&lt;=events!V370))</f>
        <v>11</v>
      </c>
      <c r="X370" t="str">
        <f t="shared" si="56"/>
        <v>opp_team_player_1</v>
      </c>
      <c r="Y370">
        <f>COUNTIFS(A$3:A370,"="&amp;A370,K$3:K370,"="&amp;K370)</f>
        <v>1</v>
      </c>
      <c r="Z370" s="20">
        <f>SUMIFS(T$3:T370,L$3:L370,"=Intermission")+SUMIFS(T$3:T370,L$3:L370,"=Timeout")+SUMIFS(T$3:T370,L$3:L370,"=Clockstop")</f>
        <v>0</v>
      </c>
      <c r="AA370">
        <f t="shared" si="60"/>
        <v>0</v>
      </c>
      <c r="AB370" s="26">
        <f t="shared" si="61"/>
        <v>502</v>
      </c>
      <c r="AC370">
        <f t="shared" si="62"/>
        <v>0</v>
      </c>
    </row>
    <row r="371" spans="1:29" x14ac:dyDescent="0.2">
      <c r="A371">
        <v>191</v>
      </c>
      <c r="D371">
        <f t="shared" si="63"/>
        <v>1</v>
      </c>
      <c r="E371">
        <v>9</v>
      </c>
      <c r="F371" s="6" t="s">
        <v>438</v>
      </c>
      <c r="I371" t="s">
        <v>178</v>
      </c>
      <c r="J371">
        <v>87</v>
      </c>
      <c r="K371" t="s">
        <v>488</v>
      </c>
      <c r="L371" t="s">
        <v>277</v>
      </c>
      <c r="M371" t="s">
        <v>201</v>
      </c>
      <c r="N371" t="s">
        <v>92</v>
      </c>
      <c r="Q371">
        <f t="shared" si="57"/>
        <v>18977</v>
      </c>
      <c r="R371" t="str">
        <f t="shared" si="58"/>
        <v>Velodrome</v>
      </c>
      <c r="S371" t="str">
        <f t="shared" si="59"/>
        <v>HollowBrook</v>
      </c>
      <c r="T371" s="20">
        <f t="shared" si="53"/>
        <v>0</v>
      </c>
      <c r="U371">
        <f t="shared" si="54"/>
        <v>578</v>
      </c>
      <c r="V371">
        <f t="shared" si="55"/>
        <v>578</v>
      </c>
      <c r="W371" cm="1">
        <f t="array" ref="W371">_xlfn._xlws.FILTER(shifts!A:A,(shifts!B:B=events!D371)*(shifts!AH:AH&gt;=events!U371)*(shifts!AI:AI&lt;=events!V371))</f>
        <v>11</v>
      </c>
      <c r="X371" t="str">
        <f t="shared" si="56"/>
        <v>event_team_player_1</v>
      </c>
      <c r="Y371">
        <f>COUNTIFS(A$3:A371,"="&amp;A371,K$3:K371,"="&amp;K371)</f>
        <v>1</v>
      </c>
      <c r="Z371" s="20">
        <f>SUMIFS(T$3:T371,L$3:L371,"=Intermission")+SUMIFS(T$3:T371,L$3:L371,"=Timeout")+SUMIFS(T$3:T371,L$3:L371,"=Clockstop")</f>
        <v>0</v>
      </c>
      <c r="AA371">
        <f t="shared" si="60"/>
        <v>0</v>
      </c>
      <c r="AB371" s="26">
        <f t="shared" si="61"/>
        <v>502</v>
      </c>
      <c r="AC371">
        <f t="shared" si="62"/>
        <v>0</v>
      </c>
    </row>
    <row r="372" spans="1:29" x14ac:dyDescent="0.2">
      <c r="A372">
        <v>192</v>
      </c>
      <c r="D372">
        <f t="shared" si="63"/>
        <v>1</v>
      </c>
      <c r="E372">
        <v>9</v>
      </c>
      <c r="F372" s="6" t="s">
        <v>453</v>
      </c>
      <c r="I372" t="s">
        <v>178</v>
      </c>
      <c r="J372">
        <v>87</v>
      </c>
      <c r="K372" t="s">
        <v>488</v>
      </c>
      <c r="L372" t="s">
        <v>277</v>
      </c>
      <c r="M372" t="s">
        <v>191</v>
      </c>
      <c r="N372" t="s">
        <v>89</v>
      </c>
      <c r="Q372">
        <f t="shared" si="57"/>
        <v>18977</v>
      </c>
      <c r="R372" t="str">
        <f t="shared" si="58"/>
        <v>Velodrome</v>
      </c>
      <c r="S372" t="str">
        <f t="shared" si="59"/>
        <v>HollowBrook</v>
      </c>
      <c r="T372" s="20">
        <f t="shared" si="53"/>
        <v>0</v>
      </c>
      <c r="U372">
        <f t="shared" si="54"/>
        <v>577</v>
      </c>
      <c r="V372">
        <f t="shared" si="55"/>
        <v>577</v>
      </c>
      <c r="W372" cm="1">
        <f t="array" ref="W372">_xlfn._xlws.FILTER(shifts!A:A,(shifts!B:B=events!D372)*(shifts!AH:AH&gt;=events!U372)*(shifts!AI:AI&lt;=events!V372))</f>
        <v>11</v>
      </c>
      <c r="X372" t="str">
        <f t="shared" si="56"/>
        <v>event_team_player_1</v>
      </c>
      <c r="Y372">
        <f>COUNTIFS(A$3:A372,"="&amp;A372,K$3:K372,"="&amp;K372)</f>
        <v>1</v>
      </c>
      <c r="Z372" s="20">
        <f>SUMIFS(T$3:T372,L$3:L372,"=Intermission")+SUMIFS(T$3:T372,L$3:L372,"=Timeout")+SUMIFS(T$3:T372,L$3:L372,"=Clockstop")</f>
        <v>0</v>
      </c>
      <c r="AA372">
        <f t="shared" si="60"/>
        <v>0</v>
      </c>
      <c r="AB372" s="26">
        <f t="shared" si="61"/>
        <v>503</v>
      </c>
      <c r="AC372">
        <f t="shared" si="62"/>
        <v>0</v>
      </c>
    </row>
    <row r="373" spans="1:29" x14ac:dyDescent="0.2">
      <c r="A373">
        <v>193</v>
      </c>
      <c r="D373">
        <f t="shared" si="63"/>
        <v>1</v>
      </c>
      <c r="E373">
        <v>9</v>
      </c>
      <c r="F373" s="6" t="s">
        <v>441</v>
      </c>
      <c r="G373">
        <v>9</v>
      </c>
      <c r="H373" s="8" t="s">
        <v>484</v>
      </c>
      <c r="I373" t="s">
        <v>179</v>
      </c>
      <c r="J373">
        <v>18</v>
      </c>
      <c r="K373" t="s">
        <v>488</v>
      </c>
      <c r="L373" t="s">
        <v>15</v>
      </c>
      <c r="Q373">
        <f t="shared" si="57"/>
        <v>18977</v>
      </c>
      <c r="R373" t="str">
        <f t="shared" si="58"/>
        <v>Velodrome</v>
      </c>
      <c r="S373" t="str">
        <f t="shared" si="59"/>
        <v>HollowBrook</v>
      </c>
      <c r="T373" s="20">
        <f t="shared" si="53"/>
        <v>3</v>
      </c>
      <c r="U373">
        <f t="shared" si="54"/>
        <v>565</v>
      </c>
      <c r="V373">
        <f t="shared" si="55"/>
        <v>562</v>
      </c>
      <c r="W373" cm="1">
        <f t="array" ref="W373">_xlfn._xlws.FILTER(shifts!A:A,(shifts!B:B=events!D373)*(shifts!AH:AH&gt;=events!U373)*(shifts!AI:AI&lt;=events!V373))</f>
        <v>11</v>
      </c>
      <c r="X373" t="str">
        <f t="shared" si="56"/>
        <v>event_team_player_1</v>
      </c>
      <c r="Y373">
        <f>COUNTIFS(A$3:A373,"="&amp;A373,K$3:K373,"="&amp;K373)</f>
        <v>1</v>
      </c>
      <c r="Z373" s="20">
        <f>SUMIFS(T$3:T373,L$3:L373,"=Intermission")+SUMIFS(T$3:T373,L$3:L373,"=Timeout")+SUMIFS(T$3:T373,L$3:L373,"=Clockstop")</f>
        <v>0</v>
      </c>
      <c r="AA373">
        <f t="shared" si="60"/>
        <v>0</v>
      </c>
      <c r="AB373" s="26">
        <f t="shared" si="61"/>
        <v>515</v>
      </c>
      <c r="AC373">
        <f t="shared" si="62"/>
        <v>0</v>
      </c>
    </row>
    <row r="374" spans="1:29" x14ac:dyDescent="0.2">
      <c r="A374">
        <v>194</v>
      </c>
      <c r="D374">
        <f t="shared" si="63"/>
        <v>1</v>
      </c>
      <c r="E374">
        <v>9</v>
      </c>
      <c r="F374" s="6" t="s">
        <v>484</v>
      </c>
      <c r="I374" t="s">
        <v>179</v>
      </c>
      <c r="J374">
        <v>18</v>
      </c>
      <c r="K374" t="s">
        <v>488</v>
      </c>
      <c r="L374" t="s">
        <v>8</v>
      </c>
      <c r="M374" t="s">
        <v>189</v>
      </c>
      <c r="N374" t="s">
        <v>67</v>
      </c>
      <c r="Q374">
        <f t="shared" si="57"/>
        <v>18977</v>
      </c>
      <c r="R374" t="str">
        <f t="shared" si="58"/>
        <v>Velodrome</v>
      </c>
      <c r="S374" t="str">
        <f t="shared" si="59"/>
        <v>HollowBrook</v>
      </c>
      <c r="T374" s="20">
        <f t="shared" si="53"/>
        <v>0</v>
      </c>
      <c r="U374">
        <f t="shared" si="54"/>
        <v>562</v>
      </c>
      <c r="V374">
        <f t="shared" si="55"/>
        <v>562</v>
      </c>
      <c r="W374" cm="1">
        <f t="array" ref="W374">_xlfn._xlws.FILTER(shifts!A:A,(shifts!B:B=events!D374)*(shifts!AH:AH&gt;=events!U374)*(shifts!AI:AI&lt;=events!V374))</f>
        <v>11</v>
      </c>
      <c r="X374" t="str">
        <f t="shared" si="56"/>
        <v>event_team_player_1</v>
      </c>
      <c r="Y374">
        <f>COUNTIFS(A$3:A374,"="&amp;A374,K$3:K374,"="&amp;K374)</f>
        <v>1</v>
      </c>
      <c r="Z374" s="20">
        <f>SUMIFS(T$3:T374,L$3:L374,"=Intermission")+SUMIFS(T$3:T374,L$3:L374,"=Timeout")+SUMIFS(T$3:T374,L$3:L374,"=Clockstop")</f>
        <v>0</v>
      </c>
      <c r="AA374">
        <f t="shared" si="60"/>
        <v>0</v>
      </c>
      <c r="AB374" s="26">
        <f t="shared" si="61"/>
        <v>518</v>
      </c>
      <c r="AC374">
        <f t="shared" si="62"/>
        <v>0</v>
      </c>
    </row>
    <row r="375" spans="1:29" x14ac:dyDescent="0.2">
      <c r="A375">
        <v>194</v>
      </c>
      <c r="D375">
        <f t="shared" si="63"/>
        <v>1</v>
      </c>
      <c r="E375">
        <v>9</v>
      </c>
      <c r="F375" s="6" t="s">
        <v>484</v>
      </c>
      <c r="I375" t="s">
        <v>179</v>
      </c>
      <c r="J375">
        <v>11</v>
      </c>
      <c r="K375" t="s">
        <v>488</v>
      </c>
      <c r="L375" t="s">
        <v>8</v>
      </c>
      <c r="M375" t="s">
        <v>189</v>
      </c>
      <c r="N375" t="s">
        <v>67</v>
      </c>
      <c r="Q375">
        <f t="shared" si="57"/>
        <v>18977</v>
      </c>
      <c r="R375" t="str">
        <f t="shared" si="58"/>
        <v>Velodrome</v>
      </c>
      <c r="S375" t="str">
        <f t="shared" si="59"/>
        <v>HollowBrook</v>
      </c>
      <c r="T375" s="20">
        <f t="shared" si="53"/>
        <v>0</v>
      </c>
      <c r="U375">
        <f t="shared" si="54"/>
        <v>562</v>
      </c>
      <c r="V375">
        <f t="shared" si="55"/>
        <v>562</v>
      </c>
      <c r="W375" cm="1">
        <f t="array" ref="W375">_xlfn._xlws.FILTER(shifts!A:A,(shifts!B:B=events!D375)*(shifts!AH:AH&gt;=events!U375)*(shifts!AI:AI&lt;=events!V375))</f>
        <v>11</v>
      </c>
      <c r="X375" t="str">
        <f t="shared" si="56"/>
        <v>event_team_player_2</v>
      </c>
      <c r="Y375">
        <f>COUNTIFS(A$3:A375,"="&amp;A375,K$3:K375,"="&amp;K375)</f>
        <v>2</v>
      </c>
      <c r="Z375" s="20">
        <f>SUMIFS(T$3:T375,L$3:L375,"=Intermission")+SUMIFS(T$3:T375,L$3:L375,"=Timeout")+SUMIFS(T$3:T375,L$3:L375,"=Clockstop")</f>
        <v>0</v>
      </c>
      <c r="AA375">
        <f t="shared" si="60"/>
        <v>0</v>
      </c>
      <c r="AB375" s="26">
        <f t="shared" si="61"/>
        <v>518</v>
      </c>
      <c r="AC375">
        <f t="shared" si="62"/>
        <v>0</v>
      </c>
    </row>
    <row r="376" spans="1:29" x14ac:dyDescent="0.2">
      <c r="A376">
        <v>195</v>
      </c>
      <c r="D376">
        <f t="shared" si="63"/>
        <v>1</v>
      </c>
      <c r="E376">
        <v>9</v>
      </c>
      <c r="F376" s="6" t="s">
        <v>484</v>
      </c>
      <c r="I376" t="s">
        <v>179</v>
      </c>
      <c r="J376">
        <v>18</v>
      </c>
      <c r="K376" t="s">
        <v>488</v>
      </c>
      <c r="L376" t="s">
        <v>277</v>
      </c>
      <c r="M376" t="s">
        <v>201</v>
      </c>
      <c r="N376" t="s">
        <v>91</v>
      </c>
      <c r="Q376">
        <f t="shared" si="57"/>
        <v>18977</v>
      </c>
      <c r="R376" t="str">
        <f t="shared" si="58"/>
        <v>Velodrome</v>
      </c>
      <c r="S376" t="str">
        <f t="shared" si="59"/>
        <v>HollowBrook</v>
      </c>
      <c r="T376" s="20">
        <f t="shared" si="53"/>
        <v>0</v>
      </c>
      <c r="U376">
        <f t="shared" si="54"/>
        <v>562</v>
      </c>
      <c r="V376">
        <f t="shared" si="55"/>
        <v>562</v>
      </c>
      <c r="W376" cm="1">
        <f t="array" ref="W376">_xlfn._xlws.FILTER(shifts!A:A,(shifts!B:B=events!D376)*(shifts!AH:AH&gt;=events!U376)*(shifts!AI:AI&lt;=events!V376))</f>
        <v>11</v>
      </c>
      <c r="X376" t="str">
        <f t="shared" si="56"/>
        <v>event_team_player_1</v>
      </c>
      <c r="Y376">
        <f>COUNTIFS(A$3:A376,"="&amp;A376,K$3:K376,"="&amp;K376)</f>
        <v>1</v>
      </c>
      <c r="Z376" s="20">
        <f>SUMIFS(T$3:T376,L$3:L376,"=Intermission")+SUMIFS(T$3:T376,L$3:L376,"=Timeout")+SUMIFS(T$3:T376,L$3:L376,"=Clockstop")</f>
        <v>0</v>
      </c>
      <c r="AA376">
        <f t="shared" si="60"/>
        <v>0</v>
      </c>
      <c r="AB376" s="26">
        <f t="shared" si="61"/>
        <v>518</v>
      </c>
      <c r="AC376">
        <f t="shared" si="62"/>
        <v>0</v>
      </c>
    </row>
    <row r="377" spans="1:29" x14ac:dyDescent="0.2">
      <c r="A377">
        <v>195</v>
      </c>
      <c r="D377">
        <f t="shared" si="63"/>
        <v>1</v>
      </c>
      <c r="E377">
        <v>9</v>
      </c>
      <c r="F377" s="6" t="s">
        <v>484</v>
      </c>
      <c r="I377" t="s">
        <v>179</v>
      </c>
      <c r="J377">
        <v>11</v>
      </c>
      <c r="K377" t="s">
        <v>488</v>
      </c>
      <c r="L377" t="s">
        <v>277</v>
      </c>
      <c r="M377" t="s">
        <v>201</v>
      </c>
      <c r="N377" t="s">
        <v>91</v>
      </c>
      <c r="Q377">
        <f t="shared" si="57"/>
        <v>18977</v>
      </c>
      <c r="R377" t="str">
        <f t="shared" si="58"/>
        <v>Velodrome</v>
      </c>
      <c r="S377" t="str">
        <f t="shared" si="59"/>
        <v>HollowBrook</v>
      </c>
      <c r="T377" s="20">
        <f t="shared" si="53"/>
        <v>0</v>
      </c>
      <c r="U377">
        <f t="shared" si="54"/>
        <v>562</v>
      </c>
      <c r="V377">
        <f t="shared" si="55"/>
        <v>562</v>
      </c>
      <c r="W377" cm="1">
        <f t="array" ref="W377">_xlfn._xlws.FILTER(shifts!A:A,(shifts!B:B=events!D377)*(shifts!AH:AH&gt;=events!U377)*(shifts!AI:AI&lt;=events!V377))</f>
        <v>11</v>
      </c>
      <c r="X377" t="str">
        <f t="shared" si="56"/>
        <v>event_team_player_2</v>
      </c>
      <c r="Y377">
        <f>COUNTIFS(A$3:A377,"="&amp;A377,K$3:K377,"="&amp;K377)</f>
        <v>2</v>
      </c>
      <c r="Z377" s="20">
        <f>SUMIFS(T$3:T377,L$3:L377,"=Intermission")+SUMIFS(T$3:T377,L$3:L377,"=Timeout")+SUMIFS(T$3:T377,L$3:L377,"=Clockstop")</f>
        <v>0</v>
      </c>
      <c r="AA377">
        <f t="shared" si="60"/>
        <v>0</v>
      </c>
      <c r="AB377" s="26">
        <f t="shared" si="61"/>
        <v>518</v>
      </c>
      <c r="AC377">
        <f t="shared" si="62"/>
        <v>0</v>
      </c>
    </row>
    <row r="378" spans="1:29" x14ac:dyDescent="0.2">
      <c r="A378">
        <v>196</v>
      </c>
      <c r="D378">
        <f t="shared" si="63"/>
        <v>1</v>
      </c>
      <c r="E378">
        <v>9</v>
      </c>
      <c r="F378" s="6" t="s">
        <v>484</v>
      </c>
      <c r="G378">
        <v>9</v>
      </c>
      <c r="H378" s="8" t="s">
        <v>422</v>
      </c>
      <c r="I378" t="s">
        <v>179</v>
      </c>
      <c r="J378">
        <v>11</v>
      </c>
      <c r="K378" t="s">
        <v>488</v>
      </c>
      <c r="L378" t="s">
        <v>15</v>
      </c>
      <c r="Q378">
        <f t="shared" si="57"/>
        <v>18977</v>
      </c>
      <c r="R378" t="str">
        <f t="shared" si="58"/>
        <v>Velodrome</v>
      </c>
      <c r="S378" t="str">
        <f t="shared" si="59"/>
        <v>HollowBrook</v>
      </c>
      <c r="T378" s="20">
        <f t="shared" si="53"/>
        <v>2</v>
      </c>
      <c r="U378">
        <f t="shared" si="54"/>
        <v>562</v>
      </c>
      <c r="V378">
        <f t="shared" si="55"/>
        <v>560</v>
      </c>
      <c r="W378" cm="1">
        <f t="array" ref="W378">_xlfn._xlws.FILTER(shifts!A:A,(shifts!B:B=events!D378)*(shifts!AH:AH&gt;=events!U378)*(shifts!AI:AI&lt;=events!V378))</f>
        <v>11</v>
      </c>
      <c r="X378" t="str">
        <f t="shared" si="56"/>
        <v>event_team_player_1</v>
      </c>
      <c r="Y378">
        <f>COUNTIFS(A$3:A378,"="&amp;A378,K$3:K378,"="&amp;K378)</f>
        <v>1</v>
      </c>
      <c r="Z378" s="20">
        <f>SUMIFS(T$3:T378,L$3:L378,"=Intermission")+SUMIFS(T$3:T378,L$3:L378,"=Timeout")+SUMIFS(T$3:T378,L$3:L378,"=Clockstop")</f>
        <v>0</v>
      </c>
      <c r="AA378">
        <f t="shared" si="60"/>
        <v>0</v>
      </c>
      <c r="AB378" s="26">
        <f t="shared" si="61"/>
        <v>518</v>
      </c>
      <c r="AC378">
        <f t="shared" si="62"/>
        <v>0</v>
      </c>
    </row>
    <row r="379" spans="1:29" x14ac:dyDescent="0.2">
      <c r="A379">
        <v>197</v>
      </c>
      <c r="D379">
        <f t="shared" si="63"/>
        <v>1</v>
      </c>
      <c r="E379">
        <v>9</v>
      </c>
      <c r="F379" s="6" t="s">
        <v>422</v>
      </c>
      <c r="G379">
        <v>9</v>
      </c>
      <c r="H379" s="8" t="s">
        <v>446</v>
      </c>
      <c r="I379" t="s">
        <v>179</v>
      </c>
      <c r="J379">
        <v>11</v>
      </c>
      <c r="K379" t="s">
        <v>488</v>
      </c>
      <c r="L379" t="s">
        <v>277</v>
      </c>
      <c r="M379" t="s">
        <v>191</v>
      </c>
      <c r="N379" t="s">
        <v>87</v>
      </c>
      <c r="Q379">
        <f t="shared" si="57"/>
        <v>18977</v>
      </c>
      <c r="R379" t="str">
        <f t="shared" si="58"/>
        <v>Velodrome</v>
      </c>
      <c r="S379" t="str">
        <f t="shared" si="59"/>
        <v>HollowBrook</v>
      </c>
      <c r="T379" s="20">
        <f t="shared" si="53"/>
        <v>3</v>
      </c>
      <c r="U379">
        <f t="shared" si="54"/>
        <v>560</v>
      </c>
      <c r="V379">
        <f t="shared" si="55"/>
        <v>557</v>
      </c>
      <c r="W379" cm="1">
        <f t="array" ref="W379">_xlfn._xlws.FILTER(shifts!A:A,(shifts!B:B=events!D379)*(shifts!AH:AH&gt;=events!U379)*(shifts!AI:AI&lt;=events!V379))</f>
        <v>11</v>
      </c>
      <c r="X379" t="str">
        <f t="shared" si="56"/>
        <v>event_team_player_1</v>
      </c>
      <c r="Y379">
        <f>COUNTIFS(A$3:A379,"="&amp;A379,K$3:K379,"="&amp;K379)</f>
        <v>1</v>
      </c>
      <c r="Z379" s="20">
        <f>SUMIFS(T$3:T379,L$3:L379,"=Intermission")+SUMIFS(T$3:T379,L$3:L379,"=Timeout")+SUMIFS(T$3:T379,L$3:L379,"=Clockstop")</f>
        <v>0</v>
      </c>
      <c r="AA379">
        <f t="shared" si="60"/>
        <v>0</v>
      </c>
      <c r="AB379" s="26">
        <f t="shared" si="61"/>
        <v>520</v>
      </c>
      <c r="AC379">
        <f t="shared" si="62"/>
        <v>0</v>
      </c>
    </row>
    <row r="380" spans="1:29" x14ac:dyDescent="0.2">
      <c r="A380">
        <v>197</v>
      </c>
      <c r="D380">
        <f t="shared" si="63"/>
        <v>1</v>
      </c>
      <c r="E380">
        <v>9</v>
      </c>
      <c r="F380" s="6" t="s">
        <v>422</v>
      </c>
      <c r="G380">
        <v>9</v>
      </c>
      <c r="H380" s="8" t="s">
        <v>446</v>
      </c>
      <c r="I380" t="s">
        <v>179</v>
      </c>
      <c r="J380">
        <v>19</v>
      </c>
      <c r="K380" t="s">
        <v>488</v>
      </c>
      <c r="L380" t="s">
        <v>277</v>
      </c>
      <c r="M380" t="s">
        <v>191</v>
      </c>
      <c r="N380" t="s">
        <v>87</v>
      </c>
      <c r="Q380">
        <f t="shared" si="57"/>
        <v>18977</v>
      </c>
      <c r="R380" t="str">
        <f t="shared" si="58"/>
        <v>Velodrome</v>
      </c>
      <c r="S380" t="str">
        <f t="shared" si="59"/>
        <v>HollowBrook</v>
      </c>
      <c r="T380" s="20">
        <f t="shared" si="53"/>
        <v>3</v>
      </c>
      <c r="U380">
        <f t="shared" si="54"/>
        <v>560</v>
      </c>
      <c r="V380">
        <f t="shared" si="55"/>
        <v>557</v>
      </c>
      <c r="W380" cm="1">
        <f t="array" ref="W380">_xlfn._xlws.FILTER(shifts!A:A,(shifts!B:B=events!D380)*(shifts!AH:AH&gt;=events!U380)*(shifts!AI:AI&lt;=events!V380))</f>
        <v>11</v>
      </c>
      <c r="X380" t="str">
        <f t="shared" si="56"/>
        <v>event_team_player_2</v>
      </c>
      <c r="Y380">
        <f>COUNTIFS(A$3:A380,"="&amp;A380,K$3:K380,"="&amp;K380)</f>
        <v>2</v>
      </c>
      <c r="Z380" s="20">
        <f>SUMIFS(T$3:T380,L$3:L380,"=Intermission")+SUMIFS(T$3:T380,L$3:L380,"=Timeout")+SUMIFS(T$3:T380,L$3:L380,"=Clockstop")</f>
        <v>0</v>
      </c>
      <c r="AA380">
        <f t="shared" si="60"/>
        <v>0</v>
      </c>
      <c r="AB380" s="26">
        <f t="shared" si="61"/>
        <v>520</v>
      </c>
      <c r="AC380">
        <f t="shared" si="62"/>
        <v>0</v>
      </c>
    </row>
    <row r="381" spans="1:29" x14ac:dyDescent="0.2">
      <c r="A381">
        <v>197</v>
      </c>
      <c r="D381">
        <f t="shared" si="63"/>
        <v>1</v>
      </c>
      <c r="E381">
        <v>9</v>
      </c>
      <c r="F381" s="6" t="s">
        <v>422</v>
      </c>
      <c r="G381">
        <v>9</v>
      </c>
      <c r="H381" s="8" t="s">
        <v>446</v>
      </c>
      <c r="I381" t="s">
        <v>179</v>
      </c>
      <c r="J381">
        <v>87</v>
      </c>
      <c r="K381" t="s">
        <v>489</v>
      </c>
      <c r="L381" t="s">
        <v>277</v>
      </c>
      <c r="M381" t="s">
        <v>191</v>
      </c>
      <c r="N381" t="s">
        <v>87</v>
      </c>
      <c r="Q381">
        <f t="shared" si="57"/>
        <v>18977</v>
      </c>
      <c r="R381" t="str">
        <f t="shared" si="58"/>
        <v>Velodrome</v>
      </c>
      <c r="S381" t="str">
        <f t="shared" si="59"/>
        <v>HollowBrook</v>
      </c>
      <c r="T381" s="20">
        <f t="shared" si="53"/>
        <v>3</v>
      </c>
      <c r="U381">
        <f t="shared" si="54"/>
        <v>560</v>
      </c>
      <c r="V381">
        <f t="shared" si="55"/>
        <v>557</v>
      </c>
      <c r="W381" cm="1">
        <f t="array" ref="W381">_xlfn._xlws.FILTER(shifts!A:A,(shifts!B:B=events!D381)*(shifts!AH:AH&gt;=events!U381)*(shifts!AI:AI&lt;=events!V381))</f>
        <v>11</v>
      </c>
      <c r="X381" t="str">
        <f t="shared" si="56"/>
        <v>opp_team_player_1</v>
      </c>
      <c r="Y381">
        <f>COUNTIFS(A$3:A381,"="&amp;A381,K$3:K381,"="&amp;K381)</f>
        <v>1</v>
      </c>
      <c r="Z381" s="20">
        <f>SUMIFS(T$3:T381,L$3:L381,"=Intermission")+SUMIFS(T$3:T381,L$3:L381,"=Timeout")+SUMIFS(T$3:T381,L$3:L381,"=Clockstop")</f>
        <v>0</v>
      </c>
      <c r="AA381">
        <f t="shared" si="60"/>
        <v>0</v>
      </c>
      <c r="AB381" s="26">
        <f t="shared" si="61"/>
        <v>520</v>
      </c>
      <c r="AC381">
        <f t="shared" si="62"/>
        <v>0</v>
      </c>
    </row>
    <row r="382" spans="1:29" x14ac:dyDescent="0.2">
      <c r="A382">
        <v>197</v>
      </c>
      <c r="D382">
        <f t="shared" si="63"/>
        <v>1</v>
      </c>
      <c r="E382">
        <v>9</v>
      </c>
      <c r="F382" s="6" t="s">
        <v>422</v>
      </c>
      <c r="G382">
        <v>9</v>
      </c>
      <c r="H382" s="8" t="s">
        <v>446</v>
      </c>
      <c r="I382" t="s">
        <v>179</v>
      </c>
      <c r="J382">
        <v>22</v>
      </c>
      <c r="K382" t="s">
        <v>489</v>
      </c>
      <c r="L382" t="s">
        <v>277</v>
      </c>
      <c r="M382" t="s">
        <v>191</v>
      </c>
      <c r="N382" t="s">
        <v>87</v>
      </c>
      <c r="Q382">
        <f t="shared" si="57"/>
        <v>18977</v>
      </c>
      <c r="R382" t="str">
        <f t="shared" si="58"/>
        <v>Velodrome</v>
      </c>
      <c r="S382" t="str">
        <f t="shared" si="59"/>
        <v>HollowBrook</v>
      </c>
      <c r="T382" s="20">
        <f t="shared" si="53"/>
        <v>3</v>
      </c>
      <c r="U382">
        <f t="shared" si="54"/>
        <v>560</v>
      </c>
      <c r="V382">
        <f t="shared" si="55"/>
        <v>557</v>
      </c>
      <c r="W382" cm="1">
        <f t="array" ref="W382">_xlfn._xlws.FILTER(shifts!A:A,(shifts!B:B=events!D382)*(shifts!AH:AH&gt;=events!U382)*(shifts!AI:AI&lt;=events!V382))</f>
        <v>11</v>
      </c>
      <c r="X382" t="str">
        <f t="shared" si="56"/>
        <v>opp_team_player_2</v>
      </c>
      <c r="Y382">
        <f>COUNTIFS(A$3:A382,"="&amp;A382,K$3:K382,"="&amp;K382)</f>
        <v>2</v>
      </c>
      <c r="Z382" s="20">
        <f>SUMIFS(T$3:T382,L$3:L382,"=Intermission")+SUMIFS(T$3:T382,L$3:L382,"=Timeout")+SUMIFS(T$3:T382,L$3:L382,"=Clockstop")</f>
        <v>0</v>
      </c>
      <c r="AA382">
        <f t="shared" si="60"/>
        <v>0</v>
      </c>
      <c r="AB382" s="26">
        <f t="shared" si="61"/>
        <v>520</v>
      </c>
      <c r="AC382">
        <f t="shared" si="62"/>
        <v>0</v>
      </c>
    </row>
    <row r="383" spans="1:29" x14ac:dyDescent="0.2">
      <c r="A383">
        <v>197</v>
      </c>
      <c r="D383">
        <f t="shared" si="63"/>
        <v>1</v>
      </c>
      <c r="E383">
        <v>9</v>
      </c>
      <c r="F383" s="6" t="s">
        <v>422</v>
      </c>
      <c r="G383">
        <v>9</v>
      </c>
      <c r="H383" s="8" t="s">
        <v>446</v>
      </c>
      <c r="I383" t="s">
        <v>179</v>
      </c>
      <c r="J383">
        <v>24</v>
      </c>
      <c r="K383" t="s">
        <v>489</v>
      </c>
      <c r="L383" t="s">
        <v>277</v>
      </c>
      <c r="M383" t="s">
        <v>191</v>
      </c>
      <c r="N383" t="s">
        <v>87</v>
      </c>
      <c r="Q383">
        <f t="shared" si="57"/>
        <v>18977</v>
      </c>
      <c r="R383" t="str">
        <f t="shared" si="58"/>
        <v>Velodrome</v>
      </c>
      <c r="S383" t="str">
        <f t="shared" si="59"/>
        <v>HollowBrook</v>
      </c>
      <c r="T383" s="20">
        <f t="shared" si="53"/>
        <v>3</v>
      </c>
      <c r="U383">
        <f t="shared" si="54"/>
        <v>560</v>
      </c>
      <c r="V383">
        <f t="shared" si="55"/>
        <v>557</v>
      </c>
      <c r="W383" cm="1">
        <f t="array" ref="W383">_xlfn._xlws.FILTER(shifts!A:A,(shifts!B:B=events!D383)*(shifts!AH:AH&gt;=events!U383)*(shifts!AI:AI&lt;=events!V383))</f>
        <v>11</v>
      </c>
      <c r="X383" t="str">
        <f t="shared" si="56"/>
        <v>opp_team_player_3</v>
      </c>
      <c r="Y383">
        <f>COUNTIFS(A$3:A383,"="&amp;A383,K$3:K383,"="&amp;K383)</f>
        <v>3</v>
      </c>
      <c r="Z383" s="20">
        <f>SUMIFS(T$3:T383,L$3:L383,"=Intermission")+SUMIFS(T$3:T383,L$3:L383,"=Timeout")+SUMIFS(T$3:T383,L$3:L383,"=Clockstop")</f>
        <v>0</v>
      </c>
      <c r="AA383">
        <f t="shared" si="60"/>
        <v>0</v>
      </c>
      <c r="AB383" s="26">
        <f t="shared" si="61"/>
        <v>520</v>
      </c>
      <c r="AC383">
        <f t="shared" si="62"/>
        <v>0</v>
      </c>
    </row>
    <row r="384" spans="1:29" x14ac:dyDescent="0.2">
      <c r="A384">
        <v>198</v>
      </c>
      <c r="D384">
        <f t="shared" si="63"/>
        <v>1</v>
      </c>
      <c r="E384">
        <v>9</v>
      </c>
      <c r="F384" s="6" t="s">
        <v>446</v>
      </c>
      <c r="I384" t="s">
        <v>179</v>
      </c>
      <c r="J384">
        <v>11</v>
      </c>
      <c r="K384" t="s">
        <v>488</v>
      </c>
      <c r="L384" t="s">
        <v>7</v>
      </c>
      <c r="M384" t="s">
        <v>198</v>
      </c>
      <c r="N384" t="s">
        <v>53</v>
      </c>
      <c r="Q384">
        <f t="shared" si="57"/>
        <v>18977</v>
      </c>
      <c r="R384" t="str">
        <f t="shared" si="58"/>
        <v>Velodrome</v>
      </c>
      <c r="S384" t="str">
        <f t="shared" si="59"/>
        <v>HollowBrook</v>
      </c>
      <c r="T384" s="20">
        <f t="shared" si="53"/>
        <v>0</v>
      </c>
      <c r="U384">
        <f t="shared" si="54"/>
        <v>557</v>
      </c>
      <c r="V384">
        <f t="shared" si="55"/>
        <v>557</v>
      </c>
      <c r="W384" cm="1">
        <f t="array" ref="W384">_xlfn._xlws.FILTER(shifts!A:A,(shifts!B:B=events!D384)*(shifts!AH:AH&gt;=events!U384)*(shifts!AI:AI&lt;=events!V384))</f>
        <v>11</v>
      </c>
      <c r="X384" t="str">
        <f t="shared" si="56"/>
        <v>event_team_player_1</v>
      </c>
      <c r="Y384">
        <f>COUNTIFS(A$3:A384,"="&amp;A384,K$3:K384,"="&amp;K384)</f>
        <v>1</v>
      </c>
      <c r="Z384" s="20">
        <f>SUMIFS(T$3:T384,L$3:L384,"=Intermission")+SUMIFS(T$3:T384,L$3:L384,"=Timeout")+SUMIFS(T$3:T384,L$3:L384,"=Clockstop")</f>
        <v>0</v>
      </c>
      <c r="AA384">
        <f t="shared" si="60"/>
        <v>0</v>
      </c>
      <c r="AB384" s="26">
        <f t="shared" si="61"/>
        <v>523</v>
      </c>
      <c r="AC384">
        <f t="shared" si="62"/>
        <v>0</v>
      </c>
    </row>
    <row r="385" spans="1:29" x14ac:dyDescent="0.2">
      <c r="A385">
        <v>198</v>
      </c>
      <c r="D385">
        <f t="shared" si="63"/>
        <v>1</v>
      </c>
      <c r="E385">
        <v>9</v>
      </c>
      <c r="F385" s="6" t="s">
        <v>446</v>
      </c>
      <c r="I385" t="s">
        <v>179</v>
      </c>
      <c r="J385">
        <v>87</v>
      </c>
      <c r="K385" t="s">
        <v>489</v>
      </c>
      <c r="L385" t="s">
        <v>7</v>
      </c>
      <c r="M385" t="s">
        <v>198</v>
      </c>
      <c r="N385" t="s">
        <v>53</v>
      </c>
      <c r="Q385">
        <f t="shared" si="57"/>
        <v>18977</v>
      </c>
      <c r="R385" t="str">
        <f t="shared" si="58"/>
        <v>Velodrome</v>
      </c>
      <c r="S385" t="str">
        <f t="shared" si="59"/>
        <v>HollowBrook</v>
      </c>
      <c r="T385" s="20">
        <f t="shared" si="53"/>
        <v>0</v>
      </c>
      <c r="U385">
        <f t="shared" si="54"/>
        <v>557</v>
      </c>
      <c r="V385">
        <f t="shared" si="55"/>
        <v>557</v>
      </c>
      <c r="W385" cm="1">
        <f t="array" ref="W385">_xlfn._xlws.FILTER(shifts!A:A,(shifts!B:B=events!D385)*(shifts!AH:AH&gt;=events!U385)*(shifts!AI:AI&lt;=events!V385))</f>
        <v>11</v>
      </c>
      <c r="X385" t="str">
        <f t="shared" si="56"/>
        <v>opp_team_player_1</v>
      </c>
      <c r="Y385">
        <f>COUNTIFS(A$3:A385,"="&amp;A385,K$3:K385,"="&amp;K385)</f>
        <v>1</v>
      </c>
      <c r="Z385" s="20">
        <f>SUMIFS(T$3:T385,L$3:L385,"=Intermission")+SUMIFS(T$3:T385,L$3:L385,"=Timeout")+SUMIFS(T$3:T385,L$3:L385,"=Clockstop")</f>
        <v>0</v>
      </c>
      <c r="AA385">
        <f t="shared" si="60"/>
        <v>0</v>
      </c>
      <c r="AB385" s="26">
        <f t="shared" si="61"/>
        <v>523</v>
      </c>
      <c r="AC385">
        <f t="shared" si="62"/>
        <v>0</v>
      </c>
    </row>
    <row r="386" spans="1:29" x14ac:dyDescent="0.2">
      <c r="A386">
        <v>199</v>
      </c>
      <c r="D386">
        <f t="shared" si="63"/>
        <v>1</v>
      </c>
      <c r="E386">
        <v>9</v>
      </c>
      <c r="F386" s="6" t="s">
        <v>423</v>
      </c>
      <c r="I386" t="s">
        <v>179</v>
      </c>
      <c r="J386">
        <v>18</v>
      </c>
      <c r="K386" t="s">
        <v>488</v>
      </c>
      <c r="L386" t="s">
        <v>277</v>
      </c>
      <c r="M386" t="s">
        <v>210</v>
      </c>
      <c r="N386" t="s">
        <v>93</v>
      </c>
      <c r="Q386">
        <f t="shared" si="57"/>
        <v>18977</v>
      </c>
      <c r="R386" t="str">
        <f t="shared" si="58"/>
        <v>Velodrome</v>
      </c>
      <c r="S386" t="str">
        <f t="shared" si="59"/>
        <v>HollowBrook</v>
      </c>
      <c r="T386" s="20">
        <f t="shared" si="53"/>
        <v>0</v>
      </c>
      <c r="U386">
        <f t="shared" si="54"/>
        <v>554</v>
      </c>
      <c r="V386">
        <f t="shared" si="55"/>
        <v>554</v>
      </c>
      <c r="W386" cm="1">
        <f t="array" ref="W386">_xlfn._xlws.FILTER(shifts!A:A,(shifts!B:B=events!D386)*(shifts!AH:AH&gt;=events!U386)*(shifts!AI:AI&lt;=events!V386))</f>
        <v>11</v>
      </c>
      <c r="X386" t="str">
        <f t="shared" si="56"/>
        <v>event_team_player_1</v>
      </c>
      <c r="Y386">
        <f>COUNTIFS(A$3:A386,"="&amp;A386,K$3:K386,"="&amp;K386)</f>
        <v>1</v>
      </c>
      <c r="Z386" s="20">
        <f>SUMIFS(T$3:T386,L$3:L386,"=Intermission")+SUMIFS(T$3:T386,L$3:L386,"=Timeout")+SUMIFS(T$3:T386,L$3:L386,"=Clockstop")</f>
        <v>0</v>
      </c>
      <c r="AA386">
        <f t="shared" si="60"/>
        <v>0</v>
      </c>
      <c r="AB386" s="26">
        <f t="shared" si="61"/>
        <v>526</v>
      </c>
      <c r="AC386">
        <f t="shared" si="62"/>
        <v>0</v>
      </c>
    </row>
    <row r="387" spans="1:29" x14ac:dyDescent="0.2">
      <c r="A387">
        <v>200</v>
      </c>
      <c r="D387">
        <f t="shared" si="63"/>
        <v>1</v>
      </c>
      <c r="E387">
        <v>9</v>
      </c>
      <c r="F387" s="6" t="s">
        <v>423</v>
      </c>
      <c r="I387" t="s">
        <v>179</v>
      </c>
      <c r="J387">
        <v>18</v>
      </c>
      <c r="K387" t="s">
        <v>488</v>
      </c>
      <c r="L387" t="s">
        <v>8</v>
      </c>
      <c r="M387" t="s">
        <v>189</v>
      </c>
      <c r="N387" t="s">
        <v>70</v>
      </c>
      <c r="Q387">
        <f t="shared" si="57"/>
        <v>18977</v>
      </c>
      <c r="R387" t="str">
        <f t="shared" si="58"/>
        <v>Velodrome</v>
      </c>
      <c r="S387" t="str">
        <f t="shared" si="59"/>
        <v>HollowBrook</v>
      </c>
      <c r="T387" s="20">
        <f t="shared" ref="T387:T450" si="64">IF(AND(G387="",H387=""),0,((E387*60)+F387)-((G387*60)+H387))</f>
        <v>0</v>
      </c>
      <c r="U387">
        <f t="shared" ref="U387:U450" si="65">(E387*60)+F387</f>
        <v>554</v>
      </c>
      <c r="V387">
        <f t="shared" ref="V387:V450" si="66">IF(AND(G387="",H387=""),U387,((G387*60)+H387))</f>
        <v>554</v>
      </c>
      <c r="W387" cm="1">
        <f t="array" ref="W387">_xlfn._xlws.FILTER(shifts!A:A,(shifts!B:B=events!D387)*(shifts!AH:AH&gt;=events!U387)*(shifts!AI:AI&lt;=events!V387))</f>
        <v>11</v>
      </c>
      <c r="X387" t="str">
        <f t="shared" ref="X387:X450" si="67">IF(K387="e","event_team_player_"&amp;Y387,IF(K387="o","opp_team_player_"&amp;Y387,""))</f>
        <v>event_team_player_1</v>
      </c>
      <c r="Y387">
        <f>COUNTIFS(A$3:A387,"="&amp;A387,K$3:K387,"="&amp;K387)</f>
        <v>1</v>
      </c>
      <c r="Z387" s="20">
        <f>SUMIFS(T$3:T387,L$3:L387,"=Intermission")+SUMIFS(T$3:T387,L$3:L387,"=Timeout")+SUMIFS(T$3:T387,L$3:L387,"=Clockstop")</f>
        <v>0</v>
      </c>
      <c r="AA387">
        <f t="shared" si="60"/>
        <v>0</v>
      </c>
      <c r="AB387" s="26">
        <f t="shared" si="61"/>
        <v>526</v>
      </c>
      <c r="AC387">
        <f t="shared" si="62"/>
        <v>0</v>
      </c>
    </row>
    <row r="388" spans="1:29" x14ac:dyDescent="0.2">
      <c r="A388">
        <v>200</v>
      </c>
      <c r="D388">
        <f t="shared" si="63"/>
        <v>1</v>
      </c>
      <c r="E388">
        <v>9</v>
      </c>
      <c r="F388" s="6" t="s">
        <v>423</v>
      </c>
      <c r="I388" t="s">
        <v>179</v>
      </c>
      <c r="J388">
        <v>19</v>
      </c>
      <c r="K388" t="s">
        <v>488</v>
      </c>
      <c r="L388" t="s">
        <v>8</v>
      </c>
      <c r="M388" t="s">
        <v>189</v>
      </c>
      <c r="N388" t="s">
        <v>70</v>
      </c>
      <c r="Q388">
        <f t="shared" ref="Q388:Q451" si="68">Q387</f>
        <v>18977</v>
      </c>
      <c r="R388" t="str">
        <f t="shared" ref="R388:R451" si="69">R387</f>
        <v>Velodrome</v>
      </c>
      <c r="S388" t="str">
        <f t="shared" ref="S388:S451" si="70">S387</f>
        <v>HollowBrook</v>
      </c>
      <c r="T388" s="20">
        <f t="shared" si="64"/>
        <v>0</v>
      </c>
      <c r="U388">
        <f t="shared" si="65"/>
        <v>554</v>
      </c>
      <c r="V388">
        <f t="shared" si="66"/>
        <v>554</v>
      </c>
      <c r="W388" cm="1">
        <f t="array" ref="W388">_xlfn._xlws.FILTER(shifts!A:A,(shifts!B:B=events!D388)*(shifts!AH:AH&gt;=events!U388)*(shifts!AI:AI&lt;=events!V388))</f>
        <v>11</v>
      </c>
      <c r="X388" t="str">
        <f t="shared" si="67"/>
        <v>event_team_player_2</v>
      </c>
      <c r="Y388">
        <f>COUNTIFS(A$3:A388,"="&amp;A388,K$3:K388,"="&amp;K388)</f>
        <v>2</v>
      </c>
      <c r="Z388" s="20">
        <f>SUMIFS(T$3:T388,L$3:L388,"=Intermission")+SUMIFS(T$3:T388,L$3:L388,"=Timeout")+SUMIFS(T$3:T388,L$3:L388,"=Clockstop")</f>
        <v>0</v>
      </c>
      <c r="AA388">
        <f t="shared" ref="AA388:AA451" si="71">IF(D388=1,0,IF(D388=2,1080+Z388,IF(D388=3,(1080*2)+Z388,0)))</f>
        <v>0</v>
      </c>
      <c r="AB388" s="26">
        <f t="shared" ref="AB388:AB451" si="72">((1080*D388)-((E388*60)+F388)*D388)+Z388</f>
        <v>526</v>
      </c>
      <c r="AC388">
        <f t="shared" ref="AC388:AC451" si="73">IF(L387="GameStart",0,AA388+Z388)</f>
        <v>0</v>
      </c>
    </row>
    <row r="389" spans="1:29" x14ac:dyDescent="0.2">
      <c r="A389">
        <v>200</v>
      </c>
      <c r="D389">
        <f t="shared" ref="D389:D452" si="74">IF(L389="Intermission",D388+1,D388)</f>
        <v>1</v>
      </c>
      <c r="E389">
        <v>9</v>
      </c>
      <c r="F389" s="6" t="s">
        <v>423</v>
      </c>
      <c r="I389" t="s">
        <v>179</v>
      </c>
      <c r="J389">
        <v>42</v>
      </c>
      <c r="K389" t="s">
        <v>489</v>
      </c>
      <c r="L389" t="s">
        <v>8</v>
      </c>
      <c r="M389" t="s">
        <v>189</v>
      </c>
      <c r="N389" t="s">
        <v>70</v>
      </c>
      <c r="Q389">
        <f t="shared" si="68"/>
        <v>18977</v>
      </c>
      <c r="R389" t="str">
        <f t="shared" si="69"/>
        <v>Velodrome</v>
      </c>
      <c r="S389" t="str">
        <f t="shared" si="70"/>
        <v>HollowBrook</v>
      </c>
      <c r="T389" s="20">
        <f t="shared" si="64"/>
        <v>0</v>
      </c>
      <c r="U389">
        <f t="shared" si="65"/>
        <v>554</v>
      </c>
      <c r="V389">
        <f t="shared" si="66"/>
        <v>554</v>
      </c>
      <c r="W389" cm="1">
        <f t="array" ref="W389">_xlfn._xlws.FILTER(shifts!A:A,(shifts!B:B=events!D389)*(shifts!AH:AH&gt;=events!U389)*(shifts!AI:AI&lt;=events!V389))</f>
        <v>11</v>
      </c>
      <c r="X389" t="str">
        <f t="shared" si="67"/>
        <v>opp_team_player_1</v>
      </c>
      <c r="Y389">
        <f>COUNTIFS(A$3:A389,"="&amp;A389,K$3:K389,"="&amp;K389)</f>
        <v>1</v>
      </c>
      <c r="Z389" s="20">
        <f>SUMIFS(T$3:T389,L$3:L389,"=Intermission")+SUMIFS(T$3:T389,L$3:L389,"=Timeout")+SUMIFS(T$3:T389,L$3:L389,"=Clockstop")</f>
        <v>0</v>
      </c>
      <c r="AA389">
        <f t="shared" si="71"/>
        <v>0</v>
      </c>
      <c r="AB389" s="26">
        <f t="shared" si="72"/>
        <v>526</v>
      </c>
      <c r="AC389">
        <f t="shared" si="73"/>
        <v>0</v>
      </c>
    </row>
    <row r="390" spans="1:29" x14ac:dyDescent="0.2">
      <c r="A390">
        <v>201</v>
      </c>
      <c r="D390">
        <f t="shared" si="74"/>
        <v>1</v>
      </c>
      <c r="E390">
        <v>9</v>
      </c>
      <c r="F390" s="6" t="s">
        <v>317</v>
      </c>
      <c r="G390">
        <v>9</v>
      </c>
      <c r="H390" s="8" t="s">
        <v>425</v>
      </c>
      <c r="I390" t="s">
        <v>179</v>
      </c>
      <c r="J390">
        <v>19</v>
      </c>
      <c r="K390" t="s">
        <v>488</v>
      </c>
      <c r="L390" t="s">
        <v>15</v>
      </c>
      <c r="Q390">
        <f t="shared" si="68"/>
        <v>18977</v>
      </c>
      <c r="R390" t="str">
        <f t="shared" si="69"/>
        <v>Velodrome</v>
      </c>
      <c r="S390" t="str">
        <f t="shared" si="70"/>
        <v>HollowBrook</v>
      </c>
      <c r="T390" s="20">
        <f t="shared" si="64"/>
        <v>3</v>
      </c>
      <c r="U390">
        <f t="shared" si="65"/>
        <v>553</v>
      </c>
      <c r="V390">
        <f t="shared" si="66"/>
        <v>550</v>
      </c>
      <c r="W390" cm="1">
        <f t="array" ref="W390">_xlfn._xlws.FILTER(shifts!A:A,(shifts!B:B=events!D390)*(shifts!AH:AH&gt;=events!U390)*(shifts!AI:AI&lt;=events!V390))</f>
        <v>11</v>
      </c>
      <c r="X390" t="str">
        <f t="shared" si="67"/>
        <v>event_team_player_1</v>
      </c>
      <c r="Y390">
        <f>COUNTIFS(A$3:A390,"="&amp;A390,K$3:K390,"="&amp;K390)</f>
        <v>1</v>
      </c>
      <c r="Z390" s="20">
        <f>SUMIFS(T$3:T390,L$3:L390,"=Intermission")+SUMIFS(T$3:T390,L$3:L390,"=Timeout")+SUMIFS(T$3:T390,L$3:L390,"=Clockstop")</f>
        <v>0</v>
      </c>
      <c r="AA390">
        <f t="shared" si="71"/>
        <v>0</v>
      </c>
      <c r="AB390" s="26">
        <f t="shared" si="72"/>
        <v>527</v>
      </c>
      <c r="AC390">
        <f t="shared" si="73"/>
        <v>0</v>
      </c>
    </row>
    <row r="391" spans="1:29" x14ac:dyDescent="0.2">
      <c r="A391">
        <v>201</v>
      </c>
      <c r="D391">
        <f t="shared" si="74"/>
        <v>1</v>
      </c>
      <c r="E391">
        <v>9</v>
      </c>
      <c r="F391" s="6" t="s">
        <v>317</v>
      </c>
      <c r="G391">
        <v>9</v>
      </c>
      <c r="H391" s="8" t="s">
        <v>425</v>
      </c>
      <c r="I391" t="s">
        <v>179</v>
      </c>
      <c r="J391">
        <v>22</v>
      </c>
      <c r="K391" t="s">
        <v>489</v>
      </c>
      <c r="L391" t="s">
        <v>15</v>
      </c>
      <c r="Q391">
        <f t="shared" si="68"/>
        <v>18977</v>
      </c>
      <c r="R391" t="str">
        <f t="shared" si="69"/>
        <v>Velodrome</v>
      </c>
      <c r="S391" t="str">
        <f t="shared" si="70"/>
        <v>HollowBrook</v>
      </c>
      <c r="T391" s="20">
        <f t="shared" si="64"/>
        <v>3</v>
      </c>
      <c r="U391">
        <f t="shared" si="65"/>
        <v>553</v>
      </c>
      <c r="V391">
        <f t="shared" si="66"/>
        <v>550</v>
      </c>
      <c r="W391" cm="1">
        <f t="array" ref="W391">_xlfn._xlws.FILTER(shifts!A:A,(shifts!B:B=events!D391)*(shifts!AH:AH&gt;=events!U391)*(shifts!AI:AI&lt;=events!V391))</f>
        <v>11</v>
      </c>
      <c r="X391" t="str">
        <f t="shared" si="67"/>
        <v>opp_team_player_1</v>
      </c>
      <c r="Y391">
        <f>COUNTIFS(A$3:A391,"="&amp;A391,K$3:K391,"="&amp;K391)</f>
        <v>1</v>
      </c>
      <c r="Z391" s="20">
        <f>SUMIFS(T$3:T391,L$3:L391,"=Intermission")+SUMIFS(T$3:T391,L$3:L391,"=Timeout")+SUMIFS(T$3:T391,L$3:L391,"=Clockstop")</f>
        <v>0</v>
      </c>
      <c r="AA391">
        <f t="shared" si="71"/>
        <v>0</v>
      </c>
      <c r="AB391" s="26">
        <f t="shared" si="72"/>
        <v>527</v>
      </c>
      <c r="AC391">
        <f t="shared" si="73"/>
        <v>0</v>
      </c>
    </row>
    <row r="392" spans="1:29" x14ac:dyDescent="0.2">
      <c r="A392">
        <v>202</v>
      </c>
      <c r="D392">
        <f t="shared" si="74"/>
        <v>1</v>
      </c>
      <c r="E392">
        <v>9</v>
      </c>
      <c r="F392" s="6" t="s">
        <v>425</v>
      </c>
      <c r="I392" t="s">
        <v>179</v>
      </c>
      <c r="J392">
        <v>19</v>
      </c>
      <c r="K392" t="s">
        <v>488</v>
      </c>
      <c r="L392" t="s">
        <v>8</v>
      </c>
      <c r="M392" t="s">
        <v>189</v>
      </c>
      <c r="N392" t="s">
        <v>70</v>
      </c>
      <c r="Q392">
        <f t="shared" si="68"/>
        <v>18977</v>
      </c>
      <c r="R392" t="str">
        <f t="shared" si="69"/>
        <v>Velodrome</v>
      </c>
      <c r="S392" t="str">
        <f t="shared" si="70"/>
        <v>HollowBrook</v>
      </c>
      <c r="T392" s="20">
        <f t="shared" si="64"/>
        <v>0</v>
      </c>
      <c r="U392">
        <f t="shared" si="65"/>
        <v>550</v>
      </c>
      <c r="V392">
        <f t="shared" si="66"/>
        <v>550</v>
      </c>
      <c r="W392" cm="1">
        <f t="array" ref="W392">_xlfn._xlws.FILTER(shifts!A:A,(shifts!B:B=events!D392)*(shifts!AH:AH&gt;=events!U392)*(shifts!AI:AI&lt;=events!V392))</f>
        <v>11</v>
      </c>
      <c r="X392" t="str">
        <f t="shared" si="67"/>
        <v>event_team_player_1</v>
      </c>
      <c r="Y392">
        <f>COUNTIFS(A$3:A392,"="&amp;A392,K$3:K392,"="&amp;K392)</f>
        <v>1</v>
      </c>
      <c r="Z392" s="20">
        <f>SUMIFS(T$3:T392,L$3:L392,"=Intermission")+SUMIFS(T$3:T392,L$3:L392,"=Timeout")+SUMIFS(T$3:T392,L$3:L392,"=Clockstop")</f>
        <v>0</v>
      </c>
      <c r="AA392">
        <f t="shared" si="71"/>
        <v>0</v>
      </c>
      <c r="AB392" s="26">
        <f t="shared" si="72"/>
        <v>530</v>
      </c>
      <c r="AC392">
        <f t="shared" si="73"/>
        <v>0</v>
      </c>
    </row>
    <row r="393" spans="1:29" x14ac:dyDescent="0.2">
      <c r="A393">
        <v>202</v>
      </c>
      <c r="D393">
        <f t="shared" si="74"/>
        <v>1</v>
      </c>
      <c r="E393">
        <v>9</v>
      </c>
      <c r="F393" s="6" t="s">
        <v>425</v>
      </c>
      <c r="I393" t="s">
        <v>179</v>
      </c>
      <c r="J393">
        <v>18</v>
      </c>
      <c r="K393" t="s">
        <v>488</v>
      </c>
      <c r="L393" t="s">
        <v>8</v>
      </c>
      <c r="M393" t="s">
        <v>189</v>
      </c>
      <c r="N393" t="s">
        <v>70</v>
      </c>
      <c r="Q393">
        <f t="shared" si="68"/>
        <v>18977</v>
      </c>
      <c r="R393" t="str">
        <f t="shared" si="69"/>
        <v>Velodrome</v>
      </c>
      <c r="S393" t="str">
        <f t="shared" si="70"/>
        <v>HollowBrook</v>
      </c>
      <c r="T393" s="20">
        <f t="shared" si="64"/>
        <v>0</v>
      </c>
      <c r="U393">
        <f t="shared" si="65"/>
        <v>550</v>
      </c>
      <c r="V393">
        <f t="shared" si="66"/>
        <v>550</v>
      </c>
      <c r="W393" cm="1">
        <f t="array" ref="W393">_xlfn._xlws.FILTER(shifts!A:A,(shifts!B:B=events!D393)*(shifts!AH:AH&gt;=events!U393)*(shifts!AI:AI&lt;=events!V393))</f>
        <v>11</v>
      </c>
      <c r="X393" t="str">
        <f t="shared" si="67"/>
        <v>event_team_player_2</v>
      </c>
      <c r="Y393">
        <f>COUNTIFS(A$3:A393,"="&amp;A393,K$3:K393,"="&amp;K393)</f>
        <v>2</v>
      </c>
      <c r="Z393" s="20">
        <f>SUMIFS(T$3:T393,L$3:L393,"=Intermission")+SUMIFS(T$3:T393,L$3:L393,"=Timeout")+SUMIFS(T$3:T393,L$3:L393,"=Clockstop")</f>
        <v>0</v>
      </c>
      <c r="AA393">
        <f t="shared" si="71"/>
        <v>0</v>
      </c>
      <c r="AB393" s="26">
        <f t="shared" si="72"/>
        <v>530</v>
      </c>
      <c r="AC393">
        <f t="shared" si="73"/>
        <v>0</v>
      </c>
    </row>
    <row r="394" spans="1:29" x14ac:dyDescent="0.2">
      <c r="A394">
        <v>202</v>
      </c>
      <c r="D394">
        <f t="shared" si="74"/>
        <v>1</v>
      </c>
      <c r="E394">
        <v>9</v>
      </c>
      <c r="F394" s="6" t="s">
        <v>425</v>
      </c>
      <c r="I394" t="s">
        <v>179</v>
      </c>
      <c r="J394">
        <v>22</v>
      </c>
      <c r="K394" t="s">
        <v>489</v>
      </c>
      <c r="L394" t="s">
        <v>8</v>
      </c>
      <c r="M394" t="s">
        <v>189</v>
      </c>
      <c r="N394" t="s">
        <v>70</v>
      </c>
      <c r="Q394">
        <f t="shared" si="68"/>
        <v>18977</v>
      </c>
      <c r="R394" t="str">
        <f t="shared" si="69"/>
        <v>Velodrome</v>
      </c>
      <c r="S394" t="str">
        <f t="shared" si="70"/>
        <v>HollowBrook</v>
      </c>
      <c r="T394" s="20">
        <f t="shared" si="64"/>
        <v>0</v>
      </c>
      <c r="U394">
        <f t="shared" si="65"/>
        <v>550</v>
      </c>
      <c r="V394">
        <f t="shared" si="66"/>
        <v>550</v>
      </c>
      <c r="W394" cm="1">
        <f t="array" ref="W394">_xlfn._xlws.FILTER(shifts!A:A,(shifts!B:B=events!D394)*(shifts!AH:AH&gt;=events!U394)*(shifts!AI:AI&lt;=events!V394))</f>
        <v>11</v>
      </c>
      <c r="X394" t="str">
        <f t="shared" si="67"/>
        <v>opp_team_player_1</v>
      </c>
      <c r="Y394">
        <f>COUNTIFS(A$3:A394,"="&amp;A394,K$3:K394,"="&amp;K394)</f>
        <v>1</v>
      </c>
      <c r="Z394" s="20">
        <f>SUMIFS(T$3:T394,L$3:L394,"=Intermission")+SUMIFS(T$3:T394,L$3:L394,"=Timeout")+SUMIFS(T$3:T394,L$3:L394,"=Clockstop")</f>
        <v>0</v>
      </c>
      <c r="AA394">
        <f t="shared" si="71"/>
        <v>0</v>
      </c>
      <c r="AB394" s="26">
        <f t="shared" si="72"/>
        <v>530</v>
      </c>
      <c r="AC394">
        <f t="shared" si="73"/>
        <v>0</v>
      </c>
    </row>
    <row r="395" spans="1:29" x14ac:dyDescent="0.2">
      <c r="A395">
        <v>203</v>
      </c>
      <c r="D395">
        <f t="shared" si="74"/>
        <v>1</v>
      </c>
      <c r="E395">
        <v>9</v>
      </c>
      <c r="F395" s="6" t="s">
        <v>424</v>
      </c>
      <c r="I395" t="s">
        <v>179</v>
      </c>
      <c r="J395">
        <v>18</v>
      </c>
      <c r="K395" t="s">
        <v>488</v>
      </c>
      <c r="L395" t="s">
        <v>8</v>
      </c>
      <c r="M395" t="s">
        <v>189</v>
      </c>
      <c r="N395" t="s">
        <v>70</v>
      </c>
      <c r="Q395">
        <f t="shared" si="68"/>
        <v>18977</v>
      </c>
      <c r="R395" t="str">
        <f t="shared" si="69"/>
        <v>Velodrome</v>
      </c>
      <c r="S395" t="str">
        <f t="shared" si="70"/>
        <v>HollowBrook</v>
      </c>
      <c r="T395" s="20">
        <f t="shared" si="64"/>
        <v>0</v>
      </c>
      <c r="U395">
        <f t="shared" si="65"/>
        <v>549</v>
      </c>
      <c r="V395">
        <f t="shared" si="66"/>
        <v>549</v>
      </c>
      <c r="W395" cm="1">
        <f t="array" ref="W395">_xlfn._xlws.FILTER(shifts!A:A,(shifts!B:B=events!D395)*(shifts!AH:AH&gt;=events!U395)*(shifts!AI:AI&lt;=events!V395))</f>
        <v>11</v>
      </c>
      <c r="X395" t="str">
        <f t="shared" si="67"/>
        <v>event_team_player_1</v>
      </c>
      <c r="Y395">
        <f>COUNTIFS(A$3:A395,"="&amp;A395,K$3:K395,"="&amp;K395)</f>
        <v>1</v>
      </c>
      <c r="Z395" s="20">
        <f>SUMIFS(T$3:T395,L$3:L395,"=Intermission")+SUMIFS(T$3:T395,L$3:L395,"=Timeout")+SUMIFS(T$3:T395,L$3:L395,"=Clockstop")</f>
        <v>0</v>
      </c>
      <c r="AA395">
        <f t="shared" si="71"/>
        <v>0</v>
      </c>
      <c r="AB395" s="26">
        <f t="shared" si="72"/>
        <v>531</v>
      </c>
      <c r="AC395">
        <f t="shared" si="73"/>
        <v>0</v>
      </c>
    </row>
    <row r="396" spans="1:29" x14ac:dyDescent="0.2">
      <c r="A396">
        <v>203</v>
      </c>
      <c r="D396">
        <f t="shared" si="74"/>
        <v>1</v>
      </c>
      <c r="E396">
        <v>9</v>
      </c>
      <c r="F396" s="6" t="s">
        <v>424</v>
      </c>
      <c r="I396" t="s">
        <v>179</v>
      </c>
      <c r="J396">
        <v>2</v>
      </c>
      <c r="K396" t="s">
        <v>488</v>
      </c>
      <c r="L396" t="s">
        <v>8</v>
      </c>
      <c r="M396" t="s">
        <v>189</v>
      </c>
      <c r="N396" t="s">
        <v>70</v>
      </c>
      <c r="Q396">
        <f t="shared" si="68"/>
        <v>18977</v>
      </c>
      <c r="R396" t="str">
        <f t="shared" si="69"/>
        <v>Velodrome</v>
      </c>
      <c r="S396" t="str">
        <f t="shared" si="70"/>
        <v>HollowBrook</v>
      </c>
      <c r="T396" s="20">
        <f t="shared" si="64"/>
        <v>0</v>
      </c>
      <c r="U396">
        <f t="shared" si="65"/>
        <v>549</v>
      </c>
      <c r="V396">
        <f t="shared" si="66"/>
        <v>549</v>
      </c>
      <c r="W396" cm="1">
        <f t="array" ref="W396">_xlfn._xlws.FILTER(shifts!A:A,(shifts!B:B=events!D396)*(shifts!AH:AH&gt;=events!U396)*(shifts!AI:AI&lt;=events!V396))</f>
        <v>11</v>
      </c>
      <c r="X396" t="str">
        <f t="shared" si="67"/>
        <v>event_team_player_2</v>
      </c>
      <c r="Y396">
        <f>COUNTIFS(A$3:A396,"="&amp;A396,K$3:K396,"="&amp;K396)</f>
        <v>2</v>
      </c>
      <c r="Z396" s="20">
        <f>SUMIFS(T$3:T396,L$3:L396,"=Intermission")+SUMIFS(T$3:T396,L$3:L396,"=Timeout")+SUMIFS(T$3:T396,L$3:L396,"=Clockstop")</f>
        <v>0</v>
      </c>
      <c r="AA396">
        <f t="shared" si="71"/>
        <v>0</v>
      </c>
      <c r="AB396" s="26">
        <f t="shared" si="72"/>
        <v>531</v>
      </c>
      <c r="AC396">
        <f t="shared" si="73"/>
        <v>0</v>
      </c>
    </row>
    <row r="397" spans="1:29" x14ac:dyDescent="0.2">
      <c r="A397">
        <v>204</v>
      </c>
      <c r="D397">
        <f t="shared" si="74"/>
        <v>1</v>
      </c>
      <c r="E397">
        <v>9</v>
      </c>
      <c r="F397" s="6" t="s">
        <v>313</v>
      </c>
      <c r="G397">
        <v>9</v>
      </c>
      <c r="H397" s="8" t="s">
        <v>311</v>
      </c>
      <c r="I397" t="s">
        <v>179</v>
      </c>
      <c r="J397">
        <v>2</v>
      </c>
      <c r="K397" t="s">
        <v>488</v>
      </c>
      <c r="L397" t="s">
        <v>15</v>
      </c>
      <c r="Q397">
        <f t="shared" si="68"/>
        <v>18977</v>
      </c>
      <c r="R397" t="str">
        <f t="shared" si="69"/>
        <v>Velodrome</v>
      </c>
      <c r="S397" t="str">
        <f t="shared" si="70"/>
        <v>HollowBrook</v>
      </c>
      <c r="T397" s="20">
        <f t="shared" si="64"/>
        <v>5</v>
      </c>
      <c r="U397">
        <f t="shared" si="65"/>
        <v>548</v>
      </c>
      <c r="V397">
        <f t="shared" si="66"/>
        <v>543</v>
      </c>
      <c r="W397" cm="1">
        <f t="array" ref="W397">_xlfn._xlws.FILTER(shifts!A:A,(shifts!B:B=events!D397)*(shifts!AH:AH&gt;=events!U397)*(shifts!AI:AI&lt;=events!V397))</f>
        <v>11</v>
      </c>
      <c r="X397" t="str">
        <f t="shared" si="67"/>
        <v>event_team_player_1</v>
      </c>
      <c r="Y397">
        <f>COUNTIFS(A$3:A397,"="&amp;A397,K$3:K397,"="&amp;K397)</f>
        <v>1</v>
      </c>
      <c r="Z397" s="20">
        <f>SUMIFS(T$3:T397,L$3:L397,"=Intermission")+SUMIFS(T$3:T397,L$3:L397,"=Timeout")+SUMIFS(T$3:T397,L$3:L397,"=Clockstop")</f>
        <v>0</v>
      </c>
      <c r="AA397">
        <f t="shared" si="71"/>
        <v>0</v>
      </c>
      <c r="AB397" s="26">
        <f t="shared" si="72"/>
        <v>532</v>
      </c>
      <c r="AC397">
        <f t="shared" si="73"/>
        <v>0</v>
      </c>
    </row>
    <row r="398" spans="1:29" x14ac:dyDescent="0.2">
      <c r="A398">
        <v>205</v>
      </c>
      <c r="D398">
        <f t="shared" si="74"/>
        <v>1</v>
      </c>
      <c r="E398">
        <v>9</v>
      </c>
      <c r="F398" s="6" t="s">
        <v>311</v>
      </c>
      <c r="I398" t="s">
        <v>179</v>
      </c>
      <c r="J398">
        <v>2</v>
      </c>
      <c r="K398" t="s">
        <v>488</v>
      </c>
      <c r="L398" t="s">
        <v>8</v>
      </c>
      <c r="M398" t="s">
        <v>189</v>
      </c>
      <c r="N398" t="s">
        <v>70</v>
      </c>
      <c r="Q398">
        <f t="shared" si="68"/>
        <v>18977</v>
      </c>
      <c r="R398" t="str">
        <f t="shared" si="69"/>
        <v>Velodrome</v>
      </c>
      <c r="S398" t="str">
        <f t="shared" si="70"/>
        <v>HollowBrook</v>
      </c>
      <c r="T398" s="20">
        <f t="shared" si="64"/>
        <v>0</v>
      </c>
      <c r="U398">
        <f t="shared" si="65"/>
        <v>543</v>
      </c>
      <c r="V398">
        <f t="shared" si="66"/>
        <v>543</v>
      </c>
      <c r="W398" cm="1">
        <f t="array" ref="W398">_xlfn._xlws.FILTER(shifts!A:A,(shifts!B:B=events!D398)*(shifts!AH:AH&gt;=events!U398)*(shifts!AI:AI&lt;=events!V398))</f>
        <v>11</v>
      </c>
      <c r="X398" t="str">
        <f t="shared" si="67"/>
        <v>event_team_player_1</v>
      </c>
      <c r="Y398">
        <f>COUNTIFS(A$3:A398,"="&amp;A398,K$3:K398,"="&amp;K398)</f>
        <v>1</v>
      </c>
      <c r="Z398" s="20">
        <f>SUMIFS(T$3:T398,L$3:L398,"=Intermission")+SUMIFS(T$3:T398,L$3:L398,"=Timeout")+SUMIFS(T$3:T398,L$3:L398,"=Clockstop")</f>
        <v>0</v>
      </c>
      <c r="AA398">
        <f t="shared" si="71"/>
        <v>0</v>
      </c>
      <c r="AB398" s="26">
        <f t="shared" si="72"/>
        <v>537</v>
      </c>
      <c r="AC398">
        <f t="shared" si="73"/>
        <v>0</v>
      </c>
    </row>
    <row r="399" spans="1:29" x14ac:dyDescent="0.2">
      <c r="A399">
        <v>205</v>
      </c>
      <c r="D399">
        <f t="shared" si="74"/>
        <v>1</v>
      </c>
      <c r="E399">
        <v>9</v>
      </c>
      <c r="F399" s="6" t="s">
        <v>311</v>
      </c>
      <c r="I399" t="s">
        <v>179</v>
      </c>
      <c r="J399">
        <v>18</v>
      </c>
      <c r="K399" t="s">
        <v>488</v>
      </c>
      <c r="L399" t="s">
        <v>8</v>
      </c>
      <c r="M399" t="s">
        <v>189</v>
      </c>
      <c r="N399" t="s">
        <v>70</v>
      </c>
      <c r="Q399">
        <f t="shared" si="68"/>
        <v>18977</v>
      </c>
      <c r="R399" t="str">
        <f t="shared" si="69"/>
        <v>Velodrome</v>
      </c>
      <c r="S399" t="str">
        <f t="shared" si="70"/>
        <v>HollowBrook</v>
      </c>
      <c r="T399" s="20">
        <f t="shared" si="64"/>
        <v>0</v>
      </c>
      <c r="U399">
        <f t="shared" si="65"/>
        <v>543</v>
      </c>
      <c r="V399">
        <f t="shared" si="66"/>
        <v>543</v>
      </c>
      <c r="W399" cm="1">
        <f t="array" ref="W399">_xlfn._xlws.FILTER(shifts!A:A,(shifts!B:B=events!D399)*(shifts!AH:AH&gt;=events!U399)*(shifts!AI:AI&lt;=events!V399))</f>
        <v>11</v>
      </c>
      <c r="X399" t="str">
        <f t="shared" si="67"/>
        <v>event_team_player_2</v>
      </c>
      <c r="Y399">
        <f>COUNTIFS(A$3:A399,"="&amp;A399,K$3:K399,"="&amp;K399)</f>
        <v>2</v>
      </c>
      <c r="Z399" s="20">
        <f>SUMIFS(T$3:T399,L$3:L399,"=Intermission")+SUMIFS(T$3:T399,L$3:L399,"=Timeout")+SUMIFS(T$3:T399,L$3:L399,"=Clockstop")</f>
        <v>0</v>
      </c>
      <c r="AA399">
        <f t="shared" si="71"/>
        <v>0</v>
      </c>
      <c r="AB399" s="26">
        <f t="shared" si="72"/>
        <v>537</v>
      </c>
      <c r="AC399">
        <f t="shared" si="73"/>
        <v>0</v>
      </c>
    </row>
    <row r="400" spans="1:29" x14ac:dyDescent="0.2">
      <c r="A400">
        <v>205</v>
      </c>
      <c r="D400">
        <f t="shared" si="74"/>
        <v>1</v>
      </c>
      <c r="E400">
        <v>9</v>
      </c>
      <c r="F400" s="6" t="s">
        <v>311</v>
      </c>
      <c r="I400" t="s">
        <v>179</v>
      </c>
      <c r="J400">
        <v>42</v>
      </c>
      <c r="K400" t="s">
        <v>489</v>
      </c>
      <c r="L400" t="s">
        <v>8</v>
      </c>
      <c r="M400" t="s">
        <v>189</v>
      </c>
      <c r="N400" t="s">
        <v>70</v>
      </c>
      <c r="Q400">
        <f t="shared" si="68"/>
        <v>18977</v>
      </c>
      <c r="R400" t="str">
        <f t="shared" si="69"/>
        <v>Velodrome</v>
      </c>
      <c r="S400" t="str">
        <f t="shared" si="70"/>
        <v>HollowBrook</v>
      </c>
      <c r="T400" s="20">
        <f t="shared" si="64"/>
        <v>0</v>
      </c>
      <c r="U400">
        <f t="shared" si="65"/>
        <v>543</v>
      </c>
      <c r="V400">
        <f t="shared" si="66"/>
        <v>543</v>
      </c>
      <c r="W400" cm="1">
        <f t="array" ref="W400">_xlfn._xlws.FILTER(shifts!A:A,(shifts!B:B=events!D400)*(shifts!AH:AH&gt;=events!U400)*(shifts!AI:AI&lt;=events!V400))</f>
        <v>11</v>
      </c>
      <c r="X400" t="str">
        <f t="shared" si="67"/>
        <v>opp_team_player_1</v>
      </c>
      <c r="Y400">
        <f>COUNTIFS(A$3:A400,"="&amp;A400,K$3:K400,"="&amp;K400)</f>
        <v>1</v>
      </c>
      <c r="Z400" s="20">
        <f>SUMIFS(T$3:T400,L$3:L400,"=Intermission")+SUMIFS(T$3:T400,L$3:L400,"=Timeout")+SUMIFS(T$3:T400,L$3:L400,"=Clockstop")</f>
        <v>0</v>
      </c>
      <c r="AA400">
        <f t="shared" si="71"/>
        <v>0</v>
      </c>
      <c r="AB400" s="26">
        <f t="shared" si="72"/>
        <v>537</v>
      </c>
      <c r="AC400">
        <f t="shared" si="73"/>
        <v>0</v>
      </c>
    </row>
    <row r="401" spans="1:29" x14ac:dyDescent="0.2">
      <c r="A401">
        <v>206</v>
      </c>
      <c r="D401">
        <f t="shared" si="74"/>
        <v>1</v>
      </c>
      <c r="E401">
        <v>9</v>
      </c>
      <c r="F401" s="6" t="s">
        <v>316</v>
      </c>
      <c r="I401" t="s">
        <v>179</v>
      </c>
      <c r="J401">
        <v>18</v>
      </c>
      <c r="K401" t="s">
        <v>488</v>
      </c>
      <c r="L401" t="s">
        <v>10</v>
      </c>
      <c r="M401" t="s">
        <v>190</v>
      </c>
      <c r="N401" t="s">
        <v>73</v>
      </c>
      <c r="Q401">
        <f t="shared" si="68"/>
        <v>18977</v>
      </c>
      <c r="R401" t="str">
        <f t="shared" si="69"/>
        <v>Velodrome</v>
      </c>
      <c r="S401" t="str">
        <f t="shared" si="70"/>
        <v>HollowBrook</v>
      </c>
      <c r="T401" s="20">
        <f t="shared" si="64"/>
        <v>0</v>
      </c>
      <c r="U401">
        <f t="shared" si="65"/>
        <v>542</v>
      </c>
      <c r="V401">
        <f t="shared" si="66"/>
        <v>542</v>
      </c>
      <c r="W401" cm="1">
        <f t="array" ref="W401">_xlfn._xlws.FILTER(shifts!A:A,(shifts!B:B=events!D401)*(shifts!AH:AH&gt;=events!U401)*(shifts!AI:AI&lt;=events!V401))</f>
        <v>11</v>
      </c>
      <c r="X401" t="str">
        <f t="shared" si="67"/>
        <v>event_team_player_1</v>
      </c>
      <c r="Y401">
        <f>COUNTIFS(A$3:A401,"="&amp;A401,K$3:K401,"="&amp;K401)</f>
        <v>1</v>
      </c>
      <c r="Z401" s="20">
        <f>SUMIFS(T$3:T401,L$3:L401,"=Intermission")+SUMIFS(T$3:T401,L$3:L401,"=Timeout")+SUMIFS(T$3:T401,L$3:L401,"=Clockstop")</f>
        <v>0</v>
      </c>
      <c r="AA401">
        <f t="shared" si="71"/>
        <v>0</v>
      </c>
      <c r="AB401" s="26">
        <f t="shared" si="72"/>
        <v>538</v>
      </c>
      <c r="AC401">
        <f t="shared" si="73"/>
        <v>0</v>
      </c>
    </row>
    <row r="402" spans="1:29" x14ac:dyDescent="0.2">
      <c r="A402">
        <v>207</v>
      </c>
      <c r="D402">
        <f t="shared" si="74"/>
        <v>1</v>
      </c>
      <c r="E402">
        <v>9</v>
      </c>
      <c r="F402" s="6" t="s">
        <v>316</v>
      </c>
      <c r="G402">
        <v>8</v>
      </c>
      <c r="H402" s="8" t="s">
        <v>433</v>
      </c>
      <c r="I402" t="s">
        <v>178</v>
      </c>
      <c r="J402">
        <v>42</v>
      </c>
      <c r="K402" t="s">
        <v>488</v>
      </c>
      <c r="L402" t="s">
        <v>15</v>
      </c>
      <c r="Q402">
        <f t="shared" si="68"/>
        <v>18977</v>
      </c>
      <c r="R402" t="str">
        <f t="shared" si="69"/>
        <v>Velodrome</v>
      </c>
      <c r="S402" t="str">
        <f t="shared" si="70"/>
        <v>HollowBrook</v>
      </c>
      <c r="T402" s="20">
        <f t="shared" si="64"/>
        <v>5</v>
      </c>
      <c r="U402">
        <f t="shared" si="65"/>
        <v>542</v>
      </c>
      <c r="V402">
        <f t="shared" si="66"/>
        <v>537</v>
      </c>
      <c r="W402" cm="1">
        <f t="array" ref="W402">_xlfn._xlws.FILTER(shifts!A:A,(shifts!B:B=events!D402)*(shifts!AH:AH&gt;=events!U402)*(shifts!AI:AI&lt;=events!V402))</f>
        <v>11</v>
      </c>
      <c r="X402" t="str">
        <f t="shared" si="67"/>
        <v>event_team_player_1</v>
      </c>
      <c r="Y402">
        <f>COUNTIFS(A$3:A402,"="&amp;A402,K$3:K402,"="&amp;K402)</f>
        <v>1</v>
      </c>
      <c r="Z402" s="20">
        <f>SUMIFS(T$3:T402,L$3:L402,"=Intermission")+SUMIFS(T$3:T402,L$3:L402,"=Timeout")+SUMIFS(T$3:T402,L$3:L402,"=Clockstop")</f>
        <v>0</v>
      </c>
      <c r="AA402">
        <f t="shared" si="71"/>
        <v>0</v>
      </c>
      <c r="AB402" s="26">
        <f t="shared" si="72"/>
        <v>538</v>
      </c>
      <c r="AC402">
        <f t="shared" si="73"/>
        <v>0</v>
      </c>
    </row>
    <row r="403" spans="1:29" x14ac:dyDescent="0.2">
      <c r="A403">
        <v>207</v>
      </c>
      <c r="D403">
        <f t="shared" si="74"/>
        <v>1</v>
      </c>
      <c r="E403">
        <v>9</v>
      </c>
      <c r="F403" s="6" t="s">
        <v>316</v>
      </c>
      <c r="G403">
        <v>8</v>
      </c>
      <c r="H403" s="8" t="s">
        <v>433</v>
      </c>
      <c r="I403" t="s">
        <v>178</v>
      </c>
      <c r="J403">
        <v>19</v>
      </c>
      <c r="K403" t="s">
        <v>489</v>
      </c>
      <c r="L403" t="s">
        <v>15</v>
      </c>
      <c r="Q403">
        <f t="shared" si="68"/>
        <v>18977</v>
      </c>
      <c r="R403" t="str">
        <f t="shared" si="69"/>
        <v>Velodrome</v>
      </c>
      <c r="S403" t="str">
        <f t="shared" si="70"/>
        <v>HollowBrook</v>
      </c>
      <c r="T403" s="20">
        <f t="shared" si="64"/>
        <v>5</v>
      </c>
      <c r="U403">
        <f t="shared" si="65"/>
        <v>542</v>
      </c>
      <c r="V403">
        <f t="shared" si="66"/>
        <v>537</v>
      </c>
      <c r="W403" cm="1">
        <f t="array" ref="W403">_xlfn._xlws.FILTER(shifts!A:A,(shifts!B:B=events!D403)*(shifts!AH:AH&gt;=events!U403)*(shifts!AI:AI&lt;=events!V403))</f>
        <v>11</v>
      </c>
      <c r="X403" t="str">
        <f t="shared" si="67"/>
        <v>opp_team_player_1</v>
      </c>
      <c r="Y403">
        <f>COUNTIFS(A$3:A403,"="&amp;A403,K$3:K403,"="&amp;K403)</f>
        <v>1</v>
      </c>
      <c r="Z403" s="20">
        <f>SUMIFS(T$3:T403,L$3:L403,"=Intermission")+SUMIFS(T$3:T403,L$3:L403,"=Timeout")+SUMIFS(T$3:T403,L$3:L403,"=Clockstop")</f>
        <v>0</v>
      </c>
      <c r="AA403">
        <f t="shared" si="71"/>
        <v>0</v>
      </c>
      <c r="AB403" s="26">
        <f t="shared" si="72"/>
        <v>538</v>
      </c>
      <c r="AC403">
        <f t="shared" si="73"/>
        <v>0</v>
      </c>
    </row>
    <row r="404" spans="1:29" x14ac:dyDescent="0.2">
      <c r="A404">
        <v>207</v>
      </c>
      <c r="D404">
        <f t="shared" si="74"/>
        <v>1</v>
      </c>
      <c r="E404">
        <v>9</v>
      </c>
      <c r="F404" s="6" t="s">
        <v>316</v>
      </c>
      <c r="G404">
        <v>8</v>
      </c>
      <c r="H404" s="8" t="s">
        <v>433</v>
      </c>
      <c r="I404" t="s">
        <v>178</v>
      </c>
      <c r="J404">
        <v>40</v>
      </c>
      <c r="K404" t="s">
        <v>489</v>
      </c>
      <c r="L404" t="s">
        <v>15</v>
      </c>
      <c r="Q404">
        <f t="shared" si="68"/>
        <v>18977</v>
      </c>
      <c r="R404" t="str">
        <f t="shared" si="69"/>
        <v>Velodrome</v>
      </c>
      <c r="S404" t="str">
        <f t="shared" si="70"/>
        <v>HollowBrook</v>
      </c>
      <c r="T404" s="20">
        <f t="shared" si="64"/>
        <v>5</v>
      </c>
      <c r="U404">
        <f t="shared" si="65"/>
        <v>542</v>
      </c>
      <c r="V404">
        <f t="shared" si="66"/>
        <v>537</v>
      </c>
      <c r="W404" cm="1">
        <f t="array" ref="W404">_xlfn._xlws.FILTER(shifts!A:A,(shifts!B:B=events!D404)*(shifts!AH:AH&gt;=events!U404)*(shifts!AI:AI&lt;=events!V404))</f>
        <v>11</v>
      </c>
      <c r="X404" t="str">
        <f t="shared" si="67"/>
        <v>opp_team_player_2</v>
      </c>
      <c r="Y404">
        <f>COUNTIFS(A$3:A404,"="&amp;A404,K$3:K404,"="&amp;K404)</f>
        <v>2</v>
      </c>
      <c r="Z404" s="20">
        <f>SUMIFS(T$3:T404,L$3:L404,"=Intermission")+SUMIFS(T$3:T404,L$3:L404,"=Timeout")+SUMIFS(T$3:T404,L$3:L404,"=Clockstop")</f>
        <v>0</v>
      </c>
      <c r="AA404">
        <f t="shared" si="71"/>
        <v>0</v>
      </c>
      <c r="AB404" s="26">
        <f t="shared" si="72"/>
        <v>538</v>
      </c>
      <c r="AC404">
        <f t="shared" si="73"/>
        <v>0</v>
      </c>
    </row>
    <row r="405" spans="1:29" x14ac:dyDescent="0.2">
      <c r="A405">
        <v>208</v>
      </c>
      <c r="D405">
        <f t="shared" si="74"/>
        <v>1</v>
      </c>
      <c r="E405">
        <v>8</v>
      </c>
      <c r="F405" s="6" t="s">
        <v>433</v>
      </c>
      <c r="G405">
        <v>8</v>
      </c>
      <c r="H405" s="8" t="s">
        <v>429</v>
      </c>
      <c r="I405" t="s">
        <v>178</v>
      </c>
      <c r="J405">
        <v>42</v>
      </c>
      <c r="K405" t="s">
        <v>488</v>
      </c>
      <c r="L405" t="s">
        <v>15</v>
      </c>
      <c r="Q405">
        <f t="shared" si="68"/>
        <v>18977</v>
      </c>
      <c r="R405" t="str">
        <f t="shared" si="69"/>
        <v>Velodrome</v>
      </c>
      <c r="S405" t="str">
        <f t="shared" si="70"/>
        <v>HollowBrook</v>
      </c>
      <c r="T405" s="20">
        <f t="shared" si="64"/>
        <v>2</v>
      </c>
      <c r="U405">
        <f t="shared" si="65"/>
        <v>537</v>
      </c>
      <c r="V405">
        <f t="shared" si="66"/>
        <v>535</v>
      </c>
      <c r="W405" cm="1">
        <f t="array" ref="W405">_xlfn._xlws.FILTER(shifts!A:A,(shifts!B:B=events!D405)*(shifts!AH:AH&gt;=events!U405)*(shifts!AI:AI&lt;=events!V405))</f>
        <v>11</v>
      </c>
      <c r="X405" t="str">
        <f t="shared" si="67"/>
        <v>event_team_player_1</v>
      </c>
      <c r="Y405">
        <f>COUNTIFS(A$3:A405,"="&amp;A405,K$3:K405,"="&amp;K405)</f>
        <v>1</v>
      </c>
      <c r="Z405" s="20">
        <f>SUMIFS(T$3:T405,L$3:L405,"=Intermission")+SUMIFS(T$3:T405,L$3:L405,"=Timeout")+SUMIFS(T$3:T405,L$3:L405,"=Clockstop")</f>
        <v>0</v>
      </c>
      <c r="AA405">
        <f t="shared" si="71"/>
        <v>0</v>
      </c>
      <c r="AB405" s="26">
        <f t="shared" si="72"/>
        <v>543</v>
      </c>
      <c r="AC405">
        <f t="shared" si="73"/>
        <v>0</v>
      </c>
    </row>
    <row r="406" spans="1:29" x14ac:dyDescent="0.2">
      <c r="A406">
        <v>208</v>
      </c>
      <c r="D406">
        <f t="shared" si="74"/>
        <v>1</v>
      </c>
      <c r="E406">
        <v>8</v>
      </c>
      <c r="F406" s="6" t="s">
        <v>433</v>
      </c>
      <c r="G406">
        <v>8</v>
      </c>
      <c r="H406" s="8" t="s">
        <v>429</v>
      </c>
      <c r="I406" t="s">
        <v>178</v>
      </c>
      <c r="J406">
        <v>40</v>
      </c>
      <c r="K406" t="s">
        <v>489</v>
      </c>
      <c r="L406" t="s">
        <v>15</v>
      </c>
      <c r="Q406">
        <f t="shared" si="68"/>
        <v>18977</v>
      </c>
      <c r="R406" t="str">
        <f t="shared" si="69"/>
        <v>Velodrome</v>
      </c>
      <c r="S406" t="str">
        <f t="shared" si="70"/>
        <v>HollowBrook</v>
      </c>
      <c r="T406" s="20">
        <f t="shared" si="64"/>
        <v>2</v>
      </c>
      <c r="U406">
        <f t="shared" si="65"/>
        <v>537</v>
      </c>
      <c r="V406">
        <f t="shared" si="66"/>
        <v>535</v>
      </c>
      <c r="W406" cm="1">
        <f t="array" ref="W406">_xlfn._xlws.FILTER(shifts!A:A,(shifts!B:B=events!D406)*(shifts!AH:AH&gt;=events!U406)*(shifts!AI:AI&lt;=events!V406))</f>
        <v>11</v>
      </c>
      <c r="X406" t="str">
        <f t="shared" si="67"/>
        <v>opp_team_player_1</v>
      </c>
      <c r="Y406">
        <f>COUNTIFS(A$3:A406,"="&amp;A406,K$3:K406,"="&amp;K406)</f>
        <v>1</v>
      </c>
      <c r="Z406" s="20">
        <f>SUMIFS(T$3:T406,L$3:L406,"=Intermission")+SUMIFS(T$3:T406,L$3:L406,"=Timeout")+SUMIFS(T$3:T406,L$3:L406,"=Clockstop")</f>
        <v>0</v>
      </c>
      <c r="AA406">
        <f t="shared" si="71"/>
        <v>0</v>
      </c>
      <c r="AB406" s="26">
        <f t="shared" si="72"/>
        <v>543</v>
      </c>
      <c r="AC406">
        <f t="shared" si="73"/>
        <v>0</v>
      </c>
    </row>
    <row r="407" spans="1:29" x14ac:dyDescent="0.2">
      <c r="A407">
        <v>209</v>
      </c>
      <c r="D407">
        <f t="shared" si="74"/>
        <v>1</v>
      </c>
      <c r="E407">
        <v>8</v>
      </c>
      <c r="F407" s="6" t="s">
        <v>429</v>
      </c>
      <c r="G407">
        <v>8</v>
      </c>
      <c r="H407" s="8" t="s">
        <v>428</v>
      </c>
      <c r="I407" t="s">
        <v>178</v>
      </c>
      <c r="J407">
        <v>42</v>
      </c>
      <c r="K407" t="s">
        <v>488</v>
      </c>
      <c r="L407" t="s">
        <v>277</v>
      </c>
      <c r="M407" t="s">
        <v>201</v>
      </c>
      <c r="N407" t="s">
        <v>90</v>
      </c>
      <c r="Q407">
        <f t="shared" si="68"/>
        <v>18977</v>
      </c>
      <c r="R407" t="str">
        <f t="shared" si="69"/>
        <v>Velodrome</v>
      </c>
      <c r="S407" t="str">
        <f t="shared" si="70"/>
        <v>HollowBrook</v>
      </c>
      <c r="T407" s="20">
        <f t="shared" si="64"/>
        <v>3</v>
      </c>
      <c r="U407">
        <f t="shared" si="65"/>
        <v>535</v>
      </c>
      <c r="V407">
        <f t="shared" si="66"/>
        <v>532</v>
      </c>
      <c r="W407" cm="1">
        <f t="array" ref="W407">_xlfn._xlws.FILTER(shifts!A:A,(shifts!B:B=events!D407)*(shifts!AH:AH&gt;=events!U407)*(shifts!AI:AI&lt;=events!V407))</f>
        <v>11</v>
      </c>
      <c r="X407" t="str">
        <f t="shared" si="67"/>
        <v>event_team_player_1</v>
      </c>
      <c r="Y407">
        <f>COUNTIFS(A$3:A407,"="&amp;A407,K$3:K407,"="&amp;K407)</f>
        <v>1</v>
      </c>
      <c r="Z407" s="20">
        <f>SUMIFS(T$3:T407,L$3:L407,"=Intermission")+SUMIFS(T$3:T407,L$3:L407,"=Timeout")+SUMIFS(T$3:T407,L$3:L407,"=Clockstop")</f>
        <v>0</v>
      </c>
      <c r="AA407">
        <f t="shared" si="71"/>
        <v>0</v>
      </c>
      <c r="AB407" s="26">
        <f t="shared" si="72"/>
        <v>545</v>
      </c>
      <c r="AC407">
        <f t="shared" si="73"/>
        <v>0</v>
      </c>
    </row>
    <row r="408" spans="1:29" x14ac:dyDescent="0.2">
      <c r="A408">
        <v>209</v>
      </c>
      <c r="D408">
        <f t="shared" si="74"/>
        <v>1</v>
      </c>
      <c r="E408">
        <v>8</v>
      </c>
      <c r="F408" s="6" t="s">
        <v>429</v>
      </c>
      <c r="G408">
        <v>8</v>
      </c>
      <c r="H408" s="8" t="s">
        <v>428</v>
      </c>
      <c r="I408" t="s">
        <v>178</v>
      </c>
      <c r="J408">
        <v>11</v>
      </c>
      <c r="K408" t="s">
        <v>489</v>
      </c>
      <c r="L408" t="s">
        <v>277</v>
      </c>
      <c r="M408" t="s">
        <v>201</v>
      </c>
      <c r="N408" t="s">
        <v>90</v>
      </c>
      <c r="Q408">
        <f t="shared" si="68"/>
        <v>18977</v>
      </c>
      <c r="R408" t="str">
        <f t="shared" si="69"/>
        <v>Velodrome</v>
      </c>
      <c r="S408" t="str">
        <f t="shared" si="70"/>
        <v>HollowBrook</v>
      </c>
      <c r="T408" s="20">
        <f t="shared" si="64"/>
        <v>3</v>
      </c>
      <c r="U408">
        <f t="shared" si="65"/>
        <v>535</v>
      </c>
      <c r="V408">
        <f t="shared" si="66"/>
        <v>532</v>
      </c>
      <c r="W408" cm="1">
        <f t="array" ref="W408">_xlfn._xlws.FILTER(shifts!A:A,(shifts!B:B=events!D408)*(shifts!AH:AH&gt;=events!U408)*(shifts!AI:AI&lt;=events!V408))</f>
        <v>11</v>
      </c>
      <c r="X408" t="str">
        <f t="shared" si="67"/>
        <v>opp_team_player_1</v>
      </c>
      <c r="Y408">
        <f>COUNTIFS(A$3:A408,"="&amp;A408,K$3:K408,"="&amp;K408)</f>
        <v>1</v>
      </c>
      <c r="Z408" s="20">
        <f>SUMIFS(T$3:T408,L$3:L408,"=Intermission")+SUMIFS(T$3:T408,L$3:L408,"=Timeout")+SUMIFS(T$3:T408,L$3:L408,"=Clockstop")</f>
        <v>0</v>
      </c>
      <c r="AA408">
        <f t="shared" si="71"/>
        <v>0</v>
      </c>
      <c r="AB408" s="26">
        <f t="shared" si="72"/>
        <v>545</v>
      </c>
      <c r="AC408">
        <f t="shared" si="73"/>
        <v>0</v>
      </c>
    </row>
    <row r="409" spans="1:29" x14ac:dyDescent="0.2">
      <c r="A409">
        <v>209</v>
      </c>
      <c r="D409">
        <f t="shared" si="74"/>
        <v>1</v>
      </c>
      <c r="E409">
        <v>8</v>
      </c>
      <c r="F409" s="6" t="s">
        <v>429</v>
      </c>
      <c r="G409">
        <v>8</v>
      </c>
      <c r="H409" s="8" t="s">
        <v>428</v>
      </c>
      <c r="I409" t="s">
        <v>178</v>
      </c>
      <c r="J409">
        <v>19</v>
      </c>
      <c r="K409" t="s">
        <v>489</v>
      </c>
      <c r="L409" t="s">
        <v>277</v>
      </c>
      <c r="M409" t="s">
        <v>201</v>
      </c>
      <c r="N409" t="s">
        <v>90</v>
      </c>
      <c r="Q409">
        <f t="shared" si="68"/>
        <v>18977</v>
      </c>
      <c r="R409" t="str">
        <f t="shared" si="69"/>
        <v>Velodrome</v>
      </c>
      <c r="S409" t="str">
        <f t="shared" si="70"/>
        <v>HollowBrook</v>
      </c>
      <c r="T409" s="20">
        <f t="shared" si="64"/>
        <v>3</v>
      </c>
      <c r="U409">
        <f t="shared" si="65"/>
        <v>535</v>
      </c>
      <c r="V409">
        <f t="shared" si="66"/>
        <v>532</v>
      </c>
      <c r="W409" cm="1">
        <f t="array" ref="W409">_xlfn._xlws.FILTER(shifts!A:A,(shifts!B:B=events!D409)*(shifts!AH:AH&gt;=events!U409)*(shifts!AI:AI&lt;=events!V409))</f>
        <v>11</v>
      </c>
      <c r="X409" t="str">
        <f t="shared" si="67"/>
        <v>opp_team_player_2</v>
      </c>
      <c r="Y409">
        <f>COUNTIFS(A$3:A409,"="&amp;A409,K$3:K409,"="&amp;K409)</f>
        <v>2</v>
      </c>
      <c r="Z409" s="20">
        <f>SUMIFS(T$3:T409,L$3:L409,"=Intermission")+SUMIFS(T$3:T409,L$3:L409,"=Timeout")+SUMIFS(T$3:T409,L$3:L409,"=Clockstop")</f>
        <v>0</v>
      </c>
      <c r="AA409">
        <f t="shared" si="71"/>
        <v>0</v>
      </c>
      <c r="AB409" s="26">
        <f t="shared" si="72"/>
        <v>545</v>
      </c>
      <c r="AC409">
        <f t="shared" si="73"/>
        <v>0</v>
      </c>
    </row>
    <row r="410" spans="1:29" x14ac:dyDescent="0.2">
      <c r="A410">
        <v>210</v>
      </c>
      <c r="D410">
        <f t="shared" si="74"/>
        <v>1</v>
      </c>
      <c r="E410">
        <v>8</v>
      </c>
      <c r="F410" s="6" t="s">
        <v>428</v>
      </c>
      <c r="G410">
        <v>8</v>
      </c>
      <c r="H410" s="8" t="s">
        <v>432</v>
      </c>
      <c r="I410" t="s">
        <v>178</v>
      </c>
      <c r="J410">
        <v>42</v>
      </c>
      <c r="K410" t="s">
        <v>488</v>
      </c>
      <c r="L410" t="s">
        <v>15</v>
      </c>
      <c r="Q410">
        <f t="shared" si="68"/>
        <v>18977</v>
      </c>
      <c r="R410" t="str">
        <f t="shared" si="69"/>
        <v>Velodrome</v>
      </c>
      <c r="S410" t="str">
        <f t="shared" si="70"/>
        <v>HollowBrook</v>
      </c>
      <c r="T410" s="20">
        <f t="shared" si="64"/>
        <v>2</v>
      </c>
      <c r="U410">
        <f t="shared" si="65"/>
        <v>532</v>
      </c>
      <c r="V410">
        <f t="shared" si="66"/>
        <v>530</v>
      </c>
      <c r="W410" cm="1">
        <f t="array" ref="W410">_xlfn._xlws.FILTER(shifts!A:A,(shifts!B:B=events!D410)*(shifts!AH:AH&gt;=events!U410)*(shifts!AI:AI&lt;=events!V410))</f>
        <v>11</v>
      </c>
      <c r="X410" t="str">
        <f t="shared" si="67"/>
        <v>event_team_player_1</v>
      </c>
      <c r="Y410">
        <f>COUNTIFS(A$3:A410,"="&amp;A410,K$3:K410,"="&amp;K410)</f>
        <v>1</v>
      </c>
      <c r="Z410" s="20">
        <f>SUMIFS(T$3:T410,L$3:L410,"=Intermission")+SUMIFS(T$3:T410,L$3:L410,"=Timeout")+SUMIFS(T$3:T410,L$3:L410,"=Clockstop")</f>
        <v>0</v>
      </c>
      <c r="AA410">
        <f t="shared" si="71"/>
        <v>0</v>
      </c>
      <c r="AB410" s="26">
        <f t="shared" si="72"/>
        <v>548</v>
      </c>
      <c r="AC410">
        <f t="shared" si="73"/>
        <v>0</v>
      </c>
    </row>
    <row r="411" spans="1:29" x14ac:dyDescent="0.2">
      <c r="A411">
        <v>210</v>
      </c>
      <c r="D411">
        <f t="shared" si="74"/>
        <v>1</v>
      </c>
      <c r="E411">
        <v>8</v>
      </c>
      <c r="F411" s="6" t="s">
        <v>428</v>
      </c>
      <c r="G411">
        <v>8</v>
      </c>
      <c r="H411" s="8" t="s">
        <v>432</v>
      </c>
      <c r="I411" t="s">
        <v>178</v>
      </c>
      <c r="J411">
        <v>19</v>
      </c>
      <c r="K411" t="s">
        <v>489</v>
      </c>
      <c r="L411" t="s">
        <v>15</v>
      </c>
      <c r="Q411">
        <f t="shared" si="68"/>
        <v>18977</v>
      </c>
      <c r="R411" t="str">
        <f t="shared" si="69"/>
        <v>Velodrome</v>
      </c>
      <c r="S411" t="str">
        <f t="shared" si="70"/>
        <v>HollowBrook</v>
      </c>
      <c r="T411" s="20">
        <f t="shared" si="64"/>
        <v>2</v>
      </c>
      <c r="U411">
        <f t="shared" si="65"/>
        <v>532</v>
      </c>
      <c r="V411">
        <f t="shared" si="66"/>
        <v>530</v>
      </c>
      <c r="W411" cm="1">
        <f t="array" ref="W411">_xlfn._xlws.FILTER(shifts!A:A,(shifts!B:B=events!D411)*(shifts!AH:AH&gt;=events!U411)*(shifts!AI:AI&lt;=events!V411))</f>
        <v>11</v>
      </c>
      <c r="X411" t="str">
        <f t="shared" si="67"/>
        <v>opp_team_player_1</v>
      </c>
      <c r="Y411">
        <f>COUNTIFS(A$3:A411,"="&amp;A411,K$3:K411,"="&amp;K411)</f>
        <v>1</v>
      </c>
      <c r="Z411" s="20">
        <f>SUMIFS(T$3:T411,L$3:L411,"=Intermission")+SUMIFS(T$3:T411,L$3:L411,"=Timeout")+SUMIFS(T$3:T411,L$3:L411,"=Clockstop")</f>
        <v>0</v>
      </c>
      <c r="AA411">
        <f t="shared" si="71"/>
        <v>0</v>
      </c>
      <c r="AB411" s="26">
        <f t="shared" si="72"/>
        <v>548</v>
      </c>
      <c r="AC411">
        <f t="shared" si="73"/>
        <v>0</v>
      </c>
    </row>
    <row r="412" spans="1:29" x14ac:dyDescent="0.2">
      <c r="A412">
        <v>211</v>
      </c>
      <c r="D412">
        <f t="shared" si="74"/>
        <v>1</v>
      </c>
      <c r="E412">
        <v>8</v>
      </c>
      <c r="F412" s="6" t="s">
        <v>432</v>
      </c>
      <c r="G412">
        <v>8</v>
      </c>
      <c r="H412" s="8" t="s">
        <v>434</v>
      </c>
      <c r="I412" t="s">
        <v>178</v>
      </c>
      <c r="J412">
        <v>42</v>
      </c>
      <c r="K412" t="s">
        <v>488</v>
      </c>
      <c r="L412" t="s">
        <v>277</v>
      </c>
      <c r="M412" t="s">
        <v>191</v>
      </c>
      <c r="N412" t="s">
        <v>87</v>
      </c>
      <c r="Q412">
        <f t="shared" si="68"/>
        <v>18977</v>
      </c>
      <c r="R412" t="str">
        <f t="shared" si="69"/>
        <v>Velodrome</v>
      </c>
      <c r="S412" t="str">
        <f t="shared" si="70"/>
        <v>HollowBrook</v>
      </c>
      <c r="T412" s="20">
        <f t="shared" si="64"/>
        <v>3</v>
      </c>
      <c r="U412">
        <f t="shared" si="65"/>
        <v>530</v>
      </c>
      <c r="V412">
        <f t="shared" si="66"/>
        <v>527</v>
      </c>
      <c r="W412" cm="1">
        <f t="array" ref="W412">_xlfn._xlws.FILTER(shifts!A:A,(shifts!B:B=events!D412)*(shifts!AH:AH&gt;=events!U412)*(shifts!AI:AI&lt;=events!V412))</f>
        <v>11</v>
      </c>
      <c r="X412" t="str">
        <f t="shared" si="67"/>
        <v>event_team_player_1</v>
      </c>
      <c r="Y412">
        <f>COUNTIFS(A$3:A412,"="&amp;A412,K$3:K412,"="&amp;K412)</f>
        <v>1</v>
      </c>
      <c r="Z412" s="20">
        <f>SUMIFS(T$3:T412,L$3:L412,"=Intermission")+SUMIFS(T$3:T412,L$3:L412,"=Timeout")+SUMIFS(T$3:T412,L$3:L412,"=Clockstop")</f>
        <v>0</v>
      </c>
      <c r="AA412">
        <f t="shared" si="71"/>
        <v>0</v>
      </c>
      <c r="AB412" s="26">
        <f t="shared" si="72"/>
        <v>550</v>
      </c>
      <c r="AC412">
        <f t="shared" si="73"/>
        <v>0</v>
      </c>
    </row>
    <row r="413" spans="1:29" x14ac:dyDescent="0.2">
      <c r="A413">
        <v>211</v>
      </c>
      <c r="D413">
        <f t="shared" si="74"/>
        <v>1</v>
      </c>
      <c r="E413">
        <v>8</v>
      </c>
      <c r="F413" s="6" t="s">
        <v>432</v>
      </c>
      <c r="G413">
        <v>8</v>
      </c>
      <c r="H413" s="8" t="s">
        <v>434</v>
      </c>
      <c r="I413" t="s">
        <v>178</v>
      </c>
      <c r="J413">
        <v>24</v>
      </c>
      <c r="K413" t="s">
        <v>488</v>
      </c>
      <c r="L413" t="s">
        <v>277</v>
      </c>
      <c r="M413" t="s">
        <v>191</v>
      </c>
      <c r="N413" t="s">
        <v>87</v>
      </c>
      <c r="Q413">
        <f t="shared" si="68"/>
        <v>18977</v>
      </c>
      <c r="R413" t="str">
        <f t="shared" si="69"/>
        <v>Velodrome</v>
      </c>
      <c r="S413" t="str">
        <f t="shared" si="70"/>
        <v>HollowBrook</v>
      </c>
      <c r="T413" s="20">
        <f t="shared" si="64"/>
        <v>3</v>
      </c>
      <c r="U413">
        <f t="shared" si="65"/>
        <v>530</v>
      </c>
      <c r="V413">
        <f t="shared" si="66"/>
        <v>527</v>
      </c>
      <c r="W413" cm="1">
        <f t="array" ref="W413">_xlfn._xlws.FILTER(shifts!A:A,(shifts!B:B=events!D413)*(shifts!AH:AH&gt;=events!U413)*(shifts!AI:AI&lt;=events!V413))</f>
        <v>11</v>
      </c>
      <c r="X413" t="str">
        <f t="shared" si="67"/>
        <v>event_team_player_2</v>
      </c>
      <c r="Y413">
        <f>COUNTIFS(A$3:A413,"="&amp;A413,K$3:K413,"="&amp;K413)</f>
        <v>2</v>
      </c>
      <c r="Z413" s="20">
        <f>SUMIFS(T$3:T413,L$3:L413,"=Intermission")+SUMIFS(T$3:T413,L$3:L413,"=Timeout")+SUMIFS(T$3:T413,L$3:L413,"=Clockstop")</f>
        <v>0</v>
      </c>
      <c r="AA413">
        <f t="shared" si="71"/>
        <v>0</v>
      </c>
      <c r="AB413" s="26">
        <f t="shared" si="72"/>
        <v>550</v>
      </c>
      <c r="AC413">
        <f t="shared" si="73"/>
        <v>0</v>
      </c>
    </row>
    <row r="414" spans="1:29" x14ac:dyDescent="0.2">
      <c r="A414">
        <v>211</v>
      </c>
      <c r="D414">
        <f t="shared" si="74"/>
        <v>1</v>
      </c>
      <c r="E414">
        <v>8</v>
      </c>
      <c r="F414" s="6" t="s">
        <v>432</v>
      </c>
      <c r="G414">
        <v>8</v>
      </c>
      <c r="H414" s="8" t="s">
        <v>434</v>
      </c>
      <c r="I414" t="s">
        <v>178</v>
      </c>
      <c r="J414">
        <v>19</v>
      </c>
      <c r="K414" t="s">
        <v>489</v>
      </c>
      <c r="L414" t="s">
        <v>277</v>
      </c>
      <c r="M414" t="s">
        <v>191</v>
      </c>
      <c r="N414" t="s">
        <v>87</v>
      </c>
      <c r="Q414">
        <f t="shared" si="68"/>
        <v>18977</v>
      </c>
      <c r="R414" t="str">
        <f t="shared" si="69"/>
        <v>Velodrome</v>
      </c>
      <c r="S414" t="str">
        <f t="shared" si="70"/>
        <v>HollowBrook</v>
      </c>
      <c r="T414" s="20">
        <f t="shared" si="64"/>
        <v>3</v>
      </c>
      <c r="U414">
        <f t="shared" si="65"/>
        <v>530</v>
      </c>
      <c r="V414">
        <f t="shared" si="66"/>
        <v>527</v>
      </c>
      <c r="W414" cm="1">
        <f t="array" ref="W414">_xlfn._xlws.FILTER(shifts!A:A,(shifts!B:B=events!D414)*(shifts!AH:AH&gt;=events!U414)*(shifts!AI:AI&lt;=events!V414))</f>
        <v>11</v>
      </c>
      <c r="X414" t="str">
        <f t="shared" si="67"/>
        <v>opp_team_player_1</v>
      </c>
      <c r="Y414">
        <f>COUNTIFS(A$3:A414,"="&amp;A414,K$3:K414,"="&amp;K414)</f>
        <v>1</v>
      </c>
      <c r="Z414" s="20">
        <f>SUMIFS(T$3:T414,L$3:L414,"=Intermission")+SUMIFS(T$3:T414,L$3:L414,"=Timeout")+SUMIFS(T$3:T414,L$3:L414,"=Clockstop")</f>
        <v>0</v>
      </c>
      <c r="AA414">
        <f t="shared" si="71"/>
        <v>0</v>
      </c>
      <c r="AB414" s="26">
        <f t="shared" si="72"/>
        <v>550</v>
      </c>
      <c r="AC414">
        <f t="shared" si="73"/>
        <v>0</v>
      </c>
    </row>
    <row r="415" spans="1:29" x14ac:dyDescent="0.2">
      <c r="A415">
        <v>211</v>
      </c>
      <c r="D415">
        <f t="shared" si="74"/>
        <v>1</v>
      </c>
      <c r="E415">
        <v>8</v>
      </c>
      <c r="F415" s="6" t="s">
        <v>432</v>
      </c>
      <c r="G415">
        <v>8</v>
      </c>
      <c r="H415" s="8" t="s">
        <v>434</v>
      </c>
      <c r="I415" t="s">
        <v>178</v>
      </c>
      <c r="J415">
        <v>2</v>
      </c>
      <c r="K415" t="s">
        <v>489</v>
      </c>
      <c r="L415" t="s">
        <v>277</v>
      </c>
      <c r="M415" t="s">
        <v>191</v>
      </c>
      <c r="N415" t="s">
        <v>87</v>
      </c>
      <c r="Q415">
        <f t="shared" si="68"/>
        <v>18977</v>
      </c>
      <c r="R415" t="str">
        <f t="shared" si="69"/>
        <v>Velodrome</v>
      </c>
      <c r="S415" t="str">
        <f t="shared" si="70"/>
        <v>HollowBrook</v>
      </c>
      <c r="T415" s="20">
        <f t="shared" si="64"/>
        <v>3</v>
      </c>
      <c r="U415">
        <f t="shared" si="65"/>
        <v>530</v>
      </c>
      <c r="V415">
        <f t="shared" si="66"/>
        <v>527</v>
      </c>
      <c r="W415" cm="1">
        <f t="array" ref="W415">_xlfn._xlws.FILTER(shifts!A:A,(shifts!B:B=events!D415)*(shifts!AH:AH&gt;=events!U415)*(shifts!AI:AI&lt;=events!V415))</f>
        <v>11</v>
      </c>
      <c r="X415" t="str">
        <f t="shared" si="67"/>
        <v>opp_team_player_2</v>
      </c>
      <c r="Y415">
        <f>COUNTIFS(A$3:A415,"="&amp;A415,K$3:K415,"="&amp;K415)</f>
        <v>2</v>
      </c>
      <c r="Z415" s="20">
        <f>SUMIFS(T$3:T415,L$3:L415,"=Intermission")+SUMIFS(T$3:T415,L$3:L415,"=Timeout")+SUMIFS(T$3:T415,L$3:L415,"=Clockstop")</f>
        <v>0</v>
      </c>
      <c r="AA415">
        <f t="shared" si="71"/>
        <v>0</v>
      </c>
      <c r="AB415" s="26">
        <f t="shared" si="72"/>
        <v>550</v>
      </c>
      <c r="AC415">
        <f t="shared" si="73"/>
        <v>0</v>
      </c>
    </row>
    <row r="416" spans="1:29" x14ac:dyDescent="0.2">
      <c r="A416">
        <v>211</v>
      </c>
      <c r="D416">
        <f t="shared" si="74"/>
        <v>1</v>
      </c>
      <c r="E416">
        <v>8</v>
      </c>
      <c r="F416" s="6" t="s">
        <v>432</v>
      </c>
      <c r="G416">
        <v>8</v>
      </c>
      <c r="H416" s="8" t="s">
        <v>434</v>
      </c>
      <c r="I416" t="s">
        <v>178</v>
      </c>
      <c r="J416">
        <v>18</v>
      </c>
      <c r="K416" t="s">
        <v>489</v>
      </c>
      <c r="L416" t="s">
        <v>277</v>
      </c>
      <c r="M416" t="s">
        <v>191</v>
      </c>
      <c r="N416" t="s">
        <v>87</v>
      </c>
      <c r="Q416">
        <f t="shared" si="68"/>
        <v>18977</v>
      </c>
      <c r="R416" t="str">
        <f t="shared" si="69"/>
        <v>Velodrome</v>
      </c>
      <c r="S416" t="str">
        <f t="shared" si="70"/>
        <v>HollowBrook</v>
      </c>
      <c r="T416" s="20">
        <f t="shared" si="64"/>
        <v>3</v>
      </c>
      <c r="U416">
        <f t="shared" si="65"/>
        <v>530</v>
      </c>
      <c r="V416">
        <f t="shared" si="66"/>
        <v>527</v>
      </c>
      <c r="W416" cm="1">
        <f t="array" ref="W416">_xlfn._xlws.FILTER(shifts!A:A,(shifts!B:B=events!D416)*(shifts!AH:AH&gt;=events!U416)*(shifts!AI:AI&lt;=events!V416))</f>
        <v>11</v>
      </c>
      <c r="X416" t="str">
        <f t="shared" si="67"/>
        <v>opp_team_player_3</v>
      </c>
      <c r="Y416">
        <f>COUNTIFS(A$3:A416,"="&amp;A416,K$3:K416,"="&amp;K416)</f>
        <v>3</v>
      </c>
      <c r="Z416" s="20">
        <f>SUMIFS(T$3:T416,L$3:L416,"=Intermission")+SUMIFS(T$3:T416,L$3:L416,"=Timeout")+SUMIFS(T$3:T416,L$3:L416,"=Clockstop")</f>
        <v>0</v>
      </c>
      <c r="AA416">
        <f t="shared" si="71"/>
        <v>0</v>
      </c>
      <c r="AB416" s="26">
        <f t="shared" si="72"/>
        <v>550</v>
      </c>
      <c r="AC416">
        <f t="shared" si="73"/>
        <v>0</v>
      </c>
    </row>
    <row r="417" spans="1:29" x14ac:dyDescent="0.2">
      <c r="A417">
        <v>212</v>
      </c>
      <c r="D417">
        <f t="shared" si="74"/>
        <v>1</v>
      </c>
      <c r="E417">
        <v>8</v>
      </c>
      <c r="F417" s="6" t="s">
        <v>434</v>
      </c>
      <c r="I417" t="s">
        <v>178</v>
      </c>
      <c r="J417">
        <v>42</v>
      </c>
      <c r="K417" t="s">
        <v>488</v>
      </c>
      <c r="L417" t="s">
        <v>8</v>
      </c>
      <c r="M417" t="s">
        <v>209</v>
      </c>
      <c r="N417" t="s">
        <v>70</v>
      </c>
      <c r="Q417">
        <f t="shared" si="68"/>
        <v>18977</v>
      </c>
      <c r="R417" t="str">
        <f t="shared" si="69"/>
        <v>Velodrome</v>
      </c>
      <c r="S417" t="str">
        <f t="shared" si="70"/>
        <v>HollowBrook</v>
      </c>
      <c r="T417" s="20">
        <f t="shared" si="64"/>
        <v>0</v>
      </c>
      <c r="U417">
        <f t="shared" si="65"/>
        <v>527</v>
      </c>
      <c r="V417">
        <f t="shared" si="66"/>
        <v>527</v>
      </c>
      <c r="W417">
        <v>12</v>
      </c>
      <c r="X417" t="str">
        <f t="shared" si="67"/>
        <v>event_team_player_1</v>
      </c>
      <c r="Y417">
        <f>COUNTIFS(A$3:A417,"="&amp;A417,K$3:K417,"="&amp;K417)</f>
        <v>1</v>
      </c>
      <c r="Z417" s="20">
        <f>SUMIFS(T$3:T417,L$3:L417,"=Intermission")+SUMIFS(T$3:T417,L$3:L417,"=Timeout")+SUMIFS(T$3:T417,L$3:L417,"=Clockstop")</f>
        <v>0</v>
      </c>
      <c r="AA417">
        <f t="shared" si="71"/>
        <v>0</v>
      </c>
      <c r="AB417" s="26">
        <f t="shared" si="72"/>
        <v>553</v>
      </c>
      <c r="AC417">
        <f t="shared" si="73"/>
        <v>0</v>
      </c>
    </row>
    <row r="418" spans="1:29" x14ac:dyDescent="0.2">
      <c r="A418">
        <v>212</v>
      </c>
      <c r="D418">
        <f t="shared" si="74"/>
        <v>1</v>
      </c>
      <c r="E418">
        <v>8</v>
      </c>
      <c r="F418" s="6" t="s">
        <v>434</v>
      </c>
      <c r="I418" t="s">
        <v>178</v>
      </c>
      <c r="J418">
        <v>24</v>
      </c>
      <c r="K418" t="s">
        <v>488</v>
      </c>
      <c r="L418" t="s">
        <v>8</v>
      </c>
      <c r="M418" t="s">
        <v>209</v>
      </c>
      <c r="N418" t="s">
        <v>70</v>
      </c>
      <c r="Q418">
        <f t="shared" si="68"/>
        <v>18977</v>
      </c>
      <c r="R418" t="str">
        <f t="shared" si="69"/>
        <v>Velodrome</v>
      </c>
      <c r="S418" t="str">
        <f t="shared" si="70"/>
        <v>HollowBrook</v>
      </c>
      <c r="T418" s="20">
        <f t="shared" si="64"/>
        <v>0</v>
      </c>
      <c r="U418">
        <f t="shared" si="65"/>
        <v>527</v>
      </c>
      <c r="V418">
        <f t="shared" si="66"/>
        <v>527</v>
      </c>
      <c r="W418">
        <v>12</v>
      </c>
      <c r="X418" t="str">
        <f t="shared" si="67"/>
        <v>event_team_player_2</v>
      </c>
      <c r="Y418">
        <f>COUNTIFS(A$3:A418,"="&amp;A418,K$3:K418,"="&amp;K418)</f>
        <v>2</v>
      </c>
      <c r="Z418" s="20">
        <f>SUMIFS(T$3:T418,L$3:L418,"=Intermission")+SUMIFS(T$3:T418,L$3:L418,"=Timeout")+SUMIFS(T$3:T418,L$3:L418,"=Clockstop")</f>
        <v>0</v>
      </c>
      <c r="AA418">
        <f t="shared" si="71"/>
        <v>0</v>
      </c>
      <c r="AB418" s="26">
        <f t="shared" si="72"/>
        <v>553</v>
      </c>
      <c r="AC418">
        <f t="shared" si="73"/>
        <v>0</v>
      </c>
    </row>
    <row r="419" spans="1:29" x14ac:dyDescent="0.2">
      <c r="A419">
        <v>212</v>
      </c>
      <c r="D419">
        <f t="shared" si="74"/>
        <v>1</v>
      </c>
      <c r="E419">
        <v>8</v>
      </c>
      <c r="F419" s="6" t="s">
        <v>434</v>
      </c>
      <c r="I419" t="s">
        <v>178</v>
      </c>
      <c r="J419">
        <v>19</v>
      </c>
      <c r="K419" t="s">
        <v>489</v>
      </c>
      <c r="L419" t="s">
        <v>8</v>
      </c>
      <c r="M419" t="s">
        <v>209</v>
      </c>
      <c r="N419" t="s">
        <v>70</v>
      </c>
      <c r="Q419">
        <f t="shared" si="68"/>
        <v>18977</v>
      </c>
      <c r="R419" t="str">
        <f t="shared" si="69"/>
        <v>Velodrome</v>
      </c>
      <c r="S419" t="str">
        <f t="shared" si="70"/>
        <v>HollowBrook</v>
      </c>
      <c r="T419" s="20">
        <f t="shared" si="64"/>
        <v>0</v>
      </c>
      <c r="U419">
        <f t="shared" si="65"/>
        <v>527</v>
      </c>
      <c r="V419">
        <f t="shared" si="66"/>
        <v>527</v>
      </c>
      <c r="W419">
        <v>12</v>
      </c>
      <c r="X419" t="str">
        <f t="shared" si="67"/>
        <v>opp_team_player_1</v>
      </c>
      <c r="Y419">
        <f>COUNTIFS(A$3:A419,"="&amp;A419,K$3:K419,"="&amp;K419)</f>
        <v>1</v>
      </c>
      <c r="Z419" s="20">
        <f>SUMIFS(T$3:T419,L$3:L419,"=Intermission")+SUMIFS(T$3:T419,L$3:L419,"=Timeout")+SUMIFS(T$3:T419,L$3:L419,"=Clockstop")</f>
        <v>0</v>
      </c>
      <c r="AA419">
        <f t="shared" si="71"/>
        <v>0</v>
      </c>
      <c r="AB419" s="26">
        <f t="shared" si="72"/>
        <v>553</v>
      </c>
      <c r="AC419">
        <f t="shared" si="73"/>
        <v>0</v>
      </c>
    </row>
    <row r="420" spans="1:29" x14ac:dyDescent="0.2">
      <c r="A420">
        <v>212</v>
      </c>
      <c r="D420">
        <f t="shared" si="74"/>
        <v>1</v>
      </c>
      <c r="E420">
        <v>8</v>
      </c>
      <c r="F420" s="6" t="s">
        <v>434</v>
      </c>
      <c r="I420" t="s">
        <v>178</v>
      </c>
      <c r="J420">
        <v>18</v>
      </c>
      <c r="K420" t="s">
        <v>489</v>
      </c>
      <c r="L420" t="s">
        <v>8</v>
      </c>
      <c r="M420" t="s">
        <v>209</v>
      </c>
      <c r="N420" t="s">
        <v>70</v>
      </c>
      <c r="Q420">
        <f t="shared" si="68"/>
        <v>18977</v>
      </c>
      <c r="R420" t="str">
        <f t="shared" si="69"/>
        <v>Velodrome</v>
      </c>
      <c r="S420" t="str">
        <f t="shared" si="70"/>
        <v>HollowBrook</v>
      </c>
      <c r="T420" s="20">
        <f t="shared" si="64"/>
        <v>0</v>
      </c>
      <c r="U420">
        <f t="shared" si="65"/>
        <v>527</v>
      </c>
      <c r="V420">
        <f t="shared" si="66"/>
        <v>527</v>
      </c>
      <c r="W420">
        <v>12</v>
      </c>
      <c r="X420" t="str">
        <f t="shared" si="67"/>
        <v>opp_team_player_2</v>
      </c>
      <c r="Y420">
        <f>COUNTIFS(A$3:A420,"="&amp;A420,K$3:K420,"="&amp;K420)</f>
        <v>2</v>
      </c>
      <c r="Z420" s="20">
        <f>SUMIFS(T$3:T420,L$3:L420,"=Intermission")+SUMIFS(T$3:T420,L$3:L420,"=Timeout")+SUMIFS(T$3:T420,L$3:L420,"=Clockstop")</f>
        <v>0</v>
      </c>
      <c r="AA420">
        <f t="shared" si="71"/>
        <v>0</v>
      </c>
      <c r="AB420" s="26">
        <f t="shared" si="72"/>
        <v>553</v>
      </c>
      <c r="AC420">
        <f t="shared" si="73"/>
        <v>0</v>
      </c>
    </row>
    <row r="421" spans="1:29" x14ac:dyDescent="0.2">
      <c r="A421">
        <v>213</v>
      </c>
      <c r="D421">
        <f t="shared" si="74"/>
        <v>1</v>
      </c>
      <c r="E421">
        <v>8</v>
      </c>
      <c r="F421" s="6" t="s">
        <v>434</v>
      </c>
      <c r="I421" t="s">
        <v>178</v>
      </c>
      <c r="J421">
        <v>42</v>
      </c>
      <c r="K421" t="s">
        <v>488</v>
      </c>
      <c r="L421" t="s">
        <v>10</v>
      </c>
      <c r="M421" t="s">
        <v>190</v>
      </c>
      <c r="N421" t="s">
        <v>77</v>
      </c>
      <c r="Q421">
        <f t="shared" si="68"/>
        <v>18977</v>
      </c>
      <c r="R421" t="str">
        <f t="shared" si="69"/>
        <v>Velodrome</v>
      </c>
      <c r="S421" t="str">
        <f t="shared" si="70"/>
        <v>HollowBrook</v>
      </c>
      <c r="T421" s="20">
        <f t="shared" si="64"/>
        <v>0</v>
      </c>
      <c r="U421">
        <f t="shared" si="65"/>
        <v>527</v>
      </c>
      <c r="V421">
        <f t="shared" si="66"/>
        <v>527</v>
      </c>
      <c r="W421">
        <v>12</v>
      </c>
      <c r="X421" t="str">
        <f t="shared" si="67"/>
        <v>event_team_player_1</v>
      </c>
      <c r="Y421">
        <f>COUNTIFS(A$3:A421,"="&amp;A421,K$3:K421,"="&amp;K421)</f>
        <v>1</v>
      </c>
      <c r="Z421" s="20">
        <f>SUMIFS(T$3:T421,L$3:L421,"=Intermission")+SUMIFS(T$3:T421,L$3:L421,"=Timeout")+SUMIFS(T$3:T421,L$3:L421,"=Clockstop")</f>
        <v>0</v>
      </c>
      <c r="AA421">
        <f t="shared" si="71"/>
        <v>0</v>
      </c>
      <c r="AB421" s="26">
        <f t="shared" si="72"/>
        <v>553</v>
      </c>
      <c r="AC421">
        <f t="shared" si="73"/>
        <v>0</v>
      </c>
    </row>
    <row r="422" spans="1:29" x14ac:dyDescent="0.2">
      <c r="A422">
        <v>213</v>
      </c>
      <c r="D422">
        <f t="shared" si="74"/>
        <v>1</v>
      </c>
      <c r="E422">
        <v>8</v>
      </c>
      <c r="F422" s="6" t="s">
        <v>434</v>
      </c>
      <c r="I422" t="s">
        <v>178</v>
      </c>
      <c r="J422">
        <v>24</v>
      </c>
      <c r="K422" t="s">
        <v>488</v>
      </c>
      <c r="L422" t="s">
        <v>10</v>
      </c>
      <c r="M422" t="s">
        <v>190</v>
      </c>
      <c r="N422" t="s">
        <v>77</v>
      </c>
      <c r="Q422">
        <f t="shared" si="68"/>
        <v>18977</v>
      </c>
      <c r="R422" t="str">
        <f t="shared" si="69"/>
        <v>Velodrome</v>
      </c>
      <c r="S422" t="str">
        <f t="shared" si="70"/>
        <v>HollowBrook</v>
      </c>
      <c r="T422" s="20">
        <f t="shared" si="64"/>
        <v>0</v>
      </c>
      <c r="U422">
        <f t="shared" si="65"/>
        <v>527</v>
      </c>
      <c r="V422">
        <f t="shared" si="66"/>
        <v>527</v>
      </c>
      <c r="W422">
        <v>12</v>
      </c>
      <c r="X422" t="str">
        <f t="shared" si="67"/>
        <v>event_team_player_2</v>
      </c>
      <c r="Y422">
        <f>COUNTIFS(A$3:A422,"="&amp;A422,K$3:K422,"="&amp;K422)</f>
        <v>2</v>
      </c>
      <c r="Z422" s="20">
        <f>SUMIFS(T$3:T422,L$3:L422,"=Intermission")+SUMIFS(T$3:T422,L$3:L422,"=Timeout")+SUMIFS(T$3:T422,L$3:L422,"=Clockstop")</f>
        <v>0</v>
      </c>
      <c r="AA422">
        <f t="shared" si="71"/>
        <v>0</v>
      </c>
      <c r="AB422" s="26">
        <f t="shared" si="72"/>
        <v>553</v>
      </c>
      <c r="AC422">
        <f t="shared" si="73"/>
        <v>0</v>
      </c>
    </row>
    <row r="423" spans="1:29" x14ac:dyDescent="0.2">
      <c r="A423">
        <v>213</v>
      </c>
      <c r="D423">
        <f t="shared" si="74"/>
        <v>1</v>
      </c>
      <c r="E423">
        <v>8</v>
      </c>
      <c r="F423" s="6" t="s">
        <v>434</v>
      </c>
      <c r="I423" t="s">
        <v>178</v>
      </c>
      <c r="J423">
        <v>19</v>
      </c>
      <c r="K423" t="s">
        <v>489</v>
      </c>
      <c r="L423" t="s">
        <v>10</v>
      </c>
      <c r="M423" t="s">
        <v>190</v>
      </c>
      <c r="N423" t="s">
        <v>77</v>
      </c>
      <c r="Q423">
        <f t="shared" si="68"/>
        <v>18977</v>
      </c>
      <c r="R423" t="str">
        <f t="shared" si="69"/>
        <v>Velodrome</v>
      </c>
      <c r="S423" t="str">
        <f t="shared" si="70"/>
        <v>HollowBrook</v>
      </c>
      <c r="T423" s="20">
        <f t="shared" si="64"/>
        <v>0</v>
      </c>
      <c r="U423">
        <f t="shared" si="65"/>
        <v>527</v>
      </c>
      <c r="V423">
        <f t="shared" si="66"/>
        <v>527</v>
      </c>
      <c r="W423">
        <v>12</v>
      </c>
      <c r="X423" t="str">
        <f t="shared" si="67"/>
        <v>opp_team_player_1</v>
      </c>
      <c r="Y423">
        <f>COUNTIFS(A$3:A423,"="&amp;A423,K$3:K423,"="&amp;K423)</f>
        <v>1</v>
      </c>
      <c r="Z423" s="20">
        <f>SUMIFS(T$3:T423,L$3:L423,"=Intermission")+SUMIFS(T$3:T423,L$3:L423,"=Timeout")+SUMIFS(T$3:T423,L$3:L423,"=Clockstop")</f>
        <v>0</v>
      </c>
      <c r="AA423">
        <f t="shared" si="71"/>
        <v>0</v>
      </c>
      <c r="AB423" s="26">
        <f t="shared" si="72"/>
        <v>553</v>
      </c>
      <c r="AC423">
        <f t="shared" si="73"/>
        <v>0</v>
      </c>
    </row>
    <row r="424" spans="1:29" x14ac:dyDescent="0.2">
      <c r="A424">
        <v>213</v>
      </c>
      <c r="D424">
        <f t="shared" si="74"/>
        <v>1</v>
      </c>
      <c r="E424">
        <v>8</v>
      </c>
      <c r="F424" s="6" t="s">
        <v>434</v>
      </c>
      <c r="I424" t="s">
        <v>178</v>
      </c>
      <c r="J424">
        <v>18</v>
      </c>
      <c r="K424" t="s">
        <v>489</v>
      </c>
      <c r="L424" t="s">
        <v>10</v>
      </c>
      <c r="M424" t="s">
        <v>190</v>
      </c>
      <c r="N424" t="s">
        <v>77</v>
      </c>
      <c r="Q424">
        <f t="shared" si="68"/>
        <v>18977</v>
      </c>
      <c r="R424" t="str">
        <f t="shared" si="69"/>
        <v>Velodrome</v>
      </c>
      <c r="S424" t="str">
        <f t="shared" si="70"/>
        <v>HollowBrook</v>
      </c>
      <c r="T424" s="20">
        <f t="shared" si="64"/>
        <v>0</v>
      </c>
      <c r="U424">
        <f t="shared" si="65"/>
        <v>527</v>
      </c>
      <c r="V424">
        <f t="shared" si="66"/>
        <v>527</v>
      </c>
      <c r="W424">
        <v>12</v>
      </c>
      <c r="X424" t="str">
        <f t="shared" si="67"/>
        <v>opp_team_player_2</v>
      </c>
      <c r="Y424">
        <f>COUNTIFS(A$3:A424,"="&amp;A424,K$3:K424,"="&amp;K424)</f>
        <v>2</v>
      </c>
      <c r="Z424" s="20">
        <f>SUMIFS(T$3:T424,L$3:L424,"=Intermission")+SUMIFS(T$3:T424,L$3:L424,"=Timeout")+SUMIFS(T$3:T424,L$3:L424,"=Clockstop")</f>
        <v>0</v>
      </c>
      <c r="AA424">
        <f t="shared" si="71"/>
        <v>0</v>
      </c>
      <c r="AB424" s="26">
        <f t="shared" si="72"/>
        <v>553</v>
      </c>
      <c r="AC424">
        <f t="shared" si="73"/>
        <v>0</v>
      </c>
    </row>
    <row r="425" spans="1:29" x14ac:dyDescent="0.2">
      <c r="A425">
        <v>214</v>
      </c>
      <c r="D425">
        <f t="shared" si="74"/>
        <v>1</v>
      </c>
      <c r="E425">
        <v>8</v>
      </c>
      <c r="F425" s="6" t="s">
        <v>436</v>
      </c>
      <c r="G425">
        <v>8</v>
      </c>
      <c r="H425" s="8" t="s">
        <v>454</v>
      </c>
      <c r="I425" t="s">
        <v>179</v>
      </c>
      <c r="J425">
        <v>40</v>
      </c>
      <c r="K425" t="s">
        <v>488</v>
      </c>
      <c r="L425" t="s">
        <v>15</v>
      </c>
      <c r="Q425">
        <f t="shared" si="68"/>
        <v>18977</v>
      </c>
      <c r="R425" t="str">
        <f t="shared" si="69"/>
        <v>Velodrome</v>
      </c>
      <c r="S425" t="str">
        <f t="shared" si="70"/>
        <v>HollowBrook</v>
      </c>
      <c r="T425" s="20">
        <f t="shared" si="64"/>
        <v>2</v>
      </c>
      <c r="U425">
        <f t="shared" si="65"/>
        <v>525</v>
      </c>
      <c r="V425">
        <f t="shared" si="66"/>
        <v>523</v>
      </c>
      <c r="W425" cm="1">
        <f t="array" ref="W425">_xlfn._xlws.FILTER(shifts!A:A,(shifts!B:B=events!D425)*(shifts!AH:AH&gt;=events!U425)*(shifts!AI:AI&lt;=events!V425))</f>
        <v>12</v>
      </c>
      <c r="X425" t="str">
        <f t="shared" si="67"/>
        <v>event_team_player_1</v>
      </c>
      <c r="Y425">
        <f>COUNTIFS(A$3:A425,"="&amp;A425,K$3:K425,"="&amp;K425)</f>
        <v>1</v>
      </c>
      <c r="Z425" s="20">
        <f>SUMIFS(T$3:T425,L$3:L425,"=Intermission")+SUMIFS(T$3:T425,L$3:L425,"=Timeout")+SUMIFS(T$3:T425,L$3:L425,"=Clockstop")</f>
        <v>0</v>
      </c>
      <c r="AA425">
        <f t="shared" si="71"/>
        <v>0</v>
      </c>
      <c r="AB425" s="26">
        <f t="shared" si="72"/>
        <v>555</v>
      </c>
      <c r="AC425">
        <f t="shared" si="73"/>
        <v>0</v>
      </c>
    </row>
    <row r="426" spans="1:29" x14ac:dyDescent="0.2">
      <c r="A426">
        <v>215</v>
      </c>
      <c r="D426">
        <f t="shared" si="74"/>
        <v>1</v>
      </c>
      <c r="E426">
        <v>8</v>
      </c>
      <c r="F426" s="6" t="s">
        <v>454</v>
      </c>
      <c r="I426" t="s">
        <v>179</v>
      </c>
      <c r="J426">
        <v>40</v>
      </c>
      <c r="K426" t="s">
        <v>488</v>
      </c>
      <c r="L426" t="s">
        <v>8</v>
      </c>
      <c r="M426" t="s">
        <v>189</v>
      </c>
      <c r="N426" t="s">
        <v>70</v>
      </c>
      <c r="Q426">
        <f t="shared" si="68"/>
        <v>18977</v>
      </c>
      <c r="R426" t="str">
        <f t="shared" si="69"/>
        <v>Velodrome</v>
      </c>
      <c r="S426" t="str">
        <f t="shared" si="70"/>
        <v>HollowBrook</v>
      </c>
      <c r="T426" s="20">
        <f t="shared" si="64"/>
        <v>0</v>
      </c>
      <c r="U426">
        <f t="shared" si="65"/>
        <v>523</v>
      </c>
      <c r="V426">
        <f t="shared" si="66"/>
        <v>523</v>
      </c>
      <c r="W426" cm="1">
        <f t="array" ref="W426">_xlfn._xlws.FILTER(shifts!A:A,(shifts!B:B=events!D426)*(shifts!AH:AH&gt;=events!U426)*(shifts!AI:AI&lt;=events!V426))</f>
        <v>12</v>
      </c>
      <c r="X426" t="str">
        <f t="shared" si="67"/>
        <v>event_team_player_1</v>
      </c>
      <c r="Y426">
        <f>COUNTIFS(A$3:A426,"="&amp;A426,K$3:K426,"="&amp;K426)</f>
        <v>1</v>
      </c>
      <c r="Z426" s="20">
        <f>SUMIFS(T$3:T426,L$3:L426,"=Intermission")+SUMIFS(T$3:T426,L$3:L426,"=Timeout")+SUMIFS(T$3:T426,L$3:L426,"=Clockstop")</f>
        <v>0</v>
      </c>
      <c r="AA426">
        <f t="shared" si="71"/>
        <v>0</v>
      </c>
      <c r="AB426" s="26">
        <f t="shared" si="72"/>
        <v>557</v>
      </c>
      <c r="AC426">
        <f t="shared" si="73"/>
        <v>0</v>
      </c>
    </row>
    <row r="427" spans="1:29" x14ac:dyDescent="0.2">
      <c r="A427">
        <v>215</v>
      </c>
      <c r="D427">
        <f t="shared" si="74"/>
        <v>1</v>
      </c>
      <c r="E427">
        <v>8</v>
      </c>
      <c r="F427" s="6" t="s">
        <v>454</v>
      </c>
      <c r="I427" t="s">
        <v>179</v>
      </c>
      <c r="J427">
        <v>11</v>
      </c>
      <c r="K427" t="s">
        <v>488</v>
      </c>
      <c r="L427" t="s">
        <v>8</v>
      </c>
      <c r="M427" t="s">
        <v>189</v>
      </c>
      <c r="N427" t="s">
        <v>70</v>
      </c>
      <c r="Q427">
        <f t="shared" si="68"/>
        <v>18977</v>
      </c>
      <c r="R427" t="str">
        <f t="shared" si="69"/>
        <v>Velodrome</v>
      </c>
      <c r="S427" t="str">
        <f t="shared" si="70"/>
        <v>HollowBrook</v>
      </c>
      <c r="T427" s="20">
        <f t="shared" si="64"/>
        <v>0</v>
      </c>
      <c r="U427">
        <f t="shared" si="65"/>
        <v>523</v>
      </c>
      <c r="V427">
        <f t="shared" si="66"/>
        <v>523</v>
      </c>
      <c r="W427" cm="1">
        <f t="array" ref="W427">_xlfn._xlws.FILTER(shifts!A:A,(shifts!B:B=events!D427)*(shifts!AH:AH&gt;=events!U427)*(shifts!AI:AI&lt;=events!V427))</f>
        <v>12</v>
      </c>
      <c r="X427" t="str">
        <f t="shared" si="67"/>
        <v>event_team_player_2</v>
      </c>
      <c r="Y427">
        <f>COUNTIFS(A$3:A427,"="&amp;A427,K$3:K427,"="&amp;K427)</f>
        <v>2</v>
      </c>
      <c r="Z427" s="20">
        <f>SUMIFS(T$3:T427,L$3:L427,"=Intermission")+SUMIFS(T$3:T427,L$3:L427,"=Timeout")+SUMIFS(T$3:T427,L$3:L427,"=Clockstop")</f>
        <v>0</v>
      </c>
      <c r="AA427">
        <f t="shared" si="71"/>
        <v>0</v>
      </c>
      <c r="AB427" s="26">
        <f t="shared" si="72"/>
        <v>557</v>
      </c>
      <c r="AC427">
        <f t="shared" si="73"/>
        <v>0</v>
      </c>
    </row>
    <row r="428" spans="1:29" x14ac:dyDescent="0.2">
      <c r="A428">
        <v>216</v>
      </c>
      <c r="D428">
        <f t="shared" si="74"/>
        <v>1</v>
      </c>
      <c r="E428">
        <v>8</v>
      </c>
      <c r="F428" s="6" t="s">
        <v>454</v>
      </c>
      <c r="I428" t="s">
        <v>179</v>
      </c>
      <c r="J428">
        <v>40</v>
      </c>
      <c r="K428" t="s">
        <v>488</v>
      </c>
      <c r="L428" t="s">
        <v>277</v>
      </c>
      <c r="M428" t="s">
        <v>201</v>
      </c>
      <c r="N428" t="s">
        <v>91</v>
      </c>
      <c r="Q428">
        <f t="shared" si="68"/>
        <v>18977</v>
      </c>
      <c r="R428" t="str">
        <f t="shared" si="69"/>
        <v>Velodrome</v>
      </c>
      <c r="S428" t="str">
        <f t="shared" si="70"/>
        <v>HollowBrook</v>
      </c>
      <c r="T428" s="20">
        <f t="shared" si="64"/>
        <v>0</v>
      </c>
      <c r="U428">
        <f t="shared" si="65"/>
        <v>523</v>
      </c>
      <c r="V428">
        <f t="shared" si="66"/>
        <v>523</v>
      </c>
      <c r="W428" cm="1">
        <f t="array" ref="W428">_xlfn._xlws.FILTER(shifts!A:A,(shifts!B:B=events!D428)*(shifts!AH:AH&gt;=events!U428)*(shifts!AI:AI&lt;=events!V428))</f>
        <v>12</v>
      </c>
      <c r="X428" t="str">
        <f t="shared" si="67"/>
        <v>event_team_player_1</v>
      </c>
      <c r="Y428">
        <f>COUNTIFS(A$3:A428,"="&amp;A428,K$3:K428,"="&amp;K428)</f>
        <v>1</v>
      </c>
      <c r="Z428" s="20">
        <f>SUMIFS(T$3:T428,L$3:L428,"=Intermission")+SUMIFS(T$3:T428,L$3:L428,"=Timeout")+SUMIFS(T$3:T428,L$3:L428,"=Clockstop")</f>
        <v>0</v>
      </c>
      <c r="AA428">
        <f t="shared" si="71"/>
        <v>0</v>
      </c>
      <c r="AB428" s="26">
        <f t="shared" si="72"/>
        <v>557</v>
      </c>
      <c r="AC428">
        <f t="shared" si="73"/>
        <v>0</v>
      </c>
    </row>
    <row r="429" spans="1:29" x14ac:dyDescent="0.2">
      <c r="A429">
        <v>216</v>
      </c>
      <c r="D429">
        <f t="shared" si="74"/>
        <v>1</v>
      </c>
      <c r="E429">
        <v>8</v>
      </c>
      <c r="F429" s="6" t="s">
        <v>454</v>
      </c>
      <c r="I429" t="s">
        <v>179</v>
      </c>
      <c r="J429">
        <v>11</v>
      </c>
      <c r="K429" t="s">
        <v>488</v>
      </c>
      <c r="L429" t="s">
        <v>277</v>
      </c>
      <c r="M429" t="s">
        <v>201</v>
      </c>
      <c r="N429" t="s">
        <v>91</v>
      </c>
      <c r="Q429">
        <f t="shared" si="68"/>
        <v>18977</v>
      </c>
      <c r="R429" t="str">
        <f t="shared" si="69"/>
        <v>Velodrome</v>
      </c>
      <c r="S429" t="str">
        <f t="shared" si="70"/>
        <v>HollowBrook</v>
      </c>
      <c r="T429" s="20">
        <f t="shared" si="64"/>
        <v>0</v>
      </c>
      <c r="U429">
        <f t="shared" si="65"/>
        <v>523</v>
      </c>
      <c r="V429">
        <f t="shared" si="66"/>
        <v>523</v>
      </c>
      <c r="W429" cm="1">
        <f t="array" ref="W429">_xlfn._xlws.FILTER(shifts!A:A,(shifts!B:B=events!D429)*(shifts!AH:AH&gt;=events!U429)*(shifts!AI:AI&lt;=events!V429))</f>
        <v>12</v>
      </c>
      <c r="X429" t="str">
        <f t="shared" si="67"/>
        <v>event_team_player_2</v>
      </c>
      <c r="Y429">
        <f>COUNTIFS(A$3:A429,"="&amp;A429,K$3:K429,"="&amp;K429)</f>
        <v>2</v>
      </c>
      <c r="Z429" s="20">
        <f>SUMIFS(T$3:T429,L$3:L429,"=Intermission")+SUMIFS(T$3:T429,L$3:L429,"=Timeout")+SUMIFS(T$3:T429,L$3:L429,"=Clockstop")</f>
        <v>0</v>
      </c>
      <c r="AA429">
        <f t="shared" si="71"/>
        <v>0</v>
      </c>
      <c r="AB429" s="26">
        <f t="shared" si="72"/>
        <v>557</v>
      </c>
      <c r="AC429">
        <f t="shared" si="73"/>
        <v>0</v>
      </c>
    </row>
    <row r="430" spans="1:29" x14ac:dyDescent="0.2">
      <c r="A430">
        <v>217</v>
      </c>
      <c r="D430">
        <f t="shared" si="74"/>
        <v>1</v>
      </c>
      <c r="E430">
        <v>8</v>
      </c>
      <c r="F430" s="6" t="s">
        <v>431</v>
      </c>
      <c r="I430" t="s">
        <v>179</v>
      </c>
      <c r="J430">
        <v>11</v>
      </c>
      <c r="K430" t="s">
        <v>488</v>
      </c>
      <c r="L430" t="s">
        <v>8</v>
      </c>
      <c r="M430" t="s">
        <v>189</v>
      </c>
      <c r="N430" t="s">
        <v>70</v>
      </c>
      <c r="Q430">
        <f t="shared" si="68"/>
        <v>18977</v>
      </c>
      <c r="R430" t="str">
        <f t="shared" si="69"/>
        <v>Velodrome</v>
      </c>
      <c r="S430" t="str">
        <f t="shared" si="70"/>
        <v>HollowBrook</v>
      </c>
      <c r="T430" s="20">
        <f t="shared" si="64"/>
        <v>0</v>
      </c>
      <c r="U430">
        <f t="shared" si="65"/>
        <v>521</v>
      </c>
      <c r="V430">
        <f t="shared" si="66"/>
        <v>521</v>
      </c>
      <c r="W430" cm="1">
        <f t="array" ref="W430">_xlfn._xlws.FILTER(shifts!A:A,(shifts!B:B=events!D430)*(shifts!AH:AH&gt;=events!U430)*(shifts!AI:AI&lt;=events!V430))</f>
        <v>12</v>
      </c>
      <c r="X430" t="str">
        <f t="shared" si="67"/>
        <v>event_team_player_1</v>
      </c>
      <c r="Y430">
        <f>COUNTIFS(A$3:A430,"="&amp;A430,K$3:K430,"="&amp;K430)</f>
        <v>1</v>
      </c>
      <c r="Z430" s="20">
        <f>SUMIFS(T$3:T430,L$3:L430,"=Intermission")+SUMIFS(T$3:T430,L$3:L430,"=Timeout")+SUMIFS(T$3:T430,L$3:L430,"=Clockstop")</f>
        <v>0</v>
      </c>
      <c r="AA430">
        <f t="shared" si="71"/>
        <v>0</v>
      </c>
      <c r="AB430" s="26">
        <f t="shared" si="72"/>
        <v>559</v>
      </c>
      <c r="AC430">
        <f t="shared" si="73"/>
        <v>0</v>
      </c>
    </row>
    <row r="431" spans="1:29" x14ac:dyDescent="0.2">
      <c r="A431">
        <v>217</v>
      </c>
      <c r="D431">
        <f t="shared" si="74"/>
        <v>1</v>
      </c>
      <c r="E431">
        <v>8</v>
      </c>
      <c r="F431" s="6" t="s">
        <v>431</v>
      </c>
      <c r="I431" t="s">
        <v>179</v>
      </c>
      <c r="J431">
        <v>19</v>
      </c>
      <c r="K431" t="s">
        <v>488</v>
      </c>
      <c r="L431" t="s">
        <v>8</v>
      </c>
      <c r="M431" t="s">
        <v>189</v>
      </c>
      <c r="N431" t="s">
        <v>70</v>
      </c>
      <c r="Q431">
        <f t="shared" si="68"/>
        <v>18977</v>
      </c>
      <c r="R431" t="str">
        <f t="shared" si="69"/>
        <v>Velodrome</v>
      </c>
      <c r="S431" t="str">
        <f t="shared" si="70"/>
        <v>HollowBrook</v>
      </c>
      <c r="T431" s="20">
        <f t="shared" si="64"/>
        <v>0</v>
      </c>
      <c r="U431">
        <f t="shared" si="65"/>
        <v>521</v>
      </c>
      <c r="V431">
        <f t="shared" si="66"/>
        <v>521</v>
      </c>
      <c r="W431" cm="1">
        <f t="array" ref="W431">_xlfn._xlws.FILTER(shifts!A:A,(shifts!B:B=events!D431)*(shifts!AH:AH&gt;=events!U431)*(shifts!AI:AI&lt;=events!V431))</f>
        <v>12</v>
      </c>
      <c r="X431" t="str">
        <f t="shared" si="67"/>
        <v>event_team_player_2</v>
      </c>
      <c r="Y431">
        <f>COUNTIFS(A$3:A431,"="&amp;A431,K$3:K431,"="&amp;K431)</f>
        <v>2</v>
      </c>
      <c r="Z431" s="20">
        <f>SUMIFS(T$3:T431,L$3:L431,"=Intermission")+SUMIFS(T$3:T431,L$3:L431,"=Timeout")+SUMIFS(T$3:T431,L$3:L431,"=Clockstop")</f>
        <v>0</v>
      </c>
      <c r="AA431">
        <f t="shared" si="71"/>
        <v>0</v>
      </c>
      <c r="AB431" s="26">
        <f t="shared" si="72"/>
        <v>559</v>
      </c>
      <c r="AC431">
        <f t="shared" si="73"/>
        <v>0</v>
      </c>
    </row>
    <row r="432" spans="1:29" x14ac:dyDescent="0.2">
      <c r="A432">
        <v>218</v>
      </c>
      <c r="D432">
        <f t="shared" si="74"/>
        <v>1</v>
      </c>
      <c r="E432">
        <v>8</v>
      </c>
      <c r="F432" s="6" t="s">
        <v>437</v>
      </c>
      <c r="G432">
        <v>8</v>
      </c>
      <c r="H432" s="8" t="s">
        <v>453</v>
      </c>
      <c r="I432" t="s">
        <v>179</v>
      </c>
      <c r="J432">
        <v>19</v>
      </c>
      <c r="K432" t="s">
        <v>488</v>
      </c>
      <c r="L432" t="s">
        <v>15</v>
      </c>
      <c r="Q432">
        <f t="shared" si="68"/>
        <v>18977</v>
      </c>
      <c r="R432" t="str">
        <f t="shared" si="69"/>
        <v>Velodrome</v>
      </c>
      <c r="S432" t="str">
        <f t="shared" si="70"/>
        <v>HollowBrook</v>
      </c>
      <c r="T432" s="20">
        <f t="shared" si="64"/>
        <v>3</v>
      </c>
      <c r="U432">
        <f t="shared" si="65"/>
        <v>520</v>
      </c>
      <c r="V432">
        <f t="shared" si="66"/>
        <v>517</v>
      </c>
      <c r="W432" cm="1">
        <f t="array" ref="W432">_xlfn._xlws.FILTER(shifts!A:A,(shifts!B:B=events!D432)*(shifts!AH:AH&gt;=events!U432)*(shifts!AI:AI&lt;=events!V432))</f>
        <v>12</v>
      </c>
      <c r="X432" t="str">
        <f t="shared" si="67"/>
        <v>event_team_player_1</v>
      </c>
      <c r="Y432">
        <f>COUNTIFS(A$3:A432,"="&amp;A432,K$3:K432,"="&amp;K432)</f>
        <v>1</v>
      </c>
      <c r="Z432" s="20">
        <f>SUMIFS(T$3:T432,L$3:L432,"=Intermission")+SUMIFS(T$3:T432,L$3:L432,"=Timeout")+SUMIFS(T$3:T432,L$3:L432,"=Clockstop")</f>
        <v>0</v>
      </c>
      <c r="AA432">
        <f t="shared" si="71"/>
        <v>0</v>
      </c>
      <c r="AB432" s="26">
        <f t="shared" si="72"/>
        <v>560</v>
      </c>
      <c r="AC432">
        <f t="shared" si="73"/>
        <v>0</v>
      </c>
    </row>
    <row r="433" spans="1:29" x14ac:dyDescent="0.2">
      <c r="A433">
        <v>219</v>
      </c>
      <c r="D433">
        <f t="shared" si="74"/>
        <v>1</v>
      </c>
      <c r="E433">
        <v>8</v>
      </c>
      <c r="F433" s="6" t="s">
        <v>453</v>
      </c>
      <c r="G433">
        <v>8</v>
      </c>
      <c r="H433" s="8" t="s">
        <v>452</v>
      </c>
      <c r="I433" t="s">
        <v>179</v>
      </c>
      <c r="J433">
        <v>19</v>
      </c>
      <c r="K433" t="s">
        <v>488</v>
      </c>
      <c r="L433" t="s">
        <v>277</v>
      </c>
      <c r="M433" t="s">
        <v>191</v>
      </c>
      <c r="N433" t="s">
        <v>88</v>
      </c>
      <c r="Q433">
        <f t="shared" si="68"/>
        <v>18977</v>
      </c>
      <c r="R433" t="str">
        <f t="shared" si="69"/>
        <v>Velodrome</v>
      </c>
      <c r="S433" t="str">
        <f t="shared" si="70"/>
        <v>HollowBrook</v>
      </c>
      <c r="T433" s="20">
        <f t="shared" si="64"/>
        <v>1</v>
      </c>
      <c r="U433">
        <f t="shared" si="65"/>
        <v>517</v>
      </c>
      <c r="V433">
        <f t="shared" si="66"/>
        <v>516</v>
      </c>
      <c r="W433" cm="1">
        <f t="array" ref="W433">_xlfn._xlws.FILTER(shifts!A:A,(shifts!B:B=events!D433)*(shifts!AH:AH&gt;=events!U433)*(shifts!AI:AI&lt;=events!V433))</f>
        <v>12</v>
      </c>
      <c r="X433" t="str">
        <f t="shared" si="67"/>
        <v>event_team_player_1</v>
      </c>
      <c r="Y433">
        <f>COUNTIFS(A$3:A433,"="&amp;A433,K$3:K433,"="&amp;K433)</f>
        <v>1</v>
      </c>
      <c r="Z433" s="20">
        <f>SUMIFS(T$3:T433,L$3:L433,"=Intermission")+SUMIFS(T$3:T433,L$3:L433,"=Timeout")+SUMIFS(T$3:T433,L$3:L433,"=Clockstop")</f>
        <v>0</v>
      </c>
      <c r="AA433">
        <f t="shared" si="71"/>
        <v>0</v>
      </c>
      <c r="AB433" s="26">
        <f t="shared" si="72"/>
        <v>563</v>
      </c>
      <c r="AC433">
        <f t="shared" si="73"/>
        <v>0</v>
      </c>
    </row>
    <row r="434" spans="1:29" x14ac:dyDescent="0.2">
      <c r="A434">
        <v>219</v>
      </c>
      <c r="D434">
        <f t="shared" si="74"/>
        <v>1</v>
      </c>
      <c r="E434">
        <v>8</v>
      </c>
      <c r="F434" s="6" t="s">
        <v>453</v>
      </c>
      <c r="G434">
        <v>8</v>
      </c>
      <c r="H434" s="8" t="s">
        <v>452</v>
      </c>
      <c r="I434" t="s">
        <v>179</v>
      </c>
      <c r="J434">
        <v>11</v>
      </c>
      <c r="K434" t="s">
        <v>488</v>
      </c>
      <c r="L434" t="s">
        <v>277</v>
      </c>
      <c r="M434" t="s">
        <v>191</v>
      </c>
      <c r="N434" t="s">
        <v>88</v>
      </c>
      <c r="Q434">
        <f t="shared" si="68"/>
        <v>18977</v>
      </c>
      <c r="R434" t="str">
        <f t="shared" si="69"/>
        <v>Velodrome</v>
      </c>
      <c r="S434" t="str">
        <f t="shared" si="70"/>
        <v>HollowBrook</v>
      </c>
      <c r="T434" s="20">
        <f t="shared" si="64"/>
        <v>1</v>
      </c>
      <c r="U434">
        <f t="shared" si="65"/>
        <v>517</v>
      </c>
      <c r="V434">
        <f t="shared" si="66"/>
        <v>516</v>
      </c>
      <c r="W434" cm="1">
        <f t="array" ref="W434">_xlfn._xlws.FILTER(shifts!A:A,(shifts!B:B=events!D434)*(shifts!AH:AH&gt;=events!U434)*(shifts!AI:AI&lt;=events!V434))</f>
        <v>12</v>
      </c>
      <c r="X434" t="str">
        <f t="shared" si="67"/>
        <v>event_team_player_2</v>
      </c>
      <c r="Y434">
        <f>COUNTIFS(A$3:A434,"="&amp;A434,K$3:K434,"="&amp;K434)</f>
        <v>2</v>
      </c>
      <c r="Z434" s="20">
        <f>SUMIFS(T$3:T434,L$3:L434,"=Intermission")+SUMIFS(T$3:T434,L$3:L434,"=Timeout")+SUMIFS(T$3:T434,L$3:L434,"=Clockstop")</f>
        <v>0</v>
      </c>
      <c r="AA434">
        <f t="shared" si="71"/>
        <v>0</v>
      </c>
      <c r="AB434" s="26">
        <f t="shared" si="72"/>
        <v>563</v>
      </c>
      <c r="AC434">
        <f t="shared" si="73"/>
        <v>0</v>
      </c>
    </row>
    <row r="435" spans="1:29" x14ac:dyDescent="0.2">
      <c r="A435">
        <v>219</v>
      </c>
      <c r="D435">
        <f t="shared" si="74"/>
        <v>1</v>
      </c>
      <c r="E435">
        <v>8</v>
      </c>
      <c r="F435" s="6" t="s">
        <v>453</v>
      </c>
      <c r="G435">
        <v>8</v>
      </c>
      <c r="H435" s="8" t="s">
        <v>452</v>
      </c>
      <c r="I435" t="s">
        <v>179</v>
      </c>
      <c r="J435">
        <v>9</v>
      </c>
      <c r="K435" t="s">
        <v>489</v>
      </c>
      <c r="L435" t="s">
        <v>277</v>
      </c>
      <c r="M435" t="s">
        <v>191</v>
      </c>
      <c r="N435" t="s">
        <v>88</v>
      </c>
      <c r="Q435">
        <f t="shared" si="68"/>
        <v>18977</v>
      </c>
      <c r="R435" t="str">
        <f t="shared" si="69"/>
        <v>Velodrome</v>
      </c>
      <c r="S435" t="str">
        <f t="shared" si="70"/>
        <v>HollowBrook</v>
      </c>
      <c r="T435" s="20">
        <f t="shared" si="64"/>
        <v>1</v>
      </c>
      <c r="U435">
        <f t="shared" si="65"/>
        <v>517</v>
      </c>
      <c r="V435">
        <f t="shared" si="66"/>
        <v>516</v>
      </c>
      <c r="W435" cm="1">
        <f t="array" ref="W435">_xlfn._xlws.FILTER(shifts!A:A,(shifts!B:B=events!D435)*(shifts!AH:AH&gt;=events!U435)*(shifts!AI:AI&lt;=events!V435))</f>
        <v>12</v>
      </c>
      <c r="X435" t="str">
        <f t="shared" si="67"/>
        <v>opp_team_player_1</v>
      </c>
      <c r="Y435">
        <f>COUNTIFS(A$3:A435,"="&amp;A435,K$3:K435,"="&amp;K435)</f>
        <v>1</v>
      </c>
      <c r="Z435" s="20">
        <f>SUMIFS(T$3:T435,L$3:L435,"=Intermission")+SUMIFS(T$3:T435,L$3:L435,"=Timeout")+SUMIFS(T$3:T435,L$3:L435,"=Clockstop")</f>
        <v>0</v>
      </c>
      <c r="AA435">
        <f t="shared" si="71"/>
        <v>0</v>
      </c>
      <c r="AB435" s="26">
        <f t="shared" si="72"/>
        <v>563</v>
      </c>
      <c r="AC435">
        <f t="shared" si="73"/>
        <v>0</v>
      </c>
    </row>
    <row r="436" spans="1:29" x14ac:dyDescent="0.2">
      <c r="A436">
        <v>219</v>
      </c>
      <c r="D436">
        <f t="shared" si="74"/>
        <v>1</v>
      </c>
      <c r="E436">
        <v>8</v>
      </c>
      <c r="F436" s="6" t="s">
        <v>453</v>
      </c>
      <c r="G436">
        <v>8</v>
      </c>
      <c r="H436" s="8" t="s">
        <v>452</v>
      </c>
      <c r="I436" t="s">
        <v>179</v>
      </c>
      <c r="J436">
        <v>52</v>
      </c>
      <c r="K436" t="s">
        <v>489</v>
      </c>
      <c r="L436" t="s">
        <v>277</v>
      </c>
      <c r="M436" t="s">
        <v>191</v>
      </c>
      <c r="N436" t="s">
        <v>88</v>
      </c>
      <c r="Q436">
        <f t="shared" si="68"/>
        <v>18977</v>
      </c>
      <c r="R436" t="str">
        <f t="shared" si="69"/>
        <v>Velodrome</v>
      </c>
      <c r="S436" t="str">
        <f t="shared" si="70"/>
        <v>HollowBrook</v>
      </c>
      <c r="T436" s="20">
        <f t="shared" si="64"/>
        <v>1</v>
      </c>
      <c r="U436">
        <f t="shared" si="65"/>
        <v>517</v>
      </c>
      <c r="V436">
        <f t="shared" si="66"/>
        <v>516</v>
      </c>
      <c r="W436" cm="1">
        <f t="array" ref="W436">_xlfn._xlws.FILTER(shifts!A:A,(shifts!B:B=events!D436)*(shifts!AH:AH&gt;=events!U436)*(shifts!AI:AI&lt;=events!V436))</f>
        <v>12</v>
      </c>
      <c r="X436" t="str">
        <f t="shared" si="67"/>
        <v>opp_team_player_2</v>
      </c>
      <c r="Y436">
        <f>COUNTIFS(A$3:A436,"="&amp;A436,K$3:K436,"="&amp;K436)</f>
        <v>2</v>
      </c>
      <c r="Z436" s="20">
        <f>SUMIFS(T$3:T436,L$3:L436,"=Intermission")+SUMIFS(T$3:T436,L$3:L436,"=Timeout")+SUMIFS(T$3:T436,L$3:L436,"=Clockstop")</f>
        <v>0</v>
      </c>
      <c r="AA436">
        <f t="shared" si="71"/>
        <v>0</v>
      </c>
      <c r="AB436" s="26">
        <f t="shared" si="72"/>
        <v>563</v>
      </c>
      <c r="AC436">
        <f t="shared" si="73"/>
        <v>0</v>
      </c>
    </row>
    <row r="437" spans="1:29" x14ac:dyDescent="0.2">
      <c r="A437">
        <v>220</v>
      </c>
      <c r="D437">
        <f t="shared" si="74"/>
        <v>1</v>
      </c>
      <c r="E437">
        <v>8</v>
      </c>
      <c r="F437" s="6" t="s">
        <v>452</v>
      </c>
      <c r="I437" t="s">
        <v>179</v>
      </c>
      <c r="J437">
        <v>19</v>
      </c>
      <c r="K437" t="s">
        <v>488</v>
      </c>
      <c r="L437" t="s">
        <v>8</v>
      </c>
      <c r="M437" t="s">
        <v>189</v>
      </c>
      <c r="N437" t="s">
        <v>69</v>
      </c>
      <c r="Q437">
        <f t="shared" si="68"/>
        <v>18977</v>
      </c>
      <c r="R437" t="str">
        <f t="shared" si="69"/>
        <v>Velodrome</v>
      </c>
      <c r="S437" t="str">
        <f t="shared" si="70"/>
        <v>HollowBrook</v>
      </c>
      <c r="T437" s="20">
        <f t="shared" si="64"/>
        <v>0</v>
      </c>
      <c r="U437">
        <f t="shared" si="65"/>
        <v>516</v>
      </c>
      <c r="V437">
        <f t="shared" si="66"/>
        <v>516</v>
      </c>
      <c r="W437">
        <v>13</v>
      </c>
      <c r="X437" t="str">
        <f t="shared" si="67"/>
        <v>event_team_player_1</v>
      </c>
      <c r="Y437">
        <f>COUNTIFS(A$3:A437,"="&amp;A437,K$3:K437,"="&amp;K437)</f>
        <v>1</v>
      </c>
      <c r="Z437" s="20">
        <f>SUMIFS(T$3:T437,L$3:L437,"=Intermission")+SUMIFS(T$3:T437,L$3:L437,"=Timeout")+SUMIFS(T$3:T437,L$3:L437,"=Clockstop")</f>
        <v>0</v>
      </c>
      <c r="AA437">
        <f t="shared" si="71"/>
        <v>0</v>
      </c>
      <c r="AB437" s="26">
        <f t="shared" si="72"/>
        <v>564</v>
      </c>
      <c r="AC437">
        <f t="shared" si="73"/>
        <v>0</v>
      </c>
    </row>
    <row r="438" spans="1:29" x14ac:dyDescent="0.2">
      <c r="A438">
        <v>220</v>
      </c>
      <c r="D438">
        <f t="shared" si="74"/>
        <v>1</v>
      </c>
      <c r="E438">
        <v>8</v>
      </c>
      <c r="F438" s="6" t="s">
        <v>452</v>
      </c>
      <c r="I438" t="s">
        <v>179</v>
      </c>
      <c r="J438">
        <v>11</v>
      </c>
      <c r="K438" t="s">
        <v>488</v>
      </c>
      <c r="L438" t="s">
        <v>8</v>
      </c>
      <c r="M438" t="s">
        <v>189</v>
      </c>
      <c r="N438" t="s">
        <v>69</v>
      </c>
      <c r="Q438">
        <f t="shared" si="68"/>
        <v>18977</v>
      </c>
      <c r="R438" t="str">
        <f t="shared" si="69"/>
        <v>Velodrome</v>
      </c>
      <c r="S438" t="str">
        <f t="shared" si="70"/>
        <v>HollowBrook</v>
      </c>
      <c r="T438" s="20">
        <f t="shared" si="64"/>
        <v>0</v>
      </c>
      <c r="U438">
        <f t="shared" si="65"/>
        <v>516</v>
      </c>
      <c r="V438">
        <f t="shared" si="66"/>
        <v>516</v>
      </c>
      <c r="W438">
        <v>13</v>
      </c>
      <c r="X438" t="str">
        <f t="shared" si="67"/>
        <v>event_team_player_2</v>
      </c>
      <c r="Y438">
        <f>COUNTIFS(A$3:A438,"="&amp;A438,K$3:K438,"="&amp;K438)</f>
        <v>2</v>
      </c>
      <c r="Z438" s="20">
        <f>SUMIFS(T$3:T438,L$3:L438,"=Intermission")+SUMIFS(T$3:T438,L$3:L438,"=Timeout")+SUMIFS(T$3:T438,L$3:L438,"=Clockstop")</f>
        <v>0</v>
      </c>
      <c r="AA438">
        <f t="shared" si="71"/>
        <v>0</v>
      </c>
      <c r="AB438" s="26">
        <f t="shared" si="72"/>
        <v>564</v>
      </c>
      <c r="AC438">
        <f t="shared" si="73"/>
        <v>0</v>
      </c>
    </row>
    <row r="439" spans="1:29" x14ac:dyDescent="0.2">
      <c r="A439">
        <v>221</v>
      </c>
      <c r="D439">
        <f t="shared" si="74"/>
        <v>1</v>
      </c>
      <c r="E439">
        <v>8</v>
      </c>
      <c r="F439" s="6" t="s">
        <v>452</v>
      </c>
      <c r="G439">
        <v>8</v>
      </c>
      <c r="H439" s="8" t="s">
        <v>439</v>
      </c>
      <c r="I439" t="s">
        <v>179</v>
      </c>
      <c r="J439">
        <v>11</v>
      </c>
      <c r="K439" t="s">
        <v>488</v>
      </c>
      <c r="L439" t="s">
        <v>15</v>
      </c>
      <c r="Q439">
        <f t="shared" si="68"/>
        <v>18977</v>
      </c>
      <c r="R439" t="str">
        <f t="shared" si="69"/>
        <v>Velodrome</v>
      </c>
      <c r="S439" t="str">
        <f t="shared" si="70"/>
        <v>HollowBrook</v>
      </c>
      <c r="T439" s="20">
        <f t="shared" si="64"/>
        <v>2</v>
      </c>
      <c r="U439">
        <f t="shared" si="65"/>
        <v>516</v>
      </c>
      <c r="V439">
        <f t="shared" si="66"/>
        <v>514</v>
      </c>
      <c r="W439" cm="1">
        <f t="array" ref="W439">_xlfn._xlws.FILTER(shifts!A:A,(shifts!B:B=events!D439)*(shifts!AH:AH&gt;=events!U439)*(shifts!AI:AI&lt;=events!V439))</f>
        <v>13</v>
      </c>
      <c r="X439" t="str">
        <f t="shared" si="67"/>
        <v>event_team_player_1</v>
      </c>
      <c r="Y439">
        <f>COUNTIFS(A$3:A439,"="&amp;A439,K$3:K439,"="&amp;K439)</f>
        <v>1</v>
      </c>
      <c r="Z439" s="20">
        <f>SUMIFS(T$3:T439,L$3:L439,"=Intermission")+SUMIFS(T$3:T439,L$3:L439,"=Timeout")+SUMIFS(T$3:T439,L$3:L439,"=Clockstop")</f>
        <v>0</v>
      </c>
      <c r="AA439">
        <f t="shared" si="71"/>
        <v>0</v>
      </c>
      <c r="AB439" s="26">
        <f t="shared" si="72"/>
        <v>564</v>
      </c>
      <c r="AC439">
        <f t="shared" si="73"/>
        <v>0</v>
      </c>
    </row>
    <row r="440" spans="1:29" x14ac:dyDescent="0.2">
      <c r="A440">
        <v>222</v>
      </c>
      <c r="D440">
        <f t="shared" si="74"/>
        <v>1</v>
      </c>
      <c r="E440">
        <v>8</v>
      </c>
      <c r="F440" s="6" t="s">
        <v>439</v>
      </c>
      <c r="I440" t="s">
        <v>179</v>
      </c>
      <c r="J440">
        <v>11</v>
      </c>
      <c r="K440" t="s">
        <v>488</v>
      </c>
      <c r="L440" t="s">
        <v>7</v>
      </c>
      <c r="M440" t="s">
        <v>198</v>
      </c>
      <c r="N440" t="s">
        <v>53</v>
      </c>
      <c r="Q440">
        <f t="shared" si="68"/>
        <v>18977</v>
      </c>
      <c r="R440" t="str">
        <f t="shared" si="69"/>
        <v>Velodrome</v>
      </c>
      <c r="S440" t="str">
        <f t="shared" si="70"/>
        <v>HollowBrook</v>
      </c>
      <c r="T440" s="20">
        <f t="shared" si="64"/>
        <v>0</v>
      </c>
      <c r="U440">
        <f t="shared" si="65"/>
        <v>514</v>
      </c>
      <c r="V440">
        <f t="shared" si="66"/>
        <v>514</v>
      </c>
      <c r="W440" cm="1">
        <f t="array" ref="W440">_xlfn._xlws.FILTER(shifts!A:A,(shifts!B:B=events!D440)*(shifts!AH:AH&gt;=events!U440)*(shifts!AI:AI&lt;=events!V440))</f>
        <v>13</v>
      </c>
      <c r="X440" t="str">
        <f t="shared" si="67"/>
        <v>event_team_player_1</v>
      </c>
      <c r="Y440">
        <f>COUNTIFS(A$3:A440,"="&amp;A440,K$3:K440,"="&amp;K440)</f>
        <v>1</v>
      </c>
      <c r="Z440" s="20">
        <f>SUMIFS(T$3:T440,L$3:L440,"=Intermission")+SUMIFS(T$3:T440,L$3:L440,"=Timeout")+SUMIFS(T$3:T440,L$3:L440,"=Clockstop")</f>
        <v>0</v>
      </c>
      <c r="AA440">
        <f t="shared" si="71"/>
        <v>0</v>
      </c>
      <c r="AB440" s="26">
        <f t="shared" si="72"/>
        <v>566</v>
      </c>
      <c r="AC440">
        <f t="shared" si="73"/>
        <v>0</v>
      </c>
    </row>
    <row r="441" spans="1:29" x14ac:dyDescent="0.2">
      <c r="A441">
        <v>222</v>
      </c>
      <c r="D441">
        <f t="shared" si="74"/>
        <v>1</v>
      </c>
      <c r="E441">
        <v>8</v>
      </c>
      <c r="F441" s="6" t="s">
        <v>439</v>
      </c>
      <c r="I441" t="s">
        <v>179</v>
      </c>
      <c r="J441">
        <v>52</v>
      </c>
      <c r="K441" t="s">
        <v>489</v>
      </c>
      <c r="L441" t="s">
        <v>7</v>
      </c>
      <c r="M441" t="s">
        <v>198</v>
      </c>
      <c r="N441" t="s">
        <v>53</v>
      </c>
      <c r="Q441">
        <f t="shared" si="68"/>
        <v>18977</v>
      </c>
      <c r="R441" t="str">
        <f t="shared" si="69"/>
        <v>Velodrome</v>
      </c>
      <c r="S441" t="str">
        <f t="shared" si="70"/>
        <v>HollowBrook</v>
      </c>
      <c r="T441" s="20">
        <f t="shared" si="64"/>
        <v>0</v>
      </c>
      <c r="U441">
        <f t="shared" si="65"/>
        <v>514</v>
      </c>
      <c r="V441">
        <f t="shared" si="66"/>
        <v>514</v>
      </c>
      <c r="W441" cm="1">
        <f t="array" ref="W441">_xlfn._xlws.FILTER(shifts!A:A,(shifts!B:B=events!D441)*(shifts!AH:AH&gt;=events!U441)*(shifts!AI:AI&lt;=events!V441))</f>
        <v>13</v>
      </c>
      <c r="X441" t="str">
        <f t="shared" si="67"/>
        <v>opp_team_player_1</v>
      </c>
      <c r="Y441">
        <f>COUNTIFS(A$3:A441,"="&amp;A441,K$3:K441,"="&amp;K441)</f>
        <v>1</v>
      </c>
      <c r="Z441" s="20">
        <f>SUMIFS(T$3:T441,L$3:L441,"=Intermission")+SUMIFS(T$3:T441,L$3:L441,"=Timeout")+SUMIFS(T$3:T441,L$3:L441,"=Clockstop")</f>
        <v>0</v>
      </c>
      <c r="AA441">
        <f t="shared" si="71"/>
        <v>0</v>
      </c>
      <c r="AB441" s="26">
        <f t="shared" si="72"/>
        <v>566</v>
      </c>
      <c r="AC441">
        <f t="shared" si="73"/>
        <v>0</v>
      </c>
    </row>
    <row r="442" spans="1:29" x14ac:dyDescent="0.2">
      <c r="A442">
        <v>223</v>
      </c>
      <c r="D442">
        <f t="shared" si="74"/>
        <v>1</v>
      </c>
      <c r="E442">
        <v>8</v>
      </c>
      <c r="F442" s="6" t="s">
        <v>472</v>
      </c>
      <c r="I442" t="s">
        <v>179</v>
      </c>
      <c r="J442">
        <v>40</v>
      </c>
      <c r="K442" t="s">
        <v>488</v>
      </c>
      <c r="L442" t="s">
        <v>277</v>
      </c>
      <c r="M442" t="s">
        <v>210</v>
      </c>
      <c r="N442" t="s">
        <v>93</v>
      </c>
      <c r="Q442">
        <f t="shared" si="68"/>
        <v>18977</v>
      </c>
      <c r="R442" t="str">
        <f t="shared" si="69"/>
        <v>Velodrome</v>
      </c>
      <c r="S442" t="str">
        <f t="shared" si="70"/>
        <v>HollowBrook</v>
      </c>
      <c r="T442" s="20">
        <f t="shared" si="64"/>
        <v>0</v>
      </c>
      <c r="U442">
        <f t="shared" si="65"/>
        <v>510</v>
      </c>
      <c r="V442">
        <f t="shared" si="66"/>
        <v>510</v>
      </c>
      <c r="W442" cm="1">
        <f t="array" ref="W442">_xlfn._xlws.FILTER(shifts!A:A,(shifts!B:B=events!D442)*(shifts!AH:AH&gt;=events!U442)*(shifts!AI:AI&lt;=events!V442))</f>
        <v>13</v>
      </c>
      <c r="X442" t="str">
        <f t="shared" si="67"/>
        <v>event_team_player_1</v>
      </c>
      <c r="Y442">
        <f>COUNTIFS(A$3:A442,"="&amp;A442,K$3:K442,"="&amp;K442)</f>
        <v>1</v>
      </c>
      <c r="Z442" s="20">
        <f>SUMIFS(T$3:T442,L$3:L442,"=Intermission")+SUMIFS(T$3:T442,L$3:L442,"=Timeout")+SUMIFS(T$3:T442,L$3:L442,"=Clockstop")</f>
        <v>0</v>
      </c>
      <c r="AA442">
        <f t="shared" si="71"/>
        <v>0</v>
      </c>
      <c r="AB442" s="26">
        <f t="shared" si="72"/>
        <v>570</v>
      </c>
      <c r="AC442">
        <f t="shared" si="73"/>
        <v>0</v>
      </c>
    </row>
    <row r="443" spans="1:29" x14ac:dyDescent="0.2">
      <c r="A443">
        <v>224</v>
      </c>
      <c r="D443">
        <f t="shared" si="74"/>
        <v>1</v>
      </c>
      <c r="E443">
        <v>8</v>
      </c>
      <c r="F443" s="6" t="s">
        <v>442</v>
      </c>
      <c r="I443" t="s">
        <v>179</v>
      </c>
      <c r="J443">
        <v>40</v>
      </c>
      <c r="K443" t="s">
        <v>488</v>
      </c>
      <c r="L443" t="s">
        <v>8</v>
      </c>
      <c r="M443" t="s">
        <v>189</v>
      </c>
      <c r="N443" t="s">
        <v>70</v>
      </c>
      <c r="Q443">
        <f t="shared" si="68"/>
        <v>18977</v>
      </c>
      <c r="R443" t="str">
        <f t="shared" si="69"/>
        <v>Velodrome</v>
      </c>
      <c r="S443" t="str">
        <f t="shared" si="70"/>
        <v>HollowBrook</v>
      </c>
      <c r="T443" s="20">
        <f t="shared" si="64"/>
        <v>0</v>
      </c>
      <c r="U443">
        <f t="shared" si="65"/>
        <v>509</v>
      </c>
      <c r="V443">
        <f t="shared" si="66"/>
        <v>509</v>
      </c>
      <c r="W443" cm="1">
        <f t="array" ref="W443">_xlfn._xlws.FILTER(shifts!A:A,(shifts!B:B=events!D443)*(shifts!AH:AH&gt;=events!U443)*(shifts!AI:AI&lt;=events!V443))</f>
        <v>13</v>
      </c>
      <c r="X443" t="str">
        <f t="shared" si="67"/>
        <v>event_team_player_1</v>
      </c>
      <c r="Y443">
        <f>COUNTIFS(A$3:A443,"="&amp;A443,K$3:K443,"="&amp;K443)</f>
        <v>1</v>
      </c>
      <c r="Z443" s="20">
        <f>SUMIFS(T$3:T443,L$3:L443,"=Intermission")+SUMIFS(T$3:T443,L$3:L443,"=Timeout")+SUMIFS(T$3:T443,L$3:L443,"=Clockstop")</f>
        <v>0</v>
      </c>
      <c r="AA443">
        <f t="shared" si="71"/>
        <v>0</v>
      </c>
      <c r="AB443" s="26">
        <f t="shared" si="72"/>
        <v>571</v>
      </c>
      <c r="AC443">
        <f t="shared" si="73"/>
        <v>0</v>
      </c>
    </row>
    <row r="444" spans="1:29" x14ac:dyDescent="0.2">
      <c r="A444">
        <v>224</v>
      </c>
      <c r="D444">
        <f t="shared" si="74"/>
        <v>1</v>
      </c>
      <c r="E444">
        <v>8</v>
      </c>
      <c r="F444" s="6" t="s">
        <v>442</v>
      </c>
      <c r="I444" t="s">
        <v>179</v>
      </c>
      <c r="J444">
        <v>19</v>
      </c>
      <c r="K444" t="s">
        <v>488</v>
      </c>
      <c r="L444" t="s">
        <v>8</v>
      </c>
      <c r="M444" t="s">
        <v>189</v>
      </c>
      <c r="N444" t="s">
        <v>70</v>
      </c>
      <c r="Q444">
        <f t="shared" si="68"/>
        <v>18977</v>
      </c>
      <c r="R444" t="str">
        <f t="shared" si="69"/>
        <v>Velodrome</v>
      </c>
      <c r="S444" t="str">
        <f t="shared" si="70"/>
        <v>HollowBrook</v>
      </c>
      <c r="T444" s="20">
        <f t="shared" si="64"/>
        <v>0</v>
      </c>
      <c r="U444">
        <f t="shared" si="65"/>
        <v>509</v>
      </c>
      <c r="V444">
        <f t="shared" si="66"/>
        <v>509</v>
      </c>
      <c r="W444" cm="1">
        <f t="array" ref="W444">_xlfn._xlws.FILTER(shifts!A:A,(shifts!B:B=events!D444)*(shifts!AH:AH&gt;=events!U444)*(shifts!AI:AI&lt;=events!V444))</f>
        <v>13</v>
      </c>
      <c r="X444" t="str">
        <f t="shared" si="67"/>
        <v>event_team_player_2</v>
      </c>
      <c r="Y444">
        <f>COUNTIFS(A$3:A444,"="&amp;A444,K$3:K444,"="&amp;K444)</f>
        <v>2</v>
      </c>
      <c r="Z444" s="20">
        <f>SUMIFS(T$3:T444,L$3:L444,"=Intermission")+SUMIFS(T$3:T444,L$3:L444,"=Timeout")+SUMIFS(T$3:T444,L$3:L444,"=Clockstop")</f>
        <v>0</v>
      </c>
      <c r="AA444">
        <f t="shared" si="71"/>
        <v>0</v>
      </c>
      <c r="AB444" s="26">
        <f t="shared" si="72"/>
        <v>571</v>
      </c>
      <c r="AC444">
        <f t="shared" si="73"/>
        <v>0</v>
      </c>
    </row>
    <row r="445" spans="1:29" x14ac:dyDescent="0.2">
      <c r="A445">
        <v>225</v>
      </c>
      <c r="D445">
        <f t="shared" si="74"/>
        <v>1</v>
      </c>
      <c r="E445">
        <v>8</v>
      </c>
      <c r="F445" s="6" t="s">
        <v>440</v>
      </c>
      <c r="I445" t="s">
        <v>179</v>
      </c>
      <c r="J445">
        <v>19</v>
      </c>
      <c r="K445" t="s">
        <v>488</v>
      </c>
      <c r="L445" t="s">
        <v>7</v>
      </c>
      <c r="M445" t="s">
        <v>222</v>
      </c>
      <c r="N445" t="s">
        <v>53</v>
      </c>
      <c r="Q445">
        <f t="shared" si="68"/>
        <v>18977</v>
      </c>
      <c r="R445" t="str">
        <f t="shared" si="69"/>
        <v>Velodrome</v>
      </c>
      <c r="S445" t="str">
        <f t="shared" si="70"/>
        <v>HollowBrook</v>
      </c>
      <c r="T445" s="20">
        <f t="shared" si="64"/>
        <v>0</v>
      </c>
      <c r="U445">
        <f t="shared" si="65"/>
        <v>508</v>
      </c>
      <c r="V445">
        <f t="shared" si="66"/>
        <v>508</v>
      </c>
      <c r="W445" cm="1">
        <f t="array" ref="W445">_xlfn._xlws.FILTER(shifts!A:A,(shifts!B:B=events!D445)*(shifts!AH:AH&gt;=events!U445)*(shifts!AI:AI&lt;=events!V445))</f>
        <v>13</v>
      </c>
      <c r="X445" t="str">
        <f t="shared" si="67"/>
        <v>event_team_player_1</v>
      </c>
      <c r="Y445">
        <f>COUNTIFS(A$3:A445,"="&amp;A445,K$3:K445,"="&amp;K445)</f>
        <v>1</v>
      </c>
      <c r="Z445" s="20">
        <f>SUMIFS(T$3:T445,L$3:L445,"=Intermission")+SUMIFS(T$3:T445,L$3:L445,"=Timeout")+SUMIFS(T$3:T445,L$3:L445,"=Clockstop")</f>
        <v>0</v>
      </c>
      <c r="AA445">
        <f t="shared" si="71"/>
        <v>0</v>
      </c>
      <c r="AB445" s="26">
        <f t="shared" si="72"/>
        <v>572</v>
      </c>
      <c r="AC445">
        <f t="shared" si="73"/>
        <v>0</v>
      </c>
    </row>
    <row r="446" spans="1:29" x14ac:dyDescent="0.2">
      <c r="A446">
        <v>225</v>
      </c>
      <c r="D446">
        <f t="shared" si="74"/>
        <v>1</v>
      </c>
      <c r="E446">
        <v>8</v>
      </c>
      <c r="F446" s="6" t="s">
        <v>440</v>
      </c>
      <c r="I446" t="s">
        <v>179</v>
      </c>
      <c r="J446">
        <v>39</v>
      </c>
      <c r="K446" t="s">
        <v>489</v>
      </c>
      <c r="L446" t="s">
        <v>7</v>
      </c>
      <c r="M446" t="s">
        <v>222</v>
      </c>
      <c r="N446" t="s">
        <v>53</v>
      </c>
      <c r="Q446">
        <f t="shared" si="68"/>
        <v>18977</v>
      </c>
      <c r="R446" t="str">
        <f t="shared" si="69"/>
        <v>Velodrome</v>
      </c>
      <c r="S446" t="str">
        <f t="shared" si="70"/>
        <v>HollowBrook</v>
      </c>
      <c r="T446" s="20">
        <f t="shared" si="64"/>
        <v>0</v>
      </c>
      <c r="U446">
        <f t="shared" si="65"/>
        <v>508</v>
      </c>
      <c r="V446">
        <f t="shared" si="66"/>
        <v>508</v>
      </c>
      <c r="W446" cm="1">
        <f t="array" ref="W446">_xlfn._xlws.FILTER(shifts!A:A,(shifts!B:B=events!D446)*(shifts!AH:AH&gt;=events!U446)*(shifts!AI:AI&lt;=events!V446))</f>
        <v>13</v>
      </c>
      <c r="X446" t="str">
        <f t="shared" si="67"/>
        <v>opp_team_player_1</v>
      </c>
      <c r="Y446">
        <f>COUNTIFS(A$3:A446,"="&amp;A446,K$3:K446,"="&amp;K446)</f>
        <v>1</v>
      </c>
      <c r="Z446" s="20">
        <f>SUMIFS(T$3:T446,L$3:L446,"=Intermission")+SUMIFS(T$3:T446,L$3:L446,"=Timeout")+SUMIFS(T$3:T446,L$3:L446,"=Clockstop")</f>
        <v>0</v>
      </c>
      <c r="AA446">
        <f t="shared" si="71"/>
        <v>0</v>
      </c>
      <c r="AB446" s="26">
        <f t="shared" si="72"/>
        <v>572</v>
      </c>
      <c r="AC446">
        <f t="shared" si="73"/>
        <v>0</v>
      </c>
    </row>
    <row r="447" spans="1:29" x14ac:dyDescent="0.2">
      <c r="A447">
        <v>225</v>
      </c>
      <c r="D447">
        <f t="shared" si="74"/>
        <v>1</v>
      </c>
      <c r="E447">
        <v>8</v>
      </c>
      <c r="F447" s="6" t="s">
        <v>440</v>
      </c>
      <c r="I447" t="s">
        <v>179</v>
      </c>
      <c r="J447">
        <v>52</v>
      </c>
      <c r="K447" t="s">
        <v>489</v>
      </c>
      <c r="L447" t="s">
        <v>7</v>
      </c>
      <c r="M447" t="s">
        <v>222</v>
      </c>
      <c r="N447" t="s">
        <v>53</v>
      </c>
      <c r="Q447">
        <f t="shared" si="68"/>
        <v>18977</v>
      </c>
      <c r="R447" t="str">
        <f t="shared" si="69"/>
        <v>Velodrome</v>
      </c>
      <c r="S447" t="str">
        <f t="shared" si="70"/>
        <v>HollowBrook</v>
      </c>
      <c r="T447" s="20">
        <f t="shared" si="64"/>
        <v>0</v>
      </c>
      <c r="U447">
        <f t="shared" si="65"/>
        <v>508</v>
      </c>
      <c r="V447">
        <f t="shared" si="66"/>
        <v>508</v>
      </c>
      <c r="W447" cm="1">
        <f t="array" ref="W447">_xlfn._xlws.FILTER(shifts!A:A,(shifts!B:B=events!D447)*(shifts!AH:AH&gt;=events!U447)*(shifts!AI:AI&lt;=events!V447))</f>
        <v>13</v>
      </c>
      <c r="X447" t="str">
        <f t="shared" si="67"/>
        <v>opp_team_player_2</v>
      </c>
      <c r="Y447">
        <f>COUNTIFS(A$3:A447,"="&amp;A447,K$3:K447,"="&amp;K447)</f>
        <v>2</v>
      </c>
      <c r="Z447" s="20">
        <f>SUMIFS(T$3:T447,L$3:L447,"=Intermission")+SUMIFS(T$3:T447,L$3:L447,"=Timeout")+SUMIFS(T$3:T447,L$3:L447,"=Clockstop")</f>
        <v>0</v>
      </c>
      <c r="AA447">
        <f t="shared" si="71"/>
        <v>0</v>
      </c>
      <c r="AB447" s="26">
        <f t="shared" si="72"/>
        <v>572</v>
      </c>
      <c r="AC447">
        <f t="shared" si="73"/>
        <v>0</v>
      </c>
    </row>
    <row r="448" spans="1:29" x14ac:dyDescent="0.2">
      <c r="A448">
        <v>226</v>
      </c>
      <c r="D448">
        <f t="shared" si="74"/>
        <v>1</v>
      </c>
      <c r="E448">
        <v>8</v>
      </c>
      <c r="F448" s="6" t="s">
        <v>440</v>
      </c>
      <c r="I448" t="s">
        <v>178</v>
      </c>
      <c r="J448">
        <v>39</v>
      </c>
      <c r="K448" t="s">
        <v>488</v>
      </c>
      <c r="L448" t="s">
        <v>17</v>
      </c>
      <c r="M448" t="s">
        <v>196</v>
      </c>
      <c r="N448" t="s">
        <v>98</v>
      </c>
      <c r="Q448">
        <f t="shared" si="68"/>
        <v>18977</v>
      </c>
      <c r="R448" t="str">
        <f t="shared" si="69"/>
        <v>Velodrome</v>
      </c>
      <c r="S448" t="str">
        <f t="shared" si="70"/>
        <v>HollowBrook</v>
      </c>
      <c r="T448" s="20">
        <f t="shared" si="64"/>
        <v>0</v>
      </c>
      <c r="U448">
        <f t="shared" si="65"/>
        <v>508</v>
      </c>
      <c r="V448">
        <f t="shared" si="66"/>
        <v>508</v>
      </c>
      <c r="W448" cm="1">
        <f t="array" ref="W448">_xlfn._xlws.FILTER(shifts!A:A,(shifts!B:B=events!D448)*(shifts!AH:AH&gt;=events!U448)*(shifts!AI:AI&lt;=events!V448))</f>
        <v>13</v>
      </c>
      <c r="X448" t="str">
        <f t="shared" si="67"/>
        <v>event_team_player_1</v>
      </c>
      <c r="Y448">
        <f>COUNTIFS(A$3:A448,"="&amp;A448,K$3:K448,"="&amp;K448)</f>
        <v>1</v>
      </c>
      <c r="Z448" s="20">
        <f>SUMIFS(T$3:T448,L$3:L448,"=Intermission")+SUMIFS(T$3:T448,L$3:L448,"=Timeout")+SUMIFS(T$3:T448,L$3:L448,"=Clockstop")</f>
        <v>0</v>
      </c>
      <c r="AA448">
        <f t="shared" si="71"/>
        <v>0</v>
      </c>
      <c r="AB448" s="26">
        <f t="shared" si="72"/>
        <v>572</v>
      </c>
      <c r="AC448">
        <f t="shared" si="73"/>
        <v>0</v>
      </c>
    </row>
    <row r="449" spans="1:29" x14ac:dyDescent="0.2">
      <c r="A449">
        <v>226</v>
      </c>
      <c r="D449">
        <f t="shared" si="74"/>
        <v>1</v>
      </c>
      <c r="E449">
        <v>8</v>
      </c>
      <c r="F449" s="6" t="s">
        <v>440</v>
      </c>
      <c r="I449" t="s">
        <v>178</v>
      </c>
      <c r="J449">
        <v>19</v>
      </c>
      <c r="K449" t="s">
        <v>489</v>
      </c>
      <c r="L449" t="s">
        <v>17</v>
      </c>
      <c r="M449" t="s">
        <v>196</v>
      </c>
      <c r="N449" t="s">
        <v>98</v>
      </c>
      <c r="Q449">
        <f t="shared" si="68"/>
        <v>18977</v>
      </c>
      <c r="R449" t="str">
        <f t="shared" si="69"/>
        <v>Velodrome</v>
      </c>
      <c r="S449" t="str">
        <f t="shared" si="70"/>
        <v>HollowBrook</v>
      </c>
      <c r="T449" s="20">
        <f t="shared" si="64"/>
        <v>0</v>
      </c>
      <c r="U449">
        <f t="shared" si="65"/>
        <v>508</v>
      </c>
      <c r="V449">
        <f t="shared" si="66"/>
        <v>508</v>
      </c>
      <c r="W449" cm="1">
        <f t="array" ref="W449">_xlfn._xlws.FILTER(shifts!A:A,(shifts!B:B=events!D449)*(shifts!AH:AH&gt;=events!U449)*(shifts!AI:AI&lt;=events!V449))</f>
        <v>13</v>
      </c>
      <c r="X449" t="str">
        <f t="shared" si="67"/>
        <v>opp_team_player_1</v>
      </c>
      <c r="Y449">
        <f>COUNTIFS(A$3:A449,"="&amp;A449,K$3:K449,"="&amp;K449)</f>
        <v>1</v>
      </c>
      <c r="Z449" s="20">
        <f>SUMIFS(T$3:T449,L$3:L449,"=Intermission")+SUMIFS(T$3:T449,L$3:L449,"=Timeout")+SUMIFS(T$3:T449,L$3:L449,"=Clockstop")</f>
        <v>0</v>
      </c>
      <c r="AA449">
        <f t="shared" si="71"/>
        <v>0</v>
      </c>
      <c r="AB449" s="26">
        <f t="shared" si="72"/>
        <v>572</v>
      </c>
      <c r="AC449">
        <f t="shared" si="73"/>
        <v>0</v>
      </c>
    </row>
    <row r="450" spans="1:29" x14ac:dyDescent="0.2">
      <c r="A450">
        <v>227</v>
      </c>
      <c r="D450">
        <f t="shared" si="74"/>
        <v>1</v>
      </c>
      <c r="E450">
        <v>8</v>
      </c>
      <c r="F450" s="6" t="s">
        <v>483</v>
      </c>
      <c r="I450" t="s">
        <v>178</v>
      </c>
      <c r="J450">
        <v>39</v>
      </c>
      <c r="K450" t="s">
        <v>488</v>
      </c>
      <c r="L450" t="s">
        <v>270</v>
      </c>
      <c r="M450" t="s">
        <v>272</v>
      </c>
      <c r="Q450">
        <f t="shared" si="68"/>
        <v>18977</v>
      </c>
      <c r="R450" t="str">
        <f t="shared" si="69"/>
        <v>Velodrome</v>
      </c>
      <c r="S450" t="str">
        <f t="shared" si="70"/>
        <v>HollowBrook</v>
      </c>
      <c r="T450" s="20">
        <f t="shared" si="64"/>
        <v>0</v>
      </c>
      <c r="U450">
        <f t="shared" si="65"/>
        <v>507</v>
      </c>
      <c r="V450">
        <f t="shared" si="66"/>
        <v>507</v>
      </c>
      <c r="W450" cm="1">
        <f t="array" ref="W450">_xlfn._xlws.FILTER(shifts!A:A,(shifts!B:B=events!D450)*(shifts!AH:AH&gt;=events!U450)*(shifts!AI:AI&lt;=events!V450))</f>
        <v>13</v>
      </c>
      <c r="X450" t="str">
        <f t="shared" si="67"/>
        <v>event_team_player_1</v>
      </c>
      <c r="Y450">
        <f>COUNTIFS(A$3:A450,"="&amp;A450,K$3:K450,"="&amp;K450)</f>
        <v>1</v>
      </c>
      <c r="Z450" s="20">
        <f>SUMIFS(T$3:T450,L$3:L450,"=Intermission")+SUMIFS(T$3:T450,L$3:L450,"=Timeout")+SUMIFS(T$3:T450,L$3:L450,"=Clockstop")</f>
        <v>0</v>
      </c>
      <c r="AA450">
        <f t="shared" si="71"/>
        <v>0</v>
      </c>
      <c r="AB450" s="26">
        <f t="shared" si="72"/>
        <v>573</v>
      </c>
      <c r="AC450">
        <f t="shared" si="73"/>
        <v>0</v>
      </c>
    </row>
    <row r="451" spans="1:29" x14ac:dyDescent="0.2">
      <c r="A451">
        <v>228</v>
      </c>
      <c r="D451">
        <f t="shared" si="74"/>
        <v>1</v>
      </c>
      <c r="E451">
        <v>8</v>
      </c>
      <c r="F451" s="6" t="s">
        <v>441</v>
      </c>
      <c r="I451" t="s">
        <v>179</v>
      </c>
      <c r="J451">
        <v>40</v>
      </c>
      <c r="K451" t="s">
        <v>488</v>
      </c>
      <c r="L451" t="s">
        <v>7</v>
      </c>
      <c r="M451" t="s">
        <v>198</v>
      </c>
      <c r="N451" t="s">
        <v>53</v>
      </c>
      <c r="Q451">
        <f t="shared" si="68"/>
        <v>18977</v>
      </c>
      <c r="R451" t="str">
        <f t="shared" si="69"/>
        <v>Velodrome</v>
      </c>
      <c r="S451" t="str">
        <f t="shared" si="70"/>
        <v>HollowBrook</v>
      </c>
      <c r="T451" s="20">
        <f t="shared" ref="T451:T514" si="75">IF(AND(G451="",H451=""),0,((E451*60)+F451)-((G451*60)+H451))</f>
        <v>0</v>
      </c>
      <c r="U451">
        <f t="shared" ref="U451:U514" si="76">(E451*60)+F451</f>
        <v>505</v>
      </c>
      <c r="V451">
        <f t="shared" ref="V451:V514" si="77">IF(AND(G451="",H451=""),U451,((G451*60)+H451))</f>
        <v>505</v>
      </c>
      <c r="W451" cm="1">
        <f t="array" ref="W451">_xlfn._xlws.FILTER(shifts!A:A,(shifts!B:B=events!D451)*(shifts!AH:AH&gt;=events!U451)*(shifts!AI:AI&lt;=events!V451))</f>
        <v>13</v>
      </c>
      <c r="X451" t="str">
        <f t="shared" ref="X451:X499" si="78">IF(K451="e","event_team_player_"&amp;Y451,IF(K451="o","opp_team_player_"&amp;Y451,""))</f>
        <v>event_team_player_1</v>
      </c>
      <c r="Y451">
        <f>COUNTIFS(A$3:A451,"="&amp;A451,K$3:K451,"="&amp;K451)</f>
        <v>1</v>
      </c>
      <c r="Z451" s="20">
        <f>SUMIFS(T$3:T451,L$3:L451,"=Intermission")+SUMIFS(T$3:T451,L$3:L451,"=Timeout")+SUMIFS(T$3:T451,L$3:L451,"=Clockstop")</f>
        <v>0</v>
      </c>
      <c r="AA451">
        <f t="shared" si="71"/>
        <v>0</v>
      </c>
      <c r="AB451" s="26">
        <f t="shared" si="72"/>
        <v>575</v>
      </c>
      <c r="AC451">
        <f t="shared" si="73"/>
        <v>0</v>
      </c>
    </row>
    <row r="452" spans="1:29" x14ac:dyDescent="0.2">
      <c r="A452">
        <v>228</v>
      </c>
      <c r="D452">
        <f t="shared" si="74"/>
        <v>1</v>
      </c>
      <c r="E452">
        <v>8</v>
      </c>
      <c r="F452" s="6" t="s">
        <v>441</v>
      </c>
      <c r="I452" t="s">
        <v>179</v>
      </c>
      <c r="J452">
        <v>9</v>
      </c>
      <c r="K452" t="s">
        <v>489</v>
      </c>
      <c r="L452" t="s">
        <v>7</v>
      </c>
      <c r="M452" t="s">
        <v>198</v>
      </c>
      <c r="N452" t="s">
        <v>53</v>
      </c>
      <c r="Q452">
        <f t="shared" ref="Q452:Q515" si="79">Q451</f>
        <v>18977</v>
      </c>
      <c r="R452" t="str">
        <f t="shared" ref="R452:R515" si="80">R451</f>
        <v>Velodrome</v>
      </c>
      <c r="S452" t="str">
        <f t="shared" ref="S452:S515" si="81">S451</f>
        <v>HollowBrook</v>
      </c>
      <c r="T452" s="20">
        <f t="shared" si="75"/>
        <v>0</v>
      </c>
      <c r="U452">
        <f t="shared" si="76"/>
        <v>505</v>
      </c>
      <c r="V452">
        <f t="shared" si="77"/>
        <v>505</v>
      </c>
      <c r="W452" cm="1">
        <f t="array" ref="W452">_xlfn._xlws.FILTER(shifts!A:A,(shifts!B:B=events!D452)*(shifts!AH:AH&gt;=events!U452)*(shifts!AI:AI&lt;=events!V452))</f>
        <v>13</v>
      </c>
      <c r="X452" t="str">
        <f t="shared" si="78"/>
        <v>opp_team_player_1</v>
      </c>
      <c r="Y452">
        <f>COUNTIFS(A$3:A452,"="&amp;A452,K$3:K452,"="&amp;K452)</f>
        <v>1</v>
      </c>
      <c r="Z452" s="20">
        <f>SUMIFS(T$3:T452,L$3:L452,"=Intermission")+SUMIFS(T$3:T452,L$3:L452,"=Timeout")+SUMIFS(T$3:T452,L$3:L452,"=Clockstop")</f>
        <v>0</v>
      </c>
      <c r="AA452">
        <f t="shared" ref="AA452:AA515" si="82">IF(D452=1,0,IF(D452=2,1080+Z452,IF(D452=3,(1080*2)+Z452,0)))</f>
        <v>0</v>
      </c>
      <c r="AB452" s="26">
        <f t="shared" ref="AB452:AB515" si="83">((1080*D452)-((E452*60)+F452)*D452)+Z452</f>
        <v>575</v>
      </c>
      <c r="AC452">
        <f t="shared" ref="AC452:AC515" si="84">IF(L451="GameStart",0,AA452+Z452)</f>
        <v>0</v>
      </c>
    </row>
    <row r="453" spans="1:29" x14ac:dyDescent="0.2">
      <c r="A453">
        <v>229</v>
      </c>
      <c r="D453">
        <f t="shared" ref="D453:D516" si="85">IF(L453="Intermission",D452+1,D452)</f>
        <v>1</v>
      </c>
      <c r="E453">
        <v>8</v>
      </c>
      <c r="F453" s="6" t="s">
        <v>473</v>
      </c>
      <c r="I453" t="s">
        <v>179</v>
      </c>
      <c r="J453">
        <v>2</v>
      </c>
      <c r="K453" t="s">
        <v>488</v>
      </c>
      <c r="L453" t="s">
        <v>277</v>
      </c>
      <c r="M453" t="s">
        <v>210</v>
      </c>
      <c r="N453" t="s">
        <v>93</v>
      </c>
      <c r="Q453">
        <f t="shared" si="79"/>
        <v>18977</v>
      </c>
      <c r="R453" t="str">
        <f t="shared" si="80"/>
        <v>Velodrome</v>
      </c>
      <c r="S453" t="str">
        <f t="shared" si="81"/>
        <v>HollowBrook</v>
      </c>
      <c r="T453" s="20">
        <f t="shared" si="75"/>
        <v>0</v>
      </c>
      <c r="U453">
        <f t="shared" si="76"/>
        <v>501</v>
      </c>
      <c r="V453">
        <f t="shared" si="77"/>
        <v>501</v>
      </c>
      <c r="W453" cm="1">
        <f t="array" ref="W453">_xlfn._xlws.FILTER(shifts!A:A,(shifts!B:B=events!D453)*(shifts!AH:AH&gt;=events!U453)*(shifts!AI:AI&lt;=events!V453))</f>
        <v>13</v>
      </c>
      <c r="X453" t="str">
        <f t="shared" si="78"/>
        <v>event_team_player_1</v>
      </c>
      <c r="Y453">
        <f>COUNTIFS(A$3:A453,"="&amp;A453,K$3:K453,"="&amp;K453)</f>
        <v>1</v>
      </c>
      <c r="Z453" s="20">
        <f>SUMIFS(T$3:T453,L$3:L453,"=Intermission")+SUMIFS(T$3:T453,L$3:L453,"=Timeout")+SUMIFS(T$3:T453,L$3:L453,"=Clockstop")</f>
        <v>0</v>
      </c>
      <c r="AA453">
        <f t="shared" si="82"/>
        <v>0</v>
      </c>
      <c r="AB453" s="26">
        <f t="shared" si="83"/>
        <v>579</v>
      </c>
      <c r="AC453">
        <f t="shared" si="84"/>
        <v>0</v>
      </c>
    </row>
    <row r="454" spans="1:29" x14ac:dyDescent="0.2">
      <c r="A454">
        <v>230</v>
      </c>
      <c r="D454">
        <f t="shared" si="85"/>
        <v>1</v>
      </c>
      <c r="E454">
        <v>8</v>
      </c>
      <c r="F454" s="6" t="s">
        <v>473</v>
      </c>
      <c r="G454">
        <v>8</v>
      </c>
      <c r="H454" s="8" t="s">
        <v>446</v>
      </c>
      <c r="I454" t="s">
        <v>179</v>
      </c>
      <c r="J454">
        <v>2</v>
      </c>
      <c r="K454" t="s">
        <v>488</v>
      </c>
      <c r="L454" t="s">
        <v>15</v>
      </c>
      <c r="Q454">
        <f t="shared" si="79"/>
        <v>18977</v>
      </c>
      <c r="R454" t="str">
        <f t="shared" si="80"/>
        <v>Velodrome</v>
      </c>
      <c r="S454" t="str">
        <f t="shared" si="81"/>
        <v>HollowBrook</v>
      </c>
      <c r="T454" s="20">
        <f t="shared" si="75"/>
        <v>4</v>
      </c>
      <c r="U454">
        <f t="shared" si="76"/>
        <v>501</v>
      </c>
      <c r="V454">
        <f t="shared" si="77"/>
        <v>497</v>
      </c>
      <c r="W454" cm="1">
        <f t="array" ref="W454">_xlfn._xlws.FILTER(shifts!A:A,(shifts!B:B=events!D454)*(shifts!AH:AH&gt;=events!U454)*(shifts!AI:AI&lt;=events!V454))</f>
        <v>13</v>
      </c>
      <c r="X454" t="str">
        <f t="shared" si="78"/>
        <v>event_team_player_1</v>
      </c>
      <c r="Y454">
        <f>COUNTIFS(A$3:A454,"="&amp;A454,K$3:K454,"="&amp;K454)</f>
        <v>1</v>
      </c>
      <c r="Z454" s="20">
        <f>SUMIFS(T$3:T454,L$3:L454,"=Intermission")+SUMIFS(T$3:T454,L$3:L454,"=Timeout")+SUMIFS(T$3:T454,L$3:L454,"=Clockstop")</f>
        <v>0</v>
      </c>
      <c r="AA454">
        <f t="shared" si="82"/>
        <v>0</v>
      </c>
      <c r="AB454" s="26">
        <f t="shared" si="83"/>
        <v>579</v>
      </c>
      <c r="AC454">
        <f t="shared" si="84"/>
        <v>0</v>
      </c>
    </row>
    <row r="455" spans="1:29" x14ac:dyDescent="0.2">
      <c r="A455">
        <v>231</v>
      </c>
      <c r="D455">
        <f t="shared" si="85"/>
        <v>1</v>
      </c>
      <c r="E455">
        <v>8</v>
      </c>
      <c r="F455" s="6" t="s">
        <v>446</v>
      </c>
      <c r="I455" t="s">
        <v>179</v>
      </c>
      <c r="J455">
        <v>2</v>
      </c>
      <c r="K455" t="s">
        <v>488</v>
      </c>
      <c r="L455" t="s">
        <v>10</v>
      </c>
      <c r="M455" t="s">
        <v>190</v>
      </c>
      <c r="N455" t="s">
        <v>73</v>
      </c>
      <c r="Q455">
        <f t="shared" si="79"/>
        <v>18977</v>
      </c>
      <c r="R455" t="str">
        <f t="shared" si="80"/>
        <v>Velodrome</v>
      </c>
      <c r="S455" t="str">
        <f t="shared" si="81"/>
        <v>HollowBrook</v>
      </c>
      <c r="T455" s="20">
        <f t="shared" si="75"/>
        <v>0</v>
      </c>
      <c r="U455">
        <f t="shared" si="76"/>
        <v>497</v>
      </c>
      <c r="V455">
        <f t="shared" si="77"/>
        <v>497</v>
      </c>
      <c r="W455" cm="1">
        <f t="array" ref="W455">_xlfn._xlws.FILTER(shifts!A:A,(shifts!B:B=events!D455)*(shifts!AH:AH&gt;=events!U455)*(shifts!AI:AI&lt;=events!V455))</f>
        <v>13</v>
      </c>
      <c r="X455" t="str">
        <f t="shared" si="78"/>
        <v>event_team_player_1</v>
      </c>
      <c r="Y455">
        <f>COUNTIFS(A$3:A455,"="&amp;A455,K$3:K455,"="&amp;K455)</f>
        <v>1</v>
      </c>
      <c r="Z455" s="20">
        <f>SUMIFS(T$3:T455,L$3:L455,"=Intermission")+SUMIFS(T$3:T455,L$3:L455,"=Timeout")+SUMIFS(T$3:T455,L$3:L455,"=Clockstop")</f>
        <v>0</v>
      </c>
      <c r="AA455">
        <f t="shared" si="82"/>
        <v>0</v>
      </c>
      <c r="AB455" s="26">
        <f t="shared" si="83"/>
        <v>583</v>
      </c>
      <c r="AC455">
        <f t="shared" si="84"/>
        <v>0</v>
      </c>
    </row>
    <row r="456" spans="1:29" x14ac:dyDescent="0.2">
      <c r="A456">
        <v>232</v>
      </c>
      <c r="D456">
        <f t="shared" si="85"/>
        <v>1</v>
      </c>
      <c r="E456">
        <v>8</v>
      </c>
      <c r="F456" s="6" t="s">
        <v>448</v>
      </c>
      <c r="I456" t="s">
        <v>178</v>
      </c>
      <c r="J456">
        <v>52</v>
      </c>
      <c r="K456" t="s">
        <v>488</v>
      </c>
      <c r="L456" t="s">
        <v>277</v>
      </c>
      <c r="M456" t="s">
        <v>201</v>
      </c>
      <c r="N456" t="s">
        <v>92</v>
      </c>
      <c r="Q456">
        <f t="shared" si="79"/>
        <v>18977</v>
      </c>
      <c r="R456" t="str">
        <f t="shared" si="80"/>
        <v>Velodrome</v>
      </c>
      <c r="S456" t="str">
        <f t="shared" si="81"/>
        <v>HollowBrook</v>
      </c>
      <c r="T456" s="20">
        <f t="shared" si="75"/>
        <v>0</v>
      </c>
      <c r="U456">
        <f t="shared" si="76"/>
        <v>496</v>
      </c>
      <c r="V456">
        <f t="shared" si="77"/>
        <v>496</v>
      </c>
      <c r="W456" cm="1">
        <f t="array" ref="W456">_xlfn._xlws.FILTER(shifts!A:A,(shifts!B:B=events!D456)*(shifts!AH:AH&gt;=events!U456)*(shifts!AI:AI&lt;=events!V456))</f>
        <v>13</v>
      </c>
      <c r="X456" t="str">
        <f t="shared" si="78"/>
        <v>event_team_player_1</v>
      </c>
      <c r="Y456">
        <f>COUNTIFS(A$3:A456,"="&amp;A456,K$3:K456,"="&amp;K456)</f>
        <v>1</v>
      </c>
      <c r="Z456" s="20">
        <f>SUMIFS(T$3:T456,L$3:L456,"=Intermission")+SUMIFS(T$3:T456,L$3:L456,"=Timeout")+SUMIFS(T$3:T456,L$3:L456,"=Clockstop")</f>
        <v>0</v>
      </c>
      <c r="AA456">
        <f t="shared" si="82"/>
        <v>0</v>
      </c>
      <c r="AB456" s="26">
        <f t="shared" si="83"/>
        <v>584</v>
      </c>
      <c r="AC456">
        <f t="shared" si="84"/>
        <v>0</v>
      </c>
    </row>
    <row r="457" spans="1:29" x14ac:dyDescent="0.2">
      <c r="A457">
        <v>233</v>
      </c>
      <c r="D457">
        <f t="shared" si="85"/>
        <v>1</v>
      </c>
      <c r="E457">
        <v>8</v>
      </c>
      <c r="F457" s="6" t="s">
        <v>448</v>
      </c>
      <c r="I457" t="s">
        <v>178</v>
      </c>
      <c r="J457">
        <v>52</v>
      </c>
      <c r="K457" t="s">
        <v>488</v>
      </c>
      <c r="L457" t="s">
        <v>277</v>
      </c>
      <c r="M457" t="s">
        <v>191</v>
      </c>
      <c r="N457" t="s">
        <v>89</v>
      </c>
      <c r="Q457">
        <f t="shared" si="79"/>
        <v>18977</v>
      </c>
      <c r="R457" t="str">
        <f t="shared" si="80"/>
        <v>Velodrome</v>
      </c>
      <c r="S457" t="str">
        <f t="shared" si="81"/>
        <v>HollowBrook</v>
      </c>
      <c r="T457" s="20">
        <f t="shared" si="75"/>
        <v>0</v>
      </c>
      <c r="U457">
        <f t="shared" si="76"/>
        <v>496</v>
      </c>
      <c r="V457">
        <f t="shared" si="77"/>
        <v>496</v>
      </c>
      <c r="W457" cm="1">
        <f t="array" ref="W457">_xlfn._xlws.FILTER(shifts!A:A,(shifts!B:B=events!D457)*(shifts!AH:AH&gt;=events!U457)*(shifts!AI:AI&lt;=events!V457))</f>
        <v>13</v>
      </c>
      <c r="X457" t="str">
        <f t="shared" si="78"/>
        <v>event_team_player_1</v>
      </c>
      <c r="Y457">
        <f>COUNTIFS(A$3:A457,"="&amp;A457,K$3:K457,"="&amp;K457)</f>
        <v>1</v>
      </c>
      <c r="Z457" s="20">
        <f>SUMIFS(T$3:T457,L$3:L457,"=Intermission")+SUMIFS(T$3:T457,L$3:L457,"=Timeout")+SUMIFS(T$3:T457,L$3:L457,"=Clockstop")</f>
        <v>0</v>
      </c>
      <c r="AA457">
        <f t="shared" si="82"/>
        <v>0</v>
      </c>
      <c r="AB457" s="26">
        <f t="shared" si="83"/>
        <v>584</v>
      </c>
      <c r="AC457">
        <f t="shared" si="84"/>
        <v>0</v>
      </c>
    </row>
    <row r="458" spans="1:29" x14ac:dyDescent="0.2">
      <c r="A458">
        <v>234</v>
      </c>
      <c r="D458">
        <f t="shared" si="85"/>
        <v>1</v>
      </c>
      <c r="E458">
        <v>8</v>
      </c>
      <c r="F458" s="6" t="s">
        <v>424</v>
      </c>
      <c r="G458">
        <v>8</v>
      </c>
      <c r="H458" s="8" t="s">
        <v>309</v>
      </c>
      <c r="I458" t="s">
        <v>179</v>
      </c>
      <c r="J458">
        <v>27</v>
      </c>
      <c r="K458" t="s">
        <v>488</v>
      </c>
      <c r="L458" t="s">
        <v>15</v>
      </c>
      <c r="Q458">
        <f t="shared" si="79"/>
        <v>18977</v>
      </c>
      <c r="R458" t="str">
        <f t="shared" si="80"/>
        <v>Velodrome</v>
      </c>
      <c r="S458" t="str">
        <f t="shared" si="81"/>
        <v>HollowBrook</v>
      </c>
      <c r="T458" s="20">
        <f t="shared" si="75"/>
        <v>2</v>
      </c>
      <c r="U458">
        <f t="shared" si="76"/>
        <v>489</v>
      </c>
      <c r="V458">
        <f t="shared" si="77"/>
        <v>487</v>
      </c>
      <c r="W458" cm="1">
        <f t="array" ref="W458">_xlfn._xlws.FILTER(shifts!A:A,(shifts!B:B=events!D458)*(shifts!AH:AH&gt;=events!U458)*(shifts!AI:AI&lt;=events!V458))</f>
        <v>13</v>
      </c>
      <c r="X458" t="str">
        <f t="shared" si="78"/>
        <v>event_team_player_1</v>
      </c>
      <c r="Y458">
        <f>COUNTIFS(A$3:A458,"="&amp;A458,K$3:K458,"="&amp;K458)</f>
        <v>1</v>
      </c>
      <c r="Z458" s="20">
        <f>SUMIFS(T$3:T458,L$3:L458,"=Intermission")+SUMIFS(T$3:T458,L$3:L458,"=Timeout")+SUMIFS(T$3:T458,L$3:L458,"=Clockstop")</f>
        <v>0</v>
      </c>
      <c r="AA458">
        <f t="shared" si="82"/>
        <v>0</v>
      </c>
      <c r="AB458" s="26">
        <f t="shared" si="83"/>
        <v>591</v>
      </c>
      <c r="AC458">
        <f t="shared" si="84"/>
        <v>0</v>
      </c>
    </row>
    <row r="459" spans="1:29" x14ac:dyDescent="0.2">
      <c r="A459">
        <v>235</v>
      </c>
      <c r="D459">
        <f t="shared" si="85"/>
        <v>1</v>
      </c>
      <c r="E459">
        <v>8</v>
      </c>
      <c r="F459" s="6" t="s">
        <v>309</v>
      </c>
      <c r="I459" t="s">
        <v>179</v>
      </c>
      <c r="J459">
        <v>27</v>
      </c>
      <c r="K459" t="s">
        <v>488</v>
      </c>
      <c r="L459" t="s">
        <v>8</v>
      </c>
      <c r="M459" t="s">
        <v>189</v>
      </c>
      <c r="N459" t="s">
        <v>67</v>
      </c>
      <c r="Q459">
        <f t="shared" si="79"/>
        <v>18977</v>
      </c>
      <c r="R459" t="str">
        <f t="shared" si="80"/>
        <v>Velodrome</v>
      </c>
      <c r="S459" t="str">
        <f t="shared" si="81"/>
        <v>HollowBrook</v>
      </c>
      <c r="T459" s="20">
        <f t="shared" si="75"/>
        <v>0</v>
      </c>
      <c r="U459">
        <f t="shared" si="76"/>
        <v>487</v>
      </c>
      <c r="V459">
        <f t="shared" si="77"/>
        <v>487</v>
      </c>
      <c r="W459">
        <v>14</v>
      </c>
      <c r="X459" t="str">
        <f t="shared" si="78"/>
        <v>event_team_player_1</v>
      </c>
      <c r="Y459">
        <f>COUNTIFS(A$3:A459,"="&amp;A459,K$3:K459,"="&amp;K459)</f>
        <v>1</v>
      </c>
      <c r="Z459" s="20">
        <f>SUMIFS(T$3:T459,L$3:L459,"=Intermission")+SUMIFS(T$3:T459,L$3:L459,"=Timeout")+SUMIFS(T$3:T459,L$3:L459,"=Clockstop")</f>
        <v>0</v>
      </c>
      <c r="AA459">
        <f t="shared" si="82"/>
        <v>0</v>
      </c>
      <c r="AB459" s="26">
        <f t="shared" si="83"/>
        <v>593</v>
      </c>
      <c r="AC459">
        <f t="shared" si="84"/>
        <v>0</v>
      </c>
    </row>
    <row r="460" spans="1:29" x14ac:dyDescent="0.2">
      <c r="A460">
        <v>235</v>
      </c>
      <c r="D460">
        <f t="shared" si="85"/>
        <v>1</v>
      </c>
      <c r="E460">
        <v>8</v>
      </c>
      <c r="F460" s="6" t="s">
        <v>309</v>
      </c>
      <c r="I460" t="s">
        <v>179</v>
      </c>
      <c r="J460">
        <v>11</v>
      </c>
      <c r="K460" t="s">
        <v>488</v>
      </c>
      <c r="L460" t="s">
        <v>8</v>
      </c>
      <c r="M460" t="s">
        <v>189</v>
      </c>
      <c r="N460" t="s">
        <v>67</v>
      </c>
      <c r="Q460">
        <f t="shared" si="79"/>
        <v>18977</v>
      </c>
      <c r="R460" t="str">
        <f t="shared" si="80"/>
        <v>Velodrome</v>
      </c>
      <c r="S460" t="str">
        <f t="shared" si="81"/>
        <v>HollowBrook</v>
      </c>
      <c r="T460" s="20">
        <f t="shared" si="75"/>
        <v>0</v>
      </c>
      <c r="U460">
        <f t="shared" si="76"/>
        <v>487</v>
      </c>
      <c r="V460">
        <f t="shared" si="77"/>
        <v>487</v>
      </c>
      <c r="W460">
        <v>14</v>
      </c>
      <c r="X460" t="str">
        <f t="shared" si="78"/>
        <v>event_team_player_2</v>
      </c>
      <c r="Y460">
        <f>COUNTIFS(A$3:A460,"="&amp;A460,K$3:K460,"="&amp;K460)</f>
        <v>2</v>
      </c>
      <c r="Z460" s="20">
        <f>SUMIFS(T$3:T460,L$3:L460,"=Intermission")+SUMIFS(T$3:T460,L$3:L460,"=Timeout")+SUMIFS(T$3:T460,L$3:L460,"=Clockstop")</f>
        <v>0</v>
      </c>
      <c r="AA460">
        <f t="shared" si="82"/>
        <v>0</v>
      </c>
      <c r="AB460" s="26">
        <f t="shared" si="83"/>
        <v>593</v>
      </c>
      <c r="AC460">
        <f t="shared" si="84"/>
        <v>0</v>
      </c>
    </row>
    <row r="461" spans="1:29" x14ac:dyDescent="0.2">
      <c r="A461">
        <v>236</v>
      </c>
      <c r="D461">
        <f t="shared" si="85"/>
        <v>1</v>
      </c>
      <c r="E461">
        <v>8</v>
      </c>
      <c r="F461" s="6" t="s">
        <v>309</v>
      </c>
      <c r="I461" t="s">
        <v>179</v>
      </c>
      <c r="J461">
        <v>27</v>
      </c>
      <c r="K461" t="s">
        <v>488</v>
      </c>
      <c r="L461" t="s">
        <v>277</v>
      </c>
      <c r="M461" t="s">
        <v>201</v>
      </c>
      <c r="N461" t="s">
        <v>91</v>
      </c>
      <c r="Q461">
        <f t="shared" si="79"/>
        <v>18977</v>
      </c>
      <c r="R461" t="str">
        <f t="shared" si="80"/>
        <v>Velodrome</v>
      </c>
      <c r="S461" t="str">
        <f t="shared" si="81"/>
        <v>HollowBrook</v>
      </c>
      <c r="T461" s="20">
        <f t="shared" si="75"/>
        <v>0</v>
      </c>
      <c r="U461">
        <f t="shared" si="76"/>
        <v>487</v>
      </c>
      <c r="V461">
        <f t="shared" si="77"/>
        <v>487</v>
      </c>
      <c r="W461">
        <v>14</v>
      </c>
      <c r="X461" t="str">
        <f t="shared" si="78"/>
        <v>event_team_player_1</v>
      </c>
      <c r="Y461">
        <f>COUNTIFS(A$3:A461,"="&amp;A461,K$3:K461,"="&amp;K461)</f>
        <v>1</v>
      </c>
      <c r="Z461" s="20">
        <f>SUMIFS(T$3:T461,L$3:L461,"=Intermission")+SUMIFS(T$3:T461,L$3:L461,"=Timeout")+SUMIFS(T$3:T461,L$3:L461,"=Clockstop")</f>
        <v>0</v>
      </c>
      <c r="AA461">
        <f t="shared" si="82"/>
        <v>0</v>
      </c>
      <c r="AB461" s="26">
        <f t="shared" si="83"/>
        <v>593</v>
      </c>
      <c r="AC461">
        <f t="shared" si="84"/>
        <v>0</v>
      </c>
    </row>
    <row r="462" spans="1:29" x14ac:dyDescent="0.2">
      <c r="A462">
        <v>236</v>
      </c>
      <c r="D462">
        <f t="shared" si="85"/>
        <v>1</v>
      </c>
      <c r="E462">
        <v>8</v>
      </c>
      <c r="F462" s="6" t="s">
        <v>309</v>
      </c>
      <c r="I462" t="s">
        <v>179</v>
      </c>
      <c r="J462">
        <v>11</v>
      </c>
      <c r="K462" t="s">
        <v>488</v>
      </c>
      <c r="L462" t="s">
        <v>277</v>
      </c>
      <c r="M462" t="s">
        <v>201</v>
      </c>
      <c r="N462" t="s">
        <v>91</v>
      </c>
      <c r="Q462">
        <f t="shared" si="79"/>
        <v>18977</v>
      </c>
      <c r="R462" t="str">
        <f t="shared" si="80"/>
        <v>Velodrome</v>
      </c>
      <c r="S462" t="str">
        <f t="shared" si="81"/>
        <v>HollowBrook</v>
      </c>
      <c r="T462" s="20">
        <f t="shared" si="75"/>
        <v>0</v>
      </c>
      <c r="U462">
        <f t="shared" si="76"/>
        <v>487</v>
      </c>
      <c r="V462">
        <f t="shared" si="77"/>
        <v>487</v>
      </c>
      <c r="W462">
        <v>14</v>
      </c>
      <c r="X462" t="str">
        <f t="shared" si="78"/>
        <v>event_team_player_2</v>
      </c>
      <c r="Y462">
        <f>COUNTIFS(A$3:A462,"="&amp;A462,K$3:K462,"="&amp;K462)</f>
        <v>2</v>
      </c>
      <c r="Z462" s="20">
        <f>SUMIFS(T$3:T462,L$3:L462,"=Intermission")+SUMIFS(T$3:T462,L$3:L462,"=Timeout")+SUMIFS(T$3:T462,L$3:L462,"=Clockstop")</f>
        <v>0</v>
      </c>
      <c r="AA462">
        <f t="shared" si="82"/>
        <v>0</v>
      </c>
      <c r="AB462" s="26">
        <f t="shared" si="83"/>
        <v>593</v>
      </c>
      <c r="AC462">
        <f t="shared" si="84"/>
        <v>0</v>
      </c>
    </row>
    <row r="463" spans="1:29" x14ac:dyDescent="0.2">
      <c r="A463">
        <v>237</v>
      </c>
      <c r="D463">
        <f t="shared" si="85"/>
        <v>1</v>
      </c>
      <c r="E463">
        <v>8</v>
      </c>
      <c r="F463" s="6" t="s">
        <v>314</v>
      </c>
      <c r="G463">
        <v>8</v>
      </c>
      <c r="H463" s="8" t="s">
        <v>315</v>
      </c>
      <c r="I463" t="s">
        <v>179</v>
      </c>
      <c r="J463">
        <v>11</v>
      </c>
      <c r="K463" t="s">
        <v>488</v>
      </c>
      <c r="L463" t="s">
        <v>15</v>
      </c>
      <c r="Q463">
        <f t="shared" si="79"/>
        <v>18977</v>
      </c>
      <c r="R463" t="str">
        <f t="shared" si="80"/>
        <v>Velodrome</v>
      </c>
      <c r="S463" t="str">
        <f t="shared" si="81"/>
        <v>HollowBrook</v>
      </c>
      <c r="T463" s="20">
        <f t="shared" si="75"/>
        <v>1</v>
      </c>
      <c r="U463">
        <f t="shared" si="76"/>
        <v>486</v>
      </c>
      <c r="V463">
        <f t="shared" si="77"/>
        <v>485</v>
      </c>
      <c r="W463" cm="1">
        <f t="array" ref="W463">_xlfn._xlws.FILTER(shifts!A:A,(shifts!B:B=events!D463)*(shifts!AH:AH&gt;=events!U463)*(shifts!AI:AI&lt;=events!V463))</f>
        <v>14</v>
      </c>
      <c r="X463" t="str">
        <f t="shared" si="78"/>
        <v>event_team_player_1</v>
      </c>
      <c r="Y463">
        <f>COUNTIFS(A$3:A463,"="&amp;A463,K$3:K463,"="&amp;K463)</f>
        <v>1</v>
      </c>
      <c r="Z463" s="20">
        <f>SUMIFS(T$3:T463,L$3:L463,"=Intermission")+SUMIFS(T$3:T463,L$3:L463,"=Timeout")+SUMIFS(T$3:T463,L$3:L463,"=Clockstop")</f>
        <v>0</v>
      </c>
      <c r="AA463">
        <f t="shared" si="82"/>
        <v>0</v>
      </c>
      <c r="AB463" s="26">
        <f t="shared" si="83"/>
        <v>594</v>
      </c>
      <c r="AC463">
        <f t="shared" si="84"/>
        <v>0</v>
      </c>
    </row>
    <row r="464" spans="1:29" x14ac:dyDescent="0.2">
      <c r="A464">
        <v>238</v>
      </c>
      <c r="D464">
        <f t="shared" si="85"/>
        <v>1</v>
      </c>
      <c r="E464">
        <v>8</v>
      </c>
      <c r="F464" s="6" t="s">
        <v>315</v>
      </c>
      <c r="G464">
        <v>8</v>
      </c>
      <c r="H464" s="8" t="s">
        <v>316</v>
      </c>
      <c r="I464" t="s">
        <v>179</v>
      </c>
      <c r="J464">
        <v>11</v>
      </c>
      <c r="K464" t="s">
        <v>488</v>
      </c>
      <c r="L464" t="s">
        <v>277</v>
      </c>
      <c r="M464" t="s">
        <v>191</v>
      </c>
      <c r="N464" t="s">
        <v>87</v>
      </c>
      <c r="Q464">
        <f t="shared" si="79"/>
        <v>18977</v>
      </c>
      <c r="R464" t="str">
        <f t="shared" si="80"/>
        <v>Velodrome</v>
      </c>
      <c r="S464" t="str">
        <f t="shared" si="81"/>
        <v>HollowBrook</v>
      </c>
      <c r="T464" s="20">
        <f t="shared" si="75"/>
        <v>3</v>
      </c>
      <c r="U464">
        <f t="shared" si="76"/>
        <v>485</v>
      </c>
      <c r="V464">
        <f t="shared" si="77"/>
        <v>482</v>
      </c>
      <c r="W464" cm="1">
        <f t="array" ref="W464">_xlfn._xlws.FILTER(shifts!A:A,(shifts!B:B=events!D464)*(shifts!AH:AH&gt;=events!U464)*(shifts!AI:AI&lt;=events!V464))</f>
        <v>14</v>
      </c>
      <c r="X464" t="str">
        <f t="shared" si="78"/>
        <v>event_team_player_1</v>
      </c>
      <c r="Y464">
        <f>COUNTIFS(A$3:A464,"="&amp;A464,K$3:K464,"="&amp;K464)</f>
        <v>1</v>
      </c>
      <c r="Z464" s="20">
        <f>SUMIFS(T$3:T464,L$3:L464,"=Intermission")+SUMIFS(T$3:T464,L$3:L464,"=Timeout")+SUMIFS(T$3:T464,L$3:L464,"=Clockstop")</f>
        <v>0</v>
      </c>
      <c r="AA464">
        <f t="shared" si="82"/>
        <v>0</v>
      </c>
      <c r="AB464" s="26">
        <f t="shared" si="83"/>
        <v>595</v>
      </c>
      <c r="AC464">
        <f t="shared" si="84"/>
        <v>0</v>
      </c>
    </row>
    <row r="465" spans="1:29" x14ac:dyDescent="0.2">
      <c r="A465">
        <v>238</v>
      </c>
      <c r="D465">
        <f t="shared" si="85"/>
        <v>1</v>
      </c>
      <c r="E465">
        <v>8</v>
      </c>
      <c r="F465" s="6" t="s">
        <v>315</v>
      </c>
      <c r="G465">
        <v>8</v>
      </c>
      <c r="H465" s="8" t="s">
        <v>316</v>
      </c>
      <c r="I465" t="s">
        <v>179</v>
      </c>
      <c r="J465">
        <v>22</v>
      </c>
      <c r="K465" t="s">
        <v>488</v>
      </c>
      <c r="L465" t="s">
        <v>277</v>
      </c>
      <c r="M465" t="s">
        <v>191</v>
      </c>
      <c r="N465" t="s">
        <v>87</v>
      </c>
      <c r="Q465">
        <f t="shared" si="79"/>
        <v>18977</v>
      </c>
      <c r="R465" t="str">
        <f t="shared" si="80"/>
        <v>Velodrome</v>
      </c>
      <c r="S465" t="str">
        <f t="shared" si="81"/>
        <v>HollowBrook</v>
      </c>
      <c r="T465" s="20">
        <f t="shared" si="75"/>
        <v>3</v>
      </c>
      <c r="U465">
        <f t="shared" si="76"/>
        <v>485</v>
      </c>
      <c r="V465">
        <f t="shared" si="77"/>
        <v>482</v>
      </c>
      <c r="W465" cm="1">
        <f t="array" ref="W465">_xlfn._xlws.FILTER(shifts!A:A,(shifts!B:B=events!D465)*(shifts!AH:AH&gt;=events!U465)*(shifts!AI:AI&lt;=events!V465))</f>
        <v>14</v>
      </c>
      <c r="X465" t="str">
        <f t="shared" si="78"/>
        <v>event_team_player_2</v>
      </c>
      <c r="Y465">
        <f>COUNTIFS(A$3:A465,"="&amp;A465,K$3:K465,"="&amp;K465)</f>
        <v>2</v>
      </c>
      <c r="Z465" s="20">
        <f>SUMIFS(T$3:T465,L$3:L465,"=Intermission")+SUMIFS(T$3:T465,L$3:L465,"=Timeout")+SUMIFS(T$3:T465,L$3:L465,"=Clockstop")</f>
        <v>0</v>
      </c>
      <c r="AA465">
        <f t="shared" si="82"/>
        <v>0</v>
      </c>
      <c r="AB465" s="26">
        <f t="shared" si="83"/>
        <v>595</v>
      </c>
      <c r="AC465">
        <f t="shared" si="84"/>
        <v>0</v>
      </c>
    </row>
    <row r="466" spans="1:29" x14ac:dyDescent="0.2">
      <c r="A466">
        <v>238</v>
      </c>
      <c r="D466">
        <f t="shared" si="85"/>
        <v>1</v>
      </c>
      <c r="E466">
        <v>8</v>
      </c>
      <c r="F466" s="6" t="s">
        <v>315</v>
      </c>
      <c r="G466">
        <v>8</v>
      </c>
      <c r="H466" s="8" t="s">
        <v>316</v>
      </c>
      <c r="I466" t="s">
        <v>179</v>
      </c>
      <c r="J466">
        <v>9</v>
      </c>
      <c r="K466" t="s">
        <v>489</v>
      </c>
      <c r="L466" t="s">
        <v>277</v>
      </c>
      <c r="M466" t="s">
        <v>191</v>
      </c>
      <c r="N466" t="s">
        <v>87</v>
      </c>
      <c r="Q466">
        <f t="shared" si="79"/>
        <v>18977</v>
      </c>
      <c r="R466" t="str">
        <f t="shared" si="80"/>
        <v>Velodrome</v>
      </c>
      <c r="S466" t="str">
        <f t="shared" si="81"/>
        <v>HollowBrook</v>
      </c>
      <c r="T466" s="20">
        <f t="shared" si="75"/>
        <v>3</v>
      </c>
      <c r="U466">
        <f t="shared" si="76"/>
        <v>485</v>
      </c>
      <c r="V466">
        <f t="shared" si="77"/>
        <v>482</v>
      </c>
      <c r="W466" cm="1">
        <f t="array" ref="W466">_xlfn._xlws.FILTER(shifts!A:A,(shifts!B:B=events!D466)*(shifts!AH:AH&gt;=events!U466)*(shifts!AI:AI&lt;=events!V466))</f>
        <v>14</v>
      </c>
      <c r="X466" t="str">
        <f t="shared" si="78"/>
        <v>opp_team_player_1</v>
      </c>
      <c r="Y466">
        <f>COUNTIFS(A$3:A466,"="&amp;A466,K$3:K466,"="&amp;K466)</f>
        <v>1</v>
      </c>
      <c r="Z466" s="20">
        <f>SUMIFS(T$3:T466,L$3:L466,"=Intermission")+SUMIFS(T$3:T466,L$3:L466,"=Timeout")+SUMIFS(T$3:T466,L$3:L466,"=Clockstop")</f>
        <v>0</v>
      </c>
      <c r="AA466">
        <f t="shared" si="82"/>
        <v>0</v>
      </c>
      <c r="AB466" s="26">
        <f t="shared" si="83"/>
        <v>595</v>
      </c>
      <c r="AC466">
        <f t="shared" si="84"/>
        <v>0</v>
      </c>
    </row>
    <row r="467" spans="1:29" x14ac:dyDescent="0.2">
      <c r="A467">
        <v>238</v>
      </c>
      <c r="D467">
        <f t="shared" si="85"/>
        <v>1</v>
      </c>
      <c r="E467">
        <v>8</v>
      </c>
      <c r="F467" s="6" t="s">
        <v>315</v>
      </c>
      <c r="G467">
        <v>8</v>
      </c>
      <c r="H467" s="8" t="s">
        <v>316</v>
      </c>
      <c r="I467" t="s">
        <v>179</v>
      </c>
      <c r="J467">
        <v>52</v>
      </c>
      <c r="K467" t="s">
        <v>489</v>
      </c>
      <c r="L467" t="s">
        <v>277</v>
      </c>
      <c r="M467" t="s">
        <v>191</v>
      </c>
      <c r="N467" t="s">
        <v>87</v>
      </c>
      <c r="Q467">
        <f t="shared" si="79"/>
        <v>18977</v>
      </c>
      <c r="R467" t="str">
        <f t="shared" si="80"/>
        <v>Velodrome</v>
      </c>
      <c r="S467" t="str">
        <f t="shared" si="81"/>
        <v>HollowBrook</v>
      </c>
      <c r="T467" s="20">
        <f t="shared" si="75"/>
        <v>3</v>
      </c>
      <c r="U467">
        <f t="shared" si="76"/>
        <v>485</v>
      </c>
      <c r="V467">
        <f t="shared" si="77"/>
        <v>482</v>
      </c>
      <c r="W467" cm="1">
        <f t="array" ref="W467">_xlfn._xlws.FILTER(shifts!A:A,(shifts!B:B=events!D467)*(shifts!AH:AH&gt;=events!U467)*(shifts!AI:AI&lt;=events!V467))</f>
        <v>14</v>
      </c>
      <c r="X467" t="str">
        <f t="shared" si="78"/>
        <v>opp_team_player_2</v>
      </c>
      <c r="Y467">
        <f>COUNTIFS(A$3:A467,"="&amp;A467,K$3:K467,"="&amp;K467)</f>
        <v>2</v>
      </c>
      <c r="Z467" s="20">
        <f>SUMIFS(T$3:T467,L$3:L467,"=Intermission")+SUMIFS(T$3:T467,L$3:L467,"=Timeout")+SUMIFS(T$3:T467,L$3:L467,"=Clockstop")</f>
        <v>0</v>
      </c>
      <c r="AA467">
        <f t="shared" si="82"/>
        <v>0</v>
      </c>
      <c r="AB467" s="26">
        <f t="shared" si="83"/>
        <v>595</v>
      </c>
      <c r="AC467">
        <f t="shared" si="84"/>
        <v>0</v>
      </c>
    </row>
    <row r="468" spans="1:29" x14ac:dyDescent="0.2">
      <c r="A468">
        <v>239</v>
      </c>
      <c r="D468">
        <f t="shared" si="85"/>
        <v>1</v>
      </c>
      <c r="E468">
        <v>8</v>
      </c>
      <c r="F468" s="6" t="s">
        <v>316</v>
      </c>
      <c r="G468">
        <v>8</v>
      </c>
      <c r="H468" s="8" t="s">
        <v>312</v>
      </c>
      <c r="I468" t="s">
        <v>179</v>
      </c>
      <c r="J468">
        <v>11</v>
      </c>
      <c r="K468" t="s">
        <v>488</v>
      </c>
      <c r="L468" t="s">
        <v>15</v>
      </c>
      <c r="Q468">
        <f t="shared" si="79"/>
        <v>18977</v>
      </c>
      <c r="R468" t="str">
        <f t="shared" si="80"/>
        <v>Velodrome</v>
      </c>
      <c r="S468" t="str">
        <f t="shared" si="81"/>
        <v>HollowBrook</v>
      </c>
      <c r="T468" s="20">
        <f t="shared" si="75"/>
        <v>1</v>
      </c>
      <c r="U468">
        <f t="shared" si="76"/>
        <v>482</v>
      </c>
      <c r="V468">
        <f t="shared" si="77"/>
        <v>481</v>
      </c>
      <c r="W468" cm="1">
        <f t="array" ref="W468">_xlfn._xlws.FILTER(shifts!A:A,(shifts!B:B=events!D468)*(shifts!AH:AH&gt;=events!U468)*(shifts!AI:AI&lt;=events!V468))</f>
        <v>14</v>
      </c>
      <c r="X468" t="str">
        <f t="shared" si="78"/>
        <v>event_team_player_1</v>
      </c>
      <c r="Y468">
        <f>COUNTIFS(A$3:A468,"="&amp;A468,K$3:K468,"="&amp;K468)</f>
        <v>1</v>
      </c>
      <c r="Z468" s="20">
        <f>SUMIFS(T$3:T468,L$3:L468,"=Intermission")+SUMIFS(T$3:T468,L$3:L468,"=Timeout")+SUMIFS(T$3:T468,L$3:L468,"=Clockstop")</f>
        <v>0</v>
      </c>
      <c r="AA468">
        <f t="shared" si="82"/>
        <v>0</v>
      </c>
      <c r="AB468" s="26">
        <f t="shared" si="83"/>
        <v>598</v>
      </c>
      <c r="AC468">
        <f t="shared" si="84"/>
        <v>0</v>
      </c>
    </row>
    <row r="469" spans="1:29" x14ac:dyDescent="0.2">
      <c r="A469">
        <v>239</v>
      </c>
      <c r="D469">
        <f t="shared" si="85"/>
        <v>1</v>
      </c>
      <c r="E469">
        <v>8</v>
      </c>
      <c r="F469" s="6" t="s">
        <v>316</v>
      </c>
      <c r="G469">
        <v>8</v>
      </c>
      <c r="H469" s="8" t="s">
        <v>312</v>
      </c>
      <c r="I469" t="s">
        <v>179</v>
      </c>
      <c r="J469">
        <v>9</v>
      </c>
      <c r="K469" t="s">
        <v>489</v>
      </c>
      <c r="L469" t="s">
        <v>15</v>
      </c>
      <c r="Q469">
        <f t="shared" si="79"/>
        <v>18977</v>
      </c>
      <c r="R469" t="str">
        <f t="shared" si="80"/>
        <v>Velodrome</v>
      </c>
      <c r="S469" t="str">
        <f t="shared" si="81"/>
        <v>HollowBrook</v>
      </c>
      <c r="T469" s="20">
        <f t="shared" si="75"/>
        <v>1</v>
      </c>
      <c r="U469">
        <f t="shared" si="76"/>
        <v>482</v>
      </c>
      <c r="V469">
        <f t="shared" si="77"/>
        <v>481</v>
      </c>
      <c r="W469" cm="1">
        <f t="array" ref="W469">_xlfn._xlws.FILTER(shifts!A:A,(shifts!B:B=events!D469)*(shifts!AH:AH&gt;=events!U469)*(shifts!AI:AI&lt;=events!V469))</f>
        <v>14</v>
      </c>
      <c r="X469" t="str">
        <f t="shared" si="78"/>
        <v>opp_team_player_1</v>
      </c>
      <c r="Y469">
        <f>COUNTIFS(A$3:A469,"="&amp;A469,K$3:K469,"="&amp;K469)</f>
        <v>1</v>
      </c>
      <c r="Z469" s="20">
        <f>SUMIFS(T$3:T469,L$3:L469,"=Intermission")+SUMIFS(T$3:T469,L$3:L469,"=Timeout")+SUMIFS(T$3:T469,L$3:L469,"=Clockstop")</f>
        <v>0</v>
      </c>
      <c r="AA469">
        <f t="shared" si="82"/>
        <v>0</v>
      </c>
      <c r="AB469" s="26">
        <f t="shared" si="83"/>
        <v>598</v>
      </c>
      <c r="AC469">
        <f t="shared" si="84"/>
        <v>0</v>
      </c>
    </row>
    <row r="470" spans="1:29" x14ac:dyDescent="0.2">
      <c r="A470">
        <v>239</v>
      </c>
      <c r="D470">
        <f t="shared" si="85"/>
        <v>1</v>
      </c>
      <c r="E470">
        <v>8</v>
      </c>
      <c r="F470" s="6" t="s">
        <v>316</v>
      </c>
      <c r="G470">
        <v>8</v>
      </c>
      <c r="H470" s="8" t="s">
        <v>312</v>
      </c>
      <c r="I470" t="s">
        <v>179</v>
      </c>
      <c r="J470">
        <v>24</v>
      </c>
      <c r="K470" t="s">
        <v>489</v>
      </c>
      <c r="L470" t="s">
        <v>15</v>
      </c>
      <c r="Q470">
        <f t="shared" si="79"/>
        <v>18977</v>
      </c>
      <c r="R470" t="str">
        <f t="shared" si="80"/>
        <v>Velodrome</v>
      </c>
      <c r="S470" t="str">
        <f t="shared" si="81"/>
        <v>HollowBrook</v>
      </c>
      <c r="T470" s="20">
        <f t="shared" si="75"/>
        <v>1</v>
      </c>
      <c r="U470">
        <f t="shared" si="76"/>
        <v>482</v>
      </c>
      <c r="V470">
        <f t="shared" si="77"/>
        <v>481</v>
      </c>
      <c r="W470" cm="1">
        <f t="array" ref="W470">_xlfn._xlws.FILTER(shifts!A:A,(shifts!B:B=events!D470)*(shifts!AH:AH&gt;=events!U470)*(shifts!AI:AI&lt;=events!V470))</f>
        <v>14</v>
      </c>
      <c r="X470" t="str">
        <f t="shared" si="78"/>
        <v>opp_team_player_2</v>
      </c>
      <c r="Y470">
        <f>COUNTIFS(A$3:A470,"="&amp;A470,K$3:K470,"="&amp;K470)</f>
        <v>2</v>
      </c>
      <c r="Z470" s="20">
        <f>SUMIFS(T$3:T470,L$3:L470,"=Intermission")+SUMIFS(T$3:T470,L$3:L470,"=Timeout")+SUMIFS(T$3:T470,L$3:L470,"=Clockstop")</f>
        <v>0</v>
      </c>
      <c r="AA470">
        <f t="shared" si="82"/>
        <v>0</v>
      </c>
      <c r="AB470" s="26">
        <f t="shared" si="83"/>
        <v>598</v>
      </c>
      <c r="AC470">
        <f t="shared" si="84"/>
        <v>0</v>
      </c>
    </row>
    <row r="471" spans="1:29" x14ac:dyDescent="0.2">
      <c r="A471">
        <v>240</v>
      </c>
      <c r="D471">
        <f t="shared" si="85"/>
        <v>1</v>
      </c>
      <c r="E471">
        <v>7</v>
      </c>
      <c r="F471" s="6" t="s">
        <v>487</v>
      </c>
      <c r="G471">
        <v>7</v>
      </c>
      <c r="H471" s="8" t="s">
        <v>421</v>
      </c>
      <c r="I471" t="s">
        <v>179</v>
      </c>
      <c r="J471">
        <v>13</v>
      </c>
      <c r="K471" t="s">
        <v>488</v>
      </c>
      <c r="L471" t="s">
        <v>15</v>
      </c>
      <c r="Q471">
        <f t="shared" si="79"/>
        <v>18977</v>
      </c>
      <c r="R471" t="str">
        <f t="shared" si="80"/>
        <v>Velodrome</v>
      </c>
      <c r="S471" t="str">
        <f t="shared" si="81"/>
        <v>HollowBrook</v>
      </c>
      <c r="T471" s="20">
        <f t="shared" si="75"/>
        <v>3</v>
      </c>
      <c r="U471">
        <f t="shared" si="76"/>
        <v>479</v>
      </c>
      <c r="V471">
        <f t="shared" si="77"/>
        <v>476</v>
      </c>
      <c r="W471" cm="1">
        <f t="array" ref="W471">_xlfn._xlws.FILTER(shifts!A:A,(shifts!B:B=events!D471)*(shifts!AH:AH&gt;=events!U471)*(shifts!AI:AI&lt;=events!V471))</f>
        <v>14</v>
      </c>
      <c r="X471" t="str">
        <f t="shared" si="78"/>
        <v>event_team_player_1</v>
      </c>
      <c r="Y471">
        <f>COUNTIFS(A$3:A471,"="&amp;A471,K$3:K471,"="&amp;K471)</f>
        <v>1</v>
      </c>
      <c r="Z471" s="20">
        <f>SUMIFS(T$3:T471,L$3:L471,"=Intermission")+SUMIFS(T$3:T471,L$3:L471,"=Timeout")+SUMIFS(T$3:T471,L$3:L471,"=Clockstop")</f>
        <v>0</v>
      </c>
      <c r="AA471">
        <f t="shared" si="82"/>
        <v>0</v>
      </c>
      <c r="AB471" s="26">
        <f t="shared" si="83"/>
        <v>601</v>
      </c>
      <c r="AC471">
        <f t="shared" si="84"/>
        <v>0</v>
      </c>
    </row>
    <row r="472" spans="1:29" x14ac:dyDescent="0.2">
      <c r="A472">
        <v>240</v>
      </c>
      <c r="D472">
        <f t="shared" si="85"/>
        <v>1</v>
      </c>
      <c r="E472">
        <v>7</v>
      </c>
      <c r="F472" s="6" t="s">
        <v>487</v>
      </c>
      <c r="G472">
        <v>7</v>
      </c>
      <c r="H472" s="8" t="s">
        <v>421</v>
      </c>
      <c r="I472" t="s">
        <v>179</v>
      </c>
      <c r="J472">
        <v>52</v>
      </c>
      <c r="K472" t="s">
        <v>489</v>
      </c>
      <c r="L472" t="s">
        <v>15</v>
      </c>
      <c r="Q472">
        <f t="shared" si="79"/>
        <v>18977</v>
      </c>
      <c r="R472" t="str">
        <f t="shared" si="80"/>
        <v>Velodrome</v>
      </c>
      <c r="S472" t="str">
        <f t="shared" si="81"/>
        <v>HollowBrook</v>
      </c>
      <c r="T472" s="20">
        <f t="shared" si="75"/>
        <v>3</v>
      </c>
      <c r="U472">
        <f t="shared" si="76"/>
        <v>479</v>
      </c>
      <c r="V472">
        <f t="shared" si="77"/>
        <v>476</v>
      </c>
      <c r="W472" cm="1">
        <f t="array" ref="W472">_xlfn._xlws.FILTER(shifts!A:A,(shifts!B:B=events!D472)*(shifts!AH:AH&gt;=events!U472)*(shifts!AI:AI&lt;=events!V472))</f>
        <v>14</v>
      </c>
      <c r="X472" t="str">
        <f t="shared" si="78"/>
        <v>opp_team_player_1</v>
      </c>
      <c r="Y472">
        <f>COUNTIFS(A$3:A472,"="&amp;A472,K$3:K472,"="&amp;K472)</f>
        <v>1</v>
      </c>
      <c r="Z472" s="20">
        <f>SUMIFS(T$3:T472,L$3:L472,"=Intermission")+SUMIFS(T$3:T472,L$3:L472,"=Timeout")+SUMIFS(T$3:T472,L$3:L472,"=Clockstop")</f>
        <v>0</v>
      </c>
      <c r="AA472">
        <f t="shared" si="82"/>
        <v>0</v>
      </c>
      <c r="AB472" s="26">
        <f t="shared" si="83"/>
        <v>601</v>
      </c>
      <c r="AC472">
        <f t="shared" si="84"/>
        <v>0</v>
      </c>
    </row>
    <row r="473" spans="1:29" x14ac:dyDescent="0.2">
      <c r="A473">
        <v>240</v>
      </c>
      <c r="D473">
        <f t="shared" si="85"/>
        <v>1</v>
      </c>
      <c r="E473">
        <v>7</v>
      </c>
      <c r="F473" s="6" t="s">
        <v>487</v>
      </c>
      <c r="G473">
        <v>7</v>
      </c>
      <c r="H473" s="8" t="s">
        <v>421</v>
      </c>
      <c r="I473" t="s">
        <v>179</v>
      </c>
      <c r="J473">
        <v>70</v>
      </c>
      <c r="K473" t="s">
        <v>489</v>
      </c>
      <c r="L473" t="s">
        <v>15</v>
      </c>
      <c r="Q473">
        <f t="shared" si="79"/>
        <v>18977</v>
      </c>
      <c r="R473" t="str">
        <f t="shared" si="80"/>
        <v>Velodrome</v>
      </c>
      <c r="S473" t="str">
        <f t="shared" si="81"/>
        <v>HollowBrook</v>
      </c>
      <c r="T473" s="20">
        <f t="shared" si="75"/>
        <v>3</v>
      </c>
      <c r="U473">
        <f t="shared" si="76"/>
        <v>479</v>
      </c>
      <c r="V473">
        <f t="shared" si="77"/>
        <v>476</v>
      </c>
      <c r="W473" cm="1">
        <f t="array" ref="W473">_xlfn._xlws.FILTER(shifts!A:A,(shifts!B:B=events!D473)*(shifts!AH:AH&gt;=events!U473)*(shifts!AI:AI&lt;=events!V473))</f>
        <v>14</v>
      </c>
      <c r="X473" t="str">
        <f t="shared" si="78"/>
        <v>opp_team_player_2</v>
      </c>
      <c r="Y473">
        <f>COUNTIFS(A$3:A473,"="&amp;A473,K$3:K473,"="&amp;K473)</f>
        <v>2</v>
      </c>
      <c r="Z473" s="20">
        <f>SUMIFS(T$3:T473,L$3:L473,"=Intermission")+SUMIFS(T$3:T473,L$3:L473,"=Timeout")+SUMIFS(T$3:T473,L$3:L473,"=Clockstop")</f>
        <v>0</v>
      </c>
      <c r="AA473">
        <f t="shared" si="82"/>
        <v>0</v>
      </c>
      <c r="AB473" s="26">
        <f t="shared" si="83"/>
        <v>601</v>
      </c>
      <c r="AC473">
        <f t="shared" si="84"/>
        <v>0</v>
      </c>
    </row>
    <row r="474" spans="1:29" x14ac:dyDescent="0.2">
      <c r="A474">
        <v>241</v>
      </c>
      <c r="D474">
        <f t="shared" si="85"/>
        <v>1</v>
      </c>
      <c r="E474">
        <v>7</v>
      </c>
      <c r="F474" s="6" t="s">
        <v>421</v>
      </c>
      <c r="I474" t="s">
        <v>179</v>
      </c>
      <c r="J474">
        <v>13</v>
      </c>
      <c r="K474" t="s">
        <v>488</v>
      </c>
      <c r="L474" t="s">
        <v>8</v>
      </c>
      <c r="M474" t="s">
        <v>189</v>
      </c>
      <c r="N474" t="s">
        <v>69</v>
      </c>
      <c r="Q474">
        <f t="shared" si="79"/>
        <v>18977</v>
      </c>
      <c r="R474" t="str">
        <f t="shared" si="80"/>
        <v>Velodrome</v>
      </c>
      <c r="S474" t="str">
        <f t="shared" si="81"/>
        <v>HollowBrook</v>
      </c>
      <c r="T474" s="20">
        <f t="shared" si="75"/>
        <v>0</v>
      </c>
      <c r="U474">
        <f t="shared" si="76"/>
        <v>476</v>
      </c>
      <c r="V474">
        <f t="shared" si="77"/>
        <v>476</v>
      </c>
      <c r="W474" cm="1">
        <f t="array" ref="W474">_xlfn._xlws.FILTER(shifts!A:A,(shifts!B:B=events!D474)*(shifts!AH:AH&gt;=events!U474)*(shifts!AI:AI&lt;=events!V474))</f>
        <v>14</v>
      </c>
      <c r="X474" t="str">
        <f t="shared" si="78"/>
        <v>event_team_player_1</v>
      </c>
      <c r="Y474">
        <f>COUNTIFS(A$3:A474,"="&amp;A474,K$3:K474,"="&amp;K474)</f>
        <v>1</v>
      </c>
      <c r="Z474" s="20">
        <f>SUMIFS(T$3:T474,L$3:L474,"=Intermission")+SUMIFS(T$3:T474,L$3:L474,"=Timeout")+SUMIFS(T$3:T474,L$3:L474,"=Clockstop")</f>
        <v>0</v>
      </c>
      <c r="AA474">
        <f t="shared" si="82"/>
        <v>0</v>
      </c>
      <c r="AB474" s="26">
        <f t="shared" si="83"/>
        <v>604</v>
      </c>
      <c r="AC474">
        <f t="shared" si="84"/>
        <v>0</v>
      </c>
    </row>
    <row r="475" spans="1:29" x14ac:dyDescent="0.2">
      <c r="A475">
        <v>241</v>
      </c>
      <c r="D475">
        <f t="shared" si="85"/>
        <v>1</v>
      </c>
      <c r="E475">
        <v>7</v>
      </c>
      <c r="F475" s="6" t="s">
        <v>421</v>
      </c>
      <c r="I475" t="s">
        <v>179</v>
      </c>
      <c r="J475">
        <v>11</v>
      </c>
      <c r="K475" t="s">
        <v>488</v>
      </c>
      <c r="L475" t="s">
        <v>8</v>
      </c>
      <c r="M475" t="s">
        <v>189</v>
      </c>
      <c r="N475" t="s">
        <v>69</v>
      </c>
      <c r="Q475">
        <f t="shared" si="79"/>
        <v>18977</v>
      </c>
      <c r="R475" t="str">
        <f t="shared" si="80"/>
        <v>Velodrome</v>
      </c>
      <c r="S475" t="str">
        <f t="shared" si="81"/>
        <v>HollowBrook</v>
      </c>
      <c r="T475" s="20">
        <f t="shared" si="75"/>
        <v>0</v>
      </c>
      <c r="U475">
        <f t="shared" si="76"/>
        <v>476</v>
      </c>
      <c r="V475">
        <f t="shared" si="77"/>
        <v>476</v>
      </c>
      <c r="W475" cm="1">
        <f t="array" ref="W475">_xlfn._xlws.FILTER(shifts!A:A,(shifts!B:B=events!D475)*(shifts!AH:AH&gt;=events!U475)*(shifts!AI:AI&lt;=events!V475))</f>
        <v>14</v>
      </c>
      <c r="X475" t="str">
        <f t="shared" si="78"/>
        <v>event_team_player_2</v>
      </c>
      <c r="Y475">
        <f>COUNTIFS(A$3:A475,"="&amp;A475,K$3:K475,"="&amp;K475)</f>
        <v>2</v>
      </c>
      <c r="Z475" s="20">
        <f>SUMIFS(T$3:T475,L$3:L475,"=Intermission")+SUMIFS(T$3:T475,L$3:L475,"=Timeout")+SUMIFS(T$3:T475,L$3:L475,"=Clockstop")</f>
        <v>0</v>
      </c>
      <c r="AA475">
        <f t="shared" si="82"/>
        <v>0</v>
      </c>
      <c r="AB475" s="26">
        <f t="shared" si="83"/>
        <v>604</v>
      </c>
      <c r="AC475">
        <f t="shared" si="84"/>
        <v>0</v>
      </c>
    </row>
    <row r="476" spans="1:29" x14ac:dyDescent="0.2">
      <c r="A476">
        <v>242</v>
      </c>
      <c r="D476">
        <f t="shared" si="85"/>
        <v>1</v>
      </c>
      <c r="E476">
        <v>7</v>
      </c>
      <c r="F476" s="6" t="s">
        <v>429</v>
      </c>
      <c r="I476" t="s">
        <v>179</v>
      </c>
      <c r="J476">
        <v>11</v>
      </c>
      <c r="K476" t="s">
        <v>488</v>
      </c>
      <c r="L476" t="s">
        <v>8</v>
      </c>
      <c r="M476" t="s">
        <v>189</v>
      </c>
      <c r="N476" t="s">
        <v>70</v>
      </c>
      <c r="Q476">
        <f t="shared" si="79"/>
        <v>18977</v>
      </c>
      <c r="R476" t="str">
        <f t="shared" si="80"/>
        <v>Velodrome</v>
      </c>
      <c r="S476" t="str">
        <f t="shared" si="81"/>
        <v>HollowBrook</v>
      </c>
      <c r="T476" s="20">
        <f t="shared" si="75"/>
        <v>0</v>
      </c>
      <c r="U476">
        <f t="shared" si="76"/>
        <v>475</v>
      </c>
      <c r="V476">
        <f t="shared" si="77"/>
        <v>475</v>
      </c>
      <c r="W476" cm="1">
        <f t="array" ref="W476">_xlfn._xlws.FILTER(shifts!A:A,(shifts!B:B=events!D476)*(shifts!AH:AH&gt;=events!U476)*(shifts!AI:AI&lt;=events!V476))</f>
        <v>14</v>
      </c>
      <c r="X476" t="str">
        <f t="shared" si="78"/>
        <v>event_team_player_1</v>
      </c>
      <c r="Y476">
        <f>COUNTIFS(A$3:A476,"="&amp;A476,K$3:K476,"="&amp;K476)</f>
        <v>1</v>
      </c>
      <c r="Z476" s="20">
        <f>SUMIFS(T$3:T476,L$3:L476,"=Intermission")+SUMIFS(T$3:T476,L$3:L476,"=Timeout")+SUMIFS(T$3:T476,L$3:L476,"=Clockstop")</f>
        <v>0</v>
      </c>
      <c r="AA476">
        <f t="shared" si="82"/>
        <v>0</v>
      </c>
      <c r="AB476" s="26">
        <f t="shared" si="83"/>
        <v>605</v>
      </c>
      <c r="AC476">
        <f t="shared" si="84"/>
        <v>0</v>
      </c>
    </row>
    <row r="477" spans="1:29" x14ac:dyDescent="0.2">
      <c r="A477">
        <v>242</v>
      </c>
      <c r="D477">
        <f t="shared" si="85"/>
        <v>1</v>
      </c>
      <c r="E477">
        <v>7</v>
      </c>
      <c r="F477" s="6" t="s">
        <v>429</v>
      </c>
      <c r="I477" t="s">
        <v>179</v>
      </c>
      <c r="J477">
        <v>27</v>
      </c>
      <c r="K477" t="s">
        <v>488</v>
      </c>
      <c r="L477" t="s">
        <v>8</v>
      </c>
      <c r="M477" t="s">
        <v>189</v>
      </c>
      <c r="N477" t="s">
        <v>70</v>
      </c>
      <c r="Q477">
        <f t="shared" si="79"/>
        <v>18977</v>
      </c>
      <c r="R477" t="str">
        <f t="shared" si="80"/>
        <v>Velodrome</v>
      </c>
      <c r="S477" t="str">
        <f t="shared" si="81"/>
        <v>HollowBrook</v>
      </c>
      <c r="T477" s="20">
        <f t="shared" si="75"/>
        <v>0</v>
      </c>
      <c r="U477">
        <f t="shared" si="76"/>
        <v>475</v>
      </c>
      <c r="V477">
        <f t="shared" si="77"/>
        <v>475</v>
      </c>
      <c r="W477" cm="1">
        <f t="array" ref="W477">_xlfn._xlws.FILTER(shifts!A:A,(shifts!B:B=events!D477)*(shifts!AH:AH&gt;=events!U477)*(shifts!AI:AI&lt;=events!V477))</f>
        <v>14</v>
      </c>
      <c r="X477" t="str">
        <f t="shared" si="78"/>
        <v>event_team_player_2</v>
      </c>
      <c r="Y477">
        <f>COUNTIFS(A$3:A477,"="&amp;A477,K$3:K477,"="&amp;K477)</f>
        <v>2</v>
      </c>
      <c r="Z477" s="20">
        <f>SUMIFS(T$3:T477,L$3:L477,"=Intermission")+SUMIFS(T$3:T477,L$3:L477,"=Timeout")+SUMIFS(T$3:T477,L$3:L477,"=Clockstop")</f>
        <v>0</v>
      </c>
      <c r="AA477">
        <f t="shared" si="82"/>
        <v>0</v>
      </c>
      <c r="AB477" s="26">
        <f t="shared" si="83"/>
        <v>605</v>
      </c>
      <c r="AC477">
        <f t="shared" si="84"/>
        <v>0</v>
      </c>
    </row>
    <row r="478" spans="1:29" x14ac:dyDescent="0.2">
      <c r="A478">
        <v>242</v>
      </c>
      <c r="D478">
        <f t="shared" si="85"/>
        <v>1</v>
      </c>
      <c r="E478">
        <v>7</v>
      </c>
      <c r="F478" s="6" t="s">
        <v>429</v>
      </c>
      <c r="I478" t="s">
        <v>179</v>
      </c>
      <c r="J478">
        <v>52</v>
      </c>
      <c r="K478" t="s">
        <v>489</v>
      </c>
      <c r="L478" t="s">
        <v>8</v>
      </c>
      <c r="M478" t="s">
        <v>189</v>
      </c>
      <c r="N478" t="s">
        <v>70</v>
      </c>
      <c r="Q478">
        <f t="shared" si="79"/>
        <v>18977</v>
      </c>
      <c r="R478" t="str">
        <f t="shared" si="80"/>
        <v>Velodrome</v>
      </c>
      <c r="S478" t="str">
        <f t="shared" si="81"/>
        <v>HollowBrook</v>
      </c>
      <c r="T478" s="20">
        <f t="shared" si="75"/>
        <v>0</v>
      </c>
      <c r="U478">
        <f t="shared" si="76"/>
        <v>475</v>
      </c>
      <c r="V478">
        <f t="shared" si="77"/>
        <v>475</v>
      </c>
      <c r="W478" cm="1">
        <f t="array" ref="W478">_xlfn._xlws.FILTER(shifts!A:A,(shifts!B:B=events!D478)*(shifts!AH:AH&gt;=events!U478)*(shifts!AI:AI&lt;=events!V478))</f>
        <v>14</v>
      </c>
      <c r="X478" t="str">
        <f t="shared" si="78"/>
        <v>opp_team_player_1</v>
      </c>
      <c r="Y478">
        <f>COUNTIFS(A$3:A478,"="&amp;A478,K$3:K478,"="&amp;K478)</f>
        <v>1</v>
      </c>
      <c r="Z478" s="20">
        <f>SUMIFS(T$3:T478,L$3:L478,"=Intermission")+SUMIFS(T$3:T478,L$3:L478,"=Timeout")+SUMIFS(T$3:T478,L$3:L478,"=Clockstop")</f>
        <v>0</v>
      </c>
      <c r="AA478">
        <f t="shared" si="82"/>
        <v>0</v>
      </c>
      <c r="AB478" s="26">
        <f t="shared" si="83"/>
        <v>605</v>
      </c>
      <c r="AC478">
        <f t="shared" si="84"/>
        <v>0</v>
      </c>
    </row>
    <row r="479" spans="1:29" x14ac:dyDescent="0.2">
      <c r="A479">
        <v>243</v>
      </c>
      <c r="D479">
        <f t="shared" si="85"/>
        <v>1</v>
      </c>
      <c r="E479">
        <v>7</v>
      </c>
      <c r="F479" s="6" t="s">
        <v>427</v>
      </c>
      <c r="G479">
        <v>7</v>
      </c>
      <c r="H479" s="8" t="s">
        <v>428</v>
      </c>
      <c r="I479" t="s">
        <v>179</v>
      </c>
      <c r="J479">
        <v>27</v>
      </c>
      <c r="K479" t="s">
        <v>488</v>
      </c>
      <c r="L479" t="s">
        <v>15</v>
      </c>
      <c r="Q479">
        <f t="shared" si="79"/>
        <v>18977</v>
      </c>
      <c r="R479" t="str">
        <f t="shared" si="80"/>
        <v>Velodrome</v>
      </c>
      <c r="S479" t="str">
        <f t="shared" si="81"/>
        <v>HollowBrook</v>
      </c>
      <c r="T479" s="20">
        <f t="shared" si="75"/>
        <v>2</v>
      </c>
      <c r="U479">
        <f t="shared" si="76"/>
        <v>474</v>
      </c>
      <c r="V479">
        <f t="shared" si="77"/>
        <v>472</v>
      </c>
      <c r="W479" cm="1">
        <f t="array" ref="W479">_xlfn._xlws.FILTER(shifts!A:A,(shifts!B:B=events!D479)*(shifts!AH:AH&gt;=events!U479)*(shifts!AI:AI&lt;=events!V479))</f>
        <v>14</v>
      </c>
      <c r="X479" t="str">
        <f t="shared" si="78"/>
        <v>event_team_player_1</v>
      </c>
      <c r="Y479">
        <f>COUNTIFS(A$3:A479,"="&amp;A479,K$3:K479,"="&amp;K479)</f>
        <v>1</v>
      </c>
      <c r="Z479" s="20">
        <f>SUMIFS(T$3:T479,L$3:L479,"=Intermission")+SUMIFS(T$3:T479,L$3:L479,"=Timeout")+SUMIFS(T$3:T479,L$3:L479,"=Clockstop")</f>
        <v>0</v>
      </c>
      <c r="AA479">
        <f t="shared" si="82"/>
        <v>0</v>
      </c>
      <c r="AB479" s="26">
        <f t="shared" si="83"/>
        <v>606</v>
      </c>
      <c r="AC479">
        <f t="shared" si="84"/>
        <v>0</v>
      </c>
    </row>
    <row r="480" spans="1:29" x14ac:dyDescent="0.2">
      <c r="A480">
        <v>244</v>
      </c>
      <c r="D480">
        <f t="shared" si="85"/>
        <v>1</v>
      </c>
      <c r="E480">
        <v>7</v>
      </c>
      <c r="F480" s="6" t="s">
        <v>428</v>
      </c>
      <c r="I480" t="s">
        <v>179</v>
      </c>
      <c r="J480">
        <v>27</v>
      </c>
      <c r="K480" t="s">
        <v>488</v>
      </c>
      <c r="L480" t="s">
        <v>7</v>
      </c>
      <c r="M480" t="s">
        <v>198</v>
      </c>
      <c r="N480" t="s">
        <v>53</v>
      </c>
      <c r="Q480">
        <f t="shared" si="79"/>
        <v>18977</v>
      </c>
      <c r="R480" t="str">
        <f t="shared" si="80"/>
        <v>Velodrome</v>
      </c>
      <c r="S480" t="str">
        <f t="shared" si="81"/>
        <v>HollowBrook</v>
      </c>
      <c r="T480" s="20">
        <f t="shared" si="75"/>
        <v>0</v>
      </c>
      <c r="U480">
        <f t="shared" si="76"/>
        <v>472</v>
      </c>
      <c r="V480">
        <f t="shared" si="77"/>
        <v>472</v>
      </c>
      <c r="W480" cm="1">
        <f t="array" ref="W480">_xlfn._xlws.FILTER(shifts!A:A,(shifts!B:B=events!D480)*(shifts!AH:AH&gt;=events!U480)*(shifts!AI:AI&lt;=events!V480))</f>
        <v>14</v>
      </c>
      <c r="X480" t="str">
        <f t="shared" si="78"/>
        <v>event_team_player_1</v>
      </c>
      <c r="Y480">
        <f>COUNTIFS(A$3:A480,"="&amp;A480,K$3:K480,"="&amp;K480)</f>
        <v>1</v>
      </c>
      <c r="Z480" s="20">
        <f>SUMIFS(T$3:T480,L$3:L480,"=Intermission")+SUMIFS(T$3:T480,L$3:L480,"=Timeout")+SUMIFS(T$3:T480,L$3:L480,"=Clockstop")</f>
        <v>0</v>
      </c>
      <c r="AA480">
        <f t="shared" si="82"/>
        <v>0</v>
      </c>
      <c r="AB480" s="26">
        <f t="shared" si="83"/>
        <v>608</v>
      </c>
      <c r="AC480">
        <f t="shared" si="84"/>
        <v>0</v>
      </c>
    </row>
    <row r="481" spans="1:29" x14ac:dyDescent="0.2">
      <c r="A481">
        <v>245</v>
      </c>
      <c r="D481">
        <f t="shared" si="85"/>
        <v>1</v>
      </c>
      <c r="E481">
        <v>7</v>
      </c>
      <c r="F481" s="6" t="s">
        <v>432</v>
      </c>
      <c r="I481" t="s">
        <v>178</v>
      </c>
      <c r="J481">
        <v>39</v>
      </c>
      <c r="K481" t="s">
        <v>488</v>
      </c>
      <c r="L481" t="s">
        <v>13</v>
      </c>
      <c r="M481" t="s">
        <v>204</v>
      </c>
      <c r="N481" t="s">
        <v>110</v>
      </c>
      <c r="Q481">
        <f t="shared" si="79"/>
        <v>18977</v>
      </c>
      <c r="R481" t="str">
        <f t="shared" si="80"/>
        <v>Velodrome</v>
      </c>
      <c r="S481" t="str">
        <f t="shared" si="81"/>
        <v>HollowBrook</v>
      </c>
      <c r="T481" s="20">
        <f t="shared" si="75"/>
        <v>0</v>
      </c>
      <c r="U481">
        <f t="shared" si="76"/>
        <v>470</v>
      </c>
      <c r="V481">
        <f t="shared" si="77"/>
        <v>470</v>
      </c>
      <c r="W481" cm="1">
        <f t="array" ref="W481">_xlfn._xlws.FILTER(shifts!A:A,(shifts!B:B=events!D481)*(shifts!AH:AH&gt;=events!U481)*(shifts!AI:AI&lt;=events!V481))</f>
        <v>14</v>
      </c>
      <c r="X481" t="str">
        <f t="shared" si="78"/>
        <v>event_team_player_1</v>
      </c>
      <c r="Y481">
        <f>COUNTIFS(A$3:A481,"="&amp;A481,K$3:K481,"="&amp;K481)</f>
        <v>1</v>
      </c>
      <c r="Z481" s="20">
        <f>SUMIFS(T$3:T481,L$3:L481,"=Intermission")+SUMIFS(T$3:T481,L$3:L481,"=Timeout")+SUMIFS(T$3:T481,L$3:L481,"=Clockstop")</f>
        <v>0</v>
      </c>
      <c r="AA481">
        <f t="shared" si="82"/>
        <v>0</v>
      </c>
      <c r="AB481" s="26">
        <f t="shared" si="83"/>
        <v>610</v>
      </c>
      <c r="AC481">
        <f t="shared" si="84"/>
        <v>0</v>
      </c>
    </row>
    <row r="482" spans="1:29" x14ac:dyDescent="0.2">
      <c r="A482">
        <v>246</v>
      </c>
      <c r="D482">
        <f t="shared" si="85"/>
        <v>1</v>
      </c>
      <c r="E482">
        <v>7</v>
      </c>
      <c r="F482" s="6" t="s">
        <v>432</v>
      </c>
      <c r="G482">
        <v>7</v>
      </c>
      <c r="H482" s="8" t="s">
        <v>440</v>
      </c>
      <c r="I482" t="s">
        <v>178</v>
      </c>
      <c r="J482">
        <v>39</v>
      </c>
      <c r="K482" t="s">
        <v>488</v>
      </c>
      <c r="L482" t="s">
        <v>282</v>
      </c>
      <c r="Q482">
        <f t="shared" si="79"/>
        <v>18977</v>
      </c>
      <c r="R482" t="str">
        <f t="shared" si="80"/>
        <v>Velodrome</v>
      </c>
      <c r="S482" t="str">
        <f t="shared" si="81"/>
        <v>HollowBrook</v>
      </c>
      <c r="T482" s="20">
        <f t="shared" si="75"/>
        <v>22</v>
      </c>
      <c r="U482">
        <f t="shared" si="76"/>
        <v>470</v>
      </c>
      <c r="V482">
        <f t="shared" si="77"/>
        <v>448</v>
      </c>
      <c r="W482">
        <v>15</v>
      </c>
      <c r="X482" t="str">
        <f t="shared" si="78"/>
        <v>event_team_player_1</v>
      </c>
      <c r="Y482">
        <f>COUNTIFS(A$3:A482,"="&amp;A482,K$3:K482,"="&amp;K482)</f>
        <v>1</v>
      </c>
      <c r="Z482" s="20">
        <f>SUMIFS(T$3:T482,L$3:L482,"=Intermission")+SUMIFS(T$3:T482,L$3:L482,"=Timeout")+SUMIFS(T$3:T482,L$3:L482,"=Clockstop")</f>
        <v>0</v>
      </c>
      <c r="AA482">
        <f t="shared" si="82"/>
        <v>0</v>
      </c>
      <c r="AB482" s="26">
        <f t="shared" si="83"/>
        <v>610</v>
      </c>
      <c r="AC482">
        <f t="shared" si="84"/>
        <v>0</v>
      </c>
    </row>
    <row r="483" spans="1:29" x14ac:dyDescent="0.2">
      <c r="A483">
        <v>247</v>
      </c>
      <c r="D483">
        <f t="shared" si="85"/>
        <v>1</v>
      </c>
      <c r="E483">
        <v>7</v>
      </c>
      <c r="F483" s="6" t="s">
        <v>440</v>
      </c>
      <c r="I483" t="s">
        <v>178</v>
      </c>
      <c r="J483">
        <v>70</v>
      </c>
      <c r="K483" t="s">
        <v>488</v>
      </c>
      <c r="L483" t="s">
        <v>6</v>
      </c>
      <c r="M483" t="s">
        <v>275</v>
      </c>
      <c r="Q483">
        <f t="shared" si="79"/>
        <v>18977</v>
      </c>
      <c r="R483" t="str">
        <f t="shared" si="80"/>
        <v>Velodrome</v>
      </c>
      <c r="S483" t="str">
        <f t="shared" si="81"/>
        <v>HollowBrook</v>
      </c>
      <c r="T483" s="20">
        <f t="shared" si="75"/>
        <v>0</v>
      </c>
      <c r="U483">
        <f t="shared" si="76"/>
        <v>448</v>
      </c>
      <c r="V483">
        <f t="shared" si="77"/>
        <v>448</v>
      </c>
      <c r="W483" cm="1">
        <f t="array" ref="W483">_xlfn._xlws.FILTER(shifts!A:A,(shifts!B:B=events!D483)*(shifts!AH:AH&gt;=events!U483)*(shifts!AI:AI&lt;=events!V483))</f>
        <v>15</v>
      </c>
      <c r="X483" t="str">
        <f t="shared" si="78"/>
        <v>event_team_player_1</v>
      </c>
      <c r="Y483">
        <f>COUNTIFS(A$3:A483,"="&amp;A483,K$3:K483,"="&amp;K483)</f>
        <v>1</v>
      </c>
      <c r="Z483" s="20">
        <f>SUMIFS(T$3:T483,L$3:L483,"=Intermission")+SUMIFS(T$3:T483,L$3:L483,"=Timeout")+SUMIFS(T$3:T483,L$3:L483,"=Clockstop")</f>
        <v>0</v>
      </c>
      <c r="AA483">
        <f t="shared" si="82"/>
        <v>0</v>
      </c>
      <c r="AB483" s="26">
        <f t="shared" si="83"/>
        <v>632</v>
      </c>
      <c r="AC483">
        <f t="shared" si="84"/>
        <v>0</v>
      </c>
    </row>
    <row r="484" spans="1:29" x14ac:dyDescent="0.2">
      <c r="A484">
        <v>247</v>
      </c>
      <c r="D484">
        <f t="shared" si="85"/>
        <v>1</v>
      </c>
      <c r="E484">
        <v>7</v>
      </c>
      <c r="F484" s="6" t="s">
        <v>440</v>
      </c>
      <c r="I484" t="s">
        <v>178</v>
      </c>
      <c r="J484">
        <v>26</v>
      </c>
      <c r="K484" t="s">
        <v>489</v>
      </c>
      <c r="L484" t="s">
        <v>6</v>
      </c>
      <c r="M484" t="s">
        <v>275</v>
      </c>
      <c r="Q484">
        <f t="shared" si="79"/>
        <v>18977</v>
      </c>
      <c r="R484" t="str">
        <f t="shared" si="80"/>
        <v>Velodrome</v>
      </c>
      <c r="S484" t="str">
        <f t="shared" si="81"/>
        <v>HollowBrook</v>
      </c>
      <c r="T484" s="20">
        <f t="shared" si="75"/>
        <v>0</v>
      </c>
      <c r="U484">
        <f t="shared" si="76"/>
        <v>448</v>
      </c>
      <c r="V484">
        <f t="shared" si="77"/>
        <v>448</v>
      </c>
      <c r="W484" cm="1">
        <f t="array" ref="W484">_xlfn._xlws.FILTER(shifts!A:A,(shifts!B:B=events!D484)*(shifts!AH:AH&gt;=events!U484)*(shifts!AI:AI&lt;=events!V484))</f>
        <v>15</v>
      </c>
      <c r="X484" t="str">
        <f t="shared" si="78"/>
        <v>opp_team_player_1</v>
      </c>
      <c r="Y484">
        <f>COUNTIFS(A$3:A484,"="&amp;A484,K$3:K484,"="&amp;K484)</f>
        <v>1</v>
      </c>
      <c r="Z484" s="20">
        <f>SUMIFS(T$3:T484,L$3:L484,"=Intermission")+SUMIFS(T$3:T484,L$3:L484,"=Timeout")+SUMIFS(T$3:T484,L$3:L484,"=Clockstop")</f>
        <v>0</v>
      </c>
      <c r="AA484">
        <f t="shared" si="82"/>
        <v>0</v>
      </c>
      <c r="AB484" s="26">
        <f t="shared" si="83"/>
        <v>632</v>
      </c>
      <c r="AC484">
        <f t="shared" si="84"/>
        <v>0</v>
      </c>
    </row>
    <row r="485" spans="1:29" x14ac:dyDescent="0.2">
      <c r="A485">
        <v>248</v>
      </c>
      <c r="D485">
        <f t="shared" si="85"/>
        <v>1</v>
      </c>
      <c r="E485">
        <v>7</v>
      </c>
      <c r="F485" s="6" t="s">
        <v>443</v>
      </c>
      <c r="I485" t="s">
        <v>178</v>
      </c>
      <c r="J485">
        <v>84</v>
      </c>
      <c r="K485" t="s">
        <v>488</v>
      </c>
      <c r="L485" t="s">
        <v>277</v>
      </c>
      <c r="M485" t="s">
        <v>201</v>
      </c>
      <c r="N485" t="s">
        <v>92</v>
      </c>
      <c r="Q485">
        <f t="shared" si="79"/>
        <v>18977</v>
      </c>
      <c r="R485" t="str">
        <f t="shared" si="80"/>
        <v>Velodrome</v>
      </c>
      <c r="S485" t="str">
        <f t="shared" si="81"/>
        <v>HollowBrook</v>
      </c>
      <c r="T485" s="20">
        <f t="shared" si="75"/>
        <v>0</v>
      </c>
      <c r="U485">
        <f t="shared" si="76"/>
        <v>446</v>
      </c>
      <c r="V485">
        <f t="shared" si="77"/>
        <v>446</v>
      </c>
      <c r="W485" cm="1">
        <f t="array" ref="W485">_xlfn._xlws.FILTER(shifts!A:A,(shifts!B:B=events!D485)*(shifts!AH:AH&gt;=events!U485)*(shifts!AI:AI&lt;=events!V485))</f>
        <v>15</v>
      </c>
      <c r="X485" t="str">
        <f t="shared" si="78"/>
        <v>event_team_player_1</v>
      </c>
      <c r="Y485">
        <f>COUNTIFS(A$3:A485,"="&amp;A485,K$3:K485,"="&amp;K485)</f>
        <v>1</v>
      </c>
      <c r="Z485" s="20">
        <f>SUMIFS(T$3:T485,L$3:L485,"=Intermission")+SUMIFS(T$3:T485,L$3:L485,"=Timeout")+SUMIFS(T$3:T485,L$3:L485,"=Clockstop")</f>
        <v>0</v>
      </c>
      <c r="AA485">
        <f t="shared" si="82"/>
        <v>0</v>
      </c>
      <c r="AB485" s="26">
        <f t="shared" si="83"/>
        <v>634</v>
      </c>
      <c r="AC485">
        <f t="shared" si="84"/>
        <v>0</v>
      </c>
    </row>
    <row r="486" spans="1:29" x14ac:dyDescent="0.2">
      <c r="A486">
        <v>249</v>
      </c>
      <c r="D486">
        <f t="shared" si="85"/>
        <v>1</v>
      </c>
      <c r="E486">
        <v>7</v>
      </c>
      <c r="F486" s="6" t="s">
        <v>441</v>
      </c>
      <c r="I486" t="s">
        <v>178</v>
      </c>
      <c r="J486">
        <v>84</v>
      </c>
      <c r="K486" t="s">
        <v>488</v>
      </c>
      <c r="L486" t="s">
        <v>277</v>
      </c>
      <c r="M486" t="s">
        <v>191</v>
      </c>
      <c r="N486" t="s">
        <v>89</v>
      </c>
      <c r="Q486">
        <f t="shared" si="79"/>
        <v>18977</v>
      </c>
      <c r="R486" t="str">
        <f t="shared" si="80"/>
        <v>Velodrome</v>
      </c>
      <c r="S486" t="str">
        <f t="shared" si="81"/>
        <v>HollowBrook</v>
      </c>
      <c r="T486" s="20">
        <f t="shared" si="75"/>
        <v>0</v>
      </c>
      <c r="U486">
        <f t="shared" si="76"/>
        <v>445</v>
      </c>
      <c r="V486">
        <f t="shared" si="77"/>
        <v>445</v>
      </c>
      <c r="W486" cm="1">
        <f t="array" ref="W486">_xlfn._xlws.FILTER(shifts!A:A,(shifts!B:B=events!D486)*(shifts!AH:AH&gt;=events!U486)*(shifts!AI:AI&lt;=events!V486))</f>
        <v>15</v>
      </c>
      <c r="X486" t="str">
        <f t="shared" si="78"/>
        <v>event_team_player_1</v>
      </c>
      <c r="Y486">
        <f>COUNTIFS(A$3:A486,"="&amp;A486,K$3:K486,"="&amp;K486)</f>
        <v>1</v>
      </c>
      <c r="Z486" s="20">
        <f>SUMIFS(T$3:T486,L$3:L486,"=Intermission")+SUMIFS(T$3:T486,L$3:L486,"=Timeout")+SUMIFS(T$3:T486,L$3:L486,"=Clockstop")</f>
        <v>0</v>
      </c>
      <c r="AA486">
        <f t="shared" si="82"/>
        <v>0</v>
      </c>
      <c r="AB486" s="26">
        <f t="shared" si="83"/>
        <v>635</v>
      </c>
      <c r="AC486">
        <f t="shared" si="84"/>
        <v>0</v>
      </c>
    </row>
    <row r="487" spans="1:29" x14ac:dyDescent="0.2">
      <c r="A487">
        <v>250</v>
      </c>
      <c r="D487">
        <f t="shared" si="85"/>
        <v>1</v>
      </c>
      <c r="E487">
        <v>7</v>
      </c>
      <c r="F487" s="6" t="s">
        <v>473</v>
      </c>
      <c r="G487">
        <v>7</v>
      </c>
      <c r="H487" s="8" t="s">
        <v>445</v>
      </c>
      <c r="I487" t="s">
        <v>179</v>
      </c>
      <c r="J487">
        <v>27</v>
      </c>
      <c r="K487" t="s">
        <v>488</v>
      </c>
      <c r="L487" t="s">
        <v>15</v>
      </c>
      <c r="Q487">
        <f t="shared" si="79"/>
        <v>18977</v>
      </c>
      <c r="R487" t="str">
        <f t="shared" si="80"/>
        <v>Velodrome</v>
      </c>
      <c r="S487" t="str">
        <f t="shared" si="81"/>
        <v>HollowBrook</v>
      </c>
      <c r="T487" s="20">
        <f t="shared" si="75"/>
        <v>2</v>
      </c>
      <c r="U487">
        <f t="shared" si="76"/>
        <v>441</v>
      </c>
      <c r="V487">
        <f t="shared" si="77"/>
        <v>439</v>
      </c>
      <c r="W487" cm="1">
        <f t="array" ref="W487">_xlfn._xlws.FILTER(shifts!A:A,(shifts!B:B=events!D487)*(shifts!AH:AH&gt;=events!U487)*(shifts!AI:AI&lt;=events!V487))</f>
        <v>15</v>
      </c>
      <c r="X487" t="str">
        <f t="shared" si="78"/>
        <v>event_team_player_1</v>
      </c>
      <c r="Y487">
        <f>COUNTIFS(A$3:A487,"="&amp;A487,K$3:K487,"="&amp;K487)</f>
        <v>1</v>
      </c>
      <c r="Z487" s="20">
        <f>SUMIFS(T$3:T487,L$3:L487,"=Intermission")+SUMIFS(T$3:T487,L$3:L487,"=Timeout")+SUMIFS(T$3:T487,L$3:L487,"=Clockstop")</f>
        <v>0</v>
      </c>
      <c r="AA487">
        <f t="shared" si="82"/>
        <v>0</v>
      </c>
      <c r="AB487" s="26">
        <f t="shared" si="83"/>
        <v>639</v>
      </c>
      <c r="AC487">
        <f t="shared" si="84"/>
        <v>0</v>
      </c>
    </row>
    <row r="488" spans="1:29" x14ac:dyDescent="0.2">
      <c r="A488">
        <v>251</v>
      </c>
      <c r="D488">
        <f t="shared" si="85"/>
        <v>1</v>
      </c>
      <c r="E488">
        <v>7</v>
      </c>
      <c r="F488" s="6" t="s">
        <v>445</v>
      </c>
      <c r="I488" t="s">
        <v>179</v>
      </c>
      <c r="J488">
        <v>27</v>
      </c>
      <c r="K488" t="s">
        <v>488</v>
      </c>
      <c r="L488" t="s">
        <v>8</v>
      </c>
      <c r="M488" t="s">
        <v>189</v>
      </c>
      <c r="N488" t="s">
        <v>70</v>
      </c>
      <c r="Q488">
        <f t="shared" si="79"/>
        <v>18977</v>
      </c>
      <c r="R488" t="str">
        <f t="shared" si="80"/>
        <v>Velodrome</v>
      </c>
      <c r="S488" t="str">
        <f t="shared" si="81"/>
        <v>HollowBrook</v>
      </c>
      <c r="T488" s="20">
        <f t="shared" si="75"/>
        <v>0</v>
      </c>
      <c r="U488">
        <f t="shared" si="76"/>
        <v>439</v>
      </c>
      <c r="V488">
        <f t="shared" si="77"/>
        <v>439</v>
      </c>
      <c r="W488" cm="1">
        <f t="array" ref="W488">_xlfn._xlws.FILTER(shifts!A:A,(shifts!B:B=events!D488)*(shifts!AH:AH&gt;=events!U488)*(shifts!AI:AI&lt;=events!V488))</f>
        <v>15</v>
      </c>
      <c r="X488" t="str">
        <f t="shared" si="78"/>
        <v>event_team_player_1</v>
      </c>
      <c r="Y488">
        <f>COUNTIFS(A$3:A488,"="&amp;A488,K$3:K488,"="&amp;K488)</f>
        <v>1</v>
      </c>
      <c r="Z488" s="20">
        <f>SUMIFS(T$3:T488,L$3:L488,"=Intermission")+SUMIFS(T$3:T488,L$3:L488,"=Timeout")+SUMIFS(T$3:T488,L$3:L488,"=Clockstop")</f>
        <v>0</v>
      </c>
      <c r="AA488">
        <f t="shared" si="82"/>
        <v>0</v>
      </c>
      <c r="AB488" s="26">
        <f t="shared" si="83"/>
        <v>641</v>
      </c>
      <c r="AC488">
        <f t="shared" si="84"/>
        <v>0</v>
      </c>
    </row>
    <row r="489" spans="1:29" x14ac:dyDescent="0.2">
      <c r="A489">
        <v>251</v>
      </c>
      <c r="D489">
        <f t="shared" si="85"/>
        <v>1</v>
      </c>
      <c r="E489">
        <v>7</v>
      </c>
      <c r="F489" s="6" t="s">
        <v>445</v>
      </c>
      <c r="I489" t="s">
        <v>179</v>
      </c>
      <c r="J489">
        <v>5</v>
      </c>
      <c r="K489" t="s">
        <v>488</v>
      </c>
      <c r="L489" t="s">
        <v>8</v>
      </c>
      <c r="M489" t="s">
        <v>189</v>
      </c>
      <c r="N489" t="s">
        <v>70</v>
      </c>
      <c r="Q489">
        <f t="shared" si="79"/>
        <v>18977</v>
      </c>
      <c r="R489" t="str">
        <f t="shared" si="80"/>
        <v>Velodrome</v>
      </c>
      <c r="S489" t="str">
        <f t="shared" si="81"/>
        <v>HollowBrook</v>
      </c>
      <c r="T489" s="20">
        <f t="shared" si="75"/>
        <v>0</v>
      </c>
      <c r="U489">
        <f t="shared" si="76"/>
        <v>439</v>
      </c>
      <c r="V489">
        <f t="shared" si="77"/>
        <v>439</v>
      </c>
      <c r="W489" cm="1">
        <f t="array" ref="W489">_xlfn._xlws.FILTER(shifts!A:A,(shifts!B:B=events!D489)*(shifts!AH:AH&gt;=events!U489)*(shifts!AI:AI&lt;=events!V489))</f>
        <v>15</v>
      </c>
      <c r="X489" t="str">
        <f t="shared" si="78"/>
        <v>event_team_player_2</v>
      </c>
      <c r="Y489">
        <f>COUNTIFS(A$3:A489,"="&amp;A489,K$3:K489,"="&amp;K489)</f>
        <v>2</v>
      </c>
      <c r="Z489" s="20">
        <f>SUMIFS(T$3:T489,L$3:L489,"=Intermission")+SUMIFS(T$3:T489,L$3:L489,"=Timeout")+SUMIFS(T$3:T489,L$3:L489,"=Clockstop")</f>
        <v>0</v>
      </c>
      <c r="AA489">
        <f t="shared" si="82"/>
        <v>0</v>
      </c>
      <c r="AB489" s="26">
        <f t="shared" si="83"/>
        <v>641</v>
      </c>
      <c r="AC489">
        <f t="shared" si="84"/>
        <v>0</v>
      </c>
    </row>
    <row r="490" spans="1:29" x14ac:dyDescent="0.2">
      <c r="A490">
        <v>251</v>
      </c>
      <c r="D490">
        <f t="shared" si="85"/>
        <v>1</v>
      </c>
      <c r="E490">
        <v>7</v>
      </c>
      <c r="F490" s="6" t="s">
        <v>445</v>
      </c>
      <c r="I490" t="s">
        <v>179</v>
      </c>
      <c r="J490">
        <v>70</v>
      </c>
      <c r="K490" t="s">
        <v>489</v>
      </c>
      <c r="L490" t="s">
        <v>8</v>
      </c>
      <c r="M490" t="s">
        <v>189</v>
      </c>
      <c r="N490" t="s">
        <v>70</v>
      </c>
      <c r="Q490">
        <f t="shared" si="79"/>
        <v>18977</v>
      </c>
      <c r="R490" t="str">
        <f t="shared" si="80"/>
        <v>Velodrome</v>
      </c>
      <c r="S490" t="str">
        <f t="shared" si="81"/>
        <v>HollowBrook</v>
      </c>
      <c r="T490" s="20">
        <f t="shared" si="75"/>
        <v>0</v>
      </c>
      <c r="U490">
        <f t="shared" si="76"/>
        <v>439</v>
      </c>
      <c r="V490">
        <f t="shared" si="77"/>
        <v>439</v>
      </c>
      <c r="W490" cm="1">
        <f t="array" ref="W490">_xlfn._xlws.FILTER(shifts!A:A,(shifts!B:B=events!D490)*(shifts!AH:AH&gt;=events!U490)*(shifts!AI:AI&lt;=events!V490))</f>
        <v>15</v>
      </c>
      <c r="X490" t="str">
        <f t="shared" si="78"/>
        <v>opp_team_player_1</v>
      </c>
      <c r="Y490">
        <f>COUNTIFS(A$3:A490,"="&amp;A490,K$3:K490,"="&amp;K490)</f>
        <v>1</v>
      </c>
      <c r="Z490" s="20">
        <f>SUMIFS(T$3:T490,L$3:L490,"=Intermission")+SUMIFS(T$3:T490,L$3:L490,"=Timeout")+SUMIFS(T$3:T490,L$3:L490,"=Clockstop")</f>
        <v>0</v>
      </c>
      <c r="AA490">
        <f t="shared" si="82"/>
        <v>0</v>
      </c>
      <c r="AB490" s="26">
        <f t="shared" si="83"/>
        <v>641</v>
      </c>
      <c r="AC490">
        <f t="shared" si="84"/>
        <v>0</v>
      </c>
    </row>
    <row r="491" spans="1:29" x14ac:dyDescent="0.2">
      <c r="A491">
        <v>252</v>
      </c>
      <c r="D491">
        <f t="shared" si="85"/>
        <v>1</v>
      </c>
      <c r="E491">
        <v>7</v>
      </c>
      <c r="F491" s="6" t="s">
        <v>445</v>
      </c>
      <c r="G491">
        <v>7</v>
      </c>
      <c r="H491" s="8" t="s">
        <v>447</v>
      </c>
      <c r="I491" t="s">
        <v>179</v>
      </c>
      <c r="J491">
        <v>5</v>
      </c>
      <c r="K491" t="s">
        <v>488</v>
      </c>
      <c r="L491" t="s">
        <v>15</v>
      </c>
      <c r="Q491">
        <f t="shared" si="79"/>
        <v>18977</v>
      </c>
      <c r="R491" t="str">
        <f t="shared" si="80"/>
        <v>Velodrome</v>
      </c>
      <c r="S491" t="str">
        <f t="shared" si="81"/>
        <v>HollowBrook</v>
      </c>
      <c r="T491" s="20">
        <f t="shared" si="75"/>
        <v>4</v>
      </c>
      <c r="U491">
        <f t="shared" si="76"/>
        <v>439</v>
      </c>
      <c r="V491">
        <f t="shared" si="77"/>
        <v>435</v>
      </c>
      <c r="W491" cm="1">
        <f t="array" ref="W491">_xlfn._xlws.FILTER(shifts!A:A,(shifts!B:B=events!D491)*(shifts!AH:AH&gt;=events!U491)*(shifts!AI:AI&lt;=events!V491))</f>
        <v>15</v>
      </c>
      <c r="X491" t="str">
        <f t="shared" si="78"/>
        <v>event_team_player_1</v>
      </c>
      <c r="Y491">
        <f>COUNTIFS(A$3:A491,"="&amp;A491,K$3:K491,"="&amp;K491)</f>
        <v>1</v>
      </c>
      <c r="Z491" s="20">
        <f>SUMIFS(T$3:T491,L$3:L491,"=Intermission")+SUMIFS(T$3:T491,L$3:L491,"=Timeout")+SUMIFS(T$3:T491,L$3:L491,"=Clockstop")</f>
        <v>0</v>
      </c>
      <c r="AA491">
        <f t="shared" si="82"/>
        <v>0</v>
      </c>
      <c r="AB491" s="26">
        <f t="shared" si="83"/>
        <v>641</v>
      </c>
      <c r="AC491">
        <f t="shared" si="84"/>
        <v>0</v>
      </c>
    </row>
    <row r="492" spans="1:29" x14ac:dyDescent="0.2">
      <c r="A492">
        <v>253</v>
      </c>
      <c r="D492">
        <f t="shared" si="85"/>
        <v>1</v>
      </c>
      <c r="E492">
        <v>7</v>
      </c>
      <c r="F492" s="6" t="s">
        <v>447</v>
      </c>
      <c r="I492" t="s">
        <v>179</v>
      </c>
      <c r="J492">
        <v>5</v>
      </c>
      <c r="K492" t="s">
        <v>488</v>
      </c>
      <c r="L492" t="s">
        <v>8</v>
      </c>
      <c r="M492" t="s">
        <v>189</v>
      </c>
      <c r="N492" t="s">
        <v>70</v>
      </c>
      <c r="Q492">
        <f t="shared" si="79"/>
        <v>18977</v>
      </c>
      <c r="R492" t="str">
        <f t="shared" si="80"/>
        <v>Velodrome</v>
      </c>
      <c r="S492" t="str">
        <f t="shared" si="81"/>
        <v>HollowBrook</v>
      </c>
      <c r="T492" s="20">
        <f t="shared" si="75"/>
        <v>0</v>
      </c>
      <c r="U492">
        <f t="shared" si="76"/>
        <v>435</v>
      </c>
      <c r="V492">
        <f t="shared" si="77"/>
        <v>435</v>
      </c>
      <c r="W492" cm="1">
        <f t="array" ref="W492">_xlfn._xlws.FILTER(shifts!A:A,(shifts!B:B=events!D492)*(shifts!AH:AH&gt;=events!U492)*(shifts!AI:AI&lt;=events!V492))</f>
        <v>15</v>
      </c>
      <c r="X492" t="str">
        <f t="shared" si="78"/>
        <v>event_team_player_1</v>
      </c>
      <c r="Y492">
        <f>COUNTIFS(A$3:A492,"="&amp;A492,K$3:K492,"="&amp;K492)</f>
        <v>1</v>
      </c>
      <c r="Z492" s="20">
        <f>SUMIFS(T$3:T492,L$3:L492,"=Intermission")+SUMIFS(T$3:T492,L$3:L492,"=Timeout")+SUMIFS(T$3:T492,L$3:L492,"=Clockstop")</f>
        <v>0</v>
      </c>
      <c r="AA492">
        <f t="shared" si="82"/>
        <v>0</v>
      </c>
      <c r="AB492" s="26">
        <f t="shared" si="83"/>
        <v>645</v>
      </c>
      <c r="AC492">
        <f t="shared" si="84"/>
        <v>0</v>
      </c>
    </row>
    <row r="493" spans="1:29" x14ac:dyDescent="0.2">
      <c r="A493">
        <v>253</v>
      </c>
      <c r="D493">
        <f t="shared" si="85"/>
        <v>1</v>
      </c>
      <c r="E493">
        <v>7</v>
      </c>
      <c r="F493" s="6" t="s">
        <v>447</v>
      </c>
      <c r="I493" t="s">
        <v>179</v>
      </c>
      <c r="J493">
        <v>27</v>
      </c>
      <c r="K493" t="s">
        <v>488</v>
      </c>
      <c r="L493" t="s">
        <v>8</v>
      </c>
      <c r="M493" t="s">
        <v>189</v>
      </c>
      <c r="N493" t="s">
        <v>70</v>
      </c>
      <c r="Q493">
        <f t="shared" si="79"/>
        <v>18977</v>
      </c>
      <c r="R493" t="str">
        <f t="shared" si="80"/>
        <v>Velodrome</v>
      </c>
      <c r="S493" t="str">
        <f t="shared" si="81"/>
        <v>HollowBrook</v>
      </c>
      <c r="T493" s="20">
        <f t="shared" si="75"/>
        <v>0</v>
      </c>
      <c r="U493">
        <f t="shared" si="76"/>
        <v>435</v>
      </c>
      <c r="V493">
        <f t="shared" si="77"/>
        <v>435</v>
      </c>
      <c r="W493" cm="1">
        <f t="array" ref="W493">_xlfn._xlws.FILTER(shifts!A:A,(shifts!B:B=events!D493)*(shifts!AH:AH&gt;=events!U493)*(shifts!AI:AI&lt;=events!V493))</f>
        <v>15</v>
      </c>
      <c r="X493" t="str">
        <f t="shared" si="78"/>
        <v>event_team_player_2</v>
      </c>
      <c r="Y493">
        <f>COUNTIFS(A$3:A493,"="&amp;A493,K$3:K493,"="&amp;K493)</f>
        <v>2</v>
      </c>
      <c r="Z493" s="20">
        <f>SUMIFS(T$3:T493,L$3:L493,"=Intermission")+SUMIFS(T$3:T493,L$3:L493,"=Timeout")+SUMIFS(T$3:T493,L$3:L493,"=Clockstop")</f>
        <v>0</v>
      </c>
      <c r="AA493">
        <f t="shared" si="82"/>
        <v>0</v>
      </c>
      <c r="AB493" s="26">
        <f t="shared" si="83"/>
        <v>645</v>
      </c>
      <c r="AC493">
        <f t="shared" si="84"/>
        <v>0</v>
      </c>
    </row>
    <row r="494" spans="1:29" x14ac:dyDescent="0.2">
      <c r="A494">
        <v>254</v>
      </c>
      <c r="D494">
        <f t="shared" si="85"/>
        <v>1</v>
      </c>
      <c r="E494">
        <v>7</v>
      </c>
      <c r="F494" s="6" t="s">
        <v>447</v>
      </c>
      <c r="G494">
        <v>7</v>
      </c>
      <c r="H494" s="8" t="s">
        <v>425</v>
      </c>
      <c r="I494" t="s">
        <v>179</v>
      </c>
      <c r="J494">
        <v>27</v>
      </c>
      <c r="K494" t="s">
        <v>488</v>
      </c>
      <c r="L494" t="s">
        <v>15</v>
      </c>
      <c r="Q494">
        <f t="shared" si="79"/>
        <v>18977</v>
      </c>
      <c r="R494" t="str">
        <f t="shared" si="80"/>
        <v>Velodrome</v>
      </c>
      <c r="S494" t="str">
        <f t="shared" si="81"/>
        <v>HollowBrook</v>
      </c>
      <c r="T494" s="20">
        <f t="shared" si="75"/>
        <v>5</v>
      </c>
      <c r="U494">
        <f t="shared" si="76"/>
        <v>435</v>
      </c>
      <c r="V494">
        <f t="shared" si="77"/>
        <v>430</v>
      </c>
      <c r="W494" cm="1">
        <f t="array" ref="W494">_xlfn._xlws.FILTER(shifts!A:A,(shifts!B:B=events!D494)*(shifts!AH:AH&gt;=events!U494)*(shifts!AI:AI&lt;=events!V494))</f>
        <v>15</v>
      </c>
      <c r="X494" t="str">
        <f t="shared" si="78"/>
        <v>event_team_player_1</v>
      </c>
      <c r="Y494">
        <f>COUNTIFS(A$3:A494,"="&amp;A494,K$3:K494,"="&amp;K494)</f>
        <v>1</v>
      </c>
      <c r="Z494" s="20">
        <f>SUMIFS(T$3:T494,L$3:L494,"=Intermission")+SUMIFS(T$3:T494,L$3:L494,"=Timeout")+SUMIFS(T$3:T494,L$3:L494,"=Clockstop")</f>
        <v>0</v>
      </c>
      <c r="AA494">
        <f t="shared" si="82"/>
        <v>0</v>
      </c>
      <c r="AB494" s="26">
        <f t="shared" si="83"/>
        <v>645</v>
      </c>
      <c r="AC494">
        <f t="shared" si="84"/>
        <v>0</v>
      </c>
    </row>
    <row r="495" spans="1:29" x14ac:dyDescent="0.2">
      <c r="A495">
        <v>255</v>
      </c>
      <c r="D495">
        <f t="shared" si="85"/>
        <v>1</v>
      </c>
      <c r="E495">
        <v>7</v>
      </c>
      <c r="F495" s="6" t="s">
        <v>425</v>
      </c>
      <c r="I495" t="s">
        <v>179</v>
      </c>
      <c r="J495">
        <v>27</v>
      </c>
      <c r="K495" t="s">
        <v>488</v>
      </c>
      <c r="L495" t="s">
        <v>8</v>
      </c>
      <c r="M495" t="s">
        <v>189</v>
      </c>
      <c r="N495" t="s">
        <v>70</v>
      </c>
      <c r="Q495">
        <f t="shared" si="79"/>
        <v>18977</v>
      </c>
      <c r="R495" t="str">
        <f t="shared" si="80"/>
        <v>Velodrome</v>
      </c>
      <c r="S495" t="str">
        <f t="shared" si="81"/>
        <v>HollowBrook</v>
      </c>
      <c r="T495" s="20">
        <f t="shared" si="75"/>
        <v>0</v>
      </c>
      <c r="U495">
        <f t="shared" si="76"/>
        <v>430</v>
      </c>
      <c r="V495">
        <f t="shared" si="77"/>
        <v>430</v>
      </c>
      <c r="W495" cm="1">
        <f t="array" ref="W495">_xlfn._xlws.FILTER(shifts!A:A,(shifts!B:B=events!D495)*(shifts!AH:AH&gt;=events!U495)*(shifts!AI:AI&lt;=events!V495))</f>
        <v>15</v>
      </c>
      <c r="X495" t="str">
        <f t="shared" si="78"/>
        <v>event_team_player_1</v>
      </c>
      <c r="Y495">
        <f>COUNTIFS(A$3:A495,"="&amp;A495,K$3:K495,"="&amp;K495)</f>
        <v>1</v>
      </c>
      <c r="Z495" s="20">
        <f>SUMIFS(T$3:T495,L$3:L495,"=Intermission")+SUMIFS(T$3:T495,L$3:L495,"=Timeout")+SUMIFS(T$3:T495,L$3:L495,"=Clockstop")</f>
        <v>0</v>
      </c>
      <c r="AA495">
        <f t="shared" si="82"/>
        <v>0</v>
      </c>
      <c r="AB495" s="26">
        <f t="shared" si="83"/>
        <v>650</v>
      </c>
      <c r="AC495">
        <f t="shared" si="84"/>
        <v>0</v>
      </c>
    </row>
    <row r="496" spans="1:29" x14ac:dyDescent="0.2">
      <c r="A496">
        <v>255</v>
      </c>
      <c r="D496">
        <f t="shared" si="85"/>
        <v>1</v>
      </c>
      <c r="E496">
        <v>7</v>
      </c>
      <c r="F496" s="6" t="s">
        <v>425</v>
      </c>
      <c r="I496" t="s">
        <v>179</v>
      </c>
      <c r="J496">
        <v>5</v>
      </c>
      <c r="K496" t="s">
        <v>488</v>
      </c>
      <c r="L496" t="s">
        <v>8</v>
      </c>
      <c r="M496" t="s">
        <v>189</v>
      </c>
      <c r="N496" t="s">
        <v>70</v>
      </c>
      <c r="Q496">
        <f t="shared" si="79"/>
        <v>18977</v>
      </c>
      <c r="R496" t="str">
        <f t="shared" si="80"/>
        <v>Velodrome</v>
      </c>
      <c r="S496" t="str">
        <f t="shared" si="81"/>
        <v>HollowBrook</v>
      </c>
      <c r="T496" s="20">
        <f t="shared" si="75"/>
        <v>0</v>
      </c>
      <c r="U496">
        <f t="shared" si="76"/>
        <v>430</v>
      </c>
      <c r="V496">
        <f t="shared" si="77"/>
        <v>430</v>
      </c>
      <c r="W496" cm="1">
        <f t="array" ref="W496">_xlfn._xlws.FILTER(shifts!A:A,(shifts!B:B=events!D496)*(shifts!AH:AH&gt;=events!U496)*(shifts!AI:AI&lt;=events!V496))</f>
        <v>15</v>
      </c>
      <c r="X496" t="str">
        <f t="shared" si="78"/>
        <v>event_team_player_2</v>
      </c>
      <c r="Y496">
        <f>COUNTIFS(A$3:A496,"="&amp;A496,K$3:K496,"="&amp;K496)</f>
        <v>2</v>
      </c>
      <c r="Z496" s="20">
        <f>SUMIFS(T$3:T496,L$3:L496,"=Intermission")+SUMIFS(T$3:T496,L$3:L496,"=Timeout")+SUMIFS(T$3:T496,L$3:L496,"=Clockstop")</f>
        <v>0</v>
      </c>
      <c r="AA496">
        <f t="shared" si="82"/>
        <v>0</v>
      </c>
      <c r="AB496" s="26">
        <f t="shared" si="83"/>
        <v>650</v>
      </c>
      <c r="AC496">
        <f t="shared" si="84"/>
        <v>0</v>
      </c>
    </row>
    <row r="497" spans="1:29" x14ac:dyDescent="0.2">
      <c r="A497">
        <v>256</v>
      </c>
      <c r="D497">
        <f t="shared" si="85"/>
        <v>1</v>
      </c>
      <c r="E497">
        <v>7</v>
      </c>
      <c r="F497" s="6" t="s">
        <v>425</v>
      </c>
      <c r="G497">
        <v>7</v>
      </c>
      <c r="H497" s="8" t="s">
        <v>424</v>
      </c>
      <c r="I497" t="s">
        <v>179</v>
      </c>
      <c r="J497">
        <v>5</v>
      </c>
      <c r="K497" t="s">
        <v>488</v>
      </c>
      <c r="L497" t="s">
        <v>277</v>
      </c>
      <c r="M497" t="s">
        <v>201</v>
      </c>
      <c r="N497" t="s">
        <v>90</v>
      </c>
      <c r="Q497">
        <f t="shared" si="79"/>
        <v>18977</v>
      </c>
      <c r="R497" t="str">
        <f t="shared" si="80"/>
        <v>Velodrome</v>
      </c>
      <c r="S497" t="str">
        <f t="shared" si="81"/>
        <v>HollowBrook</v>
      </c>
      <c r="T497" s="20">
        <f t="shared" si="75"/>
        <v>1</v>
      </c>
      <c r="U497">
        <f t="shared" si="76"/>
        <v>430</v>
      </c>
      <c r="V497">
        <f t="shared" si="77"/>
        <v>429</v>
      </c>
      <c r="W497" cm="1">
        <f t="array" ref="W497">_xlfn._xlws.FILTER(shifts!A:A,(shifts!B:B=events!D497)*(shifts!AH:AH&gt;=events!U497)*(shifts!AI:AI&lt;=events!V497))</f>
        <v>15</v>
      </c>
      <c r="X497" t="str">
        <f t="shared" si="78"/>
        <v>event_team_player_1</v>
      </c>
      <c r="Y497">
        <f>COUNTIFS(A$3:A497,"="&amp;A497,K$3:K497,"="&amp;K497)</f>
        <v>1</v>
      </c>
      <c r="Z497" s="20">
        <f>SUMIFS(T$3:T497,L$3:L497,"=Intermission")+SUMIFS(T$3:T497,L$3:L497,"=Timeout")+SUMIFS(T$3:T497,L$3:L497,"=Clockstop")</f>
        <v>0</v>
      </c>
      <c r="AA497">
        <f t="shared" si="82"/>
        <v>0</v>
      </c>
      <c r="AB497" s="26">
        <f t="shared" si="83"/>
        <v>650</v>
      </c>
      <c r="AC497">
        <f t="shared" si="84"/>
        <v>0</v>
      </c>
    </row>
    <row r="498" spans="1:29" x14ac:dyDescent="0.2">
      <c r="A498">
        <v>257</v>
      </c>
      <c r="D498">
        <f t="shared" si="85"/>
        <v>1</v>
      </c>
      <c r="E498">
        <v>7</v>
      </c>
      <c r="F498" s="6" t="s">
        <v>424</v>
      </c>
      <c r="I498" t="s">
        <v>179</v>
      </c>
      <c r="J498">
        <v>5</v>
      </c>
      <c r="K498" t="s">
        <v>488</v>
      </c>
      <c r="L498" t="s">
        <v>8</v>
      </c>
      <c r="M498" t="s">
        <v>189</v>
      </c>
      <c r="N498" t="s">
        <v>70</v>
      </c>
      <c r="Q498">
        <f t="shared" si="79"/>
        <v>18977</v>
      </c>
      <c r="R498" t="str">
        <f t="shared" si="80"/>
        <v>Velodrome</v>
      </c>
      <c r="S498" t="str">
        <f t="shared" si="81"/>
        <v>HollowBrook</v>
      </c>
      <c r="T498" s="20">
        <f t="shared" si="75"/>
        <v>0</v>
      </c>
      <c r="U498">
        <f t="shared" si="76"/>
        <v>429</v>
      </c>
      <c r="V498">
        <f t="shared" si="77"/>
        <v>429</v>
      </c>
      <c r="W498" cm="1">
        <f t="array" ref="W498">_xlfn._xlws.FILTER(shifts!A:A,(shifts!B:B=events!D498)*(shifts!AH:AH&gt;=events!U498)*(shifts!AI:AI&lt;=events!V498))</f>
        <v>15</v>
      </c>
      <c r="X498" t="str">
        <f t="shared" si="78"/>
        <v>event_team_player_1</v>
      </c>
      <c r="Y498">
        <f>COUNTIFS(A$3:A498,"="&amp;A498,K$3:K498,"="&amp;K498)</f>
        <v>1</v>
      </c>
      <c r="Z498" s="20">
        <f>SUMIFS(T$3:T498,L$3:L498,"=Intermission")+SUMIFS(T$3:T498,L$3:L498,"=Timeout")+SUMIFS(T$3:T498,L$3:L498,"=Clockstop")</f>
        <v>0</v>
      </c>
      <c r="AA498">
        <f t="shared" si="82"/>
        <v>0</v>
      </c>
      <c r="AB498" s="26">
        <f t="shared" si="83"/>
        <v>651</v>
      </c>
      <c r="AC498">
        <f t="shared" si="84"/>
        <v>0</v>
      </c>
    </row>
    <row r="499" spans="1:29" x14ac:dyDescent="0.2">
      <c r="A499">
        <v>257</v>
      </c>
      <c r="D499">
        <f t="shared" si="85"/>
        <v>1</v>
      </c>
      <c r="E499">
        <v>7</v>
      </c>
      <c r="F499" s="6" t="s">
        <v>424</v>
      </c>
      <c r="I499" t="s">
        <v>179</v>
      </c>
      <c r="J499">
        <v>13</v>
      </c>
      <c r="K499" t="s">
        <v>488</v>
      </c>
      <c r="L499" t="s">
        <v>8</v>
      </c>
      <c r="M499" t="s">
        <v>189</v>
      </c>
      <c r="N499" t="s">
        <v>70</v>
      </c>
      <c r="Q499">
        <f t="shared" si="79"/>
        <v>18977</v>
      </c>
      <c r="R499" t="str">
        <f t="shared" si="80"/>
        <v>Velodrome</v>
      </c>
      <c r="S499" t="str">
        <f t="shared" si="81"/>
        <v>HollowBrook</v>
      </c>
      <c r="T499" s="20">
        <f t="shared" si="75"/>
        <v>0</v>
      </c>
      <c r="U499">
        <f t="shared" si="76"/>
        <v>429</v>
      </c>
      <c r="V499">
        <f t="shared" si="77"/>
        <v>429</v>
      </c>
      <c r="W499" cm="1">
        <f t="array" ref="W499">_xlfn._xlws.FILTER(shifts!A:A,(shifts!B:B=events!D499)*(shifts!AH:AH&gt;=events!U499)*(shifts!AI:AI&lt;=events!V499))</f>
        <v>15</v>
      </c>
      <c r="X499" t="str">
        <f t="shared" si="78"/>
        <v>event_team_player_2</v>
      </c>
      <c r="Y499">
        <f>COUNTIFS(A$3:A499,"="&amp;A499,K$3:K499,"="&amp;K499)</f>
        <v>2</v>
      </c>
      <c r="Z499" s="20">
        <f>SUMIFS(T$3:T499,L$3:L499,"=Intermission")+SUMIFS(T$3:T499,L$3:L499,"=Timeout")+SUMIFS(T$3:T499,L$3:L499,"=Clockstop")</f>
        <v>0</v>
      </c>
      <c r="AA499">
        <f t="shared" si="82"/>
        <v>0</v>
      </c>
      <c r="AB499" s="26">
        <f t="shared" si="83"/>
        <v>651</v>
      </c>
      <c r="AC499">
        <f t="shared" si="84"/>
        <v>0</v>
      </c>
    </row>
    <row r="500" spans="1:29" x14ac:dyDescent="0.2">
      <c r="A500">
        <v>258</v>
      </c>
      <c r="D500">
        <f t="shared" si="85"/>
        <v>1</v>
      </c>
      <c r="E500">
        <v>7</v>
      </c>
      <c r="F500" s="6" t="s">
        <v>313</v>
      </c>
      <c r="G500">
        <v>7</v>
      </c>
      <c r="H500" s="8" t="s">
        <v>315</v>
      </c>
      <c r="I500" t="s">
        <v>179</v>
      </c>
      <c r="J500">
        <v>13</v>
      </c>
      <c r="K500" t="s">
        <v>488</v>
      </c>
      <c r="L500" t="s">
        <v>277</v>
      </c>
      <c r="M500" t="s">
        <v>191</v>
      </c>
      <c r="N500" t="s">
        <v>87</v>
      </c>
      <c r="Q500">
        <f t="shared" si="79"/>
        <v>18977</v>
      </c>
      <c r="R500" t="str">
        <f t="shared" si="80"/>
        <v>Velodrome</v>
      </c>
      <c r="S500" t="str">
        <f t="shared" si="81"/>
        <v>HollowBrook</v>
      </c>
      <c r="T500" s="20">
        <f t="shared" si="75"/>
        <v>3</v>
      </c>
      <c r="U500">
        <f t="shared" si="76"/>
        <v>428</v>
      </c>
      <c r="V500">
        <f t="shared" si="77"/>
        <v>425</v>
      </c>
      <c r="W500" cm="1">
        <f t="array" ref="W500">_xlfn._xlws.FILTER(shifts!A:A,(shifts!B:B=events!D500)*(shifts!AH:AH&gt;=events!U500)*(shifts!AI:AI&lt;=events!V500))</f>
        <v>15</v>
      </c>
      <c r="X500" t="str">
        <f t="shared" ref="X500:X563" si="86">IF(K500="e","event_team_player_"&amp;Y500,IF(K500="o","opp_team_player_"&amp;Y500,""))</f>
        <v>event_team_player_1</v>
      </c>
      <c r="Y500">
        <f>COUNTIFS(A$3:A500,"="&amp;A500,K$3:K500,"="&amp;K500)</f>
        <v>1</v>
      </c>
      <c r="Z500" s="20">
        <f>SUMIFS(T$3:T500,L$3:L500,"=Intermission")+SUMIFS(T$3:T500,L$3:L500,"=Timeout")+SUMIFS(T$3:T500,L$3:L500,"=Clockstop")</f>
        <v>0</v>
      </c>
      <c r="AA500">
        <f t="shared" si="82"/>
        <v>0</v>
      </c>
      <c r="AB500" s="26">
        <f t="shared" si="83"/>
        <v>652</v>
      </c>
      <c r="AC500">
        <f t="shared" si="84"/>
        <v>0</v>
      </c>
    </row>
    <row r="501" spans="1:29" x14ac:dyDescent="0.2">
      <c r="A501">
        <v>258</v>
      </c>
      <c r="D501">
        <f t="shared" si="85"/>
        <v>1</v>
      </c>
      <c r="E501">
        <v>7</v>
      </c>
      <c r="F501" s="6" t="s">
        <v>313</v>
      </c>
      <c r="G501">
        <v>7</v>
      </c>
      <c r="H501" s="8" t="s">
        <v>315</v>
      </c>
      <c r="I501" t="s">
        <v>179</v>
      </c>
      <c r="J501">
        <v>84</v>
      </c>
      <c r="K501" t="s">
        <v>489</v>
      </c>
      <c r="L501" t="s">
        <v>277</v>
      </c>
      <c r="M501" t="s">
        <v>191</v>
      </c>
      <c r="N501" t="s">
        <v>87</v>
      </c>
      <c r="Q501">
        <f t="shared" si="79"/>
        <v>18977</v>
      </c>
      <c r="R501" t="str">
        <f t="shared" si="80"/>
        <v>Velodrome</v>
      </c>
      <c r="S501" t="str">
        <f t="shared" si="81"/>
        <v>HollowBrook</v>
      </c>
      <c r="T501" s="20">
        <f t="shared" si="75"/>
        <v>3</v>
      </c>
      <c r="U501">
        <f t="shared" si="76"/>
        <v>428</v>
      </c>
      <c r="V501">
        <f t="shared" si="77"/>
        <v>425</v>
      </c>
      <c r="W501" cm="1">
        <f t="array" ref="W501">_xlfn._xlws.FILTER(shifts!A:A,(shifts!B:B=events!D501)*(shifts!AH:AH&gt;=events!U501)*(shifts!AI:AI&lt;=events!V501))</f>
        <v>15</v>
      </c>
      <c r="X501" t="str">
        <f t="shared" si="86"/>
        <v>opp_team_player_1</v>
      </c>
      <c r="Y501">
        <f>COUNTIFS(A$3:A501,"="&amp;A501,K$3:K501,"="&amp;K501)</f>
        <v>1</v>
      </c>
      <c r="Z501" s="20">
        <f>SUMIFS(T$3:T501,L$3:L501,"=Intermission")+SUMIFS(T$3:T501,L$3:L501,"=Timeout")+SUMIFS(T$3:T501,L$3:L501,"=Clockstop")</f>
        <v>0</v>
      </c>
      <c r="AA501">
        <f t="shared" si="82"/>
        <v>0</v>
      </c>
      <c r="AB501" s="26">
        <f t="shared" si="83"/>
        <v>652</v>
      </c>
      <c r="AC501">
        <f t="shared" si="84"/>
        <v>0</v>
      </c>
    </row>
    <row r="502" spans="1:29" x14ac:dyDescent="0.2">
      <c r="A502">
        <v>259</v>
      </c>
      <c r="D502">
        <f t="shared" si="85"/>
        <v>1</v>
      </c>
      <c r="E502">
        <v>7</v>
      </c>
      <c r="F502" s="6" t="s">
        <v>315</v>
      </c>
      <c r="I502" t="s">
        <v>178</v>
      </c>
      <c r="J502">
        <v>84</v>
      </c>
      <c r="K502" t="s">
        <v>488</v>
      </c>
      <c r="L502" t="s">
        <v>10</v>
      </c>
      <c r="M502" t="s">
        <v>200</v>
      </c>
      <c r="N502" t="s">
        <v>82</v>
      </c>
      <c r="Q502">
        <f t="shared" si="79"/>
        <v>18977</v>
      </c>
      <c r="R502" t="str">
        <f t="shared" si="80"/>
        <v>Velodrome</v>
      </c>
      <c r="S502" t="str">
        <f t="shared" si="81"/>
        <v>HollowBrook</v>
      </c>
      <c r="T502" s="20">
        <f t="shared" si="75"/>
        <v>0</v>
      </c>
      <c r="U502">
        <f t="shared" si="76"/>
        <v>425</v>
      </c>
      <c r="V502">
        <f t="shared" si="77"/>
        <v>425</v>
      </c>
      <c r="W502" cm="1">
        <f t="array" ref="W502">_xlfn._xlws.FILTER(shifts!A:A,(shifts!B:B=events!D502)*(shifts!AH:AH&gt;=events!U502)*(shifts!AI:AI&lt;=events!V502))</f>
        <v>15</v>
      </c>
      <c r="X502" t="str">
        <f t="shared" si="86"/>
        <v>event_team_player_1</v>
      </c>
      <c r="Y502">
        <f>COUNTIFS(A$3:A502,"="&amp;A502,K$3:K502,"="&amp;K502)</f>
        <v>1</v>
      </c>
      <c r="Z502" s="20">
        <f>SUMIFS(T$3:T502,L$3:L502,"=Intermission")+SUMIFS(T$3:T502,L$3:L502,"=Timeout")+SUMIFS(T$3:T502,L$3:L502,"=Clockstop")</f>
        <v>0</v>
      </c>
      <c r="AA502">
        <f t="shared" si="82"/>
        <v>0</v>
      </c>
      <c r="AB502" s="26">
        <f t="shared" si="83"/>
        <v>655</v>
      </c>
      <c r="AC502">
        <f t="shared" si="84"/>
        <v>0</v>
      </c>
    </row>
    <row r="503" spans="1:29" x14ac:dyDescent="0.2">
      <c r="A503">
        <v>259</v>
      </c>
      <c r="D503">
        <f t="shared" si="85"/>
        <v>1</v>
      </c>
      <c r="E503">
        <v>7</v>
      </c>
      <c r="F503" s="6" t="s">
        <v>315</v>
      </c>
      <c r="I503" t="s">
        <v>178</v>
      </c>
      <c r="J503">
        <v>13</v>
      </c>
      <c r="K503" t="s">
        <v>489</v>
      </c>
      <c r="L503" t="s">
        <v>10</v>
      </c>
      <c r="M503" t="s">
        <v>200</v>
      </c>
      <c r="N503" t="s">
        <v>82</v>
      </c>
      <c r="Q503">
        <f t="shared" si="79"/>
        <v>18977</v>
      </c>
      <c r="R503" t="str">
        <f t="shared" si="80"/>
        <v>Velodrome</v>
      </c>
      <c r="S503" t="str">
        <f t="shared" si="81"/>
        <v>HollowBrook</v>
      </c>
      <c r="T503" s="20">
        <f t="shared" si="75"/>
        <v>0</v>
      </c>
      <c r="U503">
        <f t="shared" si="76"/>
        <v>425</v>
      </c>
      <c r="V503">
        <f t="shared" si="77"/>
        <v>425</v>
      </c>
      <c r="W503" cm="1">
        <f t="array" ref="W503">_xlfn._xlws.FILTER(shifts!A:A,(shifts!B:B=events!D503)*(shifts!AH:AH&gt;=events!U503)*(shifts!AI:AI&lt;=events!V503))</f>
        <v>15</v>
      </c>
      <c r="X503" t="str">
        <f t="shared" si="86"/>
        <v>opp_team_player_1</v>
      </c>
      <c r="Y503">
        <f>COUNTIFS(A$3:A503,"="&amp;A503,K$3:K503,"="&amp;K503)</f>
        <v>1</v>
      </c>
      <c r="Z503" s="20">
        <f>SUMIFS(T$3:T503,L$3:L503,"=Intermission")+SUMIFS(T$3:T503,L$3:L503,"=Timeout")+SUMIFS(T$3:T503,L$3:L503,"=Clockstop")</f>
        <v>0</v>
      </c>
      <c r="AA503">
        <f t="shared" si="82"/>
        <v>0</v>
      </c>
      <c r="AB503" s="26">
        <f t="shared" si="83"/>
        <v>655</v>
      </c>
      <c r="AC503">
        <f t="shared" si="84"/>
        <v>0</v>
      </c>
    </row>
    <row r="504" spans="1:29" x14ac:dyDescent="0.2">
      <c r="A504">
        <v>260</v>
      </c>
      <c r="D504">
        <f t="shared" si="85"/>
        <v>1</v>
      </c>
      <c r="E504">
        <v>7</v>
      </c>
      <c r="F504" s="6" t="s">
        <v>311</v>
      </c>
      <c r="G504">
        <v>7</v>
      </c>
      <c r="H504" s="8" t="s">
        <v>312</v>
      </c>
      <c r="I504" t="s">
        <v>178</v>
      </c>
      <c r="J504">
        <v>84</v>
      </c>
      <c r="K504" t="s">
        <v>488</v>
      </c>
      <c r="L504" t="s">
        <v>15</v>
      </c>
      <c r="Q504">
        <f t="shared" si="79"/>
        <v>18977</v>
      </c>
      <c r="R504" t="str">
        <f t="shared" si="80"/>
        <v>Velodrome</v>
      </c>
      <c r="S504" t="str">
        <f t="shared" si="81"/>
        <v>HollowBrook</v>
      </c>
      <c r="T504" s="20">
        <f t="shared" si="75"/>
        <v>2</v>
      </c>
      <c r="U504">
        <f t="shared" si="76"/>
        <v>423</v>
      </c>
      <c r="V504">
        <f t="shared" si="77"/>
        <v>421</v>
      </c>
      <c r="W504" cm="1">
        <f t="array" ref="W504">_xlfn._xlws.FILTER(shifts!A:A,(shifts!B:B=events!D504)*(shifts!AH:AH&gt;=events!U504)*(shifts!AI:AI&lt;=events!V504))</f>
        <v>15</v>
      </c>
      <c r="X504" t="str">
        <f t="shared" si="86"/>
        <v>event_team_player_1</v>
      </c>
      <c r="Y504">
        <f>COUNTIFS(A$3:A504,"="&amp;A504,K$3:K504,"="&amp;K504)</f>
        <v>1</v>
      </c>
      <c r="Z504" s="20">
        <f>SUMIFS(T$3:T504,L$3:L504,"=Intermission")+SUMIFS(T$3:T504,L$3:L504,"=Timeout")+SUMIFS(T$3:T504,L$3:L504,"=Clockstop")</f>
        <v>0</v>
      </c>
      <c r="AA504">
        <f t="shared" si="82"/>
        <v>0</v>
      </c>
      <c r="AB504" s="26">
        <f t="shared" si="83"/>
        <v>657</v>
      </c>
      <c r="AC504">
        <f t="shared" si="84"/>
        <v>0</v>
      </c>
    </row>
    <row r="505" spans="1:29" x14ac:dyDescent="0.2">
      <c r="A505">
        <v>261</v>
      </c>
      <c r="D505">
        <f t="shared" si="85"/>
        <v>1</v>
      </c>
      <c r="E505">
        <v>7</v>
      </c>
      <c r="F505" s="6" t="s">
        <v>312</v>
      </c>
      <c r="I505" t="s">
        <v>178</v>
      </c>
      <c r="J505">
        <v>84</v>
      </c>
      <c r="K505" t="s">
        <v>488</v>
      </c>
      <c r="L505" t="s">
        <v>10</v>
      </c>
      <c r="M505" t="s">
        <v>190</v>
      </c>
      <c r="N505" t="s">
        <v>479</v>
      </c>
      <c r="Q505">
        <f t="shared" si="79"/>
        <v>18977</v>
      </c>
      <c r="R505" t="str">
        <f t="shared" si="80"/>
        <v>Velodrome</v>
      </c>
      <c r="S505" t="str">
        <f t="shared" si="81"/>
        <v>HollowBrook</v>
      </c>
      <c r="T505" s="20">
        <f t="shared" si="75"/>
        <v>0</v>
      </c>
      <c r="U505">
        <f t="shared" si="76"/>
        <v>421</v>
      </c>
      <c r="V505">
        <f t="shared" si="77"/>
        <v>421</v>
      </c>
      <c r="W505" cm="1">
        <f t="array" ref="W505">_xlfn._xlws.FILTER(shifts!A:A,(shifts!B:B=events!D505)*(shifts!AH:AH&gt;=events!U505)*(shifts!AI:AI&lt;=events!V505))</f>
        <v>15</v>
      </c>
      <c r="X505" t="str">
        <f t="shared" si="86"/>
        <v>event_team_player_1</v>
      </c>
      <c r="Y505">
        <f>COUNTIFS(A$3:A505,"="&amp;A505,K$3:K505,"="&amp;K505)</f>
        <v>1</v>
      </c>
      <c r="Z505" s="20">
        <f>SUMIFS(T$3:T505,L$3:L505,"=Intermission")+SUMIFS(T$3:T505,L$3:L505,"=Timeout")+SUMIFS(T$3:T505,L$3:L505,"=Clockstop")</f>
        <v>0</v>
      </c>
      <c r="AA505">
        <f t="shared" si="82"/>
        <v>0</v>
      </c>
      <c r="AB505" s="26">
        <f t="shared" si="83"/>
        <v>659</v>
      </c>
      <c r="AC505">
        <f t="shared" si="84"/>
        <v>0</v>
      </c>
    </row>
    <row r="506" spans="1:29" x14ac:dyDescent="0.2">
      <c r="A506">
        <v>261</v>
      </c>
      <c r="D506">
        <f t="shared" si="85"/>
        <v>1</v>
      </c>
      <c r="E506">
        <v>7</v>
      </c>
      <c r="F506" s="6" t="s">
        <v>312</v>
      </c>
      <c r="I506" t="s">
        <v>178</v>
      </c>
      <c r="J506">
        <v>27</v>
      </c>
      <c r="K506" t="s">
        <v>489</v>
      </c>
      <c r="L506" t="s">
        <v>10</v>
      </c>
      <c r="M506" t="s">
        <v>190</v>
      </c>
      <c r="N506" t="s">
        <v>479</v>
      </c>
      <c r="Q506">
        <f t="shared" si="79"/>
        <v>18977</v>
      </c>
      <c r="R506" t="str">
        <f t="shared" si="80"/>
        <v>Velodrome</v>
      </c>
      <c r="S506" t="str">
        <f t="shared" si="81"/>
        <v>HollowBrook</v>
      </c>
      <c r="T506" s="20">
        <f t="shared" si="75"/>
        <v>0</v>
      </c>
      <c r="U506">
        <f t="shared" si="76"/>
        <v>421</v>
      </c>
      <c r="V506">
        <f t="shared" si="77"/>
        <v>421</v>
      </c>
      <c r="W506" cm="1">
        <f t="array" ref="W506">_xlfn._xlws.FILTER(shifts!A:A,(shifts!B:B=events!D506)*(shifts!AH:AH&gt;=events!U506)*(shifts!AI:AI&lt;=events!V506))</f>
        <v>15</v>
      </c>
      <c r="X506" t="str">
        <f t="shared" si="86"/>
        <v>opp_team_player_1</v>
      </c>
      <c r="Y506">
        <f>COUNTIFS(A$3:A506,"="&amp;A506,K$3:K506,"="&amp;K506)</f>
        <v>1</v>
      </c>
      <c r="Z506" s="20">
        <f>SUMIFS(T$3:T506,L$3:L506,"=Intermission")+SUMIFS(T$3:T506,L$3:L506,"=Timeout")+SUMIFS(T$3:T506,L$3:L506,"=Clockstop")</f>
        <v>0</v>
      </c>
      <c r="AA506">
        <f t="shared" si="82"/>
        <v>0</v>
      </c>
      <c r="AB506" s="26">
        <f t="shared" si="83"/>
        <v>659</v>
      </c>
      <c r="AC506">
        <f t="shared" si="84"/>
        <v>0</v>
      </c>
    </row>
    <row r="507" spans="1:29" x14ac:dyDescent="0.2">
      <c r="A507">
        <v>262</v>
      </c>
      <c r="D507">
        <f t="shared" si="85"/>
        <v>1</v>
      </c>
      <c r="E507">
        <v>6</v>
      </c>
      <c r="F507" s="6" t="s">
        <v>487</v>
      </c>
      <c r="G507">
        <v>6</v>
      </c>
      <c r="H507" s="8" t="s">
        <v>433</v>
      </c>
      <c r="I507" t="s">
        <v>179</v>
      </c>
      <c r="J507">
        <v>27</v>
      </c>
      <c r="K507" t="s">
        <v>488</v>
      </c>
      <c r="L507" t="s">
        <v>15</v>
      </c>
      <c r="Q507">
        <f t="shared" si="79"/>
        <v>18977</v>
      </c>
      <c r="R507" t="str">
        <f t="shared" si="80"/>
        <v>Velodrome</v>
      </c>
      <c r="S507" t="str">
        <f t="shared" si="81"/>
        <v>HollowBrook</v>
      </c>
      <c r="T507" s="20">
        <f t="shared" si="75"/>
        <v>2</v>
      </c>
      <c r="U507">
        <f t="shared" si="76"/>
        <v>419</v>
      </c>
      <c r="V507">
        <f t="shared" si="77"/>
        <v>417</v>
      </c>
      <c r="W507" cm="1">
        <f t="array" ref="W507">_xlfn._xlws.FILTER(shifts!A:A,(shifts!B:B=events!D507)*(shifts!AH:AH&gt;=events!U507)*(shifts!AI:AI&lt;=events!V507))</f>
        <v>15</v>
      </c>
      <c r="X507" t="str">
        <f t="shared" si="86"/>
        <v>event_team_player_1</v>
      </c>
      <c r="Y507">
        <f>COUNTIFS(A$3:A507,"="&amp;A507,K$3:K507,"="&amp;K507)</f>
        <v>1</v>
      </c>
      <c r="Z507" s="20">
        <f>SUMIFS(T$3:T507,L$3:L507,"=Intermission")+SUMIFS(T$3:T507,L$3:L507,"=Timeout")+SUMIFS(T$3:T507,L$3:L507,"=Clockstop")</f>
        <v>0</v>
      </c>
      <c r="AA507">
        <f t="shared" si="82"/>
        <v>0</v>
      </c>
      <c r="AB507" s="26">
        <f t="shared" si="83"/>
        <v>661</v>
      </c>
      <c r="AC507">
        <f t="shared" si="84"/>
        <v>0</v>
      </c>
    </row>
    <row r="508" spans="1:29" x14ac:dyDescent="0.2">
      <c r="A508">
        <v>263</v>
      </c>
      <c r="D508">
        <f t="shared" si="85"/>
        <v>1</v>
      </c>
      <c r="E508">
        <v>6</v>
      </c>
      <c r="F508" s="6" t="s">
        <v>433</v>
      </c>
      <c r="I508" t="s">
        <v>179</v>
      </c>
      <c r="J508">
        <v>27</v>
      </c>
      <c r="K508" t="s">
        <v>488</v>
      </c>
      <c r="L508" t="s">
        <v>7</v>
      </c>
      <c r="M508" t="s">
        <v>215</v>
      </c>
      <c r="N508" t="s">
        <v>53</v>
      </c>
      <c r="Q508">
        <f t="shared" si="79"/>
        <v>18977</v>
      </c>
      <c r="R508" t="str">
        <f t="shared" si="80"/>
        <v>Velodrome</v>
      </c>
      <c r="S508" t="str">
        <f t="shared" si="81"/>
        <v>HollowBrook</v>
      </c>
      <c r="T508" s="20">
        <f t="shared" si="75"/>
        <v>0</v>
      </c>
      <c r="U508">
        <f t="shared" si="76"/>
        <v>417</v>
      </c>
      <c r="V508">
        <f t="shared" si="77"/>
        <v>417</v>
      </c>
      <c r="W508" cm="1">
        <f t="array" ref="W508">_xlfn._xlws.FILTER(shifts!A:A,(shifts!B:B=events!D508)*(shifts!AH:AH&gt;=events!U508)*(shifts!AI:AI&lt;=events!V508))</f>
        <v>15</v>
      </c>
      <c r="X508" t="str">
        <f t="shared" si="86"/>
        <v>event_team_player_1</v>
      </c>
      <c r="Y508">
        <f>COUNTIFS(A$3:A508,"="&amp;A508,K$3:K508,"="&amp;K508)</f>
        <v>1</v>
      </c>
      <c r="Z508" s="20">
        <f>SUMIFS(T$3:T508,L$3:L508,"=Intermission")+SUMIFS(T$3:T508,L$3:L508,"=Timeout")+SUMIFS(T$3:T508,L$3:L508,"=Clockstop")</f>
        <v>0</v>
      </c>
      <c r="AA508">
        <f t="shared" si="82"/>
        <v>0</v>
      </c>
      <c r="AB508" s="26">
        <f t="shared" si="83"/>
        <v>663</v>
      </c>
      <c r="AC508">
        <f t="shared" si="84"/>
        <v>0</v>
      </c>
    </row>
    <row r="509" spans="1:29" x14ac:dyDescent="0.2">
      <c r="A509">
        <v>263</v>
      </c>
      <c r="D509">
        <f t="shared" si="85"/>
        <v>1</v>
      </c>
      <c r="E509">
        <v>6</v>
      </c>
      <c r="F509" s="6" t="s">
        <v>433</v>
      </c>
      <c r="I509" t="s">
        <v>179</v>
      </c>
      <c r="J509">
        <v>13</v>
      </c>
      <c r="K509" t="s">
        <v>488</v>
      </c>
      <c r="L509" t="s">
        <v>7</v>
      </c>
      <c r="M509" t="s">
        <v>215</v>
      </c>
      <c r="N509" t="s">
        <v>53</v>
      </c>
      <c r="Q509">
        <f t="shared" si="79"/>
        <v>18977</v>
      </c>
      <c r="R509" t="str">
        <f t="shared" si="80"/>
        <v>Velodrome</v>
      </c>
      <c r="S509" t="str">
        <f t="shared" si="81"/>
        <v>HollowBrook</v>
      </c>
      <c r="T509" s="20">
        <f t="shared" si="75"/>
        <v>0</v>
      </c>
      <c r="U509">
        <f t="shared" si="76"/>
        <v>417</v>
      </c>
      <c r="V509">
        <f t="shared" si="77"/>
        <v>417</v>
      </c>
      <c r="W509" cm="1">
        <f t="array" ref="W509">_xlfn._xlws.FILTER(shifts!A:A,(shifts!B:B=events!D509)*(shifts!AH:AH&gt;=events!U509)*(shifts!AI:AI&lt;=events!V509))</f>
        <v>15</v>
      </c>
      <c r="X509" t="str">
        <f t="shared" si="86"/>
        <v>event_team_player_2</v>
      </c>
      <c r="Y509">
        <f>COUNTIFS(A$3:A509,"="&amp;A509,K$3:K509,"="&amp;K509)</f>
        <v>2</v>
      </c>
      <c r="Z509" s="20">
        <f>SUMIFS(T$3:T509,L$3:L509,"=Intermission")+SUMIFS(T$3:T509,L$3:L509,"=Timeout")+SUMIFS(T$3:T509,L$3:L509,"=Clockstop")</f>
        <v>0</v>
      </c>
      <c r="AA509">
        <f t="shared" si="82"/>
        <v>0</v>
      </c>
      <c r="AB509" s="26">
        <f t="shared" si="83"/>
        <v>663</v>
      </c>
      <c r="AC509">
        <f t="shared" si="84"/>
        <v>0</v>
      </c>
    </row>
    <row r="510" spans="1:29" x14ac:dyDescent="0.2">
      <c r="A510">
        <v>264</v>
      </c>
      <c r="D510">
        <f t="shared" si="85"/>
        <v>1</v>
      </c>
      <c r="E510">
        <v>6</v>
      </c>
      <c r="F510" s="6" t="s">
        <v>433</v>
      </c>
      <c r="I510" t="s">
        <v>179</v>
      </c>
      <c r="J510">
        <v>27</v>
      </c>
      <c r="K510" t="s">
        <v>488</v>
      </c>
      <c r="L510" t="s">
        <v>10</v>
      </c>
      <c r="M510" t="s">
        <v>190</v>
      </c>
      <c r="N510" t="s">
        <v>78</v>
      </c>
      <c r="Q510">
        <f t="shared" si="79"/>
        <v>18977</v>
      </c>
      <c r="R510" t="str">
        <f t="shared" si="80"/>
        <v>Velodrome</v>
      </c>
      <c r="S510" t="str">
        <f t="shared" si="81"/>
        <v>HollowBrook</v>
      </c>
      <c r="T510" s="20">
        <f t="shared" si="75"/>
        <v>0</v>
      </c>
      <c r="U510">
        <f t="shared" si="76"/>
        <v>417</v>
      </c>
      <c r="V510">
        <f t="shared" si="77"/>
        <v>417</v>
      </c>
      <c r="W510" cm="1">
        <f t="array" ref="W510">_xlfn._xlws.FILTER(shifts!A:A,(shifts!B:B=events!D510)*(shifts!AH:AH&gt;=events!U510)*(shifts!AI:AI&lt;=events!V510))</f>
        <v>15</v>
      </c>
      <c r="X510" t="str">
        <f t="shared" si="86"/>
        <v>event_team_player_1</v>
      </c>
      <c r="Y510">
        <f>COUNTIFS(A$3:A510,"="&amp;A510,K$3:K510,"="&amp;K510)</f>
        <v>1</v>
      </c>
      <c r="Z510" s="20">
        <f>SUMIFS(T$3:T510,L$3:L510,"=Intermission")+SUMIFS(T$3:T510,L$3:L510,"=Timeout")+SUMIFS(T$3:T510,L$3:L510,"=Clockstop")</f>
        <v>0</v>
      </c>
      <c r="AA510">
        <f t="shared" si="82"/>
        <v>0</v>
      </c>
      <c r="AB510" s="26">
        <f t="shared" si="83"/>
        <v>663</v>
      </c>
      <c r="AC510">
        <f t="shared" si="84"/>
        <v>0</v>
      </c>
    </row>
    <row r="511" spans="1:29" x14ac:dyDescent="0.2">
      <c r="A511">
        <v>265</v>
      </c>
      <c r="D511">
        <f t="shared" si="85"/>
        <v>1</v>
      </c>
      <c r="E511">
        <v>6</v>
      </c>
      <c r="F511" s="6" t="s">
        <v>421</v>
      </c>
      <c r="I511" t="s">
        <v>178</v>
      </c>
      <c r="J511">
        <v>22</v>
      </c>
      <c r="K511" t="s">
        <v>488</v>
      </c>
      <c r="L511" t="s">
        <v>8</v>
      </c>
      <c r="M511" t="s">
        <v>189</v>
      </c>
      <c r="N511" t="s">
        <v>70</v>
      </c>
      <c r="Q511">
        <f t="shared" si="79"/>
        <v>18977</v>
      </c>
      <c r="R511" t="str">
        <f t="shared" si="80"/>
        <v>Velodrome</v>
      </c>
      <c r="S511" t="str">
        <f t="shared" si="81"/>
        <v>HollowBrook</v>
      </c>
      <c r="T511" s="20">
        <f t="shared" si="75"/>
        <v>0</v>
      </c>
      <c r="U511">
        <f t="shared" si="76"/>
        <v>416</v>
      </c>
      <c r="V511">
        <f t="shared" si="77"/>
        <v>416</v>
      </c>
      <c r="W511" cm="1">
        <f t="array" ref="W511">_xlfn._xlws.FILTER(shifts!A:A,(shifts!B:B=events!D511)*(shifts!AH:AH&gt;=events!U511)*(shifts!AI:AI&lt;=events!V511))</f>
        <v>15</v>
      </c>
      <c r="X511" t="str">
        <f t="shared" si="86"/>
        <v>event_team_player_1</v>
      </c>
      <c r="Y511">
        <f>COUNTIFS(A$3:A511,"="&amp;A511,K$3:K511,"="&amp;K511)</f>
        <v>1</v>
      </c>
      <c r="Z511" s="20">
        <f>SUMIFS(T$3:T511,L$3:L511,"=Intermission")+SUMIFS(T$3:T511,L$3:L511,"=Timeout")+SUMIFS(T$3:T511,L$3:L511,"=Clockstop")</f>
        <v>0</v>
      </c>
      <c r="AA511">
        <f t="shared" si="82"/>
        <v>0</v>
      </c>
      <c r="AB511" s="26">
        <f t="shared" si="83"/>
        <v>664</v>
      </c>
      <c r="AC511">
        <f t="shared" si="84"/>
        <v>0</v>
      </c>
    </row>
    <row r="512" spans="1:29" x14ac:dyDescent="0.2">
      <c r="A512">
        <v>265</v>
      </c>
      <c r="D512">
        <f t="shared" si="85"/>
        <v>1</v>
      </c>
      <c r="E512">
        <v>6</v>
      </c>
      <c r="F512" s="6" t="s">
        <v>421</v>
      </c>
      <c r="I512" t="s">
        <v>178</v>
      </c>
      <c r="J512">
        <v>70</v>
      </c>
      <c r="K512" t="s">
        <v>488</v>
      </c>
      <c r="L512" t="s">
        <v>8</v>
      </c>
      <c r="M512" t="s">
        <v>189</v>
      </c>
      <c r="N512" t="s">
        <v>70</v>
      </c>
      <c r="Q512">
        <f t="shared" si="79"/>
        <v>18977</v>
      </c>
      <c r="R512" t="str">
        <f t="shared" si="80"/>
        <v>Velodrome</v>
      </c>
      <c r="S512" t="str">
        <f t="shared" si="81"/>
        <v>HollowBrook</v>
      </c>
      <c r="T512" s="20">
        <f t="shared" si="75"/>
        <v>0</v>
      </c>
      <c r="U512">
        <f t="shared" si="76"/>
        <v>416</v>
      </c>
      <c r="V512">
        <f t="shared" si="77"/>
        <v>416</v>
      </c>
      <c r="W512" cm="1">
        <f t="array" ref="W512">_xlfn._xlws.FILTER(shifts!A:A,(shifts!B:B=events!D512)*(shifts!AH:AH&gt;=events!U512)*(shifts!AI:AI&lt;=events!V512))</f>
        <v>15</v>
      </c>
      <c r="X512" t="str">
        <f t="shared" si="86"/>
        <v>event_team_player_2</v>
      </c>
      <c r="Y512">
        <f>COUNTIFS(A$3:A512,"="&amp;A512,K$3:K512,"="&amp;K512)</f>
        <v>2</v>
      </c>
      <c r="Z512" s="20">
        <f>SUMIFS(T$3:T512,L$3:L512,"=Intermission")+SUMIFS(T$3:T512,L$3:L512,"=Timeout")+SUMIFS(T$3:T512,L$3:L512,"=Clockstop")</f>
        <v>0</v>
      </c>
      <c r="AA512">
        <f t="shared" si="82"/>
        <v>0</v>
      </c>
      <c r="AB512" s="26">
        <f t="shared" si="83"/>
        <v>664</v>
      </c>
      <c r="AC512">
        <f t="shared" si="84"/>
        <v>0</v>
      </c>
    </row>
    <row r="513" spans="1:29" x14ac:dyDescent="0.2">
      <c r="A513">
        <v>266</v>
      </c>
      <c r="D513">
        <f t="shared" si="85"/>
        <v>1</v>
      </c>
      <c r="E513">
        <v>6</v>
      </c>
      <c r="F513" s="6" t="s">
        <v>492</v>
      </c>
      <c r="I513" t="s">
        <v>178</v>
      </c>
      <c r="J513">
        <v>70</v>
      </c>
      <c r="K513" t="s">
        <v>488</v>
      </c>
      <c r="L513" t="s">
        <v>277</v>
      </c>
      <c r="M513" t="s">
        <v>201</v>
      </c>
      <c r="N513" t="s">
        <v>183</v>
      </c>
      <c r="Q513">
        <f t="shared" si="79"/>
        <v>18977</v>
      </c>
      <c r="R513" t="str">
        <f t="shared" si="80"/>
        <v>Velodrome</v>
      </c>
      <c r="S513" t="str">
        <f t="shared" si="81"/>
        <v>HollowBrook</v>
      </c>
      <c r="T513" s="20">
        <f t="shared" si="75"/>
        <v>0</v>
      </c>
      <c r="U513">
        <f t="shared" si="76"/>
        <v>413</v>
      </c>
      <c r="V513">
        <f t="shared" si="77"/>
        <v>413</v>
      </c>
      <c r="W513" cm="1">
        <f t="array" ref="W513">_xlfn._xlws.FILTER(shifts!A:A,(shifts!B:B=events!D513)*(shifts!AH:AH&gt;=events!U513)*(shifts!AI:AI&lt;=events!V513))</f>
        <v>15</v>
      </c>
      <c r="X513" t="str">
        <f t="shared" si="86"/>
        <v>event_team_player_1</v>
      </c>
      <c r="Y513">
        <f>COUNTIFS(A$3:A513,"="&amp;A513,K$3:K513,"="&amp;K513)</f>
        <v>1</v>
      </c>
      <c r="Z513" s="20">
        <f>SUMIFS(T$3:T513,L$3:L513,"=Intermission")+SUMIFS(T$3:T513,L$3:L513,"=Timeout")+SUMIFS(T$3:T513,L$3:L513,"=Clockstop")</f>
        <v>0</v>
      </c>
      <c r="AA513">
        <f t="shared" si="82"/>
        <v>0</v>
      </c>
      <c r="AB513" s="26">
        <f t="shared" si="83"/>
        <v>667</v>
      </c>
      <c r="AC513">
        <f t="shared" si="84"/>
        <v>0</v>
      </c>
    </row>
    <row r="514" spans="1:29" x14ac:dyDescent="0.2">
      <c r="A514">
        <v>266</v>
      </c>
      <c r="D514">
        <f t="shared" si="85"/>
        <v>1</v>
      </c>
      <c r="E514">
        <v>6</v>
      </c>
      <c r="F514" s="6" t="s">
        <v>492</v>
      </c>
      <c r="I514" t="s">
        <v>178</v>
      </c>
      <c r="J514">
        <v>27</v>
      </c>
      <c r="K514" t="s">
        <v>489</v>
      </c>
      <c r="L514" t="s">
        <v>277</v>
      </c>
      <c r="M514" t="s">
        <v>201</v>
      </c>
      <c r="N514" t="s">
        <v>183</v>
      </c>
      <c r="Q514">
        <f t="shared" si="79"/>
        <v>18977</v>
      </c>
      <c r="R514" t="str">
        <f t="shared" si="80"/>
        <v>Velodrome</v>
      </c>
      <c r="S514" t="str">
        <f t="shared" si="81"/>
        <v>HollowBrook</v>
      </c>
      <c r="T514" s="20">
        <f t="shared" si="75"/>
        <v>0</v>
      </c>
      <c r="U514">
        <f t="shared" si="76"/>
        <v>413</v>
      </c>
      <c r="V514">
        <f t="shared" si="77"/>
        <v>413</v>
      </c>
      <c r="W514" cm="1">
        <f t="array" ref="W514">_xlfn._xlws.FILTER(shifts!A:A,(shifts!B:B=events!D514)*(shifts!AH:AH&gt;=events!U514)*(shifts!AI:AI&lt;=events!V514))</f>
        <v>15</v>
      </c>
      <c r="X514" t="str">
        <f t="shared" si="86"/>
        <v>opp_team_player_1</v>
      </c>
      <c r="Y514">
        <f>COUNTIFS(A$3:A514,"="&amp;A514,K$3:K514,"="&amp;K514)</f>
        <v>1</v>
      </c>
      <c r="Z514" s="20">
        <f>SUMIFS(T$3:T514,L$3:L514,"=Intermission")+SUMIFS(T$3:T514,L$3:L514,"=Timeout")+SUMIFS(T$3:T514,L$3:L514,"=Clockstop")</f>
        <v>0</v>
      </c>
      <c r="AA514">
        <f t="shared" si="82"/>
        <v>0</v>
      </c>
      <c r="AB514" s="26">
        <f t="shared" si="83"/>
        <v>667</v>
      </c>
      <c r="AC514">
        <f t="shared" si="84"/>
        <v>0</v>
      </c>
    </row>
    <row r="515" spans="1:29" x14ac:dyDescent="0.2">
      <c r="A515">
        <v>267</v>
      </c>
      <c r="D515">
        <f t="shared" si="85"/>
        <v>1</v>
      </c>
      <c r="E515">
        <v>6</v>
      </c>
      <c r="F515" s="6" t="s">
        <v>432</v>
      </c>
      <c r="I515" t="s">
        <v>178</v>
      </c>
      <c r="J515">
        <v>70</v>
      </c>
      <c r="K515" t="s">
        <v>488</v>
      </c>
      <c r="L515" t="s">
        <v>277</v>
      </c>
      <c r="M515" t="s">
        <v>191</v>
      </c>
      <c r="N515" t="s">
        <v>89</v>
      </c>
      <c r="Q515">
        <f t="shared" si="79"/>
        <v>18977</v>
      </c>
      <c r="R515" t="str">
        <f t="shared" si="80"/>
        <v>Velodrome</v>
      </c>
      <c r="S515" t="str">
        <f t="shared" si="81"/>
        <v>HollowBrook</v>
      </c>
      <c r="T515" s="20">
        <f t="shared" ref="T515:T578" si="87">IF(AND(G515="",H515=""),0,((E515*60)+F515)-((G515*60)+H515))</f>
        <v>0</v>
      </c>
      <c r="U515">
        <f t="shared" ref="U515:U578" si="88">(E515*60)+F515</f>
        <v>410</v>
      </c>
      <c r="V515">
        <f t="shared" ref="V515:V578" si="89">IF(AND(G515="",H515=""),U515,((G515*60)+H515))</f>
        <v>410</v>
      </c>
      <c r="W515" cm="1">
        <f t="array" ref="W515">_xlfn._xlws.FILTER(shifts!A:A,(shifts!B:B=events!D515)*(shifts!AH:AH&gt;=events!U515)*(shifts!AI:AI&lt;=events!V515))</f>
        <v>15</v>
      </c>
      <c r="X515" t="str">
        <f t="shared" si="86"/>
        <v>event_team_player_1</v>
      </c>
      <c r="Y515">
        <f>COUNTIFS(A$3:A515,"="&amp;A515,K$3:K515,"="&amp;K515)</f>
        <v>1</v>
      </c>
      <c r="Z515" s="20">
        <f>SUMIFS(T$3:T515,L$3:L515,"=Intermission")+SUMIFS(T$3:T515,L$3:L515,"=Timeout")+SUMIFS(T$3:T515,L$3:L515,"=Clockstop")</f>
        <v>0</v>
      </c>
      <c r="AA515">
        <f t="shared" si="82"/>
        <v>0</v>
      </c>
      <c r="AB515" s="26">
        <f t="shared" si="83"/>
        <v>670</v>
      </c>
      <c r="AC515">
        <f t="shared" si="84"/>
        <v>0</v>
      </c>
    </row>
    <row r="516" spans="1:29" x14ac:dyDescent="0.2">
      <c r="A516">
        <v>267</v>
      </c>
      <c r="D516">
        <f t="shared" si="85"/>
        <v>1</v>
      </c>
      <c r="E516">
        <v>6</v>
      </c>
      <c r="F516" s="6" t="s">
        <v>432</v>
      </c>
      <c r="I516" t="s">
        <v>178</v>
      </c>
      <c r="J516">
        <v>5</v>
      </c>
      <c r="K516" t="s">
        <v>489</v>
      </c>
      <c r="L516" t="s">
        <v>277</v>
      </c>
      <c r="M516" t="s">
        <v>191</v>
      </c>
      <c r="N516" t="s">
        <v>89</v>
      </c>
      <c r="Q516">
        <f t="shared" ref="Q516:S531" si="90">Q515</f>
        <v>18977</v>
      </c>
      <c r="R516" t="str">
        <f t="shared" si="90"/>
        <v>Velodrome</v>
      </c>
      <c r="S516" t="str">
        <f t="shared" si="90"/>
        <v>HollowBrook</v>
      </c>
      <c r="T516" s="20">
        <f t="shared" si="87"/>
        <v>0</v>
      </c>
      <c r="U516">
        <f t="shared" si="88"/>
        <v>410</v>
      </c>
      <c r="V516">
        <f t="shared" si="89"/>
        <v>410</v>
      </c>
      <c r="W516" cm="1">
        <f t="array" ref="W516">_xlfn._xlws.FILTER(shifts!A:A,(shifts!B:B=events!D516)*(shifts!AH:AH&gt;=events!U516)*(shifts!AI:AI&lt;=events!V516))</f>
        <v>15</v>
      </c>
      <c r="X516" t="str">
        <f t="shared" si="86"/>
        <v>opp_team_player_1</v>
      </c>
      <c r="Y516">
        <f>COUNTIFS(A$3:A516,"="&amp;A516,K$3:K516,"="&amp;K516)</f>
        <v>1</v>
      </c>
      <c r="Z516" s="20">
        <f>SUMIFS(T$3:T516,L$3:L516,"=Intermission")+SUMIFS(T$3:T516,L$3:L516,"=Timeout")+SUMIFS(T$3:T516,L$3:L516,"=Clockstop")</f>
        <v>0</v>
      </c>
      <c r="AA516">
        <f t="shared" ref="AA516:AA579" si="91">IF(D516=1,0,IF(D516=2,1080+Z516,IF(D516=3,(1080*2)+Z516,0)))</f>
        <v>0</v>
      </c>
      <c r="AB516" s="26">
        <f t="shared" ref="AB516:AB579" si="92">((1080*D516)-((E516*60)+F516)*D516)+Z516</f>
        <v>670</v>
      </c>
      <c r="AC516">
        <f t="shared" ref="AC516:AC579" si="93">IF(L515="GameStart",0,AA516+Z516)</f>
        <v>0</v>
      </c>
    </row>
    <row r="517" spans="1:29" x14ac:dyDescent="0.2">
      <c r="A517">
        <v>268</v>
      </c>
      <c r="D517">
        <f t="shared" ref="D517:D580" si="94">IF(L517="Intermission",D516+1,D516)</f>
        <v>1</v>
      </c>
      <c r="E517">
        <v>6</v>
      </c>
      <c r="F517" s="6" t="s">
        <v>450</v>
      </c>
      <c r="G517">
        <v>6</v>
      </c>
      <c r="H517" s="8" t="s">
        <v>434</v>
      </c>
      <c r="I517" t="s">
        <v>178</v>
      </c>
      <c r="J517">
        <v>70</v>
      </c>
      <c r="K517" t="s">
        <v>488</v>
      </c>
      <c r="L517" t="s">
        <v>15</v>
      </c>
      <c r="Q517">
        <f t="shared" si="90"/>
        <v>18977</v>
      </c>
      <c r="R517" t="str">
        <f t="shared" si="90"/>
        <v>Velodrome</v>
      </c>
      <c r="S517" t="str">
        <f t="shared" si="90"/>
        <v>HollowBrook</v>
      </c>
      <c r="T517" s="20">
        <f t="shared" si="87"/>
        <v>2</v>
      </c>
      <c r="U517">
        <f t="shared" si="88"/>
        <v>409</v>
      </c>
      <c r="V517">
        <f t="shared" si="89"/>
        <v>407</v>
      </c>
      <c r="W517" cm="1">
        <f t="array" ref="W517">_xlfn._xlws.FILTER(shifts!A:A,(shifts!B:B=events!D517)*(shifts!AH:AH&gt;=events!U517)*(shifts!AI:AI&lt;=events!V517))</f>
        <v>15</v>
      </c>
      <c r="X517" t="str">
        <f t="shared" si="86"/>
        <v>event_team_player_1</v>
      </c>
      <c r="Y517">
        <f>COUNTIFS(A$3:A517,"="&amp;A517,K$3:K517,"="&amp;K517)</f>
        <v>1</v>
      </c>
      <c r="Z517" s="20">
        <f>SUMIFS(T$3:T517,L$3:L517,"=Intermission")+SUMIFS(T$3:T517,L$3:L517,"=Timeout")+SUMIFS(T$3:T517,L$3:L517,"=Clockstop")</f>
        <v>0</v>
      </c>
      <c r="AA517">
        <f t="shared" si="91"/>
        <v>0</v>
      </c>
      <c r="AB517" s="26">
        <f t="shared" si="92"/>
        <v>671</v>
      </c>
      <c r="AC517">
        <f t="shared" si="93"/>
        <v>0</v>
      </c>
    </row>
    <row r="518" spans="1:29" x14ac:dyDescent="0.2">
      <c r="A518">
        <v>268</v>
      </c>
      <c r="D518">
        <f t="shared" si="94"/>
        <v>1</v>
      </c>
      <c r="E518">
        <v>6</v>
      </c>
      <c r="F518" s="6" t="s">
        <v>450</v>
      </c>
      <c r="G518">
        <v>6</v>
      </c>
      <c r="H518" s="8" t="s">
        <v>434</v>
      </c>
      <c r="I518" t="s">
        <v>178</v>
      </c>
      <c r="J518">
        <v>5</v>
      </c>
      <c r="K518" t="s">
        <v>489</v>
      </c>
      <c r="L518" t="s">
        <v>15</v>
      </c>
      <c r="Q518">
        <f t="shared" si="90"/>
        <v>18977</v>
      </c>
      <c r="R518" t="str">
        <f t="shared" si="90"/>
        <v>Velodrome</v>
      </c>
      <c r="S518" t="str">
        <f t="shared" si="90"/>
        <v>HollowBrook</v>
      </c>
      <c r="T518" s="20">
        <f t="shared" si="87"/>
        <v>2</v>
      </c>
      <c r="U518">
        <f t="shared" si="88"/>
        <v>409</v>
      </c>
      <c r="V518">
        <f t="shared" si="89"/>
        <v>407</v>
      </c>
      <c r="W518" cm="1">
        <f t="array" ref="W518">_xlfn._xlws.FILTER(shifts!A:A,(shifts!B:B=events!D518)*(shifts!AH:AH&gt;=events!U518)*(shifts!AI:AI&lt;=events!V518))</f>
        <v>15</v>
      </c>
      <c r="X518" t="str">
        <f t="shared" si="86"/>
        <v>opp_team_player_1</v>
      </c>
      <c r="Y518">
        <f>COUNTIFS(A$3:A518,"="&amp;A518,K$3:K518,"="&amp;K518)</f>
        <v>1</v>
      </c>
      <c r="Z518" s="20">
        <f>SUMIFS(T$3:T518,L$3:L518,"=Intermission")+SUMIFS(T$3:T518,L$3:L518,"=Timeout")+SUMIFS(T$3:T518,L$3:L518,"=Clockstop")</f>
        <v>0</v>
      </c>
      <c r="AA518">
        <f t="shared" si="91"/>
        <v>0</v>
      </c>
      <c r="AB518" s="26">
        <f t="shared" si="92"/>
        <v>671</v>
      </c>
      <c r="AC518">
        <f t="shared" si="93"/>
        <v>0</v>
      </c>
    </row>
    <row r="519" spans="1:29" x14ac:dyDescent="0.2">
      <c r="A519">
        <v>269</v>
      </c>
      <c r="D519">
        <f t="shared" si="94"/>
        <v>1</v>
      </c>
      <c r="E519">
        <v>6</v>
      </c>
      <c r="F519" s="6" t="s">
        <v>434</v>
      </c>
      <c r="I519" t="s">
        <v>178</v>
      </c>
      <c r="J519">
        <v>70</v>
      </c>
      <c r="K519" t="s">
        <v>488</v>
      </c>
      <c r="L519" t="s">
        <v>8</v>
      </c>
      <c r="M519" t="s">
        <v>189</v>
      </c>
      <c r="N519" t="s">
        <v>69</v>
      </c>
      <c r="Q519">
        <f t="shared" si="90"/>
        <v>18977</v>
      </c>
      <c r="R519" t="str">
        <f t="shared" si="90"/>
        <v>Velodrome</v>
      </c>
      <c r="S519" t="str">
        <f t="shared" si="90"/>
        <v>HollowBrook</v>
      </c>
      <c r="T519" s="20">
        <f t="shared" si="87"/>
        <v>0</v>
      </c>
      <c r="U519">
        <f t="shared" si="88"/>
        <v>407</v>
      </c>
      <c r="V519">
        <f t="shared" si="89"/>
        <v>407</v>
      </c>
      <c r="W519" cm="1">
        <f t="array" ref="W519">_xlfn._xlws.FILTER(shifts!A:A,(shifts!B:B=events!D519)*(shifts!AH:AH&gt;=events!U519)*(shifts!AI:AI&lt;=events!V519))</f>
        <v>15</v>
      </c>
      <c r="X519" t="str">
        <f t="shared" si="86"/>
        <v>event_team_player_1</v>
      </c>
      <c r="Y519">
        <f>COUNTIFS(A$3:A519,"="&amp;A519,K$3:K519,"="&amp;K519)</f>
        <v>1</v>
      </c>
      <c r="Z519" s="20">
        <f>SUMIFS(T$3:T519,L$3:L519,"=Intermission")+SUMIFS(T$3:T519,L$3:L519,"=Timeout")+SUMIFS(T$3:T519,L$3:L519,"=Clockstop")</f>
        <v>0</v>
      </c>
      <c r="AA519">
        <f t="shared" si="91"/>
        <v>0</v>
      </c>
      <c r="AB519" s="26">
        <f t="shared" si="92"/>
        <v>673</v>
      </c>
      <c r="AC519">
        <f t="shared" si="93"/>
        <v>0</v>
      </c>
    </row>
    <row r="520" spans="1:29" x14ac:dyDescent="0.2">
      <c r="A520">
        <v>269</v>
      </c>
      <c r="D520">
        <f t="shared" si="94"/>
        <v>1</v>
      </c>
      <c r="E520">
        <v>6</v>
      </c>
      <c r="F520" s="6" t="s">
        <v>434</v>
      </c>
      <c r="I520" t="s">
        <v>178</v>
      </c>
      <c r="J520">
        <v>91</v>
      </c>
      <c r="K520" t="s">
        <v>488</v>
      </c>
      <c r="L520" t="s">
        <v>8</v>
      </c>
      <c r="M520" t="s">
        <v>189</v>
      </c>
      <c r="N520" t="s">
        <v>69</v>
      </c>
      <c r="Q520">
        <f t="shared" si="90"/>
        <v>18977</v>
      </c>
      <c r="R520" t="str">
        <f t="shared" si="90"/>
        <v>Velodrome</v>
      </c>
      <c r="S520" t="str">
        <f t="shared" si="90"/>
        <v>HollowBrook</v>
      </c>
      <c r="T520" s="20">
        <f t="shared" si="87"/>
        <v>0</v>
      </c>
      <c r="U520">
        <f t="shared" si="88"/>
        <v>407</v>
      </c>
      <c r="V520">
        <f t="shared" si="89"/>
        <v>407</v>
      </c>
      <c r="W520" cm="1">
        <f t="array" ref="W520">_xlfn._xlws.FILTER(shifts!A:A,(shifts!B:B=events!D520)*(shifts!AH:AH&gt;=events!U520)*(shifts!AI:AI&lt;=events!V520))</f>
        <v>15</v>
      </c>
      <c r="X520" t="str">
        <f t="shared" si="86"/>
        <v>event_team_player_2</v>
      </c>
      <c r="Y520">
        <f>COUNTIFS(A$3:A520,"="&amp;A520,K$3:K520,"="&amp;K520)</f>
        <v>2</v>
      </c>
      <c r="Z520" s="20">
        <f>SUMIFS(T$3:T520,L$3:L520,"=Intermission")+SUMIFS(T$3:T520,L$3:L520,"=Timeout")+SUMIFS(T$3:T520,L$3:L520,"=Clockstop")</f>
        <v>0</v>
      </c>
      <c r="AA520">
        <f t="shared" si="91"/>
        <v>0</v>
      </c>
      <c r="AB520" s="26">
        <f t="shared" si="92"/>
        <v>673</v>
      </c>
      <c r="AC520">
        <f t="shared" si="93"/>
        <v>0</v>
      </c>
    </row>
    <row r="521" spans="1:29" x14ac:dyDescent="0.2">
      <c r="A521">
        <v>270</v>
      </c>
      <c r="D521">
        <f t="shared" si="94"/>
        <v>1</v>
      </c>
      <c r="E521">
        <v>6</v>
      </c>
      <c r="F521" s="6" t="s">
        <v>478</v>
      </c>
      <c r="I521" t="s">
        <v>178</v>
      </c>
      <c r="J521">
        <v>91</v>
      </c>
      <c r="K521" t="s">
        <v>488</v>
      </c>
      <c r="L521" t="s">
        <v>7</v>
      </c>
      <c r="M521" t="s">
        <v>222</v>
      </c>
      <c r="N521" t="s">
        <v>53</v>
      </c>
      <c r="Q521">
        <f t="shared" si="90"/>
        <v>18977</v>
      </c>
      <c r="R521" t="str">
        <f t="shared" si="90"/>
        <v>Velodrome</v>
      </c>
      <c r="S521" t="str">
        <f t="shared" si="90"/>
        <v>HollowBrook</v>
      </c>
      <c r="T521" s="20">
        <f t="shared" si="87"/>
        <v>0</v>
      </c>
      <c r="U521">
        <f t="shared" si="88"/>
        <v>406</v>
      </c>
      <c r="V521">
        <f t="shared" si="89"/>
        <v>406</v>
      </c>
      <c r="W521" cm="1">
        <f t="array" ref="W521">_xlfn._xlws.FILTER(shifts!A:A,(shifts!B:B=events!D521)*(shifts!AH:AH&gt;=events!U521)*(shifts!AI:AI&lt;=events!V521))</f>
        <v>15</v>
      </c>
      <c r="X521" t="str">
        <f t="shared" si="86"/>
        <v>event_team_player_1</v>
      </c>
      <c r="Y521">
        <f>COUNTIFS(A$3:A521,"="&amp;A521,K$3:K521,"="&amp;K521)</f>
        <v>1</v>
      </c>
      <c r="Z521" s="20">
        <f>SUMIFS(T$3:T521,L$3:L521,"=Intermission")+SUMIFS(T$3:T521,L$3:L521,"=Timeout")+SUMIFS(T$3:T521,L$3:L521,"=Clockstop")</f>
        <v>0</v>
      </c>
      <c r="AA521">
        <f t="shared" si="91"/>
        <v>0</v>
      </c>
      <c r="AB521" s="26">
        <f t="shared" si="92"/>
        <v>674</v>
      </c>
      <c r="AC521">
        <f t="shared" si="93"/>
        <v>0</v>
      </c>
    </row>
    <row r="522" spans="1:29" x14ac:dyDescent="0.2">
      <c r="A522">
        <v>270</v>
      </c>
      <c r="D522">
        <f t="shared" si="94"/>
        <v>1</v>
      </c>
      <c r="E522">
        <v>6</v>
      </c>
      <c r="F522" s="6" t="s">
        <v>478</v>
      </c>
      <c r="I522" t="s">
        <v>178</v>
      </c>
      <c r="J522">
        <v>99</v>
      </c>
      <c r="K522" t="s">
        <v>489</v>
      </c>
      <c r="L522" t="s">
        <v>7</v>
      </c>
      <c r="M522" t="s">
        <v>222</v>
      </c>
      <c r="N522" t="s">
        <v>53</v>
      </c>
      <c r="Q522">
        <f t="shared" si="90"/>
        <v>18977</v>
      </c>
      <c r="R522" t="str">
        <f t="shared" si="90"/>
        <v>Velodrome</v>
      </c>
      <c r="S522" t="str">
        <f t="shared" si="90"/>
        <v>HollowBrook</v>
      </c>
      <c r="T522" s="20">
        <f t="shared" si="87"/>
        <v>0</v>
      </c>
      <c r="U522">
        <f t="shared" si="88"/>
        <v>406</v>
      </c>
      <c r="V522">
        <f t="shared" si="89"/>
        <v>406</v>
      </c>
      <c r="W522" cm="1">
        <f t="array" ref="W522">_xlfn._xlws.FILTER(shifts!A:A,(shifts!B:B=events!D522)*(shifts!AH:AH&gt;=events!U522)*(shifts!AI:AI&lt;=events!V522))</f>
        <v>15</v>
      </c>
      <c r="X522" t="str">
        <f t="shared" si="86"/>
        <v>opp_team_player_1</v>
      </c>
      <c r="Y522">
        <f>COUNTIFS(A$3:A522,"="&amp;A522,K$3:K522,"="&amp;K522)</f>
        <v>1</v>
      </c>
      <c r="Z522" s="20">
        <f>SUMIFS(T$3:T522,L$3:L522,"=Intermission")+SUMIFS(T$3:T522,L$3:L522,"=Timeout")+SUMIFS(T$3:T522,L$3:L522,"=Clockstop")</f>
        <v>0</v>
      </c>
      <c r="AA522">
        <f t="shared" si="91"/>
        <v>0</v>
      </c>
      <c r="AB522" s="26">
        <f t="shared" si="92"/>
        <v>674</v>
      </c>
      <c r="AC522">
        <f t="shared" si="93"/>
        <v>0</v>
      </c>
    </row>
    <row r="523" spans="1:29" x14ac:dyDescent="0.2">
      <c r="A523">
        <v>271</v>
      </c>
      <c r="D523">
        <f t="shared" si="94"/>
        <v>1</v>
      </c>
      <c r="E523">
        <v>6</v>
      </c>
      <c r="F523" s="6" t="s">
        <v>478</v>
      </c>
      <c r="I523" t="s">
        <v>179</v>
      </c>
      <c r="J523">
        <v>99</v>
      </c>
      <c r="K523" t="s">
        <v>488</v>
      </c>
      <c r="L523" t="s">
        <v>17</v>
      </c>
      <c r="M523" t="s">
        <v>196</v>
      </c>
      <c r="N523" t="s">
        <v>99</v>
      </c>
      <c r="Q523">
        <f t="shared" si="90"/>
        <v>18977</v>
      </c>
      <c r="R523" t="str">
        <f t="shared" si="90"/>
        <v>Velodrome</v>
      </c>
      <c r="S523" t="str">
        <f t="shared" si="90"/>
        <v>HollowBrook</v>
      </c>
      <c r="T523" s="20">
        <f t="shared" si="87"/>
        <v>0</v>
      </c>
      <c r="U523">
        <f t="shared" si="88"/>
        <v>406</v>
      </c>
      <c r="V523">
        <f t="shared" si="89"/>
        <v>406</v>
      </c>
      <c r="W523" cm="1">
        <f t="array" ref="W523">_xlfn._xlws.FILTER(shifts!A:A,(shifts!B:B=events!D523)*(shifts!AH:AH&gt;=events!U523)*(shifts!AI:AI&lt;=events!V523))</f>
        <v>15</v>
      </c>
      <c r="X523" t="str">
        <f t="shared" si="86"/>
        <v>event_team_player_1</v>
      </c>
      <c r="Y523">
        <f>COUNTIFS(A$3:A523,"="&amp;A523,K$3:K523,"="&amp;K523)</f>
        <v>1</v>
      </c>
      <c r="Z523" s="20">
        <f>SUMIFS(T$3:T523,L$3:L523,"=Intermission")+SUMIFS(T$3:T523,L$3:L523,"=Timeout")+SUMIFS(T$3:T523,L$3:L523,"=Clockstop")</f>
        <v>0</v>
      </c>
      <c r="AA523">
        <f t="shared" si="91"/>
        <v>0</v>
      </c>
      <c r="AB523" s="26">
        <f t="shared" si="92"/>
        <v>674</v>
      </c>
      <c r="AC523">
        <f t="shared" si="93"/>
        <v>0</v>
      </c>
    </row>
    <row r="524" spans="1:29" x14ac:dyDescent="0.2">
      <c r="A524">
        <v>271</v>
      </c>
      <c r="D524">
        <f t="shared" si="94"/>
        <v>1</v>
      </c>
      <c r="E524">
        <v>6</v>
      </c>
      <c r="F524" s="6" t="s">
        <v>478</v>
      </c>
      <c r="I524" t="s">
        <v>179</v>
      </c>
      <c r="J524">
        <v>91</v>
      </c>
      <c r="K524" t="s">
        <v>489</v>
      </c>
      <c r="L524" t="s">
        <v>17</v>
      </c>
      <c r="M524" t="s">
        <v>196</v>
      </c>
      <c r="N524" t="s">
        <v>99</v>
      </c>
      <c r="Q524">
        <f t="shared" si="90"/>
        <v>18977</v>
      </c>
      <c r="R524" t="str">
        <f t="shared" si="90"/>
        <v>Velodrome</v>
      </c>
      <c r="S524" t="str">
        <f t="shared" si="90"/>
        <v>HollowBrook</v>
      </c>
      <c r="T524" s="20">
        <f t="shared" si="87"/>
        <v>0</v>
      </c>
      <c r="U524">
        <f t="shared" si="88"/>
        <v>406</v>
      </c>
      <c r="V524">
        <f t="shared" si="89"/>
        <v>406</v>
      </c>
      <c r="W524" cm="1">
        <f t="array" ref="W524">_xlfn._xlws.FILTER(shifts!A:A,(shifts!B:B=events!D524)*(shifts!AH:AH&gt;=events!U524)*(shifts!AI:AI&lt;=events!V524))</f>
        <v>15</v>
      </c>
      <c r="X524" t="str">
        <f t="shared" si="86"/>
        <v>opp_team_player_1</v>
      </c>
      <c r="Y524">
        <f>COUNTIFS(A$3:A524,"="&amp;A524,K$3:K524,"="&amp;K524)</f>
        <v>1</v>
      </c>
      <c r="Z524" s="20">
        <f>SUMIFS(T$3:T524,L$3:L524,"=Intermission")+SUMIFS(T$3:T524,L$3:L524,"=Timeout")+SUMIFS(T$3:T524,L$3:L524,"=Clockstop")</f>
        <v>0</v>
      </c>
      <c r="AA524">
        <f t="shared" si="91"/>
        <v>0</v>
      </c>
      <c r="AB524" s="26">
        <f t="shared" si="92"/>
        <v>674</v>
      </c>
      <c r="AC524">
        <f t="shared" si="93"/>
        <v>0</v>
      </c>
    </row>
    <row r="525" spans="1:29" x14ac:dyDescent="0.2">
      <c r="A525">
        <v>272</v>
      </c>
      <c r="D525">
        <f t="shared" si="94"/>
        <v>1</v>
      </c>
      <c r="E525">
        <v>6</v>
      </c>
      <c r="F525" s="6" t="s">
        <v>478</v>
      </c>
      <c r="I525" t="s">
        <v>179</v>
      </c>
      <c r="J525">
        <v>99</v>
      </c>
      <c r="K525" t="s">
        <v>488</v>
      </c>
      <c r="L525" t="s">
        <v>270</v>
      </c>
      <c r="M525" t="s">
        <v>272</v>
      </c>
      <c r="Q525">
        <f t="shared" si="90"/>
        <v>18977</v>
      </c>
      <c r="R525" t="str">
        <f t="shared" si="90"/>
        <v>Velodrome</v>
      </c>
      <c r="S525" t="str">
        <f t="shared" si="90"/>
        <v>HollowBrook</v>
      </c>
      <c r="T525" s="20">
        <f t="shared" si="87"/>
        <v>0</v>
      </c>
      <c r="U525">
        <f t="shared" si="88"/>
        <v>406</v>
      </c>
      <c r="V525">
        <f t="shared" si="89"/>
        <v>406</v>
      </c>
      <c r="W525" cm="1">
        <f t="array" ref="W525">_xlfn._xlws.FILTER(shifts!A:A,(shifts!B:B=events!D525)*(shifts!AH:AH&gt;=events!U525)*(shifts!AI:AI&lt;=events!V525))</f>
        <v>15</v>
      </c>
      <c r="X525" t="str">
        <f t="shared" si="86"/>
        <v>event_team_player_1</v>
      </c>
      <c r="Y525">
        <f>COUNTIFS(A$3:A525,"="&amp;A525,K$3:K525,"="&amp;K525)</f>
        <v>1</v>
      </c>
      <c r="Z525" s="20">
        <f>SUMIFS(T$3:T525,L$3:L525,"=Intermission")+SUMIFS(T$3:T525,L$3:L525,"=Timeout")+SUMIFS(T$3:T525,L$3:L525,"=Clockstop")</f>
        <v>0</v>
      </c>
      <c r="AA525">
        <f t="shared" si="91"/>
        <v>0</v>
      </c>
      <c r="AB525" s="26">
        <f t="shared" si="92"/>
        <v>674</v>
      </c>
      <c r="AC525">
        <f t="shared" si="93"/>
        <v>0</v>
      </c>
    </row>
    <row r="526" spans="1:29" x14ac:dyDescent="0.2">
      <c r="A526">
        <v>273</v>
      </c>
      <c r="D526">
        <f t="shared" si="94"/>
        <v>1</v>
      </c>
      <c r="E526">
        <v>6</v>
      </c>
      <c r="F526" s="6" t="s">
        <v>436</v>
      </c>
      <c r="G526">
        <v>6</v>
      </c>
      <c r="H526" s="8" t="s">
        <v>430</v>
      </c>
      <c r="I526" t="s">
        <v>178</v>
      </c>
      <c r="J526">
        <v>91</v>
      </c>
      <c r="K526" t="s">
        <v>488</v>
      </c>
      <c r="L526" t="s">
        <v>15</v>
      </c>
      <c r="Q526">
        <f t="shared" si="90"/>
        <v>18977</v>
      </c>
      <c r="R526" t="str">
        <f t="shared" si="90"/>
        <v>Velodrome</v>
      </c>
      <c r="S526" t="str">
        <f t="shared" si="90"/>
        <v>HollowBrook</v>
      </c>
      <c r="T526" s="20">
        <f t="shared" si="87"/>
        <v>3</v>
      </c>
      <c r="U526">
        <f t="shared" si="88"/>
        <v>405</v>
      </c>
      <c r="V526">
        <f t="shared" si="89"/>
        <v>402</v>
      </c>
      <c r="W526" cm="1">
        <f t="array" ref="W526">_xlfn._xlws.FILTER(shifts!A:A,(shifts!B:B=events!D526)*(shifts!AH:AH&gt;=events!U526)*(shifts!AI:AI&lt;=events!V526))</f>
        <v>15</v>
      </c>
      <c r="X526" t="str">
        <f t="shared" si="86"/>
        <v>event_team_player_1</v>
      </c>
      <c r="Y526">
        <f>COUNTIFS(A$3:A526,"="&amp;A526,K$3:K526,"="&amp;K526)</f>
        <v>1</v>
      </c>
      <c r="Z526" s="20">
        <f>SUMIFS(T$3:T526,L$3:L526,"=Intermission")+SUMIFS(T$3:T526,L$3:L526,"=Timeout")+SUMIFS(T$3:T526,L$3:L526,"=Clockstop")</f>
        <v>0</v>
      </c>
      <c r="AA526">
        <f t="shared" si="91"/>
        <v>0</v>
      </c>
      <c r="AB526" s="26">
        <f t="shared" si="92"/>
        <v>675</v>
      </c>
      <c r="AC526">
        <f t="shared" si="93"/>
        <v>0</v>
      </c>
    </row>
    <row r="527" spans="1:29" x14ac:dyDescent="0.2">
      <c r="A527">
        <v>274</v>
      </c>
      <c r="D527">
        <f t="shared" si="94"/>
        <v>1</v>
      </c>
      <c r="E527">
        <v>6</v>
      </c>
      <c r="F527" s="6" t="s">
        <v>430</v>
      </c>
      <c r="I527" t="s">
        <v>178</v>
      </c>
      <c r="J527">
        <v>91</v>
      </c>
      <c r="K527" t="s">
        <v>488</v>
      </c>
      <c r="L527" t="s">
        <v>8</v>
      </c>
      <c r="M527" t="s">
        <v>209</v>
      </c>
      <c r="N527" t="s">
        <v>70</v>
      </c>
      <c r="Q527">
        <f t="shared" si="90"/>
        <v>18977</v>
      </c>
      <c r="R527" t="str">
        <f t="shared" si="90"/>
        <v>Velodrome</v>
      </c>
      <c r="S527" t="str">
        <f t="shared" si="90"/>
        <v>HollowBrook</v>
      </c>
      <c r="T527" s="20">
        <f t="shared" si="87"/>
        <v>0</v>
      </c>
      <c r="U527">
        <f t="shared" si="88"/>
        <v>402</v>
      </c>
      <c r="V527">
        <f t="shared" si="89"/>
        <v>402</v>
      </c>
      <c r="W527" cm="1">
        <f t="array" ref="W527">_xlfn._xlws.FILTER(shifts!A:A,(shifts!B:B=events!D527)*(shifts!AH:AH&gt;=events!U527)*(shifts!AI:AI&lt;=events!V527))</f>
        <v>15</v>
      </c>
      <c r="X527" t="str">
        <f t="shared" si="86"/>
        <v>event_team_player_1</v>
      </c>
      <c r="Y527">
        <f>COUNTIFS(A$3:A527,"="&amp;A527,K$3:K527,"="&amp;K527)</f>
        <v>1</v>
      </c>
      <c r="Z527" s="20">
        <f>SUMIFS(T$3:T527,L$3:L527,"=Intermission")+SUMIFS(T$3:T527,L$3:L527,"=Timeout")+SUMIFS(T$3:T527,L$3:L527,"=Clockstop")</f>
        <v>0</v>
      </c>
      <c r="AA527">
        <f t="shared" si="91"/>
        <v>0</v>
      </c>
      <c r="AB527" s="26">
        <f t="shared" si="92"/>
        <v>678</v>
      </c>
      <c r="AC527">
        <f t="shared" si="93"/>
        <v>0</v>
      </c>
    </row>
    <row r="528" spans="1:29" x14ac:dyDescent="0.2">
      <c r="A528">
        <v>274</v>
      </c>
      <c r="D528">
        <f t="shared" si="94"/>
        <v>1</v>
      </c>
      <c r="E528">
        <v>6</v>
      </c>
      <c r="F528" s="6" t="s">
        <v>430</v>
      </c>
      <c r="I528" t="s">
        <v>178</v>
      </c>
      <c r="J528">
        <v>70</v>
      </c>
      <c r="K528" t="s">
        <v>488</v>
      </c>
      <c r="L528" t="s">
        <v>8</v>
      </c>
      <c r="M528" t="s">
        <v>209</v>
      </c>
      <c r="N528" t="s">
        <v>70</v>
      </c>
      <c r="Q528">
        <f t="shared" si="90"/>
        <v>18977</v>
      </c>
      <c r="R528" t="str">
        <f t="shared" si="90"/>
        <v>Velodrome</v>
      </c>
      <c r="S528" t="str">
        <f t="shared" si="90"/>
        <v>HollowBrook</v>
      </c>
      <c r="T528" s="20">
        <f t="shared" si="87"/>
        <v>0</v>
      </c>
      <c r="U528">
        <f t="shared" si="88"/>
        <v>402</v>
      </c>
      <c r="V528">
        <f t="shared" si="89"/>
        <v>402</v>
      </c>
      <c r="W528" cm="1">
        <f t="array" ref="W528">_xlfn._xlws.FILTER(shifts!A:A,(shifts!B:B=events!D528)*(shifts!AH:AH&gt;=events!U528)*(shifts!AI:AI&lt;=events!V528))</f>
        <v>15</v>
      </c>
      <c r="X528" t="str">
        <f t="shared" si="86"/>
        <v>event_team_player_2</v>
      </c>
      <c r="Y528">
        <f>COUNTIFS(A$3:A528,"="&amp;A528,K$3:K528,"="&amp;K528)</f>
        <v>2</v>
      </c>
      <c r="Z528" s="20">
        <f>SUMIFS(T$3:T528,L$3:L528,"=Intermission")+SUMIFS(T$3:T528,L$3:L528,"=Timeout")+SUMIFS(T$3:T528,L$3:L528,"=Clockstop")</f>
        <v>0</v>
      </c>
      <c r="AA528">
        <f t="shared" si="91"/>
        <v>0</v>
      </c>
      <c r="AB528" s="26">
        <f t="shared" si="92"/>
        <v>678</v>
      </c>
      <c r="AC528">
        <f t="shared" si="93"/>
        <v>0</v>
      </c>
    </row>
    <row r="529" spans="1:29" x14ac:dyDescent="0.2">
      <c r="A529">
        <v>274</v>
      </c>
      <c r="D529">
        <f t="shared" si="94"/>
        <v>1</v>
      </c>
      <c r="E529">
        <v>6</v>
      </c>
      <c r="F529" s="6" t="s">
        <v>430</v>
      </c>
      <c r="I529" t="s">
        <v>178</v>
      </c>
      <c r="J529">
        <v>27</v>
      </c>
      <c r="K529" t="s">
        <v>489</v>
      </c>
      <c r="L529" t="s">
        <v>8</v>
      </c>
      <c r="M529" t="s">
        <v>209</v>
      </c>
      <c r="N529" t="s">
        <v>70</v>
      </c>
      <c r="Q529">
        <f t="shared" si="90"/>
        <v>18977</v>
      </c>
      <c r="R529" t="str">
        <f t="shared" si="90"/>
        <v>Velodrome</v>
      </c>
      <c r="S529" t="str">
        <f t="shared" si="90"/>
        <v>HollowBrook</v>
      </c>
      <c r="T529" s="20">
        <f t="shared" si="87"/>
        <v>0</v>
      </c>
      <c r="U529">
        <f t="shared" si="88"/>
        <v>402</v>
      </c>
      <c r="V529">
        <f t="shared" si="89"/>
        <v>402</v>
      </c>
      <c r="W529" cm="1">
        <f t="array" ref="W529">_xlfn._xlws.FILTER(shifts!A:A,(shifts!B:B=events!D529)*(shifts!AH:AH&gt;=events!U529)*(shifts!AI:AI&lt;=events!V529))</f>
        <v>15</v>
      </c>
      <c r="X529" t="str">
        <f t="shared" si="86"/>
        <v>opp_team_player_1</v>
      </c>
      <c r="Y529">
        <f>COUNTIFS(A$3:A529,"="&amp;A529,K$3:K529,"="&amp;K529)</f>
        <v>1</v>
      </c>
      <c r="Z529" s="20">
        <f>SUMIFS(T$3:T529,L$3:L529,"=Intermission")+SUMIFS(T$3:T529,L$3:L529,"=Timeout")+SUMIFS(T$3:T529,L$3:L529,"=Clockstop")</f>
        <v>0</v>
      </c>
      <c r="AA529">
        <f t="shared" si="91"/>
        <v>0</v>
      </c>
      <c r="AB529" s="26">
        <f t="shared" si="92"/>
        <v>678</v>
      </c>
      <c r="AC529">
        <f t="shared" si="93"/>
        <v>0</v>
      </c>
    </row>
    <row r="530" spans="1:29" x14ac:dyDescent="0.2">
      <c r="A530">
        <v>275</v>
      </c>
      <c r="D530">
        <f t="shared" si="94"/>
        <v>1</v>
      </c>
      <c r="E530">
        <v>6</v>
      </c>
      <c r="F530" s="6" t="s">
        <v>431</v>
      </c>
      <c r="G530">
        <v>6</v>
      </c>
      <c r="H530" s="8" t="s">
        <v>437</v>
      </c>
      <c r="I530" t="s">
        <v>178</v>
      </c>
      <c r="J530">
        <v>91</v>
      </c>
      <c r="K530" t="s">
        <v>488</v>
      </c>
      <c r="L530" t="s">
        <v>15</v>
      </c>
      <c r="Q530">
        <f t="shared" si="90"/>
        <v>18977</v>
      </c>
      <c r="R530" t="str">
        <f t="shared" si="90"/>
        <v>Velodrome</v>
      </c>
      <c r="S530" t="str">
        <f t="shared" si="90"/>
        <v>HollowBrook</v>
      </c>
      <c r="T530" s="20">
        <f t="shared" si="87"/>
        <v>1</v>
      </c>
      <c r="U530">
        <f t="shared" si="88"/>
        <v>401</v>
      </c>
      <c r="V530">
        <f t="shared" si="89"/>
        <v>400</v>
      </c>
      <c r="W530" cm="1">
        <f t="array" ref="W530">_xlfn._xlws.FILTER(shifts!A:A,(shifts!B:B=events!D530)*(shifts!AH:AH&gt;=events!U530)*(shifts!AI:AI&lt;=events!V530))</f>
        <v>15</v>
      </c>
      <c r="X530" t="str">
        <f t="shared" si="86"/>
        <v>event_team_player_1</v>
      </c>
      <c r="Y530">
        <f>COUNTIFS(A$3:A530,"="&amp;A530,K$3:K530,"="&amp;K530)</f>
        <v>1</v>
      </c>
      <c r="Z530" s="20">
        <f>SUMIFS(T$3:T530,L$3:L530,"=Intermission")+SUMIFS(T$3:T530,L$3:L530,"=Timeout")+SUMIFS(T$3:T530,L$3:L530,"=Clockstop")</f>
        <v>0</v>
      </c>
      <c r="AA530">
        <f t="shared" si="91"/>
        <v>0</v>
      </c>
      <c r="AB530" s="26">
        <f t="shared" si="92"/>
        <v>679</v>
      </c>
      <c r="AC530">
        <f t="shared" si="93"/>
        <v>0</v>
      </c>
    </row>
    <row r="531" spans="1:29" x14ac:dyDescent="0.2">
      <c r="A531">
        <v>276</v>
      </c>
      <c r="D531">
        <f t="shared" si="94"/>
        <v>1</v>
      </c>
      <c r="E531">
        <v>6</v>
      </c>
      <c r="F531" s="6" t="s">
        <v>437</v>
      </c>
      <c r="I531" t="s">
        <v>178</v>
      </c>
      <c r="J531">
        <v>91</v>
      </c>
      <c r="K531" t="s">
        <v>488</v>
      </c>
      <c r="L531" t="s">
        <v>7</v>
      </c>
      <c r="M531" t="s">
        <v>222</v>
      </c>
      <c r="N531" t="s">
        <v>53</v>
      </c>
      <c r="Q531">
        <f t="shared" si="90"/>
        <v>18977</v>
      </c>
      <c r="R531" t="str">
        <f t="shared" si="90"/>
        <v>Velodrome</v>
      </c>
      <c r="S531" t="str">
        <f t="shared" si="90"/>
        <v>HollowBrook</v>
      </c>
      <c r="T531" s="20">
        <f t="shared" si="87"/>
        <v>0</v>
      </c>
      <c r="U531">
        <f t="shared" si="88"/>
        <v>400</v>
      </c>
      <c r="V531">
        <f t="shared" si="89"/>
        <v>400</v>
      </c>
      <c r="W531" cm="1">
        <f t="array" ref="W531">_xlfn._xlws.FILTER(shifts!A:A,(shifts!B:B=events!D531)*(shifts!AH:AH&gt;=events!U531)*(shifts!AI:AI&lt;=events!V531))</f>
        <v>15</v>
      </c>
      <c r="X531" t="str">
        <f t="shared" si="86"/>
        <v>event_team_player_1</v>
      </c>
      <c r="Y531">
        <f>COUNTIFS(A$3:A531,"="&amp;A531,K$3:K531,"="&amp;K531)</f>
        <v>1</v>
      </c>
      <c r="Z531" s="20">
        <f>SUMIFS(T$3:T531,L$3:L531,"=Intermission")+SUMIFS(T$3:T531,L$3:L531,"=Timeout")+SUMIFS(T$3:T531,L$3:L531,"=Clockstop")</f>
        <v>0</v>
      </c>
      <c r="AA531">
        <f t="shared" si="91"/>
        <v>0</v>
      </c>
      <c r="AB531" s="26">
        <f t="shared" si="92"/>
        <v>680</v>
      </c>
      <c r="AC531">
        <f t="shared" si="93"/>
        <v>0</v>
      </c>
    </row>
    <row r="532" spans="1:29" x14ac:dyDescent="0.2">
      <c r="A532">
        <v>276</v>
      </c>
      <c r="D532">
        <f t="shared" si="94"/>
        <v>1</v>
      </c>
      <c r="E532">
        <v>6</v>
      </c>
      <c r="F532" s="6" t="s">
        <v>437</v>
      </c>
      <c r="I532" t="s">
        <v>178</v>
      </c>
      <c r="J532">
        <v>99</v>
      </c>
      <c r="K532" t="s">
        <v>489</v>
      </c>
      <c r="L532" t="s">
        <v>7</v>
      </c>
      <c r="M532" t="s">
        <v>222</v>
      </c>
      <c r="N532" t="s">
        <v>53</v>
      </c>
      <c r="Q532">
        <f t="shared" ref="Q532:S547" si="95">Q531</f>
        <v>18977</v>
      </c>
      <c r="R532" t="str">
        <f t="shared" si="95"/>
        <v>Velodrome</v>
      </c>
      <c r="S532" t="str">
        <f t="shared" si="95"/>
        <v>HollowBrook</v>
      </c>
      <c r="T532" s="20">
        <f t="shared" si="87"/>
        <v>0</v>
      </c>
      <c r="U532">
        <f t="shared" si="88"/>
        <v>400</v>
      </c>
      <c r="V532">
        <f t="shared" si="89"/>
        <v>400</v>
      </c>
      <c r="W532" cm="1">
        <f t="array" ref="W532">_xlfn._xlws.FILTER(shifts!A:A,(shifts!B:B=events!D532)*(shifts!AH:AH&gt;=events!U532)*(shifts!AI:AI&lt;=events!V532))</f>
        <v>15</v>
      </c>
      <c r="X532" t="str">
        <f t="shared" si="86"/>
        <v>opp_team_player_1</v>
      </c>
      <c r="Y532">
        <f>COUNTIFS(A$3:A532,"="&amp;A532,K$3:K532,"="&amp;K532)</f>
        <v>1</v>
      </c>
      <c r="Z532" s="20">
        <f>SUMIFS(T$3:T532,L$3:L532,"=Intermission")+SUMIFS(T$3:T532,L$3:L532,"=Timeout")+SUMIFS(T$3:T532,L$3:L532,"=Clockstop")</f>
        <v>0</v>
      </c>
      <c r="AA532">
        <f t="shared" si="91"/>
        <v>0</v>
      </c>
      <c r="AB532" s="26">
        <f t="shared" si="92"/>
        <v>680</v>
      </c>
      <c r="AC532">
        <f t="shared" si="93"/>
        <v>0</v>
      </c>
    </row>
    <row r="533" spans="1:29" x14ac:dyDescent="0.2">
      <c r="A533">
        <v>276</v>
      </c>
      <c r="D533">
        <f t="shared" si="94"/>
        <v>1</v>
      </c>
      <c r="E533">
        <v>6</v>
      </c>
      <c r="F533" s="6" t="s">
        <v>437</v>
      </c>
      <c r="I533" t="s">
        <v>178</v>
      </c>
      <c r="J533">
        <v>5</v>
      </c>
      <c r="K533" t="s">
        <v>489</v>
      </c>
      <c r="L533" t="s">
        <v>7</v>
      </c>
      <c r="M533" t="s">
        <v>222</v>
      </c>
      <c r="N533" t="s">
        <v>53</v>
      </c>
      <c r="Q533">
        <f t="shared" si="95"/>
        <v>18977</v>
      </c>
      <c r="R533" t="str">
        <f t="shared" si="95"/>
        <v>Velodrome</v>
      </c>
      <c r="S533" t="str">
        <f t="shared" si="95"/>
        <v>HollowBrook</v>
      </c>
      <c r="T533" s="20">
        <f t="shared" si="87"/>
        <v>0</v>
      </c>
      <c r="U533">
        <f t="shared" si="88"/>
        <v>400</v>
      </c>
      <c r="V533">
        <f t="shared" si="89"/>
        <v>400</v>
      </c>
      <c r="W533" cm="1">
        <f t="array" ref="W533">_xlfn._xlws.FILTER(shifts!A:A,(shifts!B:B=events!D533)*(shifts!AH:AH&gt;=events!U533)*(shifts!AI:AI&lt;=events!V533))</f>
        <v>15</v>
      </c>
      <c r="X533" t="str">
        <f t="shared" si="86"/>
        <v>opp_team_player_2</v>
      </c>
      <c r="Y533">
        <f>COUNTIFS(A$3:A533,"="&amp;A533,K$3:K533,"="&amp;K533)</f>
        <v>2</v>
      </c>
      <c r="Z533" s="20">
        <f>SUMIFS(T$3:T533,L$3:L533,"=Intermission")+SUMIFS(T$3:T533,L$3:L533,"=Timeout")+SUMIFS(T$3:T533,L$3:L533,"=Clockstop")</f>
        <v>0</v>
      </c>
      <c r="AA533">
        <f t="shared" si="91"/>
        <v>0</v>
      </c>
      <c r="AB533" s="26">
        <f t="shared" si="92"/>
        <v>680</v>
      </c>
      <c r="AC533">
        <f t="shared" si="93"/>
        <v>0</v>
      </c>
    </row>
    <row r="534" spans="1:29" x14ac:dyDescent="0.2">
      <c r="A534">
        <v>277</v>
      </c>
      <c r="D534">
        <f t="shared" si="94"/>
        <v>1</v>
      </c>
      <c r="E534">
        <v>6</v>
      </c>
      <c r="F534" s="6" t="s">
        <v>437</v>
      </c>
      <c r="I534" t="s">
        <v>179</v>
      </c>
      <c r="J534">
        <v>99</v>
      </c>
      <c r="K534" t="s">
        <v>488</v>
      </c>
      <c r="L534" t="s">
        <v>17</v>
      </c>
      <c r="M534" t="s">
        <v>196</v>
      </c>
      <c r="N534" t="s">
        <v>97</v>
      </c>
      <c r="Q534">
        <f t="shared" si="95"/>
        <v>18977</v>
      </c>
      <c r="R534" t="str">
        <f t="shared" si="95"/>
        <v>Velodrome</v>
      </c>
      <c r="S534" t="str">
        <f t="shared" si="95"/>
        <v>HollowBrook</v>
      </c>
      <c r="T534" s="20">
        <f t="shared" si="87"/>
        <v>0</v>
      </c>
      <c r="U534">
        <f t="shared" si="88"/>
        <v>400</v>
      </c>
      <c r="V534">
        <f t="shared" si="89"/>
        <v>400</v>
      </c>
      <c r="W534" cm="1">
        <f t="array" ref="W534">_xlfn._xlws.FILTER(shifts!A:A,(shifts!B:B=events!D534)*(shifts!AH:AH&gt;=events!U534)*(shifts!AI:AI&lt;=events!V534))</f>
        <v>15</v>
      </c>
      <c r="X534" t="str">
        <f t="shared" si="86"/>
        <v>event_team_player_1</v>
      </c>
      <c r="Y534">
        <f>COUNTIFS(A$3:A534,"="&amp;A534,K$3:K534,"="&amp;K534)</f>
        <v>1</v>
      </c>
      <c r="Z534" s="20">
        <f>SUMIFS(T$3:T534,L$3:L534,"=Intermission")+SUMIFS(T$3:T534,L$3:L534,"=Timeout")+SUMIFS(T$3:T534,L$3:L534,"=Clockstop")</f>
        <v>0</v>
      </c>
      <c r="AA534">
        <f t="shared" si="91"/>
        <v>0</v>
      </c>
      <c r="AB534" s="26">
        <f t="shared" si="92"/>
        <v>680</v>
      </c>
      <c r="AC534">
        <f t="shared" si="93"/>
        <v>0</v>
      </c>
    </row>
    <row r="535" spans="1:29" x14ac:dyDescent="0.2">
      <c r="A535">
        <v>277</v>
      </c>
      <c r="D535">
        <f t="shared" si="94"/>
        <v>1</v>
      </c>
      <c r="E535">
        <v>6</v>
      </c>
      <c r="F535" s="6" t="s">
        <v>437</v>
      </c>
      <c r="I535" t="s">
        <v>179</v>
      </c>
      <c r="J535">
        <v>5</v>
      </c>
      <c r="K535" t="s">
        <v>488</v>
      </c>
      <c r="L535" t="s">
        <v>17</v>
      </c>
      <c r="M535" t="s">
        <v>196</v>
      </c>
      <c r="N535" t="s">
        <v>97</v>
      </c>
      <c r="Q535">
        <f t="shared" si="95"/>
        <v>18977</v>
      </c>
      <c r="R535" t="str">
        <f t="shared" si="95"/>
        <v>Velodrome</v>
      </c>
      <c r="S535" t="str">
        <f t="shared" si="95"/>
        <v>HollowBrook</v>
      </c>
      <c r="T535" s="20">
        <f t="shared" si="87"/>
        <v>0</v>
      </c>
      <c r="U535">
        <f t="shared" si="88"/>
        <v>400</v>
      </c>
      <c r="V535">
        <f t="shared" si="89"/>
        <v>400</v>
      </c>
      <c r="W535" cm="1">
        <f t="array" ref="W535">_xlfn._xlws.FILTER(shifts!A:A,(shifts!B:B=events!D535)*(shifts!AH:AH&gt;=events!U535)*(shifts!AI:AI&lt;=events!V535))</f>
        <v>15</v>
      </c>
      <c r="X535" t="str">
        <f t="shared" si="86"/>
        <v>event_team_player_2</v>
      </c>
      <c r="Y535">
        <f>COUNTIFS(A$3:A535,"="&amp;A535,K$3:K535,"="&amp;K535)</f>
        <v>2</v>
      </c>
      <c r="Z535" s="20">
        <f>SUMIFS(T$3:T535,L$3:L535,"=Intermission")+SUMIFS(T$3:T535,L$3:L535,"=Timeout")+SUMIFS(T$3:T535,L$3:L535,"=Clockstop")</f>
        <v>0</v>
      </c>
      <c r="AA535">
        <f t="shared" si="91"/>
        <v>0</v>
      </c>
      <c r="AB535" s="26">
        <f t="shared" si="92"/>
        <v>680</v>
      </c>
      <c r="AC535">
        <f t="shared" si="93"/>
        <v>0</v>
      </c>
    </row>
    <row r="536" spans="1:29" x14ac:dyDescent="0.2">
      <c r="A536">
        <v>277</v>
      </c>
      <c r="D536">
        <f t="shared" si="94"/>
        <v>1</v>
      </c>
      <c r="E536">
        <v>6</v>
      </c>
      <c r="F536" s="6" t="s">
        <v>437</v>
      </c>
      <c r="I536" t="s">
        <v>179</v>
      </c>
      <c r="J536">
        <v>91</v>
      </c>
      <c r="K536" t="s">
        <v>489</v>
      </c>
      <c r="L536" t="s">
        <v>17</v>
      </c>
      <c r="M536" t="s">
        <v>196</v>
      </c>
      <c r="N536" t="s">
        <v>97</v>
      </c>
      <c r="Q536">
        <f t="shared" si="95"/>
        <v>18977</v>
      </c>
      <c r="R536" t="str">
        <f t="shared" si="95"/>
        <v>Velodrome</v>
      </c>
      <c r="S536" t="str">
        <f t="shared" si="95"/>
        <v>HollowBrook</v>
      </c>
      <c r="T536" s="20">
        <f t="shared" si="87"/>
        <v>0</v>
      </c>
      <c r="U536">
        <f t="shared" si="88"/>
        <v>400</v>
      </c>
      <c r="V536">
        <f t="shared" si="89"/>
        <v>400</v>
      </c>
      <c r="W536" cm="1">
        <f t="array" ref="W536">_xlfn._xlws.FILTER(shifts!A:A,(shifts!B:B=events!D536)*(shifts!AH:AH&gt;=events!U536)*(shifts!AI:AI&lt;=events!V536))</f>
        <v>15</v>
      </c>
      <c r="X536" t="str">
        <f t="shared" si="86"/>
        <v>opp_team_player_1</v>
      </c>
      <c r="Y536">
        <f>COUNTIFS(A$3:A536,"="&amp;A536,K$3:K536,"="&amp;K536)</f>
        <v>1</v>
      </c>
      <c r="Z536" s="20">
        <f>SUMIFS(T$3:T536,L$3:L536,"=Intermission")+SUMIFS(T$3:T536,L$3:L536,"=Timeout")+SUMIFS(T$3:T536,L$3:L536,"=Clockstop")</f>
        <v>0</v>
      </c>
      <c r="AA536">
        <f t="shared" si="91"/>
        <v>0</v>
      </c>
      <c r="AB536" s="26">
        <f t="shared" si="92"/>
        <v>680</v>
      </c>
      <c r="AC536">
        <f t="shared" si="93"/>
        <v>0</v>
      </c>
    </row>
    <row r="537" spans="1:29" x14ac:dyDescent="0.2">
      <c r="A537">
        <v>278</v>
      </c>
      <c r="D537">
        <f t="shared" si="94"/>
        <v>1</v>
      </c>
      <c r="E537">
        <v>6</v>
      </c>
      <c r="F537" s="6" t="s">
        <v>437</v>
      </c>
      <c r="I537" t="s">
        <v>179</v>
      </c>
      <c r="J537">
        <v>99</v>
      </c>
      <c r="K537" t="s">
        <v>488</v>
      </c>
      <c r="L537" t="s">
        <v>270</v>
      </c>
      <c r="M537" t="s">
        <v>271</v>
      </c>
      <c r="Q537">
        <f t="shared" si="95"/>
        <v>18977</v>
      </c>
      <c r="R537" t="str">
        <f t="shared" si="95"/>
        <v>Velodrome</v>
      </c>
      <c r="S537" t="str">
        <f t="shared" si="95"/>
        <v>HollowBrook</v>
      </c>
      <c r="T537" s="20">
        <f t="shared" si="87"/>
        <v>0</v>
      </c>
      <c r="U537">
        <f t="shared" si="88"/>
        <v>400</v>
      </c>
      <c r="V537">
        <f t="shared" si="89"/>
        <v>400</v>
      </c>
      <c r="W537" cm="1">
        <f t="array" ref="W537">_xlfn._xlws.FILTER(shifts!A:A,(shifts!B:B=events!D537)*(shifts!AH:AH&gt;=events!U537)*(shifts!AI:AI&lt;=events!V537))</f>
        <v>15</v>
      </c>
      <c r="X537" t="str">
        <f t="shared" si="86"/>
        <v>event_team_player_1</v>
      </c>
      <c r="Y537">
        <f>COUNTIFS(A$3:A537,"="&amp;A537,K$3:K537,"="&amp;K537)</f>
        <v>1</v>
      </c>
      <c r="Z537" s="20">
        <f>SUMIFS(T$3:T537,L$3:L537,"=Intermission")+SUMIFS(T$3:T537,L$3:L537,"=Timeout")+SUMIFS(T$3:T537,L$3:L537,"=Clockstop")</f>
        <v>0</v>
      </c>
      <c r="AA537">
        <f t="shared" si="91"/>
        <v>0</v>
      </c>
      <c r="AB537" s="26">
        <f t="shared" si="92"/>
        <v>680</v>
      </c>
      <c r="AC537">
        <f t="shared" si="93"/>
        <v>0</v>
      </c>
    </row>
    <row r="538" spans="1:29" x14ac:dyDescent="0.2">
      <c r="A538">
        <v>279</v>
      </c>
      <c r="D538">
        <f t="shared" si="94"/>
        <v>1</v>
      </c>
      <c r="E538">
        <v>6</v>
      </c>
      <c r="F538" s="6" t="s">
        <v>438</v>
      </c>
      <c r="I538" t="s">
        <v>179</v>
      </c>
      <c r="J538">
        <v>27</v>
      </c>
      <c r="K538" t="s">
        <v>488</v>
      </c>
      <c r="L538" t="s">
        <v>277</v>
      </c>
      <c r="M538" t="s">
        <v>201</v>
      </c>
      <c r="N538" t="s">
        <v>92</v>
      </c>
      <c r="Q538">
        <f t="shared" si="95"/>
        <v>18977</v>
      </c>
      <c r="R538" t="str">
        <f t="shared" si="95"/>
        <v>Velodrome</v>
      </c>
      <c r="S538" t="str">
        <f t="shared" si="95"/>
        <v>HollowBrook</v>
      </c>
      <c r="T538" s="20">
        <f t="shared" si="87"/>
        <v>0</v>
      </c>
      <c r="U538">
        <f t="shared" si="88"/>
        <v>398</v>
      </c>
      <c r="V538">
        <f t="shared" si="89"/>
        <v>398</v>
      </c>
      <c r="W538" cm="1">
        <f t="array" ref="W538">_xlfn._xlws.FILTER(shifts!A:A,(shifts!B:B=events!D538)*(shifts!AH:AH&gt;=events!U538)*(shifts!AI:AI&lt;=events!V538))</f>
        <v>15</v>
      </c>
      <c r="X538" t="str">
        <f t="shared" si="86"/>
        <v>event_team_player_1</v>
      </c>
      <c r="Y538">
        <f>COUNTIFS(A$3:A538,"="&amp;A538,K$3:K538,"="&amp;K538)</f>
        <v>1</v>
      </c>
      <c r="Z538" s="20">
        <f>SUMIFS(T$3:T538,L$3:L538,"=Intermission")+SUMIFS(T$3:T538,L$3:L538,"=Timeout")+SUMIFS(T$3:T538,L$3:L538,"=Clockstop")</f>
        <v>0</v>
      </c>
      <c r="AA538">
        <f t="shared" si="91"/>
        <v>0</v>
      </c>
      <c r="AB538" s="26">
        <f t="shared" si="92"/>
        <v>682</v>
      </c>
      <c r="AC538">
        <f t="shared" si="93"/>
        <v>0</v>
      </c>
    </row>
    <row r="539" spans="1:29" x14ac:dyDescent="0.2">
      <c r="A539">
        <v>280</v>
      </c>
      <c r="D539">
        <f t="shared" si="94"/>
        <v>1</v>
      </c>
      <c r="E539">
        <v>6</v>
      </c>
      <c r="F539" s="6" t="s">
        <v>453</v>
      </c>
      <c r="I539" t="s">
        <v>179</v>
      </c>
      <c r="J539">
        <v>27</v>
      </c>
      <c r="K539" t="s">
        <v>488</v>
      </c>
      <c r="L539" t="s">
        <v>10</v>
      </c>
      <c r="M539" t="s">
        <v>190</v>
      </c>
      <c r="N539" t="s">
        <v>460</v>
      </c>
      <c r="Q539">
        <f t="shared" si="95"/>
        <v>18977</v>
      </c>
      <c r="R539" t="str">
        <f t="shared" si="95"/>
        <v>Velodrome</v>
      </c>
      <c r="S539" t="str">
        <f t="shared" si="95"/>
        <v>HollowBrook</v>
      </c>
      <c r="T539" s="20">
        <f t="shared" si="87"/>
        <v>0</v>
      </c>
      <c r="U539">
        <f t="shared" si="88"/>
        <v>397</v>
      </c>
      <c r="V539">
        <f t="shared" si="89"/>
        <v>397</v>
      </c>
      <c r="W539" cm="1">
        <f t="array" ref="W539">_xlfn._xlws.FILTER(shifts!A:A,(shifts!B:B=events!D539)*(shifts!AH:AH&gt;=events!U539)*(shifts!AI:AI&lt;=events!V539))</f>
        <v>15</v>
      </c>
      <c r="X539" t="str">
        <f t="shared" si="86"/>
        <v>event_team_player_1</v>
      </c>
      <c r="Y539">
        <f>COUNTIFS(A$3:A539,"="&amp;A539,K$3:K539,"="&amp;K539)</f>
        <v>1</v>
      </c>
      <c r="Z539" s="20">
        <f>SUMIFS(T$3:T539,L$3:L539,"=Intermission")+SUMIFS(T$3:T539,L$3:L539,"=Timeout")+SUMIFS(T$3:T539,L$3:L539,"=Clockstop")</f>
        <v>0</v>
      </c>
      <c r="AA539">
        <f t="shared" si="91"/>
        <v>0</v>
      </c>
      <c r="AB539" s="26">
        <f t="shared" si="92"/>
        <v>683</v>
      </c>
      <c r="AC539">
        <f t="shared" si="93"/>
        <v>0</v>
      </c>
    </row>
    <row r="540" spans="1:29" x14ac:dyDescent="0.2">
      <c r="A540">
        <v>280</v>
      </c>
      <c r="D540">
        <f t="shared" si="94"/>
        <v>1</v>
      </c>
      <c r="E540">
        <v>6</v>
      </c>
      <c r="F540" s="6" t="s">
        <v>453</v>
      </c>
      <c r="I540" t="s">
        <v>179</v>
      </c>
      <c r="J540">
        <v>70</v>
      </c>
      <c r="K540" t="s">
        <v>489</v>
      </c>
      <c r="L540" t="s">
        <v>10</v>
      </c>
      <c r="M540" t="s">
        <v>190</v>
      </c>
      <c r="N540" t="s">
        <v>460</v>
      </c>
      <c r="Q540">
        <f t="shared" si="95"/>
        <v>18977</v>
      </c>
      <c r="R540" t="str">
        <f t="shared" si="95"/>
        <v>Velodrome</v>
      </c>
      <c r="S540" t="str">
        <f t="shared" si="95"/>
        <v>HollowBrook</v>
      </c>
      <c r="T540" s="20">
        <f t="shared" si="87"/>
        <v>0</v>
      </c>
      <c r="U540">
        <f t="shared" si="88"/>
        <v>397</v>
      </c>
      <c r="V540">
        <f t="shared" si="89"/>
        <v>397</v>
      </c>
      <c r="W540" cm="1">
        <f t="array" ref="W540">_xlfn._xlws.FILTER(shifts!A:A,(shifts!B:B=events!D540)*(shifts!AH:AH&gt;=events!U540)*(shifts!AI:AI&lt;=events!V540))</f>
        <v>15</v>
      </c>
      <c r="X540" t="str">
        <f t="shared" si="86"/>
        <v>opp_team_player_1</v>
      </c>
      <c r="Y540">
        <f>COUNTIFS(A$3:A540,"="&amp;A540,K$3:K540,"="&amp;K540)</f>
        <v>1</v>
      </c>
      <c r="Z540" s="20">
        <f>SUMIFS(T$3:T540,L$3:L540,"=Intermission")+SUMIFS(T$3:T540,L$3:L540,"=Timeout")+SUMIFS(T$3:T540,L$3:L540,"=Clockstop")</f>
        <v>0</v>
      </c>
      <c r="AA540">
        <f t="shared" si="91"/>
        <v>0</v>
      </c>
      <c r="AB540" s="26">
        <f t="shared" si="92"/>
        <v>683</v>
      </c>
      <c r="AC540">
        <f t="shared" si="93"/>
        <v>0</v>
      </c>
    </row>
    <row r="541" spans="1:29" x14ac:dyDescent="0.2">
      <c r="A541">
        <v>281</v>
      </c>
      <c r="D541">
        <f t="shared" si="94"/>
        <v>1</v>
      </c>
      <c r="E541">
        <v>6</v>
      </c>
      <c r="F541" s="6" t="s">
        <v>453</v>
      </c>
      <c r="G541">
        <v>6</v>
      </c>
      <c r="H541" s="8" t="s">
        <v>455</v>
      </c>
      <c r="I541" t="s">
        <v>178</v>
      </c>
      <c r="J541">
        <v>70</v>
      </c>
      <c r="K541" t="s">
        <v>488</v>
      </c>
      <c r="L541" t="s">
        <v>15</v>
      </c>
      <c r="Q541">
        <f t="shared" si="95"/>
        <v>18977</v>
      </c>
      <c r="R541" t="str">
        <f t="shared" si="95"/>
        <v>Velodrome</v>
      </c>
      <c r="S541" t="str">
        <f t="shared" si="95"/>
        <v>HollowBrook</v>
      </c>
      <c r="T541" s="20">
        <f t="shared" si="87"/>
        <v>2</v>
      </c>
      <c r="U541">
        <f t="shared" si="88"/>
        <v>397</v>
      </c>
      <c r="V541">
        <f t="shared" si="89"/>
        <v>395</v>
      </c>
      <c r="W541" cm="1">
        <f t="array" ref="W541">_xlfn._xlws.FILTER(shifts!A:A,(shifts!B:B=events!D541)*(shifts!AH:AH&gt;=events!U541)*(shifts!AI:AI&lt;=events!V541))</f>
        <v>15</v>
      </c>
      <c r="X541" t="str">
        <f t="shared" si="86"/>
        <v>event_team_player_1</v>
      </c>
      <c r="Y541">
        <f>COUNTIFS(A$3:A541,"="&amp;A541,K$3:K541,"="&amp;K541)</f>
        <v>1</v>
      </c>
      <c r="Z541" s="20">
        <f>SUMIFS(T$3:T541,L$3:L541,"=Intermission")+SUMIFS(T$3:T541,L$3:L541,"=Timeout")+SUMIFS(T$3:T541,L$3:L541,"=Clockstop")</f>
        <v>0</v>
      </c>
      <c r="AA541">
        <f t="shared" si="91"/>
        <v>0</v>
      </c>
      <c r="AB541" s="26">
        <f t="shared" si="92"/>
        <v>683</v>
      </c>
      <c r="AC541">
        <f t="shared" si="93"/>
        <v>0</v>
      </c>
    </row>
    <row r="542" spans="1:29" x14ac:dyDescent="0.2">
      <c r="A542">
        <v>282</v>
      </c>
      <c r="D542">
        <f t="shared" si="94"/>
        <v>1</v>
      </c>
      <c r="E542">
        <v>6</v>
      </c>
      <c r="F542" s="6" t="s">
        <v>455</v>
      </c>
      <c r="I542" t="s">
        <v>178</v>
      </c>
      <c r="J542">
        <v>70</v>
      </c>
      <c r="K542" t="s">
        <v>488</v>
      </c>
      <c r="L542" t="s">
        <v>277</v>
      </c>
      <c r="M542" t="s">
        <v>191</v>
      </c>
      <c r="N542" t="s">
        <v>89</v>
      </c>
      <c r="Q542">
        <f t="shared" si="95"/>
        <v>18977</v>
      </c>
      <c r="R542" t="str">
        <f t="shared" si="95"/>
        <v>Velodrome</v>
      </c>
      <c r="S542" t="str">
        <f t="shared" si="95"/>
        <v>HollowBrook</v>
      </c>
      <c r="T542" s="20">
        <f t="shared" si="87"/>
        <v>0</v>
      </c>
      <c r="U542">
        <f t="shared" si="88"/>
        <v>395</v>
      </c>
      <c r="V542">
        <f t="shared" si="89"/>
        <v>395</v>
      </c>
      <c r="W542">
        <v>16</v>
      </c>
      <c r="X542" t="str">
        <f t="shared" si="86"/>
        <v>event_team_player_1</v>
      </c>
      <c r="Y542">
        <f>COUNTIFS(A$3:A542,"="&amp;A542,K$3:K542,"="&amp;K542)</f>
        <v>1</v>
      </c>
      <c r="Z542" s="20">
        <f>SUMIFS(T$3:T542,L$3:L542,"=Intermission")+SUMIFS(T$3:T542,L$3:L542,"=Timeout")+SUMIFS(T$3:T542,L$3:L542,"=Clockstop")</f>
        <v>0</v>
      </c>
      <c r="AA542">
        <f t="shared" si="91"/>
        <v>0</v>
      </c>
      <c r="AB542" s="26">
        <f t="shared" si="92"/>
        <v>685</v>
      </c>
      <c r="AC542">
        <f t="shared" si="93"/>
        <v>0</v>
      </c>
    </row>
    <row r="543" spans="1:29" x14ac:dyDescent="0.2">
      <c r="A543">
        <v>283</v>
      </c>
      <c r="D543">
        <f t="shared" si="94"/>
        <v>1</v>
      </c>
      <c r="E543">
        <v>6</v>
      </c>
      <c r="F543" s="6" t="s">
        <v>493</v>
      </c>
      <c r="G543">
        <v>6</v>
      </c>
      <c r="H543" s="8" t="s">
        <v>443</v>
      </c>
      <c r="I543" t="s">
        <v>178</v>
      </c>
      <c r="J543">
        <v>91</v>
      </c>
      <c r="K543" t="s">
        <v>488</v>
      </c>
      <c r="L543" t="s">
        <v>15</v>
      </c>
      <c r="Q543">
        <f t="shared" si="95"/>
        <v>18977</v>
      </c>
      <c r="R543" t="str">
        <f t="shared" si="95"/>
        <v>Velodrome</v>
      </c>
      <c r="S543" t="str">
        <f t="shared" si="95"/>
        <v>HollowBrook</v>
      </c>
      <c r="T543" s="20">
        <f t="shared" si="87"/>
        <v>5</v>
      </c>
      <c r="U543">
        <f t="shared" si="88"/>
        <v>391</v>
      </c>
      <c r="V543">
        <f t="shared" si="89"/>
        <v>386</v>
      </c>
      <c r="W543">
        <v>17</v>
      </c>
      <c r="X543" t="str">
        <f t="shared" si="86"/>
        <v>event_team_player_1</v>
      </c>
      <c r="Y543">
        <f>COUNTIFS(A$3:A543,"="&amp;A543,K$3:K543,"="&amp;K543)</f>
        <v>1</v>
      </c>
      <c r="Z543" s="20">
        <f>SUMIFS(T$3:T543,L$3:L543,"=Intermission")+SUMIFS(T$3:T543,L$3:L543,"=Timeout")+SUMIFS(T$3:T543,L$3:L543,"=Clockstop")</f>
        <v>0</v>
      </c>
      <c r="AA543">
        <f t="shared" si="91"/>
        <v>0</v>
      </c>
      <c r="AB543" s="26">
        <f t="shared" si="92"/>
        <v>689</v>
      </c>
      <c r="AC543">
        <f t="shared" si="93"/>
        <v>0</v>
      </c>
    </row>
    <row r="544" spans="1:29" x14ac:dyDescent="0.2">
      <c r="A544">
        <v>284</v>
      </c>
      <c r="D544">
        <f t="shared" si="94"/>
        <v>1</v>
      </c>
      <c r="E544">
        <v>6</v>
      </c>
      <c r="F544" s="6" t="s">
        <v>443</v>
      </c>
      <c r="I544" t="s">
        <v>178</v>
      </c>
      <c r="J544">
        <v>91</v>
      </c>
      <c r="K544" t="s">
        <v>488</v>
      </c>
      <c r="L544" t="s">
        <v>8</v>
      </c>
      <c r="M544" t="s">
        <v>189</v>
      </c>
      <c r="N544" t="s">
        <v>70</v>
      </c>
      <c r="Q544">
        <f t="shared" si="95"/>
        <v>18977</v>
      </c>
      <c r="R544" t="str">
        <f t="shared" si="95"/>
        <v>Velodrome</v>
      </c>
      <c r="S544" t="str">
        <f t="shared" si="95"/>
        <v>HollowBrook</v>
      </c>
      <c r="T544" s="20">
        <f t="shared" si="87"/>
        <v>0</v>
      </c>
      <c r="U544">
        <f t="shared" si="88"/>
        <v>386</v>
      </c>
      <c r="V544">
        <f t="shared" si="89"/>
        <v>386</v>
      </c>
      <c r="W544" cm="1">
        <f t="array" ref="W544">_xlfn._xlws.FILTER(shifts!A:A,(shifts!B:B=events!D544)*(shifts!AH:AH&gt;=events!U544)*(shifts!AI:AI&lt;=events!V544))</f>
        <v>17</v>
      </c>
      <c r="X544" t="str">
        <f t="shared" si="86"/>
        <v>event_team_player_1</v>
      </c>
      <c r="Y544">
        <f>COUNTIFS(A$3:A544,"="&amp;A544,K$3:K544,"="&amp;K544)</f>
        <v>1</v>
      </c>
      <c r="Z544" s="20">
        <f>SUMIFS(T$3:T544,L$3:L544,"=Intermission")+SUMIFS(T$3:T544,L$3:L544,"=Timeout")+SUMIFS(T$3:T544,L$3:L544,"=Clockstop")</f>
        <v>0</v>
      </c>
      <c r="AA544">
        <f t="shared" si="91"/>
        <v>0</v>
      </c>
      <c r="AB544" s="26">
        <f t="shared" si="92"/>
        <v>694</v>
      </c>
      <c r="AC544">
        <f t="shared" si="93"/>
        <v>0</v>
      </c>
    </row>
    <row r="545" spans="1:29" x14ac:dyDescent="0.2">
      <c r="A545">
        <v>284</v>
      </c>
      <c r="D545">
        <f t="shared" si="94"/>
        <v>1</v>
      </c>
      <c r="E545">
        <v>6</v>
      </c>
      <c r="F545" s="6" t="s">
        <v>443</v>
      </c>
      <c r="I545" t="s">
        <v>178</v>
      </c>
      <c r="J545">
        <v>84</v>
      </c>
      <c r="K545" t="s">
        <v>488</v>
      </c>
      <c r="L545" t="s">
        <v>8</v>
      </c>
      <c r="M545" t="s">
        <v>189</v>
      </c>
      <c r="N545" t="s">
        <v>70</v>
      </c>
      <c r="Q545">
        <f t="shared" si="95"/>
        <v>18977</v>
      </c>
      <c r="R545" t="str">
        <f t="shared" si="95"/>
        <v>Velodrome</v>
      </c>
      <c r="S545" t="str">
        <f t="shared" si="95"/>
        <v>HollowBrook</v>
      </c>
      <c r="T545" s="20">
        <f t="shared" si="87"/>
        <v>0</v>
      </c>
      <c r="U545">
        <f t="shared" si="88"/>
        <v>386</v>
      </c>
      <c r="V545">
        <f t="shared" si="89"/>
        <v>386</v>
      </c>
      <c r="W545" cm="1">
        <f t="array" ref="W545">_xlfn._xlws.FILTER(shifts!A:A,(shifts!B:B=events!D545)*(shifts!AH:AH&gt;=events!U545)*(shifts!AI:AI&lt;=events!V545))</f>
        <v>17</v>
      </c>
      <c r="X545" t="str">
        <f t="shared" si="86"/>
        <v>event_team_player_2</v>
      </c>
      <c r="Y545">
        <f>COUNTIFS(A$3:A545,"="&amp;A545,K$3:K545,"="&amp;K545)</f>
        <v>2</v>
      </c>
      <c r="Z545" s="20">
        <f>SUMIFS(T$3:T545,L$3:L545,"=Intermission")+SUMIFS(T$3:T545,L$3:L545,"=Timeout")+SUMIFS(T$3:T545,L$3:L545,"=Clockstop")</f>
        <v>0</v>
      </c>
      <c r="AA545">
        <f t="shared" si="91"/>
        <v>0</v>
      </c>
      <c r="AB545" s="26">
        <f t="shared" si="92"/>
        <v>694</v>
      </c>
      <c r="AC545">
        <f t="shared" si="93"/>
        <v>0</v>
      </c>
    </row>
    <row r="546" spans="1:29" x14ac:dyDescent="0.2">
      <c r="A546">
        <v>285</v>
      </c>
      <c r="D546">
        <f t="shared" si="94"/>
        <v>1</v>
      </c>
      <c r="E546">
        <v>6</v>
      </c>
      <c r="F546" s="6" t="s">
        <v>443</v>
      </c>
      <c r="G546">
        <v>6</v>
      </c>
      <c r="H546" s="8" t="s">
        <v>444</v>
      </c>
      <c r="I546" t="s">
        <v>178</v>
      </c>
      <c r="J546">
        <v>84</v>
      </c>
      <c r="K546" t="s">
        <v>488</v>
      </c>
      <c r="L546" t="s">
        <v>15</v>
      </c>
      <c r="Q546">
        <f t="shared" si="95"/>
        <v>18977</v>
      </c>
      <c r="R546" t="str">
        <f t="shared" si="95"/>
        <v>Velodrome</v>
      </c>
      <c r="S546" t="str">
        <f t="shared" si="95"/>
        <v>HollowBrook</v>
      </c>
      <c r="T546" s="20">
        <f t="shared" si="87"/>
        <v>2</v>
      </c>
      <c r="U546">
        <f t="shared" si="88"/>
        <v>386</v>
      </c>
      <c r="V546">
        <f t="shared" si="89"/>
        <v>384</v>
      </c>
      <c r="W546" cm="1">
        <f t="array" ref="W546">_xlfn._xlws.FILTER(shifts!A:A,(shifts!B:B=events!D546)*(shifts!AH:AH&gt;=events!U546)*(shifts!AI:AI&lt;=events!V546))</f>
        <v>17</v>
      </c>
      <c r="X546" t="str">
        <f t="shared" si="86"/>
        <v>event_team_player_1</v>
      </c>
      <c r="Y546">
        <f>COUNTIFS(A$3:A546,"="&amp;A546,K$3:K546,"="&amp;K546)</f>
        <v>1</v>
      </c>
      <c r="Z546" s="20">
        <f>SUMIFS(T$3:T546,L$3:L546,"=Intermission")+SUMIFS(T$3:T546,L$3:L546,"=Timeout")+SUMIFS(T$3:T546,L$3:L546,"=Clockstop")</f>
        <v>0</v>
      </c>
      <c r="AA546">
        <f t="shared" si="91"/>
        <v>0</v>
      </c>
      <c r="AB546" s="26">
        <f t="shared" si="92"/>
        <v>694</v>
      </c>
      <c r="AC546">
        <f t="shared" si="93"/>
        <v>0</v>
      </c>
    </row>
    <row r="547" spans="1:29" x14ac:dyDescent="0.2">
      <c r="A547">
        <v>286</v>
      </c>
      <c r="D547">
        <f t="shared" si="94"/>
        <v>1</v>
      </c>
      <c r="E547">
        <v>6</v>
      </c>
      <c r="F547" s="6" t="s">
        <v>444</v>
      </c>
      <c r="I547" t="s">
        <v>178</v>
      </c>
      <c r="J547">
        <v>84</v>
      </c>
      <c r="K547" t="s">
        <v>488</v>
      </c>
      <c r="L547" t="s">
        <v>7</v>
      </c>
      <c r="M547" t="s">
        <v>198</v>
      </c>
      <c r="N547" t="s">
        <v>53</v>
      </c>
      <c r="Q547">
        <f t="shared" si="95"/>
        <v>18977</v>
      </c>
      <c r="R547" t="str">
        <f t="shared" si="95"/>
        <v>Velodrome</v>
      </c>
      <c r="S547" t="str">
        <f t="shared" si="95"/>
        <v>HollowBrook</v>
      </c>
      <c r="T547" s="20">
        <f t="shared" si="87"/>
        <v>0</v>
      </c>
      <c r="U547">
        <f t="shared" si="88"/>
        <v>384</v>
      </c>
      <c r="V547">
        <f t="shared" si="89"/>
        <v>384</v>
      </c>
      <c r="W547" cm="1">
        <f t="array" ref="W547">_xlfn._xlws.FILTER(shifts!A:A,(shifts!B:B=events!D547)*(shifts!AH:AH&gt;=events!U547)*(shifts!AI:AI&lt;=events!V547))</f>
        <v>17</v>
      </c>
      <c r="X547" t="str">
        <f t="shared" si="86"/>
        <v>event_team_player_1</v>
      </c>
      <c r="Y547">
        <f>COUNTIFS(A$3:A547,"="&amp;A547,K$3:K547,"="&amp;K547)</f>
        <v>1</v>
      </c>
      <c r="Z547" s="20">
        <f>SUMIFS(T$3:T547,L$3:L547,"=Intermission")+SUMIFS(T$3:T547,L$3:L547,"=Timeout")+SUMIFS(T$3:T547,L$3:L547,"=Clockstop")</f>
        <v>0</v>
      </c>
      <c r="AA547">
        <f t="shared" si="91"/>
        <v>0</v>
      </c>
      <c r="AB547" s="26">
        <f t="shared" si="92"/>
        <v>696</v>
      </c>
      <c r="AC547">
        <f t="shared" si="93"/>
        <v>0</v>
      </c>
    </row>
    <row r="548" spans="1:29" x14ac:dyDescent="0.2">
      <c r="A548">
        <v>286</v>
      </c>
      <c r="D548">
        <f t="shared" si="94"/>
        <v>1</v>
      </c>
      <c r="E548">
        <v>6</v>
      </c>
      <c r="F548" s="6" t="s">
        <v>444</v>
      </c>
      <c r="I548" t="s">
        <v>178</v>
      </c>
      <c r="J548">
        <v>26</v>
      </c>
      <c r="K548" t="s">
        <v>489</v>
      </c>
      <c r="L548" t="s">
        <v>7</v>
      </c>
      <c r="M548" t="s">
        <v>198</v>
      </c>
      <c r="N548" t="s">
        <v>53</v>
      </c>
      <c r="Q548">
        <f t="shared" ref="Q548:S563" si="96">Q547</f>
        <v>18977</v>
      </c>
      <c r="R548" t="str">
        <f t="shared" si="96"/>
        <v>Velodrome</v>
      </c>
      <c r="S548" t="str">
        <f t="shared" si="96"/>
        <v>HollowBrook</v>
      </c>
      <c r="T548" s="20">
        <f t="shared" si="87"/>
        <v>0</v>
      </c>
      <c r="U548">
        <f t="shared" si="88"/>
        <v>384</v>
      </c>
      <c r="V548">
        <f t="shared" si="89"/>
        <v>384</v>
      </c>
      <c r="W548" cm="1">
        <f t="array" ref="W548">_xlfn._xlws.FILTER(shifts!A:A,(shifts!B:B=events!D548)*(shifts!AH:AH&gt;=events!U548)*(shifts!AI:AI&lt;=events!V548))</f>
        <v>17</v>
      </c>
      <c r="X548" t="str">
        <f t="shared" si="86"/>
        <v>opp_team_player_1</v>
      </c>
      <c r="Y548">
        <f>COUNTIFS(A$3:A548,"="&amp;A548,K$3:K548,"="&amp;K548)</f>
        <v>1</v>
      </c>
      <c r="Z548" s="20">
        <f>SUMIFS(T$3:T548,L$3:L548,"=Intermission")+SUMIFS(T$3:T548,L$3:L548,"=Timeout")+SUMIFS(T$3:T548,L$3:L548,"=Clockstop")</f>
        <v>0</v>
      </c>
      <c r="AA548">
        <f t="shared" si="91"/>
        <v>0</v>
      </c>
      <c r="AB548" s="26">
        <f t="shared" si="92"/>
        <v>696</v>
      </c>
      <c r="AC548">
        <f t="shared" si="93"/>
        <v>0</v>
      </c>
    </row>
    <row r="549" spans="1:29" x14ac:dyDescent="0.2">
      <c r="A549">
        <v>287</v>
      </c>
      <c r="D549">
        <f t="shared" si="94"/>
        <v>1</v>
      </c>
      <c r="E549">
        <v>6</v>
      </c>
      <c r="F549" s="6" t="s">
        <v>484</v>
      </c>
      <c r="G549">
        <v>6</v>
      </c>
      <c r="H549" s="8" t="s">
        <v>422</v>
      </c>
      <c r="I549" t="s">
        <v>178</v>
      </c>
      <c r="J549">
        <v>14</v>
      </c>
      <c r="K549" t="s">
        <v>488</v>
      </c>
      <c r="L549" t="s">
        <v>15</v>
      </c>
      <c r="Q549">
        <f t="shared" si="96"/>
        <v>18977</v>
      </c>
      <c r="R549" t="str">
        <f t="shared" si="96"/>
        <v>Velodrome</v>
      </c>
      <c r="S549" t="str">
        <f t="shared" si="96"/>
        <v>HollowBrook</v>
      </c>
      <c r="T549" s="20">
        <f t="shared" si="87"/>
        <v>2</v>
      </c>
      <c r="U549">
        <f t="shared" si="88"/>
        <v>382</v>
      </c>
      <c r="V549">
        <f t="shared" si="89"/>
        <v>380</v>
      </c>
      <c r="W549" cm="1">
        <f t="array" ref="W549">_xlfn._xlws.FILTER(shifts!A:A,(shifts!B:B=events!D549)*(shifts!AH:AH&gt;=events!U549)*(shifts!AI:AI&lt;=events!V549))</f>
        <v>17</v>
      </c>
      <c r="X549" t="str">
        <f t="shared" si="86"/>
        <v>event_team_player_1</v>
      </c>
      <c r="Y549">
        <f>COUNTIFS(A$3:A549,"="&amp;A549,K$3:K549,"="&amp;K549)</f>
        <v>1</v>
      </c>
      <c r="Z549" s="20">
        <f>SUMIFS(T$3:T549,L$3:L549,"=Intermission")+SUMIFS(T$3:T549,L$3:L549,"=Timeout")+SUMIFS(T$3:T549,L$3:L549,"=Clockstop")</f>
        <v>0</v>
      </c>
      <c r="AA549">
        <f t="shared" si="91"/>
        <v>0</v>
      </c>
      <c r="AB549" s="26">
        <f t="shared" si="92"/>
        <v>698</v>
      </c>
      <c r="AC549">
        <f t="shared" si="93"/>
        <v>0</v>
      </c>
    </row>
    <row r="550" spans="1:29" x14ac:dyDescent="0.2">
      <c r="A550">
        <v>288</v>
      </c>
      <c r="D550">
        <f t="shared" si="94"/>
        <v>1</v>
      </c>
      <c r="E550">
        <v>6</v>
      </c>
      <c r="F550" s="6" t="s">
        <v>422</v>
      </c>
      <c r="I550" t="s">
        <v>178</v>
      </c>
      <c r="J550">
        <v>14</v>
      </c>
      <c r="K550" t="s">
        <v>488</v>
      </c>
      <c r="L550" t="s">
        <v>8</v>
      </c>
      <c r="M550" t="s">
        <v>189</v>
      </c>
      <c r="N550" t="s">
        <v>68</v>
      </c>
      <c r="Q550">
        <f t="shared" si="96"/>
        <v>18977</v>
      </c>
      <c r="R550" t="str">
        <f t="shared" si="96"/>
        <v>Velodrome</v>
      </c>
      <c r="S550" t="str">
        <f t="shared" si="96"/>
        <v>HollowBrook</v>
      </c>
      <c r="T550" s="20">
        <f t="shared" si="87"/>
        <v>0</v>
      </c>
      <c r="U550">
        <f t="shared" si="88"/>
        <v>380</v>
      </c>
      <c r="V550">
        <f t="shared" si="89"/>
        <v>380</v>
      </c>
      <c r="W550" cm="1">
        <f t="array" ref="W550">_xlfn._xlws.FILTER(shifts!A:A,(shifts!B:B=events!D550)*(shifts!AH:AH&gt;=events!U550)*(shifts!AI:AI&lt;=events!V550))</f>
        <v>17</v>
      </c>
      <c r="X550" t="str">
        <f t="shared" si="86"/>
        <v>event_team_player_1</v>
      </c>
      <c r="Y550">
        <f>COUNTIFS(A$3:A550,"="&amp;A550,K$3:K550,"="&amp;K550)</f>
        <v>1</v>
      </c>
      <c r="Z550" s="20">
        <f>SUMIFS(T$3:T550,L$3:L550,"=Intermission")+SUMIFS(T$3:T550,L$3:L550,"=Timeout")+SUMIFS(T$3:T550,L$3:L550,"=Clockstop")</f>
        <v>0</v>
      </c>
      <c r="AA550">
        <f t="shared" si="91"/>
        <v>0</v>
      </c>
      <c r="AB550" s="26">
        <f t="shared" si="92"/>
        <v>700</v>
      </c>
      <c r="AC550">
        <f t="shared" si="93"/>
        <v>0</v>
      </c>
    </row>
    <row r="551" spans="1:29" x14ac:dyDescent="0.2">
      <c r="A551">
        <v>288</v>
      </c>
      <c r="D551">
        <f t="shared" si="94"/>
        <v>1</v>
      </c>
      <c r="E551">
        <v>6</v>
      </c>
      <c r="F551" s="6" t="s">
        <v>422</v>
      </c>
      <c r="I551" t="s">
        <v>178</v>
      </c>
      <c r="J551">
        <v>84</v>
      </c>
      <c r="K551" t="s">
        <v>488</v>
      </c>
      <c r="L551" t="s">
        <v>8</v>
      </c>
      <c r="M551" t="s">
        <v>189</v>
      </c>
      <c r="N551" t="s">
        <v>68</v>
      </c>
      <c r="Q551">
        <f t="shared" si="96"/>
        <v>18977</v>
      </c>
      <c r="R551" t="str">
        <f t="shared" si="96"/>
        <v>Velodrome</v>
      </c>
      <c r="S551" t="str">
        <f t="shared" si="96"/>
        <v>HollowBrook</v>
      </c>
      <c r="T551" s="20">
        <f t="shared" si="87"/>
        <v>0</v>
      </c>
      <c r="U551">
        <f t="shared" si="88"/>
        <v>380</v>
      </c>
      <c r="V551">
        <f t="shared" si="89"/>
        <v>380</v>
      </c>
      <c r="W551" cm="1">
        <f t="array" ref="W551">_xlfn._xlws.FILTER(shifts!A:A,(shifts!B:B=events!D551)*(shifts!AH:AH&gt;=events!U551)*(shifts!AI:AI&lt;=events!V551))</f>
        <v>17</v>
      </c>
      <c r="X551" t="str">
        <f t="shared" si="86"/>
        <v>event_team_player_2</v>
      </c>
      <c r="Y551">
        <f>COUNTIFS(A$3:A551,"="&amp;A551,K$3:K551,"="&amp;K551)</f>
        <v>2</v>
      </c>
      <c r="Z551" s="20">
        <f>SUMIFS(T$3:T551,L$3:L551,"=Intermission")+SUMIFS(T$3:T551,L$3:L551,"=Timeout")+SUMIFS(T$3:T551,L$3:L551,"=Clockstop")</f>
        <v>0</v>
      </c>
      <c r="AA551">
        <f t="shared" si="91"/>
        <v>0</v>
      </c>
      <c r="AB551" s="26">
        <f t="shared" si="92"/>
        <v>700</v>
      </c>
      <c r="AC551">
        <f t="shared" si="93"/>
        <v>0</v>
      </c>
    </row>
    <row r="552" spans="1:29" x14ac:dyDescent="0.2">
      <c r="A552">
        <v>289</v>
      </c>
      <c r="D552">
        <f t="shared" si="94"/>
        <v>1</v>
      </c>
      <c r="E552">
        <v>6</v>
      </c>
      <c r="F552" s="6" t="s">
        <v>485</v>
      </c>
      <c r="I552" t="s">
        <v>178</v>
      </c>
      <c r="J552">
        <v>84</v>
      </c>
      <c r="K552" t="s">
        <v>488</v>
      </c>
      <c r="L552" t="s">
        <v>8</v>
      </c>
      <c r="M552" t="s">
        <v>189</v>
      </c>
      <c r="N552" t="s">
        <v>70</v>
      </c>
      <c r="Q552">
        <f t="shared" si="96"/>
        <v>18977</v>
      </c>
      <c r="R552" t="str">
        <f t="shared" si="96"/>
        <v>Velodrome</v>
      </c>
      <c r="S552" t="str">
        <f t="shared" si="96"/>
        <v>HollowBrook</v>
      </c>
      <c r="T552" s="20">
        <f t="shared" si="87"/>
        <v>0</v>
      </c>
      <c r="U552">
        <f t="shared" si="88"/>
        <v>378</v>
      </c>
      <c r="V552">
        <f t="shared" si="89"/>
        <v>378</v>
      </c>
      <c r="W552" cm="1">
        <f t="array" ref="W552">_xlfn._xlws.FILTER(shifts!A:A,(shifts!B:B=events!D552)*(shifts!AH:AH&gt;=events!U552)*(shifts!AI:AI&lt;=events!V552))</f>
        <v>17</v>
      </c>
      <c r="X552" t="str">
        <f t="shared" si="86"/>
        <v>event_team_player_1</v>
      </c>
      <c r="Y552">
        <f>COUNTIFS(A$3:A552,"="&amp;A552,K$3:K552,"="&amp;K552)</f>
        <v>1</v>
      </c>
      <c r="Z552" s="20">
        <f>SUMIFS(T$3:T552,L$3:L552,"=Intermission")+SUMIFS(T$3:T552,L$3:L552,"=Timeout")+SUMIFS(T$3:T552,L$3:L552,"=Clockstop")</f>
        <v>0</v>
      </c>
      <c r="AA552">
        <f t="shared" si="91"/>
        <v>0</v>
      </c>
      <c r="AB552" s="26">
        <f t="shared" si="92"/>
        <v>702</v>
      </c>
      <c r="AC552">
        <f t="shared" si="93"/>
        <v>0</v>
      </c>
    </row>
    <row r="553" spans="1:29" x14ac:dyDescent="0.2">
      <c r="A553">
        <v>289</v>
      </c>
      <c r="D553">
        <f t="shared" si="94"/>
        <v>1</v>
      </c>
      <c r="E553">
        <v>6</v>
      </c>
      <c r="F553" s="6" t="s">
        <v>485</v>
      </c>
      <c r="I553" t="s">
        <v>178</v>
      </c>
      <c r="J553">
        <v>22</v>
      </c>
      <c r="K553" t="s">
        <v>488</v>
      </c>
      <c r="L553" t="s">
        <v>8</v>
      </c>
      <c r="M553" t="s">
        <v>189</v>
      </c>
      <c r="N553" t="s">
        <v>70</v>
      </c>
      <c r="Q553">
        <f t="shared" si="96"/>
        <v>18977</v>
      </c>
      <c r="R553" t="str">
        <f t="shared" si="96"/>
        <v>Velodrome</v>
      </c>
      <c r="S553" t="str">
        <f t="shared" si="96"/>
        <v>HollowBrook</v>
      </c>
      <c r="T553" s="20">
        <f t="shared" si="87"/>
        <v>0</v>
      </c>
      <c r="U553">
        <f t="shared" si="88"/>
        <v>378</v>
      </c>
      <c r="V553">
        <f t="shared" si="89"/>
        <v>378</v>
      </c>
      <c r="W553" cm="1">
        <f t="array" ref="W553">_xlfn._xlws.FILTER(shifts!A:A,(shifts!B:B=events!D553)*(shifts!AH:AH&gt;=events!U553)*(shifts!AI:AI&lt;=events!V553))</f>
        <v>17</v>
      </c>
      <c r="X553" t="str">
        <f t="shared" si="86"/>
        <v>event_team_player_2</v>
      </c>
      <c r="Y553">
        <f>COUNTIFS(A$3:A553,"="&amp;A553,K$3:K553,"="&amp;K553)</f>
        <v>2</v>
      </c>
      <c r="Z553" s="20">
        <f>SUMIFS(T$3:T553,L$3:L553,"=Intermission")+SUMIFS(T$3:T553,L$3:L553,"=Timeout")+SUMIFS(T$3:T553,L$3:L553,"=Clockstop")</f>
        <v>0</v>
      </c>
      <c r="AA553">
        <f t="shared" si="91"/>
        <v>0</v>
      </c>
      <c r="AB553" s="26">
        <f t="shared" si="92"/>
        <v>702</v>
      </c>
      <c r="AC553">
        <f t="shared" si="93"/>
        <v>0</v>
      </c>
    </row>
    <row r="554" spans="1:29" x14ac:dyDescent="0.2">
      <c r="A554">
        <v>290</v>
      </c>
      <c r="D554">
        <f t="shared" si="94"/>
        <v>1</v>
      </c>
      <c r="E554">
        <v>6</v>
      </c>
      <c r="F554" s="6" t="s">
        <v>446</v>
      </c>
      <c r="I554" t="s">
        <v>178</v>
      </c>
      <c r="J554">
        <v>22</v>
      </c>
      <c r="K554" t="s">
        <v>488</v>
      </c>
      <c r="L554" t="s">
        <v>7</v>
      </c>
      <c r="M554" t="s">
        <v>198</v>
      </c>
      <c r="N554" t="s">
        <v>53</v>
      </c>
      <c r="Q554">
        <f t="shared" si="96"/>
        <v>18977</v>
      </c>
      <c r="R554" t="str">
        <f t="shared" si="96"/>
        <v>Velodrome</v>
      </c>
      <c r="S554" t="str">
        <f t="shared" si="96"/>
        <v>HollowBrook</v>
      </c>
      <c r="T554" s="20">
        <f t="shared" si="87"/>
        <v>0</v>
      </c>
      <c r="U554">
        <f t="shared" si="88"/>
        <v>377</v>
      </c>
      <c r="V554">
        <f t="shared" si="89"/>
        <v>377</v>
      </c>
      <c r="W554" cm="1">
        <f t="array" ref="W554">_xlfn._xlws.FILTER(shifts!A:A,(shifts!B:B=events!D554)*(shifts!AH:AH&gt;=events!U554)*(shifts!AI:AI&lt;=events!V554))</f>
        <v>17</v>
      </c>
      <c r="X554" t="str">
        <f t="shared" si="86"/>
        <v>event_team_player_1</v>
      </c>
      <c r="Y554">
        <f>COUNTIFS(A$3:A554,"="&amp;A554,K$3:K554,"="&amp;K554)</f>
        <v>1</v>
      </c>
      <c r="Z554" s="20">
        <f>SUMIFS(T$3:T554,L$3:L554,"=Intermission")+SUMIFS(T$3:T554,L$3:L554,"=Timeout")+SUMIFS(T$3:T554,L$3:L554,"=Clockstop")</f>
        <v>0</v>
      </c>
      <c r="AA554">
        <f t="shared" si="91"/>
        <v>0</v>
      </c>
      <c r="AB554" s="26">
        <f t="shared" si="92"/>
        <v>703</v>
      </c>
      <c r="AC554">
        <f t="shared" si="93"/>
        <v>0</v>
      </c>
    </row>
    <row r="555" spans="1:29" x14ac:dyDescent="0.2">
      <c r="A555">
        <v>291</v>
      </c>
      <c r="D555">
        <f t="shared" si="94"/>
        <v>1</v>
      </c>
      <c r="E555">
        <v>6</v>
      </c>
      <c r="F555" s="6" t="s">
        <v>425</v>
      </c>
      <c r="I555" t="s">
        <v>178</v>
      </c>
      <c r="J555">
        <v>14</v>
      </c>
      <c r="K555" t="s">
        <v>488</v>
      </c>
      <c r="L555" t="s">
        <v>8</v>
      </c>
      <c r="M555" t="s">
        <v>189</v>
      </c>
      <c r="N555" t="s">
        <v>68</v>
      </c>
      <c r="Q555">
        <f t="shared" si="96"/>
        <v>18977</v>
      </c>
      <c r="R555" t="str">
        <f t="shared" si="96"/>
        <v>Velodrome</v>
      </c>
      <c r="S555" t="str">
        <f t="shared" si="96"/>
        <v>HollowBrook</v>
      </c>
      <c r="T555" s="20">
        <f t="shared" si="87"/>
        <v>0</v>
      </c>
      <c r="U555">
        <f t="shared" si="88"/>
        <v>370</v>
      </c>
      <c r="V555">
        <f t="shared" si="89"/>
        <v>370</v>
      </c>
      <c r="W555" cm="1">
        <f t="array" ref="W555">_xlfn._xlws.FILTER(shifts!A:A,(shifts!B:B=events!D555)*(shifts!AH:AH&gt;=events!U555)*(shifts!AI:AI&lt;=events!V555))</f>
        <v>17</v>
      </c>
      <c r="X555" t="str">
        <f t="shared" si="86"/>
        <v>event_team_player_1</v>
      </c>
      <c r="Y555">
        <f>COUNTIFS(A$3:A555,"="&amp;A555,K$3:K555,"="&amp;K555)</f>
        <v>1</v>
      </c>
      <c r="Z555" s="20">
        <f>SUMIFS(T$3:T555,L$3:L555,"=Intermission")+SUMIFS(T$3:T555,L$3:L555,"=Timeout")+SUMIFS(T$3:T555,L$3:L555,"=Clockstop")</f>
        <v>0</v>
      </c>
      <c r="AA555">
        <f t="shared" si="91"/>
        <v>0</v>
      </c>
      <c r="AB555" s="26">
        <f t="shared" si="92"/>
        <v>710</v>
      </c>
      <c r="AC555">
        <f t="shared" si="93"/>
        <v>0</v>
      </c>
    </row>
    <row r="556" spans="1:29" x14ac:dyDescent="0.2">
      <c r="A556">
        <v>291</v>
      </c>
      <c r="D556">
        <f t="shared" si="94"/>
        <v>1</v>
      </c>
      <c r="E556">
        <v>6</v>
      </c>
      <c r="F556" s="6" t="s">
        <v>425</v>
      </c>
      <c r="I556" t="s">
        <v>178</v>
      </c>
      <c r="J556">
        <v>84</v>
      </c>
      <c r="K556" t="s">
        <v>488</v>
      </c>
      <c r="L556" t="s">
        <v>8</v>
      </c>
      <c r="M556" t="s">
        <v>189</v>
      </c>
      <c r="N556" t="s">
        <v>68</v>
      </c>
      <c r="Q556">
        <f t="shared" si="96"/>
        <v>18977</v>
      </c>
      <c r="R556" t="str">
        <f t="shared" si="96"/>
        <v>Velodrome</v>
      </c>
      <c r="S556" t="str">
        <f t="shared" si="96"/>
        <v>HollowBrook</v>
      </c>
      <c r="T556" s="20">
        <f t="shared" si="87"/>
        <v>0</v>
      </c>
      <c r="U556">
        <f t="shared" si="88"/>
        <v>370</v>
      </c>
      <c r="V556">
        <f t="shared" si="89"/>
        <v>370</v>
      </c>
      <c r="W556" cm="1">
        <f t="array" ref="W556">_xlfn._xlws.FILTER(shifts!A:A,(shifts!B:B=events!D556)*(shifts!AH:AH&gt;=events!U556)*(shifts!AI:AI&lt;=events!V556))</f>
        <v>17</v>
      </c>
      <c r="X556" t="str">
        <f t="shared" si="86"/>
        <v>event_team_player_2</v>
      </c>
      <c r="Y556">
        <f>COUNTIFS(A$3:A556,"="&amp;A556,K$3:K556,"="&amp;K556)</f>
        <v>2</v>
      </c>
      <c r="Z556" s="20">
        <f>SUMIFS(T$3:T556,L$3:L556,"=Intermission")+SUMIFS(T$3:T556,L$3:L556,"=Timeout")+SUMIFS(T$3:T556,L$3:L556,"=Clockstop")</f>
        <v>0</v>
      </c>
      <c r="AA556">
        <f t="shared" si="91"/>
        <v>0</v>
      </c>
      <c r="AB556" s="26">
        <f t="shared" si="92"/>
        <v>710</v>
      </c>
      <c r="AC556">
        <f t="shared" si="93"/>
        <v>0</v>
      </c>
    </row>
    <row r="557" spans="1:29" x14ac:dyDescent="0.2">
      <c r="A557">
        <v>291</v>
      </c>
      <c r="D557">
        <f t="shared" si="94"/>
        <v>1</v>
      </c>
      <c r="E557">
        <v>6</v>
      </c>
      <c r="F557" s="6" t="s">
        <v>425</v>
      </c>
      <c r="I557" t="s">
        <v>178</v>
      </c>
      <c r="J557">
        <v>70</v>
      </c>
      <c r="K557" t="s">
        <v>489</v>
      </c>
      <c r="L557" t="s">
        <v>8</v>
      </c>
      <c r="M557" t="s">
        <v>189</v>
      </c>
      <c r="N557" t="s">
        <v>68</v>
      </c>
      <c r="Q557">
        <f t="shared" si="96"/>
        <v>18977</v>
      </c>
      <c r="R557" t="str">
        <f t="shared" si="96"/>
        <v>Velodrome</v>
      </c>
      <c r="S557" t="str">
        <f t="shared" si="96"/>
        <v>HollowBrook</v>
      </c>
      <c r="T557" s="20">
        <f t="shared" si="87"/>
        <v>0</v>
      </c>
      <c r="U557">
        <f t="shared" si="88"/>
        <v>370</v>
      </c>
      <c r="V557">
        <f t="shared" si="89"/>
        <v>370</v>
      </c>
      <c r="W557" cm="1">
        <f t="array" ref="W557">_xlfn._xlws.FILTER(shifts!A:A,(shifts!B:B=events!D557)*(shifts!AH:AH&gt;=events!U557)*(shifts!AI:AI&lt;=events!V557))</f>
        <v>17</v>
      </c>
      <c r="X557" t="str">
        <f t="shared" si="86"/>
        <v>opp_team_player_1</v>
      </c>
      <c r="Y557">
        <f>COUNTIFS(A$3:A557,"="&amp;A557,K$3:K557,"="&amp;K557)</f>
        <v>1</v>
      </c>
      <c r="Z557" s="20">
        <f>SUMIFS(T$3:T557,L$3:L557,"=Intermission")+SUMIFS(T$3:T557,L$3:L557,"=Timeout")+SUMIFS(T$3:T557,L$3:L557,"=Clockstop")</f>
        <v>0</v>
      </c>
      <c r="AA557">
        <f t="shared" si="91"/>
        <v>0</v>
      </c>
      <c r="AB557" s="26">
        <f t="shared" si="92"/>
        <v>710</v>
      </c>
      <c r="AC557">
        <f t="shared" si="93"/>
        <v>0</v>
      </c>
    </row>
    <row r="558" spans="1:29" x14ac:dyDescent="0.2">
      <c r="A558">
        <v>292</v>
      </c>
      <c r="D558">
        <f t="shared" si="94"/>
        <v>1</v>
      </c>
      <c r="E558">
        <v>6</v>
      </c>
      <c r="F558" s="6" t="s">
        <v>424</v>
      </c>
      <c r="I558" t="s">
        <v>178</v>
      </c>
      <c r="J558">
        <v>84</v>
      </c>
      <c r="K558" t="s">
        <v>488</v>
      </c>
      <c r="L558" t="s">
        <v>8</v>
      </c>
      <c r="M558" t="s">
        <v>189</v>
      </c>
      <c r="N558" t="s">
        <v>68</v>
      </c>
      <c r="Q558">
        <f t="shared" si="96"/>
        <v>18977</v>
      </c>
      <c r="R558" t="str">
        <f t="shared" si="96"/>
        <v>Velodrome</v>
      </c>
      <c r="S558" t="str">
        <f t="shared" si="96"/>
        <v>HollowBrook</v>
      </c>
      <c r="T558" s="20">
        <f t="shared" si="87"/>
        <v>0</v>
      </c>
      <c r="U558">
        <f t="shared" si="88"/>
        <v>369</v>
      </c>
      <c r="V558">
        <f t="shared" si="89"/>
        <v>369</v>
      </c>
      <c r="W558" cm="1">
        <f t="array" ref="W558">_xlfn._xlws.FILTER(shifts!A:A,(shifts!B:B=events!D558)*(shifts!AH:AH&gt;=events!U558)*(shifts!AI:AI&lt;=events!V558))</f>
        <v>17</v>
      </c>
      <c r="X558" t="str">
        <f t="shared" si="86"/>
        <v>event_team_player_1</v>
      </c>
      <c r="Y558">
        <f>COUNTIFS(A$3:A558,"="&amp;A558,K$3:K558,"="&amp;K558)</f>
        <v>1</v>
      </c>
      <c r="Z558" s="20">
        <f>SUMIFS(T$3:T558,L$3:L558,"=Intermission")+SUMIFS(T$3:T558,L$3:L558,"=Timeout")+SUMIFS(T$3:T558,L$3:L558,"=Clockstop")</f>
        <v>0</v>
      </c>
      <c r="AA558">
        <f t="shared" si="91"/>
        <v>0</v>
      </c>
      <c r="AB558" s="26">
        <f t="shared" si="92"/>
        <v>711</v>
      </c>
      <c r="AC558">
        <f t="shared" si="93"/>
        <v>0</v>
      </c>
    </row>
    <row r="559" spans="1:29" x14ac:dyDescent="0.2">
      <c r="A559">
        <v>292</v>
      </c>
      <c r="D559">
        <f t="shared" si="94"/>
        <v>1</v>
      </c>
      <c r="E559">
        <v>6</v>
      </c>
      <c r="F559" s="6" t="s">
        <v>424</v>
      </c>
      <c r="I559" t="s">
        <v>178</v>
      </c>
      <c r="J559">
        <v>91</v>
      </c>
      <c r="K559" t="s">
        <v>488</v>
      </c>
      <c r="L559" t="s">
        <v>8</v>
      </c>
      <c r="M559" t="s">
        <v>189</v>
      </c>
      <c r="N559" t="s">
        <v>68</v>
      </c>
      <c r="Q559">
        <f t="shared" si="96"/>
        <v>18977</v>
      </c>
      <c r="R559" t="str">
        <f t="shared" si="96"/>
        <v>Velodrome</v>
      </c>
      <c r="S559" t="str">
        <f t="shared" si="96"/>
        <v>HollowBrook</v>
      </c>
      <c r="T559" s="20">
        <f t="shared" si="87"/>
        <v>0</v>
      </c>
      <c r="U559">
        <f t="shared" si="88"/>
        <v>369</v>
      </c>
      <c r="V559">
        <f t="shared" si="89"/>
        <v>369</v>
      </c>
      <c r="W559" cm="1">
        <f t="array" ref="W559">_xlfn._xlws.FILTER(shifts!A:A,(shifts!B:B=events!D559)*(shifts!AH:AH&gt;=events!U559)*(shifts!AI:AI&lt;=events!V559))</f>
        <v>17</v>
      </c>
      <c r="X559" t="str">
        <f t="shared" si="86"/>
        <v>event_team_player_2</v>
      </c>
      <c r="Y559">
        <f>COUNTIFS(A$3:A559,"="&amp;A559,K$3:K559,"="&amp;K559)</f>
        <v>2</v>
      </c>
      <c r="Z559" s="20">
        <f>SUMIFS(T$3:T559,L$3:L559,"=Intermission")+SUMIFS(T$3:T559,L$3:L559,"=Timeout")+SUMIFS(T$3:T559,L$3:L559,"=Clockstop")</f>
        <v>0</v>
      </c>
      <c r="AA559">
        <f t="shared" si="91"/>
        <v>0</v>
      </c>
      <c r="AB559" s="26">
        <f t="shared" si="92"/>
        <v>711</v>
      </c>
      <c r="AC559">
        <f t="shared" si="93"/>
        <v>0</v>
      </c>
    </row>
    <row r="560" spans="1:29" x14ac:dyDescent="0.2">
      <c r="A560">
        <v>293</v>
      </c>
      <c r="D560">
        <f t="shared" si="94"/>
        <v>1</v>
      </c>
      <c r="E560">
        <v>6</v>
      </c>
      <c r="F560" s="6" t="s">
        <v>424</v>
      </c>
      <c r="G560">
        <v>6</v>
      </c>
      <c r="H560" s="8" t="s">
        <v>316</v>
      </c>
      <c r="I560" t="s">
        <v>178</v>
      </c>
      <c r="J560">
        <v>91</v>
      </c>
      <c r="K560" t="s">
        <v>488</v>
      </c>
      <c r="L560" t="s">
        <v>15</v>
      </c>
      <c r="Q560">
        <f t="shared" si="96"/>
        <v>18977</v>
      </c>
      <c r="R560" t="str">
        <f t="shared" si="96"/>
        <v>Velodrome</v>
      </c>
      <c r="S560" t="str">
        <f t="shared" si="96"/>
        <v>HollowBrook</v>
      </c>
      <c r="T560" s="20">
        <f t="shared" si="87"/>
        <v>7</v>
      </c>
      <c r="U560">
        <f t="shared" si="88"/>
        <v>369</v>
      </c>
      <c r="V560">
        <f t="shared" si="89"/>
        <v>362</v>
      </c>
      <c r="W560" cm="1">
        <f t="array" ref="W560">_xlfn._xlws.FILTER(shifts!A:A,(shifts!B:B=events!D560)*(shifts!AH:AH&gt;=events!U560)*(shifts!AI:AI&lt;=events!V560))</f>
        <v>17</v>
      </c>
      <c r="X560" t="str">
        <f t="shared" si="86"/>
        <v>event_team_player_1</v>
      </c>
      <c r="Y560">
        <f>COUNTIFS(A$3:A560,"="&amp;A560,K$3:K560,"="&amp;K560)</f>
        <v>1</v>
      </c>
      <c r="Z560" s="20">
        <f>SUMIFS(T$3:T560,L$3:L560,"=Intermission")+SUMIFS(T$3:T560,L$3:L560,"=Timeout")+SUMIFS(T$3:T560,L$3:L560,"=Clockstop")</f>
        <v>0</v>
      </c>
      <c r="AA560">
        <f t="shared" si="91"/>
        <v>0</v>
      </c>
      <c r="AB560" s="26">
        <f t="shared" si="92"/>
        <v>711</v>
      </c>
      <c r="AC560">
        <f t="shared" si="93"/>
        <v>0</v>
      </c>
    </row>
    <row r="561" spans="1:29" x14ac:dyDescent="0.2">
      <c r="A561">
        <v>293</v>
      </c>
      <c r="D561">
        <f t="shared" si="94"/>
        <v>1</v>
      </c>
      <c r="E561">
        <v>6</v>
      </c>
      <c r="F561" s="6" t="s">
        <v>424</v>
      </c>
      <c r="G561">
        <v>6</v>
      </c>
      <c r="H561" s="8" t="s">
        <v>316</v>
      </c>
      <c r="I561" t="s">
        <v>178</v>
      </c>
      <c r="J561">
        <v>22</v>
      </c>
      <c r="K561" t="s">
        <v>489</v>
      </c>
      <c r="L561" t="s">
        <v>15</v>
      </c>
      <c r="Q561">
        <f t="shared" si="96"/>
        <v>18977</v>
      </c>
      <c r="R561" t="str">
        <f t="shared" si="96"/>
        <v>Velodrome</v>
      </c>
      <c r="S561" t="str">
        <f t="shared" si="96"/>
        <v>HollowBrook</v>
      </c>
      <c r="T561" s="20">
        <f t="shared" si="87"/>
        <v>7</v>
      </c>
      <c r="U561">
        <f t="shared" si="88"/>
        <v>369</v>
      </c>
      <c r="V561">
        <f t="shared" si="89"/>
        <v>362</v>
      </c>
      <c r="W561" cm="1">
        <f t="array" ref="W561">_xlfn._xlws.FILTER(shifts!A:A,(shifts!B:B=events!D561)*(shifts!AH:AH&gt;=events!U561)*(shifts!AI:AI&lt;=events!V561))</f>
        <v>17</v>
      </c>
      <c r="X561" t="str">
        <f t="shared" si="86"/>
        <v>opp_team_player_1</v>
      </c>
      <c r="Y561">
        <f>COUNTIFS(A$3:A561,"="&amp;A561,K$3:K561,"="&amp;K561)</f>
        <v>1</v>
      </c>
      <c r="Z561" s="20">
        <f>SUMIFS(T$3:T561,L$3:L561,"=Intermission")+SUMIFS(T$3:T561,L$3:L561,"=Timeout")+SUMIFS(T$3:T561,L$3:L561,"=Clockstop")</f>
        <v>0</v>
      </c>
      <c r="AA561">
        <f t="shared" si="91"/>
        <v>0</v>
      </c>
      <c r="AB561" s="26">
        <f t="shared" si="92"/>
        <v>711</v>
      </c>
      <c r="AC561">
        <f t="shared" si="93"/>
        <v>0</v>
      </c>
    </row>
    <row r="562" spans="1:29" x14ac:dyDescent="0.2">
      <c r="A562">
        <v>293</v>
      </c>
      <c r="D562">
        <f t="shared" si="94"/>
        <v>1</v>
      </c>
      <c r="E562">
        <v>6</v>
      </c>
      <c r="F562" s="6" t="s">
        <v>424</v>
      </c>
      <c r="G562">
        <v>6</v>
      </c>
      <c r="H562" s="8" t="s">
        <v>316</v>
      </c>
      <c r="I562" t="s">
        <v>178</v>
      </c>
      <c r="J562">
        <v>27</v>
      </c>
      <c r="K562" t="s">
        <v>489</v>
      </c>
      <c r="L562" t="s">
        <v>15</v>
      </c>
      <c r="Q562">
        <f t="shared" si="96"/>
        <v>18977</v>
      </c>
      <c r="R562" t="str">
        <f t="shared" si="96"/>
        <v>Velodrome</v>
      </c>
      <c r="S562" t="str">
        <f t="shared" si="96"/>
        <v>HollowBrook</v>
      </c>
      <c r="T562" s="20">
        <f t="shared" si="87"/>
        <v>7</v>
      </c>
      <c r="U562">
        <f t="shared" si="88"/>
        <v>369</v>
      </c>
      <c r="V562">
        <f t="shared" si="89"/>
        <v>362</v>
      </c>
      <c r="W562" cm="1">
        <f t="array" ref="W562">_xlfn._xlws.FILTER(shifts!A:A,(shifts!B:B=events!D562)*(shifts!AH:AH&gt;=events!U562)*(shifts!AI:AI&lt;=events!V562))</f>
        <v>17</v>
      </c>
      <c r="X562" t="str">
        <f t="shared" si="86"/>
        <v>opp_team_player_2</v>
      </c>
      <c r="Y562">
        <f>COUNTIFS(A$3:A562,"="&amp;A562,K$3:K562,"="&amp;K562)</f>
        <v>2</v>
      </c>
      <c r="Z562" s="20">
        <f>SUMIFS(T$3:T562,L$3:L562,"=Intermission")+SUMIFS(T$3:T562,L$3:L562,"=Timeout")+SUMIFS(T$3:T562,L$3:L562,"=Clockstop")</f>
        <v>0</v>
      </c>
      <c r="AA562">
        <f t="shared" si="91"/>
        <v>0</v>
      </c>
      <c r="AB562" s="26">
        <f t="shared" si="92"/>
        <v>711</v>
      </c>
      <c r="AC562">
        <f t="shared" si="93"/>
        <v>0</v>
      </c>
    </row>
    <row r="563" spans="1:29" x14ac:dyDescent="0.2">
      <c r="A563">
        <v>294</v>
      </c>
      <c r="D563">
        <f t="shared" si="94"/>
        <v>1</v>
      </c>
      <c r="E563">
        <v>6</v>
      </c>
      <c r="F563" s="6" t="s">
        <v>316</v>
      </c>
      <c r="I563" t="s">
        <v>178</v>
      </c>
      <c r="J563">
        <v>91</v>
      </c>
      <c r="K563" t="s">
        <v>488</v>
      </c>
      <c r="L563" t="s">
        <v>8</v>
      </c>
      <c r="M563" t="s">
        <v>199</v>
      </c>
      <c r="N563" t="s">
        <v>70</v>
      </c>
      <c r="Q563">
        <f t="shared" si="96"/>
        <v>18977</v>
      </c>
      <c r="R563" t="str">
        <f t="shared" si="96"/>
        <v>Velodrome</v>
      </c>
      <c r="S563" t="str">
        <f t="shared" si="96"/>
        <v>HollowBrook</v>
      </c>
      <c r="T563" s="20">
        <f t="shared" si="87"/>
        <v>0</v>
      </c>
      <c r="U563">
        <f t="shared" si="88"/>
        <v>362</v>
      </c>
      <c r="V563">
        <f t="shared" si="89"/>
        <v>362</v>
      </c>
      <c r="W563" cm="1">
        <f t="array" ref="W563">_xlfn._xlws.FILTER(shifts!A:A,(shifts!B:B=events!D563)*(shifts!AH:AH&gt;=events!U563)*(shifts!AI:AI&lt;=events!V563))</f>
        <v>17</v>
      </c>
      <c r="X563" t="str">
        <f t="shared" si="86"/>
        <v>event_team_player_1</v>
      </c>
      <c r="Y563">
        <f>COUNTIFS(A$3:A563,"="&amp;A563,K$3:K563,"="&amp;K563)</f>
        <v>1</v>
      </c>
      <c r="Z563" s="20">
        <f>SUMIFS(T$3:T563,L$3:L563,"=Intermission")+SUMIFS(T$3:T563,L$3:L563,"=Timeout")+SUMIFS(T$3:T563,L$3:L563,"=Clockstop")</f>
        <v>0</v>
      </c>
      <c r="AA563">
        <f t="shared" si="91"/>
        <v>0</v>
      </c>
      <c r="AB563" s="26">
        <f t="shared" si="92"/>
        <v>718</v>
      </c>
      <c r="AC563">
        <f t="shared" si="93"/>
        <v>0</v>
      </c>
    </row>
    <row r="564" spans="1:29" x14ac:dyDescent="0.2">
      <c r="A564">
        <v>294</v>
      </c>
      <c r="D564">
        <f t="shared" si="94"/>
        <v>1</v>
      </c>
      <c r="E564">
        <v>6</v>
      </c>
      <c r="F564" s="6" t="s">
        <v>316</v>
      </c>
      <c r="I564" t="s">
        <v>178</v>
      </c>
      <c r="J564">
        <v>84</v>
      </c>
      <c r="K564" t="s">
        <v>488</v>
      </c>
      <c r="L564" t="s">
        <v>8</v>
      </c>
      <c r="M564" t="s">
        <v>199</v>
      </c>
      <c r="N564" t="s">
        <v>70</v>
      </c>
      <c r="Q564">
        <f t="shared" ref="Q564:S579" si="97">Q563</f>
        <v>18977</v>
      </c>
      <c r="R564" t="str">
        <f t="shared" si="97"/>
        <v>Velodrome</v>
      </c>
      <c r="S564" t="str">
        <f t="shared" si="97"/>
        <v>HollowBrook</v>
      </c>
      <c r="T564" s="20">
        <f t="shared" si="87"/>
        <v>0</v>
      </c>
      <c r="U564">
        <f t="shared" si="88"/>
        <v>362</v>
      </c>
      <c r="V564">
        <f t="shared" si="89"/>
        <v>362</v>
      </c>
      <c r="W564" cm="1">
        <f t="array" ref="W564">_xlfn._xlws.FILTER(shifts!A:A,(shifts!B:B=events!D564)*(shifts!AH:AH&gt;=events!U564)*(shifts!AI:AI&lt;=events!V564))</f>
        <v>17</v>
      </c>
      <c r="X564" t="str">
        <f t="shared" ref="X564:X627" si="98">IF(K564="e","event_team_player_"&amp;Y564,IF(K564="o","opp_team_player_"&amp;Y564,""))</f>
        <v>event_team_player_2</v>
      </c>
      <c r="Y564">
        <f>COUNTIFS(A$3:A564,"="&amp;A564,K$3:K564,"="&amp;K564)</f>
        <v>2</v>
      </c>
      <c r="Z564" s="20">
        <f>SUMIFS(T$3:T564,L$3:L564,"=Intermission")+SUMIFS(T$3:T564,L$3:L564,"=Timeout")+SUMIFS(T$3:T564,L$3:L564,"=Clockstop")</f>
        <v>0</v>
      </c>
      <c r="AA564">
        <f t="shared" si="91"/>
        <v>0</v>
      </c>
      <c r="AB564" s="26">
        <f t="shared" si="92"/>
        <v>718</v>
      </c>
      <c r="AC564">
        <f t="shared" si="93"/>
        <v>0</v>
      </c>
    </row>
    <row r="565" spans="1:29" x14ac:dyDescent="0.2">
      <c r="A565">
        <v>295</v>
      </c>
      <c r="D565">
        <f t="shared" si="94"/>
        <v>1</v>
      </c>
      <c r="E565">
        <v>6</v>
      </c>
      <c r="F565" s="6" t="s">
        <v>312</v>
      </c>
      <c r="G565">
        <v>5</v>
      </c>
      <c r="H565" s="8" t="s">
        <v>462</v>
      </c>
      <c r="I565" t="s">
        <v>178</v>
      </c>
      <c r="J565">
        <v>84</v>
      </c>
      <c r="K565" t="s">
        <v>488</v>
      </c>
      <c r="L565" t="s">
        <v>15</v>
      </c>
      <c r="Q565">
        <f t="shared" si="97"/>
        <v>18977</v>
      </c>
      <c r="R565" t="str">
        <f t="shared" si="97"/>
        <v>Velodrome</v>
      </c>
      <c r="S565" t="str">
        <f t="shared" si="97"/>
        <v>HollowBrook</v>
      </c>
      <c r="T565" s="20">
        <f t="shared" si="87"/>
        <v>3</v>
      </c>
      <c r="U565">
        <f t="shared" si="88"/>
        <v>361</v>
      </c>
      <c r="V565">
        <f t="shared" si="89"/>
        <v>358</v>
      </c>
      <c r="W565" cm="1">
        <f t="array" ref="W565">_xlfn._xlws.FILTER(shifts!A:A,(shifts!B:B=events!D565)*(shifts!AH:AH&gt;=events!U565)*(shifts!AI:AI&lt;=events!V565))</f>
        <v>17</v>
      </c>
      <c r="X565" t="str">
        <f t="shared" si="98"/>
        <v>event_team_player_1</v>
      </c>
      <c r="Y565">
        <f>COUNTIFS(A$3:A565,"="&amp;A565,K$3:K565,"="&amp;K565)</f>
        <v>1</v>
      </c>
      <c r="Z565" s="20">
        <f>SUMIFS(T$3:T565,L$3:L565,"=Intermission")+SUMIFS(T$3:T565,L$3:L565,"=Timeout")+SUMIFS(T$3:T565,L$3:L565,"=Clockstop")</f>
        <v>0</v>
      </c>
      <c r="AA565">
        <f t="shared" si="91"/>
        <v>0</v>
      </c>
      <c r="AB565" s="26">
        <f t="shared" si="92"/>
        <v>719</v>
      </c>
      <c r="AC565">
        <f t="shared" si="93"/>
        <v>0</v>
      </c>
    </row>
    <row r="566" spans="1:29" x14ac:dyDescent="0.2">
      <c r="A566">
        <v>296</v>
      </c>
      <c r="D566">
        <f t="shared" si="94"/>
        <v>1</v>
      </c>
      <c r="E566">
        <v>5</v>
      </c>
      <c r="F566" s="6" t="s">
        <v>462</v>
      </c>
      <c r="I566" t="s">
        <v>178</v>
      </c>
      <c r="J566">
        <v>84</v>
      </c>
      <c r="K566" t="s">
        <v>488</v>
      </c>
      <c r="L566" t="s">
        <v>7</v>
      </c>
      <c r="M566" t="s">
        <v>215</v>
      </c>
      <c r="N566" t="s">
        <v>53</v>
      </c>
      <c r="Q566">
        <f t="shared" si="97"/>
        <v>18977</v>
      </c>
      <c r="R566" t="str">
        <f t="shared" si="97"/>
        <v>Velodrome</v>
      </c>
      <c r="S566" t="str">
        <f t="shared" si="97"/>
        <v>HollowBrook</v>
      </c>
      <c r="T566" s="20">
        <f t="shared" si="87"/>
        <v>0</v>
      </c>
      <c r="U566">
        <f t="shared" si="88"/>
        <v>358</v>
      </c>
      <c r="V566">
        <f t="shared" si="89"/>
        <v>358</v>
      </c>
      <c r="W566" cm="1">
        <f t="array" ref="W566">_xlfn._xlws.FILTER(shifts!A:A,(shifts!B:B=events!D566)*(shifts!AH:AH&gt;=events!U566)*(shifts!AI:AI&lt;=events!V566))</f>
        <v>17</v>
      </c>
      <c r="X566" t="str">
        <f t="shared" si="98"/>
        <v>event_team_player_1</v>
      </c>
      <c r="Y566">
        <f>COUNTIFS(A$3:A566,"="&amp;A566,K$3:K566,"="&amp;K566)</f>
        <v>1</v>
      </c>
      <c r="Z566" s="20">
        <f>SUMIFS(T$3:T566,L$3:L566,"=Intermission")+SUMIFS(T$3:T566,L$3:L566,"=Timeout")+SUMIFS(T$3:T566,L$3:L566,"=Clockstop")</f>
        <v>0</v>
      </c>
      <c r="AA566">
        <f t="shared" si="91"/>
        <v>0</v>
      </c>
      <c r="AB566" s="26">
        <f t="shared" si="92"/>
        <v>722</v>
      </c>
      <c r="AC566">
        <f t="shared" si="93"/>
        <v>0</v>
      </c>
    </row>
    <row r="567" spans="1:29" x14ac:dyDescent="0.2">
      <c r="A567">
        <v>296</v>
      </c>
      <c r="D567">
        <f t="shared" si="94"/>
        <v>1</v>
      </c>
      <c r="E567">
        <v>5</v>
      </c>
      <c r="F567" s="6" t="s">
        <v>462</v>
      </c>
      <c r="I567" t="s">
        <v>178</v>
      </c>
      <c r="J567">
        <v>70</v>
      </c>
      <c r="K567" t="s">
        <v>488</v>
      </c>
      <c r="L567" t="s">
        <v>7</v>
      </c>
      <c r="M567" t="s">
        <v>215</v>
      </c>
      <c r="N567" t="s">
        <v>53</v>
      </c>
      <c r="Q567">
        <f t="shared" si="97"/>
        <v>18977</v>
      </c>
      <c r="R567" t="str">
        <f t="shared" si="97"/>
        <v>Velodrome</v>
      </c>
      <c r="S567" t="str">
        <f t="shared" si="97"/>
        <v>HollowBrook</v>
      </c>
      <c r="T567" s="20">
        <f t="shared" si="87"/>
        <v>0</v>
      </c>
      <c r="U567">
        <f t="shared" si="88"/>
        <v>358</v>
      </c>
      <c r="V567">
        <f t="shared" si="89"/>
        <v>358</v>
      </c>
      <c r="W567" cm="1">
        <f t="array" ref="W567">_xlfn._xlws.FILTER(shifts!A:A,(shifts!B:B=events!D567)*(shifts!AH:AH&gt;=events!U567)*(shifts!AI:AI&lt;=events!V567))</f>
        <v>17</v>
      </c>
      <c r="X567" t="str">
        <f t="shared" si="98"/>
        <v>event_team_player_2</v>
      </c>
      <c r="Y567">
        <f>COUNTIFS(A$3:A567,"="&amp;A567,K$3:K567,"="&amp;K567)</f>
        <v>2</v>
      </c>
      <c r="Z567" s="20">
        <f>SUMIFS(T$3:T567,L$3:L567,"=Intermission")+SUMIFS(T$3:T567,L$3:L567,"=Timeout")+SUMIFS(T$3:T567,L$3:L567,"=Clockstop")</f>
        <v>0</v>
      </c>
      <c r="AA567">
        <f t="shared" si="91"/>
        <v>0</v>
      </c>
      <c r="AB567" s="26">
        <f t="shared" si="92"/>
        <v>722</v>
      </c>
      <c r="AC567">
        <f t="shared" si="93"/>
        <v>0</v>
      </c>
    </row>
    <row r="568" spans="1:29" x14ac:dyDescent="0.2">
      <c r="A568">
        <v>297</v>
      </c>
      <c r="D568">
        <f t="shared" si="94"/>
        <v>1</v>
      </c>
      <c r="E568">
        <v>5</v>
      </c>
      <c r="F568" s="6" t="s">
        <v>462</v>
      </c>
      <c r="I568" t="s">
        <v>178</v>
      </c>
      <c r="J568">
        <v>84</v>
      </c>
      <c r="K568" t="s">
        <v>488</v>
      </c>
      <c r="L568" t="s">
        <v>10</v>
      </c>
      <c r="M568" t="s">
        <v>190</v>
      </c>
      <c r="N568" t="s">
        <v>78</v>
      </c>
      <c r="Q568">
        <f t="shared" si="97"/>
        <v>18977</v>
      </c>
      <c r="R568" t="str">
        <f t="shared" si="97"/>
        <v>Velodrome</v>
      </c>
      <c r="S568" t="str">
        <f t="shared" si="97"/>
        <v>HollowBrook</v>
      </c>
      <c r="T568" s="20">
        <f t="shared" si="87"/>
        <v>0</v>
      </c>
      <c r="U568">
        <f t="shared" si="88"/>
        <v>358</v>
      </c>
      <c r="V568">
        <f t="shared" si="89"/>
        <v>358</v>
      </c>
      <c r="W568" cm="1">
        <f t="array" ref="W568">_xlfn._xlws.FILTER(shifts!A:A,(shifts!B:B=events!D568)*(shifts!AH:AH&gt;=events!U568)*(shifts!AI:AI&lt;=events!V568))</f>
        <v>17</v>
      </c>
      <c r="X568" t="str">
        <f t="shared" si="98"/>
        <v>event_team_player_1</v>
      </c>
      <c r="Y568">
        <f>COUNTIFS(A$3:A568,"="&amp;A568,K$3:K568,"="&amp;K568)</f>
        <v>1</v>
      </c>
      <c r="Z568" s="20">
        <f>SUMIFS(T$3:T568,L$3:L568,"=Intermission")+SUMIFS(T$3:T568,L$3:L568,"=Timeout")+SUMIFS(T$3:T568,L$3:L568,"=Clockstop")</f>
        <v>0</v>
      </c>
      <c r="AA568">
        <f t="shared" si="91"/>
        <v>0</v>
      </c>
      <c r="AB568" s="26">
        <f t="shared" si="92"/>
        <v>722</v>
      </c>
      <c r="AC568">
        <f t="shared" si="93"/>
        <v>0</v>
      </c>
    </row>
    <row r="569" spans="1:29" x14ac:dyDescent="0.2">
      <c r="A569">
        <v>298</v>
      </c>
      <c r="D569">
        <f t="shared" si="94"/>
        <v>1</v>
      </c>
      <c r="E569">
        <v>5</v>
      </c>
      <c r="F569" s="6" t="s">
        <v>421</v>
      </c>
      <c r="I569" t="s">
        <v>179</v>
      </c>
      <c r="J569">
        <v>27</v>
      </c>
      <c r="K569" t="s">
        <v>488</v>
      </c>
      <c r="L569" t="s">
        <v>8</v>
      </c>
      <c r="M569" t="s">
        <v>189</v>
      </c>
      <c r="N569" t="s">
        <v>70</v>
      </c>
      <c r="Q569">
        <f t="shared" si="97"/>
        <v>18977</v>
      </c>
      <c r="R569" t="str">
        <f t="shared" si="97"/>
        <v>Velodrome</v>
      </c>
      <c r="S569" t="str">
        <f t="shared" si="97"/>
        <v>HollowBrook</v>
      </c>
      <c r="T569" s="20">
        <f t="shared" si="87"/>
        <v>0</v>
      </c>
      <c r="U569">
        <f t="shared" si="88"/>
        <v>356</v>
      </c>
      <c r="V569">
        <f t="shared" si="89"/>
        <v>356</v>
      </c>
      <c r="W569" cm="1">
        <f t="array" ref="W569">_xlfn._xlws.FILTER(shifts!A:A,(shifts!B:B=events!D569)*(shifts!AH:AH&gt;=events!U569)*(shifts!AI:AI&lt;=events!V569))</f>
        <v>17</v>
      </c>
      <c r="X569" t="str">
        <f t="shared" si="98"/>
        <v>event_team_player_1</v>
      </c>
      <c r="Y569">
        <f>COUNTIFS(A$3:A569,"="&amp;A569,K$3:K569,"="&amp;K569)</f>
        <v>1</v>
      </c>
      <c r="Z569" s="20">
        <f>SUMIFS(T$3:T569,L$3:L569,"=Intermission")+SUMIFS(T$3:T569,L$3:L569,"=Timeout")+SUMIFS(T$3:T569,L$3:L569,"=Clockstop")</f>
        <v>0</v>
      </c>
      <c r="AA569">
        <f t="shared" si="91"/>
        <v>0</v>
      </c>
      <c r="AB569" s="26">
        <f t="shared" si="92"/>
        <v>724</v>
      </c>
      <c r="AC569">
        <f t="shared" si="93"/>
        <v>0</v>
      </c>
    </row>
    <row r="570" spans="1:29" x14ac:dyDescent="0.2">
      <c r="A570">
        <v>298</v>
      </c>
      <c r="D570">
        <f t="shared" si="94"/>
        <v>1</v>
      </c>
      <c r="E570">
        <v>5</v>
      </c>
      <c r="F570" s="6" t="s">
        <v>421</v>
      </c>
      <c r="I570" t="s">
        <v>179</v>
      </c>
      <c r="J570">
        <v>13</v>
      </c>
      <c r="K570" t="s">
        <v>488</v>
      </c>
      <c r="L570" t="s">
        <v>8</v>
      </c>
      <c r="M570" t="s">
        <v>189</v>
      </c>
      <c r="N570" t="s">
        <v>70</v>
      </c>
      <c r="Q570">
        <f t="shared" si="97"/>
        <v>18977</v>
      </c>
      <c r="R570" t="str">
        <f t="shared" si="97"/>
        <v>Velodrome</v>
      </c>
      <c r="S570" t="str">
        <f t="shared" si="97"/>
        <v>HollowBrook</v>
      </c>
      <c r="T570" s="20">
        <f t="shared" si="87"/>
        <v>0</v>
      </c>
      <c r="U570">
        <f t="shared" si="88"/>
        <v>356</v>
      </c>
      <c r="V570">
        <f t="shared" si="89"/>
        <v>356</v>
      </c>
      <c r="W570" cm="1">
        <f t="array" ref="W570">_xlfn._xlws.FILTER(shifts!A:A,(shifts!B:B=events!D570)*(shifts!AH:AH&gt;=events!U570)*(shifts!AI:AI&lt;=events!V570))</f>
        <v>17</v>
      </c>
      <c r="X570" t="str">
        <f t="shared" si="98"/>
        <v>event_team_player_2</v>
      </c>
      <c r="Y570">
        <f>COUNTIFS(A$3:A570,"="&amp;A570,K$3:K570,"="&amp;K570)</f>
        <v>2</v>
      </c>
      <c r="Z570" s="20">
        <f>SUMIFS(T$3:T570,L$3:L570,"=Intermission")+SUMIFS(T$3:T570,L$3:L570,"=Timeout")+SUMIFS(T$3:T570,L$3:L570,"=Clockstop")</f>
        <v>0</v>
      </c>
      <c r="AA570">
        <f t="shared" si="91"/>
        <v>0</v>
      </c>
      <c r="AB570" s="26">
        <f t="shared" si="92"/>
        <v>724</v>
      </c>
      <c r="AC570">
        <f t="shared" si="93"/>
        <v>0</v>
      </c>
    </row>
    <row r="571" spans="1:29" x14ac:dyDescent="0.2">
      <c r="A571">
        <v>299</v>
      </c>
      <c r="D571">
        <f t="shared" si="94"/>
        <v>1</v>
      </c>
      <c r="E571">
        <v>5</v>
      </c>
      <c r="F571" s="6" t="s">
        <v>421</v>
      </c>
      <c r="I571" t="s">
        <v>179</v>
      </c>
      <c r="J571">
        <v>13</v>
      </c>
      <c r="K571" t="s">
        <v>488</v>
      </c>
      <c r="L571" t="s">
        <v>13</v>
      </c>
      <c r="M571" t="s">
        <v>204</v>
      </c>
      <c r="N571" t="s">
        <v>108</v>
      </c>
      <c r="Q571">
        <f t="shared" si="97"/>
        <v>18977</v>
      </c>
      <c r="R571" t="str">
        <f t="shared" si="97"/>
        <v>Velodrome</v>
      </c>
      <c r="S571" t="str">
        <f t="shared" si="97"/>
        <v>HollowBrook</v>
      </c>
      <c r="T571" s="20">
        <f t="shared" si="87"/>
        <v>0</v>
      </c>
      <c r="U571">
        <f t="shared" si="88"/>
        <v>356</v>
      </c>
      <c r="V571">
        <f t="shared" si="89"/>
        <v>356</v>
      </c>
      <c r="W571" cm="1">
        <f t="array" ref="W571">_xlfn._xlws.FILTER(shifts!A:A,(shifts!B:B=events!D571)*(shifts!AH:AH&gt;=events!U571)*(shifts!AI:AI&lt;=events!V571))</f>
        <v>17</v>
      </c>
      <c r="X571" t="str">
        <f t="shared" si="98"/>
        <v>event_team_player_1</v>
      </c>
      <c r="Y571">
        <f>COUNTIFS(A$3:A571,"="&amp;A571,K$3:K571,"="&amp;K571)</f>
        <v>1</v>
      </c>
      <c r="Z571" s="20">
        <f>SUMIFS(T$3:T571,L$3:L571,"=Intermission")+SUMIFS(T$3:T571,L$3:L571,"=Timeout")+SUMIFS(T$3:T571,L$3:L571,"=Clockstop")</f>
        <v>0</v>
      </c>
      <c r="AA571">
        <f t="shared" si="91"/>
        <v>0</v>
      </c>
      <c r="AB571" s="26">
        <f t="shared" si="92"/>
        <v>724</v>
      </c>
      <c r="AC571">
        <f t="shared" si="93"/>
        <v>0</v>
      </c>
    </row>
    <row r="572" spans="1:29" x14ac:dyDescent="0.2">
      <c r="A572">
        <v>300</v>
      </c>
      <c r="D572">
        <f t="shared" si="94"/>
        <v>1</v>
      </c>
      <c r="E572">
        <v>5</v>
      </c>
      <c r="F572" s="6" t="s">
        <v>421</v>
      </c>
      <c r="G572">
        <v>5</v>
      </c>
      <c r="H572" s="8" t="s">
        <v>440</v>
      </c>
      <c r="I572" t="s">
        <v>179</v>
      </c>
      <c r="J572">
        <v>13</v>
      </c>
      <c r="K572" t="s">
        <v>488</v>
      </c>
      <c r="L572" t="s">
        <v>282</v>
      </c>
      <c r="Q572">
        <f t="shared" si="97"/>
        <v>18977</v>
      </c>
      <c r="R572" t="str">
        <f t="shared" si="97"/>
        <v>Velodrome</v>
      </c>
      <c r="S572" t="str">
        <f t="shared" si="97"/>
        <v>HollowBrook</v>
      </c>
      <c r="T572" s="20">
        <f t="shared" si="87"/>
        <v>28</v>
      </c>
      <c r="U572">
        <f t="shared" si="88"/>
        <v>356</v>
      </c>
      <c r="V572">
        <f t="shared" si="89"/>
        <v>328</v>
      </c>
      <c r="W572">
        <v>18</v>
      </c>
      <c r="X572" t="str">
        <f t="shared" si="98"/>
        <v>event_team_player_1</v>
      </c>
      <c r="Y572">
        <f>COUNTIFS(A$3:A572,"="&amp;A572,K$3:K572,"="&amp;K572)</f>
        <v>1</v>
      </c>
      <c r="Z572" s="20">
        <f>SUMIFS(T$3:T572,L$3:L572,"=Intermission")+SUMIFS(T$3:T572,L$3:L572,"=Timeout")+SUMIFS(T$3:T572,L$3:L572,"=Clockstop")</f>
        <v>0</v>
      </c>
      <c r="AA572">
        <f t="shared" si="91"/>
        <v>0</v>
      </c>
      <c r="AB572" s="26">
        <f t="shared" si="92"/>
        <v>724</v>
      </c>
      <c r="AC572">
        <f t="shared" si="93"/>
        <v>0</v>
      </c>
    </row>
    <row r="573" spans="1:29" x14ac:dyDescent="0.2">
      <c r="A573">
        <v>301</v>
      </c>
      <c r="D573">
        <f t="shared" si="94"/>
        <v>1</v>
      </c>
      <c r="E573">
        <v>5</v>
      </c>
      <c r="F573" s="6" t="s">
        <v>440</v>
      </c>
      <c r="I573" t="s">
        <v>179</v>
      </c>
      <c r="J573">
        <v>11</v>
      </c>
      <c r="K573" t="s">
        <v>488</v>
      </c>
      <c r="L573" t="s">
        <v>6</v>
      </c>
      <c r="M573" t="s">
        <v>275</v>
      </c>
      <c r="Q573">
        <f t="shared" si="97"/>
        <v>18977</v>
      </c>
      <c r="R573" t="str">
        <f t="shared" si="97"/>
        <v>Velodrome</v>
      </c>
      <c r="S573" t="str">
        <f t="shared" si="97"/>
        <v>HollowBrook</v>
      </c>
      <c r="T573" s="20">
        <f t="shared" si="87"/>
        <v>0</v>
      </c>
      <c r="U573">
        <f t="shared" si="88"/>
        <v>328</v>
      </c>
      <c r="V573">
        <f t="shared" si="89"/>
        <v>328</v>
      </c>
      <c r="W573" cm="1">
        <f t="array" ref="W573">_xlfn._xlws.FILTER(shifts!A:A,(shifts!B:B=events!D573)*(shifts!AH:AH&gt;=events!U573)*(shifts!AI:AI&lt;=events!V573))</f>
        <v>18</v>
      </c>
      <c r="X573" t="str">
        <f t="shared" si="98"/>
        <v>event_team_player_1</v>
      </c>
      <c r="Y573">
        <f>COUNTIFS(A$3:A573,"="&amp;A573,K$3:K573,"="&amp;K573)</f>
        <v>1</v>
      </c>
      <c r="Z573" s="20">
        <f>SUMIFS(T$3:T573,L$3:L573,"=Intermission")+SUMIFS(T$3:T573,L$3:L573,"=Timeout")+SUMIFS(T$3:T573,L$3:L573,"=Clockstop")</f>
        <v>0</v>
      </c>
      <c r="AA573">
        <f t="shared" si="91"/>
        <v>0</v>
      </c>
      <c r="AB573" s="26">
        <f t="shared" si="92"/>
        <v>752</v>
      </c>
      <c r="AC573">
        <f t="shared" si="93"/>
        <v>0</v>
      </c>
    </row>
    <row r="574" spans="1:29" x14ac:dyDescent="0.2">
      <c r="A574">
        <v>301</v>
      </c>
      <c r="D574">
        <f t="shared" si="94"/>
        <v>1</v>
      </c>
      <c r="E574">
        <v>5</v>
      </c>
      <c r="F574" s="6" t="s">
        <v>440</v>
      </c>
      <c r="I574" t="s">
        <v>179</v>
      </c>
      <c r="J574">
        <v>18</v>
      </c>
      <c r="K574" t="s">
        <v>488</v>
      </c>
      <c r="L574" t="s">
        <v>6</v>
      </c>
      <c r="M574" t="s">
        <v>275</v>
      </c>
      <c r="Q574">
        <f t="shared" si="97"/>
        <v>18977</v>
      </c>
      <c r="R574" t="str">
        <f t="shared" si="97"/>
        <v>Velodrome</v>
      </c>
      <c r="S574" t="str">
        <f t="shared" si="97"/>
        <v>HollowBrook</v>
      </c>
      <c r="T574" s="20">
        <f t="shared" si="87"/>
        <v>0</v>
      </c>
      <c r="U574">
        <f t="shared" si="88"/>
        <v>328</v>
      </c>
      <c r="V574">
        <f t="shared" si="89"/>
        <v>328</v>
      </c>
      <c r="W574" cm="1">
        <f t="array" ref="W574">_xlfn._xlws.FILTER(shifts!A:A,(shifts!B:B=events!D574)*(shifts!AH:AH&gt;=events!U574)*(shifts!AI:AI&lt;=events!V574))</f>
        <v>18</v>
      </c>
      <c r="X574" t="str">
        <f t="shared" si="98"/>
        <v>event_team_player_2</v>
      </c>
      <c r="Y574">
        <f>COUNTIFS(A$3:A574,"="&amp;A574,K$3:K574,"="&amp;K574)</f>
        <v>2</v>
      </c>
      <c r="Z574" s="20">
        <f>SUMIFS(T$3:T574,L$3:L574,"=Intermission")+SUMIFS(T$3:T574,L$3:L574,"=Timeout")+SUMIFS(T$3:T574,L$3:L574,"=Clockstop")</f>
        <v>0</v>
      </c>
      <c r="AA574">
        <f t="shared" si="91"/>
        <v>0</v>
      </c>
      <c r="AB574" s="26">
        <f t="shared" si="92"/>
        <v>752</v>
      </c>
      <c r="AC574">
        <f t="shared" si="93"/>
        <v>0</v>
      </c>
    </row>
    <row r="575" spans="1:29" x14ac:dyDescent="0.2">
      <c r="A575">
        <v>301</v>
      </c>
      <c r="D575">
        <f t="shared" si="94"/>
        <v>1</v>
      </c>
      <c r="E575">
        <v>5</v>
      </c>
      <c r="F575" s="6" t="s">
        <v>440</v>
      </c>
      <c r="I575" t="s">
        <v>179</v>
      </c>
      <c r="J575">
        <v>42</v>
      </c>
      <c r="K575" t="s">
        <v>489</v>
      </c>
      <c r="L575" t="s">
        <v>6</v>
      </c>
      <c r="M575" t="s">
        <v>275</v>
      </c>
      <c r="Q575">
        <f t="shared" si="97"/>
        <v>18977</v>
      </c>
      <c r="R575" t="str">
        <f t="shared" si="97"/>
        <v>Velodrome</v>
      </c>
      <c r="S575" t="str">
        <f t="shared" si="97"/>
        <v>HollowBrook</v>
      </c>
      <c r="T575" s="20">
        <f t="shared" si="87"/>
        <v>0</v>
      </c>
      <c r="U575">
        <f t="shared" si="88"/>
        <v>328</v>
      </c>
      <c r="V575">
        <f t="shared" si="89"/>
        <v>328</v>
      </c>
      <c r="W575" cm="1">
        <f t="array" ref="W575">_xlfn._xlws.FILTER(shifts!A:A,(shifts!B:B=events!D575)*(shifts!AH:AH&gt;=events!U575)*(shifts!AI:AI&lt;=events!V575))</f>
        <v>18</v>
      </c>
      <c r="X575" t="str">
        <f t="shared" si="98"/>
        <v>opp_team_player_1</v>
      </c>
      <c r="Y575">
        <f>COUNTIFS(A$3:A575,"="&amp;A575,K$3:K575,"="&amp;K575)</f>
        <v>1</v>
      </c>
      <c r="Z575" s="20">
        <f>SUMIFS(T$3:T575,L$3:L575,"=Intermission")+SUMIFS(T$3:T575,L$3:L575,"=Timeout")+SUMIFS(T$3:T575,L$3:L575,"=Clockstop")</f>
        <v>0</v>
      </c>
      <c r="AA575">
        <f t="shared" si="91"/>
        <v>0</v>
      </c>
      <c r="AB575" s="26">
        <f t="shared" si="92"/>
        <v>752</v>
      </c>
      <c r="AC575">
        <f t="shared" si="93"/>
        <v>0</v>
      </c>
    </row>
    <row r="576" spans="1:29" x14ac:dyDescent="0.2">
      <c r="A576">
        <v>302</v>
      </c>
      <c r="D576">
        <f t="shared" si="94"/>
        <v>1</v>
      </c>
      <c r="E576">
        <v>5</v>
      </c>
      <c r="F576" s="6" t="s">
        <v>440</v>
      </c>
      <c r="G576">
        <v>5</v>
      </c>
      <c r="H576" s="8" t="s">
        <v>441</v>
      </c>
      <c r="I576" t="s">
        <v>179</v>
      </c>
      <c r="J576">
        <v>18</v>
      </c>
      <c r="K576" t="s">
        <v>488</v>
      </c>
      <c r="L576" t="s">
        <v>15</v>
      </c>
      <c r="Q576">
        <f t="shared" si="97"/>
        <v>18977</v>
      </c>
      <c r="R576" t="str">
        <f t="shared" si="97"/>
        <v>Velodrome</v>
      </c>
      <c r="S576" t="str">
        <f t="shared" si="97"/>
        <v>HollowBrook</v>
      </c>
      <c r="T576" s="20">
        <f t="shared" si="87"/>
        <v>3</v>
      </c>
      <c r="U576">
        <f t="shared" si="88"/>
        <v>328</v>
      </c>
      <c r="V576">
        <f t="shared" si="89"/>
        <v>325</v>
      </c>
      <c r="W576" cm="1">
        <f t="array" ref="W576">_xlfn._xlws.FILTER(shifts!A:A,(shifts!B:B=events!D576)*(shifts!AH:AH&gt;=events!U576)*(shifts!AI:AI&lt;=events!V576))</f>
        <v>18</v>
      </c>
      <c r="X576" t="str">
        <f t="shared" si="98"/>
        <v>event_team_player_1</v>
      </c>
      <c r="Y576">
        <f>COUNTIFS(A$3:A576,"="&amp;A576,K$3:K576,"="&amp;K576)</f>
        <v>1</v>
      </c>
      <c r="Z576" s="20">
        <f>SUMIFS(T$3:T576,L$3:L576,"=Intermission")+SUMIFS(T$3:T576,L$3:L576,"=Timeout")+SUMIFS(T$3:T576,L$3:L576,"=Clockstop")</f>
        <v>0</v>
      </c>
      <c r="AA576">
        <f t="shared" si="91"/>
        <v>0</v>
      </c>
      <c r="AB576" s="26">
        <f t="shared" si="92"/>
        <v>752</v>
      </c>
      <c r="AC576">
        <f t="shared" si="93"/>
        <v>0</v>
      </c>
    </row>
    <row r="577" spans="1:29" x14ac:dyDescent="0.2">
      <c r="A577">
        <v>303</v>
      </c>
      <c r="D577">
        <f t="shared" si="94"/>
        <v>1</v>
      </c>
      <c r="E577">
        <v>5</v>
      </c>
      <c r="F577" s="6" t="s">
        <v>441</v>
      </c>
      <c r="I577" t="s">
        <v>179</v>
      </c>
      <c r="J577">
        <v>18</v>
      </c>
      <c r="K577" t="s">
        <v>488</v>
      </c>
      <c r="L577" t="s">
        <v>8</v>
      </c>
      <c r="M577" t="s">
        <v>189</v>
      </c>
      <c r="N577" t="s">
        <v>67</v>
      </c>
      <c r="Q577">
        <f t="shared" si="97"/>
        <v>18977</v>
      </c>
      <c r="R577" t="str">
        <f t="shared" si="97"/>
        <v>Velodrome</v>
      </c>
      <c r="S577" t="str">
        <f t="shared" si="97"/>
        <v>HollowBrook</v>
      </c>
      <c r="T577" s="20">
        <f t="shared" si="87"/>
        <v>0</v>
      </c>
      <c r="U577">
        <f t="shared" si="88"/>
        <v>325</v>
      </c>
      <c r="V577">
        <f t="shared" si="89"/>
        <v>325</v>
      </c>
      <c r="W577" cm="1">
        <f t="array" ref="W577">_xlfn._xlws.FILTER(shifts!A:A,(shifts!B:B=events!D577)*(shifts!AH:AH&gt;=events!U577)*(shifts!AI:AI&lt;=events!V577))</f>
        <v>18</v>
      </c>
      <c r="X577" t="str">
        <f t="shared" si="98"/>
        <v>event_team_player_1</v>
      </c>
      <c r="Y577">
        <f>COUNTIFS(A$3:A577,"="&amp;A577,K$3:K577,"="&amp;K577)</f>
        <v>1</v>
      </c>
      <c r="Z577" s="20">
        <f>SUMIFS(T$3:T577,L$3:L577,"=Intermission")+SUMIFS(T$3:T577,L$3:L577,"=Timeout")+SUMIFS(T$3:T577,L$3:L577,"=Clockstop")</f>
        <v>0</v>
      </c>
      <c r="AA577">
        <f t="shared" si="91"/>
        <v>0</v>
      </c>
      <c r="AB577" s="26">
        <f t="shared" si="92"/>
        <v>755</v>
      </c>
      <c r="AC577">
        <f t="shared" si="93"/>
        <v>0</v>
      </c>
    </row>
    <row r="578" spans="1:29" x14ac:dyDescent="0.2">
      <c r="A578">
        <v>303</v>
      </c>
      <c r="D578">
        <f t="shared" si="94"/>
        <v>1</v>
      </c>
      <c r="E578">
        <v>5</v>
      </c>
      <c r="F578" s="6" t="s">
        <v>441</v>
      </c>
      <c r="I578" t="s">
        <v>179</v>
      </c>
      <c r="J578">
        <v>19</v>
      </c>
      <c r="K578" t="s">
        <v>488</v>
      </c>
      <c r="L578" t="s">
        <v>8</v>
      </c>
      <c r="M578" t="s">
        <v>189</v>
      </c>
      <c r="N578" t="s">
        <v>67</v>
      </c>
      <c r="Q578">
        <f t="shared" si="97"/>
        <v>18977</v>
      </c>
      <c r="R578" t="str">
        <f t="shared" si="97"/>
        <v>Velodrome</v>
      </c>
      <c r="S578" t="str">
        <f t="shared" si="97"/>
        <v>HollowBrook</v>
      </c>
      <c r="T578" s="20">
        <f t="shared" si="87"/>
        <v>0</v>
      </c>
      <c r="U578">
        <f t="shared" si="88"/>
        <v>325</v>
      </c>
      <c r="V578">
        <f t="shared" si="89"/>
        <v>325</v>
      </c>
      <c r="W578" cm="1">
        <f t="array" ref="W578">_xlfn._xlws.FILTER(shifts!A:A,(shifts!B:B=events!D578)*(shifts!AH:AH&gt;=events!U578)*(shifts!AI:AI&lt;=events!V578))</f>
        <v>18</v>
      </c>
      <c r="X578" t="str">
        <f t="shared" si="98"/>
        <v>event_team_player_2</v>
      </c>
      <c r="Y578">
        <f>COUNTIFS(A$3:A578,"="&amp;A578,K$3:K578,"="&amp;K578)</f>
        <v>2</v>
      </c>
      <c r="Z578" s="20">
        <f>SUMIFS(T$3:T578,L$3:L578,"=Intermission")+SUMIFS(T$3:T578,L$3:L578,"=Timeout")+SUMIFS(T$3:T578,L$3:L578,"=Clockstop")</f>
        <v>0</v>
      </c>
      <c r="AA578">
        <f t="shared" si="91"/>
        <v>0</v>
      </c>
      <c r="AB578" s="26">
        <f t="shared" si="92"/>
        <v>755</v>
      </c>
      <c r="AC578">
        <f t="shared" si="93"/>
        <v>0</v>
      </c>
    </row>
    <row r="579" spans="1:29" x14ac:dyDescent="0.2">
      <c r="A579">
        <v>304</v>
      </c>
      <c r="D579">
        <f t="shared" si="94"/>
        <v>1</v>
      </c>
      <c r="E579">
        <v>5</v>
      </c>
      <c r="F579" s="6" t="s">
        <v>441</v>
      </c>
      <c r="I579" t="s">
        <v>179</v>
      </c>
      <c r="J579">
        <v>18</v>
      </c>
      <c r="K579" t="s">
        <v>488</v>
      </c>
      <c r="L579" t="s">
        <v>277</v>
      </c>
      <c r="M579" t="s">
        <v>201</v>
      </c>
      <c r="N579" t="s">
        <v>91</v>
      </c>
      <c r="Q579">
        <f t="shared" si="97"/>
        <v>18977</v>
      </c>
      <c r="R579" t="str">
        <f t="shared" si="97"/>
        <v>Velodrome</v>
      </c>
      <c r="S579" t="str">
        <f t="shared" si="97"/>
        <v>HollowBrook</v>
      </c>
      <c r="T579" s="20">
        <f t="shared" ref="T579:T642" si="99">IF(AND(G579="",H579=""),0,((E579*60)+F579)-((G579*60)+H579))</f>
        <v>0</v>
      </c>
      <c r="U579">
        <f t="shared" ref="U579:U642" si="100">(E579*60)+F579</f>
        <v>325</v>
      </c>
      <c r="V579">
        <f t="shared" ref="V579:V642" si="101">IF(AND(G579="",H579=""),U579,((G579*60)+H579))</f>
        <v>325</v>
      </c>
      <c r="W579" cm="1">
        <f t="array" ref="W579">_xlfn._xlws.FILTER(shifts!A:A,(shifts!B:B=events!D579)*(shifts!AH:AH&gt;=events!U579)*(shifts!AI:AI&lt;=events!V579))</f>
        <v>18</v>
      </c>
      <c r="X579" t="str">
        <f t="shared" si="98"/>
        <v>event_team_player_1</v>
      </c>
      <c r="Y579">
        <f>COUNTIFS(A$3:A579,"="&amp;A579,K$3:K579,"="&amp;K579)</f>
        <v>1</v>
      </c>
      <c r="Z579" s="20">
        <f>SUMIFS(T$3:T579,L$3:L579,"=Intermission")+SUMIFS(T$3:T579,L$3:L579,"=Timeout")+SUMIFS(T$3:T579,L$3:L579,"=Clockstop")</f>
        <v>0</v>
      </c>
      <c r="AA579">
        <f t="shared" si="91"/>
        <v>0</v>
      </c>
      <c r="AB579" s="26">
        <f t="shared" si="92"/>
        <v>755</v>
      </c>
      <c r="AC579">
        <f t="shared" si="93"/>
        <v>0</v>
      </c>
    </row>
    <row r="580" spans="1:29" x14ac:dyDescent="0.2">
      <c r="A580">
        <v>304</v>
      </c>
      <c r="D580">
        <f t="shared" si="94"/>
        <v>1</v>
      </c>
      <c r="E580">
        <v>5</v>
      </c>
      <c r="F580" s="6" t="s">
        <v>441</v>
      </c>
      <c r="I580" t="s">
        <v>179</v>
      </c>
      <c r="J580">
        <v>19</v>
      </c>
      <c r="K580" t="s">
        <v>488</v>
      </c>
      <c r="L580" t="s">
        <v>277</v>
      </c>
      <c r="M580" t="s">
        <v>201</v>
      </c>
      <c r="N580" t="s">
        <v>91</v>
      </c>
      <c r="Q580">
        <f t="shared" ref="Q580:S595" si="102">Q579</f>
        <v>18977</v>
      </c>
      <c r="R580" t="str">
        <f t="shared" si="102"/>
        <v>Velodrome</v>
      </c>
      <c r="S580" t="str">
        <f t="shared" si="102"/>
        <v>HollowBrook</v>
      </c>
      <c r="T580" s="20">
        <f t="shared" si="99"/>
        <v>0</v>
      </c>
      <c r="U580">
        <f t="shared" si="100"/>
        <v>325</v>
      </c>
      <c r="V580">
        <f t="shared" si="101"/>
        <v>325</v>
      </c>
      <c r="W580" cm="1">
        <f t="array" ref="W580">_xlfn._xlws.FILTER(shifts!A:A,(shifts!B:B=events!D580)*(shifts!AH:AH&gt;=events!U580)*(shifts!AI:AI&lt;=events!V580))</f>
        <v>18</v>
      </c>
      <c r="X580" t="str">
        <f t="shared" si="98"/>
        <v>event_team_player_2</v>
      </c>
      <c r="Y580">
        <f>COUNTIFS(A$3:A580,"="&amp;A580,K$3:K580,"="&amp;K580)</f>
        <v>2</v>
      </c>
      <c r="Z580" s="20">
        <f>SUMIFS(T$3:T580,L$3:L580,"=Intermission")+SUMIFS(T$3:T580,L$3:L580,"=Timeout")+SUMIFS(T$3:T580,L$3:L580,"=Clockstop")</f>
        <v>0</v>
      </c>
      <c r="AA580">
        <f t="shared" ref="AA580:AA643" si="103">IF(D580=1,0,IF(D580=2,1080+Z580,IF(D580=3,(1080*2)+Z580,0)))</f>
        <v>0</v>
      </c>
      <c r="AB580" s="26">
        <f t="shared" ref="AB580:AB643" si="104">((1080*D580)-((E580*60)+F580)*D580)+Z580</f>
        <v>755</v>
      </c>
      <c r="AC580">
        <f t="shared" ref="AC580:AC643" si="105">IF(L579="GameStart",0,AA580+Z580)</f>
        <v>0</v>
      </c>
    </row>
    <row r="581" spans="1:29" x14ac:dyDescent="0.2">
      <c r="A581">
        <v>305</v>
      </c>
      <c r="D581">
        <f t="shared" ref="D581:D644" si="106">IF(L581="Intermission",D580+1,D580)</f>
        <v>1</v>
      </c>
      <c r="E581">
        <v>5</v>
      </c>
      <c r="F581" s="6" t="s">
        <v>484</v>
      </c>
      <c r="G581">
        <v>5</v>
      </c>
      <c r="H581" s="8" t="s">
        <v>422</v>
      </c>
      <c r="I581" t="s">
        <v>179</v>
      </c>
      <c r="J581">
        <v>19</v>
      </c>
      <c r="K581" t="s">
        <v>488</v>
      </c>
      <c r="L581" t="s">
        <v>15</v>
      </c>
      <c r="Q581">
        <f t="shared" si="102"/>
        <v>18977</v>
      </c>
      <c r="R581" t="str">
        <f t="shared" si="102"/>
        <v>Velodrome</v>
      </c>
      <c r="S581" t="str">
        <f t="shared" si="102"/>
        <v>HollowBrook</v>
      </c>
      <c r="T581" s="20">
        <f t="shared" si="99"/>
        <v>2</v>
      </c>
      <c r="U581">
        <f t="shared" si="100"/>
        <v>322</v>
      </c>
      <c r="V581">
        <f t="shared" si="101"/>
        <v>320</v>
      </c>
      <c r="W581" cm="1">
        <f t="array" ref="W581">_xlfn._xlws.FILTER(shifts!A:A,(shifts!B:B=events!D581)*(shifts!AH:AH&gt;=events!U581)*(shifts!AI:AI&lt;=events!V581))</f>
        <v>18</v>
      </c>
      <c r="X581" t="str">
        <f t="shared" si="98"/>
        <v>event_team_player_1</v>
      </c>
      <c r="Y581">
        <f>COUNTIFS(A$3:A581,"="&amp;A581,K$3:K581,"="&amp;K581)</f>
        <v>1</v>
      </c>
      <c r="Z581" s="20">
        <f>SUMIFS(T$3:T581,L$3:L581,"=Intermission")+SUMIFS(T$3:T581,L$3:L581,"=Timeout")+SUMIFS(T$3:T581,L$3:L581,"=Clockstop")</f>
        <v>0</v>
      </c>
      <c r="AA581">
        <f t="shared" si="103"/>
        <v>0</v>
      </c>
      <c r="AB581" s="26">
        <f t="shared" si="104"/>
        <v>758</v>
      </c>
      <c r="AC581">
        <f t="shared" si="105"/>
        <v>0</v>
      </c>
    </row>
    <row r="582" spans="1:29" x14ac:dyDescent="0.2">
      <c r="A582">
        <v>306</v>
      </c>
      <c r="D582">
        <f t="shared" si="106"/>
        <v>1</v>
      </c>
      <c r="E582">
        <v>5</v>
      </c>
      <c r="F582" s="6" t="s">
        <v>422</v>
      </c>
      <c r="G582">
        <v>5</v>
      </c>
      <c r="H582" s="8" t="s">
        <v>445</v>
      </c>
      <c r="I582" t="s">
        <v>179</v>
      </c>
      <c r="J582">
        <v>19</v>
      </c>
      <c r="K582" t="s">
        <v>488</v>
      </c>
      <c r="L582" t="s">
        <v>277</v>
      </c>
      <c r="M582" t="s">
        <v>191</v>
      </c>
      <c r="N582" t="s">
        <v>87</v>
      </c>
      <c r="Q582">
        <f t="shared" si="102"/>
        <v>18977</v>
      </c>
      <c r="R582" t="str">
        <f t="shared" si="102"/>
        <v>Velodrome</v>
      </c>
      <c r="S582" t="str">
        <f t="shared" si="102"/>
        <v>HollowBrook</v>
      </c>
      <c r="T582" s="20">
        <f t="shared" si="99"/>
        <v>1</v>
      </c>
      <c r="U582">
        <f t="shared" si="100"/>
        <v>320</v>
      </c>
      <c r="V582">
        <f t="shared" si="101"/>
        <v>319</v>
      </c>
      <c r="W582" cm="1">
        <f t="array" ref="W582">_xlfn._xlws.FILTER(shifts!A:A,(shifts!B:B=events!D582)*(shifts!AH:AH&gt;=events!U582)*(shifts!AI:AI&lt;=events!V582))</f>
        <v>18</v>
      </c>
      <c r="X582" t="str">
        <f t="shared" si="98"/>
        <v>event_team_player_1</v>
      </c>
      <c r="Y582">
        <f>COUNTIFS(A$3:A582,"="&amp;A582,K$3:K582,"="&amp;K582)</f>
        <v>1</v>
      </c>
      <c r="Z582" s="20">
        <f>SUMIFS(T$3:T582,L$3:L582,"=Intermission")+SUMIFS(T$3:T582,L$3:L582,"=Timeout")+SUMIFS(T$3:T582,L$3:L582,"=Clockstop")</f>
        <v>0</v>
      </c>
      <c r="AA582">
        <f t="shared" si="103"/>
        <v>0</v>
      </c>
      <c r="AB582" s="26">
        <f t="shared" si="104"/>
        <v>760</v>
      </c>
      <c r="AC582">
        <f t="shared" si="105"/>
        <v>0</v>
      </c>
    </row>
    <row r="583" spans="1:29" x14ac:dyDescent="0.2">
      <c r="A583">
        <v>306</v>
      </c>
      <c r="D583">
        <f t="shared" si="106"/>
        <v>1</v>
      </c>
      <c r="E583">
        <v>5</v>
      </c>
      <c r="F583" s="6" t="s">
        <v>422</v>
      </c>
      <c r="G583">
        <v>5</v>
      </c>
      <c r="H583" s="8" t="s">
        <v>445</v>
      </c>
      <c r="I583" t="s">
        <v>179</v>
      </c>
      <c r="J583">
        <v>11</v>
      </c>
      <c r="K583" t="s">
        <v>488</v>
      </c>
      <c r="L583" t="s">
        <v>277</v>
      </c>
      <c r="M583" t="s">
        <v>191</v>
      </c>
      <c r="N583" t="s">
        <v>87</v>
      </c>
      <c r="Q583">
        <f t="shared" si="102"/>
        <v>18977</v>
      </c>
      <c r="R583" t="str">
        <f t="shared" si="102"/>
        <v>Velodrome</v>
      </c>
      <c r="S583" t="str">
        <f t="shared" si="102"/>
        <v>HollowBrook</v>
      </c>
      <c r="T583" s="20">
        <f t="shared" si="99"/>
        <v>1</v>
      </c>
      <c r="U583">
        <f t="shared" si="100"/>
        <v>320</v>
      </c>
      <c r="V583">
        <f t="shared" si="101"/>
        <v>319</v>
      </c>
      <c r="W583" cm="1">
        <f t="array" ref="W583">_xlfn._xlws.FILTER(shifts!A:A,(shifts!B:B=events!D583)*(shifts!AH:AH&gt;=events!U583)*(shifts!AI:AI&lt;=events!V583))</f>
        <v>18</v>
      </c>
      <c r="X583" t="str">
        <f t="shared" si="98"/>
        <v>event_team_player_2</v>
      </c>
      <c r="Y583">
        <f>COUNTIFS(A$3:A583,"="&amp;A583,K$3:K583,"="&amp;K583)</f>
        <v>2</v>
      </c>
      <c r="Z583" s="20">
        <f>SUMIFS(T$3:T583,L$3:L583,"=Intermission")+SUMIFS(T$3:T583,L$3:L583,"=Timeout")+SUMIFS(T$3:T583,L$3:L583,"=Clockstop")</f>
        <v>0</v>
      </c>
      <c r="AA583">
        <f t="shared" si="103"/>
        <v>0</v>
      </c>
      <c r="AB583" s="26">
        <f t="shared" si="104"/>
        <v>760</v>
      </c>
      <c r="AC583">
        <f t="shared" si="105"/>
        <v>0</v>
      </c>
    </row>
    <row r="584" spans="1:29" x14ac:dyDescent="0.2">
      <c r="A584">
        <v>306</v>
      </c>
      <c r="D584">
        <f t="shared" si="106"/>
        <v>1</v>
      </c>
      <c r="E584">
        <v>5</v>
      </c>
      <c r="F584" s="6" t="s">
        <v>422</v>
      </c>
      <c r="G584">
        <v>5</v>
      </c>
      <c r="H584" s="8" t="s">
        <v>445</v>
      </c>
      <c r="I584" t="s">
        <v>179</v>
      </c>
      <c r="J584">
        <v>8</v>
      </c>
      <c r="K584" t="s">
        <v>488</v>
      </c>
      <c r="L584" t="s">
        <v>277</v>
      </c>
      <c r="M584" t="s">
        <v>191</v>
      </c>
      <c r="N584" t="s">
        <v>87</v>
      </c>
      <c r="Q584">
        <f t="shared" si="102"/>
        <v>18977</v>
      </c>
      <c r="R584" t="str">
        <f t="shared" si="102"/>
        <v>Velodrome</v>
      </c>
      <c r="S584" t="str">
        <f t="shared" si="102"/>
        <v>HollowBrook</v>
      </c>
      <c r="T584" s="20">
        <f t="shared" si="99"/>
        <v>1</v>
      </c>
      <c r="U584">
        <f t="shared" si="100"/>
        <v>320</v>
      </c>
      <c r="V584">
        <f t="shared" si="101"/>
        <v>319</v>
      </c>
      <c r="W584" cm="1">
        <f t="array" ref="W584">_xlfn._xlws.FILTER(shifts!A:A,(shifts!B:B=events!D584)*(shifts!AH:AH&gt;=events!U584)*(shifts!AI:AI&lt;=events!V584))</f>
        <v>18</v>
      </c>
      <c r="X584" t="str">
        <f t="shared" si="98"/>
        <v>event_team_player_3</v>
      </c>
      <c r="Y584">
        <f>COUNTIFS(A$3:A584,"="&amp;A584,K$3:K584,"="&amp;K584)</f>
        <v>3</v>
      </c>
      <c r="Z584" s="20">
        <f>SUMIFS(T$3:T584,L$3:L584,"=Intermission")+SUMIFS(T$3:T584,L$3:L584,"=Timeout")+SUMIFS(T$3:T584,L$3:L584,"=Clockstop")</f>
        <v>0</v>
      </c>
      <c r="AA584">
        <f t="shared" si="103"/>
        <v>0</v>
      </c>
      <c r="AB584" s="26">
        <f t="shared" si="104"/>
        <v>760</v>
      </c>
      <c r="AC584">
        <f t="shared" si="105"/>
        <v>0</v>
      </c>
    </row>
    <row r="585" spans="1:29" x14ac:dyDescent="0.2">
      <c r="A585">
        <v>306</v>
      </c>
      <c r="D585">
        <f t="shared" si="106"/>
        <v>1</v>
      </c>
      <c r="E585">
        <v>5</v>
      </c>
      <c r="F585" s="6" t="s">
        <v>422</v>
      </c>
      <c r="G585">
        <v>5</v>
      </c>
      <c r="H585" s="8" t="s">
        <v>445</v>
      </c>
      <c r="I585" t="s">
        <v>179</v>
      </c>
      <c r="J585">
        <v>52</v>
      </c>
      <c r="K585" t="s">
        <v>489</v>
      </c>
      <c r="L585" t="s">
        <v>277</v>
      </c>
      <c r="M585" t="s">
        <v>191</v>
      </c>
      <c r="N585" t="s">
        <v>87</v>
      </c>
      <c r="Q585">
        <f t="shared" si="102"/>
        <v>18977</v>
      </c>
      <c r="R585" t="str">
        <f t="shared" si="102"/>
        <v>Velodrome</v>
      </c>
      <c r="S585" t="str">
        <f t="shared" si="102"/>
        <v>HollowBrook</v>
      </c>
      <c r="T585" s="20">
        <f t="shared" si="99"/>
        <v>1</v>
      </c>
      <c r="U585">
        <f t="shared" si="100"/>
        <v>320</v>
      </c>
      <c r="V585">
        <f t="shared" si="101"/>
        <v>319</v>
      </c>
      <c r="W585" cm="1">
        <f t="array" ref="W585">_xlfn._xlws.FILTER(shifts!A:A,(shifts!B:B=events!D585)*(shifts!AH:AH&gt;=events!U585)*(shifts!AI:AI&lt;=events!V585))</f>
        <v>18</v>
      </c>
      <c r="X585" t="str">
        <f t="shared" si="98"/>
        <v>opp_team_player_1</v>
      </c>
      <c r="Y585">
        <f>COUNTIFS(A$3:A585,"="&amp;A585,K$3:K585,"="&amp;K585)</f>
        <v>1</v>
      </c>
      <c r="Z585" s="20">
        <f>SUMIFS(T$3:T585,L$3:L585,"=Intermission")+SUMIFS(T$3:T585,L$3:L585,"=Timeout")+SUMIFS(T$3:T585,L$3:L585,"=Clockstop")</f>
        <v>0</v>
      </c>
      <c r="AA585">
        <f t="shared" si="103"/>
        <v>0</v>
      </c>
      <c r="AB585" s="26">
        <f t="shared" si="104"/>
        <v>760</v>
      </c>
      <c r="AC585">
        <f t="shared" si="105"/>
        <v>0</v>
      </c>
    </row>
    <row r="586" spans="1:29" x14ac:dyDescent="0.2">
      <c r="A586">
        <v>306</v>
      </c>
      <c r="D586">
        <f t="shared" si="106"/>
        <v>1</v>
      </c>
      <c r="E586">
        <v>5</v>
      </c>
      <c r="F586" s="6" t="s">
        <v>422</v>
      </c>
      <c r="G586">
        <v>5</v>
      </c>
      <c r="H586" s="8" t="s">
        <v>445</v>
      </c>
      <c r="I586" t="s">
        <v>179</v>
      </c>
      <c r="J586">
        <v>87</v>
      </c>
      <c r="K586" t="s">
        <v>489</v>
      </c>
      <c r="L586" t="s">
        <v>277</v>
      </c>
      <c r="M586" t="s">
        <v>191</v>
      </c>
      <c r="N586" t="s">
        <v>87</v>
      </c>
      <c r="Q586">
        <f t="shared" si="102"/>
        <v>18977</v>
      </c>
      <c r="R586" t="str">
        <f t="shared" si="102"/>
        <v>Velodrome</v>
      </c>
      <c r="S586" t="str">
        <f t="shared" si="102"/>
        <v>HollowBrook</v>
      </c>
      <c r="T586" s="20">
        <f t="shared" si="99"/>
        <v>1</v>
      </c>
      <c r="U586">
        <f t="shared" si="100"/>
        <v>320</v>
      </c>
      <c r="V586">
        <f t="shared" si="101"/>
        <v>319</v>
      </c>
      <c r="W586" cm="1">
        <f t="array" ref="W586">_xlfn._xlws.FILTER(shifts!A:A,(shifts!B:B=events!D586)*(shifts!AH:AH&gt;=events!U586)*(shifts!AI:AI&lt;=events!V586))</f>
        <v>18</v>
      </c>
      <c r="X586" t="str">
        <f t="shared" si="98"/>
        <v>opp_team_player_2</v>
      </c>
      <c r="Y586">
        <f>COUNTIFS(A$3:A586,"="&amp;A586,K$3:K586,"="&amp;K586)</f>
        <v>2</v>
      </c>
      <c r="Z586" s="20">
        <f>SUMIFS(T$3:T586,L$3:L586,"=Intermission")+SUMIFS(T$3:T586,L$3:L586,"=Timeout")+SUMIFS(T$3:T586,L$3:L586,"=Clockstop")</f>
        <v>0</v>
      </c>
      <c r="AA586">
        <f t="shared" si="103"/>
        <v>0</v>
      </c>
      <c r="AB586" s="26">
        <f t="shared" si="104"/>
        <v>760</v>
      </c>
      <c r="AC586">
        <f t="shared" si="105"/>
        <v>0</v>
      </c>
    </row>
    <row r="587" spans="1:29" x14ac:dyDescent="0.2">
      <c r="A587">
        <v>307</v>
      </c>
      <c r="D587">
        <f t="shared" si="106"/>
        <v>1</v>
      </c>
      <c r="E587">
        <v>5</v>
      </c>
      <c r="F587" s="6" t="s">
        <v>445</v>
      </c>
      <c r="I587" t="s">
        <v>179</v>
      </c>
      <c r="J587">
        <v>19</v>
      </c>
      <c r="K587" t="s">
        <v>488</v>
      </c>
      <c r="L587" t="s">
        <v>8</v>
      </c>
      <c r="M587" t="s">
        <v>199</v>
      </c>
      <c r="N587" t="s">
        <v>70</v>
      </c>
      <c r="Q587">
        <f t="shared" si="102"/>
        <v>18977</v>
      </c>
      <c r="R587" t="str">
        <f t="shared" si="102"/>
        <v>Velodrome</v>
      </c>
      <c r="S587" t="str">
        <f t="shared" si="102"/>
        <v>HollowBrook</v>
      </c>
      <c r="T587" s="20">
        <f t="shared" si="99"/>
        <v>0</v>
      </c>
      <c r="U587">
        <f t="shared" si="100"/>
        <v>319</v>
      </c>
      <c r="V587">
        <f t="shared" si="101"/>
        <v>319</v>
      </c>
      <c r="W587" cm="1">
        <f t="array" ref="W587">_xlfn._xlws.FILTER(shifts!A:A,(shifts!B:B=events!D587)*(shifts!AH:AH&gt;=events!U587)*(shifts!AI:AI&lt;=events!V587))</f>
        <v>18</v>
      </c>
      <c r="X587" t="str">
        <f t="shared" si="98"/>
        <v>event_team_player_1</v>
      </c>
      <c r="Y587">
        <f>COUNTIFS(A$3:A587,"="&amp;A587,K$3:K587,"="&amp;K587)</f>
        <v>1</v>
      </c>
      <c r="Z587" s="20">
        <f>SUMIFS(T$3:T587,L$3:L587,"=Intermission")+SUMIFS(T$3:T587,L$3:L587,"=Timeout")+SUMIFS(T$3:T587,L$3:L587,"=Clockstop")</f>
        <v>0</v>
      </c>
      <c r="AA587">
        <f t="shared" si="103"/>
        <v>0</v>
      </c>
      <c r="AB587" s="26">
        <f t="shared" si="104"/>
        <v>761</v>
      </c>
      <c r="AC587">
        <f t="shared" si="105"/>
        <v>0</v>
      </c>
    </row>
    <row r="588" spans="1:29" x14ac:dyDescent="0.2">
      <c r="A588">
        <v>307</v>
      </c>
      <c r="D588">
        <f t="shared" si="106"/>
        <v>1</v>
      </c>
      <c r="E588">
        <v>5</v>
      </c>
      <c r="F588" s="6" t="s">
        <v>445</v>
      </c>
      <c r="I588" t="s">
        <v>179</v>
      </c>
      <c r="J588">
        <v>8</v>
      </c>
      <c r="K588" t="s">
        <v>488</v>
      </c>
      <c r="L588" t="s">
        <v>8</v>
      </c>
      <c r="M588" t="s">
        <v>199</v>
      </c>
      <c r="N588" t="s">
        <v>70</v>
      </c>
      <c r="Q588">
        <f t="shared" si="102"/>
        <v>18977</v>
      </c>
      <c r="R588" t="str">
        <f t="shared" si="102"/>
        <v>Velodrome</v>
      </c>
      <c r="S588" t="str">
        <f t="shared" si="102"/>
        <v>HollowBrook</v>
      </c>
      <c r="T588" s="20">
        <f t="shared" si="99"/>
        <v>0</v>
      </c>
      <c r="U588">
        <f t="shared" si="100"/>
        <v>319</v>
      </c>
      <c r="V588">
        <f t="shared" si="101"/>
        <v>319</v>
      </c>
      <c r="W588" cm="1">
        <f t="array" ref="W588">_xlfn._xlws.FILTER(shifts!A:A,(shifts!B:B=events!D588)*(shifts!AH:AH&gt;=events!U588)*(shifts!AI:AI&lt;=events!V588))</f>
        <v>18</v>
      </c>
      <c r="X588" t="str">
        <f t="shared" si="98"/>
        <v>event_team_player_2</v>
      </c>
      <c r="Y588">
        <f>COUNTIFS(A$3:A588,"="&amp;A588,K$3:K588,"="&amp;K588)</f>
        <v>2</v>
      </c>
      <c r="Z588" s="20">
        <f>SUMIFS(T$3:T588,L$3:L588,"=Intermission")+SUMIFS(T$3:T588,L$3:L588,"=Timeout")+SUMIFS(T$3:T588,L$3:L588,"=Clockstop")</f>
        <v>0</v>
      </c>
      <c r="AA588">
        <f t="shared" si="103"/>
        <v>0</v>
      </c>
      <c r="AB588" s="26">
        <f t="shared" si="104"/>
        <v>761</v>
      </c>
      <c r="AC588">
        <f t="shared" si="105"/>
        <v>0</v>
      </c>
    </row>
    <row r="589" spans="1:29" x14ac:dyDescent="0.2">
      <c r="A589">
        <v>308</v>
      </c>
      <c r="D589">
        <f t="shared" si="106"/>
        <v>1</v>
      </c>
      <c r="E589">
        <v>5</v>
      </c>
      <c r="F589" s="6" t="s">
        <v>447</v>
      </c>
      <c r="I589" t="s">
        <v>179</v>
      </c>
      <c r="J589">
        <v>27</v>
      </c>
      <c r="K589" t="s">
        <v>488</v>
      </c>
      <c r="L589" t="s">
        <v>7</v>
      </c>
      <c r="M589" t="s">
        <v>198</v>
      </c>
      <c r="N589" t="s">
        <v>53</v>
      </c>
      <c r="Q589">
        <f t="shared" si="102"/>
        <v>18977</v>
      </c>
      <c r="R589" t="str">
        <f t="shared" si="102"/>
        <v>Velodrome</v>
      </c>
      <c r="S589" t="str">
        <f t="shared" si="102"/>
        <v>HollowBrook</v>
      </c>
      <c r="T589" s="20">
        <f t="shared" si="99"/>
        <v>0</v>
      </c>
      <c r="U589">
        <f t="shared" si="100"/>
        <v>315</v>
      </c>
      <c r="V589">
        <f t="shared" si="101"/>
        <v>315</v>
      </c>
      <c r="W589" cm="1">
        <f t="array" ref="W589">_xlfn._xlws.FILTER(shifts!A:A,(shifts!B:B=events!D589)*(shifts!AH:AH&gt;=events!U589)*(shifts!AI:AI&lt;=events!V589))</f>
        <v>18</v>
      </c>
      <c r="X589" t="str">
        <f t="shared" si="98"/>
        <v>event_team_player_1</v>
      </c>
      <c r="Y589">
        <f>COUNTIFS(A$3:A589,"="&amp;A589,K$3:K589,"="&amp;K589)</f>
        <v>1</v>
      </c>
      <c r="Z589" s="20">
        <f>SUMIFS(T$3:T589,L$3:L589,"=Intermission")+SUMIFS(T$3:T589,L$3:L589,"=Timeout")+SUMIFS(T$3:T589,L$3:L589,"=Clockstop")</f>
        <v>0</v>
      </c>
      <c r="AA589">
        <f t="shared" si="103"/>
        <v>0</v>
      </c>
      <c r="AB589" s="26">
        <f t="shared" si="104"/>
        <v>765</v>
      </c>
      <c r="AC589">
        <f t="shared" si="105"/>
        <v>0</v>
      </c>
    </row>
    <row r="590" spans="1:29" x14ac:dyDescent="0.2">
      <c r="A590">
        <v>309</v>
      </c>
      <c r="D590">
        <f t="shared" si="106"/>
        <v>1</v>
      </c>
      <c r="E590">
        <v>5</v>
      </c>
      <c r="F590" s="6" t="s">
        <v>425</v>
      </c>
      <c r="I590" t="s">
        <v>179</v>
      </c>
      <c r="J590">
        <v>18</v>
      </c>
      <c r="K590" t="s">
        <v>488</v>
      </c>
      <c r="L590" t="s">
        <v>8</v>
      </c>
      <c r="M590" t="s">
        <v>199</v>
      </c>
      <c r="N590" t="s">
        <v>70</v>
      </c>
      <c r="Q590">
        <f t="shared" si="102"/>
        <v>18977</v>
      </c>
      <c r="R590" t="str">
        <f t="shared" si="102"/>
        <v>Velodrome</v>
      </c>
      <c r="S590" t="str">
        <f t="shared" si="102"/>
        <v>HollowBrook</v>
      </c>
      <c r="T590" s="20">
        <f t="shared" si="99"/>
        <v>0</v>
      </c>
      <c r="U590">
        <f t="shared" si="100"/>
        <v>310</v>
      </c>
      <c r="V590">
        <f t="shared" si="101"/>
        <v>310</v>
      </c>
      <c r="W590" cm="1">
        <f t="array" ref="W590">_xlfn._xlws.FILTER(shifts!A:A,(shifts!B:B=events!D590)*(shifts!AH:AH&gt;=events!U590)*(shifts!AI:AI&lt;=events!V590))</f>
        <v>18</v>
      </c>
      <c r="X590" t="str">
        <f t="shared" si="98"/>
        <v>event_team_player_1</v>
      </c>
      <c r="Y590">
        <f>COUNTIFS(A$3:A590,"="&amp;A590,K$3:K590,"="&amp;K590)</f>
        <v>1</v>
      </c>
      <c r="Z590" s="20">
        <f>SUMIFS(T$3:T590,L$3:L590,"=Intermission")+SUMIFS(T$3:T590,L$3:L590,"=Timeout")+SUMIFS(T$3:T590,L$3:L590,"=Clockstop")</f>
        <v>0</v>
      </c>
      <c r="AA590">
        <f t="shared" si="103"/>
        <v>0</v>
      </c>
      <c r="AB590" s="26">
        <f t="shared" si="104"/>
        <v>770</v>
      </c>
      <c r="AC590">
        <f t="shared" si="105"/>
        <v>0</v>
      </c>
    </row>
    <row r="591" spans="1:29" x14ac:dyDescent="0.2">
      <c r="A591">
        <v>309</v>
      </c>
      <c r="D591">
        <f t="shared" si="106"/>
        <v>1</v>
      </c>
      <c r="E591">
        <v>5</v>
      </c>
      <c r="F591" s="6" t="s">
        <v>425</v>
      </c>
      <c r="I591" t="s">
        <v>179</v>
      </c>
      <c r="J591">
        <v>8</v>
      </c>
      <c r="K591" t="s">
        <v>488</v>
      </c>
      <c r="L591" t="s">
        <v>8</v>
      </c>
      <c r="M591" t="s">
        <v>199</v>
      </c>
      <c r="N591" t="s">
        <v>70</v>
      </c>
      <c r="Q591">
        <f t="shared" si="102"/>
        <v>18977</v>
      </c>
      <c r="R591" t="str">
        <f t="shared" si="102"/>
        <v>Velodrome</v>
      </c>
      <c r="S591" t="str">
        <f t="shared" si="102"/>
        <v>HollowBrook</v>
      </c>
      <c r="T591" s="20">
        <f t="shared" si="99"/>
        <v>0</v>
      </c>
      <c r="U591">
        <f t="shared" si="100"/>
        <v>310</v>
      </c>
      <c r="V591">
        <f t="shared" si="101"/>
        <v>310</v>
      </c>
      <c r="W591" cm="1">
        <f t="array" ref="W591">_xlfn._xlws.FILTER(shifts!A:A,(shifts!B:B=events!D591)*(shifts!AH:AH&gt;=events!U591)*(shifts!AI:AI&lt;=events!V591))</f>
        <v>18</v>
      </c>
      <c r="X591" t="str">
        <f t="shared" si="98"/>
        <v>event_team_player_2</v>
      </c>
      <c r="Y591">
        <f>COUNTIFS(A$3:A591,"="&amp;A591,K$3:K591,"="&amp;K591)</f>
        <v>2</v>
      </c>
      <c r="Z591" s="20">
        <f>SUMIFS(T$3:T591,L$3:L591,"=Intermission")+SUMIFS(T$3:T591,L$3:L591,"=Timeout")+SUMIFS(T$3:T591,L$3:L591,"=Clockstop")</f>
        <v>0</v>
      </c>
      <c r="AA591">
        <f t="shared" si="103"/>
        <v>0</v>
      </c>
      <c r="AB591" s="26">
        <f t="shared" si="104"/>
        <v>770</v>
      </c>
      <c r="AC591">
        <f t="shared" si="105"/>
        <v>0</v>
      </c>
    </row>
    <row r="592" spans="1:29" x14ac:dyDescent="0.2">
      <c r="A592">
        <v>309</v>
      </c>
      <c r="D592">
        <f t="shared" si="106"/>
        <v>1</v>
      </c>
      <c r="E592">
        <v>5</v>
      </c>
      <c r="F592" s="6" t="s">
        <v>425</v>
      </c>
      <c r="I592" t="s">
        <v>179</v>
      </c>
      <c r="J592">
        <v>42</v>
      </c>
      <c r="K592" t="s">
        <v>489</v>
      </c>
      <c r="L592" t="s">
        <v>8</v>
      </c>
      <c r="M592" t="s">
        <v>199</v>
      </c>
      <c r="N592" t="s">
        <v>70</v>
      </c>
      <c r="Q592">
        <f t="shared" si="102"/>
        <v>18977</v>
      </c>
      <c r="R592" t="str">
        <f t="shared" si="102"/>
        <v>Velodrome</v>
      </c>
      <c r="S592" t="str">
        <f t="shared" si="102"/>
        <v>HollowBrook</v>
      </c>
      <c r="T592" s="20">
        <f t="shared" si="99"/>
        <v>0</v>
      </c>
      <c r="U592">
        <f t="shared" si="100"/>
        <v>310</v>
      </c>
      <c r="V592">
        <f t="shared" si="101"/>
        <v>310</v>
      </c>
      <c r="W592" cm="1">
        <f t="array" ref="W592">_xlfn._xlws.FILTER(shifts!A:A,(shifts!B:B=events!D592)*(shifts!AH:AH&gt;=events!U592)*(shifts!AI:AI&lt;=events!V592))</f>
        <v>18</v>
      </c>
      <c r="X592" t="str">
        <f t="shared" si="98"/>
        <v>opp_team_player_1</v>
      </c>
      <c r="Y592">
        <f>COUNTIFS(A$3:A592,"="&amp;A592,K$3:K592,"="&amp;K592)</f>
        <v>1</v>
      </c>
      <c r="Z592" s="20">
        <f>SUMIFS(T$3:T592,L$3:L592,"=Intermission")+SUMIFS(T$3:T592,L$3:L592,"=Timeout")+SUMIFS(T$3:T592,L$3:L592,"=Clockstop")</f>
        <v>0</v>
      </c>
      <c r="AA592">
        <f t="shared" si="103"/>
        <v>0</v>
      </c>
      <c r="AB592" s="26">
        <f t="shared" si="104"/>
        <v>770</v>
      </c>
      <c r="AC592">
        <f t="shared" si="105"/>
        <v>0</v>
      </c>
    </row>
    <row r="593" spans="1:29" x14ac:dyDescent="0.2">
      <c r="A593">
        <v>310</v>
      </c>
      <c r="D593">
        <f t="shared" si="106"/>
        <v>1</v>
      </c>
      <c r="E593">
        <v>5</v>
      </c>
      <c r="F593" s="6" t="s">
        <v>425</v>
      </c>
      <c r="I593" t="s">
        <v>179</v>
      </c>
      <c r="J593">
        <v>18</v>
      </c>
      <c r="K593" t="s">
        <v>488</v>
      </c>
      <c r="L593" t="s">
        <v>10</v>
      </c>
      <c r="M593" t="s">
        <v>190</v>
      </c>
      <c r="N593" t="s">
        <v>76</v>
      </c>
      <c r="Q593">
        <f t="shared" si="102"/>
        <v>18977</v>
      </c>
      <c r="R593" t="str">
        <f t="shared" si="102"/>
        <v>Velodrome</v>
      </c>
      <c r="S593" t="str">
        <f t="shared" si="102"/>
        <v>HollowBrook</v>
      </c>
      <c r="T593" s="20">
        <f t="shared" si="99"/>
        <v>0</v>
      </c>
      <c r="U593">
        <f t="shared" si="100"/>
        <v>310</v>
      </c>
      <c r="V593">
        <f t="shared" si="101"/>
        <v>310</v>
      </c>
      <c r="W593" cm="1">
        <f t="array" ref="W593">_xlfn._xlws.FILTER(shifts!A:A,(shifts!B:B=events!D593)*(shifts!AH:AH&gt;=events!U593)*(shifts!AI:AI&lt;=events!V593))</f>
        <v>18</v>
      </c>
      <c r="X593" t="str">
        <f t="shared" si="98"/>
        <v>event_team_player_1</v>
      </c>
      <c r="Y593">
        <f>COUNTIFS(A$3:A593,"="&amp;A593,K$3:K593,"="&amp;K593)</f>
        <v>1</v>
      </c>
      <c r="Z593" s="20">
        <f>SUMIFS(T$3:T593,L$3:L593,"=Intermission")+SUMIFS(T$3:T593,L$3:L593,"=Timeout")+SUMIFS(T$3:T593,L$3:L593,"=Clockstop")</f>
        <v>0</v>
      </c>
      <c r="AA593">
        <f t="shared" si="103"/>
        <v>0</v>
      </c>
      <c r="AB593" s="26">
        <f t="shared" si="104"/>
        <v>770</v>
      </c>
      <c r="AC593">
        <f t="shared" si="105"/>
        <v>0</v>
      </c>
    </row>
    <row r="594" spans="1:29" x14ac:dyDescent="0.2">
      <c r="A594">
        <v>311</v>
      </c>
      <c r="D594">
        <f t="shared" si="106"/>
        <v>1</v>
      </c>
      <c r="E594">
        <v>5</v>
      </c>
      <c r="F594" s="6" t="s">
        <v>315</v>
      </c>
      <c r="I594" t="s">
        <v>178</v>
      </c>
      <c r="J594">
        <v>14</v>
      </c>
      <c r="K594" t="s">
        <v>488</v>
      </c>
      <c r="L594" t="s">
        <v>277</v>
      </c>
      <c r="M594" t="s">
        <v>201</v>
      </c>
      <c r="N594" t="s">
        <v>92</v>
      </c>
      <c r="Q594">
        <f t="shared" si="102"/>
        <v>18977</v>
      </c>
      <c r="R594" t="str">
        <f t="shared" si="102"/>
        <v>Velodrome</v>
      </c>
      <c r="S594" t="str">
        <f t="shared" si="102"/>
        <v>HollowBrook</v>
      </c>
      <c r="T594" s="20">
        <f t="shared" si="99"/>
        <v>0</v>
      </c>
      <c r="U594">
        <f t="shared" si="100"/>
        <v>305</v>
      </c>
      <c r="V594">
        <f t="shared" si="101"/>
        <v>305</v>
      </c>
      <c r="W594" cm="1">
        <f t="array" ref="W594">_xlfn._xlws.FILTER(shifts!A:A,(shifts!B:B=events!D594)*(shifts!AH:AH&gt;=events!U594)*(shifts!AI:AI&lt;=events!V594))</f>
        <v>18</v>
      </c>
      <c r="X594" t="str">
        <f t="shared" si="98"/>
        <v>event_team_player_1</v>
      </c>
      <c r="Y594">
        <f>COUNTIFS(A$3:A594,"="&amp;A594,K$3:K594,"="&amp;K594)</f>
        <v>1</v>
      </c>
      <c r="Z594" s="20">
        <f>SUMIFS(T$3:T594,L$3:L594,"=Intermission")+SUMIFS(T$3:T594,L$3:L594,"=Timeout")+SUMIFS(T$3:T594,L$3:L594,"=Clockstop")</f>
        <v>0</v>
      </c>
      <c r="AA594">
        <f t="shared" si="103"/>
        <v>0</v>
      </c>
      <c r="AB594" s="26">
        <f t="shared" si="104"/>
        <v>775</v>
      </c>
      <c r="AC594">
        <f t="shared" si="105"/>
        <v>0</v>
      </c>
    </row>
    <row r="595" spans="1:29" x14ac:dyDescent="0.2">
      <c r="A595">
        <v>312</v>
      </c>
      <c r="D595">
        <f t="shared" si="106"/>
        <v>1</v>
      </c>
      <c r="E595">
        <v>5</v>
      </c>
      <c r="F595" s="6" t="s">
        <v>315</v>
      </c>
      <c r="I595" t="s">
        <v>178</v>
      </c>
      <c r="J595">
        <v>14</v>
      </c>
      <c r="K595" t="s">
        <v>488</v>
      </c>
      <c r="L595" t="s">
        <v>10</v>
      </c>
      <c r="M595" t="s">
        <v>190</v>
      </c>
      <c r="N595" t="s">
        <v>460</v>
      </c>
      <c r="Q595">
        <f t="shared" si="102"/>
        <v>18977</v>
      </c>
      <c r="R595" t="str">
        <f t="shared" si="102"/>
        <v>Velodrome</v>
      </c>
      <c r="S595" t="str">
        <f t="shared" si="102"/>
        <v>HollowBrook</v>
      </c>
      <c r="T595" s="20">
        <f t="shared" si="99"/>
        <v>0</v>
      </c>
      <c r="U595">
        <f t="shared" si="100"/>
        <v>305</v>
      </c>
      <c r="V595">
        <f t="shared" si="101"/>
        <v>305</v>
      </c>
      <c r="W595" cm="1">
        <f t="array" ref="W595">_xlfn._xlws.FILTER(shifts!A:A,(shifts!B:B=events!D595)*(shifts!AH:AH&gt;=events!U595)*(shifts!AI:AI&lt;=events!V595))</f>
        <v>18</v>
      </c>
      <c r="X595" t="str">
        <f t="shared" si="98"/>
        <v>event_team_player_1</v>
      </c>
      <c r="Y595">
        <f>COUNTIFS(A$3:A595,"="&amp;A595,K$3:K595,"="&amp;K595)</f>
        <v>1</v>
      </c>
      <c r="Z595" s="20">
        <f>SUMIFS(T$3:T595,L$3:L595,"=Intermission")+SUMIFS(T$3:T595,L$3:L595,"=Timeout")+SUMIFS(T$3:T595,L$3:L595,"=Clockstop")</f>
        <v>0</v>
      </c>
      <c r="AA595">
        <f t="shared" si="103"/>
        <v>0</v>
      </c>
      <c r="AB595" s="26">
        <f t="shared" si="104"/>
        <v>775</v>
      </c>
      <c r="AC595">
        <f t="shared" si="105"/>
        <v>0</v>
      </c>
    </row>
    <row r="596" spans="1:29" x14ac:dyDescent="0.2">
      <c r="A596">
        <v>313</v>
      </c>
      <c r="D596">
        <f t="shared" si="106"/>
        <v>1</v>
      </c>
      <c r="E596">
        <v>5</v>
      </c>
      <c r="F596" s="6" t="s">
        <v>315</v>
      </c>
      <c r="G596">
        <v>5</v>
      </c>
      <c r="H596" s="8" t="s">
        <v>316</v>
      </c>
      <c r="I596" t="s">
        <v>179</v>
      </c>
      <c r="J596">
        <v>19</v>
      </c>
      <c r="K596" t="s">
        <v>488</v>
      </c>
      <c r="L596" t="s">
        <v>15</v>
      </c>
      <c r="Q596">
        <f t="shared" ref="Q596:S611" si="107">Q595</f>
        <v>18977</v>
      </c>
      <c r="R596" t="str">
        <f t="shared" si="107"/>
        <v>Velodrome</v>
      </c>
      <c r="S596" t="str">
        <f t="shared" si="107"/>
        <v>HollowBrook</v>
      </c>
      <c r="T596" s="20">
        <f t="shared" si="99"/>
        <v>3</v>
      </c>
      <c r="U596">
        <f t="shared" si="100"/>
        <v>305</v>
      </c>
      <c r="V596">
        <f t="shared" si="101"/>
        <v>302</v>
      </c>
      <c r="W596" cm="1">
        <f t="array" ref="W596">_xlfn._xlws.FILTER(shifts!A:A,(shifts!B:B=events!D596)*(shifts!AH:AH&gt;=events!U596)*(shifts!AI:AI&lt;=events!V596))</f>
        <v>18</v>
      </c>
      <c r="X596" t="str">
        <f t="shared" si="98"/>
        <v>event_team_player_1</v>
      </c>
      <c r="Y596">
        <f>COUNTIFS(A$3:A596,"="&amp;A596,K$3:K596,"="&amp;K596)</f>
        <v>1</v>
      </c>
      <c r="Z596" s="20">
        <f>SUMIFS(T$3:T596,L$3:L596,"=Intermission")+SUMIFS(T$3:T596,L$3:L596,"=Timeout")+SUMIFS(T$3:T596,L$3:L596,"=Clockstop")</f>
        <v>0</v>
      </c>
      <c r="AA596">
        <f t="shared" si="103"/>
        <v>0</v>
      </c>
      <c r="AB596" s="26">
        <f t="shared" si="104"/>
        <v>775</v>
      </c>
      <c r="AC596">
        <f t="shared" si="105"/>
        <v>0</v>
      </c>
    </row>
    <row r="597" spans="1:29" x14ac:dyDescent="0.2">
      <c r="A597">
        <v>314</v>
      </c>
      <c r="D597">
        <f t="shared" si="106"/>
        <v>1</v>
      </c>
      <c r="E597">
        <v>5</v>
      </c>
      <c r="F597" s="6" t="s">
        <v>316</v>
      </c>
      <c r="G597">
        <v>4</v>
      </c>
      <c r="H597" s="8" t="s">
        <v>433</v>
      </c>
      <c r="I597" t="s">
        <v>179</v>
      </c>
      <c r="J597">
        <v>19</v>
      </c>
      <c r="K597" t="s">
        <v>488</v>
      </c>
      <c r="L597" t="s">
        <v>277</v>
      </c>
      <c r="M597" t="s">
        <v>191</v>
      </c>
      <c r="N597" t="s">
        <v>87</v>
      </c>
      <c r="Q597">
        <f t="shared" si="107"/>
        <v>18977</v>
      </c>
      <c r="R597" t="str">
        <f t="shared" si="107"/>
        <v>Velodrome</v>
      </c>
      <c r="S597" t="str">
        <f t="shared" si="107"/>
        <v>HollowBrook</v>
      </c>
      <c r="T597" s="20">
        <f t="shared" si="99"/>
        <v>5</v>
      </c>
      <c r="U597">
        <f t="shared" si="100"/>
        <v>302</v>
      </c>
      <c r="V597">
        <f t="shared" si="101"/>
        <v>297</v>
      </c>
      <c r="W597" cm="1">
        <f t="array" ref="W597">_xlfn._xlws.FILTER(shifts!A:A,(shifts!B:B=events!D597)*(shifts!AH:AH&gt;=events!U597)*(shifts!AI:AI&lt;=events!V597))</f>
        <v>18</v>
      </c>
      <c r="X597" t="str">
        <f t="shared" si="98"/>
        <v>event_team_player_1</v>
      </c>
      <c r="Y597">
        <f>COUNTIFS(A$3:A597,"="&amp;A597,K$3:K597,"="&amp;K597)</f>
        <v>1</v>
      </c>
      <c r="Z597" s="20">
        <f>SUMIFS(T$3:T597,L$3:L597,"=Intermission")+SUMIFS(T$3:T597,L$3:L597,"=Timeout")+SUMIFS(T$3:T597,L$3:L597,"=Clockstop")</f>
        <v>0</v>
      </c>
      <c r="AA597">
        <f t="shared" si="103"/>
        <v>0</v>
      </c>
      <c r="AB597" s="26">
        <f t="shared" si="104"/>
        <v>778</v>
      </c>
      <c r="AC597">
        <f t="shared" si="105"/>
        <v>0</v>
      </c>
    </row>
    <row r="598" spans="1:29" x14ac:dyDescent="0.2">
      <c r="A598">
        <v>314</v>
      </c>
      <c r="D598">
        <f t="shared" si="106"/>
        <v>1</v>
      </c>
      <c r="E598">
        <v>5</v>
      </c>
      <c r="F598" s="6" t="s">
        <v>316</v>
      </c>
      <c r="G598">
        <v>4</v>
      </c>
      <c r="H598" s="8" t="s">
        <v>433</v>
      </c>
      <c r="I598" t="s">
        <v>179</v>
      </c>
      <c r="J598">
        <v>14</v>
      </c>
      <c r="K598" t="s">
        <v>489</v>
      </c>
      <c r="L598" t="s">
        <v>277</v>
      </c>
      <c r="M598" t="s">
        <v>191</v>
      </c>
      <c r="N598" t="s">
        <v>87</v>
      </c>
      <c r="Q598">
        <f t="shared" si="107"/>
        <v>18977</v>
      </c>
      <c r="R598" t="str">
        <f t="shared" si="107"/>
        <v>Velodrome</v>
      </c>
      <c r="S598" t="str">
        <f t="shared" si="107"/>
        <v>HollowBrook</v>
      </c>
      <c r="T598" s="20">
        <f t="shared" si="99"/>
        <v>5</v>
      </c>
      <c r="U598">
        <f t="shared" si="100"/>
        <v>302</v>
      </c>
      <c r="V598">
        <f t="shared" si="101"/>
        <v>297</v>
      </c>
      <c r="W598" cm="1">
        <f t="array" ref="W598">_xlfn._xlws.FILTER(shifts!A:A,(shifts!B:B=events!D598)*(shifts!AH:AH&gt;=events!U598)*(shifts!AI:AI&lt;=events!V598))</f>
        <v>18</v>
      </c>
      <c r="X598" t="str">
        <f t="shared" si="98"/>
        <v>opp_team_player_1</v>
      </c>
      <c r="Y598">
        <f>COUNTIFS(A$3:A598,"="&amp;A598,K$3:K598,"="&amp;K598)</f>
        <v>1</v>
      </c>
      <c r="Z598" s="20">
        <f>SUMIFS(T$3:T598,L$3:L598,"=Intermission")+SUMIFS(T$3:T598,L$3:L598,"=Timeout")+SUMIFS(T$3:T598,L$3:L598,"=Clockstop")</f>
        <v>0</v>
      </c>
      <c r="AA598">
        <f t="shared" si="103"/>
        <v>0</v>
      </c>
      <c r="AB598" s="26">
        <f t="shared" si="104"/>
        <v>778</v>
      </c>
      <c r="AC598">
        <f t="shared" si="105"/>
        <v>0</v>
      </c>
    </row>
    <row r="599" spans="1:29" x14ac:dyDescent="0.2">
      <c r="A599">
        <v>315</v>
      </c>
      <c r="D599">
        <f t="shared" si="106"/>
        <v>1</v>
      </c>
      <c r="E599">
        <v>4</v>
      </c>
      <c r="F599" s="6" t="s">
        <v>433</v>
      </c>
      <c r="I599" t="s">
        <v>179</v>
      </c>
      <c r="J599">
        <v>19</v>
      </c>
      <c r="K599" t="s">
        <v>488</v>
      </c>
      <c r="L599" t="s">
        <v>7</v>
      </c>
      <c r="M599" t="s">
        <v>198</v>
      </c>
      <c r="N599" t="s">
        <v>53</v>
      </c>
      <c r="Q599">
        <f t="shared" si="107"/>
        <v>18977</v>
      </c>
      <c r="R599" t="str">
        <f t="shared" si="107"/>
        <v>Velodrome</v>
      </c>
      <c r="S599" t="str">
        <f t="shared" si="107"/>
        <v>HollowBrook</v>
      </c>
      <c r="T599" s="20">
        <f t="shared" si="99"/>
        <v>0</v>
      </c>
      <c r="U599">
        <f t="shared" si="100"/>
        <v>297</v>
      </c>
      <c r="V599">
        <f t="shared" si="101"/>
        <v>297</v>
      </c>
      <c r="W599" cm="1">
        <f t="array" ref="W599">_xlfn._xlws.FILTER(shifts!A:A,(shifts!B:B=events!D599)*(shifts!AH:AH&gt;=events!U599)*(shifts!AI:AI&lt;=events!V599))</f>
        <v>18</v>
      </c>
      <c r="X599" t="str">
        <f t="shared" si="98"/>
        <v>event_team_player_1</v>
      </c>
      <c r="Y599">
        <f>COUNTIFS(A$3:A599,"="&amp;A599,K$3:K599,"="&amp;K599)</f>
        <v>1</v>
      </c>
      <c r="Z599" s="20">
        <f>SUMIFS(T$3:T599,L$3:L599,"=Intermission")+SUMIFS(T$3:T599,L$3:L599,"=Timeout")+SUMIFS(T$3:T599,L$3:L599,"=Clockstop")</f>
        <v>0</v>
      </c>
      <c r="AA599">
        <f t="shared" si="103"/>
        <v>0</v>
      </c>
      <c r="AB599" s="26">
        <f t="shared" si="104"/>
        <v>783</v>
      </c>
      <c r="AC599">
        <f t="shared" si="105"/>
        <v>0</v>
      </c>
    </row>
    <row r="600" spans="1:29" x14ac:dyDescent="0.2">
      <c r="A600">
        <v>315</v>
      </c>
      <c r="D600">
        <f t="shared" si="106"/>
        <v>1</v>
      </c>
      <c r="E600">
        <v>4</v>
      </c>
      <c r="F600" s="6" t="s">
        <v>433</v>
      </c>
      <c r="I600" t="s">
        <v>179</v>
      </c>
      <c r="J600">
        <v>42</v>
      </c>
      <c r="K600" t="s">
        <v>489</v>
      </c>
      <c r="L600" t="s">
        <v>7</v>
      </c>
      <c r="M600" t="s">
        <v>198</v>
      </c>
      <c r="N600" t="s">
        <v>53</v>
      </c>
      <c r="Q600">
        <f t="shared" si="107"/>
        <v>18977</v>
      </c>
      <c r="R600" t="str">
        <f t="shared" si="107"/>
        <v>Velodrome</v>
      </c>
      <c r="S600" t="str">
        <f t="shared" si="107"/>
        <v>HollowBrook</v>
      </c>
      <c r="T600" s="20">
        <f t="shared" si="99"/>
        <v>0</v>
      </c>
      <c r="U600">
        <f t="shared" si="100"/>
        <v>297</v>
      </c>
      <c r="V600">
        <f t="shared" si="101"/>
        <v>297</v>
      </c>
      <c r="W600" cm="1">
        <f t="array" ref="W600">_xlfn._xlws.FILTER(shifts!A:A,(shifts!B:B=events!D600)*(shifts!AH:AH&gt;=events!U600)*(shifts!AI:AI&lt;=events!V600))</f>
        <v>18</v>
      </c>
      <c r="X600" t="str">
        <f t="shared" si="98"/>
        <v>opp_team_player_1</v>
      </c>
      <c r="Y600">
        <f>COUNTIFS(A$3:A600,"="&amp;A600,K$3:K600,"="&amp;K600)</f>
        <v>1</v>
      </c>
      <c r="Z600" s="20">
        <f>SUMIFS(T$3:T600,L$3:L600,"=Intermission")+SUMIFS(T$3:T600,L$3:L600,"=Timeout")+SUMIFS(T$3:T600,L$3:L600,"=Clockstop")</f>
        <v>0</v>
      </c>
      <c r="AA600">
        <f t="shared" si="103"/>
        <v>0</v>
      </c>
      <c r="AB600" s="26">
        <f t="shared" si="104"/>
        <v>783</v>
      </c>
      <c r="AC600">
        <f t="shared" si="105"/>
        <v>0</v>
      </c>
    </row>
    <row r="601" spans="1:29" x14ac:dyDescent="0.2">
      <c r="A601">
        <v>316</v>
      </c>
      <c r="D601">
        <f t="shared" si="106"/>
        <v>1</v>
      </c>
      <c r="E601">
        <v>4</v>
      </c>
      <c r="F601" s="6" t="s">
        <v>477</v>
      </c>
      <c r="I601" t="s">
        <v>179</v>
      </c>
      <c r="J601">
        <v>18</v>
      </c>
      <c r="K601" t="s">
        <v>488</v>
      </c>
      <c r="L601" t="s">
        <v>7</v>
      </c>
      <c r="M601" t="s">
        <v>215</v>
      </c>
      <c r="N601" t="s">
        <v>53</v>
      </c>
      <c r="Q601">
        <f t="shared" si="107"/>
        <v>18977</v>
      </c>
      <c r="R601" t="str">
        <f t="shared" si="107"/>
        <v>Velodrome</v>
      </c>
      <c r="S601" t="str">
        <f t="shared" si="107"/>
        <v>HollowBrook</v>
      </c>
      <c r="T601" s="20">
        <f t="shared" si="99"/>
        <v>0</v>
      </c>
      <c r="U601">
        <f t="shared" si="100"/>
        <v>291</v>
      </c>
      <c r="V601">
        <f t="shared" si="101"/>
        <v>291</v>
      </c>
      <c r="W601" cm="1">
        <f t="array" ref="W601">_xlfn._xlws.FILTER(shifts!A:A,(shifts!B:B=events!D601)*(shifts!AH:AH&gt;=events!U601)*(shifts!AI:AI&lt;=events!V601))</f>
        <v>18</v>
      </c>
      <c r="X601" t="str">
        <f t="shared" si="98"/>
        <v>event_team_player_1</v>
      </c>
      <c r="Y601">
        <f>COUNTIFS(A$3:A601,"="&amp;A601,K$3:K601,"="&amp;K601)</f>
        <v>1</v>
      </c>
      <c r="Z601" s="20">
        <f>SUMIFS(T$3:T601,L$3:L601,"=Intermission")+SUMIFS(T$3:T601,L$3:L601,"=Timeout")+SUMIFS(T$3:T601,L$3:L601,"=Clockstop")</f>
        <v>0</v>
      </c>
      <c r="AA601">
        <f t="shared" si="103"/>
        <v>0</v>
      </c>
      <c r="AB601" s="26">
        <f t="shared" si="104"/>
        <v>789</v>
      </c>
      <c r="AC601">
        <f t="shared" si="105"/>
        <v>0</v>
      </c>
    </row>
    <row r="602" spans="1:29" x14ac:dyDescent="0.2">
      <c r="A602">
        <v>316</v>
      </c>
      <c r="D602">
        <f t="shared" si="106"/>
        <v>1</v>
      </c>
      <c r="E602">
        <v>4</v>
      </c>
      <c r="F602" s="6" t="s">
        <v>477</v>
      </c>
      <c r="I602" t="s">
        <v>179</v>
      </c>
      <c r="J602">
        <v>19</v>
      </c>
      <c r="K602" t="s">
        <v>488</v>
      </c>
      <c r="L602" t="s">
        <v>7</v>
      </c>
      <c r="M602" t="s">
        <v>215</v>
      </c>
      <c r="N602" t="s">
        <v>53</v>
      </c>
      <c r="Q602">
        <f t="shared" si="107"/>
        <v>18977</v>
      </c>
      <c r="R602" t="str">
        <f t="shared" si="107"/>
        <v>Velodrome</v>
      </c>
      <c r="S602" t="str">
        <f t="shared" si="107"/>
        <v>HollowBrook</v>
      </c>
      <c r="T602" s="20">
        <f t="shared" si="99"/>
        <v>0</v>
      </c>
      <c r="U602">
        <f t="shared" si="100"/>
        <v>291</v>
      </c>
      <c r="V602">
        <f t="shared" si="101"/>
        <v>291</v>
      </c>
      <c r="W602" cm="1">
        <f t="array" ref="W602">_xlfn._xlws.FILTER(shifts!A:A,(shifts!B:B=events!D602)*(shifts!AH:AH&gt;=events!U602)*(shifts!AI:AI&lt;=events!V602))</f>
        <v>18</v>
      </c>
      <c r="X602" t="str">
        <f t="shared" si="98"/>
        <v>event_team_player_2</v>
      </c>
      <c r="Y602">
        <f>COUNTIFS(A$3:A602,"="&amp;A602,K$3:K602,"="&amp;K602)</f>
        <v>2</v>
      </c>
      <c r="Z602" s="20">
        <f>SUMIFS(T$3:T602,L$3:L602,"=Intermission")+SUMIFS(T$3:T602,L$3:L602,"=Timeout")+SUMIFS(T$3:T602,L$3:L602,"=Clockstop")</f>
        <v>0</v>
      </c>
      <c r="AA602">
        <f t="shared" si="103"/>
        <v>0</v>
      </c>
      <c r="AB602" s="26">
        <f t="shared" si="104"/>
        <v>789</v>
      </c>
      <c r="AC602">
        <f t="shared" si="105"/>
        <v>0</v>
      </c>
    </row>
    <row r="603" spans="1:29" x14ac:dyDescent="0.2">
      <c r="A603">
        <v>317</v>
      </c>
      <c r="D603">
        <f t="shared" si="106"/>
        <v>1</v>
      </c>
      <c r="E603">
        <v>4</v>
      </c>
      <c r="F603" s="6" t="s">
        <v>450</v>
      </c>
      <c r="G603">
        <v>4</v>
      </c>
      <c r="H603" s="8" t="s">
        <v>434</v>
      </c>
      <c r="I603" t="s">
        <v>179</v>
      </c>
      <c r="J603">
        <v>19</v>
      </c>
      <c r="K603" t="s">
        <v>488</v>
      </c>
      <c r="L603" t="s">
        <v>15</v>
      </c>
      <c r="Q603">
        <f t="shared" si="107"/>
        <v>18977</v>
      </c>
      <c r="R603" t="str">
        <f t="shared" si="107"/>
        <v>Velodrome</v>
      </c>
      <c r="S603" t="str">
        <f t="shared" si="107"/>
        <v>HollowBrook</v>
      </c>
      <c r="T603" s="20">
        <f t="shared" si="99"/>
        <v>2</v>
      </c>
      <c r="U603">
        <f t="shared" si="100"/>
        <v>289</v>
      </c>
      <c r="V603">
        <f t="shared" si="101"/>
        <v>287</v>
      </c>
      <c r="W603" cm="1">
        <f t="array" ref="W603">_xlfn._xlws.FILTER(shifts!A:A,(shifts!B:B=events!D603)*(shifts!AH:AH&gt;=events!U603)*(shifts!AI:AI&lt;=events!V603))</f>
        <v>18</v>
      </c>
      <c r="X603" t="str">
        <f t="shared" si="98"/>
        <v>event_team_player_1</v>
      </c>
      <c r="Y603">
        <f>COUNTIFS(A$3:A603,"="&amp;A603,K$3:K603,"="&amp;K603)</f>
        <v>1</v>
      </c>
      <c r="Z603" s="20">
        <f>SUMIFS(T$3:T603,L$3:L603,"=Intermission")+SUMIFS(T$3:T603,L$3:L603,"=Timeout")+SUMIFS(T$3:T603,L$3:L603,"=Clockstop")</f>
        <v>0</v>
      </c>
      <c r="AA603">
        <f t="shared" si="103"/>
        <v>0</v>
      </c>
      <c r="AB603" s="26">
        <f t="shared" si="104"/>
        <v>791</v>
      </c>
      <c r="AC603">
        <f t="shared" si="105"/>
        <v>0</v>
      </c>
    </row>
    <row r="604" spans="1:29" x14ac:dyDescent="0.2">
      <c r="A604">
        <v>318</v>
      </c>
      <c r="D604">
        <f t="shared" si="106"/>
        <v>1</v>
      </c>
      <c r="E604">
        <v>4</v>
      </c>
      <c r="F604" s="6" t="s">
        <v>434</v>
      </c>
      <c r="I604" t="s">
        <v>179</v>
      </c>
      <c r="J604">
        <v>19</v>
      </c>
      <c r="K604" t="s">
        <v>488</v>
      </c>
      <c r="L604" t="s">
        <v>8</v>
      </c>
      <c r="M604" t="s">
        <v>216</v>
      </c>
      <c r="N604" t="s">
        <v>70</v>
      </c>
      <c r="Q604">
        <f t="shared" si="107"/>
        <v>18977</v>
      </c>
      <c r="R604" t="str">
        <f t="shared" si="107"/>
        <v>Velodrome</v>
      </c>
      <c r="S604" t="str">
        <f t="shared" si="107"/>
        <v>HollowBrook</v>
      </c>
      <c r="T604" s="20">
        <f t="shared" si="99"/>
        <v>0</v>
      </c>
      <c r="U604">
        <f t="shared" si="100"/>
        <v>287</v>
      </c>
      <c r="V604">
        <f t="shared" si="101"/>
        <v>287</v>
      </c>
      <c r="W604" cm="1">
        <f t="array" ref="W604">_xlfn._xlws.FILTER(shifts!A:A,(shifts!B:B=events!D604)*(shifts!AH:AH&gt;=events!U604)*(shifts!AI:AI&lt;=events!V604))</f>
        <v>18</v>
      </c>
      <c r="X604" t="str">
        <f t="shared" si="98"/>
        <v>event_team_player_1</v>
      </c>
      <c r="Y604">
        <f>COUNTIFS(A$3:A604,"="&amp;A604,K$3:K604,"="&amp;K604)</f>
        <v>1</v>
      </c>
      <c r="Z604" s="20">
        <f>SUMIFS(T$3:T604,L$3:L604,"=Intermission")+SUMIFS(T$3:T604,L$3:L604,"=Timeout")+SUMIFS(T$3:T604,L$3:L604,"=Clockstop")</f>
        <v>0</v>
      </c>
      <c r="AA604">
        <f t="shared" si="103"/>
        <v>0</v>
      </c>
      <c r="AB604" s="26">
        <f t="shared" si="104"/>
        <v>793</v>
      </c>
      <c r="AC604">
        <f t="shared" si="105"/>
        <v>0</v>
      </c>
    </row>
    <row r="605" spans="1:29" x14ac:dyDescent="0.2">
      <c r="A605">
        <v>318</v>
      </c>
      <c r="D605">
        <f t="shared" si="106"/>
        <v>1</v>
      </c>
      <c r="E605">
        <v>4</v>
      </c>
      <c r="F605" s="6" t="s">
        <v>434</v>
      </c>
      <c r="I605" t="s">
        <v>179</v>
      </c>
      <c r="J605">
        <v>61</v>
      </c>
      <c r="K605" t="s">
        <v>489</v>
      </c>
      <c r="L605" t="s">
        <v>8</v>
      </c>
      <c r="M605" t="s">
        <v>216</v>
      </c>
      <c r="N605" t="s">
        <v>70</v>
      </c>
      <c r="Q605">
        <f t="shared" si="107"/>
        <v>18977</v>
      </c>
      <c r="R605" t="str">
        <f t="shared" si="107"/>
        <v>Velodrome</v>
      </c>
      <c r="S605" t="str">
        <f t="shared" si="107"/>
        <v>HollowBrook</v>
      </c>
      <c r="T605" s="20">
        <f t="shared" si="99"/>
        <v>0</v>
      </c>
      <c r="U605">
        <f t="shared" si="100"/>
        <v>287</v>
      </c>
      <c r="V605">
        <f t="shared" si="101"/>
        <v>287</v>
      </c>
      <c r="W605" cm="1">
        <f t="array" ref="W605">_xlfn._xlws.FILTER(shifts!A:A,(shifts!B:B=events!D605)*(shifts!AH:AH&gt;=events!U605)*(shifts!AI:AI&lt;=events!V605))</f>
        <v>18</v>
      </c>
      <c r="X605" t="str">
        <f t="shared" si="98"/>
        <v>opp_team_player_1</v>
      </c>
      <c r="Y605">
        <f>COUNTIFS(A$3:A605,"="&amp;A605,K$3:K605,"="&amp;K605)</f>
        <v>1</v>
      </c>
      <c r="Z605" s="20">
        <f>SUMIFS(T$3:T605,L$3:L605,"=Intermission")+SUMIFS(T$3:T605,L$3:L605,"=Timeout")+SUMIFS(T$3:T605,L$3:L605,"=Clockstop")</f>
        <v>0</v>
      </c>
      <c r="AA605">
        <f t="shared" si="103"/>
        <v>0</v>
      </c>
      <c r="AB605" s="26">
        <f t="shared" si="104"/>
        <v>793</v>
      </c>
      <c r="AC605">
        <f t="shared" si="105"/>
        <v>0</v>
      </c>
    </row>
    <row r="606" spans="1:29" x14ac:dyDescent="0.2">
      <c r="A606">
        <v>319</v>
      </c>
      <c r="D606">
        <f t="shared" si="106"/>
        <v>1</v>
      </c>
      <c r="E606">
        <v>4</v>
      </c>
      <c r="F606" s="6" t="s">
        <v>434</v>
      </c>
      <c r="I606" t="s">
        <v>179</v>
      </c>
      <c r="J606">
        <v>19</v>
      </c>
      <c r="K606" t="s">
        <v>488</v>
      </c>
      <c r="L606" t="s">
        <v>10</v>
      </c>
      <c r="M606" t="s">
        <v>190</v>
      </c>
      <c r="N606" t="s">
        <v>75</v>
      </c>
      <c r="Q606">
        <f t="shared" si="107"/>
        <v>18977</v>
      </c>
      <c r="R606" t="str">
        <f t="shared" si="107"/>
        <v>Velodrome</v>
      </c>
      <c r="S606" t="str">
        <f t="shared" si="107"/>
        <v>HollowBrook</v>
      </c>
      <c r="T606" s="20">
        <f t="shared" si="99"/>
        <v>0</v>
      </c>
      <c r="U606">
        <f t="shared" si="100"/>
        <v>287</v>
      </c>
      <c r="V606">
        <f t="shared" si="101"/>
        <v>287</v>
      </c>
      <c r="W606" cm="1">
        <f t="array" ref="W606">_xlfn._xlws.FILTER(shifts!A:A,(shifts!B:B=events!D606)*(shifts!AH:AH&gt;=events!U606)*(shifts!AI:AI&lt;=events!V606))</f>
        <v>18</v>
      </c>
      <c r="X606" t="str">
        <f t="shared" si="98"/>
        <v>event_team_player_1</v>
      </c>
      <c r="Y606">
        <f>COUNTIFS(A$3:A606,"="&amp;A606,K$3:K606,"="&amp;K606)</f>
        <v>1</v>
      </c>
      <c r="Z606" s="20">
        <f>SUMIFS(T$3:T606,L$3:L606,"=Intermission")+SUMIFS(T$3:T606,L$3:L606,"=Timeout")+SUMIFS(T$3:T606,L$3:L606,"=Clockstop")</f>
        <v>0</v>
      </c>
      <c r="AA606">
        <f t="shared" si="103"/>
        <v>0</v>
      </c>
      <c r="AB606" s="26">
        <f t="shared" si="104"/>
        <v>793</v>
      </c>
      <c r="AC606">
        <f t="shared" si="105"/>
        <v>0</v>
      </c>
    </row>
    <row r="607" spans="1:29" x14ac:dyDescent="0.2">
      <c r="A607">
        <v>319</v>
      </c>
      <c r="D607">
        <f t="shared" si="106"/>
        <v>1</v>
      </c>
      <c r="E607">
        <v>4</v>
      </c>
      <c r="F607" s="6" t="s">
        <v>434</v>
      </c>
      <c r="I607" t="s">
        <v>179</v>
      </c>
      <c r="J607">
        <v>61</v>
      </c>
      <c r="K607" t="s">
        <v>489</v>
      </c>
      <c r="L607" t="s">
        <v>10</v>
      </c>
      <c r="M607" t="s">
        <v>190</v>
      </c>
      <c r="N607" t="s">
        <v>75</v>
      </c>
      <c r="Q607">
        <f t="shared" si="107"/>
        <v>18977</v>
      </c>
      <c r="R607" t="str">
        <f t="shared" si="107"/>
        <v>Velodrome</v>
      </c>
      <c r="S607" t="str">
        <f t="shared" si="107"/>
        <v>HollowBrook</v>
      </c>
      <c r="T607" s="20">
        <f t="shared" si="99"/>
        <v>0</v>
      </c>
      <c r="U607">
        <f t="shared" si="100"/>
        <v>287</v>
      </c>
      <c r="V607">
        <f t="shared" si="101"/>
        <v>287</v>
      </c>
      <c r="W607" cm="1">
        <f t="array" ref="W607">_xlfn._xlws.FILTER(shifts!A:A,(shifts!B:B=events!D607)*(shifts!AH:AH&gt;=events!U607)*(shifts!AI:AI&lt;=events!V607))</f>
        <v>18</v>
      </c>
      <c r="X607" t="str">
        <f t="shared" si="98"/>
        <v>opp_team_player_1</v>
      </c>
      <c r="Y607">
        <f>COUNTIFS(A$3:A607,"="&amp;A607,K$3:K607,"="&amp;K607)</f>
        <v>1</v>
      </c>
      <c r="Z607" s="20">
        <f>SUMIFS(T$3:T607,L$3:L607,"=Intermission")+SUMIFS(T$3:T607,L$3:L607,"=Timeout")+SUMIFS(T$3:T607,L$3:L607,"=Clockstop")</f>
        <v>0</v>
      </c>
      <c r="AA607">
        <f t="shared" si="103"/>
        <v>0</v>
      </c>
      <c r="AB607" s="26">
        <f t="shared" si="104"/>
        <v>793</v>
      </c>
      <c r="AC607">
        <f t="shared" si="105"/>
        <v>0</v>
      </c>
    </row>
    <row r="608" spans="1:29" x14ac:dyDescent="0.2">
      <c r="A608">
        <v>320</v>
      </c>
      <c r="D608">
        <f t="shared" si="106"/>
        <v>1</v>
      </c>
      <c r="E608">
        <v>4</v>
      </c>
      <c r="F608" s="6" t="s">
        <v>434</v>
      </c>
      <c r="G608">
        <v>4</v>
      </c>
      <c r="H608" s="8" t="s">
        <v>436</v>
      </c>
      <c r="I608" t="s">
        <v>178</v>
      </c>
      <c r="J608">
        <v>61</v>
      </c>
      <c r="K608" t="s">
        <v>488</v>
      </c>
      <c r="L608" t="s">
        <v>277</v>
      </c>
      <c r="M608" t="s">
        <v>201</v>
      </c>
      <c r="N608" t="s">
        <v>90</v>
      </c>
      <c r="Q608">
        <f t="shared" si="107"/>
        <v>18977</v>
      </c>
      <c r="R608" t="str">
        <f t="shared" si="107"/>
        <v>Velodrome</v>
      </c>
      <c r="S608" t="str">
        <f t="shared" si="107"/>
        <v>HollowBrook</v>
      </c>
      <c r="T608" s="20">
        <f t="shared" si="99"/>
        <v>2</v>
      </c>
      <c r="U608">
        <f t="shared" si="100"/>
        <v>287</v>
      </c>
      <c r="V608">
        <f t="shared" si="101"/>
        <v>285</v>
      </c>
      <c r="W608" cm="1">
        <f t="array" ref="W608">_xlfn._xlws.FILTER(shifts!A:A,(shifts!B:B=events!D608)*(shifts!AH:AH&gt;=events!U608)*(shifts!AI:AI&lt;=events!V608))</f>
        <v>18</v>
      </c>
      <c r="X608" t="str">
        <f t="shared" si="98"/>
        <v>event_team_player_1</v>
      </c>
      <c r="Y608">
        <f>COUNTIFS(A$3:A608,"="&amp;A608,K$3:K608,"="&amp;K608)</f>
        <v>1</v>
      </c>
      <c r="Z608" s="20">
        <f>SUMIFS(T$3:T608,L$3:L608,"=Intermission")+SUMIFS(T$3:T608,L$3:L608,"=Timeout")+SUMIFS(T$3:T608,L$3:L608,"=Clockstop")</f>
        <v>0</v>
      </c>
      <c r="AA608">
        <f t="shared" si="103"/>
        <v>0</v>
      </c>
      <c r="AB608" s="26">
        <f t="shared" si="104"/>
        <v>793</v>
      </c>
      <c r="AC608">
        <f t="shared" si="105"/>
        <v>0</v>
      </c>
    </row>
    <row r="609" spans="1:29" x14ac:dyDescent="0.2">
      <c r="A609">
        <v>321</v>
      </c>
      <c r="D609">
        <f t="shared" si="106"/>
        <v>1</v>
      </c>
      <c r="E609">
        <v>4</v>
      </c>
      <c r="F609" s="6" t="s">
        <v>436</v>
      </c>
      <c r="G609">
        <v>4</v>
      </c>
      <c r="H609" s="8" t="s">
        <v>431</v>
      </c>
      <c r="I609" t="s">
        <v>178</v>
      </c>
      <c r="J609">
        <v>61</v>
      </c>
      <c r="K609" t="s">
        <v>488</v>
      </c>
      <c r="L609" t="s">
        <v>15</v>
      </c>
      <c r="Q609">
        <f t="shared" si="107"/>
        <v>18977</v>
      </c>
      <c r="R609" t="str">
        <f t="shared" si="107"/>
        <v>Velodrome</v>
      </c>
      <c r="S609" t="str">
        <f t="shared" si="107"/>
        <v>HollowBrook</v>
      </c>
      <c r="T609" s="20">
        <f t="shared" si="99"/>
        <v>4</v>
      </c>
      <c r="U609">
        <f t="shared" si="100"/>
        <v>285</v>
      </c>
      <c r="V609">
        <f t="shared" si="101"/>
        <v>281</v>
      </c>
      <c r="W609" cm="1">
        <f t="array" ref="W609">_xlfn._xlws.FILTER(shifts!A:A,(shifts!B:B=events!D609)*(shifts!AH:AH&gt;=events!U609)*(shifts!AI:AI&lt;=events!V609))</f>
        <v>18</v>
      </c>
      <c r="X609" t="str">
        <f t="shared" si="98"/>
        <v>event_team_player_1</v>
      </c>
      <c r="Y609">
        <f>COUNTIFS(A$3:A609,"="&amp;A609,K$3:K609,"="&amp;K609)</f>
        <v>1</v>
      </c>
      <c r="Z609" s="20">
        <f>SUMIFS(T$3:T609,L$3:L609,"=Intermission")+SUMIFS(T$3:T609,L$3:L609,"=Timeout")+SUMIFS(T$3:T609,L$3:L609,"=Clockstop")</f>
        <v>0</v>
      </c>
      <c r="AA609">
        <f t="shared" si="103"/>
        <v>0</v>
      </c>
      <c r="AB609" s="26">
        <f t="shared" si="104"/>
        <v>795</v>
      </c>
      <c r="AC609">
        <f t="shared" si="105"/>
        <v>0</v>
      </c>
    </row>
    <row r="610" spans="1:29" x14ac:dyDescent="0.2">
      <c r="A610">
        <v>322</v>
      </c>
      <c r="D610">
        <f t="shared" si="106"/>
        <v>1</v>
      </c>
      <c r="E610">
        <v>4</v>
      </c>
      <c r="F610" s="6" t="s">
        <v>431</v>
      </c>
      <c r="G610">
        <v>4</v>
      </c>
      <c r="H610" s="8" t="s">
        <v>437</v>
      </c>
      <c r="I610" t="s">
        <v>178</v>
      </c>
      <c r="J610">
        <v>61</v>
      </c>
      <c r="K610" t="s">
        <v>488</v>
      </c>
      <c r="L610" t="s">
        <v>277</v>
      </c>
      <c r="M610" t="s">
        <v>191</v>
      </c>
      <c r="N610" t="s">
        <v>87</v>
      </c>
      <c r="Q610">
        <f t="shared" si="107"/>
        <v>18977</v>
      </c>
      <c r="R610" t="str">
        <f t="shared" si="107"/>
        <v>Velodrome</v>
      </c>
      <c r="S610" t="str">
        <f t="shared" si="107"/>
        <v>HollowBrook</v>
      </c>
      <c r="T610" s="20">
        <f t="shared" si="99"/>
        <v>1</v>
      </c>
      <c r="U610">
        <f t="shared" si="100"/>
        <v>281</v>
      </c>
      <c r="V610">
        <f t="shared" si="101"/>
        <v>280</v>
      </c>
      <c r="W610" cm="1">
        <f t="array" ref="W610">_xlfn._xlws.FILTER(shifts!A:A,(shifts!B:B=events!D610)*(shifts!AH:AH&gt;=events!U610)*(shifts!AI:AI&lt;=events!V610))</f>
        <v>18</v>
      </c>
      <c r="X610" t="str">
        <f t="shared" si="98"/>
        <v>event_team_player_1</v>
      </c>
      <c r="Y610">
        <f>COUNTIFS(A$3:A610,"="&amp;A610,K$3:K610,"="&amp;K610)</f>
        <v>1</v>
      </c>
      <c r="Z610" s="20">
        <f>SUMIFS(T$3:T610,L$3:L610,"=Intermission")+SUMIFS(T$3:T610,L$3:L610,"=Timeout")+SUMIFS(T$3:T610,L$3:L610,"=Clockstop")</f>
        <v>0</v>
      </c>
      <c r="AA610">
        <f t="shared" si="103"/>
        <v>0</v>
      </c>
      <c r="AB610" s="26">
        <f t="shared" si="104"/>
        <v>799</v>
      </c>
      <c r="AC610">
        <f t="shared" si="105"/>
        <v>0</v>
      </c>
    </row>
    <row r="611" spans="1:29" x14ac:dyDescent="0.2">
      <c r="A611">
        <v>322</v>
      </c>
      <c r="D611">
        <f t="shared" si="106"/>
        <v>1</v>
      </c>
      <c r="E611">
        <v>4</v>
      </c>
      <c r="F611" s="6" t="s">
        <v>431</v>
      </c>
      <c r="G611">
        <v>4</v>
      </c>
      <c r="H611" s="8" t="s">
        <v>437</v>
      </c>
      <c r="I611" t="s">
        <v>178</v>
      </c>
      <c r="J611">
        <v>14</v>
      </c>
      <c r="K611" t="s">
        <v>488</v>
      </c>
      <c r="L611" t="s">
        <v>277</v>
      </c>
      <c r="M611" t="s">
        <v>191</v>
      </c>
      <c r="N611" t="s">
        <v>87</v>
      </c>
      <c r="Q611">
        <f t="shared" si="107"/>
        <v>18977</v>
      </c>
      <c r="R611" t="str">
        <f t="shared" si="107"/>
        <v>Velodrome</v>
      </c>
      <c r="S611" t="str">
        <f t="shared" si="107"/>
        <v>HollowBrook</v>
      </c>
      <c r="T611" s="20">
        <f t="shared" si="99"/>
        <v>1</v>
      </c>
      <c r="U611">
        <f t="shared" si="100"/>
        <v>281</v>
      </c>
      <c r="V611">
        <f t="shared" si="101"/>
        <v>280</v>
      </c>
      <c r="W611" cm="1">
        <f t="array" ref="W611">_xlfn._xlws.FILTER(shifts!A:A,(shifts!B:B=events!D611)*(shifts!AH:AH&gt;=events!U611)*(shifts!AI:AI&lt;=events!V611))</f>
        <v>18</v>
      </c>
      <c r="X611" t="str">
        <f t="shared" si="98"/>
        <v>event_team_player_2</v>
      </c>
      <c r="Y611">
        <f>COUNTIFS(A$3:A611,"="&amp;A611,K$3:K611,"="&amp;K611)</f>
        <v>2</v>
      </c>
      <c r="Z611" s="20">
        <f>SUMIFS(T$3:T611,L$3:L611,"=Intermission")+SUMIFS(T$3:T611,L$3:L611,"=Timeout")+SUMIFS(T$3:T611,L$3:L611,"=Clockstop")</f>
        <v>0</v>
      </c>
      <c r="AA611">
        <f t="shared" si="103"/>
        <v>0</v>
      </c>
      <c r="AB611" s="26">
        <f t="shared" si="104"/>
        <v>799</v>
      </c>
      <c r="AC611">
        <f t="shared" si="105"/>
        <v>0</v>
      </c>
    </row>
    <row r="612" spans="1:29" x14ac:dyDescent="0.2">
      <c r="A612">
        <v>322</v>
      </c>
      <c r="D612">
        <f t="shared" si="106"/>
        <v>1</v>
      </c>
      <c r="E612">
        <v>4</v>
      </c>
      <c r="F612" s="6" t="s">
        <v>431</v>
      </c>
      <c r="G612">
        <v>4</v>
      </c>
      <c r="H612" s="8" t="s">
        <v>437</v>
      </c>
      <c r="I612" t="s">
        <v>178</v>
      </c>
      <c r="J612">
        <v>18</v>
      </c>
      <c r="K612" t="s">
        <v>489</v>
      </c>
      <c r="L612" t="s">
        <v>277</v>
      </c>
      <c r="M612" t="s">
        <v>191</v>
      </c>
      <c r="N612" t="s">
        <v>87</v>
      </c>
      <c r="Q612">
        <f t="shared" ref="Q612:S627" si="108">Q611</f>
        <v>18977</v>
      </c>
      <c r="R612" t="str">
        <f t="shared" si="108"/>
        <v>Velodrome</v>
      </c>
      <c r="S612" t="str">
        <f t="shared" si="108"/>
        <v>HollowBrook</v>
      </c>
      <c r="T612" s="20">
        <f t="shared" si="99"/>
        <v>1</v>
      </c>
      <c r="U612">
        <f t="shared" si="100"/>
        <v>281</v>
      </c>
      <c r="V612">
        <f t="shared" si="101"/>
        <v>280</v>
      </c>
      <c r="W612" cm="1">
        <f t="array" ref="W612">_xlfn._xlws.FILTER(shifts!A:A,(shifts!B:B=events!D612)*(shifts!AH:AH&gt;=events!U612)*(shifts!AI:AI&lt;=events!V612))</f>
        <v>18</v>
      </c>
      <c r="X612" t="str">
        <f t="shared" si="98"/>
        <v>opp_team_player_1</v>
      </c>
      <c r="Y612">
        <f>COUNTIFS(A$3:A612,"="&amp;A612,K$3:K612,"="&amp;K612)</f>
        <v>1</v>
      </c>
      <c r="Z612" s="20">
        <f>SUMIFS(T$3:T612,L$3:L612,"=Intermission")+SUMIFS(T$3:T612,L$3:L612,"=Timeout")+SUMIFS(T$3:T612,L$3:L612,"=Clockstop")</f>
        <v>0</v>
      </c>
      <c r="AA612">
        <f t="shared" si="103"/>
        <v>0</v>
      </c>
      <c r="AB612" s="26">
        <f t="shared" si="104"/>
        <v>799</v>
      </c>
      <c r="AC612">
        <f t="shared" si="105"/>
        <v>0</v>
      </c>
    </row>
    <row r="613" spans="1:29" x14ac:dyDescent="0.2">
      <c r="A613">
        <v>322</v>
      </c>
      <c r="D613">
        <f t="shared" si="106"/>
        <v>1</v>
      </c>
      <c r="E613">
        <v>4</v>
      </c>
      <c r="F613" s="6" t="s">
        <v>431</v>
      </c>
      <c r="G613">
        <v>4</v>
      </c>
      <c r="H613" s="8" t="s">
        <v>437</v>
      </c>
      <c r="I613" t="s">
        <v>178</v>
      </c>
      <c r="J613">
        <v>33</v>
      </c>
      <c r="K613" t="s">
        <v>489</v>
      </c>
      <c r="L613" t="s">
        <v>277</v>
      </c>
      <c r="M613" t="s">
        <v>191</v>
      </c>
      <c r="N613" t="s">
        <v>87</v>
      </c>
      <c r="Q613">
        <f t="shared" si="108"/>
        <v>18977</v>
      </c>
      <c r="R613" t="str">
        <f t="shared" si="108"/>
        <v>Velodrome</v>
      </c>
      <c r="S613" t="str">
        <f t="shared" si="108"/>
        <v>HollowBrook</v>
      </c>
      <c r="T613" s="20">
        <f t="shared" si="99"/>
        <v>1</v>
      </c>
      <c r="U613">
        <f t="shared" si="100"/>
        <v>281</v>
      </c>
      <c r="V613">
        <f t="shared" si="101"/>
        <v>280</v>
      </c>
      <c r="W613" cm="1">
        <f t="array" ref="W613">_xlfn._xlws.FILTER(shifts!A:A,(shifts!B:B=events!D613)*(shifts!AH:AH&gt;=events!U613)*(shifts!AI:AI&lt;=events!V613))</f>
        <v>18</v>
      </c>
      <c r="X613" t="str">
        <f t="shared" si="98"/>
        <v>opp_team_player_2</v>
      </c>
      <c r="Y613">
        <f>COUNTIFS(A$3:A613,"="&amp;A613,K$3:K613,"="&amp;K613)</f>
        <v>2</v>
      </c>
      <c r="Z613" s="20">
        <f>SUMIFS(T$3:T613,L$3:L613,"=Intermission")+SUMIFS(T$3:T613,L$3:L613,"=Timeout")+SUMIFS(T$3:T613,L$3:L613,"=Clockstop")</f>
        <v>0</v>
      </c>
      <c r="AA613">
        <f t="shared" si="103"/>
        <v>0</v>
      </c>
      <c r="AB613" s="26">
        <f t="shared" si="104"/>
        <v>799</v>
      </c>
      <c r="AC613">
        <f t="shared" si="105"/>
        <v>0</v>
      </c>
    </row>
    <row r="614" spans="1:29" x14ac:dyDescent="0.2">
      <c r="A614">
        <v>322</v>
      </c>
      <c r="D614">
        <f t="shared" si="106"/>
        <v>1</v>
      </c>
      <c r="E614">
        <v>4</v>
      </c>
      <c r="F614" s="6" t="s">
        <v>431</v>
      </c>
      <c r="G614">
        <v>4</v>
      </c>
      <c r="H614" s="8" t="s">
        <v>437</v>
      </c>
      <c r="I614" t="s">
        <v>178</v>
      </c>
      <c r="J614">
        <v>11</v>
      </c>
      <c r="K614" t="s">
        <v>489</v>
      </c>
      <c r="L614" t="s">
        <v>277</v>
      </c>
      <c r="M614" t="s">
        <v>191</v>
      </c>
      <c r="N614" t="s">
        <v>87</v>
      </c>
      <c r="Q614">
        <f t="shared" si="108"/>
        <v>18977</v>
      </c>
      <c r="R614" t="str">
        <f t="shared" si="108"/>
        <v>Velodrome</v>
      </c>
      <c r="S614" t="str">
        <f t="shared" si="108"/>
        <v>HollowBrook</v>
      </c>
      <c r="T614" s="20">
        <f t="shared" si="99"/>
        <v>1</v>
      </c>
      <c r="U614">
        <f t="shared" si="100"/>
        <v>281</v>
      </c>
      <c r="V614">
        <f t="shared" si="101"/>
        <v>280</v>
      </c>
      <c r="W614" cm="1">
        <f t="array" ref="W614">_xlfn._xlws.FILTER(shifts!A:A,(shifts!B:B=events!D614)*(shifts!AH:AH&gt;=events!U614)*(shifts!AI:AI&lt;=events!V614))</f>
        <v>18</v>
      </c>
      <c r="X614" t="str">
        <f t="shared" si="98"/>
        <v>opp_team_player_3</v>
      </c>
      <c r="Y614">
        <f>COUNTIFS(A$3:A614,"="&amp;A614,K$3:K614,"="&amp;K614)</f>
        <v>3</v>
      </c>
      <c r="Z614" s="20">
        <f>SUMIFS(T$3:T614,L$3:L614,"=Intermission")+SUMIFS(T$3:T614,L$3:L614,"=Timeout")+SUMIFS(T$3:T614,L$3:L614,"=Clockstop")</f>
        <v>0</v>
      </c>
      <c r="AA614">
        <f t="shared" si="103"/>
        <v>0</v>
      </c>
      <c r="AB614" s="26">
        <f t="shared" si="104"/>
        <v>799</v>
      </c>
      <c r="AC614">
        <f t="shared" si="105"/>
        <v>0</v>
      </c>
    </row>
    <row r="615" spans="1:29" x14ac:dyDescent="0.2">
      <c r="A615">
        <v>323</v>
      </c>
      <c r="D615">
        <f t="shared" si="106"/>
        <v>1</v>
      </c>
      <c r="E615">
        <v>4</v>
      </c>
      <c r="F615" s="6" t="s">
        <v>437</v>
      </c>
      <c r="I615" t="s">
        <v>178</v>
      </c>
      <c r="J615">
        <v>61</v>
      </c>
      <c r="K615" t="s">
        <v>488</v>
      </c>
      <c r="L615" t="s">
        <v>8</v>
      </c>
      <c r="M615" t="s">
        <v>189</v>
      </c>
      <c r="N615" t="s">
        <v>69</v>
      </c>
      <c r="Q615">
        <f t="shared" si="108"/>
        <v>18977</v>
      </c>
      <c r="R615" t="str">
        <f t="shared" si="108"/>
        <v>Velodrome</v>
      </c>
      <c r="S615" t="str">
        <f t="shared" si="108"/>
        <v>HollowBrook</v>
      </c>
      <c r="T615" s="20">
        <f t="shared" si="99"/>
        <v>0</v>
      </c>
      <c r="U615">
        <f t="shared" si="100"/>
        <v>280</v>
      </c>
      <c r="V615">
        <f t="shared" si="101"/>
        <v>280</v>
      </c>
      <c r="W615" cm="1">
        <f t="array" ref="W615">_xlfn._xlws.FILTER(shifts!A:A,(shifts!B:B=events!D615)*(shifts!AH:AH&gt;=events!U615)*(shifts!AI:AI&lt;=events!V615))</f>
        <v>18</v>
      </c>
      <c r="X615" t="str">
        <f t="shared" si="98"/>
        <v>event_team_player_1</v>
      </c>
      <c r="Y615">
        <f>COUNTIFS(A$3:A615,"="&amp;A615,K$3:K615,"="&amp;K615)</f>
        <v>1</v>
      </c>
      <c r="Z615" s="20">
        <f>SUMIFS(T$3:T615,L$3:L615,"=Intermission")+SUMIFS(T$3:T615,L$3:L615,"=Timeout")+SUMIFS(T$3:T615,L$3:L615,"=Clockstop")</f>
        <v>0</v>
      </c>
      <c r="AA615">
        <f t="shared" si="103"/>
        <v>0</v>
      </c>
      <c r="AB615" s="26">
        <f t="shared" si="104"/>
        <v>800</v>
      </c>
      <c r="AC615">
        <f t="shared" si="105"/>
        <v>0</v>
      </c>
    </row>
    <row r="616" spans="1:29" x14ac:dyDescent="0.2">
      <c r="A616">
        <v>323</v>
      </c>
      <c r="D616">
        <f t="shared" si="106"/>
        <v>1</v>
      </c>
      <c r="E616">
        <v>4</v>
      </c>
      <c r="F616" s="6" t="s">
        <v>437</v>
      </c>
      <c r="I616" t="s">
        <v>178</v>
      </c>
      <c r="J616">
        <v>14</v>
      </c>
      <c r="K616" t="s">
        <v>488</v>
      </c>
      <c r="L616" t="s">
        <v>8</v>
      </c>
      <c r="M616" t="s">
        <v>189</v>
      </c>
      <c r="N616" t="s">
        <v>69</v>
      </c>
      <c r="Q616">
        <f t="shared" si="108"/>
        <v>18977</v>
      </c>
      <c r="R616" t="str">
        <f t="shared" si="108"/>
        <v>Velodrome</v>
      </c>
      <c r="S616" t="str">
        <f t="shared" si="108"/>
        <v>HollowBrook</v>
      </c>
      <c r="T616" s="20">
        <f t="shared" si="99"/>
        <v>0</v>
      </c>
      <c r="U616">
        <f t="shared" si="100"/>
        <v>280</v>
      </c>
      <c r="V616">
        <f t="shared" si="101"/>
        <v>280</v>
      </c>
      <c r="W616" cm="1">
        <f t="array" ref="W616">_xlfn._xlws.FILTER(shifts!A:A,(shifts!B:B=events!D616)*(shifts!AH:AH&gt;=events!U616)*(shifts!AI:AI&lt;=events!V616))</f>
        <v>18</v>
      </c>
      <c r="X616" t="str">
        <f t="shared" si="98"/>
        <v>event_team_player_2</v>
      </c>
      <c r="Y616">
        <f>COUNTIFS(A$3:A616,"="&amp;A616,K$3:K616,"="&amp;K616)</f>
        <v>2</v>
      </c>
      <c r="Z616" s="20">
        <f>SUMIFS(T$3:T616,L$3:L616,"=Intermission")+SUMIFS(T$3:T616,L$3:L616,"=Timeout")+SUMIFS(T$3:T616,L$3:L616,"=Clockstop")</f>
        <v>0</v>
      </c>
      <c r="AA616">
        <f t="shared" si="103"/>
        <v>0</v>
      </c>
      <c r="AB616" s="26">
        <f t="shared" si="104"/>
        <v>800</v>
      </c>
      <c r="AC616">
        <f t="shared" si="105"/>
        <v>0</v>
      </c>
    </row>
    <row r="617" spans="1:29" x14ac:dyDescent="0.2">
      <c r="A617">
        <v>324</v>
      </c>
      <c r="D617">
        <f t="shared" si="106"/>
        <v>1</v>
      </c>
      <c r="E617">
        <v>4</v>
      </c>
      <c r="F617" s="6" t="s">
        <v>437</v>
      </c>
      <c r="G617">
        <v>4</v>
      </c>
      <c r="H617" s="8" t="s">
        <v>481</v>
      </c>
      <c r="I617" t="s">
        <v>178</v>
      </c>
      <c r="J617">
        <v>14</v>
      </c>
      <c r="K617" t="s">
        <v>488</v>
      </c>
      <c r="L617" t="s">
        <v>15</v>
      </c>
      <c r="Q617">
        <f t="shared" si="108"/>
        <v>18977</v>
      </c>
      <c r="R617" t="str">
        <f t="shared" si="108"/>
        <v>Velodrome</v>
      </c>
      <c r="S617" t="str">
        <f t="shared" si="108"/>
        <v>HollowBrook</v>
      </c>
      <c r="T617" s="20">
        <f t="shared" si="99"/>
        <v>1</v>
      </c>
      <c r="U617">
        <f t="shared" si="100"/>
        <v>280</v>
      </c>
      <c r="V617">
        <f t="shared" si="101"/>
        <v>279</v>
      </c>
      <c r="W617" cm="1">
        <f t="array" ref="W617">_xlfn._xlws.FILTER(shifts!A:A,(shifts!B:B=events!D617)*(shifts!AH:AH&gt;=events!U617)*(shifts!AI:AI&lt;=events!V617))</f>
        <v>18</v>
      </c>
      <c r="X617" t="str">
        <f t="shared" si="98"/>
        <v>event_team_player_1</v>
      </c>
      <c r="Y617">
        <f>COUNTIFS(A$3:A617,"="&amp;A617,K$3:K617,"="&amp;K617)</f>
        <v>1</v>
      </c>
      <c r="Z617" s="20">
        <f>SUMIFS(T$3:T617,L$3:L617,"=Intermission")+SUMIFS(T$3:T617,L$3:L617,"=Timeout")+SUMIFS(T$3:T617,L$3:L617,"=Clockstop")</f>
        <v>0</v>
      </c>
      <c r="AA617">
        <f t="shared" si="103"/>
        <v>0</v>
      </c>
      <c r="AB617" s="26">
        <f t="shared" si="104"/>
        <v>800</v>
      </c>
      <c r="AC617">
        <f t="shared" si="105"/>
        <v>0</v>
      </c>
    </row>
    <row r="618" spans="1:29" x14ac:dyDescent="0.2">
      <c r="A618">
        <v>325</v>
      </c>
      <c r="D618">
        <f t="shared" si="106"/>
        <v>1</v>
      </c>
      <c r="E618">
        <v>4</v>
      </c>
      <c r="F618" s="6" t="s">
        <v>481</v>
      </c>
      <c r="I618" t="s">
        <v>178</v>
      </c>
      <c r="J618">
        <v>14</v>
      </c>
      <c r="K618" t="s">
        <v>488</v>
      </c>
      <c r="L618" t="s">
        <v>8</v>
      </c>
      <c r="M618" t="s">
        <v>189</v>
      </c>
      <c r="N618" t="s">
        <v>70</v>
      </c>
      <c r="Q618">
        <f t="shared" si="108"/>
        <v>18977</v>
      </c>
      <c r="R618" t="str">
        <f t="shared" si="108"/>
        <v>Velodrome</v>
      </c>
      <c r="S618" t="str">
        <f t="shared" si="108"/>
        <v>HollowBrook</v>
      </c>
      <c r="T618" s="20">
        <f t="shared" si="99"/>
        <v>0</v>
      </c>
      <c r="U618">
        <f t="shared" si="100"/>
        <v>279</v>
      </c>
      <c r="V618">
        <f t="shared" si="101"/>
        <v>279</v>
      </c>
      <c r="W618" cm="1">
        <f t="array" ref="W618">_xlfn._xlws.FILTER(shifts!A:A,(shifts!B:B=events!D618)*(shifts!AH:AH&gt;=events!U618)*(shifts!AI:AI&lt;=events!V618))</f>
        <v>18</v>
      </c>
      <c r="X618" t="str">
        <f t="shared" si="98"/>
        <v>event_team_player_1</v>
      </c>
      <c r="Y618">
        <f>COUNTIFS(A$3:A618,"="&amp;A618,K$3:K618,"="&amp;K618)</f>
        <v>1</v>
      </c>
      <c r="Z618" s="20">
        <f>SUMIFS(T$3:T618,L$3:L618,"=Intermission")+SUMIFS(T$3:T618,L$3:L618,"=Timeout")+SUMIFS(T$3:T618,L$3:L618,"=Clockstop")</f>
        <v>0</v>
      </c>
      <c r="AA618">
        <f t="shared" si="103"/>
        <v>0</v>
      </c>
      <c r="AB618" s="26">
        <f t="shared" si="104"/>
        <v>801</v>
      </c>
      <c r="AC618">
        <f t="shared" si="105"/>
        <v>0</v>
      </c>
    </row>
    <row r="619" spans="1:29" x14ac:dyDescent="0.2">
      <c r="A619">
        <v>325</v>
      </c>
      <c r="D619">
        <f t="shared" si="106"/>
        <v>1</v>
      </c>
      <c r="E619">
        <v>4</v>
      </c>
      <c r="F619" s="6" t="s">
        <v>481</v>
      </c>
      <c r="I619" t="s">
        <v>178</v>
      </c>
      <c r="J619">
        <v>42</v>
      </c>
      <c r="K619" t="s">
        <v>488</v>
      </c>
      <c r="L619" t="s">
        <v>8</v>
      </c>
      <c r="M619" t="s">
        <v>189</v>
      </c>
      <c r="N619" t="s">
        <v>70</v>
      </c>
      <c r="Q619">
        <f t="shared" si="108"/>
        <v>18977</v>
      </c>
      <c r="R619" t="str">
        <f t="shared" si="108"/>
        <v>Velodrome</v>
      </c>
      <c r="S619" t="str">
        <f t="shared" si="108"/>
        <v>HollowBrook</v>
      </c>
      <c r="T619" s="20">
        <f t="shared" si="99"/>
        <v>0</v>
      </c>
      <c r="U619">
        <f t="shared" si="100"/>
        <v>279</v>
      </c>
      <c r="V619">
        <f t="shared" si="101"/>
        <v>279</v>
      </c>
      <c r="W619" cm="1">
        <f t="array" ref="W619">_xlfn._xlws.FILTER(shifts!A:A,(shifts!B:B=events!D619)*(shifts!AH:AH&gt;=events!U619)*(shifts!AI:AI&lt;=events!V619))</f>
        <v>18</v>
      </c>
      <c r="X619" t="str">
        <f t="shared" si="98"/>
        <v>event_team_player_2</v>
      </c>
      <c r="Y619">
        <f>COUNTIFS(A$3:A619,"="&amp;A619,K$3:K619,"="&amp;K619)</f>
        <v>2</v>
      </c>
      <c r="Z619" s="20">
        <f>SUMIFS(T$3:T619,L$3:L619,"=Intermission")+SUMIFS(T$3:T619,L$3:L619,"=Timeout")+SUMIFS(T$3:T619,L$3:L619,"=Clockstop")</f>
        <v>0</v>
      </c>
      <c r="AA619">
        <f t="shared" si="103"/>
        <v>0</v>
      </c>
      <c r="AB619" s="26">
        <f t="shared" si="104"/>
        <v>801</v>
      </c>
      <c r="AC619">
        <f t="shared" si="105"/>
        <v>0</v>
      </c>
    </row>
    <row r="620" spans="1:29" x14ac:dyDescent="0.2">
      <c r="A620">
        <v>325</v>
      </c>
      <c r="D620">
        <f t="shared" si="106"/>
        <v>1</v>
      </c>
      <c r="E620">
        <v>4</v>
      </c>
      <c r="F620" s="6" t="s">
        <v>481</v>
      </c>
      <c r="I620" t="s">
        <v>178</v>
      </c>
      <c r="J620">
        <v>19</v>
      </c>
      <c r="K620" t="s">
        <v>489</v>
      </c>
      <c r="L620" t="s">
        <v>8</v>
      </c>
      <c r="M620" t="s">
        <v>189</v>
      </c>
      <c r="N620" t="s">
        <v>70</v>
      </c>
      <c r="Q620">
        <f t="shared" si="108"/>
        <v>18977</v>
      </c>
      <c r="R620" t="str">
        <f t="shared" si="108"/>
        <v>Velodrome</v>
      </c>
      <c r="S620" t="str">
        <f t="shared" si="108"/>
        <v>HollowBrook</v>
      </c>
      <c r="T620" s="20">
        <f t="shared" si="99"/>
        <v>0</v>
      </c>
      <c r="U620">
        <f t="shared" si="100"/>
        <v>279</v>
      </c>
      <c r="V620">
        <f t="shared" si="101"/>
        <v>279</v>
      </c>
      <c r="W620" cm="1">
        <f t="array" ref="W620">_xlfn._xlws.FILTER(shifts!A:A,(shifts!B:B=events!D620)*(shifts!AH:AH&gt;=events!U620)*(shifts!AI:AI&lt;=events!V620))</f>
        <v>18</v>
      </c>
      <c r="X620" t="str">
        <f t="shared" si="98"/>
        <v>opp_team_player_1</v>
      </c>
      <c r="Y620">
        <f>COUNTIFS(A$3:A620,"="&amp;A620,K$3:K620,"="&amp;K620)</f>
        <v>1</v>
      </c>
      <c r="Z620" s="20">
        <f>SUMIFS(T$3:T620,L$3:L620,"=Intermission")+SUMIFS(T$3:T620,L$3:L620,"=Timeout")+SUMIFS(T$3:T620,L$3:L620,"=Clockstop")</f>
        <v>0</v>
      </c>
      <c r="AA620">
        <f t="shared" si="103"/>
        <v>0</v>
      </c>
      <c r="AB620" s="26">
        <f t="shared" si="104"/>
        <v>801</v>
      </c>
      <c r="AC620">
        <f t="shared" si="105"/>
        <v>0</v>
      </c>
    </row>
    <row r="621" spans="1:29" x14ac:dyDescent="0.2">
      <c r="A621">
        <v>326</v>
      </c>
      <c r="D621">
        <f t="shared" si="106"/>
        <v>1</v>
      </c>
      <c r="E621">
        <v>4</v>
      </c>
      <c r="F621" s="6" t="s">
        <v>481</v>
      </c>
      <c r="G621">
        <v>4</v>
      </c>
      <c r="H621" s="8" t="s">
        <v>452</v>
      </c>
      <c r="I621" t="s">
        <v>178</v>
      </c>
      <c r="J621">
        <v>42</v>
      </c>
      <c r="K621" t="s">
        <v>488</v>
      </c>
      <c r="L621" t="s">
        <v>15</v>
      </c>
      <c r="Q621">
        <f t="shared" si="108"/>
        <v>18977</v>
      </c>
      <c r="R621" t="str">
        <f t="shared" si="108"/>
        <v>Velodrome</v>
      </c>
      <c r="S621" t="str">
        <f t="shared" si="108"/>
        <v>HollowBrook</v>
      </c>
      <c r="T621" s="20">
        <f t="shared" si="99"/>
        <v>3</v>
      </c>
      <c r="U621">
        <f t="shared" si="100"/>
        <v>279</v>
      </c>
      <c r="V621">
        <f t="shared" si="101"/>
        <v>276</v>
      </c>
      <c r="W621" cm="1">
        <f t="array" ref="W621">_xlfn._xlws.FILTER(shifts!A:A,(shifts!B:B=events!D621)*(shifts!AH:AH&gt;=events!U621)*(shifts!AI:AI&lt;=events!V621))</f>
        <v>18</v>
      </c>
      <c r="X621" t="str">
        <f t="shared" si="98"/>
        <v>event_team_player_1</v>
      </c>
      <c r="Y621">
        <f>COUNTIFS(A$3:A621,"="&amp;A621,K$3:K621,"="&amp;K621)</f>
        <v>1</v>
      </c>
      <c r="Z621" s="20">
        <f>SUMIFS(T$3:T621,L$3:L621,"=Intermission")+SUMIFS(T$3:T621,L$3:L621,"=Timeout")+SUMIFS(T$3:T621,L$3:L621,"=Clockstop")</f>
        <v>0</v>
      </c>
      <c r="AA621">
        <f t="shared" si="103"/>
        <v>0</v>
      </c>
      <c r="AB621" s="26">
        <f t="shared" si="104"/>
        <v>801</v>
      </c>
      <c r="AC621">
        <f t="shared" si="105"/>
        <v>0</v>
      </c>
    </row>
    <row r="622" spans="1:29" x14ac:dyDescent="0.2">
      <c r="A622">
        <v>327</v>
      </c>
      <c r="D622">
        <f t="shared" si="106"/>
        <v>1</v>
      </c>
      <c r="E622">
        <v>4</v>
      </c>
      <c r="F622" s="6" t="s">
        <v>452</v>
      </c>
      <c r="I622" t="s">
        <v>178</v>
      </c>
      <c r="J622">
        <v>42</v>
      </c>
      <c r="K622" t="s">
        <v>488</v>
      </c>
      <c r="L622" t="s">
        <v>8</v>
      </c>
      <c r="M622" t="s">
        <v>199</v>
      </c>
      <c r="N622" t="s">
        <v>70</v>
      </c>
      <c r="Q622">
        <f t="shared" si="108"/>
        <v>18977</v>
      </c>
      <c r="R622" t="str">
        <f t="shared" si="108"/>
        <v>Velodrome</v>
      </c>
      <c r="S622" t="str">
        <f t="shared" si="108"/>
        <v>HollowBrook</v>
      </c>
      <c r="T622" s="20">
        <f t="shared" si="99"/>
        <v>0</v>
      </c>
      <c r="U622">
        <f t="shared" si="100"/>
        <v>276</v>
      </c>
      <c r="V622">
        <f t="shared" si="101"/>
        <v>276</v>
      </c>
      <c r="W622" cm="1">
        <f t="array" ref="W622">_xlfn._xlws.FILTER(shifts!A:A,(shifts!B:B=events!D622)*(shifts!AH:AH&gt;=events!U622)*(shifts!AI:AI&lt;=events!V622))</f>
        <v>18</v>
      </c>
      <c r="X622" t="str">
        <f t="shared" si="98"/>
        <v>event_team_player_1</v>
      </c>
      <c r="Y622">
        <f>COUNTIFS(A$3:A622,"="&amp;A622,K$3:K622,"="&amp;K622)</f>
        <v>1</v>
      </c>
      <c r="Z622" s="20">
        <f>SUMIFS(T$3:T622,L$3:L622,"=Intermission")+SUMIFS(T$3:T622,L$3:L622,"=Timeout")+SUMIFS(T$3:T622,L$3:L622,"=Clockstop")</f>
        <v>0</v>
      </c>
      <c r="AA622">
        <f t="shared" si="103"/>
        <v>0</v>
      </c>
      <c r="AB622" s="26">
        <f t="shared" si="104"/>
        <v>804</v>
      </c>
      <c r="AC622">
        <f t="shared" si="105"/>
        <v>0</v>
      </c>
    </row>
    <row r="623" spans="1:29" x14ac:dyDescent="0.2">
      <c r="A623">
        <v>327</v>
      </c>
      <c r="D623">
        <f t="shared" si="106"/>
        <v>1</v>
      </c>
      <c r="E623">
        <v>4</v>
      </c>
      <c r="F623" s="6" t="s">
        <v>452</v>
      </c>
      <c r="I623" t="s">
        <v>178</v>
      </c>
      <c r="J623">
        <v>61</v>
      </c>
      <c r="K623" t="s">
        <v>489</v>
      </c>
      <c r="L623" t="s">
        <v>8</v>
      </c>
      <c r="M623" t="s">
        <v>199</v>
      </c>
      <c r="N623" t="s">
        <v>70</v>
      </c>
      <c r="Q623">
        <f t="shared" si="108"/>
        <v>18977</v>
      </c>
      <c r="R623" t="str">
        <f t="shared" si="108"/>
        <v>Velodrome</v>
      </c>
      <c r="S623" t="str">
        <f t="shared" si="108"/>
        <v>HollowBrook</v>
      </c>
      <c r="T623" s="20">
        <f t="shared" si="99"/>
        <v>0</v>
      </c>
      <c r="U623">
        <f t="shared" si="100"/>
        <v>276</v>
      </c>
      <c r="V623">
        <f t="shared" si="101"/>
        <v>276</v>
      </c>
      <c r="W623" cm="1">
        <f t="array" ref="W623">_xlfn._xlws.FILTER(shifts!A:A,(shifts!B:B=events!D623)*(shifts!AH:AH&gt;=events!U623)*(shifts!AI:AI&lt;=events!V623))</f>
        <v>18</v>
      </c>
      <c r="X623" t="str">
        <f t="shared" si="98"/>
        <v>opp_team_player_1</v>
      </c>
      <c r="Y623">
        <f>COUNTIFS(A$3:A623,"="&amp;A623,K$3:K623,"="&amp;K623)</f>
        <v>1</v>
      </c>
      <c r="Z623" s="20">
        <f>SUMIFS(T$3:T623,L$3:L623,"=Intermission")+SUMIFS(T$3:T623,L$3:L623,"=Timeout")+SUMIFS(T$3:T623,L$3:L623,"=Clockstop")</f>
        <v>0</v>
      </c>
      <c r="AA623">
        <f t="shared" si="103"/>
        <v>0</v>
      </c>
      <c r="AB623" s="26">
        <f t="shared" si="104"/>
        <v>804</v>
      </c>
      <c r="AC623">
        <f t="shared" si="105"/>
        <v>0</v>
      </c>
    </row>
    <row r="624" spans="1:29" x14ac:dyDescent="0.2">
      <c r="A624">
        <v>327</v>
      </c>
      <c r="D624">
        <f t="shared" si="106"/>
        <v>1</v>
      </c>
      <c r="E624">
        <v>4</v>
      </c>
      <c r="F624" s="6" t="s">
        <v>452</v>
      </c>
      <c r="I624" t="s">
        <v>178</v>
      </c>
      <c r="J624">
        <v>18</v>
      </c>
      <c r="K624" t="s">
        <v>489</v>
      </c>
      <c r="L624" t="s">
        <v>8</v>
      </c>
      <c r="M624" t="s">
        <v>199</v>
      </c>
      <c r="N624" t="s">
        <v>70</v>
      </c>
      <c r="Q624">
        <f t="shared" si="108"/>
        <v>18977</v>
      </c>
      <c r="R624" t="str">
        <f t="shared" si="108"/>
        <v>Velodrome</v>
      </c>
      <c r="S624" t="str">
        <f t="shared" si="108"/>
        <v>HollowBrook</v>
      </c>
      <c r="T624" s="20">
        <f t="shared" si="99"/>
        <v>0</v>
      </c>
      <c r="U624">
        <f t="shared" si="100"/>
        <v>276</v>
      </c>
      <c r="V624">
        <f t="shared" si="101"/>
        <v>276</v>
      </c>
      <c r="W624" cm="1">
        <f t="array" ref="W624">_xlfn._xlws.FILTER(shifts!A:A,(shifts!B:B=events!D624)*(shifts!AH:AH&gt;=events!U624)*(shifts!AI:AI&lt;=events!V624))</f>
        <v>18</v>
      </c>
      <c r="X624" t="str">
        <f t="shared" si="98"/>
        <v>opp_team_player_2</v>
      </c>
      <c r="Y624">
        <f>COUNTIFS(A$3:A624,"="&amp;A624,K$3:K624,"="&amp;K624)</f>
        <v>2</v>
      </c>
      <c r="Z624" s="20">
        <f>SUMIFS(T$3:T624,L$3:L624,"=Intermission")+SUMIFS(T$3:T624,L$3:L624,"=Timeout")+SUMIFS(T$3:T624,L$3:L624,"=Clockstop")</f>
        <v>0</v>
      </c>
      <c r="AA624">
        <f t="shared" si="103"/>
        <v>0</v>
      </c>
      <c r="AB624" s="26">
        <f t="shared" si="104"/>
        <v>804</v>
      </c>
      <c r="AC624">
        <f t="shared" si="105"/>
        <v>0</v>
      </c>
    </row>
    <row r="625" spans="1:29" x14ac:dyDescent="0.2">
      <c r="A625">
        <v>328</v>
      </c>
      <c r="D625">
        <f t="shared" si="106"/>
        <v>1</v>
      </c>
      <c r="E625">
        <v>4</v>
      </c>
      <c r="F625" s="6" t="s">
        <v>482</v>
      </c>
      <c r="I625" t="s">
        <v>178</v>
      </c>
      <c r="J625">
        <v>87</v>
      </c>
      <c r="K625" t="s">
        <v>488</v>
      </c>
      <c r="L625" t="s">
        <v>277</v>
      </c>
      <c r="M625" t="s">
        <v>210</v>
      </c>
      <c r="N625" t="s">
        <v>93</v>
      </c>
      <c r="Q625">
        <f t="shared" si="108"/>
        <v>18977</v>
      </c>
      <c r="R625" t="str">
        <f t="shared" si="108"/>
        <v>Velodrome</v>
      </c>
      <c r="S625" t="str">
        <f t="shared" si="108"/>
        <v>HollowBrook</v>
      </c>
      <c r="T625" s="20">
        <f t="shared" si="99"/>
        <v>0</v>
      </c>
      <c r="U625">
        <f t="shared" si="100"/>
        <v>273</v>
      </c>
      <c r="V625">
        <f t="shared" si="101"/>
        <v>273</v>
      </c>
      <c r="W625" cm="1">
        <f t="array" ref="W625">_xlfn._xlws.FILTER(shifts!A:A,(shifts!B:B=events!D625)*(shifts!AH:AH&gt;=events!U625)*(shifts!AI:AI&lt;=events!V625))</f>
        <v>18</v>
      </c>
      <c r="X625" t="str">
        <f t="shared" si="98"/>
        <v>event_team_player_1</v>
      </c>
      <c r="Y625">
        <f>COUNTIFS(A$3:A625,"="&amp;A625,K$3:K625,"="&amp;K625)</f>
        <v>1</v>
      </c>
      <c r="Z625" s="20">
        <f>SUMIFS(T$3:T625,L$3:L625,"=Intermission")+SUMIFS(T$3:T625,L$3:L625,"=Timeout")+SUMIFS(T$3:T625,L$3:L625,"=Clockstop")</f>
        <v>0</v>
      </c>
      <c r="AA625">
        <f t="shared" si="103"/>
        <v>0</v>
      </c>
      <c r="AB625" s="26">
        <f t="shared" si="104"/>
        <v>807</v>
      </c>
      <c r="AC625">
        <f t="shared" si="105"/>
        <v>0</v>
      </c>
    </row>
    <row r="626" spans="1:29" x14ac:dyDescent="0.2">
      <c r="A626">
        <v>329</v>
      </c>
      <c r="D626">
        <f t="shared" si="106"/>
        <v>1</v>
      </c>
      <c r="E626">
        <v>4</v>
      </c>
      <c r="F626" s="6" t="s">
        <v>482</v>
      </c>
      <c r="I626" t="s">
        <v>178</v>
      </c>
      <c r="J626">
        <v>87</v>
      </c>
      <c r="K626" t="s">
        <v>488</v>
      </c>
      <c r="L626" t="s">
        <v>8</v>
      </c>
      <c r="M626" t="s">
        <v>189</v>
      </c>
      <c r="N626" t="s">
        <v>68</v>
      </c>
      <c r="Q626">
        <f t="shared" si="108"/>
        <v>18977</v>
      </c>
      <c r="R626" t="str">
        <f t="shared" si="108"/>
        <v>Velodrome</v>
      </c>
      <c r="S626" t="str">
        <f t="shared" si="108"/>
        <v>HollowBrook</v>
      </c>
      <c r="T626" s="20">
        <f t="shared" si="99"/>
        <v>0</v>
      </c>
      <c r="U626">
        <f t="shared" si="100"/>
        <v>273</v>
      </c>
      <c r="V626">
        <f t="shared" si="101"/>
        <v>273</v>
      </c>
      <c r="W626" cm="1">
        <f t="array" ref="W626">_xlfn._xlws.FILTER(shifts!A:A,(shifts!B:B=events!D626)*(shifts!AH:AH&gt;=events!U626)*(shifts!AI:AI&lt;=events!V626))</f>
        <v>18</v>
      </c>
      <c r="X626" t="str">
        <f t="shared" si="98"/>
        <v>event_team_player_1</v>
      </c>
      <c r="Y626">
        <f>COUNTIFS(A$3:A626,"="&amp;A626,K$3:K626,"="&amp;K626)</f>
        <v>1</v>
      </c>
      <c r="Z626" s="20">
        <f>SUMIFS(T$3:T626,L$3:L626,"=Intermission")+SUMIFS(T$3:T626,L$3:L626,"=Timeout")+SUMIFS(T$3:T626,L$3:L626,"=Clockstop")</f>
        <v>0</v>
      </c>
      <c r="AA626">
        <f t="shared" si="103"/>
        <v>0</v>
      </c>
      <c r="AB626" s="26">
        <f t="shared" si="104"/>
        <v>807</v>
      </c>
      <c r="AC626">
        <f t="shared" si="105"/>
        <v>0</v>
      </c>
    </row>
    <row r="627" spans="1:29" x14ac:dyDescent="0.2">
      <c r="A627">
        <v>329</v>
      </c>
      <c r="D627">
        <f t="shared" si="106"/>
        <v>1</v>
      </c>
      <c r="E627">
        <v>4</v>
      </c>
      <c r="F627" s="6" t="s">
        <v>482</v>
      </c>
      <c r="I627" t="s">
        <v>178</v>
      </c>
      <c r="J627">
        <v>42</v>
      </c>
      <c r="K627" t="s">
        <v>488</v>
      </c>
      <c r="L627" t="s">
        <v>8</v>
      </c>
      <c r="M627" t="s">
        <v>189</v>
      </c>
      <c r="N627" t="s">
        <v>68</v>
      </c>
      <c r="Q627">
        <f t="shared" si="108"/>
        <v>18977</v>
      </c>
      <c r="R627" t="str">
        <f t="shared" si="108"/>
        <v>Velodrome</v>
      </c>
      <c r="S627" t="str">
        <f t="shared" si="108"/>
        <v>HollowBrook</v>
      </c>
      <c r="T627" s="20">
        <f t="shared" si="99"/>
        <v>0</v>
      </c>
      <c r="U627">
        <f t="shared" si="100"/>
        <v>273</v>
      </c>
      <c r="V627">
        <f t="shared" si="101"/>
        <v>273</v>
      </c>
      <c r="W627" cm="1">
        <f t="array" ref="W627">_xlfn._xlws.FILTER(shifts!A:A,(shifts!B:B=events!D627)*(shifts!AH:AH&gt;=events!U627)*(shifts!AI:AI&lt;=events!V627))</f>
        <v>18</v>
      </c>
      <c r="X627" t="str">
        <f t="shared" si="98"/>
        <v>event_team_player_2</v>
      </c>
      <c r="Y627">
        <f>COUNTIFS(A$3:A627,"="&amp;A627,K$3:K627,"="&amp;K627)</f>
        <v>2</v>
      </c>
      <c r="Z627" s="20">
        <f>SUMIFS(T$3:T627,L$3:L627,"=Intermission")+SUMIFS(T$3:T627,L$3:L627,"=Timeout")+SUMIFS(T$3:T627,L$3:L627,"=Clockstop")</f>
        <v>0</v>
      </c>
      <c r="AA627">
        <f t="shared" si="103"/>
        <v>0</v>
      </c>
      <c r="AB627" s="26">
        <f t="shared" si="104"/>
        <v>807</v>
      </c>
      <c r="AC627">
        <f t="shared" si="105"/>
        <v>0</v>
      </c>
    </row>
    <row r="628" spans="1:29" x14ac:dyDescent="0.2">
      <c r="A628">
        <v>329</v>
      </c>
      <c r="D628">
        <f t="shared" si="106"/>
        <v>1</v>
      </c>
      <c r="E628">
        <v>4</v>
      </c>
      <c r="F628" s="6" t="s">
        <v>482</v>
      </c>
      <c r="I628" t="s">
        <v>178</v>
      </c>
      <c r="J628">
        <v>8</v>
      </c>
      <c r="K628" t="s">
        <v>489</v>
      </c>
      <c r="L628" t="s">
        <v>8</v>
      </c>
      <c r="M628" t="s">
        <v>189</v>
      </c>
      <c r="N628" t="s">
        <v>68</v>
      </c>
      <c r="Q628">
        <f t="shared" ref="Q628:S643" si="109">Q627</f>
        <v>18977</v>
      </c>
      <c r="R628" t="str">
        <f t="shared" si="109"/>
        <v>Velodrome</v>
      </c>
      <c r="S628" t="str">
        <f t="shared" si="109"/>
        <v>HollowBrook</v>
      </c>
      <c r="T628" s="20">
        <f t="shared" si="99"/>
        <v>0</v>
      </c>
      <c r="U628">
        <f t="shared" si="100"/>
        <v>273</v>
      </c>
      <c r="V628">
        <f t="shared" si="101"/>
        <v>273</v>
      </c>
      <c r="W628" cm="1">
        <f t="array" ref="W628">_xlfn._xlws.FILTER(shifts!A:A,(shifts!B:B=events!D628)*(shifts!AH:AH&gt;=events!U628)*(shifts!AI:AI&lt;=events!V628))</f>
        <v>18</v>
      </c>
      <c r="X628" t="str">
        <f t="shared" ref="X628:X691" si="110">IF(K628="e","event_team_player_"&amp;Y628,IF(K628="o","opp_team_player_"&amp;Y628,""))</f>
        <v>opp_team_player_1</v>
      </c>
      <c r="Y628">
        <f>COUNTIFS(A$3:A628,"="&amp;A628,K$3:K628,"="&amp;K628)</f>
        <v>1</v>
      </c>
      <c r="Z628" s="20">
        <f>SUMIFS(T$3:T628,L$3:L628,"=Intermission")+SUMIFS(T$3:T628,L$3:L628,"=Timeout")+SUMIFS(T$3:T628,L$3:L628,"=Clockstop")</f>
        <v>0</v>
      </c>
      <c r="AA628">
        <f t="shared" si="103"/>
        <v>0</v>
      </c>
      <c r="AB628" s="26">
        <f t="shared" si="104"/>
        <v>807</v>
      </c>
      <c r="AC628">
        <f t="shared" si="105"/>
        <v>0</v>
      </c>
    </row>
    <row r="629" spans="1:29" x14ac:dyDescent="0.2">
      <c r="A629">
        <v>330</v>
      </c>
      <c r="D629">
        <f t="shared" si="106"/>
        <v>1</v>
      </c>
      <c r="E629">
        <v>4</v>
      </c>
      <c r="F629" s="6" t="s">
        <v>494</v>
      </c>
      <c r="G629">
        <v>4</v>
      </c>
      <c r="H629" s="8" t="s">
        <v>472</v>
      </c>
      <c r="I629" t="s">
        <v>178</v>
      </c>
      <c r="J629">
        <v>42</v>
      </c>
      <c r="K629" t="s">
        <v>488</v>
      </c>
      <c r="L629" t="s">
        <v>15</v>
      </c>
      <c r="Q629">
        <f t="shared" si="109"/>
        <v>18977</v>
      </c>
      <c r="R629" t="str">
        <f t="shared" si="109"/>
        <v>Velodrome</v>
      </c>
      <c r="S629" t="str">
        <f t="shared" si="109"/>
        <v>HollowBrook</v>
      </c>
      <c r="T629" s="20">
        <f t="shared" si="99"/>
        <v>2</v>
      </c>
      <c r="U629">
        <f t="shared" si="100"/>
        <v>272</v>
      </c>
      <c r="V629">
        <f t="shared" si="101"/>
        <v>270</v>
      </c>
      <c r="W629" cm="1">
        <f t="array" ref="W629">_xlfn._xlws.FILTER(shifts!A:A,(shifts!B:B=events!D629)*(shifts!AH:AH&gt;=events!U629)*(shifts!AI:AI&lt;=events!V629))</f>
        <v>18</v>
      </c>
      <c r="X629" t="str">
        <f t="shared" si="110"/>
        <v>event_team_player_1</v>
      </c>
      <c r="Y629">
        <f>COUNTIFS(A$3:A629,"="&amp;A629,K$3:K629,"="&amp;K629)</f>
        <v>1</v>
      </c>
      <c r="Z629" s="20">
        <f>SUMIFS(T$3:T629,L$3:L629,"=Intermission")+SUMIFS(T$3:T629,L$3:L629,"=Timeout")+SUMIFS(T$3:T629,L$3:L629,"=Clockstop")</f>
        <v>0</v>
      </c>
      <c r="AA629">
        <f t="shared" si="103"/>
        <v>0</v>
      </c>
      <c r="AB629" s="26">
        <f t="shared" si="104"/>
        <v>808</v>
      </c>
      <c r="AC629">
        <f t="shared" si="105"/>
        <v>0</v>
      </c>
    </row>
    <row r="630" spans="1:29" x14ac:dyDescent="0.2">
      <c r="A630">
        <v>331</v>
      </c>
      <c r="D630">
        <f t="shared" si="106"/>
        <v>1</v>
      </c>
      <c r="E630">
        <v>4</v>
      </c>
      <c r="F630" s="6" t="s">
        <v>472</v>
      </c>
      <c r="I630" t="s">
        <v>178</v>
      </c>
      <c r="J630">
        <v>42</v>
      </c>
      <c r="K630" t="s">
        <v>488</v>
      </c>
      <c r="L630" t="s">
        <v>7</v>
      </c>
      <c r="M630" t="s">
        <v>222</v>
      </c>
      <c r="N630" t="s">
        <v>53</v>
      </c>
      <c r="Q630">
        <f t="shared" si="109"/>
        <v>18977</v>
      </c>
      <c r="R630" t="str">
        <f t="shared" si="109"/>
        <v>Velodrome</v>
      </c>
      <c r="S630" t="str">
        <f t="shared" si="109"/>
        <v>HollowBrook</v>
      </c>
      <c r="T630" s="20">
        <f t="shared" si="99"/>
        <v>0</v>
      </c>
      <c r="U630">
        <f t="shared" si="100"/>
        <v>270</v>
      </c>
      <c r="V630">
        <f t="shared" si="101"/>
        <v>270</v>
      </c>
      <c r="W630" cm="1">
        <f t="array" ref="W630">_xlfn._xlws.FILTER(shifts!A:A,(shifts!B:B=events!D630)*(shifts!AH:AH&gt;=events!U630)*(shifts!AI:AI&lt;=events!V630))</f>
        <v>18</v>
      </c>
      <c r="X630" t="str">
        <f t="shared" si="110"/>
        <v>event_team_player_1</v>
      </c>
      <c r="Y630">
        <f>COUNTIFS(A$3:A630,"="&amp;A630,K$3:K630,"="&amp;K630)</f>
        <v>1</v>
      </c>
      <c r="Z630" s="20">
        <f>SUMIFS(T$3:T630,L$3:L630,"=Intermission")+SUMIFS(T$3:T630,L$3:L630,"=Timeout")+SUMIFS(T$3:T630,L$3:L630,"=Clockstop")</f>
        <v>0</v>
      </c>
      <c r="AA630">
        <f t="shared" si="103"/>
        <v>0</v>
      </c>
      <c r="AB630" s="26">
        <f t="shared" si="104"/>
        <v>810</v>
      </c>
      <c r="AC630">
        <f t="shared" si="105"/>
        <v>0</v>
      </c>
    </row>
    <row r="631" spans="1:29" x14ac:dyDescent="0.2">
      <c r="A631">
        <v>331</v>
      </c>
      <c r="D631">
        <f t="shared" si="106"/>
        <v>1</v>
      </c>
      <c r="E631">
        <v>4</v>
      </c>
      <c r="F631" s="6" t="s">
        <v>472</v>
      </c>
      <c r="I631" t="s">
        <v>178</v>
      </c>
      <c r="J631">
        <v>99</v>
      </c>
      <c r="K631" t="s">
        <v>489</v>
      </c>
      <c r="L631" t="s">
        <v>7</v>
      </c>
      <c r="M631" t="s">
        <v>222</v>
      </c>
      <c r="N631" t="s">
        <v>53</v>
      </c>
      <c r="Q631">
        <f t="shared" si="109"/>
        <v>18977</v>
      </c>
      <c r="R631" t="str">
        <f t="shared" si="109"/>
        <v>Velodrome</v>
      </c>
      <c r="S631" t="str">
        <f t="shared" si="109"/>
        <v>HollowBrook</v>
      </c>
      <c r="T631" s="20">
        <f t="shared" si="99"/>
        <v>0</v>
      </c>
      <c r="U631">
        <f t="shared" si="100"/>
        <v>270</v>
      </c>
      <c r="V631">
        <f t="shared" si="101"/>
        <v>270</v>
      </c>
      <c r="W631" cm="1">
        <f t="array" ref="W631">_xlfn._xlws.FILTER(shifts!A:A,(shifts!B:B=events!D631)*(shifts!AH:AH&gt;=events!U631)*(shifts!AI:AI&lt;=events!V631))</f>
        <v>18</v>
      </c>
      <c r="X631" t="str">
        <f t="shared" si="110"/>
        <v>opp_team_player_1</v>
      </c>
      <c r="Y631">
        <f>COUNTIFS(A$3:A631,"="&amp;A631,K$3:K631,"="&amp;K631)</f>
        <v>1</v>
      </c>
      <c r="Z631" s="20">
        <f>SUMIFS(T$3:T631,L$3:L631,"=Intermission")+SUMIFS(T$3:T631,L$3:L631,"=Timeout")+SUMIFS(T$3:T631,L$3:L631,"=Clockstop")</f>
        <v>0</v>
      </c>
      <c r="AA631">
        <f t="shared" si="103"/>
        <v>0</v>
      </c>
      <c r="AB631" s="26">
        <f t="shared" si="104"/>
        <v>810</v>
      </c>
      <c r="AC631">
        <f t="shared" si="105"/>
        <v>0</v>
      </c>
    </row>
    <row r="632" spans="1:29" x14ac:dyDescent="0.2">
      <c r="A632">
        <v>331</v>
      </c>
      <c r="D632">
        <f t="shared" si="106"/>
        <v>1</v>
      </c>
      <c r="E632">
        <v>4</v>
      </c>
      <c r="F632" s="6" t="s">
        <v>472</v>
      </c>
      <c r="I632" t="s">
        <v>178</v>
      </c>
      <c r="J632">
        <v>11</v>
      </c>
      <c r="K632" t="s">
        <v>489</v>
      </c>
      <c r="L632" t="s">
        <v>7</v>
      </c>
      <c r="M632" t="s">
        <v>222</v>
      </c>
      <c r="N632" t="s">
        <v>53</v>
      </c>
      <c r="Q632">
        <f t="shared" si="109"/>
        <v>18977</v>
      </c>
      <c r="R632" t="str">
        <f t="shared" si="109"/>
        <v>Velodrome</v>
      </c>
      <c r="S632" t="str">
        <f t="shared" si="109"/>
        <v>HollowBrook</v>
      </c>
      <c r="T632" s="20">
        <f t="shared" si="99"/>
        <v>0</v>
      </c>
      <c r="U632">
        <f t="shared" si="100"/>
        <v>270</v>
      </c>
      <c r="V632">
        <f t="shared" si="101"/>
        <v>270</v>
      </c>
      <c r="W632" cm="1">
        <f t="array" ref="W632">_xlfn._xlws.FILTER(shifts!A:A,(shifts!B:B=events!D632)*(shifts!AH:AH&gt;=events!U632)*(shifts!AI:AI&lt;=events!V632))</f>
        <v>18</v>
      </c>
      <c r="X632" t="str">
        <f t="shared" si="110"/>
        <v>opp_team_player_2</v>
      </c>
      <c r="Y632">
        <f>COUNTIFS(A$3:A632,"="&amp;A632,K$3:K632,"="&amp;K632)</f>
        <v>2</v>
      </c>
      <c r="Z632" s="20">
        <f>SUMIFS(T$3:T632,L$3:L632,"=Intermission")+SUMIFS(T$3:T632,L$3:L632,"=Timeout")+SUMIFS(T$3:T632,L$3:L632,"=Clockstop")</f>
        <v>0</v>
      </c>
      <c r="AA632">
        <f t="shared" si="103"/>
        <v>0</v>
      </c>
      <c r="AB632" s="26">
        <f t="shared" si="104"/>
        <v>810</v>
      </c>
      <c r="AC632">
        <f t="shared" si="105"/>
        <v>0</v>
      </c>
    </row>
    <row r="633" spans="1:29" x14ac:dyDescent="0.2">
      <c r="A633">
        <v>332</v>
      </c>
      <c r="D633">
        <f t="shared" si="106"/>
        <v>1</v>
      </c>
      <c r="E633">
        <v>4</v>
      </c>
      <c r="F633" s="6" t="s">
        <v>472</v>
      </c>
      <c r="I633" t="s">
        <v>179</v>
      </c>
      <c r="J633">
        <v>99</v>
      </c>
      <c r="K633" t="s">
        <v>488</v>
      </c>
      <c r="L633" t="s">
        <v>17</v>
      </c>
      <c r="M633" t="s">
        <v>196</v>
      </c>
      <c r="N633" t="s">
        <v>102</v>
      </c>
      <c r="Q633">
        <f t="shared" si="109"/>
        <v>18977</v>
      </c>
      <c r="R633" t="str">
        <f t="shared" si="109"/>
        <v>Velodrome</v>
      </c>
      <c r="S633" t="str">
        <f t="shared" si="109"/>
        <v>HollowBrook</v>
      </c>
      <c r="T633" s="20">
        <f t="shared" si="99"/>
        <v>0</v>
      </c>
      <c r="U633">
        <f t="shared" si="100"/>
        <v>270</v>
      </c>
      <c r="V633">
        <f t="shared" si="101"/>
        <v>270</v>
      </c>
      <c r="W633" cm="1">
        <f t="array" ref="W633">_xlfn._xlws.FILTER(shifts!A:A,(shifts!B:B=events!D633)*(shifts!AH:AH&gt;=events!U633)*(shifts!AI:AI&lt;=events!V633))</f>
        <v>18</v>
      </c>
      <c r="X633" t="str">
        <f t="shared" si="110"/>
        <v>event_team_player_1</v>
      </c>
      <c r="Y633">
        <f>COUNTIFS(A$3:A633,"="&amp;A633,K$3:K633,"="&amp;K633)</f>
        <v>1</v>
      </c>
      <c r="Z633" s="20">
        <f>SUMIFS(T$3:T633,L$3:L633,"=Intermission")+SUMIFS(T$3:T633,L$3:L633,"=Timeout")+SUMIFS(T$3:T633,L$3:L633,"=Clockstop")</f>
        <v>0</v>
      </c>
      <c r="AA633">
        <f t="shared" si="103"/>
        <v>0</v>
      </c>
      <c r="AB633" s="26">
        <f t="shared" si="104"/>
        <v>810</v>
      </c>
      <c r="AC633">
        <f t="shared" si="105"/>
        <v>0</v>
      </c>
    </row>
    <row r="634" spans="1:29" x14ac:dyDescent="0.2">
      <c r="A634">
        <v>332</v>
      </c>
      <c r="D634">
        <f t="shared" si="106"/>
        <v>1</v>
      </c>
      <c r="E634">
        <v>4</v>
      </c>
      <c r="F634" s="6" t="s">
        <v>472</v>
      </c>
      <c r="I634" t="s">
        <v>179</v>
      </c>
      <c r="J634">
        <v>11</v>
      </c>
      <c r="K634" t="s">
        <v>488</v>
      </c>
      <c r="L634" t="s">
        <v>17</v>
      </c>
      <c r="M634" t="s">
        <v>196</v>
      </c>
      <c r="N634" t="s">
        <v>102</v>
      </c>
      <c r="Q634">
        <f t="shared" si="109"/>
        <v>18977</v>
      </c>
      <c r="R634" t="str">
        <f t="shared" si="109"/>
        <v>Velodrome</v>
      </c>
      <c r="S634" t="str">
        <f t="shared" si="109"/>
        <v>HollowBrook</v>
      </c>
      <c r="T634" s="20">
        <f t="shared" si="99"/>
        <v>0</v>
      </c>
      <c r="U634">
        <f t="shared" si="100"/>
        <v>270</v>
      </c>
      <c r="V634">
        <f t="shared" si="101"/>
        <v>270</v>
      </c>
      <c r="W634" cm="1">
        <f t="array" ref="W634">_xlfn._xlws.FILTER(shifts!A:A,(shifts!B:B=events!D634)*(shifts!AH:AH&gt;=events!U634)*(shifts!AI:AI&lt;=events!V634))</f>
        <v>18</v>
      </c>
      <c r="X634" t="str">
        <f t="shared" si="110"/>
        <v>event_team_player_2</v>
      </c>
      <c r="Y634">
        <f>COUNTIFS(A$3:A634,"="&amp;A634,K$3:K634,"="&amp;K634)</f>
        <v>2</v>
      </c>
      <c r="Z634" s="20">
        <f>SUMIFS(T$3:T634,L$3:L634,"=Intermission")+SUMIFS(T$3:T634,L$3:L634,"=Timeout")+SUMIFS(T$3:T634,L$3:L634,"=Clockstop")</f>
        <v>0</v>
      </c>
      <c r="AA634">
        <f t="shared" si="103"/>
        <v>0</v>
      </c>
      <c r="AB634" s="26">
        <f t="shared" si="104"/>
        <v>810</v>
      </c>
      <c r="AC634">
        <f t="shared" si="105"/>
        <v>0</v>
      </c>
    </row>
    <row r="635" spans="1:29" x14ac:dyDescent="0.2">
      <c r="A635">
        <v>332</v>
      </c>
      <c r="D635">
        <f t="shared" si="106"/>
        <v>1</v>
      </c>
      <c r="E635">
        <v>4</v>
      </c>
      <c r="F635" s="6" t="s">
        <v>472</v>
      </c>
      <c r="I635" t="s">
        <v>179</v>
      </c>
      <c r="J635">
        <v>42</v>
      </c>
      <c r="K635" t="s">
        <v>489</v>
      </c>
      <c r="L635" t="s">
        <v>17</v>
      </c>
      <c r="M635" t="s">
        <v>196</v>
      </c>
      <c r="N635" t="s">
        <v>102</v>
      </c>
      <c r="Q635">
        <f t="shared" si="109"/>
        <v>18977</v>
      </c>
      <c r="R635" t="str">
        <f t="shared" si="109"/>
        <v>Velodrome</v>
      </c>
      <c r="S635" t="str">
        <f t="shared" si="109"/>
        <v>HollowBrook</v>
      </c>
      <c r="T635" s="20">
        <f t="shared" si="99"/>
        <v>0</v>
      </c>
      <c r="U635">
        <f t="shared" si="100"/>
        <v>270</v>
      </c>
      <c r="V635">
        <f t="shared" si="101"/>
        <v>270</v>
      </c>
      <c r="W635" cm="1">
        <f t="array" ref="W635">_xlfn._xlws.FILTER(shifts!A:A,(shifts!B:B=events!D635)*(shifts!AH:AH&gt;=events!U635)*(shifts!AI:AI&lt;=events!V635))</f>
        <v>18</v>
      </c>
      <c r="X635" t="str">
        <f t="shared" si="110"/>
        <v>opp_team_player_1</v>
      </c>
      <c r="Y635">
        <f>COUNTIFS(A$3:A635,"="&amp;A635,K$3:K635,"="&amp;K635)</f>
        <v>1</v>
      </c>
      <c r="Z635" s="20">
        <f>SUMIFS(T$3:T635,L$3:L635,"=Intermission")+SUMIFS(T$3:T635,L$3:L635,"=Timeout")+SUMIFS(T$3:T635,L$3:L635,"=Clockstop")</f>
        <v>0</v>
      </c>
      <c r="AA635">
        <f t="shared" si="103"/>
        <v>0</v>
      </c>
      <c r="AB635" s="26">
        <f t="shared" si="104"/>
        <v>810</v>
      </c>
      <c r="AC635">
        <f t="shared" si="105"/>
        <v>0</v>
      </c>
    </row>
    <row r="636" spans="1:29" x14ac:dyDescent="0.2">
      <c r="A636">
        <v>333</v>
      </c>
      <c r="D636">
        <f t="shared" si="106"/>
        <v>1</v>
      </c>
      <c r="E636">
        <v>4</v>
      </c>
      <c r="F636" s="6" t="s">
        <v>472</v>
      </c>
      <c r="I636" t="s">
        <v>179</v>
      </c>
      <c r="J636">
        <v>99</v>
      </c>
      <c r="K636" t="s">
        <v>488</v>
      </c>
      <c r="L636" t="s">
        <v>270</v>
      </c>
      <c r="M636" t="s">
        <v>271</v>
      </c>
      <c r="Q636">
        <f t="shared" si="109"/>
        <v>18977</v>
      </c>
      <c r="R636" t="str">
        <f t="shared" si="109"/>
        <v>Velodrome</v>
      </c>
      <c r="S636" t="str">
        <f t="shared" si="109"/>
        <v>HollowBrook</v>
      </c>
      <c r="T636" s="20">
        <f t="shared" si="99"/>
        <v>0</v>
      </c>
      <c r="U636">
        <f t="shared" si="100"/>
        <v>270</v>
      </c>
      <c r="V636">
        <f t="shared" si="101"/>
        <v>270</v>
      </c>
      <c r="W636" cm="1">
        <f t="array" ref="W636">_xlfn._xlws.FILTER(shifts!A:A,(shifts!B:B=events!D636)*(shifts!AH:AH&gt;=events!U636)*(shifts!AI:AI&lt;=events!V636))</f>
        <v>18</v>
      </c>
      <c r="X636" t="str">
        <f t="shared" si="110"/>
        <v>event_team_player_1</v>
      </c>
      <c r="Y636">
        <f>COUNTIFS(A$3:A636,"="&amp;A636,K$3:K636,"="&amp;K636)</f>
        <v>1</v>
      </c>
      <c r="Z636" s="20">
        <f>SUMIFS(T$3:T636,L$3:L636,"=Intermission")+SUMIFS(T$3:T636,L$3:L636,"=Timeout")+SUMIFS(T$3:T636,L$3:L636,"=Clockstop")</f>
        <v>0</v>
      </c>
      <c r="AA636">
        <f t="shared" si="103"/>
        <v>0</v>
      </c>
      <c r="AB636" s="26">
        <f t="shared" si="104"/>
        <v>810</v>
      </c>
      <c r="AC636">
        <f t="shared" si="105"/>
        <v>0</v>
      </c>
    </row>
    <row r="637" spans="1:29" x14ac:dyDescent="0.2">
      <c r="A637">
        <v>334</v>
      </c>
      <c r="D637">
        <f t="shared" si="106"/>
        <v>1</v>
      </c>
      <c r="E637">
        <v>4</v>
      </c>
      <c r="F637" s="6" t="s">
        <v>443</v>
      </c>
      <c r="I637" t="s">
        <v>179</v>
      </c>
      <c r="J637">
        <v>18</v>
      </c>
      <c r="K637" t="s">
        <v>488</v>
      </c>
      <c r="L637" t="s">
        <v>8</v>
      </c>
      <c r="M637" t="s">
        <v>189</v>
      </c>
      <c r="N637" t="s">
        <v>68</v>
      </c>
      <c r="Q637">
        <f t="shared" si="109"/>
        <v>18977</v>
      </c>
      <c r="R637" t="str">
        <f t="shared" si="109"/>
        <v>Velodrome</v>
      </c>
      <c r="S637" t="str">
        <f t="shared" si="109"/>
        <v>HollowBrook</v>
      </c>
      <c r="T637" s="20">
        <f t="shared" si="99"/>
        <v>0</v>
      </c>
      <c r="U637">
        <f t="shared" si="100"/>
        <v>266</v>
      </c>
      <c r="V637">
        <f t="shared" si="101"/>
        <v>266</v>
      </c>
      <c r="W637" cm="1">
        <f t="array" ref="W637">_xlfn._xlws.FILTER(shifts!A:A,(shifts!B:B=events!D637)*(shifts!AH:AH&gt;=events!U637)*(shifts!AI:AI&lt;=events!V637))</f>
        <v>18</v>
      </c>
      <c r="X637" t="str">
        <f t="shared" si="110"/>
        <v>event_team_player_1</v>
      </c>
      <c r="Y637">
        <f>COUNTIFS(A$3:A637,"="&amp;A637,K$3:K637,"="&amp;K637)</f>
        <v>1</v>
      </c>
      <c r="Z637" s="20">
        <f>SUMIFS(T$3:T637,L$3:L637,"=Intermission")+SUMIFS(T$3:T637,L$3:L637,"=Timeout")+SUMIFS(T$3:T637,L$3:L637,"=Clockstop")</f>
        <v>0</v>
      </c>
      <c r="AA637">
        <f t="shared" si="103"/>
        <v>0</v>
      </c>
      <c r="AB637" s="26">
        <f t="shared" si="104"/>
        <v>814</v>
      </c>
      <c r="AC637">
        <f t="shared" si="105"/>
        <v>0</v>
      </c>
    </row>
    <row r="638" spans="1:29" x14ac:dyDescent="0.2">
      <c r="A638">
        <v>334</v>
      </c>
      <c r="D638">
        <f t="shared" si="106"/>
        <v>1</v>
      </c>
      <c r="E638">
        <v>4</v>
      </c>
      <c r="F638" s="6" t="s">
        <v>443</v>
      </c>
      <c r="I638" t="s">
        <v>179</v>
      </c>
      <c r="J638">
        <v>8</v>
      </c>
      <c r="K638" t="s">
        <v>488</v>
      </c>
      <c r="L638" t="s">
        <v>8</v>
      </c>
      <c r="M638" t="s">
        <v>189</v>
      </c>
      <c r="N638" t="s">
        <v>68</v>
      </c>
      <c r="Q638">
        <f t="shared" si="109"/>
        <v>18977</v>
      </c>
      <c r="R638" t="str">
        <f t="shared" si="109"/>
        <v>Velodrome</v>
      </c>
      <c r="S638" t="str">
        <f t="shared" si="109"/>
        <v>HollowBrook</v>
      </c>
      <c r="T638" s="20">
        <f t="shared" si="99"/>
        <v>0</v>
      </c>
      <c r="U638">
        <f t="shared" si="100"/>
        <v>266</v>
      </c>
      <c r="V638">
        <f t="shared" si="101"/>
        <v>266</v>
      </c>
      <c r="W638" cm="1">
        <f t="array" ref="W638">_xlfn._xlws.FILTER(shifts!A:A,(shifts!B:B=events!D638)*(shifts!AH:AH&gt;=events!U638)*(shifts!AI:AI&lt;=events!V638))</f>
        <v>18</v>
      </c>
      <c r="X638" t="str">
        <f t="shared" si="110"/>
        <v>event_team_player_2</v>
      </c>
      <c r="Y638">
        <f>COUNTIFS(A$3:A638,"="&amp;A638,K$3:K638,"="&amp;K638)</f>
        <v>2</v>
      </c>
      <c r="Z638" s="20">
        <f>SUMIFS(T$3:T638,L$3:L638,"=Intermission")+SUMIFS(T$3:T638,L$3:L638,"=Timeout")+SUMIFS(T$3:T638,L$3:L638,"=Clockstop")</f>
        <v>0</v>
      </c>
      <c r="AA638">
        <f t="shared" si="103"/>
        <v>0</v>
      </c>
      <c r="AB638" s="26">
        <f t="shared" si="104"/>
        <v>814</v>
      </c>
      <c r="AC638">
        <f t="shared" si="105"/>
        <v>0</v>
      </c>
    </row>
    <row r="639" spans="1:29" x14ac:dyDescent="0.2">
      <c r="A639">
        <v>335</v>
      </c>
      <c r="D639">
        <f t="shared" si="106"/>
        <v>1</v>
      </c>
      <c r="E639">
        <v>4</v>
      </c>
      <c r="F639" s="6" t="s">
        <v>443</v>
      </c>
      <c r="I639" t="s">
        <v>179</v>
      </c>
      <c r="J639">
        <v>8</v>
      </c>
      <c r="K639" t="s">
        <v>488</v>
      </c>
      <c r="L639" t="s">
        <v>10</v>
      </c>
      <c r="M639" t="s">
        <v>190</v>
      </c>
      <c r="N639" t="s">
        <v>73</v>
      </c>
      <c r="Q639">
        <f t="shared" si="109"/>
        <v>18977</v>
      </c>
      <c r="R639" t="str">
        <f t="shared" si="109"/>
        <v>Velodrome</v>
      </c>
      <c r="S639" t="str">
        <f t="shared" si="109"/>
        <v>HollowBrook</v>
      </c>
      <c r="T639" s="20">
        <f t="shared" si="99"/>
        <v>0</v>
      </c>
      <c r="U639">
        <f t="shared" si="100"/>
        <v>266</v>
      </c>
      <c r="V639">
        <f t="shared" si="101"/>
        <v>266</v>
      </c>
      <c r="W639" cm="1">
        <f t="array" ref="W639">_xlfn._xlws.FILTER(shifts!A:A,(shifts!B:B=events!D639)*(shifts!AH:AH&gt;=events!U639)*(shifts!AI:AI&lt;=events!V639))</f>
        <v>18</v>
      </c>
      <c r="X639" t="str">
        <f t="shared" si="110"/>
        <v>event_team_player_1</v>
      </c>
      <c r="Y639">
        <f>COUNTIFS(A$3:A639,"="&amp;A639,K$3:K639,"="&amp;K639)</f>
        <v>1</v>
      </c>
      <c r="Z639" s="20">
        <f>SUMIFS(T$3:T639,L$3:L639,"=Intermission")+SUMIFS(T$3:T639,L$3:L639,"=Timeout")+SUMIFS(T$3:T639,L$3:L639,"=Clockstop")</f>
        <v>0</v>
      </c>
      <c r="AA639">
        <f t="shared" si="103"/>
        <v>0</v>
      </c>
      <c r="AB639" s="26">
        <f t="shared" si="104"/>
        <v>814</v>
      </c>
      <c r="AC639">
        <f t="shared" si="105"/>
        <v>0</v>
      </c>
    </row>
    <row r="640" spans="1:29" x14ac:dyDescent="0.2">
      <c r="A640">
        <v>335</v>
      </c>
      <c r="D640">
        <f t="shared" si="106"/>
        <v>1</v>
      </c>
      <c r="E640">
        <v>4</v>
      </c>
      <c r="F640" s="6" t="s">
        <v>443</v>
      </c>
      <c r="I640" t="s">
        <v>179</v>
      </c>
      <c r="J640">
        <v>87</v>
      </c>
      <c r="K640" t="s">
        <v>489</v>
      </c>
      <c r="L640" t="s">
        <v>10</v>
      </c>
      <c r="M640" t="s">
        <v>190</v>
      </c>
      <c r="N640" t="s">
        <v>73</v>
      </c>
      <c r="Q640">
        <f t="shared" si="109"/>
        <v>18977</v>
      </c>
      <c r="R640" t="str">
        <f t="shared" si="109"/>
        <v>Velodrome</v>
      </c>
      <c r="S640" t="str">
        <f t="shared" si="109"/>
        <v>HollowBrook</v>
      </c>
      <c r="T640" s="20">
        <f t="shared" si="99"/>
        <v>0</v>
      </c>
      <c r="U640">
        <f t="shared" si="100"/>
        <v>266</v>
      </c>
      <c r="V640">
        <f t="shared" si="101"/>
        <v>266</v>
      </c>
      <c r="W640" cm="1">
        <f t="array" ref="W640">_xlfn._xlws.FILTER(shifts!A:A,(shifts!B:B=events!D640)*(shifts!AH:AH&gt;=events!U640)*(shifts!AI:AI&lt;=events!V640))</f>
        <v>18</v>
      </c>
      <c r="X640" t="str">
        <f t="shared" si="110"/>
        <v>opp_team_player_1</v>
      </c>
      <c r="Y640">
        <f>COUNTIFS(A$3:A640,"="&amp;A640,K$3:K640,"="&amp;K640)</f>
        <v>1</v>
      </c>
      <c r="Z640" s="20">
        <f>SUMIFS(T$3:T640,L$3:L640,"=Intermission")+SUMIFS(T$3:T640,L$3:L640,"=Timeout")+SUMIFS(T$3:T640,L$3:L640,"=Clockstop")</f>
        <v>0</v>
      </c>
      <c r="AA640">
        <f t="shared" si="103"/>
        <v>0</v>
      </c>
      <c r="AB640" s="26">
        <f t="shared" si="104"/>
        <v>814</v>
      </c>
      <c r="AC640">
        <f t="shared" si="105"/>
        <v>0</v>
      </c>
    </row>
    <row r="641" spans="1:29" x14ac:dyDescent="0.2">
      <c r="A641">
        <v>336</v>
      </c>
      <c r="D641">
        <f t="shared" si="106"/>
        <v>1</v>
      </c>
      <c r="E641">
        <v>4</v>
      </c>
      <c r="F641" s="6" t="s">
        <v>443</v>
      </c>
      <c r="I641" t="s">
        <v>178</v>
      </c>
      <c r="J641">
        <v>87</v>
      </c>
      <c r="K641" t="s">
        <v>488</v>
      </c>
      <c r="L641" t="s">
        <v>277</v>
      </c>
      <c r="M641" t="s">
        <v>210</v>
      </c>
      <c r="N641" t="s">
        <v>93</v>
      </c>
      <c r="Q641">
        <f t="shared" si="109"/>
        <v>18977</v>
      </c>
      <c r="R641" t="str">
        <f t="shared" si="109"/>
        <v>Velodrome</v>
      </c>
      <c r="S641" t="str">
        <f t="shared" si="109"/>
        <v>HollowBrook</v>
      </c>
      <c r="T641" s="20">
        <f t="shared" si="99"/>
        <v>0</v>
      </c>
      <c r="U641">
        <f t="shared" si="100"/>
        <v>266</v>
      </c>
      <c r="V641">
        <f t="shared" si="101"/>
        <v>266</v>
      </c>
      <c r="W641" cm="1">
        <f t="array" ref="W641">_xlfn._xlws.FILTER(shifts!A:A,(shifts!B:B=events!D641)*(shifts!AH:AH&gt;=events!U641)*(shifts!AI:AI&lt;=events!V641))</f>
        <v>18</v>
      </c>
      <c r="X641" t="str">
        <f t="shared" si="110"/>
        <v>event_team_player_1</v>
      </c>
      <c r="Y641">
        <f>COUNTIFS(A$3:A641,"="&amp;A641,K$3:K641,"="&amp;K641)</f>
        <v>1</v>
      </c>
      <c r="Z641" s="20">
        <f>SUMIFS(T$3:T641,L$3:L641,"=Intermission")+SUMIFS(T$3:T641,L$3:L641,"=Timeout")+SUMIFS(T$3:T641,L$3:L641,"=Clockstop")</f>
        <v>0</v>
      </c>
      <c r="AA641">
        <f t="shared" si="103"/>
        <v>0</v>
      </c>
      <c r="AB641" s="26">
        <f t="shared" si="104"/>
        <v>814</v>
      </c>
      <c r="AC641">
        <f t="shared" si="105"/>
        <v>0</v>
      </c>
    </row>
    <row r="642" spans="1:29" x14ac:dyDescent="0.2">
      <c r="A642">
        <v>337</v>
      </c>
      <c r="D642">
        <f t="shared" si="106"/>
        <v>1</v>
      </c>
      <c r="E642">
        <v>4</v>
      </c>
      <c r="F642" s="6" t="s">
        <v>441</v>
      </c>
      <c r="I642" t="s">
        <v>178</v>
      </c>
      <c r="J642">
        <v>87</v>
      </c>
      <c r="K642" t="s">
        <v>488</v>
      </c>
      <c r="L642" t="s">
        <v>10</v>
      </c>
      <c r="M642" t="s">
        <v>190</v>
      </c>
      <c r="N642" t="s">
        <v>74</v>
      </c>
      <c r="Q642">
        <f t="shared" si="109"/>
        <v>18977</v>
      </c>
      <c r="R642" t="str">
        <f t="shared" si="109"/>
        <v>Velodrome</v>
      </c>
      <c r="S642" t="str">
        <f t="shared" si="109"/>
        <v>HollowBrook</v>
      </c>
      <c r="T642" s="20">
        <f t="shared" si="99"/>
        <v>0</v>
      </c>
      <c r="U642">
        <f t="shared" si="100"/>
        <v>265</v>
      </c>
      <c r="V642">
        <f t="shared" si="101"/>
        <v>265</v>
      </c>
      <c r="W642" cm="1">
        <f t="array" ref="W642">_xlfn._xlws.FILTER(shifts!A:A,(shifts!B:B=events!D642)*(shifts!AH:AH&gt;=events!U642)*(shifts!AI:AI&lt;=events!V642))</f>
        <v>18</v>
      </c>
      <c r="X642" t="str">
        <f t="shared" si="110"/>
        <v>event_team_player_1</v>
      </c>
      <c r="Y642">
        <f>COUNTIFS(A$3:A642,"="&amp;A642,K$3:K642,"="&amp;K642)</f>
        <v>1</v>
      </c>
      <c r="Z642" s="20">
        <f>SUMIFS(T$3:T642,L$3:L642,"=Intermission")+SUMIFS(T$3:T642,L$3:L642,"=Timeout")+SUMIFS(T$3:T642,L$3:L642,"=Clockstop")</f>
        <v>0</v>
      </c>
      <c r="AA642">
        <f t="shared" si="103"/>
        <v>0</v>
      </c>
      <c r="AB642" s="26">
        <f t="shared" si="104"/>
        <v>815</v>
      </c>
      <c r="AC642">
        <f t="shared" si="105"/>
        <v>0</v>
      </c>
    </row>
    <row r="643" spans="1:29" x14ac:dyDescent="0.2">
      <c r="A643">
        <v>337</v>
      </c>
      <c r="D643">
        <f t="shared" si="106"/>
        <v>1</v>
      </c>
      <c r="E643">
        <v>4</v>
      </c>
      <c r="F643" s="6" t="s">
        <v>441</v>
      </c>
      <c r="I643" t="s">
        <v>178</v>
      </c>
      <c r="J643">
        <v>19</v>
      </c>
      <c r="K643" t="s">
        <v>488</v>
      </c>
      <c r="L643" t="s">
        <v>10</v>
      </c>
      <c r="M643" t="s">
        <v>190</v>
      </c>
      <c r="N643" t="s">
        <v>74</v>
      </c>
      <c r="Q643">
        <f t="shared" si="109"/>
        <v>18977</v>
      </c>
      <c r="R643" t="str">
        <f t="shared" si="109"/>
        <v>Velodrome</v>
      </c>
      <c r="S643" t="str">
        <f t="shared" si="109"/>
        <v>HollowBrook</v>
      </c>
      <c r="T643" s="20">
        <f t="shared" ref="T643:T707" si="111">IF(AND(G643="",H643=""),0,((E643*60)+F643)-((G643*60)+H643))</f>
        <v>0</v>
      </c>
      <c r="U643">
        <f t="shared" ref="U643:U707" si="112">(E643*60)+F643</f>
        <v>265</v>
      </c>
      <c r="V643">
        <f t="shared" ref="V643:V707" si="113">IF(AND(G643="",H643=""),U643,((G643*60)+H643))</f>
        <v>265</v>
      </c>
      <c r="W643" cm="1">
        <f t="array" ref="W643">_xlfn._xlws.FILTER(shifts!A:A,(shifts!B:B=events!D643)*(shifts!AH:AH&gt;=events!U643)*(shifts!AI:AI&lt;=events!V643))</f>
        <v>18</v>
      </c>
      <c r="X643" t="str">
        <f t="shared" si="110"/>
        <v>event_team_player_2</v>
      </c>
      <c r="Y643">
        <f>COUNTIFS(A$3:A643,"="&amp;A643,K$3:K643,"="&amp;K643)</f>
        <v>2</v>
      </c>
      <c r="Z643" s="20">
        <f>SUMIFS(T$3:T643,L$3:L643,"=Intermission")+SUMIFS(T$3:T643,L$3:L643,"=Timeout")+SUMIFS(T$3:T643,L$3:L643,"=Clockstop")</f>
        <v>0</v>
      </c>
      <c r="AA643">
        <f t="shared" si="103"/>
        <v>0</v>
      </c>
      <c r="AB643" s="26">
        <f t="shared" si="104"/>
        <v>815</v>
      </c>
      <c r="AC643">
        <f t="shared" si="105"/>
        <v>0</v>
      </c>
    </row>
    <row r="644" spans="1:29" x14ac:dyDescent="0.2">
      <c r="A644">
        <v>338</v>
      </c>
      <c r="D644">
        <f t="shared" si="106"/>
        <v>1</v>
      </c>
      <c r="E644">
        <v>4</v>
      </c>
      <c r="F644" s="6" t="s">
        <v>441</v>
      </c>
      <c r="G644">
        <v>4</v>
      </c>
      <c r="H644" s="8" t="s">
        <v>444</v>
      </c>
      <c r="I644" t="s">
        <v>179</v>
      </c>
      <c r="J644">
        <v>19</v>
      </c>
      <c r="K644" t="s">
        <v>488</v>
      </c>
      <c r="L644" t="s">
        <v>277</v>
      </c>
      <c r="M644" t="s">
        <v>201</v>
      </c>
      <c r="N644" t="s">
        <v>90</v>
      </c>
      <c r="Q644">
        <f t="shared" ref="Q644:S659" si="114">Q643</f>
        <v>18977</v>
      </c>
      <c r="R644" t="str">
        <f t="shared" si="114"/>
        <v>Velodrome</v>
      </c>
      <c r="S644" t="str">
        <f t="shared" si="114"/>
        <v>HollowBrook</v>
      </c>
      <c r="T644" s="20">
        <f t="shared" si="111"/>
        <v>1</v>
      </c>
      <c r="U644">
        <f t="shared" si="112"/>
        <v>265</v>
      </c>
      <c r="V644">
        <f t="shared" si="113"/>
        <v>264</v>
      </c>
      <c r="W644" cm="1">
        <f t="array" ref="W644">_xlfn._xlws.FILTER(shifts!A:A,(shifts!B:B=events!D644)*(shifts!AH:AH&gt;=events!U644)*(shifts!AI:AI&lt;=events!V644))</f>
        <v>18</v>
      </c>
      <c r="X644" t="str">
        <f t="shared" si="110"/>
        <v>event_team_player_1</v>
      </c>
      <c r="Y644">
        <f>COUNTIFS(A$3:A644,"="&amp;A644,K$3:K644,"="&amp;K644)</f>
        <v>1</v>
      </c>
      <c r="Z644" s="20">
        <f>SUMIFS(T$3:T644,L$3:L644,"=Intermission")+SUMIFS(T$3:T644,L$3:L644,"=Timeout")+SUMIFS(T$3:T644,L$3:L644,"=Clockstop")</f>
        <v>0</v>
      </c>
      <c r="AA644">
        <f t="shared" ref="AA644:AA707" si="115">IF(D644=1,0,IF(D644=2,1080+Z644,IF(D644=3,(1080*2)+Z644,0)))</f>
        <v>0</v>
      </c>
      <c r="AB644" s="26">
        <f t="shared" ref="AB644:AB707" si="116">((1080*D644)-((E644*60)+F644)*D644)+Z644</f>
        <v>815</v>
      </c>
      <c r="AC644">
        <f t="shared" ref="AC644:AC707" si="117">IF(L643="GameStart",0,AA644+Z644)</f>
        <v>0</v>
      </c>
    </row>
    <row r="645" spans="1:29" x14ac:dyDescent="0.2">
      <c r="A645">
        <v>339</v>
      </c>
      <c r="D645">
        <f t="shared" ref="D645:D708" si="118">IF(L645="Intermission",D644+1,D644)</f>
        <v>1</v>
      </c>
      <c r="E645">
        <v>4</v>
      </c>
      <c r="F645" s="6" t="s">
        <v>444</v>
      </c>
      <c r="G645">
        <v>4</v>
      </c>
      <c r="H645" s="8" t="s">
        <v>473</v>
      </c>
      <c r="I645" t="s">
        <v>179</v>
      </c>
      <c r="J645">
        <v>19</v>
      </c>
      <c r="K645" t="s">
        <v>488</v>
      </c>
      <c r="L645" t="s">
        <v>15</v>
      </c>
      <c r="Q645">
        <f t="shared" si="114"/>
        <v>18977</v>
      </c>
      <c r="R645" t="str">
        <f t="shared" si="114"/>
        <v>Velodrome</v>
      </c>
      <c r="S645" t="str">
        <f t="shared" si="114"/>
        <v>HollowBrook</v>
      </c>
      <c r="T645" s="20">
        <f t="shared" si="111"/>
        <v>3</v>
      </c>
      <c r="U645">
        <f t="shared" si="112"/>
        <v>264</v>
      </c>
      <c r="V645">
        <f t="shared" si="113"/>
        <v>261</v>
      </c>
      <c r="W645" cm="1">
        <f t="array" ref="W645">_xlfn._xlws.FILTER(shifts!A:A,(shifts!B:B=events!D645)*(shifts!AH:AH&gt;=events!U645)*(shifts!AI:AI&lt;=events!V645))</f>
        <v>18</v>
      </c>
      <c r="X645" t="str">
        <f t="shared" si="110"/>
        <v>event_team_player_1</v>
      </c>
      <c r="Y645">
        <f>COUNTIFS(A$3:A645,"="&amp;A645,K$3:K645,"="&amp;K645)</f>
        <v>1</v>
      </c>
      <c r="Z645" s="20">
        <f>SUMIFS(T$3:T645,L$3:L645,"=Intermission")+SUMIFS(T$3:T645,L$3:L645,"=Timeout")+SUMIFS(T$3:T645,L$3:L645,"=Clockstop")</f>
        <v>0</v>
      </c>
      <c r="AA645">
        <f t="shared" si="115"/>
        <v>0</v>
      </c>
      <c r="AB645" s="26">
        <f t="shared" si="116"/>
        <v>816</v>
      </c>
      <c r="AC645">
        <f t="shared" si="117"/>
        <v>0</v>
      </c>
    </row>
    <row r="646" spans="1:29" x14ac:dyDescent="0.2">
      <c r="A646">
        <v>340</v>
      </c>
      <c r="D646">
        <f t="shared" si="118"/>
        <v>1</v>
      </c>
      <c r="E646">
        <v>4</v>
      </c>
      <c r="F646" s="6" t="s">
        <v>473</v>
      </c>
      <c r="G646">
        <v>4</v>
      </c>
      <c r="H646" s="8" t="s">
        <v>445</v>
      </c>
      <c r="I646" t="s">
        <v>179</v>
      </c>
      <c r="J646">
        <v>19</v>
      </c>
      <c r="K646" t="s">
        <v>488</v>
      </c>
      <c r="L646" t="s">
        <v>277</v>
      </c>
      <c r="M646" t="s">
        <v>191</v>
      </c>
      <c r="N646" t="s">
        <v>87</v>
      </c>
      <c r="Q646">
        <f t="shared" si="114"/>
        <v>18977</v>
      </c>
      <c r="R646" t="str">
        <f t="shared" si="114"/>
        <v>Velodrome</v>
      </c>
      <c r="S646" t="str">
        <f t="shared" si="114"/>
        <v>HollowBrook</v>
      </c>
      <c r="T646" s="20">
        <f t="shared" si="111"/>
        <v>2</v>
      </c>
      <c r="U646">
        <f t="shared" si="112"/>
        <v>261</v>
      </c>
      <c r="V646">
        <f t="shared" si="113"/>
        <v>259</v>
      </c>
      <c r="W646" cm="1">
        <f t="array" ref="W646">_xlfn._xlws.FILTER(shifts!A:A,(shifts!B:B=events!D646)*(shifts!AH:AH&gt;=events!U646)*(shifts!AI:AI&lt;=events!V646))</f>
        <v>18</v>
      </c>
      <c r="X646" t="str">
        <f t="shared" si="110"/>
        <v>event_team_player_1</v>
      </c>
      <c r="Y646">
        <f>COUNTIFS(A$3:A646,"="&amp;A646,K$3:K646,"="&amp;K646)</f>
        <v>1</v>
      </c>
      <c r="Z646" s="20">
        <f>SUMIFS(T$3:T646,L$3:L646,"=Intermission")+SUMIFS(T$3:T646,L$3:L646,"=Timeout")+SUMIFS(T$3:T646,L$3:L646,"=Clockstop")</f>
        <v>0</v>
      </c>
      <c r="AA646">
        <f t="shared" si="115"/>
        <v>0</v>
      </c>
      <c r="AB646" s="26">
        <f t="shared" si="116"/>
        <v>819</v>
      </c>
      <c r="AC646">
        <f t="shared" si="117"/>
        <v>0</v>
      </c>
    </row>
    <row r="647" spans="1:29" x14ac:dyDescent="0.2">
      <c r="A647">
        <v>340</v>
      </c>
      <c r="D647">
        <f t="shared" si="118"/>
        <v>1</v>
      </c>
      <c r="E647">
        <v>4</v>
      </c>
      <c r="F647" s="6" t="s">
        <v>473</v>
      </c>
      <c r="G647">
        <v>4</v>
      </c>
      <c r="H647" s="8" t="s">
        <v>445</v>
      </c>
      <c r="I647" t="s">
        <v>179</v>
      </c>
      <c r="J647">
        <v>52</v>
      </c>
      <c r="K647" t="s">
        <v>489</v>
      </c>
      <c r="L647" t="s">
        <v>277</v>
      </c>
      <c r="M647" t="s">
        <v>191</v>
      </c>
      <c r="N647" t="s">
        <v>87</v>
      </c>
      <c r="Q647">
        <f t="shared" si="114"/>
        <v>18977</v>
      </c>
      <c r="R647" t="str">
        <f t="shared" si="114"/>
        <v>Velodrome</v>
      </c>
      <c r="S647" t="str">
        <f t="shared" si="114"/>
        <v>HollowBrook</v>
      </c>
      <c r="T647" s="20">
        <f t="shared" si="111"/>
        <v>2</v>
      </c>
      <c r="U647">
        <f t="shared" si="112"/>
        <v>261</v>
      </c>
      <c r="V647">
        <f t="shared" si="113"/>
        <v>259</v>
      </c>
      <c r="W647" cm="1">
        <f t="array" ref="W647">_xlfn._xlws.FILTER(shifts!A:A,(shifts!B:B=events!D647)*(shifts!AH:AH&gt;=events!U647)*(shifts!AI:AI&lt;=events!V647))</f>
        <v>18</v>
      </c>
      <c r="X647" t="str">
        <f t="shared" si="110"/>
        <v>opp_team_player_1</v>
      </c>
      <c r="Y647">
        <f>COUNTIFS(A$3:A647,"="&amp;A647,K$3:K647,"="&amp;K647)</f>
        <v>1</v>
      </c>
      <c r="Z647" s="20">
        <f>SUMIFS(T$3:T647,L$3:L647,"=Intermission")+SUMIFS(T$3:T647,L$3:L647,"=Timeout")+SUMIFS(T$3:T647,L$3:L647,"=Clockstop")</f>
        <v>0</v>
      </c>
      <c r="AA647">
        <f t="shared" si="115"/>
        <v>0</v>
      </c>
      <c r="AB647" s="26">
        <f t="shared" si="116"/>
        <v>819</v>
      </c>
      <c r="AC647">
        <f t="shared" si="117"/>
        <v>0</v>
      </c>
    </row>
    <row r="648" spans="1:29" x14ac:dyDescent="0.2">
      <c r="A648">
        <v>341</v>
      </c>
      <c r="D648">
        <f t="shared" si="118"/>
        <v>1</v>
      </c>
      <c r="E648">
        <v>4</v>
      </c>
      <c r="F648" s="6" t="s">
        <v>445</v>
      </c>
      <c r="I648" t="s">
        <v>179</v>
      </c>
      <c r="J648">
        <v>19</v>
      </c>
      <c r="K648" t="s">
        <v>488</v>
      </c>
      <c r="L648" t="s">
        <v>7</v>
      </c>
      <c r="M648" t="s">
        <v>222</v>
      </c>
      <c r="N648" t="s">
        <v>53</v>
      </c>
      <c r="Q648">
        <f t="shared" si="114"/>
        <v>18977</v>
      </c>
      <c r="R648" t="str">
        <f t="shared" si="114"/>
        <v>Velodrome</v>
      </c>
      <c r="S648" t="str">
        <f t="shared" si="114"/>
        <v>HollowBrook</v>
      </c>
      <c r="T648" s="20">
        <f t="shared" si="111"/>
        <v>0</v>
      </c>
      <c r="U648">
        <f t="shared" si="112"/>
        <v>259</v>
      </c>
      <c r="V648">
        <f t="shared" si="113"/>
        <v>259</v>
      </c>
      <c r="W648" cm="1">
        <f t="array" ref="W648">_xlfn._xlws.FILTER(shifts!A:A,(shifts!B:B=events!D648)*(shifts!AH:AH&gt;=events!U648)*(shifts!AI:AI&lt;=events!V648))</f>
        <v>18</v>
      </c>
      <c r="X648" t="str">
        <f t="shared" si="110"/>
        <v>event_team_player_1</v>
      </c>
      <c r="Y648">
        <f>COUNTIFS(A$3:A648,"="&amp;A648,K$3:K648,"="&amp;K648)</f>
        <v>1</v>
      </c>
      <c r="Z648" s="20">
        <f>SUMIFS(T$3:T648,L$3:L648,"=Intermission")+SUMIFS(T$3:T648,L$3:L648,"=Timeout")+SUMIFS(T$3:T648,L$3:L648,"=Clockstop")</f>
        <v>0</v>
      </c>
      <c r="AA648">
        <f t="shared" si="115"/>
        <v>0</v>
      </c>
      <c r="AB648" s="26">
        <f t="shared" si="116"/>
        <v>821</v>
      </c>
      <c r="AC648">
        <f t="shared" si="117"/>
        <v>0</v>
      </c>
    </row>
    <row r="649" spans="1:29" x14ac:dyDescent="0.2">
      <c r="A649">
        <v>341</v>
      </c>
      <c r="D649">
        <f t="shared" si="118"/>
        <v>1</v>
      </c>
      <c r="E649">
        <v>4</v>
      </c>
      <c r="F649" s="6" t="s">
        <v>445</v>
      </c>
      <c r="I649" t="s">
        <v>179</v>
      </c>
      <c r="J649">
        <v>39</v>
      </c>
      <c r="K649" t="s">
        <v>489</v>
      </c>
      <c r="L649" t="s">
        <v>7</v>
      </c>
      <c r="M649" t="s">
        <v>222</v>
      </c>
      <c r="N649" t="s">
        <v>53</v>
      </c>
      <c r="Q649">
        <f t="shared" si="114"/>
        <v>18977</v>
      </c>
      <c r="R649" t="str">
        <f t="shared" si="114"/>
        <v>Velodrome</v>
      </c>
      <c r="S649" t="str">
        <f t="shared" si="114"/>
        <v>HollowBrook</v>
      </c>
      <c r="T649" s="20">
        <f t="shared" si="111"/>
        <v>0</v>
      </c>
      <c r="U649">
        <f t="shared" si="112"/>
        <v>259</v>
      </c>
      <c r="V649">
        <f t="shared" si="113"/>
        <v>259</v>
      </c>
      <c r="W649" cm="1">
        <f t="array" ref="W649">_xlfn._xlws.FILTER(shifts!A:A,(shifts!B:B=events!D649)*(shifts!AH:AH&gt;=events!U649)*(shifts!AI:AI&lt;=events!V649))</f>
        <v>18</v>
      </c>
      <c r="X649" t="str">
        <f t="shared" si="110"/>
        <v>opp_team_player_1</v>
      </c>
      <c r="Y649">
        <f>COUNTIFS(A$3:A649,"="&amp;A649,K$3:K649,"="&amp;K649)</f>
        <v>1</v>
      </c>
      <c r="Z649" s="20">
        <f>SUMIFS(T$3:T649,L$3:L649,"=Intermission")+SUMIFS(T$3:T649,L$3:L649,"=Timeout")+SUMIFS(T$3:T649,L$3:L649,"=Clockstop")</f>
        <v>0</v>
      </c>
      <c r="AA649">
        <f t="shared" si="115"/>
        <v>0</v>
      </c>
      <c r="AB649" s="26">
        <f t="shared" si="116"/>
        <v>821</v>
      </c>
      <c r="AC649">
        <f t="shared" si="117"/>
        <v>0</v>
      </c>
    </row>
    <row r="650" spans="1:29" x14ac:dyDescent="0.2">
      <c r="A650">
        <v>342</v>
      </c>
      <c r="D650">
        <f t="shared" si="118"/>
        <v>1</v>
      </c>
      <c r="E650">
        <v>4</v>
      </c>
      <c r="F650" s="6" t="s">
        <v>445</v>
      </c>
      <c r="I650" t="s">
        <v>178</v>
      </c>
      <c r="J650">
        <v>39</v>
      </c>
      <c r="K650" t="s">
        <v>488</v>
      </c>
      <c r="L650" t="s">
        <v>17</v>
      </c>
      <c r="M650" t="s">
        <v>196</v>
      </c>
      <c r="N650" t="s">
        <v>102</v>
      </c>
      <c r="Q650">
        <f t="shared" si="114"/>
        <v>18977</v>
      </c>
      <c r="R650" t="str">
        <f t="shared" si="114"/>
        <v>Velodrome</v>
      </c>
      <c r="S650" t="str">
        <f t="shared" si="114"/>
        <v>HollowBrook</v>
      </c>
      <c r="T650" s="20">
        <f t="shared" si="111"/>
        <v>0</v>
      </c>
      <c r="U650">
        <f t="shared" si="112"/>
        <v>259</v>
      </c>
      <c r="V650">
        <f t="shared" si="113"/>
        <v>259</v>
      </c>
      <c r="W650" cm="1">
        <f t="array" ref="W650">_xlfn._xlws.FILTER(shifts!A:A,(shifts!B:B=events!D650)*(shifts!AH:AH&gt;=events!U650)*(shifts!AI:AI&lt;=events!V650))</f>
        <v>18</v>
      </c>
      <c r="X650" t="str">
        <f t="shared" si="110"/>
        <v>event_team_player_1</v>
      </c>
      <c r="Y650">
        <f>COUNTIFS(A$3:A650,"="&amp;A650,K$3:K650,"="&amp;K650)</f>
        <v>1</v>
      </c>
      <c r="Z650" s="20">
        <f>SUMIFS(T$3:T650,L$3:L650,"=Intermission")+SUMIFS(T$3:T650,L$3:L650,"=Timeout")+SUMIFS(T$3:T650,L$3:L650,"=Clockstop")</f>
        <v>0</v>
      </c>
      <c r="AA650">
        <f t="shared" si="115"/>
        <v>0</v>
      </c>
      <c r="AB650" s="26">
        <f t="shared" si="116"/>
        <v>821</v>
      </c>
      <c r="AC650">
        <f t="shared" si="117"/>
        <v>0</v>
      </c>
    </row>
    <row r="651" spans="1:29" x14ac:dyDescent="0.2">
      <c r="A651">
        <v>342</v>
      </c>
      <c r="D651">
        <f t="shared" si="118"/>
        <v>1</v>
      </c>
      <c r="E651">
        <v>4</v>
      </c>
      <c r="F651" s="6" t="s">
        <v>445</v>
      </c>
      <c r="I651" t="s">
        <v>178</v>
      </c>
      <c r="J651">
        <v>19</v>
      </c>
      <c r="K651" t="s">
        <v>489</v>
      </c>
      <c r="L651" t="s">
        <v>17</v>
      </c>
      <c r="M651" t="s">
        <v>196</v>
      </c>
      <c r="N651" t="s">
        <v>102</v>
      </c>
      <c r="Q651">
        <f t="shared" si="114"/>
        <v>18977</v>
      </c>
      <c r="R651" t="str">
        <f t="shared" si="114"/>
        <v>Velodrome</v>
      </c>
      <c r="S651" t="str">
        <f t="shared" si="114"/>
        <v>HollowBrook</v>
      </c>
      <c r="T651" s="20">
        <f t="shared" si="111"/>
        <v>0</v>
      </c>
      <c r="U651">
        <f t="shared" si="112"/>
        <v>259</v>
      </c>
      <c r="V651">
        <f t="shared" si="113"/>
        <v>259</v>
      </c>
      <c r="W651" cm="1">
        <f t="array" ref="W651">_xlfn._xlws.FILTER(shifts!A:A,(shifts!B:B=events!D651)*(shifts!AH:AH&gt;=events!U651)*(shifts!AI:AI&lt;=events!V651))</f>
        <v>18</v>
      </c>
      <c r="X651" t="str">
        <f t="shared" si="110"/>
        <v>opp_team_player_1</v>
      </c>
      <c r="Y651">
        <f>COUNTIFS(A$3:A651,"="&amp;A651,K$3:K651,"="&amp;K651)</f>
        <v>1</v>
      </c>
      <c r="Z651" s="20">
        <f>SUMIFS(T$3:T651,L$3:L651,"=Intermission")+SUMIFS(T$3:T651,L$3:L651,"=Timeout")+SUMIFS(T$3:T651,L$3:L651,"=Clockstop")</f>
        <v>0</v>
      </c>
      <c r="AA651">
        <f t="shared" si="115"/>
        <v>0</v>
      </c>
      <c r="AB651" s="26">
        <f t="shared" si="116"/>
        <v>821</v>
      </c>
      <c r="AC651">
        <f t="shared" si="117"/>
        <v>0</v>
      </c>
    </row>
    <row r="652" spans="1:29" x14ac:dyDescent="0.2">
      <c r="A652">
        <v>343</v>
      </c>
      <c r="D652">
        <f t="shared" si="118"/>
        <v>1</v>
      </c>
      <c r="E652">
        <v>4</v>
      </c>
      <c r="F652" s="6" t="s">
        <v>445</v>
      </c>
      <c r="I652" t="s">
        <v>178</v>
      </c>
      <c r="J652">
        <v>39</v>
      </c>
      <c r="K652" t="s">
        <v>488</v>
      </c>
      <c r="L652" t="s">
        <v>270</v>
      </c>
      <c r="M652" t="s">
        <v>272</v>
      </c>
      <c r="Q652">
        <f t="shared" si="114"/>
        <v>18977</v>
      </c>
      <c r="R652" t="str">
        <f t="shared" si="114"/>
        <v>Velodrome</v>
      </c>
      <c r="S652" t="str">
        <f t="shared" si="114"/>
        <v>HollowBrook</v>
      </c>
      <c r="T652" s="20">
        <f t="shared" si="111"/>
        <v>0</v>
      </c>
      <c r="U652">
        <f t="shared" si="112"/>
        <v>259</v>
      </c>
      <c r="V652">
        <f t="shared" si="113"/>
        <v>259</v>
      </c>
      <c r="W652" cm="1">
        <f t="array" ref="W652">_xlfn._xlws.FILTER(shifts!A:A,(shifts!B:B=events!D652)*(shifts!AH:AH&gt;=events!U652)*(shifts!AI:AI&lt;=events!V652))</f>
        <v>18</v>
      </c>
      <c r="X652" t="str">
        <f t="shared" si="110"/>
        <v>event_team_player_1</v>
      </c>
      <c r="Y652">
        <f>COUNTIFS(A$3:A652,"="&amp;A652,K$3:K652,"="&amp;K652)</f>
        <v>1</v>
      </c>
      <c r="Z652" s="20">
        <f>SUMIFS(T$3:T652,L$3:L652,"=Intermission")+SUMIFS(T$3:T652,L$3:L652,"=Timeout")+SUMIFS(T$3:T652,L$3:L652,"=Clockstop")</f>
        <v>0</v>
      </c>
      <c r="AA652">
        <f t="shared" si="115"/>
        <v>0</v>
      </c>
      <c r="AB652" s="26">
        <f t="shared" si="116"/>
        <v>821</v>
      </c>
      <c r="AC652">
        <f t="shared" si="117"/>
        <v>0</v>
      </c>
    </row>
    <row r="653" spans="1:29" x14ac:dyDescent="0.2">
      <c r="A653">
        <v>344</v>
      </c>
      <c r="D653">
        <f t="shared" si="118"/>
        <v>1</v>
      </c>
      <c r="E653">
        <v>4</v>
      </c>
      <c r="F653" s="6" t="s">
        <v>449</v>
      </c>
      <c r="I653" t="s">
        <v>179</v>
      </c>
      <c r="J653">
        <v>2</v>
      </c>
      <c r="K653" t="s">
        <v>488</v>
      </c>
      <c r="L653" t="s">
        <v>277</v>
      </c>
      <c r="M653" t="s">
        <v>210</v>
      </c>
      <c r="N653" t="s">
        <v>94</v>
      </c>
      <c r="Q653">
        <f t="shared" si="114"/>
        <v>18977</v>
      </c>
      <c r="R653" t="str">
        <f t="shared" si="114"/>
        <v>Velodrome</v>
      </c>
      <c r="S653" t="str">
        <f t="shared" si="114"/>
        <v>HollowBrook</v>
      </c>
      <c r="T653" s="20">
        <f t="shared" si="111"/>
        <v>0</v>
      </c>
      <c r="U653">
        <f t="shared" si="112"/>
        <v>252</v>
      </c>
      <c r="V653">
        <f t="shared" si="113"/>
        <v>252</v>
      </c>
      <c r="W653" cm="1">
        <f t="array" ref="W653">_xlfn._xlws.FILTER(shifts!A:A,(shifts!B:B=events!D653)*(shifts!AH:AH&gt;=events!U653)*(shifts!AI:AI&lt;=events!V653))</f>
        <v>19</v>
      </c>
      <c r="X653" t="str">
        <f t="shared" si="110"/>
        <v>event_team_player_1</v>
      </c>
      <c r="Y653">
        <f>COUNTIFS(A$3:A653,"="&amp;A653,K$3:K653,"="&amp;K653)</f>
        <v>1</v>
      </c>
      <c r="Z653" s="20">
        <f>SUMIFS(T$3:T653,L$3:L653,"=Intermission")+SUMIFS(T$3:T653,L$3:L653,"=Timeout")+SUMIFS(T$3:T653,L$3:L653,"=Clockstop")</f>
        <v>0</v>
      </c>
      <c r="AA653">
        <f t="shared" si="115"/>
        <v>0</v>
      </c>
      <c r="AB653" s="26">
        <f t="shared" si="116"/>
        <v>828</v>
      </c>
      <c r="AC653">
        <f t="shared" si="117"/>
        <v>0</v>
      </c>
    </row>
    <row r="654" spans="1:29" x14ac:dyDescent="0.2">
      <c r="A654">
        <v>344</v>
      </c>
      <c r="D654">
        <f t="shared" si="118"/>
        <v>1</v>
      </c>
      <c r="E654">
        <v>4</v>
      </c>
      <c r="F654" s="6" t="s">
        <v>449</v>
      </c>
      <c r="I654" t="s">
        <v>179</v>
      </c>
      <c r="J654">
        <v>61</v>
      </c>
      <c r="K654" t="s">
        <v>489</v>
      </c>
      <c r="L654" t="s">
        <v>277</v>
      </c>
      <c r="M654" t="s">
        <v>210</v>
      </c>
      <c r="N654" t="s">
        <v>94</v>
      </c>
      <c r="Q654">
        <f t="shared" si="114"/>
        <v>18977</v>
      </c>
      <c r="R654" t="str">
        <f t="shared" si="114"/>
        <v>Velodrome</v>
      </c>
      <c r="S654" t="str">
        <f t="shared" si="114"/>
        <v>HollowBrook</v>
      </c>
      <c r="T654" s="20">
        <f t="shared" si="111"/>
        <v>0</v>
      </c>
      <c r="U654">
        <f t="shared" si="112"/>
        <v>252</v>
      </c>
      <c r="V654">
        <f t="shared" si="113"/>
        <v>252</v>
      </c>
      <c r="W654" cm="1">
        <f t="array" ref="W654">_xlfn._xlws.FILTER(shifts!A:A,(shifts!B:B=events!D654)*(shifts!AH:AH&gt;=events!U654)*(shifts!AI:AI&lt;=events!V654))</f>
        <v>19</v>
      </c>
      <c r="X654" t="str">
        <f t="shared" si="110"/>
        <v>opp_team_player_1</v>
      </c>
      <c r="Y654">
        <f>COUNTIFS(A$3:A654,"="&amp;A654,K$3:K654,"="&amp;K654)</f>
        <v>1</v>
      </c>
      <c r="Z654" s="20">
        <f>SUMIFS(T$3:T654,L$3:L654,"=Intermission")+SUMIFS(T$3:T654,L$3:L654,"=Timeout")+SUMIFS(T$3:T654,L$3:L654,"=Clockstop")</f>
        <v>0</v>
      </c>
      <c r="AA654">
        <f t="shared" si="115"/>
        <v>0</v>
      </c>
      <c r="AB654" s="26">
        <f t="shared" si="116"/>
        <v>828</v>
      </c>
      <c r="AC654">
        <f t="shared" si="117"/>
        <v>0</v>
      </c>
    </row>
    <row r="655" spans="1:29" x14ac:dyDescent="0.2">
      <c r="A655">
        <v>345</v>
      </c>
      <c r="D655">
        <f t="shared" si="118"/>
        <v>1</v>
      </c>
      <c r="E655">
        <v>4</v>
      </c>
      <c r="F655" s="6" t="s">
        <v>424</v>
      </c>
      <c r="I655" t="s">
        <v>179</v>
      </c>
      <c r="J655">
        <v>2</v>
      </c>
      <c r="K655" t="s">
        <v>488</v>
      </c>
      <c r="L655" t="s">
        <v>8</v>
      </c>
      <c r="M655" t="s">
        <v>189</v>
      </c>
      <c r="N655" t="s">
        <v>68</v>
      </c>
      <c r="Q655">
        <f t="shared" si="114"/>
        <v>18977</v>
      </c>
      <c r="R655" t="str">
        <f t="shared" si="114"/>
        <v>Velodrome</v>
      </c>
      <c r="S655" t="str">
        <f t="shared" si="114"/>
        <v>HollowBrook</v>
      </c>
      <c r="T655" s="20">
        <f t="shared" si="111"/>
        <v>0</v>
      </c>
      <c r="U655">
        <f t="shared" si="112"/>
        <v>249</v>
      </c>
      <c r="V655">
        <f t="shared" si="113"/>
        <v>249</v>
      </c>
      <c r="W655" cm="1">
        <f t="array" ref="W655">_xlfn._xlws.FILTER(shifts!A:A,(shifts!B:B=events!D655)*(shifts!AH:AH&gt;=events!U655)*(shifts!AI:AI&lt;=events!V655))</f>
        <v>19</v>
      </c>
      <c r="X655" t="str">
        <f t="shared" si="110"/>
        <v>event_team_player_1</v>
      </c>
      <c r="Y655">
        <f>COUNTIFS(A$3:A655,"="&amp;A655,K$3:K655,"="&amp;K655)</f>
        <v>1</v>
      </c>
      <c r="Z655" s="20">
        <f>SUMIFS(T$3:T655,L$3:L655,"=Intermission")+SUMIFS(T$3:T655,L$3:L655,"=Timeout")+SUMIFS(T$3:T655,L$3:L655,"=Clockstop")</f>
        <v>0</v>
      </c>
      <c r="AA655">
        <f t="shared" si="115"/>
        <v>0</v>
      </c>
      <c r="AB655" s="26">
        <f t="shared" si="116"/>
        <v>831</v>
      </c>
      <c r="AC655">
        <f t="shared" si="117"/>
        <v>0</v>
      </c>
    </row>
    <row r="656" spans="1:29" x14ac:dyDescent="0.2">
      <c r="A656">
        <v>345</v>
      </c>
      <c r="D656">
        <f t="shared" si="118"/>
        <v>1</v>
      </c>
      <c r="E656">
        <v>4</v>
      </c>
      <c r="F656" s="6" t="s">
        <v>424</v>
      </c>
      <c r="I656" t="s">
        <v>179</v>
      </c>
      <c r="J656">
        <v>19</v>
      </c>
      <c r="K656" t="s">
        <v>488</v>
      </c>
      <c r="L656" t="s">
        <v>8</v>
      </c>
      <c r="M656" t="s">
        <v>189</v>
      </c>
      <c r="N656" t="s">
        <v>68</v>
      </c>
      <c r="Q656">
        <f t="shared" si="114"/>
        <v>18977</v>
      </c>
      <c r="R656" t="str">
        <f t="shared" si="114"/>
        <v>Velodrome</v>
      </c>
      <c r="S656" t="str">
        <f t="shared" si="114"/>
        <v>HollowBrook</v>
      </c>
      <c r="T656" s="20">
        <f t="shared" si="111"/>
        <v>0</v>
      </c>
      <c r="U656">
        <f t="shared" si="112"/>
        <v>249</v>
      </c>
      <c r="V656">
        <f t="shared" si="113"/>
        <v>249</v>
      </c>
      <c r="W656" cm="1">
        <f t="array" ref="W656">_xlfn._xlws.FILTER(shifts!A:A,(shifts!B:B=events!D656)*(shifts!AH:AH&gt;=events!U656)*(shifts!AI:AI&lt;=events!V656))</f>
        <v>19</v>
      </c>
      <c r="X656" t="str">
        <f t="shared" si="110"/>
        <v>event_team_player_2</v>
      </c>
      <c r="Y656">
        <f>COUNTIFS(A$3:A656,"="&amp;A656,K$3:K656,"="&amp;K656)</f>
        <v>2</v>
      </c>
      <c r="Z656" s="20">
        <f>SUMIFS(T$3:T656,L$3:L656,"=Intermission")+SUMIFS(T$3:T656,L$3:L656,"=Timeout")+SUMIFS(T$3:T656,L$3:L656,"=Clockstop")</f>
        <v>0</v>
      </c>
      <c r="AA656">
        <f t="shared" si="115"/>
        <v>0</v>
      </c>
      <c r="AB656" s="26">
        <f t="shared" si="116"/>
        <v>831</v>
      </c>
      <c r="AC656">
        <f t="shared" si="117"/>
        <v>0</v>
      </c>
    </row>
    <row r="657" spans="1:29" x14ac:dyDescent="0.2">
      <c r="A657">
        <v>346</v>
      </c>
      <c r="D657">
        <f t="shared" si="118"/>
        <v>1</v>
      </c>
      <c r="E657">
        <v>4</v>
      </c>
      <c r="F657" s="6" t="s">
        <v>315</v>
      </c>
      <c r="I657" t="s">
        <v>178</v>
      </c>
      <c r="J657">
        <v>52</v>
      </c>
      <c r="K657" t="s">
        <v>488</v>
      </c>
      <c r="L657" t="s">
        <v>10</v>
      </c>
      <c r="M657" t="s">
        <v>200</v>
      </c>
      <c r="N657" t="s">
        <v>81</v>
      </c>
      <c r="Q657">
        <f t="shared" si="114"/>
        <v>18977</v>
      </c>
      <c r="R657" t="str">
        <f t="shared" si="114"/>
        <v>Velodrome</v>
      </c>
      <c r="S657" t="str">
        <f t="shared" si="114"/>
        <v>HollowBrook</v>
      </c>
      <c r="T657" s="20">
        <f t="shared" si="111"/>
        <v>0</v>
      </c>
      <c r="U657">
        <f t="shared" si="112"/>
        <v>245</v>
      </c>
      <c r="V657">
        <f t="shared" si="113"/>
        <v>245</v>
      </c>
      <c r="W657" cm="1">
        <f t="array" ref="W657">_xlfn._xlws.FILTER(shifts!A:A,(shifts!B:B=events!D657)*(shifts!AH:AH&gt;=events!U657)*(shifts!AI:AI&lt;=events!V657))</f>
        <v>19</v>
      </c>
      <c r="X657" t="str">
        <f t="shared" si="110"/>
        <v>event_team_player_1</v>
      </c>
      <c r="Y657">
        <f>COUNTIFS(A$3:A657,"="&amp;A657,K$3:K657,"="&amp;K657)</f>
        <v>1</v>
      </c>
      <c r="Z657" s="20">
        <f>SUMIFS(T$3:T657,L$3:L657,"=Intermission")+SUMIFS(T$3:T657,L$3:L657,"=Timeout")+SUMIFS(T$3:T657,L$3:L657,"=Clockstop")</f>
        <v>0</v>
      </c>
      <c r="AA657">
        <f t="shared" si="115"/>
        <v>0</v>
      </c>
      <c r="AB657" s="26">
        <f t="shared" si="116"/>
        <v>835</v>
      </c>
      <c r="AC657">
        <f t="shared" si="117"/>
        <v>0</v>
      </c>
    </row>
    <row r="658" spans="1:29" x14ac:dyDescent="0.2">
      <c r="A658">
        <v>346</v>
      </c>
      <c r="D658">
        <f t="shared" si="118"/>
        <v>1</v>
      </c>
      <c r="E658">
        <v>4</v>
      </c>
      <c r="F658" s="6" t="s">
        <v>315</v>
      </c>
      <c r="I658" t="s">
        <v>178</v>
      </c>
      <c r="J658">
        <v>19</v>
      </c>
      <c r="K658" t="s">
        <v>489</v>
      </c>
      <c r="L658" t="s">
        <v>10</v>
      </c>
      <c r="M658" t="s">
        <v>200</v>
      </c>
      <c r="N658" t="s">
        <v>81</v>
      </c>
      <c r="Q658">
        <f t="shared" si="114"/>
        <v>18977</v>
      </c>
      <c r="R658" t="str">
        <f t="shared" si="114"/>
        <v>Velodrome</v>
      </c>
      <c r="S658" t="str">
        <f t="shared" si="114"/>
        <v>HollowBrook</v>
      </c>
      <c r="T658" s="20">
        <f t="shared" si="111"/>
        <v>0</v>
      </c>
      <c r="U658">
        <f t="shared" si="112"/>
        <v>245</v>
      </c>
      <c r="V658">
        <f t="shared" si="113"/>
        <v>245</v>
      </c>
      <c r="W658" cm="1">
        <f t="array" ref="W658">_xlfn._xlws.FILTER(shifts!A:A,(shifts!B:B=events!D658)*(shifts!AH:AH&gt;=events!U658)*(shifts!AI:AI&lt;=events!V658))</f>
        <v>19</v>
      </c>
      <c r="X658" t="str">
        <f t="shared" si="110"/>
        <v>opp_team_player_1</v>
      </c>
      <c r="Y658">
        <f>COUNTIFS(A$3:A658,"="&amp;A658,K$3:K658,"="&amp;K658)</f>
        <v>1</v>
      </c>
      <c r="Z658" s="20">
        <f>SUMIFS(T$3:T658,L$3:L658,"=Intermission")+SUMIFS(T$3:T658,L$3:L658,"=Timeout")+SUMIFS(T$3:T658,L$3:L658,"=Clockstop")</f>
        <v>0</v>
      </c>
      <c r="AA658">
        <f t="shared" si="115"/>
        <v>0</v>
      </c>
      <c r="AB658" s="26">
        <f t="shared" si="116"/>
        <v>835</v>
      </c>
      <c r="AC658">
        <f t="shared" si="117"/>
        <v>0</v>
      </c>
    </row>
    <row r="659" spans="1:29" x14ac:dyDescent="0.2">
      <c r="A659">
        <v>347</v>
      </c>
      <c r="D659">
        <f t="shared" si="118"/>
        <v>1</v>
      </c>
      <c r="E659">
        <v>4</v>
      </c>
      <c r="F659" s="6" t="s">
        <v>311</v>
      </c>
      <c r="I659" t="s">
        <v>178</v>
      </c>
      <c r="J659">
        <v>52</v>
      </c>
      <c r="K659" t="s">
        <v>488</v>
      </c>
      <c r="L659" t="s">
        <v>8</v>
      </c>
      <c r="M659" t="s">
        <v>189</v>
      </c>
      <c r="N659" t="s">
        <v>68</v>
      </c>
      <c r="Q659">
        <f t="shared" si="114"/>
        <v>18977</v>
      </c>
      <c r="R659" t="str">
        <f t="shared" si="114"/>
        <v>Velodrome</v>
      </c>
      <c r="S659" t="str">
        <f t="shared" si="114"/>
        <v>HollowBrook</v>
      </c>
      <c r="T659" s="20">
        <f t="shared" si="111"/>
        <v>0</v>
      </c>
      <c r="U659">
        <f t="shared" si="112"/>
        <v>243</v>
      </c>
      <c r="V659">
        <f t="shared" si="113"/>
        <v>243</v>
      </c>
      <c r="W659" cm="1">
        <f t="array" ref="W659">_xlfn._xlws.FILTER(shifts!A:A,(shifts!B:B=events!D659)*(shifts!AH:AH&gt;=events!U659)*(shifts!AI:AI&lt;=events!V659))</f>
        <v>19</v>
      </c>
      <c r="X659" t="str">
        <f t="shared" si="110"/>
        <v>event_team_player_1</v>
      </c>
      <c r="Y659">
        <f>COUNTIFS(A$3:A659,"="&amp;A659,K$3:K659,"="&amp;K659)</f>
        <v>1</v>
      </c>
      <c r="Z659" s="20">
        <f>SUMIFS(T$3:T659,L$3:L659,"=Intermission")+SUMIFS(T$3:T659,L$3:L659,"=Timeout")+SUMIFS(T$3:T659,L$3:L659,"=Clockstop")</f>
        <v>0</v>
      </c>
      <c r="AA659">
        <f t="shared" si="115"/>
        <v>0</v>
      </c>
      <c r="AB659" s="26">
        <f t="shared" si="116"/>
        <v>837</v>
      </c>
      <c r="AC659">
        <f t="shared" si="117"/>
        <v>0</v>
      </c>
    </row>
    <row r="660" spans="1:29" x14ac:dyDescent="0.2">
      <c r="A660">
        <v>347</v>
      </c>
      <c r="D660">
        <f t="shared" si="118"/>
        <v>1</v>
      </c>
      <c r="E660">
        <v>4</v>
      </c>
      <c r="F660" s="6" t="s">
        <v>311</v>
      </c>
      <c r="I660" t="s">
        <v>178</v>
      </c>
      <c r="J660">
        <v>61</v>
      </c>
      <c r="K660" t="s">
        <v>488</v>
      </c>
      <c r="L660" t="s">
        <v>8</v>
      </c>
      <c r="M660" t="s">
        <v>189</v>
      </c>
      <c r="N660" t="s">
        <v>68</v>
      </c>
      <c r="Q660">
        <f t="shared" ref="Q660:S675" si="119">Q659</f>
        <v>18977</v>
      </c>
      <c r="R660" t="str">
        <f t="shared" si="119"/>
        <v>Velodrome</v>
      </c>
      <c r="S660" t="str">
        <f t="shared" si="119"/>
        <v>HollowBrook</v>
      </c>
      <c r="T660" s="20">
        <f t="shared" si="111"/>
        <v>0</v>
      </c>
      <c r="U660">
        <f t="shared" si="112"/>
        <v>243</v>
      </c>
      <c r="V660">
        <f t="shared" si="113"/>
        <v>243</v>
      </c>
      <c r="W660" cm="1">
        <f t="array" ref="W660">_xlfn._xlws.FILTER(shifts!A:A,(shifts!B:B=events!D660)*(shifts!AH:AH&gt;=events!U660)*(shifts!AI:AI&lt;=events!V660))</f>
        <v>19</v>
      </c>
      <c r="X660" t="str">
        <f t="shared" si="110"/>
        <v>event_team_player_2</v>
      </c>
      <c r="Y660">
        <f>COUNTIFS(A$3:A660,"="&amp;A660,K$3:K660,"="&amp;K660)</f>
        <v>2</v>
      </c>
      <c r="Z660" s="20">
        <f>SUMIFS(T$3:T660,L$3:L660,"=Intermission")+SUMIFS(T$3:T660,L$3:L660,"=Timeout")+SUMIFS(T$3:T660,L$3:L660,"=Clockstop")</f>
        <v>0</v>
      </c>
      <c r="AA660">
        <f t="shared" si="115"/>
        <v>0</v>
      </c>
      <c r="AB660" s="26">
        <f t="shared" si="116"/>
        <v>837</v>
      </c>
      <c r="AC660">
        <f t="shared" si="117"/>
        <v>0</v>
      </c>
    </row>
    <row r="661" spans="1:29" x14ac:dyDescent="0.2">
      <c r="A661">
        <v>347</v>
      </c>
      <c r="D661">
        <f t="shared" si="118"/>
        <v>1</v>
      </c>
      <c r="E661">
        <v>4</v>
      </c>
      <c r="F661" s="6" t="s">
        <v>311</v>
      </c>
      <c r="I661" t="s">
        <v>178</v>
      </c>
      <c r="J661">
        <v>2</v>
      </c>
      <c r="K661" t="s">
        <v>489</v>
      </c>
      <c r="L661" t="s">
        <v>8</v>
      </c>
      <c r="M661" t="s">
        <v>189</v>
      </c>
      <c r="N661" t="s">
        <v>68</v>
      </c>
      <c r="Q661">
        <f t="shared" si="119"/>
        <v>18977</v>
      </c>
      <c r="R661" t="str">
        <f t="shared" si="119"/>
        <v>Velodrome</v>
      </c>
      <c r="S661" t="str">
        <f t="shared" si="119"/>
        <v>HollowBrook</v>
      </c>
      <c r="T661" s="20">
        <f t="shared" si="111"/>
        <v>0</v>
      </c>
      <c r="U661">
        <f t="shared" si="112"/>
        <v>243</v>
      </c>
      <c r="V661">
        <f t="shared" si="113"/>
        <v>243</v>
      </c>
      <c r="W661" cm="1">
        <f t="array" ref="W661">_xlfn._xlws.FILTER(shifts!A:A,(shifts!B:B=events!D661)*(shifts!AH:AH&gt;=events!U661)*(shifts!AI:AI&lt;=events!V661))</f>
        <v>19</v>
      </c>
      <c r="X661" t="str">
        <f t="shared" si="110"/>
        <v>opp_team_player_1</v>
      </c>
      <c r="Y661">
        <f>COUNTIFS(A$3:A661,"="&amp;A661,K$3:K661,"="&amp;K661)</f>
        <v>1</v>
      </c>
      <c r="Z661" s="20">
        <f>SUMIFS(T$3:T661,L$3:L661,"=Intermission")+SUMIFS(T$3:T661,L$3:L661,"=Timeout")+SUMIFS(T$3:T661,L$3:L661,"=Clockstop")</f>
        <v>0</v>
      </c>
      <c r="AA661">
        <f t="shared" si="115"/>
        <v>0</v>
      </c>
      <c r="AB661" s="26">
        <f t="shared" si="116"/>
        <v>837</v>
      </c>
      <c r="AC661">
        <f t="shared" si="117"/>
        <v>0</v>
      </c>
    </row>
    <row r="662" spans="1:29" x14ac:dyDescent="0.2">
      <c r="A662">
        <v>348</v>
      </c>
      <c r="D662">
        <f t="shared" si="118"/>
        <v>1</v>
      </c>
      <c r="E662">
        <v>3</v>
      </c>
      <c r="F662" s="6" t="s">
        <v>487</v>
      </c>
      <c r="I662" t="s">
        <v>178</v>
      </c>
      <c r="J662">
        <v>61</v>
      </c>
      <c r="K662" t="s">
        <v>488</v>
      </c>
      <c r="L662" t="s">
        <v>277</v>
      </c>
      <c r="M662" t="s">
        <v>201</v>
      </c>
      <c r="N662" t="s">
        <v>92</v>
      </c>
      <c r="Q662">
        <f t="shared" si="119"/>
        <v>18977</v>
      </c>
      <c r="R662" t="str">
        <f t="shared" si="119"/>
        <v>Velodrome</v>
      </c>
      <c r="S662" t="str">
        <f t="shared" si="119"/>
        <v>HollowBrook</v>
      </c>
      <c r="T662" s="20">
        <f t="shared" si="111"/>
        <v>0</v>
      </c>
      <c r="U662">
        <f t="shared" si="112"/>
        <v>239</v>
      </c>
      <c r="V662">
        <f t="shared" si="113"/>
        <v>239</v>
      </c>
      <c r="W662" cm="1">
        <f t="array" ref="W662">_xlfn._xlws.FILTER(shifts!A:A,(shifts!B:B=events!D662)*(shifts!AH:AH&gt;=events!U662)*(shifts!AI:AI&lt;=events!V662))</f>
        <v>19</v>
      </c>
      <c r="X662" t="str">
        <f t="shared" si="110"/>
        <v>event_team_player_1</v>
      </c>
      <c r="Y662">
        <f>COUNTIFS(A$3:A662,"="&amp;A662,K$3:K662,"="&amp;K662)</f>
        <v>1</v>
      </c>
      <c r="Z662" s="20">
        <f>SUMIFS(T$3:T662,L$3:L662,"=Intermission")+SUMIFS(T$3:T662,L$3:L662,"=Timeout")+SUMIFS(T$3:T662,L$3:L662,"=Clockstop")</f>
        <v>0</v>
      </c>
      <c r="AA662">
        <f t="shared" si="115"/>
        <v>0</v>
      </c>
      <c r="AB662" s="26">
        <f t="shared" si="116"/>
        <v>841</v>
      </c>
      <c r="AC662">
        <f t="shared" si="117"/>
        <v>0</v>
      </c>
    </row>
    <row r="663" spans="1:29" x14ac:dyDescent="0.2">
      <c r="A663">
        <v>349</v>
      </c>
      <c r="D663">
        <f t="shared" si="118"/>
        <v>1</v>
      </c>
      <c r="E663">
        <v>3</v>
      </c>
      <c r="F663" s="6" t="s">
        <v>462</v>
      </c>
      <c r="I663" t="s">
        <v>178</v>
      </c>
      <c r="J663">
        <v>61</v>
      </c>
      <c r="K663" t="s">
        <v>488</v>
      </c>
      <c r="L663" t="s">
        <v>10</v>
      </c>
      <c r="M663" t="s">
        <v>190</v>
      </c>
      <c r="N663" t="s">
        <v>460</v>
      </c>
      <c r="Q663">
        <f t="shared" si="119"/>
        <v>18977</v>
      </c>
      <c r="R663" t="str">
        <f t="shared" si="119"/>
        <v>Velodrome</v>
      </c>
      <c r="S663" t="str">
        <f t="shared" si="119"/>
        <v>HollowBrook</v>
      </c>
      <c r="T663" s="20">
        <f t="shared" si="111"/>
        <v>0</v>
      </c>
      <c r="U663">
        <f t="shared" si="112"/>
        <v>238</v>
      </c>
      <c r="V663">
        <f t="shared" si="113"/>
        <v>238</v>
      </c>
      <c r="W663" cm="1">
        <f t="array" ref="W663">_xlfn._xlws.FILTER(shifts!A:A,(shifts!B:B=events!D663)*(shifts!AH:AH&gt;=events!U663)*(shifts!AI:AI&lt;=events!V663))</f>
        <v>19</v>
      </c>
      <c r="X663" t="str">
        <f t="shared" si="110"/>
        <v>event_team_player_1</v>
      </c>
      <c r="Y663">
        <f>COUNTIFS(A$3:A663,"="&amp;A663,K$3:K663,"="&amp;K663)</f>
        <v>1</v>
      </c>
      <c r="Z663" s="20">
        <f>SUMIFS(T$3:T663,L$3:L663,"=Intermission")+SUMIFS(T$3:T663,L$3:L663,"=Timeout")+SUMIFS(T$3:T663,L$3:L663,"=Clockstop")</f>
        <v>0</v>
      </c>
      <c r="AA663">
        <f t="shared" si="115"/>
        <v>0</v>
      </c>
      <c r="AB663" s="26">
        <f t="shared" si="116"/>
        <v>842</v>
      </c>
      <c r="AC663">
        <f t="shared" si="117"/>
        <v>0</v>
      </c>
    </row>
    <row r="664" spans="1:29" x14ac:dyDescent="0.2">
      <c r="A664">
        <v>350</v>
      </c>
      <c r="D664">
        <f t="shared" si="118"/>
        <v>1</v>
      </c>
      <c r="E664">
        <v>3</v>
      </c>
      <c r="F664" s="6" t="s">
        <v>462</v>
      </c>
      <c r="G664">
        <v>3</v>
      </c>
      <c r="H664" s="8" t="s">
        <v>427</v>
      </c>
      <c r="I664" t="s">
        <v>179</v>
      </c>
      <c r="J664">
        <v>18</v>
      </c>
      <c r="K664" t="s">
        <v>488</v>
      </c>
      <c r="L664" t="s">
        <v>15</v>
      </c>
      <c r="Q664">
        <f t="shared" si="119"/>
        <v>18977</v>
      </c>
      <c r="R664" t="str">
        <f t="shared" si="119"/>
        <v>Velodrome</v>
      </c>
      <c r="S664" t="str">
        <f t="shared" si="119"/>
        <v>HollowBrook</v>
      </c>
      <c r="T664" s="20">
        <f t="shared" si="111"/>
        <v>4</v>
      </c>
      <c r="U664">
        <f t="shared" si="112"/>
        <v>238</v>
      </c>
      <c r="V664">
        <f t="shared" si="113"/>
        <v>234</v>
      </c>
      <c r="W664" cm="1">
        <f t="array" ref="W664">_xlfn._xlws.FILTER(shifts!A:A,(shifts!B:B=events!D664)*(shifts!AH:AH&gt;=events!U664)*(shifts!AI:AI&lt;=events!V664))</f>
        <v>19</v>
      </c>
      <c r="X664" t="str">
        <f t="shared" si="110"/>
        <v>event_team_player_1</v>
      </c>
      <c r="Y664">
        <f>COUNTIFS(A$3:A664,"="&amp;A664,K$3:K664,"="&amp;K664)</f>
        <v>1</v>
      </c>
      <c r="Z664" s="20">
        <f>SUMIFS(T$3:T664,L$3:L664,"=Intermission")+SUMIFS(T$3:T664,L$3:L664,"=Timeout")+SUMIFS(T$3:T664,L$3:L664,"=Clockstop")</f>
        <v>0</v>
      </c>
      <c r="AA664">
        <f t="shared" si="115"/>
        <v>0</v>
      </c>
      <c r="AB664" s="26">
        <f t="shared" si="116"/>
        <v>842</v>
      </c>
      <c r="AC664">
        <f t="shared" si="117"/>
        <v>0</v>
      </c>
    </row>
    <row r="665" spans="1:29" x14ac:dyDescent="0.2">
      <c r="A665">
        <v>351</v>
      </c>
      <c r="D665">
        <f t="shared" si="118"/>
        <v>1</v>
      </c>
      <c r="E665">
        <v>3</v>
      </c>
      <c r="F665" s="6" t="s">
        <v>427</v>
      </c>
      <c r="I665" t="s">
        <v>179</v>
      </c>
      <c r="J665">
        <v>18</v>
      </c>
      <c r="K665" t="s">
        <v>488</v>
      </c>
      <c r="L665" t="s">
        <v>8</v>
      </c>
      <c r="M665" t="s">
        <v>189</v>
      </c>
      <c r="N665" t="s">
        <v>70</v>
      </c>
      <c r="Q665">
        <f t="shared" si="119"/>
        <v>18977</v>
      </c>
      <c r="R665" t="str">
        <f t="shared" si="119"/>
        <v>Velodrome</v>
      </c>
      <c r="S665" t="str">
        <f t="shared" si="119"/>
        <v>HollowBrook</v>
      </c>
      <c r="T665" s="20">
        <f t="shared" si="111"/>
        <v>0</v>
      </c>
      <c r="U665">
        <f t="shared" si="112"/>
        <v>234</v>
      </c>
      <c r="V665">
        <f t="shared" si="113"/>
        <v>234</v>
      </c>
      <c r="W665">
        <v>20</v>
      </c>
      <c r="X665" t="str">
        <f t="shared" si="110"/>
        <v>event_team_player_1</v>
      </c>
      <c r="Y665">
        <f>COUNTIFS(A$3:A665,"="&amp;A665,K$3:K665,"="&amp;K665)</f>
        <v>1</v>
      </c>
      <c r="Z665" s="20">
        <f>SUMIFS(T$3:T665,L$3:L665,"=Intermission")+SUMIFS(T$3:T665,L$3:L665,"=Timeout")+SUMIFS(T$3:T665,L$3:L665,"=Clockstop")</f>
        <v>0</v>
      </c>
      <c r="AA665">
        <f t="shared" si="115"/>
        <v>0</v>
      </c>
      <c r="AB665" s="26">
        <f t="shared" si="116"/>
        <v>846</v>
      </c>
      <c r="AC665">
        <f t="shared" si="117"/>
        <v>0</v>
      </c>
    </row>
    <row r="666" spans="1:29" x14ac:dyDescent="0.2">
      <c r="A666">
        <v>351</v>
      </c>
      <c r="D666">
        <f t="shared" si="118"/>
        <v>1</v>
      </c>
      <c r="E666">
        <v>3</v>
      </c>
      <c r="F666" s="6" t="s">
        <v>427</v>
      </c>
      <c r="I666" t="s">
        <v>179</v>
      </c>
      <c r="J666">
        <v>11</v>
      </c>
      <c r="K666" t="s">
        <v>488</v>
      </c>
      <c r="L666" t="s">
        <v>8</v>
      </c>
      <c r="M666" t="s">
        <v>189</v>
      </c>
      <c r="N666" t="s">
        <v>70</v>
      </c>
      <c r="Q666">
        <f t="shared" si="119"/>
        <v>18977</v>
      </c>
      <c r="R666" t="str">
        <f t="shared" si="119"/>
        <v>Velodrome</v>
      </c>
      <c r="S666" t="str">
        <f t="shared" si="119"/>
        <v>HollowBrook</v>
      </c>
      <c r="T666" s="20">
        <f t="shared" si="111"/>
        <v>0</v>
      </c>
      <c r="U666">
        <f t="shared" si="112"/>
        <v>234</v>
      </c>
      <c r="V666">
        <f t="shared" si="113"/>
        <v>234</v>
      </c>
      <c r="W666">
        <v>20</v>
      </c>
      <c r="X666" t="str">
        <f t="shared" si="110"/>
        <v>event_team_player_2</v>
      </c>
      <c r="Y666">
        <f>COUNTIFS(A$3:A666,"="&amp;A666,K$3:K666,"="&amp;K666)</f>
        <v>2</v>
      </c>
      <c r="Z666" s="20">
        <f>SUMIFS(T$3:T666,L$3:L666,"=Intermission")+SUMIFS(T$3:T666,L$3:L666,"=Timeout")+SUMIFS(T$3:T666,L$3:L666,"=Clockstop")</f>
        <v>0</v>
      </c>
      <c r="AA666">
        <f t="shared" si="115"/>
        <v>0</v>
      </c>
      <c r="AB666" s="26">
        <f t="shared" si="116"/>
        <v>846</v>
      </c>
      <c r="AC666">
        <f t="shared" si="117"/>
        <v>0</v>
      </c>
    </row>
    <row r="667" spans="1:29" x14ac:dyDescent="0.2">
      <c r="A667">
        <v>352</v>
      </c>
      <c r="D667">
        <f t="shared" si="118"/>
        <v>1</v>
      </c>
      <c r="E667">
        <v>3</v>
      </c>
      <c r="F667" s="6" t="s">
        <v>427</v>
      </c>
      <c r="G667">
        <v>3</v>
      </c>
      <c r="H667" s="8" t="s">
        <v>492</v>
      </c>
      <c r="I667" t="s">
        <v>179</v>
      </c>
      <c r="J667">
        <v>11</v>
      </c>
      <c r="K667" t="s">
        <v>488</v>
      </c>
      <c r="L667" t="s">
        <v>15</v>
      </c>
      <c r="Q667">
        <f t="shared" si="119"/>
        <v>18977</v>
      </c>
      <c r="R667" t="str">
        <f t="shared" si="119"/>
        <v>Velodrome</v>
      </c>
      <c r="S667" t="str">
        <f t="shared" si="119"/>
        <v>HollowBrook</v>
      </c>
      <c r="T667" s="20">
        <f t="shared" si="111"/>
        <v>1</v>
      </c>
      <c r="U667">
        <f t="shared" si="112"/>
        <v>234</v>
      </c>
      <c r="V667">
        <f t="shared" si="113"/>
        <v>233</v>
      </c>
      <c r="W667" cm="1">
        <f t="array" ref="W667">_xlfn._xlws.FILTER(shifts!A:A,(shifts!B:B=events!D667)*(shifts!AH:AH&gt;=events!U667)*(shifts!AI:AI&lt;=events!V667))</f>
        <v>20</v>
      </c>
      <c r="X667" t="str">
        <f t="shared" si="110"/>
        <v>event_team_player_1</v>
      </c>
      <c r="Y667">
        <f>COUNTIFS(A$3:A667,"="&amp;A667,K$3:K667,"="&amp;K667)</f>
        <v>1</v>
      </c>
      <c r="Z667" s="20">
        <f>SUMIFS(T$3:T667,L$3:L667,"=Intermission")+SUMIFS(T$3:T667,L$3:L667,"=Timeout")+SUMIFS(T$3:T667,L$3:L667,"=Clockstop")</f>
        <v>0</v>
      </c>
      <c r="AA667">
        <f t="shared" si="115"/>
        <v>0</v>
      </c>
      <c r="AB667" s="26">
        <f t="shared" si="116"/>
        <v>846</v>
      </c>
      <c r="AC667">
        <f t="shared" si="117"/>
        <v>0</v>
      </c>
    </row>
    <row r="668" spans="1:29" x14ac:dyDescent="0.2">
      <c r="A668">
        <v>352</v>
      </c>
      <c r="D668">
        <f t="shared" si="118"/>
        <v>1</v>
      </c>
      <c r="E668">
        <v>3</v>
      </c>
      <c r="F668" s="6" t="s">
        <v>492</v>
      </c>
      <c r="I668" t="s">
        <v>179</v>
      </c>
      <c r="J668">
        <v>11</v>
      </c>
      <c r="K668" t="s">
        <v>488</v>
      </c>
      <c r="L668" t="s">
        <v>277</v>
      </c>
      <c r="M668" t="s">
        <v>191</v>
      </c>
      <c r="N668" t="s">
        <v>87</v>
      </c>
      <c r="Q668">
        <f t="shared" si="119"/>
        <v>18977</v>
      </c>
      <c r="R668" t="str">
        <f t="shared" si="119"/>
        <v>Velodrome</v>
      </c>
      <c r="S668" t="str">
        <f t="shared" si="119"/>
        <v>HollowBrook</v>
      </c>
      <c r="T668" s="20">
        <f t="shared" si="111"/>
        <v>0</v>
      </c>
      <c r="U668">
        <f t="shared" si="112"/>
        <v>233</v>
      </c>
      <c r="V668">
        <f t="shared" si="113"/>
        <v>233</v>
      </c>
      <c r="W668" cm="1">
        <f t="array" ref="W668">_xlfn._xlws.FILTER(shifts!A:A,(shifts!B:B=events!D668)*(shifts!AH:AH&gt;=events!U668)*(shifts!AI:AI&lt;=events!V668))</f>
        <v>20</v>
      </c>
      <c r="X668" t="str">
        <f t="shared" si="110"/>
        <v>event_team_player_2</v>
      </c>
      <c r="Y668">
        <f>COUNTIFS(A$3:A668,"="&amp;A668,K$3:K668,"="&amp;K668)</f>
        <v>2</v>
      </c>
      <c r="Z668" s="20">
        <f>SUMIFS(T$3:T668,L$3:L668,"=Intermission")+SUMIFS(T$3:T668,L$3:L668,"=Timeout")+SUMIFS(T$3:T668,L$3:L668,"=Clockstop")</f>
        <v>0</v>
      </c>
      <c r="AA668">
        <f t="shared" si="115"/>
        <v>0</v>
      </c>
      <c r="AB668" s="26">
        <f t="shared" si="116"/>
        <v>847</v>
      </c>
      <c r="AC668">
        <f t="shared" si="117"/>
        <v>0</v>
      </c>
    </row>
    <row r="669" spans="1:29" x14ac:dyDescent="0.2">
      <c r="A669">
        <v>352</v>
      </c>
      <c r="D669">
        <f t="shared" si="118"/>
        <v>1</v>
      </c>
      <c r="E669">
        <v>3</v>
      </c>
      <c r="F669" s="6" t="s">
        <v>492</v>
      </c>
      <c r="I669" t="s">
        <v>179</v>
      </c>
      <c r="J669">
        <v>19</v>
      </c>
      <c r="K669" t="s">
        <v>488</v>
      </c>
      <c r="L669" t="s">
        <v>277</v>
      </c>
      <c r="M669" t="s">
        <v>191</v>
      </c>
      <c r="N669" t="s">
        <v>87</v>
      </c>
      <c r="Q669">
        <f t="shared" si="119"/>
        <v>18977</v>
      </c>
      <c r="R669" t="str">
        <f t="shared" si="119"/>
        <v>Velodrome</v>
      </c>
      <c r="S669" t="str">
        <f t="shared" si="119"/>
        <v>HollowBrook</v>
      </c>
      <c r="T669" s="20">
        <f t="shared" si="111"/>
        <v>0</v>
      </c>
      <c r="U669">
        <f t="shared" si="112"/>
        <v>233</v>
      </c>
      <c r="V669">
        <f t="shared" si="113"/>
        <v>233</v>
      </c>
      <c r="W669" cm="1">
        <f t="array" ref="W669">_xlfn._xlws.FILTER(shifts!A:A,(shifts!B:B=events!D669)*(shifts!AH:AH&gt;=events!U669)*(shifts!AI:AI&lt;=events!V669))</f>
        <v>20</v>
      </c>
      <c r="X669" t="str">
        <f t="shared" si="110"/>
        <v>event_team_player_3</v>
      </c>
      <c r="Y669">
        <f>COUNTIFS(A$3:A669,"="&amp;A669,K$3:K669,"="&amp;K669)</f>
        <v>3</v>
      </c>
      <c r="Z669" s="20">
        <f>SUMIFS(T$3:T669,L$3:L669,"=Intermission")+SUMIFS(T$3:T669,L$3:L669,"=Timeout")+SUMIFS(T$3:T669,L$3:L669,"=Clockstop")</f>
        <v>0</v>
      </c>
      <c r="AA669">
        <f t="shared" si="115"/>
        <v>0</v>
      </c>
      <c r="AB669" s="26">
        <f t="shared" si="116"/>
        <v>847</v>
      </c>
      <c r="AC669">
        <f t="shared" si="117"/>
        <v>0</v>
      </c>
    </row>
    <row r="670" spans="1:29" x14ac:dyDescent="0.2">
      <c r="A670">
        <v>352</v>
      </c>
      <c r="D670">
        <f t="shared" si="118"/>
        <v>1</v>
      </c>
      <c r="E670">
        <v>3</v>
      </c>
      <c r="F670" s="6" t="s">
        <v>492</v>
      </c>
      <c r="I670" t="s">
        <v>179</v>
      </c>
      <c r="J670">
        <v>14</v>
      </c>
      <c r="K670" t="s">
        <v>489</v>
      </c>
      <c r="L670" t="s">
        <v>277</v>
      </c>
      <c r="M670" t="s">
        <v>191</v>
      </c>
      <c r="N670" t="s">
        <v>87</v>
      </c>
      <c r="Q670">
        <f t="shared" si="119"/>
        <v>18977</v>
      </c>
      <c r="R670" t="str">
        <f t="shared" si="119"/>
        <v>Velodrome</v>
      </c>
      <c r="S670" t="str">
        <f t="shared" si="119"/>
        <v>HollowBrook</v>
      </c>
      <c r="T670" s="20">
        <f t="shared" si="111"/>
        <v>0</v>
      </c>
      <c r="U670">
        <f t="shared" si="112"/>
        <v>233</v>
      </c>
      <c r="V670">
        <f t="shared" si="113"/>
        <v>233</v>
      </c>
      <c r="W670" cm="1">
        <f t="array" ref="W670">_xlfn._xlws.FILTER(shifts!A:A,(shifts!B:B=events!D670)*(shifts!AH:AH&gt;=events!U670)*(shifts!AI:AI&lt;=events!V670))</f>
        <v>20</v>
      </c>
      <c r="X670" t="str">
        <f t="shared" si="110"/>
        <v>opp_team_player_1</v>
      </c>
      <c r="Y670">
        <f>COUNTIFS(A$3:A670,"="&amp;A670,K$3:K670,"="&amp;K670)</f>
        <v>1</v>
      </c>
      <c r="Z670" s="20">
        <f>SUMIFS(T$3:T670,L$3:L670,"=Intermission")+SUMIFS(T$3:T670,L$3:L670,"=Timeout")+SUMIFS(T$3:T670,L$3:L670,"=Clockstop")</f>
        <v>0</v>
      </c>
      <c r="AA670">
        <f t="shared" si="115"/>
        <v>0</v>
      </c>
      <c r="AB670" s="26">
        <f t="shared" si="116"/>
        <v>847</v>
      </c>
      <c r="AC670">
        <f t="shared" si="117"/>
        <v>0</v>
      </c>
    </row>
    <row r="671" spans="1:29" x14ac:dyDescent="0.2">
      <c r="A671">
        <v>352</v>
      </c>
      <c r="D671">
        <f t="shared" si="118"/>
        <v>1</v>
      </c>
      <c r="E671">
        <v>3</v>
      </c>
      <c r="F671" s="6" t="s">
        <v>492</v>
      </c>
      <c r="I671" t="s">
        <v>179</v>
      </c>
      <c r="J671">
        <v>87</v>
      </c>
      <c r="K671" t="s">
        <v>489</v>
      </c>
      <c r="L671" t="s">
        <v>277</v>
      </c>
      <c r="M671" t="s">
        <v>191</v>
      </c>
      <c r="N671" t="s">
        <v>87</v>
      </c>
      <c r="Q671">
        <f t="shared" si="119"/>
        <v>18977</v>
      </c>
      <c r="R671" t="str">
        <f t="shared" si="119"/>
        <v>Velodrome</v>
      </c>
      <c r="S671" t="str">
        <f t="shared" si="119"/>
        <v>HollowBrook</v>
      </c>
      <c r="T671" s="20">
        <f t="shared" si="111"/>
        <v>0</v>
      </c>
      <c r="U671">
        <f t="shared" si="112"/>
        <v>233</v>
      </c>
      <c r="V671">
        <f t="shared" si="113"/>
        <v>233</v>
      </c>
      <c r="W671" cm="1">
        <f t="array" ref="W671">_xlfn._xlws.FILTER(shifts!A:A,(shifts!B:B=events!D671)*(shifts!AH:AH&gt;=events!U671)*(shifts!AI:AI&lt;=events!V671))</f>
        <v>20</v>
      </c>
      <c r="X671" t="str">
        <f t="shared" si="110"/>
        <v>opp_team_player_2</v>
      </c>
      <c r="Y671">
        <f>COUNTIFS(A$3:A671,"="&amp;A671,K$3:K671,"="&amp;K671)</f>
        <v>2</v>
      </c>
      <c r="Z671" s="20">
        <f>SUMIFS(T$3:T671,L$3:L671,"=Intermission")+SUMIFS(T$3:T671,L$3:L671,"=Timeout")+SUMIFS(T$3:T671,L$3:L671,"=Clockstop")</f>
        <v>0</v>
      </c>
      <c r="AA671">
        <f t="shared" si="115"/>
        <v>0</v>
      </c>
      <c r="AB671" s="26">
        <f t="shared" si="116"/>
        <v>847</v>
      </c>
      <c r="AC671">
        <f t="shared" si="117"/>
        <v>0</v>
      </c>
    </row>
    <row r="672" spans="1:29" x14ac:dyDescent="0.2">
      <c r="A672">
        <v>352</v>
      </c>
      <c r="D672">
        <f t="shared" si="118"/>
        <v>1</v>
      </c>
      <c r="E672">
        <v>3</v>
      </c>
      <c r="F672" s="6" t="s">
        <v>492</v>
      </c>
      <c r="I672" t="s">
        <v>179</v>
      </c>
      <c r="J672">
        <v>52</v>
      </c>
      <c r="K672" t="s">
        <v>489</v>
      </c>
      <c r="L672" t="s">
        <v>277</v>
      </c>
      <c r="M672" t="s">
        <v>191</v>
      </c>
      <c r="N672" t="s">
        <v>87</v>
      </c>
      <c r="Q672">
        <f t="shared" si="119"/>
        <v>18977</v>
      </c>
      <c r="R672" t="str">
        <f t="shared" si="119"/>
        <v>Velodrome</v>
      </c>
      <c r="S672" t="str">
        <f t="shared" si="119"/>
        <v>HollowBrook</v>
      </c>
      <c r="T672" s="20">
        <f t="shared" si="111"/>
        <v>0</v>
      </c>
      <c r="U672">
        <f t="shared" si="112"/>
        <v>233</v>
      </c>
      <c r="V672">
        <f t="shared" si="113"/>
        <v>233</v>
      </c>
      <c r="W672" cm="1">
        <f t="array" ref="W672">_xlfn._xlws.FILTER(shifts!A:A,(shifts!B:B=events!D672)*(shifts!AH:AH&gt;=events!U672)*(shifts!AI:AI&lt;=events!V672))</f>
        <v>20</v>
      </c>
      <c r="X672" t="str">
        <f t="shared" si="110"/>
        <v>opp_team_player_3</v>
      </c>
      <c r="Y672">
        <f>COUNTIFS(A$3:A672,"="&amp;A672,K$3:K672,"="&amp;K672)</f>
        <v>3</v>
      </c>
      <c r="Z672" s="20">
        <f>SUMIFS(T$3:T672,L$3:L672,"=Intermission")+SUMIFS(T$3:T672,L$3:L672,"=Timeout")+SUMIFS(T$3:T672,L$3:L672,"=Clockstop")</f>
        <v>0</v>
      </c>
      <c r="AA672">
        <f t="shared" si="115"/>
        <v>0</v>
      </c>
      <c r="AB672" s="26">
        <f t="shared" si="116"/>
        <v>847</v>
      </c>
      <c r="AC672">
        <f t="shared" si="117"/>
        <v>0</v>
      </c>
    </row>
    <row r="673" spans="1:29" x14ac:dyDescent="0.2">
      <c r="A673">
        <v>353</v>
      </c>
      <c r="D673">
        <f t="shared" si="118"/>
        <v>1</v>
      </c>
      <c r="E673">
        <v>3</v>
      </c>
      <c r="F673" s="6" t="s">
        <v>428</v>
      </c>
      <c r="I673" t="s">
        <v>179</v>
      </c>
      <c r="J673">
        <v>11</v>
      </c>
      <c r="K673" t="s">
        <v>488</v>
      </c>
      <c r="L673" t="s">
        <v>8</v>
      </c>
      <c r="M673" t="s">
        <v>189</v>
      </c>
      <c r="N673" t="s">
        <v>69</v>
      </c>
      <c r="Q673">
        <f t="shared" si="119"/>
        <v>18977</v>
      </c>
      <c r="R673" t="str">
        <f t="shared" si="119"/>
        <v>Velodrome</v>
      </c>
      <c r="S673" t="str">
        <f t="shared" si="119"/>
        <v>HollowBrook</v>
      </c>
      <c r="T673" s="20">
        <f t="shared" si="111"/>
        <v>0</v>
      </c>
      <c r="U673">
        <f t="shared" si="112"/>
        <v>232</v>
      </c>
      <c r="V673">
        <f t="shared" si="113"/>
        <v>232</v>
      </c>
      <c r="W673" cm="1">
        <f t="array" ref="W673">_xlfn._xlws.FILTER(shifts!A:A,(shifts!B:B=events!D673)*(shifts!AH:AH&gt;=events!U673)*(shifts!AI:AI&lt;=events!V673))</f>
        <v>20</v>
      </c>
      <c r="X673" t="str">
        <f t="shared" si="110"/>
        <v>event_team_player_1</v>
      </c>
      <c r="Y673">
        <f>COUNTIFS(A$3:A673,"="&amp;A673,K$3:K673,"="&amp;K673)</f>
        <v>1</v>
      </c>
      <c r="Z673" s="20">
        <f>SUMIFS(T$3:T673,L$3:L673,"=Intermission")+SUMIFS(T$3:T673,L$3:L673,"=Timeout")+SUMIFS(T$3:T673,L$3:L673,"=Clockstop")</f>
        <v>0</v>
      </c>
      <c r="AA673">
        <f t="shared" si="115"/>
        <v>0</v>
      </c>
      <c r="AB673" s="26">
        <f t="shared" si="116"/>
        <v>848</v>
      </c>
      <c r="AC673">
        <f t="shared" si="117"/>
        <v>0</v>
      </c>
    </row>
    <row r="674" spans="1:29" x14ac:dyDescent="0.2">
      <c r="A674">
        <v>353</v>
      </c>
      <c r="D674">
        <f t="shared" si="118"/>
        <v>1</v>
      </c>
      <c r="E674">
        <v>3</v>
      </c>
      <c r="F674" s="6" t="s">
        <v>428</v>
      </c>
      <c r="I674" t="s">
        <v>179</v>
      </c>
      <c r="J674">
        <v>19</v>
      </c>
      <c r="K674" t="s">
        <v>488</v>
      </c>
      <c r="L674" t="s">
        <v>8</v>
      </c>
      <c r="M674" t="s">
        <v>189</v>
      </c>
      <c r="N674" t="s">
        <v>69</v>
      </c>
      <c r="Q674">
        <f t="shared" si="119"/>
        <v>18977</v>
      </c>
      <c r="R674" t="str">
        <f t="shared" si="119"/>
        <v>Velodrome</v>
      </c>
      <c r="S674" t="str">
        <f t="shared" si="119"/>
        <v>HollowBrook</v>
      </c>
      <c r="T674" s="20">
        <f t="shared" si="111"/>
        <v>0</v>
      </c>
      <c r="U674">
        <f t="shared" si="112"/>
        <v>232</v>
      </c>
      <c r="V674">
        <f t="shared" si="113"/>
        <v>232</v>
      </c>
      <c r="W674" cm="1">
        <f t="array" ref="W674">_xlfn._xlws.FILTER(shifts!A:A,(shifts!B:B=events!D674)*(shifts!AH:AH&gt;=events!U674)*(shifts!AI:AI&lt;=events!V674))</f>
        <v>20</v>
      </c>
      <c r="X674" t="str">
        <f t="shared" si="110"/>
        <v>event_team_player_2</v>
      </c>
      <c r="Y674">
        <f>COUNTIFS(A$3:A674,"="&amp;A674,K$3:K674,"="&amp;K674)</f>
        <v>2</v>
      </c>
      <c r="Z674" s="20">
        <f>SUMIFS(T$3:T674,L$3:L674,"=Intermission")+SUMIFS(T$3:T674,L$3:L674,"=Timeout")+SUMIFS(T$3:T674,L$3:L674,"=Clockstop")</f>
        <v>0</v>
      </c>
      <c r="AA674">
        <f t="shared" si="115"/>
        <v>0</v>
      </c>
      <c r="AB674" s="26">
        <f t="shared" si="116"/>
        <v>848</v>
      </c>
      <c r="AC674">
        <f t="shared" si="117"/>
        <v>0</v>
      </c>
    </row>
    <row r="675" spans="1:29" x14ac:dyDescent="0.2">
      <c r="A675">
        <v>353</v>
      </c>
      <c r="D675">
        <f t="shared" si="118"/>
        <v>1</v>
      </c>
      <c r="E675">
        <v>3</v>
      </c>
      <c r="F675" s="6" t="s">
        <v>428</v>
      </c>
      <c r="I675" t="s">
        <v>179</v>
      </c>
      <c r="J675">
        <v>87</v>
      </c>
      <c r="K675" t="s">
        <v>489</v>
      </c>
      <c r="L675" t="s">
        <v>8</v>
      </c>
      <c r="M675" t="s">
        <v>189</v>
      </c>
      <c r="N675" t="s">
        <v>69</v>
      </c>
      <c r="Q675">
        <f t="shared" si="119"/>
        <v>18977</v>
      </c>
      <c r="R675" t="str">
        <f t="shared" si="119"/>
        <v>Velodrome</v>
      </c>
      <c r="S675" t="str">
        <f t="shared" si="119"/>
        <v>HollowBrook</v>
      </c>
      <c r="T675" s="20">
        <f t="shared" si="111"/>
        <v>0</v>
      </c>
      <c r="U675">
        <f t="shared" si="112"/>
        <v>232</v>
      </c>
      <c r="V675">
        <f t="shared" si="113"/>
        <v>232</v>
      </c>
      <c r="W675" cm="1">
        <f t="array" ref="W675">_xlfn._xlws.FILTER(shifts!A:A,(shifts!B:B=events!D675)*(shifts!AH:AH&gt;=events!U675)*(shifts!AI:AI&lt;=events!V675))</f>
        <v>20</v>
      </c>
      <c r="X675" t="str">
        <f t="shared" si="110"/>
        <v>opp_team_player_1</v>
      </c>
      <c r="Y675">
        <f>COUNTIFS(A$3:A675,"="&amp;A675,K$3:K675,"="&amp;K675)</f>
        <v>1</v>
      </c>
      <c r="Z675" s="20">
        <f>SUMIFS(T$3:T675,L$3:L675,"=Intermission")+SUMIFS(T$3:T675,L$3:L675,"=Timeout")+SUMIFS(T$3:T675,L$3:L675,"=Clockstop")</f>
        <v>0</v>
      </c>
      <c r="AA675">
        <f t="shared" si="115"/>
        <v>0</v>
      </c>
      <c r="AB675" s="26">
        <f t="shared" si="116"/>
        <v>848</v>
      </c>
      <c r="AC675">
        <f t="shared" si="117"/>
        <v>0</v>
      </c>
    </row>
    <row r="676" spans="1:29" x14ac:dyDescent="0.2">
      <c r="A676">
        <v>354</v>
      </c>
      <c r="D676">
        <f t="shared" si="118"/>
        <v>1</v>
      </c>
      <c r="E676">
        <v>3</v>
      </c>
      <c r="F676" s="6" t="s">
        <v>477</v>
      </c>
      <c r="I676" t="s">
        <v>179</v>
      </c>
      <c r="J676">
        <v>19</v>
      </c>
      <c r="K676" t="s">
        <v>488</v>
      </c>
      <c r="L676" t="s">
        <v>8</v>
      </c>
      <c r="M676" t="s">
        <v>189</v>
      </c>
      <c r="N676" t="s">
        <v>495</v>
      </c>
      <c r="Q676">
        <f t="shared" ref="Q676:S691" si="120">Q675</f>
        <v>18977</v>
      </c>
      <c r="R676" t="str">
        <f t="shared" si="120"/>
        <v>Velodrome</v>
      </c>
      <c r="S676" t="str">
        <f t="shared" si="120"/>
        <v>HollowBrook</v>
      </c>
      <c r="T676" s="20">
        <f t="shared" si="111"/>
        <v>0</v>
      </c>
      <c r="U676">
        <f t="shared" si="112"/>
        <v>231</v>
      </c>
      <c r="V676">
        <f t="shared" si="113"/>
        <v>231</v>
      </c>
      <c r="W676" cm="1">
        <f t="array" ref="W676">_xlfn._xlws.FILTER(shifts!A:A,(shifts!B:B=events!D676)*(shifts!AH:AH&gt;=events!U676)*(shifts!AI:AI&lt;=events!V676))</f>
        <v>20</v>
      </c>
      <c r="X676" t="str">
        <f t="shared" si="110"/>
        <v>event_team_player_1</v>
      </c>
      <c r="Y676">
        <f>COUNTIFS(A$3:A676,"="&amp;A676,K$3:K676,"="&amp;K676)</f>
        <v>1</v>
      </c>
      <c r="Z676" s="20">
        <f>SUMIFS(T$3:T676,L$3:L676,"=Intermission")+SUMIFS(T$3:T676,L$3:L676,"=Timeout")+SUMIFS(T$3:T676,L$3:L676,"=Clockstop")</f>
        <v>0</v>
      </c>
      <c r="AA676">
        <f t="shared" si="115"/>
        <v>0</v>
      </c>
      <c r="AB676" s="26">
        <f t="shared" si="116"/>
        <v>849</v>
      </c>
      <c r="AC676">
        <f t="shared" si="117"/>
        <v>0</v>
      </c>
    </row>
    <row r="677" spans="1:29" x14ac:dyDescent="0.2">
      <c r="A677">
        <v>355</v>
      </c>
      <c r="D677">
        <f t="shared" si="118"/>
        <v>1</v>
      </c>
      <c r="E677">
        <v>3</v>
      </c>
      <c r="F677" s="6" t="s">
        <v>454</v>
      </c>
      <c r="G677">
        <v>3</v>
      </c>
      <c r="H677" s="8" t="s">
        <v>437</v>
      </c>
      <c r="I677" t="s">
        <v>179</v>
      </c>
      <c r="J677">
        <v>40</v>
      </c>
      <c r="K677" t="s">
        <v>488</v>
      </c>
      <c r="L677" t="s">
        <v>15</v>
      </c>
      <c r="Q677">
        <f t="shared" si="120"/>
        <v>18977</v>
      </c>
      <c r="R677" t="str">
        <f t="shared" si="120"/>
        <v>Velodrome</v>
      </c>
      <c r="S677" t="str">
        <f t="shared" si="120"/>
        <v>HollowBrook</v>
      </c>
      <c r="T677" s="20">
        <f t="shared" si="111"/>
        <v>3</v>
      </c>
      <c r="U677">
        <f t="shared" si="112"/>
        <v>223</v>
      </c>
      <c r="V677">
        <f t="shared" si="113"/>
        <v>220</v>
      </c>
      <c r="W677" cm="1">
        <f t="array" ref="W677">_xlfn._xlws.FILTER(shifts!A:A,(shifts!B:B=events!D677)*(shifts!AH:AH&gt;=events!U677)*(shifts!AI:AI&lt;=events!V677))</f>
        <v>21</v>
      </c>
      <c r="X677" t="str">
        <f t="shared" si="110"/>
        <v>event_team_player_1</v>
      </c>
      <c r="Y677">
        <f>COUNTIFS(A$3:A677,"="&amp;A677,K$3:K677,"="&amp;K677)</f>
        <v>1</v>
      </c>
      <c r="Z677" s="20">
        <f>SUMIFS(T$3:T677,L$3:L677,"=Intermission")+SUMIFS(T$3:T677,L$3:L677,"=Timeout")+SUMIFS(T$3:T677,L$3:L677,"=Clockstop")</f>
        <v>0</v>
      </c>
      <c r="AA677">
        <f t="shared" si="115"/>
        <v>0</v>
      </c>
      <c r="AB677" s="26">
        <f t="shared" si="116"/>
        <v>857</v>
      </c>
      <c r="AC677">
        <f t="shared" si="117"/>
        <v>0</v>
      </c>
    </row>
    <row r="678" spans="1:29" x14ac:dyDescent="0.2">
      <c r="A678">
        <v>355</v>
      </c>
      <c r="D678">
        <f t="shared" si="118"/>
        <v>1</v>
      </c>
      <c r="E678">
        <v>3</v>
      </c>
      <c r="F678" s="6" t="s">
        <v>454</v>
      </c>
      <c r="G678">
        <v>3</v>
      </c>
      <c r="H678" s="8" t="s">
        <v>437</v>
      </c>
      <c r="I678" t="s">
        <v>179</v>
      </c>
      <c r="J678">
        <v>52</v>
      </c>
      <c r="K678" t="s">
        <v>489</v>
      </c>
      <c r="L678" t="s">
        <v>15</v>
      </c>
      <c r="Q678">
        <f t="shared" si="120"/>
        <v>18977</v>
      </c>
      <c r="R678" t="str">
        <f t="shared" si="120"/>
        <v>Velodrome</v>
      </c>
      <c r="S678" t="str">
        <f t="shared" si="120"/>
        <v>HollowBrook</v>
      </c>
      <c r="T678" s="20">
        <f t="shared" si="111"/>
        <v>3</v>
      </c>
      <c r="U678">
        <f t="shared" si="112"/>
        <v>223</v>
      </c>
      <c r="V678">
        <f t="shared" si="113"/>
        <v>220</v>
      </c>
      <c r="W678" cm="1">
        <f t="array" ref="W678">_xlfn._xlws.FILTER(shifts!A:A,(shifts!B:B=events!D678)*(shifts!AH:AH&gt;=events!U678)*(shifts!AI:AI&lt;=events!V678))</f>
        <v>21</v>
      </c>
      <c r="X678" t="str">
        <f t="shared" si="110"/>
        <v>opp_team_player_1</v>
      </c>
      <c r="Y678">
        <f>COUNTIFS(A$3:A678,"="&amp;A678,K$3:K678,"="&amp;K678)</f>
        <v>1</v>
      </c>
      <c r="Z678" s="20">
        <f>SUMIFS(T$3:T678,L$3:L678,"=Intermission")+SUMIFS(T$3:T678,L$3:L678,"=Timeout")+SUMIFS(T$3:T678,L$3:L678,"=Clockstop")</f>
        <v>0</v>
      </c>
      <c r="AA678">
        <f t="shared" si="115"/>
        <v>0</v>
      </c>
      <c r="AB678" s="26">
        <f t="shared" si="116"/>
        <v>857</v>
      </c>
      <c r="AC678">
        <f t="shared" si="117"/>
        <v>0</v>
      </c>
    </row>
    <row r="679" spans="1:29" x14ac:dyDescent="0.2">
      <c r="A679">
        <v>356</v>
      </c>
      <c r="D679">
        <f t="shared" si="118"/>
        <v>1</v>
      </c>
      <c r="E679">
        <v>3</v>
      </c>
      <c r="F679" s="6" t="s">
        <v>437</v>
      </c>
      <c r="I679" t="s">
        <v>179</v>
      </c>
      <c r="J679">
        <v>40</v>
      </c>
      <c r="K679" t="s">
        <v>488</v>
      </c>
      <c r="L679" t="s">
        <v>8</v>
      </c>
      <c r="M679" t="s">
        <v>189</v>
      </c>
      <c r="N679" t="s">
        <v>68</v>
      </c>
      <c r="Q679">
        <f t="shared" si="120"/>
        <v>18977</v>
      </c>
      <c r="R679" t="str">
        <f t="shared" si="120"/>
        <v>Velodrome</v>
      </c>
      <c r="S679" t="str">
        <f t="shared" si="120"/>
        <v>HollowBrook</v>
      </c>
      <c r="T679" s="20">
        <f t="shared" si="111"/>
        <v>0</v>
      </c>
      <c r="U679">
        <f t="shared" si="112"/>
        <v>220</v>
      </c>
      <c r="V679">
        <f t="shared" si="113"/>
        <v>220</v>
      </c>
      <c r="W679" cm="1">
        <f t="array" ref="W679">_xlfn._xlws.FILTER(shifts!A:A,(shifts!B:B=events!D679)*(shifts!AH:AH&gt;=events!U679)*(shifts!AI:AI&lt;=events!V679))</f>
        <v>21</v>
      </c>
      <c r="X679" t="str">
        <f t="shared" si="110"/>
        <v>event_team_player_1</v>
      </c>
      <c r="Y679">
        <f>COUNTIFS(A$3:A679,"="&amp;A679,K$3:K679,"="&amp;K679)</f>
        <v>1</v>
      </c>
      <c r="Z679" s="20">
        <f>SUMIFS(T$3:T679,L$3:L679,"=Intermission")+SUMIFS(T$3:T679,L$3:L679,"=Timeout")+SUMIFS(T$3:T679,L$3:L679,"=Clockstop")</f>
        <v>0</v>
      </c>
      <c r="AA679">
        <f t="shared" si="115"/>
        <v>0</v>
      </c>
      <c r="AB679" s="26">
        <f t="shared" si="116"/>
        <v>860</v>
      </c>
      <c r="AC679">
        <f t="shared" si="117"/>
        <v>0</v>
      </c>
    </row>
    <row r="680" spans="1:29" x14ac:dyDescent="0.2">
      <c r="A680">
        <v>356</v>
      </c>
      <c r="D680">
        <f t="shared" si="118"/>
        <v>1</v>
      </c>
      <c r="E680">
        <v>3</v>
      </c>
      <c r="F680" s="6" t="s">
        <v>437</v>
      </c>
      <c r="I680" t="s">
        <v>179</v>
      </c>
      <c r="J680">
        <v>18</v>
      </c>
      <c r="K680" t="s">
        <v>488</v>
      </c>
      <c r="L680" t="s">
        <v>8</v>
      </c>
      <c r="M680" t="s">
        <v>189</v>
      </c>
      <c r="N680" t="s">
        <v>68</v>
      </c>
      <c r="Q680">
        <f t="shared" si="120"/>
        <v>18977</v>
      </c>
      <c r="R680" t="str">
        <f t="shared" si="120"/>
        <v>Velodrome</v>
      </c>
      <c r="S680" t="str">
        <f t="shared" si="120"/>
        <v>HollowBrook</v>
      </c>
      <c r="T680" s="20">
        <f t="shared" si="111"/>
        <v>0</v>
      </c>
      <c r="U680">
        <f t="shared" si="112"/>
        <v>220</v>
      </c>
      <c r="V680">
        <f t="shared" si="113"/>
        <v>220</v>
      </c>
      <c r="W680" cm="1">
        <f t="array" ref="W680">_xlfn._xlws.FILTER(shifts!A:A,(shifts!B:B=events!D680)*(shifts!AH:AH&gt;=events!U680)*(shifts!AI:AI&lt;=events!V680))</f>
        <v>21</v>
      </c>
      <c r="X680" t="str">
        <f t="shared" si="110"/>
        <v>event_team_player_2</v>
      </c>
      <c r="Y680">
        <f>COUNTIFS(A$3:A680,"="&amp;A680,K$3:K680,"="&amp;K680)</f>
        <v>2</v>
      </c>
      <c r="Z680" s="20">
        <f>SUMIFS(T$3:T680,L$3:L680,"=Intermission")+SUMIFS(T$3:T680,L$3:L680,"=Timeout")+SUMIFS(T$3:T680,L$3:L680,"=Clockstop")</f>
        <v>0</v>
      </c>
      <c r="AA680">
        <f t="shared" si="115"/>
        <v>0</v>
      </c>
      <c r="AB680" s="26">
        <f t="shared" si="116"/>
        <v>860</v>
      </c>
      <c r="AC680">
        <f t="shared" si="117"/>
        <v>0</v>
      </c>
    </row>
    <row r="681" spans="1:29" x14ac:dyDescent="0.2">
      <c r="A681">
        <v>357</v>
      </c>
      <c r="D681">
        <f t="shared" si="118"/>
        <v>1</v>
      </c>
      <c r="E681">
        <v>3</v>
      </c>
      <c r="F681" s="6" t="s">
        <v>481</v>
      </c>
      <c r="I681" t="s">
        <v>179</v>
      </c>
      <c r="J681">
        <v>18</v>
      </c>
      <c r="K681" t="s">
        <v>488</v>
      </c>
      <c r="L681" t="s">
        <v>7</v>
      </c>
      <c r="M681" t="s">
        <v>222</v>
      </c>
      <c r="N681" t="s">
        <v>53</v>
      </c>
      <c r="Q681">
        <f t="shared" si="120"/>
        <v>18977</v>
      </c>
      <c r="R681" t="str">
        <f t="shared" si="120"/>
        <v>Velodrome</v>
      </c>
      <c r="S681" t="str">
        <f t="shared" si="120"/>
        <v>HollowBrook</v>
      </c>
      <c r="T681" s="20">
        <f t="shared" si="111"/>
        <v>0</v>
      </c>
      <c r="U681">
        <f t="shared" si="112"/>
        <v>219</v>
      </c>
      <c r="V681">
        <f t="shared" si="113"/>
        <v>219</v>
      </c>
      <c r="W681" cm="1">
        <f t="array" ref="W681">_xlfn._xlws.FILTER(shifts!A:A,(shifts!B:B=events!D681)*(shifts!AH:AH&gt;=events!U681)*(shifts!AI:AI&lt;=events!V681))</f>
        <v>21</v>
      </c>
      <c r="X681" t="str">
        <f t="shared" si="110"/>
        <v>event_team_player_1</v>
      </c>
      <c r="Y681">
        <f>COUNTIFS(A$3:A681,"="&amp;A681,K$3:K681,"="&amp;K681)</f>
        <v>1</v>
      </c>
      <c r="Z681" s="20">
        <f>SUMIFS(T$3:T681,L$3:L681,"=Intermission")+SUMIFS(T$3:T681,L$3:L681,"=Timeout")+SUMIFS(T$3:T681,L$3:L681,"=Clockstop")</f>
        <v>0</v>
      </c>
      <c r="AA681">
        <f t="shared" si="115"/>
        <v>0</v>
      </c>
      <c r="AB681" s="26">
        <f t="shared" si="116"/>
        <v>861</v>
      </c>
      <c r="AC681">
        <f t="shared" si="117"/>
        <v>0</v>
      </c>
    </row>
    <row r="682" spans="1:29" x14ac:dyDescent="0.2">
      <c r="A682">
        <v>357</v>
      </c>
      <c r="D682">
        <f t="shared" si="118"/>
        <v>1</v>
      </c>
      <c r="E682">
        <v>3</v>
      </c>
      <c r="F682" s="6" t="s">
        <v>481</v>
      </c>
      <c r="I682" t="s">
        <v>179</v>
      </c>
      <c r="J682">
        <v>11</v>
      </c>
      <c r="K682" t="s">
        <v>488</v>
      </c>
      <c r="L682" t="s">
        <v>7</v>
      </c>
      <c r="M682" t="s">
        <v>222</v>
      </c>
      <c r="N682" t="s">
        <v>53</v>
      </c>
      <c r="Q682">
        <f t="shared" si="120"/>
        <v>18977</v>
      </c>
      <c r="R682" t="str">
        <f t="shared" si="120"/>
        <v>Velodrome</v>
      </c>
      <c r="S682" t="str">
        <f t="shared" si="120"/>
        <v>HollowBrook</v>
      </c>
      <c r="T682" s="20">
        <f t="shared" si="111"/>
        <v>0</v>
      </c>
      <c r="U682">
        <f t="shared" si="112"/>
        <v>219</v>
      </c>
      <c r="V682">
        <f t="shared" si="113"/>
        <v>219</v>
      </c>
      <c r="W682" cm="1">
        <f t="array" ref="W682">_xlfn._xlws.FILTER(shifts!A:A,(shifts!B:B=events!D682)*(shifts!AH:AH&gt;=events!U682)*(shifts!AI:AI&lt;=events!V682))</f>
        <v>21</v>
      </c>
      <c r="X682" t="str">
        <f t="shared" si="110"/>
        <v>event_team_player_2</v>
      </c>
      <c r="Y682">
        <f>COUNTIFS(A$3:A682,"="&amp;A682,K$3:K682,"="&amp;K682)</f>
        <v>2</v>
      </c>
      <c r="Z682" s="20">
        <f>SUMIFS(T$3:T682,L$3:L682,"=Intermission")+SUMIFS(T$3:T682,L$3:L682,"=Timeout")+SUMIFS(T$3:T682,L$3:L682,"=Clockstop")</f>
        <v>0</v>
      </c>
      <c r="AA682">
        <f t="shared" si="115"/>
        <v>0</v>
      </c>
      <c r="AB682" s="26">
        <f t="shared" si="116"/>
        <v>861</v>
      </c>
      <c r="AC682">
        <f t="shared" si="117"/>
        <v>0</v>
      </c>
    </row>
    <row r="683" spans="1:29" x14ac:dyDescent="0.2">
      <c r="A683">
        <v>357</v>
      </c>
      <c r="D683">
        <f t="shared" si="118"/>
        <v>1</v>
      </c>
      <c r="E683">
        <v>3</v>
      </c>
      <c r="F683" s="6" t="s">
        <v>481</v>
      </c>
      <c r="I683" t="s">
        <v>179</v>
      </c>
      <c r="J683">
        <v>39</v>
      </c>
      <c r="K683" t="s">
        <v>489</v>
      </c>
      <c r="L683" t="s">
        <v>7</v>
      </c>
      <c r="M683" t="s">
        <v>222</v>
      </c>
      <c r="N683" t="s">
        <v>53</v>
      </c>
      <c r="Q683">
        <f t="shared" si="120"/>
        <v>18977</v>
      </c>
      <c r="R683" t="str">
        <f t="shared" si="120"/>
        <v>Velodrome</v>
      </c>
      <c r="S683" t="str">
        <f t="shared" si="120"/>
        <v>HollowBrook</v>
      </c>
      <c r="T683" s="20">
        <f t="shared" si="111"/>
        <v>0</v>
      </c>
      <c r="U683">
        <f t="shared" si="112"/>
        <v>219</v>
      </c>
      <c r="V683">
        <f t="shared" si="113"/>
        <v>219</v>
      </c>
      <c r="W683" cm="1">
        <f t="array" ref="W683">_xlfn._xlws.FILTER(shifts!A:A,(shifts!B:B=events!D683)*(shifts!AH:AH&gt;=events!U683)*(shifts!AI:AI&lt;=events!V683))</f>
        <v>21</v>
      </c>
      <c r="X683" t="str">
        <f t="shared" si="110"/>
        <v>opp_team_player_1</v>
      </c>
      <c r="Y683">
        <f>COUNTIFS(A$3:A683,"="&amp;A683,K$3:K683,"="&amp;K683)</f>
        <v>1</v>
      </c>
      <c r="Z683" s="20">
        <f>SUMIFS(T$3:T683,L$3:L683,"=Intermission")+SUMIFS(T$3:T683,L$3:L683,"=Timeout")+SUMIFS(T$3:T683,L$3:L683,"=Clockstop")</f>
        <v>0</v>
      </c>
      <c r="AA683">
        <f t="shared" si="115"/>
        <v>0</v>
      </c>
      <c r="AB683" s="26">
        <f t="shared" si="116"/>
        <v>861</v>
      </c>
      <c r="AC683">
        <f t="shared" si="117"/>
        <v>0</v>
      </c>
    </row>
    <row r="684" spans="1:29" x14ac:dyDescent="0.2">
      <c r="A684">
        <v>357</v>
      </c>
      <c r="D684">
        <f t="shared" si="118"/>
        <v>1</v>
      </c>
      <c r="E684">
        <v>3</v>
      </c>
      <c r="F684" s="6" t="s">
        <v>481</v>
      </c>
      <c r="I684" t="s">
        <v>179</v>
      </c>
      <c r="J684">
        <v>52</v>
      </c>
      <c r="K684" t="s">
        <v>489</v>
      </c>
      <c r="L684" t="s">
        <v>7</v>
      </c>
      <c r="M684" t="s">
        <v>222</v>
      </c>
      <c r="N684" t="s">
        <v>53</v>
      </c>
      <c r="Q684">
        <f t="shared" si="120"/>
        <v>18977</v>
      </c>
      <c r="R684" t="str">
        <f t="shared" si="120"/>
        <v>Velodrome</v>
      </c>
      <c r="S684" t="str">
        <f t="shared" si="120"/>
        <v>HollowBrook</v>
      </c>
      <c r="T684" s="20">
        <f t="shared" si="111"/>
        <v>0</v>
      </c>
      <c r="U684">
        <f t="shared" si="112"/>
        <v>219</v>
      </c>
      <c r="V684">
        <f t="shared" si="113"/>
        <v>219</v>
      </c>
      <c r="W684" cm="1">
        <f t="array" ref="W684">_xlfn._xlws.FILTER(shifts!A:A,(shifts!B:B=events!D684)*(shifts!AH:AH&gt;=events!U684)*(shifts!AI:AI&lt;=events!V684))</f>
        <v>21</v>
      </c>
      <c r="X684" t="str">
        <f t="shared" si="110"/>
        <v>opp_team_player_2</v>
      </c>
      <c r="Y684">
        <f>COUNTIFS(A$3:A684,"="&amp;A684,K$3:K684,"="&amp;K684)</f>
        <v>2</v>
      </c>
      <c r="Z684" s="20">
        <f>SUMIFS(T$3:T684,L$3:L684,"=Intermission")+SUMIFS(T$3:T684,L$3:L684,"=Timeout")+SUMIFS(T$3:T684,L$3:L684,"=Clockstop")</f>
        <v>0</v>
      </c>
      <c r="AA684">
        <f t="shared" si="115"/>
        <v>0</v>
      </c>
      <c r="AB684" s="26">
        <f t="shared" si="116"/>
        <v>861</v>
      </c>
      <c r="AC684">
        <f t="shared" si="117"/>
        <v>0</v>
      </c>
    </row>
    <row r="685" spans="1:29" x14ac:dyDescent="0.2">
      <c r="A685">
        <v>358</v>
      </c>
      <c r="D685">
        <f t="shared" si="118"/>
        <v>1</v>
      </c>
      <c r="E685">
        <v>3</v>
      </c>
      <c r="F685" s="6" t="s">
        <v>481</v>
      </c>
      <c r="I685" t="s">
        <v>178</v>
      </c>
      <c r="J685">
        <v>39</v>
      </c>
      <c r="K685" t="s">
        <v>488</v>
      </c>
      <c r="L685" t="s">
        <v>17</v>
      </c>
      <c r="M685" t="s">
        <v>196</v>
      </c>
      <c r="N685" t="s">
        <v>97</v>
      </c>
      <c r="Q685">
        <f t="shared" si="120"/>
        <v>18977</v>
      </c>
      <c r="R685" t="str">
        <f t="shared" si="120"/>
        <v>Velodrome</v>
      </c>
      <c r="S685" t="str">
        <f t="shared" si="120"/>
        <v>HollowBrook</v>
      </c>
      <c r="T685" s="20">
        <f t="shared" si="111"/>
        <v>0</v>
      </c>
      <c r="U685">
        <f t="shared" si="112"/>
        <v>219</v>
      </c>
      <c r="V685">
        <f t="shared" si="113"/>
        <v>219</v>
      </c>
      <c r="W685" cm="1">
        <f t="array" ref="W685">_xlfn._xlws.FILTER(shifts!A:A,(shifts!B:B=events!D685)*(shifts!AH:AH&gt;=events!U685)*(shifts!AI:AI&lt;=events!V685))</f>
        <v>21</v>
      </c>
      <c r="X685" t="str">
        <f t="shared" si="110"/>
        <v>event_team_player_1</v>
      </c>
      <c r="Y685">
        <f>COUNTIFS(A$3:A685,"="&amp;A685,K$3:K685,"="&amp;K685)</f>
        <v>1</v>
      </c>
      <c r="Z685" s="20">
        <f>SUMIFS(T$3:T685,L$3:L685,"=Intermission")+SUMIFS(T$3:T685,L$3:L685,"=Timeout")+SUMIFS(T$3:T685,L$3:L685,"=Clockstop")</f>
        <v>0</v>
      </c>
      <c r="AA685">
        <f t="shared" si="115"/>
        <v>0</v>
      </c>
      <c r="AB685" s="26">
        <f t="shared" si="116"/>
        <v>861</v>
      </c>
      <c r="AC685">
        <f t="shared" si="117"/>
        <v>0</v>
      </c>
    </row>
    <row r="686" spans="1:29" x14ac:dyDescent="0.2">
      <c r="A686">
        <v>358</v>
      </c>
      <c r="D686">
        <f t="shared" si="118"/>
        <v>1</v>
      </c>
      <c r="E686">
        <v>3</v>
      </c>
      <c r="F686" s="6" t="s">
        <v>481</v>
      </c>
      <c r="I686" t="s">
        <v>178</v>
      </c>
      <c r="J686">
        <v>52</v>
      </c>
      <c r="K686" t="s">
        <v>488</v>
      </c>
      <c r="L686" t="s">
        <v>17</v>
      </c>
      <c r="M686" t="s">
        <v>196</v>
      </c>
      <c r="N686" t="s">
        <v>97</v>
      </c>
      <c r="Q686">
        <f t="shared" si="120"/>
        <v>18977</v>
      </c>
      <c r="R686" t="str">
        <f t="shared" si="120"/>
        <v>Velodrome</v>
      </c>
      <c r="S686" t="str">
        <f t="shared" si="120"/>
        <v>HollowBrook</v>
      </c>
      <c r="T686" s="20">
        <f t="shared" si="111"/>
        <v>0</v>
      </c>
      <c r="U686">
        <f t="shared" si="112"/>
        <v>219</v>
      </c>
      <c r="V686">
        <f t="shared" si="113"/>
        <v>219</v>
      </c>
      <c r="W686" cm="1">
        <f t="array" ref="W686">_xlfn._xlws.FILTER(shifts!A:A,(shifts!B:B=events!D686)*(shifts!AH:AH&gt;=events!U686)*(shifts!AI:AI&lt;=events!V686))</f>
        <v>21</v>
      </c>
      <c r="X686" t="str">
        <f t="shared" si="110"/>
        <v>event_team_player_2</v>
      </c>
      <c r="Y686">
        <f>COUNTIFS(A$3:A686,"="&amp;A686,K$3:K686,"="&amp;K686)</f>
        <v>2</v>
      </c>
      <c r="Z686" s="20">
        <f>SUMIFS(T$3:T686,L$3:L686,"=Intermission")+SUMIFS(T$3:T686,L$3:L686,"=Timeout")+SUMIFS(T$3:T686,L$3:L686,"=Clockstop")</f>
        <v>0</v>
      </c>
      <c r="AA686">
        <f t="shared" si="115"/>
        <v>0</v>
      </c>
      <c r="AB686" s="26">
        <f t="shared" si="116"/>
        <v>861</v>
      </c>
      <c r="AC686">
        <f t="shared" si="117"/>
        <v>0</v>
      </c>
    </row>
    <row r="687" spans="1:29" x14ac:dyDescent="0.2">
      <c r="A687">
        <v>358</v>
      </c>
      <c r="D687">
        <f t="shared" si="118"/>
        <v>1</v>
      </c>
      <c r="E687">
        <v>3</v>
      </c>
      <c r="F687" s="6" t="s">
        <v>481</v>
      </c>
      <c r="I687" t="s">
        <v>178</v>
      </c>
      <c r="J687">
        <v>18</v>
      </c>
      <c r="K687" t="s">
        <v>489</v>
      </c>
      <c r="L687" t="s">
        <v>17</v>
      </c>
      <c r="M687" t="s">
        <v>196</v>
      </c>
      <c r="N687" t="s">
        <v>97</v>
      </c>
      <c r="Q687">
        <f t="shared" si="120"/>
        <v>18977</v>
      </c>
      <c r="R687" t="str">
        <f t="shared" si="120"/>
        <v>Velodrome</v>
      </c>
      <c r="S687" t="str">
        <f t="shared" si="120"/>
        <v>HollowBrook</v>
      </c>
      <c r="T687" s="20">
        <f t="shared" si="111"/>
        <v>0</v>
      </c>
      <c r="U687">
        <f t="shared" si="112"/>
        <v>219</v>
      </c>
      <c r="V687">
        <f t="shared" si="113"/>
        <v>219</v>
      </c>
      <c r="W687" cm="1">
        <f t="array" ref="W687">_xlfn._xlws.FILTER(shifts!A:A,(shifts!B:B=events!D687)*(shifts!AH:AH&gt;=events!U687)*(shifts!AI:AI&lt;=events!V687))</f>
        <v>21</v>
      </c>
      <c r="X687" t="str">
        <f t="shared" si="110"/>
        <v>opp_team_player_1</v>
      </c>
      <c r="Y687">
        <f>COUNTIFS(A$3:A687,"="&amp;A687,K$3:K687,"="&amp;K687)</f>
        <v>1</v>
      </c>
      <c r="Z687" s="20">
        <f>SUMIFS(T$3:T687,L$3:L687,"=Intermission")+SUMIFS(T$3:T687,L$3:L687,"=Timeout")+SUMIFS(T$3:T687,L$3:L687,"=Clockstop")</f>
        <v>0</v>
      </c>
      <c r="AA687">
        <f t="shared" si="115"/>
        <v>0</v>
      </c>
      <c r="AB687" s="26">
        <f t="shared" si="116"/>
        <v>861</v>
      </c>
      <c r="AC687">
        <f t="shared" si="117"/>
        <v>0</v>
      </c>
    </row>
    <row r="688" spans="1:29" x14ac:dyDescent="0.2">
      <c r="A688">
        <v>358</v>
      </c>
      <c r="D688">
        <f t="shared" si="118"/>
        <v>1</v>
      </c>
      <c r="E688">
        <v>3</v>
      </c>
      <c r="F688" s="6" t="s">
        <v>481</v>
      </c>
      <c r="I688" t="s">
        <v>178</v>
      </c>
      <c r="J688">
        <v>11</v>
      </c>
      <c r="K688" t="s">
        <v>489</v>
      </c>
      <c r="L688" t="s">
        <v>17</v>
      </c>
      <c r="M688" t="s">
        <v>196</v>
      </c>
      <c r="N688" t="s">
        <v>97</v>
      </c>
      <c r="Q688">
        <f t="shared" si="120"/>
        <v>18977</v>
      </c>
      <c r="R688" t="str">
        <f t="shared" si="120"/>
        <v>Velodrome</v>
      </c>
      <c r="S688" t="str">
        <f t="shared" si="120"/>
        <v>HollowBrook</v>
      </c>
      <c r="T688" s="20">
        <f t="shared" si="111"/>
        <v>0</v>
      </c>
      <c r="U688">
        <f t="shared" si="112"/>
        <v>219</v>
      </c>
      <c r="V688">
        <f t="shared" si="113"/>
        <v>219</v>
      </c>
      <c r="W688" cm="1">
        <f t="array" ref="W688">_xlfn._xlws.FILTER(shifts!A:A,(shifts!B:B=events!D688)*(shifts!AH:AH&gt;=events!U688)*(shifts!AI:AI&lt;=events!V688))</f>
        <v>21</v>
      </c>
      <c r="X688" t="str">
        <f t="shared" si="110"/>
        <v>opp_team_player_2</v>
      </c>
      <c r="Y688">
        <f>COUNTIFS(A$3:A688,"="&amp;A688,K$3:K688,"="&amp;K688)</f>
        <v>2</v>
      </c>
      <c r="Z688" s="20">
        <f>SUMIFS(T$3:T688,L$3:L688,"=Intermission")+SUMIFS(T$3:T688,L$3:L688,"=Timeout")+SUMIFS(T$3:T688,L$3:L688,"=Clockstop")</f>
        <v>0</v>
      </c>
      <c r="AA688">
        <f t="shared" si="115"/>
        <v>0</v>
      </c>
      <c r="AB688" s="26">
        <f t="shared" si="116"/>
        <v>861</v>
      </c>
      <c r="AC688">
        <f t="shared" si="117"/>
        <v>0</v>
      </c>
    </row>
    <row r="689" spans="1:29" x14ac:dyDescent="0.2">
      <c r="A689">
        <v>359</v>
      </c>
      <c r="D689">
        <f t="shared" si="118"/>
        <v>1</v>
      </c>
      <c r="E689">
        <v>3</v>
      </c>
      <c r="F689" s="6" t="s">
        <v>481</v>
      </c>
      <c r="I689" t="s">
        <v>178</v>
      </c>
      <c r="J689">
        <v>39</v>
      </c>
      <c r="K689" t="s">
        <v>488</v>
      </c>
      <c r="L689" t="s">
        <v>270</v>
      </c>
      <c r="M689" t="s">
        <v>272</v>
      </c>
      <c r="Q689">
        <f t="shared" si="120"/>
        <v>18977</v>
      </c>
      <c r="R689" t="str">
        <f t="shared" si="120"/>
        <v>Velodrome</v>
      </c>
      <c r="S689" t="str">
        <f t="shared" si="120"/>
        <v>HollowBrook</v>
      </c>
      <c r="T689" s="20">
        <f t="shared" si="111"/>
        <v>0</v>
      </c>
      <c r="U689">
        <f t="shared" si="112"/>
        <v>219</v>
      </c>
      <c r="V689">
        <f t="shared" si="113"/>
        <v>219</v>
      </c>
      <c r="W689" cm="1">
        <f t="array" ref="W689">_xlfn._xlws.FILTER(shifts!A:A,(shifts!B:B=events!D689)*(shifts!AH:AH&gt;=events!U689)*(shifts!AI:AI&lt;=events!V689))</f>
        <v>21</v>
      </c>
      <c r="X689" t="str">
        <f t="shared" si="110"/>
        <v>event_team_player_1</v>
      </c>
      <c r="Y689">
        <f>COUNTIFS(A$3:A689,"="&amp;A689,K$3:K689,"="&amp;K689)</f>
        <v>1</v>
      </c>
      <c r="Z689" s="20">
        <f>SUMIFS(T$3:T689,L$3:L689,"=Intermission")+SUMIFS(T$3:T689,L$3:L689,"=Timeout")+SUMIFS(T$3:T689,L$3:L689,"=Clockstop")</f>
        <v>0</v>
      </c>
      <c r="AA689">
        <f t="shared" si="115"/>
        <v>0</v>
      </c>
      <c r="AB689" s="26">
        <f t="shared" si="116"/>
        <v>861</v>
      </c>
      <c r="AC689">
        <f t="shared" si="117"/>
        <v>0</v>
      </c>
    </row>
    <row r="690" spans="1:29" x14ac:dyDescent="0.2">
      <c r="A690">
        <v>360</v>
      </c>
      <c r="D690">
        <f t="shared" si="118"/>
        <v>1</v>
      </c>
      <c r="E690">
        <v>3</v>
      </c>
      <c r="F690" s="6" t="s">
        <v>439</v>
      </c>
      <c r="G690">
        <v>3</v>
      </c>
      <c r="H690" s="8" t="s">
        <v>493</v>
      </c>
      <c r="I690" t="s">
        <v>179</v>
      </c>
      <c r="J690">
        <v>13</v>
      </c>
      <c r="K690" t="s">
        <v>488</v>
      </c>
      <c r="L690" t="s">
        <v>15</v>
      </c>
      <c r="Q690">
        <f t="shared" si="120"/>
        <v>18977</v>
      </c>
      <c r="R690" t="str">
        <f t="shared" si="120"/>
        <v>Velodrome</v>
      </c>
      <c r="S690" t="str">
        <f t="shared" si="120"/>
        <v>HollowBrook</v>
      </c>
      <c r="T690" s="20">
        <f t="shared" si="111"/>
        <v>3</v>
      </c>
      <c r="U690">
        <f t="shared" si="112"/>
        <v>214</v>
      </c>
      <c r="V690">
        <f t="shared" si="113"/>
        <v>211</v>
      </c>
      <c r="W690" cm="1">
        <f t="array" ref="W690">_xlfn._xlws.FILTER(shifts!A:A,(shifts!B:B=events!D690)*(shifts!AH:AH&gt;=events!U690)*(shifts!AI:AI&lt;=events!V690))</f>
        <v>21</v>
      </c>
      <c r="X690" t="str">
        <f t="shared" si="110"/>
        <v>event_team_player_1</v>
      </c>
      <c r="Y690">
        <f>COUNTIFS(A$3:A690,"="&amp;A690,K$3:K690,"="&amp;K690)</f>
        <v>1</v>
      </c>
      <c r="Z690" s="20">
        <f>SUMIFS(T$3:T690,L$3:L690,"=Intermission")+SUMIFS(T$3:T690,L$3:L690,"=Timeout")+SUMIFS(T$3:T690,L$3:L690,"=Clockstop")</f>
        <v>0</v>
      </c>
      <c r="AA690">
        <f t="shared" si="115"/>
        <v>0</v>
      </c>
      <c r="AB690" s="26">
        <f t="shared" si="116"/>
        <v>866</v>
      </c>
      <c r="AC690">
        <f t="shared" si="117"/>
        <v>0</v>
      </c>
    </row>
    <row r="691" spans="1:29" x14ac:dyDescent="0.2">
      <c r="A691">
        <v>360</v>
      </c>
      <c r="D691">
        <f t="shared" si="118"/>
        <v>1</v>
      </c>
      <c r="E691">
        <v>3</v>
      </c>
      <c r="F691" s="6" t="s">
        <v>439</v>
      </c>
      <c r="G691">
        <v>3</v>
      </c>
      <c r="H691" s="8" t="s">
        <v>493</v>
      </c>
      <c r="I691" t="s">
        <v>179</v>
      </c>
      <c r="J691">
        <v>52</v>
      </c>
      <c r="K691" t="s">
        <v>489</v>
      </c>
      <c r="L691" t="s">
        <v>15</v>
      </c>
      <c r="Q691">
        <f t="shared" si="120"/>
        <v>18977</v>
      </c>
      <c r="R691" t="str">
        <f t="shared" si="120"/>
        <v>Velodrome</v>
      </c>
      <c r="S691" t="str">
        <f t="shared" si="120"/>
        <v>HollowBrook</v>
      </c>
      <c r="T691" s="20">
        <f t="shared" si="111"/>
        <v>3</v>
      </c>
      <c r="U691">
        <f t="shared" si="112"/>
        <v>214</v>
      </c>
      <c r="V691">
        <f t="shared" si="113"/>
        <v>211</v>
      </c>
      <c r="W691" cm="1">
        <f t="array" ref="W691">_xlfn._xlws.FILTER(shifts!A:A,(shifts!B:B=events!D691)*(shifts!AH:AH&gt;=events!U691)*(shifts!AI:AI&lt;=events!V691))</f>
        <v>21</v>
      </c>
      <c r="X691" t="str">
        <f t="shared" si="110"/>
        <v>opp_team_player_1</v>
      </c>
      <c r="Y691">
        <f>COUNTIFS(A$3:A691,"="&amp;A691,K$3:K691,"="&amp;K691)</f>
        <v>1</v>
      </c>
      <c r="Z691" s="20">
        <f>SUMIFS(T$3:T691,L$3:L691,"=Intermission")+SUMIFS(T$3:T691,L$3:L691,"=Timeout")+SUMIFS(T$3:T691,L$3:L691,"=Clockstop")</f>
        <v>0</v>
      </c>
      <c r="AA691">
        <f t="shared" si="115"/>
        <v>0</v>
      </c>
      <c r="AB691" s="26">
        <f t="shared" si="116"/>
        <v>866</v>
      </c>
      <c r="AC691">
        <f t="shared" si="117"/>
        <v>0</v>
      </c>
    </row>
    <row r="692" spans="1:29" x14ac:dyDescent="0.2">
      <c r="A692">
        <v>361</v>
      </c>
      <c r="D692">
        <f t="shared" si="118"/>
        <v>1</v>
      </c>
      <c r="E692">
        <v>3</v>
      </c>
      <c r="F692" s="6" t="s">
        <v>441</v>
      </c>
      <c r="I692" t="s">
        <v>179</v>
      </c>
      <c r="J692">
        <v>11</v>
      </c>
      <c r="K692" t="s">
        <v>488</v>
      </c>
      <c r="L692" t="s">
        <v>8</v>
      </c>
      <c r="M692" t="s">
        <v>189</v>
      </c>
      <c r="N692" t="s">
        <v>70</v>
      </c>
      <c r="Q692">
        <f t="shared" ref="Q692:S708" si="121">Q691</f>
        <v>18977</v>
      </c>
      <c r="R692" t="str">
        <f t="shared" si="121"/>
        <v>Velodrome</v>
      </c>
      <c r="S692" t="str">
        <f t="shared" si="121"/>
        <v>HollowBrook</v>
      </c>
      <c r="T692" s="20">
        <f t="shared" si="111"/>
        <v>0</v>
      </c>
      <c r="U692">
        <f t="shared" si="112"/>
        <v>205</v>
      </c>
      <c r="V692">
        <f t="shared" si="113"/>
        <v>205</v>
      </c>
      <c r="W692" cm="1">
        <f t="array" ref="W692">_xlfn._xlws.FILTER(shifts!A:A,(shifts!B:B=events!D692)*(shifts!AH:AH&gt;=events!U692)*(shifts!AI:AI&lt;=events!V692))</f>
        <v>21</v>
      </c>
      <c r="X692" t="str">
        <f t="shared" ref="X692:X756" si="122">IF(K692="e","event_team_player_"&amp;Y692,IF(K692="o","opp_team_player_"&amp;Y692,""))</f>
        <v>event_team_player_1</v>
      </c>
      <c r="Y692">
        <f>COUNTIFS(A$3:A692,"="&amp;A692,K$3:K692,"="&amp;K692)</f>
        <v>1</v>
      </c>
      <c r="Z692" s="20">
        <f>SUMIFS(T$3:T692,L$3:L692,"=Intermission")+SUMIFS(T$3:T692,L$3:L692,"=Timeout")+SUMIFS(T$3:T692,L$3:L692,"=Clockstop")</f>
        <v>0</v>
      </c>
      <c r="AA692">
        <f t="shared" si="115"/>
        <v>0</v>
      </c>
      <c r="AB692" s="26">
        <f t="shared" si="116"/>
        <v>875</v>
      </c>
      <c r="AC692">
        <f t="shared" si="117"/>
        <v>0</v>
      </c>
    </row>
    <row r="693" spans="1:29" x14ac:dyDescent="0.2">
      <c r="A693">
        <v>361</v>
      </c>
      <c r="D693">
        <f t="shared" si="118"/>
        <v>1</v>
      </c>
      <c r="E693">
        <v>3</v>
      </c>
      <c r="F693" s="6" t="s">
        <v>441</v>
      </c>
      <c r="I693" t="s">
        <v>179</v>
      </c>
      <c r="J693">
        <v>2</v>
      </c>
      <c r="K693" t="s">
        <v>488</v>
      </c>
      <c r="L693" t="s">
        <v>8</v>
      </c>
      <c r="M693" t="s">
        <v>189</v>
      </c>
      <c r="N693" t="s">
        <v>70</v>
      </c>
      <c r="Q693">
        <f t="shared" si="121"/>
        <v>18977</v>
      </c>
      <c r="R693" t="str">
        <f t="shared" si="121"/>
        <v>Velodrome</v>
      </c>
      <c r="S693" t="str">
        <f t="shared" si="121"/>
        <v>HollowBrook</v>
      </c>
      <c r="T693" s="20">
        <f t="shared" si="111"/>
        <v>0</v>
      </c>
      <c r="U693">
        <f t="shared" si="112"/>
        <v>205</v>
      </c>
      <c r="V693">
        <f t="shared" si="113"/>
        <v>205</v>
      </c>
      <c r="W693" cm="1">
        <f t="array" ref="W693">_xlfn._xlws.FILTER(shifts!A:A,(shifts!B:B=events!D693)*(shifts!AH:AH&gt;=events!U693)*(shifts!AI:AI&lt;=events!V693))</f>
        <v>21</v>
      </c>
      <c r="X693" t="str">
        <f t="shared" si="122"/>
        <v>event_team_player_2</v>
      </c>
      <c r="Y693">
        <f>COUNTIFS(A$3:A693,"="&amp;A693,K$3:K693,"="&amp;K693)</f>
        <v>2</v>
      </c>
      <c r="Z693" s="20">
        <f>SUMIFS(T$3:T693,L$3:L693,"=Intermission")+SUMIFS(T$3:T693,L$3:L693,"=Timeout")+SUMIFS(T$3:T693,L$3:L693,"=Clockstop")</f>
        <v>0</v>
      </c>
      <c r="AA693">
        <f t="shared" si="115"/>
        <v>0</v>
      </c>
      <c r="AB693" s="26">
        <f t="shared" si="116"/>
        <v>875</v>
      </c>
      <c r="AC693">
        <f t="shared" si="117"/>
        <v>0</v>
      </c>
    </row>
    <row r="694" spans="1:29" x14ac:dyDescent="0.2">
      <c r="A694">
        <v>362</v>
      </c>
      <c r="D694">
        <f t="shared" si="118"/>
        <v>1</v>
      </c>
      <c r="E694">
        <v>3</v>
      </c>
      <c r="F694" s="6" t="s">
        <v>444</v>
      </c>
      <c r="I694" t="s">
        <v>179</v>
      </c>
      <c r="J694">
        <v>2</v>
      </c>
      <c r="K694" t="s">
        <v>488</v>
      </c>
      <c r="L694" t="s">
        <v>7</v>
      </c>
      <c r="M694" t="s">
        <v>208</v>
      </c>
      <c r="N694" t="s">
        <v>53</v>
      </c>
      <c r="Q694">
        <f t="shared" si="121"/>
        <v>18977</v>
      </c>
      <c r="R694" t="str">
        <f t="shared" si="121"/>
        <v>Velodrome</v>
      </c>
      <c r="S694" t="str">
        <f t="shared" si="121"/>
        <v>HollowBrook</v>
      </c>
      <c r="T694" s="20">
        <f t="shared" si="111"/>
        <v>0</v>
      </c>
      <c r="U694">
        <f t="shared" si="112"/>
        <v>204</v>
      </c>
      <c r="V694">
        <f t="shared" si="113"/>
        <v>204</v>
      </c>
      <c r="W694" cm="1">
        <f t="array" ref="W694">_xlfn._xlws.FILTER(shifts!A:A,(shifts!B:B=events!D694)*(shifts!AH:AH&gt;=events!U694)*(shifts!AI:AI&lt;=events!V694))</f>
        <v>21</v>
      </c>
      <c r="X694" t="str">
        <f t="shared" si="122"/>
        <v>event_team_player_1</v>
      </c>
      <c r="Y694">
        <f>COUNTIFS(A$3:A694,"="&amp;A694,K$3:K694,"="&amp;K694)</f>
        <v>1</v>
      </c>
      <c r="Z694" s="20">
        <f>SUMIFS(T$3:T694,L$3:L694,"=Intermission")+SUMIFS(T$3:T694,L$3:L694,"=Timeout")+SUMIFS(T$3:T694,L$3:L694,"=Clockstop")</f>
        <v>0</v>
      </c>
      <c r="AA694">
        <f t="shared" si="115"/>
        <v>0</v>
      </c>
      <c r="AB694" s="26">
        <f t="shared" si="116"/>
        <v>876</v>
      </c>
      <c r="AC694">
        <f t="shared" si="117"/>
        <v>0</v>
      </c>
    </row>
    <row r="695" spans="1:29" x14ac:dyDescent="0.2">
      <c r="A695">
        <v>362</v>
      </c>
      <c r="D695">
        <f t="shared" si="118"/>
        <v>1</v>
      </c>
      <c r="E695">
        <v>3</v>
      </c>
      <c r="F695" s="6" t="s">
        <v>444</v>
      </c>
      <c r="I695" t="s">
        <v>179</v>
      </c>
      <c r="J695">
        <v>70</v>
      </c>
      <c r="K695" t="s">
        <v>489</v>
      </c>
      <c r="L695" t="s">
        <v>7</v>
      </c>
      <c r="M695" t="s">
        <v>208</v>
      </c>
      <c r="N695" t="s">
        <v>53</v>
      </c>
      <c r="Q695">
        <f t="shared" si="121"/>
        <v>18977</v>
      </c>
      <c r="R695" t="str">
        <f t="shared" si="121"/>
        <v>Velodrome</v>
      </c>
      <c r="S695" t="str">
        <f t="shared" si="121"/>
        <v>HollowBrook</v>
      </c>
      <c r="T695" s="20">
        <f t="shared" si="111"/>
        <v>0</v>
      </c>
      <c r="U695">
        <f t="shared" si="112"/>
        <v>204</v>
      </c>
      <c r="V695">
        <f t="shared" si="113"/>
        <v>204</v>
      </c>
      <c r="W695" cm="1">
        <f t="array" ref="W695">_xlfn._xlws.FILTER(shifts!A:A,(shifts!B:B=events!D695)*(shifts!AH:AH&gt;=events!U695)*(shifts!AI:AI&lt;=events!V695))</f>
        <v>21</v>
      </c>
      <c r="X695" t="str">
        <f t="shared" si="122"/>
        <v>opp_team_player_1</v>
      </c>
      <c r="Y695">
        <f>COUNTIFS(A$3:A695,"="&amp;A695,K$3:K695,"="&amp;K695)</f>
        <v>1</v>
      </c>
      <c r="Z695" s="20">
        <f>SUMIFS(T$3:T695,L$3:L695,"=Intermission")+SUMIFS(T$3:T695,L$3:L695,"=Timeout")+SUMIFS(T$3:T695,L$3:L695,"=Clockstop")</f>
        <v>0</v>
      </c>
      <c r="AA695">
        <f t="shared" si="115"/>
        <v>0</v>
      </c>
      <c r="AB695" s="26">
        <f t="shared" si="116"/>
        <v>876</v>
      </c>
      <c r="AC695">
        <f t="shared" si="117"/>
        <v>0</v>
      </c>
    </row>
    <row r="696" spans="1:29" x14ac:dyDescent="0.2">
      <c r="A696">
        <v>363</v>
      </c>
      <c r="D696">
        <f t="shared" si="118"/>
        <v>1</v>
      </c>
      <c r="E696">
        <v>3</v>
      </c>
      <c r="F696" s="6" t="s">
        <v>444</v>
      </c>
      <c r="I696" t="s">
        <v>179</v>
      </c>
      <c r="J696">
        <v>2</v>
      </c>
      <c r="K696" t="s">
        <v>488</v>
      </c>
      <c r="L696" t="s">
        <v>10</v>
      </c>
      <c r="M696" t="s">
        <v>190</v>
      </c>
      <c r="N696" t="s">
        <v>78</v>
      </c>
      <c r="Q696">
        <f t="shared" si="121"/>
        <v>18977</v>
      </c>
      <c r="R696" t="str">
        <f t="shared" si="121"/>
        <v>Velodrome</v>
      </c>
      <c r="S696" t="str">
        <f t="shared" si="121"/>
        <v>HollowBrook</v>
      </c>
      <c r="T696" s="20">
        <f t="shared" si="111"/>
        <v>0</v>
      </c>
      <c r="U696">
        <f t="shared" si="112"/>
        <v>204</v>
      </c>
      <c r="V696">
        <f t="shared" si="113"/>
        <v>204</v>
      </c>
      <c r="W696" cm="1">
        <f t="array" ref="W696">_xlfn._xlws.FILTER(shifts!A:A,(shifts!B:B=events!D696)*(shifts!AH:AH&gt;=events!U696)*(shifts!AI:AI&lt;=events!V696))</f>
        <v>21</v>
      </c>
      <c r="X696" t="str">
        <f t="shared" si="122"/>
        <v>event_team_player_1</v>
      </c>
      <c r="Y696">
        <f>COUNTIFS(A$3:A696,"="&amp;A696,K$3:K696,"="&amp;K696)</f>
        <v>1</v>
      </c>
      <c r="Z696" s="20">
        <f>SUMIFS(T$3:T696,L$3:L696,"=Intermission")+SUMIFS(T$3:T696,L$3:L696,"=Timeout")+SUMIFS(T$3:T696,L$3:L696,"=Clockstop")</f>
        <v>0</v>
      </c>
      <c r="AA696">
        <f t="shared" si="115"/>
        <v>0</v>
      </c>
      <c r="AB696" s="26">
        <f t="shared" si="116"/>
        <v>876</v>
      </c>
      <c r="AC696">
        <f t="shared" si="117"/>
        <v>0</v>
      </c>
    </row>
    <row r="697" spans="1:29" x14ac:dyDescent="0.2">
      <c r="A697">
        <v>363</v>
      </c>
      <c r="D697">
        <f t="shared" si="118"/>
        <v>1</v>
      </c>
      <c r="E697">
        <v>3</v>
      </c>
      <c r="F697" s="6" t="s">
        <v>444</v>
      </c>
      <c r="I697" t="s">
        <v>179</v>
      </c>
      <c r="J697">
        <v>70</v>
      </c>
      <c r="K697" t="s">
        <v>489</v>
      </c>
      <c r="L697" t="s">
        <v>10</v>
      </c>
      <c r="M697" t="s">
        <v>190</v>
      </c>
      <c r="N697" t="s">
        <v>78</v>
      </c>
      <c r="Q697">
        <f t="shared" si="121"/>
        <v>18977</v>
      </c>
      <c r="R697" t="str">
        <f t="shared" si="121"/>
        <v>Velodrome</v>
      </c>
      <c r="S697" t="str">
        <f t="shared" si="121"/>
        <v>HollowBrook</v>
      </c>
      <c r="T697" s="20">
        <f t="shared" si="111"/>
        <v>0</v>
      </c>
      <c r="U697">
        <f t="shared" si="112"/>
        <v>204</v>
      </c>
      <c r="V697">
        <f t="shared" si="113"/>
        <v>204</v>
      </c>
      <c r="W697" cm="1">
        <f t="array" ref="W697">_xlfn._xlws.FILTER(shifts!A:A,(shifts!B:B=events!D697)*(shifts!AH:AH&gt;=events!U697)*(shifts!AI:AI&lt;=events!V697))</f>
        <v>21</v>
      </c>
      <c r="X697" t="str">
        <f t="shared" si="122"/>
        <v>opp_team_player_1</v>
      </c>
      <c r="Y697">
        <f>COUNTIFS(A$3:A697,"="&amp;A697,K$3:K697,"="&amp;K697)</f>
        <v>1</v>
      </c>
      <c r="Z697" s="20">
        <f>SUMIFS(T$3:T697,L$3:L697,"=Intermission")+SUMIFS(T$3:T697,L$3:L697,"=Timeout")+SUMIFS(T$3:T697,L$3:L697,"=Clockstop")</f>
        <v>0</v>
      </c>
      <c r="AA697">
        <f t="shared" si="115"/>
        <v>0</v>
      </c>
      <c r="AB697" s="26">
        <f t="shared" si="116"/>
        <v>876</v>
      </c>
      <c r="AC697">
        <f t="shared" si="117"/>
        <v>0</v>
      </c>
    </row>
    <row r="698" spans="1:29" x14ac:dyDescent="0.2">
      <c r="A698">
        <v>364</v>
      </c>
      <c r="D698">
        <f t="shared" si="118"/>
        <v>1</v>
      </c>
      <c r="E698">
        <v>3</v>
      </c>
      <c r="F698" s="6" t="s">
        <v>456</v>
      </c>
      <c r="I698" t="s">
        <v>178</v>
      </c>
      <c r="J698">
        <v>70</v>
      </c>
      <c r="K698" t="s">
        <v>488</v>
      </c>
      <c r="L698" t="s">
        <v>277</v>
      </c>
      <c r="M698" t="s">
        <v>201</v>
      </c>
      <c r="N698" t="s">
        <v>183</v>
      </c>
      <c r="Q698">
        <f t="shared" si="121"/>
        <v>18977</v>
      </c>
      <c r="R698" t="str">
        <f t="shared" si="121"/>
        <v>Velodrome</v>
      </c>
      <c r="S698" t="str">
        <f t="shared" si="121"/>
        <v>HollowBrook</v>
      </c>
      <c r="T698" s="20">
        <f t="shared" si="111"/>
        <v>0</v>
      </c>
      <c r="U698">
        <f t="shared" si="112"/>
        <v>203</v>
      </c>
      <c r="V698">
        <f t="shared" si="113"/>
        <v>203</v>
      </c>
      <c r="W698" cm="1">
        <f t="array" ref="W698">_xlfn._xlws.FILTER(shifts!A:A,(shifts!B:B=events!D698)*(shifts!AH:AH&gt;=events!U698)*(shifts!AI:AI&lt;=events!V698))</f>
        <v>21</v>
      </c>
      <c r="X698" t="str">
        <f t="shared" si="122"/>
        <v>event_team_player_1</v>
      </c>
      <c r="Y698">
        <f>COUNTIFS(A$3:A698,"="&amp;A698,K$3:K698,"="&amp;K698)</f>
        <v>1</v>
      </c>
      <c r="Z698" s="20">
        <f>SUMIFS(T$3:T698,L$3:L698,"=Intermission")+SUMIFS(T$3:T698,L$3:L698,"=Timeout")+SUMIFS(T$3:T698,L$3:L698,"=Clockstop")</f>
        <v>0</v>
      </c>
      <c r="AA698">
        <f t="shared" si="115"/>
        <v>0</v>
      </c>
      <c r="AB698" s="26">
        <f t="shared" si="116"/>
        <v>877</v>
      </c>
      <c r="AC698">
        <f t="shared" si="117"/>
        <v>0</v>
      </c>
    </row>
    <row r="699" spans="1:29" x14ac:dyDescent="0.2">
      <c r="A699">
        <v>365</v>
      </c>
      <c r="D699">
        <f t="shared" si="118"/>
        <v>1</v>
      </c>
      <c r="E699">
        <v>3</v>
      </c>
      <c r="F699" s="6" t="s">
        <v>422</v>
      </c>
      <c r="I699" t="s">
        <v>178</v>
      </c>
      <c r="J699">
        <v>70</v>
      </c>
      <c r="K699" t="s">
        <v>488</v>
      </c>
      <c r="L699" t="s">
        <v>277</v>
      </c>
      <c r="M699" t="s">
        <v>191</v>
      </c>
      <c r="N699" t="s">
        <v>87</v>
      </c>
      <c r="Q699">
        <f t="shared" si="121"/>
        <v>18977</v>
      </c>
      <c r="R699" t="str">
        <f t="shared" si="121"/>
        <v>Velodrome</v>
      </c>
      <c r="S699" t="str">
        <f t="shared" si="121"/>
        <v>HollowBrook</v>
      </c>
      <c r="T699" s="20">
        <f t="shared" si="111"/>
        <v>0</v>
      </c>
      <c r="U699">
        <f t="shared" si="112"/>
        <v>200</v>
      </c>
      <c r="V699">
        <f t="shared" si="113"/>
        <v>200</v>
      </c>
      <c r="W699" cm="1">
        <f t="array" ref="W699">_xlfn._xlws.FILTER(shifts!A:A,(shifts!B:B=events!D699)*(shifts!AH:AH&gt;=events!U699)*(shifts!AI:AI&lt;=events!V699))</f>
        <v>22</v>
      </c>
      <c r="X699" t="str">
        <f t="shared" si="122"/>
        <v>event_team_player_1</v>
      </c>
      <c r="Y699">
        <f>COUNTIFS(A$3:A699,"="&amp;A699,K$3:K699,"="&amp;K699)</f>
        <v>1</v>
      </c>
      <c r="Z699" s="20">
        <f>SUMIFS(T$3:T699,L$3:L699,"=Intermission")+SUMIFS(T$3:T699,L$3:L699,"=Timeout")+SUMIFS(T$3:T699,L$3:L699,"=Clockstop")</f>
        <v>0</v>
      </c>
      <c r="AA699">
        <f t="shared" si="115"/>
        <v>0</v>
      </c>
      <c r="AB699" s="26">
        <f t="shared" si="116"/>
        <v>880</v>
      </c>
      <c r="AC699">
        <f t="shared" si="117"/>
        <v>0</v>
      </c>
    </row>
    <row r="700" spans="1:29" x14ac:dyDescent="0.2">
      <c r="A700">
        <v>365</v>
      </c>
      <c r="D700">
        <f t="shared" si="118"/>
        <v>1</v>
      </c>
      <c r="E700">
        <v>3</v>
      </c>
      <c r="F700" s="6" t="s">
        <v>422</v>
      </c>
      <c r="I700" t="s">
        <v>178</v>
      </c>
      <c r="J700">
        <v>18</v>
      </c>
      <c r="K700" t="s">
        <v>489</v>
      </c>
      <c r="L700" t="s">
        <v>277</v>
      </c>
      <c r="M700" t="s">
        <v>191</v>
      </c>
      <c r="N700" t="s">
        <v>87</v>
      </c>
      <c r="Q700">
        <f t="shared" si="121"/>
        <v>18977</v>
      </c>
      <c r="R700" t="str">
        <f t="shared" si="121"/>
        <v>Velodrome</v>
      </c>
      <c r="S700" t="str">
        <f t="shared" si="121"/>
        <v>HollowBrook</v>
      </c>
      <c r="T700" s="20">
        <f t="shared" si="111"/>
        <v>0</v>
      </c>
      <c r="U700">
        <f t="shared" si="112"/>
        <v>200</v>
      </c>
      <c r="V700">
        <f t="shared" si="113"/>
        <v>200</v>
      </c>
      <c r="W700" cm="1">
        <f t="array" ref="W700">_xlfn._xlws.FILTER(shifts!A:A,(shifts!B:B=events!D700)*(shifts!AH:AH&gt;=events!U700)*(shifts!AI:AI&lt;=events!V700))</f>
        <v>22</v>
      </c>
      <c r="X700" t="str">
        <f t="shared" si="122"/>
        <v>opp_team_player_1</v>
      </c>
      <c r="Y700">
        <f>COUNTIFS(A$3:A700,"="&amp;A700,K$3:K700,"="&amp;K700)</f>
        <v>1</v>
      </c>
      <c r="Z700" s="20">
        <f>SUMIFS(T$3:T700,L$3:L700,"=Intermission")+SUMIFS(T$3:T700,L$3:L700,"=Timeout")+SUMIFS(T$3:T700,L$3:L700,"=Clockstop")</f>
        <v>0</v>
      </c>
      <c r="AA700">
        <f t="shared" si="115"/>
        <v>0</v>
      </c>
      <c r="AB700" s="26">
        <f t="shared" si="116"/>
        <v>880</v>
      </c>
      <c r="AC700">
        <f t="shared" si="117"/>
        <v>0</v>
      </c>
    </row>
    <row r="701" spans="1:29" x14ac:dyDescent="0.2">
      <c r="A701">
        <v>366</v>
      </c>
      <c r="D701">
        <f t="shared" si="118"/>
        <v>1</v>
      </c>
      <c r="E701">
        <v>3</v>
      </c>
      <c r="F701" s="6" t="s">
        <v>422</v>
      </c>
      <c r="G701">
        <v>3</v>
      </c>
      <c r="H701" s="8" t="s">
        <v>485</v>
      </c>
      <c r="I701" t="s">
        <v>178</v>
      </c>
      <c r="J701">
        <v>70</v>
      </c>
      <c r="K701" t="s">
        <v>488</v>
      </c>
      <c r="L701" t="s">
        <v>15</v>
      </c>
      <c r="Q701">
        <f t="shared" si="121"/>
        <v>18977</v>
      </c>
      <c r="R701" t="str">
        <f t="shared" si="121"/>
        <v>Velodrome</v>
      </c>
      <c r="S701" t="str">
        <f t="shared" si="121"/>
        <v>HollowBrook</v>
      </c>
      <c r="T701" s="20">
        <f t="shared" si="111"/>
        <v>2</v>
      </c>
      <c r="U701">
        <f t="shared" si="112"/>
        <v>200</v>
      </c>
      <c r="V701">
        <f t="shared" si="113"/>
        <v>198</v>
      </c>
      <c r="W701" cm="1">
        <f t="array" ref="W701">_xlfn._xlws.FILTER(shifts!A:A,(shifts!B:B=events!D701)*(shifts!AH:AH&gt;=events!U701)*(shifts!AI:AI&lt;=events!V701))</f>
        <v>22</v>
      </c>
      <c r="X701" t="str">
        <f t="shared" si="122"/>
        <v>event_team_player_1</v>
      </c>
      <c r="Y701">
        <f>COUNTIFS(A$3:A701,"="&amp;A701,K$3:K701,"="&amp;K701)</f>
        <v>1</v>
      </c>
      <c r="Z701" s="20">
        <f>SUMIFS(T$3:T701,L$3:L701,"=Intermission")+SUMIFS(T$3:T701,L$3:L701,"=Timeout")+SUMIFS(T$3:T701,L$3:L701,"=Clockstop")</f>
        <v>0</v>
      </c>
      <c r="AA701">
        <f t="shared" si="115"/>
        <v>0</v>
      </c>
      <c r="AB701" s="26">
        <f t="shared" si="116"/>
        <v>880</v>
      </c>
      <c r="AC701">
        <f t="shared" si="117"/>
        <v>0</v>
      </c>
    </row>
    <row r="702" spans="1:29" x14ac:dyDescent="0.2">
      <c r="A702">
        <v>367</v>
      </c>
      <c r="D702">
        <f t="shared" si="118"/>
        <v>1</v>
      </c>
      <c r="E702">
        <v>3</v>
      </c>
      <c r="F702" s="6" t="s">
        <v>485</v>
      </c>
      <c r="I702" t="s">
        <v>178</v>
      </c>
      <c r="J702">
        <v>70</v>
      </c>
      <c r="K702" t="s">
        <v>488</v>
      </c>
      <c r="L702" t="s">
        <v>8</v>
      </c>
      <c r="M702" t="s">
        <v>189</v>
      </c>
      <c r="N702" t="s">
        <v>70</v>
      </c>
      <c r="Q702">
        <f t="shared" si="121"/>
        <v>18977</v>
      </c>
      <c r="R702" t="str">
        <f t="shared" si="121"/>
        <v>Velodrome</v>
      </c>
      <c r="S702" t="str">
        <f t="shared" si="121"/>
        <v>HollowBrook</v>
      </c>
      <c r="T702" s="20">
        <f t="shared" si="111"/>
        <v>0</v>
      </c>
      <c r="U702">
        <f t="shared" si="112"/>
        <v>198</v>
      </c>
      <c r="V702">
        <f t="shared" si="113"/>
        <v>198</v>
      </c>
      <c r="W702" cm="1">
        <f t="array" ref="W702">_xlfn._xlws.FILTER(shifts!A:A,(shifts!B:B=events!D702)*(shifts!AH:AH&gt;=events!U702)*(shifts!AI:AI&lt;=events!V702))</f>
        <v>22</v>
      </c>
      <c r="X702" t="str">
        <f t="shared" si="122"/>
        <v>event_team_player_1</v>
      </c>
      <c r="Y702">
        <f>COUNTIFS(A$3:A702,"="&amp;A702,K$3:K702,"="&amp;K702)</f>
        <v>1</v>
      </c>
      <c r="Z702" s="20">
        <f>SUMIFS(T$3:T702,L$3:L702,"=Intermission")+SUMIFS(T$3:T702,L$3:L702,"=Timeout")+SUMIFS(T$3:T702,L$3:L702,"=Clockstop")</f>
        <v>0</v>
      </c>
      <c r="AA702">
        <f t="shared" si="115"/>
        <v>0</v>
      </c>
      <c r="AB702" s="26">
        <f t="shared" si="116"/>
        <v>882</v>
      </c>
      <c r="AC702">
        <f t="shared" si="117"/>
        <v>0</v>
      </c>
    </row>
    <row r="703" spans="1:29" x14ac:dyDescent="0.2">
      <c r="A703">
        <v>367</v>
      </c>
      <c r="D703">
        <f t="shared" si="118"/>
        <v>1</v>
      </c>
      <c r="E703">
        <v>3</v>
      </c>
      <c r="F703" s="6" t="s">
        <v>485</v>
      </c>
      <c r="I703" t="s">
        <v>178</v>
      </c>
      <c r="J703">
        <v>49</v>
      </c>
      <c r="K703" t="s">
        <v>488</v>
      </c>
      <c r="L703" t="s">
        <v>8</v>
      </c>
      <c r="M703" t="s">
        <v>189</v>
      </c>
      <c r="N703" t="s">
        <v>70</v>
      </c>
      <c r="Q703">
        <f t="shared" si="121"/>
        <v>18977</v>
      </c>
      <c r="R703" t="str">
        <f t="shared" si="121"/>
        <v>Velodrome</v>
      </c>
      <c r="S703" t="str">
        <f t="shared" si="121"/>
        <v>HollowBrook</v>
      </c>
      <c r="T703" s="20">
        <f t="shared" si="111"/>
        <v>0</v>
      </c>
      <c r="U703">
        <f t="shared" si="112"/>
        <v>198</v>
      </c>
      <c r="V703">
        <f t="shared" si="113"/>
        <v>198</v>
      </c>
      <c r="W703" cm="1">
        <f t="array" ref="W703">_xlfn._xlws.FILTER(shifts!A:A,(shifts!B:B=events!D703)*(shifts!AH:AH&gt;=events!U703)*(shifts!AI:AI&lt;=events!V703))</f>
        <v>22</v>
      </c>
      <c r="X703" t="str">
        <f t="shared" si="122"/>
        <v>event_team_player_2</v>
      </c>
      <c r="Y703">
        <f>COUNTIFS(A$3:A703,"="&amp;A703,K$3:K703,"="&amp;K703)</f>
        <v>2</v>
      </c>
      <c r="Z703" s="20">
        <f>SUMIFS(T$3:T703,L$3:L703,"=Intermission")+SUMIFS(T$3:T703,L$3:L703,"=Timeout")+SUMIFS(T$3:T703,L$3:L703,"=Clockstop")</f>
        <v>0</v>
      </c>
      <c r="AA703">
        <f t="shared" si="115"/>
        <v>0</v>
      </c>
      <c r="AB703" s="26">
        <f t="shared" si="116"/>
        <v>882</v>
      </c>
      <c r="AC703">
        <f t="shared" si="117"/>
        <v>0</v>
      </c>
    </row>
    <row r="704" spans="1:29" x14ac:dyDescent="0.2">
      <c r="A704">
        <v>368</v>
      </c>
      <c r="D704">
        <f t="shared" si="118"/>
        <v>1</v>
      </c>
      <c r="E704">
        <v>3</v>
      </c>
      <c r="F704" s="6" t="s">
        <v>485</v>
      </c>
      <c r="I704" t="s">
        <v>178</v>
      </c>
      <c r="J704">
        <v>49</v>
      </c>
      <c r="K704" t="s">
        <v>488</v>
      </c>
      <c r="L704" t="s">
        <v>7</v>
      </c>
      <c r="M704" t="s">
        <v>228</v>
      </c>
      <c r="Q704">
        <f t="shared" si="121"/>
        <v>18977</v>
      </c>
      <c r="R704" t="str">
        <f t="shared" si="121"/>
        <v>Velodrome</v>
      </c>
      <c r="S704" t="str">
        <f t="shared" si="121"/>
        <v>HollowBrook</v>
      </c>
      <c r="T704" s="20">
        <f t="shared" si="111"/>
        <v>0</v>
      </c>
      <c r="U704">
        <f t="shared" si="112"/>
        <v>198</v>
      </c>
      <c r="V704">
        <f t="shared" si="113"/>
        <v>198</v>
      </c>
      <c r="W704" cm="1">
        <f t="array" ref="W704">_xlfn._xlws.FILTER(shifts!A:A,(shifts!B:B=events!D704)*(shifts!AH:AH&gt;=events!U704)*(shifts!AI:AI&lt;=events!V704))</f>
        <v>22</v>
      </c>
      <c r="X704" t="str">
        <f t="shared" si="122"/>
        <v>event_team_player_1</v>
      </c>
      <c r="Y704">
        <f>COUNTIFS(A$3:A704,"="&amp;A704,K$3:K704,"="&amp;K704)</f>
        <v>1</v>
      </c>
      <c r="Z704" s="20">
        <f>SUMIFS(T$3:T704,L$3:L704,"=Intermission")+SUMIFS(T$3:T704,L$3:L704,"=Timeout")+SUMIFS(T$3:T704,L$3:L704,"=Clockstop")</f>
        <v>0</v>
      </c>
      <c r="AA704">
        <f t="shared" si="115"/>
        <v>0</v>
      </c>
      <c r="AB704" s="26">
        <f t="shared" si="116"/>
        <v>882</v>
      </c>
      <c r="AC704">
        <f t="shared" si="117"/>
        <v>0</v>
      </c>
    </row>
    <row r="705" spans="1:29" x14ac:dyDescent="0.2">
      <c r="A705">
        <v>368</v>
      </c>
      <c r="D705">
        <f t="shared" si="118"/>
        <v>1</v>
      </c>
      <c r="E705">
        <v>3</v>
      </c>
      <c r="F705" s="6" t="s">
        <v>485</v>
      </c>
      <c r="I705" t="s">
        <v>178</v>
      </c>
      <c r="J705">
        <v>49</v>
      </c>
      <c r="K705" t="s">
        <v>488</v>
      </c>
      <c r="L705" t="s">
        <v>9</v>
      </c>
      <c r="M705" t="s">
        <v>230</v>
      </c>
      <c r="N705" t="s">
        <v>236</v>
      </c>
      <c r="Q705">
        <f t="shared" si="121"/>
        <v>18977</v>
      </c>
      <c r="R705" t="str">
        <f t="shared" si="121"/>
        <v>Velodrome</v>
      </c>
      <c r="S705" t="str">
        <f t="shared" si="121"/>
        <v>HollowBrook</v>
      </c>
      <c r="T705" s="20">
        <f t="shared" si="111"/>
        <v>0</v>
      </c>
      <c r="U705">
        <f t="shared" si="112"/>
        <v>198</v>
      </c>
      <c r="V705">
        <f t="shared" si="113"/>
        <v>198</v>
      </c>
      <c r="W705" cm="1">
        <f t="array" ref="W705">_xlfn._xlws.FILTER(shifts!A:A,(shifts!B:B=events!D705)*(shifts!AH:AH&gt;=events!U705)*(shifts!AI:AI&lt;=events!V705))</f>
        <v>22</v>
      </c>
      <c r="X705" t="str">
        <f t="shared" si="122"/>
        <v>event_team_player_2</v>
      </c>
      <c r="Y705">
        <f>COUNTIFS(A$3:A705,"="&amp;A705,K$3:K705,"="&amp;K705)</f>
        <v>2</v>
      </c>
      <c r="Z705" s="20">
        <f>SUMIFS(T$3:T705,L$3:L705,"=Intermission")+SUMIFS(T$3:T705,L$3:L705,"=Timeout")+SUMIFS(T$3:T705,L$3:L705,"=Clockstop")</f>
        <v>0</v>
      </c>
      <c r="AA705">
        <f t="shared" si="115"/>
        <v>0</v>
      </c>
      <c r="AB705" s="26">
        <f t="shared" si="116"/>
        <v>882</v>
      </c>
      <c r="AC705">
        <f t="shared" si="117"/>
        <v>0</v>
      </c>
    </row>
    <row r="706" spans="1:29" x14ac:dyDescent="0.2">
      <c r="A706">
        <v>368</v>
      </c>
      <c r="D706">
        <f t="shared" si="118"/>
        <v>1</v>
      </c>
      <c r="E706">
        <v>3</v>
      </c>
      <c r="F706" s="6" t="s">
        <v>485</v>
      </c>
      <c r="I706" t="s">
        <v>178</v>
      </c>
      <c r="J706">
        <v>99</v>
      </c>
      <c r="K706" t="s">
        <v>489</v>
      </c>
      <c r="L706" t="s">
        <v>9</v>
      </c>
      <c r="M706" t="s">
        <v>230</v>
      </c>
      <c r="N706" t="s">
        <v>236</v>
      </c>
      <c r="Q706">
        <f t="shared" si="121"/>
        <v>18977</v>
      </c>
      <c r="R706" t="str">
        <f t="shared" si="121"/>
        <v>Velodrome</v>
      </c>
      <c r="S706" t="str">
        <f t="shared" si="121"/>
        <v>HollowBrook</v>
      </c>
      <c r="T706" s="20">
        <f t="shared" ref="T706" si="123">IF(AND(G706="",H706=""),0,((E706*60)+F706)-((G706*60)+H706))</f>
        <v>0</v>
      </c>
      <c r="U706">
        <f t="shared" ref="U706" si="124">(E706*60)+F706</f>
        <v>198</v>
      </c>
      <c r="V706">
        <f t="shared" ref="V706" si="125">IF(AND(G706="",H706=""),U706,((G706*60)+H706))</f>
        <v>198</v>
      </c>
      <c r="W706" cm="1">
        <f t="array" ref="W706">_xlfn._xlws.FILTER(shifts!A:A,(shifts!B:B=events!D706)*(shifts!AH:AH&gt;=events!U706)*(shifts!AI:AI&lt;=events!V706))</f>
        <v>22</v>
      </c>
      <c r="X706" t="str">
        <f t="shared" ref="X706" si="126">IF(K706="e","event_team_player_"&amp;Y706,IF(K706="o","opp_team_player_"&amp;Y706,""))</f>
        <v>opp_team_player_1</v>
      </c>
      <c r="Y706">
        <f>COUNTIFS(A$3:A706,"="&amp;A706,K$3:K706,"="&amp;K706)</f>
        <v>1</v>
      </c>
      <c r="Z706" s="20">
        <f>SUMIFS(T$3:T706,L$3:L706,"=Intermission")+SUMIFS(T$3:T706,L$3:L706,"=Timeout")+SUMIFS(T$3:T706,L$3:L706,"=Clockstop")</f>
        <v>0</v>
      </c>
      <c r="AA706">
        <f t="shared" si="115"/>
        <v>0</v>
      </c>
      <c r="AB706" s="26">
        <f t="shared" si="116"/>
        <v>882</v>
      </c>
      <c r="AC706">
        <f t="shared" si="117"/>
        <v>0</v>
      </c>
    </row>
    <row r="707" spans="1:29" x14ac:dyDescent="0.2">
      <c r="A707">
        <v>369</v>
      </c>
      <c r="D707">
        <f t="shared" si="118"/>
        <v>1</v>
      </c>
      <c r="E707">
        <v>3</v>
      </c>
      <c r="F707" s="6" t="s">
        <v>485</v>
      </c>
      <c r="G707">
        <v>2</v>
      </c>
      <c r="H707" s="8" t="s">
        <v>436</v>
      </c>
      <c r="I707" t="s">
        <v>178</v>
      </c>
      <c r="J707">
        <v>49</v>
      </c>
      <c r="K707" t="s">
        <v>488</v>
      </c>
      <c r="L707" t="s">
        <v>282</v>
      </c>
      <c r="Q707">
        <f>Q705</f>
        <v>18977</v>
      </c>
      <c r="R707" t="str">
        <f>R705</f>
        <v>Velodrome</v>
      </c>
      <c r="S707" t="str">
        <f>S705</f>
        <v>HollowBrook</v>
      </c>
      <c r="T707" s="20">
        <f t="shared" si="111"/>
        <v>33</v>
      </c>
      <c r="U707">
        <f t="shared" si="112"/>
        <v>198</v>
      </c>
      <c r="V707">
        <f t="shared" si="113"/>
        <v>165</v>
      </c>
      <c r="W707">
        <v>23</v>
      </c>
      <c r="X707" t="str">
        <f t="shared" si="122"/>
        <v>event_team_player_1</v>
      </c>
      <c r="Y707">
        <f>COUNTIFS(A$3:A707,"="&amp;A707,K$3:K707,"="&amp;K707)</f>
        <v>1</v>
      </c>
      <c r="Z707" s="20">
        <f>SUMIFS(T$3:T707,L$3:L707,"=Intermission")+SUMIFS(T$3:T707,L$3:L707,"=Timeout")+SUMIFS(T$3:T707,L$3:L707,"=Clockstop")</f>
        <v>0</v>
      </c>
      <c r="AA707">
        <f t="shared" si="115"/>
        <v>0</v>
      </c>
      <c r="AB707" s="26">
        <f t="shared" si="116"/>
        <v>882</v>
      </c>
      <c r="AC707">
        <f t="shared" si="117"/>
        <v>0</v>
      </c>
    </row>
    <row r="708" spans="1:29" x14ac:dyDescent="0.2">
      <c r="A708">
        <v>370</v>
      </c>
      <c r="D708">
        <f t="shared" si="118"/>
        <v>1</v>
      </c>
      <c r="E708">
        <v>2</v>
      </c>
      <c r="F708" s="6" t="s">
        <v>436</v>
      </c>
      <c r="I708" t="s">
        <v>178</v>
      </c>
      <c r="J708">
        <v>70</v>
      </c>
      <c r="K708" t="s">
        <v>488</v>
      </c>
      <c r="L708" t="s">
        <v>6</v>
      </c>
      <c r="M708" t="s">
        <v>207</v>
      </c>
      <c r="Q708">
        <f t="shared" si="121"/>
        <v>18977</v>
      </c>
      <c r="R708" t="str">
        <f t="shared" si="121"/>
        <v>Velodrome</v>
      </c>
      <c r="S708" t="str">
        <f t="shared" si="121"/>
        <v>HollowBrook</v>
      </c>
      <c r="T708" s="20">
        <f t="shared" ref="T708:T771" si="127">IF(AND(G708="",H708=""),0,((E708*60)+F708)-((G708*60)+H708))</f>
        <v>0</v>
      </c>
      <c r="U708">
        <f t="shared" ref="U708:U771" si="128">(E708*60)+F708</f>
        <v>165</v>
      </c>
      <c r="V708">
        <f t="shared" ref="V708:V771" si="129">IF(AND(G708="",H708=""),U708,((G708*60)+H708))</f>
        <v>165</v>
      </c>
      <c r="W708" cm="1">
        <f t="array" ref="W708">_xlfn._xlws.FILTER(shifts!A:A,(shifts!B:B=events!D708)*(shifts!AH:AH&gt;=events!U708)*(shifts!AI:AI&lt;=events!V708))</f>
        <v>23</v>
      </c>
      <c r="X708" t="str">
        <f t="shared" si="122"/>
        <v>event_team_player_1</v>
      </c>
      <c r="Y708">
        <f>COUNTIFS(A$3:A708,"="&amp;A708,K$3:K708,"="&amp;K708)</f>
        <v>1</v>
      </c>
      <c r="Z708" s="20">
        <f>SUMIFS(T$3:T708,L$3:L708,"=Intermission")+SUMIFS(T$3:T708,L$3:L708,"=Timeout")+SUMIFS(T$3:T708,L$3:L708,"=Clockstop")</f>
        <v>0</v>
      </c>
      <c r="AA708">
        <f t="shared" ref="AA708:AA771" si="130">IF(D708=1,0,IF(D708=2,1080+Z708,IF(D708=3,(1080*2)+Z708,0)))</f>
        <v>0</v>
      </c>
      <c r="AB708" s="26">
        <f t="shared" ref="AB708:AB771" si="131">((1080*D708)-((E708*60)+F708)*D708)+Z708</f>
        <v>915</v>
      </c>
      <c r="AC708">
        <f t="shared" ref="AC708:AC771" si="132">IF(L707="GameStart",0,AA708+Z708)</f>
        <v>0</v>
      </c>
    </row>
    <row r="709" spans="1:29" x14ac:dyDescent="0.2">
      <c r="A709">
        <v>370</v>
      </c>
      <c r="D709">
        <f t="shared" ref="D709:D772" si="133">IF(L709="Intermission",D708+1,D708)</f>
        <v>1</v>
      </c>
      <c r="E709">
        <v>2</v>
      </c>
      <c r="F709" s="6" t="s">
        <v>436</v>
      </c>
      <c r="I709" t="s">
        <v>178</v>
      </c>
      <c r="J709">
        <v>26</v>
      </c>
      <c r="K709" t="s">
        <v>489</v>
      </c>
      <c r="L709" t="s">
        <v>6</v>
      </c>
      <c r="M709" t="s">
        <v>207</v>
      </c>
      <c r="Q709">
        <f t="shared" ref="Q709:S724" si="134">Q708</f>
        <v>18977</v>
      </c>
      <c r="R709" t="str">
        <f t="shared" si="134"/>
        <v>Velodrome</v>
      </c>
      <c r="S709" t="str">
        <f t="shared" si="134"/>
        <v>HollowBrook</v>
      </c>
      <c r="T709" s="20">
        <f t="shared" si="127"/>
        <v>0</v>
      </c>
      <c r="U709">
        <f t="shared" si="128"/>
        <v>165</v>
      </c>
      <c r="V709">
        <f t="shared" si="129"/>
        <v>165</v>
      </c>
      <c r="W709" cm="1">
        <f t="array" ref="W709">_xlfn._xlws.FILTER(shifts!A:A,(shifts!B:B=events!D709)*(shifts!AH:AH&gt;=events!U709)*(shifts!AI:AI&lt;=events!V709))</f>
        <v>23</v>
      </c>
      <c r="X709" t="str">
        <f t="shared" si="122"/>
        <v>opp_team_player_1</v>
      </c>
      <c r="Y709">
        <f>COUNTIFS(A$3:A709,"="&amp;A709,K$3:K709,"="&amp;K709)</f>
        <v>1</v>
      </c>
      <c r="Z709" s="20">
        <f>SUMIFS(T$3:T709,L$3:L709,"=Intermission")+SUMIFS(T$3:T709,L$3:L709,"=Timeout")+SUMIFS(T$3:T709,L$3:L709,"=Clockstop")</f>
        <v>0</v>
      </c>
      <c r="AA709">
        <f t="shared" si="130"/>
        <v>0</v>
      </c>
      <c r="AB709" s="26">
        <f t="shared" si="131"/>
        <v>915</v>
      </c>
      <c r="AC709">
        <f t="shared" si="132"/>
        <v>0</v>
      </c>
    </row>
    <row r="710" spans="1:29" x14ac:dyDescent="0.2">
      <c r="A710">
        <v>371</v>
      </c>
      <c r="D710">
        <f t="shared" si="133"/>
        <v>1</v>
      </c>
      <c r="E710">
        <v>2</v>
      </c>
      <c r="F710" s="6" t="s">
        <v>435</v>
      </c>
      <c r="I710" t="s">
        <v>178</v>
      </c>
      <c r="J710">
        <v>70</v>
      </c>
      <c r="K710" t="s">
        <v>488</v>
      </c>
      <c r="L710" t="s">
        <v>8</v>
      </c>
      <c r="M710" t="s">
        <v>189</v>
      </c>
      <c r="N710" t="s">
        <v>69</v>
      </c>
      <c r="Q710">
        <f t="shared" si="134"/>
        <v>18977</v>
      </c>
      <c r="R710" t="str">
        <f t="shared" si="134"/>
        <v>Velodrome</v>
      </c>
      <c r="S710" t="str">
        <f t="shared" si="134"/>
        <v>HollowBrook</v>
      </c>
      <c r="T710" s="20">
        <f t="shared" si="127"/>
        <v>0</v>
      </c>
      <c r="U710">
        <f t="shared" si="128"/>
        <v>164</v>
      </c>
      <c r="V710">
        <f t="shared" si="129"/>
        <v>164</v>
      </c>
      <c r="W710" cm="1">
        <f t="array" ref="W710">_xlfn._xlws.FILTER(shifts!A:A,(shifts!B:B=events!D710)*(shifts!AH:AH&gt;=events!U710)*(shifts!AI:AI&lt;=events!V710))</f>
        <v>23</v>
      </c>
      <c r="X710" t="str">
        <f t="shared" si="122"/>
        <v>event_team_player_1</v>
      </c>
      <c r="Y710">
        <f>COUNTIFS(A$3:A710,"="&amp;A710,K$3:K710,"="&amp;K710)</f>
        <v>1</v>
      </c>
      <c r="Z710" s="20">
        <f>SUMIFS(T$3:T710,L$3:L710,"=Intermission")+SUMIFS(T$3:T710,L$3:L710,"=Timeout")+SUMIFS(T$3:T710,L$3:L710,"=Clockstop")</f>
        <v>0</v>
      </c>
      <c r="AA710">
        <f t="shared" si="130"/>
        <v>0</v>
      </c>
      <c r="AB710" s="26">
        <f t="shared" si="131"/>
        <v>916</v>
      </c>
      <c r="AC710">
        <f t="shared" si="132"/>
        <v>0</v>
      </c>
    </row>
    <row r="711" spans="1:29" x14ac:dyDescent="0.2">
      <c r="A711">
        <v>371</v>
      </c>
      <c r="D711">
        <f t="shared" si="133"/>
        <v>1</v>
      </c>
      <c r="E711">
        <v>2</v>
      </c>
      <c r="F711" s="6" t="s">
        <v>435</v>
      </c>
      <c r="I711" t="s">
        <v>178</v>
      </c>
      <c r="J711">
        <v>9</v>
      </c>
      <c r="K711" t="s">
        <v>488</v>
      </c>
      <c r="L711" t="s">
        <v>8</v>
      </c>
      <c r="M711" t="s">
        <v>189</v>
      </c>
      <c r="N711" t="s">
        <v>69</v>
      </c>
      <c r="Q711">
        <f t="shared" si="134"/>
        <v>18977</v>
      </c>
      <c r="R711" t="str">
        <f t="shared" si="134"/>
        <v>Velodrome</v>
      </c>
      <c r="S711" t="str">
        <f t="shared" si="134"/>
        <v>HollowBrook</v>
      </c>
      <c r="T711" s="20">
        <f t="shared" si="127"/>
        <v>0</v>
      </c>
      <c r="U711">
        <f t="shared" si="128"/>
        <v>164</v>
      </c>
      <c r="V711">
        <f t="shared" si="129"/>
        <v>164</v>
      </c>
      <c r="W711" cm="1">
        <f t="array" ref="W711">_xlfn._xlws.FILTER(shifts!A:A,(shifts!B:B=events!D711)*(shifts!AH:AH&gt;=events!U711)*(shifts!AI:AI&lt;=events!V711))</f>
        <v>23</v>
      </c>
      <c r="X711" t="str">
        <f t="shared" si="122"/>
        <v>event_team_player_2</v>
      </c>
      <c r="Y711">
        <f>COUNTIFS(A$3:A711,"="&amp;A711,K$3:K711,"="&amp;K711)</f>
        <v>2</v>
      </c>
      <c r="Z711" s="20">
        <f>SUMIFS(T$3:T711,L$3:L711,"=Intermission")+SUMIFS(T$3:T711,L$3:L711,"=Timeout")+SUMIFS(T$3:T711,L$3:L711,"=Clockstop")</f>
        <v>0</v>
      </c>
      <c r="AA711">
        <f t="shared" si="130"/>
        <v>0</v>
      </c>
      <c r="AB711" s="26">
        <f t="shared" si="131"/>
        <v>916</v>
      </c>
      <c r="AC711">
        <f t="shared" si="132"/>
        <v>0</v>
      </c>
    </row>
    <row r="712" spans="1:29" x14ac:dyDescent="0.2">
      <c r="A712">
        <v>372</v>
      </c>
      <c r="D712">
        <f t="shared" si="133"/>
        <v>1</v>
      </c>
      <c r="E712">
        <v>2</v>
      </c>
      <c r="F712" s="6" t="s">
        <v>454</v>
      </c>
      <c r="G712">
        <v>2</v>
      </c>
      <c r="H712" s="8" t="s">
        <v>431</v>
      </c>
      <c r="I712" t="s">
        <v>178</v>
      </c>
      <c r="J712">
        <v>9</v>
      </c>
      <c r="K712" t="s">
        <v>488</v>
      </c>
      <c r="L712" t="s">
        <v>15</v>
      </c>
      <c r="Q712">
        <f t="shared" si="134"/>
        <v>18977</v>
      </c>
      <c r="R712" t="str">
        <f t="shared" si="134"/>
        <v>Velodrome</v>
      </c>
      <c r="S712" t="str">
        <f t="shared" si="134"/>
        <v>HollowBrook</v>
      </c>
      <c r="T712" s="20">
        <f t="shared" si="127"/>
        <v>2</v>
      </c>
      <c r="U712">
        <f t="shared" si="128"/>
        <v>163</v>
      </c>
      <c r="V712">
        <f t="shared" si="129"/>
        <v>161</v>
      </c>
      <c r="W712" cm="1">
        <f t="array" ref="W712">_xlfn._xlws.FILTER(shifts!A:A,(shifts!B:B=events!D712)*(shifts!AH:AH&gt;=events!U712)*(shifts!AI:AI&lt;=events!V712))</f>
        <v>23</v>
      </c>
      <c r="X712" t="str">
        <f t="shared" si="122"/>
        <v>event_team_player_1</v>
      </c>
      <c r="Y712">
        <f>COUNTIFS(A$3:A712,"="&amp;A712,K$3:K712,"="&amp;K712)</f>
        <v>1</v>
      </c>
      <c r="Z712" s="20">
        <f>SUMIFS(T$3:T712,L$3:L712,"=Intermission")+SUMIFS(T$3:T712,L$3:L712,"=Timeout")+SUMIFS(T$3:T712,L$3:L712,"=Clockstop")</f>
        <v>0</v>
      </c>
      <c r="AA712">
        <f t="shared" si="130"/>
        <v>0</v>
      </c>
      <c r="AB712" s="26">
        <f t="shared" si="131"/>
        <v>917</v>
      </c>
      <c r="AC712">
        <f t="shared" si="132"/>
        <v>0</v>
      </c>
    </row>
    <row r="713" spans="1:29" x14ac:dyDescent="0.2">
      <c r="A713">
        <v>372</v>
      </c>
      <c r="D713">
        <f t="shared" si="133"/>
        <v>1</v>
      </c>
      <c r="E713">
        <v>2</v>
      </c>
      <c r="F713" s="6" t="s">
        <v>454</v>
      </c>
      <c r="G713">
        <v>2</v>
      </c>
      <c r="H713" s="8" t="s">
        <v>431</v>
      </c>
      <c r="I713" t="s">
        <v>178</v>
      </c>
      <c r="J713">
        <v>40</v>
      </c>
      <c r="K713" t="s">
        <v>489</v>
      </c>
      <c r="L713" t="s">
        <v>15</v>
      </c>
      <c r="Q713">
        <f t="shared" si="134"/>
        <v>18977</v>
      </c>
      <c r="R713" t="str">
        <f t="shared" si="134"/>
        <v>Velodrome</v>
      </c>
      <c r="S713" t="str">
        <f t="shared" si="134"/>
        <v>HollowBrook</v>
      </c>
      <c r="T713" s="20">
        <f t="shared" si="127"/>
        <v>2</v>
      </c>
      <c r="U713">
        <f t="shared" si="128"/>
        <v>163</v>
      </c>
      <c r="V713">
        <f t="shared" si="129"/>
        <v>161</v>
      </c>
      <c r="W713" cm="1">
        <f t="array" ref="W713">_xlfn._xlws.FILTER(shifts!A:A,(shifts!B:B=events!D713)*(shifts!AH:AH&gt;=events!U713)*(shifts!AI:AI&lt;=events!V713))</f>
        <v>23</v>
      </c>
      <c r="X713" t="str">
        <f t="shared" si="122"/>
        <v>opp_team_player_1</v>
      </c>
      <c r="Y713">
        <f>COUNTIFS(A$3:A713,"="&amp;A713,K$3:K713,"="&amp;K713)</f>
        <v>1</v>
      </c>
      <c r="Z713" s="20">
        <f>SUMIFS(T$3:T713,L$3:L713,"=Intermission")+SUMIFS(T$3:T713,L$3:L713,"=Timeout")+SUMIFS(T$3:T713,L$3:L713,"=Clockstop")</f>
        <v>0</v>
      </c>
      <c r="AA713">
        <f t="shared" si="130"/>
        <v>0</v>
      </c>
      <c r="AB713" s="26">
        <f t="shared" si="131"/>
        <v>917</v>
      </c>
      <c r="AC713">
        <f t="shared" si="132"/>
        <v>0</v>
      </c>
    </row>
    <row r="714" spans="1:29" x14ac:dyDescent="0.2">
      <c r="A714">
        <v>373</v>
      </c>
      <c r="D714">
        <f t="shared" si="133"/>
        <v>1</v>
      </c>
      <c r="E714">
        <v>2</v>
      </c>
      <c r="F714" s="6" t="s">
        <v>431</v>
      </c>
      <c r="I714" t="s">
        <v>178</v>
      </c>
      <c r="J714">
        <v>49</v>
      </c>
      <c r="K714" t="s">
        <v>488</v>
      </c>
      <c r="L714" t="s">
        <v>277</v>
      </c>
      <c r="M714" t="s">
        <v>191</v>
      </c>
      <c r="N714" t="s">
        <v>182</v>
      </c>
      <c r="Q714">
        <f t="shared" si="134"/>
        <v>18977</v>
      </c>
      <c r="R714" t="str">
        <f t="shared" si="134"/>
        <v>Velodrome</v>
      </c>
      <c r="S714" t="str">
        <f t="shared" si="134"/>
        <v>HollowBrook</v>
      </c>
      <c r="T714" s="20">
        <f t="shared" si="127"/>
        <v>0</v>
      </c>
      <c r="U714">
        <f t="shared" si="128"/>
        <v>161</v>
      </c>
      <c r="V714">
        <f t="shared" si="129"/>
        <v>161</v>
      </c>
      <c r="W714" cm="1">
        <f t="array" ref="W714">_xlfn._xlws.FILTER(shifts!A:A,(shifts!B:B=events!D714)*(shifts!AH:AH&gt;=events!U714)*(shifts!AI:AI&lt;=events!V714))</f>
        <v>23</v>
      </c>
      <c r="X714" t="str">
        <f t="shared" si="122"/>
        <v>event_team_player_1</v>
      </c>
      <c r="Y714">
        <f>COUNTIFS(A$3:A714,"="&amp;A714,K$3:K714,"="&amp;K714)</f>
        <v>1</v>
      </c>
      <c r="Z714" s="20">
        <f>SUMIFS(T$3:T714,L$3:L714,"=Intermission")+SUMIFS(T$3:T714,L$3:L714,"=Timeout")+SUMIFS(T$3:T714,L$3:L714,"=Clockstop")</f>
        <v>0</v>
      </c>
      <c r="AA714">
        <f t="shared" si="130"/>
        <v>0</v>
      </c>
      <c r="AB714" s="26">
        <f t="shared" si="131"/>
        <v>919</v>
      </c>
      <c r="AC714">
        <f t="shared" si="132"/>
        <v>0</v>
      </c>
    </row>
    <row r="715" spans="1:29" x14ac:dyDescent="0.2">
      <c r="A715">
        <v>373</v>
      </c>
      <c r="D715">
        <f t="shared" si="133"/>
        <v>1</v>
      </c>
      <c r="E715">
        <v>2</v>
      </c>
      <c r="F715" s="6" t="s">
        <v>431</v>
      </c>
      <c r="I715" t="s">
        <v>178</v>
      </c>
      <c r="J715">
        <v>5</v>
      </c>
      <c r="K715" t="s">
        <v>488</v>
      </c>
      <c r="L715" t="s">
        <v>277</v>
      </c>
      <c r="M715" t="s">
        <v>191</v>
      </c>
      <c r="N715" t="s">
        <v>182</v>
      </c>
      <c r="Q715">
        <f t="shared" si="134"/>
        <v>18977</v>
      </c>
      <c r="R715" t="str">
        <f t="shared" si="134"/>
        <v>Velodrome</v>
      </c>
      <c r="S715" t="str">
        <f t="shared" si="134"/>
        <v>HollowBrook</v>
      </c>
      <c r="T715" s="20">
        <f t="shared" si="127"/>
        <v>0</v>
      </c>
      <c r="U715">
        <f t="shared" si="128"/>
        <v>161</v>
      </c>
      <c r="V715">
        <f t="shared" si="129"/>
        <v>161</v>
      </c>
      <c r="W715" cm="1">
        <f t="array" ref="W715">_xlfn._xlws.FILTER(shifts!A:A,(shifts!B:B=events!D715)*(shifts!AH:AH&gt;=events!U715)*(shifts!AI:AI&lt;=events!V715))</f>
        <v>23</v>
      </c>
      <c r="X715" t="str">
        <f t="shared" si="122"/>
        <v>event_team_player_2</v>
      </c>
      <c r="Y715">
        <f>COUNTIFS(A$3:A715,"="&amp;A715,K$3:K715,"="&amp;K715)</f>
        <v>2</v>
      </c>
      <c r="Z715" s="20">
        <f>SUMIFS(T$3:T715,L$3:L715,"=Intermission")+SUMIFS(T$3:T715,L$3:L715,"=Timeout")+SUMIFS(T$3:T715,L$3:L715,"=Clockstop")</f>
        <v>0</v>
      </c>
      <c r="AA715">
        <f t="shared" si="130"/>
        <v>0</v>
      </c>
      <c r="AB715" s="26">
        <f t="shared" si="131"/>
        <v>919</v>
      </c>
      <c r="AC715">
        <f t="shared" si="132"/>
        <v>0</v>
      </c>
    </row>
    <row r="716" spans="1:29" x14ac:dyDescent="0.2">
      <c r="A716">
        <v>375</v>
      </c>
      <c r="D716">
        <f t="shared" si="133"/>
        <v>1</v>
      </c>
      <c r="E716">
        <v>2</v>
      </c>
      <c r="F716" s="6" t="s">
        <v>437</v>
      </c>
      <c r="I716" t="s">
        <v>179</v>
      </c>
      <c r="J716">
        <v>5</v>
      </c>
      <c r="K716" t="s">
        <v>488</v>
      </c>
      <c r="L716" t="s">
        <v>10</v>
      </c>
      <c r="M716" t="s">
        <v>200</v>
      </c>
      <c r="N716" t="s">
        <v>81</v>
      </c>
      <c r="Q716">
        <f t="shared" si="134"/>
        <v>18977</v>
      </c>
      <c r="R716" t="str">
        <f t="shared" si="134"/>
        <v>Velodrome</v>
      </c>
      <c r="S716" t="str">
        <f t="shared" si="134"/>
        <v>HollowBrook</v>
      </c>
      <c r="T716" s="20">
        <f t="shared" si="127"/>
        <v>0</v>
      </c>
      <c r="U716">
        <f t="shared" si="128"/>
        <v>160</v>
      </c>
      <c r="V716">
        <f t="shared" si="129"/>
        <v>160</v>
      </c>
      <c r="W716" cm="1">
        <f t="array" ref="W716">_xlfn._xlws.FILTER(shifts!A:A,(shifts!B:B=events!D716)*(shifts!AH:AH&gt;=events!U716)*(shifts!AI:AI&lt;=events!V716))</f>
        <v>23</v>
      </c>
      <c r="X716" t="str">
        <f t="shared" si="122"/>
        <v>event_team_player_1</v>
      </c>
      <c r="Y716">
        <f>COUNTIFS(A$3:A716,"="&amp;A716,K$3:K716,"="&amp;K716)</f>
        <v>1</v>
      </c>
      <c r="Z716" s="20">
        <f>SUMIFS(T$3:T716,L$3:L716,"=Intermission")+SUMIFS(T$3:T716,L$3:L716,"=Timeout")+SUMIFS(T$3:T716,L$3:L716,"=Clockstop")</f>
        <v>0</v>
      </c>
      <c r="AA716">
        <f t="shared" si="130"/>
        <v>0</v>
      </c>
      <c r="AB716" s="26">
        <f t="shared" si="131"/>
        <v>920</v>
      </c>
      <c r="AC716">
        <f t="shared" si="132"/>
        <v>0</v>
      </c>
    </row>
    <row r="717" spans="1:29" x14ac:dyDescent="0.2">
      <c r="A717">
        <v>375</v>
      </c>
      <c r="D717">
        <f t="shared" si="133"/>
        <v>1</v>
      </c>
      <c r="E717">
        <v>2</v>
      </c>
      <c r="F717" s="6" t="s">
        <v>437</v>
      </c>
      <c r="I717" t="s">
        <v>179</v>
      </c>
      <c r="J717">
        <v>49</v>
      </c>
      <c r="K717" t="s">
        <v>489</v>
      </c>
      <c r="L717" t="s">
        <v>10</v>
      </c>
      <c r="M717" t="s">
        <v>200</v>
      </c>
      <c r="N717" t="s">
        <v>81</v>
      </c>
      <c r="Q717">
        <f t="shared" si="134"/>
        <v>18977</v>
      </c>
      <c r="R717" t="str">
        <f t="shared" si="134"/>
        <v>Velodrome</v>
      </c>
      <c r="S717" t="str">
        <f t="shared" si="134"/>
        <v>HollowBrook</v>
      </c>
      <c r="T717" s="20">
        <f t="shared" si="127"/>
        <v>0</v>
      </c>
      <c r="U717">
        <f t="shared" si="128"/>
        <v>160</v>
      </c>
      <c r="V717">
        <f t="shared" si="129"/>
        <v>160</v>
      </c>
      <c r="W717" cm="1">
        <f t="array" ref="W717">_xlfn._xlws.FILTER(shifts!A:A,(shifts!B:B=events!D717)*(shifts!AH:AH&gt;=events!U717)*(shifts!AI:AI&lt;=events!V717))</f>
        <v>23</v>
      </c>
      <c r="X717" t="str">
        <f t="shared" si="122"/>
        <v>opp_team_player_1</v>
      </c>
      <c r="Y717">
        <f>COUNTIFS(A$3:A717,"="&amp;A717,K$3:K717,"="&amp;K717)</f>
        <v>1</v>
      </c>
      <c r="Z717" s="20">
        <f>SUMIFS(T$3:T717,L$3:L717,"=Intermission")+SUMIFS(T$3:T717,L$3:L717,"=Timeout")+SUMIFS(T$3:T717,L$3:L717,"=Clockstop")</f>
        <v>0</v>
      </c>
      <c r="AA717">
        <f t="shared" si="130"/>
        <v>0</v>
      </c>
      <c r="AB717" s="26">
        <f t="shared" si="131"/>
        <v>920</v>
      </c>
      <c r="AC717">
        <f t="shared" si="132"/>
        <v>0</v>
      </c>
    </row>
    <row r="718" spans="1:29" x14ac:dyDescent="0.2">
      <c r="A718">
        <v>376</v>
      </c>
      <c r="D718">
        <f t="shared" si="133"/>
        <v>1</v>
      </c>
      <c r="E718">
        <v>2</v>
      </c>
      <c r="F718" s="6" t="s">
        <v>438</v>
      </c>
      <c r="I718" t="s">
        <v>179</v>
      </c>
      <c r="J718">
        <v>5</v>
      </c>
      <c r="K718" t="s">
        <v>488</v>
      </c>
      <c r="L718" t="s">
        <v>8</v>
      </c>
      <c r="M718" t="s">
        <v>189</v>
      </c>
      <c r="N718" t="s">
        <v>71</v>
      </c>
      <c r="Q718">
        <f t="shared" si="134"/>
        <v>18977</v>
      </c>
      <c r="R718" t="str">
        <f t="shared" si="134"/>
        <v>Velodrome</v>
      </c>
      <c r="S718" t="str">
        <f t="shared" si="134"/>
        <v>HollowBrook</v>
      </c>
      <c r="T718" s="20">
        <f t="shared" si="127"/>
        <v>0</v>
      </c>
      <c r="U718">
        <f t="shared" si="128"/>
        <v>158</v>
      </c>
      <c r="V718">
        <f t="shared" si="129"/>
        <v>158</v>
      </c>
      <c r="W718" cm="1">
        <f t="array" ref="W718">_xlfn._xlws.FILTER(shifts!A:A,(shifts!B:B=events!D718)*(shifts!AH:AH&gt;=events!U718)*(shifts!AI:AI&lt;=events!V718))</f>
        <v>23</v>
      </c>
      <c r="X718" t="str">
        <f t="shared" si="122"/>
        <v>event_team_player_1</v>
      </c>
      <c r="Y718">
        <f>COUNTIFS(A$3:A718,"="&amp;A718,K$3:K718,"="&amp;K718)</f>
        <v>1</v>
      </c>
      <c r="Z718" s="20">
        <f>SUMIFS(T$3:T718,L$3:L718,"=Intermission")+SUMIFS(T$3:T718,L$3:L718,"=Timeout")+SUMIFS(T$3:T718,L$3:L718,"=Clockstop")</f>
        <v>0</v>
      </c>
      <c r="AA718">
        <f t="shared" si="130"/>
        <v>0</v>
      </c>
      <c r="AB718" s="26">
        <f t="shared" si="131"/>
        <v>922</v>
      </c>
      <c r="AC718">
        <f t="shared" si="132"/>
        <v>0</v>
      </c>
    </row>
    <row r="719" spans="1:29" x14ac:dyDescent="0.2">
      <c r="A719">
        <v>376</v>
      </c>
      <c r="D719">
        <f t="shared" si="133"/>
        <v>1</v>
      </c>
      <c r="E719">
        <v>2</v>
      </c>
      <c r="F719" s="6" t="s">
        <v>438</v>
      </c>
      <c r="I719" t="s">
        <v>179</v>
      </c>
      <c r="J719">
        <v>26</v>
      </c>
      <c r="K719" t="s">
        <v>488</v>
      </c>
      <c r="L719" t="s">
        <v>8</v>
      </c>
      <c r="M719" t="s">
        <v>189</v>
      </c>
      <c r="N719" t="s">
        <v>71</v>
      </c>
      <c r="Q719">
        <f t="shared" si="134"/>
        <v>18977</v>
      </c>
      <c r="R719" t="str">
        <f t="shared" si="134"/>
        <v>Velodrome</v>
      </c>
      <c r="S719" t="str">
        <f t="shared" si="134"/>
        <v>HollowBrook</v>
      </c>
      <c r="T719" s="20">
        <f t="shared" si="127"/>
        <v>0</v>
      </c>
      <c r="U719">
        <f t="shared" si="128"/>
        <v>158</v>
      </c>
      <c r="V719">
        <f t="shared" si="129"/>
        <v>158</v>
      </c>
      <c r="W719" cm="1">
        <f t="array" ref="W719">_xlfn._xlws.FILTER(shifts!A:A,(shifts!B:B=events!D719)*(shifts!AH:AH&gt;=events!U719)*(shifts!AI:AI&lt;=events!V719))</f>
        <v>23</v>
      </c>
      <c r="X719" t="str">
        <f t="shared" si="122"/>
        <v>event_team_player_2</v>
      </c>
      <c r="Y719">
        <f>COUNTIFS(A$3:A719,"="&amp;A719,K$3:K719,"="&amp;K719)</f>
        <v>2</v>
      </c>
      <c r="Z719" s="20">
        <f>SUMIFS(T$3:T719,L$3:L719,"=Intermission")+SUMIFS(T$3:T719,L$3:L719,"=Timeout")+SUMIFS(T$3:T719,L$3:L719,"=Clockstop")</f>
        <v>0</v>
      </c>
      <c r="AA719">
        <f t="shared" si="130"/>
        <v>0</v>
      </c>
      <c r="AB719" s="26">
        <f t="shared" si="131"/>
        <v>922</v>
      </c>
      <c r="AC719">
        <f t="shared" si="132"/>
        <v>0</v>
      </c>
    </row>
    <row r="720" spans="1:29" x14ac:dyDescent="0.2">
      <c r="A720">
        <v>377</v>
      </c>
      <c r="D720">
        <f t="shared" si="133"/>
        <v>1</v>
      </c>
      <c r="E720">
        <v>2</v>
      </c>
      <c r="F720" s="6" t="s">
        <v>438</v>
      </c>
      <c r="G720">
        <v>2</v>
      </c>
      <c r="H720" s="8" t="s">
        <v>453</v>
      </c>
      <c r="I720" t="s">
        <v>179</v>
      </c>
      <c r="J720">
        <v>26</v>
      </c>
      <c r="K720" t="s">
        <v>488</v>
      </c>
      <c r="L720" t="s">
        <v>277</v>
      </c>
      <c r="M720" t="s">
        <v>201</v>
      </c>
      <c r="N720" t="s">
        <v>90</v>
      </c>
      <c r="Q720">
        <f t="shared" si="134"/>
        <v>18977</v>
      </c>
      <c r="R720" t="str">
        <f t="shared" si="134"/>
        <v>Velodrome</v>
      </c>
      <c r="S720" t="str">
        <f t="shared" si="134"/>
        <v>HollowBrook</v>
      </c>
      <c r="T720" s="20">
        <f t="shared" si="127"/>
        <v>1</v>
      </c>
      <c r="U720">
        <f t="shared" si="128"/>
        <v>158</v>
      </c>
      <c r="V720">
        <f t="shared" si="129"/>
        <v>157</v>
      </c>
      <c r="W720" cm="1">
        <f t="array" ref="W720">_xlfn._xlws.FILTER(shifts!A:A,(shifts!B:B=events!D720)*(shifts!AH:AH&gt;=events!U720)*(shifts!AI:AI&lt;=events!V720))</f>
        <v>23</v>
      </c>
      <c r="X720" t="str">
        <f t="shared" si="122"/>
        <v>event_team_player_1</v>
      </c>
      <c r="Y720">
        <f>COUNTIFS(A$3:A720,"="&amp;A720,K$3:K720,"="&amp;K720)</f>
        <v>1</v>
      </c>
      <c r="Z720" s="20">
        <f>SUMIFS(T$3:T720,L$3:L720,"=Intermission")+SUMIFS(T$3:T720,L$3:L720,"=Timeout")+SUMIFS(T$3:T720,L$3:L720,"=Clockstop")</f>
        <v>0</v>
      </c>
      <c r="AA720">
        <f t="shared" si="130"/>
        <v>0</v>
      </c>
      <c r="AB720" s="26">
        <f t="shared" si="131"/>
        <v>922</v>
      </c>
      <c r="AC720">
        <f t="shared" si="132"/>
        <v>0</v>
      </c>
    </row>
    <row r="721" spans="1:29" x14ac:dyDescent="0.2">
      <c r="A721">
        <v>378</v>
      </c>
      <c r="D721">
        <f t="shared" si="133"/>
        <v>1</v>
      </c>
      <c r="E721">
        <v>2</v>
      </c>
      <c r="F721" s="6" t="s">
        <v>453</v>
      </c>
      <c r="G721">
        <v>2</v>
      </c>
      <c r="H721" s="8" t="s">
        <v>452</v>
      </c>
      <c r="I721" t="s">
        <v>179</v>
      </c>
      <c r="J721">
        <v>26</v>
      </c>
      <c r="K721" t="s">
        <v>488</v>
      </c>
      <c r="L721" t="s">
        <v>15</v>
      </c>
      <c r="Q721">
        <f t="shared" si="134"/>
        <v>18977</v>
      </c>
      <c r="R721" t="str">
        <f t="shared" si="134"/>
        <v>Velodrome</v>
      </c>
      <c r="S721" t="str">
        <f t="shared" si="134"/>
        <v>HollowBrook</v>
      </c>
      <c r="T721" s="20">
        <f t="shared" si="127"/>
        <v>1</v>
      </c>
      <c r="U721">
        <f t="shared" si="128"/>
        <v>157</v>
      </c>
      <c r="V721">
        <f t="shared" si="129"/>
        <v>156</v>
      </c>
      <c r="W721" cm="1">
        <f t="array" ref="W721">_xlfn._xlws.FILTER(shifts!A:A,(shifts!B:B=events!D721)*(shifts!AH:AH&gt;=events!U721)*(shifts!AI:AI&lt;=events!V721))</f>
        <v>23</v>
      </c>
      <c r="X721" t="str">
        <f t="shared" si="122"/>
        <v>event_team_player_1</v>
      </c>
      <c r="Y721">
        <f>COUNTIFS(A$3:A721,"="&amp;A721,K$3:K721,"="&amp;K721)</f>
        <v>1</v>
      </c>
      <c r="Z721" s="20">
        <f>SUMIFS(T$3:T721,L$3:L721,"=Intermission")+SUMIFS(T$3:T721,L$3:L721,"=Timeout")+SUMIFS(T$3:T721,L$3:L721,"=Clockstop")</f>
        <v>0</v>
      </c>
      <c r="AA721">
        <f t="shared" si="130"/>
        <v>0</v>
      </c>
      <c r="AB721" s="26">
        <f t="shared" si="131"/>
        <v>923</v>
      </c>
      <c r="AC721">
        <f t="shared" si="132"/>
        <v>0</v>
      </c>
    </row>
    <row r="722" spans="1:29" x14ac:dyDescent="0.2">
      <c r="A722">
        <v>379</v>
      </c>
      <c r="D722">
        <f t="shared" si="133"/>
        <v>1</v>
      </c>
      <c r="E722">
        <v>2</v>
      </c>
      <c r="F722" s="6" t="s">
        <v>439</v>
      </c>
      <c r="I722" t="s">
        <v>179</v>
      </c>
      <c r="J722">
        <v>5</v>
      </c>
      <c r="K722" t="s">
        <v>488</v>
      </c>
      <c r="L722" t="s">
        <v>8</v>
      </c>
      <c r="M722" t="s">
        <v>189</v>
      </c>
      <c r="N722" t="s">
        <v>70</v>
      </c>
      <c r="Q722">
        <f t="shared" si="134"/>
        <v>18977</v>
      </c>
      <c r="R722" t="str">
        <f t="shared" si="134"/>
        <v>Velodrome</v>
      </c>
      <c r="S722" t="str">
        <f t="shared" si="134"/>
        <v>HollowBrook</v>
      </c>
      <c r="T722" s="20">
        <f t="shared" si="127"/>
        <v>0</v>
      </c>
      <c r="U722">
        <f t="shared" si="128"/>
        <v>154</v>
      </c>
      <c r="V722">
        <f t="shared" si="129"/>
        <v>154</v>
      </c>
      <c r="W722" cm="1">
        <f t="array" ref="W722">_xlfn._xlws.FILTER(shifts!A:A,(shifts!B:B=events!D722)*(shifts!AH:AH&gt;=events!U722)*(shifts!AI:AI&lt;=events!V722))</f>
        <v>23</v>
      </c>
      <c r="X722" t="str">
        <f t="shared" si="122"/>
        <v>event_team_player_1</v>
      </c>
      <c r="Y722">
        <f>COUNTIFS(A$3:A722,"="&amp;A722,K$3:K722,"="&amp;K722)</f>
        <v>1</v>
      </c>
      <c r="Z722" s="20">
        <f>SUMIFS(T$3:T722,L$3:L722,"=Intermission")+SUMIFS(T$3:T722,L$3:L722,"=Timeout")+SUMIFS(T$3:T722,L$3:L722,"=Clockstop")</f>
        <v>0</v>
      </c>
      <c r="AA722">
        <f t="shared" si="130"/>
        <v>0</v>
      </c>
      <c r="AB722" s="26">
        <f t="shared" si="131"/>
        <v>926</v>
      </c>
      <c r="AC722">
        <f t="shared" si="132"/>
        <v>0</v>
      </c>
    </row>
    <row r="723" spans="1:29" x14ac:dyDescent="0.2">
      <c r="A723">
        <v>379</v>
      </c>
      <c r="D723">
        <f t="shared" si="133"/>
        <v>1</v>
      </c>
      <c r="E723">
        <v>2</v>
      </c>
      <c r="F723" s="6" t="s">
        <v>439</v>
      </c>
      <c r="I723" t="s">
        <v>179</v>
      </c>
      <c r="J723">
        <v>13</v>
      </c>
      <c r="K723" t="s">
        <v>488</v>
      </c>
      <c r="L723" t="s">
        <v>8</v>
      </c>
      <c r="M723" t="s">
        <v>189</v>
      </c>
      <c r="N723" t="s">
        <v>70</v>
      </c>
      <c r="Q723">
        <f t="shared" si="134"/>
        <v>18977</v>
      </c>
      <c r="R723" t="str">
        <f t="shared" si="134"/>
        <v>Velodrome</v>
      </c>
      <c r="S723" t="str">
        <f t="shared" si="134"/>
        <v>HollowBrook</v>
      </c>
      <c r="T723" s="20">
        <f t="shared" si="127"/>
        <v>0</v>
      </c>
      <c r="U723">
        <f t="shared" si="128"/>
        <v>154</v>
      </c>
      <c r="V723">
        <f t="shared" si="129"/>
        <v>154</v>
      </c>
      <c r="W723" cm="1">
        <f t="array" ref="W723">_xlfn._xlws.FILTER(shifts!A:A,(shifts!B:B=events!D723)*(shifts!AH:AH&gt;=events!U723)*(shifts!AI:AI&lt;=events!V723))</f>
        <v>23</v>
      </c>
      <c r="X723" t="str">
        <f t="shared" si="122"/>
        <v>event_team_player_2</v>
      </c>
      <c r="Y723">
        <f>COUNTIFS(A$3:A723,"="&amp;A723,K$3:K723,"="&amp;K723)</f>
        <v>2</v>
      </c>
      <c r="Z723" s="20">
        <f>SUMIFS(T$3:T723,L$3:L723,"=Intermission")+SUMIFS(T$3:T723,L$3:L723,"=Timeout")+SUMIFS(T$3:T723,L$3:L723,"=Clockstop")</f>
        <v>0</v>
      </c>
      <c r="AA723">
        <f t="shared" si="130"/>
        <v>0</v>
      </c>
      <c r="AB723" s="26">
        <f t="shared" si="131"/>
        <v>926</v>
      </c>
      <c r="AC723">
        <f t="shared" si="132"/>
        <v>0</v>
      </c>
    </row>
    <row r="724" spans="1:29" x14ac:dyDescent="0.2">
      <c r="A724">
        <v>380</v>
      </c>
      <c r="D724">
        <f t="shared" si="133"/>
        <v>1</v>
      </c>
      <c r="E724">
        <v>2</v>
      </c>
      <c r="F724" s="6" t="s">
        <v>482</v>
      </c>
      <c r="I724" t="s">
        <v>179</v>
      </c>
      <c r="J724">
        <v>13</v>
      </c>
      <c r="K724" t="s">
        <v>488</v>
      </c>
      <c r="L724" t="s">
        <v>277</v>
      </c>
      <c r="M724" t="s">
        <v>191</v>
      </c>
      <c r="N724" t="s">
        <v>89</v>
      </c>
      <c r="Q724">
        <f t="shared" si="134"/>
        <v>18977</v>
      </c>
      <c r="R724" t="str">
        <f t="shared" si="134"/>
        <v>Velodrome</v>
      </c>
      <c r="S724" t="str">
        <f t="shared" si="134"/>
        <v>HollowBrook</v>
      </c>
      <c r="T724" s="20">
        <f t="shared" si="127"/>
        <v>0</v>
      </c>
      <c r="U724">
        <f t="shared" si="128"/>
        <v>153</v>
      </c>
      <c r="V724">
        <f t="shared" si="129"/>
        <v>153</v>
      </c>
      <c r="W724" cm="1">
        <f t="array" ref="W724">_xlfn._xlws.FILTER(shifts!A:A,(shifts!B:B=events!D724)*(shifts!AH:AH&gt;=events!U724)*(shifts!AI:AI&lt;=events!V724))</f>
        <v>23</v>
      </c>
      <c r="X724" t="str">
        <f t="shared" si="122"/>
        <v>event_team_player_1</v>
      </c>
      <c r="Y724">
        <f>COUNTIFS(A$3:A724,"="&amp;A724,K$3:K724,"="&amp;K724)</f>
        <v>1</v>
      </c>
      <c r="Z724" s="20">
        <f>SUMIFS(T$3:T724,L$3:L724,"=Intermission")+SUMIFS(T$3:T724,L$3:L724,"=Timeout")+SUMIFS(T$3:T724,L$3:L724,"=Clockstop")</f>
        <v>0</v>
      </c>
      <c r="AA724">
        <f t="shared" si="130"/>
        <v>0</v>
      </c>
      <c r="AB724" s="26">
        <f t="shared" si="131"/>
        <v>927</v>
      </c>
      <c r="AC724">
        <f t="shared" si="132"/>
        <v>0</v>
      </c>
    </row>
    <row r="725" spans="1:29" x14ac:dyDescent="0.2">
      <c r="A725">
        <v>381</v>
      </c>
      <c r="D725">
        <f t="shared" si="133"/>
        <v>1</v>
      </c>
      <c r="E725">
        <v>2</v>
      </c>
      <c r="F725" s="6" t="s">
        <v>482</v>
      </c>
      <c r="I725" t="s">
        <v>179</v>
      </c>
      <c r="J725">
        <v>13</v>
      </c>
      <c r="K725" t="s">
        <v>488</v>
      </c>
      <c r="L725" t="s">
        <v>10</v>
      </c>
      <c r="M725" t="s">
        <v>190</v>
      </c>
      <c r="N725" t="s">
        <v>460</v>
      </c>
      <c r="Q725">
        <f t="shared" ref="Q725:S740" si="135">Q724</f>
        <v>18977</v>
      </c>
      <c r="R725" t="str">
        <f t="shared" si="135"/>
        <v>Velodrome</v>
      </c>
      <c r="S725" t="str">
        <f t="shared" si="135"/>
        <v>HollowBrook</v>
      </c>
      <c r="T725" s="20">
        <f t="shared" si="127"/>
        <v>0</v>
      </c>
      <c r="U725">
        <f t="shared" si="128"/>
        <v>153</v>
      </c>
      <c r="V725">
        <f t="shared" si="129"/>
        <v>153</v>
      </c>
      <c r="W725" cm="1">
        <f t="array" ref="W725">_xlfn._xlws.FILTER(shifts!A:A,(shifts!B:B=events!D725)*(shifts!AH:AH&gt;=events!U725)*(shifts!AI:AI&lt;=events!V725))</f>
        <v>23</v>
      </c>
      <c r="X725" t="str">
        <f t="shared" si="122"/>
        <v>event_team_player_1</v>
      </c>
      <c r="Y725">
        <f>COUNTIFS(A$3:A725,"="&amp;A725,K$3:K725,"="&amp;K725)</f>
        <v>1</v>
      </c>
      <c r="Z725" s="20">
        <f>SUMIFS(T$3:T725,L$3:L725,"=Intermission")+SUMIFS(T$3:T725,L$3:L725,"=Timeout")+SUMIFS(T$3:T725,L$3:L725,"=Clockstop")</f>
        <v>0</v>
      </c>
      <c r="AA725">
        <f t="shared" si="130"/>
        <v>0</v>
      </c>
      <c r="AB725" s="26">
        <f t="shared" si="131"/>
        <v>927</v>
      </c>
      <c r="AC725">
        <f t="shared" si="132"/>
        <v>0</v>
      </c>
    </row>
    <row r="726" spans="1:29" x14ac:dyDescent="0.2">
      <c r="A726">
        <v>382</v>
      </c>
      <c r="D726">
        <f t="shared" si="133"/>
        <v>1</v>
      </c>
      <c r="E726">
        <v>2</v>
      </c>
      <c r="F726" s="6" t="s">
        <v>483</v>
      </c>
      <c r="G726">
        <v>2</v>
      </c>
      <c r="H726" s="8" t="s">
        <v>484</v>
      </c>
      <c r="I726" t="s">
        <v>178</v>
      </c>
      <c r="J726">
        <v>84</v>
      </c>
      <c r="K726" t="s">
        <v>488</v>
      </c>
      <c r="L726" t="s">
        <v>15</v>
      </c>
      <c r="Q726">
        <f t="shared" si="135"/>
        <v>18977</v>
      </c>
      <c r="R726" t="str">
        <f t="shared" si="135"/>
        <v>Velodrome</v>
      </c>
      <c r="S726" t="str">
        <f t="shared" si="135"/>
        <v>HollowBrook</v>
      </c>
      <c r="T726" s="20">
        <f t="shared" si="127"/>
        <v>5</v>
      </c>
      <c r="U726">
        <f t="shared" si="128"/>
        <v>147</v>
      </c>
      <c r="V726">
        <f t="shared" si="129"/>
        <v>142</v>
      </c>
      <c r="W726" cm="1">
        <f t="array" ref="W726">_xlfn._xlws.FILTER(shifts!A:A,(shifts!B:B=events!D726)*(shifts!AH:AH&gt;=events!U726)*(shifts!AI:AI&lt;=events!V726))</f>
        <v>23</v>
      </c>
      <c r="X726" t="str">
        <f t="shared" si="122"/>
        <v>event_team_player_1</v>
      </c>
      <c r="Y726">
        <f>COUNTIFS(A$3:A726,"="&amp;A726,K$3:K726,"="&amp;K726)</f>
        <v>1</v>
      </c>
      <c r="Z726" s="20">
        <f>SUMIFS(T$3:T726,L$3:L726,"=Intermission")+SUMIFS(T$3:T726,L$3:L726,"=Timeout")+SUMIFS(T$3:T726,L$3:L726,"=Clockstop")</f>
        <v>0</v>
      </c>
      <c r="AA726">
        <f t="shared" si="130"/>
        <v>0</v>
      </c>
      <c r="AB726" s="26">
        <f t="shared" si="131"/>
        <v>933</v>
      </c>
      <c r="AC726">
        <f t="shared" si="132"/>
        <v>0</v>
      </c>
    </row>
    <row r="727" spans="1:29" x14ac:dyDescent="0.2">
      <c r="A727">
        <v>383</v>
      </c>
      <c r="D727">
        <f t="shared" si="133"/>
        <v>1</v>
      </c>
      <c r="E727">
        <v>2</v>
      </c>
      <c r="F727" s="6" t="s">
        <v>484</v>
      </c>
      <c r="I727" t="s">
        <v>178</v>
      </c>
      <c r="J727">
        <v>84</v>
      </c>
      <c r="K727" t="s">
        <v>488</v>
      </c>
      <c r="L727" t="s">
        <v>8</v>
      </c>
      <c r="M727" t="s">
        <v>189</v>
      </c>
      <c r="N727" t="s">
        <v>70</v>
      </c>
      <c r="Q727">
        <f t="shared" si="135"/>
        <v>18977</v>
      </c>
      <c r="R727" t="str">
        <f t="shared" si="135"/>
        <v>Velodrome</v>
      </c>
      <c r="S727" t="str">
        <f t="shared" si="135"/>
        <v>HollowBrook</v>
      </c>
      <c r="T727" s="20">
        <f t="shared" si="127"/>
        <v>0</v>
      </c>
      <c r="U727">
        <f t="shared" si="128"/>
        <v>142</v>
      </c>
      <c r="V727">
        <f t="shared" si="129"/>
        <v>142</v>
      </c>
      <c r="W727" cm="1">
        <f t="array" ref="W727">_xlfn._xlws.FILTER(shifts!A:A,(shifts!B:B=events!D727)*(shifts!AH:AH&gt;=events!U727)*(shifts!AI:AI&lt;=events!V727))</f>
        <v>23</v>
      </c>
      <c r="X727" t="str">
        <f t="shared" si="122"/>
        <v>event_team_player_1</v>
      </c>
      <c r="Y727">
        <f>COUNTIFS(A$3:A727,"="&amp;A727,K$3:K727,"="&amp;K727)</f>
        <v>1</v>
      </c>
      <c r="Z727" s="20">
        <f>SUMIFS(T$3:T727,L$3:L727,"=Intermission")+SUMIFS(T$3:T727,L$3:L727,"=Timeout")+SUMIFS(T$3:T727,L$3:L727,"=Clockstop")</f>
        <v>0</v>
      </c>
      <c r="AA727">
        <f t="shared" si="130"/>
        <v>0</v>
      </c>
      <c r="AB727" s="26">
        <f t="shared" si="131"/>
        <v>938</v>
      </c>
      <c r="AC727">
        <f t="shared" si="132"/>
        <v>0</v>
      </c>
    </row>
    <row r="728" spans="1:29" x14ac:dyDescent="0.2">
      <c r="A728">
        <v>383</v>
      </c>
      <c r="D728">
        <f t="shared" si="133"/>
        <v>1</v>
      </c>
      <c r="E728">
        <v>2</v>
      </c>
      <c r="F728" s="6" t="s">
        <v>484</v>
      </c>
      <c r="I728" t="s">
        <v>178</v>
      </c>
      <c r="J728">
        <v>9</v>
      </c>
      <c r="K728" t="s">
        <v>488</v>
      </c>
      <c r="L728" t="s">
        <v>8</v>
      </c>
      <c r="M728" t="s">
        <v>189</v>
      </c>
      <c r="N728" t="s">
        <v>70</v>
      </c>
      <c r="Q728">
        <f t="shared" si="135"/>
        <v>18977</v>
      </c>
      <c r="R728" t="str">
        <f t="shared" si="135"/>
        <v>Velodrome</v>
      </c>
      <c r="S728" t="str">
        <f t="shared" si="135"/>
        <v>HollowBrook</v>
      </c>
      <c r="T728" s="20">
        <f t="shared" si="127"/>
        <v>0</v>
      </c>
      <c r="U728">
        <f t="shared" si="128"/>
        <v>142</v>
      </c>
      <c r="V728">
        <f t="shared" si="129"/>
        <v>142</v>
      </c>
      <c r="W728" cm="1">
        <f t="array" ref="W728">_xlfn._xlws.FILTER(shifts!A:A,(shifts!B:B=events!D728)*(shifts!AH:AH&gt;=events!U728)*(shifts!AI:AI&lt;=events!V728))</f>
        <v>23</v>
      </c>
      <c r="X728" t="str">
        <f t="shared" si="122"/>
        <v>event_team_player_2</v>
      </c>
      <c r="Y728">
        <f>COUNTIFS(A$3:A728,"="&amp;A728,K$3:K728,"="&amp;K728)</f>
        <v>2</v>
      </c>
      <c r="Z728" s="20">
        <f>SUMIFS(T$3:T728,L$3:L728,"=Intermission")+SUMIFS(T$3:T728,L$3:L728,"=Timeout")+SUMIFS(T$3:T728,L$3:L728,"=Clockstop")</f>
        <v>0</v>
      </c>
      <c r="AA728">
        <f t="shared" si="130"/>
        <v>0</v>
      </c>
      <c r="AB728" s="26">
        <f t="shared" si="131"/>
        <v>938</v>
      </c>
      <c r="AC728">
        <f t="shared" si="132"/>
        <v>0</v>
      </c>
    </row>
    <row r="729" spans="1:29" x14ac:dyDescent="0.2">
      <c r="A729">
        <v>383</v>
      </c>
      <c r="D729">
        <f t="shared" si="133"/>
        <v>1</v>
      </c>
      <c r="E729">
        <v>2</v>
      </c>
      <c r="F729" s="6" t="s">
        <v>484</v>
      </c>
      <c r="I729" t="s">
        <v>178</v>
      </c>
      <c r="J729">
        <v>9</v>
      </c>
      <c r="K729" t="s">
        <v>488</v>
      </c>
      <c r="L729" t="s">
        <v>8</v>
      </c>
      <c r="M729" t="s">
        <v>189</v>
      </c>
      <c r="N729" t="s">
        <v>71</v>
      </c>
      <c r="Q729">
        <f t="shared" si="135"/>
        <v>18977</v>
      </c>
      <c r="R729" t="str">
        <f t="shared" si="135"/>
        <v>Velodrome</v>
      </c>
      <c r="S729" t="str">
        <f t="shared" si="135"/>
        <v>HollowBrook</v>
      </c>
      <c r="T729" s="20">
        <f t="shared" si="127"/>
        <v>0</v>
      </c>
      <c r="U729">
        <f t="shared" si="128"/>
        <v>142</v>
      </c>
      <c r="V729">
        <f t="shared" si="129"/>
        <v>142</v>
      </c>
      <c r="W729" cm="1">
        <f t="array" ref="W729">_xlfn._xlws.FILTER(shifts!A:A,(shifts!B:B=events!D729)*(shifts!AH:AH&gt;=events!U729)*(shifts!AI:AI&lt;=events!V729))</f>
        <v>23</v>
      </c>
      <c r="X729" t="str">
        <f t="shared" si="122"/>
        <v>event_team_player_3</v>
      </c>
      <c r="Y729">
        <f>COUNTIFS(A$3:A729,"="&amp;A729,K$3:K729,"="&amp;K729)</f>
        <v>3</v>
      </c>
      <c r="Z729" s="20">
        <f>SUMIFS(T$3:T729,L$3:L729,"=Intermission")+SUMIFS(T$3:T729,L$3:L729,"=Timeout")+SUMIFS(T$3:T729,L$3:L729,"=Clockstop")</f>
        <v>0</v>
      </c>
      <c r="AA729">
        <f t="shared" si="130"/>
        <v>0</v>
      </c>
      <c r="AB729" s="26">
        <f t="shared" si="131"/>
        <v>938</v>
      </c>
      <c r="AC729">
        <f t="shared" si="132"/>
        <v>0</v>
      </c>
    </row>
    <row r="730" spans="1:29" x14ac:dyDescent="0.2">
      <c r="A730">
        <v>383</v>
      </c>
      <c r="D730">
        <f t="shared" si="133"/>
        <v>1</v>
      </c>
      <c r="E730">
        <v>2</v>
      </c>
      <c r="F730" s="6" t="s">
        <v>484</v>
      </c>
      <c r="I730" t="s">
        <v>178</v>
      </c>
      <c r="J730">
        <v>49</v>
      </c>
      <c r="K730" t="s">
        <v>488</v>
      </c>
      <c r="L730" t="s">
        <v>8</v>
      </c>
      <c r="M730" t="s">
        <v>189</v>
      </c>
      <c r="N730" t="s">
        <v>71</v>
      </c>
      <c r="Q730">
        <f t="shared" si="135"/>
        <v>18977</v>
      </c>
      <c r="R730" t="str">
        <f t="shared" si="135"/>
        <v>Velodrome</v>
      </c>
      <c r="S730" t="str">
        <f t="shared" si="135"/>
        <v>HollowBrook</v>
      </c>
      <c r="T730" s="20">
        <f t="shared" si="127"/>
        <v>0</v>
      </c>
      <c r="U730">
        <f t="shared" si="128"/>
        <v>142</v>
      </c>
      <c r="V730">
        <f t="shared" si="129"/>
        <v>142</v>
      </c>
      <c r="W730" cm="1">
        <f t="array" ref="W730">_xlfn._xlws.FILTER(shifts!A:A,(shifts!B:B=events!D730)*(shifts!AH:AH&gt;=events!U730)*(shifts!AI:AI&lt;=events!V730))</f>
        <v>23</v>
      </c>
      <c r="X730" t="str">
        <f t="shared" si="122"/>
        <v>event_team_player_4</v>
      </c>
      <c r="Y730">
        <f>COUNTIFS(A$3:A730,"="&amp;A730,K$3:K730,"="&amp;K730)</f>
        <v>4</v>
      </c>
      <c r="Z730" s="20">
        <f>SUMIFS(T$3:T730,L$3:L730,"=Intermission")+SUMIFS(T$3:T730,L$3:L730,"=Timeout")+SUMIFS(T$3:T730,L$3:L730,"=Clockstop")</f>
        <v>0</v>
      </c>
      <c r="AA730">
        <f t="shared" si="130"/>
        <v>0</v>
      </c>
      <c r="AB730" s="26">
        <f t="shared" si="131"/>
        <v>938</v>
      </c>
      <c r="AC730">
        <f t="shared" si="132"/>
        <v>0</v>
      </c>
    </row>
    <row r="731" spans="1:29" x14ac:dyDescent="0.2">
      <c r="A731">
        <v>384</v>
      </c>
      <c r="D731">
        <f t="shared" si="133"/>
        <v>1</v>
      </c>
      <c r="E731">
        <v>2</v>
      </c>
      <c r="F731" s="6" t="s">
        <v>422</v>
      </c>
      <c r="G731">
        <v>2</v>
      </c>
      <c r="H731" s="8" t="s">
        <v>445</v>
      </c>
      <c r="I731" t="s">
        <v>178</v>
      </c>
      <c r="J731">
        <v>49</v>
      </c>
      <c r="K731" t="s">
        <v>488</v>
      </c>
      <c r="L731" t="s">
        <v>277</v>
      </c>
      <c r="M731" t="s">
        <v>201</v>
      </c>
      <c r="N731" t="s">
        <v>90</v>
      </c>
      <c r="Q731">
        <f t="shared" si="135"/>
        <v>18977</v>
      </c>
      <c r="R731" t="str">
        <f t="shared" si="135"/>
        <v>Velodrome</v>
      </c>
      <c r="S731" t="str">
        <f t="shared" si="135"/>
        <v>HollowBrook</v>
      </c>
      <c r="T731" s="20">
        <f t="shared" si="127"/>
        <v>1</v>
      </c>
      <c r="U731">
        <f t="shared" si="128"/>
        <v>140</v>
      </c>
      <c r="V731">
        <f t="shared" si="129"/>
        <v>139</v>
      </c>
      <c r="W731" cm="1">
        <f t="array" ref="W731">_xlfn._xlws.FILTER(shifts!A:A,(shifts!B:B=events!D731)*(shifts!AH:AH&gt;=events!U731)*(shifts!AI:AI&lt;=events!V731))</f>
        <v>23</v>
      </c>
      <c r="X731" t="str">
        <f t="shared" si="122"/>
        <v>event_team_player_1</v>
      </c>
      <c r="Y731">
        <f>COUNTIFS(A$3:A731,"="&amp;A731,K$3:K731,"="&amp;K731)</f>
        <v>1</v>
      </c>
      <c r="Z731" s="20">
        <f>SUMIFS(T$3:T731,L$3:L731,"=Intermission")+SUMIFS(T$3:T731,L$3:L731,"=Timeout")+SUMIFS(T$3:T731,L$3:L731,"=Clockstop")</f>
        <v>0</v>
      </c>
      <c r="AA731">
        <f t="shared" si="130"/>
        <v>0</v>
      </c>
      <c r="AB731" s="26">
        <f t="shared" si="131"/>
        <v>940</v>
      </c>
      <c r="AC731">
        <f t="shared" si="132"/>
        <v>0</v>
      </c>
    </row>
    <row r="732" spans="1:29" x14ac:dyDescent="0.2">
      <c r="A732">
        <v>384</v>
      </c>
      <c r="D732">
        <f t="shared" si="133"/>
        <v>1</v>
      </c>
      <c r="E732">
        <v>2</v>
      </c>
      <c r="F732" s="6" t="s">
        <v>422</v>
      </c>
      <c r="G732">
        <v>2</v>
      </c>
      <c r="H732" s="8" t="s">
        <v>445</v>
      </c>
      <c r="I732" t="s">
        <v>178</v>
      </c>
      <c r="J732">
        <v>13</v>
      </c>
      <c r="K732" t="s">
        <v>489</v>
      </c>
      <c r="L732" t="s">
        <v>277</v>
      </c>
      <c r="M732" t="s">
        <v>201</v>
      </c>
      <c r="N732" t="s">
        <v>90</v>
      </c>
      <c r="Q732">
        <f t="shared" si="135"/>
        <v>18977</v>
      </c>
      <c r="R732" t="str">
        <f t="shared" si="135"/>
        <v>Velodrome</v>
      </c>
      <c r="S732" t="str">
        <f t="shared" si="135"/>
        <v>HollowBrook</v>
      </c>
      <c r="T732" s="20">
        <f t="shared" si="127"/>
        <v>1</v>
      </c>
      <c r="U732">
        <f t="shared" si="128"/>
        <v>140</v>
      </c>
      <c r="V732">
        <f t="shared" si="129"/>
        <v>139</v>
      </c>
      <c r="W732" cm="1">
        <f t="array" ref="W732">_xlfn._xlws.FILTER(shifts!A:A,(shifts!B:B=events!D732)*(shifts!AH:AH&gt;=events!U732)*(shifts!AI:AI&lt;=events!V732))</f>
        <v>23</v>
      </c>
      <c r="X732" t="str">
        <f t="shared" si="122"/>
        <v>opp_team_player_1</v>
      </c>
      <c r="Y732">
        <f>COUNTIFS(A$3:A732,"="&amp;A732,K$3:K732,"="&amp;K732)</f>
        <v>1</v>
      </c>
      <c r="Z732" s="20">
        <f>SUMIFS(T$3:T732,L$3:L732,"=Intermission")+SUMIFS(T$3:T732,L$3:L732,"=Timeout")+SUMIFS(T$3:T732,L$3:L732,"=Clockstop")</f>
        <v>0</v>
      </c>
      <c r="AA732">
        <f t="shared" si="130"/>
        <v>0</v>
      </c>
      <c r="AB732" s="26">
        <f t="shared" si="131"/>
        <v>940</v>
      </c>
      <c r="AC732">
        <f t="shared" si="132"/>
        <v>0</v>
      </c>
    </row>
    <row r="733" spans="1:29" x14ac:dyDescent="0.2">
      <c r="A733">
        <v>385</v>
      </c>
      <c r="D733">
        <f t="shared" si="133"/>
        <v>1</v>
      </c>
      <c r="E733">
        <v>2</v>
      </c>
      <c r="F733" s="6" t="s">
        <v>485</v>
      </c>
      <c r="I733" t="s">
        <v>178</v>
      </c>
      <c r="J733">
        <v>49</v>
      </c>
      <c r="K733" t="s">
        <v>488</v>
      </c>
      <c r="L733" t="s">
        <v>8</v>
      </c>
      <c r="M733" t="s">
        <v>189</v>
      </c>
      <c r="N733" t="s">
        <v>71</v>
      </c>
      <c r="Q733">
        <f t="shared" si="135"/>
        <v>18977</v>
      </c>
      <c r="R733" t="str">
        <f t="shared" si="135"/>
        <v>Velodrome</v>
      </c>
      <c r="S733" t="str">
        <f t="shared" si="135"/>
        <v>HollowBrook</v>
      </c>
      <c r="T733" s="20">
        <f t="shared" si="127"/>
        <v>0</v>
      </c>
      <c r="U733">
        <f t="shared" si="128"/>
        <v>138</v>
      </c>
      <c r="V733">
        <f t="shared" si="129"/>
        <v>138</v>
      </c>
      <c r="W733" cm="1">
        <f t="array" ref="W733">_xlfn._xlws.FILTER(shifts!A:A,(shifts!B:B=events!D733)*(shifts!AH:AH&gt;=events!U733)*(shifts!AI:AI&lt;=events!V733))</f>
        <v>23</v>
      </c>
      <c r="X733" t="str">
        <f t="shared" si="122"/>
        <v>event_team_player_1</v>
      </c>
      <c r="Y733">
        <f>COUNTIFS(A$3:A733,"="&amp;A733,K$3:K733,"="&amp;K733)</f>
        <v>1</v>
      </c>
      <c r="Z733" s="20">
        <f>SUMIFS(T$3:T733,L$3:L733,"=Intermission")+SUMIFS(T$3:T733,L$3:L733,"=Timeout")+SUMIFS(T$3:T733,L$3:L733,"=Clockstop")</f>
        <v>0</v>
      </c>
      <c r="AA733">
        <f t="shared" si="130"/>
        <v>0</v>
      </c>
      <c r="AB733" s="26">
        <f t="shared" si="131"/>
        <v>942</v>
      </c>
      <c r="AC733">
        <f t="shared" si="132"/>
        <v>0</v>
      </c>
    </row>
    <row r="734" spans="1:29" x14ac:dyDescent="0.2">
      <c r="A734">
        <v>385</v>
      </c>
      <c r="D734">
        <f t="shared" si="133"/>
        <v>1</v>
      </c>
      <c r="E734">
        <v>2</v>
      </c>
      <c r="F734" s="6" t="s">
        <v>485</v>
      </c>
      <c r="I734" t="s">
        <v>178</v>
      </c>
      <c r="J734">
        <v>70</v>
      </c>
      <c r="K734" t="s">
        <v>488</v>
      </c>
      <c r="L734" t="s">
        <v>8</v>
      </c>
      <c r="M734" t="s">
        <v>189</v>
      </c>
      <c r="N734" t="s">
        <v>71</v>
      </c>
      <c r="Q734">
        <f t="shared" si="135"/>
        <v>18977</v>
      </c>
      <c r="R734" t="str">
        <f t="shared" si="135"/>
        <v>Velodrome</v>
      </c>
      <c r="S734" t="str">
        <f t="shared" si="135"/>
        <v>HollowBrook</v>
      </c>
      <c r="T734" s="20">
        <f t="shared" si="127"/>
        <v>0</v>
      </c>
      <c r="U734">
        <f t="shared" si="128"/>
        <v>138</v>
      </c>
      <c r="V734">
        <f t="shared" si="129"/>
        <v>138</v>
      </c>
      <c r="W734" cm="1">
        <f t="array" ref="W734">_xlfn._xlws.FILTER(shifts!A:A,(shifts!B:B=events!D734)*(shifts!AH:AH&gt;=events!U734)*(shifts!AI:AI&lt;=events!V734))</f>
        <v>23</v>
      </c>
      <c r="X734" t="str">
        <f t="shared" si="122"/>
        <v>event_team_player_2</v>
      </c>
      <c r="Y734">
        <f>COUNTIFS(A$3:A734,"="&amp;A734,K$3:K734,"="&amp;K734)</f>
        <v>2</v>
      </c>
      <c r="Z734" s="20">
        <f>SUMIFS(T$3:T734,L$3:L734,"=Intermission")+SUMIFS(T$3:T734,L$3:L734,"=Timeout")+SUMIFS(T$3:T734,L$3:L734,"=Clockstop")</f>
        <v>0</v>
      </c>
      <c r="AA734">
        <f t="shared" si="130"/>
        <v>0</v>
      </c>
      <c r="AB734" s="26">
        <f t="shared" si="131"/>
        <v>942</v>
      </c>
      <c r="AC734">
        <f t="shared" si="132"/>
        <v>0</v>
      </c>
    </row>
    <row r="735" spans="1:29" x14ac:dyDescent="0.2">
      <c r="A735">
        <v>386</v>
      </c>
      <c r="D735">
        <f t="shared" si="133"/>
        <v>1</v>
      </c>
      <c r="E735">
        <v>2</v>
      </c>
      <c r="F735" s="6" t="s">
        <v>448</v>
      </c>
      <c r="G735">
        <v>2</v>
      </c>
      <c r="H735" s="8" t="s">
        <v>447</v>
      </c>
      <c r="I735" t="s">
        <v>178</v>
      </c>
      <c r="J735">
        <v>70</v>
      </c>
      <c r="K735" t="s">
        <v>488</v>
      </c>
      <c r="L735" t="s">
        <v>277</v>
      </c>
      <c r="M735" t="s">
        <v>191</v>
      </c>
      <c r="N735" t="s">
        <v>87</v>
      </c>
      <c r="Q735">
        <f t="shared" si="135"/>
        <v>18977</v>
      </c>
      <c r="R735" t="str">
        <f t="shared" si="135"/>
        <v>Velodrome</v>
      </c>
      <c r="S735" t="str">
        <f t="shared" si="135"/>
        <v>HollowBrook</v>
      </c>
      <c r="T735" s="20">
        <f t="shared" si="127"/>
        <v>1</v>
      </c>
      <c r="U735">
        <f t="shared" si="128"/>
        <v>136</v>
      </c>
      <c r="V735">
        <f t="shared" si="129"/>
        <v>135</v>
      </c>
      <c r="W735" cm="1">
        <f t="array" ref="W735">_xlfn._xlws.FILTER(shifts!A:A,(shifts!B:B=events!D735)*(shifts!AH:AH&gt;=events!U735)*(shifts!AI:AI&lt;=events!V735))</f>
        <v>23</v>
      </c>
      <c r="X735" t="str">
        <f t="shared" si="122"/>
        <v>event_team_player_1</v>
      </c>
      <c r="Y735">
        <f>COUNTIFS(A$3:A735,"="&amp;A735,K$3:K735,"="&amp;K735)</f>
        <v>1</v>
      </c>
      <c r="Z735" s="20">
        <f>SUMIFS(T$3:T735,L$3:L735,"=Intermission")+SUMIFS(T$3:T735,L$3:L735,"=Timeout")+SUMIFS(T$3:T735,L$3:L735,"=Clockstop")</f>
        <v>0</v>
      </c>
      <c r="AA735">
        <f t="shared" si="130"/>
        <v>0</v>
      </c>
      <c r="AB735" s="26">
        <f t="shared" si="131"/>
        <v>944</v>
      </c>
      <c r="AC735">
        <f t="shared" si="132"/>
        <v>0</v>
      </c>
    </row>
    <row r="736" spans="1:29" x14ac:dyDescent="0.2">
      <c r="A736">
        <v>386</v>
      </c>
      <c r="D736">
        <f t="shared" si="133"/>
        <v>1</v>
      </c>
      <c r="E736">
        <v>2</v>
      </c>
      <c r="F736" s="6" t="s">
        <v>448</v>
      </c>
      <c r="G736">
        <v>2</v>
      </c>
      <c r="H736" s="8" t="s">
        <v>447</v>
      </c>
      <c r="I736" t="s">
        <v>178</v>
      </c>
      <c r="J736">
        <v>49</v>
      </c>
      <c r="K736" t="s">
        <v>488</v>
      </c>
      <c r="L736" t="s">
        <v>277</v>
      </c>
      <c r="M736" t="s">
        <v>191</v>
      </c>
      <c r="N736" t="s">
        <v>87</v>
      </c>
      <c r="Q736">
        <f t="shared" si="135"/>
        <v>18977</v>
      </c>
      <c r="R736" t="str">
        <f t="shared" si="135"/>
        <v>Velodrome</v>
      </c>
      <c r="S736" t="str">
        <f t="shared" si="135"/>
        <v>HollowBrook</v>
      </c>
      <c r="T736" s="20">
        <f t="shared" si="127"/>
        <v>1</v>
      </c>
      <c r="U736">
        <f t="shared" si="128"/>
        <v>136</v>
      </c>
      <c r="V736">
        <f t="shared" si="129"/>
        <v>135</v>
      </c>
      <c r="W736" cm="1">
        <f t="array" ref="W736">_xlfn._xlws.FILTER(shifts!A:A,(shifts!B:B=events!D736)*(shifts!AH:AH&gt;=events!U736)*(shifts!AI:AI&lt;=events!V736))</f>
        <v>23</v>
      </c>
      <c r="X736" t="str">
        <f t="shared" si="122"/>
        <v>event_team_player_2</v>
      </c>
      <c r="Y736">
        <f>COUNTIFS(A$3:A736,"="&amp;A736,K$3:K736,"="&amp;K736)</f>
        <v>2</v>
      </c>
      <c r="Z736" s="20">
        <f>SUMIFS(T$3:T736,L$3:L736,"=Intermission")+SUMIFS(T$3:T736,L$3:L736,"=Timeout")+SUMIFS(T$3:T736,L$3:L736,"=Clockstop")</f>
        <v>0</v>
      </c>
      <c r="AA736">
        <f t="shared" si="130"/>
        <v>0</v>
      </c>
      <c r="AB736" s="26">
        <f t="shared" si="131"/>
        <v>944</v>
      </c>
      <c r="AC736">
        <f t="shared" si="132"/>
        <v>0</v>
      </c>
    </row>
    <row r="737" spans="1:29" x14ac:dyDescent="0.2">
      <c r="A737">
        <v>386</v>
      </c>
      <c r="D737">
        <f t="shared" si="133"/>
        <v>1</v>
      </c>
      <c r="E737">
        <v>2</v>
      </c>
      <c r="F737" s="6" t="s">
        <v>448</v>
      </c>
      <c r="G737">
        <v>2</v>
      </c>
      <c r="H737" s="8" t="s">
        <v>447</v>
      </c>
      <c r="I737" t="s">
        <v>178</v>
      </c>
      <c r="J737">
        <v>13</v>
      </c>
      <c r="K737" t="s">
        <v>489</v>
      </c>
      <c r="L737" t="s">
        <v>277</v>
      </c>
      <c r="M737" t="s">
        <v>191</v>
      </c>
      <c r="N737" t="s">
        <v>87</v>
      </c>
      <c r="Q737">
        <f t="shared" si="135"/>
        <v>18977</v>
      </c>
      <c r="R737" t="str">
        <f t="shared" si="135"/>
        <v>Velodrome</v>
      </c>
      <c r="S737" t="str">
        <f t="shared" si="135"/>
        <v>HollowBrook</v>
      </c>
      <c r="T737" s="20">
        <f t="shared" si="127"/>
        <v>1</v>
      </c>
      <c r="U737">
        <f t="shared" si="128"/>
        <v>136</v>
      </c>
      <c r="V737">
        <f t="shared" si="129"/>
        <v>135</v>
      </c>
      <c r="W737" cm="1">
        <f t="array" ref="W737">_xlfn._xlws.FILTER(shifts!A:A,(shifts!B:B=events!D737)*(shifts!AH:AH&gt;=events!U737)*(shifts!AI:AI&lt;=events!V737))</f>
        <v>23</v>
      </c>
      <c r="X737" t="str">
        <f t="shared" si="122"/>
        <v>opp_team_player_1</v>
      </c>
      <c r="Y737">
        <f>COUNTIFS(A$3:A737,"="&amp;A737,K$3:K737,"="&amp;K737)</f>
        <v>1</v>
      </c>
      <c r="Z737" s="20">
        <f>SUMIFS(T$3:T737,L$3:L737,"=Intermission")+SUMIFS(T$3:T737,L$3:L737,"=Timeout")+SUMIFS(T$3:T737,L$3:L737,"=Clockstop")</f>
        <v>0</v>
      </c>
      <c r="AA737">
        <f t="shared" si="130"/>
        <v>0</v>
      </c>
      <c r="AB737" s="26">
        <f t="shared" si="131"/>
        <v>944</v>
      </c>
      <c r="AC737">
        <f t="shared" si="132"/>
        <v>0</v>
      </c>
    </row>
    <row r="738" spans="1:29" x14ac:dyDescent="0.2">
      <c r="A738">
        <v>386</v>
      </c>
      <c r="D738">
        <f t="shared" si="133"/>
        <v>1</v>
      </c>
      <c r="E738">
        <v>2</v>
      </c>
      <c r="F738" s="6" t="s">
        <v>448</v>
      </c>
      <c r="G738">
        <v>2</v>
      </c>
      <c r="H738" s="8" t="s">
        <v>447</v>
      </c>
      <c r="I738" t="s">
        <v>178</v>
      </c>
      <c r="J738">
        <v>5</v>
      </c>
      <c r="K738" t="s">
        <v>489</v>
      </c>
      <c r="L738" t="s">
        <v>277</v>
      </c>
      <c r="M738" t="s">
        <v>191</v>
      </c>
      <c r="N738" t="s">
        <v>87</v>
      </c>
      <c r="Q738">
        <f t="shared" si="135"/>
        <v>18977</v>
      </c>
      <c r="R738" t="str">
        <f t="shared" si="135"/>
        <v>Velodrome</v>
      </c>
      <c r="S738" t="str">
        <f t="shared" si="135"/>
        <v>HollowBrook</v>
      </c>
      <c r="T738" s="20">
        <f t="shared" si="127"/>
        <v>1</v>
      </c>
      <c r="U738">
        <f t="shared" si="128"/>
        <v>136</v>
      </c>
      <c r="V738">
        <f t="shared" si="129"/>
        <v>135</v>
      </c>
      <c r="W738" cm="1">
        <f t="array" ref="W738">_xlfn._xlws.FILTER(shifts!A:A,(shifts!B:B=events!D738)*(shifts!AH:AH&gt;=events!U738)*(shifts!AI:AI&lt;=events!V738))</f>
        <v>23</v>
      </c>
      <c r="X738" t="str">
        <f t="shared" si="122"/>
        <v>opp_team_player_2</v>
      </c>
      <c r="Y738">
        <f>COUNTIFS(A$3:A738,"="&amp;A738,K$3:K738,"="&amp;K738)</f>
        <v>2</v>
      </c>
      <c r="Z738" s="20">
        <f>SUMIFS(T$3:T738,L$3:L738,"=Intermission")+SUMIFS(T$3:T738,L$3:L738,"=Timeout")+SUMIFS(T$3:T738,L$3:L738,"=Clockstop")</f>
        <v>0</v>
      </c>
      <c r="AA738">
        <f t="shared" si="130"/>
        <v>0</v>
      </c>
      <c r="AB738" s="26">
        <f t="shared" si="131"/>
        <v>944</v>
      </c>
      <c r="AC738">
        <f t="shared" si="132"/>
        <v>0</v>
      </c>
    </row>
    <row r="739" spans="1:29" x14ac:dyDescent="0.2">
      <c r="A739">
        <v>386</v>
      </c>
      <c r="D739">
        <f t="shared" si="133"/>
        <v>1</v>
      </c>
      <c r="E739">
        <v>2</v>
      </c>
      <c r="F739" s="6" t="s">
        <v>448</v>
      </c>
      <c r="G739">
        <v>2</v>
      </c>
      <c r="H739" s="8" t="s">
        <v>447</v>
      </c>
      <c r="I739" t="s">
        <v>178</v>
      </c>
      <c r="J739">
        <v>27</v>
      </c>
      <c r="K739" t="s">
        <v>489</v>
      </c>
      <c r="L739" t="s">
        <v>277</v>
      </c>
      <c r="M739" t="s">
        <v>191</v>
      </c>
      <c r="N739" t="s">
        <v>87</v>
      </c>
      <c r="Q739">
        <f t="shared" si="135"/>
        <v>18977</v>
      </c>
      <c r="R739" t="str">
        <f t="shared" si="135"/>
        <v>Velodrome</v>
      </c>
      <c r="S739" t="str">
        <f t="shared" si="135"/>
        <v>HollowBrook</v>
      </c>
      <c r="T739" s="20">
        <f t="shared" si="127"/>
        <v>1</v>
      </c>
      <c r="U739">
        <f t="shared" si="128"/>
        <v>136</v>
      </c>
      <c r="V739">
        <f t="shared" si="129"/>
        <v>135</v>
      </c>
      <c r="W739" cm="1">
        <f t="array" ref="W739">_xlfn._xlws.FILTER(shifts!A:A,(shifts!B:B=events!D739)*(shifts!AH:AH&gt;=events!U739)*(shifts!AI:AI&lt;=events!V739))</f>
        <v>23</v>
      </c>
      <c r="X739" t="str">
        <f t="shared" si="122"/>
        <v>opp_team_player_3</v>
      </c>
      <c r="Y739">
        <f>COUNTIFS(A$3:A739,"="&amp;A739,K$3:K739,"="&amp;K739)</f>
        <v>3</v>
      </c>
      <c r="Z739" s="20">
        <f>SUMIFS(T$3:T739,L$3:L739,"=Intermission")+SUMIFS(T$3:T739,L$3:L739,"=Timeout")+SUMIFS(T$3:T739,L$3:L739,"=Clockstop")</f>
        <v>0</v>
      </c>
      <c r="AA739">
        <f t="shared" si="130"/>
        <v>0</v>
      </c>
      <c r="AB739" s="26">
        <f t="shared" si="131"/>
        <v>944</v>
      </c>
      <c r="AC739">
        <f t="shared" si="132"/>
        <v>0</v>
      </c>
    </row>
    <row r="740" spans="1:29" x14ac:dyDescent="0.2">
      <c r="A740">
        <v>387</v>
      </c>
      <c r="D740">
        <f t="shared" si="133"/>
        <v>1</v>
      </c>
      <c r="E740">
        <v>2</v>
      </c>
      <c r="F740" s="6" t="s">
        <v>447</v>
      </c>
      <c r="I740" t="s">
        <v>178</v>
      </c>
      <c r="J740">
        <v>70</v>
      </c>
      <c r="K740" t="s">
        <v>488</v>
      </c>
      <c r="L740" t="s">
        <v>8</v>
      </c>
      <c r="M740" t="s">
        <v>199</v>
      </c>
      <c r="N740" t="s">
        <v>70</v>
      </c>
      <c r="Q740">
        <f t="shared" si="135"/>
        <v>18977</v>
      </c>
      <c r="R740" t="str">
        <f t="shared" si="135"/>
        <v>Velodrome</v>
      </c>
      <c r="S740" t="str">
        <f t="shared" si="135"/>
        <v>HollowBrook</v>
      </c>
      <c r="T740" s="20">
        <f t="shared" si="127"/>
        <v>0</v>
      </c>
      <c r="U740">
        <f t="shared" si="128"/>
        <v>135</v>
      </c>
      <c r="V740">
        <f t="shared" si="129"/>
        <v>135</v>
      </c>
      <c r="W740" cm="1">
        <f t="array" ref="W740">_xlfn._xlws.FILTER(shifts!A:A,(shifts!B:B=events!D740)*(shifts!AH:AH&gt;=events!U740)*(shifts!AI:AI&lt;=events!V740))</f>
        <v>23</v>
      </c>
      <c r="X740" t="str">
        <f t="shared" si="122"/>
        <v>event_team_player_1</v>
      </c>
      <c r="Y740">
        <f>COUNTIFS(A$3:A740,"="&amp;A740,K$3:K740,"="&amp;K740)</f>
        <v>1</v>
      </c>
      <c r="Z740" s="20">
        <f>SUMIFS(T$3:T740,L$3:L740,"=Intermission")+SUMIFS(T$3:T740,L$3:L740,"=Timeout")+SUMIFS(T$3:T740,L$3:L740,"=Clockstop")</f>
        <v>0</v>
      </c>
      <c r="AA740">
        <f t="shared" si="130"/>
        <v>0</v>
      </c>
      <c r="AB740" s="26">
        <f t="shared" si="131"/>
        <v>945</v>
      </c>
      <c r="AC740">
        <f t="shared" si="132"/>
        <v>0</v>
      </c>
    </row>
    <row r="741" spans="1:29" x14ac:dyDescent="0.2">
      <c r="A741">
        <v>387</v>
      </c>
      <c r="D741">
        <f t="shared" si="133"/>
        <v>1</v>
      </c>
      <c r="E741">
        <v>2</v>
      </c>
      <c r="F741" s="6" t="s">
        <v>447</v>
      </c>
      <c r="I741" t="s">
        <v>178</v>
      </c>
      <c r="J741">
        <v>49</v>
      </c>
      <c r="K741" t="s">
        <v>488</v>
      </c>
      <c r="L741" t="s">
        <v>8</v>
      </c>
      <c r="M741" t="s">
        <v>199</v>
      </c>
      <c r="N741" t="s">
        <v>70</v>
      </c>
      <c r="Q741">
        <f t="shared" ref="Q741:S756" si="136">Q740</f>
        <v>18977</v>
      </c>
      <c r="R741" t="str">
        <f t="shared" si="136"/>
        <v>Velodrome</v>
      </c>
      <c r="S741" t="str">
        <f t="shared" si="136"/>
        <v>HollowBrook</v>
      </c>
      <c r="T741" s="20">
        <f t="shared" si="127"/>
        <v>0</v>
      </c>
      <c r="U741">
        <f t="shared" si="128"/>
        <v>135</v>
      </c>
      <c r="V741">
        <f t="shared" si="129"/>
        <v>135</v>
      </c>
      <c r="W741" cm="1">
        <f t="array" ref="W741">_xlfn._xlws.FILTER(shifts!A:A,(shifts!B:B=events!D741)*(shifts!AH:AH&gt;=events!U741)*(shifts!AI:AI&lt;=events!V741))</f>
        <v>23</v>
      </c>
      <c r="X741" t="str">
        <f t="shared" si="122"/>
        <v>event_team_player_2</v>
      </c>
      <c r="Y741">
        <f>COUNTIFS(A$3:A741,"="&amp;A741,K$3:K741,"="&amp;K741)</f>
        <v>2</v>
      </c>
      <c r="Z741" s="20">
        <f>SUMIFS(T$3:T741,L$3:L741,"=Intermission")+SUMIFS(T$3:T741,L$3:L741,"=Timeout")+SUMIFS(T$3:T741,L$3:L741,"=Clockstop")</f>
        <v>0</v>
      </c>
      <c r="AA741">
        <f t="shared" si="130"/>
        <v>0</v>
      </c>
      <c r="AB741" s="26">
        <f t="shared" si="131"/>
        <v>945</v>
      </c>
      <c r="AC741">
        <f t="shared" si="132"/>
        <v>0</v>
      </c>
    </row>
    <row r="742" spans="1:29" x14ac:dyDescent="0.2">
      <c r="A742">
        <v>388</v>
      </c>
      <c r="D742">
        <f t="shared" si="133"/>
        <v>1</v>
      </c>
      <c r="E742">
        <v>2</v>
      </c>
      <c r="F742" s="6" t="s">
        <v>447</v>
      </c>
      <c r="I742" t="s">
        <v>178</v>
      </c>
      <c r="J742">
        <v>70</v>
      </c>
      <c r="K742" t="s">
        <v>488</v>
      </c>
      <c r="L742" t="s">
        <v>10</v>
      </c>
      <c r="M742" t="s">
        <v>190</v>
      </c>
      <c r="N742" t="s">
        <v>77</v>
      </c>
      <c r="Q742">
        <f t="shared" si="136"/>
        <v>18977</v>
      </c>
      <c r="R742" t="str">
        <f t="shared" si="136"/>
        <v>Velodrome</v>
      </c>
      <c r="S742" t="str">
        <f t="shared" si="136"/>
        <v>HollowBrook</v>
      </c>
      <c r="T742" s="20">
        <f t="shared" si="127"/>
        <v>0</v>
      </c>
      <c r="U742">
        <f t="shared" si="128"/>
        <v>135</v>
      </c>
      <c r="V742">
        <f t="shared" si="129"/>
        <v>135</v>
      </c>
      <c r="W742" cm="1">
        <f t="array" ref="W742">_xlfn._xlws.FILTER(shifts!A:A,(shifts!B:B=events!D742)*(shifts!AH:AH&gt;=events!U742)*(shifts!AI:AI&lt;=events!V742))</f>
        <v>23</v>
      </c>
      <c r="X742" t="str">
        <f t="shared" si="122"/>
        <v>event_team_player_1</v>
      </c>
      <c r="Y742">
        <f>COUNTIFS(A$3:A742,"="&amp;A742,K$3:K742,"="&amp;K742)</f>
        <v>1</v>
      </c>
      <c r="Z742" s="20">
        <f>SUMIFS(T$3:T742,L$3:L742,"=Intermission")+SUMIFS(T$3:T742,L$3:L742,"=Timeout")+SUMIFS(T$3:T742,L$3:L742,"=Clockstop")</f>
        <v>0</v>
      </c>
      <c r="AA742">
        <f t="shared" si="130"/>
        <v>0</v>
      </c>
      <c r="AB742" s="26">
        <f t="shared" si="131"/>
        <v>945</v>
      </c>
      <c r="AC742">
        <f t="shared" si="132"/>
        <v>0</v>
      </c>
    </row>
    <row r="743" spans="1:29" x14ac:dyDescent="0.2">
      <c r="A743">
        <v>388</v>
      </c>
      <c r="D743">
        <f t="shared" si="133"/>
        <v>1</v>
      </c>
      <c r="E743">
        <v>2</v>
      </c>
      <c r="F743" s="6" t="s">
        <v>447</v>
      </c>
      <c r="I743" t="s">
        <v>178</v>
      </c>
      <c r="J743">
        <v>49</v>
      </c>
      <c r="K743" t="s">
        <v>488</v>
      </c>
      <c r="L743" t="s">
        <v>10</v>
      </c>
      <c r="M743" t="s">
        <v>190</v>
      </c>
      <c r="N743" t="s">
        <v>77</v>
      </c>
      <c r="Q743">
        <f t="shared" si="136"/>
        <v>18977</v>
      </c>
      <c r="R743" t="str">
        <f t="shared" si="136"/>
        <v>Velodrome</v>
      </c>
      <c r="S743" t="str">
        <f t="shared" si="136"/>
        <v>HollowBrook</v>
      </c>
      <c r="T743" s="20">
        <f t="shared" si="127"/>
        <v>0</v>
      </c>
      <c r="U743">
        <f t="shared" si="128"/>
        <v>135</v>
      </c>
      <c r="V743">
        <f t="shared" si="129"/>
        <v>135</v>
      </c>
      <c r="W743" cm="1">
        <f t="array" ref="W743">_xlfn._xlws.FILTER(shifts!A:A,(shifts!B:B=events!D743)*(shifts!AH:AH&gt;=events!U743)*(shifts!AI:AI&lt;=events!V743))</f>
        <v>23</v>
      </c>
      <c r="X743" t="str">
        <f t="shared" si="122"/>
        <v>event_team_player_2</v>
      </c>
      <c r="Y743">
        <f>COUNTIFS(A$3:A743,"="&amp;A743,K$3:K743,"="&amp;K743)</f>
        <v>2</v>
      </c>
      <c r="Z743" s="20">
        <f>SUMIFS(T$3:T743,L$3:L743,"=Intermission")+SUMIFS(T$3:T743,L$3:L743,"=Timeout")+SUMIFS(T$3:T743,L$3:L743,"=Clockstop")</f>
        <v>0</v>
      </c>
      <c r="AA743">
        <f t="shared" si="130"/>
        <v>0</v>
      </c>
      <c r="AB743" s="26">
        <f t="shared" si="131"/>
        <v>945</v>
      </c>
      <c r="AC743">
        <f t="shared" si="132"/>
        <v>0</v>
      </c>
    </row>
    <row r="744" spans="1:29" x14ac:dyDescent="0.2">
      <c r="A744">
        <v>389</v>
      </c>
      <c r="D744">
        <f t="shared" si="133"/>
        <v>1</v>
      </c>
      <c r="E744">
        <v>2</v>
      </c>
      <c r="F744" s="6" t="s">
        <v>317</v>
      </c>
      <c r="G744">
        <v>2</v>
      </c>
      <c r="H744" s="8" t="s">
        <v>486</v>
      </c>
      <c r="I744" t="s">
        <v>179</v>
      </c>
      <c r="J744">
        <v>27</v>
      </c>
      <c r="K744" t="s">
        <v>488</v>
      </c>
      <c r="L744" t="s">
        <v>15</v>
      </c>
      <c r="Q744">
        <f t="shared" si="136"/>
        <v>18977</v>
      </c>
      <c r="R744" t="str">
        <f t="shared" si="136"/>
        <v>Velodrome</v>
      </c>
      <c r="S744" t="str">
        <f t="shared" si="136"/>
        <v>HollowBrook</v>
      </c>
      <c r="T744" s="20">
        <f t="shared" si="127"/>
        <v>2</v>
      </c>
      <c r="U744">
        <f t="shared" si="128"/>
        <v>133</v>
      </c>
      <c r="V744">
        <f t="shared" si="129"/>
        <v>131</v>
      </c>
      <c r="W744" cm="1">
        <f t="array" ref="W744">_xlfn._xlws.FILTER(shifts!A:A,(shifts!B:B=events!D744)*(shifts!AH:AH&gt;=events!U744)*(shifts!AI:AI&lt;=events!V744))</f>
        <v>23</v>
      </c>
      <c r="X744" t="str">
        <f t="shared" si="122"/>
        <v>event_team_player_1</v>
      </c>
      <c r="Y744">
        <f>COUNTIFS(A$3:A744,"="&amp;A744,K$3:K744,"="&amp;K744)</f>
        <v>1</v>
      </c>
      <c r="Z744" s="20">
        <f>SUMIFS(T$3:T744,L$3:L744,"=Intermission")+SUMIFS(T$3:T744,L$3:L744,"=Timeout")+SUMIFS(T$3:T744,L$3:L744,"=Clockstop")</f>
        <v>0</v>
      </c>
      <c r="AA744">
        <f t="shared" si="130"/>
        <v>0</v>
      </c>
      <c r="AB744" s="26">
        <f t="shared" si="131"/>
        <v>947</v>
      </c>
      <c r="AC744">
        <f t="shared" si="132"/>
        <v>0</v>
      </c>
    </row>
    <row r="745" spans="1:29" x14ac:dyDescent="0.2">
      <c r="A745">
        <v>389</v>
      </c>
      <c r="D745">
        <f t="shared" si="133"/>
        <v>1</v>
      </c>
      <c r="E745">
        <v>2</v>
      </c>
      <c r="F745" s="6" t="s">
        <v>317</v>
      </c>
      <c r="G745">
        <v>2</v>
      </c>
      <c r="H745" s="8" t="s">
        <v>486</v>
      </c>
      <c r="I745" t="s">
        <v>179</v>
      </c>
      <c r="J745">
        <v>49</v>
      </c>
      <c r="K745" t="s">
        <v>489</v>
      </c>
      <c r="L745" t="s">
        <v>15</v>
      </c>
      <c r="Q745">
        <f t="shared" si="136"/>
        <v>18977</v>
      </c>
      <c r="R745" t="str">
        <f t="shared" si="136"/>
        <v>Velodrome</v>
      </c>
      <c r="S745" t="str">
        <f t="shared" si="136"/>
        <v>HollowBrook</v>
      </c>
      <c r="T745" s="20">
        <f t="shared" si="127"/>
        <v>2</v>
      </c>
      <c r="U745">
        <f t="shared" si="128"/>
        <v>133</v>
      </c>
      <c r="V745">
        <f t="shared" si="129"/>
        <v>131</v>
      </c>
      <c r="W745" cm="1">
        <f t="array" ref="W745">_xlfn._xlws.FILTER(shifts!A:A,(shifts!B:B=events!D745)*(shifts!AH:AH&gt;=events!U745)*(shifts!AI:AI&lt;=events!V745))</f>
        <v>23</v>
      </c>
      <c r="X745" t="str">
        <f t="shared" si="122"/>
        <v>opp_team_player_1</v>
      </c>
      <c r="Y745">
        <f>COUNTIFS(A$3:A745,"="&amp;A745,K$3:K745,"="&amp;K745)</f>
        <v>1</v>
      </c>
      <c r="Z745" s="20">
        <f>SUMIFS(T$3:T745,L$3:L745,"=Intermission")+SUMIFS(T$3:T745,L$3:L745,"=Timeout")+SUMIFS(T$3:T745,L$3:L745,"=Clockstop")</f>
        <v>0</v>
      </c>
      <c r="AA745">
        <f t="shared" si="130"/>
        <v>0</v>
      </c>
      <c r="AB745" s="26">
        <f t="shared" si="131"/>
        <v>947</v>
      </c>
      <c r="AC745">
        <f t="shared" si="132"/>
        <v>0</v>
      </c>
    </row>
    <row r="746" spans="1:29" x14ac:dyDescent="0.2">
      <c r="A746">
        <v>390</v>
      </c>
      <c r="D746">
        <f t="shared" si="133"/>
        <v>1</v>
      </c>
      <c r="E746">
        <v>2</v>
      </c>
      <c r="F746" s="6" t="s">
        <v>486</v>
      </c>
      <c r="I746" t="s">
        <v>179</v>
      </c>
      <c r="J746">
        <v>27</v>
      </c>
      <c r="K746" t="s">
        <v>488</v>
      </c>
      <c r="L746" t="s">
        <v>8</v>
      </c>
      <c r="M746" t="s">
        <v>189</v>
      </c>
      <c r="N746" t="s">
        <v>70</v>
      </c>
      <c r="Q746">
        <f t="shared" si="136"/>
        <v>18977</v>
      </c>
      <c r="R746" t="str">
        <f t="shared" si="136"/>
        <v>Velodrome</v>
      </c>
      <c r="S746" t="str">
        <f t="shared" si="136"/>
        <v>HollowBrook</v>
      </c>
      <c r="T746" s="20">
        <f t="shared" si="127"/>
        <v>0</v>
      </c>
      <c r="U746">
        <f t="shared" si="128"/>
        <v>131</v>
      </c>
      <c r="V746">
        <f t="shared" si="129"/>
        <v>131</v>
      </c>
      <c r="W746" cm="1">
        <f t="array" ref="W746">_xlfn._xlws.FILTER(shifts!A:A,(shifts!B:B=events!D746)*(shifts!AH:AH&gt;=events!U746)*(shifts!AI:AI&lt;=events!V746))</f>
        <v>23</v>
      </c>
      <c r="X746" t="str">
        <f t="shared" si="122"/>
        <v>event_team_player_1</v>
      </c>
      <c r="Y746">
        <f>COUNTIFS(A$3:A746,"="&amp;A746,K$3:K746,"="&amp;K746)</f>
        <v>1</v>
      </c>
      <c r="Z746" s="20">
        <f>SUMIFS(T$3:T746,L$3:L746,"=Intermission")+SUMIFS(T$3:T746,L$3:L746,"=Timeout")+SUMIFS(T$3:T746,L$3:L746,"=Clockstop")</f>
        <v>0</v>
      </c>
      <c r="AA746">
        <f t="shared" si="130"/>
        <v>0</v>
      </c>
      <c r="AB746" s="26">
        <f t="shared" si="131"/>
        <v>949</v>
      </c>
      <c r="AC746">
        <f t="shared" si="132"/>
        <v>0</v>
      </c>
    </row>
    <row r="747" spans="1:29" x14ac:dyDescent="0.2">
      <c r="A747">
        <v>390</v>
      </c>
      <c r="D747">
        <f t="shared" si="133"/>
        <v>1</v>
      </c>
      <c r="E747">
        <v>2</v>
      </c>
      <c r="F747" s="6" t="s">
        <v>486</v>
      </c>
      <c r="I747" t="s">
        <v>179</v>
      </c>
      <c r="J747">
        <v>40</v>
      </c>
      <c r="K747" t="s">
        <v>488</v>
      </c>
      <c r="L747" t="s">
        <v>8</v>
      </c>
      <c r="M747" t="s">
        <v>189</v>
      </c>
      <c r="N747" t="s">
        <v>70</v>
      </c>
      <c r="Q747">
        <f t="shared" si="136"/>
        <v>18977</v>
      </c>
      <c r="R747" t="str">
        <f t="shared" si="136"/>
        <v>Velodrome</v>
      </c>
      <c r="S747" t="str">
        <f t="shared" si="136"/>
        <v>HollowBrook</v>
      </c>
      <c r="T747" s="20">
        <f t="shared" si="127"/>
        <v>0</v>
      </c>
      <c r="U747">
        <f t="shared" si="128"/>
        <v>131</v>
      </c>
      <c r="V747">
        <f t="shared" si="129"/>
        <v>131</v>
      </c>
      <c r="W747" cm="1">
        <f t="array" ref="W747">_xlfn._xlws.FILTER(shifts!A:A,(shifts!B:B=events!D747)*(shifts!AH:AH&gt;=events!U747)*(shifts!AI:AI&lt;=events!V747))</f>
        <v>23</v>
      </c>
      <c r="X747" t="str">
        <f t="shared" si="122"/>
        <v>event_team_player_2</v>
      </c>
      <c r="Y747">
        <f>COUNTIFS(A$3:A747,"="&amp;A747,K$3:K747,"="&amp;K747)</f>
        <v>2</v>
      </c>
      <c r="Z747" s="20">
        <f>SUMIFS(T$3:T747,L$3:L747,"=Intermission")+SUMIFS(T$3:T747,L$3:L747,"=Timeout")+SUMIFS(T$3:T747,L$3:L747,"=Clockstop")</f>
        <v>0</v>
      </c>
      <c r="AA747">
        <f t="shared" si="130"/>
        <v>0</v>
      </c>
      <c r="AB747" s="26">
        <f t="shared" si="131"/>
        <v>949</v>
      </c>
      <c r="AC747">
        <f t="shared" si="132"/>
        <v>0</v>
      </c>
    </row>
    <row r="748" spans="1:29" x14ac:dyDescent="0.2">
      <c r="A748">
        <v>390</v>
      </c>
      <c r="D748">
        <f t="shared" si="133"/>
        <v>1</v>
      </c>
      <c r="E748">
        <v>2</v>
      </c>
      <c r="F748" s="6" t="s">
        <v>486</v>
      </c>
      <c r="I748" t="s">
        <v>179</v>
      </c>
      <c r="J748">
        <v>70</v>
      </c>
      <c r="K748" t="s">
        <v>489</v>
      </c>
      <c r="L748" t="s">
        <v>8</v>
      </c>
      <c r="M748" t="s">
        <v>189</v>
      </c>
      <c r="N748" t="s">
        <v>70</v>
      </c>
      <c r="Q748">
        <f t="shared" si="136"/>
        <v>18977</v>
      </c>
      <c r="R748" t="str">
        <f t="shared" si="136"/>
        <v>Velodrome</v>
      </c>
      <c r="S748" t="str">
        <f t="shared" si="136"/>
        <v>HollowBrook</v>
      </c>
      <c r="T748" s="20">
        <f t="shared" si="127"/>
        <v>0</v>
      </c>
      <c r="U748">
        <f t="shared" si="128"/>
        <v>131</v>
      </c>
      <c r="V748">
        <f t="shared" si="129"/>
        <v>131</v>
      </c>
      <c r="W748" cm="1">
        <f t="array" ref="W748">_xlfn._xlws.FILTER(shifts!A:A,(shifts!B:B=events!D748)*(shifts!AH:AH&gt;=events!U748)*(shifts!AI:AI&lt;=events!V748))</f>
        <v>23</v>
      </c>
      <c r="X748" t="str">
        <f t="shared" si="122"/>
        <v>opp_team_player_1</v>
      </c>
      <c r="Y748">
        <f>COUNTIFS(A$3:A748,"="&amp;A748,K$3:K748,"="&amp;K748)</f>
        <v>1</v>
      </c>
      <c r="Z748" s="20">
        <f>SUMIFS(T$3:T748,L$3:L748,"=Intermission")+SUMIFS(T$3:T748,L$3:L748,"=Timeout")+SUMIFS(T$3:T748,L$3:L748,"=Clockstop")</f>
        <v>0</v>
      </c>
      <c r="AA748">
        <f t="shared" si="130"/>
        <v>0</v>
      </c>
      <c r="AB748" s="26">
        <f t="shared" si="131"/>
        <v>949</v>
      </c>
      <c r="AC748">
        <f t="shared" si="132"/>
        <v>0</v>
      </c>
    </row>
    <row r="749" spans="1:29" x14ac:dyDescent="0.2">
      <c r="A749">
        <v>391</v>
      </c>
      <c r="D749">
        <f t="shared" si="133"/>
        <v>1</v>
      </c>
      <c r="E749">
        <v>2</v>
      </c>
      <c r="F749" s="6" t="s">
        <v>424</v>
      </c>
      <c r="I749" t="s">
        <v>179</v>
      </c>
      <c r="J749">
        <v>40</v>
      </c>
      <c r="K749" t="s">
        <v>488</v>
      </c>
      <c r="L749" t="s">
        <v>8</v>
      </c>
      <c r="M749" t="s">
        <v>189</v>
      </c>
      <c r="N749" t="s">
        <v>70</v>
      </c>
      <c r="Q749">
        <f t="shared" si="136"/>
        <v>18977</v>
      </c>
      <c r="R749" t="str">
        <f t="shared" si="136"/>
        <v>Velodrome</v>
      </c>
      <c r="S749" t="str">
        <f t="shared" si="136"/>
        <v>HollowBrook</v>
      </c>
      <c r="T749" s="20">
        <f t="shared" si="127"/>
        <v>0</v>
      </c>
      <c r="U749">
        <f t="shared" si="128"/>
        <v>129</v>
      </c>
      <c r="V749">
        <f t="shared" si="129"/>
        <v>129</v>
      </c>
      <c r="W749" cm="1">
        <f t="array" ref="W749">_xlfn._xlws.FILTER(shifts!A:A,(shifts!B:B=events!D749)*(shifts!AH:AH&gt;=events!U749)*(shifts!AI:AI&lt;=events!V749))</f>
        <v>23</v>
      </c>
      <c r="X749" t="str">
        <f t="shared" si="122"/>
        <v>event_team_player_1</v>
      </c>
      <c r="Y749">
        <f>COUNTIFS(A$3:A749,"="&amp;A749,K$3:K749,"="&amp;K749)</f>
        <v>1</v>
      </c>
      <c r="Z749" s="20">
        <f>SUMIFS(T$3:T749,L$3:L749,"=Intermission")+SUMIFS(T$3:T749,L$3:L749,"=Timeout")+SUMIFS(T$3:T749,L$3:L749,"=Clockstop")</f>
        <v>0</v>
      </c>
      <c r="AA749">
        <f t="shared" si="130"/>
        <v>0</v>
      </c>
      <c r="AB749" s="26">
        <f t="shared" si="131"/>
        <v>951</v>
      </c>
      <c r="AC749">
        <f t="shared" si="132"/>
        <v>0</v>
      </c>
    </row>
    <row r="750" spans="1:29" x14ac:dyDescent="0.2">
      <c r="A750">
        <v>391</v>
      </c>
      <c r="D750">
        <f t="shared" si="133"/>
        <v>1</v>
      </c>
      <c r="E750">
        <v>2</v>
      </c>
      <c r="F750" s="6" t="s">
        <v>424</v>
      </c>
      <c r="I750" t="s">
        <v>179</v>
      </c>
      <c r="J750">
        <v>13</v>
      </c>
      <c r="K750" t="s">
        <v>488</v>
      </c>
      <c r="L750" t="s">
        <v>8</v>
      </c>
      <c r="M750" t="s">
        <v>189</v>
      </c>
      <c r="N750" t="s">
        <v>70</v>
      </c>
      <c r="Q750">
        <f t="shared" si="136"/>
        <v>18977</v>
      </c>
      <c r="R750" t="str">
        <f t="shared" si="136"/>
        <v>Velodrome</v>
      </c>
      <c r="S750" t="str">
        <f t="shared" si="136"/>
        <v>HollowBrook</v>
      </c>
      <c r="T750" s="20">
        <f t="shared" si="127"/>
        <v>0</v>
      </c>
      <c r="U750">
        <f t="shared" si="128"/>
        <v>129</v>
      </c>
      <c r="V750">
        <f t="shared" si="129"/>
        <v>129</v>
      </c>
      <c r="W750" cm="1">
        <f t="array" ref="W750">_xlfn._xlws.FILTER(shifts!A:A,(shifts!B:B=events!D750)*(shifts!AH:AH&gt;=events!U750)*(shifts!AI:AI&lt;=events!V750))</f>
        <v>23</v>
      </c>
      <c r="X750" t="str">
        <f t="shared" si="122"/>
        <v>event_team_player_2</v>
      </c>
      <c r="Y750">
        <f>COUNTIFS(A$3:A750,"="&amp;A750,K$3:K750,"="&amp;K750)</f>
        <v>2</v>
      </c>
      <c r="Z750" s="20">
        <f>SUMIFS(T$3:T750,L$3:L750,"=Intermission")+SUMIFS(T$3:T750,L$3:L750,"=Timeout")+SUMIFS(T$3:T750,L$3:L750,"=Clockstop")</f>
        <v>0</v>
      </c>
      <c r="AA750">
        <f t="shared" si="130"/>
        <v>0</v>
      </c>
      <c r="AB750" s="26">
        <f t="shared" si="131"/>
        <v>951</v>
      </c>
      <c r="AC750">
        <f t="shared" si="132"/>
        <v>0</v>
      </c>
    </row>
    <row r="751" spans="1:29" x14ac:dyDescent="0.2">
      <c r="A751">
        <v>392</v>
      </c>
      <c r="D751">
        <f t="shared" si="133"/>
        <v>1</v>
      </c>
      <c r="E751">
        <v>2</v>
      </c>
      <c r="F751" s="6" t="s">
        <v>424</v>
      </c>
      <c r="I751" t="s">
        <v>179</v>
      </c>
      <c r="J751">
        <v>40</v>
      </c>
      <c r="K751" t="s">
        <v>488</v>
      </c>
      <c r="L751" t="s">
        <v>277</v>
      </c>
      <c r="M751" t="s">
        <v>201</v>
      </c>
      <c r="N751" t="s">
        <v>91</v>
      </c>
      <c r="Q751">
        <f t="shared" si="136"/>
        <v>18977</v>
      </c>
      <c r="R751" t="str">
        <f t="shared" si="136"/>
        <v>Velodrome</v>
      </c>
      <c r="S751" t="str">
        <f t="shared" si="136"/>
        <v>HollowBrook</v>
      </c>
      <c r="T751" s="20">
        <f t="shared" si="127"/>
        <v>0</v>
      </c>
      <c r="U751">
        <f t="shared" si="128"/>
        <v>129</v>
      </c>
      <c r="V751">
        <f t="shared" si="129"/>
        <v>129</v>
      </c>
      <c r="W751" cm="1">
        <f t="array" ref="W751">_xlfn._xlws.FILTER(shifts!A:A,(shifts!B:B=events!D751)*(shifts!AH:AH&gt;=events!U751)*(shifts!AI:AI&lt;=events!V751))</f>
        <v>23</v>
      </c>
      <c r="X751" t="str">
        <f t="shared" si="122"/>
        <v>event_team_player_1</v>
      </c>
      <c r="Y751">
        <f>COUNTIFS(A$3:A751,"="&amp;A751,K$3:K751,"="&amp;K751)</f>
        <v>1</v>
      </c>
      <c r="Z751" s="20">
        <f>SUMIFS(T$3:T751,L$3:L751,"=Intermission")+SUMIFS(T$3:T751,L$3:L751,"=Timeout")+SUMIFS(T$3:T751,L$3:L751,"=Clockstop")</f>
        <v>0</v>
      </c>
      <c r="AA751">
        <f t="shared" si="130"/>
        <v>0</v>
      </c>
      <c r="AB751" s="26">
        <f t="shared" si="131"/>
        <v>951</v>
      </c>
      <c r="AC751">
        <f t="shared" si="132"/>
        <v>0</v>
      </c>
    </row>
    <row r="752" spans="1:29" x14ac:dyDescent="0.2">
      <c r="A752">
        <v>392</v>
      </c>
      <c r="D752">
        <f t="shared" si="133"/>
        <v>1</v>
      </c>
      <c r="E752">
        <v>2</v>
      </c>
      <c r="F752" s="6" t="s">
        <v>424</v>
      </c>
      <c r="I752" t="s">
        <v>179</v>
      </c>
      <c r="J752">
        <v>13</v>
      </c>
      <c r="K752" t="s">
        <v>488</v>
      </c>
      <c r="L752" t="s">
        <v>277</v>
      </c>
      <c r="M752" t="s">
        <v>201</v>
      </c>
      <c r="N752" t="s">
        <v>91</v>
      </c>
      <c r="Q752">
        <f t="shared" si="136"/>
        <v>18977</v>
      </c>
      <c r="R752" t="str">
        <f t="shared" si="136"/>
        <v>Velodrome</v>
      </c>
      <c r="S752" t="str">
        <f t="shared" si="136"/>
        <v>HollowBrook</v>
      </c>
      <c r="T752" s="20">
        <f t="shared" si="127"/>
        <v>0</v>
      </c>
      <c r="U752">
        <f t="shared" si="128"/>
        <v>129</v>
      </c>
      <c r="V752">
        <f t="shared" si="129"/>
        <v>129</v>
      </c>
      <c r="W752" cm="1">
        <f t="array" ref="W752">_xlfn._xlws.FILTER(shifts!A:A,(shifts!B:B=events!D752)*(shifts!AH:AH&gt;=events!U752)*(shifts!AI:AI&lt;=events!V752))</f>
        <v>23</v>
      </c>
      <c r="X752" t="str">
        <f t="shared" si="122"/>
        <v>event_team_player_2</v>
      </c>
      <c r="Y752">
        <f>COUNTIFS(A$3:A752,"="&amp;A752,K$3:K752,"="&amp;K752)</f>
        <v>2</v>
      </c>
      <c r="Z752" s="20">
        <f>SUMIFS(T$3:T752,L$3:L752,"=Intermission")+SUMIFS(T$3:T752,L$3:L752,"=Timeout")+SUMIFS(T$3:T752,L$3:L752,"=Clockstop")</f>
        <v>0</v>
      </c>
      <c r="AA752">
        <f t="shared" si="130"/>
        <v>0</v>
      </c>
      <c r="AB752" s="26">
        <f t="shared" si="131"/>
        <v>951</v>
      </c>
      <c r="AC752">
        <f t="shared" si="132"/>
        <v>0</v>
      </c>
    </row>
    <row r="753" spans="1:29" x14ac:dyDescent="0.2">
      <c r="A753">
        <v>393</v>
      </c>
      <c r="D753">
        <f t="shared" si="133"/>
        <v>1</v>
      </c>
      <c r="E753">
        <v>2</v>
      </c>
      <c r="F753" s="6" t="s">
        <v>314</v>
      </c>
      <c r="G753">
        <v>2</v>
      </c>
      <c r="H753" s="8" t="s">
        <v>315</v>
      </c>
      <c r="I753" t="s">
        <v>179</v>
      </c>
      <c r="J753">
        <v>13</v>
      </c>
      <c r="K753" t="s">
        <v>488</v>
      </c>
      <c r="L753" t="s">
        <v>15</v>
      </c>
      <c r="Q753">
        <f t="shared" si="136"/>
        <v>18977</v>
      </c>
      <c r="R753" t="str">
        <f t="shared" si="136"/>
        <v>Velodrome</v>
      </c>
      <c r="S753" t="str">
        <f t="shared" si="136"/>
        <v>HollowBrook</v>
      </c>
      <c r="T753" s="20">
        <f t="shared" si="127"/>
        <v>1</v>
      </c>
      <c r="U753">
        <f t="shared" si="128"/>
        <v>126</v>
      </c>
      <c r="V753">
        <f t="shared" si="129"/>
        <v>125</v>
      </c>
      <c r="W753" cm="1">
        <f t="array" ref="W753">_xlfn._xlws.FILTER(shifts!A:A,(shifts!B:B=events!D753)*(shifts!AH:AH&gt;=events!U753)*(shifts!AI:AI&lt;=events!V753))</f>
        <v>23</v>
      </c>
      <c r="X753" t="str">
        <f t="shared" si="122"/>
        <v>event_team_player_1</v>
      </c>
      <c r="Y753">
        <f>COUNTIFS(A$3:A753,"="&amp;A753,K$3:K753,"="&amp;K753)</f>
        <v>1</v>
      </c>
      <c r="Z753" s="20">
        <f>SUMIFS(T$3:T753,L$3:L753,"=Intermission")+SUMIFS(T$3:T753,L$3:L753,"=Timeout")+SUMIFS(T$3:T753,L$3:L753,"=Clockstop")</f>
        <v>0</v>
      </c>
      <c r="AA753">
        <f t="shared" si="130"/>
        <v>0</v>
      </c>
      <c r="AB753" s="26">
        <f t="shared" si="131"/>
        <v>954</v>
      </c>
      <c r="AC753">
        <f t="shared" si="132"/>
        <v>0</v>
      </c>
    </row>
    <row r="754" spans="1:29" x14ac:dyDescent="0.2">
      <c r="A754">
        <v>394</v>
      </c>
      <c r="D754">
        <f t="shared" si="133"/>
        <v>1</v>
      </c>
      <c r="E754">
        <v>2</v>
      </c>
      <c r="F754" s="6" t="s">
        <v>315</v>
      </c>
      <c r="G754">
        <v>2</v>
      </c>
      <c r="H754" s="8" t="s">
        <v>316</v>
      </c>
      <c r="I754" t="s">
        <v>179</v>
      </c>
      <c r="J754">
        <v>13</v>
      </c>
      <c r="K754" t="s">
        <v>488</v>
      </c>
      <c r="L754" t="s">
        <v>277</v>
      </c>
      <c r="M754" t="s">
        <v>191</v>
      </c>
      <c r="N754" t="s">
        <v>87</v>
      </c>
      <c r="Q754">
        <f t="shared" si="136"/>
        <v>18977</v>
      </c>
      <c r="R754" t="str">
        <f t="shared" si="136"/>
        <v>Velodrome</v>
      </c>
      <c r="S754" t="str">
        <f t="shared" si="136"/>
        <v>HollowBrook</v>
      </c>
      <c r="T754" s="20">
        <f t="shared" si="127"/>
        <v>3</v>
      </c>
      <c r="U754">
        <f t="shared" si="128"/>
        <v>125</v>
      </c>
      <c r="V754">
        <f t="shared" si="129"/>
        <v>122</v>
      </c>
      <c r="W754" cm="1">
        <f t="array" ref="W754">_xlfn._xlws.FILTER(shifts!A:A,(shifts!B:B=events!D754)*(shifts!AH:AH&gt;=events!U754)*(shifts!AI:AI&lt;=events!V754))</f>
        <v>23</v>
      </c>
      <c r="X754" t="str">
        <f t="shared" si="122"/>
        <v>event_team_player_1</v>
      </c>
      <c r="Y754">
        <f>COUNTIFS(A$3:A754,"="&amp;A754,K$3:K754,"="&amp;K754)</f>
        <v>1</v>
      </c>
      <c r="Z754" s="20">
        <f>SUMIFS(T$3:T754,L$3:L754,"=Intermission")+SUMIFS(T$3:T754,L$3:L754,"=Timeout")+SUMIFS(T$3:T754,L$3:L754,"=Clockstop")</f>
        <v>0</v>
      </c>
      <c r="AA754">
        <f t="shared" si="130"/>
        <v>0</v>
      </c>
      <c r="AB754" s="26">
        <f t="shared" si="131"/>
        <v>955</v>
      </c>
      <c r="AC754">
        <f t="shared" si="132"/>
        <v>0</v>
      </c>
    </row>
    <row r="755" spans="1:29" x14ac:dyDescent="0.2">
      <c r="A755">
        <v>394</v>
      </c>
      <c r="D755">
        <f t="shared" si="133"/>
        <v>1</v>
      </c>
      <c r="E755">
        <v>2</v>
      </c>
      <c r="F755" s="6" t="s">
        <v>315</v>
      </c>
      <c r="G755">
        <v>2</v>
      </c>
      <c r="H755" s="8" t="s">
        <v>316</v>
      </c>
      <c r="I755" t="s">
        <v>179</v>
      </c>
      <c r="J755">
        <v>26</v>
      </c>
      <c r="K755" t="s">
        <v>488</v>
      </c>
      <c r="L755" t="s">
        <v>277</v>
      </c>
      <c r="M755" t="s">
        <v>191</v>
      </c>
      <c r="N755" t="s">
        <v>87</v>
      </c>
      <c r="Q755">
        <f t="shared" si="136"/>
        <v>18977</v>
      </c>
      <c r="R755" t="str">
        <f t="shared" si="136"/>
        <v>Velodrome</v>
      </c>
      <c r="S755" t="str">
        <f t="shared" si="136"/>
        <v>HollowBrook</v>
      </c>
      <c r="T755" s="20">
        <f t="shared" si="127"/>
        <v>3</v>
      </c>
      <c r="U755">
        <f t="shared" si="128"/>
        <v>125</v>
      </c>
      <c r="V755">
        <f t="shared" si="129"/>
        <v>122</v>
      </c>
      <c r="W755" cm="1">
        <f t="array" ref="W755">_xlfn._xlws.FILTER(shifts!A:A,(shifts!B:B=events!D755)*(shifts!AH:AH&gt;=events!U755)*(shifts!AI:AI&lt;=events!V755))</f>
        <v>23</v>
      </c>
      <c r="X755" t="str">
        <f t="shared" si="122"/>
        <v>event_team_player_2</v>
      </c>
      <c r="Y755">
        <f>COUNTIFS(A$3:A755,"="&amp;A755,K$3:K755,"="&amp;K755)</f>
        <v>2</v>
      </c>
      <c r="Z755" s="20">
        <f>SUMIFS(T$3:T755,L$3:L755,"=Intermission")+SUMIFS(T$3:T755,L$3:L755,"=Timeout")+SUMIFS(T$3:T755,L$3:L755,"=Clockstop")</f>
        <v>0</v>
      </c>
      <c r="AA755">
        <f t="shared" si="130"/>
        <v>0</v>
      </c>
      <c r="AB755" s="26">
        <f t="shared" si="131"/>
        <v>955</v>
      </c>
      <c r="AC755">
        <f t="shared" si="132"/>
        <v>0</v>
      </c>
    </row>
    <row r="756" spans="1:29" x14ac:dyDescent="0.2">
      <c r="A756">
        <v>394</v>
      </c>
      <c r="D756">
        <f t="shared" si="133"/>
        <v>1</v>
      </c>
      <c r="E756">
        <v>2</v>
      </c>
      <c r="F756" s="6" t="s">
        <v>315</v>
      </c>
      <c r="G756">
        <v>2</v>
      </c>
      <c r="H756" s="8" t="s">
        <v>316</v>
      </c>
      <c r="I756" t="s">
        <v>179</v>
      </c>
      <c r="J756">
        <v>84</v>
      </c>
      <c r="K756" t="s">
        <v>489</v>
      </c>
      <c r="L756" t="s">
        <v>277</v>
      </c>
      <c r="M756" t="s">
        <v>191</v>
      </c>
      <c r="N756" t="s">
        <v>87</v>
      </c>
      <c r="Q756">
        <f t="shared" si="136"/>
        <v>18977</v>
      </c>
      <c r="R756" t="str">
        <f t="shared" si="136"/>
        <v>Velodrome</v>
      </c>
      <c r="S756" t="str">
        <f t="shared" si="136"/>
        <v>HollowBrook</v>
      </c>
      <c r="T756" s="20">
        <f t="shared" si="127"/>
        <v>3</v>
      </c>
      <c r="U756">
        <f t="shared" si="128"/>
        <v>125</v>
      </c>
      <c r="V756">
        <f t="shared" si="129"/>
        <v>122</v>
      </c>
      <c r="W756" cm="1">
        <f t="array" ref="W756">_xlfn._xlws.FILTER(shifts!A:A,(shifts!B:B=events!D756)*(shifts!AH:AH&gt;=events!U756)*(shifts!AI:AI&lt;=events!V756))</f>
        <v>23</v>
      </c>
      <c r="X756" t="str">
        <f t="shared" si="122"/>
        <v>opp_team_player_1</v>
      </c>
      <c r="Y756">
        <f>COUNTIFS(A$3:A756,"="&amp;A756,K$3:K756,"="&amp;K756)</f>
        <v>1</v>
      </c>
      <c r="Z756" s="20">
        <f>SUMIFS(T$3:T756,L$3:L756,"=Intermission")+SUMIFS(T$3:T756,L$3:L756,"=Timeout")+SUMIFS(T$3:T756,L$3:L756,"=Clockstop")</f>
        <v>0</v>
      </c>
      <c r="AA756">
        <f t="shared" si="130"/>
        <v>0</v>
      </c>
      <c r="AB756" s="26">
        <f t="shared" si="131"/>
        <v>955</v>
      </c>
      <c r="AC756">
        <f t="shared" si="132"/>
        <v>0</v>
      </c>
    </row>
    <row r="757" spans="1:29" x14ac:dyDescent="0.2">
      <c r="A757">
        <v>394</v>
      </c>
      <c r="D757">
        <f t="shared" si="133"/>
        <v>1</v>
      </c>
      <c r="E757">
        <v>2</v>
      </c>
      <c r="F757" s="6" t="s">
        <v>315</v>
      </c>
      <c r="G757">
        <v>2</v>
      </c>
      <c r="H757" s="8" t="s">
        <v>316</v>
      </c>
      <c r="I757" t="s">
        <v>179</v>
      </c>
      <c r="J757">
        <v>9</v>
      </c>
      <c r="K757" t="s">
        <v>489</v>
      </c>
      <c r="L757" t="s">
        <v>277</v>
      </c>
      <c r="M757" t="s">
        <v>191</v>
      </c>
      <c r="N757" t="s">
        <v>87</v>
      </c>
      <c r="Q757">
        <f t="shared" ref="Q757:S772" si="137">Q756</f>
        <v>18977</v>
      </c>
      <c r="R757" t="str">
        <f t="shared" si="137"/>
        <v>Velodrome</v>
      </c>
      <c r="S757" t="str">
        <f t="shared" si="137"/>
        <v>HollowBrook</v>
      </c>
      <c r="T757" s="20">
        <f t="shared" si="127"/>
        <v>3</v>
      </c>
      <c r="U757">
        <f t="shared" si="128"/>
        <v>125</v>
      </c>
      <c r="V757">
        <f t="shared" si="129"/>
        <v>122</v>
      </c>
      <c r="W757" cm="1">
        <f t="array" ref="W757">_xlfn._xlws.FILTER(shifts!A:A,(shifts!B:B=events!D757)*(shifts!AH:AH&gt;=events!U757)*(shifts!AI:AI&lt;=events!V757))</f>
        <v>23</v>
      </c>
      <c r="X757" t="str">
        <f t="shared" ref="X757:X820" si="138">IF(K757="e","event_team_player_"&amp;Y757,IF(K757="o","opp_team_player_"&amp;Y757,""))</f>
        <v>opp_team_player_2</v>
      </c>
      <c r="Y757">
        <f>COUNTIFS(A$3:A757,"="&amp;A757,K$3:K757,"="&amp;K757)</f>
        <v>2</v>
      </c>
      <c r="Z757" s="20">
        <f>SUMIFS(T$3:T757,L$3:L757,"=Intermission")+SUMIFS(T$3:T757,L$3:L757,"=Timeout")+SUMIFS(T$3:T757,L$3:L757,"=Clockstop")</f>
        <v>0</v>
      </c>
      <c r="AA757">
        <f t="shared" si="130"/>
        <v>0</v>
      </c>
      <c r="AB757" s="26">
        <f t="shared" si="131"/>
        <v>955</v>
      </c>
      <c r="AC757">
        <f t="shared" si="132"/>
        <v>0</v>
      </c>
    </row>
    <row r="758" spans="1:29" x14ac:dyDescent="0.2">
      <c r="A758">
        <v>395</v>
      </c>
      <c r="D758">
        <f t="shared" si="133"/>
        <v>1</v>
      </c>
      <c r="E758">
        <v>2</v>
      </c>
      <c r="F758" s="6" t="s">
        <v>316</v>
      </c>
      <c r="I758" t="s">
        <v>179</v>
      </c>
      <c r="J758">
        <v>13</v>
      </c>
      <c r="K758" t="s">
        <v>488</v>
      </c>
      <c r="L758" t="s">
        <v>8</v>
      </c>
      <c r="M758" t="s">
        <v>216</v>
      </c>
      <c r="N758" t="s">
        <v>70</v>
      </c>
      <c r="Q758">
        <f t="shared" si="137"/>
        <v>18977</v>
      </c>
      <c r="R758" t="str">
        <f t="shared" si="137"/>
        <v>Velodrome</v>
      </c>
      <c r="S758" t="str">
        <f t="shared" si="137"/>
        <v>HollowBrook</v>
      </c>
      <c r="T758" s="20">
        <f t="shared" si="127"/>
        <v>0</v>
      </c>
      <c r="U758">
        <f t="shared" si="128"/>
        <v>122</v>
      </c>
      <c r="V758">
        <f t="shared" si="129"/>
        <v>122</v>
      </c>
      <c r="W758" cm="1">
        <f t="array" ref="W758">_xlfn._xlws.FILTER(shifts!A:A,(shifts!B:B=events!D758)*(shifts!AH:AH&gt;=events!U758)*(shifts!AI:AI&lt;=events!V758))</f>
        <v>23</v>
      </c>
      <c r="X758" t="str">
        <f t="shared" si="138"/>
        <v>event_team_player_1</v>
      </c>
      <c r="Y758">
        <f>COUNTIFS(A$3:A758,"="&amp;A758,K$3:K758,"="&amp;K758)</f>
        <v>1</v>
      </c>
      <c r="Z758" s="20">
        <f>SUMIFS(T$3:T758,L$3:L758,"=Intermission")+SUMIFS(T$3:T758,L$3:L758,"=Timeout")+SUMIFS(T$3:T758,L$3:L758,"=Clockstop")</f>
        <v>0</v>
      </c>
      <c r="AA758">
        <f t="shared" si="130"/>
        <v>0</v>
      </c>
      <c r="AB758" s="26">
        <f t="shared" si="131"/>
        <v>958</v>
      </c>
      <c r="AC758">
        <f t="shared" si="132"/>
        <v>0</v>
      </c>
    </row>
    <row r="759" spans="1:29" x14ac:dyDescent="0.2">
      <c r="A759">
        <v>395</v>
      </c>
      <c r="D759">
        <f t="shared" si="133"/>
        <v>1</v>
      </c>
      <c r="E759">
        <v>2</v>
      </c>
      <c r="F759" s="6" t="s">
        <v>316</v>
      </c>
      <c r="I759" t="s">
        <v>179</v>
      </c>
      <c r="J759">
        <v>9</v>
      </c>
      <c r="K759" t="s">
        <v>489</v>
      </c>
      <c r="L759" t="s">
        <v>8</v>
      </c>
      <c r="M759" t="s">
        <v>216</v>
      </c>
      <c r="N759" t="s">
        <v>70</v>
      </c>
      <c r="Q759">
        <f t="shared" si="137"/>
        <v>18977</v>
      </c>
      <c r="R759" t="str">
        <f t="shared" si="137"/>
        <v>Velodrome</v>
      </c>
      <c r="S759" t="str">
        <f t="shared" si="137"/>
        <v>HollowBrook</v>
      </c>
      <c r="T759" s="20">
        <f t="shared" si="127"/>
        <v>0</v>
      </c>
      <c r="U759">
        <f t="shared" si="128"/>
        <v>122</v>
      </c>
      <c r="V759">
        <f t="shared" si="129"/>
        <v>122</v>
      </c>
      <c r="W759" cm="1">
        <f t="array" ref="W759">_xlfn._xlws.FILTER(shifts!A:A,(shifts!B:B=events!D759)*(shifts!AH:AH&gt;=events!U759)*(shifts!AI:AI&lt;=events!V759))</f>
        <v>23</v>
      </c>
      <c r="X759" t="str">
        <f t="shared" si="138"/>
        <v>opp_team_player_1</v>
      </c>
      <c r="Y759">
        <f>COUNTIFS(A$3:A759,"="&amp;A759,K$3:K759,"="&amp;K759)</f>
        <v>1</v>
      </c>
      <c r="Z759" s="20">
        <f>SUMIFS(T$3:T759,L$3:L759,"=Intermission")+SUMIFS(T$3:T759,L$3:L759,"=Timeout")+SUMIFS(T$3:T759,L$3:L759,"=Clockstop")</f>
        <v>0</v>
      </c>
      <c r="AA759">
        <f t="shared" si="130"/>
        <v>0</v>
      </c>
      <c r="AB759" s="26">
        <f t="shared" si="131"/>
        <v>958</v>
      </c>
      <c r="AC759">
        <f t="shared" si="132"/>
        <v>0</v>
      </c>
    </row>
    <row r="760" spans="1:29" x14ac:dyDescent="0.2">
      <c r="A760">
        <v>396</v>
      </c>
      <c r="D760">
        <f t="shared" si="133"/>
        <v>1</v>
      </c>
      <c r="E760">
        <v>2</v>
      </c>
      <c r="F760" s="6" t="s">
        <v>316</v>
      </c>
      <c r="I760" t="s">
        <v>179</v>
      </c>
      <c r="J760">
        <v>13</v>
      </c>
      <c r="K760" t="s">
        <v>488</v>
      </c>
      <c r="L760" t="s">
        <v>10</v>
      </c>
      <c r="M760" t="s">
        <v>190</v>
      </c>
      <c r="N760" t="s">
        <v>75</v>
      </c>
      <c r="Q760">
        <f t="shared" si="137"/>
        <v>18977</v>
      </c>
      <c r="R760" t="str">
        <f t="shared" si="137"/>
        <v>Velodrome</v>
      </c>
      <c r="S760" t="str">
        <f t="shared" si="137"/>
        <v>HollowBrook</v>
      </c>
      <c r="T760" s="20">
        <f t="shared" si="127"/>
        <v>0</v>
      </c>
      <c r="U760">
        <f t="shared" si="128"/>
        <v>122</v>
      </c>
      <c r="V760">
        <f t="shared" si="129"/>
        <v>122</v>
      </c>
      <c r="W760" cm="1">
        <f t="array" ref="W760">_xlfn._xlws.FILTER(shifts!A:A,(shifts!B:B=events!D760)*(shifts!AH:AH&gt;=events!U760)*(shifts!AI:AI&lt;=events!V760))</f>
        <v>23</v>
      </c>
      <c r="X760" t="str">
        <f t="shared" si="138"/>
        <v>event_team_player_1</v>
      </c>
      <c r="Y760">
        <f>COUNTIFS(A$3:A760,"="&amp;A760,K$3:K760,"="&amp;K760)</f>
        <v>1</v>
      </c>
      <c r="Z760" s="20">
        <f>SUMIFS(T$3:T760,L$3:L760,"=Intermission")+SUMIFS(T$3:T760,L$3:L760,"=Timeout")+SUMIFS(T$3:T760,L$3:L760,"=Clockstop")</f>
        <v>0</v>
      </c>
      <c r="AA760">
        <f t="shared" si="130"/>
        <v>0</v>
      </c>
      <c r="AB760" s="26">
        <f t="shared" si="131"/>
        <v>958</v>
      </c>
      <c r="AC760">
        <f t="shared" si="132"/>
        <v>0</v>
      </c>
    </row>
    <row r="761" spans="1:29" x14ac:dyDescent="0.2">
      <c r="A761">
        <v>396</v>
      </c>
      <c r="D761">
        <f t="shared" si="133"/>
        <v>1</v>
      </c>
      <c r="E761">
        <v>2</v>
      </c>
      <c r="F761" s="6" t="s">
        <v>316</v>
      </c>
      <c r="I761" t="s">
        <v>179</v>
      </c>
      <c r="J761">
        <v>9</v>
      </c>
      <c r="K761" t="s">
        <v>489</v>
      </c>
      <c r="L761" t="s">
        <v>10</v>
      </c>
      <c r="M761" t="s">
        <v>190</v>
      </c>
      <c r="N761" t="s">
        <v>75</v>
      </c>
      <c r="Q761">
        <f t="shared" si="137"/>
        <v>18977</v>
      </c>
      <c r="R761" t="str">
        <f t="shared" si="137"/>
        <v>Velodrome</v>
      </c>
      <c r="S761" t="str">
        <f t="shared" si="137"/>
        <v>HollowBrook</v>
      </c>
      <c r="T761" s="20">
        <f t="shared" si="127"/>
        <v>0</v>
      </c>
      <c r="U761">
        <f t="shared" si="128"/>
        <v>122</v>
      </c>
      <c r="V761">
        <f t="shared" si="129"/>
        <v>122</v>
      </c>
      <c r="W761" cm="1">
        <f t="array" ref="W761">_xlfn._xlws.FILTER(shifts!A:A,(shifts!B:B=events!D761)*(shifts!AH:AH&gt;=events!U761)*(shifts!AI:AI&lt;=events!V761))</f>
        <v>23</v>
      </c>
      <c r="X761" t="str">
        <f t="shared" si="138"/>
        <v>opp_team_player_1</v>
      </c>
      <c r="Y761">
        <f>COUNTIFS(A$3:A761,"="&amp;A761,K$3:K761,"="&amp;K761)</f>
        <v>1</v>
      </c>
      <c r="Z761" s="20">
        <f>SUMIFS(T$3:T761,L$3:L761,"=Intermission")+SUMIFS(T$3:T761,L$3:L761,"=Timeout")+SUMIFS(T$3:T761,L$3:L761,"=Clockstop")</f>
        <v>0</v>
      </c>
      <c r="AA761">
        <f t="shared" si="130"/>
        <v>0</v>
      </c>
      <c r="AB761" s="26">
        <f t="shared" si="131"/>
        <v>958</v>
      </c>
      <c r="AC761">
        <f t="shared" si="132"/>
        <v>0</v>
      </c>
    </row>
    <row r="762" spans="1:29" x14ac:dyDescent="0.2">
      <c r="A762">
        <v>397</v>
      </c>
      <c r="D762">
        <f t="shared" si="133"/>
        <v>1</v>
      </c>
      <c r="E762">
        <v>2</v>
      </c>
      <c r="F762" s="6" t="s">
        <v>312</v>
      </c>
      <c r="I762" t="s">
        <v>178</v>
      </c>
      <c r="J762">
        <v>9</v>
      </c>
      <c r="K762" t="s">
        <v>488</v>
      </c>
      <c r="L762" t="s">
        <v>277</v>
      </c>
      <c r="M762" t="s">
        <v>201</v>
      </c>
      <c r="N762" t="s">
        <v>92</v>
      </c>
      <c r="Q762">
        <f t="shared" si="137"/>
        <v>18977</v>
      </c>
      <c r="R762" t="str">
        <f t="shared" si="137"/>
        <v>Velodrome</v>
      </c>
      <c r="S762" t="str">
        <f t="shared" si="137"/>
        <v>HollowBrook</v>
      </c>
      <c r="T762" s="20">
        <f t="shared" si="127"/>
        <v>0</v>
      </c>
      <c r="U762">
        <f t="shared" si="128"/>
        <v>121</v>
      </c>
      <c r="V762">
        <f t="shared" si="129"/>
        <v>121</v>
      </c>
      <c r="W762" cm="1">
        <f t="array" ref="W762">_xlfn._xlws.FILTER(shifts!A:A,(shifts!B:B=events!D762)*(shifts!AH:AH&gt;=events!U762)*(shifts!AI:AI&lt;=events!V762))</f>
        <v>23</v>
      </c>
      <c r="X762" t="str">
        <f t="shared" si="138"/>
        <v>event_team_player_1</v>
      </c>
      <c r="Y762">
        <f>COUNTIFS(A$3:A762,"="&amp;A762,K$3:K762,"="&amp;K762)</f>
        <v>1</v>
      </c>
      <c r="Z762" s="20">
        <f>SUMIFS(T$3:T762,L$3:L762,"=Intermission")+SUMIFS(T$3:T762,L$3:L762,"=Timeout")+SUMIFS(T$3:T762,L$3:L762,"=Clockstop")</f>
        <v>0</v>
      </c>
      <c r="AA762">
        <f t="shared" si="130"/>
        <v>0</v>
      </c>
      <c r="AB762" s="26">
        <f t="shared" si="131"/>
        <v>959</v>
      </c>
      <c r="AC762">
        <f t="shared" si="132"/>
        <v>0</v>
      </c>
    </row>
    <row r="763" spans="1:29" x14ac:dyDescent="0.2">
      <c r="A763">
        <v>398</v>
      </c>
      <c r="D763">
        <f t="shared" si="133"/>
        <v>1</v>
      </c>
      <c r="E763">
        <v>2</v>
      </c>
      <c r="F763" s="6" t="s">
        <v>426</v>
      </c>
      <c r="I763" t="s">
        <v>178</v>
      </c>
      <c r="J763">
        <v>9</v>
      </c>
      <c r="K763" t="s">
        <v>488</v>
      </c>
      <c r="L763" t="s">
        <v>277</v>
      </c>
      <c r="M763" t="s">
        <v>191</v>
      </c>
      <c r="N763" t="s">
        <v>89</v>
      </c>
      <c r="Q763">
        <f t="shared" si="137"/>
        <v>18977</v>
      </c>
      <c r="R763" t="str">
        <f t="shared" si="137"/>
        <v>Velodrome</v>
      </c>
      <c r="S763" t="str">
        <f t="shared" si="137"/>
        <v>HollowBrook</v>
      </c>
      <c r="T763" s="20">
        <f t="shared" si="127"/>
        <v>0</v>
      </c>
      <c r="U763">
        <f t="shared" si="128"/>
        <v>120</v>
      </c>
      <c r="V763">
        <f t="shared" si="129"/>
        <v>120</v>
      </c>
      <c r="W763" cm="1">
        <f t="array" ref="W763">_xlfn._xlws.FILTER(shifts!A:A,(shifts!B:B=events!D763)*(shifts!AH:AH&gt;=events!U763)*(shifts!AI:AI&lt;=events!V763))</f>
        <v>23</v>
      </c>
      <c r="X763" t="str">
        <f t="shared" si="138"/>
        <v>event_team_player_1</v>
      </c>
      <c r="Y763">
        <f>COUNTIFS(A$3:A763,"="&amp;A763,K$3:K763,"="&amp;K763)</f>
        <v>1</v>
      </c>
      <c r="Z763" s="20">
        <f>SUMIFS(T$3:T763,L$3:L763,"=Intermission")+SUMIFS(T$3:T763,L$3:L763,"=Timeout")+SUMIFS(T$3:T763,L$3:L763,"=Clockstop")</f>
        <v>0</v>
      </c>
      <c r="AA763">
        <f t="shared" si="130"/>
        <v>0</v>
      </c>
      <c r="AB763" s="26">
        <f t="shared" si="131"/>
        <v>960</v>
      </c>
      <c r="AC763">
        <f t="shared" si="132"/>
        <v>0</v>
      </c>
    </row>
    <row r="764" spans="1:29" x14ac:dyDescent="0.2">
      <c r="A764">
        <v>399</v>
      </c>
      <c r="D764">
        <f t="shared" si="133"/>
        <v>1</v>
      </c>
      <c r="E764">
        <v>2</v>
      </c>
      <c r="F764" s="6" t="s">
        <v>426</v>
      </c>
      <c r="I764" t="s">
        <v>178</v>
      </c>
      <c r="J764">
        <v>9</v>
      </c>
      <c r="K764" t="s">
        <v>488</v>
      </c>
      <c r="L764" t="s">
        <v>10</v>
      </c>
      <c r="M764" t="s">
        <v>190</v>
      </c>
      <c r="N764" t="s">
        <v>460</v>
      </c>
      <c r="Q764">
        <f t="shared" si="137"/>
        <v>18977</v>
      </c>
      <c r="R764" t="str">
        <f t="shared" si="137"/>
        <v>Velodrome</v>
      </c>
      <c r="S764" t="str">
        <f t="shared" si="137"/>
        <v>HollowBrook</v>
      </c>
      <c r="T764" s="20">
        <f t="shared" si="127"/>
        <v>0</v>
      </c>
      <c r="U764">
        <f t="shared" si="128"/>
        <v>120</v>
      </c>
      <c r="V764">
        <f t="shared" si="129"/>
        <v>120</v>
      </c>
      <c r="W764" cm="1">
        <f t="array" ref="W764">_xlfn._xlws.FILTER(shifts!A:A,(shifts!B:B=events!D764)*(shifts!AH:AH&gt;=events!U764)*(shifts!AI:AI&lt;=events!V764))</f>
        <v>23</v>
      </c>
      <c r="X764" t="str">
        <f t="shared" si="138"/>
        <v>event_team_player_1</v>
      </c>
      <c r="Y764">
        <f>COUNTIFS(A$3:A764,"="&amp;A764,K$3:K764,"="&amp;K764)</f>
        <v>1</v>
      </c>
      <c r="Z764" s="20">
        <f>SUMIFS(T$3:T764,L$3:L764,"=Intermission")+SUMIFS(T$3:T764,L$3:L764,"=Timeout")+SUMIFS(T$3:T764,L$3:L764,"=Clockstop")</f>
        <v>0</v>
      </c>
      <c r="AA764">
        <f t="shared" si="130"/>
        <v>0</v>
      </c>
      <c r="AB764" s="26">
        <f t="shared" si="131"/>
        <v>960</v>
      </c>
      <c r="AC764">
        <f t="shared" si="132"/>
        <v>0</v>
      </c>
    </row>
    <row r="765" spans="1:29" x14ac:dyDescent="0.2">
      <c r="A765">
        <v>400</v>
      </c>
      <c r="D765">
        <f t="shared" si="133"/>
        <v>1</v>
      </c>
      <c r="E765">
        <v>1</v>
      </c>
      <c r="F765" s="6" t="s">
        <v>487</v>
      </c>
      <c r="G765">
        <v>1</v>
      </c>
      <c r="H765" s="8" t="s">
        <v>450</v>
      </c>
      <c r="I765" t="s">
        <v>179</v>
      </c>
      <c r="J765">
        <v>5</v>
      </c>
      <c r="K765" t="s">
        <v>488</v>
      </c>
      <c r="L765" t="s">
        <v>15</v>
      </c>
      <c r="Q765">
        <f t="shared" si="137"/>
        <v>18977</v>
      </c>
      <c r="R765" t="str">
        <f t="shared" si="137"/>
        <v>Velodrome</v>
      </c>
      <c r="S765" t="str">
        <f t="shared" si="137"/>
        <v>HollowBrook</v>
      </c>
      <c r="T765" s="20">
        <f t="shared" si="127"/>
        <v>10</v>
      </c>
      <c r="U765">
        <f t="shared" si="128"/>
        <v>119</v>
      </c>
      <c r="V765">
        <f t="shared" si="129"/>
        <v>109</v>
      </c>
      <c r="W765">
        <v>24</v>
      </c>
      <c r="X765" t="str">
        <f t="shared" si="138"/>
        <v>event_team_player_1</v>
      </c>
      <c r="Y765">
        <f>COUNTIFS(A$3:A765,"="&amp;A765,K$3:K765,"="&amp;K765)</f>
        <v>1</v>
      </c>
      <c r="Z765" s="20">
        <f>SUMIFS(T$3:T765,L$3:L765,"=Intermission")+SUMIFS(T$3:T765,L$3:L765,"=Timeout")+SUMIFS(T$3:T765,L$3:L765,"=Clockstop")</f>
        <v>0</v>
      </c>
      <c r="AA765">
        <f t="shared" si="130"/>
        <v>0</v>
      </c>
      <c r="AB765" s="26">
        <f t="shared" si="131"/>
        <v>961</v>
      </c>
      <c r="AC765">
        <f t="shared" si="132"/>
        <v>0</v>
      </c>
    </row>
    <row r="766" spans="1:29" x14ac:dyDescent="0.2">
      <c r="A766">
        <v>401</v>
      </c>
      <c r="D766">
        <f t="shared" si="133"/>
        <v>1</v>
      </c>
      <c r="E766">
        <v>1</v>
      </c>
      <c r="F766" s="6" t="s">
        <v>450</v>
      </c>
      <c r="I766" t="s">
        <v>179</v>
      </c>
      <c r="J766">
        <v>5</v>
      </c>
      <c r="K766" t="s">
        <v>488</v>
      </c>
      <c r="L766" t="s">
        <v>8</v>
      </c>
      <c r="M766" t="s">
        <v>189</v>
      </c>
      <c r="N766" t="s">
        <v>68</v>
      </c>
      <c r="Q766">
        <f t="shared" si="137"/>
        <v>18977</v>
      </c>
      <c r="R766" t="str">
        <f t="shared" si="137"/>
        <v>Velodrome</v>
      </c>
      <c r="S766" t="str">
        <f t="shared" si="137"/>
        <v>HollowBrook</v>
      </c>
      <c r="T766" s="20">
        <f t="shared" si="127"/>
        <v>0</v>
      </c>
      <c r="U766">
        <f t="shared" si="128"/>
        <v>109</v>
      </c>
      <c r="V766">
        <f t="shared" si="129"/>
        <v>109</v>
      </c>
      <c r="W766" cm="1">
        <f t="array" ref="W766">_xlfn._xlws.FILTER(shifts!A:A,(shifts!B:B=events!D766)*(shifts!AH:AH&gt;=events!U766)*(shifts!AI:AI&lt;=events!V766))</f>
        <v>24</v>
      </c>
      <c r="X766" t="str">
        <f t="shared" si="138"/>
        <v>event_team_player_1</v>
      </c>
      <c r="Y766">
        <f>COUNTIFS(A$3:A766,"="&amp;A766,K$3:K766,"="&amp;K766)</f>
        <v>1</v>
      </c>
      <c r="Z766" s="20">
        <f>SUMIFS(T$3:T766,L$3:L766,"=Intermission")+SUMIFS(T$3:T766,L$3:L766,"=Timeout")+SUMIFS(T$3:T766,L$3:L766,"=Clockstop")</f>
        <v>0</v>
      </c>
      <c r="AA766">
        <f t="shared" si="130"/>
        <v>0</v>
      </c>
      <c r="AB766" s="26">
        <f t="shared" si="131"/>
        <v>971</v>
      </c>
      <c r="AC766">
        <f t="shared" si="132"/>
        <v>0</v>
      </c>
    </row>
    <row r="767" spans="1:29" x14ac:dyDescent="0.2">
      <c r="A767">
        <v>401</v>
      </c>
      <c r="D767">
        <f t="shared" si="133"/>
        <v>1</v>
      </c>
      <c r="E767">
        <v>1</v>
      </c>
      <c r="F767" s="6" t="s">
        <v>450</v>
      </c>
      <c r="I767" t="s">
        <v>179</v>
      </c>
      <c r="J767">
        <v>26</v>
      </c>
      <c r="K767" t="s">
        <v>488</v>
      </c>
      <c r="L767" t="s">
        <v>8</v>
      </c>
      <c r="M767" t="s">
        <v>189</v>
      </c>
      <c r="N767" t="s">
        <v>68</v>
      </c>
      <c r="Q767">
        <f t="shared" si="137"/>
        <v>18977</v>
      </c>
      <c r="R767" t="str">
        <f t="shared" si="137"/>
        <v>Velodrome</v>
      </c>
      <c r="S767" t="str">
        <f t="shared" si="137"/>
        <v>HollowBrook</v>
      </c>
      <c r="T767" s="20">
        <f t="shared" si="127"/>
        <v>0</v>
      </c>
      <c r="U767">
        <f t="shared" si="128"/>
        <v>109</v>
      </c>
      <c r="V767">
        <f t="shared" si="129"/>
        <v>109</v>
      </c>
      <c r="W767" cm="1">
        <f t="array" ref="W767">_xlfn._xlws.FILTER(shifts!A:A,(shifts!B:B=events!D767)*(shifts!AH:AH&gt;=events!U767)*(shifts!AI:AI&lt;=events!V767))</f>
        <v>24</v>
      </c>
      <c r="X767" t="str">
        <f t="shared" si="138"/>
        <v>event_team_player_2</v>
      </c>
      <c r="Y767">
        <f>COUNTIFS(A$3:A767,"="&amp;A767,K$3:K767,"="&amp;K767)</f>
        <v>2</v>
      </c>
      <c r="Z767" s="20">
        <f>SUMIFS(T$3:T767,L$3:L767,"=Intermission")+SUMIFS(T$3:T767,L$3:L767,"=Timeout")+SUMIFS(T$3:T767,L$3:L767,"=Clockstop")</f>
        <v>0</v>
      </c>
      <c r="AA767">
        <f t="shared" si="130"/>
        <v>0</v>
      </c>
      <c r="AB767" s="26">
        <f t="shared" si="131"/>
        <v>971</v>
      </c>
      <c r="AC767">
        <f t="shared" si="132"/>
        <v>0</v>
      </c>
    </row>
    <row r="768" spans="1:29" x14ac:dyDescent="0.2">
      <c r="A768">
        <v>402</v>
      </c>
      <c r="D768">
        <f t="shared" si="133"/>
        <v>1</v>
      </c>
      <c r="E768">
        <v>1</v>
      </c>
      <c r="F768" s="6" t="s">
        <v>451</v>
      </c>
      <c r="I768" t="s">
        <v>179</v>
      </c>
      <c r="J768">
        <v>26</v>
      </c>
      <c r="K768" t="s">
        <v>488</v>
      </c>
      <c r="L768" t="s">
        <v>277</v>
      </c>
      <c r="M768" t="s">
        <v>201</v>
      </c>
      <c r="N768" t="s">
        <v>183</v>
      </c>
      <c r="Q768">
        <f t="shared" si="137"/>
        <v>18977</v>
      </c>
      <c r="R768" t="str">
        <f t="shared" si="137"/>
        <v>Velodrome</v>
      </c>
      <c r="S768" t="str">
        <f t="shared" si="137"/>
        <v>HollowBrook</v>
      </c>
      <c r="T768" s="20">
        <f t="shared" si="127"/>
        <v>0</v>
      </c>
      <c r="U768">
        <f t="shared" si="128"/>
        <v>108</v>
      </c>
      <c r="V768">
        <f t="shared" si="129"/>
        <v>108</v>
      </c>
      <c r="W768" cm="1">
        <f t="array" ref="W768">_xlfn._xlws.FILTER(shifts!A:A,(shifts!B:B=events!D768)*(shifts!AH:AH&gt;=events!U768)*(shifts!AI:AI&lt;=events!V768))</f>
        <v>24</v>
      </c>
      <c r="X768" t="str">
        <f t="shared" si="138"/>
        <v>event_team_player_1</v>
      </c>
      <c r="Y768">
        <f>COUNTIFS(A$3:A768,"="&amp;A768,K$3:K768,"="&amp;K768)</f>
        <v>1</v>
      </c>
      <c r="Z768" s="20">
        <f>SUMIFS(T$3:T768,L$3:L768,"=Intermission")+SUMIFS(T$3:T768,L$3:L768,"=Timeout")+SUMIFS(T$3:T768,L$3:L768,"=Clockstop")</f>
        <v>0</v>
      </c>
      <c r="AA768">
        <f t="shared" si="130"/>
        <v>0</v>
      </c>
      <c r="AB768" s="26">
        <f t="shared" si="131"/>
        <v>972</v>
      </c>
      <c r="AC768">
        <f t="shared" si="132"/>
        <v>0</v>
      </c>
    </row>
    <row r="769" spans="1:29" x14ac:dyDescent="0.2">
      <c r="A769">
        <v>403</v>
      </c>
      <c r="D769">
        <f t="shared" si="133"/>
        <v>1</v>
      </c>
      <c r="E769">
        <v>1</v>
      </c>
      <c r="F769" s="6" t="s">
        <v>451</v>
      </c>
      <c r="I769" t="s">
        <v>179</v>
      </c>
      <c r="J769">
        <v>26</v>
      </c>
      <c r="K769" t="s">
        <v>488</v>
      </c>
      <c r="L769" t="s">
        <v>277</v>
      </c>
      <c r="M769" t="s">
        <v>191</v>
      </c>
      <c r="N769" t="s">
        <v>182</v>
      </c>
      <c r="Q769">
        <f t="shared" si="137"/>
        <v>18977</v>
      </c>
      <c r="R769" t="str">
        <f t="shared" si="137"/>
        <v>Velodrome</v>
      </c>
      <c r="S769" t="str">
        <f t="shared" si="137"/>
        <v>HollowBrook</v>
      </c>
      <c r="T769" s="20">
        <f t="shared" si="127"/>
        <v>0</v>
      </c>
      <c r="U769">
        <f t="shared" si="128"/>
        <v>108</v>
      </c>
      <c r="V769">
        <f t="shared" si="129"/>
        <v>108</v>
      </c>
      <c r="W769" cm="1">
        <f t="array" ref="W769">_xlfn._xlws.FILTER(shifts!A:A,(shifts!B:B=events!D769)*(shifts!AH:AH&gt;=events!U769)*(shifts!AI:AI&lt;=events!V769))</f>
        <v>24</v>
      </c>
      <c r="X769" t="str">
        <f t="shared" si="138"/>
        <v>event_team_player_1</v>
      </c>
      <c r="Y769">
        <f>COUNTIFS(A$3:A769,"="&amp;A769,K$3:K769,"="&amp;K769)</f>
        <v>1</v>
      </c>
      <c r="Z769" s="20">
        <f>SUMIFS(T$3:T769,L$3:L769,"=Intermission")+SUMIFS(T$3:T769,L$3:L769,"=Timeout")+SUMIFS(T$3:T769,L$3:L769,"=Clockstop")</f>
        <v>0</v>
      </c>
      <c r="AA769">
        <f t="shared" si="130"/>
        <v>0</v>
      </c>
      <c r="AB769" s="26">
        <f t="shared" si="131"/>
        <v>972</v>
      </c>
      <c r="AC769">
        <f t="shared" si="132"/>
        <v>0</v>
      </c>
    </row>
    <row r="770" spans="1:29" x14ac:dyDescent="0.2">
      <c r="A770">
        <v>404</v>
      </c>
      <c r="D770">
        <f t="shared" si="133"/>
        <v>1</v>
      </c>
      <c r="E770">
        <v>1</v>
      </c>
      <c r="F770" s="6" t="s">
        <v>451</v>
      </c>
      <c r="I770" t="s">
        <v>179</v>
      </c>
      <c r="J770">
        <v>26</v>
      </c>
      <c r="K770" t="s">
        <v>488</v>
      </c>
      <c r="L770" t="s">
        <v>10</v>
      </c>
      <c r="M770" t="s">
        <v>190</v>
      </c>
      <c r="N770" t="s">
        <v>460</v>
      </c>
      <c r="Q770">
        <f t="shared" si="137"/>
        <v>18977</v>
      </c>
      <c r="R770" t="str">
        <f t="shared" si="137"/>
        <v>Velodrome</v>
      </c>
      <c r="S770" t="str">
        <f t="shared" si="137"/>
        <v>HollowBrook</v>
      </c>
      <c r="T770" s="20">
        <f t="shared" si="127"/>
        <v>0</v>
      </c>
      <c r="U770">
        <f t="shared" si="128"/>
        <v>108</v>
      </c>
      <c r="V770">
        <f t="shared" si="129"/>
        <v>108</v>
      </c>
      <c r="W770" cm="1">
        <f t="array" ref="W770">_xlfn._xlws.FILTER(shifts!A:A,(shifts!B:B=events!D770)*(shifts!AH:AH&gt;=events!U770)*(shifts!AI:AI&lt;=events!V770))</f>
        <v>24</v>
      </c>
      <c r="X770" t="str">
        <f t="shared" si="138"/>
        <v>event_team_player_1</v>
      </c>
      <c r="Y770">
        <f>COUNTIFS(A$3:A770,"="&amp;A770,K$3:K770,"="&amp;K770)</f>
        <v>1</v>
      </c>
      <c r="Z770" s="20">
        <f>SUMIFS(T$3:T770,L$3:L770,"=Intermission")+SUMIFS(T$3:T770,L$3:L770,"=Timeout")+SUMIFS(T$3:T770,L$3:L770,"=Clockstop")</f>
        <v>0</v>
      </c>
      <c r="AA770">
        <f t="shared" si="130"/>
        <v>0</v>
      </c>
      <c r="AB770" s="26">
        <f t="shared" si="131"/>
        <v>972</v>
      </c>
      <c r="AC770">
        <f t="shared" si="132"/>
        <v>0</v>
      </c>
    </row>
    <row r="771" spans="1:29" x14ac:dyDescent="0.2">
      <c r="A771">
        <v>405</v>
      </c>
      <c r="D771">
        <f t="shared" si="133"/>
        <v>1</v>
      </c>
      <c r="E771">
        <v>1</v>
      </c>
      <c r="F771" s="6" t="s">
        <v>478</v>
      </c>
      <c r="G771">
        <v>1</v>
      </c>
      <c r="H771" s="8" t="s">
        <v>430</v>
      </c>
      <c r="I771" t="s">
        <v>178</v>
      </c>
      <c r="J771">
        <v>9</v>
      </c>
      <c r="K771" t="s">
        <v>488</v>
      </c>
      <c r="L771" t="s">
        <v>15</v>
      </c>
      <c r="Q771">
        <f t="shared" si="137"/>
        <v>18977</v>
      </c>
      <c r="R771" t="str">
        <f t="shared" si="137"/>
        <v>Velodrome</v>
      </c>
      <c r="S771" t="str">
        <f t="shared" si="137"/>
        <v>HollowBrook</v>
      </c>
      <c r="T771" s="20">
        <f t="shared" si="127"/>
        <v>4</v>
      </c>
      <c r="U771">
        <f t="shared" si="128"/>
        <v>106</v>
      </c>
      <c r="V771">
        <f t="shared" si="129"/>
        <v>102</v>
      </c>
      <c r="W771" cm="1">
        <f t="array" ref="W771">_xlfn._xlws.FILTER(shifts!A:A,(shifts!B:B=events!D771)*(shifts!AH:AH&gt;=events!U771)*(shifts!AI:AI&lt;=events!V771))</f>
        <v>24</v>
      </c>
      <c r="X771" t="str">
        <f t="shared" si="138"/>
        <v>event_team_player_1</v>
      </c>
      <c r="Y771">
        <f>COUNTIFS(A$3:A771,"="&amp;A771,K$3:K771,"="&amp;K771)</f>
        <v>1</v>
      </c>
      <c r="Z771" s="20">
        <f>SUMIFS(T$3:T771,L$3:L771,"=Intermission")+SUMIFS(T$3:T771,L$3:L771,"=Timeout")+SUMIFS(T$3:T771,L$3:L771,"=Clockstop")</f>
        <v>0</v>
      </c>
      <c r="AA771">
        <f t="shared" si="130"/>
        <v>0</v>
      </c>
      <c r="AB771" s="26">
        <f t="shared" si="131"/>
        <v>974</v>
      </c>
      <c r="AC771">
        <f t="shared" si="132"/>
        <v>0</v>
      </c>
    </row>
    <row r="772" spans="1:29" x14ac:dyDescent="0.2">
      <c r="A772">
        <v>406</v>
      </c>
      <c r="D772">
        <f t="shared" si="133"/>
        <v>1</v>
      </c>
      <c r="E772">
        <v>1</v>
      </c>
      <c r="F772" s="6" t="s">
        <v>431</v>
      </c>
      <c r="I772" t="s">
        <v>178</v>
      </c>
      <c r="J772">
        <v>9</v>
      </c>
      <c r="K772" t="s">
        <v>488</v>
      </c>
      <c r="L772" t="s">
        <v>8</v>
      </c>
      <c r="M772" t="s">
        <v>189</v>
      </c>
      <c r="N772" t="s">
        <v>67</v>
      </c>
      <c r="Q772">
        <f t="shared" si="137"/>
        <v>18977</v>
      </c>
      <c r="R772" t="str">
        <f t="shared" si="137"/>
        <v>Velodrome</v>
      </c>
      <c r="S772" t="str">
        <f t="shared" si="137"/>
        <v>HollowBrook</v>
      </c>
      <c r="T772" s="20">
        <f t="shared" ref="T772:T835" si="139">IF(AND(G772="",H772=""),0,((E772*60)+F772)-((G772*60)+H772))</f>
        <v>0</v>
      </c>
      <c r="U772">
        <f t="shared" ref="U772:U835" si="140">(E772*60)+F772</f>
        <v>101</v>
      </c>
      <c r="V772">
        <f t="shared" ref="V772:V835" si="141">IF(AND(G772="",H772=""),U772,((G772*60)+H772))</f>
        <v>101</v>
      </c>
      <c r="W772" cm="1">
        <f t="array" ref="W772">_xlfn._xlws.FILTER(shifts!A:A,(shifts!B:B=events!D772)*(shifts!AH:AH&gt;=events!U772)*(shifts!AI:AI&lt;=events!V772))</f>
        <v>24</v>
      </c>
      <c r="X772" t="str">
        <f t="shared" si="138"/>
        <v>event_team_player_1</v>
      </c>
      <c r="Y772">
        <f>COUNTIFS(A$3:A772,"="&amp;A772,K$3:K772,"="&amp;K772)</f>
        <v>1</v>
      </c>
      <c r="Z772" s="20">
        <f>SUMIFS(T$3:T772,L$3:L772,"=Intermission")+SUMIFS(T$3:T772,L$3:L772,"=Timeout")+SUMIFS(T$3:T772,L$3:L772,"=Clockstop")</f>
        <v>0</v>
      </c>
      <c r="AA772">
        <f t="shared" ref="AA772:AA835" si="142">IF(D772=1,0,IF(D772=2,1080+Z772,IF(D772=3,(1080*2)+Z772,0)))</f>
        <v>0</v>
      </c>
      <c r="AB772" s="26">
        <f t="shared" ref="AB772:AB835" si="143">((1080*D772)-((E772*60)+F772)*D772)+Z772</f>
        <v>979</v>
      </c>
      <c r="AC772">
        <f t="shared" ref="AC772:AC835" si="144">IF(L771="GameStart",0,AA772+Z772)</f>
        <v>0</v>
      </c>
    </row>
    <row r="773" spans="1:29" x14ac:dyDescent="0.2">
      <c r="A773">
        <v>406</v>
      </c>
      <c r="D773">
        <f t="shared" ref="D773:D836" si="145">IF(L773="Intermission",D772+1,D772)</f>
        <v>1</v>
      </c>
      <c r="E773">
        <v>1</v>
      </c>
      <c r="F773" s="6" t="s">
        <v>431</v>
      </c>
      <c r="I773" t="s">
        <v>178</v>
      </c>
      <c r="J773">
        <v>75</v>
      </c>
      <c r="K773" t="s">
        <v>488</v>
      </c>
      <c r="L773" t="s">
        <v>8</v>
      </c>
      <c r="M773" t="s">
        <v>189</v>
      </c>
      <c r="N773" t="s">
        <v>67</v>
      </c>
      <c r="Q773">
        <f t="shared" ref="Q773:S788" si="146">Q772</f>
        <v>18977</v>
      </c>
      <c r="R773" t="str">
        <f t="shared" si="146"/>
        <v>Velodrome</v>
      </c>
      <c r="S773" t="str">
        <f t="shared" si="146"/>
        <v>HollowBrook</v>
      </c>
      <c r="T773" s="20">
        <f t="shared" si="139"/>
        <v>0</v>
      </c>
      <c r="U773">
        <f t="shared" si="140"/>
        <v>101</v>
      </c>
      <c r="V773">
        <f t="shared" si="141"/>
        <v>101</v>
      </c>
      <c r="W773" cm="1">
        <f t="array" ref="W773">_xlfn._xlws.FILTER(shifts!A:A,(shifts!B:B=events!D773)*(shifts!AH:AH&gt;=events!U773)*(shifts!AI:AI&lt;=events!V773))</f>
        <v>24</v>
      </c>
      <c r="X773" t="str">
        <f t="shared" si="138"/>
        <v>event_team_player_2</v>
      </c>
      <c r="Y773">
        <f>COUNTIFS(A$3:A773,"="&amp;A773,K$3:K773,"="&amp;K773)</f>
        <v>2</v>
      </c>
      <c r="Z773" s="20">
        <f>SUMIFS(T$3:T773,L$3:L773,"=Intermission")+SUMIFS(T$3:T773,L$3:L773,"=Timeout")+SUMIFS(T$3:T773,L$3:L773,"=Clockstop")</f>
        <v>0</v>
      </c>
      <c r="AA773">
        <f t="shared" si="142"/>
        <v>0</v>
      </c>
      <c r="AB773" s="26">
        <f t="shared" si="143"/>
        <v>979</v>
      </c>
      <c r="AC773">
        <f t="shared" si="144"/>
        <v>0</v>
      </c>
    </row>
    <row r="774" spans="1:29" x14ac:dyDescent="0.2">
      <c r="A774">
        <v>407</v>
      </c>
      <c r="D774">
        <f t="shared" si="145"/>
        <v>1</v>
      </c>
      <c r="E774">
        <v>1</v>
      </c>
      <c r="F774" s="6" t="s">
        <v>431</v>
      </c>
      <c r="I774" t="s">
        <v>178</v>
      </c>
      <c r="J774">
        <v>9</v>
      </c>
      <c r="K774" t="s">
        <v>488</v>
      </c>
      <c r="L774" t="s">
        <v>277</v>
      </c>
      <c r="M774" t="s">
        <v>201</v>
      </c>
      <c r="N774" t="s">
        <v>91</v>
      </c>
      <c r="Q774">
        <f t="shared" si="146"/>
        <v>18977</v>
      </c>
      <c r="R774" t="str">
        <f t="shared" si="146"/>
        <v>Velodrome</v>
      </c>
      <c r="S774" t="str">
        <f t="shared" si="146"/>
        <v>HollowBrook</v>
      </c>
      <c r="T774" s="20">
        <f t="shared" si="139"/>
        <v>0</v>
      </c>
      <c r="U774">
        <f t="shared" si="140"/>
        <v>101</v>
      </c>
      <c r="V774">
        <f t="shared" si="141"/>
        <v>101</v>
      </c>
      <c r="W774" cm="1">
        <f t="array" ref="W774">_xlfn._xlws.FILTER(shifts!A:A,(shifts!B:B=events!D774)*(shifts!AH:AH&gt;=events!U774)*(shifts!AI:AI&lt;=events!V774))</f>
        <v>24</v>
      </c>
      <c r="X774" t="str">
        <f t="shared" si="138"/>
        <v>event_team_player_1</v>
      </c>
      <c r="Y774">
        <f>COUNTIFS(A$3:A774,"="&amp;A774,K$3:K774,"="&amp;K774)</f>
        <v>1</v>
      </c>
      <c r="Z774" s="20">
        <f>SUMIFS(T$3:T774,L$3:L774,"=Intermission")+SUMIFS(T$3:T774,L$3:L774,"=Timeout")+SUMIFS(T$3:T774,L$3:L774,"=Clockstop")</f>
        <v>0</v>
      </c>
      <c r="AA774">
        <f t="shared" si="142"/>
        <v>0</v>
      </c>
      <c r="AB774" s="26">
        <f t="shared" si="143"/>
        <v>979</v>
      </c>
      <c r="AC774">
        <f t="shared" si="144"/>
        <v>0</v>
      </c>
    </row>
    <row r="775" spans="1:29" x14ac:dyDescent="0.2">
      <c r="A775">
        <v>407</v>
      </c>
      <c r="D775">
        <f t="shared" si="145"/>
        <v>1</v>
      </c>
      <c r="E775">
        <v>1</v>
      </c>
      <c r="F775" s="6" t="s">
        <v>431</v>
      </c>
      <c r="I775" t="s">
        <v>178</v>
      </c>
      <c r="J775">
        <v>75</v>
      </c>
      <c r="K775" t="s">
        <v>488</v>
      </c>
      <c r="L775" t="s">
        <v>277</v>
      </c>
      <c r="M775" t="s">
        <v>201</v>
      </c>
      <c r="N775" t="s">
        <v>91</v>
      </c>
      <c r="Q775">
        <f t="shared" si="146"/>
        <v>18977</v>
      </c>
      <c r="R775" t="str">
        <f t="shared" si="146"/>
        <v>Velodrome</v>
      </c>
      <c r="S775" t="str">
        <f t="shared" si="146"/>
        <v>HollowBrook</v>
      </c>
      <c r="T775" s="20">
        <f t="shared" si="139"/>
        <v>0</v>
      </c>
      <c r="U775">
        <f t="shared" si="140"/>
        <v>101</v>
      </c>
      <c r="V775">
        <f t="shared" si="141"/>
        <v>101</v>
      </c>
      <c r="W775" cm="1">
        <f t="array" ref="W775">_xlfn._xlws.FILTER(shifts!A:A,(shifts!B:B=events!D775)*(shifts!AH:AH&gt;=events!U775)*(shifts!AI:AI&lt;=events!V775))</f>
        <v>24</v>
      </c>
      <c r="X775" t="str">
        <f t="shared" si="138"/>
        <v>event_team_player_2</v>
      </c>
      <c r="Y775">
        <f>COUNTIFS(A$3:A775,"="&amp;A775,K$3:K775,"="&amp;K775)</f>
        <v>2</v>
      </c>
      <c r="Z775" s="20">
        <f>SUMIFS(T$3:T775,L$3:L775,"=Intermission")+SUMIFS(T$3:T775,L$3:L775,"=Timeout")+SUMIFS(T$3:T775,L$3:L775,"=Clockstop")</f>
        <v>0</v>
      </c>
      <c r="AA775">
        <f t="shared" si="142"/>
        <v>0</v>
      </c>
      <c r="AB775" s="26">
        <f t="shared" si="143"/>
        <v>979</v>
      </c>
      <c r="AC775">
        <f t="shared" si="144"/>
        <v>0</v>
      </c>
    </row>
    <row r="776" spans="1:29" x14ac:dyDescent="0.2">
      <c r="A776">
        <v>408</v>
      </c>
      <c r="D776">
        <f t="shared" si="145"/>
        <v>1</v>
      </c>
      <c r="E776">
        <v>1</v>
      </c>
      <c r="F776" s="6" t="s">
        <v>481</v>
      </c>
      <c r="I776" t="s">
        <v>178</v>
      </c>
      <c r="J776">
        <v>75</v>
      </c>
      <c r="K776" t="s">
        <v>488</v>
      </c>
      <c r="L776" t="s">
        <v>10</v>
      </c>
      <c r="M776" t="s">
        <v>190</v>
      </c>
      <c r="N776" t="s">
        <v>73</v>
      </c>
      <c r="Q776">
        <f t="shared" si="146"/>
        <v>18977</v>
      </c>
      <c r="R776" t="str">
        <f t="shared" si="146"/>
        <v>Velodrome</v>
      </c>
      <c r="S776" t="str">
        <f t="shared" si="146"/>
        <v>HollowBrook</v>
      </c>
      <c r="T776" s="20">
        <f t="shared" si="139"/>
        <v>0</v>
      </c>
      <c r="U776">
        <f t="shared" si="140"/>
        <v>99</v>
      </c>
      <c r="V776">
        <f t="shared" si="141"/>
        <v>99</v>
      </c>
      <c r="W776" cm="1">
        <f t="array" ref="W776">_xlfn._xlws.FILTER(shifts!A:A,(shifts!B:B=events!D776)*(shifts!AH:AH&gt;=events!U776)*(shifts!AI:AI&lt;=events!V776))</f>
        <v>24</v>
      </c>
      <c r="X776" t="str">
        <f t="shared" si="138"/>
        <v>event_team_player_1</v>
      </c>
      <c r="Y776">
        <f>COUNTIFS(A$3:A776,"="&amp;A776,K$3:K776,"="&amp;K776)</f>
        <v>1</v>
      </c>
      <c r="Z776" s="20">
        <f>SUMIFS(T$3:T776,L$3:L776,"=Intermission")+SUMIFS(T$3:T776,L$3:L776,"=Timeout")+SUMIFS(T$3:T776,L$3:L776,"=Clockstop")</f>
        <v>0</v>
      </c>
      <c r="AA776">
        <f t="shared" si="142"/>
        <v>0</v>
      </c>
      <c r="AB776" s="26">
        <f t="shared" si="143"/>
        <v>981</v>
      </c>
      <c r="AC776">
        <f t="shared" si="144"/>
        <v>0</v>
      </c>
    </row>
    <row r="777" spans="1:29" x14ac:dyDescent="0.2">
      <c r="A777">
        <v>408</v>
      </c>
      <c r="D777">
        <f t="shared" si="145"/>
        <v>1</v>
      </c>
      <c r="E777">
        <v>1</v>
      </c>
      <c r="F777" s="6" t="s">
        <v>481</v>
      </c>
      <c r="I777" t="s">
        <v>178</v>
      </c>
      <c r="J777">
        <v>26</v>
      </c>
      <c r="K777" t="s">
        <v>489</v>
      </c>
      <c r="L777" t="s">
        <v>10</v>
      </c>
      <c r="M777" t="s">
        <v>190</v>
      </c>
      <c r="N777" t="s">
        <v>73</v>
      </c>
      <c r="Q777">
        <f t="shared" si="146"/>
        <v>18977</v>
      </c>
      <c r="R777" t="str">
        <f t="shared" si="146"/>
        <v>Velodrome</v>
      </c>
      <c r="S777" t="str">
        <f t="shared" si="146"/>
        <v>HollowBrook</v>
      </c>
      <c r="T777" s="20">
        <f t="shared" si="139"/>
        <v>0</v>
      </c>
      <c r="U777">
        <f t="shared" si="140"/>
        <v>99</v>
      </c>
      <c r="V777">
        <f t="shared" si="141"/>
        <v>99</v>
      </c>
      <c r="W777" cm="1">
        <f t="array" ref="W777">_xlfn._xlws.FILTER(shifts!A:A,(shifts!B:B=events!D777)*(shifts!AH:AH&gt;=events!U777)*(shifts!AI:AI&lt;=events!V777))</f>
        <v>24</v>
      </c>
      <c r="X777" t="str">
        <f t="shared" si="138"/>
        <v>opp_team_player_1</v>
      </c>
      <c r="Y777">
        <f>COUNTIFS(A$3:A777,"="&amp;A777,K$3:K777,"="&amp;K777)</f>
        <v>1</v>
      </c>
      <c r="Z777" s="20">
        <f>SUMIFS(T$3:T777,L$3:L777,"=Intermission")+SUMIFS(T$3:T777,L$3:L777,"=Timeout")+SUMIFS(T$3:T777,L$3:L777,"=Clockstop")</f>
        <v>0</v>
      </c>
      <c r="AA777">
        <f t="shared" si="142"/>
        <v>0</v>
      </c>
      <c r="AB777" s="26">
        <f t="shared" si="143"/>
        <v>981</v>
      </c>
      <c r="AC777">
        <f t="shared" si="144"/>
        <v>0</v>
      </c>
    </row>
    <row r="778" spans="1:29" x14ac:dyDescent="0.2">
      <c r="A778">
        <v>409</v>
      </c>
      <c r="D778">
        <f t="shared" si="145"/>
        <v>1</v>
      </c>
      <c r="E778">
        <v>1</v>
      </c>
      <c r="F778" s="6" t="s">
        <v>439</v>
      </c>
      <c r="G778">
        <v>1</v>
      </c>
      <c r="H778" s="8" t="s">
        <v>494</v>
      </c>
      <c r="I778" t="s">
        <v>179</v>
      </c>
      <c r="J778">
        <v>27</v>
      </c>
      <c r="K778" t="s">
        <v>488</v>
      </c>
      <c r="L778" t="s">
        <v>277</v>
      </c>
      <c r="M778" t="s">
        <v>191</v>
      </c>
      <c r="N778" t="s">
        <v>87</v>
      </c>
      <c r="Q778">
        <f t="shared" si="146"/>
        <v>18977</v>
      </c>
      <c r="R778" t="str">
        <f t="shared" si="146"/>
        <v>Velodrome</v>
      </c>
      <c r="S778" t="str">
        <f t="shared" si="146"/>
        <v>HollowBrook</v>
      </c>
      <c r="T778" s="20">
        <f t="shared" si="139"/>
        <v>2</v>
      </c>
      <c r="U778">
        <f t="shared" si="140"/>
        <v>94</v>
      </c>
      <c r="V778">
        <f t="shared" si="141"/>
        <v>92</v>
      </c>
      <c r="W778" cm="1">
        <f t="array" ref="W778">_xlfn._xlws.FILTER(shifts!A:A,(shifts!B:B=events!D778)*(shifts!AH:AH&gt;=events!U778)*(shifts!AI:AI&lt;=events!V778))</f>
        <v>25</v>
      </c>
      <c r="X778" t="str">
        <f t="shared" si="138"/>
        <v>event_team_player_1</v>
      </c>
      <c r="Y778">
        <f>COUNTIFS(A$3:A778,"="&amp;A778,K$3:K778,"="&amp;K778)</f>
        <v>1</v>
      </c>
      <c r="Z778" s="20">
        <f>SUMIFS(T$3:T778,L$3:L778,"=Intermission")+SUMIFS(T$3:T778,L$3:L778,"=Timeout")+SUMIFS(T$3:T778,L$3:L778,"=Clockstop")</f>
        <v>0</v>
      </c>
      <c r="AA778">
        <f t="shared" si="142"/>
        <v>0</v>
      </c>
      <c r="AB778" s="26">
        <f t="shared" si="143"/>
        <v>986</v>
      </c>
      <c r="AC778">
        <f t="shared" si="144"/>
        <v>0</v>
      </c>
    </row>
    <row r="779" spans="1:29" x14ac:dyDescent="0.2">
      <c r="A779">
        <v>409</v>
      </c>
      <c r="D779">
        <f t="shared" si="145"/>
        <v>1</v>
      </c>
      <c r="E779">
        <v>1</v>
      </c>
      <c r="F779" s="6" t="s">
        <v>439</v>
      </c>
      <c r="G779">
        <v>1</v>
      </c>
      <c r="H779" s="8" t="s">
        <v>494</v>
      </c>
      <c r="I779" t="s">
        <v>179</v>
      </c>
      <c r="J779">
        <v>49</v>
      </c>
      <c r="K779" t="s">
        <v>489</v>
      </c>
      <c r="L779" t="s">
        <v>277</v>
      </c>
      <c r="M779" t="s">
        <v>191</v>
      </c>
      <c r="N779" t="s">
        <v>87</v>
      </c>
      <c r="Q779">
        <f t="shared" si="146"/>
        <v>18977</v>
      </c>
      <c r="R779" t="str">
        <f t="shared" si="146"/>
        <v>Velodrome</v>
      </c>
      <c r="S779" t="str">
        <f t="shared" si="146"/>
        <v>HollowBrook</v>
      </c>
      <c r="T779" s="20">
        <f t="shared" si="139"/>
        <v>2</v>
      </c>
      <c r="U779">
        <f t="shared" si="140"/>
        <v>94</v>
      </c>
      <c r="V779">
        <f t="shared" si="141"/>
        <v>92</v>
      </c>
      <c r="W779" cm="1">
        <f t="array" ref="W779">_xlfn._xlws.FILTER(shifts!A:A,(shifts!B:B=events!D779)*(shifts!AH:AH&gt;=events!U779)*(shifts!AI:AI&lt;=events!V779))</f>
        <v>25</v>
      </c>
      <c r="X779" t="str">
        <f t="shared" si="138"/>
        <v>opp_team_player_1</v>
      </c>
      <c r="Y779">
        <f>COUNTIFS(A$3:A779,"="&amp;A779,K$3:K779,"="&amp;K779)</f>
        <v>1</v>
      </c>
      <c r="Z779" s="20">
        <f>SUMIFS(T$3:T779,L$3:L779,"=Intermission")+SUMIFS(T$3:T779,L$3:L779,"=Timeout")+SUMIFS(T$3:T779,L$3:L779,"=Clockstop")</f>
        <v>0</v>
      </c>
      <c r="AA779">
        <f t="shared" si="142"/>
        <v>0</v>
      </c>
      <c r="AB779" s="26">
        <f t="shared" si="143"/>
        <v>986</v>
      </c>
      <c r="AC779">
        <f t="shared" si="144"/>
        <v>0</v>
      </c>
    </row>
    <row r="780" spans="1:29" x14ac:dyDescent="0.2">
      <c r="A780">
        <v>409</v>
      </c>
      <c r="D780">
        <f t="shared" si="145"/>
        <v>1</v>
      </c>
      <c r="E780">
        <v>1</v>
      </c>
      <c r="F780" s="6" t="s">
        <v>439</v>
      </c>
      <c r="G780">
        <v>1</v>
      </c>
      <c r="H780" s="8" t="s">
        <v>494</v>
      </c>
      <c r="I780" t="s">
        <v>179</v>
      </c>
      <c r="J780">
        <v>84</v>
      </c>
      <c r="K780" t="s">
        <v>489</v>
      </c>
      <c r="L780" t="s">
        <v>277</v>
      </c>
      <c r="M780" t="s">
        <v>191</v>
      </c>
      <c r="N780" t="s">
        <v>87</v>
      </c>
      <c r="Q780">
        <f t="shared" si="146"/>
        <v>18977</v>
      </c>
      <c r="R780" t="str">
        <f t="shared" si="146"/>
        <v>Velodrome</v>
      </c>
      <c r="S780" t="str">
        <f t="shared" si="146"/>
        <v>HollowBrook</v>
      </c>
      <c r="T780" s="20">
        <f t="shared" si="139"/>
        <v>2</v>
      </c>
      <c r="U780">
        <f t="shared" si="140"/>
        <v>94</v>
      </c>
      <c r="V780">
        <f t="shared" si="141"/>
        <v>92</v>
      </c>
      <c r="W780" cm="1">
        <f t="array" ref="W780">_xlfn._xlws.FILTER(shifts!A:A,(shifts!B:B=events!D780)*(shifts!AH:AH&gt;=events!U780)*(shifts!AI:AI&lt;=events!V780))</f>
        <v>25</v>
      </c>
      <c r="X780" t="str">
        <f t="shared" si="138"/>
        <v>opp_team_player_2</v>
      </c>
      <c r="Y780">
        <f>COUNTIFS(A$3:A780,"="&amp;A780,K$3:K780,"="&amp;K780)</f>
        <v>2</v>
      </c>
      <c r="Z780" s="20">
        <f>SUMIFS(T$3:T780,L$3:L780,"=Intermission")+SUMIFS(T$3:T780,L$3:L780,"=Timeout")+SUMIFS(T$3:T780,L$3:L780,"=Clockstop")</f>
        <v>0</v>
      </c>
      <c r="AA780">
        <f t="shared" si="142"/>
        <v>0</v>
      </c>
      <c r="AB780" s="26">
        <f t="shared" si="143"/>
        <v>986</v>
      </c>
      <c r="AC780">
        <f t="shared" si="144"/>
        <v>0</v>
      </c>
    </row>
    <row r="781" spans="1:29" x14ac:dyDescent="0.2">
      <c r="A781">
        <v>409</v>
      </c>
      <c r="D781">
        <f t="shared" si="145"/>
        <v>1</v>
      </c>
      <c r="E781">
        <v>1</v>
      </c>
      <c r="F781" s="6" t="s">
        <v>439</v>
      </c>
      <c r="G781">
        <v>1</v>
      </c>
      <c r="H781" s="8" t="s">
        <v>494</v>
      </c>
      <c r="I781" t="s">
        <v>179</v>
      </c>
      <c r="J781">
        <v>9</v>
      </c>
      <c r="K781" t="s">
        <v>489</v>
      </c>
      <c r="L781" t="s">
        <v>277</v>
      </c>
      <c r="M781" t="s">
        <v>191</v>
      </c>
      <c r="N781" t="s">
        <v>87</v>
      </c>
      <c r="Q781">
        <f t="shared" si="146"/>
        <v>18977</v>
      </c>
      <c r="R781" t="str">
        <f t="shared" si="146"/>
        <v>Velodrome</v>
      </c>
      <c r="S781" t="str">
        <f t="shared" si="146"/>
        <v>HollowBrook</v>
      </c>
      <c r="T781" s="20">
        <f t="shared" si="139"/>
        <v>2</v>
      </c>
      <c r="U781">
        <f t="shared" si="140"/>
        <v>94</v>
      </c>
      <c r="V781">
        <f t="shared" si="141"/>
        <v>92</v>
      </c>
      <c r="W781" cm="1">
        <f t="array" ref="W781">_xlfn._xlws.FILTER(shifts!A:A,(shifts!B:B=events!D781)*(shifts!AH:AH&gt;=events!U781)*(shifts!AI:AI&lt;=events!V781))</f>
        <v>25</v>
      </c>
      <c r="X781" t="str">
        <f t="shared" si="138"/>
        <v>opp_team_player_3</v>
      </c>
      <c r="Y781">
        <f>COUNTIFS(A$3:A781,"="&amp;A781,K$3:K781,"="&amp;K781)</f>
        <v>3</v>
      </c>
      <c r="Z781" s="20">
        <f>SUMIFS(T$3:T781,L$3:L781,"=Intermission")+SUMIFS(T$3:T781,L$3:L781,"=Timeout")+SUMIFS(T$3:T781,L$3:L781,"=Clockstop")</f>
        <v>0</v>
      </c>
      <c r="AA781">
        <f t="shared" si="142"/>
        <v>0</v>
      </c>
      <c r="AB781" s="26">
        <f t="shared" si="143"/>
        <v>986</v>
      </c>
      <c r="AC781">
        <f t="shared" si="144"/>
        <v>0</v>
      </c>
    </row>
    <row r="782" spans="1:29" x14ac:dyDescent="0.2">
      <c r="A782">
        <v>410</v>
      </c>
      <c r="D782">
        <f t="shared" si="145"/>
        <v>1</v>
      </c>
      <c r="E782">
        <v>1</v>
      </c>
      <c r="F782" s="6" t="s">
        <v>494</v>
      </c>
      <c r="I782" t="s">
        <v>179</v>
      </c>
      <c r="J782">
        <v>27</v>
      </c>
      <c r="K782" t="s">
        <v>488</v>
      </c>
      <c r="L782" t="s">
        <v>7</v>
      </c>
      <c r="M782" t="s">
        <v>222</v>
      </c>
      <c r="N782" t="s">
        <v>53</v>
      </c>
      <c r="Q782">
        <f t="shared" si="146"/>
        <v>18977</v>
      </c>
      <c r="R782" t="str">
        <f t="shared" si="146"/>
        <v>Velodrome</v>
      </c>
      <c r="S782" t="str">
        <f t="shared" si="146"/>
        <v>HollowBrook</v>
      </c>
      <c r="T782" s="20">
        <f t="shared" si="139"/>
        <v>0</v>
      </c>
      <c r="U782">
        <f t="shared" si="140"/>
        <v>92</v>
      </c>
      <c r="V782">
        <f t="shared" si="141"/>
        <v>92</v>
      </c>
      <c r="W782" cm="1">
        <f t="array" ref="W782">_xlfn._xlws.FILTER(shifts!A:A,(shifts!B:B=events!D782)*(shifts!AH:AH&gt;=events!U782)*(shifts!AI:AI&lt;=events!V782))</f>
        <v>25</v>
      </c>
      <c r="X782" t="str">
        <f t="shared" si="138"/>
        <v>event_team_player_1</v>
      </c>
      <c r="Y782">
        <f>COUNTIFS(A$3:A782,"="&amp;A782,K$3:K782,"="&amp;K782)</f>
        <v>1</v>
      </c>
      <c r="Z782" s="20">
        <f>SUMIFS(T$3:T782,L$3:L782,"=Intermission")+SUMIFS(T$3:T782,L$3:L782,"=Timeout")+SUMIFS(T$3:T782,L$3:L782,"=Clockstop")</f>
        <v>0</v>
      </c>
      <c r="AA782">
        <f t="shared" si="142"/>
        <v>0</v>
      </c>
      <c r="AB782" s="26">
        <f t="shared" si="143"/>
        <v>988</v>
      </c>
      <c r="AC782">
        <f t="shared" si="144"/>
        <v>0</v>
      </c>
    </row>
    <row r="783" spans="1:29" x14ac:dyDescent="0.2">
      <c r="A783">
        <v>410</v>
      </c>
      <c r="D783">
        <f t="shared" si="145"/>
        <v>1</v>
      </c>
      <c r="E783">
        <v>1</v>
      </c>
      <c r="F783" s="6" t="s">
        <v>494</v>
      </c>
      <c r="I783" t="s">
        <v>179</v>
      </c>
      <c r="J783">
        <v>39</v>
      </c>
      <c r="K783" t="s">
        <v>489</v>
      </c>
      <c r="L783" t="s">
        <v>7</v>
      </c>
      <c r="M783" t="s">
        <v>222</v>
      </c>
      <c r="N783" t="s">
        <v>53</v>
      </c>
      <c r="Q783">
        <f t="shared" si="146"/>
        <v>18977</v>
      </c>
      <c r="R783" t="str">
        <f t="shared" si="146"/>
        <v>Velodrome</v>
      </c>
      <c r="S783" t="str">
        <f t="shared" si="146"/>
        <v>HollowBrook</v>
      </c>
      <c r="T783" s="20">
        <f t="shared" si="139"/>
        <v>0</v>
      </c>
      <c r="U783">
        <f t="shared" si="140"/>
        <v>92</v>
      </c>
      <c r="V783">
        <f t="shared" si="141"/>
        <v>92</v>
      </c>
      <c r="W783" cm="1">
        <f t="array" ref="W783">_xlfn._xlws.FILTER(shifts!A:A,(shifts!B:B=events!D783)*(shifts!AH:AH&gt;=events!U783)*(shifts!AI:AI&lt;=events!V783))</f>
        <v>25</v>
      </c>
      <c r="X783" t="str">
        <f t="shared" si="138"/>
        <v>opp_team_player_1</v>
      </c>
      <c r="Y783">
        <f>COUNTIFS(A$3:A783,"="&amp;A783,K$3:K783,"="&amp;K783)</f>
        <v>1</v>
      </c>
      <c r="Z783" s="20">
        <f>SUMIFS(T$3:T783,L$3:L783,"=Intermission")+SUMIFS(T$3:T783,L$3:L783,"=Timeout")+SUMIFS(T$3:T783,L$3:L783,"=Clockstop")</f>
        <v>0</v>
      </c>
      <c r="AA783">
        <f t="shared" si="142"/>
        <v>0</v>
      </c>
      <c r="AB783" s="26">
        <f t="shared" si="143"/>
        <v>988</v>
      </c>
      <c r="AC783">
        <f t="shared" si="144"/>
        <v>0</v>
      </c>
    </row>
    <row r="784" spans="1:29" x14ac:dyDescent="0.2">
      <c r="A784">
        <v>411</v>
      </c>
      <c r="D784">
        <f t="shared" si="145"/>
        <v>1</v>
      </c>
      <c r="E784">
        <v>1</v>
      </c>
      <c r="F784" s="6" t="s">
        <v>494</v>
      </c>
      <c r="I784" t="s">
        <v>178</v>
      </c>
      <c r="J784">
        <v>39</v>
      </c>
      <c r="K784" t="s">
        <v>488</v>
      </c>
      <c r="L784" t="s">
        <v>17</v>
      </c>
      <c r="M784" t="s">
        <v>196</v>
      </c>
      <c r="N784" t="s">
        <v>99</v>
      </c>
      <c r="Q784">
        <f t="shared" si="146"/>
        <v>18977</v>
      </c>
      <c r="R784" t="str">
        <f t="shared" si="146"/>
        <v>Velodrome</v>
      </c>
      <c r="S784" t="str">
        <f t="shared" si="146"/>
        <v>HollowBrook</v>
      </c>
      <c r="T784" s="20">
        <f t="shared" si="139"/>
        <v>0</v>
      </c>
      <c r="U784">
        <f t="shared" si="140"/>
        <v>92</v>
      </c>
      <c r="V784">
        <f t="shared" si="141"/>
        <v>92</v>
      </c>
      <c r="W784" cm="1">
        <f t="array" ref="W784">_xlfn._xlws.FILTER(shifts!A:A,(shifts!B:B=events!D784)*(shifts!AH:AH&gt;=events!U784)*(shifts!AI:AI&lt;=events!V784))</f>
        <v>25</v>
      </c>
      <c r="X784" t="str">
        <f t="shared" si="138"/>
        <v>event_team_player_1</v>
      </c>
      <c r="Y784">
        <f>COUNTIFS(A$3:A784,"="&amp;A784,K$3:K784,"="&amp;K784)</f>
        <v>1</v>
      </c>
      <c r="Z784" s="20">
        <f>SUMIFS(T$3:T784,L$3:L784,"=Intermission")+SUMIFS(T$3:T784,L$3:L784,"=Timeout")+SUMIFS(T$3:T784,L$3:L784,"=Clockstop")</f>
        <v>0</v>
      </c>
      <c r="AA784">
        <f t="shared" si="142"/>
        <v>0</v>
      </c>
      <c r="AB784" s="26">
        <f t="shared" si="143"/>
        <v>988</v>
      </c>
      <c r="AC784">
        <f t="shared" si="144"/>
        <v>0</v>
      </c>
    </row>
    <row r="785" spans="1:29" x14ac:dyDescent="0.2">
      <c r="A785">
        <v>411</v>
      </c>
      <c r="D785">
        <f t="shared" si="145"/>
        <v>1</v>
      </c>
      <c r="E785">
        <v>1</v>
      </c>
      <c r="F785" s="6" t="s">
        <v>494</v>
      </c>
      <c r="I785" t="s">
        <v>178</v>
      </c>
      <c r="J785">
        <v>27</v>
      </c>
      <c r="K785" t="s">
        <v>489</v>
      </c>
      <c r="L785" t="s">
        <v>17</v>
      </c>
      <c r="M785" t="s">
        <v>196</v>
      </c>
      <c r="N785" t="s">
        <v>99</v>
      </c>
      <c r="Q785">
        <f t="shared" si="146"/>
        <v>18977</v>
      </c>
      <c r="R785" t="str">
        <f t="shared" si="146"/>
        <v>Velodrome</v>
      </c>
      <c r="S785" t="str">
        <f t="shared" si="146"/>
        <v>HollowBrook</v>
      </c>
      <c r="T785" s="20">
        <f t="shared" si="139"/>
        <v>0</v>
      </c>
      <c r="U785">
        <f t="shared" si="140"/>
        <v>92</v>
      </c>
      <c r="V785">
        <f t="shared" si="141"/>
        <v>92</v>
      </c>
      <c r="W785" cm="1">
        <f t="array" ref="W785">_xlfn._xlws.FILTER(shifts!A:A,(shifts!B:B=events!D785)*(shifts!AH:AH&gt;=events!U785)*(shifts!AI:AI&lt;=events!V785))</f>
        <v>25</v>
      </c>
      <c r="X785" t="str">
        <f t="shared" si="138"/>
        <v>opp_team_player_1</v>
      </c>
      <c r="Y785">
        <f>COUNTIFS(A$3:A785,"="&amp;A785,K$3:K785,"="&amp;K785)</f>
        <v>1</v>
      </c>
      <c r="Z785" s="20">
        <f>SUMIFS(T$3:T785,L$3:L785,"=Intermission")+SUMIFS(T$3:T785,L$3:L785,"=Timeout")+SUMIFS(T$3:T785,L$3:L785,"=Clockstop")</f>
        <v>0</v>
      </c>
      <c r="AA785">
        <f t="shared" si="142"/>
        <v>0</v>
      </c>
      <c r="AB785" s="26">
        <f t="shared" si="143"/>
        <v>988</v>
      </c>
      <c r="AC785">
        <f t="shared" si="144"/>
        <v>0</v>
      </c>
    </row>
    <row r="786" spans="1:29" x14ac:dyDescent="0.2">
      <c r="A786">
        <v>412</v>
      </c>
      <c r="D786">
        <f t="shared" si="145"/>
        <v>1</v>
      </c>
      <c r="E786">
        <v>1</v>
      </c>
      <c r="F786" s="6" t="s">
        <v>494</v>
      </c>
      <c r="I786" t="s">
        <v>178</v>
      </c>
      <c r="J786">
        <v>39</v>
      </c>
      <c r="K786" t="s">
        <v>488</v>
      </c>
      <c r="L786" t="s">
        <v>270</v>
      </c>
      <c r="M786" t="s">
        <v>271</v>
      </c>
      <c r="Q786">
        <f t="shared" si="146"/>
        <v>18977</v>
      </c>
      <c r="R786" t="str">
        <f t="shared" si="146"/>
        <v>Velodrome</v>
      </c>
      <c r="S786" t="str">
        <f t="shared" si="146"/>
        <v>HollowBrook</v>
      </c>
      <c r="T786" s="20">
        <f t="shared" si="139"/>
        <v>0</v>
      </c>
      <c r="U786">
        <f t="shared" si="140"/>
        <v>92</v>
      </c>
      <c r="V786">
        <f t="shared" si="141"/>
        <v>92</v>
      </c>
      <c r="W786" cm="1">
        <f t="array" ref="W786">_xlfn._xlws.FILTER(shifts!A:A,(shifts!B:B=events!D786)*(shifts!AH:AH&gt;=events!U786)*(shifts!AI:AI&lt;=events!V786))</f>
        <v>25</v>
      </c>
      <c r="X786" t="str">
        <f t="shared" si="138"/>
        <v>event_team_player_1</v>
      </c>
      <c r="Y786">
        <f>COUNTIFS(A$3:A786,"="&amp;A786,K$3:K786,"="&amp;K786)</f>
        <v>1</v>
      </c>
      <c r="Z786" s="20">
        <f>SUMIFS(T$3:T786,L$3:L786,"=Intermission")+SUMIFS(T$3:T786,L$3:L786,"=Timeout")+SUMIFS(T$3:T786,L$3:L786,"=Clockstop")</f>
        <v>0</v>
      </c>
      <c r="AA786">
        <f t="shared" si="142"/>
        <v>0</v>
      </c>
      <c r="AB786" s="26">
        <f t="shared" si="143"/>
        <v>988</v>
      </c>
      <c r="AC786">
        <f t="shared" si="144"/>
        <v>0</v>
      </c>
    </row>
    <row r="787" spans="1:29" x14ac:dyDescent="0.2">
      <c r="A787">
        <v>413</v>
      </c>
      <c r="D787">
        <f t="shared" si="145"/>
        <v>1</v>
      </c>
      <c r="E787">
        <v>1</v>
      </c>
      <c r="F787" s="6" t="s">
        <v>442</v>
      </c>
      <c r="I787" t="s">
        <v>178</v>
      </c>
      <c r="J787">
        <v>75</v>
      </c>
      <c r="K787" t="s">
        <v>488</v>
      </c>
      <c r="L787" t="s">
        <v>8</v>
      </c>
      <c r="M787" t="s">
        <v>189</v>
      </c>
      <c r="N787" t="s">
        <v>71</v>
      </c>
      <c r="Q787">
        <f t="shared" si="146"/>
        <v>18977</v>
      </c>
      <c r="R787" t="str">
        <f t="shared" si="146"/>
        <v>Velodrome</v>
      </c>
      <c r="S787" t="str">
        <f t="shared" si="146"/>
        <v>HollowBrook</v>
      </c>
      <c r="T787" s="20">
        <f t="shared" si="139"/>
        <v>0</v>
      </c>
      <c r="U787">
        <f t="shared" si="140"/>
        <v>89</v>
      </c>
      <c r="V787">
        <f t="shared" si="141"/>
        <v>89</v>
      </c>
      <c r="W787" cm="1">
        <f t="array" ref="W787">_xlfn._xlws.FILTER(shifts!A:A,(shifts!B:B=events!D787)*(shifts!AH:AH&gt;=events!U787)*(shifts!AI:AI&lt;=events!V787))</f>
        <v>25</v>
      </c>
      <c r="X787" t="str">
        <f t="shared" si="138"/>
        <v>event_team_player_1</v>
      </c>
      <c r="Y787">
        <f>COUNTIFS(A$3:A787,"="&amp;A787,K$3:K787,"="&amp;K787)</f>
        <v>1</v>
      </c>
      <c r="Z787" s="20">
        <f>SUMIFS(T$3:T787,L$3:L787,"=Intermission")+SUMIFS(T$3:T787,L$3:L787,"=Timeout")+SUMIFS(T$3:T787,L$3:L787,"=Clockstop")</f>
        <v>0</v>
      </c>
      <c r="AA787">
        <f t="shared" si="142"/>
        <v>0</v>
      </c>
      <c r="AB787" s="26">
        <f t="shared" si="143"/>
        <v>991</v>
      </c>
      <c r="AC787">
        <f t="shared" si="144"/>
        <v>0</v>
      </c>
    </row>
    <row r="788" spans="1:29" x14ac:dyDescent="0.2">
      <c r="A788">
        <v>413</v>
      </c>
      <c r="D788">
        <f t="shared" si="145"/>
        <v>1</v>
      </c>
      <c r="E788">
        <v>1</v>
      </c>
      <c r="F788" s="6" t="s">
        <v>442</v>
      </c>
      <c r="I788" t="s">
        <v>178</v>
      </c>
      <c r="J788">
        <v>70</v>
      </c>
      <c r="K788" t="s">
        <v>488</v>
      </c>
      <c r="L788" t="s">
        <v>8</v>
      </c>
      <c r="M788" t="s">
        <v>189</v>
      </c>
      <c r="N788" t="s">
        <v>71</v>
      </c>
      <c r="Q788">
        <f t="shared" si="146"/>
        <v>18977</v>
      </c>
      <c r="R788" t="str">
        <f t="shared" si="146"/>
        <v>Velodrome</v>
      </c>
      <c r="S788" t="str">
        <f t="shared" si="146"/>
        <v>HollowBrook</v>
      </c>
      <c r="T788" s="20">
        <f t="shared" si="139"/>
        <v>0</v>
      </c>
      <c r="U788">
        <f t="shared" si="140"/>
        <v>89</v>
      </c>
      <c r="V788">
        <f t="shared" si="141"/>
        <v>89</v>
      </c>
      <c r="W788" cm="1">
        <f t="array" ref="W788">_xlfn._xlws.FILTER(shifts!A:A,(shifts!B:B=events!D788)*(shifts!AH:AH&gt;=events!U788)*(shifts!AI:AI&lt;=events!V788))</f>
        <v>25</v>
      </c>
      <c r="X788" t="str">
        <f t="shared" si="138"/>
        <v>event_team_player_2</v>
      </c>
      <c r="Y788">
        <f>COUNTIFS(A$3:A788,"="&amp;A788,K$3:K788,"="&amp;K788)</f>
        <v>2</v>
      </c>
      <c r="Z788" s="20">
        <f>SUMIFS(T$3:T788,L$3:L788,"=Intermission")+SUMIFS(T$3:T788,L$3:L788,"=Timeout")+SUMIFS(T$3:T788,L$3:L788,"=Clockstop")</f>
        <v>0</v>
      </c>
      <c r="AA788">
        <f t="shared" si="142"/>
        <v>0</v>
      </c>
      <c r="AB788" s="26">
        <f t="shared" si="143"/>
        <v>991</v>
      </c>
      <c r="AC788">
        <f t="shared" si="144"/>
        <v>0</v>
      </c>
    </row>
    <row r="789" spans="1:29" x14ac:dyDescent="0.2">
      <c r="A789">
        <v>413</v>
      </c>
      <c r="D789">
        <f t="shared" si="145"/>
        <v>1</v>
      </c>
      <c r="E789">
        <v>1</v>
      </c>
      <c r="F789" s="6" t="s">
        <v>442</v>
      </c>
      <c r="I789" t="s">
        <v>178</v>
      </c>
      <c r="J789">
        <v>26</v>
      </c>
      <c r="K789" t="s">
        <v>489</v>
      </c>
      <c r="L789" t="s">
        <v>8</v>
      </c>
      <c r="M789" t="s">
        <v>189</v>
      </c>
      <c r="N789" t="s">
        <v>71</v>
      </c>
      <c r="Q789">
        <f t="shared" ref="Q789:S804" si="147">Q788</f>
        <v>18977</v>
      </c>
      <c r="R789" t="str">
        <f t="shared" si="147"/>
        <v>Velodrome</v>
      </c>
      <c r="S789" t="str">
        <f t="shared" si="147"/>
        <v>HollowBrook</v>
      </c>
      <c r="T789" s="20">
        <f t="shared" si="139"/>
        <v>0</v>
      </c>
      <c r="U789">
        <f t="shared" si="140"/>
        <v>89</v>
      </c>
      <c r="V789">
        <f t="shared" si="141"/>
        <v>89</v>
      </c>
      <c r="W789" cm="1">
        <f t="array" ref="W789">_xlfn._xlws.FILTER(shifts!A:A,(shifts!B:B=events!D789)*(shifts!AH:AH&gt;=events!U789)*(shifts!AI:AI&lt;=events!V789))</f>
        <v>25</v>
      </c>
      <c r="X789" t="str">
        <f t="shared" si="138"/>
        <v>opp_team_player_1</v>
      </c>
      <c r="Y789">
        <f>COUNTIFS(A$3:A789,"="&amp;A789,K$3:K789,"="&amp;K789)</f>
        <v>1</v>
      </c>
      <c r="Z789" s="20">
        <f>SUMIFS(T$3:T789,L$3:L789,"=Intermission")+SUMIFS(T$3:T789,L$3:L789,"=Timeout")+SUMIFS(T$3:T789,L$3:L789,"=Clockstop")</f>
        <v>0</v>
      </c>
      <c r="AA789">
        <f t="shared" si="142"/>
        <v>0</v>
      </c>
      <c r="AB789" s="26">
        <f t="shared" si="143"/>
        <v>991</v>
      </c>
      <c r="AC789">
        <f t="shared" si="144"/>
        <v>0</v>
      </c>
    </row>
    <row r="790" spans="1:29" x14ac:dyDescent="0.2">
      <c r="A790">
        <v>414</v>
      </c>
      <c r="D790">
        <f t="shared" si="145"/>
        <v>1</v>
      </c>
      <c r="E790">
        <v>1</v>
      </c>
      <c r="F790" s="6" t="s">
        <v>442</v>
      </c>
      <c r="I790" t="s">
        <v>178</v>
      </c>
      <c r="J790">
        <v>75</v>
      </c>
      <c r="K790" t="s">
        <v>488</v>
      </c>
      <c r="L790" t="s">
        <v>277</v>
      </c>
      <c r="M790" t="s">
        <v>201</v>
      </c>
      <c r="N790" t="s">
        <v>91</v>
      </c>
      <c r="Q790">
        <f t="shared" si="147"/>
        <v>18977</v>
      </c>
      <c r="R790" t="str">
        <f t="shared" si="147"/>
        <v>Velodrome</v>
      </c>
      <c r="S790" t="str">
        <f t="shared" si="147"/>
        <v>HollowBrook</v>
      </c>
      <c r="T790" s="20">
        <f t="shared" si="139"/>
        <v>0</v>
      </c>
      <c r="U790">
        <f t="shared" si="140"/>
        <v>89</v>
      </c>
      <c r="V790">
        <f t="shared" si="141"/>
        <v>89</v>
      </c>
      <c r="W790" cm="1">
        <f t="array" ref="W790">_xlfn._xlws.FILTER(shifts!A:A,(shifts!B:B=events!D790)*(shifts!AH:AH&gt;=events!U790)*(shifts!AI:AI&lt;=events!V790))</f>
        <v>25</v>
      </c>
      <c r="X790" t="str">
        <f t="shared" si="138"/>
        <v>event_team_player_1</v>
      </c>
      <c r="Y790">
        <f>COUNTIFS(A$3:A790,"="&amp;A790,K$3:K790,"="&amp;K790)</f>
        <v>1</v>
      </c>
      <c r="Z790" s="20">
        <f>SUMIFS(T$3:T790,L$3:L790,"=Intermission")+SUMIFS(T$3:T790,L$3:L790,"=Timeout")+SUMIFS(T$3:T790,L$3:L790,"=Clockstop")</f>
        <v>0</v>
      </c>
      <c r="AA790">
        <f t="shared" si="142"/>
        <v>0</v>
      </c>
      <c r="AB790" s="26">
        <f t="shared" si="143"/>
        <v>991</v>
      </c>
      <c r="AC790">
        <f t="shared" si="144"/>
        <v>0</v>
      </c>
    </row>
    <row r="791" spans="1:29" x14ac:dyDescent="0.2">
      <c r="A791">
        <v>414</v>
      </c>
      <c r="D791">
        <f t="shared" si="145"/>
        <v>1</v>
      </c>
      <c r="E791">
        <v>1</v>
      </c>
      <c r="F791" s="6" t="s">
        <v>442</v>
      </c>
      <c r="I791" t="s">
        <v>178</v>
      </c>
      <c r="J791">
        <v>70</v>
      </c>
      <c r="K791" t="s">
        <v>488</v>
      </c>
      <c r="L791" t="s">
        <v>277</v>
      </c>
      <c r="M791" t="s">
        <v>201</v>
      </c>
      <c r="N791" t="s">
        <v>91</v>
      </c>
      <c r="Q791">
        <f t="shared" si="147"/>
        <v>18977</v>
      </c>
      <c r="R791" t="str">
        <f t="shared" si="147"/>
        <v>Velodrome</v>
      </c>
      <c r="S791" t="str">
        <f t="shared" si="147"/>
        <v>HollowBrook</v>
      </c>
      <c r="T791" s="20">
        <f t="shared" si="139"/>
        <v>0</v>
      </c>
      <c r="U791">
        <f t="shared" si="140"/>
        <v>89</v>
      </c>
      <c r="V791">
        <f t="shared" si="141"/>
        <v>89</v>
      </c>
      <c r="W791" cm="1">
        <f t="array" ref="W791">_xlfn._xlws.FILTER(shifts!A:A,(shifts!B:B=events!D791)*(shifts!AH:AH&gt;=events!U791)*(shifts!AI:AI&lt;=events!V791))</f>
        <v>25</v>
      </c>
      <c r="X791" t="str">
        <f t="shared" si="138"/>
        <v>event_team_player_2</v>
      </c>
      <c r="Y791">
        <f>COUNTIFS(A$3:A791,"="&amp;A791,K$3:K791,"="&amp;K791)</f>
        <v>2</v>
      </c>
      <c r="Z791" s="20">
        <f>SUMIFS(T$3:T791,L$3:L791,"=Intermission")+SUMIFS(T$3:T791,L$3:L791,"=Timeout")+SUMIFS(T$3:T791,L$3:L791,"=Clockstop")</f>
        <v>0</v>
      </c>
      <c r="AA791">
        <f t="shared" si="142"/>
        <v>0</v>
      </c>
      <c r="AB791" s="26">
        <f t="shared" si="143"/>
        <v>991</v>
      </c>
      <c r="AC791">
        <f t="shared" si="144"/>
        <v>0</v>
      </c>
    </row>
    <row r="792" spans="1:29" x14ac:dyDescent="0.2">
      <c r="A792">
        <v>414</v>
      </c>
      <c r="D792">
        <f t="shared" si="145"/>
        <v>1</v>
      </c>
      <c r="E792">
        <v>1</v>
      </c>
      <c r="F792" s="6" t="s">
        <v>442</v>
      </c>
      <c r="I792" t="s">
        <v>178</v>
      </c>
      <c r="J792">
        <v>26</v>
      </c>
      <c r="K792" t="s">
        <v>489</v>
      </c>
      <c r="L792" t="s">
        <v>277</v>
      </c>
      <c r="M792" t="s">
        <v>201</v>
      </c>
      <c r="N792" t="s">
        <v>91</v>
      </c>
      <c r="Q792">
        <f t="shared" si="147"/>
        <v>18977</v>
      </c>
      <c r="R792" t="str">
        <f t="shared" si="147"/>
        <v>Velodrome</v>
      </c>
      <c r="S792" t="str">
        <f t="shared" si="147"/>
        <v>HollowBrook</v>
      </c>
      <c r="T792" s="20">
        <f t="shared" si="139"/>
        <v>0</v>
      </c>
      <c r="U792">
        <f t="shared" si="140"/>
        <v>89</v>
      </c>
      <c r="V792">
        <f t="shared" si="141"/>
        <v>89</v>
      </c>
      <c r="W792" cm="1">
        <f t="array" ref="W792">_xlfn._xlws.FILTER(shifts!A:A,(shifts!B:B=events!D792)*(shifts!AH:AH&gt;=events!U792)*(shifts!AI:AI&lt;=events!V792))</f>
        <v>25</v>
      </c>
      <c r="X792" t="str">
        <f t="shared" si="138"/>
        <v>opp_team_player_1</v>
      </c>
      <c r="Y792">
        <f>COUNTIFS(A$3:A792,"="&amp;A792,K$3:K792,"="&amp;K792)</f>
        <v>1</v>
      </c>
      <c r="Z792" s="20">
        <f>SUMIFS(T$3:T792,L$3:L792,"=Intermission")+SUMIFS(T$3:T792,L$3:L792,"=Timeout")+SUMIFS(T$3:T792,L$3:L792,"=Clockstop")</f>
        <v>0</v>
      </c>
      <c r="AA792">
        <f t="shared" si="142"/>
        <v>0</v>
      </c>
      <c r="AB792" s="26">
        <f t="shared" si="143"/>
        <v>991</v>
      </c>
      <c r="AC792">
        <f t="shared" si="144"/>
        <v>0</v>
      </c>
    </row>
    <row r="793" spans="1:29" x14ac:dyDescent="0.2">
      <c r="A793">
        <v>415</v>
      </c>
      <c r="D793">
        <f t="shared" si="145"/>
        <v>1</v>
      </c>
      <c r="E793">
        <v>1</v>
      </c>
      <c r="F793" s="6" t="s">
        <v>483</v>
      </c>
      <c r="I793" t="s">
        <v>178</v>
      </c>
      <c r="J793">
        <v>70</v>
      </c>
      <c r="K793" t="s">
        <v>488</v>
      </c>
      <c r="L793" t="s">
        <v>8</v>
      </c>
      <c r="M793" t="s">
        <v>189</v>
      </c>
      <c r="N793" t="s">
        <v>72</v>
      </c>
      <c r="Q793">
        <f t="shared" si="147"/>
        <v>18977</v>
      </c>
      <c r="R793" t="str">
        <f t="shared" si="147"/>
        <v>Velodrome</v>
      </c>
      <c r="S793" t="str">
        <f t="shared" si="147"/>
        <v>HollowBrook</v>
      </c>
      <c r="T793" s="20">
        <f t="shared" si="139"/>
        <v>0</v>
      </c>
      <c r="U793">
        <f t="shared" si="140"/>
        <v>87</v>
      </c>
      <c r="V793">
        <f t="shared" si="141"/>
        <v>87</v>
      </c>
      <c r="W793" cm="1">
        <f t="array" ref="W793">_xlfn._xlws.FILTER(shifts!A:A,(shifts!B:B=events!D793)*(shifts!AH:AH&gt;=events!U793)*(shifts!AI:AI&lt;=events!V793))</f>
        <v>25</v>
      </c>
      <c r="X793" t="str">
        <f t="shared" si="138"/>
        <v>event_team_player_1</v>
      </c>
      <c r="Y793">
        <f>COUNTIFS(A$3:A793,"="&amp;A793,K$3:K793,"="&amp;K793)</f>
        <v>1</v>
      </c>
      <c r="Z793" s="20">
        <f>SUMIFS(T$3:T793,L$3:L793,"=Intermission")+SUMIFS(T$3:T793,L$3:L793,"=Timeout")+SUMIFS(T$3:T793,L$3:L793,"=Clockstop")</f>
        <v>0</v>
      </c>
      <c r="AA793">
        <f t="shared" si="142"/>
        <v>0</v>
      </c>
      <c r="AB793" s="26">
        <f t="shared" si="143"/>
        <v>993</v>
      </c>
      <c r="AC793">
        <f t="shared" si="144"/>
        <v>0</v>
      </c>
    </row>
    <row r="794" spans="1:29" x14ac:dyDescent="0.2">
      <c r="A794">
        <v>415</v>
      </c>
      <c r="D794">
        <f t="shared" si="145"/>
        <v>1</v>
      </c>
      <c r="E794">
        <v>1</v>
      </c>
      <c r="F794" s="6" t="s">
        <v>483</v>
      </c>
      <c r="I794" t="s">
        <v>178</v>
      </c>
      <c r="J794">
        <v>49</v>
      </c>
      <c r="K794" t="s">
        <v>488</v>
      </c>
      <c r="L794" t="s">
        <v>8</v>
      </c>
      <c r="M794" t="s">
        <v>189</v>
      </c>
      <c r="N794" t="s">
        <v>72</v>
      </c>
      <c r="Q794">
        <f t="shared" si="147"/>
        <v>18977</v>
      </c>
      <c r="R794" t="str">
        <f t="shared" si="147"/>
        <v>Velodrome</v>
      </c>
      <c r="S794" t="str">
        <f t="shared" si="147"/>
        <v>HollowBrook</v>
      </c>
      <c r="T794" s="20">
        <f t="shared" si="139"/>
        <v>0</v>
      </c>
      <c r="U794">
        <f t="shared" si="140"/>
        <v>87</v>
      </c>
      <c r="V794">
        <f t="shared" si="141"/>
        <v>87</v>
      </c>
      <c r="W794" cm="1">
        <f t="array" ref="W794">_xlfn._xlws.FILTER(shifts!A:A,(shifts!B:B=events!D794)*(shifts!AH:AH&gt;=events!U794)*(shifts!AI:AI&lt;=events!V794))</f>
        <v>25</v>
      </c>
      <c r="X794" t="str">
        <f t="shared" si="138"/>
        <v>event_team_player_2</v>
      </c>
      <c r="Y794">
        <f>COUNTIFS(A$3:A794,"="&amp;A794,K$3:K794,"="&amp;K794)</f>
        <v>2</v>
      </c>
      <c r="Z794" s="20">
        <f>SUMIFS(T$3:T794,L$3:L794,"=Intermission")+SUMIFS(T$3:T794,L$3:L794,"=Timeout")+SUMIFS(T$3:T794,L$3:L794,"=Clockstop")</f>
        <v>0</v>
      </c>
      <c r="AA794">
        <f t="shared" si="142"/>
        <v>0</v>
      </c>
      <c r="AB794" s="26">
        <f t="shared" si="143"/>
        <v>993</v>
      </c>
      <c r="AC794">
        <f t="shared" si="144"/>
        <v>0</v>
      </c>
    </row>
    <row r="795" spans="1:29" x14ac:dyDescent="0.2">
      <c r="A795">
        <v>415</v>
      </c>
      <c r="D795">
        <f t="shared" si="145"/>
        <v>1</v>
      </c>
      <c r="E795">
        <v>1</v>
      </c>
      <c r="F795" s="6" t="s">
        <v>483</v>
      </c>
      <c r="I795" t="s">
        <v>178</v>
      </c>
      <c r="J795">
        <v>19</v>
      </c>
      <c r="K795" t="s">
        <v>489</v>
      </c>
      <c r="L795" t="s">
        <v>8</v>
      </c>
      <c r="M795" t="s">
        <v>189</v>
      </c>
      <c r="N795" t="s">
        <v>72</v>
      </c>
      <c r="Q795">
        <f t="shared" si="147"/>
        <v>18977</v>
      </c>
      <c r="R795" t="str">
        <f t="shared" si="147"/>
        <v>Velodrome</v>
      </c>
      <c r="S795" t="str">
        <f t="shared" si="147"/>
        <v>HollowBrook</v>
      </c>
      <c r="T795" s="20">
        <f t="shared" si="139"/>
        <v>0</v>
      </c>
      <c r="U795">
        <f t="shared" si="140"/>
        <v>87</v>
      </c>
      <c r="V795">
        <f t="shared" si="141"/>
        <v>87</v>
      </c>
      <c r="W795" cm="1">
        <f t="array" ref="W795">_xlfn._xlws.FILTER(shifts!A:A,(shifts!B:B=events!D795)*(shifts!AH:AH&gt;=events!U795)*(shifts!AI:AI&lt;=events!V795))</f>
        <v>25</v>
      </c>
      <c r="X795" t="str">
        <f t="shared" si="138"/>
        <v>opp_team_player_1</v>
      </c>
      <c r="Y795">
        <f>COUNTIFS(A$3:A795,"="&amp;A795,K$3:K795,"="&amp;K795)</f>
        <v>1</v>
      </c>
      <c r="Z795" s="20">
        <f>SUMIFS(T$3:T795,L$3:L795,"=Intermission")+SUMIFS(T$3:T795,L$3:L795,"=Timeout")+SUMIFS(T$3:T795,L$3:L795,"=Clockstop")</f>
        <v>0</v>
      </c>
      <c r="AA795">
        <f t="shared" si="142"/>
        <v>0</v>
      </c>
      <c r="AB795" s="26">
        <f t="shared" si="143"/>
        <v>993</v>
      </c>
      <c r="AC795">
        <f t="shared" si="144"/>
        <v>0</v>
      </c>
    </row>
    <row r="796" spans="1:29" x14ac:dyDescent="0.2">
      <c r="A796">
        <v>416</v>
      </c>
      <c r="D796">
        <f t="shared" si="145"/>
        <v>1</v>
      </c>
      <c r="E796">
        <v>1</v>
      </c>
      <c r="F796" s="6" t="s">
        <v>483</v>
      </c>
      <c r="G796">
        <v>1</v>
      </c>
      <c r="H796" s="8" t="s">
        <v>441</v>
      </c>
      <c r="I796" t="s">
        <v>178</v>
      </c>
      <c r="J796">
        <v>49</v>
      </c>
      <c r="K796" t="s">
        <v>488</v>
      </c>
      <c r="L796" t="s">
        <v>15</v>
      </c>
      <c r="Q796">
        <f t="shared" si="147"/>
        <v>18977</v>
      </c>
      <c r="R796" t="str">
        <f t="shared" si="147"/>
        <v>Velodrome</v>
      </c>
      <c r="S796" t="str">
        <f t="shared" si="147"/>
        <v>HollowBrook</v>
      </c>
      <c r="T796" s="20">
        <f t="shared" si="139"/>
        <v>2</v>
      </c>
      <c r="U796">
        <f t="shared" si="140"/>
        <v>87</v>
      </c>
      <c r="V796">
        <f t="shared" si="141"/>
        <v>85</v>
      </c>
      <c r="W796" cm="1">
        <f t="array" ref="W796">_xlfn._xlws.FILTER(shifts!A:A,(shifts!B:B=events!D796)*(shifts!AH:AH&gt;=events!U796)*(shifts!AI:AI&lt;=events!V796))</f>
        <v>25</v>
      </c>
      <c r="X796" t="str">
        <f t="shared" si="138"/>
        <v>event_team_player_1</v>
      </c>
      <c r="Y796">
        <f>COUNTIFS(A$3:A796,"="&amp;A796,K$3:K796,"="&amp;K796)</f>
        <v>1</v>
      </c>
      <c r="Z796" s="20">
        <f>SUMIFS(T$3:T796,L$3:L796,"=Intermission")+SUMIFS(T$3:T796,L$3:L796,"=Timeout")+SUMIFS(T$3:T796,L$3:L796,"=Clockstop")</f>
        <v>0</v>
      </c>
      <c r="AA796">
        <f t="shared" si="142"/>
        <v>0</v>
      </c>
      <c r="AB796" s="26">
        <f t="shared" si="143"/>
        <v>993</v>
      </c>
      <c r="AC796">
        <f t="shared" si="144"/>
        <v>0</v>
      </c>
    </row>
    <row r="797" spans="1:29" x14ac:dyDescent="0.2">
      <c r="A797">
        <v>416</v>
      </c>
      <c r="D797">
        <f t="shared" si="145"/>
        <v>1</v>
      </c>
      <c r="E797">
        <v>1</v>
      </c>
      <c r="F797" s="6" t="s">
        <v>483</v>
      </c>
      <c r="G797">
        <v>1</v>
      </c>
      <c r="H797" s="8" t="s">
        <v>441</v>
      </c>
      <c r="I797" t="s">
        <v>178</v>
      </c>
      <c r="J797">
        <v>19</v>
      </c>
      <c r="K797" t="s">
        <v>489</v>
      </c>
      <c r="L797" t="s">
        <v>15</v>
      </c>
      <c r="Q797">
        <f t="shared" si="147"/>
        <v>18977</v>
      </c>
      <c r="R797" t="str">
        <f t="shared" si="147"/>
        <v>Velodrome</v>
      </c>
      <c r="S797" t="str">
        <f t="shared" si="147"/>
        <v>HollowBrook</v>
      </c>
      <c r="T797" s="20">
        <f t="shared" si="139"/>
        <v>2</v>
      </c>
      <c r="U797">
        <f t="shared" si="140"/>
        <v>87</v>
      </c>
      <c r="V797">
        <f t="shared" si="141"/>
        <v>85</v>
      </c>
      <c r="W797" cm="1">
        <f t="array" ref="W797">_xlfn._xlws.FILTER(shifts!A:A,(shifts!B:B=events!D797)*(shifts!AH:AH&gt;=events!U797)*(shifts!AI:AI&lt;=events!V797))</f>
        <v>25</v>
      </c>
      <c r="X797" t="str">
        <f t="shared" si="138"/>
        <v>opp_team_player_1</v>
      </c>
      <c r="Y797">
        <f>COUNTIFS(A$3:A797,"="&amp;A797,K$3:K797,"="&amp;K797)</f>
        <v>1</v>
      </c>
      <c r="Z797" s="20">
        <f>SUMIFS(T$3:T797,L$3:L797,"=Intermission")+SUMIFS(T$3:T797,L$3:L797,"=Timeout")+SUMIFS(T$3:T797,L$3:L797,"=Clockstop")</f>
        <v>0</v>
      </c>
      <c r="AA797">
        <f t="shared" si="142"/>
        <v>0</v>
      </c>
      <c r="AB797" s="26">
        <f t="shared" si="143"/>
        <v>993</v>
      </c>
      <c r="AC797">
        <f t="shared" si="144"/>
        <v>0</v>
      </c>
    </row>
    <row r="798" spans="1:29" x14ac:dyDescent="0.2">
      <c r="A798">
        <v>417</v>
      </c>
      <c r="D798">
        <f t="shared" si="145"/>
        <v>1</v>
      </c>
      <c r="E798">
        <v>1</v>
      </c>
      <c r="F798" s="6" t="s">
        <v>441</v>
      </c>
      <c r="G798">
        <v>1</v>
      </c>
      <c r="H798" s="8" t="s">
        <v>456</v>
      </c>
      <c r="I798" t="s">
        <v>178</v>
      </c>
      <c r="J798">
        <v>49</v>
      </c>
      <c r="K798" t="s">
        <v>488</v>
      </c>
      <c r="L798" t="s">
        <v>277</v>
      </c>
      <c r="M798" t="s">
        <v>191</v>
      </c>
      <c r="N798" t="s">
        <v>87</v>
      </c>
      <c r="Q798">
        <f t="shared" si="147"/>
        <v>18977</v>
      </c>
      <c r="R798" t="str">
        <f t="shared" si="147"/>
        <v>Velodrome</v>
      </c>
      <c r="S798" t="str">
        <f t="shared" si="147"/>
        <v>HollowBrook</v>
      </c>
      <c r="T798" s="20">
        <f t="shared" si="139"/>
        <v>2</v>
      </c>
      <c r="U798">
        <f t="shared" si="140"/>
        <v>85</v>
      </c>
      <c r="V798">
        <f t="shared" si="141"/>
        <v>83</v>
      </c>
      <c r="W798" cm="1">
        <f t="array" ref="W798">_xlfn._xlws.FILTER(shifts!A:A,(shifts!B:B=events!D798)*(shifts!AH:AH&gt;=events!U798)*(shifts!AI:AI&lt;=events!V798))</f>
        <v>26</v>
      </c>
      <c r="X798" t="str">
        <f t="shared" si="138"/>
        <v>event_team_player_1</v>
      </c>
      <c r="Y798">
        <f>COUNTIFS(A$3:A798,"="&amp;A798,K$3:K798,"="&amp;K798)</f>
        <v>1</v>
      </c>
      <c r="Z798" s="20">
        <f>SUMIFS(T$3:T798,L$3:L798,"=Intermission")+SUMIFS(T$3:T798,L$3:L798,"=Timeout")+SUMIFS(T$3:T798,L$3:L798,"=Clockstop")</f>
        <v>0</v>
      </c>
      <c r="AA798">
        <f t="shared" si="142"/>
        <v>0</v>
      </c>
      <c r="AB798" s="26">
        <f t="shared" si="143"/>
        <v>995</v>
      </c>
      <c r="AC798">
        <f t="shared" si="144"/>
        <v>0</v>
      </c>
    </row>
    <row r="799" spans="1:29" x14ac:dyDescent="0.2">
      <c r="A799">
        <v>417</v>
      </c>
      <c r="D799">
        <f t="shared" si="145"/>
        <v>1</v>
      </c>
      <c r="E799">
        <v>1</v>
      </c>
      <c r="F799" s="6" t="s">
        <v>441</v>
      </c>
      <c r="G799">
        <v>1</v>
      </c>
      <c r="H799" s="8" t="s">
        <v>456</v>
      </c>
      <c r="I799" t="s">
        <v>178</v>
      </c>
      <c r="J799">
        <v>70</v>
      </c>
      <c r="K799" t="s">
        <v>488</v>
      </c>
      <c r="L799" t="s">
        <v>277</v>
      </c>
      <c r="M799" t="s">
        <v>191</v>
      </c>
      <c r="N799" t="s">
        <v>87</v>
      </c>
      <c r="Q799">
        <f t="shared" si="147"/>
        <v>18977</v>
      </c>
      <c r="R799" t="str">
        <f t="shared" si="147"/>
        <v>Velodrome</v>
      </c>
      <c r="S799" t="str">
        <f t="shared" si="147"/>
        <v>HollowBrook</v>
      </c>
      <c r="T799" s="20">
        <f t="shared" si="139"/>
        <v>2</v>
      </c>
      <c r="U799">
        <f t="shared" si="140"/>
        <v>85</v>
      </c>
      <c r="V799">
        <f t="shared" si="141"/>
        <v>83</v>
      </c>
      <c r="W799" cm="1">
        <f t="array" ref="W799">_xlfn._xlws.FILTER(shifts!A:A,(shifts!B:B=events!D799)*(shifts!AH:AH&gt;=events!U799)*(shifts!AI:AI&lt;=events!V799))</f>
        <v>26</v>
      </c>
      <c r="X799" t="str">
        <f t="shared" si="138"/>
        <v>event_team_player_2</v>
      </c>
      <c r="Y799">
        <f>COUNTIFS(A$3:A799,"="&amp;A799,K$3:K799,"="&amp;K799)</f>
        <v>2</v>
      </c>
      <c r="Z799" s="20">
        <f>SUMIFS(T$3:T799,L$3:L799,"=Intermission")+SUMIFS(T$3:T799,L$3:L799,"=Timeout")+SUMIFS(T$3:T799,L$3:L799,"=Clockstop")</f>
        <v>0</v>
      </c>
      <c r="AA799">
        <f t="shared" si="142"/>
        <v>0</v>
      </c>
      <c r="AB799" s="26">
        <f t="shared" si="143"/>
        <v>995</v>
      </c>
      <c r="AC799">
        <f t="shared" si="144"/>
        <v>0</v>
      </c>
    </row>
    <row r="800" spans="1:29" x14ac:dyDescent="0.2">
      <c r="A800">
        <v>417</v>
      </c>
      <c r="D800">
        <f t="shared" si="145"/>
        <v>1</v>
      </c>
      <c r="E800">
        <v>1</v>
      </c>
      <c r="F800" s="6" t="s">
        <v>441</v>
      </c>
      <c r="G800">
        <v>1</v>
      </c>
      <c r="H800" s="8" t="s">
        <v>456</v>
      </c>
      <c r="I800" t="s">
        <v>178</v>
      </c>
      <c r="J800">
        <v>5</v>
      </c>
      <c r="K800" t="s">
        <v>489</v>
      </c>
      <c r="L800" t="s">
        <v>277</v>
      </c>
      <c r="M800" t="s">
        <v>191</v>
      </c>
      <c r="N800" t="s">
        <v>87</v>
      </c>
      <c r="Q800">
        <f t="shared" si="147"/>
        <v>18977</v>
      </c>
      <c r="R800" t="str">
        <f t="shared" si="147"/>
        <v>Velodrome</v>
      </c>
      <c r="S800" t="str">
        <f t="shared" si="147"/>
        <v>HollowBrook</v>
      </c>
      <c r="T800" s="20">
        <f t="shared" si="139"/>
        <v>2</v>
      </c>
      <c r="U800">
        <f t="shared" si="140"/>
        <v>85</v>
      </c>
      <c r="V800">
        <f t="shared" si="141"/>
        <v>83</v>
      </c>
      <c r="W800" cm="1">
        <f t="array" ref="W800">_xlfn._xlws.FILTER(shifts!A:A,(shifts!B:B=events!D800)*(shifts!AH:AH&gt;=events!U800)*(shifts!AI:AI&lt;=events!V800))</f>
        <v>26</v>
      </c>
      <c r="X800" t="str">
        <f t="shared" si="138"/>
        <v>opp_team_player_1</v>
      </c>
      <c r="Y800">
        <f>COUNTIFS(A$3:A800,"="&amp;A800,K$3:K800,"="&amp;K800)</f>
        <v>1</v>
      </c>
      <c r="Z800" s="20">
        <f>SUMIFS(T$3:T800,L$3:L800,"=Intermission")+SUMIFS(T$3:T800,L$3:L800,"=Timeout")+SUMIFS(T$3:T800,L$3:L800,"=Clockstop")</f>
        <v>0</v>
      </c>
      <c r="AA800">
        <f t="shared" si="142"/>
        <v>0</v>
      </c>
      <c r="AB800" s="26">
        <f t="shared" si="143"/>
        <v>995</v>
      </c>
      <c r="AC800">
        <f t="shared" si="144"/>
        <v>0</v>
      </c>
    </row>
    <row r="801" spans="1:29" x14ac:dyDescent="0.2">
      <c r="A801">
        <v>417</v>
      </c>
      <c r="D801">
        <f t="shared" si="145"/>
        <v>1</v>
      </c>
      <c r="E801">
        <v>1</v>
      </c>
      <c r="F801" s="6" t="s">
        <v>441</v>
      </c>
      <c r="G801">
        <v>1</v>
      </c>
      <c r="H801" s="8" t="s">
        <v>456</v>
      </c>
      <c r="I801" t="s">
        <v>178</v>
      </c>
      <c r="J801">
        <v>19</v>
      </c>
      <c r="K801" t="s">
        <v>489</v>
      </c>
      <c r="L801" t="s">
        <v>277</v>
      </c>
      <c r="M801" t="s">
        <v>191</v>
      </c>
      <c r="N801" t="s">
        <v>87</v>
      </c>
      <c r="Q801">
        <f t="shared" si="147"/>
        <v>18977</v>
      </c>
      <c r="R801" t="str">
        <f t="shared" si="147"/>
        <v>Velodrome</v>
      </c>
      <c r="S801" t="str">
        <f t="shared" si="147"/>
        <v>HollowBrook</v>
      </c>
      <c r="T801" s="20">
        <f t="shared" si="139"/>
        <v>2</v>
      </c>
      <c r="U801">
        <f t="shared" si="140"/>
        <v>85</v>
      </c>
      <c r="V801">
        <f t="shared" si="141"/>
        <v>83</v>
      </c>
      <c r="W801" cm="1">
        <f t="array" ref="W801">_xlfn._xlws.FILTER(shifts!A:A,(shifts!B:B=events!D801)*(shifts!AH:AH&gt;=events!U801)*(shifts!AI:AI&lt;=events!V801))</f>
        <v>26</v>
      </c>
      <c r="X801" t="str">
        <f t="shared" si="138"/>
        <v>opp_team_player_2</v>
      </c>
      <c r="Y801">
        <f>COUNTIFS(A$3:A801,"="&amp;A801,K$3:K801,"="&amp;K801)</f>
        <v>2</v>
      </c>
      <c r="Z801" s="20">
        <f>SUMIFS(T$3:T801,L$3:L801,"=Intermission")+SUMIFS(T$3:T801,L$3:L801,"=Timeout")+SUMIFS(T$3:T801,L$3:L801,"=Clockstop")</f>
        <v>0</v>
      </c>
      <c r="AA801">
        <f t="shared" si="142"/>
        <v>0</v>
      </c>
      <c r="AB801" s="26">
        <f t="shared" si="143"/>
        <v>995</v>
      </c>
      <c r="AC801">
        <f t="shared" si="144"/>
        <v>0</v>
      </c>
    </row>
    <row r="802" spans="1:29" x14ac:dyDescent="0.2">
      <c r="A802">
        <v>418</v>
      </c>
      <c r="D802">
        <f t="shared" si="145"/>
        <v>1</v>
      </c>
      <c r="E802">
        <v>1</v>
      </c>
      <c r="F802" s="6" t="s">
        <v>456</v>
      </c>
      <c r="I802" t="s">
        <v>179</v>
      </c>
      <c r="J802">
        <v>5</v>
      </c>
      <c r="K802" t="s">
        <v>488</v>
      </c>
      <c r="L802" t="s">
        <v>10</v>
      </c>
      <c r="M802" t="s">
        <v>200</v>
      </c>
      <c r="N802" t="s">
        <v>82</v>
      </c>
      <c r="Q802">
        <f t="shared" si="147"/>
        <v>18977</v>
      </c>
      <c r="R802" t="str">
        <f t="shared" si="147"/>
        <v>Velodrome</v>
      </c>
      <c r="S802" t="str">
        <f t="shared" si="147"/>
        <v>HollowBrook</v>
      </c>
      <c r="T802" s="20">
        <f t="shared" si="139"/>
        <v>0</v>
      </c>
      <c r="U802">
        <f t="shared" si="140"/>
        <v>83</v>
      </c>
      <c r="V802">
        <f t="shared" si="141"/>
        <v>83</v>
      </c>
      <c r="W802" cm="1">
        <f t="array" ref="W802">_xlfn._xlws.FILTER(shifts!A:A,(shifts!B:B=events!D802)*(shifts!AH:AH&gt;=events!U802)*(shifts!AI:AI&lt;=events!V802))</f>
        <v>26</v>
      </c>
      <c r="X802" t="str">
        <f t="shared" si="138"/>
        <v>event_team_player_1</v>
      </c>
      <c r="Y802">
        <f>COUNTIFS(A$3:A802,"="&amp;A802,K$3:K802,"="&amp;K802)</f>
        <v>1</v>
      </c>
      <c r="Z802" s="20">
        <f>SUMIFS(T$3:T802,L$3:L802,"=Intermission")+SUMIFS(T$3:T802,L$3:L802,"=Timeout")+SUMIFS(T$3:T802,L$3:L802,"=Clockstop")</f>
        <v>0</v>
      </c>
      <c r="AA802">
        <f t="shared" si="142"/>
        <v>0</v>
      </c>
      <c r="AB802" s="26">
        <f t="shared" si="143"/>
        <v>997</v>
      </c>
      <c r="AC802">
        <f t="shared" si="144"/>
        <v>0</v>
      </c>
    </row>
    <row r="803" spans="1:29" x14ac:dyDescent="0.2">
      <c r="A803">
        <v>418</v>
      </c>
      <c r="D803">
        <f t="shared" si="145"/>
        <v>1</v>
      </c>
      <c r="E803">
        <v>1</v>
      </c>
      <c r="F803" s="6" t="s">
        <v>456</v>
      </c>
      <c r="I803" t="s">
        <v>179</v>
      </c>
      <c r="J803">
        <v>49</v>
      </c>
      <c r="K803" t="s">
        <v>489</v>
      </c>
      <c r="L803" t="s">
        <v>10</v>
      </c>
      <c r="M803" t="s">
        <v>200</v>
      </c>
      <c r="N803" t="s">
        <v>82</v>
      </c>
      <c r="Q803">
        <f t="shared" si="147"/>
        <v>18977</v>
      </c>
      <c r="R803" t="str">
        <f t="shared" si="147"/>
        <v>Velodrome</v>
      </c>
      <c r="S803" t="str">
        <f t="shared" si="147"/>
        <v>HollowBrook</v>
      </c>
      <c r="T803" s="20">
        <f t="shared" si="139"/>
        <v>0</v>
      </c>
      <c r="U803">
        <f t="shared" si="140"/>
        <v>83</v>
      </c>
      <c r="V803">
        <f t="shared" si="141"/>
        <v>83</v>
      </c>
      <c r="W803" cm="1">
        <f t="array" ref="W803">_xlfn._xlws.FILTER(shifts!A:A,(shifts!B:B=events!D803)*(shifts!AH:AH&gt;=events!U803)*(shifts!AI:AI&lt;=events!V803))</f>
        <v>26</v>
      </c>
      <c r="X803" t="str">
        <f t="shared" si="138"/>
        <v>opp_team_player_1</v>
      </c>
      <c r="Y803">
        <f>COUNTIFS(A$3:A803,"="&amp;A803,K$3:K803,"="&amp;K803)</f>
        <v>1</v>
      </c>
      <c r="Z803" s="20">
        <f>SUMIFS(T$3:T803,L$3:L803,"=Intermission")+SUMIFS(T$3:T803,L$3:L803,"=Timeout")+SUMIFS(T$3:T803,L$3:L803,"=Clockstop")</f>
        <v>0</v>
      </c>
      <c r="AA803">
        <f t="shared" si="142"/>
        <v>0</v>
      </c>
      <c r="AB803" s="26">
        <f t="shared" si="143"/>
        <v>997</v>
      </c>
      <c r="AC803">
        <f t="shared" si="144"/>
        <v>0</v>
      </c>
    </row>
    <row r="804" spans="1:29" x14ac:dyDescent="0.2">
      <c r="A804">
        <v>419</v>
      </c>
      <c r="D804">
        <f t="shared" si="145"/>
        <v>1</v>
      </c>
      <c r="E804">
        <v>1</v>
      </c>
      <c r="F804" s="6" t="s">
        <v>484</v>
      </c>
      <c r="I804" t="s">
        <v>179</v>
      </c>
      <c r="J804">
        <v>5</v>
      </c>
      <c r="K804" t="s">
        <v>488</v>
      </c>
      <c r="L804" t="s">
        <v>277</v>
      </c>
      <c r="M804" t="s">
        <v>201</v>
      </c>
      <c r="N804" t="s">
        <v>92</v>
      </c>
      <c r="Q804">
        <f t="shared" si="147"/>
        <v>18977</v>
      </c>
      <c r="R804" t="str">
        <f t="shared" si="147"/>
        <v>Velodrome</v>
      </c>
      <c r="S804" t="str">
        <f t="shared" si="147"/>
        <v>HollowBrook</v>
      </c>
      <c r="T804" s="20">
        <f t="shared" si="139"/>
        <v>0</v>
      </c>
      <c r="U804">
        <f t="shared" si="140"/>
        <v>82</v>
      </c>
      <c r="V804">
        <f t="shared" si="141"/>
        <v>82</v>
      </c>
      <c r="W804" cm="1">
        <f t="array" ref="W804">_xlfn._xlws.FILTER(shifts!A:A,(shifts!B:B=events!D804)*(shifts!AH:AH&gt;=events!U804)*(shifts!AI:AI&lt;=events!V804))</f>
        <v>26</v>
      </c>
      <c r="X804" t="str">
        <f t="shared" si="138"/>
        <v>event_team_player_1</v>
      </c>
      <c r="Y804">
        <f>COUNTIFS(A$3:A804,"="&amp;A804,K$3:K804,"="&amp;K804)</f>
        <v>1</v>
      </c>
      <c r="Z804" s="20">
        <f>SUMIFS(T$3:T804,L$3:L804,"=Intermission")+SUMIFS(T$3:T804,L$3:L804,"=Timeout")+SUMIFS(T$3:T804,L$3:L804,"=Clockstop")</f>
        <v>0</v>
      </c>
      <c r="AA804">
        <f t="shared" si="142"/>
        <v>0</v>
      </c>
      <c r="AB804" s="26">
        <f t="shared" si="143"/>
        <v>998</v>
      </c>
      <c r="AC804">
        <f t="shared" si="144"/>
        <v>0</v>
      </c>
    </row>
    <row r="805" spans="1:29" x14ac:dyDescent="0.2">
      <c r="A805">
        <v>420</v>
      </c>
      <c r="D805">
        <f t="shared" si="145"/>
        <v>1</v>
      </c>
      <c r="E805">
        <v>1</v>
      </c>
      <c r="F805" s="6" t="s">
        <v>484</v>
      </c>
      <c r="I805" t="s">
        <v>179</v>
      </c>
      <c r="J805">
        <v>5</v>
      </c>
      <c r="K805" t="s">
        <v>488</v>
      </c>
      <c r="L805" t="s">
        <v>10</v>
      </c>
      <c r="M805" t="s">
        <v>190</v>
      </c>
      <c r="N805" t="s">
        <v>460</v>
      </c>
      <c r="Q805">
        <f t="shared" ref="Q805:S820" si="148">Q804</f>
        <v>18977</v>
      </c>
      <c r="R805" t="str">
        <f t="shared" si="148"/>
        <v>Velodrome</v>
      </c>
      <c r="S805" t="str">
        <f t="shared" si="148"/>
        <v>HollowBrook</v>
      </c>
      <c r="T805" s="20">
        <f t="shared" si="139"/>
        <v>0</v>
      </c>
      <c r="U805">
        <f t="shared" si="140"/>
        <v>82</v>
      </c>
      <c r="V805">
        <f t="shared" si="141"/>
        <v>82</v>
      </c>
      <c r="W805" cm="1">
        <f t="array" ref="W805">_xlfn._xlws.FILTER(shifts!A:A,(shifts!B:B=events!D805)*(shifts!AH:AH&gt;=events!U805)*(shifts!AI:AI&lt;=events!V805))</f>
        <v>26</v>
      </c>
      <c r="X805" t="str">
        <f t="shared" si="138"/>
        <v>event_team_player_1</v>
      </c>
      <c r="Y805">
        <f>COUNTIFS(A$3:A805,"="&amp;A805,K$3:K805,"="&amp;K805)</f>
        <v>1</v>
      </c>
      <c r="Z805" s="20">
        <f>SUMIFS(T$3:T805,L$3:L805,"=Intermission")+SUMIFS(T$3:T805,L$3:L805,"=Timeout")+SUMIFS(T$3:T805,L$3:L805,"=Clockstop")</f>
        <v>0</v>
      </c>
      <c r="AA805">
        <f t="shared" si="142"/>
        <v>0</v>
      </c>
      <c r="AB805" s="26">
        <f t="shared" si="143"/>
        <v>998</v>
      </c>
      <c r="AC805">
        <f t="shared" si="144"/>
        <v>0</v>
      </c>
    </row>
    <row r="806" spans="1:29" x14ac:dyDescent="0.2">
      <c r="A806">
        <v>420</v>
      </c>
      <c r="D806">
        <f t="shared" si="145"/>
        <v>1</v>
      </c>
      <c r="E806">
        <v>1</v>
      </c>
      <c r="F806" s="6" t="s">
        <v>484</v>
      </c>
      <c r="I806" t="s">
        <v>179</v>
      </c>
      <c r="J806">
        <v>22</v>
      </c>
      <c r="K806" t="s">
        <v>489</v>
      </c>
      <c r="L806" t="s">
        <v>10</v>
      </c>
      <c r="M806" t="s">
        <v>190</v>
      </c>
      <c r="N806" t="s">
        <v>460</v>
      </c>
      <c r="Q806">
        <f t="shared" si="148"/>
        <v>18977</v>
      </c>
      <c r="R806" t="str">
        <f t="shared" si="148"/>
        <v>Velodrome</v>
      </c>
      <c r="S806" t="str">
        <f t="shared" si="148"/>
        <v>HollowBrook</v>
      </c>
      <c r="T806" s="20">
        <f t="shared" si="139"/>
        <v>0</v>
      </c>
      <c r="U806">
        <f t="shared" si="140"/>
        <v>82</v>
      </c>
      <c r="V806">
        <f t="shared" si="141"/>
        <v>82</v>
      </c>
      <c r="W806" cm="1">
        <f t="array" ref="W806">_xlfn._xlws.FILTER(shifts!A:A,(shifts!B:B=events!D806)*(shifts!AH:AH&gt;=events!U806)*(shifts!AI:AI&lt;=events!V806))</f>
        <v>26</v>
      </c>
      <c r="X806" t="str">
        <f t="shared" si="138"/>
        <v>opp_team_player_1</v>
      </c>
      <c r="Y806">
        <f>COUNTIFS(A$3:A806,"="&amp;A806,K$3:K806,"="&amp;K806)</f>
        <v>1</v>
      </c>
      <c r="Z806" s="20">
        <f>SUMIFS(T$3:T806,L$3:L806,"=Intermission")+SUMIFS(T$3:T806,L$3:L806,"=Timeout")+SUMIFS(T$3:T806,L$3:L806,"=Clockstop")</f>
        <v>0</v>
      </c>
      <c r="AA806">
        <f t="shared" si="142"/>
        <v>0</v>
      </c>
      <c r="AB806" s="26">
        <f t="shared" si="143"/>
        <v>998</v>
      </c>
      <c r="AC806">
        <f t="shared" si="144"/>
        <v>0</v>
      </c>
    </row>
    <row r="807" spans="1:29" x14ac:dyDescent="0.2">
      <c r="A807">
        <v>421</v>
      </c>
      <c r="D807">
        <f t="shared" si="145"/>
        <v>1</v>
      </c>
      <c r="E807">
        <v>1</v>
      </c>
      <c r="F807" s="6" t="s">
        <v>484</v>
      </c>
      <c r="G807">
        <v>1</v>
      </c>
      <c r="H807" s="8" t="s">
        <v>446</v>
      </c>
      <c r="I807" t="s">
        <v>178</v>
      </c>
      <c r="J807">
        <v>22</v>
      </c>
      <c r="K807" t="s">
        <v>488</v>
      </c>
      <c r="L807" t="s">
        <v>15</v>
      </c>
      <c r="Q807">
        <f t="shared" si="148"/>
        <v>18977</v>
      </c>
      <c r="R807" t="str">
        <f t="shared" si="148"/>
        <v>Velodrome</v>
      </c>
      <c r="S807" t="str">
        <f t="shared" si="148"/>
        <v>HollowBrook</v>
      </c>
      <c r="T807" s="20">
        <f t="shared" si="139"/>
        <v>5</v>
      </c>
      <c r="U807">
        <f t="shared" si="140"/>
        <v>82</v>
      </c>
      <c r="V807">
        <f t="shared" si="141"/>
        <v>77</v>
      </c>
      <c r="W807" cm="1">
        <f t="array" ref="W807">_xlfn._xlws.FILTER(shifts!A:A,(shifts!B:B=events!D807)*(shifts!AH:AH&gt;=events!U807)*(shifts!AI:AI&lt;=events!V807))</f>
        <v>26</v>
      </c>
      <c r="X807" t="str">
        <f t="shared" si="138"/>
        <v>event_team_player_1</v>
      </c>
      <c r="Y807">
        <f>COUNTIFS(A$3:A807,"="&amp;A807,K$3:K807,"="&amp;K807)</f>
        <v>1</v>
      </c>
      <c r="Z807" s="20">
        <f>SUMIFS(T$3:T807,L$3:L807,"=Intermission")+SUMIFS(T$3:T807,L$3:L807,"=Timeout")+SUMIFS(T$3:T807,L$3:L807,"=Clockstop")</f>
        <v>0</v>
      </c>
      <c r="AA807">
        <f t="shared" si="142"/>
        <v>0</v>
      </c>
      <c r="AB807" s="26">
        <f t="shared" si="143"/>
        <v>998</v>
      </c>
      <c r="AC807">
        <f t="shared" si="144"/>
        <v>0</v>
      </c>
    </row>
    <row r="808" spans="1:29" x14ac:dyDescent="0.2">
      <c r="A808">
        <v>422</v>
      </c>
      <c r="D808">
        <f t="shared" si="145"/>
        <v>1</v>
      </c>
      <c r="E808">
        <v>1</v>
      </c>
      <c r="F808" s="6" t="s">
        <v>446</v>
      </c>
      <c r="I808" t="s">
        <v>178</v>
      </c>
      <c r="J808">
        <v>22</v>
      </c>
      <c r="K808" t="s">
        <v>488</v>
      </c>
      <c r="L808" t="s">
        <v>10</v>
      </c>
      <c r="M808" t="s">
        <v>190</v>
      </c>
      <c r="N808" t="s">
        <v>73</v>
      </c>
      <c r="Q808">
        <f t="shared" si="148"/>
        <v>18977</v>
      </c>
      <c r="R808" t="str">
        <f t="shared" si="148"/>
        <v>Velodrome</v>
      </c>
      <c r="S808" t="str">
        <f t="shared" si="148"/>
        <v>HollowBrook</v>
      </c>
      <c r="T808" s="20">
        <f t="shared" si="139"/>
        <v>0</v>
      </c>
      <c r="U808">
        <f t="shared" si="140"/>
        <v>77</v>
      </c>
      <c r="V808">
        <f t="shared" si="141"/>
        <v>77</v>
      </c>
      <c r="W808" cm="1">
        <f t="array" ref="W808">_xlfn._xlws.FILTER(shifts!A:A,(shifts!B:B=events!D808)*(shifts!AH:AH&gt;=events!U808)*(shifts!AI:AI&lt;=events!V808))</f>
        <v>26</v>
      </c>
      <c r="X808" t="str">
        <f t="shared" si="138"/>
        <v>event_team_player_1</v>
      </c>
      <c r="Y808">
        <f>COUNTIFS(A$3:A808,"="&amp;A808,K$3:K808,"="&amp;K808)</f>
        <v>1</v>
      </c>
      <c r="Z808" s="20">
        <f>SUMIFS(T$3:T808,L$3:L808,"=Intermission")+SUMIFS(T$3:T808,L$3:L808,"=Timeout")+SUMIFS(T$3:T808,L$3:L808,"=Clockstop")</f>
        <v>0</v>
      </c>
      <c r="AA808">
        <f t="shared" si="142"/>
        <v>0</v>
      </c>
      <c r="AB808" s="26">
        <f t="shared" si="143"/>
        <v>1003</v>
      </c>
      <c r="AC808">
        <f t="shared" si="144"/>
        <v>0</v>
      </c>
    </row>
    <row r="809" spans="1:29" x14ac:dyDescent="0.2">
      <c r="A809">
        <v>422</v>
      </c>
      <c r="D809">
        <f t="shared" si="145"/>
        <v>1</v>
      </c>
      <c r="E809">
        <v>1</v>
      </c>
      <c r="F809" s="6" t="s">
        <v>446</v>
      </c>
      <c r="I809" t="s">
        <v>178</v>
      </c>
      <c r="J809">
        <v>22</v>
      </c>
      <c r="K809" t="s">
        <v>489</v>
      </c>
      <c r="L809" t="s">
        <v>10</v>
      </c>
      <c r="M809" t="s">
        <v>190</v>
      </c>
      <c r="N809" t="s">
        <v>73</v>
      </c>
      <c r="Q809">
        <f t="shared" si="148"/>
        <v>18977</v>
      </c>
      <c r="R809" t="str">
        <f t="shared" si="148"/>
        <v>Velodrome</v>
      </c>
      <c r="S809" t="str">
        <f t="shared" si="148"/>
        <v>HollowBrook</v>
      </c>
      <c r="T809" s="20">
        <f t="shared" si="139"/>
        <v>0</v>
      </c>
      <c r="U809">
        <f t="shared" si="140"/>
        <v>77</v>
      </c>
      <c r="V809">
        <f t="shared" si="141"/>
        <v>77</v>
      </c>
      <c r="W809" cm="1">
        <f t="array" ref="W809">_xlfn._xlws.FILTER(shifts!A:A,(shifts!B:B=events!D809)*(shifts!AH:AH&gt;=events!U809)*(shifts!AI:AI&lt;=events!V809))</f>
        <v>26</v>
      </c>
      <c r="X809" t="str">
        <f t="shared" si="138"/>
        <v>opp_team_player_1</v>
      </c>
      <c r="Y809">
        <f>COUNTIFS(A$3:A809,"="&amp;A809,K$3:K809,"="&amp;K809)</f>
        <v>1</v>
      </c>
      <c r="Z809" s="20">
        <f>SUMIFS(T$3:T809,L$3:L809,"=Intermission")+SUMIFS(T$3:T809,L$3:L809,"=Timeout")+SUMIFS(T$3:T809,L$3:L809,"=Clockstop")</f>
        <v>0</v>
      </c>
      <c r="AA809">
        <f t="shared" si="142"/>
        <v>0</v>
      </c>
      <c r="AB809" s="26">
        <f t="shared" si="143"/>
        <v>1003</v>
      </c>
      <c r="AC809">
        <f t="shared" si="144"/>
        <v>0</v>
      </c>
    </row>
    <row r="810" spans="1:29" x14ac:dyDescent="0.2">
      <c r="A810">
        <v>423</v>
      </c>
      <c r="D810">
        <f t="shared" si="145"/>
        <v>1</v>
      </c>
      <c r="E810">
        <v>1</v>
      </c>
      <c r="F810" s="6" t="s">
        <v>446</v>
      </c>
      <c r="G810">
        <v>1</v>
      </c>
      <c r="H810" s="8" t="s">
        <v>423</v>
      </c>
      <c r="I810" t="s">
        <v>179</v>
      </c>
      <c r="J810">
        <v>22</v>
      </c>
      <c r="K810" t="s">
        <v>488</v>
      </c>
      <c r="L810" t="s">
        <v>15</v>
      </c>
      <c r="Q810">
        <f t="shared" si="148"/>
        <v>18977</v>
      </c>
      <c r="R810" t="str">
        <f t="shared" si="148"/>
        <v>Velodrome</v>
      </c>
      <c r="S810" t="str">
        <f t="shared" si="148"/>
        <v>HollowBrook</v>
      </c>
      <c r="T810" s="20">
        <f t="shared" si="139"/>
        <v>3</v>
      </c>
      <c r="U810">
        <f t="shared" si="140"/>
        <v>77</v>
      </c>
      <c r="V810">
        <f t="shared" si="141"/>
        <v>74</v>
      </c>
      <c r="W810" cm="1">
        <f t="array" ref="W810">_xlfn._xlws.FILTER(shifts!A:A,(shifts!B:B=events!D810)*(shifts!AH:AH&gt;=events!U810)*(shifts!AI:AI&lt;=events!V810))</f>
        <v>26</v>
      </c>
      <c r="X810" t="str">
        <f t="shared" si="138"/>
        <v>event_team_player_1</v>
      </c>
      <c r="Y810">
        <f>COUNTIFS(A$3:A810,"="&amp;A810,K$3:K810,"="&amp;K810)</f>
        <v>1</v>
      </c>
      <c r="Z810" s="20">
        <f>SUMIFS(T$3:T810,L$3:L810,"=Intermission")+SUMIFS(T$3:T810,L$3:L810,"=Timeout")+SUMIFS(T$3:T810,L$3:L810,"=Clockstop")</f>
        <v>0</v>
      </c>
      <c r="AA810">
        <f t="shared" si="142"/>
        <v>0</v>
      </c>
      <c r="AB810" s="26">
        <f t="shared" si="143"/>
        <v>1003</v>
      </c>
      <c r="AC810">
        <f t="shared" si="144"/>
        <v>0</v>
      </c>
    </row>
    <row r="811" spans="1:29" x14ac:dyDescent="0.2">
      <c r="A811">
        <v>423</v>
      </c>
      <c r="D811">
        <f t="shared" si="145"/>
        <v>1</v>
      </c>
      <c r="E811">
        <v>1</v>
      </c>
      <c r="F811" s="6" t="s">
        <v>446</v>
      </c>
      <c r="G811">
        <v>1</v>
      </c>
      <c r="H811" s="8" t="s">
        <v>423</v>
      </c>
      <c r="I811" t="s">
        <v>179</v>
      </c>
      <c r="J811">
        <v>22</v>
      </c>
      <c r="K811" t="s">
        <v>489</v>
      </c>
      <c r="L811" t="s">
        <v>15</v>
      </c>
      <c r="Q811">
        <f t="shared" si="148"/>
        <v>18977</v>
      </c>
      <c r="R811" t="str">
        <f t="shared" si="148"/>
        <v>Velodrome</v>
      </c>
      <c r="S811" t="str">
        <f t="shared" si="148"/>
        <v>HollowBrook</v>
      </c>
      <c r="T811" s="20">
        <f t="shared" si="139"/>
        <v>3</v>
      </c>
      <c r="U811">
        <f t="shared" si="140"/>
        <v>77</v>
      </c>
      <c r="V811">
        <f t="shared" si="141"/>
        <v>74</v>
      </c>
      <c r="W811" cm="1">
        <f t="array" ref="W811">_xlfn._xlws.FILTER(shifts!A:A,(shifts!B:B=events!D811)*(shifts!AH:AH&gt;=events!U811)*(shifts!AI:AI&lt;=events!V811))</f>
        <v>26</v>
      </c>
      <c r="X811" t="str">
        <f t="shared" si="138"/>
        <v>opp_team_player_1</v>
      </c>
      <c r="Y811">
        <f>COUNTIFS(A$3:A811,"="&amp;A811,K$3:K811,"="&amp;K811)</f>
        <v>1</v>
      </c>
      <c r="Z811" s="20">
        <f>SUMIFS(T$3:T811,L$3:L811,"=Intermission")+SUMIFS(T$3:T811,L$3:L811,"=Timeout")+SUMIFS(T$3:T811,L$3:L811,"=Clockstop")</f>
        <v>0</v>
      </c>
      <c r="AA811">
        <f t="shared" si="142"/>
        <v>0</v>
      </c>
      <c r="AB811" s="26">
        <f t="shared" si="143"/>
        <v>1003</v>
      </c>
      <c r="AC811">
        <f t="shared" si="144"/>
        <v>0</v>
      </c>
    </row>
    <row r="812" spans="1:29" x14ac:dyDescent="0.2">
      <c r="A812">
        <v>424</v>
      </c>
      <c r="D812">
        <f t="shared" si="145"/>
        <v>1</v>
      </c>
      <c r="E812">
        <v>1</v>
      </c>
      <c r="F812" s="6" t="s">
        <v>317</v>
      </c>
      <c r="I812" t="s">
        <v>179</v>
      </c>
      <c r="J812">
        <v>22</v>
      </c>
      <c r="K812" t="s">
        <v>488</v>
      </c>
      <c r="L812" t="s">
        <v>277</v>
      </c>
      <c r="M812" t="s">
        <v>191</v>
      </c>
      <c r="N812" t="s">
        <v>89</v>
      </c>
      <c r="Q812">
        <f t="shared" si="148"/>
        <v>18977</v>
      </c>
      <c r="R812" t="str">
        <f t="shared" si="148"/>
        <v>Velodrome</v>
      </c>
      <c r="S812" t="str">
        <f t="shared" si="148"/>
        <v>HollowBrook</v>
      </c>
      <c r="T812" s="20">
        <f t="shared" si="139"/>
        <v>0</v>
      </c>
      <c r="U812">
        <f t="shared" si="140"/>
        <v>73</v>
      </c>
      <c r="V812">
        <f t="shared" si="141"/>
        <v>73</v>
      </c>
      <c r="W812">
        <v>27</v>
      </c>
      <c r="X812" t="str">
        <f t="shared" si="138"/>
        <v>event_team_player_1</v>
      </c>
      <c r="Y812">
        <f>COUNTIFS(A$3:A812,"="&amp;A812,K$3:K812,"="&amp;K812)</f>
        <v>1</v>
      </c>
      <c r="Z812" s="20">
        <f>SUMIFS(T$3:T812,L$3:L812,"=Intermission")+SUMIFS(T$3:T812,L$3:L812,"=Timeout")+SUMIFS(T$3:T812,L$3:L812,"=Clockstop")</f>
        <v>0</v>
      </c>
      <c r="AA812">
        <f t="shared" si="142"/>
        <v>0</v>
      </c>
      <c r="AB812" s="26">
        <f t="shared" si="143"/>
        <v>1007</v>
      </c>
      <c r="AC812">
        <f t="shared" si="144"/>
        <v>0</v>
      </c>
    </row>
    <row r="813" spans="1:29" x14ac:dyDescent="0.2">
      <c r="A813">
        <v>425</v>
      </c>
      <c r="D813">
        <f t="shared" si="145"/>
        <v>1</v>
      </c>
      <c r="E813">
        <v>1</v>
      </c>
      <c r="F813" s="6" t="s">
        <v>449</v>
      </c>
      <c r="I813" t="s">
        <v>179</v>
      </c>
      <c r="J813">
        <v>22</v>
      </c>
      <c r="K813" t="s">
        <v>488</v>
      </c>
      <c r="L813" t="s">
        <v>10</v>
      </c>
      <c r="M813" t="s">
        <v>190</v>
      </c>
      <c r="N813" t="s">
        <v>479</v>
      </c>
      <c r="Q813">
        <f t="shared" si="148"/>
        <v>18977</v>
      </c>
      <c r="R813" t="str">
        <f t="shared" si="148"/>
        <v>Velodrome</v>
      </c>
      <c r="S813" t="str">
        <f t="shared" si="148"/>
        <v>HollowBrook</v>
      </c>
      <c r="T813" s="20">
        <f t="shared" si="139"/>
        <v>0</v>
      </c>
      <c r="U813">
        <f t="shared" si="140"/>
        <v>72</v>
      </c>
      <c r="V813">
        <f t="shared" si="141"/>
        <v>72</v>
      </c>
      <c r="W813" cm="1">
        <f t="array" ref="W813">_xlfn._xlws.FILTER(shifts!A:A,(shifts!B:B=events!D813)*(shifts!AH:AH&gt;=events!U813)*(shifts!AI:AI&lt;=events!V813))</f>
        <v>27</v>
      </c>
      <c r="X813" t="str">
        <f t="shared" si="138"/>
        <v>event_team_player_1</v>
      </c>
      <c r="Y813">
        <f>COUNTIFS(A$3:A813,"="&amp;A813,K$3:K813,"="&amp;K813)</f>
        <v>1</v>
      </c>
      <c r="Z813" s="20">
        <f>SUMIFS(T$3:T813,L$3:L813,"=Intermission")+SUMIFS(T$3:T813,L$3:L813,"=Timeout")+SUMIFS(T$3:T813,L$3:L813,"=Clockstop")</f>
        <v>0</v>
      </c>
      <c r="AA813">
        <f t="shared" si="142"/>
        <v>0</v>
      </c>
      <c r="AB813" s="26">
        <f t="shared" si="143"/>
        <v>1008</v>
      </c>
      <c r="AC813">
        <f t="shared" si="144"/>
        <v>0</v>
      </c>
    </row>
    <row r="814" spans="1:29" x14ac:dyDescent="0.2">
      <c r="A814">
        <v>425</v>
      </c>
      <c r="D814">
        <f t="shared" si="145"/>
        <v>1</v>
      </c>
      <c r="E814">
        <v>1</v>
      </c>
      <c r="F814" s="6" t="s">
        <v>449</v>
      </c>
      <c r="I814" t="s">
        <v>179</v>
      </c>
      <c r="J814">
        <v>22</v>
      </c>
      <c r="K814" t="s">
        <v>489</v>
      </c>
      <c r="L814" t="s">
        <v>10</v>
      </c>
      <c r="M814" t="s">
        <v>190</v>
      </c>
      <c r="N814" t="s">
        <v>479</v>
      </c>
      <c r="Q814">
        <f t="shared" si="148"/>
        <v>18977</v>
      </c>
      <c r="R814" t="str">
        <f t="shared" si="148"/>
        <v>Velodrome</v>
      </c>
      <c r="S814" t="str">
        <f t="shared" si="148"/>
        <v>HollowBrook</v>
      </c>
      <c r="T814" s="20">
        <f t="shared" si="139"/>
        <v>0</v>
      </c>
      <c r="U814">
        <f t="shared" si="140"/>
        <v>72</v>
      </c>
      <c r="V814">
        <f t="shared" si="141"/>
        <v>72</v>
      </c>
      <c r="W814" cm="1">
        <f t="array" ref="W814">_xlfn._xlws.FILTER(shifts!A:A,(shifts!B:B=events!D814)*(shifts!AH:AH&gt;=events!U814)*(shifts!AI:AI&lt;=events!V814))</f>
        <v>27</v>
      </c>
      <c r="X814" t="str">
        <f t="shared" si="138"/>
        <v>opp_team_player_1</v>
      </c>
      <c r="Y814">
        <f>COUNTIFS(A$3:A814,"="&amp;A814,K$3:K814,"="&amp;K814)</f>
        <v>1</v>
      </c>
      <c r="Z814" s="20">
        <f>SUMIFS(T$3:T814,L$3:L814,"=Intermission")+SUMIFS(T$3:T814,L$3:L814,"=Timeout")+SUMIFS(T$3:T814,L$3:L814,"=Clockstop")</f>
        <v>0</v>
      </c>
      <c r="AA814">
        <f t="shared" si="142"/>
        <v>0</v>
      </c>
      <c r="AB814" s="26">
        <f t="shared" si="143"/>
        <v>1008</v>
      </c>
      <c r="AC814">
        <f t="shared" si="144"/>
        <v>0</v>
      </c>
    </row>
    <row r="815" spans="1:29" x14ac:dyDescent="0.2">
      <c r="A815">
        <v>426</v>
      </c>
      <c r="D815">
        <f t="shared" si="145"/>
        <v>1</v>
      </c>
      <c r="E815">
        <v>1</v>
      </c>
      <c r="F815" s="6" t="s">
        <v>486</v>
      </c>
      <c r="I815" t="s">
        <v>178</v>
      </c>
      <c r="J815">
        <v>22</v>
      </c>
      <c r="K815" t="s">
        <v>488</v>
      </c>
      <c r="L815" t="s">
        <v>8</v>
      </c>
      <c r="M815" t="s">
        <v>189</v>
      </c>
      <c r="N815" t="s">
        <v>71</v>
      </c>
      <c r="Q815">
        <f t="shared" si="148"/>
        <v>18977</v>
      </c>
      <c r="R815" t="str">
        <f t="shared" si="148"/>
        <v>Velodrome</v>
      </c>
      <c r="S815" t="str">
        <f t="shared" si="148"/>
        <v>HollowBrook</v>
      </c>
      <c r="T815" s="20">
        <f t="shared" si="139"/>
        <v>0</v>
      </c>
      <c r="U815">
        <f t="shared" si="140"/>
        <v>71</v>
      </c>
      <c r="V815">
        <f t="shared" si="141"/>
        <v>71</v>
      </c>
      <c r="W815" cm="1">
        <f t="array" ref="W815">_xlfn._xlws.FILTER(shifts!A:A,(shifts!B:B=events!D815)*(shifts!AH:AH&gt;=events!U815)*(shifts!AI:AI&lt;=events!V815))</f>
        <v>27</v>
      </c>
      <c r="X815" t="str">
        <f t="shared" si="138"/>
        <v>event_team_player_1</v>
      </c>
      <c r="Y815">
        <f>COUNTIFS(A$3:A815,"="&amp;A815,K$3:K815,"="&amp;K815)</f>
        <v>1</v>
      </c>
      <c r="Z815" s="20">
        <f>SUMIFS(T$3:T815,L$3:L815,"=Intermission")+SUMIFS(T$3:T815,L$3:L815,"=Timeout")+SUMIFS(T$3:T815,L$3:L815,"=Clockstop")</f>
        <v>0</v>
      </c>
      <c r="AA815">
        <f t="shared" si="142"/>
        <v>0</v>
      </c>
      <c r="AB815" s="26">
        <f t="shared" si="143"/>
        <v>1009</v>
      </c>
      <c r="AC815">
        <f t="shared" si="144"/>
        <v>0</v>
      </c>
    </row>
    <row r="816" spans="1:29" x14ac:dyDescent="0.2">
      <c r="A816">
        <v>426</v>
      </c>
      <c r="D816">
        <f t="shared" si="145"/>
        <v>1</v>
      </c>
      <c r="E816">
        <v>1</v>
      </c>
      <c r="F816" s="6" t="s">
        <v>486</v>
      </c>
      <c r="I816" t="s">
        <v>178</v>
      </c>
      <c r="J816">
        <v>49</v>
      </c>
      <c r="K816" t="s">
        <v>488</v>
      </c>
      <c r="L816" t="s">
        <v>8</v>
      </c>
      <c r="M816" t="s">
        <v>189</v>
      </c>
      <c r="N816" t="s">
        <v>71</v>
      </c>
      <c r="Q816">
        <f t="shared" si="148"/>
        <v>18977</v>
      </c>
      <c r="R816" t="str">
        <f t="shared" si="148"/>
        <v>Velodrome</v>
      </c>
      <c r="S816" t="str">
        <f t="shared" si="148"/>
        <v>HollowBrook</v>
      </c>
      <c r="T816" s="20">
        <f t="shared" si="139"/>
        <v>0</v>
      </c>
      <c r="U816">
        <f t="shared" si="140"/>
        <v>71</v>
      </c>
      <c r="V816">
        <f t="shared" si="141"/>
        <v>71</v>
      </c>
      <c r="W816" cm="1">
        <f t="array" ref="W816">_xlfn._xlws.FILTER(shifts!A:A,(shifts!B:B=events!D816)*(shifts!AH:AH&gt;=events!U816)*(shifts!AI:AI&lt;=events!V816))</f>
        <v>27</v>
      </c>
      <c r="X816" t="str">
        <f t="shared" si="138"/>
        <v>event_team_player_2</v>
      </c>
      <c r="Y816">
        <f>COUNTIFS(A$3:A816,"="&amp;A816,K$3:K816,"="&amp;K816)</f>
        <v>2</v>
      </c>
      <c r="Z816" s="20">
        <f>SUMIFS(T$3:T816,L$3:L816,"=Intermission")+SUMIFS(T$3:T816,L$3:L816,"=Timeout")+SUMIFS(T$3:T816,L$3:L816,"=Clockstop")</f>
        <v>0</v>
      </c>
      <c r="AA816">
        <f t="shared" si="142"/>
        <v>0</v>
      </c>
      <c r="AB816" s="26">
        <f t="shared" si="143"/>
        <v>1009</v>
      </c>
      <c r="AC816">
        <f t="shared" si="144"/>
        <v>0</v>
      </c>
    </row>
    <row r="817" spans="1:29" x14ac:dyDescent="0.2">
      <c r="A817">
        <v>427</v>
      </c>
      <c r="D817">
        <f t="shared" si="145"/>
        <v>1</v>
      </c>
      <c r="E817">
        <v>1</v>
      </c>
      <c r="F817" s="6" t="s">
        <v>486</v>
      </c>
      <c r="I817" t="s">
        <v>178</v>
      </c>
      <c r="J817">
        <v>49</v>
      </c>
      <c r="K817" t="s">
        <v>488</v>
      </c>
      <c r="L817" t="s">
        <v>8</v>
      </c>
      <c r="M817" t="s">
        <v>189</v>
      </c>
      <c r="N817" t="s">
        <v>71</v>
      </c>
      <c r="Q817">
        <f t="shared" si="148"/>
        <v>18977</v>
      </c>
      <c r="R817" t="str">
        <f t="shared" si="148"/>
        <v>Velodrome</v>
      </c>
      <c r="S817" t="str">
        <f t="shared" si="148"/>
        <v>HollowBrook</v>
      </c>
      <c r="T817" s="20">
        <f t="shared" si="139"/>
        <v>0</v>
      </c>
      <c r="U817">
        <f t="shared" si="140"/>
        <v>71</v>
      </c>
      <c r="V817">
        <f t="shared" si="141"/>
        <v>71</v>
      </c>
      <c r="W817" cm="1">
        <f t="array" ref="W817">_xlfn._xlws.FILTER(shifts!A:A,(shifts!B:B=events!D817)*(shifts!AH:AH&gt;=events!U817)*(shifts!AI:AI&lt;=events!V817))</f>
        <v>27</v>
      </c>
      <c r="X817" t="str">
        <f t="shared" si="138"/>
        <v>event_team_player_1</v>
      </c>
      <c r="Y817">
        <f>COUNTIFS(A$3:A817,"="&amp;A817,K$3:K817,"="&amp;K817)</f>
        <v>1</v>
      </c>
      <c r="Z817" s="20">
        <f>SUMIFS(T$3:T817,L$3:L817,"=Intermission")+SUMIFS(T$3:T817,L$3:L817,"=Timeout")+SUMIFS(T$3:T817,L$3:L817,"=Clockstop")</f>
        <v>0</v>
      </c>
      <c r="AA817">
        <f t="shared" si="142"/>
        <v>0</v>
      </c>
      <c r="AB817" s="26">
        <f t="shared" si="143"/>
        <v>1009</v>
      </c>
      <c r="AC817">
        <f t="shared" si="144"/>
        <v>0</v>
      </c>
    </row>
    <row r="818" spans="1:29" x14ac:dyDescent="0.2">
      <c r="A818">
        <v>427</v>
      </c>
      <c r="D818">
        <f t="shared" si="145"/>
        <v>1</v>
      </c>
      <c r="E818">
        <v>1</v>
      </c>
      <c r="F818" s="6" t="s">
        <v>486</v>
      </c>
      <c r="I818" t="s">
        <v>178</v>
      </c>
      <c r="J818">
        <v>70</v>
      </c>
      <c r="K818" t="s">
        <v>488</v>
      </c>
      <c r="L818" t="s">
        <v>8</v>
      </c>
      <c r="M818" t="s">
        <v>189</v>
      </c>
      <c r="N818" t="s">
        <v>71</v>
      </c>
      <c r="Q818">
        <f t="shared" si="148"/>
        <v>18977</v>
      </c>
      <c r="R818" t="str">
        <f t="shared" si="148"/>
        <v>Velodrome</v>
      </c>
      <c r="S818" t="str">
        <f t="shared" si="148"/>
        <v>HollowBrook</v>
      </c>
      <c r="T818" s="20">
        <f t="shared" si="139"/>
        <v>0</v>
      </c>
      <c r="U818">
        <f t="shared" si="140"/>
        <v>71</v>
      </c>
      <c r="V818">
        <f t="shared" si="141"/>
        <v>71</v>
      </c>
      <c r="W818" cm="1">
        <f t="array" ref="W818">_xlfn._xlws.FILTER(shifts!A:A,(shifts!B:B=events!D818)*(shifts!AH:AH&gt;=events!U818)*(shifts!AI:AI&lt;=events!V818))</f>
        <v>27</v>
      </c>
      <c r="X818" t="str">
        <f t="shared" si="138"/>
        <v>event_team_player_2</v>
      </c>
      <c r="Y818">
        <f>COUNTIFS(A$3:A818,"="&amp;A818,K$3:K818,"="&amp;K818)</f>
        <v>2</v>
      </c>
      <c r="Z818" s="20">
        <f>SUMIFS(T$3:T818,L$3:L818,"=Intermission")+SUMIFS(T$3:T818,L$3:L818,"=Timeout")+SUMIFS(T$3:T818,L$3:L818,"=Clockstop")</f>
        <v>0</v>
      </c>
      <c r="AA818">
        <f t="shared" si="142"/>
        <v>0</v>
      </c>
      <c r="AB818" s="26">
        <f t="shared" si="143"/>
        <v>1009</v>
      </c>
      <c r="AC818">
        <f t="shared" si="144"/>
        <v>0</v>
      </c>
    </row>
    <row r="819" spans="1:29" x14ac:dyDescent="0.2">
      <c r="A819">
        <v>428</v>
      </c>
      <c r="D819">
        <f t="shared" si="145"/>
        <v>1</v>
      </c>
      <c r="E819">
        <v>1</v>
      </c>
      <c r="F819" s="6" t="s">
        <v>486</v>
      </c>
      <c r="I819" t="s">
        <v>178</v>
      </c>
      <c r="J819">
        <v>49</v>
      </c>
      <c r="K819" t="s">
        <v>488</v>
      </c>
      <c r="L819" t="s">
        <v>277</v>
      </c>
      <c r="M819" t="s">
        <v>201</v>
      </c>
      <c r="N819" t="s">
        <v>91</v>
      </c>
      <c r="Q819">
        <f t="shared" si="148"/>
        <v>18977</v>
      </c>
      <c r="R819" t="str">
        <f t="shared" si="148"/>
        <v>Velodrome</v>
      </c>
      <c r="S819" t="str">
        <f t="shared" si="148"/>
        <v>HollowBrook</v>
      </c>
      <c r="T819" s="20">
        <f t="shared" si="139"/>
        <v>0</v>
      </c>
      <c r="U819">
        <f t="shared" si="140"/>
        <v>71</v>
      </c>
      <c r="V819">
        <f t="shared" si="141"/>
        <v>71</v>
      </c>
      <c r="W819" cm="1">
        <f t="array" ref="W819">_xlfn._xlws.FILTER(shifts!A:A,(shifts!B:B=events!D819)*(shifts!AH:AH&gt;=events!U819)*(shifts!AI:AI&lt;=events!V819))</f>
        <v>27</v>
      </c>
      <c r="X819" t="str">
        <f t="shared" si="138"/>
        <v>event_team_player_1</v>
      </c>
      <c r="Y819">
        <f>COUNTIFS(A$3:A819,"="&amp;A819,K$3:K819,"="&amp;K819)</f>
        <v>1</v>
      </c>
      <c r="Z819" s="20">
        <f>SUMIFS(T$3:T819,L$3:L819,"=Intermission")+SUMIFS(T$3:T819,L$3:L819,"=Timeout")+SUMIFS(T$3:T819,L$3:L819,"=Clockstop")</f>
        <v>0</v>
      </c>
      <c r="AA819">
        <f t="shared" si="142"/>
        <v>0</v>
      </c>
      <c r="AB819" s="26">
        <f t="shared" si="143"/>
        <v>1009</v>
      </c>
      <c r="AC819">
        <f t="shared" si="144"/>
        <v>0</v>
      </c>
    </row>
    <row r="820" spans="1:29" x14ac:dyDescent="0.2">
      <c r="A820">
        <v>428</v>
      </c>
      <c r="D820">
        <f t="shared" si="145"/>
        <v>1</v>
      </c>
      <c r="E820">
        <v>1</v>
      </c>
      <c r="F820" s="6" t="s">
        <v>486</v>
      </c>
      <c r="I820" t="s">
        <v>178</v>
      </c>
      <c r="J820">
        <v>70</v>
      </c>
      <c r="K820" t="s">
        <v>488</v>
      </c>
      <c r="L820" t="s">
        <v>277</v>
      </c>
      <c r="M820" t="s">
        <v>201</v>
      </c>
      <c r="N820" t="s">
        <v>91</v>
      </c>
      <c r="Q820">
        <f t="shared" si="148"/>
        <v>18977</v>
      </c>
      <c r="R820" t="str">
        <f t="shared" si="148"/>
        <v>Velodrome</v>
      </c>
      <c r="S820" t="str">
        <f t="shared" si="148"/>
        <v>HollowBrook</v>
      </c>
      <c r="T820" s="20">
        <f t="shared" si="139"/>
        <v>0</v>
      </c>
      <c r="U820">
        <f t="shared" si="140"/>
        <v>71</v>
      </c>
      <c r="V820">
        <f t="shared" si="141"/>
        <v>71</v>
      </c>
      <c r="W820" cm="1">
        <f t="array" ref="W820">_xlfn._xlws.FILTER(shifts!A:A,(shifts!B:B=events!D820)*(shifts!AH:AH&gt;=events!U820)*(shifts!AI:AI&lt;=events!V820))</f>
        <v>27</v>
      </c>
      <c r="X820" t="str">
        <f t="shared" si="138"/>
        <v>event_team_player_2</v>
      </c>
      <c r="Y820">
        <f>COUNTIFS(A$3:A820,"="&amp;A820,K$3:K820,"="&amp;K820)</f>
        <v>2</v>
      </c>
      <c r="Z820" s="20">
        <f>SUMIFS(T$3:T820,L$3:L820,"=Intermission")+SUMIFS(T$3:T820,L$3:L820,"=Timeout")+SUMIFS(T$3:T820,L$3:L820,"=Clockstop")</f>
        <v>0</v>
      </c>
      <c r="AA820">
        <f t="shared" si="142"/>
        <v>0</v>
      </c>
      <c r="AB820" s="26">
        <f t="shared" si="143"/>
        <v>1009</v>
      </c>
      <c r="AC820">
        <f t="shared" si="144"/>
        <v>0</v>
      </c>
    </row>
    <row r="821" spans="1:29" x14ac:dyDescent="0.2">
      <c r="A821">
        <v>429</v>
      </c>
      <c r="D821">
        <f t="shared" si="145"/>
        <v>1</v>
      </c>
      <c r="E821">
        <v>1</v>
      </c>
      <c r="F821" s="6" t="s">
        <v>486</v>
      </c>
      <c r="G821">
        <v>1</v>
      </c>
      <c r="H821" s="8" t="s">
        <v>314</v>
      </c>
      <c r="I821" t="s">
        <v>178</v>
      </c>
      <c r="J821">
        <v>70</v>
      </c>
      <c r="K821" t="s">
        <v>488</v>
      </c>
      <c r="L821" t="s">
        <v>15</v>
      </c>
      <c r="Q821">
        <f t="shared" ref="Q821:S836" si="149">Q820</f>
        <v>18977</v>
      </c>
      <c r="R821" t="str">
        <f t="shared" si="149"/>
        <v>Velodrome</v>
      </c>
      <c r="S821" t="str">
        <f t="shared" si="149"/>
        <v>HollowBrook</v>
      </c>
      <c r="T821" s="20">
        <f t="shared" si="139"/>
        <v>5</v>
      </c>
      <c r="U821">
        <f t="shared" si="140"/>
        <v>71</v>
      </c>
      <c r="V821">
        <f t="shared" si="141"/>
        <v>66</v>
      </c>
      <c r="W821">
        <v>28</v>
      </c>
      <c r="X821" t="str">
        <f t="shared" ref="X821:X884" si="150">IF(K821="e","event_team_player_"&amp;Y821,IF(K821="o","opp_team_player_"&amp;Y821,""))</f>
        <v>event_team_player_1</v>
      </c>
      <c r="Y821">
        <f>COUNTIFS(A$3:A821,"="&amp;A821,K$3:K821,"="&amp;K821)</f>
        <v>1</v>
      </c>
      <c r="Z821" s="20">
        <f>SUMIFS(T$3:T821,L$3:L821,"=Intermission")+SUMIFS(T$3:T821,L$3:L821,"=Timeout")+SUMIFS(T$3:T821,L$3:L821,"=Clockstop")</f>
        <v>0</v>
      </c>
      <c r="AA821">
        <f t="shared" si="142"/>
        <v>0</v>
      </c>
      <c r="AB821" s="26">
        <f t="shared" si="143"/>
        <v>1009</v>
      </c>
      <c r="AC821">
        <f t="shared" si="144"/>
        <v>0</v>
      </c>
    </row>
    <row r="822" spans="1:29" x14ac:dyDescent="0.2">
      <c r="A822">
        <v>430</v>
      </c>
      <c r="D822">
        <f t="shared" si="145"/>
        <v>1</v>
      </c>
      <c r="E822">
        <v>1</v>
      </c>
      <c r="F822" s="6" t="s">
        <v>314</v>
      </c>
      <c r="G822">
        <v>1</v>
      </c>
      <c r="H822" s="8" t="s">
        <v>311</v>
      </c>
      <c r="I822" t="s">
        <v>178</v>
      </c>
      <c r="J822">
        <v>70</v>
      </c>
      <c r="K822" t="s">
        <v>488</v>
      </c>
      <c r="L822" t="s">
        <v>277</v>
      </c>
      <c r="M822" t="s">
        <v>191</v>
      </c>
      <c r="N822" t="s">
        <v>87</v>
      </c>
      <c r="Q822">
        <f t="shared" si="149"/>
        <v>18977</v>
      </c>
      <c r="R822" t="str">
        <f t="shared" si="149"/>
        <v>Velodrome</v>
      </c>
      <c r="S822" t="str">
        <f t="shared" si="149"/>
        <v>HollowBrook</v>
      </c>
      <c r="T822" s="20">
        <f t="shared" si="139"/>
        <v>3</v>
      </c>
      <c r="U822">
        <f t="shared" si="140"/>
        <v>66</v>
      </c>
      <c r="V822">
        <f t="shared" si="141"/>
        <v>63</v>
      </c>
      <c r="W822" cm="1">
        <f t="array" ref="W822">_xlfn._xlws.FILTER(shifts!A:A,(shifts!B:B=events!D822)*(shifts!AH:AH&gt;=events!U822)*(shifts!AI:AI&lt;=events!V822))</f>
        <v>28</v>
      </c>
      <c r="X822" t="str">
        <f t="shared" si="150"/>
        <v>event_team_player_1</v>
      </c>
      <c r="Y822">
        <f>COUNTIFS(A$3:A822,"="&amp;A822,K$3:K822,"="&amp;K822)</f>
        <v>1</v>
      </c>
      <c r="Z822" s="20">
        <f>SUMIFS(T$3:T822,L$3:L822,"=Intermission")+SUMIFS(T$3:T822,L$3:L822,"=Timeout")+SUMIFS(T$3:T822,L$3:L822,"=Clockstop")</f>
        <v>0</v>
      </c>
      <c r="AA822">
        <f t="shared" si="142"/>
        <v>0</v>
      </c>
      <c r="AB822" s="26">
        <f t="shared" si="143"/>
        <v>1014</v>
      </c>
      <c r="AC822">
        <f t="shared" si="144"/>
        <v>0</v>
      </c>
    </row>
    <row r="823" spans="1:29" x14ac:dyDescent="0.2">
      <c r="A823">
        <v>430</v>
      </c>
      <c r="D823">
        <f t="shared" si="145"/>
        <v>1</v>
      </c>
      <c r="E823">
        <v>1</v>
      </c>
      <c r="F823" s="6" t="s">
        <v>314</v>
      </c>
      <c r="G823">
        <v>1</v>
      </c>
      <c r="H823" s="8" t="s">
        <v>311</v>
      </c>
      <c r="I823" t="s">
        <v>178</v>
      </c>
      <c r="J823">
        <v>75</v>
      </c>
      <c r="K823" t="s">
        <v>488</v>
      </c>
      <c r="L823" t="s">
        <v>277</v>
      </c>
      <c r="M823" t="s">
        <v>191</v>
      </c>
      <c r="N823" t="s">
        <v>87</v>
      </c>
      <c r="Q823">
        <f t="shared" si="149"/>
        <v>18977</v>
      </c>
      <c r="R823" t="str">
        <f t="shared" si="149"/>
        <v>Velodrome</v>
      </c>
      <c r="S823" t="str">
        <f t="shared" si="149"/>
        <v>HollowBrook</v>
      </c>
      <c r="T823" s="20">
        <f t="shared" si="139"/>
        <v>3</v>
      </c>
      <c r="U823">
        <f t="shared" si="140"/>
        <v>66</v>
      </c>
      <c r="V823">
        <f t="shared" si="141"/>
        <v>63</v>
      </c>
      <c r="W823" cm="1">
        <f t="array" ref="W823">_xlfn._xlws.FILTER(shifts!A:A,(shifts!B:B=events!D823)*(shifts!AH:AH&gt;=events!U823)*(shifts!AI:AI&lt;=events!V823))</f>
        <v>28</v>
      </c>
      <c r="X823" t="str">
        <f t="shared" si="150"/>
        <v>event_team_player_2</v>
      </c>
      <c r="Y823">
        <f>COUNTIFS(A$3:A823,"="&amp;A823,K$3:K823,"="&amp;K823)</f>
        <v>2</v>
      </c>
      <c r="Z823" s="20">
        <f>SUMIFS(T$3:T823,L$3:L823,"=Intermission")+SUMIFS(T$3:T823,L$3:L823,"=Timeout")+SUMIFS(T$3:T823,L$3:L823,"=Clockstop")</f>
        <v>0</v>
      </c>
      <c r="AA823">
        <f t="shared" si="142"/>
        <v>0</v>
      </c>
      <c r="AB823" s="26">
        <f t="shared" si="143"/>
        <v>1014</v>
      </c>
      <c r="AC823">
        <f t="shared" si="144"/>
        <v>0</v>
      </c>
    </row>
    <row r="824" spans="1:29" x14ac:dyDescent="0.2">
      <c r="A824">
        <v>430</v>
      </c>
      <c r="D824">
        <f t="shared" si="145"/>
        <v>1</v>
      </c>
      <c r="E824">
        <v>1</v>
      </c>
      <c r="F824" s="6" t="s">
        <v>314</v>
      </c>
      <c r="G824">
        <v>1</v>
      </c>
      <c r="H824" s="8" t="s">
        <v>311</v>
      </c>
      <c r="I824" t="s">
        <v>178</v>
      </c>
      <c r="J824">
        <v>19</v>
      </c>
      <c r="K824" t="s">
        <v>489</v>
      </c>
      <c r="L824" t="s">
        <v>277</v>
      </c>
      <c r="M824" t="s">
        <v>191</v>
      </c>
      <c r="N824" t="s">
        <v>87</v>
      </c>
      <c r="Q824">
        <f t="shared" si="149"/>
        <v>18977</v>
      </c>
      <c r="R824" t="str">
        <f t="shared" si="149"/>
        <v>Velodrome</v>
      </c>
      <c r="S824" t="str">
        <f t="shared" si="149"/>
        <v>HollowBrook</v>
      </c>
      <c r="T824" s="20">
        <f t="shared" si="139"/>
        <v>3</v>
      </c>
      <c r="U824">
        <f t="shared" si="140"/>
        <v>66</v>
      </c>
      <c r="V824">
        <f t="shared" si="141"/>
        <v>63</v>
      </c>
      <c r="W824" cm="1">
        <f t="array" ref="W824">_xlfn._xlws.FILTER(shifts!A:A,(shifts!B:B=events!D824)*(shifts!AH:AH&gt;=events!U824)*(shifts!AI:AI&lt;=events!V824))</f>
        <v>28</v>
      </c>
      <c r="X824" t="str">
        <f t="shared" si="150"/>
        <v>opp_team_player_1</v>
      </c>
      <c r="Y824">
        <f>COUNTIFS(A$3:A824,"="&amp;A824,K$3:K824,"="&amp;K824)</f>
        <v>1</v>
      </c>
      <c r="Z824" s="20">
        <f>SUMIFS(T$3:T824,L$3:L824,"=Intermission")+SUMIFS(T$3:T824,L$3:L824,"=Timeout")+SUMIFS(T$3:T824,L$3:L824,"=Clockstop")</f>
        <v>0</v>
      </c>
      <c r="AA824">
        <f t="shared" si="142"/>
        <v>0</v>
      </c>
      <c r="AB824" s="26">
        <f t="shared" si="143"/>
        <v>1014</v>
      </c>
      <c r="AC824">
        <f t="shared" si="144"/>
        <v>0</v>
      </c>
    </row>
    <row r="825" spans="1:29" x14ac:dyDescent="0.2">
      <c r="A825">
        <v>430</v>
      </c>
      <c r="D825">
        <f t="shared" si="145"/>
        <v>1</v>
      </c>
      <c r="E825">
        <v>1</v>
      </c>
      <c r="F825" s="6" t="s">
        <v>314</v>
      </c>
      <c r="G825">
        <v>1</v>
      </c>
      <c r="H825" s="8" t="s">
        <v>311</v>
      </c>
      <c r="I825" t="s">
        <v>178</v>
      </c>
      <c r="J825">
        <v>18</v>
      </c>
      <c r="K825" t="s">
        <v>489</v>
      </c>
      <c r="L825" t="s">
        <v>277</v>
      </c>
      <c r="M825" t="s">
        <v>191</v>
      </c>
      <c r="N825" t="s">
        <v>87</v>
      </c>
      <c r="Q825">
        <f t="shared" si="149"/>
        <v>18977</v>
      </c>
      <c r="R825" t="str">
        <f t="shared" si="149"/>
        <v>Velodrome</v>
      </c>
      <c r="S825" t="str">
        <f t="shared" si="149"/>
        <v>HollowBrook</v>
      </c>
      <c r="T825" s="20">
        <f t="shared" si="139"/>
        <v>3</v>
      </c>
      <c r="U825">
        <f t="shared" si="140"/>
        <v>66</v>
      </c>
      <c r="V825">
        <f t="shared" si="141"/>
        <v>63</v>
      </c>
      <c r="W825" cm="1">
        <f t="array" ref="W825">_xlfn._xlws.FILTER(shifts!A:A,(shifts!B:B=events!D825)*(shifts!AH:AH&gt;=events!U825)*(shifts!AI:AI&lt;=events!V825))</f>
        <v>28</v>
      </c>
      <c r="X825" t="str">
        <f t="shared" si="150"/>
        <v>opp_team_player_2</v>
      </c>
      <c r="Y825">
        <f>COUNTIFS(A$3:A825,"="&amp;A825,K$3:K825,"="&amp;K825)</f>
        <v>2</v>
      </c>
      <c r="Z825" s="20">
        <f>SUMIFS(T$3:T825,L$3:L825,"=Intermission")+SUMIFS(T$3:T825,L$3:L825,"=Timeout")+SUMIFS(T$3:T825,L$3:L825,"=Clockstop")</f>
        <v>0</v>
      </c>
      <c r="AA825">
        <f t="shared" si="142"/>
        <v>0</v>
      </c>
      <c r="AB825" s="26">
        <f t="shared" si="143"/>
        <v>1014</v>
      </c>
      <c r="AC825">
        <f t="shared" si="144"/>
        <v>0</v>
      </c>
    </row>
    <row r="826" spans="1:29" x14ac:dyDescent="0.2">
      <c r="A826">
        <v>430</v>
      </c>
      <c r="D826">
        <f t="shared" si="145"/>
        <v>1</v>
      </c>
      <c r="E826">
        <v>1</v>
      </c>
      <c r="F826" s="6" t="s">
        <v>314</v>
      </c>
      <c r="G826">
        <v>1</v>
      </c>
      <c r="H826" s="8" t="s">
        <v>311</v>
      </c>
      <c r="I826" t="s">
        <v>178</v>
      </c>
      <c r="J826">
        <v>5</v>
      </c>
      <c r="K826" t="s">
        <v>489</v>
      </c>
      <c r="L826" t="s">
        <v>277</v>
      </c>
      <c r="M826" t="s">
        <v>191</v>
      </c>
      <c r="N826" t="s">
        <v>87</v>
      </c>
      <c r="Q826">
        <f t="shared" si="149"/>
        <v>18977</v>
      </c>
      <c r="R826" t="str">
        <f t="shared" si="149"/>
        <v>Velodrome</v>
      </c>
      <c r="S826" t="str">
        <f t="shared" si="149"/>
        <v>HollowBrook</v>
      </c>
      <c r="T826" s="20">
        <f t="shared" si="139"/>
        <v>3</v>
      </c>
      <c r="U826">
        <f t="shared" si="140"/>
        <v>66</v>
      </c>
      <c r="V826">
        <f t="shared" si="141"/>
        <v>63</v>
      </c>
      <c r="W826" cm="1">
        <f t="array" ref="W826">_xlfn._xlws.FILTER(shifts!A:A,(shifts!B:B=events!D826)*(shifts!AH:AH&gt;=events!U826)*(shifts!AI:AI&lt;=events!V826))</f>
        <v>28</v>
      </c>
      <c r="X826" t="str">
        <f t="shared" si="150"/>
        <v>opp_team_player_3</v>
      </c>
      <c r="Y826">
        <f>COUNTIFS(A$3:A826,"="&amp;A826,K$3:K826,"="&amp;K826)</f>
        <v>3</v>
      </c>
      <c r="Z826" s="20">
        <f>SUMIFS(T$3:T826,L$3:L826,"=Intermission")+SUMIFS(T$3:T826,L$3:L826,"=Timeout")+SUMIFS(T$3:T826,L$3:L826,"=Clockstop")</f>
        <v>0</v>
      </c>
      <c r="AA826">
        <f t="shared" si="142"/>
        <v>0</v>
      </c>
      <c r="AB826" s="26">
        <f t="shared" si="143"/>
        <v>1014</v>
      </c>
      <c r="AC826">
        <f t="shared" si="144"/>
        <v>0</v>
      </c>
    </row>
    <row r="827" spans="1:29" x14ac:dyDescent="0.2">
      <c r="A827">
        <v>431</v>
      </c>
      <c r="D827">
        <f t="shared" si="145"/>
        <v>1</v>
      </c>
      <c r="E827">
        <v>1</v>
      </c>
      <c r="F827" s="6" t="s">
        <v>311</v>
      </c>
      <c r="G827">
        <v>1</v>
      </c>
      <c r="H827" s="8" t="s">
        <v>316</v>
      </c>
      <c r="I827" t="s">
        <v>178</v>
      </c>
      <c r="J827">
        <v>70</v>
      </c>
      <c r="K827" t="s">
        <v>488</v>
      </c>
      <c r="L827" t="s">
        <v>15</v>
      </c>
      <c r="Q827">
        <f t="shared" si="149"/>
        <v>18977</v>
      </c>
      <c r="R827" t="str">
        <f t="shared" si="149"/>
        <v>Velodrome</v>
      </c>
      <c r="S827" t="str">
        <f t="shared" si="149"/>
        <v>HollowBrook</v>
      </c>
      <c r="T827" s="20">
        <f t="shared" si="139"/>
        <v>1</v>
      </c>
      <c r="U827">
        <f t="shared" si="140"/>
        <v>63</v>
      </c>
      <c r="V827">
        <f t="shared" si="141"/>
        <v>62</v>
      </c>
      <c r="W827" cm="1">
        <f t="array" ref="W827">_xlfn._xlws.FILTER(shifts!A:A,(shifts!B:B=events!D827)*(shifts!AH:AH&gt;=events!U827)*(shifts!AI:AI&lt;=events!V827))</f>
        <v>28</v>
      </c>
      <c r="X827" t="str">
        <f t="shared" si="150"/>
        <v>event_team_player_1</v>
      </c>
      <c r="Y827">
        <f>COUNTIFS(A$3:A827,"="&amp;A827,K$3:K827,"="&amp;K827)</f>
        <v>1</v>
      </c>
      <c r="Z827" s="20">
        <f>SUMIFS(T$3:T827,L$3:L827,"=Intermission")+SUMIFS(T$3:T827,L$3:L827,"=Timeout")+SUMIFS(T$3:T827,L$3:L827,"=Clockstop")</f>
        <v>0</v>
      </c>
      <c r="AA827">
        <f t="shared" si="142"/>
        <v>0</v>
      </c>
      <c r="AB827" s="26">
        <f t="shared" si="143"/>
        <v>1017</v>
      </c>
      <c r="AC827">
        <f t="shared" si="144"/>
        <v>0</v>
      </c>
    </row>
    <row r="828" spans="1:29" x14ac:dyDescent="0.2">
      <c r="A828">
        <v>431</v>
      </c>
      <c r="D828">
        <f t="shared" si="145"/>
        <v>1</v>
      </c>
      <c r="E828">
        <v>1</v>
      </c>
      <c r="F828" s="6" t="s">
        <v>311</v>
      </c>
      <c r="G828">
        <v>1</v>
      </c>
      <c r="H828" s="8" t="s">
        <v>316</v>
      </c>
      <c r="I828" t="s">
        <v>178</v>
      </c>
      <c r="J828">
        <v>19</v>
      </c>
      <c r="K828" t="s">
        <v>489</v>
      </c>
      <c r="L828" t="s">
        <v>15</v>
      </c>
      <c r="Q828">
        <f t="shared" si="149"/>
        <v>18977</v>
      </c>
      <c r="R828" t="str">
        <f t="shared" si="149"/>
        <v>Velodrome</v>
      </c>
      <c r="S828" t="str">
        <f t="shared" si="149"/>
        <v>HollowBrook</v>
      </c>
      <c r="T828" s="20">
        <f t="shared" si="139"/>
        <v>1</v>
      </c>
      <c r="U828">
        <f t="shared" si="140"/>
        <v>63</v>
      </c>
      <c r="V828">
        <f t="shared" si="141"/>
        <v>62</v>
      </c>
      <c r="W828" cm="1">
        <f t="array" ref="W828">_xlfn._xlws.FILTER(shifts!A:A,(shifts!B:B=events!D828)*(shifts!AH:AH&gt;=events!U828)*(shifts!AI:AI&lt;=events!V828))</f>
        <v>28</v>
      </c>
      <c r="X828" t="str">
        <f t="shared" si="150"/>
        <v>opp_team_player_1</v>
      </c>
      <c r="Y828">
        <f>COUNTIFS(A$3:A828,"="&amp;A828,K$3:K828,"="&amp;K828)</f>
        <v>1</v>
      </c>
      <c r="Z828" s="20">
        <f>SUMIFS(T$3:T828,L$3:L828,"=Intermission")+SUMIFS(T$3:T828,L$3:L828,"=Timeout")+SUMIFS(T$3:T828,L$3:L828,"=Clockstop")</f>
        <v>0</v>
      </c>
      <c r="AA828">
        <f t="shared" si="142"/>
        <v>0</v>
      </c>
      <c r="AB828" s="26">
        <f t="shared" si="143"/>
        <v>1017</v>
      </c>
      <c r="AC828">
        <f t="shared" si="144"/>
        <v>0</v>
      </c>
    </row>
    <row r="829" spans="1:29" x14ac:dyDescent="0.2">
      <c r="A829">
        <v>432</v>
      </c>
      <c r="D829">
        <f t="shared" si="145"/>
        <v>1</v>
      </c>
      <c r="E829">
        <v>1</v>
      </c>
      <c r="F829" s="6" t="s">
        <v>316</v>
      </c>
      <c r="I829" t="s">
        <v>178</v>
      </c>
      <c r="J829">
        <v>70</v>
      </c>
      <c r="K829" t="s">
        <v>488</v>
      </c>
      <c r="L829" t="s">
        <v>8</v>
      </c>
      <c r="M829" t="s">
        <v>199</v>
      </c>
      <c r="N829" t="s">
        <v>69</v>
      </c>
      <c r="Q829">
        <f t="shared" si="149"/>
        <v>18977</v>
      </c>
      <c r="R829" t="str">
        <f t="shared" si="149"/>
        <v>Velodrome</v>
      </c>
      <c r="S829" t="str">
        <f t="shared" si="149"/>
        <v>HollowBrook</v>
      </c>
      <c r="T829" s="20">
        <f t="shared" si="139"/>
        <v>0</v>
      </c>
      <c r="U829">
        <f t="shared" si="140"/>
        <v>62</v>
      </c>
      <c r="V829">
        <f t="shared" si="141"/>
        <v>62</v>
      </c>
      <c r="W829" cm="1">
        <f t="array" ref="W829">_xlfn._xlws.FILTER(shifts!A:A,(shifts!B:B=events!D829)*(shifts!AH:AH&gt;=events!U829)*(shifts!AI:AI&lt;=events!V829))</f>
        <v>28</v>
      </c>
      <c r="X829" t="str">
        <f t="shared" si="150"/>
        <v>event_team_player_1</v>
      </c>
      <c r="Y829">
        <f>COUNTIFS(A$3:A829,"="&amp;A829,K$3:K829,"="&amp;K829)</f>
        <v>1</v>
      </c>
      <c r="Z829" s="20">
        <f>SUMIFS(T$3:T829,L$3:L829,"=Intermission")+SUMIFS(T$3:T829,L$3:L829,"=Timeout")+SUMIFS(T$3:T829,L$3:L829,"=Clockstop")</f>
        <v>0</v>
      </c>
      <c r="AA829">
        <f t="shared" si="142"/>
        <v>0</v>
      </c>
      <c r="AB829" s="26">
        <f t="shared" si="143"/>
        <v>1018</v>
      </c>
      <c r="AC829">
        <f t="shared" si="144"/>
        <v>0</v>
      </c>
    </row>
    <row r="830" spans="1:29" x14ac:dyDescent="0.2">
      <c r="A830">
        <v>432</v>
      </c>
      <c r="D830">
        <f t="shared" si="145"/>
        <v>1</v>
      </c>
      <c r="E830">
        <v>1</v>
      </c>
      <c r="F830" s="6" t="s">
        <v>316</v>
      </c>
      <c r="I830" t="s">
        <v>178</v>
      </c>
      <c r="J830">
        <v>75</v>
      </c>
      <c r="K830" t="s">
        <v>488</v>
      </c>
      <c r="L830" t="s">
        <v>8</v>
      </c>
      <c r="M830" t="s">
        <v>199</v>
      </c>
      <c r="N830" t="s">
        <v>69</v>
      </c>
      <c r="Q830">
        <f t="shared" si="149"/>
        <v>18977</v>
      </c>
      <c r="R830" t="str">
        <f t="shared" si="149"/>
        <v>Velodrome</v>
      </c>
      <c r="S830" t="str">
        <f t="shared" si="149"/>
        <v>HollowBrook</v>
      </c>
      <c r="T830" s="20">
        <f t="shared" si="139"/>
        <v>0</v>
      </c>
      <c r="U830">
        <f t="shared" si="140"/>
        <v>62</v>
      </c>
      <c r="V830">
        <f t="shared" si="141"/>
        <v>62</v>
      </c>
      <c r="W830" cm="1">
        <f t="array" ref="W830">_xlfn._xlws.FILTER(shifts!A:A,(shifts!B:B=events!D830)*(shifts!AH:AH&gt;=events!U830)*(shifts!AI:AI&lt;=events!V830))</f>
        <v>28</v>
      </c>
      <c r="X830" t="str">
        <f t="shared" si="150"/>
        <v>event_team_player_2</v>
      </c>
      <c r="Y830">
        <f>COUNTIFS(A$3:A830,"="&amp;A830,K$3:K830,"="&amp;K830)</f>
        <v>2</v>
      </c>
      <c r="Z830" s="20">
        <f>SUMIFS(T$3:T830,L$3:L830,"=Intermission")+SUMIFS(T$3:T830,L$3:L830,"=Timeout")+SUMIFS(T$3:T830,L$3:L830,"=Clockstop")</f>
        <v>0</v>
      </c>
      <c r="AA830">
        <f t="shared" si="142"/>
        <v>0</v>
      </c>
      <c r="AB830" s="26">
        <f t="shared" si="143"/>
        <v>1018</v>
      </c>
      <c r="AC830">
        <f t="shared" si="144"/>
        <v>0</v>
      </c>
    </row>
    <row r="831" spans="1:29" x14ac:dyDescent="0.2">
      <c r="A831">
        <v>432</v>
      </c>
      <c r="D831">
        <f t="shared" si="145"/>
        <v>1</v>
      </c>
      <c r="E831">
        <v>1</v>
      </c>
      <c r="F831" s="6" t="s">
        <v>316</v>
      </c>
      <c r="I831" t="s">
        <v>178</v>
      </c>
      <c r="J831">
        <v>5</v>
      </c>
      <c r="K831" t="s">
        <v>489</v>
      </c>
      <c r="L831" t="s">
        <v>8</v>
      </c>
      <c r="M831" t="s">
        <v>199</v>
      </c>
      <c r="N831" t="s">
        <v>69</v>
      </c>
      <c r="Q831">
        <f t="shared" si="149"/>
        <v>18977</v>
      </c>
      <c r="R831" t="str">
        <f t="shared" si="149"/>
        <v>Velodrome</v>
      </c>
      <c r="S831" t="str">
        <f t="shared" si="149"/>
        <v>HollowBrook</v>
      </c>
      <c r="T831" s="20">
        <f t="shared" si="139"/>
        <v>0</v>
      </c>
      <c r="U831">
        <f t="shared" si="140"/>
        <v>62</v>
      </c>
      <c r="V831">
        <f t="shared" si="141"/>
        <v>62</v>
      </c>
      <c r="W831" cm="1">
        <f t="array" ref="W831">_xlfn._xlws.FILTER(shifts!A:A,(shifts!B:B=events!D831)*(shifts!AH:AH&gt;=events!U831)*(shifts!AI:AI&lt;=events!V831))</f>
        <v>28</v>
      </c>
      <c r="X831" t="str">
        <f t="shared" si="150"/>
        <v>opp_team_player_1</v>
      </c>
      <c r="Y831">
        <f>COUNTIFS(A$3:A831,"="&amp;A831,K$3:K831,"="&amp;K831)</f>
        <v>1</v>
      </c>
      <c r="Z831" s="20">
        <f>SUMIFS(T$3:T831,L$3:L831,"=Intermission")+SUMIFS(T$3:T831,L$3:L831,"=Timeout")+SUMIFS(T$3:T831,L$3:L831,"=Clockstop")</f>
        <v>0</v>
      </c>
      <c r="AA831">
        <f t="shared" si="142"/>
        <v>0</v>
      </c>
      <c r="AB831" s="26">
        <f t="shared" si="143"/>
        <v>1018</v>
      </c>
      <c r="AC831">
        <f t="shared" si="144"/>
        <v>0</v>
      </c>
    </row>
    <row r="832" spans="1:29" x14ac:dyDescent="0.2">
      <c r="A832">
        <v>433</v>
      </c>
      <c r="D832">
        <f t="shared" si="145"/>
        <v>1</v>
      </c>
      <c r="E832">
        <v>0</v>
      </c>
      <c r="F832" s="6" t="s">
        <v>433</v>
      </c>
      <c r="I832" t="s">
        <v>179</v>
      </c>
      <c r="J832">
        <v>11</v>
      </c>
      <c r="K832" t="s">
        <v>488</v>
      </c>
      <c r="L832" t="s">
        <v>10</v>
      </c>
      <c r="M832" t="s">
        <v>200</v>
      </c>
      <c r="N832" t="s">
        <v>81</v>
      </c>
      <c r="Q832">
        <f t="shared" si="149"/>
        <v>18977</v>
      </c>
      <c r="R832" t="str">
        <f t="shared" si="149"/>
        <v>Velodrome</v>
      </c>
      <c r="S832" t="str">
        <f t="shared" si="149"/>
        <v>HollowBrook</v>
      </c>
      <c r="T832" s="20">
        <f t="shared" si="139"/>
        <v>0</v>
      </c>
      <c r="U832">
        <f t="shared" si="140"/>
        <v>57</v>
      </c>
      <c r="V832">
        <f t="shared" si="141"/>
        <v>57</v>
      </c>
      <c r="W832" cm="1">
        <f t="array" ref="W832">_xlfn._xlws.FILTER(shifts!A:A,(shifts!B:B=events!D832)*(shifts!AH:AH&gt;=events!U832)*(shifts!AI:AI&lt;=events!V832))</f>
        <v>28</v>
      </c>
      <c r="X832" t="str">
        <f t="shared" si="150"/>
        <v>event_team_player_1</v>
      </c>
      <c r="Y832">
        <f>COUNTIFS(A$3:A832,"="&amp;A832,K$3:K832,"="&amp;K832)</f>
        <v>1</v>
      </c>
      <c r="Z832" s="20">
        <f>SUMIFS(T$3:T832,L$3:L832,"=Intermission")+SUMIFS(T$3:T832,L$3:L832,"=Timeout")+SUMIFS(T$3:T832,L$3:L832,"=Clockstop")</f>
        <v>0</v>
      </c>
      <c r="AA832">
        <f t="shared" si="142"/>
        <v>0</v>
      </c>
      <c r="AB832" s="26">
        <f t="shared" si="143"/>
        <v>1023</v>
      </c>
      <c r="AC832">
        <f t="shared" si="144"/>
        <v>0</v>
      </c>
    </row>
    <row r="833" spans="1:29" x14ac:dyDescent="0.2">
      <c r="A833">
        <v>433</v>
      </c>
      <c r="D833">
        <f t="shared" si="145"/>
        <v>1</v>
      </c>
      <c r="E833">
        <v>0</v>
      </c>
      <c r="F833" s="6" t="s">
        <v>433</v>
      </c>
      <c r="I833" t="s">
        <v>179</v>
      </c>
      <c r="J833">
        <v>75</v>
      </c>
      <c r="K833" t="s">
        <v>489</v>
      </c>
      <c r="L833" t="s">
        <v>10</v>
      </c>
      <c r="M833" t="s">
        <v>200</v>
      </c>
      <c r="N833" t="s">
        <v>81</v>
      </c>
      <c r="Q833">
        <f t="shared" si="149"/>
        <v>18977</v>
      </c>
      <c r="R833" t="str">
        <f t="shared" si="149"/>
        <v>Velodrome</v>
      </c>
      <c r="S833" t="str">
        <f t="shared" si="149"/>
        <v>HollowBrook</v>
      </c>
      <c r="T833" s="20">
        <f t="shared" si="139"/>
        <v>0</v>
      </c>
      <c r="U833">
        <f t="shared" si="140"/>
        <v>57</v>
      </c>
      <c r="V833">
        <f t="shared" si="141"/>
        <v>57</v>
      </c>
      <c r="W833" cm="1">
        <f t="array" ref="W833">_xlfn._xlws.FILTER(shifts!A:A,(shifts!B:B=events!D833)*(shifts!AH:AH&gt;=events!U833)*(shifts!AI:AI&lt;=events!V833))</f>
        <v>28</v>
      </c>
      <c r="X833" t="str">
        <f t="shared" si="150"/>
        <v>opp_team_player_1</v>
      </c>
      <c r="Y833">
        <f>COUNTIFS(A$3:A833,"="&amp;A833,K$3:K833,"="&amp;K833)</f>
        <v>1</v>
      </c>
      <c r="Z833" s="20">
        <f>SUMIFS(T$3:T833,L$3:L833,"=Intermission")+SUMIFS(T$3:T833,L$3:L833,"=Timeout")+SUMIFS(T$3:T833,L$3:L833,"=Clockstop")</f>
        <v>0</v>
      </c>
      <c r="AA833">
        <f t="shared" si="142"/>
        <v>0</v>
      </c>
      <c r="AB833" s="26">
        <f t="shared" si="143"/>
        <v>1023</v>
      </c>
      <c r="AC833">
        <f t="shared" si="144"/>
        <v>0</v>
      </c>
    </row>
    <row r="834" spans="1:29" x14ac:dyDescent="0.2">
      <c r="A834">
        <v>434</v>
      </c>
      <c r="D834">
        <f t="shared" si="145"/>
        <v>1</v>
      </c>
      <c r="E834">
        <v>0</v>
      </c>
      <c r="F834" s="6" t="s">
        <v>421</v>
      </c>
      <c r="G834">
        <v>0</v>
      </c>
      <c r="H834" s="8" t="s">
        <v>434</v>
      </c>
      <c r="I834" t="s">
        <v>179</v>
      </c>
      <c r="J834">
        <v>11</v>
      </c>
      <c r="K834" t="s">
        <v>488</v>
      </c>
      <c r="L834" t="s">
        <v>15</v>
      </c>
      <c r="Q834">
        <f t="shared" si="149"/>
        <v>18977</v>
      </c>
      <c r="R834" t="str">
        <f t="shared" si="149"/>
        <v>Velodrome</v>
      </c>
      <c r="S834" t="str">
        <f t="shared" si="149"/>
        <v>HollowBrook</v>
      </c>
      <c r="T834" s="20">
        <f t="shared" si="139"/>
        <v>9</v>
      </c>
      <c r="U834">
        <f t="shared" si="140"/>
        <v>56</v>
      </c>
      <c r="V834">
        <f t="shared" si="141"/>
        <v>47</v>
      </c>
      <c r="W834" cm="1">
        <f t="array" ref="W834">_xlfn._xlws.FILTER(shifts!A:A,(shifts!B:B=events!D834)*(shifts!AH:AH&gt;=events!U834)*(shifts!AI:AI&lt;=events!V834))</f>
        <v>28</v>
      </c>
      <c r="X834" t="str">
        <f t="shared" si="150"/>
        <v>event_team_player_1</v>
      </c>
      <c r="Y834">
        <f>COUNTIFS(A$3:A834,"="&amp;A834,K$3:K834,"="&amp;K834)</f>
        <v>1</v>
      </c>
      <c r="Z834" s="20">
        <f>SUMIFS(T$3:T834,L$3:L834,"=Intermission")+SUMIFS(T$3:T834,L$3:L834,"=Timeout")+SUMIFS(T$3:T834,L$3:L834,"=Clockstop")</f>
        <v>0</v>
      </c>
      <c r="AA834">
        <f t="shared" si="142"/>
        <v>0</v>
      </c>
      <c r="AB834" s="26">
        <f t="shared" si="143"/>
        <v>1024</v>
      </c>
      <c r="AC834">
        <f t="shared" si="144"/>
        <v>0</v>
      </c>
    </row>
    <row r="835" spans="1:29" x14ac:dyDescent="0.2">
      <c r="A835">
        <v>435</v>
      </c>
      <c r="D835">
        <f t="shared" si="145"/>
        <v>1</v>
      </c>
      <c r="E835">
        <v>0</v>
      </c>
      <c r="F835" s="6" t="s">
        <v>434</v>
      </c>
      <c r="I835" t="s">
        <v>179</v>
      </c>
      <c r="J835">
        <v>11</v>
      </c>
      <c r="K835" t="s">
        <v>488</v>
      </c>
      <c r="L835" t="s">
        <v>8</v>
      </c>
      <c r="M835" t="s">
        <v>189</v>
      </c>
      <c r="N835" t="s">
        <v>71</v>
      </c>
      <c r="Q835">
        <f t="shared" si="149"/>
        <v>18977</v>
      </c>
      <c r="R835" t="str">
        <f t="shared" si="149"/>
        <v>Velodrome</v>
      </c>
      <c r="S835" t="str">
        <f t="shared" si="149"/>
        <v>HollowBrook</v>
      </c>
      <c r="T835" s="20">
        <f t="shared" si="139"/>
        <v>0</v>
      </c>
      <c r="U835">
        <f t="shared" si="140"/>
        <v>47</v>
      </c>
      <c r="V835">
        <f t="shared" si="141"/>
        <v>47</v>
      </c>
      <c r="W835" cm="1">
        <f t="array" ref="W835">_xlfn._xlws.FILTER(shifts!A:A,(shifts!B:B=events!D835)*(shifts!AH:AH&gt;=events!U835)*(shifts!AI:AI&lt;=events!V835))</f>
        <v>28</v>
      </c>
      <c r="X835" t="str">
        <f t="shared" si="150"/>
        <v>event_team_player_1</v>
      </c>
      <c r="Y835">
        <f>COUNTIFS(A$3:A835,"="&amp;A835,K$3:K835,"="&amp;K835)</f>
        <v>1</v>
      </c>
      <c r="Z835" s="20">
        <f>SUMIFS(T$3:T835,L$3:L835,"=Intermission")+SUMIFS(T$3:T835,L$3:L835,"=Timeout")+SUMIFS(T$3:T835,L$3:L835,"=Clockstop")</f>
        <v>0</v>
      </c>
      <c r="AA835">
        <f t="shared" si="142"/>
        <v>0</v>
      </c>
      <c r="AB835" s="26">
        <f t="shared" si="143"/>
        <v>1033</v>
      </c>
      <c r="AC835">
        <f t="shared" si="144"/>
        <v>0</v>
      </c>
    </row>
    <row r="836" spans="1:29" x14ac:dyDescent="0.2">
      <c r="A836">
        <v>435</v>
      </c>
      <c r="D836">
        <f t="shared" si="145"/>
        <v>1</v>
      </c>
      <c r="E836">
        <v>0</v>
      </c>
      <c r="F836" s="6" t="s">
        <v>434</v>
      </c>
      <c r="I836" t="s">
        <v>179</v>
      </c>
      <c r="J836">
        <v>19</v>
      </c>
      <c r="K836" t="s">
        <v>488</v>
      </c>
      <c r="L836" t="s">
        <v>8</v>
      </c>
      <c r="M836" t="s">
        <v>189</v>
      </c>
      <c r="N836" t="s">
        <v>71</v>
      </c>
      <c r="Q836">
        <f t="shared" si="149"/>
        <v>18977</v>
      </c>
      <c r="R836" t="str">
        <f t="shared" si="149"/>
        <v>Velodrome</v>
      </c>
      <c r="S836" t="str">
        <f t="shared" si="149"/>
        <v>HollowBrook</v>
      </c>
      <c r="T836" s="20">
        <f t="shared" ref="T836:T899" si="151">IF(AND(G836="",H836=""),0,((E836*60)+F836)-((G836*60)+H836))</f>
        <v>0</v>
      </c>
      <c r="U836">
        <f t="shared" ref="U836:U899" si="152">(E836*60)+F836</f>
        <v>47</v>
      </c>
      <c r="V836">
        <f t="shared" ref="V836:V899" si="153">IF(AND(G836="",H836=""),U836,((G836*60)+H836))</f>
        <v>47</v>
      </c>
      <c r="W836" cm="1">
        <f t="array" ref="W836">_xlfn._xlws.FILTER(shifts!A:A,(shifts!B:B=events!D836)*(shifts!AH:AH&gt;=events!U836)*(shifts!AI:AI&lt;=events!V836))</f>
        <v>28</v>
      </c>
      <c r="X836" t="str">
        <f t="shared" si="150"/>
        <v>event_team_player_2</v>
      </c>
      <c r="Y836">
        <f>COUNTIFS(A$3:A836,"="&amp;A836,K$3:K836,"="&amp;K836)</f>
        <v>2</v>
      </c>
      <c r="Z836" s="20">
        <f>SUMIFS(T$3:T836,L$3:L836,"=Intermission")+SUMIFS(T$3:T836,L$3:L836,"=Timeout")+SUMIFS(T$3:T836,L$3:L836,"=Clockstop")</f>
        <v>0</v>
      </c>
      <c r="AA836">
        <f t="shared" ref="AA836:AA899" si="154">IF(D836=1,0,IF(D836=2,1080+Z836,IF(D836=3,(1080*2)+Z836,0)))</f>
        <v>0</v>
      </c>
      <c r="AB836" s="26">
        <f t="shared" ref="AB836:AB899" si="155">((1080*D836)-((E836*60)+F836)*D836)+Z836</f>
        <v>1033</v>
      </c>
      <c r="AC836">
        <f t="shared" ref="AC836:AC899" si="156">IF(L835="GameStart",0,AA836+Z836)</f>
        <v>0</v>
      </c>
    </row>
    <row r="837" spans="1:29" x14ac:dyDescent="0.2">
      <c r="A837">
        <v>435</v>
      </c>
      <c r="D837">
        <f t="shared" ref="D837:D900" si="157">IF(L837="Intermission",D836+1,D836)</f>
        <v>1</v>
      </c>
      <c r="E837">
        <v>0</v>
      </c>
      <c r="F837" s="6" t="s">
        <v>434</v>
      </c>
      <c r="I837" t="s">
        <v>179</v>
      </c>
      <c r="J837">
        <v>75</v>
      </c>
      <c r="K837" t="s">
        <v>489</v>
      </c>
      <c r="L837" t="s">
        <v>8</v>
      </c>
      <c r="M837" t="s">
        <v>189</v>
      </c>
      <c r="N837" t="s">
        <v>71</v>
      </c>
      <c r="Q837">
        <f t="shared" ref="Q837:S852" si="158">Q836</f>
        <v>18977</v>
      </c>
      <c r="R837" t="str">
        <f t="shared" si="158"/>
        <v>Velodrome</v>
      </c>
      <c r="S837" t="str">
        <f t="shared" si="158"/>
        <v>HollowBrook</v>
      </c>
      <c r="T837" s="20">
        <f t="shared" si="151"/>
        <v>0</v>
      </c>
      <c r="U837">
        <f t="shared" si="152"/>
        <v>47</v>
      </c>
      <c r="V837">
        <f t="shared" si="153"/>
        <v>47</v>
      </c>
      <c r="W837" cm="1">
        <f t="array" ref="W837">_xlfn._xlws.FILTER(shifts!A:A,(shifts!B:B=events!D837)*(shifts!AH:AH&gt;=events!U837)*(shifts!AI:AI&lt;=events!V837))</f>
        <v>28</v>
      </c>
      <c r="X837" t="str">
        <f t="shared" si="150"/>
        <v>opp_team_player_1</v>
      </c>
      <c r="Y837">
        <f>COUNTIFS(A$3:A837,"="&amp;A837,K$3:K837,"="&amp;K837)</f>
        <v>1</v>
      </c>
      <c r="Z837" s="20">
        <f>SUMIFS(T$3:T837,L$3:L837,"=Intermission")+SUMIFS(T$3:T837,L$3:L837,"=Timeout")+SUMIFS(T$3:T837,L$3:L837,"=Clockstop")</f>
        <v>0</v>
      </c>
      <c r="AA837">
        <f t="shared" si="154"/>
        <v>0</v>
      </c>
      <c r="AB837" s="26">
        <f t="shared" si="155"/>
        <v>1033</v>
      </c>
      <c r="AC837">
        <f t="shared" si="156"/>
        <v>0</v>
      </c>
    </row>
    <row r="838" spans="1:29" x14ac:dyDescent="0.2">
      <c r="A838">
        <v>436</v>
      </c>
      <c r="D838">
        <f t="shared" si="157"/>
        <v>1</v>
      </c>
      <c r="E838">
        <v>0</v>
      </c>
      <c r="F838" s="6" t="s">
        <v>434</v>
      </c>
      <c r="I838" t="s">
        <v>179</v>
      </c>
      <c r="J838">
        <v>11</v>
      </c>
      <c r="K838" t="s">
        <v>488</v>
      </c>
      <c r="L838" t="s">
        <v>277</v>
      </c>
      <c r="M838" t="s">
        <v>201</v>
      </c>
      <c r="N838" t="s">
        <v>91</v>
      </c>
      <c r="Q838">
        <f t="shared" si="158"/>
        <v>18977</v>
      </c>
      <c r="R838" t="str">
        <f t="shared" si="158"/>
        <v>Velodrome</v>
      </c>
      <c r="S838" t="str">
        <f t="shared" si="158"/>
        <v>HollowBrook</v>
      </c>
      <c r="T838" s="20">
        <f t="shared" si="151"/>
        <v>0</v>
      </c>
      <c r="U838">
        <f t="shared" si="152"/>
        <v>47</v>
      </c>
      <c r="V838">
        <f t="shared" si="153"/>
        <v>47</v>
      </c>
      <c r="W838" cm="1">
        <f t="array" ref="W838">_xlfn._xlws.FILTER(shifts!A:A,(shifts!B:B=events!D838)*(shifts!AH:AH&gt;=events!U838)*(shifts!AI:AI&lt;=events!V838))</f>
        <v>28</v>
      </c>
      <c r="X838" t="str">
        <f t="shared" si="150"/>
        <v>event_team_player_1</v>
      </c>
      <c r="Y838">
        <f>COUNTIFS(A$3:A838,"="&amp;A838,K$3:K838,"="&amp;K838)</f>
        <v>1</v>
      </c>
      <c r="Z838" s="20">
        <f>SUMIFS(T$3:T838,L$3:L838,"=Intermission")+SUMIFS(T$3:T838,L$3:L838,"=Timeout")+SUMIFS(T$3:T838,L$3:L838,"=Clockstop")</f>
        <v>0</v>
      </c>
      <c r="AA838">
        <f t="shared" si="154"/>
        <v>0</v>
      </c>
      <c r="AB838" s="26">
        <f t="shared" si="155"/>
        <v>1033</v>
      </c>
      <c r="AC838">
        <f t="shared" si="156"/>
        <v>0</v>
      </c>
    </row>
    <row r="839" spans="1:29" x14ac:dyDescent="0.2">
      <c r="A839">
        <v>436</v>
      </c>
      <c r="D839">
        <f t="shared" si="157"/>
        <v>1</v>
      </c>
      <c r="E839">
        <v>0</v>
      </c>
      <c r="F839" s="6" t="s">
        <v>434</v>
      </c>
      <c r="I839" t="s">
        <v>179</v>
      </c>
      <c r="J839">
        <v>19</v>
      </c>
      <c r="K839" t="s">
        <v>488</v>
      </c>
      <c r="L839" t="s">
        <v>277</v>
      </c>
      <c r="M839" t="s">
        <v>201</v>
      </c>
      <c r="N839" t="s">
        <v>91</v>
      </c>
      <c r="Q839">
        <f t="shared" si="158"/>
        <v>18977</v>
      </c>
      <c r="R839" t="str">
        <f t="shared" si="158"/>
        <v>Velodrome</v>
      </c>
      <c r="S839" t="str">
        <f t="shared" si="158"/>
        <v>HollowBrook</v>
      </c>
      <c r="T839" s="20">
        <f t="shared" si="151"/>
        <v>0</v>
      </c>
      <c r="U839">
        <f t="shared" si="152"/>
        <v>47</v>
      </c>
      <c r="V839">
        <f t="shared" si="153"/>
        <v>47</v>
      </c>
      <c r="W839" cm="1">
        <f t="array" ref="W839">_xlfn._xlws.FILTER(shifts!A:A,(shifts!B:B=events!D839)*(shifts!AH:AH&gt;=events!U839)*(shifts!AI:AI&lt;=events!V839))</f>
        <v>28</v>
      </c>
      <c r="X839" t="str">
        <f t="shared" si="150"/>
        <v>event_team_player_2</v>
      </c>
      <c r="Y839">
        <f>COUNTIFS(A$3:A839,"="&amp;A839,K$3:K839,"="&amp;K839)</f>
        <v>2</v>
      </c>
      <c r="Z839" s="20">
        <f>SUMIFS(T$3:T839,L$3:L839,"=Intermission")+SUMIFS(T$3:T839,L$3:L839,"=Timeout")+SUMIFS(T$3:T839,L$3:L839,"=Clockstop")</f>
        <v>0</v>
      </c>
      <c r="AA839">
        <f t="shared" si="154"/>
        <v>0</v>
      </c>
      <c r="AB839" s="26">
        <f t="shared" si="155"/>
        <v>1033</v>
      </c>
      <c r="AC839">
        <f t="shared" si="156"/>
        <v>0</v>
      </c>
    </row>
    <row r="840" spans="1:29" x14ac:dyDescent="0.2">
      <c r="A840">
        <v>436</v>
      </c>
      <c r="D840">
        <f t="shared" si="157"/>
        <v>1</v>
      </c>
      <c r="E840">
        <v>0</v>
      </c>
      <c r="F840" s="6" t="s">
        <v>434</v>
      </c>
      <c r="I840" t="s">
        <v>179</v>
      </c>
      <c r="J840">
        <v>75</v>
      </c>
      <c r="K840" t="s">
        <v>489</v>
      </c>
      <c r="L840" t="s">
        <v>277</v>
      </c>
      <c r="M840" t="s">
        <v>201</v>
      </c>
      <c r="N840" t="s">
        <v>91</v>
      </c>
      <c r="Q840">
        <f t="shared" si="158"/>
        <v>18977</v>
      </c>
      <c r="R840" t="str">
        <f t="shared" si="158"/>
        <v>Velodrome</v>
      </c>
      <c r="S840" t="str">
        <f t="shared" si="158"/>
        <v>HollowBrook</v>
      </c>
      <c r="T840" s="20">
        <f t="shared" si="151"/>
        <v>0</v>
      </c>
      <c r="U840">
        <f t="shared" si="152"/>
        <v>47</v>
      </c>
      <c r="V840">
        <f t="shared" si="153"/>
        <v>47</v>
      </c>
      <c r="W840" cm="1">
        <f t="array" ref="W840">_xlfn._xlws.FILTER(shifts!A:A,(shifts!B:B=events!D840)*(shifts!AH:AH&gt;=events!U840)*(shifts!AI:AI&lt;=events!V840))</f>
        <v>28</v>
      </c>
      <c r="X840" t="str">
        <f t="shared" si="150"/>
        <v>opp_team_player_1</v>
      </c>
      <c r="Y840">
        <f>COUNTIFS(A$3:A840,"="&amp;A840,K$3:K840,"="&amp;K840)</f>
        <v>1</v>
      </c>
      <c r="Z840" s="20">
        <f>SUMIFS(T$3:T840,L$3:L840,"=Intermission")+SUMIFS(T$3:T840,L$3:L840,"=Timeout")+SUMIFS(T$3:T840,L$3:L840,"=Clockstop")</f>
        <v>0</v>
      </c>
      <c r="AA840">
        <f t="shared" si="154"/>
        <v>0</v>
      </c>
      <c r="AB840" s="26">
        <f t="shared" si="155"/>
        <v>1033</v>
      </c>
      <c r="AC840">
        <f t="shared" si="156"/>
        <v>0</v>
      </c>
    </row>
    <row r="841" spans="1:29" x14ac:dyDescent="0.2">
      <c r="A841">
        <v>437</v>
      </c>
      <c r="D841">
        <f t="shared" si="157"/>
        <v>1</v>
      </c>
      <c r="E841">
        <v>0</v>
      </c>
      <c r="F841" s="6" t="s">
        <v>434</v>
      </c>
      <c r="G841">
        <v>0</v>
      </c>
      <c r="H841" s="8" t="s">
        <v>435</v>
      </c>
      <c r="I841" t="s">
        <v>179</v>
      </c>
      <c r="J841">
        <v>19</v>
      </c>
      <c r="K841" t="s">
        <v>488</v>
      </c>
      <c r="L841" t="s">
        <v>15</v>
      </c>
      <c r="Q841">
        <f t="shared" si="158"/>
        <v>18977</v>
      </c>
      <c r="R841" t="str">
        <f t="shared" si="158"/>
        <v>Velodrome</v>
      </c>
      <c r="S841" t="str">
        <f t="shared" si="158"/>
        <v>HollowBrook</v>
      </c>
      <c r="T841" s="20">
        <f t="shared" si="151"/>
        <v>3</v>
      </c>
      <c r="U841">
        <f t="shared" si="152"/>
        <v>47</v>
      </c>
      <c r="V841">
        <f t="shared" si="153"/>
        <v>44</v>
      </c>
      <c r="W841" cm="1">
        <f t="array" ref="W841">_xlfn._xlws.FILTER(shifts!A:A,(shifts!B:B=events!D841)*(shifts!AH:AH&gt;=events!U841)*(shifts!AI:AI&lt;=events!V841))</f>
        <v>28</v>
      </c>
      <c r="X841" t="str">
        <f t="shared" si="150"/>
        <v>event_team_player_1</v>
      </c>
      <c r="Y841">
        <f>COUNTIFS(A$3:A841,"="&amp;A841,K$3:K841,"="&amp;K841)</f>
        <v>1</v>
      </c>
      <c r="Z841" s="20">
        <f>SUMIFS(T$3:T841,L$3:L841,"=Intermission")+SUMIFS(T$3:T841,L$3:L841,"=Timeout")+SUMIFS(T$3:T841,L$3:L841,"=Clockstop")</f>
        <v>0</v>
      </c>
      <c r="AA841">
        <f t="shared" si="154"/>
        <v>0</v>
      </c>
      <c r="AB841" s="26">
        <f t="shared" si="155"/>
        <v>1033</v>
      </c>
      <c r="AC841">
        <f t="shared" si="156"/>
        <v>0</v>
      </c>
    </row>
    <row r="842" spans="1:29" x14ac:dyDescent="0.2">
      <c r="A842">
        <v>438</v>
      </c>
      <c r="D842">
        <f t="shared" si="157"/>
        <v>1</v>
      </c>
      <c r="E842">
        <v>0</v>
      </c>
      <c r="F842" s="6" t="s">
        <v>435</v>
      </c>
      <c r="G842">
        <v>0</v>
      </c>
      <c r="H842" s="8" t="s">
        <v>431</v>
      </c>
      <c r="I842" t="s">
        <v>179</v>
      </c>
      <c r="J842">
        <v>19</v>
      </c>
      <c r="K842" t="s">
        <v>488</v>
      </c>
      <c r="L842" t="s">
        <v>277</v>
      </c>
      <c r="M842" t="s">
        <v>191</v>
      </c>
      <c r="N842" t="s">
        <v>87</v>
      </c>
      <c r="Q842">
        <f t="shared" si="158"/>
        <v>18977</v>
      </c>
      <c r="R842" t="str">
        <f t="shared" si="158"/>
        <v>Velodrome</v>
      </c>
      <c r="S842" t="str">
        <f t="shared" si="158"/>
        <v>HollowBrook</v>
      </c>
      <c r="T842" s="20">
        <f t="shared" si="151"/>
        <v>3</v>
      </c>
      <c r="U842">
        <f t="shared" si="152"/>
        <v>44</v>
      </c>
      <c r="V842">
        <f t="shared" si="153"/>
        <v>41</v>
      </c>
      <c r="W842" cm="1">
        <f t="array" ref="W842">_xlfn._xlws.FILTER(shifts!A:A,(shifts!B:B=events!D842)*(shifts!AH:AH&gt;=events!U842)*(shifts!AI:AI&lt;=events!V842))</f>
        <v>29</v>
      </c>
      <c r="X842" t="str">
        <f t="shared" si="150"/>
        <v>event_team_player_1</v>
      </c>
      <c r="Y842">
        <f>COUNTIFS(A$3:A842,"="&amp;A842,K$3:K842,"="&amp;K842)</f>
        <v>1</v>
      </c>
      <c r="Z842" s="20">
        <f>SUMIFS(T$3:T842,L$3:L842,"=Intermission")+SUMIFS(T$3:T842,L$3:L842,"=Timeout")+SUMIFS(T$3:T842,L$3:L842,"=Clockstop")</f>
        <v>0</v>
      </c>
      <c r="AA842">
        <f t="shared" si="154"/>
        <v>0</v>
      </c>
      <c r="AB842" s="26">
        <f t="shared" si="155"/>
        <v>1036</v>
      </c>
      <c r="AC842">
        <f t="shared" si="156"/>
        <v>0</v>
      </c>
    </row>
    <row r="843" spans="1:29" x14ac:dyDescent="0.2">
      <c r="A843">
        <v>438</v>
      </c>
      <c r="D843">
        <f t="shared" si="157"/>
        <v>1</v>
      </c>
      <c r="E843">
        <v>0</v>
      </c>
      <c r="F843" s="6" t="s">
        <v>435</v>
      </c>
      <c r="G843">
        <v>0</v>
      </c>
      <c r="H843" s="8" t="s">
        <v>431</v>
      </c>
      <c r="I843" t="s">
        <v>179</v>
      </c>
      <c r="J843">
        <v>22</v>
      </c>
      <c r="K843" t="s">
        <v>488</v>
      </c>
      <c r="L843" t="s">
        <v>277</v>
      </c>
      <c r="M843" t="s">
        <v>191</v>
      </c>
      <c r="N843" t="s">
        <v>87</v>
      </c>
      <c r="Q843">
        <f t="shared" si="158"/>
        <v>18977</v>
      </c>
      <c r="R843" t="str">
        <f t="shared" si="158"/>
        <v>Velodrome</v>
      </c>
      <c r="S843" t="str">
        <f t="shared" si="158"/>
        <v>HollowBrook</v>
      </c>
      <c r="T843" s="20">
        <f t="shared" si="151"/>
        <v>3</v>
      </c>
      <c r="U843">
        <f t="shared" si="152"/>
        <v>44</v>
      </c>
      <c r="V843">
        <f t="shared" si="153"/>
        <v>41</v>
      </c>
      <c r="W843" cm="1">
        <f t="array" ref="W843">_xlfn._xlws.FILTER(shifts!A:A,(shifts!B:B=events!D843)*(shifts!AH:AH&gt;=events!U843)*(shifts!AI:AI&lt;=events!V843))</f>
        <v>29</v>
      </c>
      <c r="X843" t="str">
        <f t="shared" si="150"/>
        <v>event_team_player_2</v>
      </c>
      <c r="Y843">
        <f>COUNTIFS(A$3:A843,"="&amp;A843,K$3:K843,"="&amp;K843)</f>
        <v>2</v>
      </c>
      <c r="Z843" s="20">
        <f>SUMIFS(T$3:T843,L$3:L843,"=Intermission")+SUMIFS(T$3:T843,L$3:L843,"=Timeout")+SUMIFS(T$3:T843,L$3:L843,"=Clockstop")</f>
        <v>0</v>
      </c>
      <c r="AA843">
        <f t="shared" si="154"/>
        <v>0</v>
      </c>
      <c r="AB843" s="26">
        <f t="shared" si="155"/>
        <v>1036</v>
      </c>
      <c r="AC843">
        <f t="shared" si="156"/>
        <v>0</v>
      </c>
    </row>
    <row r="844" spans="1:29" x14ac:dyDescent="0.2">
      <c r="A844">
        <v>438</v>
      </c>
      <c r="D844">
        <f t="shared" si="157"/>
        <v>1</v>
      </c>
      <c r="E844">
        <v>0</v>
      </c>
      <c r="F844" s="6" t="s">
        <v>435</v>
      </c>
      <c r="G844">
        <v>0</v>
      </c>
      <c r="H844" s="8" t="s">
        <v>431</v>
      </c>
      <c r="I844" t="s">
        <v>179</v>
      </c>
      <c r="J844">
        <v>70</v>
      </c>
      <c r="K844" t="s">
        <v>489</v>
      </c>
      <c r="L844" t="s">
        <v>277</v>
      </c>
      <c r="M844" t="s">
        <v>191</v>
      </c>
      <c r="N844" t="s">
        <v>87</v>
      </c>
      <c r="Q844">
        <f t="shared" si="158"/>
        <v>18977</v>
      </c>
      <c r="R844" t="str">
        <f t="shared" si="158"/>
        <v>Velodrome</v>
      </c>
      <c r="S844" t="str">
        <f t="shared" si="158"/>
        <v>HollowBrook</v>
      </c>
      <c r="T844" s="20">
        <f t="shared" si="151"/>
        <v>3</v>
      </c>
      <c r="U844">
        <f t="shared" si="152"/>
        <v>44</v>
      </c>
      <c r="V844">
        <f t="shared" si="153"/>
        <v>41</v>
      </c>
      <c r="W844" cm="1">
        <f t="array" ref="W844">_xlfn._xlws.FILTER(shifts!A:A,(shifts!B:B=events!D844)*(shifts!AH:AH&gt;=events!U844)*(shifts!AI:AI&lt;=events!V844))</f>
        <v>29</v>
      </c>
      <c r="X844" t="str">
        <f t="shared" si="150"/>
        <v>opp_team_player_1</v>
      </c>
      <c r="Y844">
        <f>COUNTIFS(A$3:A844,"="&amp;A844,K$3:K844,"="&amp;K844)</f>
        <v>1</v>
      </c>
      <c r="Z844" s="20">
        <f>SUMIFS(T$3:T844,L$3:L844,"=Intermission")+SUMIFS(T$3:T844,L$3:L844,"=Timeout")+SUMIFS(T$3:T844,L$3:L844,"=Clockstop")</f>
        <v>0</v>
      </c>
      <c r="AA844">
        <f t="shared" si="154"/>
        <v>0</v>
      </c>
      <c r="AB844" s="26">
        <f t="shared" si="155"/>
        <v>1036</v>
      </c>
      <c r="AC844">
        <f t="shared" si="156"/>
        <v>0</v>
      </c>
    </row>
    <row r="845" spans="1:29" x14ac:dyDescent="0.2">
      <c r="A845">
        <v>438</v>
      </c>
      <c r="D845">
        <f t="shared" si="157"/>
        <v>1</v>
      </c>
      <c r="E845">
        <v>0</v>
      </c>
      <c r="F845" s="6" t="s">
        <v>435</v>
      </c>
      <c r="G845">
        <v>0</v>
      </c>
      <c r="H845" s="8" t="s">
        <v>431</v>
      </c>
      <c r="I845" t="s">
        <v>179</v>
      </c>
      <c r="J845">
        <v>52</v>
      </c>
      <c r="K845" t="s">
        <v>489</v>
      </c>
      <c r="L845" t="s">
        <v>277</v>
      </c>
      <c r="M845" t="s">
        <v>191</v>
      </c>
      <c r="N845" t="s">
        <v>87</v>
      </c>
      <c r="Q845">
        <f t="shared" si="158"/>
        <v>18977</v>
      </c>
      <c r="R845" t="str">
        <f t="shared" si="158"/>
        <v>Velodrome</v>
      </c>
      <c r="S845" t="str">
        <f t="shared" si="158"/>
        <v>HollowBrook</v>
      </c>
      <c r="T845" s="20">
        <f t="shared" si="151"/>
        <v>3</v>
      </c>
      <c r="U845">
        <f t="shared" si="152"/>
        <v>44</v>
      </c>
      <c r="V845">
        <f t="shared" si="153"/>
        <v>41</v>
      </c>
      <c r="W845" cm="1">
        <f t="array" ref="W845">_xlfn._xlws.FILTER(shifts!A:A,(shifts!B:B=events!D845)*(shifts!AH:AH&gt;=events!U845)*(shifts!AI:AI&lt;=events!V845))</f>
        <v>29</v>
      </c>
      <c r="X845" t="str">
        <f t="shared" si="150"/>
        <v>opp_team_player_2</v>
      </c>
      <c r="Y845">
        <f>COUNTIFS(A$3:A845,"="&amp;A845,K$3:K845,"="&amp;K845)</f>
        <v>2</v>
      </c>
      <c r="Z845" s="20">
        <f>SUMIFS(T$3:T845,L$3:L845,"=Intermission")+SUMIFS(T$3:T845,L$3:L845,"=Timeout")+SUMIFS(T$3:T845,L$3:L845,"=Clockstop")</f>
        <v>0</v>
      </c>
      <c r="AA845">
        <f t="shared" si="154"/>
        <v>0</v>
      </c>
      <c r="AB845" s="26">
        <f t="shared" si="155"/>
        <v>1036</v>
      </c>
      <c r="AC845">
        <f t="shared" si="156"/>
        <v>0</v>
      </c>
    </row>
    <row r="846" spans="1:29" x14ac:dyDescent="0.2">
      <c r="A846">
        <v>438</v>
      </c>
      <c r="D846">
        <f t="shared" si="157"/>
        <v>1</v>
      </c>
      <c r="E846">
        <v>0</v>
      </c>
      <c r="F846" s="6" t="s">
        <v>435</v>
      </c>
      <c r="G846">
        <v>0</v>
      </c>
      <c r="H846" s="8" t="s">
        <v>431</v>
      </c>
      <c r="I846" t="s">
        <v>179</v>
      </c>
      <c r="J846">
        <v>22</v>
      </c>
      <c r="K846" t="s">
        <v>489</v>
      </c>
      <c r="L846" t="s">
        <v>277</v>
      </c>
      <c r="M846" t="s">
        <v>191</v>
      </c>
      <c r="N846" t="s">
        <v>87</v>
      </c>
      <c r="Q846">
        <f t="shared" si="158"/>
        <v>18977</v>
      </c>
      <c r="R846" t="str">
        <f t="shared" si="158"/>
        <v>Velodrome</v>
      </c>
      <c r="S846" t="str">
        <f t="shared" si="158"/>
        <v>HollowBrook</v>
      </c>
      <c r="T846" s="20">
        <f t="shared" si="151"/>
        <v>3</v>
      </c>
      <c r="U846">
        <f t="shared" si="152"/>
        <v>44</v>
      </c>
      <c r="V846">
        <f t="shared" si="153"/>
        <v>41</v>
      </c>
      <c r="W846" cm="1">
        <f t="array" ref="W846">_xlfn._xlws.FILTER(shifts!A:A,(shifts!B:B=events!D846)*(shifts!AH:AH&gt;=events!U846)*(shifts!AI:AI&lt;=events!V846))</f>
        <v>29</v>
      </c>
      <c r="X846" t="str">
        <f t="shared" si="150"/>
        <v>opp_team_player_3</v>
      </c>
      <c r="Y846">
        <f>COUNTIFS(A$3:A846,"="&amp;A846,K$3:K846,"="&amp;K846)</f>
        <v>3</v>
      </c>
      <c r="Z846" s="20">
        <f>SUMIFS(T$3:T846,L$3:L846,"=Intermission")+SUMIFS(T$3:T846,L$3:L846,"=Timeout")+SUMIFS(T$3:T846,L$3:L846,"=Clockstop")</f>
        <v>0</v>
      </c>
      <c r="AA846">
        <f t="shared" si="154"/>
        <v>0</v>
      </c>
      <c r="AB846" s="26">
        <f t="shared" si="155"/>
        <v>1036</v>
      </c>
      <c r="AC846">
        <f t="shared" si="156"/>
        <v>0</v>
      </c>
    </row>
    <row r="847" spans="1:29" x14ac:dyDescent="0.2">
      <c r="A847">
        <v>439</v>
      </c>
      <c r="D847">
        <f t="shared" si="157"/>
        <v>1</v>
      </c>
      <c r="E847">
        <v>0</v>
      </c>
      <c r="F847" s="6" t="s">
        <v>431</v>
      </c>
      <c r="I847" t="s">
        <v>178</v>
      </c>
      <c r="J847">
        <v>52</v>
      </c>
      <c r="K847" t="s">
        <v>488</v>
      </c>
      <c r="L847" t="s">
        <v>10</v>
      </c>
      <c r="M847" t="s">
        <v>200</v>
      </c>
      <c r="N847" t="s">
        <v>82</v>
      </c>
      <c r="Q847">
        <f t="shared" si="158"/>
        <v>18977</v>
      </c>
      <c r="R847" t="str">
        <f t="shared" si="158"/>
        <v>Velodrome</v>
      </c>
      <c r="S847" t="str">
        <f t="shared" si="158"/>
        <v>HollowBrook</v>
      </c>
      <c r="T847" s="20">
        <f t="shared" si="151"/>
        <v>0</v>
      </c>
      <c r="U847">
        <f t="shared" si="152"/>
        <v>41</v>
      </c>
      <c r="V847">
        <f t="shared" si="153"/>
        <v>41</v>
      </c>
      <c r="W847" cm="1">
        <f t="array" ref="W847">_xlfn._xlws.FILTER(shifts!A:A,(shifts!B:B=events!D847)*(shifts!AH:AH&gt;=events!U847)*(shifts!AI:AI&lt;=events!V847))</f>
        <v>29</v>
      </c>
      <c r="X847" t="str">
        <f t="shared" si="150"/>
        <v>event_team_player_1</v>
      </c>
      <c r="Y847">
        <f>COUNTIFS(A$3:A847,"="&amp;A847,K$3:K847,"="&amp;K847)</f>
        <v>1</v>
      </c>
      <c r="Z847" s="20">
        <f>SUMIFS(T$3:T847,L$3:L847,"=Intermission")+SUMIFS(T$3:T847,L$3:L847,"=Timeout")+SUMIFS(T$3:T847,L$3:L847,"=Clockstop")</f>
        <v>0</v>
      </c>
      <c r="AA847">
        <f t="shared" si="154"/>
        <v>0</v>
      </c>
      <c r="AB847" s="26">
        <f t="shared" si="155"/>
        <v>1039</v>
      </c>
      <c r="AC847">
        <f t="shared" si="156"/>
        <v>0</v>
      </c>
    </row>
    <row r="848" spans="1:29" x14ac:dyDescent="0.2">
      <c r="A848">
        <v>439</v>
      </c>
      <c r="D848">
        <f t="shared" si="157"/>
        <v>1</v>
      </c>
      <c r="E848">
        <v>0</v>
      </c>
      <c r="F848" s="6" t="s">
        <v>431</v>
      </c>
      <c r="I848" t="s">
        <v>178</v>
      </c>
      <c r="J848">
        <v>19</v>
      </c>
      <c r="K848" t="s">
        <v>489</v>
      </c>
      <c r="L848" t="s">
        <v>10</v>
      </c>
      <c r="M848" t="s">
        <v>200</v>
      </c>
      <c r="N848" t="s">
        <v>82</v>
      </c>
      <c r="Q848">
        <f t="shared" si="158"/>
        <v>18977</v>
      </c>
      <c r="R848" t="str">
        <f t="shared" si="158"/>
        <v>Velodrome</v>
      </c>
      <c r="S848" t="str">
        <f t="shared" si="158"/>
        <v>HollowBrook</v>
      </c>
      <c r="T848" s="20">
        <f t="shared" si="151"/>
        <v>0</v>
      </c>
      <c r="U848">
        <f t="shared" si="152"/>
        <v>41</v>
      </c>
      <c r="V848">
        <f t="shared" si="153"/>
        <v>41</v>
      </c>
      <c r="W848" cm="1">
        <f t="array" ref="W848">_xlfn._xlws.FILTER(shifts!A:A,(shifts!B:B=events!D848)*(shifts!AH:AH&gt;=events!U848)*(shifts!AI:AI&lt;=events!V848))</f>
        <v>29</v>
      </c>
      <c r="X848" t="str">
        <f t="shared" si="150"/>
        <v>opp_team_player_1</v>
      </c>
      <c r="Y848">
        <f>COUNTIFS(A$3:A848,"="&amp;A848,K$3:K848,"="&amp;K848)</f>
        <v>1</v>
      </c>
      <c r="Z848" s="20">
        <f>SUMIFS(T$3:T848,L$3:L848,"=Intermission")+SUMIFS(T$3:T848,L$3:L848,"=Timeout")+SUMIFS(T$3:T848,L$3:L848,"=Clockstop")</f>
        <v>0</v>
      </c>
      <c r="AA848">
        <f t="shared" si="154"/>
        <v>0</v>
      </c>
      <c r="AB848" s="26">
        <f t="shared" si="155"/>
        <v>1039</v>
      </c>
      <c r="AC848">
        <f t="shared" si="156"/>
        <v>0</v>
      </c>
    </row>
    <row r="849" spans="1:29" x14ac:dyDescent="0.2">
      <c r="A849">
        <v>440</v>
      </c>
      <c r="D849">
        <f t="shared" si="157"/>
        <v>1</v>
      </c>
      <c r="E849">
        <v>0</v>
      </c>
      <c r="F849" s="6" t="s">
        <v>438</v>
      </c>
      <c r="I849" t="s">
        <v>178</v>
      </c>
      <c r="J849">
        <v>70</v>
      </c>
      <c r="K849" t="s">
        <v>488</v>
      </c>
      <c r="L849" t="s">
        <v>277</v>
      </c>
      <c r="M849" t="s">
        <v>201</v>
      </c>
      <c r="N849" t="s">
        <v>183</v>
      </c>
      <c r="Q849">
        <f t="shared" si="158"/>
        <v>18977</v>
      </c>
      <c r="R849" t="str">
        <f t="shared" si="158"/>
        <v>Velodrome</v>
      </c>
      <c r="S849" t="str">
        <f t="shared" si="158"/>
        <v>HollowBrook</v>
      </c>
      <c r="T849" s="20">
        <f t="shared" si="151"/>
        <v>0</v>
      </c>
      <c r="U849">
        <f t="shared" si="152"/>
        <v>38</v>
      </c>
      <c r="V849">
        <f t="shared" si="153"/>
        <v>38</v>
      </c>
      <c r="W849" cm="1">
        <f t="array" ref="W849">_xlfn._xlws.FILTER(shifts!A:A,(shifts!B:B=events!D849)*(shifts!AH:AH&gt;=events!U849)*(shifts!AI:AI&lt;=events!V849))</f>
        <v>29</v>
      </c>
      <c r="X849" t="str">
        <f t="shared" si="150"/>
        <v>event_team_player_1</v>
      </c>
      <c r="Y849">
        <f>COUNTIFS(A$3:A849,"="&amp;A849,K$3:K849,"="&amp;K849)</f>
        <v>1</v>
      </c>
      <c r="Z849" s="20">
        <f>SUMIFS(T$3:T849,L$3:L849,"=Intermission")+SUMIFS(T$3:T849,L$3:L849,"=Timeout")+SUMIFS(T$3:T849,L$3:L849,"=Clockstop")</f>
        <v>0</v>
      </c>
      <c r="AA849">
        <f t="shared" si="154"/>
        <v>0</v>
      </c>
      <c r="AB849" s="26">
        <f t="shared" si="155"/>
        <v>1042</v>
      </c>
      <c r="AC849">
        <f t="shared" si="156"/>
        <v>0</v>
      </c>
    </row>
    <row r="850" spans="1:29" x14ac:dyDescent="0.2">
      <c r="A850">
        <v>440</v>
      </c>
      <c r="D850">
        <f t="shared" si="157"/>
        <v>1</v>
      </c>
      <c r="E850">
        <v>0</v>
      </c>
      <c r="F850" s="6" t="s">
        <v>453</v>
      </c>
      <c r="I850" t="s">
        <v>178</v>
      </c>
      <c r="J850">
        <v>11</v>
      </c>
      <c r="K850" t="s">
        <v>489</v>
      </c>
      <c r="L850" t="s">
        <v>277</v>
      </c>
      <c r="M850" t="s">
        <v>201</v>
      </c>
      <c r="N850" t="s">
        <v>183</v>
      </c>
      <c r="Q850">
        <f t="shared" si="158"/>
        <v>18977</v>
      </c>
      <c r="R850" t="str">
        <f t="shared" si="158"/>
        <v>Velodrome</v>
      </c>
      <c r="S850" t="str">
        <f t="shared" si="158"/>
        <v>HollowBrook</v>
      </c>
      <c r="T850" s="20">
        <f t="shared" si="151"/>
        <v>0</v>
      </c>
      <c r="U850">
        <f t="shared" si="152"/>
        <v>37</v>
      </c>
      <c r="V850">
        <f t="shared" si="153"/>
        <v>37</v>
      </c>
      <c r="W850" cm="1">
        <f t="array" ref="W850">_xlfn._xlws.FILTER(shifts!A:A,(shifts!B:B=events!D850)*(shifts!AH:AH&gt;=events!U850)*(shifts!AI:AI&lt;=events!V850))</f>
        <v>29</v>
      </c>
      <c r="X850" t="str">
        <f t="shared" si="150"/>
        <v>opp_team_player_1</v>
      </c>
      <c r="Y850">
        <f>COUNTIFS(A$3:A850,"="&amp;A850,K$3:K850,"="&amp;K850)</f>
        <v>1</v>
      </c>
      <c r="Z850" s="20">
        <f>SUMIFS(T$3:T850,L$3:L850,"=Intermission")+SUMIFS(T$3:T850,L$3:L850,"=Timeout")+SUMIFS(T$3:T850,L$3:L850,"=Clockstop")</f>
        <v>0</v>
      </c>
      <c r="AA850">
        <f t="shared" si="154"/>
        <v>0</v>
      </c>
      <c r="AB850" s="26">
        <f t="shared" si="155"/>
        <v>1043</v>
      </c>
      <c r="AC850">
        <f t="shared" si="156"/>
        <v>0</v>
      </c>
    </row>
    <row r="851" spans="1:29" x14ac:dyDescent="0.2">
      <c r="A851">
        <v>441</v>
      </c>
      <c r="D851">
        <f t="shared" si="157"/>
        <v>1</v>
      </c>
      <c r="E851">
        <v>0</v>
      </c>
      <c r="F851" s="6" t="s">
        <v>453</v>
      </c>
      <c r="G851">
        <v>0</v>
      </c>
      <c r="H851" s="8" t="s">
        <v>439</v>
      </c>
      <c r="I851" t="s">
        <v>178</v>
      </c>
      <c r="J851">
        <v>70</v>
      </c>
      <c r="K851" t="s">
        <v>488</v>
      </c>
      <c r="L851" t="s">
        <v>15</v>
      </c>
      <c r="Q851">
        <f t="shared" si="158"/>
        <v>18977</v>
      </c>
      <c r="R851" t="str">
        <f t="shared" si="158"/>
        <v>Velodrome</v>
      </c>
      <c r="S851" t="str">
        <f t="shared" si="158"/>
        <v>HollowBrook</v>
      </c>
      <c r="T851" s="20">
        <f t="shared" si="151"/>
        <v>3</v>
      </c>
      <c r="U851">
        <f t="shared" si="152"/>
        <v>37</v>
      </c>
      <c r="V851">
        <f t="shared" si="153"/>
        <v>34</v>
      </c>
      <c r="W851" cm="1">
        <f t="array" ref="W851">_xlfn._xlws.FILTER(shifts!A:A,(shifts!B:B=events!D851)*(shifts!AH:AH&gt;=events!U851)*(shifts!AI:AI&lt;=events!V851))</f>
        <v>29</v>
      </c>
      <c r="X851" t="str">
        <f t="shared" si="150"/>
        <v>event_team_player_1</v>
      </c>
      <c r="Y851">
        <f>COUNTIFS(A$3:A851,"="&amp;A851,K$3:K851,"="&amp;K851)</f>
        <v>1</v>
      </c>
      <c r="Z851" s="20">
        <f>SUMIFS(T$3:T851,L$3:L851,"=Intermission")+SUMIFS(T$3:T851,L$3:L851,"=Timeout")+SUMIFS(T$3:T851,L$3:L851,"=Clockstop")</f>
        <v>0</v>
      </c>
      <c r="AA851">
        <f t="shared" si="154"/>
        <v>0</v>
      </c>
      <c r="AB851" s="26">
        <f t="shared" si="155"/>
        <v>1043</v>
      </c>
      <c r="AC851">
        <f t="shared" si="156"/>
        <v>0</v>
      </c>
    </row>
    <row r="852" spans="1:29" x14ac:dyDescent="0.2">
      <c r="A852">
        <v>442</v>
      </c>
      <c r="D852">
        <f t="shared" si="157"/>
        <v>1</v>
      </c>
      <c r="E852">
        <v>0</v>
      </c>
      <c r="F852" s="6" t="s">
        <v>439</v>
      </c>
      <c r="G852">
        <v>0</v>
      </c>
      <c r="H852" s="8" t="s">
        <v>493</v>
      </c>
      <c r="I852" t="s">
        <v>178</v>
      </c>
      <c r="J852">
        <v>70</v>
      </c>
      <c r="K852" t="s">
        <v>488</v>
      </c>
      <c r="L852" t="s">
        <v>277</v>
      </c>
      <c r="M852" t="s">
        <v>191</v>
      </c>
      <c r="N852" t="s">
        <v>87</v>
      </c>
      <c r="Q852">
        <f t="shared" si="158"/>
        <v>18977</v>
      </c>
      <c r="R852" t="str">
        <f t="shared" si="158"/>
        <v>Velodrome</v>
      </c>
      <c r="S852" t="str">
        <f t="shared" si="158"/>
        <v>HollowBrook</v>
      </c>
      <c r="T852" s="20">
        <f t="shared" si="151"/>
        <v>3</v>
      </c>
      <c r="U852">
        <f t="shared" si="152"/>
        <v>34</v>
      </c>
      <c r="V852">
        <f t="shared" si="153"/>
        <v>31</v>
      </c>
      <c r="W852" cm="1">
        <f t="array" ref="W852">_xlfn._xlws.FILTER(shifts!A:A,(shifts!B:B=events!D852)*(shifts!AH:AH&gt;=events!U852)*(shifts!AI:AI&lt;=events!V852))</f>
        <v>29</v>
      </c>
      <c r="X852" t="str">
        <f t="shared" si="150"/>
        <v>event_team_player_1</v>
      </c>
      <c r="Y852">
        <f>COUNTIFS(A$3:A852,"="&amp;A852,K$3:K852,"="&amp;K852)</f>
        <v>1</v>
      </c>
      <c r="Z852" s="20">
        <f>SUMIFS(T$3:T852,L$3:L852,"=Intermission")+SUMIFS(T$3:T852,L$3:L852,"=Timeout")+SUMIFS(T$3:T852,L$3:L852,"=Clockstop")</f>
        <v>0</v>
      </c>
      <c r="AA852">
        <f t="shared" si="154"/>
        <v>0</v>
      </c>
      <c r="AB852" s="26">
        <f t="shared" si="155"/>
        <v>1046</v>
      </c>
      <c r="AC852">
        <f t="shared" si="156"/>
        <v>0</v>
      </c>
    </row>
    <row r="853" spans="1:29" x14ac:dyDescent="0.2">
      <c r="A853">
        <v>442</v>
      </c>
      <c r="D853">
        <f t="shared" si="157"/>
        <v>1</v>
      </c>
      <c r="E853">
        <v>0</v>
      </c>
      <c r="F853" s="6" t="s">
        <v>439</v>
      </c>
      <c r="G853">
        <v>0</v>
      </c>
      <c r="H853" s="8" t="s">
        <v>493</v>
      </c>
      <c r="I853" t="s">
        <v>178</v>
      </c>
      <c r="J853">
        <v>91</v>
      </c>
      <c r="K853" t="s">
        <v>488</v>
      </c>
      <c r="L853" t="s">
        <v>277</v>
      </c>
      <c r="M853" t="s">
        <v>191</v>
      </c>
      <c r="N853" t="s">
        <v>87</v>
      </c>
      <c r="Q853">
        <f t="shared" ref="Q853:S868" si="159">Q852</f>
        <v>18977</v>
      </c>
      <c r="R853" t="str">
        <f t="shared" si="159"/>
        <v>Velodrome</v>
      </c>
      <c r="S853" t="str">
        <f t="shared" si="159"/>
        <v>HollowBrook</v>
      </c>
      <c r="T853" s="20">
        <f t="shared" si="151"/>
        <v>3</v>
      </c>
      <c r="U853">
        <f t="shared" si="152"/>
        <v>34</v>
      </c>
      <c r="V853">
        <f t="shared" si="153"/>
        <v>31</v>
      </c>
      <c r="W853" cm="1">
        <f t="array" ref="W853">_xlfn._xlws.FILTER(shifts!A:A,(shifts!B:B=events!D853)*(shifts!AH:AH&gt;=events!U853)*(shifts!AI:AI&lt;=events!V853))</f>
        <v>29</v>
      </c>
      <c r="X853" t="str">
        <f t="shared" si="150"/>
        <v>event_team_player_2</v>
      </c>
      <c r="Y853">
        <f>COUNTIFS(A$3:A853,"="&amp;A853,K$3:K853,"="&amp;K853)</f>
        <v>2</v>
      </c>
      <c r="Z853" s="20">
        <f>SUMIFS(T$3:T853,L$3:L853,"=Intermission")+SUMIFS(T$3:T853,L$3:L853,"=Timeout")+SUMIFS(T$3:T853,L$3:L853,"=Clockstop")</f>
        <v>0</v>
      </c>
      <c r="AA853">
        <f t="shared" si="154"/>
        <v>0</v>
      </c>
      <c r="AB853" s="26">
        <f t="shared" si="155"/>
        <v>1046</v>
      </c>
      <c r="AC853">
        <f t="shared" si="156"/>
        <v>0</v>
      </c>
    </row>
    <row r="854" spans="1:29" x14ac:dyDescent="0.2">
      <c r="A854">
        <v>442</v>
      </c>
      <c r="D854">
        <f t="shared" si="157"/>
        <v>1</v>
      </c>
      <c r="E854">
        <v>0</v>
      </c>
      <c r="F854" s="6" t="s">
        <v>439</v>
      </c>
      <c r="G854">
        <v>0</v>
      </c>
      <c r="H854" s="8" t="s">
        <v>493</v>
      </c>
      <c r="I854" t="s">
        <v>178</v>
      </c>
      <c r="J854">
        <v>18</v>
      </c>
      <c r="K854" t="s">
        <v>489</v>
      </c>
      <c r="L854" t="s">
        <v>277</v>
      </c>
      <c r="M854" t="s">
        <v>191</v>
      </c>
      <c r="N854" t="s">
        <v>87</v>
      </c>
      <c r="Q854">
        <f t="shared" si="159"/>
        <v>18977</v>
      </c>
      <c r="R854" t="str">
        <f t="shared" si="159"/>
        <v>Velodrome</v>
      </c>
      <c r="S854" t="str">
        <f t="shared" si="159"/>
        <v>HollowBrook</v>
      </c>
      <c r="T854" s="20">
        <f t="shared" si="151"/>
        <v>3</v>
      </c>
      <c r="U854">
        <f t="shared" si="152"/>
        <v>34</v>
      </c>
      <c r="V854">
        <f t="shared" si="153"/>
        <v>31</v>
      </c>
      <c r="W854" cm="1">
        <f t="array" ref="W854">_xlfn._xlws.FILTER(shifts!A:A,(shifts!B:B=events!D854)*(shifts!AH:AH&gt;=events!U854)*(shifts!AI:AI&lt;=events!V854))</f>
        <v>29</v>
      </c>
      <c r="X854" t="str">
        <f t="shared" si="150"/>
        <v>opp_team_player_1</v>
      </c>
      <c r="Y854">
        <f>COUNTIFS(A$3:A854,"="&amp;A854,K$3:K854,"="&amp;K854)</f>
        <v>1</v>
      </c>
      <c r="Z854" s="20">
        <f>SUMIFS(T$3:T854,L$3:L854,"=Intermission")+SUMIFS(T$3:T854,L$3:L854,"=Timeout")+SUMIFS(T$3:T854,L$3:L854,"=Clockstop")</f>
        <v>0</v>
      </c>
      <c r="AA854">
        <f t="shared" si="154"/>
        <v>0</v>
      </c>
      <c r="AB854" s="26">
        <f t="shared" si="155"/>
        <v>1046</v>
      </c>
      <c r="AC854">
        <f t="shared" si="156"/>
        <v>0</v>
      </c>
    </row>
    <row r="855" spans="1:29" x14ac:dyDescent="0.2">
      <c r="A855">
        <v>442</v>
      </c>
      <c r="D855">
        <f t="shared" si="157"/>
        <v>1</v>
      </c>
      <c r="E855">
        <v>0</v>
      </c>
      <c r="F855" s="6" t="s">
        <v>439</v>
      </c>
      <c r="G855">
        <v>0</v>
      </c>
      <c r="H855" s="8" t="s">
        <v>493</v>
      </c>
      <c r="I855" t="s">
        <v>178</v>
      </c>
      <c r="J855">
        <v>33</v>
      </c>
      <c r="K855" t="s">
        <v>489</v>
      </c>
      <c r="L855" t="s">
        <v>277</v>
      </c>
      <c r="M855" t="s">
        <v>191</v>
      </c>
      <c r="N855" t="s">
        <v>87</v>
      </c>
      <c r="Q855">
        <f t="shared" si="159"/>
        <v>18977</v>
      </c>
      <c r="R855" t="str">
        <f t="shared" si="159"/>
        <v>Velodrome</v>
      </c>
      <c r="S855" t="str">
        <f t="shared" si="159"/>
        <v>HollowBrook</v>
      </c>
      <c r="T855" s="20">
        <f t="shared" si="151"/>
        <v>3</v>
      </c>
      <c r="U855">
        <f t="shared" si="152"/>
        <v>34</v>
      </c>
      <c r="V855">
        <f t="shared" si="153"/>
        <v>31</v>
      </c>
      <c r="W855" cm="1">
        <f t="array" ref="W855">_xlfn._xlws.FILTER(shifts!A:A,(shifts!B:B=events!D855)*(shifts!AH:AH&gt;=events!U855)*(shifts!AI:AI&lt;=events!V855))</f>
        <v>29</v>
      </c>
      <c r="X855" t="str">
        <f t="shared" si="150"/>
        <v>opp_team_player_2</v>
      </c>
      <c r="Y855">
        <f>COUNTIFS(A$3:A855,"="&amp;A855,K$3:K855,"="&amp;K855)</f>
        <v>2</v>
      </c>
      <c r="Z855" s="20">
        <f>SUMIFS(T$3:T855,L$3:L855,"=Intermission")+SUMIFS(T$3:T855,L$3:L855,"=Timeout")+SUMIFS(T$3:T855,L$3:L855,"=Clockstop")</f>
        <v>0</v>
      </c>
      <c r="AA855">
        <f t="shared" si="154"/>
        <v>0</v>
      </c>
      <c r="AB855" s="26">
        <f t="shared" si="155"/>
        <v>1046</v>
      </c>
      <c r="AC855">
        <f t="shared" si="156"/>
        <v>0</v>
      </c>
    </row>
    <row r="856" spans="1:29" x14ac:dyDescent="0.2">
      <c r="A856">
        <v>443</v>
      </c>
      <c r="D856">
        <f t="shared" si="157"/>
        <v>1</v>
      </c>
      <c r="E856">
        <v>0</v>
      </c>
      <c r="F856" s="6" t="s">
        <v>493</v>
      </c>
      <c r="I856" t="s">
        <v>178</v>
      </c>
      <c r="J856">
        <v>70</v>
      </c>
      <c r="K856" t="s">
        <v>488</v>
      </c>
      <c r="L856" t="s">
        <v>7</v>
      </c>
      <c r="M856" t="s">
        <v>222</v>
      </c>
      <c r="N856" t="s">
        <v>53</v>
      </c>
      <c r="Q856">
        <f t="shared" si="159"/>
        <v>18977</v>
      </c>
      <c r="R856" t="str">
        <f t="shared" si="159"/>
        <v>Velodrome</v>
      </c>
      <c r="S856" t="str">
        <f t="shared" si="159"/>
        <v>HollowBrook</v>
      </c>
      <c r="T856" s="20">
        <f t="shared" si="151"/>
        <v>0</v>
      </c>
      <c r="U856">
        <f t="shared" si="152"/>
        <v>31</v>
      </c>
      <c r="V856">
        <f t="shared" si="153"/>
        <v>31</v>
      </c>
      <c r="W856" cm="1">
        <f t="array" ref="W856">_xlfn._xlws.FILTER(shifts!A:A,(shifts!B:B=events!D856)*(shifts!AH:AH&gt;=events!U856)*(shifts!AI:AI&lt;=events!V856))</f>
        <v>29</v>
      </c>
      <c r="X856" t="str">
        <f t="shared" si="150"/>
        <v>event_team_player_1</v>
      </c>
      <c r="Y856">
        <f>COUNTIFS(A$3:A856,"="&amp;A856,K$3:K856,"="&amp;K856)</f>
        <v>1</v>
      </c>
      <c r="Z856" s="20">
        <f>SUMIFS(T$3:T856,L$3:L856,"=Intermission")+SUMIFS(T$3:T856,L$3:L856,"=Timeout")+SUMIFS(T$3:T856,L$3:L856,"=Clockstop")</f>
        <v>0</v>
      </c>
      <c r="AA856">
        <f t="shared" si="154"/>
        <v>0</v>
      </c>
      <c r="AB856" s="26">
        <f t="shared" si="155"/>
        <v>1049</v>
      </c>
      <c r="AC856">
        <f t="shared" si="156"/>
        <v>0</v>
      </c>
    </row>
    <row r="857" spans="1:29" x14ac:dyDescent="0.2">
      <c r="A857">
        <v>443</v>
      </c>
      <c r="D857">
        <f t="shared" si="157"/>
        <v>1</v>
      </c>
      <c r="E857">
        <v>0</v>
      </c>
      <c r="F857" s="6" t="s">
        <v>493</v>
      </c>
      <c r="I857" t="s">
        <v>178</v>
      </c>
      <c r="J857">
        <v>99</v>
      </c>
      <c r="K857" t="s">
        <v>489</v>
      </c>
      <c r="L857" t="s">
        <v>7</v>
      </c>
      <c r="M857" t="s">
        <v>222</v>
      </c>
      <c r="N857" t="s">
        <v>53</v>
      </c>
      <c r="Q857">
        <f t="shared" si="159"/>
        <v>18977</v>
      </c>
      <c r="R857" t="str">
        <f t="shared" si="159"/>
        <v>Velodrome</v>
      </c>
      <c r="S857" t="str">
        <f t="shared" si="159"/>
        <v>HollowBrook</v>
      </c>
      <c r="T857" s="20">
        <f t="shared" si="151"/>
        <v>0</v>
      </c>
      <c r="U857">
        <f t="shared" si="152"/>
        <v>31</v>
      </c>
      <c r="V857">
        <f t="shared" si="153"/>
        <v>31</v>
      </c>
      <c r="W857" cm="1">
        <f t="array" ref="W857">_xlfn._xlws.FILTER(shifts!A:A,(shifts!B:B=events!D857)*(shifts!AH:AH&gt;=events!U857)*(shifts!AI:AI&lt;=events!V857))</f>
        <v>29</v>
      </c>
      <c r="X857" t="str">
        <f t="shared" si="150"/>
        <v>opp_team_player_1</v>
      </c>
      <c r="Y857">
        <f>COUNTIFS(A$3:A857,"="&amp;A857,K$3:K857,"="&amp;K857)</f>
        <v>1</v>
      </c>
      <c r="Z857" s="20">
        <f>SUMIFS(T$3:T857,L$3:L857,"=Intermission")+SUMIFS(T$3:T857,L$3:L857,"=Timeout")+SUMIFS(T$3:T857,L$3:L857,"=Clockstop")</f>
        <v>0</v>
      </c>
      <c r="AA857">
        <f t="shared" si="154"/>
        <v>0</v>
      </c>
      <c r="AB857" s="26">
        <f t="shared" si="155"/>
        <v>1049</v>
      </c>
      <c r="AC857">
        <f t="shared" si="156"/>
        <v>0</v>
      </c>
    </row>
    <row r="858" spans="1:29" x14ac:dyDescent="0.2">
      <c r="A858">
        <v>443</v>
      </c>
      <c r="D858">
        <f t="shared" si="157"/>
        <v>1</v>
      </c>
      <c r="E858">
        <v>0</v>
      </c>
      <c r="F858" s="6" t="s">
        <v>493</v>
      </c>
      <c r="I858" t="s">
        <v>178</v>
      </c>
      <c r="J858">
        <v>18</v>
      </c>
      <c r="K858" t="s">
        <v>489</v>
      </c>
      <c r="L858" t="s">
        <v>7</v>
      </c>
      <c r="M858" t="s">
        <v>222</v>
      </c>
      <c r="N858" t="s">
        <v>53</v>
      </c>
      <c r="Q858">
        <f t="shared" si="159"/>
        <v>18977</v>
      </c>
      <c r="R858" t="str">
        <f t="shared" si="159"/>
        <v>Velodrome</v>
      </c>
      <c r="S858" t="str">
        <f t="shared" si="159"/>
        <v>HollowBrook</v>
      </c>
      <c r="T858" s="20">
        <f t="shared" si="151"/>
        <v>0</v>
      </c>
      <c r="U858">
        <f t="shared" si="152"/>
        <v>31</v>
      </c>
      <c r="V858">
        <f t="shared" si="153"/>
        <v>31</v>
      </c>
      <c r="W858" cm="1">
        <f t="array" ref="W858">_xlfn._xlws.FILTER(shifts!A:A,(shifts!B:B=events!D858)*(shifts!AH:AH&gt;=events!U858)*(shifts!AI:AI&lt;=events!V858))</f>
        <v>29</v>
      </c>
      <c r="X858" t="str">
        <f t="shared" si="150"/>
        <v>opp_team_player_2</v>
      </c>
      <c r="Y858">
        <f>COUNTIFS(A$3:A858,"="&amp;A858,K$3:K858,"="&amp;K858)</f>
        <v>2</v>
      </c>
      <c r="Z858" s="20">
        <f>SUMIFS(T$3:T858,L$3:L858,"=Intermission")+SUMIFS(T$3:T858,L$3:L858,"=Timeout")+SUMIFS(T$3:T858,L$3:L858,"=Clockstop")</f>
        <v>0</v>
      </c>
      <c r="AA858">
        <f t="shared" si="154"/>
        <v>0</v>
      </c>
      <c r="AB858" s="26">
        <f t="shared" si="155"/>
        <v>1049</v>
      </c>
      <c r="AC858">
        <f t="shared" si="156"/>
        <v>0</v>
      </c>
    </row>
    <row r="859" spans="1:29" x14ac:dyDescent="0.2">
      <c r="A859">
        <v>444</v>
      </c>
      <c r="D859">
        <f t="shared" si="157"/>
        <v>1</v>
      </c>
      <c r="E859">
        <v>0</v>
      </c>
      <c r="F859" s="6" t="s">
        <v>493</v>
      </c>
      <c r="I859" t="s">
        <v>179</v>
      </c>
      <c r="J859">
        <v>99</v>
      </c>
      <c r="K859" t="s">
        <v>488</v>
      </c>
      <c r="L859" t="s">
        <v>17</v>
      </c>
      <c r="M859" t="s">
        <v>196</v>
      </c>
      <c r="N859" t="s">
        <v>98</v>
      </c>
      <c r="Q859">
        <f t="shared" si="159"/>
        <v>18977</v>
      </c>
      <c r="R859" t="str">
        <f t="shared" si="159"/>
        <v>Velodrome</v>
      </c>
      <c r="S859" t="str">
        <f t="shared" si="159"/>
        <v>HollowBrook</v>
      </c>
      <c r="T859" s="20">
        <f t="shared" si="151"/>
        <v>0</v>
      </c>
      <c r="U859">
        <f t="shared" si="152"/>
        <v>31</v>
      </c>
      <c r="V859">
        <f t="shared" si="153"/>
        <v>31</v>
      </c>
      <c r="W859" cm="1">
        <f t="array" ref="W859">_xlfn._xlws.FILTER(shifts!A:A,(shifts!B:B=events!D859)*(shifts!AH:AH&gt;=events!U859)*(shifts!AI:AI&lt;=events!V859))</f>
        <v>29</v>
      </c>
      <c r="X859" t="str">
        <f t="shared" si="150"/>
        <v>event_team_player_1</v>
      </c>
      <c r="Y859">
        <f>COUNTIFS(A$3:A859,"="&amp;A859,K$3:K859,"="&amp;K859)</f>
        <v>1</v>
      </c>
      <c r="Z859" s="20">
        <f>SUMIFS(T$3:T859,L$3:L859,"=Intermission")+SUMIFS(T$3:T859,L$3:L859,"=Timeout")+SUMIFS(T$3:T859,L$3:L859,"=Clockstop")</f>
        <v>0</v>
      </c>
      <c r="AA859">
        <f t="shared" si="154"/>
        <v>0</v>
      </c>
      <c r="AB859" s="26">
        <f t="shared" si="155"/>
        <v>1049</v>
      </c>
      <c r="AC859">
        <f t="shared" si="156"/>
        <v>0</v>
      </c>
    </row>
    <row r="860" spans="1:29" x14ac:dyDescent="0.2">
      <c r="A860">
        <v>444</v>
      </c>
      <c r="D860">
        <f t="shared" si="157"/>
        <v>1</v>
      </c>
      <c r="E860">
        <v>0</v>
      </c>
      <c r="F860" s="6" t="s">
        <v>493</v>
      </c>
      <c r="I860" t="s">
        <v>179</v>
      </c>
      <c r="J860">
        <v>18</v>
      </c>
      <c r="K860" t="s">
        <v>488</v>
      </c>
      <c r="L860" t="s">
        <v>17</v>
      </c>
      <c r="M860" t="s">
        <v>196</v>
      </c>
      <c r="N860" t="s">
        <v>98</v>
      </c>
      <c r="Q860">
        <f t="shared" si="159"/>
        <v>18977</v>
      </c>
      <c r="R860" t="str">
        <f t="shared" si="159"/>
        <v>Velodrome</v>
      </c>
      <c r="S860" t="str">
        <f t="shared" si="159"/>
        <v>HollowBrook</v>
      </c>
      <c r="T860" s="20">
        <f t="shared" si="151"/>
        <v>0</v>
      </c>
      <c r="U860">
        <f t="shared" si="152"/>
        <v>31</v>
      </c>
      <c r="V860">
        <f t="shared" si="153"/>
        <v>31</v>
      </c>
      <c r="W860" cm="1">
        <f t="array" ref="W860">_xlfn._xlws.FILTER(shifts!A:A,(shifts!B:B=events!D860)*(shifts!AH:AH&gt;=events!U860)*(shifts!AI:AI&lt;=events!V860))</f>
        <v>29</v>
      </c>
      <c r="X860" t="str">
        <f t="shared" si="150"/>
        <v>event_team_player_2</v>
      </c>
      <c r="Y860">
        <f>COUNTIFS(A$3:A860,"="&amp;A860,K$3:K860,"="&amp;K860)</f>
        <v>2</v>
      </c>
      <c r="Z860" s="20">
        <f>SUMIFS(T$3:T860,L$3:L860,"=Intermission")+SUMIFS(T$3:T860,L$3:L860,"=Timeout")+SUMIFS(T$3:T860,L$3:L860,"=Clockstop")</f>
        <v>0</v>
      </c>
      <c r="AA860">
        <f t="shared" si="154"/>
        <v>0</v>
      </c>
      <c r="AB860" s="26">
        <f t="shared" si="155"/>
        <v>1049</v>
      </c>
      <c r="AC860">
        <f t="shared" si="156"/>
        <v>0</v>
      </c>
    </row>
    <row r="861" spans="1:29" x14ac:dyDescent="0.2">
      <c r="A861">
        <v>444</v>
      </c>
      <c r="D861">
        <f t="shared" si="157"/>
        <v>1</v>
      </c>
      <c r="E861">
        <v>0</v>
      </c>
      <c r="F861" s="6" t="s">
        <v>493</v>
      </c>
      <c r="I861" t="s">
        <v>179</v>
      </c>
      <c r="J861">
        <v>70</v>
      </c>
      <c r="K861" t="s">
        <v>489</v>
      </c>
      <c r="L861" t="s">
        <v>17</v>
      </c>
      <c r="M861" t="s">
        <v>196</v>
      </c>
      <c r="N861" t="s">
        <v>98</v>
      </c>
      <c r="Q861">
        <f t="shared" si="159"/>
        <v>18977</v>
      </c>
      <c r="R861" t="str">
        <f t="shared" si="159"/>
        <v>Velodrome</v>
      </c>
      <c r="S861" t="str">
        <f t="shared" si="159"/>
        <v>HollowBrook</v>
      </c>
      <c r="T861" s="20">
        <f t="shared" si="151"/>
        <v>0</v>
      </c>
      <c r="U861">
        <f t="shared" si="152"/>
        <v>31</v>
      </c>
      <c r="V861">
        <f t="shared" si="153"/>
        <v>31</v>
      </c>
      <c r="W861" cm="1">
        <f t="array" ref="W861">_xlfn._xlws.FILTER(shifts!A:A,(shifts!B:B=events!D861)*(shifts!AH:AH&gt;=events!U861)*(shifts!AI:AI&lt;=events!V861))</f>
        <v>29</v>
      </c>
      <c r="X861" t="str">
        <f t="shared" si="150"/>
        <v>opp_team_player_1</v>
      </c>
      <c r="Y861">
        <f>COUNTIFS(A$3:A861,"="&amp;A861,K$3:K861,"="&amp;K861)</f>
        <v>1</v>
      </c>
      <c r="Z861" s="20">
        <f>SUMIFS(T$3:T861,L$3:L861,"=Intermission")+SUMIFS(T$3:T861,L$3:L861,"=Timeout")+SUMIFS(T$3:T861,L$3:L861,"=Clockstop")</f>
        <v>0</v>
      </c>
      <c r="AA861">
        <f t="shared" si="154"/>
        <v>0</v>
      </c>
      <c r="AB861" s="26">
        <f t="shared" si="155"/>
        <v>1049</v>
      </c>
      <c r="AC861">
        <f t="shared" si="156"/>
        <v>0</v>
      </c>
    </row>
    <row r="862" spans="1:29" x14ac:dyDescent="0.2">
      <c r="A862">
        <v>445</v>
      </c>
      <c r="D862">
        <f t="shared" si="157"/>
        <v>1</v>
      </c>
      <c r="E862">
        <v>0</v>
      </c>
      <c r="F862" s="6" t="s">
        <v>493</v>
      </c>
      <c r="I862" t="s">
        <v>179</v>
      </c>
      <c r="J862">
        <v>99</v>
      </c>
      <c r="K862" t="s">
        <v>488</v>
      </c>
      <c r="L862" t="s">
        <v>270</v>
      </c>
      <c r="M862" t="s">
        <v>271</v>
      </c>
      <c r="Q862">
        <f t="shared" si="159"/>
        <v>18977</v>
      </c>
      <c r="R862" t="str">
        <f t="shared" si="159"/>
        <v>Velodrome</v>
      </c>
      <c r="S862" t="str">
        <f t="shared" si="159"/>
        <v>HollowBrook</v>
      </c>
      <c r="T862" s="20">
        <f t="shared" si="151"/>
        <v>0</v>
      </c>
      <c r="U862">
        <f t="shared" si="152"/>
        <v>31</v>
      </c>
      <c r="V862">
        <f t="shared" si="153"/>
        <v>31</v>
      </c>
      <c r="W862" cm="1">
        <f t="array" ref="W862">_xlfn._xlws.FILTER(shifts!A:A,(shifts!B:B=events!D862)*(shifts!AH:AH&gt;=events!U862)*(shifts!AI:AI&lt;=events!V862))</f>
        <v>29</v>
      </c>
      <c r="X862" t="str">
        <f t="shared" si="150"/>
        <v>event_team_player_1</v>
      </c>
      <c r="Y862">
        <f>COUNTIFS(A$3:A862,"="&amp;A862,K$3:K862,"="&amp;K862)</f>
        <v>1</v>
      </c>
      <c r="Z862" s="20">
        <f>SUMIFS(T$3:T862,L$3:L862,"=Intermission")+SUMIFS(T$3:T862,L$3:L862,"=Timeout")+SUMIFS(T$3:T862,L$3:L862,"=Clockstop")</f>
        <v>0</v>
      </c>
      <c r="AA862">
        <f t="shared" si="154"/>
        <v>0</v>
      </c>
      <c r="AB862" s="26">
        <f t="shared" si="155"/>
        <v>1049</v>
      </c>
      <c r="AC862">
        <f t="shared" si="156"/>
        <v>0</v>
      </c>
    </row>
    <row r="863" spans="1:29" x14ac:dyDescent="0.2">
      <c r="A863">
        <v>446</v>
      </c>
      <c r="D863">
        <f t="shared" si="157"/>
        <v>1</v>
      </c>
      <c r="E863">
        <v>0</v>
      </c>
      <c r="F863" s="6" t="s">
        <v>443</v>
      </c>
      <c r="I863" t="s">
        <v>179</v>
      </c>
      <c r="J863">
        <v>18</v>
      </c>
      <c r="K863" t="s">
        <v>488</v>
      </c>
      <c r="L863" t="s">
        <v>8</v>
      </c>
      <c r="M863" t="s">
        <v>189</v>
      </c>
      <c r="N863" t="s">
        <v>70</v>
      </c>
      <c r="Q863">
        <f t="shared" si="159"/>
        <v>18977</v>
      </c>
      <c r="R863" t="str">
        <f t="shared" si="159"/>
        <v>Velodrome</v>
      </c>
      <c r="S863" t="str">
        <f t="shared" si="159"/>
        <v>HollowBrook</v>
      </c>
      <c r="T863" s="20">
        <f t="shared" si="151"/>
        <v>0</v>
      </c>
      <c r="U863">
        <f t="shared" si="152"/>
        <v>26</v>
      </c>
      <c r="V863">
        <f t="shared" si="153"/>
        <v>26</v>
      </c>
      <c r="W863" cm="1">
        <f t="array" ref="W863">_xlfn._xlws.FILTER(shifts!A:A,(shifts!B:B=events!D863)*(shifts!AH:AH&gt;=events!U863)*(shifts!AI:AI&lt;=events!V863))</f>
        <v>30</v>
      </c>
      <c r="X863" t="str">
        <f t="shared" si="150"/>
        <v>event_team_player_1</v>
      </c>
      <c r="Y863">
        <f>COUNTIFS(A$3:A863,"="&amp;A863,K$3:K863,"="&amp;K863)</f>
        <v>1</v>
      </c>
      <c r="Z863" s="20">
        <f>SUMIFS(T$3:T863,L$3:L863,"=Intermission")+SUMIFS(T$3:T863,L$3:L863,"=Timeout")+SUMIFS(T$3:T863,L$3:L863,"=Clockstop")</f>
        <v>0</v>
      </c>
      <c r="AA863">
        <f t="shared" si="154"/>
        <v>0</v>
      </c>
      <c r="AB863" s="26">
        <f t="shared" si="155"/>
        <v>1054</v>
      </c>
      <c r="AC863">
        <f t="shared" si="156"/>
        <v>0</v>
      </c>
    </row>
    <row r="864" spans="1:29" x14ac:dyDescent="0.2">
      <c r="A864">
        <v>446</v>
      </c>
      <c r="D864">
        <f t="shared" si="157"/>
        <v>1</v>
      </c>
      <c r="E864">
        <v>0</v>
      </c>
      <c r="F864" s="6" t="s">
        <v>443</v>
      </c>
      <c r="I864" t="s">
        <v>179</v>
      </c>
      <c r="J864">
        <v>11</v>
      </c>
      <c r="K864" t="s">
        <v>488</v>
      </c>
      <c r="L864" t="s">
        <v>8</v>
      </c>
      <c r="M864" t="s">
        <v>189</v>
      </c>
      <c r="N864" t="s">
        <v>70</v>
      </c>
      <c r="Q864">
        <f t="shared" si="159"/>
        <v>18977</v>
      </c>
      <c r="R864" t="str">
        <f t="shared" si="159"/>
        <v>Velodrome</v>
      </c>
      <c r="S864" t="str">
        <f t="shared" si="159"/>
        <v>HollowBrook</v>
      </c>
      <c r="T864" s="20">
        <f t="shared" si="151"/>
        <v>0</v>
      </c>
      <c r="U864">
        <f t="shared" si="152"/>
        <v>26</v>
      </c>
      <c r="V864">
        <f t="shared" si="153"/>
        <v>26</v>
      </c>
      <c r="W864" cm="1">
        <f t="array" ref="W864">_xlfn._xlws.FILTER(shifts!A:A,(shifts!B:B=events!D864)*(shifts!AH:AH&gt;=events!U864)*(shifts!AI:AI&lt;=events!V864))</f>
        <v>30</v>
      </c>
      <c r="X864" t="str">
        <f t="shared" si="150"/>
        <v>event_team_player_2</v>
      </c>
      <c r="Y864">
        <f>COUNTIFS(A$3:A864,"="&amp;A864,K$3:K864,"="&amp;K864)</f>
        <v>2</v>
      </c>
      <c r="Z864" s="20">
        <f>SUMIFS(T$3:T864,L$3:L864,"=Intermission")+SUMIFS(T$3:T864,L$3:L864,"=Timeout")+SUMIFS(T$3:T864,L$3:L864,"=Clockstop")</f>
        <v>0</v>
      </c>
      <c r="AA864">
        <f t="shared" si="154"/>
        <v>0</v>
      </c>
      <c r="AB864" s="26">
        <f t="shared" si="155"/>
        <v>1054</v>
      </c>
      <c r="AC864">
        <f t="shared" si="156"/>
        <v>0</v>
      </c>
    </row>
    <row r="865" spans="1:29" x14ac:dyDescent="0.2">
      <c r="A865">
        <v>446</v>
      </c>
      <c r="D865">
        <f t="shared" si="157"/>
        <v>1</v>
      </c>
      <c r="E865">
        <v>0</v>
      </c>
      <c r="F865" s="6" t="s">
        <v>443</v>
      </c>
      <c r="I865" t="s">
        <v>179</v>
      </c>
      <c r="J865">
        <v>75</v>
      </c>
      <c r="K865" t="s">
        <v>489</v>
      </c>
      <c r="L865" t="s">
        <v>8</v>
      </c>
      <c r="M865" t="s">
        <v>189</v>
      </c>
      <c r="N865" t="s">
        <v>70</v>
      </c>
      <c r="Q865">
        <f t="shared" si="159"/>
        <v>18977</v>
      </c>
      <c r="R865" t="str">
        <f t="shared" si="159"/>
        <v>Velodrome</v>
      </c>
      <c r="S865" t="str">
        <f t="shared" si="159"/>
        <v>HollowBrook</v>
      </c>
      <c r="T865" s="20">
        <f t="shared" si="151"/>
        <v>0</v>
      </c>
      <c r="U865">
        <f t="shared" si="152"/>
        <v>26</v>
      </c>
      <c r="V865">
        <f t="shared" si="153"/>
        <v>26</v>
      </c>
      <c r="W865" cm="1">
        <f t="array" ref="W865">_xlfn._xlws.FILTER(shifts!A:A,(shifts!B:B=events!D865)*(shifts!AH:AH&gt;=events!U865)*(shifts!AI:AI&lt;=events!V865))</f>
        <v>30</v>
      </c>
      <c r="X865" t="str">
        <f t="shared" si="150"/>
        <v>opp_team_player_1</v>
      </c>
      <c r="Y865">
        <f>COUNTIFS(A$3:A865,"="&amp;A865,K$3:K865,"="&amp;K865)</f>
        <v>1</v>
      </c>
      <c r="Z865" s="20">
        <f>SUMIFS(T$3:T865,L$3:L865,"=Intermission")+SUMIFS(T$3:T865,L$3:L865,"=Timeout")+SUMIFS(T$3:T865,L$3:L865,"=Clockstop")</f>
        <v>0</v>
      </c>
      <c r="AA865">
        <f t="shared" si="154"/>
        <v>0</v>
      </c>
      <c r="AB865" s="26">
        <f t="shared" si="155"/>
        <v>1054</v>
      </c>
      <c r="AC865">
        <f t="shared" si="156"/>
        <v>0</v>
      </c>
    </row>
    <row r="866" spans="1:29" x14ac:dyDescent="0.2">
      <c r="A866">
        <v>447</v>
      </c>
      <c r="D866">
        <f t="shared" si="157"/>
        <v>1</v>
      </c>
      <c r="E866">
        <v>0</v>
      </c>
      <c r="F866" s="6" t="s">
        <v>443</v>
      </c>
      <c r="I866" t="s">
        <v>179</v>
      </c>
      <c r="J866">
        <v>11</v>
      </c>
      <c r="K866" t="s">
        <v>488</v>
      </c>
      <c r="L866" t="s">
        <v>8</v>
      </c>
      <c r="M866" t="s">
        <v>189</v>
      </c>
      <c r="N866" t="s">
        <v>69</v>
      </c>
      <c r="Q866">
        <f t="shared" si="159"/>
        <v>18977</v>
      </c>
      <c r="R866" t="str">
        <f t="shared" si="159"/>
        <v>Velodrome</v>
      </c>
      <c r="S866" t="str">
        <f t="shared" si="159"/>
        <v>HollowBrook</v>
      </c>
      <c r="T866" s="20">
        <f t="shared" si="151"/>
        <v>0</v>
      </c>
      <c r="U866">
        <f t="shared" si="152"/>
        <v>26</v>
      </c>
      <c r="V866">
        <f t="shared" si="153"/>
        <v>26</v>
      </c>
      <c r="W866" cm="1">
        <f t="array" ref="W866">_xlfn._xlws.FILTER(shifts!A:A,(shifts!B:B=events!D866)*(shifts!AH:AH&gt;=events!U866)*(shifts!AI:AI&lt;=events!V866))</f>
        <v>30</v>
      </c>
      <c r="X866" t="str">
        <f t="shared" si="150"/>
        <v>event_team_player_1</v>
      </c>
      <c r="Y866">
        <f>COUNTIFS(A$3:A866,"="&amp;A866,K$3:K866,"="&amp;K866)</f>
        <v>1</v>
      </c>
      <c r="Z866" s="20">
        <f>SUMIFS(T$3:T866,L$3:L866,"=Intermission")+SUMIFS(T$3:T866,L$3:L866,"=Timeout")+SUMIFS(T$3:T866,L$3:L866,"=Clockstop")</f>
        <v>0</v>
      </c>
      <c r="AA866">
        <f t="shared" si="154"/>
        <v>0</v>
      </c>
      <c r="AB866" s="26">
        <f t="shared" si="155"/>
        <v>1054</v>
      </c>
      <c r="AC866">
        <f t="shared" si="156"/>
        <v>0</v>
      </c>
    </row>
    <row r="867" spans="1:29" x14ac:dyDescent="0.2">
      <c r="A867">
        <v>447</v>
      </c>
      <c r="D867">
        <f t="shared" si="157"/>
        <v>1</v>
      </c>
      <c r="E867">
        <v>0</v>
      </c>
      <c r="F867" s="6" t="s">
        <v>443</v>
      </c>
      <c r="I867" t="s">
        <v>179</v>
      </c>
      <c r="J867">
        <v>19</v>
      </c>
      <c r="K867" t="s">
        <v>488</v>
      </c>
      <c r="L867" t="s">
        <v>8</v>
      </c>
      <c r="M867" t="s">
        <v>189</v>
      </c>
      <c r="N867" t="s">
        <v>69</v>
      </c>
      <c r="Q867">
        <f t="shared" si="159"/>
        <v>18977</v>
      </c>
      <c r="R867" t="str">
        <f t="shared" si="159"/>
        <v>Velodrome</v>
      </c>
      <c r="S867" t="str">
        <f t="shared" si="159"/>
        <v>HollowBrook</v>
      </c>
      <c r="T867" s="20">
        <f t="shared" si="151"/>
        <v>0</v>
      </c>
      <c r="U867">
        <f t="shared" si="152"/>
        <v>26</v>
      </c>
      <c r="V867">
        <f t="shared" si="153"/>
        <v>26</v>
      </c>
      <c r="W867" cm="1">
        <f t="array" ref="W867">_xlfn._xlws.FILTER(shifts!A:A,(shifts!B:B=events!D867)*(shifts!AH:AH&gt;=events!U867)*(shifts!AI:AI&lt;=events!V867))</f>
        <v>30</v>
      </c>
      <c r="X867" t="str">
        <f t="shared" si="150"/>
        <v>event_team_player_2</v>
      </c>
      <c r="Y867">
        <f>COUNTIFS(A$3:A867,"="&amp;A867,K$3:K867,"="&amp;K867)</f>
        <v>2</v>
      </c>
      <c r="Z867" s="20">
        <f>SUMIFS(T$3:T867,L$3:L867,"=Intermission")+SUMIFS(T$3:T867,L$3:L867,"=Timeout")+SUMIFS(T$3:T867,L$3:L867,"=Clockstop")</f>
        <v>0</v>
      </c>
      <c r="AA867">
        <f t="shared" si="154"/>
        <v>0</v>
      </c>
      <c r="AB867" s="26">
        <f t="shared" si="155"/>
        <v>1054</v>
      </c>
      <c r="AC867">
        <f t="shared" si="156"/>
        <v>0</v>
      </c>
    </row>
    <row r="868" spans="1:29" x14ac:dyDescent="0.2">
      <c r="A868">
        <v>448</v>
      </c>
      <c r="D868">
        <f t="shared" si="157"/>
        <v>1</v>
      </c>
      <c r="E868">
        <v>0</v>
      </c>
      <c r="F868" s="6" t="s">
        <v>443</v>
      </c>
      <c r="I868" t="s">
        <v>179</v>
      </c>
      <c r="J868">
        <v>11</v>
      </c>
      <c r="K868" t="s">
        <v>488</v>
      </c>
      <c r="L868" t="s">
        <v>277</v>
      </c>
      <c r="M868" t="s">
        <v>201</v>
      </c>
      <c r="N868" t="s">
        <v>91</v>
      </c>
      <c r="Q868">
        <f t="shared" si="159"/>
        <v>18977</v>
      </c>
      <c r="R868" t="str">
        <f t="shared" si="159"/>
        <v>Velodrome</v>
      </c>
      <c r="S868" t="str">
        <f t="shared" si="159"/>
        <v>HollowBrook</v>
      </c>
      <c r="T868" s="20">
        <f t="shared" si="151"/>
        <v>0</v>
      </c>
      <c r="U868">
        <f t="shared" si="152"/>
        <v>26</v>
      </c>
      <c r="V868">
        <f t="shared" si="153"/>
        <v>26</v>
      </c>
      <c r="W868" cm="1">
        <f t="array" ref="W868">_xlfn._xlws.FILTER(shifts!A:A,(shifts!B:B=events!D868)*(shifts!AH:AH&gt;=events!U868)*(shifts!AI:AI&lt;=events!V868))</f>
        <v>30</v>
      </c>
      <c r="X868" t="str">
        <f t="shared" si="150"/>
        <v>event_team_player_1</v>
      </c>
      <c r="Y868">
        <f>COUNTIFS(A$3:A868,"="&amp;A868,K$3:K868,"="&amp;K868)</f>
        <v>1</v>
      </c>
      <c r="Z868" s="20">
        <f>SUMIFS(T$3:T868,L$3:L868,"=Intermission")+SUMIFS(T$3:T868,L$3:L868,"=Timeout")+SUMIFS(T$3:T868,L$3:L868,"=Clockstop")</f>
        <v>0</v>
      </c>
      <c r="AA868">
        <f t="shared" si="154"/>
        <v>0</v>
      </c>
      <c r="AB868" s="26">
        <f t="shared" si="155"/>
        <v>1054</v>
      </c>
      <c r="AC868">
        <f t="shared" si="156"/>
        <v>0</v>
      </c>
    </row>
    <row r="869" spans="1:29" x14ac:dyDescent="0.2">
      <c r="A869">
        <v>448</v>
      </c>
      <c r="D869">
        <f t="shared" si="157"/>
        <v>1</v>
      </c>
      <c r="E869">
        <v>0</v>
      </c>
      <c r="F869" s="6" t="s">
        <v>443</v>
      </c>
      <c r="I869" t="s">
        <v>179</v>
      </c>
      <c r="J869">
        <v>19</v>
      </c>
      <c r="K869" t="s">
        <v>488</v>
      </c>
      <c r="L869" t="s">
        <v>277</v>
      </c>
      <c r="M869" t="s">
        <v>201</v>
      </c>
      <c r="N869" t="s">
        <v>91</v>
      </c>
      <c r="Q869">
        <f t="shared" ref="Q869:S884" si="160">Q868</f>
        <v>18977</v>
      </c>
      <c r="R869" t="str">
        <f t="shared" si="160"/>
        <v>Velodrome</v>
      </c>
      <c r="S869" t="str">
        <f t="shared" si="160"/>
        <v>HollowBrook</v>
      </c>
      <c r="T869" s="20">
        <f t="shared" si="151"/>
        <v>0</v>
      </c>
      <c r="U869">
        <f t="shared" si="152"/>
        <v>26</v>
      </c>
      <c r="V869">
        <f t="shared" si="153"/>
        <v>26</v>
      </c>
      <c r="W869" cm="1">
        <f t="array" ref="W869">_xlfn._xlws.FILTER(shifts!A:A,(shifts!B:B=events!D869)*(shifts!AH:AH&gt;=events!U869)*(shifts!AI:AI&lt;=events!V869))</f>
        <v>30</v>
      </c>
      <c r="X869" t="str">
        <f t="shared" si="150"/>
        <v>event_team_player_2</v>
      </c>
      <c r="Y869">
        <f>COUNTIFS(A$3:A869,"="&amp;A869,K$3:K869,"="&amp;K869)</f>
        <v>2</v>
      </c>
      <c r="Z869" s="20">
        <f>SUMIFS(T$3:T869,L$3:L869,"=Intermission")+SUMIFS(T$3:T869,L$3:L869,"=Timeout")+SUMIFS(T$3:T869,L$3:L869,"=Clockstop")</f>
        <v>0</v>
      </c>
      <c r="AA869">
        <f t="shared" si="154"/>
        <v>0</v>
      </c>
      <c r="AB869" s="26">
        <f t="shared" si="155"/>
        <v>1054</v>
      </c>
      <c r="AC869">
        <f t="shared" si="156"/>
        <v>0</v>
      </c>
    </row>
    <row r="870" spans="1:29" x14ac:dyDescent="0.2">
      <c r="A870">
        <v>449</v>
      </c>
      <c r="D870">
        <f t="shared" si="157"/>
        <v>1</v>
      </c>
      <c r="E870">
        <v>0</v>
      </c>
      <c r="F870" s="6" t="s">
        <v>443</v>
      </c>
      <c r="G870">
        <v>0</v>
      </c>
      <c r="H870" s="8" t="s">
        <v>444</v>
      </c>
      <c r="I870" t="s">
        <v>179</v>
      </c>
      <c r="J870">
        <v>19</v>
      </c>
      <c r="K870" t="s">
        <v>488</v>
      </c>
      <c r="L870" t="s">
        <v>15</v>
      </c>
      <c r="Q870">
        <f t="shared" si="160"/>
        <v>18977</v>
      </c>
      <c r="R870" t="str">
        <f t="shared" si="160"/>
        <v>Velodrome</v>
      </c>
      <c r="S870" t="str">
        <f t="shared" si="160"/>
        <v>HollowBrook</v>
      </c>
      <c r="T870" s="20">
        <f t="shared" si="151"/>
        <v>2</v>
      </c>
      <c r="U870">
        <f t="shared" si="152"/>
        <v>26</v>
      </c>
      <c r="V870">
        <f t="shared" si="153"/>
        <v>24</v>
      </c>
      <c r="W870" cm="1">
        <f t="array" ref="W870">_xlfn._xlws.FILTER(shifts!A:A,(shifts!B:B=events!D870)*(shifts!AH:AH&gt;=events!U870)*(shifts!AI:AI&lt;=events!V870))</f>
        <v>30</v>
      </c>
      <c r="X870" t="str">
        <f t="shared" si="150"/>
        <v>event_team_player_1</v>
      </c>
      <c r="Y870">
        <f>COUNTIFS(A$3:A870,"="&amp;A870,K$3:K870,"="&amp;K870)</f>
        <v>1</v>
      </c>
      <c r="Z870" s="20">
        <f>SUMIFS(T$3:T870,L$3:L870,"=Intermission")+SUMIFS(T$3:T870,L$3:L870,"=Timeout")+SUMIFS(T$3:T870,L$3:L870,"=Clockstop")</f>
        <v>0</v>
      </c>
      <c r="AA870">
        <f t="shared" si="154"/>
        <v>0</v>
      </c>
      <c r="AB870" s="26">
        <f t="shared" si="155"/>
        <v>1054</v>
      </c>
      <c r="AC870">
        <f t="shared" si="156"/>
        <v>0</v>
      </c>
    </row>
    <row r="871" spans="1:29" x14ac:dyDescent="0.2">
      <c r="A871">
        <v>450</v>
      </c>
      <c r="D871">
        <f t="shared" si="157"/>
        <v>1</v>
      </c>
      <c r="E871">
        <v>0</v>
      </c>
      <c r="F871" s="6" t="s">
        <v>444</v>
      </c>
      <c r="G871">
        <v>0</v>
      </c>
      <c r="H871" s="8" t="s">
        <v>484</v>
      </c>
      <c r="I871" t="s">
        <v>179</v>
      </c>
      <c r="J871">
        <v>19</v>
      </c>
      <c r="K871" t="s">
        <v>488</v>
      </c>
      <c r="L871" t="s">
        <v>277</v>
      </c>
      <c r="M871" t="s">
        <v>191</v>
      </c>
      <c r="N871" t="s">
        <v>87</v>
      </c>
      <c r="Q871">
        <f t="shared" si="160"/>
        <v>18977</v>
      </c>
      <c r="R871" t="str">
        <f t="shared" si="160"/>
        <v>Velodrome</v>
      </c>
      <c r="S871" t="str">
        <f t="shared" si="160"/>
        <v>HollowBrook</v>
      </c>
      <c r="T871" s="20">
        <f t="shared" si="151"/>
        <v>2</v>
      </c>
      <c r="U871">
        <f t="shared" si="152"/>
        <v>24</v>
      </c>
      <c r="V871">
        <f t="shared" si="153"/>
        <v>22</v>
      </c>
      <c r="W871" cm="1">
        <f t="array" ref="W871">_xlfn._xlws.FILTER(shifts!A:A,(shifts!B:B=events!D871)*(shifts!AH:AH&gt;=events!U871)*(shifts!AI:AI&lt;=events!V871))</f>
        <v>30</v>
      </c>
      <c r="X871" t="str">
        <f t="shared" si="150"/>
        <v>event_team_player_1</v>
      </c>
      <c r="Y871">
        <f>COUNTIFS(A$3:A871,"="&amp;A871,K$3:K871,"="&amp;K871)</f>
        <v>1</v>
      </c>
      <c r="Z871" s="20">
        <f>SUMIFS(T$3:T871,L$3:L871,"=Intermission")+SUMIFS(T$3:T871,L$3:L871,"=Timeout")+SUMIFS(T$3:T871,L$3:L871,"=Clockstop")</f>
        <v>0</v>
      </c>
      <c r="AA871">
        <f t="shared" si="154"/>
        <v>0</v>
      </c>
      <c r="AB871" s="26">
        <f t="shared" si="155"/>
        <v>1056</v>
      </c>
      <c r="AC871">
        <f t="shared" si="156"/>
        <v>0</v>
      </c>
    </row>
    <row r="872" spans="1:29" x14ac:dyDescent="0.2">
      <c r="A872">
        <v>450</v>
      </c>
      <c r="D872">
        <f t="shared" si="157"/>
        <v>1</v>
      </c>
      <c r="E872">
        <v>0</v>
      </c>
      <c r="F872" s="6" t="s">
        <v>444</v>
      </c>
      <c r="G872">
        <v>0</v>
      </c>
      <c r="H872" s="8" t="s">
        <v>484</v>
      </c>
      <c r="I872" t="s">
        <v>179</v>
      </c>
      <c r="J872">
        <v>8</v>
      </c>
      <c r="K872" t="s">
        <v>488</v>
      </c>
      <c r="L872" t="s">
        <v>277</v>
      </c>
      <c r="M872" t="s">
        <v>191</v>
      </c>
      <c r="N872" t="s">
        <v>87</v>
      </c>
      <c r="Q872">
        <f t="shared" si="160"/>
        <v>18977</v>
      </c>
      <c r="R872" t="str">
        <f t="shared" si="160"/>
        <v>Velodrome</v>
      </c>
      <c r="S872" t="str">
        <f t="shared" si="160"/>
        <v>HollowBrook</v>
      </c>
      <c r="T872" s="20">
        <f t="shared" si="151"/>
        <v>2</v>
      </c>
      <c r="U872">
        <f t="shared" si="152"/>
        <v>24</v>
      </c>
      <c r="V872">
        <f t="shared" si="153"/>
        <v>22</v>
      </c>
      <c r="W872" cm="1">
        <f t="array" ref="W872">_xlfn._xlws.FILTER(shifts!A:A,(shifts!B:B=events!D872)*(shifts!AH:AH&gt;=events!U872)*(shifts!AI:AI&lt;=events!V872))</f>
        <v>30</v>
      </c>
      <c r="X872" t="str">
        <f t="shared" si="150"/>
        <v>event_team_player_2</v>
      </c>
      <c r="Y872">
        <f>COUNTIFS(A$3:A872,"="&amp;A872,K$3:K872,"="&amp;K872)</f>
        <v>2</v>
      </c>
      <c r="Z872" s="20">
        <f>SUMIFS(T$3:T872,L$3:L872,"=Intermission")+SUMIFS(T$3:T872,L$3:L872,"=Timeout")+SUMIFS(T$3:T872,L$3:L872,"=Clockstop")</f>
        <v>0</v>
      </c>
      <c r="AA872">
        <f t="shared" si="154"/>
        <v>0</v>
      </c>
      <c r="AB872" s="26">
        <f t="shared" si="155"/>
        <v>1056</v>
      </c>
      <c r="AC872">
        <f t="shared" si="156"/>
        <v>0</v>
      </c>
    </row>
    <row r="873" spans="1:29" x14ac:dyDescent="0.2">
      <c r="A873">
        <v>450</v>
      </c>
      <c r="D873">
        <f t="shared" si="157"/>
        <v>1</v>
      </c>
      <c r="E873">
        <v>0</v>
      </c>
      <c r="F873" s="6" t="s">
        <v>444</v>
      </c>
      <c r="G873">
        <v>0</v>
      </c>
      <c r="H873" s="8" t="s">
        <v>484</v>
      </c>
      <c r="I873" t="s">
        <v>179</v>
      </c>
      <c r="J873">
        <v>91</v>
      </c>
      <c r="K873" t="s">
        <v>489</v>
      </c>
      <c r="L873" t="s">
        <v>277</v>
      </c>
      <c r="M873" t="s">
        <v>191</v>
      </c>
      <c r="N873" t="s">
        <v>87</v>
      </c>
      <c r="Q873">
        <f t="shared" si="160"/>
        <v>18977</v>
      </c>
      <c r="R873" t="str">
        <f t="shared" si="160"/>
        <v>Velodrome</v>
      </c>
      <c r="S873" t="str">
        <f t="shared" si="160"/>
        <v>HollowBrook</v>
      </c>
      <c r="T873" s="20">
        <f t="shared" si="151"/>
        <v>2</v>
      </c>
      <c r="U873">
        <f t="shared" si="152"/>
        <v>24</v>
      </c>
      <c r="V873">
        <f t="shared" si="153"/>
        <v>22</v>
      </c>
      <c r="W873" cm="1">
        <f t="array" ref="W873">_xlfn._xlws.FILTER(shifts!A:A,(shifts!B:B=events!D873)*(shifts!AH:AH&gt;=events!U873)*(shifts!AI:AI&lt;=events!V873))</f>
        <v>30</v>
      </c>
      <c r="X873" t="str">
        <f t="shared" si="150"/>
        <v>opp_team_player_1</v>
      </c>
      <c r="Y873">
        <f>COUNTIFS(A$3:A873,"="&amp;A873,K$3:K873,"="&amp;K873)</f>
        <v>1</v>
      </c>
      <c r="Z873" s="20">
        <f>SUMIFS(T$3:T873,L$3:L873,"=Intermission")+SUMIFS(T$3:T873,L$3:L873,"=Timeout")+SUMIFS(T$3:T873,L$3:L873,"=Clockstop")</f>
        <v>0</v>
      </c>
      <c r="AA873">
        <f t="shared" si="154"/>
        <v>0</v>
      </c>
      <c r="AB873" s="26">
        <f t="shared" si="155"/>
        <v>1056</v>
      </c>
      <c r="AC873">
        <f t="shared" si="156"/>
        <v>0</v>
      </c>
    </row>
    <row r="874" spans="1:29" x14ac:dyDescent="0.2">
      <c r="A874">
        <v>450</v>
      </c>
      <c r="D874">
        <f t="shared" si="157"/>
        <v>1</v>
      </c>
      <c r="E874">
        <v>0</v>
      </c>
      <c r="F874" s="6" t="s">
        <v>444</v>
      </c>
      <c r="G874">
        <v>0</v>
      </c>
      <c r="H874" s="8" t="s">
        <v>484</v>
      </c>
      <c r="I874" t="s">
        <v>179</v>
      </c>
      <c r="J874">
        <v>52</v>
      </c>
      <c r="K874" t="s">
        <v>489</v>
      </c>
      <c r="L874" t="s">
        <v>277</v>
      </c>
      <c r="M874" t="s">
        <v>191</v>
      </c>
      <c r="N874" t="s">
        <v>87</v>
      </c>
      <c r="Q874">
        <f t="shared" si="160"/>
        <v>18977</v>
      </c>
      <c r="R874" t="str">
        <f t="shared" si="160"/>
        <v>Velodrome</v>
      </c>
      <c r="S874" t="str">
        <f t="shared" si="160"/>
        <v>HollowBrook</v>
      </c>
      <c r="T874" s="20">
        <f t="shared" si="151"/>
        <v>2</v>
      </c>
      <c r="U874">
        <f t="shared" si="152"/>
        <v>24</v>
      </c>
      <c r="V874">
        <f t="shared" si="153"/>
        <v>22</v>
      </c>
      <c r="W874" cm="1">
        <f t="array" ref="W874">_xlfn._xlws.FILTER(shifts!A:A,(shifts!B:B=events!D874)*(shifts!AH:AH&gt;=events!U874)*(shifts!AI:AI&lt;=events!V874))</f>
        <v>30</v>
      </c>
      <c r="X874" t="str">
        <f t="shared" si="150"/>
        <v>opp_team_player_2</v>
      </c>
      <c r="Y874">
        <f>COUNTIFS(A$3:A874,"="&amp;A874,K$3:K874,"="&amp;K874)</f>
        <v>2</v>
      </c>
      <c r="Z874" s="20">
        <f>SUMIFS(T$3:T874,L$3:L874,"=Intermission")+SUMIFS(T$3:T874,L$3:L874,"=Timeout")+SUMIFS(T$3:T874,L$3:L874,"=Clockstop")</f>
        <v>0</v>
      </c>
      <c r="AA874">
        <f t="shared" si="154"/>
        <v>0</v>
      </c>
      <c r="AB874" s="26">
        <f t="shared" si="155"/>
        <v>1056</v>
      </c>
      <c r="AC874">
        <f t="shared" si="156"/>
        <v>0</v>
      </c>
    </row>
    <row r="875" spans="1:29" x14ac:dyDescent="0.2">
      <c r="A875">
        <v>450</v>
      </c>
      <c r="D875">
        <f t="shared" si="157"/>
        <v>1</v>
      </c>
      <c r="E875">
        <v>0</v>
      </c>
      <c r="F875" s="6" t="s">
        <v>444</v>
      </c>
      <c r="G875">
        <v>0</v>
      </c>
      <c r="H875" s="8" t="s">
        <v>484</v>
      </c>
      <c r="I875" t="s">
        <v>179</v>
      </c>
      <c r="J875">
        <v>22</v>
      </c>
      <c r="K875" t="s">
        <v>489</v>
      </c>
      <c r="L875" t="s">
        <v>277</v>
      </c>
      <c r="M875" t="s">
        <v>191</v>
      </c>
      <c r="N875" t="s">
        <v>87</v>
      </c>
      <c r="Q875">
        <f t="shared" si="160"/>
        <v>18977</v>
      </c>
      <c r="R875" t="str">
        <f t="shared" si="160"/>
        <v>Velodrome</v>
      </c>
      <c r="S875" t="str">
        <f t="shared" si="160"/>
        <v>HollowBrook</v>
      </c>
      <c r="T875" s="20">
        <f t="shared" si="151"/>
        <v>2</v>
      </c>
      <c r="U875">
        <f t="shared" si="152"/>
        <v>24</v>
      </c>
      <c r="V875">
        <f t="shared" si="153"/>
        <v>22</v>
      </c>
      <c r="W875" cm="1">
        <f t="array" ref="W875">_xlfn._xlws.FILTER(shifts!A:A,(shifts!B:B=events!D875)*(shifts!AH:AH&gt;=events!U875)*(shifts!AI:AI&lt;=events!V875))</f>
        <v>30</v>
      </c>
      <c r="X875" t="str">
        <f t="shared" si="150"/>
        <v>opp_team_player_3</v>
      </c>
      <c r="Y875">
        <f>COUNTIFS(A$3:A875,"="&amp;A875,K$3:K875,"="&amp;K875)</f>
        <v>3</v>
      </c>
      <c r="Z875" s="20">
        <f>SUMIFS(T$3:T875,L$3:L875,"=Intermission")+SUMIFS(T$3:T875,L$3:L875,"=Timeout")+SUMIFS(T$3:T875,L$3:L875,"=Clockstop")</f>
        <v>0</v>
      </c>
      <c r="AA875">
        <f t="shared" si="154"/>
        <v>0</v>
      </c>
      <c r="AB875" s="26">
        <f t="shared" si="155"/>
        <v>1056</v>
      </c>
      <c r="AC875">
        <f t="shared" si="156"/>
        <v>0</v>
      </c>
    </row>
    <row r="876" spans="1:29" x14ac:dyDescent="0.2">
      <c r="A876">
        <v>451</v>
      </c>
      <c r="D876">
        <f t="shared" si="157"/>
        <v>1</v>
      </c>
      <c r="E876">
        <v>0</v>
      </c>
      <c r="F876" s="6" t="s">
        <v>422</v>
      </c>
      <c r="I876" t="s">
        <v>179</v>
      </c>
      <c r="J876">
        <v>19</v>
      </c>
      <c r="K876" t="s">
        <v>488</v>
      </c>
      <c r="L876" t="s">
        <v>8</v>
      </c>
      <c r="M876" t="s">
        <v>216</v>
      </c>
      <c r="N876" t="s">
        <v>70</v>
      </c>
      <c r="Q876">
        <f t="shared" si="160"/>
        <v>18977</v>
      </c>
      <c r="R876" t="str">
        <f t="shared" si="160"/>
        <v>Velodrome</v>
      </c>
      <c r="S876" t="str">
        <f t="shared" si="160"/>
        <v>HollowBrook</v>
      </c>
      <c r="T876" s="20">
        <f t="shared" si="151"/>
        <v>0</v>
      </c>
      <c r="U876">
        <f t="shared" si="152"/>
        <v>20</v>
      </c>
      <c r="V876">
        <f t="shared" si="153"/>
        <v>20</v>
      </c>
      <c r="W876" cm="1">
        <f t="array" ref="W876">_xlfn._xlws.FILTER(shifts!A:A,(shifts!B:B=events!D876)*(shifts!AH:AH&gt;=events!U876)*(shifts!AI:AI&lt;=events!V876))</f>
        <v>31</v>
      </c>
      <c r="X876" t="str">
        <f t="shared" si="150"/>
        <v>event_team_player_1</v>
      </c>
      <c r="Y876">
        <f>COUNTIFS(A$3:A876,"="&amp;A876,K$3:K876,"="&amp;K876)</f>
        <v>1</v>
      </c>
      <c r="Z876" s="20">
        <f>SUMIFS(T$3:T876,L$3:L876,"=Intermission")+SUMIFS(T$3:T876,L$3:L876,"=Timeout")+SUMIFS(T$3:T876,L$3:L876,"=Clockstop")</f>
        <v>0</v>
      </c>
      <c r="AA876">
        <f t="shared" si="154"/>
        <v>0</v>
      </c>
      <c r="AB876" s="26">
        <f t="shared" si="155"/>
        <v>1060</v>
      </c>
      <c r="AC876">
        <f t="shared" si="156"/>
        <v>0</v>
      </c>
    </row>
    <row r="877" spans="1:29" x14ac:dyDescent="0.2">
      <c r="A877">
        <v>451</v>
      </c>
      <c r="D877">
        <f t="shared" si="157"/>
        <v>1</v>
      </c>
      <c r="E877">
        <v>0</v>
      </c>
      <c r="F877" s="6" t="s">
        <v>422</v>
      </c>
      <c r="I877" t="s">
        <v>179</v>
      </c>
      <c r="J877">
        <v>22</v>
      </c>
      <c r="K877" t="s">
        <v>489</v>
      </c>
      <c r="L877" t="s">
        <v>8</v>
      </c>
      <c r="M877" t="s">
        <v>216</v>
      </c>
      <c r="N877" t="s">
        <v>70</v>
      </c>
      <c r="Q877">
        <f t="shared" si="160"/>
        <v>18977</v>
      </c>
      <c r="R877" t="str">
        <f t="shared" si="160"/>
        <v>Velodrome</v>
      </c>
      <c r="S877" t="str">
        <f t="shared" si="160"/>
        <v>HollowBrook</v>
      </c>
      <c r="T877" s="20">
        <f t="shared" si="151"/>
        <v>0</v>
      </c>
      <c r="U877">
        <f t="shared" si="152"/>
        <v>20</v>
      </c>
      <c r="V877">
        <f t="shared" si="153"/>
        <v>20</v>
      </c>
      <c r="W877" cm="1">
        <f t="array" ref="W877">_xlfn._xlws.FILTER(shifts!A:A,(shifts!B:B=events!D877)*(shifts!AH:AH&gt;=events!U877)*(shifts!AI:AI&lt;=events!V877))</f>
        <v>31</v>
      </c>
      <c r="X877" t="str">
        <f t="shared" si="150"/>
        <v>opp_team_player_1</v>
      </c>
      <c r="Y877">
        <f>COUNTIFS(A$3:A877,"="&amp;A877,K$3:K877,"="&amp;K877)</f>
        <v>1</v>
      </c>
      <c r="Z877" s="20">
        <f>SUMIFS(T$3:T877,L$3:L877,"=Intermission")+SUMIFS(T$3:T877,L$3:L877,"=Timeout")+SUMIFS(T$3:T877,L$3:L877,"=Clockstop")</f>
        <v>0</v>
      </c>
      <c r="AA877">
        <f t="shared" si="154"/>
        <v>0</v>
      </c>
      <c r="AB877" s="26">
        <f t="shared" si="155"/>
        <v>1060</v>
      </c>
      <c r="AC877">
        <f t="shared" si="156"/>
        <v>0</v>
      </c>
    </row>
    <row r="878" spans="1:29" x14ac:dyDescent="0.2">
      <c r="A878">
        <v>452</v>
      </c>
      <c r="D878">
        <f t="shared" si="157"/>
        <v>1</v>
      </c>
      <c r="E878">
        <v>0</v>
      </c>
      <c r="F878" s="6" t="s">
        <v>422</v>
      </c>
      <c r="I878" t="s">
        <v>179</v>
      </c>
      <c r="J878">
        <v>19</v>
      </c>
      <c r="K878" t="s">
        <v>488</v>
      </c>
      <c r="L878" t="s">
        <v>10</v>
      </c>
      <c r="M878" t="s">
        <v>190</v>
      </c>
      <c r="N878" t="s">
        <v>75</v>
      </c>
      <c r="Q878">
        <f t="shared" si="160"/>
        <v>18977</v>
      </c>
      <c r="R878" t="str">
        <f t="shared" si="160"/>
        <v>Velodrome</v>
      </c>
      <c r="S878" t="str">
        <f t="shared" si="160"/>
        <v>HollowBrook</v>
      </c>
      <c r="T878" s="20">
        <f t="shared" si="151"/>
        <v>0</v>
      </c>
      <c r="U878">
        <f t="shared" si="152"/>
        <v>20</v>
      </c>
      <c r="V878">
        <f t="shared" si="153"/>
        <v>20</v>
      </c>
      <c r="W878" cm="1">
        <f t="array" ref="W878">_xlfn._xlws.FILTER(shifts!A:A,(shifts!B:B=events!D878)*(shifts!AH:AH&gt;=events!U878)*(shifts!AI:AI&lt;=events!V878))</f>
        <v>31</v>
      </c>
      <c r="X878" t="str">
        <f t="shared" si="150"/>
        <v>event_team_player_1</v>
      </c>
      <c r="Y878">
        <f>COUNTIFS(A$3:A878,"="&amp;A878,K$3:K878,"="&amp;K878)</f>
        <v>1</v>
      </c>
      <c r="Z878" s="20">
        <f>SUMIFS(T$3:T878,L$3:L878,"=Intermission")+SUMIFS(T$3:T878,L$3:L878,"=Timeout")+SUMIFS(T$3:T878,L$3:L878,"=Clockstop")</f>
        <v>0</v>
      </c>
      <c r="AA878">
        <f t="shared" si="154"/>
        <v>0</v>
      </c>
      <c r="AB878" s="26">
        <f t="shared" si="155"/>
        <v>1060</v>
      </c>
      <c r="AC878">
        <f t="shared" si="156"/>
        <v>0</v>
      </c>
    </row>
    <row r="879" spans="1:29" x14ac:dyDescent="0.2">
      <c r="A879">
        <v>452</v>
      </c>
      <c r="D879">
        <f t="shared" si="157"/>
        <v>1</v>
      </c>
      <c r="E879">
        <v>0</v>
      </c>
      <c r="F879" s="6" t="s">
        <v>422</v>
      </c>
      <c r="I879" t="s">
        <v>179</v>
      </c>
      <c r="J879">
        <v>22</v>
      </c>
      <c r="K879" t="s">
        <v>489</v>
      </c>
      <c r="L879" t="s">
        <v>10</v>
      </c>
      <c r="M879" t="s">
        <v>190</v>
      </c>
      <c r="N879" t="s">
        <v>75</v>
      </c>
      <c r="Q879">
        <f t="shared" si="160"/>
        <v>18977</v>
      </c>
      <c r="R879" t="str">
        <f t="shared" si="160"/>
        <v>Velodrome</v>
      </c>
      <c r="S879" t="str">
        <f t="shared" si="160"/>
        <v>HollowBrook</v>
      </c>
      <c r="T879" s="20">
        <f t="shared" si="151"/>
        <v>0</v>
      </c>
      <c r="U879">
        <f t="shared" si="152"/>
        <v>20</v>
      </c>
      <c r="V879">
        <f t="shared" si="153"/>
        <v>20</v>
      </c>
      <c r="W879" cm="1">
        <f t="array" ref="W879">_xlfn._xlws.FILTER(shifts!A:A,(shifts!B:B=events!D879)*(shifts!AH:AH&gt;=events!U879)*(shifts!AI:AI&lt;=events!V879))</f>
        <v>31</v>
      </c>
      <c r="X879" t="str">
        <f t="shared" si="150"/>
        <v>opp_team_player_1</v>
      </c>
      <c r="Y879">
        <f>COUNTIFS(A$3:A879,"="&amp;A879,K$3:K879,"="&amp;K879)</f>
        <v>1</v>
      </c>
      <c r="Z879" s="20">
        <f>SUMIFS(T$3:T879,L$3:L879,"=Intermission")+SUMIFS(T$3:T879,L$3:L879,"=Timeout")+SUMIFS(T$3:T879,L$3:L879,"=Clockstop")</f>
        <v>0</v>
      </c>
      <c r="AA879">
        <f t="shared" si="154"/>
        <v>0</v>
      </c>
      <c r="AB879" s="26">
        <f t="shared" si="155"/>
        <v>1060</v>
      </c>
      <c r="AC879">
        <f t="shared" si="156"/>
        <v>0</v>
      </c>
    </row>
    <row r="880" spans="1:29" x14ac:dyDescent="0.2">
      <c r="A880">
        <v>453</v>
      </c>
      <c r="D880">
        <f t="shared" si="157"/>
        <v>1</v>
      </c>
      <c r="E880">
        <v>0</v>
      </c>
      <c r="F880" s="6" t="s">
        <v>422</v>
      </c>
      <c r="I880" t="s">
        <v>178</v>
      </c>
      <c r="J880">
        <v>39</v>
      </c>
      <c r="K880" t="s">
        <v>488</v>
      </c>
      <c r="L880" t="s">
        <v>13</v>
      </c>
      <c r="M880" t="s">
        <v>204</v>
      </c>
      <c r="N880" t="s">
        <v>110</v>
      </c>
      <c r="Q880">
        <f t="shared" si="160"/>
        <v>18977</v>
      </c>
      <c r="R880" t="str">
        <f t="shared" si="160"/>
        <v>Velodrome</v>
      </c>
      <c r="S880" t="str">
        <f t="shared" si="160"/>
        <v>HollowBrook</v>
      </c>
      <c r="T880" s="20">
        <f t="shared" si="151"/>
        <v>0</v>
      </c>
      <c r="U880">
        <f t="shared" si="152"/>
        <v>20</v>
      </c>
      <c r="V880">
        <f t="shared" si="153"/>
        <v>20</v>
      </c>
      <c r="W880" cm="1">
        <f t="array" ref="W880">_xlfn._xlws.FILTER(shifts!A:A,(shifts!B:B=events!D880)*(shifts!AH:AH&gt;=events!U880)*(shifts!AI:AI&lt;=events!V880))</f>
        <v>31</v>
      </c>
      <c r="X880" t="str">
        <f t="shared" si="150"/>
        <v>event_team_player_1</v>
      </c>
      <c r="Y880">
        <f>COUNTIFS(A$3:A880,"="&amp;A880,K$3:K880,"="&amp;K880)</f>
        <v>1</v>
      </c>
      <c r="Z880" s="20">
        <f>SUMIFS(T$3:T880,L$3:L880,"=Intermission")+SUMIFS(T$3:T880,L$3:L880,"=Timeout")+SUMIFS(T$3:T880,L$3:L880,"=Clockstop")</f>
        <v>0</v>
      </c>
      <c r="AA880">
        <f t="shared" si="154"/>
        <v>0</v>
      </c>
      <c r="AB880" s="26">
        <f t="shared" si="155"/>
        <v>1060</v>
      </c>
      <c r="AC880">
        <f t="shared" si="156"/>
        <v>0</v>
      </c>
    </row>
    <row r="881" spans="1:29" x14ac:dyDescent="0.2">
      <c r="A881">
        <v>454</v>
      </c>
      <c r="D881">
        <f t="shared" si="157"/>
        <v>1</v>
      </c>
      <c r="E881">
        <v>0</v>
      </c>
      <c r="F881" s="6" t="s">
        <v>422</v>
      </c>
      <c r="G881">
        <v>0</v>
      </c>
      <c r="H881" s="8" t="s">
        <v>311</v>
      </c>
      <c r="I881" t="s">
        <v>178</v>
      </c>
      <c r="J881">
        <v>39</v>
      </c>
      <c r="K881" t="s">
        <v>488</v>
      </c>
      <c r="L881" t="s">
        <v>282</v>
      </c>
      <c r="Q881">
        <f t="shared" si="160"/>
        <v>18977</v>
      </c>
      <c r="R881" t="str">
        <f t="shared" si="160"/>
        <v>Velodrome</v>
      </c>
      <c r="S881" t="str">
        <f t="shared" si="160"/>
        <v>HollowBrook</v>
      </c>
      <c r="T881" s="20">
        <f t="shared" si="151"/>
        <v>17</v>
      </c>
      <c r="U881">
        <f t="shared" si="152"/>
        <v>20</v>
      </c>
      <c r="V881">
        <f t="shared" si="153"/>
        <v>3</v>
      </c>
      <c r="W881" cm="1">
        <f t="array" ref="W881">_xlfn._xlws.FILTER(shifts!A:A,(shifts!B:B=events!D881)*(shifts!AH:AH&gt;=events!U881)*(shifts!AI:AI&lt;=events!V881))</f>
        <v>31</v>
      </c>
      <c r="X881" t="str">
        <f t="shared" si="150"/>
        <v>event_team_player_1</v>
      </c>
      <c r="Y881">
        <f>COUNTIFS(A$3:A881,"="&amp;A881,K$3:K881,"="&amp;K881)</f>
        <v>1</v>
      </c>
      <c r="Z881" s="20">
        <f>SUMIFS(T$3:T881,L$3:L881,"=Intermission")+SUMIFS(T$3:T881,L$3:L881,"=Timeout")+SUMIFS(T$3:T881,L$3:L881,"=Clockstop")</f>
        <v>0</v>
      </c>
      <c r="AA881">
        <f t="shared" si="154"/>
        <v>0</v>
      </c>
      <c r="AB881" s="26">
        <f t="shared" si="155"/>
        <v>1060</v>
      </c>
      <c r="AC881">
        <f t="shared" si="156"/>
        <v>0</v>
      </c>
    </row>
    <row r="882" spans="1:29" x14ac:dyDescent="0.2">
      <c r="A882">
        <v>455</v>
      </c>
      <c r="D882">
        <f t="shared" si="157"/>
        <v>1</v>
      </c>
      <c r="E882">
        <v>0</v>
      </c>
      <c r="F882" s="6" t="s">
        <v>311</v>
      </c>
      <c r="I882" t="s">
        <v>179</v>
      </c>
      <c r="J882">
        <v>11</v>
      </c>
      <c r="K882" t="s">
        <v>488</v>
      </c>
      <c r="L882" t="s">
        <v>6</v>
      </c>
      <c r="M882" t="s">
        <v>275</v>
      </c>
      <c r="Q882">
        <f t="shared" si="160"/>
        <v>18977</v>
      </c>
      <c r="R882" t="str">
        <f t="shared" si="160"/>
        <v>Velodrome</v>
      </c>
      <c r="S882" t="str">
        <f t="shared" si="160"/>
        <v>HollowBrook</v>
      </c>
      <c r="T882" s="20">
        <f t="shared" si="151"/>
        <v>0</v>
      </c>
      <c r="U882">
        <f t="shared" si="152"/>
        <v>3</v>
      </c>
      <c r="V882">
        <f t="shared" si="153"/>
        <v>3</v>
      </c>
      <c r="W882" cm="1">
        <f t="array" ref="W882">_xlfn._xlws.FILTER(shifts!A:A,(shifts!B:B=events!D882)*(shifts!AH:AH&gt;=events!U882)*(shifts!AI:AI&lt;=events!V882))</f>
        <v>31</v>
      </c>
      <c r="X882" t="str">
        <f t="shared" si="150"/>
        <v>event_team_player_1</v>
      </c>
      <c r="Y882">
        <f>COUNTIFS(A$3:A882,"="&amp;A882,K$3:K882,"="&amp;K882)</f>
        <v>1</v>
      </c>
      <c r="Z882" s="20">
        <f>SUMIFS(T$3:T882,L$3:L882,"=Intermission")+SUMIFS(T$3:T882,L$3:L882,"=Timeout")+SUMIFS(T$3:T882,L$3:L882,"=Clockstop")</f>
        <v>0</v>
      </c>
      <c r="AA882">
        <f t="shared" si="154"/>
        <v>0</v>
      </c>
      <c r="AB882" s="26">
        <f t="shared" si="155"/>
        <v>1077</v>
      </c>
      <c r="AC882">
        <f t="shared" si="156"/>
        <v>0</v>
      </c>
    </row>
    <row r="883" spans="1:29" x14ac:dyDescent="0.2">
      <c r="A883">
        <v>455</v>
      </c>
      <c r="D883">
        <f t="shared" si="157"/>
        <v>1</v>
      </c>
      <c r="E883">
        <v>0</v>
      </c>
      <c r="F883" s="6" t="s">
        <v>311</v>
      </c>
      <c r="I883" t="s">
        <v>179</v>
      </c>
      <c r="J883">
        <v>42</v>
      </c>
      <c r="K883" t="s">
        <v>489</v>
      </c>
      <c r="L883" t="s">
        <v>6</v>
      </c>
      <c r="M883" t="s">
        <v>275</v>
      </c>
      <c r="Q883">
        <f t="shared" si="160"/>
        <v>18977</v>
      </c>
      <c r="R883" t="str">
        <f t="shared" si="160"/>
        <v>Velodrome</v>
      </c>
      <c r="S883" t="str">
        <f t="shared" si="160"/>
        <v>HollowBrook</v>
      </c>
      <c r="T883" s="20">
        <f t="shared" si="151"/>
        <v>0</v>
      </c>
      <c r="U883">
        <f t="shared" si="152"/>
        <v>3</v>
      </c>
      <c r="V883">
        <f t="shared" si="153"/>
        <v>3</v>
      </c>
      <c r="W883" cm="1">
        <f t="array" ref="W883">_xlfn._xlws.FILTER(shifts!A:A,(shifts!B:B=events!D883)*(shifts!AH:AH&gt;=events!U883)*(shifts!AI:AI&lt;=events!V883))</f>
        <v>31</v>
      </c>
      <c r="X883" t="str">
        <f t="shared" si="150"/>
        <v>opp_team_player_1</v>
      </c>
      <c r="Y883">
        <f>COUNTIFS(A$3:A883,"="&amp;A883,K$3:K883,"="&amp;K883)</f>
        <v>1</v>
      </c>
      <c r="Z883" s="20">
        <f>SUMIFS(T$3:T883,L$3:L883,"=Intermission")+SUMIFS(T$3:T883,L$3:L883,"=Timeout")+SUMIFS(T$3:T883,L$3:L883,"=Clockstop")</f>
        <v>0</v>
      </c>
      <c r="AA883">
        <f t="shared" si="154"/>
        <v>0</v>
      </c>
      <c r="AB883" s="26">
        <f t="shared" si="155"/>
        <v>1077</v>
      </c>
      <c r="AC883">
        <f t="shared" si="156"/>
        <v>0</v>
      </c>
    </row>
    <row r="884" spans="1:29" x14ac:dyDescent="0.2">
      <c r="A884">
        <v>456</v>
      </c>
      <c r="D884">
        <f t="shared" si="157"/>
        <v>1</v>
      </c>
      <c r="E884">
        <v>0</v>
      </c>
      <c r="F884" s="6" t="s">
        <v>311</v>
      </c>
      <c r="I884" t="s">
        <v>179</v>
      </c>
      <c r="J884">
        <v>11</v>
      </c>
      <c r="K884" t="s">
        <v>488</v>
      </c>
      <c r="L884" t="s">
        <v>7</v>
      </c>
      <c r="M884" t="s">
        <v>222</v>
      </c>
      <c r="N884" t="s">
        <v>53</v>
      </c>
      <c r="Q884">
        <f t="shared" si="160"/>
        <v>18977</v>
      </c>
      <c r="R884" t="str">
        <f t="shared" si="160"/>
        <v>Velodrome</v>
      </c>
      <c r="S884" t="str">
        <f t="shared" si="160"/>
        <v>HollowBrook</v>
      </c>
      <c r="T884" s="20">
        <f t="shared" si="151"/>
        <v>0</v>
      </c>
      <c r="U884">
        <f t="shared" si="152"/>
        <v>3</v>
      </c>
      <c r="V884">
        <f t="shared" si="153"/>
        <v>3</v>
      </c>
      <c r="W884" cm="1">
        <f t="array" ref="W884">_xlfn._xlws.FILTER(shifts!A:A,(shifts!B:B=events!D884)*(shifts!AH:AH&gt;=events!U884)*(shifts!AI:AI&lt;=events!V884))</f>
        <v>31</v>
      </c>
      <c r="X884" t="str">
        <f t="shared" si="150"/>
        <v>event_team_player_1</v>
      </c>
      <c r="Y884">
        <f>COUNTIFS(A$3:A884,"="&amp;A884,K$3:K884,"="&amp;K884)</f>
        <v>1</v>
      </c>
      <c r="Z884" s="20">
        <f>SUMIFS(T$3:T884,L$3:L884,"=Intermission")+SUMIFS(T$3:T884,L$3:L884,"=Timeout")+SUMIFS(T$3:T884,L$3:L884,"=Clockstop")</f>
        <v>0</v>
      </c>
      <c r="AA884">
        <f t="shared" si="154"/>
        <v>0</v>
      </c>
      <c r="AB884" s="26">
        <f t="shared" si="155"/>
        <v>1077</v>
      </c>
      <c r="AC884">
        <f t="shared" si="156"/>
        <v>0</v>
      </c>
    </row>
    <row r="885" spans="1:29" x14ac:dyDescent="0.2">
      <c r="A885">
        <v>456</v>
      </c>
      <c r="D885">
        <f t="shared" si="157"/>
        <v>1</v>
      </c>
      <c r="E885">
        <v>0</v>
      </c>
      <c r="F885" s="6" t="s">
        <v>311</v>
      </c>
      <c r="I885" t="s">
        <v>179</v>
      </c>
      <c r="J885">
        <v>39</v>
      </c>
      <c r="K885" t="s">
        <v>489</v>
      </c>
      <c r="L885" t="s">
        <v>7</v>
      </c>
      <c r="M885" t="s">
        <v>222</v>
      </c>
      <c r="N885" t="s">
        <v>53</v>
      </c>
      <c r="Q885">
        <f t="shared" ref="Q885:S900" si="161">Q884</f>
        <v>18977</v>
      </c>
      <c r="R885" t="str">
        <f t="shared" si="161"/>
        <v>Velodrome</v>
      </c>
      <c r="S885" t="str">
        <f t="shared" si="161"/>
        <v>HollowBrook</v>
      </c>
      <c r="T885" s="20">
        <f t="shared" si="151"/>
        <v>0</v>
      </c>
      <c r="U885">
        <f t="shared" si="152"/>
        <v>3</v>
      </c>
      <c r="V885">
        <f t="shared" si="153"/>
        <v>3</v>
      </c>
      <c r="W885" cm="1">
        <f t="array" ref="W885">_xlfn._xlws.FILTER(shifts!A:A,(shifts!B:B=events!D885)*(shifts!AH:AH&gt;=events!U885)*(shifts!AI:AI&lt;=events!V885))</f>
        <v>31</v>
      </c>
      <c r="X885" t="str">
        <f t="shared" ref="X885:X948" si="162">IF(K885="e","event_team_player_"&amp;Y885,IF(K885="o","opp_team_player_"&amp;Y885,""))</f>
        <v>opp_team_player_1</v>
      </c>
      <c r="Y885">
        <f>COUNTIFS(A$3:A885,"="&amp;A885,K$3:K885,"="&amp;K885)</f>
        <v>1</v>
      </c>
      <c r="Z885" s="20">
        <f>SUMIFS(T$3:T885,L$3:L885,"=Intermission")+SUMIFS(T$3:T885,L$3:L885,"=Timeout")+SUMIFS(T$3:T885,L$3:L885,"=Clockstop")</f>
        <v>0</v>
      </c>
      <c r="AA885">
        <f t="shared" si="154"/>
        <v>0</v>
      </c>
      <c r="AB885" s="26">
        <f t="shared" si="155"/>
        <v>1077</v>
      </c>
      <c r="AC885">
        <f t="shared" si="156"/>
        <v>0</v>
      </c>
    </row>
    <row r="886" spans="1:29" x14ac:dyDescent="0.2">
      <c r="A886">
        <v>457</v>
      </c>
      <c r="D886">
        <f t="shared" si="157"/>
        <v>1</v>
      </c>
      <c r="E886">
        <v>0</v>
      </c>
      <c r="F886" s="6" t="s">
        <v>311</v>
      </c>
      <c r="I886" t="s">
        <v>178</v>
      </c>
      <c r="J886">
        <v>39</v>
      </c>
      <c r="K886" t="s">
        <v>488</v>
      </c>
      <c r="L886" t="s">
        <v>17</v>
      </c>
      <c r="M886" t="s">
        <v>206</v>
      </c>
      <c r="N886" t="s">
        <v>102</v>
      </c>
      <c r="Q886">
        <f t="shared" si="161"/>
        <v>18977</v>
      </c>
      <c r="R886" t="str">
        <f t="shared" si="161"/>
        <v>Velodrome</v>
      </c>
      <c r="S886" t="str">
        <f t="shared" si="161"/>
        <v>HollowBrook</v>
      </c>
      <c r="T886" s="20">
        <f t="shared" si="151"/>
        <v>0</v>
      </c>
      <c r="U886">
        <f t="shared" si="152"/>
        <v>3</v>
      </c>
      <c r="V886">
        <f t="shared" si="153"/>
        <v>3</v>
      </c>
      <c r="W886" cm="1">
        <f t="array" ref="W886">_xlfn._xlws.FILTER(shifts!A:A,(shifts!B:B=events!D886)*(shifts!AH:AH&gt;=events!U886)*(shifts!AI:AI&lt;=events!V886))</f>
        <v>31</v>
      </c>
      <c r="X886" t="str">
        <f t="shared" si="162"/>
        <v>event_team_player_1</v>
      </c>
      <c r="Y886">
        <f>COUNTIFS(A$3:A886,"="&amp;A886,K$3:K886,"="&amp;K886)</f>
        <v>1</v>
      </c>
      <c r="Z886" s="20">
        <f>SUMIFS(T$3:T886,L$3:L886,"=Intermission")+SUMIFS(T$3:T886,L$3:L886,"=Timeout")+SUMIFS(T$3:T886,L$3:L886,"=Clockstop")</f>
        <v>0</v>
      </c>
      <c r="AA886">
        <f t="shared" si="154"/>
        <v>0</v>
      </c>
      <c r="AB886" s="26">
        <f t="shared" si="155"/>
        <v>1077</v>
      </c>
      <c r="AC886">
        <f t="shared" si="156"/>
        <v>0</v>
      </c>
    </row>
    <row r="887" spans="1:29" x14ac:dyDescent="0.2">
      <c r="A887">
        <v>457</v>
      </c>
      <c r="D887">
        <f t="shared" si="157"/>
        <v>1</v>
      </c>
      <c r="E887">
        <v>0</v>
      </c>
      <c r="F887" s="6" t="s">
        <v>311</v>
      </c>
      <c r="I887" t="s">
        <v>178</v>
      </c>
      <c r="J887">
        <v>11</v>
      </c>
      <c r="K887" t="s">
        <v>489</v>
      </c>
      <c r="L887" t="s">
        <v>17</v>
      </c>
      <c r="M887" t="s">
        <v>206</v>
      </c>
      <c r="N887" t="s">
        <v>102</v>
      </c>
      <c r="Q887">
        <f t="shared" si="161"/>
        <v>18977</v>
      </c>
      <c r="R887" t="str">
        <f t="shared" si="161"/>
        <v>Velodrome</v>
      </c>
      <c r="S887" t="str">
        <f t="shared" si="161"/>
        <v>HollowBrook</v>
      </c>
      <c r="T887" s="20">
        <f t="shared" si="151"/>
        <v>0</v>
      </c>
      <c r="U887">
        <f t="shared" si="152"/>
        <v>3</v>
      </c>
      <c r="V887">
        <f t="shared" si="153"/>
        <v>3</v>
      </c>
      <c r="W887" cm="1">
        <f t="array" ref="W887">_xlfn._xlws.FILTER(shifts!A:A,(shifts!B:B=events!D887)*(shifts!AH:AH&gt;=events!U887)*(shifts!AI:AI&lt;=events!V887))</f>
        <v>31</v>
      </c>
      <c r="X887" t="str">
        <f t="shared" si="162"/>
        <v>opp_team_player_1</v>
      </c>
      <c r="Y887">
        <f>COUNTIFS(A$3:A887,"="&amp;A887,K$3:K887,"="&amp;K887)</f>
        <v>1</v>
      </c>
      <c r="Z887" s="20">
        <f>SUMIFS(T$3:T887,L$3:L887,"=Intermission")+SUMIFS(T$3:T887,L$3:L887,"=Timeout")+SUMIFS(T$3:T887,L$3:L887,"=Clockstop")</f>
        <v>0</v>
      </c>
      <c r="AA887">
        <f t="shared" si="154"/>
        <v>0</v>
      </c>
      <c r="AB887" s="26">
        <f t="shared" si="155"/>
        <v>1077</v>
      </c>
      <c r="AC887">
        <f t="shared" si="156"/>
        <v>0</v>
      </c>
    </row>
    <row r="888" spans="1:29" x14ac:dyDescent="0.2">
      <c r="A888">
        <v>458</v>
      </c>
      <c r="D888">
        <f t="shared" si="157"/>
        <v>1</v>
      </c>
      <c r="E888">
        <v>0</v>
      </c>
      <c r="F888" s="6" t="s">
        <v>312</v>
      </c>
      <c r="G888">
        <v>0</v>
      </c>
      <c r="H888" s="8" t="s">
        <v>426</v>
      </c>
      <c r="I888" t="s">
        <v>178</v>
      </c>
      <c r="J888">
        <v>39</v>
      </c>
      <c r="K888" t="s">
        <v>488</v>
      </c>
      <c r="L888" t="s">
        <v>13</v>
      </c>
      <c r="M888" t="s">
        <v>194</v>
      </c>
      <c r="N888" t="s">
        <v>41</v>
      </c>
      <c r="Q888">
        <f t="shared" si="161"/>
        <v>18977</v>
      </c>
      <c r="R888" t="str">
        <f t="shared" si="161"/>
        <v>Velodrome</v>
      </c>
      <c r="S888" t="str">
        <f t="shared" si="161"/>
        <v>HollowBrook</v>
      </c>
      <c r="T888" s="20">
        <f t="shared" si="151"/>
        <v>1</v>
      </c>
      <c r="U888">
        <f t="shared" si="152"/>
        <v>1</v>
      </c>
      <c r="V888">
        <f t="shared" si="153"/>
        <v>0</v>
      </c>
      <c r="W888">
        <v>31</v>
      </c>
      <c r="X888" t="str">
        <f t="shared" si="162"/>
        <v>event_team_player_1</v>
      </c>
      <c r="Y888">
        <f>COUNTIFS(A$3:A888,"="&amp;A888,K$3:K888,"="&amp;K888)</f>
        <v>1</v>
      </c>
      <c r="Z888" s="20">
        <f>SUMIFS(T$3:T888,L$3:L888,"=Intermission")+SUMIFS(T$3:T888,L$3:L888,"=Timeout")+SUMIFS(T$3:T888,L$3:L888,"=Clockstop")</f>
        <v>0</v>
      </c>
      <c r="AA888">
        <f t="shared" si="154"/>
        <v>0</v>
      </c>
      <c r="AB888" s="26">
        <f t="shared" si="155"/>
        <v>1079</v>
      </c>
      <c r="AC888">
        <f t="shared" si="156"/>
        <v>0</v>
      </c>
    </row>
    <row r="889" spans="1:29" x14ac:dyDescent="0.2">
      <c r="A889">
        <v>459</v>
      </c>
      <c r="D889">
        <f t="shared" si="157"/>
        <v>2</v>
      </c>
      <c r="E889">
        <v>19</v>
      </c>
      <c r="F889" s="6" t="s">
        <v>448</v>
      </c>
      <c r="G889">
        <v>18</v>
      </c>
      <c r="H889" s="8" t="s">
        <v>313</v>
      </c>
      <c r="L889" t="s">
        <v>518</v>
      </c>
      <c r="Q889">
        <f t="shared" si="161"/>
        <v>18977</v>
      </c>
      <c r="R889" t="str">
        <f t="shared" si="161"/>
        <v>Velodrome</v>
      </c>
      <c r="S889" t="str">
        <f t="shared" si="161"/>
        <v>HollowBrook</v>
      </c>
      <c r="T889" s="20">
        <f t="shared" si="151"/>
        <v>68</v>
      </c>
      <c r="U889">
        <f t="shared" si="152"/>
        <v>1156</v>
      </c>
      <c r="V889">
        <f t="shared" si="153"/>
        <v>1088</v>
      </c>
      <c r="W889">
        <v>33</v>
      </c>
      <c r="X889" t="str">
        <f t="shared" si="162"/>
        <v/>
      </c>
      <c r="Y889">
        <f>COUNTIFS(A$3:A889,"="&amp;A889,K$3:K889,"="&amp;K889)</f>
        <v>1</v>
      </c>
      <c r="Z889" s="20">
        <v>68</v>
      </c>
      <c r="AA889">
        <f t="shared" si="154"/>
        <v>1148</v>
      </c>
      <c r="AB889" s="26">
        <f t="shared" si="155"/>
        <v>-84</v>
      </c>
      <c r="AC889">
        <f t="shared" si="156"/>
        <v>1216</v>
      </c>
    </row>
    <row r="890" spans="1:29" x14ac:dyDescent="0.2">
      <c r="A890">
        <v>460</v>
      </c>
      <c r="D890">
        <f t="shared" si="157"/>
        <v>2</v>
      </c>
      <c r="E890">
        <v>18</v>
      </c>
      <c r="F890" s="6" t="s">
        <v>426</v>
      </c>
      <c r="I890" t="s">
        <v>178</v>
      </c>
      <c r="J890">
        <v>42</v>
      </c>
      <c r="K890" t="s">
        <v>488</v>
      </c>
      <c r="L890" t="s">
        <v>6</v>
      </c>
      <c r="M890" t="s">
        <v>214</v>
      </c>
      <c r="Q890">
        <f t="shared" si="161"/>
        <v>18977</v>
      </c>
      <c r="R890" t="str">
        <f t="shared" si="161"/>
        <v>Velodrome</v>
      </c>
      <c r="S890" t="str">
        <f t="shared" si="161"/>
        <v>HollowBrook</v>
      </c>
      <c r="T890" s="20">
        <f t="shared" si="151"/>
        <v>0</v>
      </c>
      <c r="U890">
        <f t="shared" si="152"/>
        <v>1080</v>
      </c>
      <c r="V890">
        <f t="shared" si="153"/>
        <v>1080</v>
      </c>
      <c r="W890" cm="1">
        <f t="array" ref="W890">_xlfn._xlws.FILTER(shifts!A:A,(shifts!B:B=events!D890)*(shifts!AH:AH&gt;=events!U890)*(shifts!AI:AI&lt;=events!V890))</f>
        <v>33</v>
      </c>
      <c r="X890" t="str">
        <f t="shared" si="162"/>
        <v>event_team_player_1</v>
      </c>
      <c r="Y890">
        <f>COUNTIFS(A$3:A890,"="&amp;A890,K$3:K890,"="&amp;K890)</f>
        <v>1</v>
      </c>
      <c r="Z890" s="20">
        <f>SUMIFS(T$3:T890,L$3:L890,"=Intermission")+SUMIFS(T$3:T890,L$3:L890,"=Timeout")+SUMIFS(T$3:T890,L$3:L890,"=Clockstop")</f>
        <v>68</v>
      </c>
      <c r="AA890">
        <f t="shared" si="154"/>
        <v>1148</v>
      </c>
      <c r="AB890" s="26">
        <f t="shared" si="155"/>
        <v>68</v>
      </c>
      <c r="AC890">
        <f t="shared" si="156"/>
        <v>1216</v>
      </c>
    </row>
    <row r="891" spans="1:29" x14ac:dyDescent="0.2">
      <c r="A891">
        <v>460</v>
      </c>
      <c r="D891">
        <f t="shared" si="157"/>
        <v>2</v>
      </c>
      <c r="E891">
        <v>18</v>
      </c>
      <c r="F891" s="6" t="s">
        <v>426</v>
      </c>
      <c r="I891" t="s">
        <v>178</v>
      </c>
      <c r="J891">
        <v>87</v>
      </c>
      <c r="K891" t="s">
        <v>488</v>
      </c>
      <c r="L891" t="s">
        <v>6</v>
      </c>
      <c r="M891" t="s">
        <v>214</v>
      </c>
      <c r="Q891">
        <f t="shared" si="161"/>
        <v>18977</v>
      </c>
      <c r="R891" t="str">
        <f t="shared" si="161"/>
        <v>Velodrome</v>
      </c>
      <c r="S891" t="str">
        <f t="shared" si="161"/>
        <v>HollowBrook</v>
      </c>
      <c r="T891" s="20">
        <f t="shared" si="151"/>
        <v>0</v>
      </c>
      <c r="U891">
        <f t="shared" si="152"/>
        <v>1080</v>
      </c>
      <c r="V891">
        <f t="shared" si="153"/>
        <v>1080</v>
      </c>
      <c r="W891" cm="1">
        <f t="array" ref="W891">_xlfn._xlws.FILTER(shifts!A:A,(shifts!B:B=events!D891)*(shifts!AH:AH&gt;=events!U891)*(shifts!AI:AI&lt;=events!V891))</f>
        <v>33</v>
      </c>
      <c r="X891" t="str">
        <f t="shared" si="162"/>
        <v>event_team_player_2</v>
      </c>
      <c r="Y891">
        <f>COUNTIFS(A$3:A891,"="&amp;A891,K$3:K891,"="&amp;K891)</f>
        <v>2</v>
      </c>
      <c r="Z891" s="20">
        <f>SUMIFS(T$3:T891,L$3:L891,"=Intermission")+SUMIFS(T$3:T891,L$3:L891,"=Timeout")+SUMIFS(T$3:T891,L$3:L891,"=Clockstop")</f>
        <v>68</v>
      </c>
      <c r="AA891">
        <f t="shared" si="154"/>
        <v>1148</v>
      </c>
      <c r="AB891" s="26">
        <f t="shared" si="155"/>
        <v>68</v>
      </c>
      <c r="AC891">
        <f t="shared" si="156"/>
        <v>1216</v>
      </c>
    </row>
    <row r="892" spans="1:29" x14ac:dyDescent="0.2">
      <c r="A892">
        <v>460</v>
      </c>
      <c r="D892">
        <f t="shared" si="157"/>
        <v>2</v>
      </c>
      <c r="E892">
        <v>18</v>
      </c>
      <c r="F892" s="6" t="s">
        <v>426</v>
      </c>
      <c r="I892" t="s">
        <v>178</v>
      </c>
      <c r="J892">
        <v>11</v>
      </c>
      <c r="K892" t="s">
        <v>489</v>
      </c>
      <c r="L892" t="s">
        <v>6</v>
      </c>
      <c r="M892" t="s">
        <v>214</v>
      </c>
      <c r="Q892">
        <f t="shared" si="161"/>
        <v>18977</v>
      </c>
      <c r="R892" t="str">
        <f t="shared" si="161"/>
        <v>Velodrome</v>
      </c>
      <c r="S892" t="str">
        <f t="shared" si="161"/>
        <v>HollowBrook</v>
      </c>
      <c r="T892" s="20">
        <f t="shared" si="151"/>
        <v>0</v>
      </c>
      <c r="U892">
        <f t="shared" si="152"/>
        <v>1080</v>
      </c>
      <c r="V892">
        <f t="shared" si="153"/>
        <v>1080</v>
      </c>
      <c r="W892" cm="1">
        <f t="array" ref="W892">_xlfn._xlws.FILTER(shifts!A:A,(shifts!B:B=events!D892)*(shifts!AH:AH&gt;=events!U892)*(shifts!AI:AI&lt;=events!V892))</f>
        <v>33</v>
      </c>
      <c r="X892" t="str">
        <f t="shared" si="162"/>
        <v>opp_team_player_1</v>
      </c>
      <c r="Y892">
        <f>COUNTIFS(A$3:A892,"="&amp;A892,K$3:K892,"="&amp;K892)</f>
        <v>1</v>
      </c>
      <c r="Z892" s="20">
        <f>SUMIFS(T$3:T892,L$3:L892,"=Intermission")+SUMIFS(T$3:T892,L$3:L892,"=Timeout")+SUMIFS(T$3:T892,L$3:L892,"=Clockstop")</f>
        <v>68</v>
      </c>
      <c r="AA892">
        <f t="shared" si="154"/>
        <v>1148</v>
      </c>
      <c r="AB892" s="26">
        <f t="shared" si="155"/>
        <v>68</v>
      </c>
      <c r="AC892">
        <f t="shared" si="156"/>
        <v>1216</v>
      </c>
    </row>
    <row r="893" spans="1:29" x14ac:dyDescent="0.2">
      <c r="A893">
        <v>461</v>
      </c>
      <c r="D893">
        <f t="shared" si="157"/>
        <v>2</v>
      </c>
      <c r="E893">
        <v>17</v>
      </c>
      <c r="F893" s="6" t="s">
        <v>462</v>
      </c>
      <c r="G893">
        <v>17</v>
      </c>
      <c r="H893" s="8" t="s">
        <v>492</v>
      </c>
      <c r="I893" t="s">
        <v>178</v>
      </c>
      <c r="J893">
        <v>87</v>
      </c>
      <c r="K893" t="s">
        <v>488</v>
      </c>
      <c r="L893" t="s">
        <v>15</v>
      </c>
      <c r="Q893">
        <f t="shared" si="161"/>
        <v>18977</v>
      </c>
      <c r="R893" t="str">
        <f t="shared" si="161"/>
        <v>Velodrome</v>
      </c>
      <c r="S893" t="str">
        <f t="shared" si="161"/>
        <v>HollowBrook</v>
      </c>
      <c r="T893" s="20">
        <f t="shared" si="151"/>
        <v>5</v>
      </c>
      <c r="U893">
        <f t="shared" si="152"/>
        <v>1078</v>
      </c>
      <c r="V893">
        <f t="shared" si="153"/>
        <v>1073</v>
      </c>
      <c r="W893" cm="1">
        <f t="array" ref="W893">_xlfn._xlws.FILTER(shifts!A:A,(shifts!B:B=events!D893)*(shifts!AH:AH&gt;=events!U893)*(shifts!AI:AI&lt;=events!V893))</f>
        <v>33</v>
      </c>
      <c r="X893" t="str">
        <f t="shared" si="162"/>
        <v>event_team_player_1</v>
      </c>
      <c r="Y893">
        <f>COUNTIFS(A$3:A893,"="&amp;A893,K$3:K893,"="&amp;K893)</f>
        <v>1</v>
      </c>
      <c r="Z893" s="20">
        <f>SUMIFS(T$3:T893,L$3:L893,"=Intermission")+SUMIFS(T$3:T893,L$3:L893,"=Timeout")+SUMIFS(T$3:T893,L$3:L893,"=Clockstop")</f>
        <v>68</v>
      </c>
      <c r="AA893">
        <f t="shared" si="154"/>
        <v>1148</v>
      </c>
      <c r="AB893" s="26">
        <f t="shared" si="155"/>
        <v>72</v>
      </c>
      <c r="AC893">
        <f t="shared" si="156"/>
        <v>1216</v>
      </c>
    </row>
    <row r="894" spans="1:29" x14ac:dyDescent="0.2">
      <c r="A894">
        <v>462</v>
      </c>
      <c r="D894">
        <f t="shared" si="157"/>
        <v>2</v>
      </c>
      <c r="E894">
        <v>17</v>
      </c>
      <c r="F894" s="6" t="s">
        <v>492</v>
      </c>
      <c r="I894" t="s">
        <v>178</v>
      </c>
      <c r="J894">
        <v>87</v>
      </c>
      <c r="K894" t="s">
        <v>488</v>
      </c>
      <c r="L894" t="s">
        <v>13</v>
      </c>
      <c r="M894" t="s">
        <v>204</v>
      </c>
      <c r="N894" t="s">
        <v>109</v>
      </c>
      <c r="Q894">
        <f t="shared" si="161"/>
        <v>18977</v>
      </c>
      <c r="R894" t="str">
        <f t="shared" si="161"/>
        <v>Velodrome</v>
      </c>
      <c r="S894" t="str">
        <f t="shared" si="161"/>
        <v>HollowBrook</v>
      </c>
      <c r="T894" s="20">
        <f t="shared" si="151"/>
        <v>0</v>
      </c>
      <c r="U894">
        <f t="shared" si="152"/>
        <v>1073</v>
      </c>
      <c r="V894">
        <f t="shared" si="153"/>
        <v>1073</v>
      </c>
      <c r="W894" cm="1">
        <f t="array" ref="W894">_xlfn._xlws.FILTER(shifts!A:A,(shifts!B:B=events!D894)*(shifts!AH:AH&gt;=events!U894)*(shifts!AI:AI&lt;=events!V894))</f>
        <v>33</v>
      </c>
      <c r="X894" t="str">
        <f t="shared" si="162"/>
        <v>event_team_player_1</v>
      </c>
      <c r="Y894">
        <f>COUNTIFS(A$3:A894,"="&amp;A894,K$3:K894,"="&amp;K894)</f>
        <v>1</v>
      </c>
      <c r="Z894" s="20">
        <f>SUMIFS(T$3:T894,L$3:L894,"=Intermission")+SUMIFS(T$3:T894,L$3:L894,"=Timeout")+SUMIFS(T$3:T894,L$3:L894,"=Clockstop")</f>
        <v>68</v>
      </c>
      <c r="AA894">
        <f t="shared" si="154"/>
        <v>1148</v>
      </c>
      <c r="AB894" s="26">
        <f t="shared" si="155"/>
        <v>82</v>
      </c>
      <c r="AC894">
        <f t="shared" si="156"/>
        <v>1216</v>
      </c>
    </row>
    <row r="895" spans="1:29" x14ac:dyDescent="0.2">
      <c r="A895">
        <v>463</v>
      </c>
      <c r="D895">
        <f t="shared" si="157"/>
        <v>2</v>
      </c>
      <c r="E895">
        <v>17</v>
      </c>
      <c r="F895" s="6" t="s">
        <v>492</v>
      </c>
      <c r="G895">
        <v>17</v>
      </c>
      <c r="H895" s="8" t="s">
        <v>455</v>
      </c>
      <c r="I895" t="s">
        <v>178</v>
      </c>
      <c r="J895">
        <v>87</v>
      </c>
      <c r="K895" t="s">
        <v>488</v>
      </c>
      <c r="L895" t="s">
        <v>282</v>
      </c>
      <c r="Q895">
        <f t="shared" si="161"/>
        <v>18977</v>
      </c>
      <c r="R895" t="str">
        <f t="shared" si="161"/>
        <v>Velodrome</v>
      </c>
      <c r="S895" t="str">
        <f t="shared" si="161"/>
        <v>HollowBrook</v>
      </c>
      <c r="T895" s="20">
        <f t="shared" si="151"/>
        <v>18</v>
      </c>
      <c r="U895">
        <f t="shared" si="152"/>
        <v>1073</v>
      </c>
      <c r="V895">
        <f t="shared" si="153"/>
        <v>1055</v>
      </c>
      <c r="W895" cm="1">
        <f t="array" ref="W895">_xlfn._xlws.FILTER(shifts!A:A,(shifts!B:B=events!D895)*(shifts!AH:AH&gt;=events!U895)*(shifts!AI:AI&lt;=events!V895))</f>
        <v>33</v>
      </c>
      <c r="X895" t="str">
        <f t="shared" si="162"/>
        <v>event_team_player_1</v>
      </c>
      <c r="Y895">
        <f>COUNTIFS(A$3:A895,"="&amp;A895,K$3:K895,"="&amp;K895)</f>
        <v>1</v>
      </c>
      <c r="Z895" s="20">
        <f>SUMIFS(T$3:T895,L$3:L895,"=Intermission")+SUMIFS(T$3:T895,L$3:L895,"=Timeout")+SUMIFS(T$3:T895,L$3:L895,"=Clockstop")</f>
        <v>68</v>
      </c>
      <c r="AA895">
        <f t="shared" si="154"/>
        <v>1148</v>
      </c>
      <c r="AB895" s="26">
        <f t="shared" si="155"/>
        <v>82</v>
      </c>
      <c r="AC895">
        <f t="shared" si="156"/>
        <v>1216</v>
      </c>
    </row>
    <row r="896" spans="1:29" x14ac:dyDescent="0.2">
      <c r="A896">
        <v>464</v>
      </c>
      <c r="D896">
        <f t="shared" si="157"/>
        <v>2</v>
      </c>
      <c r="E896">
        <v>17</v>
      </c>
      <c r="F896" s="6" t="s">
        <v>455</v>
      </c>
      <c r="I896" t="s">
        <v>178</v>
      </c>
      <c r="J896">
        <v>42</v>
      </c>
      <c r="K896" t="s">
        <v>488</v>
      </c>
      <c r="L896" t="s">
        <v>6</v>
      </c>
      <c r="M896" t="s">
        <v>275</v>
      </c>
      <c r="Q896">
        <f t="shared" si="161"/>
        <v>18977</v>
      </c>
      <c r="R896" t="str">
        <f t="shared" si="161"/>
        <v>Velodrome</v>
      </c>
      <c r="S896" t="str">
        <f t="shared" si="161"/>
        <v>HollowBrook</v>
      </c>
      <c r="T896" s="20">
        <f t="shared" si="151"/>
        <v>0</v>
      </c>
      <c r="U896">
        <f t="shared" si="152"/>
        <v>1055</v>
      </c>
      <c r="V896">
        <f t="shared" si="153"/>
        <v>1055</v>
      </c>
      <c r="W896" cm="1">
        <f t="array" ref="W896">_xlfn._xlws.FILTER(shifts!A:A,(shifts!B:B=events!D896)*(shifts!AH:AH&gt;=events!U896)*(shifts!AI:AI&lt;=events!V896))</f>
        <v>33</v>
      </c>
      <c r="X896" t="str">
        <f t="shared" si="162"/>
        <v>event_team_player_1</v>
      </c>
      <c r="Y896">
        <f>COUNTIFS(A$3:A896,"="&amp;A896,K$3:K896,"="&amp;K896)</f>
        <v>1</v>
      </c>
      <c r="Z896" s="20">
        <f>SUMIFS(T$3:T896,L$3:L896,"=Intermission")+SUMIFS(T$3:T896,L$3:L896,"=Timeout")+SUMIFS(T$3:T896,L$3:L896,"=Clockstop")</f>
        <v>68</v>
      </c>
      <c r="AA896">
        <f t="shared" si="154"/>
        <v>1148</v>
      </c>
      <c r="AB896" s="26">
        <f t="shared" si="155"/>
        <v>118</v>
      </c>
      <c r="AC896">
        <f t="shared" si="156"/>
        <v>1216</v>
      </c>
    </row>
    <row r="897" spans="1:29" x14ac:dyDescent="0.2">
      <c r="A897">
        <v>464</v>
      </c>
      <c r="D897">
        <f t="shared" si="157"/>
        <v>2</v>
      </c>
      <c r="E897">
        <v>17</v>
      </c>
      <c r="F897" s="6" t="s">
        <v>455</v>
      </c>
      <c r="I897" t="s">
        <v>178</v>
      </c>
      <c r="J897">
        <v>11</v>
      </c>
      <c r="K897" t="s">
        <v>489</v>
      </c>
      <c r="L897" t="s">
        <v>6</v>
      </c>
      <c r="M897" t="s">
        <v>275</v>
      </c>
      <c r="Q897">
        <f t="shared" si="161"/>
        <v>18977</v>
      </c>
      <c r="R897" t="str">
        <f t="shared" si="161"/>
        <v>Velodrome</v>
      </c>
      <c r="S897" t="str">
        <f t="shared" si="161"/>
        <v>HollowBrook</v>
      </c>
      <c r="T897" s="20">
        <f t="shared" si="151"/>
        <v>0</v>
      </c>
      <c r="U897">
        <f t="shared" si="152"/>
        <v>1055</v>
      </c>
      <c r="V897">
        <f t="shared" si="153"/>
        <v>1055</v>
      </c>
      <c r="W897" cm="1">
        <f t="array" ref="W897">_xlfn._xlws.FILTER(shifts!A:A,(shifts!B:B=events!D897)*(shifts!AH:AH&gt;=events!U897)*(shifts!AI:AI&lt;=events!V897))</f>
        <v>33</v>
      </c>
      <c r="X897" t="str">
        <f t="shared" si="162"/>
        <v>opp_team_player_1</v>
      </c>
      <c r="Y897">
        <f>COUNTIFS(A$3:A897,"="&amp;A897,K$3:K897,"="&amp;K897)</f>
        <v>1</v>
      </c>
      <c r="Z897" s="20">
        <f>SUMIFS(T$3:T897,L$3:L897,"=Intermission")+SUMIFS(T$3:T897,L$3:L897,"=Timeout")+SUMIFS(T$3:T897,L$3:L897,"=Clockstop")</f>
        <v>68</v>
      </c>
      <c r="AA897">
        <f t="shared" si="154"/>
        <v>1148</v>
      </c>
      <c r="AB897" s="26">
        <f t="shared" si="155"/>
        <v>118</v>
      </c>
      <c r="AC897">
        <f t="shared" si="156"/>
        <v>1216</v>
      </c>
    </row>
    <row r="898" spans="1:29" x14ac:dyDescent="0.2">
      <c r="A898">
        <v>465</v>
      </c>
      <c r="D898">
        <f t="shared" si="157"/>
        <v>2</v>
      </c>
      <c r="E898">
        <v>17</v>
      </c>
      <c r="F898" s="6" t="s">
        <v>482</v>
      </c>
      <c r="I898" t="s">
        <v>178</v>
      </c>
      <c r="J898">
        <v>91</v>
      </c>
      <c r="K898" t="s">
        <v>488</v>
      </c>
      <c r="L898" t="s">
        <v>8</v>
      </c>
      <c r="M898" t="s">
        <v>189</v>
      </c>
      <c r="N898" t="s">
        <v>70</v>
      </c>
      <c r="Q898">
        <f t="shared" si="161"/>
        <v>18977</v>
      </c>
      <c r="R898" t="str">
        <f t="shared" si="161"/>
        <v>Velodrome</v>
      </c>
      <c r="S898" t="str">
        <f t="shared" si="161"/>
        <v>HollowBrook</v>
      </c>
      <c r="T898" s="20">
        <f t="shared" si="151"/>
        <v>0</v>
      </c>
      <c r="U898">
        <f t="shared" si="152"/>
        <v>1053</v>
      </c>
      <c r="V898">
        <f t="shared" si="153"/>
        <v>1053</v>
      </c>
      <c r="W898" cm="1">
        <f t="array" ref="W898">_xlfn._xlws.FILTER(shifts!A:A,(shifts!B:B=events!D898)*(shifts!AH:AH&gt;=events!U898)*(shifts!AI:AI&lt;=events!V898))</f>
        <v>33</v>
      </c>
      <c r="X898" t="str">
        <f t="shared" si="162"/>
        <v>event_team_player_1</v>
      </c>
      <c r="Y898">
        <f>COUNTIFS(A$3:A898,"="&amp;A898,K$3:K898,"="&amp;K898)</f>
        <v>1</v>
      </c>
      <c r="Z898" s="20">
        <f>SUMIFS(T$3:T898,L$3:L898,"=Intermission")+SUMIFS(T$3:T898,L$3:L898,"=Timeout")+SUMIFS(T$3:T898,L$3:L898,"=Clockstop")</f>
        <v>68</v>
      </c>
      <c r="AA898">
        <f t="shared" si="154"/>
        <v>1148</v>
      </c>
      <c r="AB898" s="26">
        <f t="shared" si="155"/>
        <v>122</v>
      </c>
      <c r="AC898">
        <f t="shared" si="156"/>
        <v>1216</v>
      </c>
    </row>
    <row r="899" spans="1:29" x14ac:dyDescent="0.2">
      <c r="A899">
        <v>465</v>
      </c>
      <c r="D899">
        <f t="shared" si="157"/>
        <v>2</v>
      </c>
      <c r="E899">
        <v>17</v>
      </c>
      <c r="F899" s="6" t="s">
        <v>482</v>
      </c>
      <c r="I899" t="s">
        <v>178</v>
      </c>
      <c r="J899">
        <v>87</v>
      </c>
      <c r="K899" t="s">
        <v>488</v>
      </c>
      <c r="L899" t="s">
        <v>8</v>
      </c>
      <c r="M899" t="s">
        <v>189</v>
      </c>
      <c r="N899" t="s">
        <v>70</v>
      </c>
      <c r="Q899">
        <f t="shared" si="161"/>
        <v>18977</v>
      </c>
      <c r="R899" t="str">
        <f t="shared" si="161"/>
        <v>Velodrome</v>
      </c>
      <c r="S899" t="str">
        <f t="shared" si="161"/>
        <v>HollowBrook</v>
      </c>
      <c r="T899" s="20">
        <f t="shared" si="151"/>
        <v>0</v>
      </c>
      <c r="U899">
        <f t="shared" si="152"/>
        <v>1053</v>
      </c>
      <c r="V899">
        <f t="shared" si="153"/>
        <v>1053</v>
      </c>
      <c r="W899" cm="1">
        <f t="array" ref="W899">_xlfn._xlws.FILTER(shifts!A:A,(shifts!B:B=events!D899)*(shifts!AH:AH&gt;=events!U899)*(shifts!AI:AI&lt;=events!V899))</f>
        <v>33</v>
      </c>
      <c r="X899" t="str">
        <f t="shared" si="162"/>
        <v>event_team_player_2</v>
      </c>
      <c r="Y899">
        <f>COUNTIFS(A$3:A899,"="&amp;A899,K$3:K899,"="&amp;K899)</f>
        <v>2</v>
      </c>
      <c r="Z899" s="20">
        <f>SUMIFS(T$3:T899,L$3:L899,"=Intermission")+SUMIFS(T$3:T899,L$3:L899,"=Timeout")+SUMIFS(T$3:T899,L$3:L899,"=Clockstop")</f>
        <v>68</v>
      </c>
      <c r="AA899">
        <f t="shared" si="154"/>
        <v>1148</v>
      </c>
      <c r="AB899" s="26">
        <f t="shared" si="155"/>
        <v>122</v>
      </c>
      <c r="AC899">
        <f t="shared" si="156"/>
        <v>1216</v>
      </c>
    </row>
    <row r="900" spans="1:29" x14ac:dyDescent="0.2">
      <c r="A900">
        <v>466</v>
      </c>
      <c r="D900">
        <f t="shared" si="157"/>
        <v>2</v>
      </c>
      <c r="E900">
        <v>17</v>
      </c>
      <c r="F900" s="6" t="s">
        <v>482</v>
      </c>
      <c r="G900">
        <v>17</v>
      </c>
      <c r="H900" s="8" t="s">
        <v>472</v>
      </c>
      <c r="I900" t="s">
        <v>178</v>
      </c>
      <c r="J900">
        <v>87</v>
      </c>
      <c r="K900" t="s">
        <v>488</v>
      </c>
      <c r="L900" t="s">
        <v>15</v>
      </c>
      <c r="Q900">
        <f t="shared" si="161"/>
        <v>18977</v>
      </c>
      <c r="R900" t="str">
        <f t="shared" si="161"/>
        <v>Velodrome</v>
      </c>
      <c r="S900" t="str">
        <f t="shared" si="161"/>
        <v>HollowBrook</v>
      </c>
      <c r="T900" s="20">
        <f t="shared" ref="T900:T963" si="163">IF(AND(G900="",H900=""),0,((E900*60)+F900)-((G900*60)+H900))</f>
        <v>3</v>
      </c>
      <c r="U900">
        <f t="shared" ref="U900:U963" si="164">(E900*60)+F900</f>
        <v>1053</v>
      </c>
      <c r="V900">
        <f t="shared" ref="V900:V963" si="165">IF(AND(G900="",H900=""),U900,((G900*60)+H900))</f>
        <v>1050</v>
      </c>
      <c r="W900" cm="1">
        <f t="array" ref="W900">_xlfn._xlws.FILTER(shifts!A:A,(shifts!B:B=events!D900)*(shifts!AH:AH&gt;=events!U900)*(shifts!AI:AI&lt;=events!V900))</f>
        <v>33</v>
      </c>
      <c r="X900" t="str">
        <f t="shared" si="162"/>
        <v>event_team_player_1</v>
      </c>
      <c r="Y900">
        <f>COUNTIFS(A$3:A900,"="&amp;A900,K$3:K900,"="&amp;K900)</f>
        <v>1</v>
      </c>
      <c r="Z900" s="20">
        <f>SUMIFS(T$3:T900,L$3:L900,"=Intermission")+SUMIFS(T$3:T900,L$3:L900,"=Timeout")+SUMIFS(T$3:T900,L$3:L900,"=Clockstop")</f>
        <v>68</v>
      </c>
      <c r="AA900">
        <f t="shared" ref="AA900:AA963" si="166">IF(D900=1,0,IF(D900=2,1080+Z900,IF(D900=3,(1080*2)+Z900,0)))</f>
        <v>1148</v>
      </c>
      <c r="AB900" s="26">
        <f t="shared" ref="AB900:AB963" si="167">((1080*D900)-((E900*60)+F900)*D900)+Z900</f>
        <v>122</v>
      </c>
      <c r="AC900">
        <f t="shared" ref="AC900:AC963" si="168">IF(L899="GameStart",0,AA900+Z900)</f>
        <v>1216</v>
      </c>
    </row>
    <row r="901" spans="1:29" x14ac:dyDescent="0.2">
      <c r="A901">
        <v>467</v>
      </c>
      <c r="D901">
        <f t="shared" ref="D901:D964" si="169">IF(L901="Intermission",D900+1,D900)</f>
        <v>2</v>
      </c>
      <c r="E901">
        <v>17</v>
      </c>
      <c r="F901" s="6" t="s">
        <v>472</v>
      </c>
      <c r="I901" t="s">
        <v>178</v>
      </c>
      <c r="J901">
        <v>87</v>
      </c>
      <c r="K901" t="s">
        <v>488</v>
      </c>
      <c r="L901" t="s">
        <v>8</v>
      </c>
      <c r="M901" t="s">
        <v>199</v>
      </c>
      <c r="N901" t="s">
        <v>71</v>
      </c>
      <c r="Q901">
        <f t="shared" ref="Q901:S916" si="170">Q900</f>
        <v>18977</v>
      </c>
      <c r="R901" t="str">
        <f t="shared" si="170"/>
        <v>Velodrome</v>
      </c>
      <c r="S901" t="str">
        <f t="shared" si="170"/>
        <v>HollowBrook</v>
      </c>
      <c r="T901" s="20">
        <f t="shared" si="163"/>
        <v>0</v>
      </c>
      <c r="U901">
        <f t="shared" si="164"/>
        <v>1050</v>
      </c>
      <c r="V901">
        <f t="shared" si="165"/>
        <v>1050</v>
      </c>
      <c r="W901" cm="1">
        <f t="array" ref="W901">_xlfn._xlws.FILTER(shifts!A:A,(shifts!B:B=events!D901)*(shifts!AH:AH&gt;=events!U901)*(shifts!AI:AI&lt;=events!V901))</f>
        <v>33</v>
      </c>
      <c r="X901" t="str">
        <f t="shared" si="162"/>
        <v>event_team_player_1</v>
      </c>
      <c r="Y901">
        <f>COUNTIFS(A$3:A901,"="&amp;A901,K$3:K901,"="&amp;K901)</f>
        <v>1</v>
      </c>
      <c r="Z901" s="20">
        <f>SUMIFS(T$3:T901,L$3:L901,"=Intermission")+SUMIFS(T$3:T901,L$3:L901,"=Timeout")+SUMIFS(T$3:T901,L$3:L901,"=Clockstop")</f>
        <v>68</v>
      </c>
      <c r="AA901">
        <f t="shared" si="166"/>
        <v>1148</v>
      </c>
      <c r="AB901" s="26">
        <f t="shared" si="167"/>
        <v>128</v>
      </c>
      <c r="AC901">
        <f t="shared" si="168"/>
        <v>1216</v>
      </c>
    </row>
    <row r="902" spans="1:29" x14ac:dyDescent="0.2">
      <c r="A902">
        <v>467</v>
      </c>
      <c r="D902">
        <f t="shared" si="169"/>
        <v>2</v>
      </c>
      <c r="E902">
        <v>17</v>
      </c>
      <c r="F902" s="6" t="s">
        <v>472</v>
      </c>
      <c r="I902" t="s">
        <v>178</v>
      </c>
      <c r="J902">
        <v>24</v>
      </c>
      <c r="K902" t="s">
        <v>488</v>
      </c>
      <c r="L902" t="s">
        <v>8</v>
      </c>
      <c r="M902" t="s">
        <v>199</v>
      </c>
      <c r="N902" t="s">
        <v>71</v>
      </c>
      <c r="Q902">
        <f t="shared" si="170"/>
        <v>18977</v>
      </c>
      <c r="R902" t="str">
        <f t="shared" si="170"/>
        <v>Velodrome</v>
      </c>
      <c r="S902" t="str">
        <f t="shared" si="170"/>
        <v>HollowBrook</v>
      </c>
      <c r="T902" s="20">
        <f t="shared" si="163"/>
        <v>0</v>
      </c>
      <c r="U902">
        <f t="shared" si="164"/>
        <v>1050</v>
      </c>
      <c r="V902">
        <f t="shared" si="165"/>
        <v>1050</v>
      </c>
      <c r="W902" cm="1">
        <f t="array" ref="W902">_xlfn._xlws.FILTER(shifts!A:A,(shifts!B:B=events!D902)*(shifts!AH:AH&gt;=events!U902)*(shifts!AI:AI&lt;=events!V902))</f>
        <v>33</v>
      </c>
      <c r="X902" t="str">
        <f t="shared" si="162"/>
        <v>event_team_player_2</v>
      </c>
      <c r="Y902">
        <f>COUNTIFS(A$3:A902,"="&amp;A902,K$3:K902,"="&amp;K902)</f>
        <v>2</v>
      </c>
      <c r="Z902" s="20">
        <f>SUMIFS(T$3:T902,L$3:L902,"=Intermission")+SUMIFS(T$3:T902,L$3:L902,"=Timeout")+SUMIFS(T$3:T902,L$3:L902,"=Clockstop")</f>
        <v>68</v>
      </c>
      <c r="AA902">
        <f t="shared" si="166"/>
        <v>1148</v>
      </c>
      <c r="AB902" s="26">
        <f t="shared" si="167"/>
        <v>128</v>
      </c>
      <c r="AC902">
        <f t="shared" si="168"/>
        <v>1216</v>
      </c>
    </row>
    <row r="903" spans="1:29" x14ac:dyDescent="0.2">
      <c r="A903">
        <v>468</v>
      </c>
      <c r="D903">
        <f t="shared" si="169"/>
        <v>2</v>
      </c>
      <c r="E903">
        <v>17</v>
      </c>
      <c r="F903" s="6" t="s">
        <v>472</v>
      </c>
      <c r="I903" t="s">
        <v>178</v>
      </c>
      <c r="J903">
        <v>87</v>
      </c>
      <c r="K903" t="s">
        <v>488</v>
      </c>
      <c r="L903" t="s">
        <v>277</v>
      </c>
      <c r="M903" t="s">
        <v>191</v>
      </c>
      <c r="N903" t="s">
        <v>182</v>
      </c>
      <c r="Q903">
        <f t="shared" si="170"/>
        <v>18977</v>
      </c>
      <c r="R903" t="str">
        <f t="shared" si="170"/>
        <v>Velodrome</v>
      </c>
      <c r="S903" t="str">
        <f t="shared" si="170"/>
        <v>HollowBrook</v>
      </c>
      <c r="T903" s="20">
        <f t="shared" si="163"/>
        <v>0</v>
      </c>
      <c r="U903">
        <f t="shared" si="164"/>
        <v>1050</v>
      </c>
      <c r="V903">
        <f t="shared" si="165"/>
        <v>1050</v>
      </c>
      <c r="W903" cm="1">
        <f t="array" ref="W903">_xlfn._xlws.FILTER(shifts!A:A,(shifts!B:B=events!D903)*(shifts!AH:AH&gt;=events!U903)*(shifts!AI:AI&lt;=events!V903))</f>
        <v>33</v>
      </c>
      <c r="X903" t="str">
        <f t="shared" si="162"/>
        <v>event_team_player_1</v>
      </c>
      <c r="Y903">
        <f>COUNTIFS(A$3:A903,"="&amp;A903,K$3:K903,"="&amp;K903)</f>
        <v>1</v>
      </c>
      <c r="Z903" s="20">
        <f>SUMIFS(T$3:T903,L$3:L903,"=Intermission")+SUMIFS(T$3:T903,L$3:L903,"=Timeout")+SUMIFS(T$3:T903,L$3:L903,"=Clockstop")</f>
        <v>68</v>
      </c>
      <c r="AA903">
        <f t="shared" si="166"/>
        <v>1148</v>
      </c>
      <c r="AB903" s="26">
        <f t="shared" si="167"/>
        <v>128</v>
      </c>
      <c r="AC903">
        <f t="shared" si="168"/>
        <v>1216</v>
      </c>
    </row>
    <row r="904" spans="1:29" x14ac:dyDescent="0.2">
      <c r="A904">
        <v>469</v>
      </c>
      <c r="D904">
        <f t="shared" si="169"/>
        <v>2</v>
      </c>
      <c r="E904">
        <v>17</v>
      </c>
      <c r="F904" s="6" t="s">
        <v>472</v>
      </c>
      <c r="I904" t="s">
        <v>178</v>
      </c>
      <c r="J904">
        <v>87</v>
      </c>
      <c r="K904" t="s">
        <v>488</v>
      </c>
      <c r="L904" t="s">
        <v>10</v>
      </c>
      <c r="M904" t="s">
        <v>190</v>
      </c>
      <c r="N904" t="s">
        <v>460</v>
      </c>
      <c r="Q904">
        <f t="shared" si="170"/>
        <v>18977</v>
      </c>
      <c r="R904" t="str">
        <f t="shared" si="170"/>
        <v>Velodrome</v>
      </c>
      <c r="S904" t="str">
        <f t="shared" si="170"/>
        <v>HollowBrook</v>
      </c>
      <c r="T904" s="20">
        <f t="shared" si="163"/>
        <v>0</v>
      </c>
      <c r="U904">
        <f t="shared" si="164"/>
        <v>1050</v>
      </c>
      <c r="V904">
        <f t="shared" si="165"/>
        <v>1050</v>
      </c>
      <c r="W904" cm="1">
        <f t="array" ref="W904">_xlfn._xlws.FILTER(shifts!A:A,(shifts!B:B=events!D904)*(shifts!AH:AH&gt;=events!U904)*(shifts!AI:AI&lt;=events!V904))</f>
        <v>33</v>
      </c>
      <c r="X904" t="str">
        <f t="shared" si="162"/>
        <v>event_team_player_1</v>
      </c>
      <c r="Y904">
        <f>COUNTIFS(A$3:A904,"="&amp;A904,K$3:K904,"="&amp;K904)</f>
        <v>1</v>
      </c>
      <c r="Z904" s="20">
        <f>SUMIFS(T$3:T904,L$3:L904,"=Intermission")+SUMIFS(T$3:T904,L$3:L904,"=Timeout")+SUMIFS(T$3:T904,L$3:L904,"=Clockstop")</f>
        <v>68</v>
      </c>
      <c r="AA904">
        <f t="shared" si="166"/>
        <v>1148</v>
      </c>
      <c r="AB904" s="26">
        <f t="shared" si="167"/>
        <v>128</v>
      </c>
      <c r="AC904">
        <f t="shared" si="168"/>
        <v>1216</v>
      </c>
    </row>
    <row r="905" spans="1:29" x14ac:dyDescent="0.2">
      <c r="A905">
        <v>470</v>
      </c>
      <c r="D905">
        <f t="shared" si="169"/>
        <v>2</v>
      </c>
      <c r="E905">
        <v>17</v>
      </c>
      <c r="F905" s="6" t="s">
        <v>442</v>
      </c>
      <c r="G905">
        <v>17</v>
      </c>
      <c r="H905" s="8" t="s">
        <v>441</v>
      </c>
      <c r="I905" t="s">
        <v>179</v>
      </c>
      <c r="J905">
        <v>18</v>
      </c>
      <c r="K905" t="s">
        <v>488</v>
      </c>
      <c r="L905" t="s">
        <v>15</v>
      </c>
      <c r="Q905">
        <f t="shared" si="170"/>
        <v>18977</v>
      </c>
      <c r="R905" t="str">
        <f t="shared" si="170"/>
        <v>Velodrome</v>
      </c>
      <c r="S905" t="str">
        <f t="shared" si="170"/>
        <v>HollowBrook</v>
      </c>
      <c r="T905" s="20">
        <f t="shared" si="163"/>
        <v>4</v>
      </c>
      <c r="U905">
        <f t="shared" si="164"/>
        <v>1049</v>
      </c>
      <c r="V905">
        <f t="shared" si="165"/>
        <v>1045</v>
      </c>
      <c r="W905" cm="1">
        <f t="array" ref="W905">_xlfn._xlws.FILTER(shifts!A:A,(shifts!B:B=events!D905)*(shifts!AH:AH&gt;=events!U905)*(shifts!AI:AI&lt;=events!V905))</f>
        <v>33</v>
      </c>
      <c r="X905" t="str">
        <f t="shared" si="162"/>
        <v>event_team_player_1</v>
      </c>
      <c r="Y905">
        <f>COUNTIFS(A$3:A905,"="&amp;A905,K$3:K905,"="&amp;K905)</f>
        <v>1</v>
      </c>
      <c r="Z905" s="20">
        <f>SUMIFS(T$3:T905,L$3:L905,"=Intermission")+SUMIFS(T$3:T905,L$3:L905,"=Timeout")+SUMIFS(T$3:T905,L$3:L905,"=Clockstop")</f>
        <v>68</v>
      </c>
      <c r="AA905">
        <f t="shared" si="166"/>
        <v>1148</v>
      </c>
      <c r="AB905" s="26">
        <f t="shared" si="167"/>
        <v>130</v>
      </c>
      <c r="AC905">
        <f t="shared" si="168"/>
        <v>1216</v>
      </c>
    </row>
    <row r="906" spans="1:29" x14ac:dyDescent="0.2">
      <c r="A906">
        <v>471</v>
      </c>
      <c r="D906">
        <f t="shared" si="169"/>
        <v>2</v>
      </c>
      <c r="E906">
        <v>17</v>
      </c>
      <c r="F906" s="6" t="s">
        <v>441</v>
      </c>
      <c r="I906" t="s">
        <v>179</v>
      </c>
      <c r="J906">
        <v>18</v>
      </c>
      <c r="K906" t="s">
        <v>488</v>
      </c>
      <c r="L906" t="s">
        <v>8</v>
      </c>
      <c r="M906" t="s">
        <v>199</v>
      </c>
      <c r="N906" t="s">
        <v>68</v>
      </c>
      <c r="Q906">
        <f t="shared" si="170"/>
        <v>18977</v>
      </c>
      <c r="R906" t="str">
        <f t="shared" si="170"/>
        <v>Velodrome</v>
      </c>
      <c r="S906" t="str">
        <f t="shared" si="170"/>
        <v>HollowBrook</v>
      </c>
      <c r="T906" s="20">
        <f t="shared" si="163"/>
        <v>0</v>
      </c>
      <c r="U906">
        <f t="shared" si="164"/>
        <v>1045</v>
      </c>
      <c r="V906">
        <f t="shared" si="165"/>
        <v>1045</v>
      </c>
      <c r="W906" cm="1">
        <f t="array" ref="W906">_xlfn._xlws.FILTER(shifts!A:A,(shifts!B:B=events!D906)*(shifts!AH:AH&gt;=events!U906)*(shifts!AI:AI&lt;=events!V906))</f>
        <v>33</v>
      </c>
      <c r="X906" t="str">
        <f t="shared" si="162"/>
        <v>event_team_player_1</v>
      </c>
      <c r="Y906">
        <f>COUNTIFS(A$3:A906,"="&amp;A906,K$3:K906,"="&amp;K906)</f>
        <v>1</v>
      </c>
      <c r="Z906" s="20">
        <f>SUMIFS(T$3:T906,L$3:L906,"=Intermission")+SUMIFS(T$3:T906,L$3:L906,"=Timeout")+SUMIFS(T$3:T906,L$3:L906,"=Clockstop")</f>
        <v>68</v>
      </c>
      <c r="AA906">
        <f t="shared" si="166"/>
        <v>1148</v>
      </c>
      <c r="AB906" s="26">
        <f t="shared" si="167"/>
        <v>138</v>
      </c>
      <c r="AC906">
        <f t="shared" si="168"/>
        <v>1216</v>
      </c>
    </row>
    <row r="907" spans="1:29" x14ac:dyDescent="0.2">
      <c r="A907">
        <v>472</v>
      </c>
      <c r="D907">
        <f t="shared" si="169"/>
        <v>2</v>
      </c>
      <c r="E907">
        <v>17</v>
      </c>
      <c r="F907" s="6" t="s">
        <v>441</v>
      </c>
      <c r="I907" t="s">
        <v>179</v>
      </c>
      <c r="J907">
        <v>18</v>
      </c>
      <c r="K907" t="s">
        <v>488</v>
      </c>
      <c r="L907" t="s">
        <v>10</v>
      </c>
      <c r="M907" t="s">
        <v>190</v>
      </c>
      <c r="N907" t="s">
        <v>479</v>
      </c>
      <c r="Q907">
        <f t="shared" si="170"/>
        <v>18977</v>
      </c>
      <c r="R907" t="str">
        <f t="shared" si="170"/>
        <v>Velodrome</v>
      </c>
      <c r="S907" t="str">
        <f t="shared" si="170"/>
        <v>HollowBrook</v>
      </c>
      <c r="T907" s="20">
        <f t="shared" si="163"/>
        <v>0</v>
      </c>
      <c r="U907">
        <f t="shared" si="164"/>
        <v>1045</v>
      </c>
      <c r="V907">
        <f t="shared" si="165"/>
        <v>1045</v>
      </c>
      <c r="W907" cm="1">
        <f t="array" ref="W907">_xlfn._xlws.FILTER(shifts!A:A,(shifts!B:B=events!D907)*(shifts!AH:AH&gt;=events!U907)*(shifts!AI:AI&lt;=events!V907))</f>
        <v>33</v>
      </c>
      <c r="X907" t="str">
        <f t="shared" si="162"/>
        <v>event_team_player_1</v>
      </c>
      <c r="Y907">
        <f>COUNTIFS(A$3:A907,"="&amp;A907,K$3:K907,"="&amp;K907)</f>
        <v>1</v>
      </c>
      <c r="Z907" s="20">
        <f>SUMIFS(T$3:T907,L$3:L907,"=Intermission")+SUMIFS(T$3:T907,L$3:L907,"=Timeout")+SUMIFS(T$3:T907,L$3:L907,"=Clockstop")</f>
        <v>68</v>
      </c>
      <c r="AA907">
        <f t="shared" si="166"/>
        <v>1148</v>
      </c>
      <c r="AB907" s="26">
        <f t="shared" si="167"/>
        <v>138</v>
      </c>
      <c r="AC907">
        <f t="shared" si="168"/>
        <v>1216</v>
      </c>
    </row>
    <row r="908" spans="1:29" x14ac:dyDescent="0.2">
      <c r="A908">
        <v>472</v>
      </c>
      <c r="D908">
        <f t="shared" si="169"/>
        <v>2</v>
      </c>
      <c r="E908">
        <v>17</v>
      </c>
      <c r="F908" s="6" t="s">
        <v>441</v>
      </c>
      <c r="I908" t="s">
        <v>179</v>
      </c>
      <c r="J908">
        <v>42</v>
      </c>
      <c r="K908" t="s">
        <v>489</v>
      </c>
      <c r="L908" t="s">
        <v>10</v>
      </c>
      <c r="M908" t="s">
        <v>190</v>
      </c>
      <c r="N908" t="s">
        <v>479</v>
      </c>
      <c r="Q908">
        <f t="shared" si="170"/>
        <v>18977</v>
      </c>
      <c r="R908" t="str">
        <f t="shared" si="170"/>
        <v>Velodrome</v>
      </c>
      <c r="S908" t="str">
        <f t="shared" si="170"/>
        <v>HollowBrook</v>
      </c>
      <c r="T908" s="20">
        <f t="shared" si="163"/>
        <v>0</v>
      </c>
      <c r="U908">
        <f t="shared" si="164"/>
        <v>1045</v>
      </c>
      <c r="V908">
        <f t="shared" si="165"/>
        <v>1045</v>
      </c>
      <c r="W908" cm="1">
        <f t="array" ref="W908">_xlfn._xlws.FILTER(shifts!A:A,(shifts!B:B=events!D908)*(shifts!AH:AH&gt;=events!U908)*(shifts!AI:AI&lt;=events!V908))</f>
        <v>33</v>
      </c>
      <c r="X908" t="str">
        <f t="shared" si="162"/>
        <v>opp_team_player_1</v>
      </c>
      <c r="Y908">
        <f>COUNTIFS(A$3:A908,"="&amp;A908,K$3:K908,"="&amp;K908)</f>
        <v>1</v>
      </c>
      <c r="Z908" s="20">
        <f>SUMIFS(T$3:T908,L$3:L908,"=Intermission")+SUMIFS(T$3:T908,L$3:L908,"=Timeout")+SUMIFS(T$3:T908,L$3:L908,"=Clockstop")</f>
        <v>68</v>
      </c>
      <c r="AA908">
        <f t="shared" si="166"/>
        <v>1148</v>
      </c>
      <c r="AB908" s="26">
        <f t="shared" si="167"/>
        <v>138</v>
      </c>
      <c r="AC908">
        <f t="shared" si="168"/>
        <v>1216</v>
      </c>
    </row>
    <row r="909" spans="1:29" x14ac:dyDescent="0.2">
      <c r="A909">
        <v>473</v>
      </c>
      <c r="D909">
        <f t="shared" si="169"/>
        <v>2</v>
      </c>
      <c r="E909">
        <v>17</v>
      </c>
      <c r="F909" s="6" t="s">
        <v>456</v>
      </c>
      <c r="I909" t="s">
        <v>178</v>
      </c>
      <c r="J909">
        <v>42</v>
      </c>
      <c r="K909" t="s">
        <v>488</v>
      </c>
      <c r="L909" t="s">
        <v>277</v>
      </c>
      <c r="M909" t="s">
        <v>210</v>
      </c>
      <c r="N909" t="s">
        <v>93</v>
      </c>
      <c r="Q909">
        <f t="shared" si="170"/>
        <v>18977</v>
      </c>
      <c r="R909" t="str">
        <f t="shared" si="170"/>
        <v>Velodrome</v>
      </c>
      <c r="S909" t="str">
        <f t="shared" si="170"/>
        <v>HollowBrook</v>
      </c>
      <c r="T909" s="20">
        <f t="shared" si="163"/>
        <v>0</v>
      </c>
      <c r="U909">
        <f t="shared" si="164"/>
        <v>1043</v>
      </c>
      <c r="V909">
        <f t="shared" si="165"/>
        <v>1043</v>
      </c>
      <c r="W909" cm="1">
        <f t="array" ref="W909">_xlfn._xlws.FILTER(shifts!A:A,(shifts!B:B=events!D909)*(shifts!AH:AH&gt;=events!U909)*(shifts!AI:AI&lt;=events!V909))</f>
        <v>33</v>
      </c>
      <c r="X909" t="str">
        <f t="shared" si="162"/>
        <v>event_team_player_1</v>
      </c>
      <c r="Y909">
        <f>COUNTIFS(A$3:A909,"="&amp;A909,K$3:K909,"="&amp;K909)</f>
        <v>1</v>
      </c>
      <c r="Z909" s="20">
        <f>SUMIFS(T$3:T909,L$3:L909,"=Intermission")+SUMIFS(T$3:T909,L$3:L909,"=Timeout")+SUMIFS(T$3:T909,L$3:L909,"=Clockstop")</f>
        <v>68</v>
      </c>
      <c r="AA909">
        <f t="shared" si="166"/>
        <v>1148</v>
      </c>
      <c r="AB909" s="26">
        <f t="shared" si="167"/>
        <v>142</v>
      </c>
      <c r="AC909">
        <f t="shared" si="168"/>
        <v>1216</v>
      </c>
    </row>
    <row r="910" spans="1:29" x14ac:dyDescent="0.2">
      <c r="A910">
        <v>474</v>
      </c>
      <c r="D910">
        <f t="shared" si="169"/>
        <v>2</v>
      </c>
      <c r="E910">
        <v>17</v>
      </c>
      <c r="F910" s="6" t="s">
        <v>456</v>
      </c>
      <c r="G910">
        <v>17</v>
      </c>
      <c r="H910" s="8" t="s">
        <v>446</v>
      </c>
      <c r="I910" t="s">
        <v>178</v>
      </c>
      <c r="J910">
        <v>42</v>
      </c>
      <c r="K910" t="s">
        <v>488</v>
      </c>
      <c r="L910" t="s">
        <v>15</v>
      </c>
      <c r="Q910">
        <f t="shared" si="170"/>
        <v>18977</v>
      </c>
      <c r="R910" t="str">
        <f t="shared" si="170"/>
        <v>Velodrome</v>
      </c>
      <c r="S910" t="str">
        <f t="shared" si="170"/>
        <v>HollowBrook</v>
      </c>
      <c r="T910" s="20">
        <f t="shared" si="163"/>
        <v>6</v>
      </c>
      <c r="U910">
        <f t="shared" si="164"/>
        <v>1043</v>
      </c>
      <c r="V910">
        <f t="shared" si="165"/>
        <v>1037</v>
      </c>
      <c r="W910" cm="1">
        <f t="array" ref="W910">_xlfn._xlws.FILTER(shifts!A:A,(shifts!B:B=events!D910)*(shifts!AH:AH&gt;=events!U910)*(shifts!AI:AI&lt;=events!V910))</f>
        <v>33</v>
      </c>
      <c r="X910" t="str">
        <f t="shared" si="162"/>
        <v>event_team_player_1</v>
      </c>
      <c r="Y910">
        <f>COUNTIFS(A$3:A910,"="&amp;A910,K$3:K910,"="&amp;K910)</f>
        <v>1</v>
      </c>
      <c r="Z910" s="20">
        <f>SUMIFS(T$3:T910,L$3:L910,"=Intermission")+SUMIFS(T$3:T910,L$3:L910,"=Timeout")+SUMIFS(T$3:T910,L$3:L910,"=Clockstop")</f>
        <v>68</v>
      </c>
      <c r="AA910">
        <f t="shared" si="166"/>
        <v>1148</v>
      </c>
      <c r="AB910" s="26">
        <f t="shared" si="167"/>
        <v>142</v>
      </c>
      <c r="AC910">
        <f t="shared" si="168"/>
        <v>1216</v>
      </c>
    </row>
    <row r="911" spans="1:29" x14ac:dyDescent="0.2">
      <c r="A911">
        <v>474</v>
      </c>
      <c r="D911">
        <f t="shared" si="169"/>
        <v>2</v>
      </c>
      <c r="E911">
        <v>17</v>
      </c>
      <c r="F911" s="6" t="s">
        <v>456</v>
      </c>
      <c r="G911">
        <v>17</v>
      </c>
      <c r="H911" s="8" t="s">
        <v>446</v>
      </c>
      <c r="I911" t="s">
        <v>178</v>
      </c>
      <c r="J911">
        <v>11</v>
      </c>
      <c r="K911" t="s">
        <v>489</v>
      </c>
      <c r="L911" t="s">
        <v>15</v>
      </c>
      <c r="Q911">
        <f t="shared" si="170"/>
        <v>18977</v>
      </c>
      <c r="R911" t="str">
        <f t="shared" si="170"/>
        <v>Velodrome</v>
      </c>
      <c r="S911" t="str">
        <f t="shared" si="170"/>
        <v>HollowBrook</v>
      </c>
      <c r="T911" s="20">
        <f t="shared" si="163"/>
        <v>6</v>
      </c>
      <c r="U911">
        <f t="shared" si="164"/>
        <v>1043</v>
      </c>
      <c r="V911">
        <f t="shared" si="165"/>
        <v>1037</v>
      </c>
      <c r="W911" cm="1">
        <f t="array" ref="W911">_xlfn._xlws.FILTER(shifts!A:A,(shifts!B:B=events!D911)*(shifts!AH:AH&gt;=events!U911)*(shifts!AI:AI&lt;=events!V911))</f>
        <v>33</v>
      </c>
      <c r="X911" t="str">
        <f t="shared" si="162"/>
        <v>opp_team_player_1</v>
      </c>
      <c r="Y911">
        <f>COUNTIFS(A$3:A911,"="&amp;A911,K$3:K911,"="&amp;K911)</f>
        <v>1</v>
      </c>
      <c r="Z911" s="20">
        <f>SUMIFS(T$3:T911,L$3:L911,"=Intermission")+SUMIFS(T$3:T911,L$3:L911,"=Timeout")+SUMIFS(T$3:T911,L$3:L911,"=Clockstop")</f>
        <v>68</v>
      </c>
      <c r="AA911">
        <f t="shared" si="166"/>
        <v>1148</v>
      </c>
      <c r="AB911" s="26">
        <f t="shared" si="167"/>
        <v>142</v>
      </c>
      <c r="AC911">
        <f t="shared" si="168"/>
        <v>1216</v>
      </c>
    </row>
    <row r="912" spans="1:29" x14ac:dyDescent="0.2">
      <c r="A912">
        <v>475</v>
      </c>
      <c r="D912">
        <f t="shared" si="169"/>
        <v>2</v>
      </c>
      <c r="E912">
        <v>17</v>
      </c>
      <c r="F912" s="6" t="s">
        <v>446</v>
      </c>
      <c r="I912" t="s">
        <v>178</v>
      </c>
      <c r="J912">
        <v>42</v>
      </c>
      <c r="K912" t="s">
        <v>488</v>
      </c>
      <c r="L912" t="s">
        <v>8</v>
      </c>
      <c r="M912" t="s">
        <v>189</v>
      </c>
      <c r="N912" t="s">
        <v>70</v>
      </c>
      <c r="Q912">
        <f t="shared" si="170"/>
        <v>18977</v>
      </c>
      <c r="R912" t="str">
        <f t="shared" si="170"/>
        <v>Velodrome</v>
      </c>
      <c r="S912" t="str">
        <f t="shared" si="170"/>
        <v>HollowBrook</v>
      </c>
      <c r="T912" s="20">
        <f t="shared" si="163"/>
        <v>0</v>
      </c>
      <c r="U912">
        <f t="shared" si="164"/>
        <v>1037</v>
      </c>
      <c r="V912">
        <f t="shared" si="165"/>
        <v>1037</v>
      </c>
      <c r="W912" cm="1">
        <f t="array" ref="W912">_xlfn._xlws.FILTER(shifts!A:A,(shifts!B:B=events!D912)*(shifts!AH:AH&gt;=events!U912)*(shifts!AI:AI&lt;=events!V912))</f>
        <v>33</v>
      </c>
      <c r="X912" t="str">
        <f t="shared" si="162"/>
        <v>event_team_player_1</v>
      </c>
      <c r="Y912">
        <f>COUNTIFS(A$3:A912,"="&amp;A912,K$3:K912,"="&amp;K912)</f>
        <v>1</v>
      </c>
      <c r="Z912" s="20">
        <f>SUMIFS(T$3:T912,L$3:L912,"=Intermission")+SUMIFS(T$3:T912,L$3:L912,"=Timeout")+SUMIFS(T$3:T912,L$3:L912,"=Clockstop")</f>
        <v>68</v>
      </c>
      <c r="AA912">
        <f t="shared" si="166"/>
        <v>1148</v>
      </c>
      <c r="AB912" s="26">
        <f t="shared" si="167"/>
        <v>154</v>
      </c>
      <c r="AC912">
        <f t="shared" si="168"/>
        <v>1216</v>
      </c>
    </row>
    <row r="913" spans="1:29" x14ac:dyDescent="0.2">
      <c r="A913">
        <v>475</v>
      </c>
      <c r="D913">
        <f t="shared" si="169"/>
        <v>2</v>
      </c>
      <c r="E913">
        <v>17</v>
      </c>
      <c r="F913" s="6" t="s">
        <v>446</v>
      </c>
      <c r="I913" t="s">
        <v>178</v>
      </c>
      <c r="J913">
        <v>84</v>
      </c>
      <c r="K913" t="s">
        <v>488</v>
      </c>
      <c r="L913" t="s">
        <v>8</v>
      </c>
      <c r="M913" t="s">
        <v>189</v>
      </c>
      <c r="N913" t="s">
        <v>70</v>
      </c>
      <c r="Q913">
        <f t="shared" si="170"/>
        <v>18977</v>
      </c>
      <c r="R913" t="str">
        <f t="shared" si="170"/>
        <v>Velodrome</v>
      </c>
      <c r="S913" t="str">
        <f t="shared" si="170"/>
        <v>HollowBrook</v>
      </c>
      <c r="T913" s="20">
        <f t="shared" si="163"/>
        <v>0</v>
      </c>
      <c r="U913">
        <f t="shared" si="164"/>
        <v>1037</v>
      </c>
      <c r="V913">
        <f t="shared" si="165"/>
        <v>1037</v>
      </c>
      <c r="W913" cm="1">
        <f t="array" ref="W913">_xlfn._xlws.FILTER(shifts!A:A,(shifts!B:B=events!D913)*(shifts!AH:AH&gt;=events!U913)*(shifts!AI:AI&lt;=events!V913))</f>
        <v>33</v>
      </c>
      <c r="X913" t="str">
        <f t="shared" si="162"/>
        <v>event_team_player_2</v>
      </c>
      <c r="Y913">
        <f>COUNTIFS(A$3:A913,"="&amp;A913,K$3:K913,"="&amp;K913)</f>
        <v>2</v>
      </c>
      <c r="Z913" s="20">
        <f>SUMIFS(T$3:T913,L$3:L913,"=Intermission")+SUMIFS(T$3:T913,L$3:L913,"=Timeout")+SUMIFS(T$3:T913,L$3:L913,"=Clockstop")</f>
        <v>68</v>
      </c>
      <c r="AA913">
        <f t="shared" si="166"/>
        <v>1148</v>
      </c>
      <c r="AB913" s="26">
        <f t="shared" si="167"/>
        <v>154</v>
      </c>
      <c r="AC913">
        <f t="shared" si="168"/>
        <v>1216</v>
      </c>
    </row>
    <row r="914" spans="1:29" x14ac:dyDescent="0.2">
      <c r="A914">
        <v>476</v>
      </c>
      <c r="D914">
        <f t="shared" si="169"/>
        <v>2</v>
      </c>
      <c r="E914">
        <v>17</v>
      </c>
      <c r="F914" s="6" t="s">
        <v>446</v>
      </c>
      <c r="I914" t="s">
        <v>178</v>
      </c>
      <c r="J914">
        <v>84</v>
      </c>
      <c r="K914" t="s">
        <v>488</v>
      </c>
      <c r="L914" t="s">
        <v>8</v>
      </c>
      <c r="M914" t="s">
        <v>189</v>
      </c>
      <c r="N914" t="s">
        <v>70</v>
      </c>
      <c r="Q914">
        <f t="shared" si="170"/>
        <v>18977</v>
      </c>
      <c r="R914" t="str">
        <f t="shared" si="170"/>
        <v>Velodrome</v>
      </c>
      <c r="S914" t="str">
        <f t="shared" si="170"/>
        <v>HollowBrook</v>
      </c>
      <c r="T914" s="20">
        <f t="shared" si="163"/>
        <v>0</v>
      </c>
      <c r="U914">
        <f t="shared" si="164"/>
        <v>1037</v>
      </c>
      <c r="V914">
        <f t="shared" si="165"/>
        <v>1037</v>
      </c>
      <c r="W914" cm="1">
        <f t="array" ref="W914">_xlfn._xlws.FILTER(shifts!A:A,(shifts!B:B=events!D914)*(shifts!AH:AH&gt;=events!U914)*(shifts!AI:AI&lt;=events!V914))</f>
        <v>33</v>
      </c>
      <c r="X914" t="str">
        <f t="shared" si="162"/>
        <v>event_team_player_1</v>
      </c>
      <c r="Y914">
        <f>COUNTIFS(A$3:A914,"="&amp;A914,K$3:K914,"="&amp;K914)</f>
        <v>1</v>
      </c>
      <c r="Z914" s="20">
        <f>SUMIFS(T$3:T914,L$3:L914,"=Intermission")+SUMIFS(T$3:T914,L$3:L914,"=Timeout")+SUMIFS(T$3:T914,L$3:L914,"=Clockstop")</f>
        <v>68</v>
      </c>
      <c r="AA914">
        <f t="shared" si="166"/>
        <v>1148</v>
      </c>
      <c r="AB914" s="26">
        <f t="shared" si="167"/>
        <v>154</v>
      </c>
      <c r="AC914">
        <f t="shared" si="168"/>
        <v>1216</v>
      </c>
    </row>
    <row r="915" spans="1:29" x14ac:dyDescent="0.2">
      <c r="A915">
        <v>476</v>
      </c>
      <c r="D915">
        <f t="shared" si="169"/>
        <v>2</v>
      </c>
      <c r="E915">
        <v>17</v>
      </c>
      <c r="F915" s="6" t="s">
        <v>446</v>
      </c>
      <c r="I915" t="s">
        <v>178</v>
      </c>
      <c r="J915">
        <v>87</v>
      </c>
      <c r="K915" t="s">
        <v>488</v>
      </c>
      <c r="L915" t="s">
        <v>8</v>
      </c>
      <c r="M915" t="s">
        <v>189</v>
      </c>
      <c r="N915" t="s">
        <v>70</v>
      </c>
      <c r="Q915">
        <f t="shared" si="170"/>
        <v>18977</v>
      </c>
      <c r="R915" t="str">
        <f t="shared" si="170"/>
        <v>Velodrome</v>
      </c>
      <c r="S915" t="str">
        <f t="shared" si="170"/>
        <v>HollowBrook</v>
      </c>
      <c r="T915" s="20">
        <f t="shared" si="163"/>
        <v>0</v>
      </c>
      <c r="U915">
        <f t="shared" si="164"/>
        <v>1037</v>
      </c>
      <c r="V915">
        <f t="shared" si="165"/>
        <v>1037</v>
      </c>
      <c r="W915" cm="1">
        <f t="array" ref="W915">_xlfn._xlws.FILTER(shifts!A:A,(shifts!B:B=events!D915)*(shifts!AH:AH&gt;=events!U915)*(shifts!AI:AI&lt;=events!V915))</f>
        <v>33</v>
      </c>
      <c r="X915" t="str">
        <f t="shared" si="162"/>
        <v>event_team_player_2</v>
      </c>
      <c r="Y915">
        <f>COUNTIFS(A$3:A915,"="&amp;A915,K$3:K915,"="&amp;K915)</f>
        <v>2</v>
      </c>
      <c r="Z915" s="20">
        <f>SUMIFS(T$3:T915,L$3:L915,"=Intermission")+SUMIFS(T$3:T915,L$3:L915,"=Timeout")+SUMIFS(T$3:T915,L$3:L915,"=Clockstop")</f>
        <v>68</v>
      </c>
      <c r="AA915">
        <f t="shared" si="166"/>
        <v>1148</v>
      </c>
      <c r="AB915" s="26">
        <f t="shared" si="167"/>
        <v>154</v>
      </c>
      <c r="AC915">
        <f t="shared" si="168"/>
        <v>1216</v>
      </c>
    </row>
    <row r="916" spans="1:29" x14ac:dyDescent="0.2">
      <c r="A916">
        <v>477</v>
      </c>
      <c r="D916">
        <f t="shared" si="169"/>
        <v>2</v>
      </c>
      <c r="E916">
        <v>17</v>
      </c>
      <c r="F916" s="6" t="s">
        <v>448</v>
      </c>
      <c r="G916">
        <v>17</v>
      </c>
      <c r="H916" s="8" t="s">
        <v>423</v>
      </c>
      <c r="I916" t="s">
        <v>178</v>
      </c>
      <c r="J916">
        <v>87</v>
      </c>
      <c r="K916" t="s">
        <v>488</v>
      </c>
      <c r="L916" t="s">
        <v>15</v>
      </c>
      <c r="Q916">
        <f t="shared" si="170"/>
        <v>18977</v>
      </c>
      <c r="R916" t="str">
        <f t="shared" si="170"/>
        <v>Velodrome</v>
      </c>
      <c r="S916" t="str">
        <f t="shared" si="170"/>
        <v>HollowBrook</v>
      </c>
      <c r="T916" s="20">
        <f t="shared" si="163"/>
        <v>2</v>
      </c>
      <c r="U916">
        <f t="shared" si="164"/>
        <v>1036</v>
      </c>
      <c r="V916">
        <f t="shared" si="165"/>
        <v>1034</v>
      </c>
      <c r="W916" cm="1">
        <f t="array" ref="W916">_xlfn._xlws.FILTER(shifts!A:A,(shifts!B:B=events!D916)*(shifts!AH:AH&gt;=events!U916)*(shifts!AI:AI&lt;=events!V916))</f>
        <v>33</v>
      </c>
      <c r="X916" t="str">
        <f t="shared" si="162"/>
        <v>event_team_player_1</v>
      </c>
      <c r="Y916">
        <f>COUNTIFS(A$3:A916,"="&amp;A916,K$3:K916,"="&amp;K916)</f>
        <v>1</v>
      </c>
      <c r="Z916" s="20">
        <f>SUMIFS(T$3:T916,L$3:L916,"=Intermission")+SUMIFS(T$3:T916,L$3:L916,"=Timeout")+SUMIFS(T$3:T916,L$3:L916,"=Clockstop")</f>
        <v>68</v>
      </c>
      <c r="AA916">
        <f t="shared" si="166"/>
        <v>1148</v>
      </c>
      <c r="AB916" s="26">
        <f t="shared" si="167"/>
        <v>156</v>
      </c>
      <c r="AC916">
        <f t="shared" si="168"/>
        <v>1216</v>
      </c>
    </row>
    <row r="917" spans="1:29" x14ac:dyDescent="0.2">
      <c r="A917">
        <v>477</v>
      </c>
      <c r="D917">
        <f t="shared" si="169"/>
        <v>2</v>
      </c>
      <c r="E917">
        <v>17</v>
      </c>
      <c r="F917" s="6" t="s">
        <v>448</v>
      </c>
      <c r="G917">
        <v>17</v>
      </c>
      <c r="H917" s="8" t="s">
        <v>423</v>
      </c>
      <c r="I917" t="s">
        <v>178</v>
      </c>
      <c r="J917">
        <v>19</v>
      </c>
      <c r="K917" t="s">
        <v>489</v>
      </c>
      <c r="L917" t="s">
        <v>15</v>
      </c>
      <c r="Q917">
        <f t="shared" ref="Q917:S932" si="171">Q916</f>
        <v>18977</v>
      </c>
      <c r="R917" t="str">
        <f t="shared" si="171"/>
        <v>Velodrome</v>
      </c>
      <c r="S917" t="str">
        <f t="shared" si="171"/>
        <v>HollowBrook</v>
      </c>
      <c r="T917" s="20">
        <f t="shared" si="163"/>
        <v>2</v>
      </c>
      <c r="U917">
        <f t="shared" si="164"/>
        <v>1036</v>
      </c>
      <c r="V917">
        <f t="shared" si="165"/>
        <v>1034</v>
      </c>
      <c r="W917" cm="1">
        <f t="array" ref="W917">_xlfn._xlws.FILTER(shifts!A:A,(shifts!B:B=events!D917)*(shifts!AH:AH&gt;=events!U917)*(shifts!AI:AI&lt;=events!V917))</f>
        <v>33</v>
      </c>
      <c r="X917" t="str">
        <f t="shared" si="162"/>
        <v>opp_team_player_1</v>
      </c>
      <c r="Y917">
        <f>COUNTIFS(A$3:A917,"="&amp;A917,K$3:K917,"="&amp;K917)</f>
        <v>1</v>
      </c>
      <c r="Z917" s="20">
        <f>SUMIFS(T$3:T917,L$3:L917,"=Intermission")+SUMIFS(T$3:T917,L$3:L917,"=Timeout")+SUMIFS(T$3:T917,L$3:L917,"=Clockstop")</f>
        <v>68</v>
      </c>
      <c r="AA917">
        <f t="shared" si="166"/>
        <v>1148</v>
      </c>
      <c r="AB917" s="26">
        <f t="shared" si="167"/>
        <v>156</v>
      </c>
      <c r="AC917">
        <f t="shared" si="168"/>
        <v>1216</v>
      </c>
    </row>
    <row r="918" spans="1:29" x14ac:dyDescent="0.2">
      <c r="A918">
        <v>478</v>
      </c>
      <c r="D918">
        <f t="shared" si="169"/>
        <v>2</v>
      </c>
      <c r="E918">
        <v>17</v>
      </c>
      <c r="F918" s="6" t="s">
        <v>423</v>
      </c>
      <c r="I918" t="s">
        <v>178</v>
      </c>
      <c r="J918">
        <v>87</v>
      </c>
      <c r="K918" t="s">
        <v>488</v>
      </c>
      <c r="L918" t="s">
        <v>7</v>
      </c>
      <c r="M918" t="s">
        <v>198</v>
      </c>
      <c r="N918" t="s">
        <v>53</v>
      </c>
      <c r="Q918">
        <f t="shared" si="171"/>
        <v>18977</v>
      </c>
      <c r="R918" t="str">
        <f t="shared" si="171"/>
        <v>Velodrome</v>
      </c>
      <c r="S918" t="str">
        <f t="shared" si="171"/>
        <v>HollowBrook</v>
      </c>
      <c r="T918" s="20">
        <f t="shared" si="163"/>
        <v>0</v>
      </c>
      <c r="U918">
        <f t="shared" si="164"/>
        <v>1034</v>
      </c>
      <c r="V918">
        <f t="shared" si="165"/>
        <v>1034</v>
      </c>
      <c r="W918" cm="1">
        <f t="array" ref="W918">_xlfn._xlws.FILTER(shifts!A:A,(shifts!B:B=events!D918)*(shifts!AH:AH&gt;=events!U918)*(shifts!AI:AI&lt;=events!V918))</f>
        <v>33</v>
      </c>
      <c r="X918" t="str">
        <f t="shared" si="162"/>
        <v>event_team_player_1</v>
      </c>
      <c r="Y918">
        <f>COUNTIFS(A$3:A918,"="&amp;A918,K$3:K918,"="&amp;K918)</f>
        <v>1</v>
      </c>
      <c r="Z918" s="20">
        <f>SUMIFS(T$3:T918,L$3:L918,"=Intermission")+SUMIFS(T$3:T918,L$3:L918,"=Timeout")+SUMIFS(T$3:T918,L$3:L918,"=Clockstop")</f>
        <v>68</v>
      </c>
      <c r="AA918">
        <f t="shared" si="166"/>
        <v>1148</v>
      </c>
      <c r="AB918" s="26">
        <f t="shared" si="167"/>
        <v>160</v>
      </c>
      <c r="AC918">
        <f t="shared" si="168"/>
        <v>1216</v>
      </c>
    </row>
    <row r="919" spans="1:29" x14ac:dyDescent="0.2">
      <c r="A919">
        <v>479</v>
      </c>
      <c r="D919">
        <f t="shared" si="169"/>
        <v>2</v>
      </c>
      <c r="E919">
        <v>17</v>
      </c>
      <c r="F919" s="6" t="s">
        <v>449</v>
      </c>
      <c r="I919" t="s">
        <v>178</v>
      </c>
      <c r="J919">
        <v>91</v>
      </c>
      <c r="K919" t="s">
        <v>488</v>
      </c>
      <c r="L919" t="s">
        <v>7</v>
      </c>
      <c r="M919" t="s">
        <v>198</v>
      </c>
      <c r="N919" t="s">
        <v>53</v>
      </c>
      <c r="Q919">
        <f t="shared" si="171"/>
        <v>18977</v>
      </c>
      <c r="R919" t="str">
        <f t="shared" si="171"/>
        <v>Velodrome</v>
      </c>
      <c r="S919" t="str">
        <f t="shared" si="171"/>
        <v>HollowBrook</v>
      </c>
      <c r="T919" s="20">
        <f t="shared" si="163"/>
        <v>0</v>
      </c>
      <c r="U919">
        <f t="shared" si="164"/>
        <v>1032</v>
      </c>
      <c r="V919">
        <f t="shared" si="165"/>
        <v>1032</v>
      </c>
      <c r="W919" cm="1">
        <f t="array" ref="W919">_xlfn._xlws.FILTER(shifts!A:A,(shifts!B:B=events!D919)*(shifts!AH:AH&gt;=events!U919)*(shifts!AI:AI&lt;=events!V919))</f>
        <v>33</v>
      </c>
      <c r="X919" t="str">
        <f t="shared" si="162"/>
        <v>event_team_player_1</v>
      </c>
      <c r="Y919">
        <f>COUNTIFS(A$3:A919,"="&amp;A919,K$3:K919,"="&amp;K919)</f>
        <v>1</v>
      </c>
      <c r="Z919" s="20">
        <f>SUMIFS(T$3:T919,L$3:L919,"=Intermission")+SUMIFS(T$3:T919,L$3:L919,"=Timeout")+SUMIFS(T$3:T919,L$3:L919,"=Clockstop")</f>
        <v>68</v>
      </c>
      <c r="AA919">
        <f t="shared" si="166"/>
        <v>1148</v>
      </c>
      <c r="AB919" s="26">
        <f t="shared" si="167"/>
        <v>164</v>
      </c>
      <c r="AC919">
        <f t="shared" si="168"/>
        <v>1216</v>
      </c>
    </row>
    <row r="920" spans="1:29" x14ac:dyDescent="0.2">
      <c r="A920">
        <v>480</v>
      </c>
      <c r="D920">
        <f t="shared" si="169"/>
        <v>2</v>
      </c>
      <c r="E920">
        <v>17</v>
      </c>
      <c r="F920" s="6" t="s">
        <v>449</v>
      </c>
      <c r="I920" t="s">
        <v>178</v>
      </c>
      <c r="J920">
        <v>91</v>
      </c>
      <c r="K920" t="s">
        <v>488</v>
      </c>
      <c r="L920" t="s">
        <v>10</v>
      </c>
      <c r="M920" t="s">
        <v>190</v>
      </c>
      <c r="N920" t="s">
        <v>79</v>
      </c>
      <c r="Q920">
        <f t="shared" si="171"/>
        <v>18977</v>
      </c>
      <c r="R920" t="str">
        <f t="shared" si="171"/>
        <v>Velodrome</v>
      </c>
      <c r="S920" t="str">
        <f t="shared" si="171"/>
        <v>HollowBrook</v>
      </c>
      <c r="T920" s="20">
        <f t="shared" si="163"/>
        <v>0</v>
      </c>
      <c r="U920">
        <f t="shared" si="164"/>
        <v>1032</v>
      </c>
      <c r="V920">
        <f t="shared" si="165"/>
        <v>1032</v>
      </c>
      <c r="W920" cm="1">
        <f t="array" ref="W920">_xlfn._xlws.FILTER(shifts!A:A,(shifts!B:B=events!D920)*(shifts!AH:AH&gt;=events!U920)*(shifts!AI:AI&lt;=events!V920))</f>
        <v>33</v>
      </c>
      <c r="X920" t="str">
        <f t="shared" si="162"/>
        <v>event_team_player_1</v>
      </c>
      <c r="Y920">
        <f>COUNTIFS(A$3:A920,"="&amp;A920,K$3:K920,"="&amp;K920)</f>
        <v>1</v>
      </c>
      <c r="Z920" s="20">
        <f>SUMIFS(T$3:T920,L$3:L920,"=Intermission")+SUMIFS(T$3:T920,L$3:L920,"=Timeout")+SUMIFS(T$3:T920,L$3:L920,"=Clockstop")</f>
        <v>68</v>
      </c>
      <c r="AA920">
        <f t="shared" si="166"/>
        <v>1148</v>
      </c>
      <c r="AB920" s="26">
        <f t="shared" si="167"/>
        <v>164</v>
      </c>
      <c r="AC920">
        <f t="shared" si="168"/>
        <v>1216</v>
      </c>
    </row>
    <row r="921" spans="1:29" x14ac:dyDescent="0.2">
      <c r="A921">
        <v>481</v>
      </c>
      <c r="D921">
        <f t="shared" si="169"/>
        <v>2</v>
      </c>
      <c r="E921">
        <v>17</v>
      </c>
      <c r="F921" s="6" t="s">
        <v>486</v>
      </c>
      <c r="I921" t="s">
        <v>179</v>
      </c>
      <c r="J921">
        <v>18</v>
      </c>
      <c r="K921" t="s">
        <v>488</v>
      </c>
      <c r="L921" t="s">
        <v>13</v>
      </c>
      <c r="M921" t="s">
        <v>204</v>
      </c>
      <c r="N921" t="s">
        <v>108</v>
      </c>
      <c r="Q921">
        <f t="shared" si="171"/>
        <v>18977</v>
      </c>
      <c r="R921" t="str">
        <f t="shared" si="171"/>
        <v>Velodrome</v>
      </c>
      <c r="S921" t="str">
        <f t="shared" si="171"/>
        <v>HollowBrook</v>
      </c>
      <c r="T921" s="20">
        <f t="shared" si="163"/>
        <v>0</v>
      </c>
      <c r="U921">
        <f t="shared" si="164"/>
        <v>1031</v>
      </c>
      <c r="V921">
        <f t="shared" si="165"/>
        <v>1031</v>
      </c>
      <c r="W921" cm="1">
        <f t="array" ref="W921">_xlfn._xlws.FILTER(shifts!A:A,(shifts!B:B=events!D921)*(shifts!AH:AH&gt;=events!U921)*(shifts!AI:AI&lt;=events!V921))</f>
        <v>33</v>
      </c>
      <c r="X921" t="str">
        <f t="shared" si="162"/>
        <v>event_team_player_1</v>
      </c>
      <c r="Y921">
        <f>COUNTIFS(A$3:A921,"="&amp;A921,K$3:K921,"="&amp;K921)</f>
        <v>1</v>
      </c>
      <c r="Z921" s="20">
        <f>SUMIFS(T$3:T921,L$3:L921,"=Intermission")+SUMIFS(T$3:T921,L$3:L921,"=Timeout")+SUMIFS(T$3:T921,L$3:L921,"=Clockstop")</f>
        <v>68</v>
      </c>
      <c r="AA921">
        <f t="shared" si="166"/>
        <v>1148</v>
      </c>
      <c r="AB921" s="26">
        <f t="shared" si="167"/>
        <v>166</v>
      </c>
      <c r="AC921">
        <f t="shared" si="168"/>
        <v>1216</v>
      </c>
    </row>
    <row r="922" spans="1:29" x14ac:dyDescent="0.2">
      <c r="A922">
        <v>482</v>
      </c>
      <c r="D922">
        <f t="shared" si="169"/>
        <v>2</v>
      </c>
      <c r="E922">
        <v>17</v>
      </c>
      <c r="F922" s="6" t="s">
        <v>486</v>
      </c>
      <c r="G922">
        <v>16</v>
      </c>
      <c r="H922" s="8" t="s">
        <v>437</v>
      </c>
      <c r="I922" t="s">
        <v>179</v>
      </c>
      <c r="J922">
        <v>18</v>
      </c>
      <c r="K922" t="s">
        <v>488</v>
      </c>
      <c r="L922" t="s">
        <v>282</v>
      </c>
      <c r="Q922">
        <f t="shared" si="171"/>
        <v>18977</v>
      </c>
      <c r="R922" t="str">
        <f t="shared" si="171"/>
        <v>Velodrome</v>
      </c>
      <c r="S922" t="str">
        <f t="shared" si="171"/>
        <v>HollowBrook</v>
      </c>
      <c r="T922" s="20">
        <f t="shared" si="163"/>
        <v>31</v>
      </c>
      <c r="U922">
        <f t="shared" si="164"/>
        <v>1031</v>
      </c>
      <c r="V922">
        <f t="shared" si="165"/>
        <v>1000</v>
      </c>
      <c r="W922">
        <v>34</v>
      </c>
      <c r="X922" t="str">
        <f t="shared" si="162"/>
        <v>event_team_player_1</v>
      </c>
      <c r="Y922">
        <f>COUNTIFS(A$3:A922,"="&amp;A922,K$3:K922,"="&amp;K922)</f>
        <v>1</v>
      </c>
      <c r="Z922" s="20">
        <f>SUMIFS(T$3:T922,L$3:L922,"=Intermission")+SUMIFS(T$3:T922,L$3:L922,"=Timeout")+SUMIFS(T$3:T922,L$3:L922,"=Clockstop")</f>
        <v>68</v>
      </c>
      <c r="AA922">
        <f t="shared" si="166"/>
        <v>1148</v>
      </c>
      <c r="AB922" s="26">
        <f t="shared" si="167"/>
        <v>166</v>
      </c>
      <c r="AC922">
        <f t="shared" si="168"/>
        <v>1216</v>
      </c>
    </row>
    <row r="923" spans="1:29" x14ac:dyDescent="0.2">
      <c r="A923">
        <v>483</v>
      </c>
      <c r="D923">
        <f t="shared" si="169"/>
        <v>2</v>
      </c>
      <c r="E923">
        <v>16</v>
      </c>
      <c r="F923" s="6" t="s">
        <v>437</v>
      </c>
      <c r="I923" t="s">
        <v>178</v>
      </c>
      <c r="J923">
        <v>42</v>
      </c>
      <c r="K923" t="s">
        <v>488</v>
      </c>
      <c r="L923" t="s">
        <v>6</v>
      </c>
      <c r="M923" t="s">
        <v>275</v>
      </c>
      <c r="Q923">
        <f t="shared" si="171"/>
        <v>18977</v>
      </c>
      <c r="R923" t="str">
        <f t="shared" si="171"/>
        <v>Velodrome</v>
      </c>
      <c r="S923" t="str">
        <f t="shared" si="171"/>
        <v>HollowBrook</v>
      </c>
      <c r="T923" s="20">
        <f t="shared" si="163"/>
        <v>0</v>
      </c>
      <c r="U923">
        <f t="shared" si="164"/>
        <v>1000</v>
      </c>
      <c r="V923">
        <f t="shared" si="165"/>
        <v>1000</v>
      </c>
      <c r="W923" cm="1">
        <f t="array" ref="W923">_xlfn._xlws.FILTER(shifts!A:A,(shifts!B:B=events!D923)*(shifts!AH:AH&gt;=events!U923)*(shifts!AI:AI&lt;=events!V923))</f>
        <v>34</v>
      </c>
      <c r="X923" t="str">
        <f t="shared" si="162"/>
        <v>event_team_player_1</v>
      </c>
      <c r="Y923">
        <f>COUNTIFS(A$3:A923,"="&amp;A923,K$3:K923,"="&amp;K923)</f>
        <v>1</v>
      </c>
      <c r="Z923" s="20">
        <f>SUMIFS(T$3:T923,L$3:L923,"=Intermission")+SUMIFS(T$3:T923,L$3:L923,"=Timeout")+SUMIFS(T$3:T923,L$3:L923,"=Clockstop")</f>
        <v>68</v>
      </c>
      <c r="AA923">
        <f t="shared" si="166"/>
        <v>1148</v>
      </c>
      <c r="AB923" s="26">
        <f t="shared" si="167"/>
        <v>228</v>
      </c>
      <c r="AC923">
        <f t="shared" si="168"/>
        <v>1216</v>
      </c>
    </row>
    <row r="924" spans="1:29" x14ac:dyDescent="0.2">
      <c r="A924">
        <v>483</v>
      </c>
      <c r="D924">
        <f t="shared" si="169"/>
        <v>2</v>
      </c>
      <c r="E924">
        <v>16</v>
      </c>
      <c r="F924" s="6" t="s">
        <v>437</v>
      </c>
      <c r="I924" t="s">
        <v>178</v>
      </c>
      <c r="J924">
        <v>87</v>
      </c>
      <c r="K924" t="s">
        <v>488</v>
      </c>
      <c r="L924" t="s">
        <v>6</v>
      </c>
      <c r="M924" t="s">
        <v>275</v>
      </c>
      <c r="Q924">
        <f t="shared" si="171"/>
        <v>18977</v>
      </c>
      <c r="R924" t="str">
        <f t="shared" si="171"/>
        <v>Velodrome</v>
      </c>
      <c r="S924" t="str">
        <f t="shared" si="171"/>
        <v>HollowBrook</v>
      </c>
      <c r="T924" s="20">
        <f t="shared" si="163"/>
        <v>0</v>
      </c>
      <c r="U924">
        <f t="shared" si="164"/>
        <v>1000</v>
      </c>
      <c r="V924">
        <f t="shared" si="165"/>
        <v>1000</v>
      </c>
      <c r="W924" cm="1">
        <f t="array" ref="W924">_xlfn._xlws.FILTER(shifts!A:A,(shifts!B:B=events!D924)*(shifts!AH:AH&gt;=events!U924)*(shifts!AI:AI&lt;=events!V924))</f>
        <v>34</v>
      </c>
      <c r="X924" t="str">
        <f t="shared" si="162"/>
        <v>event_team_player_2</v>
      </c>
      <c r="Y924">
        <f>COUNTIFS(A$3:A924,"="&amp;A924,K$3:K924,"="&amp;K924)</f>
        <v>2</v>
      </c>
      <c r="Z924" s="20">
        <f>SUMIFS(T$3:T924,L$3:L924,"=Intermission")+SUMIFS(T$3:T924,L$3:L924,"=Timeout")+SUMIFS(T$3:T924,L$3:L924,"=Clockstop")</f>
        <v>68</v>
      </c>
      <c r="AA924">
        <f t="shared" si="166"/>
        <v>1148</v>
      </c>
      <c r="AB924" s="26">
        <f t="shared" si="167"/>
        <v>228</v>
      </c>
      <c r="AC924">
        <f t="shared" si="168"/>
        <v>1216</v>
      </c>
    </row>
    <row r="925" spans="1:29" x14ac:dyDescent="0.2">
      <c r="A925">
        <v>483</v>
      </c>
      <c r="D925">
        <f t="shared" si="169"/>
        <v>2</v>
      </c>
      <c r="E925">
        <v>16</v>
      </c>
      <c r="F925" s="6" t="s">
        <v>437</v>
      </c>
      <c r="I925" t="s">
        <v>178</v>
      </c>
      <c r="J925">
        <v>26</v>
      </c>
      <c r="K925" t="s">
        <v>489</v>
      </c>
      <c r="L925" t="s">
        <v>6</v>
      </c>
      <c r="M925" t="s">
        <v>275</v>
      </c>
      <c r="Q925">
        <f t="shared" si="171"/>
        <v>18977</v>
      </c>
      <c r="R925" t="str">
        <f t="shared" si="171"/>
        <v>Velodrome</v>
      </c>
      <c r="S925" t="str">
        <f t="shared" si="171"/>
        <v>HollowBrook</v>
      </c>
      <c r="T925" s="20">
        <f t="shared" si="163"/>
        <v>0</v>
      </c>
      <c r="U925">
        <f t="shared" si="164"/>
        <v>1000</v>
      </c>
      <c r="V925">
        <f t="shared" si="165"/>
        <v>1000</v>
      </c>
      <c r="W925" cm="1">
        <f t="array" ref="W925">_xlfn._xlws.FILTER(shifts!A:A,(shifts!B:B=events!D925)*(shifts!AH:AH&gt;=events!U925)*(shifts!AI:AI&lt;=events!V925))</f>
        <v>34</v>
      </c>
      <c r="X925" t="str">
        <f t="shared" si="162"/>
        <v>opp_team_player_1</v>
      </c>
      <c r="Y925">
        <f>COUNTIFS(A$3:A925,"="&amp;A925,K$3:K925,"="&amp;K925)</f>
        <v>1</v>
      </c>
      <c r="Z925" s="20">
        <f>SUMIFS(T$3:T925,L$3:L925,"=Intermission")+SUMIFS(T$3:T925,L$3:L925,"=Timeout")+SUMIFS(T$3:T925,L$3:L925,"=Clockstop")</f>
        <v>68</v>
      </c>
      <c r="AA925">
        <f t="shared" si="166"/>
        <v>1148</v>
      </c>
      <c r="AB925" s="26">
        <f t="shared" si="167"/>
        <v>228</v>
      </c>
      <c r="AC925">
        <f t="shared" si="168"/>
        <v>1216</v>
      </c>
    </row>
    <row r="926" spans="1:29" x14ac:dyDescent="0.2">
      <c r="A926">
        <v>484</v>
      </c>
      <c r="D926">
        <f t="shared" si="169"/>
        <v>2</v>
      </c>
      <c r="E926">
        <v>16</v>
      </c>
      <c r="F926" s="6" t="s">
        <v>437</v>
      </c>
      <c r="G926">
        <v>16</v>
      </c>
      <c r="H926" s="8" t="s">
        <v>438</v>
      </c>
      <c r="I926" t="s">
        <v>178</v>
      </c>
      <c r="J926">
        <v>87</v>
      </c>
      <c r="K926" t="s">
        <v>488</v>
      </c>
      <c r="L926" t="s">
        <v>15</v>
      </c>
      <c r="Q926">
        <f t="shared" si="171"/>
        <v>18977</v>
      </c>
      <c r="R926" t="str">
        <f t="shared" si="171"/>
        <v>Velodrome</v>
      </c>
      <c r="S926" t="str">
        <f t="shared" si="171"/>
        <v>HollowBrook</v>
      </c>
      <c r="T926" s="20">
        <f t="shared" si="163"/>
        <v>2</v>
      </c>
      <c r="U926">
        <f t="shared" si="164"/>
        <v>1000</v>
      </c>
      <c r="V926">
        <f t="shared" si="165"/>
        <v>998</v>
      </c>
      <c r="W926" cm="1">
        <f t="array" ref="W926">_xlfn._xlws.FILTER(shifts!A:A,(shifts!B:B=events!D926)*(shifts!AH:AH&gt;=events!U926)*(shifts!AI:AI&lt;=events!V926))</f>
        <v>34</v>
      </c>
      <c r="X926" t="str">
        <f t="shared" si="162"/>
        <v>event_team_player_1</v>
      </c>
      <c r="Y926">
        <f>COUNTIFS(A$3:A926,"="&amp;A926,K$3:K926,"="&amp;K926)</f>
        <v>1</v>
      </c>
      <c r="Z926" s="20">
        <f>SUMIFS(T$3:T926,L$3:L926,"=Intermission")+SUMIFS(T$3:T926,L$3:L926,"=Timeout")+SUMIFS(T$3:T926,L$3:L926,"=Clockstop")</f>
        <v>68</v>
      </c>
      <c r="AA926">
        <f t="shared" si="166"/>
        <v>1148</v>
      </c>
      <c r="AB926" s="26">
        <f t="shared" si="167"/>
        <v>228</v>
      </c>
      <c r="AC926">
        <f t="shared" si="168"/>
        <v>1216</v>
      </c>
    </row>
    <row r="927" spans="1:29" x14ac:dyDescent="0.2">
      <c r="A927">
        <v>485</v>
      </c>
      <c r="D927">
        <f t="shared" si="169"/>
        <v>2</v>
      </c>
      <c r="E927">
        <v>16</v>
      </c>
      <c r="F927" s="6" t="s">
        <v>438</v>
      </c>
      <c r="I927" t="s">
        <v>178</v>
      </c>
      <c r="J927">
        <v>87</v>
      </c>
      <c r="K927" t="s">
        <v>488</v>
      </c>
      <c r="L927" t="s">
        <v>8</v>
      </c>
      <c r="M927" t="s">
        <v>189</v>
      </c>
      <c r="N927" t="s">
        <v>497</v>
      </c>
      <c r="Q927">
        <f t="shared" si="171"/>
        <v>18977</v>
      </c>
      <c r="R927" t="str">
        <f t="shared" si="171"/>
        <v>Velodrome</v>
      </c>
      <c r="S927" t="str">
        <f t="shared" si="171"/>
        <v>HollowBrook</v>
      </c>
      <c r="T927" s="20">
        <f t="shared" si="163"/>
        <v>0</v>
      </c>
      <c r="U927">
        <f t="shared" si="164"/>
        <v>998</v>
      </c>
      <c r="V927">
        <f t="shared" si="165"/>
        <v>998</v>
      </c>
      <c r="W927" cm="1">
        <f t="array" ref="W927">_xlfn._xlws.FILTER(shifts!A:A,(shifts!B:B=events!D927)*(shifts!AH:AH&gt;=events!U927)*(shifts!AI:AI&lt;=events!V927))</f>
        <v>34</v>
      </c>
      <c r="X927" t="str">
        <f t="shared" si="162"/>
        <v>event_team_player_1</v>
      </c>
      <c r="Y927">
        <f>COUNTIFS(A$3:A927,"="&amp;A927,K$3:K927,"="&amp;K927)</f>
        <v>1</v>
      </c>
      <c r="Z927" s="20">
        <f>SUMIFS(T$3:T927,L$3:L927,"=Intermission")+SUMIFS(T$3:T927,L$3:L927,"=Timeout")+SUMIFS(T$3:T927,L$3:L927,"=Clockstop")</f>
        <v>68</v>
      </c>
      <c r="AA927">
        <f t="shared" si="166"/>
        <v>1148</v>
      </c>
      <c r="AB927" s="26">
        <f t="shared" si="167"/>
        <v>232</v>
      </c>
      <c r="AC927">
        <f t="shared" si="168"/>
        <v>1216</v>
      </c>
    </row>
    <row r="928" spans="1:29" x14ac:dyDescent="0.2">
      <c r="A928">
        <v>485</v>
      </c>
      <c r="D928">
        <f t="shared" si="169"/>
        <v>2</v>
      </c>
      <c r="E928">
        <v>16</v>
      </c>
      <c r="F928" s="6" t="s">
        <v>438</v>
      </c>
      <c r="I928" t="s">
        <v>178</v>
      </c>
      <c r="J928">
        <v>42</v>
      </c>
      <c r="K928" t="s">
        <v>488</v>
      </c>
      <c r="L928" t="s">
        <v>8</v>
      </c>
      <c r="M928" t="s">
        <v>189</v>
      </c>
      <c r="N928" t="s">
        <v>497</v>
      </c>
      <c r="Q928">
        <f t="shared" si="171"/>
        <v>18977</v>
      </c>
      <c r="R928" t="str">
        <f t="shared" si="171"/>
        <v>Velodrome</v>
      </c>
      <c r="S928" t="str">
        <f t="shared" si="171"/>
        <v>HollowBrook</v>
      </c>
      <c r="T928" s="20">
        <f t="shared" si="163"/>
        <v>0</v>
      </c>
      <c r="U928">
        <f t="shared" si="164"/>
        <v>998</v>
      </c>
      <c r="V928">
        <f t="shared" si="165"/>
        <v>998</v>
      </c>
      <c r="W928" cm="1">
        <f t="array" ref="W928">_xlfn._xlws.FILTER(shifts!A:A,(shifts!B:B=events!D928)*(shifts!AH:AH&gt;=events!U928)*(shifts!AI:AI&lt;=events!V928))</f>
        <v>34</v>
      </c>
      <c r="X928" t="str">
        <f t="shared" si="162"/>
        <v>event_team_player_2</v>
      </c>
      <c r="Y928">
        <f>COUNTIFS(A$3:A928,"="&amp;A928,K$3:K928,"="&amp;K928)</f>
        <v>2</v>
      </c>
      <c r="Z928" s="20">
        <f>SUMIFS(T$3:T928,L$3:L928,"=Intermission")+SUMIFS(T$3:T928,L$3:L928,"=Timeout")+SUMIFS(T$3:T928,L$3:L928,"=Clockstop")</f>
        <v>68</v>
      </c>
      <c r="AA928">
        <f t="shared" si="166"/>
        <v>1148</v>
      </c>
      <c r="AB928" s="26">
        <f t="shared" si="167"/>
        <v>232</v>
      </c>
      <c r="AC928">
        <f t="shared" si="168"/>
        <v>1216</v>
      </c>
    </row>
    <row r="929" spans="1:29" x14ac:dyDescent="0.2">
      <c r="A929">
        <v>485</v>
      </c>
      <c r="D929">
        <f t="shared" si="169"/>
        <v>2</v>
      </c>
      <c r="E929">
        <v>16</v>
      </c>
      <c r="F929" s="6" t="s">
        <v>438</v>
      </c>
      <c r="I929" t="s">
        <v>178</v>
      </c>
      <c r="J929">
        <v>13</v>
      </c>
      <c r="K929" t="s">
        <v>489</v>
      </c>
      <c r="L929" t="s">
        <v>8</v>
      </c>
      <c r="M929" t="s">
        <v>189</v>
      </c>
      <c r="N929" t="s">
        <v>497</v>
      </c>
      <c r="Q929">
        <f t="shared" si="171"/>
        <v>18977</v>
      </c>
      <c r="R929" t="str">
        <f t="shared" si="171"/>
        <v>Velodrome</v>
      </c>
      <c r="S929" t="str">
        <f t="shared" si="171"/>
        <v>HollowBrook</v>
      </c>
      <c r="T929" s="20">
        <f t="shared" si="163"/>
        <v>0</v>
      </c>
      <c r="U929">
        <f t="shared" si="164"/>
        <v>998</v>
      </c>
      <c r="V929">
        <f t="shared" si="165"/>
        <v>998</v>
      </c>
      <c r="W929" cm="1">
        <f t="array" ref="W929">_xlfn._xlws.FILTER(shifts!A:A,(shifts!B:B=events!D929)*(shifts!AH:AH&gt;=events!U929)*(shifts!AI:AI&lt;=events!V929))</f>
        <v>34</v>
      </c>
      <c r="X929" t="str">
        <f t="shared" si="162"/>
        <v>opp_team_player_1</v>
      </c>
      <c r="Y929">
        <f>COUNTIFS(A$3:A929,"="&amp;A929,K$3:K929,"="&amp;K929)</f>
        <v>1</v>
      </c>
      <c r="Z929" s="20">
        <f>SUMIFS(T$3:T929,L$3:L929,"=Intermission")+SUMIFS(T$3:T929,L$3:L929,"=Timeout")+SUMIFS(T$3:T929,L$3:L929,"=Clockstop")</f>
        <v>68</v>
      </c>
      <c r="AA929">
        <f t="shared" si="166"/>
        <v>1148</v>
      </c>
      <c r="AB929" s="26">
        <f t="shared" si="167"/>
        <v>232</v>
      </c>
      <c r="AC929">
        <f t="shared" si="168"/>
        <v>1216</v>
      </c>
    </row>
    <row r="930" spans="1:29" x14ac:dyDescent="0.2">
      <c r="A930">
        <v>486</v>
      </c>
      <c r="D930">
        <f t="shared" si="169"/>
        <v>2</v>
      </c>
      <c r="E930">
        <v>16</v>
      </c>
      <c r="F930" s="6" t="s">
        <v>438</v>
      </c>
      <c r="I930" t="s">
        <v>178</v>
      </c>
      <c r="J930">
        <v>42</v>
      </c>
      <c r="K930" t="s">
        <v>488</v>
      </c>
      <c r="L930" t="s">
        <v>7</v>
      </c>
      <c r="M930" t="s">
        <v>198</v>
      </c>
      <c r="N930" t="s">
        <v>221</v>
      </c>
      <c r="Q930">
        <f t="shared" si="171"/>
        <v>18977</v>
      </c>
      <c r="R930" t="str">
        <f t="shared" si="171"/>
        <v>Velodrome</v>
      </c>
      <c r="S930" t="str">
        <f t="shared" si="171"/>
        <v>HollowBrook</v>
      </c>
      <c r="T930" s="20">
        <f t="shared" si="163"/>
        <v>0</v>
      </c>
      <c r="U930">
        <f t="shared" si="164"/>
        <v>998</v>
      </c>
      <c r="V930">
        <f t="shared" si="165"/>
        <v>998</v>
      </c>
      <c r="W930" cm="1">
        <f t="array" ref="W930">_xlfn._xlws.FILTER(shifts!A:A,(shifts!B:B=events!D930)*(shifts!AH:AH&gt;=events!U930)*(shifts!AI:AI&lt;=events!V930))</f>
        <v>34</v>
      </c>
      <c r="X930" t="str">
        <f t="shared" si="162"/>
        <v>event_team_player_1</v>
      </c>
      <c r="Y930">
        <f>COUNTIFS(A$3:A930,"="&amp;A930,K$3:K930,"="&amp;K930)</f>
        <v>1</v>
      </c>
      <c r="Z930" s="20">
        <f>SUMIFS(T$3:T930,L$3:L930,"=Intermission")+SUMIFS(T$3:T930,L$3:L930,"=Timeout")+SUMIFS(T$3:T930,L$3:L930,"=Clockstop")</f>
        <v>68</v>
      </c>
      <c r="AA930">
        <f t="shared" si="166"/>
        <v>1148</v>
      </c>
      <c r="AB930" s="26">
        <f t="shared" si="167"/>
        <v>232</v>
      </c>
      <c r="AC930">
        <f t="shared" si="168"/>
        <v>1216</v>
      </c>
    </row>
    <row r="931" spans="1:29" x14ac:dyDescent="0.2">
      <c r="A931">
        <v>487</v>
      </c>
      <c r="D931">
        <f t="shared" si="169"/>
        <v>2</v>
      </c>
      <c r="E931">
        <v>16</v>
      </c>
      <c r="F931" s="6" t="s">
        <v>452</v>
      </c>
      <c r="I931" t="s">
        <v>178</v>
      </c>
      <c r="J931">
        <v>42</v>
      </c>
      <c r="K931" t="s">
        <v>488</v>
      </c>
      <c r="L931" t="s">
        <v>7</v>
      </c>
      <c r="M931" t="s">
        <v>208</v>
      </c>
      <c r="N931" t="s">
        <v>55</v>
      </c>
      <c r="Q931">
        <f t="shared" si="171"/>
        <v>18977</v>
      </c>
      <c r="R931" t="str">
        <f t="shared" si="171"/>
        <v>Velodrome</v>
      </c>
      <c r="S931" t="str">
        <f t="shared" si="171"/>
        <v>HollowBrook</v>
      </c>
      <c r="T931" s="20">
        <f t="shared" si="163"/>
        <v>0</v>
      </c>
      <c r="U931">
        <f t="shared" si="164"/>
        <v>996</v>
      </c>
      <c r="V931">
        <f t="shared" si="165"/>
        <v>996</v>
      </c>
      <c r="W931" cm="1">
        <f t="array" ref="W931">_xlfn._xlws.FILTER(shifts!A:A,(shifts!B:B=events!D931)*(shifts!AH:AH&gt;=events!U931)*(shifts!AI:AI&lt;=events!V931))</f>
        <v>34</v>
      </c>
      <c r="X931" t="str">
        <f t="shared" si="162"/>
        <v>event_team_player_1</v>
      </c>
      <c r="Y931">
        <f>COUNTIFS(A$3:A931,"="&amp;A931,K$3:K931,"="&amp;K931)</f>
        <v>1</v>
      </c>
      <c r="Z931" s="20">
        <f>SUMIFS(T$3:T931,L$3:L931,"=Intermission")+SUMIFS(T$3:T931,L$3:L931,"=Timeout")+SUMIFS(T$3:T931,L$3:L931,"=Clockstop")</f>
        <v>68</v>
      </c>
      <c r="AA931">
        <f t="shared" si="166"/>
        <v>1148</v>
      </c>
      <c r="AB931" s="26">
        <f t="shared" si="167"/>
        <v>236</v>
      </c>
      <c r="AC931">
        <f t="shared" si="168"/>
        <v>1216</v>
      </c>
    </row>
    <row r="932" spans="1:29" x14ac:dyDescent="0.2">
      <c r="A932">
        <v>487</v>
      </c>
      <c r="D932">
        <f t="shared" si="169"/>
        <v>2</v>
      </c>
      <c r="E932">
        <v>16</v>
      </c>
      <c r="F932" s="6" t="s">
        <v>452</v>
      </c>
      <c r="I932" t="s">
        <v>178</v>
      </c>
      <c r="J932">
        <v>18</v>
      </c>
      <c r="K932" t="s">
        <v>489</v>
      </c>
      <c r="L932" t="s">
        <v>7</v>
      </c>
      <c r="M932" t="s">
        <v>208</v>
      </c>
      <c r="N932" t="s">
        <v>55</v>
      </c>
      <c r="Q932">
        <f t="shared" si="171"/>
        <v>18977</v>
      </c>
      <c r="R932" t="str">
        <f t="shared" si="171"/>
        <v>Velodrome</v>
      </c>
      <c r="S932" t="str">
        <f t="shared" si="171"/>
        <v>HollowBrook</v>
      </c>
      <c r="T932" s="20">
        <f t="shared" si="163"/>
        <v>0</v>
      </c>
      <c r="U932">
        <f t="shared" si="164"/>
        <v>996</v>
      </c>
      <c r="V932">
        <f t="shared" si="165"/>
        <v>996</v>
      </c>
      <c r="W932" cm="1">
        <f t="array" ref="W932">_xlfn._xlws.FILTER(shifts!A:A,(shifts!B:B=events!D932)*(shifts!AH:AH&gt;=events!U932)*(shifts!AI:AI&lt;=events!V932))</f>
        <v>34</v>
      </c>
      <c r="X932" t="str">
        <f t="shared" si="162"/>
        <v>opp_team_player_1</v>
      </c>
      <c r="Y932">
        <f>COUNTIFS(A$3:A932,"="&amp;A932,K$3:K932,"="&amp;K932)</f>
        <v>1</v>
      </c>
      <c r="Z932" s="20">
        <f>SUMIFS(T$3:T932,L$3:L932,"=Intermission")+SUMIFS(T$3:T932,L$3:L932,"=Timeout")+SUMIFS(T$3:T932,L$3:L932,"=Clockstop")</f>
        <v>68</v>
      </c>
      <c r="AA932">
        <f t="shared" si="166"/>
        <v>1148</v>
      </c>
      <c r="AB932" s="26">
        <f t="shared" si="167"/>
        <v>236</v>
      </c>
      <c r="AC932">
        <f t="shared" si="168"/>
        <v>1216</v>
      </c>
    </row>
    <row r="933" spans="1:29" x14ac:dyDescent="0.2">
      <c r="A933">
        <v>488</v>
      </c>
      <c r="D933">
        <f t="shared" si="169"/>
        <v>2</v>
      </c>
      <c r="E933">
        <v>16</v>
      </c>
      <c r="F933" s="6" t="s">
        <v>452</v>
      </c>
      <c r="I933" t="s">
        <v>178</v>
      </c>
      <c r="J933">
        <v>42</v>
      </c>
      <c r="K933" t="s">
        <v>488</v>
      </c>
      <c r="L933" t="s">
        <v>10</v>
      </c>
      <c r="M933" t="s">
        <v>190</v>
      </c>
      <c r="N933" t="s">
        <v>78</v>
      </c>
      <c r="Q933">
        <f t="shared" ref="Q933:S948" si="172">Q932</f>
        <v>18977</v>
      </c>
      <c r="R933" t="str">
        <f t="shared" si="172"/>
        <v>Velodrome</v>
      </c>
      <c r="S933" t="str">
        <f t="shared" si="172"/>
        <v>HollowBrook</v>
      </c>
      <c r="T933" s="20">
        <f t="shared" si="163"/>
        <v>0</v>
      </c>
      <c r="U933">
        <f t="shared" si="164"/>
        <v>996</v>
      </c>
      <c r="V933">
        <f t="shared" si="165"/>
        <v>996</v>
      </c>
      <c r="W933" cm="1">
        <f t="array" ref="W933">_xlfn._xlws.FILTER(shifts!A:A,(shifts!B:B=events!D933)*(shifts!AH:AH&gt;=events!U933)*(shifts!AI:AI&lt;=events!V933))</f>
        <v>34</v>
      </c>
      <c r="X933" t="str">
        <f t="shared" si="162"/>
        <v>event_team_player_1</v>
      </c>
      <c r="Y933">
        <f>COUNTIFS(A$3:A933,"="&amp;A933,K$3:K933,"="&amp;K933)</f>
        <v>1</v>
      </c>
      <c r="Z933" s="20">
        <f>SUMIFS(T$3:T933,L$3:L933,"=Intermission")+SUMIFS(T$3:T933,L$3:L933,"=Timeout")+SUMIFS(T$3:T933,L$3:L933,"=Clockstop")</f>
        <v>68</v>
      </c>
      <c r="AA933">
        <f t="shared" si="166"/>
        <v>1148</v>
      </c>
      <c r="AB933" s="26">
        <f t="shared" si="167"/>
        <v>236</v>
      </c>
      <c r="AC933">
        <f t="shared" si="168"/>
        <v>1216</v>
      </c>
    </row>
    <row r="934" spans="1:29" x14ac:dyDescent="0.2">
      <c r="A934">
        <v>488</v>
      </c>
      <c r="D934">
        <f t="shared" si="169"/>
        <v>2</v>
      </c>
      <c r="E934">
        <v>16</v>
      </c>
      <c r="F934" s="6" t="s">
        <v>452</v>
      </c>
      <c r="I934" t="s">
        <v>178</v>
      </c>
      <c r="J934">
        <v>18</v>
      </c>
      <c r="K934" t="s">
        <v>489</v>
      </c>
      <c r="L934" t="s">
        <v>10</v>
      </c>
      <c r="M934" t="s">
        <v>190</v>
      </c>
      <c r="N934" t="s">
        <v>78</v>
      </c>
      <c r="Q934">
        <f t="shared" si="172"/>
        <v>18977</v>
      </c>
      <c r="R934" t="str">
        <f t="shared" si="172"/>
        <v>Velodrome</v>
      </c>
      <c r="S934" t="str">
        <f t="shared" si="172"/>
        <v>HollowBrook</v>
      </c>
      <c r="T934" s="20">
        <f t="shared" si="163"/>
        <v>0</v>
      </c>
      <c r="U934">
        <f t="shared" si="164"/>
        <v>996</v>
      </c>
      <c r="V934">
        <f t="shared" si="165"/>
        <v>996</v>
      </c>
      <c r="W934" cm="1">
        <f t="array" ref="W934">_xlfn._xlws.FILTER(shifts!A:A,(shifts!B:B=events!D934)*(shifts!AH:AH&gt;=events!U934)*(shifts!AI:AI&lt;=events!V934))</f>
        <v>34</v>
      </c>
      <c r="X934" t="str">
        <f t="shared" si="162"/>
        <v>opp_team_player_1</v>
      </c>
      <c r="Y934">
        <f>COUNTIFS(A$3:A934,"="&amp;A934,K$3:K934,"="&amp;K934)</f>
        <v>1</v>
      </c>
      <c r="Z934" s="20">
        <f>SUMIFS(T$3:T934,L$3:L934,"=Intermission")+SUMIFS(T$3:T934,L$3:L934,"=Timeout")+SUMIFS(T$3:T934,L$3:L934,"=Clockstop")</f>
        <v>68</v>
      </c>
      <c r="AA934">
        <f t="shared" si="166"/>
        <v>1148</v>
      </c>
      <c r="AB934" s="26">
        <f t="shared" si="167"/>
        <v>236</v>
      </c>
      <c r="AC934">
        <f t="shared" si="168"/>
        <v>1216</v>
      </c>
    </row>
    <row r="935" spans="1:29" x14ac:dyDescent="0.2">
      <c r="A935">
        <v>489</v>
      </c>
      <c r="D935">
        <f t="shared" si="169"/>
        <v>2</v>
      </c>
      <c r="E935">
        <v>16</v>
      </c>
      <c r="F935" s="6" t="s">
        <v>482</v>
      </c>
      <c r="I935" t="s">
        <v>179</v>
      </c>
      <c r="J935">
        <v>2</v>
      </c>
      <c r="K935" t="s">
        <v>488</v>
      </c>
      <c r="L935" t="s">
        <v>8</v>
      </c>
      <c r="M935" t="s">
        <v>189</v>
      </c>
      <c r="N935" t="s">
        <v>68</v>
      </c>
      <c r="Q935">
        <f t="shared" si="172"/>
        <v>18977</v>
      </c>
      <c r="R935" t="str">
        <f t="shared" si="172"/>
        <v>Velodrome</v>
      </c>
      <c r="S935" t="str">
        <f t="shared" si="172"/>
        <v>HollowBrook</v>
      </c>
      <c r="T935" s="20">
        <f t="shared" si="163"/>
        <v>0</v>
      </c>
      <c r="U935">
        <f t="shared" si="164"/>
        <v>993</v>
      </c>
      <c r="V935">
        <f t="shared" si="165"/>
        <v>993</v>
      </c>
      <c r="W935" cm="1">
        <f t="array" ref="W935">_xlfn._xlws.FILTER(shifts!A:A,(shifts!B:B=events!D935)*(shifts!AH:AH&gt;=events!U935)*(shifts!AI:AI&lt;=events!V935))</f>
        <v>34</v>
      </c>
      <c r="X935" t="str">
        <f t="shared" si="162"/>
        <v>event_team_player_1</v>
      </c>
      <c r="Y935">
        <f>COUNTIFS(A$3:A935,"="&amp;A935,K$3:K935,"="&amp;K935)</f>
        <v>1</v>
      </c>
      <c r="Z935" s="20">
        <f>SUMIFS(T$3:T935,L$3:L935,"=Intermission")+SUMIFS(T$3:T935,L$3:L935,"=Timeout")+SUMIFS(T$3:T935,L$3:L935,"=Clockstop")</f>
        <v>68</v>
      </c>
      <c r="AA935">
        <f t="shared" si="166"/>
        <v>1148</v>
      </c>
      <c r="AB935" s="26">
        <f t="shared" si="167"/>
        <v>242</v>
      </c>
      <c r="AC935">
        <f t="shared" si="168"/>
        <v>1216</v>
      </c>
    </row>
    <row r="936" spans="1:29" x14ac:dyDescent="0.2">
      <c r="A936">
        <v>489</v>
      </c>
      <c r="D936">
        <f t="shared" si="169"/>
        <v>2</v>
      </c>
      <c r="E936">
        <v>16</v>
      </c>
      <c r="F936" s="6" t="s">
        <v>482</v>
      </c>
      <c r="I936" t="s">
        <v>179</v>
      </c>
      <c r="J936">
        <v>13</v>
      </c>
      <c r="K936" t="s">
        <v>488</v>
      </c>
      <c r="L936" t="s">
        <v>8</v>
      </c>
      <c r="M936" t="s">
        <v>189</v>
      </c>
      <c r="N936" t="s">
        <v>68</v>
      </c>
      <c r="Q936">
        <f t="shared" si="172"/>
        <v>18977</v>
      </c>
      <c r="R936" t="str">
        <f t="shared" si="172"/>
        <v>Velodrome</v>
      </c>
      <c r="S936" t="str">
        <f t="shared" si="172"/>
        <v>HollowBrook</v>
      </c>
      <c r="T936" s="20">
        <f t="shared" si="163"/>
        <v>0</v>
      </c>
      <c r="U936">
        <f t="shared" si="164"/>
        <v>993</v>
      </c>
      <c r="V936">
        <f t="shared" si="165"/>
        <v>993</v>
      </c>
      <c r="W936" cm="1">
        <f t="array" ref="W936">_xlfn._xlws.FILTER(shifts!A:A,(shifts!B:B=events!D936)*(shifts!AH:AH&gt;=events!U936)*(shifts!AI:AI&lt;=events!V936))</f>
        <v>34</v>
      </c>
      <c r="X936" t="str">
        <f t="shared" si="162"/>
        <v>event_team_player_2</v>
      </c>
      <c r="Y936">
        <f>COUNTIFS(A$3:A936,"="&amp;A936,K$3:K936,"="&amp;K936)</f>
        <v>2</v>
      </c>
      <c r="Z936" s="20">
        <f>SUMIFS(T$3:T936,L$3:L936,"=Intermission")+SUMIFS(T$3:T936,L$3:L936,"=Timeout")+SUMIFS(T$3:T936,L$3:L936,"=Clockstop")</f>
        <v>68</v>
      </c>
      <c r="AA936">
        <f t="shared" si="166"/>
        <v>1148</v>
      </c>
      <c r="AB936" s="26">
        <f t="shared" si="167"/>
        <v>242</v>
      </c>
      <c r="AC936">
        <f t="shared" si="168"/>
        <v>1216</v>
      </c>
    </row>
    <row r="937" spans="1:29" x14ac:dyDescent="0.2">
      <c r="A937">
        <v>489</v>
      </c>
      <c r="D937">
        <f t="shared" si="169"/>
        <v>2</v>
      </c>
      <c r="E937">
        <v>16</v>
      </c>
      <c r="F937" s="6" t="s">
        <v>482</v>
      </c>
      <c r="I937" t="s">
        <v>179</v>
      </c>
      <c r="J937">
        <v>61</v>
      </c>
      <c r="K937" t="s">
        <v>489</v>
      </c>
      <c r="L937" t="s">
        <v>8</v>
      </c>
      <c r="M937" t="s">
        <v>189</v>
      </c>
      <c r="N937" t="s">
        <v>68</v>
      </c>
      <c r="Q937">
        <f t="shared" si="172"/>
        <v>18977</v>
      </c>
      <c r="R937" t="str">
        <f t="shared" si="172"/>
        <v>Velodrome</v>
      </c>
      <c r="S937" t="str">
        <f t="shared" si="172"/>
        <v>HollowBrook</v>
      </c>
      <c r="T937" s="20">
        <f t="shared" si="163"/>
        <v>0</v>
      </c>
      <c r="U937">
        <f t="shared" si="164"/>
        <v>993</v>
      </c>
      <c r="V937">
        <f t="shared" si="165"/>
        <v>993</v>
      </c>
      <c r="W937" cm="1">
        <f t="array" ref="W937">_xlfn._xlws.FILTER(shifts!A:A,(shifts!B:B=events!D937)*(shifts!AH:AH&gt;=events!U937)*(shifts!AI:AI&lt;=events!V937))</f>
        <v>34</v>
      </c>
      <c r="X937" t="str">
        <f t="shared" si="162"/>
        <v>opp_team_player_1</v>
      </c>
      <c r="Y937">
        <f>COUNTIFS(A$3:A937,"="&amp;A937,K$3:K937,"="&amp;K937)</f>
        <v>1</v>
      </c>
      <c r="Z937" s="20">
        <f>SUMIFS(T$3:T937,L$3:L937,"=Intermission")+SUMIFS(T$3:T937,L$3:L937,"=Timeout")+SUMIFS(T$3:T937,L$3:L937,"=Clockstop")</f>
        <v>68</v>
      </c>
      <c r="AA937">
        <f t="shared" si="166"/>
        <v>1148</v>
      </c>
      <c r="AB937" s="26">
        <f t="shared" si="167"/>
        <v>242</v>
      </c>
      <c r="AC937">
        <f t="shared" si="168"/>
        <v>1216</v>
      </c>
    </row>
    <row r="938" spans="1:29" x14ac:dyDescent="0.2">
      <c r="A938">
        <v>490</v>
      </c>
      <c r="D938">
        <f t="shared" si="169"/>
        <v>2</v>
      </c>
      <c r="E938">
        <v>16</v>
      </c>
      <c r="F938" s="6" t="s">
        <v>472</v>
      </c>
      <c r="I938" t="s">
        <v>179</v>
      </c>
      <c r="J938">
        <v>13</v>
      </c>
      <c r="K938" t="s">
        <v>488</v>
      </c>
      <c r="L938" t="s">
        <v>277</v>
      </c>
      <c r="M938" t="s">
        <v>201</v>
      </c>
      <c r="N938" t="s">
        <v>499</v>
      </c>
      <c r="Q938">
        <f t="shared" si="172"/>
        <v>18977</v>
      </c>
      <c r="R938" t="str">
        <f t="shared" si="172"/>
        <v>Velodrome</v>
      </c>
      <c r="S938" t="str">
        <f t="shared" si="172"/>
        <v>HollowBrook</v>
      </c>
      <c r="T938" s="20">
        <f t="shared" si="163"/>
        <v>0</v>
      </c>
      <c r="U938">
        <f t="shared" si="164"/>
        <v>990</v>
      </c>
      <c r="V938">
        <f t="shared" si="165"/>
        <v>990</v>
      </c>
      <c r="W938" cm="1">
        <f t="array" ref="W938">_xlfn._xlws.FILTER(shifts!A:A,(shifts!B:B=events!D938)*(shifts!AH:AH&gt;=events!U938)*(shifts!AI:AI&lt;=events!V938))</f>
        <v>34</v>
      </c>
      <c r="X938" t="str">
        <f t="shared" si="162"/>
        <v>event_team_player_1</v>
      </c>
      <c r="Y938">
        <f>COUNTIFS(A$3:A938,"="&amp;A938,K$3:K938,"="&amp;K938)</f>
        <v>1</v>
      </c>
      <c r="Z938" s="20">
        <f>SUMIFS(T$3:T938,L$3:L938,"=Intermission")+SUMIFS(T$3:T938,L$3:L938,"=Timeout")+SUMIFS(T$3:T938,L$3:L938,"=Clockstop")</f>
        <v>68</v>
      </c>
      <c r="AA938">
        <f t="shared" si="166"/>
        <v>1148</v>
      </c>
      <c r="AB938" s="26">
        <f t="shared" si="167"/>
        <v>248</v>
      </c>
      <c r="AC938">
        <f t="shared" si="168"/>
        <v>1216</v>
      </c>
    </row>
    <row r="939" spans="1:29" x14ac:dyDescent="0.2">
      <c r="A939">
        <v>490</v>
      </c>
      <c r="D939">
        <f t="shared" si="169"/>
        <v>2</v>
      </c>
      <c r="E939">
        <v>16</v>
      </c>
      <c r="F939" s="6" t="s">
        <v>472</v>
      </c>
      <c r="I939" t="s">
        <v>179</v>
      </c>
      <c r="J939">
        <v>70</v>
      </c>
      <c r="K939" t="s">
        <v>489</v>
      </c>
      <c r="L939" t="s">
        <v>277</v>
      </c>
      <c r="M939" t="s">
        <v>201</v>
      </c>
      <c r="N939" t="s">
        <v>499</v>
      </c>
      <c r="Q939">
        <f t="shared" si="172"/>
        <v>18977</v>
      </c>
      <c r="R939" t="str">
        <f t="shared" si="172"/>
        <v>Velodrome</v>
      </c>
      <c r="S939" t="str">
        <f t="shared" si="172"/>
        <v>HollowBrook</v>
      </c>
      <c r="T939" s="20">
        <f t="shared" si="163"/>
        <v>0</v>
      </c>
      <c r="U939">
        <f t="shared" si="164"/>
        <v>990</v>
      </c>
      <c r="V939">
        <f t="shared" si="165"/>
        <v>990</v>
      </c>
      <c r="W939" cm="1">
        <f t="array" ref="W939">_xlfn._xlws.FILTER(shifts!A:A,(shifts!B:B=events!D939)*(shifts!AH:AH&gt;=events!U939)*(shifts!AI:AI&lt;=events!V939))</f>
        <v>34</v>
      </c>
      <c r="X939" t="str">
        <f t="shared" si="162"/>
        <v>opp_team_player_1</v>
      </c>
      <c r="Y939">
        <f>COUNTIFS(A$3:A939,"="&amp;A939,K$3:K939,"="&amp;K939)</f>
        <v>1</v>
      </c>
      <c r="Z939" s="20">
        <f>SUMIFS(T$3:T939,L$3:L939,"=Intermission")+SUMIFS(T$3:T939,L$3:L939,"=Timeout")+SUMIFS(T$3:T939,L$3:L939,"=Clockstop")</f>
        <v>68</v>
      </c>
      <c r="AA939">
        <f t="shared" si="166"/>
        <v>1148</v>
      </c>
      <c r="AB939" s="26">
        <f t="shared" si="167"/>
        <v>248</v>
      </c>
      <c r="AC939">
        <f t="shared" si="168"/>
        <v>1216</v>
      </c>
    </row>
    <row r="940" spans="1:29" x14ac:dyDescent="0.2">
      <c r="A940">
        <v>491</v>
      </c>
      <c r="D940">
        <f t="shared" si="169"/>
        <v>2</v>
      </c>
      <c r="E940">
        <v>16</v>
      </c>
      <c r="F940" s="6" t="s">
        <v>440</v>
      </c>
      <c r="G940">
        <v>16</v>
      </c>
      <c r="H940" s="8" t="s">
        <v>443</v>
      </c>
      <c r="I940" t="s">
        <v>179</v>
      </c>
      <c r="J940">
        <v>13</v>
      </c>
      <c r="K940" t="s">
        <v>488</v>
      </c>
      <c r="L940" t="s">
        <v>15</v>
      </c>
      <c r="Q940">
        <f t="shared" si="172"/>
        <v>18977</v>
      </c>
      <c r="R940" t="str">
        <f t="shared" si="172"/>
        <v>Velodrome</v>
      </c>
      <c r="S940" t="str">
        <f t="shared" si="172"/>
        <v>HollowBrook</v>
      </c>
      <c r="T940" s="20">
        <f t="shared" si="163"/>
        <v>2</v>
      </c>
      <c r="U940">
        <f t="shared" si="164"/>
        <v>988</v>
      </c>
      <c r="V940">
        <f t="shared" si="165"/>
        <v>986</v>
      </c>
      <c r="W940" cm="1">
        <f t="array" ref="W940">_xlfn._xlws.FILTER(shifts!A:A,(shifts!B:B=events!D940)*(shifts!AH:AH&gt;=events!U940)*(shifts!AI:AI&lt;=events!V940))</f>
        <v>34</v>
      </c>
      <c r="X940" t="str">
        <f t="shared" si="162"/>
        <v>event_team_player_1</v>
      </c>
      <c r="Y940">
        <f>COUNTIFS(A$3:A940,"="&amp;A940,K$3:K940,"="&amp;K940)</f>
        <v>1</v>
      </c>
      <c r="Z940" s="20">
        <f>SUMIFS(T$3:T940,L$3:L940,"=Intermission")+SUMIFS(T$3:T940,L$3:L940,"=Timeout")+SUMIFS(T$3:T940,L$3:L940,"=Clockstop")</f>
        <v>68</v>
      </c>
      <c r="AA940">
        <f t="shared" si="166"/>
        <v>1148</v>
      </c>
      <c r="AB940" s="26">
        <f t="shared" si="167"/>
        <v>252</v>
      </c>
      <c r="AC940">
        <f t="shared" si="168"/>
        <v>1216</v>
      </c>
    </row>
    <row r="941" spans="1:29" x14ac:dyDescent="0.2">
      <c r="A941">
        <v>492</v>
      </c>
      <c r="D941">
        <f t="shared" si="169"/>
        <v>2</v>
      </c>
      <c r="E941">
        <v>16</v>
      </c>
      <c r="F941" s="6" t="s">
        <v>443</v>
      </c>
      <c r="G941">
        <v>16</v>
      </c>
      <c r="H941" s="8" t="s">
        <v>456</v>
      </c>
      <c r="I941" t="s">
        <v>179</v>
      </c>
      <c r="J941">
        <v>13</v>
      </c>
      <c r="K941" t="s">
        <v>488</v>
      </c>
      <c r="L941" t="s">
        <v>277</v>
      </c>
      <c r="M941" t="s">
        <v>191</v>
      </c>
      <c r="N941" t="s">
        <v>87</v>
      </c>
      <c r="Q941">
        <f t="shared" si="172"/>
        <v>18977</v>
      </c>
      <c r="R941" t="str">
        <f t="shared" si="172"/>
        <v>Velodrome</v>
      </c>
      <c r="S941" t="str">
        <f t="shared" si="172"/>
        <v>HollowBrook</v>
      </c>
      <c r="T941" s="20">
        <f t="shared" si="163"/>
        <v>3</v>
      </c>
      <c r="U941">
        <f t="shared" si="164"/>
        <v>986</v>
      </c>
      <c r="V941">
        <f t="shared" si="165"/>
        <v>983</v>
      </c>
      <c r="W941" cm="1">
        <f t="array" ref="W941">_xlfn._xlws.FILTER(shifts!A:A,(shifts!B:B=events!D941)*(shifts!AH:AH&gt;=events!U941)*(shifts!AI:AI&lt;=events!V941))</f>
        <v>34</v>
      </c>
      <c r="X941" t="str">
        <f t="shared" si="162"/>
        <v>event_team_player_1</v>
      </c>
      <c r="Y941">
        <f>COUNTIFS(A$3:A941,"="&amp;A941,K$3:K941,"="&amp;K941)</f>
        <v>1</v>
      </c>
      <c r="Z941" s="20">
        <f>SUMIFS(T$3:T941,L$3:L941,"=Intermission")+SUMIFS(T$3:T941,L$3:L941,"=Timeout")+SUMIFS(T$3:T941,L$3:L941,"=Clockstop")</f>
        <v>68</v>
      </c>
      <c r="AA941">
        <f t="shared" si="166"/>
        <v>1148</v>
      </c>
      <c r="AB941" s="26">
        <f t="shared" si="167"/>
        <v>256</v>
      </c>
      <c r="AC941">
        <f t="shared" si="168"/>
        <v>1216</v>
      </c>
    </row>
    <row r="942" spans="1:29" x14ac:dyDescent="0.2">
      <c r="A942">
        <v>492</v>
      </c>
      <c r="D942">
        <f t="shared" si="169"/>
        <v>2</v>
      </c>
      <c r="E942">
        <v>16</v>
      </c>
      <c r="F942" s="6" t="s">
        <v>443</v>
      </c>
      <c r="G942">
        <v>16</v>
      </c>
      <c r="H942" s="8" t="s">
        <v>456</v>
      </c>
      <c r="I942" t="s">
        <v>179</v>
      </c>
      <c r="J942">
        <v>84</v>
      </c>
      <c r="K942" t="s">
        <v>489</v>
      </c>
      <c r="L942" t="s">
        <v>277</v>
      </c>
      <c r="M942" t="s">
        <v>191</v>
      </c>
      <c r="N942" t="s">
        <v>87</v>
      </c>
      <c r="Q942">
        <f t="shared" si="172"/>
        <v>18977</v>
      </c>
      <c r="R942" t="str">
        <f t="shared" si="172"/>
        <v>Velodrome</v>
      </c>
      <c r="S942" t="str">
        <f t="shared" si="172"/>
        <v>HollowBrook</v>
      </c>
      <c r="T942" s="20">
        <f t="shared" si="163"/>
        <v>3</v>
      </c>
      <c r="U942">
        <f t="shared" si="164"/>
        <v>986</v>
      </c>
      <c r="V942">
        <f t="shared" si="165"/>
        <v>983</v>
      </c>
      <c r="W942" cm="1">
        <f t="array" ref="W942">_xlfn._xlws.FILTER(shifts!A:A,(shifts!B:B=events!D942)*(shifts!AH:AH&gt;=events!U942)*(shifts!AI:AI&lt;=events!V942))</f>
        <v>34</v>
      </c>
      <c r="X942" t="str">
        <f t="shared" si="162"/>
        <v>opp_team_player_1</v>
      </c>
      <c r="Y942">
        <f>COUNTIFS(A$3:A942,"="&amp;A942,K$3:K942,"="&amp;K942)</f>
        <v>1</v>
      </c>
      <c r="Z942" s="20">
        <f>SUMIFS(T$3:T942,L$3:L942,"=Intermission")+SUMIFS(T$3:T942,L$3:L942,"=Timeout")+SUMIFS(T$3:T942,L$3:L942,"=Clockstop")</f>
        <v>68</v>
      </c>
      <c r="AA942">
        <f t="shared" si="166"/>
        <v>1148</v>
      </c>
      <c r="AB942" s="26">
        <f t="shared" si="167"/>
        <v>256</v>
      </c>
      <c r="AC942">
        <f t="shared" si="168"/>
        <v>1216</v>
      </c>
    </row>
    <row r="943" spans="1:29" x14ac:dyDescent="0.2">
      <c r="A943">
        <v>493</v>
      </c>
      <c r="D943">
        <f t="shared" si="169"/>
        <v>2</v>
      </c>
      <c r="E943">
        <v>16</v>
      </c>
      <c r="F943" s="6" t="s">
        <v>456</v>
      </c>
      <c r="I943" t="s">
        <v>179</v>
      </c>
      <c r="J943">
        <v>13</v>
      </c>
      <c r="K943" t="s">
        <v>488</v>
      </c>
      <c r="L943" t="s">
        <v>7</v>
      </c>
      <c r="M943" t="s">
        <v>222</v>
      </c>
      <c r="N943" t="s">
        <v>61</v>
      </c>
      <c r="Q943">
        <f t="shared" si="172"/>
        <v>18977</v>
      </c>
      <c r="R943" t="str">
        <f t="shared" si="172"/>
        <v>Velodrome</v>
      </c>
      <c r="S943" t="str">
        <f t="shared" si="172"/>
        <v>HollowBrook</v>
      </c>
      <c r="T943" s="20">
        <f t="shared" si="163"/>
        <v>0</v>
      </c>
      <c r="U943">
        <f t="shared" si="164"/>
        <v>983</v>
      </c>
      <c r="V943">
        <f t="shared" si="165"/>
        <v>983</v>
      </c>
      <c r="W943" cm="1">
        <f t="array" ref="W943">_xlfn._xlws.FILTER(shifts!A:A,(shifts!B:B=events!D943)*(shifts!AH:AH&gt;=events!U943)*(shifts!AI:AI&lt;=events!V943))</f>
        <v>34</v>
      </c>
      <c r="X943" t="str">
        <f t="shared" si="162"/>
        <v>event_team_player_1</v>
      </c>
      <c r="Y943">
        <f>COUNTIFS(A$3:A943,"="&amp;A943,K$3:K943,"="&amp;K943)</f>
        <v>1</v>
      </c>
      <c r="Z943" s="20">
        <f>SUMIFS(T$3:T943,L$3:L943,"=Intermission")+SUMIFS(T$3:T943,L$3:L943,"=Timeout")+SUMIFS(T$3:T943,L$3:L943,"=Clockstop")</f>
        <v>68</v>
      </c>
      <c r="AA943">
        <f t="shared" si="166"/>
        <v>1148</v>
      </c>
      <c r="AB943" s="26">
        <f t="shared" si="167"/>
        <v>262</v>
      </c>
      <c r="AC943">
        <f t="shared" si="168"/>
        <v>1216</v>
      </c>
    </row>
    <row r="944" spans="1:29" x14ac:dyDescent="0.2">
      <c r="A944">
        <v>493</v>
      </c>
      <c r="D944">
        <f t="shared" si="169"/>
        <v>2</v>
      </c>
      <c r="E944">
        <v>16</v>
      </c>
      <c r="F944" s="6" t="s">
        <v>456</v>
      </c>
      <c r="I944" t="s">
        <v>179</v>
      </c>
      <c r="J944">
        <v>39</v>
      </c>
      <c r="K944" t="s">
        <v>489</v>
      </c>
      <c r="L944" t="s">
        <v>7</v>
      </c>
      <c r="M944" t="s">
        <v>222</v>
      </c>
      <c r="N944" t="s">
        <v>61</v>
      </c>
      <c r="Q944">
        <f t="shared" si="172"/>
        <v>18977</v>
      </c>
      <c r="R944" t="str">
        <f t="shared" si="172"/>
        <v>Velodrome</v>
      </c>
      <c r="S944" t="str">
        <f t="shared" si="172"/>
        <v>HollowBrook</v>
      </c>
      <c r="T944" s="20">
        <f t="shared" si="163"/>
        <v>0</v>
      </c>
      <c r="U944">
        <f t="shared" si="164"/>
        <v>983</v>
      </c>
      <c r="V944">
        <f t="shared" si="165"/>
        <v>983</v>
      </c>
      <c r="W944" cm="1">
        <f t="array" ref="W944">_xlfn._xlws.FILTER(shifts!A:A,(shifts!B:B=events!D944)*(shifts!AH:AH&gt;=events!U944)*(shifts!AI:AI&lt;=events!V944))</f>
        <v>34</v>
      </c>
      <c r="X944" t="str">
        <f t="shared" si="162"/>
        <v>opp_team_player_1</v>
      </c>
      <c r="Y944">
        <f>COUNTIFS(A$3:A944,"="&amp;A944,K$3:K944,"="&amp;K944)</f>
        <v>1</v>
      </c>
      <c r="Z944" s="20">
        <f>SUMIFS(T$3:T944,L$3:L944,"=Intermission")+SUMIFS(T$3:T944,L$3:L944,"=Timeout")+SUMIFS(T$3:T944,L$3:L944,"=Clockstop")</f>
        <v>68</v>
      </c>
      <c r="AA944">
        <f t="shared" si="166"/>
        <v>1148</v>
      </c>
      <c r="AB944" s="26">
        <f t="shared" si="167"/>
        <v>262</v>
      </c>
      <c r="AC944">
        <f t="shared" si="168"/>
        <v>1216</v>
      </c>
    </row>
    <row r="945" spans="1:29" x14ac:dyDescent="0.2">
      <c r="A945">
        <v>493</v>
      </c>
      <c r="D945">
        <f t="shared" si="169"/>
        <v>2</v>
      </c>
      <c r="E945">
        <v>16</v>
      </c>
      <c r="F945" s="6" t="s">
        <v>456</v>
      </c>
      <c r="I945" t="s">
        <v>179</v>
      </c>
      <c r="J945">
        <v>84</v>
      </c>
      <c r="K945" t="s">
        <v>489</v>
      </c>
      <c r="L945" t="s">
        <v>7</v>
      </c>
      <c r="M945" t="s">
        <v>222</v>
      </c>
      <c r="N945" t="s">
        <v>61</v>
      </c>
      <c r="Q945">
        <f t="shared" si="172"/>
        <v>18977</v>
      </c>
      <c r="R945" t="str">
        <f t="shared" si="172"/>
        <v>Velodrome</v>
      </c>
      <c r="S945" t="str">
        <f t="shared" si="172"/>
        <v>HollowBrook</v>
      </c>
      <c r="T945" s="20">
        <f t="shared" si="163"/>
        <v>0</v>
      </c>
      <c r="U945">
        <f t="shared" si="164"/>
        <v>983</v>
      </c>
      <c r="V945">
        <f t="shared" si="165"/>
        <v>983</v>
      </c>
      <c r="W945" cm="1">
        <f t="array" ref="W945">_xlfn._xlws.FILTER(shifts!A:A,(shifts!B:B=events!D945)*(shifts!AH:AH&gt;=events!U945)*(shifts!AI:AI&lt;=events!V945))</f>
        <v>34</v>
      </c>
      <c r="X945" t="str">
        <f t="shared" si="162"/>
        <v>opp_team_player_2</v>
      </c>
      <c r="Y945">
        <f>COUNTIFS(A$3:A945,"="&amp;A945,K$3:K945,"="&amp;K945)</f>
        <v>2</v>
      </c>
      <c r="Z945" s="20">
        <f>SUMIFS(T$3:T945,L$3:L945,"=Intermission")+SUMIFS(T$3:T945,L$3:L945,"=Timeout")+SUMIFS(T$3:T945,L$3:L945,"=Clockstop")</f>
        <v>68</v>
      </c>
      <c r="AA945">
        <f t="shared" si="166"/>
        <v>1148</v>
      </c>
      <c r="AB945" s="26">
        <f t="shared" si="167"/>
        <v>262</v>
      </c>
      <c r="AC945">
        <f t="shared" si="168"/>
        <v>1216</v>
      </c>
    </row>
    <row r="946" spans="1:29" x14ac:dyDescent="0.2">
      <c r="A946">
        <v>493</v>
      </c>
      <c r="D946">
        <f t="shared" si="169"/>
        <v>2</v>
      </c>
      <c r="E946">
        <v>16</v>
      </c>
      <c r="F946" s="6" t="s">
        <v>456</v>
      </c>
      <c r="I946" t="s">
        <v>179</v>
      </c>
      <c r="J946">
        <v>61</v>
      </c>
      <c r="K946" t="s">
        <v>489</v>
      </c>
      <c r="L946" t="s">
        <v>7</v>
      </c>
      <c r="M946" t="s">
        <v>222</v>
      </c>
      <c r="N946" t="s">
        <v>61</v>
      </c>
      <c r="Q946">
        <f t="shared" si="172"/>
        <v>18977</v>
      </c>
      <c r="R946" t="str">
        <f t="shared" si="172"/>
        <v>Velodrome</v>
      </c>
      <c r="S946" t="str">
        <f t="shared" si="172"/>
        <v>HollowBrook</v>
      </c>
      <c r="T946" s="20">
        <f t="shared" si="163"/>
        <v>0</v>
      </c>
      <c r="U946">
        <f t="shared" si="164"/>
        <v>983</v>
      </c>
      <c r="V946">
        <f t="shared" si="165"/>
        <v>983</v>
      </c>
      <c r="W946" cm="1">
        <f t="array" ref="W946">_xlfn._xlws.FILTER(shifts!A:A,(shifts!B:B=events!D946)*(shifts!AH:AH&gt;=events!U946)*(shifts!AI:AI&lt;=events!V946))</f>
        <v>34</v>
      </c>
      <c r="X946" t="str">
        <f t="shared" si="162"/>
        <v>opp_team_player_3</v>
      </c>
      <c r="Y946">
        <f>COUNTIFS(A$3:A946,"="&amp;A946,K$3:K946,"="&amp;K946)</f>
        <v>3</v>
      </c>
      <c r="Z946" s="20">
        <f>SUMIFS(T$3:T946,L$3:L946,"=Intermission")+SUMIFS(T$3:T946,L$3:L946,"=Timeout")+SUMIFS(T$3:T946,L$3:L946,"=Clockstop")</f>
        <v>68</v>
      </c>
      <c r="AA946">
        <f t="shared" si="166"/>
        <v>1148</v>
      </c>
      <c r="AB946" s="26">
        <f t="shared" si="167"/>
        <v>262</v>
      </c>
      <c r="AC946">
        <f t="shared" si="168"/>
        <v>1216</v>
      </c>
    </row>
    <row r="947" spans="1:29" x14ac:dyDescent="0.2">
      <c r="A947">
        <v>494</v>
      </c>
      <c r="D947">
        <f t="shared" si="169"/>
        <v>2</v>
      </c>
      <c r="E947">
        <v>16</v>
      </c>
      <c r="F947" s="6" t="s">
        <v>456</v>
      </c>
      <c r="I947" t="s">
        <v>178</v>
      </c>
      <c r="J947">
        <v>39</v>
      </c>
      <c r="K947" t="s">
        <v>488</v>
      </c>
      <c r="L947" t="s">
        <v>17</v>
      </c>
      <c r="M947" t="s">
        <v>196</v>
      </c>
      <c r="N947" t="s">
        <v>102</v>
      </c>
      <c r="Q947">
        <f t="shared" si="172"/>
        <v>18977</v>
      </c>
      <c r="R947" t="str">
        <f t="shared" si="172"/>
        <v>Velodrome</v>
      </c>
      <c r="S947" t="str">
        <f t="shared" si="172"/>
        <v>HollowBrook</v>
      </c>
      <c r="T947" s="20">
        <f t="shared" si="163"/>
        <v>0</v>
      </c>
      <c r="U947">
        <f t="shared" si="164"/>
        <v>983</v>
      </c>
      <c r="V947">
        <f t="shared" si="165"/>
        <v>983</v>
      </c>
      <c r="W947" cm="1">
        <f t="array" ref="W947">_xlfn._xlws.FILTER(shifts!A:A,(shifts!B:B=events!D947)*(shifts!AH:AH&gt;=events!U947)*(shifts!AI:AI&lt;=events!V947))</f>
        <v>34</v>
      </c>
      <c r="X947" t="str">
        <f t="shared" si="162"/>
        <v>event_team_player_1</v>
      </c>
      <c r="Y947">
        <f>COUNTIFS(A$3:A947,"="&amp;A947,K$3:K947,"="&amp;K947)</f>
        <v>1</v>
      </c>
      <c r="Z947" s="20">
        <f>SUMIFS(T$3:T947,L$3:L947,"=Intermission")+SUMIFS(T$3:T947,L$3:L947,"=Timeout")+SUMIFS(T$3:T947,L$3:L947,"=Clockstop")</f>
        <v>68</v>
      </c>
      <c r="AA947">
        <f t="shared" si="166"/>
        <v>1148</v>
      </c>
      <c r="AB947" s="26">
        <f t="shared" si="167"/>
        <v>262</v>
      </c>
      <c r="AC947">
        <f t="shared" si="168"/>
        <v>1216</v>
      </c>
    </row>
    <row r="948" spans="1:29" x14ac:dyDescent="0.2">
      <c r="A948">
        <v>494</v>
      </c>
      <c r="D948">
        <f t="shared" si="169"/>
        <v>2</v>
      </c>
      <c r="E948">
        <v>16</v>
      </c>
      <c r="F948" s="6" t="s">
        <v>456</v>
      </c>
      <c r="I948" t="s">
        <v>178</v>
      </c>
      <c r="J948">
        <v>84</v>
      </c>
      <c r="K948" t="s">
        <v>488</v>
      </c>
      <c r="L948" t="s">
        <v>17</v>
      </c>
      <c r="M948" t="s">
        <v>196</v>
      </c>
      <c r="N948" t="s">
        <v>102</v>
      </c>
      <c r="Q948">
        <f t="shared" si="172"/>
        <v>18977</v>
      </c>
      <c r="R948" t="str">
        <f t="shared" si="172"/>
        <v>Velodrome</v>
      </c>
      <c r="S948" t="str">
        <f t="shared" si="172"/>
        <v>HollowBrook</v>
      </c>
      <c r="T948" s="20">
        <f t="shared" si="163"/>
        <v>0</v>
      </c>
      <c r="U948">
        <f t="shared" si="164"/>
        <v>983</v>
      </c>
      <c r="V948">
        <f t="shared" si="165"/>
        <v>983</v>
      </c>
      <c r="W948" cm="1">
        <f t="array" ref="W948">_xlfn._xlws.FILTER(shifts!A:A,(shifts!B:B=events!D948)*(shifts!AH:AH&gt;=events!U948)*(shifts!AI:AI&lt;=events!V948))</f>
        <v>34</v>
      </c>
      <c r="X948" t="str">
        <f t="shared" si="162"/>
        <v>event_team_player_2</v>
      </c>
      <c r="Y948">
        <f>COUNTIFS(A$3:A948,"="&amp;A948,K$3:K948,"="&amp;K948)</f>
        <v>2</v>
      </c>
      <c r="Z948" s="20">
        <f>SUMIFS(T$3:T948,L$3:L948,"=Intermission")+SUMIFS(T$3:T948,L$3:L948,"=Timeout")+SUMIFS(T$3:T948,L$3:L948,"=Clockstop")</f>
        <v>68</v>
      </c>
      <c r="AA948">
        <f t="shared" si="166"/>
        <v>1148</v>
      </c>
      <c r="AB948" s="26">
        <f t="shared" si="167"/>
        <v>262</v>
      </c>
      <c r="AC948">
        <f t="shared" si="168"/>
        <v>1216</v>
      </c>
    </row>
    <row r="949" spans="1:29" x14ac:dyDescent="0.2">
      <c r="A949">
        <v>494</v>
      </c>
      <c r="D949">
        <f t="shared" si="169"/>
        <v>2</v>
      </c>
      <c r="E949">
        <v>16</v>
      </c>
      <c r="F949" s="6" t="s">
        <v>456</v>
      </c>
      <c r="I949" t="s">
        <v>178</v>
      </c>
      <c r="J949">
        <v>61</v>
      </c>
      <c r="K949" t="s">
        <v>488</v>
      </c>
      <c r="L949" t="s">
        <v>17</v>
      </c>
      <c r="M949" t="s">
        <v>196</v>
      </c>
      <c r="N949" t="s">
        <v>102</v>
      </c>
      <c r="Q949">
        <f t="shared" ref="Q949:S964" si="173">Q948</f>
        <v>18977</v>
      </c>
      <c r="R949" t="str">
        <f t="shared" si="173"/>
        <v>Velodrome</v>
      </c>
      <c r="S949" t="str">
        <f t="shared" si="173"/>
        <v>HollowBrook</v>
      </c>
      <c r="T949" s="20">
        <f t="shared" si="163"/>
        <v>0</v>
      </c>
      <c r="U949">
        <f t="shared" si="164"/>
        <v>983</v>
      </c>
      <c r="V949">
        <f t="shared" si="165"/>
        <v>983</v>
      </c>
      <c r="W949" cm="1">
        <f t="array" ref="W949">_xlfn._xlws.FILTER(shifts!A:A,(shifts!B:B=events!D949)*(shifts!AH:AH&gt;=events!U949)*(shifts!AI:AI&lt;=events!V949))</f>
        <v>34</v>
      </c>
      <c r="X949" t="str">
        <f t="shared" ref="X949:X1012" si="174">IF(K949="e","event_team_player_"&amp;Y949,IF(K949="o","opp_team_player_"&amp;Y949,""))</f>
        <v>event_team_player_3</v>
      </c>
      <c r="Y949">
        <f>COUNTIFS(A$3:A949,"="&amp;A949,K$3:K949,"="&amp;K949)</f>
        <v>3</v>
      </c>
      <c r="Z949" s="20">
        <f>SUMIFS(T$3:T949,L$3:L949,"=Intermission")+SUMIFS(T$3:T949,L$3:L949,"=Timeout")+SUMIFS(T$3:T949,L$3:L949,"=Clockstop")</f>
        <v>68</v>
      </c>
      <c r="AA949">
        <f t="shared" si="166"/>
        <v>1148</v>
      </c>
      <c r="AB949" s="26">
        <f t="shared" si="167"/>
        <v>262</v>
      </c>
      <c r="AC949">
        <f t="shared" si="168"/>
        <v>1216</v>
      </c>
    </row>
    <row r="950" spans="1:29" x14ac:dyDescent="0.2">
      <c r="A950">
        <v>494</v>
      </c>
      <c r="D950">
        <f t="shared" si="169"/>
        <v>2</v>
      </c>
      <c r="E950">
        <v>16</v>
      </c>
      <c r="F950" s="6" t="s">
        <v>456</v>
      </c>
      <c r="I950" t="s">
        <v>178</v>
      </c>
      <c r="J950">
        <v>13</v>
      </c>
      <c r="K950" t="s">
        <v>489</v>
      </c>
      <c r="L950" t="s">
        <v>17</v>
      </c>
      <c r="M950" t="s">
        <v>196</v>
      </c>
      <c r="N950" t="s">
        <v>102</v>
      </c>
      <c r="Q950">
        <f t="shared" si="173"/>
        <v>18977</v>
      </c>
      <c r="R950" t="str">
        <f t="shared" si="173"/>
        <v>Velodrome</v>
      </c>
      <c r="S950" t="str">
        <f t="shared" si="173"/>
        <v>HollowBrook</v>
      </c>
      <c r="T950" s="20">
        <f t="shared" si="163"/>
        <v>0</v>
      </c>
      <c r="U950">
        <f t="shared" si="164"/>
        <v>983</v>
      </c>
      <c r="V950">
        <f t="shared" si="165"/>
        <v>983</v>
      </c>
      <c r="W950" cm="1">
        <f t="array" ref="W950">_xlfn._xlws.FILTER(shifts!A:A,(shifts!B:B=events!D950)*(shifts!AH:AH&gt;=events!U950)*(shifts!AI:AI&lt;=events!V950))</f>
        <v>34</v>
      </c>
      <c r="X950" t="str">
        <f t="shared" si="174"/>
        <v>opp_team_player_1</v>
      </c>
      <c r="Y950">
        <f>COUNTIFS(A$3:A950,"="&amp;A950,K$3:K950,"="&amp;K950)</f>
        <v>1</v>
      </c>
      <c r="Z950" s="20">
        <f>SUMIFS(T$3:T950,L$3:L950,"=Intermission")+SUMIFS(T$3:T950,L$3:L950,"=Timeout")+SUMIFS(T$3:T950,L$3:L950,"=Clockstop")</f>
        <v>68</v>
      </c>
      <c r="AA950">
        <f t="shared" si="166"/>
        <v>1148</v>
      </c>
      <c r="AB950" s="26">
        <f t="shared" si="167"/>
        <v>262</v>
      </c>
      <c r="AC950">
        <f t="shared" si="168"/>
        <v>1216</v>
      </c>
    </row>
    <row r="951" spans="1:29" x14ac:dyDescent="0.2">
      <c r="A951">
        <v>495</v>
      </c>
      <c r="D951">
        <f t="shared" si="169"/>
        <v>2</v>
      </c>
      <c r="E951">
        <v>16</v>
      </c>
      <c r="F951" s="6" t="s">
        <v>456</v>
      </c>
      <c r="I951" t="s">
        <v>178</v>
      </c>
      <c r="J951">
        <v>39</v>
      </c>
      <c r="K951" t="s">
        <v>488</v>
      </c>
      <c r="L951" t="s">
        <v>270</v>
      </c>
      <c r="M951" t="s">
        <v>272</v>
      </c>
      <c r="Q951">
        <f t="shared" si="173"/>
        <v>18977</v>
      </c>
      <c r="R951" t="str">
        <f t="shared" si="173"/>
        <v>Velodrome</v>
      </c>
      <c r="S951" t="str">
        <f t="shared" si="173"/>
        <v>HollowBrook</v>
      </c>
      <c r="T951" s="20">
        <f t="shared" si="163"/>
        <v>0</v>
      </c>
      <c r="U951">
        <f t="shared" si="164"/>
        <v>983</v>
      </c>
      <c r="V951">
        <f t="shared" si="165"/>
        <v>983</v>
      </c>
      <c r="W951" cm="1">
        <f t="array" ref="W951">_xlfn._xlws.FILTER(shifts!A:A,(shifts!B:B=events!D951)*(shifts!AH:AH&gt;=events!U951)*(shifts!AI:AI&lt;=events!V951))</f>
        <v>34</v>
      </c>
      <c r="X951" t="str">
        <f t="shared" si="174"/>
        <v>event_team_player_1</v>
      </c>
      <c r="Y951">
        <f>COUNTIFS(A$3:A951,"="&amp;A951,K$3:K951,"="&amp;K951)</f>
        <v>1</v>
      </c>
      <c r="Z951" s="20">
        <f>SUMIFS(T$3:T951,L$3:L951,"=Intermission")+SUMIFS(T$3:T951,L$3:L951,"=Timeout")+SUMIFS(T$3:T951,L$3:L951,"=Clockstop")</f>
        <v>68</v>
      </c>
      <c r="AA951">
        <f t="shared" si="166"/>
        <v>1148</v>
      </c>
      <c r="AB951" s="26">
        <f t="shared" si="167"/>
        <v>262</v>
      </c>
      <c r="AC951">
        <f t="shared" si="168"/>
        <v>1216</v>
      </c>
    </row>
    <row r="952" spans="1:29" x14ac:dyDescent="0.2">
      <c r="A952">
        <v>496</v>
      </c>
      <c r="D952">
        <f t="shared" si="169"/>
        <v>2</v>
      </c>
      <c r="E952">
        <v>16</v>
      </c>
      <c r="F952" s="6" t="s">
        <v>422</v>
      </c>
      <c r="G952">
        <v>16</v>
      </c>
      <c r="H952" s="8" t="s">
        <v>485</v>
      </c>
      <c r="I952" t="s">
        <v>179</v>
      </c>
      <c r="J952">
        <v>18</v>
      </c>
      <c r="K952" t="s">
        <v>488</v>
      </c>
      <c r="L952" t="s">
        <v>15</v>
      </c>
      <c r="Q952">
        <f t="shared" si="173"/>
        <v>18977</v>
      </c>
      <c r="R952" t="str">
        <f t="shared" si="173"/>
        <v>Velodrome</v>
      </c>
      <c r="S952" t="str">
        <f t="shared" si="173"/>
        <v>HollowBrook</v>
      </c>
      <c r="T952" s="20">
        <f t="shared" si="163"/>
        <v>2</v>
      </c>
      <c r="U952">
        <f t="shared" si="164"/>
        <v>980</v>
      </c>
      <c r="V952">
        <f t="shared" si="165"/>
        <v>978</v>
      </c>
      <c r="W952" cm="1">
        <f t="array" ref="W952">_xlfn._xlws.FILTER(shifts!A:A,(shifts!B:B=events!D952)*(shifts!AH:AH&gt;=events!U952)*(shifts!AI:AI&lt;=events!V952))</f>
        <v>34</v>
      </c>
      <c r="X952" t="str">
        <f t="shared" si="174"/>
        <v>event_team_player_1</v>
      </c>
      <c r="Y952">
        <f>COUNTIFS(A$3:A952,"="&amp;A952,K$3:K952,"="&amp;K952)</f>
        <v>1</v>
      </c>
      <c r="Z952" s="20">
        <f>SUMIFS(T$3:T952,L$3:L952,"=Intermission")+SUMIFS(T$3:T952,L$3:L952,"=Timeout")+SUMIFS(T$3:T952,L$3:L952,"=Clockstop")</f>
        <v>68</v>
      </c>
      <c r="AA952">
        <f t="shared" si="166"/>
        <v>1148</v>
      </c>
      <c r="AB952" s="26">
        <f t="shared" si="167"/>
        <v>268</v>
      </c>
      <c r="AC952">
        <f t="shared" si="168"/>
        <v>1216</v>
      </c>
    </row>
    <row r="953" spans="1:29" x14ac:dyDescent="0.2">
      <c r="A953">
        <v>496</v>
      </c>
      <c r="D953">
        <f t="shared" si="169"/>
        <v>2</v>
      </c>
      <c r="E953">
        <v>16</v>
      </c>
      <c r="F953" s="6" t="s">
        <v>422</v>
      </c>
      <c r="G953">
        <v>16</v>
      </c>
      <c r="H953" s="8" t="s">
        <v>485</v>
      </c>
      <c r="I953" t="s">
        <v>179</v>
      </c>
      <c r="J953">
        <v>84</v>
      </c>
      <c r="K953" t="s">
        <v>489</v>
      </c>
      <c r="L953" t="s">
        <v>15</v>
      </c>
      <c r="Q953">
        <f t="shared" si="173"/>
        <v>18977</v>
      </c>
      <c r="R953" t="str">
        <f t="shared" si="173"/>
        <v>Velodrome</v>
      </c>
      <c r="S953" t="str">
        <f t="shared" si="173"/>
        <v>HollowBrook</v>
      </c>
      <c r="T953" s="20">
        <f t="shared" si="163"/>
        <v>2</v>
      </c>
      <c r="U953">
        <f t="shared" si="164"/>
        <v>980</v>
      </c>
      <c r="V953">
        <f t="shared" si="165"/>
        <v>978</v>
      </c>
      <c r="W953" cm="1">
        <f t="array" ref="W953">_xlfn._xlws.FILTER(shifts!A:A,(shifts!B:B=events!D953)*(shifts!AH:AH&gt;=events!U953)*(shifts!AI:AI&lt;=events!V953))</f>
        <v>34</v>
      </c>
      <c r="X953" t="str">
        <f t="shared" si="174"/>
        <v>opp_team_player_1</v>
      </c>
      <c r="Y953">
        <f>COUNTIFS(A$3:A953,"="&amp;A953,K$3:K953,"="&amp;K953)</f>
        <v>1</v>
      </c>
      <c r="Z953" s="20">
        <f>SUMIFS(T$3:T953,L$3:L953,"=Intermission")+SUMIFS(T$3:T953,L$3:L953,"=Timeout")+SUMIFS(T$3:T953,L$3:L953,"=Clockstop")</f>
        <v>68</v>
      </c>
      <c r="AA953">
        <f t="shared" si="166"/>
        <v>1148</v>
      </c>
      <c r="AB953" s="26">
        <f t="shared" si="167"/>
        <v>268</v>
      </c>
      <c r="AC953">
        <f t="shared" si="168"/>
        <v>1216</v>
      </c>
    </row>
    <row r="954" spans="1:29" x14ac:dyDescent="0.2">
      <c r="A954">
        <v>497</v>
      </c>
      <c r="D954">
        <f t="shared" si="169"/>
        <v>2</v>
      </c>
      <c r="E954">
        <v>16</v>
      </c>
      <c r="F954" s="6" t="s">
        <v>485</v>
      </c>
      <c r="I954" t="s">
        <v>179</v>
      </c>
      <c r="J954">
        <v>18</v>
      </c>
      <c r="K954" t="s">
        <v>488</v>
      </c>
      <c r="L954" t="s">
        <v>8</v>
      </c>
      <c r="M954" t="s">
        <v>199</v>
      </c>
      <c r="N954" t="s">
        <v>70</v>
      </c>
      <c r="Q954">
        <f t="shared" si="173"/>
        <v>18977</v>
      </c>
      <c r="R954" t="str">
        <f t="shared" si="173"/>
        <v>Velodrome</v>
      </c>
      <c r="S954" t="str">
        <f t="shared" si="173"/>
        <v>HollowBrook</v>
      </c>
      <c r="T954" s="20">
        <f t="shared" si="163"/>
        <v>0</v>
      </c>
      <c r="U954">
        <f t="shared" si="164"/>
        <v>978</v>
      </c>
      <c r="V954">
        <f t="shared" si="165"/>
        <v>978</v>
      </c>
      <c r="W954" cm="1">
        <f t="array" ref="W954">_xlfn._xlws.FILTER(shifts!A:A,(shifts!B:B=events!D954)*(shifts!AH:AH&gt;=events!U954)*(shifts!AI:AI&lt;=events!V954))</f>
        <v>34</v>
      </c>
      <c r="X954" t="str">
        <f t="shared" si="174"/>
        <v>event_team_player_1</v>
      </c>
      <c r="Y954">
        <f>COUNTIFS(A$3:A954,"="&amp;A954,K$3:K954,"="&amp;K954)</f>
        <v>1</v>
      </c>
      <c r="Z954" s="20">
        <f>SUMIFS(T$3:T954,L$3:L954,"=Intermission")+SUMIFS(T$3:T954,L$3:L954,"=Timeout")+SUMIFS(T$3:T954,L$3:L954,"=Clockstop")</f>
        <v>68</v>
      </c>
      <c r="AA954">
        <f t="shared" si="166"/>
        <v>1148</v>
      </c>
      <c r="AB954" s="26">
        <f t="shared" si="167"/>
        <v>272</v>
      </c>
      <c r="AC954">
        <f t="shared" si="168"/>
        <v>1216</v>
      </c>
    </row>
    <row r="955" spans="1:29" x14ac:dyDescent="0.2">
      <c r="A955">
        <v>498</v>
      </c>
      <c r="D955">
        <f t="shared" si="169"/>
        <v>2</v>
      </c>
      <c r="E955">
        <v>16</v>
      </c>
      <c r="F955" s="6" t="s">
        <v>423</v>
      </c>
      <c r="I955" t="s">
        <v>179</v>
      </c>
      <c r="J955">
        <v>13</v>
      </c>
      <c r="K955" t="s">
        <v>488</v>
      </c>
      <c r="L955" t="s">
        <v>7</v>
      </c>
      <c r="M955" t="s">
        <v>222</v>
      </c>
      <c r="N955" t="s">
        <v>53</v>
      </c>
      <c r="Q955">
        <f t="shared" si="173"/>
        <v>18977</v>
      </c>
      <c r="R955" t="str">
        <f t="shared" si="173"/>
        <v>Velodrome</v>
      </c>
      <c r="S955" t="str">
        <f t="shared" si="173"/>
        <v>HollowBrook</v>
      </c>
      <c r="T955" s="20">
        <f t="shared" si="163"/>
        <v>0</v>
      </c>
      <c r="U955">
        <f t="shared" si="164"/>
        <v>974</v>
      </c>
      <c r="V955">
        <f t="shared" si="165"/>
        <v>974</v>
      </c>
      <c r="W955" cm="1">
        <f t="array" ref="W955">_xlfn._xlws.FILTER(shifts!A:A,(shifts!B:B=events!D955)*(shifts!AH:AH&gt;=events!U955)*(shifts!AI:AI&lt;=events!V955))</f>
        <v>34</v>
      </c>
      <c r="X955" t="str">
        <f t="shared" si="174"/>
        <v>event_team_player_1</v>
      </c>
      <c r="Y955">
        <f>COUNTIFS(A$3:A955,"="&amp;A955,K$3:K955,"="&amp;K955)</f>
        <v>1</v>
      </c>
      <c r="Z955" s="20">
        <f>SUMIFS(T$3:T955,L$3:L955,"=Intermission")+SUMIFS(T$3:T955,L$3:L955,"=Timeout")+SUMIFS(T$3:T955,L$3:L955,"=Clockstop")</f>
        <v>68</v>
      </c>
      <c r="AA955">
        <f t="shared" si="166"/>
        <v>1148</v>
      </c>
      <c r="AB955" s="26">
        <f t="shared" si="167"/>
        <v>280</v>
      </c>
      <c r="AC955">
        <f t="shared" si="168"/>
        <v>1216</v>
      </c>
    </row>
    <row r="956" spans="1:29" x14ac:dyDescent="0.2">
      <c r="A956">
        <v>498</v>
      </c>
      <c r="D956">
        <f t="shared" si="169"/>
        <v>2</v>
      </c>
      <c r="E956">
        <v>16</v>
      </c>
      <c r="F956" s="6" t="s">
        <v>423</v>
      </c>
      <c r="I956" t="s">
        <v>179</v>
      </c>
      <c r="J956">
        <v>26</v>
      </c>
      <c r="K956" t="s">
        <v>488</v>
      </c>
      <c r="L956" t="s">
        <v>7</v>
      </c>
      <c r="M956" t="s">
        <v>222</v>
      </c>
      <c r="N956" t="s">
        <v>53</v>
      </c>
      <c r="Q956">
        <f t="shared" si="173"/>
        <v>18977</v>
      </c>
      <c r="R956" t="str">
        <f t="shared" si="173"/>
        <v>Velodrome</v>
      </c>
      <c r="S956" t="str">
        <f t="shared" si="173"/>
        <v>HollowBrook</v>
      </c>
      <c r="T956" s="20">
        <f t="shared" si="163"/>
        <v>0</v>
      </c>
      <c r="U956">
        <f t="shared" si="164"/>
        <v>974</v>
      </c>
      <c r="V956">
        <f t="shared" si="165"/>
        <v>974</v>
      </c>
      <c r="W956" cm="1">
        <f t="array" ref="W956">_xlfn._xlws.FILTER(shifts!A:A,(shifts!B:B=events!D956)*(shifts!AH:AH&gt;=events!U956)*(shifts!AI:AI&lt;=events!V956))</f>
        <v>34</v>
      </c>
      <c r="X956" t="str">
        <f t="shared" si="174"/>
        <v>event_team_player_2</v>
      </c>
      <c r="Y956">
        <f>COUNTIFS(A$3:A956,"="&amp;A956,K$3:K956,"="&amp;K956)</f>
        <v>2</v>
      </c>
      <c r="Z956" s="20">
        <f>SUMIFS(T$3:T956,L$3:L956,"=Intermission")+SUMIFS(T$3:T956,L$3:L956,"=Timeout")+SUMIFS(T$3:T956,L$3:L956,"=Clockstop")</f>
        <v>68</v>
      </c>
      <c r="AA956">
        <f t="shared" si="166"/>
        <v>1148</v>
      </c>
      <c r="AB956" s="26">
        <f t="shared" si="167"/>
        <v>280</v>
      </c>
      <c r="AC956">
        <f t="shared" si="168"/>
        <v>1216</v>
      </c>
    </row>
    <row r="957" spans="1:29" x14ac:dyDescent="0.2">
      <c r="A957">
        <v>498</v>
      </c>
      <c r="D957">
        <f t="shared" si="169"/>
        <v>2</v>
      </c>
      <c r="E957">
        <v>16</v>
      </c>
      <c r="F957" s="6" t="s">
        <v>423</v>
      </c>
      <c r="I957" t="s">
        <v>179</v>
      </c>
      <c r="J957">
        <v>39</v>
      </c>
      <c r="K957" t="s">
        <v>489</v>
      </c>
      <c r="L957" t="s">
        <v>7</v>
      </c>
      <c r="M957" t="s">
        <v>222</v>
      </c>
      <c r="N957" t="s">
        <v>53</v>
      </c>
      <c r="Q957">
        <f t="shared" si="173"/>
        <v>18977</v>
      </c>
      <c r="R957" t="str">
        <f t="shared" si="173"/>
        <v>Velodrome</v>
      </c>
      <c r="S957" t="str">
        <f t="shared" si="173"/>
        <v>HollowBrook</v>
      </c>
      <c r="T957" s="20">
        <f t="shared" si="163"/>
        <v>0</v>
      </c>
      <c r="U957">
        <f t="shared" si="164"/>
        <v>974</v>
      </c>
      <c r="V957">
        <f t="shared" si="165"/>
        <v>974</v>
      </c>
      <c r="W957" cm="1">
        <f t="array" ref="W957">_xlfn._xlws.FILTER(shifts!A:A,(shifts!B:B=events!D957)*(shifts!AH:AH&gt;=events!U957)*(shifts!AI:AI&lt;=events!V957))</f>
        <v>34</v>
      </c>
      <c r="X957" t="str">
        <f t="shared" si="174"/>
        <v>opp_team_player_1</v>
      </c>
      <c r="Y957">
        <f>COUNTIFS(A$3:A957,"="&amp;A957,K$3:K957,"="&amp;K957)</f>
        <v>1</v>
      </c>
      <c r="Z957" s="20">
        <f>SUMIFS(T$3:T957,L$3:L957,"=Intermission")+SUMIFS(T$3:T957,L$3:L957,"=Timeout")+SUMIFS(T$3:T957,L$3:L957,"=Clockstop")</f>
        <v>68</v>
      </c>
      <c r="AA957">
        <f t="shared" si="166"/>
        <v>1148</v>
      </c>
      <c r="AB957" s="26">
        <f t="shared" si="167"/>
        <v>280</v>
      </c>
      <c r="AC957">
        <f t="shared" si="168"/>
        <v>1216</v>
      </c>
    </row>
    <row r="958" spans="1:29" x14ac:dyDescent="0.2">
      <c r="A958">
        <v>499</v>
      </c>
      <c r="D958">
        <f t="shared" si="169"/>
        <v>2</v>
      </c>
      <c r="E958">
        <v>16</v>
      </c>
      <c r="F958" s="6" t="s">
        <v>423</v>
      </c>
      <c r="I958" t="s">
        <v>178</v>
      </c>
      <c r="J958">
        <v>39</v>
      </c>
      <c r="K958" t="s">
        <v>488</v>
      </c>
      <c r="L958" t="s">
        <v>17</v>
      </c>
      <c r="M958" t="s">
        <v>196</v>
      </c>
      <c r="N958" t="s">
        <v>102</v>
      </c>
      <c r="Q958">
        <f t="shared" si="173"/>
        <v>18977</v>
      </c>
      <c r="R958" t="str">
        <f t="shared" si="173"/>
        <v>Velodrome</v>
      </c>
      <c r="S958" t="str">
        <f t="shared" si="173"/>
        <v>HollowBrook</v>
      </c>
      <c r="T958" s="20">
        <f t="shared" si="163"/>
        <v>0</v>
      </c>
      <c r="U958">
        <f t="shared" si="164"/>
        <v>974</v>
      </c>
      <c r="V958">
        <f t="shared" si="165"/>
        <v>974</v>
      </c>
      <c r="W958" cm="1">
        <f t="array" ref="W958">_xlfn._xlws.FILTER(shifts!A:A,(shifts!B:B=events!D958)*(shifts!AH:AH&gt;=events!U958)*(shifts!AI:AI&lt;=events!V958))</f>
        <v>34</v>
      </c>
      <c r="X958" t="str">
        <f t="shared" si="174"/>
        <v>event_team_player_1</v>
      </c>
      <c r="Y958">
        <f>COUNTIFS(A$3:A958,"="&amp;A958,K$3:K958,"="&amp;K958)</f>
        <v>1</v>
      </c>
      <c r="Z958" s="20">
        <f>SUMIFS(T$3:T958,L$3:L958,"=Intermission")+SUMIFS(T$3:T958,L$3:L958,"=Timeout")+SUMIFS(T$3:T958,L$3:L958,"=Clockstop")</f>
        <v>68</v>
      </c>
      <c r="AA958">
        <f t="shared" si="166"/>
        <v>1148</v>
      </c>
      <c r="AB958" s="26">
        <f t="shared" si="167"/>
        <v>280</v>
      </c>
      <c r="AC958">
        <f t="shared" si="168"/>
        <v>1216</v>
      </c>
    </row>
    <row r="959" spans="1:29" x14ac:dyDescent="0.2">
      <c r="A959">
        <v>499</v>
      </c>
      <c r="D959">
        <f t="shared" si="169"/>
        <v>2</v>
      </c>
      <c r="E959">
        <v>16</v>
      </c>
      <c r="F959" s="6" t="s">
        <v>423</v>
      </c>
      <c r="I959" t="s">
        <v>178</v>
      </c>
      <c r="J959">
        <v>39</v>
      </c>
      <c r="K959" t="s">
        <v>488</v>
      </c>
      <c r="L959" t="s">
        <v>17</v>
      </c>
      <c r="M959" t="s">
        <v>196</v>
      </c>
      <c r="N959" t="s">
        <v>102</v>
      </c>
      <c r="Q959">
        <f t="shared" si="173"/>
        <v>18977</v>
      </c>
      <c r="R959" t="str">
        <f t="shared" si="173"/>
        <v>Velodrome</v>
      </c>
      <c r="S959" t="str">
        <f t="shared" si="173"/>
        <v>HollowBrook</v>
      </c>
      <c r="T959" s="20">
        <f t="shared" si="163"/>
        <v>0</v>
      </c>
      <c r="U959">
        <f t="shared" si="164"/>
        <v>974</v>
      </c>
      <c r="V959">
        <f t="shared" si="165"/>
        <v>974</v>
      </c>
      <c r="W959" cm="1">
        <f t="array" ref="W959">_xlfn._xlws.FILTER(shifts!A:A,(shifts!B:B=events!D959)*(shifts!AH:AH&gt;=events!U959)*(shifts!AI:AI&lt;=events!V959))</f>
        <v>34</v>
      </c>
      <c r="X959" t="str">
        <f t="shared" si="174"/>
        <v>event_team_player_2</v>
      </c>
      <c r="Y959">
        <f>COUNTIFS(A$3:A959,"="&amp;A959,K$3:K959,"="&amp;K959)</f>
        <v>2</v>
      </c>
      <c r="Z959" s="20">
        <f>SUMIFS(T$3:T959,L$3:L959,"=Intermission")+SUMIFS(T$3:T959,L$3:L959,"=Timeout")+SUMIFS(T$3:T959,L$3:L959,"=Clockstop")</f>
        <v>68</v>
      </c>
      <c r="AA959">
        <f t="shared" si="166"/>
        <v>1148</v>
      </c>
      <c r="AB959" s="26">
        <f t="shared" si="167"/>
        <v>280</v>
      </c>
      <c r="AC959">
        <f t="shared" si="168"/>
        <v>1216</v>
      </c>
    </row>
    <row r="960" spans="1:29" x14ac:dyDescent="0.2">
      <c r="A960">
        <v>499</v>
      </c>
      <c r="D960">
        <f t="shared" si="169"/>
        <v>2</v>
      </c>
      <c r="E960">
        <v>16</v>
      </c>
      <c r="F960" s="6" t="s">
        <v>423</v>
      </c>
      <c r="I960" t="s">
        <v>178</v>
      </c>
      <c r="J960">
        <v>39</v>
      </c>
      <c r="K960" t="s">
        <v>488</v>
      </c>
      <c r="L960" t="s">
        <v>17</v>
      </c>
      <c r="M960" t="s">
        <v>196</v>
      </c>
      <c r="N960" t="s">
        <v>102</v>
      </c>
      <c r="Q960">
        <f t="shared" si="173"/>
        <v>18977</v>
      </c>
      <c r="R960" t="str">
        <f t="shared" si="173"/>
        <v>Velodrome</v>
      </c>
      <c r="S960" t="str">
        <f t="shared" si="173"/>
        <v>HollowBrook</v>
      </c>
      <c r="T960" s="20">
        <f t="shared" si="163"/>
        <v>0</v>
      </c>
      <c r="U960">
        <f t="shared" si="164"/>
        <v>974</v>
      </c>
      <c r="V960">
        <f t="shared" si="165"/>
        <v>974</v>
      </c>
      <c r="W960" cm="1">
        <f t="array" ref="W960">_xlfn._xlws.FILTER(shifts!A:A,(shifts!B:B=events!D960)*(shifts!AH:AH&gt;=events!U960)*(shifts!AI:AI&lt;=events!V960))</f>
        <v>34</v>
      </c>
      <c r="X960" t="str">
        <f t="shared" si="174"/>
        <v>event_team_player_3</v>
      </c>
      <c r="Y960">
        <f>COUNTIFS(A$3:A960,"="&amp;A960,K$3:K960,"="&amp;K960)</f>
        <v>3</v>
      </c>
      <c r="Z960" s="20">
        <f>SUMIFS(T$3:T960,L$3:L960,"=Intermission")+SUMIFS(T$3:T960,L$3:L960,"=Timeout")+SUMIFS(T$3:T960,L$3:L960,"=Clockstop")</f>
        <v>68</v>
      </c>
      <c r="AA960">
        <f t="shared" si="166"/>
        <v>1148</v>
      </c>
      <c r="AB960" s="26">
        <f t="shared" si="167"/>
        <v>280</v>
      </c>
      <c r="AC960">
        <f t="shared" si="168"/>
        <v>1216</v>
      </c>
    </row>
    <row r="961" spans="1:29" x14ac:dyDescent="0.2">
      <c r="A961">
        <v>500</v>
      </c>
      <c r="D961">
        <f t="shared" si="169"/>
        <v>2</v>
      </c>
      <c r="E961">
        <v>16</v>
      </c>
      <c r="F961" s="6" t="s">
        <v>423</v>
      </c>
      <c r="I961" t="s">
        <v>178</v>
      </c>
      <c r="J961">
        <v>39</v>
      </c>
      <c r="K961" t="s">
        <v>488</v>
      </c>
      <c r="L961" t="s">
        <v>270</v>
      </c>
      <c r="M961" t="s">
        <v>271</v>
      </c>
      <c r="Q961">
        <f t="shared" si="173"/>
        <v>18977</v>
      </c>
      <c r="R961" t="str">
        <f t="shared" si="173"/>
        <v>Velodrome</v>
      </c>
      <c r="S961" t="str">
        <f t="shared" si="173"/>
        <v>HollowBrook</v>
      </c>
      <c r="T961" s="20">
        <f t="shared" si="163"/>
        <v>0</v>
      </c>
      <c r="U961">
        <f t="shared" si="164"/>
        <v>974</v>
      </c>
      <c r="V961">
        <f t="shared" si="165"/>
        <v>974</v>
      </c>
      <c r="W961" cm="1">
        <f t="array" ref="W961">_xlfn._xlws.FILTER(shifts!A:A,(shifts!B:B=events!D961)*(shifts!AH:AH&gt;=events!U961)*(shifts!AI:AI&lt;=events!V961))</f>
        <v>34</v>
      </c>
      <c r="X961" t="str">
        <f t="shared" si="174"/>
        <v>event_team_player_1</v>
      </c>
      <c r="Y961">
        <f>COUNTIFS(A$3:A961,"="&amp;A961,K$3:K961,"="&amp;K961)</f>
        <v>1</v>
      </c>
      <c r="Z961" s="20">
        <f>SUMIFS(T$3:T961,L$3:L961,"=Intermission")+SUMIFS(T$3:T961,L$3:L961,"=Timeout")+SUMIFS(T$3:T961,L$3:L961,"=Clockstop")</f>
        <v>68</v>
      </c>
      <c r="AA961">
        <f t="shared" si="166"/>
        <v>1148</v>
      </c>
      <c r="AB961" s="26">
        <f t="shared" si="167"/>
        <v>280</v>
      </c>
      <c r="AC961">
        <f t="shared" si="168"/>
        <v>1216</v>
      </c>
    </row>
    <row r="962" spans="1:29" x14ac:dyDescent="0.2">
      <c r="A962">
        <v>501</v>
      </c>
      <c r="D962">
        <f t="shared" si="169"/>
        <v>2</v>
      </c>
      <c r="E962">
        <v>16</v>
      </c>
      <c r="F962" s="6" t="s">
        <v>449</v>
      </c>
      <c r="G962">
        <v>16</v>
      </c>
      <c r="H962" s="8" t="s">
        <v>425</v>
      </c>
      <c r="I962" t="s">
        <v>178</v>
      </c>
      <c r="J962">
        <v>87</v>
      </c>
      <c r="K962" t="s">
        <v>488</v>
      </c>
      <c r="L962" t="s">
        <v>15</v>
      </c>
      <c r="Q962">
        <f t="shared" si="173"/>
        <v>18977</v>
      </c>
      <c r="R962" t="str">
        <f t="shared" si="173"/>
        <v>Velodrome</v>
      </c>
      <c r="S962" t="str">
        <f t="shared" si="173"/>
        <v>HollowBrook</v>
      </c>
      <c r="T962" s="20">
        <f t="shared" si="163"/>
        <v>2</v>
      </c>
      <c r="U962">
        <f t="shared" si="164"/>
        <v>972</v>
      </c>
      <c r="V962">
        <f t="shared" si="165"/>
        <v>970</v>
      </c>
      <c r="W962" cm="1">
        <f t="array" ref="W962">_xlfn._xlws.FILTER(shifts!A:A,(shifts!B:B=events!D962)*(shifts!AH:AH&gt;=events!U962)*(shifts!AI:AI&lt;=events!V962))</f>
        <v>34</v>
      </c>
      <c r="X962" t="str">
        <f t="shared" si="174"/>
        <v>event_team_player_1</v>
      </c>
      <c r="Y962">
        <f>COUNTIFS(A$3:A962,"="&amp;A962,K$3:K962,"="&amp;K962)</f>
        <v>1</v>
      </c>
      <c r="Z962" s="20">
        <f>SUMIFS(T$3:T962,L$3:L962,"=Intermission")+SUMIFS(T$3:T962,L$3:L962,"=Timeout")+SUMIFS(T$3:T962,L$3:L962,"=Clockstop")</f>
        <v>68</v>
      </c>
      <c r="AA962">
        <f t="shared" si="166"/>
        <v>1148</v>
      </c>
      <c r="AB962" s="26">
        <f t="shared" si="167"/>
        <v>284</v>
      </c>
      <c r="AC962">
        <f t="shared" si="168"/>
        <v>1216</v>
      </c>
    </row>
    <row r="963" spans="1:29" x14ac:dyDescent="0.2">
      <c r="A963">
        <v>502</v>
      </c>
      <c r="D963">
        <f t="shared" si="169"/>
        <v>2</v>
      </c>
      <c r="E963">
        <v>16</v>
      </c>
      <c r="F963" s="6" t="s">
        <v>425</v>
      </c>
      <c r="I963" t="s">
        <v>178</v>
      </c>
      <c r="J963">
        <v>87</v>
      </c>
      <c r="K963" t="s">
        <v>488</v>
      </c>
      <c r="L963" t="s">
        <v>8</v>
      </c>
      <c r="M963" t="s">
        <v>189</v>
      </c>
      <c r="N963" t="s">
        <v>68</v>
      </c>
      <c r="Q963">
        <f t="shared" si="173"/>
        <v>18977</v>
      </c>
      <c r="R963" t="str">
        <f t="shared" si="173"/>
        <v>Velodrome</v>
      </c>
      <c r="S963" t="str">
        <f t="shared" si="173"/>
        <v>HollowBrook</v>
      </c>
      <c r="T963" s="20">
        <f t="shared" si="163"/>
        <v>0</v>
      </c>
      <c r="U963">
        <f t="shared" si="164"/>
        <v>970</v>
      </c>
      <c r="V963">
        <f t="shared" si="165"/>
        <v>970</v>
      </c>
      <c r="W963" cm="1">
        <f t="array" ref="W963">_xlfn._xlws.FILTER(shifts!A:A,(shifts!B:B=events!D963)*(shifts!AH:AH&gt;=events!U963)*(shifts!AI:AI&lt;=events!V963))</f>
        <v>34</v>
      </c>
      <c r="X963" t="str">
        <f t="shared" si="174"/>
        <v>event_team_player_1</v>
      </c>
      <c r="Y963">
        <f>COUNTIFS(A$3:A963,"="&amp;A963,K$3:K963,"="&amp;K963)</f>
        <v>1</v>
      </c>
      <c r="Z963" s="20">
        <f>SUMIFS(T$3:T963,L$3:L963,"=Intermission")+SUMIFS(T$3:T963,L$3:L963,"=Timeout")+SUMIFS(T$3:T963,L$3:L963,"=Clockstop")</f>
        <v>68</v>
      </c>
      <c r="AA963">
        <f t="shared" si="166"/>
        <v>1148</v>
      </c>
      <c r="AB963" s="26">
        <f t="shared" si="167"/>
        <v>288</v>
      </c>
      <c r="AC963">
        <f t="shared" si="168"/>
        <v>1216</v>
      </c>
    </row>
    <row r="964" spans="1:29" x14ac:dyDescent="0.2">
      <c r="A964">
        <v>502</v>
      </c>
      <c r="D964">
        <f t="shared" si="169"/>
        <v>2</v>
      </c>
      <c r="E964">
        <v>16</v>
      </c>
      <c r="F964" s="6" t="s">
        <v>425</v>
      </c>
      <c r="I964" t="s">
        <v>178</v>
      </c>
      <c r="J964">
        <v>42</v>
      </c>
      <c r="K964" t="s">
        <v>488</v>
      </c>
      <c r="L964" t="s">
        <v>8</v>
      </c>
      <c r="M964" t="s">
        <v>189</v>
      </c>
      <c r="N964" t="s">
        <v>68</v>
      </c>
      <c r="Q964">
        <f t="shared" si="173"/>
        <v>18977</v>
      </c>
      <c r="R964" t="str">
        <f t="shared" si="173"/>
        <v>Velodrome</v>
      </c>
      <c r="S964" t="str">
        <f t="shared" si="173"/>
        <v>HollowBrook</v>
      </c>
      <c r="T964" s="20">
        <f t="shared" ref="T964:T1027" si="175">IF(AND(G964="",H964=""),0,((E964*60)+F964)-((G964*60)+H964))</f>
        <v>0</v>
      </c>
      <c r="U964">
        <f t="shared" ref="U964:U1027" si="176">(E964*60)+F964</f>
        <v>970</v>
      </c>
      <c r="V964">
        <f t="shared" ref="V964:V1027" si="177">IF(AND(G964="",H964=""),U964,((G964*60)+H964))</f>
        <v>970</v>
      </c>
      <c r="W964" cm="1">
        <f t="array" ref="W964">_xlfn._xlws.FILTER(shifts!A:A,(shifts!B:B=events!D964)*(shifts!AH:AH&gt;=events!U964)*(shifts!AI:AI&lt;=events!V964))</f>
        <v>34</v>
      </c>
      <c r="X964" t="str">
        <f t="shared" si="174"/>
        <v>event_team_player_2</v>
      </c>
      <c r="Y964">
        <f>COUNTIFS(A$3:A964,"="&amp;A964,K$3:K964,"="&amp;K964)</f>
        <v>2</v>
      </c>
      <c r="Z964" s="20">
        <f>SUMIFS(T$3:T964,L$3:L964,"=Intermission")+SUMIFS(T$3:T964,L$3:L964,"=Timeout")+SUMIFS(T$3:T964,L$3:L964,"=Clockstop")</f>
        <v>68</v>
      </c>
      <c r="AA964">
        <f t="shared" ref="AA964:AA1027" si="178">IF(D964=1,0,IF(D964=2,1080+Z964,IF(D964=3,(1080*2)+Z964,0)))</f>
        <v>1148</v>
      </c>
      <c r="AB964" s="26">
        <f t="shared" ref="AB964:AB1027" si="179">((1080*D964)-((E964*60)+F964)*D964)+Z964</f>
        <v>288</v>
      </c>
      <c r="AC964">
        <f t="shared" ref="AC964:AC1027" si="180">IF(L963="GameStart",0,AA964+Z964)</f>
        <v>1216</v>
      </c>
    </row>
    <row r="965" spans="1:29" x14ac:dyDescent="0.2">
      <c r="A965">
        <v>503</v>
      </c>
      <c r="D965">
        <f t="shared" ref="D965:D1028" si="181">IF(L965="Intermission",D964+1,D964)</f>
        <v>2</v>
      </c>
      <c r="E965">
        <v>16</v>
      </c>
      <c r="F965" s="6" t="s">
        <v>424</v>
      </c>
      <c r="I965" t="s">
        <v>179</v>
      </c>
      <c r="J965">
        <v>2</v>
      </c>
      <c r="K965" t="s">
        <v>488</v>
      </c>
      <c r="L965" t="s">
        <v>10</v>
      </c>
      <c r="M965" t="s">
        <v>200</v>
      </c>
      <c r="N965" t="s">
        <v>82</v>
      </c>
      <c r="Q965">
        <f t="shared" ref="Q965:S980" si="182">Q964</f>
        <v>18977</v>
      </c>
      <c r="R965" t="str">
        <f t="shared" si="182"/>
        <v>Velodrome</v>
      </c>
      <c r="S965" t="str">
        <f t="shared" si="182"/>
        <v>HollowBrook</v>
      </c>
      <c r="T965" s="20">
        <f t="shared" si="175"/>
        <v>0</v>
      </c>
      <c r="U965">
        <f t="shared" si="176"/>
        <v>969</v>
      </c>
      <c r="V965">
        <f t="shared" si="177"/>
        <v>969</v>
      </c>
      <c r="W965" cm="1">
        <f t="array" ref="W965">_xlfn._xlws.FILTER(shifts!A:A,(shifts!B:B=events!D965)*(shifts!AH:AH&gt;=events!U965)*(shifts!AI:AI&lt;=events!V965))</f>
        <v>34</v>
      </c>
      <c r="X965" t="str">
        <f t="shared" si="174"/>
        <v>event_team_player_1</v>
      </c>
      <c r="Y965">
        <f>COUNTIFS(A$3:A965,"="&amp;A965,K$3:K965,"="&amp;K965)</f>
        <v>1</v>
      </c>
      <c r="Z965" s="20">
        <f>SUMIFS(T$3:T965,L$3:L965,"=Intermission")+SUMIFS(T$3:T965,L$3:L965,"=Timeout")+SUMIFS(T$3:T965,L$3:L965,"=Clockstop")</f>
        <v>68</v>
      </c>
      <c r="AA965">
        <f t="shared" si="178"/>
        <v>1148</v>
      </c>
      <c r="AB965" s="26">
        <f t="shared" si="179"/>
        <v>290</v>
      </c>
      <c r="AC965">
        <f t="shared" si="180"/>
        <v>1216</v>
      </c>
    </row>
    <row r="966" spans="1:29" x14ac:dyDescent="0.2">
      <c r="A966">
        <v>503</v>
      </c>
      <c r="D966">
        <f t="shared" si="181"/>
        <v>2</v>
      </c>
      <c r="E966">
        <v>16</v>
      </c>
      <c r="F966" s="6" t="s">
        <v>424</v>
      </c>
      <c r="I966" t="s">
        <v>179</v>
      </c>
      <c r="J966">
        <v>42</v>
      </c>
      <c r="K966" t="s">
        <v>489</v>
      </c>
      <c r="L966" t="s">
        <v>10</v>
      </c>
      <c r="M966" t="s">
        <v>200</v>
      </c>
      <c r="N966" t="s">
        <v>82</v>
      </c>
      <c r="Q966">
        <f t="shared" si="182"/>
        <v>18977</v>
      </c>
      <c r="R966" t="str">
        <f t="shared" si="182"/>
        <v>Velodrome</v>
      </c>
      <c r="S966" t="str">
        <f t="shared" si="182"/>
        <v>HollowBrook</v>
      </c>
      <c r="T966" s="20">
        <f t="shared" si="175"/>
        <v>0</v>
      </c>
      <c r="U966">
        <f t="shared" si="176"/>
        <v>969</v>
      </c>
      <c r="V966">
        <f t="shared" si="177"/>
        <v>969</v>
      </c>
      <c r="W966" cm="1">
        <f t="array" ref="W966">_xlfn._xlws.FILTER(shifts!A:A,(shifts!B:B=events!D966)*(shifts!AH:AH&gt;=events!U966)*(shifts!AI:AI&lt;=events!V966))</f>
        <v>34</v>
      </c>
      <c r="X966" t="str">
        <f t="shared" si="174"/>
        <v>opp_team_player_1</v>
      </c>
      <c r="Y966">
        <f>COUNTIFS(A$3:A966,"="&amp;A966,K$3:K966,"="&amp;K966)</f>
        <v>1</v>
      </c>
      <c r="Z966" s="20">
        <f>SUMIFS(T$3:T966,L$3:L966,"=Intermission")+SUMIFS(T$3:T966,L$3:L966,"=Timeout")+SUMIFS(T$3:T966,L$3:L966,"=Clockstop")</f>
        <v>68</v>
      </c>
      <c r="AA966">
        <f t="shared" si="178"/>
        <v>1148</v>
      </c>
      <c r="AB966" s="26">
        <f t="shared" si="179"/>
        <v>290</v>
      </c>
      <c r="AC966">
        <f t="shared" si="180"/>
        <v>1216</v>
      </c>
    </row>
    <row r="967" spans="1:29" x14ac:dyDescent="0.2">
      <c r="A967">
        <v>504</v>
      </c>
      <c r="D967">
        <f t="shared" si="181"/>
        <v>2</v>
      </c>
      <c r="E967">
        <v>16</v>
      </c>
      <c r="F967" s="6" t="s">
        <v>424</v>
      </c>
      <c r="I967" t="s">
        <v>179</v>
      </c>
      <c r="J967">
        <v>2</v>
      </c>
      <c r="K967" t="s">
        <v>488</v>
      </c>
      <c r="L967" t="s">
        <v>277</v>
      </c>
      <c r="M967" t="s">
        <v>210</v>
      </c>
      <c r="N967" t="s">
        <v>93</v>
      </c>
      <c r="Q967">
        <f t="shared" si="182"/>
        <v>18977</v>
      </c>
      <c r="R967" t="str">
        <f t="shared" si="182"/>
        <v>Velodrome</v>
      </c>
      <c r="S967" t="str">
        <f t="shared" si="182"/>
        <v>HollowBrook</v>
      </c>
      <c r="T967" s="20">
        <f t="shared" si="175"/>
        <v>0</v>
      </c>
      <c r="U967">
        <f t="shared" si="176"/>
        <v>969</v>
      </c>
      <c r="V967">
        <f t="shared" si="177"/>
        <v>969</v>
      </c>
      <c r="W967" cm="1">
        <f t="array" ref="W967">_xlfn._xlws.FILTER(shifts!A:A,(shifts!B:B=events!D967)*(shifts!AH:AH&gt;=events!U967)*(shifts!AI:AI&lt;=events!V967))</f>
        <v>34</v>
      </c>
      <c r="X967" t="str">
        <f t="shared" si="174"/>
        <v>event_team_player_1</v>
      </c>
      <c r="Y967">
        <f>COUNTIFS(A$3:A967,"="&amp;A967,K$3:K967,"="&amp;K967)</f>
        <v>1</v>
      </c>
      <c r="Z967" s="20">
        <f>SUMIFS(T$3:T967,L$3:L967,"=Intermission")+SUMIFS(T$3:T967,L$3:L967,"=Timeout")+SUMIFS(T$3:T967,L$3:L967,"=Clockstop")</f>
        <v>68</v>
      </c>
      <c r="AA967">
        <f t="shared" si="178"/>
        <v>1148</v>
      </c>
      <c r="AB967" s="26">
        <f t="shared" si="179"/>
        <v>290</v>
      </c>
      <c r="AC967">
        <f t="shared" si="180"/>
        <v>1216</v>
      </c>
    </row>
    <row r="968" spans="1:29" x14ac:dyDescent="0.2">
      <c r="A968">
        <v>505</v>
      </c>
      <c r="D968">
        <f t="shared" si="181"/>
        <v>2</v>
      </c>
      <c r="E968">
        <v>16</v>
      </c>
      <c r="F968" s="6" t="s">
        <v>310</v>
      </c>
      <c r="I968" t="s">
        <v>179</v>
      </c>
      <c r="J968">
        <v>2</v>
      </c>
      <c r="K968" t="s">
        <v>488</v>
      </c>
      <c r="L968" t="s">
        <v>10</v>
      </c>
      <c r="M968" t="s">
        <v>190</v>
      </c>
      <c r="N968" t="s">
        <v>73</v>
      </c>
      <c r="Q968">
        <f t="shared" si="182"/>
        <v>18977</v>
      </c>
      <c r="R968" t="str">
        <f t="shared" si="182"/>
        <v>Velodrome</v>
      </c>
      <c r="S968" t="str">
        <f t="shared" si="182"/>
        <v>HollowBrook</v>
      </c>
      <c r="T968" s="20">
        <f t="shared" si="175"/>
        <v>0</v>
      </c>
      <c r="U968">
        <f t="shared" si="176"/>
        <v>964</v>
      </c>
      <c r="V968">
        <f t="shared" si="177"/>
        <v>964</v>
      </c>
      <c r="W968" cm="1">
        <f t="array" ref="W968">_xlfn._xlws.FILTER(shifts!A:A,(shifts!B:B=events!D968)*(shifts!AH:AH&gt;=events!U968)*(shifts!AI:AI&lt;=events!V968))</f>
        <v>34</v>
      </c>
      <c r="X968" t="str">
        <f t="shared" si="174"/>
        <v>event_team_player_1</v>
      </c>
      <c r="Y968">
        <f>COUNTIFS(A$3:A968,"="&amp;A968,K$3:K968,"="&amp;K968)</f>
        <v>1</v>
      </c>
      <c r="Z968" s="20">
        <f>SUMIFS(T$3:T968,L$3:L968,"=Intermission")+SUMIFS(T$3:T968,L$3:L968,"=Timeout")+SUMIFS(T$3:T968,L$3:L968,"=Clockstop")</f>
        <v>68</v>
      </c>
      <c r="AA968">
        <f t="shared" si="178"/>
        <v>1148</v>
      </c>
      <c r="AB968" s="26">
        <f t="shared" si="179"/>
        <v>300</v>
      </c>
      <c r="AC968">
        <f t="shared" si="180"/>
        <v>1216</v>
      </c>
    </row>
    <row r="969" spans="1:29" x14ac:dyDescent="0.2">
      <c r="A969">
        <v>506</v>
      </c>
      <c r="D969">
        <f t="shared" si="181"/>
        <v>2</v>
      </c>
      <c r="E969">
        <v>16</v>
      </c>
      <c r="F969" s="6" t="s">
        <v>426</v>
      </c>
      <c r="G969">
        <v>15</v>
      </c>
      <c r="H969" s="8" t="s">
        <v>421</v>
      </c>
      <c r="I969" t="s">
        <v>178</v>
      </c>
      <c r="J969">
        <v>42</v>
      </c>
      <c r="K969" t="s">
        <v>488</v>
      </c>
      <c r="L969" t="s">
        <v>15</v>
      </c>
      <c r="Q969">
        <f t="shared" si="182"/>
        <v>18977</v>
      </c>
      <c r="R969" t="str">
        <f t="shared" si="182"/>
        <v>Velodrome</v>
      </c>
      <c r="S969" t="str">
        <f t="shared" si="182"/>
        <v>HollowBrook</v>
      </c>
      <c r="T969" s="20">
        <f t="shared" si="175"/>
        <v>4</v>
      </c>
      <c r="U969">
        <f t="shared" si="176"/>
        <v>960</v>
      </c>
      <c r="V969">
        <f t="shared" si="177"/>
        <v>956</v>
      </c>
      <c r="W969" cm="1">
        <f t="array" ref="W969">_xlfn._xlws.FILTER(shifts!A:A,(shifts!B:B=events!D969)*(shifts!AH:AH&gt;=events!U969)*(shifts!AI:AI&lt;=events!V969))</f>
        <v>34</v>
      </c>
      <c r="X969" t="str">
        <f t="shared" si="174"/>
        <v>event_team_player_1</v>
      </c>
      <c r="Y969">
        <f>COUNTIFS(A$3:A969,"="&amp;A969,K$3:K969,"="&amp;K969)</f>
        <v>1</v>
      </c>
      <c r="Z969" s="20">
        <f>SUMIFS(T$3:T969,L$3:L969,"=Intermission")+SUMIFS(T$3:T969,L$3:L969,"=Timeout")+SUMIFS(T$3:T969,L$3:L969,"=Clockstop")</f>
        <v>68</v>
      </c>
      <c r="AA969">
        <f t="shared" si="178"/>
        <v>1148</v>
      </c>
      <c r="AB969" s="26">
        <f t="shared" si="179"/>
        <v>308</v>
      </c>
      <c r="AC969">
        <f t="shared" si="180"/>
        <v>1216</v>
      </c>
    </row>
    <row r="970" spans="1:29" x14ac:dyDescent="0.2">
      <c r="A970">
        <v>506</v>
      </c>
      <c r="D970">
        <f t="shared" si="181"/>
        <v>2</v>
      </c>
      <c r="E970">
        <v>16</v>
      </c>
      <c r="F970" s="6" t="s">
        <v>426</v>
      </c>
      <c r="G970">
        <v>15</v>
      </c>
      <c r="H970" s="8" t="s">
        <v>421</v>
      </c>
      <c r="I970" t="s">
        <v>178</v>
      </c>
      <c r="J970">
        <v>26</v>
      </c>
      <c r="K970" t="s">
        <v>489</v>
      </c>
      <c r="L970" t="s">
        <v>15</v>
      </c>
      <c r="Q970">
        <f t="shared" si="182"/>
        <v>18977</v>
      </c>
      <c r="R970" t="str">
        <f t="shared" si="182"/>
        <v>Velodrome</v>
      </c>
      <c r="S970" t="str">
        <f t="shared" si="182"/>
        <v>HollowBrook</v>
      </c>
      <c r="T970" s="20">
        <f t="shared" si="175"/>
        <v>4</v>
      </c>
      <c r="U970">
        <f t="shared" si="176"/>
        <v>960</v>
      </c>
      <c r="V970">
        <f t="shared" si="177"/>
        <v>956</v>
      </c>
      <c r="W970" cm="1">
        <f t="array" ref="W970">_xlfn._xlws.FILTER(shifts!A:A,(shifts!B:B=events!D970)*(shifts!AH:AH&gt;=events!U970)*(shifts!AI:AI&lt;=events!V970))</f>
        <v>34</v>
      </c>
      <c r="X970" t="str">
        <f t="shared" si="174"/>
        <v>opp_team_player_1</v>
      </c>
      <c r="Y970">
        <f>COUNTIFS(A$3:A970,"="&amp;A970,K$3:K970,"="&amp;K970)</f>
        <v>1</v>
      </c>
      <c r="Z970" s="20">
        <f>SUMIFS(T$3:T970,L$3:L970,"=Intermission")+SUMIFS(T$3:T970,L$3:L970,"=Timeout")+SUMIFS(T$3:T970,L$3:L970,"=Clockstop")</f>
        <v>68</v>
      </c>
      <c r="AA970">
        <f t="shared" si="178"/>
        <v>1148</v>
      </c>
      <c r="AB970" s="26">
        <f t="shared" si="179"/>
        <v>308</v>
      </c>
      <c r="AC970">
        <f t="shared" si="180"/>
        <v>1216</v>
      </c>
    </row>
    <row r="971" spans="1:29" x14ac:dyDescent="0.2">
      <c r="A971">
        <v>507</v>
      </c>
      <c r="D971">
        <f t="shared" si="181"/>
        <v>2</v>
      </c>
      <c r="E971">
        <v>15</v>
      </c>
      <c r="F971" s="6" t="s">
        <v>421</v>
      </c>
      <c r="G971">
        <v>15</v>
      </c>
      <c r="H971" s="8" t="s">
        <v>477</v>
      </c>
      <c r="I971" t="s">
        <v>178</v>
      </c>
      <c r="J971">
        <v>42</v>
      </c>
      <c r="K971" t="s">
        <v>488</v>
      </c>
      <c r="L971" t="s">
        <v>277</v>
      </c>
      <c r="M971" t="s">
        <v>201</v>
      </c>
      <c r="N971" t="s">
        <v>90</v>
      </c>
      <c r="Q971">
        <f t="shared" si="182"/>
        <v>18977</v>
      </c>
      <c r="R971" t="str">
        <f t="shared" si="182"/>
        <v>Velodrome</v>
      </c>
      <c r="S971" t="str">
        <f t="shared" si="182"/>
        <v>HollowBrook</v>
      </c>
      <c r="T971" s="20">
        <f t="shared" si="175"/>
        <v>5</v>
      </c>
      <c r="U971">
        <f t="shared" si="176"/>
        <v>956</v>
      </c>
      <c r="V971">
        <f t="shared" si="177"/>
        <v>951</v>
      </c>
      <c r="W971" cm="1">
        <f t="array" ref="W971">_xlfn._xlws.FILTER(shifts!A:A,(shifts!B:B=events!D971)*(shifts!AH:AH&gt;=events!U971)*(shifts!AI:AI&lt;=events!V971))</f>
        <v>34</v>
      </c>
      <c r="X971" t="str">
        <f t="shared" si="174"/>
        <v>event_team_player_1</v>
      </c>
      <c r="Y971">
        <f>COUNTIFS(A$3:A971,"="&amp;A971,K$3:K971,"="&amp;K971)</f>
        <v>1</v>
      </c>
      <c r="Z971" s="20">
        <f>SUMIFS(T$3:T971,L$3:L971,"=Intermission")+SUMIFS(T$3:T971,L$3:L971,"=Timeout")+SUMIFS(T$3:T971,L$3:L971,"=Clockstop")</f>
        <v>68</v>
      </c>
      <c r="AA971">
        <f t="shared" si="178"/>
        <v>1148</v>
      </c>
      <c r="AB971" s="26">
        <f t="shared" si="179"/>
        <v>316</v>
      </c>
      <c r="AC971">
        <f t="shared" si="180"/>
        <v>1216</v>
      </c>
    </row>
    <row r="972" spans="1:29" x14ac:dyDescent="0.2">
      <c r="A972">
        <v>507</v>
      </c>
      <c r="D972">
        <f t="shared" si="181"/>
        <v>2</v>
      </c>
      <c r="E972">
        <v>15</v>
      </c>
      <c r="F972" s="6" t="s">
        <v>421</v>
      </c>
      <c r="G972">
        <v>15</v>
      </c>
      <c r="H972" s="8" t="s">
        <v>477</v>
      </c>
      <c r="I972" t="s">
        <v>178</v>
      </c>
      <c r="J972">
        <v>26</v>
      </c>
      <c r="K972" t="s">
        <v>489</v>
      </c>
      <c r="L972" t="s">
        <v>277</v>
      </c>
      <c r="M972" t="s">
        <v>201</v>
      </c>
      <c r="N972" t="s">
        <v>90</v>
      </c>
      <c r="Q972">
        <f t="shared" si="182"/>
        <v>18977</v>
      </c>
      <c r="R972" t="str">
        <f t="shared" si="182"/>
        <v>Velodrome</v>
      </c>
      <c r="S972" t="str">
        <f t="shared" si="182"/>
        <v>HollowBrook</v>
      </c>
      <c r="T972" s="20">
        <f t="shared" si="175"/>
        <v>5</v>
      </c>
      <c r="U972">
        <f t="shared" si="176"/>
        <v>956</v>
      </c>
      <c r="V972">
        <f t="shared" si="177"/>
        <v>951</v>
      </c>
      <c r="W972" cm="1">
        <f t="array" ref="W972">_xlfn._xlws.FILTER(shifts!A:A,(shifts!B:B=events!D972)*(shifts!AH:AH&gt;=events!U972)*(shifts!AI:AI&lt;=events!V972))</f>
        <v>34</v>
      </c>
      <c r="X972" t="str">
        <f t="shared" si="174"/>
        <v>opp_team_player_1</v>
      </c>
      <c r="Y972">
        <f>COUNTIFS(A$3:A972,"="&amp;A972,K$3:K972,"="&amp;K972)</f>
        <v>1</v>
      </c>
      <c r="Z972" s="20">
        <f>SUMIFS(T$3:T972,L$3:L972,"=Intermission")+SUMIFS(T$3:T972,L$3:L972,"=Timeout")+SUMIFS(T$3:T972,L$3:L972,"=Clockstop")</f>
        <v>68</v>
      </c>
      <c r="AA972">
        <f t="shared" si="178"/>
        <v>1148</v>
      </c>
      <c r="AB972" s="26">
        <f t="shared" si="179"/>
        <v>316</v>
      </c>
      <c r="AC972">
        <f t="shared" si="180"/>
        <v>1216</v>
      </c>
    </row>
    <row r="973" spans="1:29" x14ac:dyDescent="0.2">
      <c r="A973">
        <v>507</v>
      </c>
      <c r="D973">
        <f t="shared" si="181"/>
        <v>2</v>
      </c>
      <c r="E973">
        <v>15</v>
      </c>
      <c r="F973" s="6" t="s">
        <v>421</v>
      </c>
      <c r="G973">
        <v>15</v>
      </c>
      <c r="H973" s="8" t="s">
        <v>477</v>
      </c>
      <c r="I973" t="s">
        <v>178</v>
      </c>
      <c r="J973">
        <v>13</v>
      </c>
      <c r="K973" t="s">
        <v>489</v>
      </c>
      <c r="L973" t="s">
        <v>277</v>
      </c>
      <c r="M973" t="s">
        <v>201</v>
      </c>
      <c r="N973" t="s">
        <v>90</v>
      </c>
      <c r="Q973">
        <f t="shared" si="182"/>
        <v>18977</v>
      </c>
      <c r="R973" t="str">
        <f t="shared" si="182"/>
        <v>Velodrome</v>
      </c>
      <c r="S973" t="str">
        <f t="shared" si="182"/>
        <v>HollowBrook</v>
      </c>
      <c r="T973" s="20">
        <f t="shared" si="175"/>
        <v>5</v>
      </c>
      <c r="U973">
        <f t="shared" si="176"/>
        <v>956</v>
      </c>
      <c r="V973">
        <f t="shared" si="177"/>
        <v>951</v>
      </c>
      <c r="W973" cm="1">
        <f t="array" ref="W973">_xlfn._xlws.FILTER(shifts!A:A,(shifts!B:B=events!D973)*(shifts!AH:AH&gt;=events!U973)*(shifts!AI:AI&lt;=events!V973))</f>
        <v>34</v>
      </c>
      <c r="X973" t="str">
        <f t="shared" si="174"/>
        <v>opp_team_player_2</v>
      </c>
      <c r="Y973">
        <f>COUNTIFS(A$3:A973,"="&amp;A973,K$3:K973,"="&amp;K973)</f>
        <v>2</v>
      </c>
      <c r="Z973" s="20">
        <f>SUMIFS(T$3:T973,L$3:L973,"=Intermission")+SUMIFS(T$3:T973,L$3:L973,"=Timeout")+SUMIFS(T$3:T973,L$3:L973,"=Clockstop")</f>
        <v>68</v>
      </c>
      <c r="AA973">
        <f t="shared" si="178"/>
        <v>1148</v>
      </c>
      <c r="AB973" s="26">
        <f t="shared" si="179"/>
        <v>316</v>
      </c>
      <c r="AC973">
        <f t="shared" si="180"/>
        <v>1216</v>
      </c>
    </row>
    <row r="974" spans="1:29" x14ac:dyDescent="0.2">
      <c r="A974">
        <v>508</v>
      </c>
      <c r="D974">
        <f t="shared" si="181"/>
        <v>2</v>
      </c>
      <c r="E974">
        <v>15</v>
      </c>
      <c r="F974" s="6" t="s">
        <v>477</v>
      </c>
      <c r="I974" t="s">
        <v>179</v>
      </c>
      <c r="J974">
        <v>13</v>
      </c>
      <c r="K974" t="s">
        <v>488</v>
      </c>
      <c r="L974" t="s">
        <v>10</v>
      </c>
      <c r="M974" t="s">
        <v>200</v>
      </c>
      <c r="N974" t="s">
        <v>81</v>
      </c>
      <c r="Q974">
        <f t="shared" si="182"/>
        <v>18977</v>
      </c>
      <c r="R974" t="str">
        <f t="shared" si="182"/>
        <v>Velodrome</v>
      </c>
      <c r="S974" t="str">
        <f t="shared" si="182"/>
        <v>HollowBrook</v>
      </c>
      <c r="T974" s="20">
        <f t="shared" si="175"/>
        <v>0</v>
      </c>
      <c r="U974">
        <f t="shared" si="176"/>
        <v>951</v>
      </c>
      <c r="V974">
        <f t="shared" si="177"/>
        <v>951</v>
      </c>
      <c r="W974" cm="1">
        <f t="array" ref="W974">_xlfn._xlws.FILTER(shifts!A:A,(shifts!B:B=events!D974)*(shifts!AH:AH&gt;=events!U974)*(shifts!AI:AI&lt;=events!V974))</f>
        <v>34</v>
      </c>
      <c r="X974" t="str">
        <f t="shared" si="174"/>
        <v>event_team_player_1</v>
      </c>
      <c r="Y974">
        <f>COUNTIFS(A$3:A974,"="&amp;A974,K$3:K974,"="&amp;K974)</f>
        <v>1</v>
      </c>
      <c r="Z974" s="20">
        <f>SUMIFS(T$3:T974,L$3:L974,"=Intermission")+SUMIFS(T$3:T974,L$3:L974,"=Timeout")+SUMIFS(T$3:T974,L$3:L974,"=Clockstop")</f>
        <v>68</v>
      </c>
      <c r="AA974">
        <f t="shared" si="178"/>
        <v>1148</v>
      </c>
      <c r="AB974" s="26">
        <f t="shared" si="179"/>
        <v>326</v>
      </c>
      <c r="AC974">
        <f t="shared" si="180"/>
        <v>1216</v>
      </c>
    </row>
    <row r="975" spans="1:29" x14ac:dyDescent="0.2">
      <c r="A975">
        <v>508</v>
      </c>
      <c r="D975">
        <f t="shared" si="181"/>
        <v>2</v>
      </c>
      <c r="E975">
        <v>15</v>
      </c>
      <c r="F975" s="6" t="s">
        <v>477</v>
      </c>
      <c r="I975" t="s">
        <v>179</v>
      </c>
      <c r="J975">
        <v>42</v>
      </c>
      <c r="K975" t="s">
        <v>489</v>
      </c>
      <c r="L975" t="s">
        <v>10</v>
      </c>
      <c r="M975" t="s">
        <v>200</v>
      </c>
      <c r="N975" t="s">
        <v>81</v>
      </c>
      <c r="Q975">
        <f t="shared" si="182"/>
        <v>18977</v>
      </c>
      <c r="R975" t="str">
        <f t="shared" si="182"/>
        <v>Velodrome</v>
      </c>
      <c r="S975" t="str">
        <f t="shared" si="182"/>
        <v>HollowBrook</v>
      </c>
      <c r="T975" s="20">
        <f t="shared" si="175"/>
        <v>0</v>
      </c>
      <c r="U975">
        <f t="shared" si="176"/>
        <v>951</v>
      </c>
      <c r="V975">
        <f t="shared" si="177"/>
        <v>951</v>
      </c>
      <c r="W975" cm="1">
        <f t="array" ref="W975">_xlfn._xlws.FILTER(shifts!A:A,(shifts!B:B=events!D975)*(shifts!AH:AH&gt;=events!U975)*(shifts!AI:AI&lt;=events!V975))</f>
        <v>34</v>
      </c>
      <c r="X975" t="str">
        <f t="shared" si="174"/>
        <v>opp_team_player_1</v>
      </c>
      <c r="Y975">
        <f>COUNTIFS(A$3:A975,"="&amp;A975,K$3:K975,"="&amp;K975)</f>
        <v>1</v>
      </c>
      <c r="Z975" s="20">
        <f>SUMIFS(T$3:T975,L$3:L975,"=Intermission")+SUMIFS(T$3:T975,L$3:L975,"=Timeout")+SUMIFS(T$3:T975,L$3:L975,"=Clockstop")</f>
        <v>68</v>
      </c>
      <c r="AA975">
        <f t="shared" si="178"/>
        <v>1148</v>
      </c>
      <c r="AB975" s="26">
        <f t="shared" si="179"/>
        <v>326</v>
      </c>
      <c r="AC975">
        <f t="shared" si="180"/>
        <v>1216</v>
      </c>
    </row>
    <row r="976" spans="1:29" x14ac:dyDescent="0.2">
      <c r="A976">
        <v>509</v>
      </c>
      <c r="D976">
        <f t="shared" si="181"/>
        <v>2</v>
      </c>
      <c r="E976">
        <v>15</v>
      </c>
      <c r="F976" s="6" t="s">
        <v>450</v>
      </c>
      <c r="I976" t="s">
        <v>178</v>
      </c>
      <c r="J976">
        <v>42</v>
      </c>
      <c r="K976" t="s">
        <v>488</v>
      </c>
      <c r="L976" t="s">
        <v>277</v>
      </c>
      <c r="M976" t="s">
        <v>191</v>
      </c>
      <c r="N976" t="s">
        <v>500</v>
      </c>
      <c r="Q976">
        <f t="shared" si="182"/>
        <v>18977</v>
      </c>
      <c r="R976" t="str">
        <f t="shared" si="182"/>
        <v>Velodrome</v>
      </c>
      <c r="S976" t="str">
        <f t="shared" si="182"/>
        <v>HollowBrook</v>
      </c>
      <c r="T976" s="20">
        <f t="shared" si="175"/>
        <v>0</v>
      </c>
      <c r="U976">
        <f t="shared" si="176"/>
        <v>949</v>
      </c>
      <c r="V976">
        <f t="shared" si="177"/>
        <v>949</v>
      </c>
      <c r="W976">
        <v>35</v>
      </c>
      <c r="X976" t="str">
        <f t="shared" si="174"/>
        <v>event_team_player_1</v>
      </c>
      <c r="Y976">
        <f>COUNTIFS(A$3:A976,"="&amp;A976,K$3:K976,"="&amp;K976)</f>
        <v>1</v>
      </c>
      <c r="Z976" s="20">
        <f>SUMIFS(T$3:T976,L$3:L976,"=Intermission")+SUMIFS(T$3:T976,L$3:L976,"=Timeout")+SUMIFS(T$3:T976,L$3:L976,"=Clockstop")</f>
        <v>68</v>
      </c>
      <c r="AA976">
        <f t="shared" si="178"/>
        <v>1148</v>
      </c>
      <c r="AB976" s="26">
        <f t="shared" si="179"/>
        <v>330</v>
      </c>
      <c r="AC976">
        <f t="shared" si="180"/>
        <v>1216</v>
      </c>
    </row>
    <row r="977" spans="1:29" x14ac:dyDescent="0.2">
      <c r="A977">
        <v>510</v>
      </c>
      <c r="D977">
        <f t="shared" si="181"/>
        <v>2</v>
      </c>
      <c r="E977">
        <v>15</v>
      </c>
      <c r="F977" s="6" t="s">
        <v>436</v>
      </c>
      <c r="G977">
        <v>15</v>
      </c>
      <c r="H977" s="8" t="s">
        <v>454</v>
      </c>
      <c r="I977" t="s">
        <v>179</v>
      </c>
      <c r="J977">
        <v>18</v>
      </c>
      <c r="K977" t="s">
        <v>488</v>
      </c>
      <c r="L977" t="s">
        <v>15</v>
      </c>
      <c r="Q977">
        <f t="shared" si="182"/>
        <v>18977</v>
      </c>
      <c r="R977" t="str">
        <f t="shared" si="182"/>
        <v>Velodrome</v>
      </c>
      <c r="S977" t="str">
        <f t="shared" si="182"/>
        <v>HollowBrook</v>
      </c>
      <c r="T977" s="20">
        <f t="shared" si="175"/>
        <v>2</v>
      </c>
      <c r="U977">
        <f t="shared" si="176"/>
        <v>945</v>
      </c>
      <c r="V977">
        <f t="shared" si="177"/>
        <v>943</v>
      </c>
      <c r="W977" cm="1">
        <f t="array" ref="W977">_xlfn._xlws.FILTER(shifts!A:A,(shifts!B:B=events!D977)*(shifts!AH:AH&gt;=events!U977)*(shifts!AI:AI&lt;=events!V977))</f>
        <v>35</v>
      </c>
      <c r="X977" t="str">
        <f t="shared" si="174"/>
        <v>event_team_player_1</v>
      </c>
      <c r="Y977">
        <f>COUNTIFS(A$3:A977,"="&amp;A977,K$3:K977,"="&amp;K977)</f>
        <v>1</v>
      </c>
      <c r="Z977" s="20">
        <f>SUMIFS(T$3:T977,L$3:L977,"=Intermission")+SUMIFS(T$3:T977,L$3:L977,"=Timeout")+SUMIFS(T$3:T977,L$3:L977,"=Clockstop")</f>
        <v>68</v>
      </c>
      <c r="AA977">
        <f t="shared" si="178"/>
        <v>1148</v>
      </c>
      <c r="AB977" s="26">
        <f t="shared" si="179"/>
        <v>338</v>
      </c>
      <c r="AC977">
        <f t="shared" si="180"/>
        <v>1216</v>
      </c>
    </row>
    <row r="978" spans="1:29" x14ac:dyDescent="0.2">
      <c r="A978">
        <v>511</v>
      </c>
      <c r="D978">
        <f t="shared" si="181"/>
        <v>2</v>
      </c>
      <c r="E978">
        <v>15</v>
      </c>
      <c r="F978" s="6" t="s">
        <v>454</v>
      </c>
      <c r="I978" t="s">
        <v>179</v>
      </c>
      <c r="J978">
        <v>18</v>
      </c>
      <c r="K978" t="s">
        <v>488</v>
      </c>
      <c r="L978" t="s">
        <v>8</v>
      </c>
      <c r="M978" t="s">
        <v>199</v>
      </c>
      <c r="N978" t="s">
        <v>70</v>
      </c>
      <c r="Q978">
        <f t="shared" si="182"/>
        <v>18977</v>
      </c>
      <c r="R978" t="str">
        <f t="shared" si="182"/>
        <v>Velodrome</v>
      </c>
      <c r="S978" t="str">
        <f t="shared" si="182"/>
        <v>HollowBrook</v>
      </c>
      <c r="T978" s="20">
        <f t="shared" si="175"/>
        <v>0</v>
      </c>
      <c r="U978">
        <f t="shared" si="176"/>
        <v>943</v>
      </c>
      <c r="V978">
        <f t="shared" si="177"/>
        <v>943</v>
      </c>
      <c r="W978" cm="1">
        <f t="array" ref="W978">_xlfn._xlws.FILTER(shifts!A:A,(shifts!B:B=events!D978)*(shifts!AH:AH&gt;=events!U978)*(shifts!AI:AI&lt;=events!V978))</f>
        <v>35</v>
      </c>
      <c r="X978" t="str">
        <f t="shared" si="174"/>
        <v>event_team_player_1</v>
      </c>
      <c r="Y978">
        <f>COUNTIFS(A$3:A978,"="&amp;A978,K$3:K978,"="&amp;K978)</f>
        <v>1</v>
      </c>
      <c r="Z978" s="20">
        <f>SUMIFS(T$3:T978,L$3:L978,"=Intermission")+SUMIFS(T$3:T978,L$3:L978,"=Timeout")+SUMIFS(T$3:T978,L$3:L978,"=Clockstop")</f>
        <v>68</v>
      </c>
      <c r="AA978">
        <f t="shared" si="178"/>
        <v>1148</v>
      </c>
      <c r="AB978" s="26">
        <f t="shared" si="179"/>
        <v>342</v>
      </c>
      <c r="AC978">
        <f t="shared" si="180"/>
        <v>1216</v>
      </c>
    </row>
    <row r="979" spans="1:29" x14ac:dyDescent="0.2">
      <c r="A979">
        <v>511</v>
      </c>
      <c r="D979">
        <f t="shared" si="181"/>
        <v>2</v>
      </c>
      <c r="E979">
        <v>15</v>
      </c>
      <c r="F979" s="6" t="s">
        <v>454</v>
      </c>
      <c r="I979" t="s">
        <v>179</v>
      </c>
      <c r="J979">
        <v>13</v>
      </c>
      <c r="K979" t="s">
        <v>488</v>
      </c>
      <c r="L979" t="s">
        <v>8</v>
      </c>
      <c r="M979" t="s">
        <v>199</v>
      </c>
      <c r="N979" t="s">
        <v>70</v>
      </c>
      <c r="Q979">
        <f t="shared" si="182"/>
        <v>18977</v>
      </c>
      <c r="R979" t="str">
        <f t="shared" si="182"/>
        <v>Velodrome</v>
      </c>
      <c r="S979" t="str">
        <f t="shared" si="182"/>
        <v>HollowBrook</v>
      </c>
      <c r="T979" s="20">
        <f t="shared" si="175"/>
        <v>0</v>
      </c>
      <c r="U979">
        <f t="shared" si="176"/>
        <v>943</v>
      </c>
      <c r="V979">
        <f t="shared" si="177"/>
        <v>943</v>
      </c>
      <c r="W979" cm="1">
        <f t="array" ref="W979">_xlfn._xlws.FILTER(shifts!A:A,(shifts!B:B=events!D979)*(shifts!AH:AH&gt;=events!U979)*(shifts!AI:AI&lt;=events!V979))</f>
        <v>35</v>
      </c>
      <c r="X979" t="str">
        <f t="shared" si="174"/>
        <v>event_team_player_2</v>
      </c>
      <c r="Y979">
        <f>COUNTIFS(A$3:A979,"="&amp;A979,K$3:K979,"="&amp;K979)</f>
        <v>2</v>
      </c>
      <c r="Z979" s="20">
        <f>SUMIFS(T$3:T979,L$3:L979,"=Intermission")+SUMIFS(T$3:T979,L$3:L979,"=Timeout")+SUMIFS(T$3:T979,L$3:L979,"=Clockstop")</f>
        <v>68</v>
      </c>
      <c r="AA979">
        <f t="shared" si="178"/>
        <v>1148</v>
      </c>
      <c r="AB979" s="26">
        <f t="shared" si="179"/>
        <v>342</v>
      </c>
      <c r="AC979">
        <f t="shared" si="180"/>
        <v>1216</v>
      </c>
    </row>
    <row r="980" spans="1:29" x14ac:dyDescent="0.2">
      <c r="A980">
        <v>512</v>
      </c>
      <c r="D980">
        <f t="shared" si="181"/>
        <v>2</v>
      </c>
      <c r="E980">
        <v>15</v>
      </c>
      <c r="F980" s="6" t="s">
        <v>454</v>
      </c>
      <c r="I980" t="s">
        <v>179</v>
      </c>
      <c r="J980">
        <v>18</v>
      </c>
      <c r="K980" t="s">
        <v>488</v>
      </c>
      <c r="L980" t="s">
        <v>277</v>
      </c>
      <c r="M980" t="s">
        <v>201</v>
      </c>
      <c r="N980" t="s">
        <v>91</v>
      </c>
      <c r="Q980">
        <f t="shared" si="182"/>
        <v>18977</v>
      </c>
      <c r="R980" t="str">
        <f t="shared" si="182"/>
        <v>Velodrome</v>
      </c>
      <c r="S980" t="str">
        <f t="shared" si="182"/>
        <v>HollowBrook</v>
      </c>
      <c r="T980" s="20">
        <f t="shared" si="175"/>
        <v>0</v>
      </c>
      <c r="U980">
        <f t="shared" si="176"/>
        <v>943</v>
      </c>
      <c r="V980">
        <f t="shared" si="177"/>
        <v>943</v>
      </c>
      <c r="W980" cm="1">
        <f t="array" ref="W980">_xlfn._xlws.FILTER(shifts!A:A,(shifts!B:B=events!D980)*(shifts!AH:AH&gt;=events!U980)*(shifts!AI:AI&lt;=events!V980))</f>
        <v>35</v>
      </c>
      <c r="X980" t="str">
        <f t="shared" si="174"/>
        <v>event_team_player_1</v>
      </c>
      <c r="Y980">
        <f>COUNTIFS(A$3:A980,"="&amp;A980,K$3:K980,"="&amp;K980)</f>
        <v>1</v>
      </c>
      <c r="Z980" s="20">
        <f>SUMIFS(T$3:T980,L$3:L980,"=Intermission")+SUMIFS(T$3:T980,L$3:L980,"=Timeout")+SUMIFS(T$3:T980,L$3:L980,"=Clockstop")</f>
        <v>68</v>
      </c>
      <c r="AA980">
        <f t="shared" si="178"/>
        <v>1148</v>
      </c>
      <c r="AB980" s="26">
        <f t="shared" si="179"/>
        <v>342</v>
      </c>
      <c r="AC980">
        <f t="shared" si="180"/>
        <v>1216</v>
      </c>
    </row>
    <row r="981" spans="1:29" x14ac:dyDescent="0.2">
      <c r="A981">
        <v>512</v>
      </c>
      <c r="D981">
        <f t="shared" si="181"/>
        <v>2</v>
      </c>
      <c r="E981">
        <v>15</v>
      </c>
      <c r="F981" s="6" t="s">
        <v>454</v>
      </c>
      <c r="I981" t="s">
        <v>179</v>
      </c>
      <c r="J981">
        <v>13</v>
      </c>
      <c r="K981" t="s">
        <v>488</v>
      </c>
      <c r="L981" t="s">
        <v>277</v>
      </c>
      <c r="M981" t="s">
        <v>201</v>
      </c>
      <c r="N981" t="s">
        <v>91</v>
      </c>
      <c r="Q981">
        <f t="shared" ref="Q981:S996" si="183">Q980</f>
        <v>18977</v>
      </c>
      <c r="R981" t="str">
        <f t="shared" si="183"/>
        <v>Velodrome</v>
      </c>
      <c r="S981" t="str">
        <f t="shared" si="183"/>
        <v>HollowBrook</v>
      </c>
      <c r="T981" s="20">
        <f t="shared" si="175"/>
        <v>0</v>
      </c>
      <c r="U981">
        <f t="shared" si="176"/>
        <v>943</v>
      </c>
      <c r="V981">
        <f t="shared" si="177"/>
        <v>943</v>
      </c>
      <c r="W981" cm="1">
        <f t="array" ref="W981">_xlfn._xlws.FILTER(shifts!A:A,(shifts!B:B=events!D981)*(shifts!AH:AH&gt;=events!U981)*(shifts!AI:AI&lt;=events!V981))</f>
        <v>35</v>
      </c>
      <c r="X981" t="str">
        <f t="shared" si="174"/>
        <v>event_team_player_2</v>
      </c>
      <c r="Y981">
        <f>COUNTIFS(A$3:A981,"="&amp;A981,K$3:K981,"="&amp;K981)</f>
        <v>2</v>
      </c>
      <c r="Z981" s="20">
        <f>SUMIFS(T$3:T981,L$3:L981,"=Intermission")+SUMIFS(T$3:T981,L$3:L981,"=Timeout")+SUMIFS(T$3:T981,L$3:L981,"=Clockstop")</f>
        <v>68</v>
      </c>
      <c r="AA981">
        <f t="shared" si="178"/>
        <v>1148</v>
      </c>
      <c r="AB981" s="26">
        <f t="shared" si="179"/>
        <v>342</v>
      </c>
      <c r="AC981">
        <f t="shared" si="180"/>
        <v>1216</v>
      </c>
    </row>
    <row r="982" spans="1:29" x14ac:dyDescent="0.2">
      <c r="A982">
        <v>513</v>
      </c>
      <c r="D982">
        <f t="shared" si="181"/>
        <v>2</v>
      </c>
      <c r="E982">
        <v>15</v>
      </c>
      <c r="F982" s="6" t="s">
        <v>454</v>
      </c>
      <c r="I982" t="s">
        <v>179</v>
      </c>
      <c r="J982">
        <v>18</v>
      </c>
      <c r="K982" t="s">
        <v>488</v>
      </c>
      <c r="L982" t="s">
        <v>10</v>
      </c>
      <c r="M982" t="s">
        <v>190</v>
      </c>
      <c r="N982" t="s">
        <v>76</v>
      </c>
      <c r="Q982">
        <f t="shared" si="183"/>
        <v>18977</v>
      </c>
      <c r="R982" t="str">
        <f t="shared" si="183"/>
        <v>Velodrome</v>
      </c>
      <c r="S982" t="str">
        <f t="shared" si="183"/>
        <v>HollowBrook</v>
      </c>
      <c r="T982" s="20">
        <f t="shared" si="175"/>
        <v>0</v>
      </c>
      <c r="U982">
        <f t="shared" si="176"/>
        <v>943</v>
      </c>
      <c r="V982">
        <f t="shared" si="177"/>
        <v>943</v>
      </c>
      <c r="W982" cm="1">
        <f t="array" ref="W982">_xlfn._xlws.FILTER(shifts!A:A,(shifts!B:B=events!D982)*(shifts!AH:AH&gt;=events!U982)*(shifts!AI:AI&lt;=events!V982))</f>
        <v>35</v>
      </c>
      <c r="X982" t="str">
        <f t="shared" si="174"/>
        <v>event_team_player_1</v>
      </c>
      <c r="Y982">
        <f>COUNTIFS(A$3:A982,"="&amp;A982,K$3:K982,"="&amp;K982)</f>
        <v>1</v>
      </c>
      <c r="Z982" s="20">
        <f>SUMIFS(T$3:T982,L$3:L982,"=Intermission")+SUMIFS(T$3:T982,L$3:L982,"=Timeout")+SUMIFS(T$3:T982,L$3:L982,"=Clockstop")</f>
        <v>68</v>
      </c>
      <c r="AA982">
        <f t="shared" si="178"/>
        <v>1148</v>
      </c>
      <c r="AB982" s="26">
        <f t="shared" si="179"/>
        <v>342</v>
      </c>
      <c r="AC982">
        <f t="shared" si="180"/>
        <v>1216</v>
      </c>
    </row>
    <row r="983" spans="1:29" x14ac:dyDescent="0.2">
      <c r="A983">
        <v>514</v>
      </c>
      <c r="D983">
        <f t="shared" si="181"/>
        <v>2</v>
      </c>
      <c r="E983">
        <v>15</v>
      </c>
      <c r="F983" s="6" t="s">
        <v>437</v>
      </c>
      <c r="I983" t="s">
        <v>178</v>
      </c>
      <c r="J983">
        <v>87</v>
      </c>
      <c r="K983" t="s">
        <v>488</v>
      </c>
      <c r="L983" t="s">
        <v>277</v>
      </c>
      <c r="M983" t="s">
        <v>191</v>
      </c>
      <c r="N983" t="s">
        <v>89</v>
      </c>
      <c r="Q983">
        <f t="shared" si="183"/>
        <v>18977</v>
      </c>
      <c r="R983" t="str">
        <f t="shared" si="183"/>
        <v>Velodrome</v>
      </c>
      <c r="S983" t="str">
        <f t="shared" si="183"/>
        <v>HollowBrook</v>
      </c>
      <c r="T983" s="20">
        <f t="shared" si="175"/>
        <v>0</v>
      </c>
      <c r="U983">
        <f t="shared" si="176"/>
        <v>940</v>
      </c>
      <c r="V983">
        <f t="shared" si="177"/>
        <v>940</v>
      </c>
      <c r="W983" cm="1">
        <f t="array" ref="W983">_xlfn._xlws.FILTER(shifts!A:A,(shifts!B:B=events!D983)*(shifts!AH:AH&gt;=events!U983)*(shifts!AI:AI&lt;=events!V983))</f>
        <v>35</v>
      </c>
      <c r="X983" t="str">
        <f t="shared" si="174"/>
        <v>event_team_player_1</v>
      </c>
      <c r="Y983">
        <f>COUNTIFS(A$3:A983,"="&amp;A983,K$3:K983,"="&amp;K983)</f>
        <v>1</v>
      </c>
      <c r="Z983" s="20">
        <f>SUMIFS(T$3:T983,L$3:L983,"=Intermission")+SUMIFS(T$3:T983,L$3:L983,"=Timeout")+SUMIFS(T$3:T983,L$3:L983,"=Clockstop")</f>
        <v>68</v>
      </c>
      <c r="AA983">
        <f t="shared" si="178"/>
        <v>1148</v>
      </c>
      <c r="AB983" s="26">
        <f t="shared" si="179"/>
        <v>348</v>
      </c>
      <c r="AC983">
        <f t="shared" si="180"/>
        <v>1216</v>
      </c>
    </row>
    <row r="984" spans="1:29" x14ac:dyDescent="0.2">
      <c r="A984">
        <v>515</v>
      </c>
      <c r="D984">
        <f t="shared" si="181"/>
        <v>2</v>
      </c>
      <c r="E984">
        <v>15</v>
      </c>
      <c r="F984" s="6" t="s">
        <v>437</v>
      </c>
      <c r="I984" t="s">
        <v>178</v>
      </c>
      <c r="J984">
        <v>87</v>
      </c>
      <c r="K984" t="s">
        <v>488</v>
      </c>
      <c r="L984" t="s">
        <v>10</v>
      </c>
      <c r="M984" t="s">
        <v>190</v>
      </c>
      <c r="N984" t="s">
        <v>460</v>
      </c>
      <c r="Q984">
        <f t="shared" si="183"/>
        <v>18977</v>
      </c>
      <c r="R984" t="str">
        <f t="shared" si="183"/>
        <v>Velodrome</v>
      </c>
      <c r="S984" t="str">
        <f t="shared" si="183"/>
        <v>HollowBrook</v>
      </c>
      <c r="T984" s="20">
        <f t="shared" si="175"/>
        <v>0</v>
      </c>
      <c r="U984">
        <f t="shared" si="176"/>
        <v>940</v>
      </c>
      <c r="V984">
        <f t="shared" si="177"/>
        <v>940</v>
      </c>
      <c r="W984" cm="1">
        <f t="array" ref="W984">_xlfn._xlws.FILTER(shifts!A:A,(shifts!B:B=events!D984)*(shifts!AH:AH&gt;=events!U984)*(shifts!AI:AI&lt;=events!V984))</f>
        <v>35</v>
      </c>
      <c r="X984" t="str">
        <f t="shared" si="174"/>
        <v>event_team_player_1</v>
      </c>
      <c r="Y984">
        <f>COUNTIFS(A$3:A984,"="&amp;A984,K$3:K984,"="&amp;K984)</f>
        <v>1</v>
      </c>
      <c r="Z984" s="20">
        <f>SUMIFS(T$3:T984,L$3:L984,"=Intermission")+SUMIFS(T$3:T984,L$3:L984,"=Timeout")+SUMIFS(T$3:T984,L$3:L984,"=Clockstop")</f>
        <v>68</v>
      </c>
      <c r="AA984">
        <f t="shared" si="178"/>
        <v>1148</v>
      </c>
      <c r="AB984" s="26">
        <f t="shared" si="179"/>
        <v>348</v>
      </c>
      <c r="AC984">
        <f t="shared" si="180"/>
        <v>1216</v>
      </c>
    </row>
    <row r="985" spans="1:29" x14ac:dyDescent="0.2">
      <c r="A985">
        <v>516</v>
      </c>
      <c r="D985">
        <f t="shared" si="181"/>
        <v>2</v>
      </c>
      <c r="E985">
        <v>15</v>
      </c>
      <c r="F985" s="6" t="s">
        <v>439</v>
      </c>
      <c r="G985">
        <v>15</v>
      </c>
      <c r="H985" s="8" t="s">
        <v>494</v>
      </c>
      <c r="I985" t="s">
        <v>179</v>
      </c>
      <c r="J985">
        <v>2</v>
      </c>
      <c r="K985" t="s">
        <v>488</v>
      </c>
      <c r="L985" t="s">
        <v>15</v>
      </c>
      <c r="Q985">
        <f t="shared" si="183"/>
        <v>18977</v>
      </c>
      <c r="R985" t="str">
        <f t="shared" si="183"/>
        <v>Velodrome</v>
      </c>
      <c r="S985" t="str">
        <f t="shared" si="183"/>
        <v>HollowBrook</v>
      </c>
      <c r="T985" s="20">
        <f t="shared" si="175"/>
        <v>2</v>
      </c>
      <c r="U985">
        <f t="shared" si="176"/>
        <v>934</v>
      </c>
      <c r="V985">
        <f t="shared" si="177"/>
        <v>932</v>
      </c>
      <c r="W985" cm="1">
        <f t="array" ref="W985">_xlfn._xlws.FILTER(shifts!A:A,(shifts!B:B=events!D985)*(shifts!AH:AH&gt;=events!U985)*(shifts!AI:AI&lt;=events!V985))</f>
        <v>36</v>
      </c>
      <c r="X985" t="str">
        <f t="shared" si="174"/>
        <v>event_team_player_1</v>
      </c>
      <c r="Y985">
        <f>COUNTIFS(A$3:A985,"="&amp;A985,K$3:K985,"="&amp;K985)</f>
        <v>1</v>
      </c>
      <c r="Z985" s="20">
        <f>SUMIFS(T$3:T985,L$3:L985,"=Intermission")+SUMIFS(T$3:T985,L$3:L985,"=Timeout")+SUMIFS(T$3:T985,L$3:L985,"=Clockstop")</f>
        <v>68</v>
      </c>
      <c r="AA985">
        <f t="shared" si="178"/>
        <v>1148</v>
      </c>
      <c r="AB985" s="26">
        <f t="shared" si="179"/>
        <v>360</v>
      </c>
      <c r="AC985">
        <f t="shared" si="180"/>
        <v>1216</v>
      </c>
    </row>
    <row r="986" spans="1:29" x14ac:dyDescent="0.2">
      <c r="A986">
        <v>517</v>
      </c>
      <c r="D986">
        <f t="shared" si="181"/>
        <v>2</v>
      </c>
      <c r="E986">
        <v>15</v>
      </c>
      <c r="F986" s="6" t="s">
        <v>494</v>
      </c>
      <c r="I986" t="s">
        <v>179</v>
      </c>
      <c r="J986">
        <v>2</v>
      </c>
      <c r="K986" t="s">
        <v>488</v>
      </c>
      <c r="L986" t="s">
        <v>8</v>
      </c>
      <c r="M986" t="s">
        <v>189</v>
      </c>
      <c r="N986" t="s">
        <v>70</v>
      </c>
      <c r="Q986">
        <f t="shared" si="183"/>
        <v>18977</v>
      </c>
      <c r="R986" t="str">
        <f t="shared" si="183"/>
        <v>Velodrome</v>
      </c>
      <c r="S986" t="str">
        <f t="shared" si="183"/>
        <v>HollowBrook</v>
      </c>
      <c r="T986" s="20">
        <f t="shared" si="175"/>
        <v>0</v>
      </c>
      <c r="U986">
        <f t="shared" si="176"/>
        <v>932</v>
      </c>
      <c r="V986">
        <f t="shared" si="177"/>
        <v>932</v>
      </c>
      <c r="W986" cm="1">
        <f t="array" ref="W986">_xlfn._xlws.FILTER(shifts!A:A,(shifts!B:B=events!D986)*(shifts!AH:AH&gt;=events!U986)*(shifts!AI:AI&lt;=events!V986))</f>
        <v>36</v>
      </c>
      <c r="X986" t="str">
        <f t="shared" si="174"/>
        <v>event_team_player_1</v>
      </c>
      <c r="Y986">
        <f>COUNTIFS(A$3:A986,"="&amp;A986,K$3:K986,"="&amp;K986)</f>
        <v>1</v>
      </c>
      <c r="Z986" s="20">
        <f>SUMIFS(T$3:T986,L$3:L986,"=Intermission")+SUMIFS(T$3:T986,L$3:L986,"=Timeout")+SUMIFS(T$3:T986,L$3:L986,"=Clockstop")</f>
        <v>68</v>
      </c>
      <c r="AA986">
        <f t="shared" si="178"/>
        <v>1148</v>
      </c>
      <c r="AB986" s="26">
        <f t="shared" si="179"/>
        <v>364</v>
      </c>
      <c r="AC986">
        <f t="shared" si="180"/>
        <v>1216</v>
      </c>
    </row>
    <row r="987" spans="1:29" x14ac:dyDescent="0.2">
      <c r="A987">
        <v>517</v>
      </c>
      <c r="D987">
        <f t="shared" si="181"/>
        <v>2</v>
      </c>
      <c r="E987">
        <v>15</v>
      </c>
      <c r="F987" s="6" t="s">
        <v>494</v>
      </c>
      <c r="I987" t="s">
        <v>179</v>
      </c>
      <c r="J987">
        <v>18</v>
      </c>
      <c r="K987" t="s">
        <v>488</v>
      </c>
      <c r="L987" t="s">
        <v>8</v>
      </c>
      <c r="M987" t="s">
        <v>189</v>
      </c>
      <c r="N987" t="s">
        <v>70</v>
      </c>
      <c r="Q987">
        <f t="shared" si="183"/>
        <v>18977</v>
      </c>
      <c r="R987" t="str">
        <f t="shared" si="183"/>
        <v>Velodrome</v>
      </c>
      <c r="S987" t="str">
        <f t="shared" si="183"/>
        <v>HollowBrook</v>
      </c>
      <c r="T987" s="20">
        <f t="shared" si="175"/>
        <v>0</v>
      </c>
      <c r="U987">
        <f t="shared" si="176"/>
        <v>932</v>
      </c>
      <c r="V987">
        <f t="shared" si="177"/>
        <v>932</v>
      </c>
      <c r="W987" cm="1">
        <f t="array" ref="W987">_xlfn._xlws.FILTER(shifts!A:A,(shifts!B:B=events!D987)*(shifts!AH:AH&gt;=events!U987)*(shifts!AI:AI&lt;=events!V987))</f>
        <v>36</v>
      </c>
      <c r="X987" t="str">
        <f t="shared" si="174"/>
        <v>event_team_player_2</v>
      </c>
      <c r="Y987">
        <f>COUNTIFS(A$3:A987,"="&amp;A987,K$3:K987,"="&amp;K987)</f>
        <v>2</v>
      </c>
      <c r="Z987" s="20">
        <f>SUMIFS(T$3:T987,L$3:L987,"=Intermission")+SUMIFS(T$3:T987,L$3:L987,"=Timeout")+SUMIFS(T$3:T987,L$3:L987,"=Clockstop")</f>
        <v>68</v>
      </c>
      <c r="AA987">
        <f t="shared" si="178"/>
        <v>1148</v>
      </c>
      <c r="AB987" s="26">
        <f t="shared" si="179"/>
        <v>364</v>
      </c>
      <c r="AC987">
        <f t="shared" si="180"/>
        <v>1216</v>
      </c>
    </row>
    <row r="988" spans="1:29" x14ac:dyDescent="0.2">
      <c r="A988">
        <v>518</v>
      </c>
      <c r="D988">
        <f t="shared" si="181"/>
        <v>2</v>
      </c>
      <c r="E988">
        <v>15</v>
      </c>
      <c r="F988" s="6" t="s">
        <v>472</v>
      </c>
      <c r="I988" t="s">
        <v>179</v>
      </c>
      <c r="J988">
        <v>18</v>
      </c>
      <c r="K988" t="s">
        <v>488</v>
      </c>
      <c r="L988" t="s">
        <v>8</v>
      </c>
      <c r="M988" t="s">
        <v>199</v>
      </c>
      <c r="N988" t="s">
        <v>70</v>
      </c>
      <c r="Q988">
        <f t="shared" si="183"/>
        <v>18977</v>
      </c>
      <c r="R988" t="str">
        <f t="shared" si="183"/>
        <v>Velodrome</v>
      </c>
      <c r="S988" t="str">
        <f t="shared" si="183"/>
        <v>HollowBrook</v>
      </c>
      <c r="T988" s="20">
        <f t="shared" si="175"/>
        <v>0</v>
      </c>
      <c r="U988">
        <f t="shared" si="176"/>
        <v>930</v>
      </c>
      <c r="V988">
        <f t="shared" si="177"/>
        <v>930</v>
      </c>
      <c r="W988" cm="1">
        <f t="array" ref="W988">_xlfn._xlws.FILTER(shifts!A:A,(shifts!B:B=events!D988)*(shifts!AH:AH&gt;=events!U988)*(shifts!AI:AI&lt;=events!V988))</f>
        <v>36</v>
      </c>
      <c r="X988" t="str">
        <f t="shared" si="174"/>
        <v>event_team_player_1</v>
      </c>
      <c r="Y988">
        <f>COUNTIFS(A$3:A988,"="&amp;A988,K$3:K988,"="&amp;K988)</f>
        <v>1</v>
      </c>
      <c r="Z988" s="20">
        <f>SUMIFS(T$3:T988,L$3:L988,"=Intermission")+SUMIFS(T$3:T988,L$3:L988,"=Timeout")+SUMIFS(T$3:T988,L$3:L988,"=Clockstop")</f>
        <v>68</v>
      </c>
      <c r="AA988">
        <f t="shared" si="178"/>
        <v>1148</v>
      </c>
      <c r="AB988" s="26">
        <f t="shared" si="179"/>
        <v>368</v>
      </c>
      <c r="AC988">
        <f t="shared" si="180"/>
        <v>1216</v>
      </c>
    </row>
    <row r="989" spans="1:29" x14ac:dyDescent="0.2">
      <c r="A989">
        <v>518</v>
      </c>
      <c r="D989">
        <f t="shared" si="181"/>
        <v>2</v>
      </c>
      <c r="E989">
        <v>15</v>
      </c>
      <c r="F989" s="6" t="s">
        <v>472</v>
      </c>
      <c r="I989" t="s">
        <v>179</v>
      </c>
      <c r="J989">
        <v>13</v>
      </c>
      <c r="K989" t="s">
        <v>488</v>
      </c>
      <c r="L989" t="s">
        <v>8</v>
      </c>
      <c r="M989" t="s">
        <v>199</v>
      </c>
      <c r="N989" t="s">
        <v>70</v>
      </c>
      <c r="Q989">
        <f t="shared" si="183"/>
        <v>18977</v>
      </c>
      <c r="R989" t="str">
        <f t="shared" si="183"/>
        <v>Velodrome</v>
      </c>
      <c r="S989" t="str">
        <f t="shared" si="183"/>
        <v>HollowBrook</v>
      </c>
      <c r="T989" s="20">
        <f t="shared" si="175"/>
        <v>0</v>
      </c>
      <c r="U989">
        <f t="shared" si="176"/>
        <v>930</v>
      </c>
      <c r="V989">
        <f t="shared" si="177"/>
        <v>930</v>
      </c>
      <c r="W989" cm="1">
        <f t="array" ref="W989">_xlfn._xlws.FILTER(shifts!A:A,(shifts!B:B=events!D989)*(shifts!AH:AH&gt;=events!U989)*(shifts!AI:AI&lt;=events!V989))</f>
        <v>36</v>
      </c>
      <c r="X989" t="str">
        <f t="shared" si="174"/>
        <v>event_team_player_2</v>
      </c>
      <c r="Y989">
        <f>COUNTIFS(A$3:A989,"="&amp;A989,K$3:K989,"="&amp;K989)</f>
        <v>2</v>
      </c>
      <c r="Z989" s="20">
        <f>SUMIFS(T$3:T989,L$3:L989,"=Intermission")+SUMIFS(T$3:T989,L$3:L989,"=Timeout")+SUMIFS(T$3:T989,L$3:L989,"=Clockstop")</f>
        <v>68</v>
      </c>
      <c r="AA989">
        <f t="shared" si="178"/>
        <v>1148</v>
      </c>
      <c r="AB989" s="26">
        <f t="shared" si="179"/>
        <v>368</v>
      </c>
      <c r="AC989">
        <f t="shared" si="180"/>
        <v>1216</v>
      </c>
    </row>
    <row r="990" spans="1:29" x14ac:dyDescent="0.2">
      <c r="A990">
        <v>519</v>
      </c>
      <c r="D990">
        <f t="shared" si="181"/>
        <v>2</v>
      </c>
      <c r="E990">
        <v>15</v>
      </c>
      <c r="F990" s="6" t="s">
        <v>443</v>
      </c>
      <c r="I990" t="s">
        <v>179</v>
      </c>
      <c r="J990">
        <v>2</v>
      </c>
      <c r="K990" t="s">
        <v>488</v>
      </c>
      <c r="L990" t="s">
        <v>277</v>
      </c>
      <c r="M990" t="s">
        <v>201</v>
      </c>
      <c r="N990" t="s">
        <v>90</v>
      </c>
      <c r="Q990">
        <f t="shared" si="183"/>
        <v>18977</v>
      </c>
      <c r="R990" t="str">
        <f t="shared" si="183"/>
        <v>Velodrome</v>
      </c>
      <c r="S990" t="str">
        <f t="shared" si="183"/>
        <v>HollowBrook</v>
      </c>
      <c r="T990" s="20">
        <f t="shared" si="175"/>
        <v>0</v>
      </c>
      <c r="U990">
        <f t="shared" si="176"/>
        <v>926</v>
      </c>
      <c r="V990">
        <f t="shared" si="177"/>
        <v>926</v>
      </c>
      <c r="W990" cm="1">
        <f t="array" ref="W990">_xlfn._xlws.FILTER(shifts!A:A,(shifts!B:B=events!D990)*(shifts!AH:AH&gt;=events!U990)*(shifts!AI:AI&lt;=events!V990))</f>
        <v>36</v>
      </c>
      <c r="X990" t="str">
        <f t="shared" si="174"/>
        <v>event_team_player_1</v>
      </c>
      <c r="Y990">
        <f>COUNTIFS(A$3:A990,"="&amp;A990,K$3:K990,"="&amp;K990)</f>
        <v>1</v>
      </c>
      <c r="Z990" s="20">
        <f>SUMIFS(T$3:T990,L$3:L990,"=Intermission")+SUMIFS(T$3:T990,L$3:L990,"=Timeout")+SUMIFS(T$3:T990,L$3:L990,"=Clockstop")</f>
        <v>68</v>
      </c>
      <c r="AA990">
        <f t="shared" si="178"/>
        <v>1148</v>
      </c>
      <c r="AB990" s="26">
        <f t="shared" si="179"/>
        <v>376</v>
      </c>
      <c r="AC990">
        <f t="shared" si="180"/>
        <v>1216</v>
      </c>
    </row>
    <row r="991" spans="1:29" x14ac:dyDescent="0.2">
      <c r="A991">
        <v>520</v>
      </c>
      <c r="D991">
        <f t="shared" si="181"/>
        <v>2</v>
      </c>
      <c r="E991">
        <v>15</v>
      </c>
      <c r="F991" s="6" t="s">
        <v>444</v>
      </c>
      <c r="I991" t="s">
        <v>179</v>
      </c>
      <c r="J991">
        <v>2</v>
      </c>
      <c r="K991" t="s">
        <v>488</v>
      </c>
      <c r="L991" t="s">
        <v>8</v>
      </c>
      <c r="M991" t="s">
        <v>189</v>
      </c>
      <c r="N991" t="s">
        <v>70</v>
      </c>
      <c r="Q991">
        <f t="shared" si="183"/>
        <v>18977</v>
      </c>
      <c r="R991" t="str">
        <f t="shared" si="183"/>
        <v>Velodrome</v>
      </c>
      <c r="S991" t="str">
        <f t="shared" si="183"/>
        <v>HollowBrook</v>
      </c>
      <c r="T991" s="20">
        <f t="shared" si="175"/>
        <v>0</v>
      </c>
      <c r="U991">
        <f t="shared" si="176"/>
        <v>924</v>
      </c>
      <c r="V991">
        <f t="shared" si="177"/>
        <v>924</v>
      </c>
      <c r="W991" cm="1">
        <f t="array" ref="W991">_xlfn._xlws.FILTER(shifts!A:A,(shifts!B:B=events!D991)*(shifts!AH:AH&gt;=events!U991)*(shifts!AI:AI&lt;=events!V991))</f>
        <v>36</v>
      </c>
      <c r="X991" t="str">
        <f t="shared" si="174"/>
        <v>event_team_player_1</v>
      </c>
      <c r="Y991">
        <f>COUNTIFS(A$3:A991,"="&amp;A991,K$3:K991,"="&amp;K991)</f>
        <v>1</v>
      </c>
      <c r="Z991" s="20">
        <f>SUMIFS(T$3:T991,L$3:L991,"=Intermission")+SUMIFS(T$3:T991,L$3:L991,"=Timeout")+SUMIFS(T$3:T991,L$3:L991,"=Clockstop")</f>
        <v>68</v>
      </c>
      <c r="AA991">
        <f t="shared" si="178"/>
        <v>1148</v>
      </c>
      <c r="AB991" s="26">
        <f t="shared" si="179"/>
        <v>380</v>
      </c>
      <c r="AC991">
        <f t="shared" si="180"/>
        <v>1216</v>
      </c>
    </row>
    <row r="992" spans="1:29" x14ac:dyDescent="0.2">
      <c r="A992">
        <v>520</v>
      </c>
      <c r="D992">
        <f t="shared" si="181"/>
        <v>2</v>
      </c>
      <c r="E992">
        <v>15</v>
      </c>
      <c r="F992" s="6" t="s">
        <v>444</v>
      </c>
      <c r="I992" t="s">
        <v>179</v>
      </c>
      <c r="J992">
        <v>40</v>
      </c>
      <c r="K992" t="s">
        <v>488</v>
      </c>
      <c r="L992" t="s">
        <v>8</v>
      </c>
      <c r="M992" t="s">
        <v>189</v>
      </c>
      <c r="N992" t="s">
        <v>70</v>
      </c>
      <c r="Q992">
        <f t="shared" si="183"/>
        <v>18977</v>
      </c>
      <c r="R992" t="str">
        <f t="shared" si="183"/>
        <v>Velodrome</v>
      </c>
      <c r="S992" t="str">
        <f t="shared" si="183"/>
        <v>HollowBrook</v>
      </c>
      <c r="T992" s="20">
        <f t="shared" si="175"/>
        <v>0</v>
      </c>
      <c r="U992">
        <f t="shared" si="176"/>
        <v>924</v>
      </c>
      <c r="V992">
        <f t="shared" si="177"/>
        <v>924</v>
      </c>
      <c r="W992" cm="1">
        <f t="array" ref="W992">_xlfn._xlws.FILTER(shifts!A:A,(shifts!B:B=events!D992)*(shifts!AH:AH&gt;=events!U992)*(shifts!AI:AI&lt;=events!V992))</f>
        <v>36</v>
      </c>
      <c r="X992" t="str">
        <f t="shared" si="174"/>
        <v>event_team_player_2</v>
      </c>
      <c r="Y992">
        <f>COUNTIFS(A$3:A992,"="&amp;A992,K$3:K992,"="&amp;K992)</f>
        <v>2</v>
      </c>
      <c r="Z992" s="20">
        <f>SUMIFS(T$3:T992,L$3:L992,"=Intermission")+SUMIFS(T$3:T992,L$3:L992,"=Timeout")+SUMIFS(T$3:T992,L$3:L992,"=Clockstop")</f>
        <v>68</v>
      </c>
      <c r="AA992">
        <f t="shared" si="178"/>
        <v>1148</v>
      </c>
      <c r="AB992" s="26">
        <f t="shared" si="179"/>
        <v>380</v>
      </c>
      <c r="AC992">
        <f t="shared" si="180"/>
        <v>1216</v>
      </c>
    </row>
    <row r="993" spans="1:29" x14ac:dyDescent="0.2">
      <c r="A993">
        <v>521</v>
      </c>
      <c r="D993">
        <f t="shared" si="181"/>
        <v>2</v>
      </c>
      <c r="E993">
        <v>15</v>
      </c>
      <c r="F993" s="6" t="s">
        <v>473</v>
      </c>
      <c r="G993">
        <v>15</v>
      </c>
      <c r="H993" s="8" t="s">
        <v>422</v>
      </c>
      <c r="I993" t="s">
        <v>179</v>
      </c>
      <c r="J993">
        <v>40</v>
      </c>
      <c r="K993" t="s">
        <v>488</v>
      </c>
      <c r="L993" t="s">
        <v>15</v>
      </c>
      <c r="Q993">
        <f t="shared" si="183"/>
        <v>18977</v>
      </c>
      <c r="R993" t="str">
        <f t="shared" si="183"/>
        <v>Velodrome</v>
      </c>
      <c r="S993" t="str">
        <f t="shared" si="183"/>
        <v>HollowBrook</v>
      </c>
      <c r="T993" s="20">
        <f t="shared" si="175"/>
        <v>1</v>
      </c>
      <c r="U993">
        <f t="shared" si="176"/>
        <v>921</v>
      </c>
      <c r="V993">
        <f t="shared" si="177"/>
        <v>920</v>
      </c>
      <c r="W993" cm="1">
        <f t="array" ref="W993">_xlfn._xlws.FILTER(shifts!A:A,(shifts!B:B=events!D993)*(shifts!AH:AH&gt;=events!U993)*(shifts!AI:AI&lt;=events!V993))</f>
        <v>36</v>
      </c>
      <c r="X993" t="str">
        <f t="shared" si="174"/>
        <v>event_team_player_1</v>
      </c>
      <c r="Y993">
        <f>COUNTIFS(A$3:A993,"="&amp;A993,K$3:K993,"="&amp;K993)</f>
        <v>1</v>
      </c>
      <c r="Z993" s="20">
        <f>SUMIFS(T$3:T993,L$3:L993,"=Intermission")+SUMIFS(T$3:T993,L$3:L993,"=Timeout")+SUMIFS(T$3:T993,L$3:L993,"=Clockstop")</f>
        <v>68</v>
      </c>
      <c r="AA993">
        <f t="shared" si="178"/>
        <v>1148</v>
      </c>
      <c r="AB993" s="26">
        <f t="shared" si="179"/>
        <v>386</v>
      </c>
      <c r="AC993">
        <f t="shared" si="180"/>
        <v>1216</v>
      </c>
    </row>
    <row r="994" spans="1:29" x14ac:dyDescent="0.2">
      <c r="A994">
        <v>522</v>
      </c>
      <c r="D994">
        <f t="shared" si="181"/>
        <v>2</v>
      </c>
      <c r="E994">
        <v>15</v>
      </c>
      <c r="F994" s="6" t="s">
        <v>422</v>
      </c>
      <c r="I994" t="s">
        <v>179</v>
      </c>
      <c r="J994">
        <v>40</v>
      </c>
      <c r="K994" t="s">
        <v>488</v>
      </c>
      <c r="L994" t="s">
        <v>8</v>
      </c>
      <c r="M994" t="s">
        <v>199</v>
      </c>
      <c r="N994" t="s">
        <v>70</v>
      </c>
      <c r="Q994">
        <f t="shared" si="183"/>
        <v>18977</v>
      </c>
      <c r="R994" t="str">
        <f t="shared" si="183"/>
        <v>Velodrome</v>
      </c>
      <c r="S994" t="str">
        <f t="shared" si="183"/>
        <v>HollowBrook</v>
      </c>
      <c r="T994" s="20">
        <f t="shared" si="175"/>
        <v>0</v>
      </c>
      <c r="U994">
        <f t="shared" si="176"/>
        <v>920</v>
      </c>
      <c r="V994">
        <f t="shared" si="177"/>
        <v>920</v>
      </c>
      <c r="W994">
        <v>37</v>
      </c>
      <c r="X994" t="str">
        <f t="shared" si="174"/>
        <v>event_team_player_1</v>
      </c>
      <c r="Y994">
        <f>COUNTIFS(A$3:A994,"="&amp;A994,K$3:K994,"="&amp;K994)</f>
        <v>1</v>
      </c>
      <c r="Z994" s="20">
        <f>SUMIFS(T$3:T994,L$3:L994,"=Intermission")+SUMIFS(T$3:T994,L$3:L994,"=Timeout")+SUMIFS(T$3:T994,L$3:L994,"=Clockstop")</f>
        <v>68</v>
      </c>
      <c r="AA994">
        <f t="shared" si="178"/>
        <v>1148</v>
      </c>
      <c r="AB994" s="26">
        <f t="shared" si="179"/>
        <v>388</v>
      </c>
      <c r="AC994">
        <f t="shared" si="180"/>
        <v>1216</v>
      </c>
    </row>
    <row r="995" spans="1:29" x14ac:dyDescent="0.2">
      <c r="A995">
        <v>522</v>
      </c>
      <c r="D995">
        <f t="shared" si="181"/>
        <v>2</v>
      </c>
      <c r="E995">
        <v>15</v>
      </c>
      <c r="F995" s="6" t="s">
        <v>422</v>
      </c>
      <c r="I995" t="s">
        <v>179</v>
      </c>
      <c r="J995">
        <v>11</v>
      </c>
      <c r="K995" t="s">
        <v>488</v>
      </c>
      <c r="L995" t="s">
        <v>8</v>
      </c>
      <c r="M995" t="s">
        <v>199</v>
      </c>
      <c r="N995" t="s">
        <v>70</v>
      </c>
      <c r="Q995">
        <f t="shared" si="183"/>
        <v>18977</v>
      </c>
      <c r="R995" t="str">
        <f t="shared" si="183"/>
        <v>Velodrome</v>
      </c>
      <c r="S995" t="str">
        <f t="shared" si="183"/>
        <v>HollowBrook</v>
      </c>
      <c r="T995" s="20">
        <f t="shared" si="175"/>
        <v>0</v>
      </c>
      <c r="U995">
        <f t="shared" si="176"/>
        <v>920</v>
      </c>
      <c r="V995">
        <f t="shared" si="177"/>
        <v>920</v>
      </c>
      <c r="W995">
        <v>37</v>
      </c>
      <c r="X995" t="str">
        <f t="shared" si="174"/>
        <v>event_team_player_2</v>
      </c>
      <c r="Y995">
        <f>COUNTIFS(A$3:A995,"="&amp;A995,K$3:K995,"="&amp;K995)</f>
        <v>2</v>
      </c>
      <c r="Z995" s="20">
        <f>SUMIFS(T$3:T995,L$3:L995,"=Intermission")+SUMIFS(T$3:T995,L$3:L995,"=Timeout")+SUMIFS(T$3:T995,L$3:L995,"=Clockstop")</f>
        <v>68</v>
      </c>
      <c r="AA995">
        <f t="shared" si="178"/>
        <v>1148</v>
      </c>
      <c r="AB995" s="26">
        <f t="shared" si="179"/>
        <v>388</v>
      </c>
      <c r="AC995">
        <f t="shared" si="180"/>
        <v>1216</v>
      </c>
    </row>
    <row r="996" spans="1:29" x14ac:dyDescent="0.2">
      <c r="A996">
        <v>523</v>
      </c>
      <c r="D996">
        <f t="shared" si="181"/>
        <v>2</v>
      </c>
      <c r="E996">
        <v>15</v>
      </c>
      <c r="F996" s="6" t="s">
        <v>422</v>
      </c>
      <c r="I996" t="s">
        <v>179</v>
      </c>
      <c r="J996">
        <v>40</v>
      </c>
      <c r="K996" t="s">
        <v>488</v>
      </c>
      <c r="L996" t="s">
        <v>277</v>
      </c>
      <c r="M996" t="s">
        <v>191</v>
      </c>
      <c r="N996" t="s">
        <v>515</v>
      </c>
      <c r="Q996">
        <f t="shared" si="183"/>
        <v>18977</v>
      </c>
      <c r="R996" t="str">
        <f t="shared" si="183"/>
        <v>Velodrome</v>
      </c>
      <c r="S996" t="str">
        <f t="shared" si="183"/>
        <v>HollowBrook</v>
      </c>
      <c r="T996" s="20">
        <f t="shared" si="175"/>
        <v>0</v>
      </c>
      <c r="U996">
        <f t="shared" si="176"/>
        <v>920</v>
      </c>
      <c r="V996">
        <f t="shared" si="177"/>
        <v>920</v>
      </c>
      <c r="W996">
        <v>37</v>
      </c>
      <c r="X996" t="str">
        <f t="shared" si="174"/>
        <v>event_team_player_1</v>
      </c>
      <c r="Y996">
        <f>COUNTIFS(A$3:A996,"="&amp;A996,K$3:K996,"="&amp;K996)</f>
        <v>1</v>
      </c>
      <c r="Z996" s="20">
        <f>SUMIFS(T$3:T996,L$3:L996,"=Intermission")+SUMIFS(T$3:T996,L$3:L996,"=Timeout")+SUMIFS(T$3:T996,L$3:L996,"=Clockstop")</f>
        <v>68</v>
      </c>
      <c r="AA996">
        <f t="shared" si="178"/>
        <v>1148</v>
      </c>
      <c r="AB996" s="26">
        <f t="shared" si="179"/>
        <v>388</v>
      </c>
      <c r="AC996">
        <f t="shared" si="180"/>
        <v>1216</v>
      </c>
    </row>
    <row r="997" spans="1:29" x14ac:dyDescent="0.2">
      <c r="A997">
        <v>523</v>
      </c>
      <c r="D997">
        <f t="shared" si="181"/>
        <v>2</v>
      </c>
      <c r="E997">
        <v>15</v>
      </c>
      <c r="F997" s="6" t="s">
        <v>422</v>
      </c>
      <c r="I997" t="s">
        <v>179</v>
      </c>
      <c r="J997">
        <v>11</v>
      </c>
      <c r="K997" t="s">
        <v>488</v>
      </c>
      <c r="L997" t="s">
        <v>277</v>
      </c>
      <c r="M997" t="s">
        <v>191</v>
      </c>
      <c r="N997" t="s">
        <v>515</v>
      </c>
      <c r="Q997">
        <f t="shared" ref="Q997:S1012" si="184">Q996</f>
        <v>18977</v>
      </c>
      <c r="R997" t="str">
        <f t="shared" si="184"/>
        <v>Velodrome</v>
      </c>
      <c r="S997" t="str">
        <f t="shared" si="184"/>
        <v>HollowBrook</v>
      </c>
      <c r="T997" s="20">
        <f t="shared" si="175"/>
        <v>0</v>
      </c>
      <c r="U997">
        <f t="shared" si="176"/>
        <v>920</v>
      </c>
      <c r="V997">
        <f t="shared" si="177"/>
        <v>920</v>
      </c>
      <c r="W997">
        <v>37</v>
      </c>
      <c r="X997" t="str">
        <f t="shared" si="174"/>
        <v>event_team_player_2</v>
      </c>
      <c r="Y997">
        <f>COUNTIFS(A$3:A997,"="&amp;A997,K$3:K997,"="&amp;K997)</f>
        <v>2</v>
      </c>
      <c r="Z997" s="20">
        <f>SUMIFS(T$3:T997,L$3:L997,"=Intermission")+SUMIFS(T$3:T997,L$3:L997,"=Timeout")+SUMIFS(T$3:T997,L$3:L997,"=Clockstop")</f>
        <v>68</v>
      </c>
      <c r="AA997">
        <f t="shared" si="178"/>
        <v>1148</v>
      </c>
      <c r="AB997" s="26">
        <f t="shared" si="179"/>
        <v>388</v>
      </c>
      <c r="AC997">
        <f t="shared" si="180"/>
        <v>1216</v>
      </c>
    </row>
    <row r="998" spans="1:29" x14ac:dyDescent="0.2">
      <c r="A998">
        <v>524</v>
      </c>
      <c r="D998">
        <f t="shared" si="181"/>
        <v>2</v>
      </c>
      <c r="E998">
        <v>15</v>
      </c>
      <c r="F998" s="6" t="s">
        <v>447</v>
      </c>
      <c r="G998">
        <v>15</v>
      </c>
      <c r="H998" s="8" t="s">
        <v>449</v>
      </c>
      <c r="I998" t="s">
        <v>179</v>
      </c>
      <c r="J998">
        <v>11</v>
      </c>
      <c r="K998" t="s">
        <v>488</v>
      </c>
      <c r="L998" t="s">
        <v>15</v>
      </c>
      <c r="Q998">
        <f t="shared" si="184"/>
        <v>18977</v>
      </c>
      <c r="R998" t="str">
        <f t="shared" si="184"/>
        <v>Velodrome</v>
      </c>
      <c r="S998" t="str">
        <f t="shared" si="184"/>
        <v>HollowBrook</v>
      </c>
      <c r="T998" s="20">
        <f t="shared" si="175"/>
        <v>3</v>
      </c>
      <c r="U998">
        <f t="shared" si="176"/>
        <v>915</v>
      </c>
      <c r="V998">
        <f t="shared" si="177"/>
        <v>912</v>
      </c>
      <c r="W998" cm="1">
        <f t="array" ref="W998">_xlfn._xlws.FILTER(shifts!A:A,(shifts!B:B=events!D998)*(shifts!AH:AH&gt;=events!U998)*(shifts!AI:AI&lt;=events!V998))</f>
        <v>37</v>
      </c>
      <c r="X998" t="str">
        <f t="shared" si="174"/>
        <v>event_team_player_1</v>
      </c>
      <c r="Y998">
        <f>COUNTIFS(A$3:A998,"="&amp;A998,K$3:K998,"="&amp;K998)</f>
        <v>1</v>
      </c>
      <c r="Z998" s="20">
        <f>SUMIFS(T$3:T998,L$3:L998,"=Intermission")+SUMIFS(T$3:T998,L$3:L998,"=Timeout")+SUMIFS(T$3:T998,L$3:L998,"=Clockstop")</f>
        <v>68</v>
      </c>
      <c r="AA998">
        <f t="shared" si="178"/>
        <v>1148</v>
      </c>
      <c r="AB998" s="26">
        <f t="shared" si="179"/>
        <v>398</v>
      </c>
      <c r="AC998">
        <f t="shared" si="180"/>
        <v>1216</v>
      </c>
    </row>
    <row r="999" spans="1:29" x14ac:dyDescent="0.2">
      <c r="A999">
        <v>525</v>
      </c>
      <c r="D999">
        <f t="shared" si="181"/>
        <v>2</v>
      </c>
      <c r="E999">
        <v>15</v>
      </c>
      <c r="F999" s="6" t="s">
        <v>449</v>
      </c>
      <c r="I999" t="s">
        <v>179</v>
      </c>
      <c r="J999">
        <v>11</v>
      </c>
      <c r="K999" t="s">
        <v>488</v>
      </c>
      <c r="L999" t="s">
        <v>8</v>
      </c>
      <c r="M999" t="s">
        <v>189</v>
      </c>
      <c r="N999" t="s">
        <v>70</v>
      </c>
      <c r="Q999">
        <f t="shared" si="184"/>
        <v>18977</v>
      </c>
      <c r="R999" t="str">
        <f t="shared" si="184"/>
        <v>Velodrome</v>
      </c>
      <c r="S999" t="str">
        <f t="shared" si="184"/>
        <v>HollowBrook</v>
      </c>
      <c r="T999" s="20">
        <f t="shared" si="175"/>
        <v>0</v>
      </c>
      <c r="U999">
        <f t="shared" si="176"/>
        <v>912</v>
      </c>
      <c r="V999">
        <f t="shared" si="177"/>
        <v>912</v>
      </c>
      <c r="W999" cm="1">
        <f t="array" ref="W999">_xlfn._xlws.FILTER(shifts!A:A,(shifts!B:B=events!D999)*(shifts!AH:AH&gt;=events!U999)*(shifts!AI:AI&lt;=events!V999))</f>
        <v>37</v>
      </c>
      <c r="X999" t="str">
        <f t="shared" si="174"/>
        <v>event_team_player_1</v>
      </c>
      <c r="Y999">
        <f>COUNTIFS(A$3:A999,"="&amp;A999,K$3:K999,"="&amp;K999)</f>
        <v>1</v>
      </c>
      <c r="Z999" s="20">
        <f>SUMIFS(T$3:T999,L$3:L999,"=Intermission")+SUMIFS(T$3:T999,L$3:L999,"=Timeout")+SUMIFS(T$3:T999,L$3:L999,"=Clockstop")</f>
        <v>68</v>
      </c>
      <c r="AA999">
        <f t="shared" si="178"/>
        <v>1148</v>
      </c>
      <c r="AB999" s="26">
        <f t="shared" si="179"/>
        <v>404</v>
      </c>
      <c r="AC999">
        <f t="shared" si="180"/>
        <v>1216</v>
      </c>
    </row>
    <row r="1000" spans="1:29" x14ac:dyDescent="0.2">
      <c r="A1000">
        <v>525</v>
      </c>
      <c r="D1000">
        <f t="shared" si="181"/>
        <v>2</v>
      </c>
      <c r="E1000">
        <v>15</v>
      </c>
      <c r="F1000" s="6" t="s">
        <v>449</v>
      </c>
      <c r="I1000" t="s">
        <v>179</v>
      </c>
      <c r="J1000">
        <v>40</v>
      </c>
      <c r="K1000" t="s">
        <v>488</v>
      </c>
      <c r="L1000" t="s">
        <v>8</v>
      </c>
      <c r="M1000" t="s">
        <v>189</v>
      </c>
      <c r="N1000" t="s">
        <v>70</v>
      </c>
      <c r="Q1000">
        <f t="shared" si="184"/>
        <v>18977</v>
      </c>
      <c r="R1000" t="str">
        <f t="shared" si="184"/>
        <v>Velodrome</v>
      </c>
      <c r="S1000" t="str">
        <f t="shared" si="184"/>
        <v>HollowBrook</v>
      </c>
      <c r="T1000" s="20">
        <f t="shared" si="175"/>
        <v>0</v>
      </c>
      <c r="U1000">
        <f t="shared" si="176"/>
        <v>912</v>
      </c>
      <c r="V1000">
        <f t="shared" si="177"/>
        <v>912</v>
      </c>
      <c r="W1000" cm="1">
        <f t="array" ref="W1000">_xlfn._xlws.FILTER(shifts!A:A,(shifts!B:B=events!D1000)*(shifts!AH:AH&gt;=events!U1000)*(shifts!AI:AI&lt;=events!V1000))</f>
        <v>37</v>
      </c>
      <c r="X1000" t="str">
        <f t="shared" si="174"/>
        <v>event_team_player_2</v>
      </c>
      <c r="Y1000">
        <f>COUNTIFS(A$3:A1000,"="&amp;A1000,K$3:K1000,"="&amp;K1000)</f>
        <v>2</v>
      </c>
      <c r="Z1000" s="20">
        <f>SUMIFS(T$3:T1000,L$3:L1000,"=Intermission")+SUMIFS(T$3:T1000,L$3:L1000,"=Timeout")+SUMIFS(T$3:T1000,L$3:L1000,"=Clockstop")</f>
        <v>68</v>
      </c>
      <c r="AA1000">
        <f t="shared" si="178"/>
        <v>1148</v>
      </c>
      <c r="AB1000" s="26">
        <f t="shared" si="179"/>
        <v>404</v>
      </c>
      <c r="AC1000">
        <f t="shared" si="180"/>
        <v>1216</v>
      </c>
    </row>
    <row r="1001" spans="1:29" x14ac:dyDescent="0.2">
      <c r="A1001">
        <v>525</v>
      </c>
      <c r="D1001">
        <f t="shared" si="181"/>
        <v>2</v>
      </c>
      <c r="E1001">
        <v>15</v>
      </c>
      <c r="F1001" s="6" t="s">
        <v>449</v>
      </c>
      <c r="I1001" t="s">
        <v>179</v>
      </c>
      <c r="J1001">
        <v>52</v>
      </c>
      <c r="K1001" t="s">
        <v>489</v>
      </c>
      <c r="L1001" t="s">
        <v>8</v>
      </c>
      <c r="M1001" t="s">
        <v>189</v>
      </c>
      <c r="N1001" t="s">
        <v>70</v>
      </c>
      <c r="Q1001">
        <f t="shared" si="184"/>
        <v>18977</v>
      </c>
      <c r="R1001" t="str">
        <f t="shared" si="184"/>
        <v>Velodrome</v>
      </c>
      <c r="S1001" t="str">
        <f t="shared" si="184"/>
        <v>HollowBrook</v>
      </c>
      <c r="T1001" s="20">
        <f t="shared" si="175"/>
        <v>0</v>
      </c>
      <c r="U1001">
        <f t="shared" si="176"/>
        <v>912</v>
      </c>
      <c r="V1001">
        <f t="shared" si="177"/>
        <v>912</v>
      </c>
      <c r="W1001" cm="1">
        <f t="array" ref="W1001">_xlfn._xlws.FILTER(shifts!A:A,(shifts!B:B=events!D1001)*(shifts!AH:AH&gt;=events!U1001)*(shifts!AI:AI&lt;=events!V1001))</f>
        <v>37</v>
      </c>
      <c r="X1001" t="str">
        <f t="shared" si="174"/>
        <v>opp_team_player_1</v>
      </c>
      <c r="Y1001">
        <f>COUNTIFS(A$3:A1001,"="&amp;A1001,K$3:K1001,"="&amp;K1001)</f>
        <v>1</v>
      </c>
      <c r="Z1001" s="20">
        <f>SUMIFS(T$3:T1001,L$3:L1001,"=Intermission")+SUMIFS(T$3:T1001,L$3:L1001,"=Timeout")+SUMIFS(T$3:T1001,L$3:L1001,"=Clockstop")</f>
        <v>68</v>
      </c>
      <c r="AA1001">
        <f t="shared" si="178"/>
        <v>1148</v>
      </c>
      <c r="AB1001" s="26">
        <f t="shared" si="179"/>
        <v>404</v>
      </c>
      <c r="AC1001">
        <f t="shared" si="180"/>
        <v>1216</v>
      </c>
    </row>
    <row r="1002" spans="1:29" x14ac:dyDescent="0.2">
      <c r="A1002">
        <v>526</v>
      </c>
      <c r="D1002">
        <f t="shared" si="181"/>
        <v>2</v>
      </c>
      <c r="E1002">
        <v>15</v>
      </c>
      <c r="F1002" s="6" t="s">
        <v>486</v>
      </c>
      <c r="I1002" t="s">
        <v>179</v>
      </c>
      <c r="J1002">
        <v>40</v>
      </c>
      <c r="K1002" t="s">
        <v>488</v>
      </c>
      <c r="L1002" t="s">
        <v>7</v>
      </c>
      <c r="M1002" t="s">
        <v>208</v>
      </c>
      <c r="N1002" t="s">
        <v>53</v>
      </c>
      <c r="Q1002">
        <f t="shared" si="184"/>
        <v>18977</v>
      </c>
      <c r="R1002" t="str">
        <f t="shared" si="184"/>
        <v>Velodrome</v>
      </c>
      <c r="S1002" t="str">
        <f t="shared" si="184"/>
        <v>HollowBrook</v>
      </c>
      <c r="T1002" s="20">
        <f t="shared" si="175"/>
        <v>0</v>
      </c>
      <c r="U1002">
        <f t="shared" si="176"/>
        <v>911</v>
      </c>
      <c r="V1002">
        <f t="shared" si="177"/>
        <v>911</v>
      </c>
      <c r="W1002">
        <v>38</v>
      </c>
      <c r="X1002" t="str">
        <f t="shared" si="174"/>
        <v>event_team_player_1</v>
      </c>
      <c r="Y1002">
        <f>COUNTIFS(A$3:A1002,"="&amp;A1002,K$3:K1002,"="&amp;K1002)</f>
        <v>1</v>
      </c>
      <c r="Z1002" s="20">
        <f>SUMIFS(T$3:T1002,L$3:L1002,"=Intermission")+SUMIFS(T$3:T1002,L$3:L1002,"=Timeout")+SUMIFS(T$3:T1002,L$3:L1002,"=Clockstop")</f>
        <v>68</v>
      </c>
      <c r="AA1002">
        <f t="shared" si="178"/>
        <v>1148</v>
      </c>
      <c r="AB1002" s="26">
        <f t="shared" si="179"/>
        <v>406</v>
      </c>
      <c r="AC1002">
        <f t="shared" si="180"/>
        <v>1216</v>
      </c>
    </row>
    <row r="1003" spans="1:29" x14ac:dyDescent="0.2">
      <c r="A1003">
        <v>526</v>
      </c>
      <c r="D1003">
        <f t="shared" si="181"/>
        <v>2</v>
      </c>
      <c r="E1003">
        <v>15</v>
      </c>
      <c r="F1003" s="6" t="s">
        <v>486</v>
      </c>
      <c r="I1003" t="s">
        <v>179</v>
      </c>
      <c r="J1003">
        <v>70</v>
      </c>
      <c r="K1003" t="s">
        <v>489</v>
      </c>
      <c r="L1003" t="s">
        <v>7</v>
      </c>
      <c r="M1003" t="s">
        <v>208</v>
      </c>
      <c r="N1003" t="s">
        <v>53</v>
      </c>
      <c r="Q1003">
        <f t="shared" si="184"/>
        <v>18977</v>
      </c>
      <c r="R1003" t="str">
        <f t="shared" si="184"/>
        <v>Velodrome</v>
      </c>
      <c r="S1003" t="str">
        <f t="shared" si="184"/>
        <v>HollowBrook</v>
      </c>
      <c r="T1003" s="20">
        <f t="shared" si="175"/>
        <v>0</v>
      </c>
      <c r="U1003">
        <f t="shared" si="176"/>
        <v>911</v>
      </c>
      <c r="V1003">
        <f t="shared" si="177"/>
        <v>911</v>
      </c>
      <c r="W1003">
        <v>38</v>
      </c>
      <c r="X1003" t="str">
        <f t="shared" si="174"/>
        <v>opp_team_player_1</v>
      </c>
      <c r="Y1003">
        <f>COUNTIFS(A$3:A1003,"="&amp;A1003,K$3:K1003,"="&amp;K1003)</f>
        <v>1</v>
      </c>
      <c r="Z1003" s="20">
        <f>SUMIFS(T$3:T1003,L$3:L1003,"=Intermission")+SUMIFS(T$3:T1003,L$3:L1003,"=Timeout")+SUMIFS(T$3:T1003,L$3:L1003,"=Clockstop")</f>
        <v>68</v>
      </c>
      <c r="AA1003">
        <f t="shared" si="178"/>
        <v>1148</v>
      </c>
      <c r="AB1003" s="26">
        <f t="shared" si="179"/>
        <v>406</v>
      </c>
      <c r="AC1003">
        <f t="shared" si="180"/>
        <v>1216</v>
      </c>
    </row>
    <row r="1004" spans="1:29" x14ac:dyDescent="0.2">
      <c r="A1004">
        <v>527</v>
      </c>
      <c r="D1004">
        <f t="shared" si="181"/>
        <v>2</v>
      </c>
      <c r="E1004">
        <v>15</v>
      </c>
      <c r="F1004" s="6" t="s">
        <v>486</v>
      </c>
      <c r="I1004" t="s">
        <v>179</v>
      </c>
      <c r="J1004">
        <v>40</v>
      </c>
      <c r="K1004" t="s">
        <v>488</v>
      </c>
      <c r="L1004" t="s">
        <v>10</v>
      </c>
      <c r="M1004" t="s">
        <v>190</v>
      </c>
      <c r="N1004" t="s">
        <v>78</v>
      </c>
      <c r="Q1004">
        <f t="shared" si="184"/>
        <v>18977</v>
      </c>
      <c r="R1004" t="str">
        <f t="shared" si="184"/>
        <v>Velodrome</v>
      </c>
      <c r="S1004" t="str">
        <f t="shared" si="184"/>
        <v>HollowBrook</v>
      </c>
      <c r="T1004" s="20">
        <f t="shared" si="175"/>
        <v>0</v>
      </c>
      <c r="U1004">
        <f t="shared" si="176"/>
        <v>911</v>
      </c>
      <c r="V1004">
        <f t="shared" si="177"/>
        <v>911</v>
      </c>
      <c r="W1004">
        <v>38</v>
      </c>
      <c r="X1004" t="str">
        <f t="shared" si="174"/>
        <v>event_team_player_1</v>
      </c>
      <c r="Y1004">
        <f>COUNTIFS(A$3:A1004,"="&amp;A1004,K$3:K1004,"="&amp;K1004)</f>
        <v>1</v>
      </c>
      <c r="Z1004" s="20">
        <f>SUMIFS(T$3:T1004,L$3:L1004,"=Intermission")+SUMIFS(T$3:T1004,L$3:L1004,"=Timeout")+SUMIFS(T$3:T1004,L$3:L1004,"=Clockstop")</f>
        <v>68</v>
      </c>
      <c r="AA1004">
        <f t="shared" si="178"/>
        <v>1148</v>
      </c>
      <c r="AB1004" s="26">
        <f t="shared" si="179"/>
        <v>406</v>
      </c>
      <c r="AC1004">
        <f t="shared" si="180"/>
        <v>1216</v>
      </c>
    </row>
    <row r="1005" spans="1:29" x14ac:dyDescent="0.2">
      <c r="A1005">
        <v>528</v>
      </c>
      <c r="D1005">
        <f t="shared" si="181"/>
        <v>2</v>
      </c>
      <c r="E1005">
        <v>15</v>
      </c>
      <c r="F1005" s="6" t="s">
        <v>424</v>
      </c>
      <c r="I1005" t="s">
        <v>178</v>
      </c>
      <c r="J1005">
        <v>61</v>
      </c>
      <c r="K1005" t="s">
        <v>488</v>
      </c>
      <c r="L1005" t="s">
        <v>8</v>
      </c>
      <c r="M1005" t="s">
        <v>189</v>
      </c>
      <c r="N1005" t="s">
        <v>68</v>
      </c>
      <c r="Q1005">
        <f t="shared" si="184"/>
        <v>18977</v>
      </c>
      <c r="R1005" t="str">
        <f t="shared" si="184"/>
        <v>Velodrome</v>
      </c>
      <c r="S1005" t="str">
        <f t="shared" si="184"/>
        <v>HollowBrook</v>
      </c>
      <c r="T1005" s="20">
        <f t="shared" si="175"/>
        <v>0</v>
      </c>
      <c r="U1005">
        <f t="shared" si="176"/>
        <v>909</v>
      </c>
      <c r="V1005">
        <f t="shared" si="177"/>
        <v>909</v>
      </c>
      <c r="W1005" cm="1">
        <f t="array" ref="W1005">_xlfn._xlws.FILTER(shifts!A:A,(shifts!B:B=events!D1005)*(shifts!AH:AH&gt;=events!U1005)*(shifts!AI:AI&lt;=events!V1005))</f>
        <v>38</v>
      </c>
      <c r="X1005" t="str">
        <f t="shared" si="174"/>
        <v>event_team_player_1</v>
      </c>
      <c r="Y1005">
        <f>COUNTIFS(A$3:A1005,"="&amp;A1005,K$3:K1005,"="&amp;K1005)</f>
        <v>1</v>
      </c>
      <c r="Z1005" s="20">
        <f>SUMIFS(T$3:T1005,L$3:L1005,"=Intermission")+SUMIFS(T$3:T1005,L$3:L1005,"=Timeout")+SUMIFS(T$3:T1005,L$3:L1005,"=Clockstop")</f>
        <v>68</v>
      </c>
      <c r="AA1005">
        <f t="shared" si="178"/>
        <v>1148</v>
      </c>
      <c r="AB1005" s="26">
        <f t="shared" si="179"/>
        <v>410</v>
      </c>
      <c r="AC1005">
        <f t="shared" si="180"/>
        <v>1216</v>
      </c>
    </row>
    <row r="1006" spans="1:29" x14ac:dyDescent="0.2">
      <c r="A1006">
        <v>528</v>
      </c>
      <c r="D1006">
        <f t="shared" si="181"/>
        <v>2</v>
      </c>
      <c r="E1006">
        <v>15</v>
      </c>
      <c r="F1006" s="6" t="s">
        <v>424</v>
      </c>
      <c r="I1006" t="s">
        <v>178</v>
      </c>
      <c r="J1006">
        <v>52</v>
      </c>
      <c r="K1006" t="s">
        <v>488</v>
      </c>
      <c r="L1006" t="s">
        <v>8</v>
      </c>
      <c r="M1006" t="s">
        <v>189</v>
      </c>
      <c r="N1006" t="s">
        <v>68</v>
      </c>
      <c r="Q1006">
        <f t="shared" si="184"/>
        <v>18977</v>
      </c>
      <c r="R1006" t="str">
        <f t="shared" si="184"/>
        <v>Velodrome</v>
      </c>
      <c r="S1006" t="str">
        <f t="shared" si="184"/>
        <v>HollowBrook</v>
      </c>
      <c r="T1006" s="20">
        <f t="shared" si="175"/>
        <v>0</v>
      </c>
      <c r="U1006">
        <f t="shared" si="176"/>
        <v>909</v>
      </c>
      <c r="V1006">
        <f t="shared" si="177"/>
        <v>909</v>
      </c>
      <c r="W1006" cm="1">
        <f t="array" ref="W1006">_xlfn._xlws.FILTER(shifts!A:A,(shifts!B:B=events!D1006)*(shifts!AH:AH&gt;=events!U1006)*(shifts!AI:AI&lt;=events!V1006))</f>
        <v>38</v>
      </c>
      <c r="X1006" t="str">
        <f t="shared" si="174"/>
        <v>event_team_player_2</v>
      </c>
      <c r="Y1006">
        <f>COUNTIFS(A$3:A1006,"="&amp;A1006,K$3:K1006,"="&amp;K1006)</f>
        <v>2</v>
      </c>
      <c r="Z1006" s="20">
        <f>SUMIFS(T$3:T1006,L$3:L1006,"=Intermission")+SUMIFS(T$3:T1006,L$3:L1006,"=Timeout")+SUMIFS(T$3:T1006,L$3:L1006,"=Clockstop")</f>
        <v>68</v>
      </c>
      <c r="AA1006">
        <f t="shared" si="178"/>
        <v>1148</v>
      </c>
      <c r="AB1006" s="26">
        <f t="shared" si="179"/>
        <v>410</v>
      </c>
      <c r="AC1006">
        <f t="shared" si="180"/>
        <v>1216</v>
      </c>
    </row>
    <row r="1007" spans="1:29" x14ac:dyDescent="0.2">
      <c r="A1007">
        <v>529</v>
      </c>
      <c r="D1007">
        <f t="shared" si="181"/>
        <v>2</v>
      </c>
      <c r="E1007">
        <v>15</v>
      </c>
      <c r="F1007" s="6" t="s">
        <v>310</v>
      </c>
      <c r="I1007" t="s">
        <v>178</v>
      </c>
      <c r="J1007">
        <v>52</v>
      </c>
      <c r="K1007" t="s">
        <v>488</v>
      </c>
      <c r="L1007" t="s">
        <v>8</v>
      </c>
      <c r="M1007" t="s">
        <v>199</v>
      </c>
      <c r="N1007" t="s">
        <v>71</v>
      </c>
      <c r="Q1007">
        <f t="shared" si="184"/>
        <v>18977</v>
      </c>
      <c r="R1007" t="str">
        <f t="shared" si="184"/>
        <v>Velodrome</v>
      </c>
      <c r="S1007" t="str">
        <f t="shared" si="184"/>
        <v>HollowBrook</v>
      </c>
      <c r="T1007" s="20">
        <f t="shared" si="175"/>
        <v>0</v>
      </c>
      <c r="U1007">
        <f t="shared" si="176"/>
        <v>904</v>
      </c>
      <c r="V1007">
        <f t="shared" si="177"/>
        <v>904</v>
      </c>
      <c r="W1007" cm="1">
        <f t="array" ref="W1007">_xlfn._xlws.FILTER(shifts!A:A,(shifts!B:B=events!D1007)*(shifts!AH:AH&gt;=events!U1007)*(shifts!AI:AI&lt;=events!V1007))</f>
        <v>38</v>
      </c>
      <c r="X1007" t="str">
        <f t="shared" si="174"/>
        <v>event_team_player_1</v>
      </c>
      <c r="Y1007">
        <f>COUNTIFS(A$3:A1007,"="&amp;A1007,K$3:K1007,"="&amp;K1007)</f>
        <v>1</v>
      </c>
      <c r="Z1007" s="20">
        <f>SUMIFS(T$3:T1007,L$3:L1007,"=Intermission")+SUMIFS(T$3:T1007,L$3:L1007,"=Timeout")+SUMIFS(T$3:T1007,L$3:L1007,"=Clockstop")</f>
        <v>68</v>
      </c>
      <c r="AA1007">
        <f t="shared" si="178"/>
        <v>1148</v>
      </c>
      <c r="AB1007" s="26">
        <f t="shared" si="179"/>
        <v>420</v>
      </c>
      <c r="AC1007">
        <f t="shared" si="180"/>
        <v>1216</v>
      </c>
    </row>
    <row r="1008" spans="1:29" x14ac:dyDescent="0.2">
      <c r="A1008">
        <v>529</v>
      </c>
      <c r="D1008">
        <f t="shared" si="181"/>
        <v>2</v>
      </c>
      <c r="E1008">
        <v>15</v>
      </c>
      <c r="F1008" s="6" t="s">
        <v>310</v>
      </c>
      <c r="I1008" t="s">
        <v>178</v>
      </c>
      <c r="J1008">
        <v>14</v>
      </c>
      <c r="K1008" t="s">
        <v>488</v>
      </c>
      <c r="L1008" t="s">
        <v>8</v>
      </c>
      <c r="M1008" t="s">
        <v>199</v>
      </c>
      <c r="N1008" t="s">
        <v>71</v>
      </c>
      <c r="Q1008">
        <f t="shared" si="184"/>
        <v>18977</v>
      </c>
      <c r="R1008" t="str">
        <f t="shared" si="184"/>
        <v>Velodrome</v>
      </c>
      <c r="S1008" t="str">
        <f t="shared" si="184"/>
        <v>HollowBrook</v>
      </c>
      <c r="T1008" s="20">
        <f t="shared" si="175"/>
        <v>0</v>
      </c>
      <c r="U1008">
        <f t="shared" si="176"/>
        <v>904</v>
      </c>
      <c r="V1008">
        <f t="shared" si="177"/>
        <v>904</v>
      </c>
      <c r="W1008" cm="1">
        <f t="array" ref="W1008">_xlfn._xlws.FILTER(shifts!A:A,(shifts!B:B=events!D1008)*(shifts!AH:AH&gt;=events!U1008)*(shifts!AI:AI&lt;=events!V1008))</f>
        <v>38</v>
      </c>
      <c r="X1008" t="str">
        <f t="shared" si="174"/>
        <v>event_team_player_2</v>
      </c>
      <c r="Y1008">
        <f>COUNTIFS(A$3:A1008,"="&amp;A1008,K$3:K1008,"="&amp;K1008)</f>
        <v>2</v>
      </c>
      <c r="Z1008" s="20">
        <f>SUMIFS(T$3:T1008,L$3:L1008,"=Intermission")+SUMIFS(T$3:T1008,L$3:L1008,"=Timeout")+SUMIFS(T$3:T1008,L$3:L1008,"=Clockstop")</f>
        <v>68</v>
      </c>
      <c r="AA1008">
        <f t="shared" si="178"/>
        <v>1148</v>
      </c>
      <c r="AB1008" s="26">
        <f t="shared" si="179"/>
        <v>420</v>
      </c>
      <c r="AC1008">
        <f t="shared" si="180"/>
        <v>1216</v>
      </c>
    </row>
    <row r="1009" spans="1:29" x14ac:dyDescent="0.2">
      <c r="A1009">
        <v>529</v>
      </c>
      <c r="D1009">
        <f t="shared" si="181"/>
        <v>2</v>
      </c>
      <c r="E1009">
        <v>15</v>
      </c>
      <c r="F1009" s="6" t="s">
        <v>310</v>
      </c>
      <c r="I1009" t="s">
        <v>178</v>
      </c>
      <c r="J1009">
        <v>11</v>
      </c>
      <c r="K1009" t="s">
        <v>489</v>
      </c>
      <c r="L1009" t="s">
        <v>8</v>
      </c>
      <c r="M1009" t="s">
        <v>199</v>
      </c>
      <c r="N1009" t="s">
        <v>71</v>
      </c>
      <c r="Q1009">
        <f t="shared" si="184"/>
        <v>18977</v>
      </c>
      <c r="R1009" t="str">
        <f t="shared" si="184"/>
        <v>Velodrome</v>
      </c>
      <c r="S1009" t="str">
        <f t="shared" si="184"/>
        <v>HollowBrook</v>
      </c>
      <c r="T1009" s="20">
        <f t="shared" si="175"/>
        <v>0</v>
      </c>
      <c r="U1009">
        <f t="shared" si="176"/>
        <v>904</v>
      </c>
      <c r="V1009">
        <f t="shared" si="177"/>
        <v>904</v>
      </c>
      <c r="W1009" cm="1">
        <f t="array" ref="W1009">_xlfn._xlws.FILTER(shifts!A:A,(shifts!B:B=events!D1009)*(shifts!AH:AH&gt;=events!U1009)*(shifts!AI:AI&lt;=events!V1009))</f>
        <v>38</v>
      </c>
      <c r="X1009" t="str">
        <f t="shared" si="174"/>
        <v>opp_team_player_1</v>
      </c>
      <c r="Y1009">
        <f>COUNTIFS(A$3:A1009,"="&amp;A1009,K$3:K1009,"="&amp;K1009)</f>
        <v>1</v>
      </c>
      <c r="Z1009" s="20">
        <f>SUMIFS(T$3:T1009,L$3:L1009,"=Intermission")+SUMIFS(T$3:T1009,L$3:L1009,"=Timeout")+SUMIFS(T$3:T1009,L$3:L1009,"=Clockstop")</f>
        <v>68</v>
      </c>
      <c r="AA1009">
        <f t="shared" si="178"/>
        <v>1148</v>
      </c>
      <c r="AB1009" s="26">
        <f t="shared" si="179"/>
        <v>420</v>
      </c>
      <c r="AC1009">
        <f t="shared" si="180"/>
        <v>1216</v>
      </c>
    </row>
    <row r="1010" spans="1:29" x14ac:dyDescent="0.2">
      <c r="A1010">
        <v>530</v>
      </c>
      <c r="D1010">
        <f t="shared" si="181"/>
        <v>2</v>
      </c>
      <c r="E1010">
        <v>15</v>
      </c>
      <c r="F1010" s="6" t="s">
        <v>310</v>
      </c>
      <c r="I1010" t="s">
        <v>178</v>
      </c>
      <c r="J1010">
        <v>52</v>
      </c>
      <c r="K1010" t="s">
        <v>488</v>
      </c>
      <c r="L1010" t="s">
        <v>277</v>
      </c>
      <c r="M1010" t="s">
        <v>201</v>
      </c>
      <c r="N1010" t="s">
        <v>501</v>
      </c>
      <c r="Q1010">
        <f t="shared" si="184"/>
        <v>18977</v>
      </c>
      <c r="R1010" t="str">
        <f t="shared" si="184"/>
        <v>Velodrome</v>
      </c>
      <c r="S1010" t="str">
        <f t="shared" si="184"/>
        <v>HollowBrook</v>
      </c>
      <c r="T1010" s="20">
        <f t="shared" si="175"/>
        <v>0</v>
      </c>
      <c r="U1010">
        <f t="shared" si="176"/>
        <v>904</v>
      </c>
      <c r="V1010">
        <f t="shared" si="177"/>
        <v>904</v>
      </c>
      <c r="W1010" cm="1">
        <f t="array" ref="W1010">_xlfn._xlws.FILTER(shifts!A:A,(shifts!B:B=events!D1010)*(shifts!AH:AH&gt;=events!U1010)*(shifts!AI:AI&lt;=events!V1010))</f>
        <v>38</v>
      </c>
      <c r="X1010" t="str">
        <f t="shared" si="174"/>
        <v>event_team_player_1</v>
      </c>
      <c r="Y1010">
        <f>COUNTIFS(A$3:A1010,"="&amp;A1010,K$3:K1010,"="&amp;K1010)</f>
        <v>1</v>
      </c>
      <c r="Z1010" s="20">
        <f>SUMIFS(T$3:T1010,L$3:L1010,"=Intermission")+SUMIFS(T$3:T1010,L$3:L1010,"=Timeout")+SUMIFS(T$3:T1010,L$3:L1010,"=Clockstop")</f>
        <v>68</v>
      </c>
      <c r="AA1010">
        <f t="shared" si="178"/>
        <v>1148</v>
      </c>
      <c r="AB1010" s="26">
        <f t="shared" si="179"/>
        <v>420</v>
      </c>
      <c r="AC1010">
        <f t="shared" si="180"/>
        <v>1216</v>
      </c>
    </row>
    <row r="1011" spans="1:29" x14ac:dyDescent="0.2">
      <c r="A1011">
        <v>531</v>
      </c>
      <c r="D1011">
        <f t="shared" si="181"/>
        <v>2</v>
      </c>
      <c r="E1011">
        <v>15</v>
      </c>
      <c r="F1011" s="6" t="s">
        <v>316</v>
      </c>
      <c r="I1011" t="s">
        <v>178</v>
      </c>
      <c r="J1011">
        <v>70</v>
      </c>
      <c r="K1011" t="s">
        <v>488</v>
      </c>
      <c r="L1011" t="s">
        <v>8</v>
      </c>
      <c r="M1011" t="s">
        <v>189</v>
      </c>
      <c r="N1011" t="s">
        <v>71</v>
      </c>
      <c r="Q1011">
        <f t="shared" si="184"/>
        <v>18977</v>
      </c>
      <c r="R1011" t="str">
        <f t="shared" si="184"/>
        <v>Velodrome</v>
      </c>
      <c r="S1011" t="str">
        <f t="shared" si="184"/>
        <v>HollowBrook</v>
      </c>
      <c r="T1011" s="20">
        <f t="shared" si="175"/>
        <v>0</v>
      </c>
      <c r="U1011">
        <f t="shared" si="176"/>
        <v>902</v>
      </c>
      <c r="V1011">
        <f t="shared" si="177"/>
        <v>902</v>
      </c>
      <c r="W1011" cm="1">
        <f t="array" ref="W1011">_xlfn._xlws.FILTER(shifts!A:A,(shifts!B:B=events!D1011)*(shifts!AH:AH&gt;=events!U1011)*(shifts!AI:AI&lt;=events!V1011))</f>
        <v>38</v>
      </c>
      <c r="X1011" t="str">
        <f t="shared" si="174"/>
        <v>event_team_player_1</v>
      </c>
      <c r="Y1011">
        <f>COUNTIFS(A$3:A1011,"="&amp;A1011,K$3:K1011,"="&amp;K1011)</f>
        <v>1</v>
      </c>
      <c r="Z1011" s="20">
        <f>SUMIFS(T$3:T1011,L$3:L1011,"=Intermission")+SUMIFS(T$3:T1011,L$3:L1011,"=Timeout")+SUMIFS(T$3:T1011,L$3:L1011,"=Clockstop")</f>
        <v>68</v>
      </c>
      <c r="AA1011">
        <f t="shared" si="178"/>
        <v>1148</v>
      </c>
      <c r="AB1011" s="26">
        <f t="shared" si="179"/>
        <v>424</v>
      </c>
      <c r="AC1011">
        <f t="shared" si="180"/>
        <v>1216</v>
      </c>
    </row>
    <row r="1012" spans="1:29" x14ac:dyDescent="0.2">
      <c r="A1012">
        <v>531</v>
      </c>
      <c r="D1012">
        <f t="shared" si="181"/>
        <v>2</v>
      </c>
      <c r="E1012">
        <v>15</v>
      </c>
      <c r="F1012" s="6" t="s">
        <v>316</v>
      </c>
      <c r="I1012" t="s">
        <v>178</v>
      </c>
      <c r="J1012">
        <v>87</v>
      </c>
      <c r="K1012" t="s">
        <v>488</v>
      </c>
      <c r="L1012" t="s">
        <v>8</v>
      </c>
      <c r="M1012" t="s">
        <v>189</v>
      </c>
      <c r="N1012" t="s">
        <v>71</v>
      </c>
      <c r="Q1012">
        <f t="shared" si="184"/>
        <v>18977</v>
      </c>
      <c r="R1012" t="str">
        <f t="shared" si="184"/>
        <v>Velodrome</v>
      </c>
      <c r="S1012" t="str">
        <f t="shared" si="184"/>
        <v>HollowBrook</v>
      </c>
      <c r="T1012" s="20">
        <f t="shared" si="175"/>
        <v>0</v>
      </c>
      <c r="U1012">
        <f t="shared" si="176"/>
        <v>902</v>
      </c>
      <c r="V1012">
        <f t="shared" si="177"/>
        <v>902</v>
      </c>
      <c r="W1012" cm="1">
        <f t="array" ref="W1012">_xlfn._xlws.FILTER(shifts!A:A,(shifts!B:B=events!D1012)*(shifts!AH:AH&gt;=events!U1012)*(shifts!AI:AI&lt;=events!V1012))</f>
        <v>38</v>
      </c>
      <c r="X1012" t="str">
        <f t="shared" si="174"/>
        <v>event_team_player_2</v>
      </c>
      <c r="Y1012">
        <f>COUNTIFS(A$3:A1012,"="&amp;A1012,K$3:K1012,"="&amp;K1012)</f>
        <v>2</v>
      </c>
      <c r="Z1012" s="20">
        <f>SUMIFS(T$3:T1012,L$3:L1012,"=Intermission")+SUMIFS(T$3:T1012,L$3:L1012,"=Timeout")+SUMIFS(T$3:T1012,L$3:L1012,"=Clockstop")</f>
        <v>68</v>
      </c>
      <c r="AA1012">
        <f t="shared" si="178"/>
        <v>1148</v>
      </c>
      <c r="AB1012" s="26">
        <f t="shared" si="179"/>
        <v>424</v>
      </c>
      <c r="AC1012">
        <f t="shared" si="180"/>
        <v>1216</v>
      </c>
    </row>
    <row r="1013" spans="1:29" x14ac:dyDescent="0.2">
      <c r="A1013">
        <v>532</v>
      </c>
      <c r="D1013">
        <f t="shared" si="181"/>
        <v>2</v>
      </c>
      <c r="E1013">
        <v>14</v>
      </c>
      <c r="F1013" s="6" t="s">
        <v>462</v>
      </c>
      <c r="G1013">
        <v>14</v>
      </c>
      <c r="H1013" s="8" t="s">
        <v>429</v>
      </c>
      <c r="I1013" t="s">
        <v>178</v>
      </c>
      <c r="J1013">
        <v>87</v>
      </c>
      <c r="K1013" t="s">
        <v>488</v>
      </c>
      <c r="L1013" t="s">
        <v>277</v>
      </c>
      <c r="M1013" t="s">
        <v>191</v>
      </c>
      <c r="N1013" t="s">
        <v>87</v>
      </c>
      <c r="Q1013">
        <f t="shared" ref="Q1013:S1028" si="185">Q1012</f>
        <v>18977</v>
      </c>
      <c r="R1013" t="str">
        <f t="shared" si="185"/>
        <v>Velodrome</v>
      </c>
      <c r="S1013" t="str">
        <f t="shared" si="185"/>
        <v>HollowBrook</v>
      </c>
      <c r="T1013" s="20">
        <f t="shared" si="175"/>
        <v>3</v>
      </c>
      <c r="U1013">
        <f t="shared" si="176"/>
        <v>898</v>
      </c>
      <c r="V1013">
        <f t="shared" si="177"/>
        <v>895</v>
      </c>
      <c r="W1013" cm="1">
        <f t="array" ref="W1013">_xlfn._xlws.FILTER(shifts!A:A,(shifts!B:B=events!D1013)*(shifts!AH:AH&gt;=events!U1013)*(shifts!AI:AI&lt;=events!V1013))</f>
        <v>38</v>
      </c>
      <c r="X1013" t="str">
        <f t="shared" ref="X1013:X1076" si="186">IF(K1013="e","event_team_player_"&amp;Y1013,IF(K1013="o","opp_team_player_"&amp;Y1013,""))</f>
        <v>event_team_player_1</v>
      </c>
      <c r="Y1013">
        <f>COUNTIFS(A$3:A1013,"="&amp;A1013,K$3:K1013,"="&amp;K1013)</f>
        <v>1</v>
      </c>
      <c r="Z1013" s="20">
        <f>SUMIFS(T$3:T1013,L$3:L1013,"=Intermission")+SUMIFS(T$3:T1013,L$3:L1013,"=Timeout")+SUMIFS(T$3:T1013,L$3:L1013,"=Clockstop")</f>
        <v>68</v>
      </c>
      <c r="AA1013">
        <f t="shared" si="178"/>
        <v>1148</v>
      </c>
      <c r="AB1013" s="26">
        <f t="shared" si="179"/>
        <v>432</v>
      </c>
      <c r="AC1013">
        <f t="shared" si="180"/>
        <v>1216</v>
      </c>
    </row>
    <row r="1014" spans="1:29" x14ac:dyDescent="0.2">
      <c r="A1014">
        <v>532</v>
      </c>
      <c r="D1014">
        <f t="shared" si="181"/>
        <v>2</v>
      </c>
      <c r="E1014">
        <v>14</v>
      </c>
      <c r="F1014" s="6" t="s">
        <v>462</v>
      </c>
      <c r="G1014">
        <v>14</v>
      </c>
      <c r="H1014" s="8" t="s">
        <v>429</v>
      </c>
      <c r="I1014" t="s">
        <v>178</v>
      </c>
      <c r="J1014">
        <v>14</v>
      </c>
      <c r="K1014" t="s">
        <v>488</v>
      </c>
      <c r="L1014" t="s">
        <v>277</v>
      </c>
      <c r="M1014" t="s">
        <v>191</v>
      </c>
      <c r="N1014" t="s">
        <v>87</v>
      </c>
      <c r="Q1014">
        <f t="shared" si="185"/>
        <v>18977</v>
      </c>
      <c r="R1014" t="str">
        <f t="shared" si="185"/>
        <v>Velodrome</v>
      </c>
      <c r="S1014" t="str">
        <f t="shared" si="185"/>
        <v>HollowBrook</v>
      </c>
      <c r="T1014" s="20">
        <f t="shared" si="175"/>
        <v>3</v>
      </c>
      <c r="U1014">
        <f t="shared" si="176"/>
        <v>898</v>
      </c>
      <c r="V1014">
        <f t="shared" si="177"/>
        <v>895</v>
      </c>
      <c r="W1014" cm="1">
        <f t="array" ref="W1014">_xlfn._xlws.FILTER(shifts!A:A,(shifts!B:B=events!D1014)*(shifts!AH:AH&gt;=events!U1014)*(shifts!AI:AI&lt;=events!V1014))</f>
        <v>38</v>
      </c>
      <c r="X1014" t="str">
        <f t="shared" si="186"/>
        <v>event_team_player_2</v>
      </c>
      <c r="Y1014">
        <f>COUNTIFS(A$3:A1014,"="&amp;A1014,K$3:K1014,"="&amp;K1014)</f>
        <v>2</v>
      </c>
      <c r="Z1014" s="20">
        <f>SUMIFS(T$3:T1014,L$3:L1014,"=Intermission")+SUMIFS(T$3:T1014,L$3:L1014,"=Timeout")+SUMIFS(T$3:T1014,L$3:L1014,"=Clockstop")</f>
        <v>68</v>
      </c>
      <c r="AA1014">
        <f t="shared" si="178"/>
        <v>1148</v>
      </c>
      <c r="AB1014" s="26">
        <f t="shared" si="179"/>
        <v>432</v>
      </c>
      <c r="AC1014">
        <f t="shared" si="180"/>
        <v>1216</v>
      </c>
    </row>
    <row r="1015" spans="1:29" x14ac:dyDescent="0.2">
      <c r="A1015">
        <v>532</v>
      </c>
      <c r="D1015">
        <f t="shared" si="181"/>
        <v>2</v>
      </c>
      <c r="E1015">
        <v>14</v>
      </c>
      <c r="F1015" s="6" t="s">
        <v>462</v>
      </c>
      <c r="G1015">
        <v>14</v>
      </c>
      <c r="H1015" s="8" t="s">
        <v>429</v>
      </c>
      <c r="I1015" t="s">
        <v>178</v>
      </c>
      <c r="J1015">
        <v>2</v>
      </c>
      <c r="K1015" t="s">
        <v>489</v>
      </c>
      <c r="L1015" t="s">
        <v>277</v>
      </c>
      <c r="M1015" t="s">
        <v>191</v>
      </c>
      <c r="N1015" t="s">
        <v>87</v>
      </c>
      <c r="Q1015">
        <f t="shared" si="185"/>
        <v>18977</v>
      </c>
      <c r="R1015" t="str">
        <f t="shared" si="185"/>
        <v>Velodrome</v>
      </c>
      <c r="S1015" t="str">
        <f t="shared" si="185"/>
        <v>HollowBrook</v>
      </c>
      <c r="T1015" s="20">
        <f t="shared" si="175"/>
        <v>3</v>
      </c>
      <c r="U1015">
        <f t="shared" si="176"/>
        <v>898</v>
      </c>
      <c r="V1015">
        <f t="shared" si="177"/>
        <v>895</v>
      </c>
      <c r="W1015" cm="1">
        <f t="array" ref="W1015">_xlfn._xlws.FILTER(shifts!A:A,(shifts!B:B=events!D1015)*(shifts!AH:AH&gt;=events!U1015)*(shifts!AI:AI&lt;=events!V1015))</f>
        <v>38</v>
      </c>
      <c r="X1015" t="str">
        <f t="shared" si="186"/>
        <v>opp_team_player_1</v>
      </c>
      <c r="Y1015">
        <f>COUNTIFS(A$3:A1015,"="&amp;A1015,K$3:K1015,"="&amp;K1015)</f>
        <v>1</v>
      </c>
      <c r="Z1015" s="20">
        <f>SUMIFS(T$3:T1015,L$3:L1015,"=Intermission")+SUMIFS(T$3:T1015,L$3:L1015,"=Timeout")+SUMIFS(T$3:T1015,L$3:L1015,"=Clockstop")</f>
        <v>68</v>
      </c>
      <c r="AA1015">
        <f t="shared" si="178"/>
        <v>1148</v>
      </c>
      <c r="AB1015" s="26">
        <f t="shared" si="179"/>
        <v>432</v>
      </c>
      <c r="AC1015">
        <f t="shared" si="180"/>
        <v>1216</v>
      </c>
    </row>
    <row r="1016" spans="1:29" x14ac:dyDescent="0.2">
      <c r="A1016">
        <v>533</v>
      </c>
      <c r="D1016">
        <f t="shared" si="181"/>
        <v>2</v>
      </c>
      <c r="E1016">
        <v>14</v>
      </c>
      <c r="F1016" s="6" t="s">
        <v>429</v>
      </c>
      <c r="I1016" t="s">
        <v>178</v>
      </c>
      <c r="J1016">
        <v>87</v>
      </c>
      <c r="K1016" t="s">
        <v>488</v>
      </c>
      <c r="L1016" t="s">
        <v>8</v>
      </c>
      <c r="M1016" t="s">
        <v>199</v>
      </c>
      <c r="N1016" t="s">
        <v>70</v>
      </c>
      <c r="Q1016">
        <f t="shared" si="185"/>
        <v>18977</v>
      </c>
      <c r="R1016" t="str">
        <f t="shared" si="185"/>
        <v>Velodrome</v>
      </c>
      <c r="S1016" t="str">
        <f t="shared" si="185"/>
        <v>HollowBrook</v>
      </c>
      <c r="T1016" s="20">
        <f t="shared" si="175"/>
        <v>0</v>
      </c>
      <c r="U1016">
        <f t="shared" si="176"/>
        <v>895</v>
      </c>
      <c r="V1016">
        <f t="shared" si="177"/>
        <v>895</v>
      </c>
      <c r="W1016">
        <v>39</v>
      </c>
      <c r="X1016" t="str">
        <f t="shared" si="186"/>
        <v>event_team_player_1</v>
      </c>
      <c r="Y1016">
        <f>COUNTIFS(A$3:A1016,"="&amp;A1016,K$3:K1016,"="&amp;K1016)</f>
        <v>1</v>
      </c>
      <c r="Z1016" s="20">
        <f>SUMIFS(T$3:T1016,L$3:L1016,"=Intermission")+SUMIFS(T$3:T1016,L$3:L1016,"=Timeout")+SUMIFS(T$3:T1016,L$3:L1016,"=Clockstop")</f>
        <v>68</v>
      </c>
      <c r="AA1016">
        <f t="shared" si="178"/>
        <v>1148</v>
      </c>
      <c r="AB1016" s="26">
        <f t="shared" si="179"/>
        <v>438</v>
      </c>
      <c r="AC1016">
        <f t="shared" si="180"/>
        <v>1216</v>
      </c>
    </row>
    <row r="1017" spans="1:29" x14ac:dyDescent="0.2">
      <c r="A1017">
        <v>533</v>
      </c>
      <c r="D1017">
        <f t="shared" si="181"/>
        <v>2</v>
      </c>
      <c r="E1017">
        <v>14</v>
      </c>
      <c r="F1017" s="6" t="s">
        <v>429</v>
      </c>
      <c r="I1017" t="s">
        <v>178</v>
      </c>
      <c r="J1017">
        <v>14</v>
      </c>
      <c r="K1017" t="s">
        <v>488</v>
      </c>
      <c r="L1017" t="s">
        <v>8</v>
      </c>
      <c r="M1017" t="s">
        <v>199</v>
      </c>
      <c r="N1017" t="s">
        <v>70</v>
      </c>
      <c r="Q1017">
        <f t="shared" si="185"/>
        <v>18977</v>
      </c>
      <c r="R1017" t="str">
        <f t="shared" si="185"/>
        <v>Velodrome</v>
      </c>
      <c r="S1017" t="str">
        <f t="shared" si="185"/>
        <v>HollowBrook</v>
      </c>
      <c r="T1017" s="20">
        <f t="shared" si="175"/>
        <v>0</v>
      </c>
      <c r="U1017">
        <f t="shared" si="176"/>
        <v>895</v>
      </c>
      <c r="V1017">
        <f t="shared" si="177"/>
        <v>895</v>
      </c>
      <c r="W1017">
        <v>39</v>
      </c>
      <c r="X1017" t="str">
        <f t="shared" si="186"/>
        <v>event_team_player_2</v>
      </c>
      <c r="Y1017">
        <f>COUNTIFS(A$3:A1017,"="&amp;A1017,K$3:K1017,"="&amp;K1017)</f>
        <v>2</v>
      </c>
      <c r="Z1017" s="20">
        <f>SUMIFS(T$3:T1017,L$3:L1017,"=Intermission")+SUMIFS(T$3:T1017,L$3:L1017,"=Timeout")+SUMIFS(T$3:T1017,L$3:L1017,"=Clockstop")</f>
        <v>68</v>
      </c>
      <c r="AA1017">
        <f t="shared" si="178"/>
        <v>1148</v>
      </c>
      <c r="AB1017" s="26">
        <f t="shared" si="179"/>
        <v>438</v>
      </c>
      <c r="AC1017">
        <f t="shared" si="180"/>
        <v>1216</v>
      </c>
    </row>
    <row r="1018" spans="1:29" x14ac:dyDescent="0.2">
      <c r="A1018">
        <v>534</v>
      </c>
      <c r="D1018">
        <f t="shared" si="181"/>
        <v>2</v>
      </c>
      <c r="E1018">
        <v>14</v>
      </c>
      <c r="F1018" s="6" t="s">
        <v>429</v>
      </c>
      <c r="I1018" t="s">
        <v>178</v>
      </c>
      <c r="J1018">
        <v>87</v>
      </c>
      <c r="K1018" t="s">
        <v>488</v>
      </c>
      <c r="L1018" t="s">
        <v>10</v>
      </c>
      <c r="M1018" t="s">
        <v>190</v>
      </c>
      <c r="N1018" t="s">
        <v>76</v>
      </c>
      <c r="Q1018">
        <f t="shared" si="185"/>
        <v>18977</v>
      </c>
      <c r="R1018" t="str">
        <f t="shared" si="185"/>
        <v>Velodrome</v>
      </c>
      <c r="S1018" t="str">
        <f t="shared" si="185"/>
        <v>HollowBrook</v>
      </c>
      <c r="T1018" s="20">
        <f t="shared" si="175"/>
        <v>0</v>
      </c>
      <c r="U1018">
        <f t="shared" si="176"/>
        <v>895</v>
      </c>
      <c r="V1018">
        <f t="shared" si="177"/>
        <v>895</v>
      </c>
      <c r="W1018">
        <v>39</v>
      </c>
      <c r="X1018" t="str">
        <f t="shared" si="186"/>
        <v>event_team_player_1</v>
      </c>
      <c r="Y1018">
        <f>COUNTIFS(A$3:A1018,"="&amp;A1018,K$3:K1018,"="&amp;K1018)</f>
        <v>1</v>
      </c>
      <c r="Z1018" s="20">
        <f>SUMIFS(T$3:T1018,L$3:L1018,"=Intermission")+SUMIFS(T$3:T1018,L$3:L1018,"=Timeout")+SUMIFS(T$3:T1018,L$3:L1018,"=Clockstop")</f>
        <v>68</v>
      </c>
      <c r="AA1018">
        <f t="shared" si="178"/>
        <v>1148</v>
      </c>
      <c r="AB1018" s="26">
        <f t="shared" si="179"/>
        <v>438</v>
      </c>
      <c r="AC1018">
        <f t="shared" si="180"/>
        <v>1216</v>
      </c>
    </row>
    <row r="1019" spans="1:29" x14ac:dyDescent="0.2">
      <c r="A1019">
        <v>535</v>
      </c>
      <c r="D1019">
        <f t="shared" si="181"/>
        <v>2</v>
      </c>
      <c r="E1019">
        <v>14</v>
      </c>
      <c r="F1019" s="6" t="s">
        <v>451</v>
      </c>
      <c r="I1019" t="s">
        <v>179</v>
      </c>
      <c r="J1019">
        <v>27</v>
      </c>
      <c r="K1019" t="s">
        <v>488</v>
      </c>
      <c r="L1019" t="s">
        <v>13</v>
      </c>
      <c r="M1019" t="s">
        <v>204</v>
      </c>
      <c r="N1019" t="s">
        <v>108</v>
      </c>
      <c r="Q1019">
        <f t="shared" si="185"/>
        <v>18977</v>
      </c>
      <c r="R1019" t="str">
        <f t="shared" si="185"/>
        <v>Velodrome</v>
      </c>
      <c r="S1019" t="str">
        <f t="shared" si="185"/>
        <v>HollowBrook</v>
      </c>
      <c r="T1019" s="20">
        <f t="shared" si="175"/>
        <v>0</v>
      </c>
      <c r="U1019">
        <f t="shared" si="176"/>
        <v>888</v>
      </c>
      <c r="V1019">
        <f t="shared" si="177"/>
        <v>888</v>
      </c>
      <c r="W1019">
        <v>39</v>
      </c>
      <c r="X1019" t="str">
        <f t="shared" si="186"/>
        <v>event_team_player_1</v>
      </c>
      <c r="Y1019">
        <f>COUNTIFS(A$3:A1019,"="&amp;A1019,K$3:K1019,"="&amp;K1019)</f>
        <v>1</v>
      </c>
      <c r="Z1019" s="20">
        <f>SUMIFS(T$3:T1019,L$3:L1019,"=Intermission")+SUMIFS(T$3:T1019,L$3:L1019,"=Timeout")+SUMIFS(T$3:T1019,L$3:L1019,"=Clockstop")</f>
        <v>68</v>
      </c>
      <c r="AA1019">
        <f t="shared" si="178"/>
        <v>1148</v>
      </c>
      <c r="AB1019" s="26">
        <f t="shared" si="179"/>
        <v>452</v>
      </c>
      <c r="AC1019">
        <f t="shared" si="180"/>
        <v>1216</v>
      </c>
    </row>
    <row r="1020" spans="1:29" x14ac:dyDescent="0.2">
      <c r="A1020">
        <v>536</v>
      </c>
      <c r="D1020">
        <f t="shared" si="181"/>
        <v>2</v>
      </c>
      <c r="E1020">
        <v>14</v>
      </c>
      <c r="F1020" s="6" t="s">
        <v>478</v>
      </c>
      <c r="G1020">
        <v>14</v>
      </c>
      <c r="H1020" s="8" t="s">
        <v>484</v>
      </c>
      <c r="I1020" t="s">
        <v>179</v>
      </c>
      <c r="J1020">
        <v>27</v>
      </c>
      <c r="K1020" t="s">
        <v>488</v>
      </c>
      <c r="L1020" t="s">
        <v>282</v>
      </c>
      <c r="Q1020">
        <f t="shared" si="185"/>
        <v>18977</v>
      </c>
      <c r="R1020" t="str">
        <f t="shared" si="185"/>
        <v>Velodrome</v>
      </c>
      <c r="S1020" t="str">
        <f t="shared" si="185"/>
        <v>HollowBrook</v>
      </c>
      <c r="T1020" s="20">
        <f t="shared" si="175"/>
        <v>24</v>
      </c>
      <c r="U1020">
        <f t="shared" si="176"/>
        <v>886</v>
      </c>
      <c r="V1020">
        <f t="shared" si="177"/>
        <v>862</v>
      </c>
      <c r="W1020" cm="1">
        <f t="array" ref="W1020">_xlfn._xlws.FILTER(shifts!A:A,(shifts!B:B=events!D1020)*(shifts!AH:AH&gt;=events!U1020)*(shifts!AI:AI&lt;=events!V1020))</f>
        <v>40</v>
      </c>
      <c r="X1020" t="str">
        <f t="shared" si="186"/>
        <v>event_team_player_1</v>
      </c>
      <c r="Y1020">
        <f>COUNTIFS(A$3:A1020,"="&amp;A1020,K$3:K1020,"="&amp;K1020)</f>
        <v>1</v>
      </c>
      <c r="Z1020" s="20">
        <f>SUMIFS(T$3:T1020,L$3:L1020,"=Intermission")+SUMIFS(T$3:T1020,L$3:L1020,"=Timeout")+SUMIFS(T$3:T1020,L$3:L1020,"=Clockstop")</f>
        <v>68</v>
      </c>
      <c r="AA1020">
        <f t="shared" si="178"/>
        <v>1148</v>
      </c>
      <c r="AB1020" s="26">
        <f t="shared" si="179"/>
        <v>456</v>
      </c>
      <c r="AC1020">
        <f t="shared" si="180"/>
        <v>1216</v>
      </c>
    </row>
    <row r="1021" spans="1:29" x14ac:dyDescent="0.2">
      <c r="A1021">
        <v>537</v>
      </c>
      <c r="D1021">
        <f t="shared" si="181"/>
        <v>2</v>
      </c>
      <c r="E1021">
        <v>14</v>
      </c>
      <c r="F1021" s="6" t="s">
        <v>484</v>
      </c>
      <c r="I1021" t="s">
        <v>178</v>
      </c>
      <c r="J1021">
        <v>70</v>
      </c>
      <c r="K1021" t="s">
        <v>488</v>
      </c>
      <c r="L1021" t="s">
        <v>6</v>
      </c>
      <c r="M1021" t="s">
        <v>275</v>
      </c>
      <c r="Q1021">
        <f t="shared" si="185"/>
        <v>18977</v>
      </c>
      <c r="R1021" t="str">
        <f t="shared" si="185"/>
        <v>Velodrome</v>
      </c>
      <c r="S1021" t="str">
        <f t="shared" si="185"/>
        <v>HollowBrook</v>
      </c>
      <c r="T1021" s="20">
        <f t="shared" si="175"/>
        <v>0</v>
      </c>
      <c r="U1021">
        <f t="shared" si="176"/>
        <v>862</v>
      </c>
      <c r="V1021">
        <f t="shared" si="177"/>
        <v>862</v>
      </c>
      <c r="W1021" cm="1">
        <f t="array" ref="W1021">_xlfn._xlws.FILTER(shifts!A:A,(shifts!B:B=events!D1021)*(shifts!AH:AH&gt;=events!U1021)*(shifts!AI:AI&lt;=events!V1021))</f>
        <v>40</v>
      </c>
      <c r="X1021" t="str">
        <f t="shared" si="186"/>
        <v>event_team_player_1</v>
      </c>
      <c r="Y1021">
        <f>COUNTIFS(A$3:A1021,"="&amp;A1021,K$3:K1021,"="&amp;K1021)</f>
        <v>1</v>
      </c>
      <c r="Z1021" s="20">
        <f>SUMIFS(T$3:T1021,L$3:L1021,"=Intermission")+SUMIFS(T$3:T1021,L$3:L1021,"=Timeout")+SUMIFS(T$3:T1021,L$3:L1021,"=Clockstop")</f>
        <v>68</v>
      </c>
      <c r="AA1021">
        <f t="shared" si="178"/>
        <v>1148</v>
      </c>
      <c r="AB1021" s="26">
        <f t="shared" si="179"/>
        <v>504</v>
      </c>
      <c r="AC1021">
        <f t="shared" si="180"/>
        <v>1216</v>
      </c>
    </row>
    <row r="1022" spans="1:29" x14ac:dyDescent="0.2">
      <c r="A1022">
        <v>537</v>
      </c>
      <c r="D1022">
        <f t="shared" si="181"/>
        <v>2</v>
      </c>
      <c r="E1022">
        <v>14</v>
      </c>
      <c r="F1022" s="6" t="s">
        <v>484</v>
      </c>
      <c r="I1022" t="s">
        <v>178</v>
      </c>
      <c r="J1022">
        <v>11</v>
      </c>
      <c r="K1022" t="s">
        <v>489</v>
      </c>
      <c r="L1022" t="s">
        <v>6</v>
      </c>
      <c r="M1022" t="s">
        <v>275</v>
      </c>
      <c r="Q1022">
        <f t="shared" si="185"/>
        <v>18977</v>
      </c>
      <c r="R1022" t="str">
        <f t="shared" si="185"/>
        <v>Velodrome</v>
      </c>
      <c r="S1022" t="str">
        <f t="shared" si="185"/>
        <v>HollowBrook</v>
      </c>
      <c r="T1022" s="20">
        <f t="shared" si="175"/>
        <v>0</v>
      </c>
      <c r="U1022">
        <f t="shared" si="176"/>
        <v>862</v>
      </c>
      <c r="V1022">
        <f t="shared" si="177"/>
        <v>862</v>
      </c>
      <c r="W1022" cm="1">
        <f t="array" ref="W1022">_xlfn._xlws.FILTER(shifts!A:A,(shifts!B:B=events!D1022)*(shifts!AH:AH&gt;=events!U1022)*(shifts!AI:AI&lt;=events!V1022))</f>
        <v>40</v>
      </c>
      <c r="X1022" t="str">
        <f t="shared" si="186"/>
        <v>opp_team_player_1</v>
      </c>
      <c r="Y1022">
        <f>COUNTIFS(A$3:A1022,"="&amp;A1022,K$3:K1022,"="&amp;K1022)</f>
        <v>1</v>
      </c>
      <c r="Z1022" s="20">
        <f>SUMIFS(T$3:T1022,L$3:L1022,"=Intermission")+SUMIFS(T$3:T1022,L$3:L1022,"=Timeout")+SUMIFS(T$3:T1022,L$3:L1022,"=Clockstop")</f>
        <v>68</v>
      </c>
      <c r="AA1022">
        <f t="shared" si="178"/>
        <v>1148</v>
      </c>
      <c r="AB1022" s="26">
        <f t="shared" si="179"/>
        <v>504</v>
      </c>
      <c r="AC1022">
        <f t="shared" si="180"/>
        <v>1216</v>
      </c>
    </row>
    <row r="1023" spans="1:29" x14ac:dyDescent="0.2">
      <c r="A1023">
        <v>538</v>
      </c>
      <c r="D1023">
        <f t="shared" si="181"/>
        <v>2</v>
      </c>
      <c r="E1023">
        <v>14</v>
      </c>
      <c r="F1023" s="6" t="s">
        <v>446</v>
      </c>
      <c r="G1023">
        <v>14</v>
      </c>
      <c r="H1023" s="8" t="s">
        <v>447</v>
      </c>
      <c r="I1023" t="s">
        <v>179</v>
      </c>
      <c r="J1023">
        <v>19</v>
      </c>
      <c r="K1023" t="s">
        <v>488</v>
      </c>
      <c r="L1023" t="s">
        <v>277</v>
      </c>
      <c r="M1023" t="s">
        <v>201</v>
      </c>
      <c r="N1023" t="s">
        <v>90</v>
      </c>
      <c r="Q1023">
        <f t="shared" si="185"/>
        <v>18977</v>
      </c>
      <c r="R1023" t="str">
        <f t="shared" si="185"/>
        <v>Velodrome</v>
      </c>
      <c r="S1023" t="str">
        <f t="shared" si="185"/>
        <v>HollowBrook</v>
      </c>
      <c r="T1023" s="20">
        <f t="shared" si="175"/>
        <v>2</v>
      </c>
      <c r="U1023">
        <f t="shared" si="176"/>
        <v>857</v>
      </c>
      <c r="V1023">
        <f t="shared" si="177"/>
        <v>855</v>
      </c>
      <c r="W1023" cm="1">
        <f t="array" ref="W1023">_xlfn._xlws.FILTER(shifts!A:A,(shifts!B:B=events!D1023)*(shifts!AH:AH&gt;=events!U1023)*(shifts!AI:AI&lt;=events!V1023))</f>
        <v>40</v>
      </c>
      <c r="X1023" t="str">
        <f t="shared" si="186"/>
        <v>event_team_player_1</v>
      </c>
      <c r="Y1023">
        <f>COUNTIFS(A$3:A1023,"="&amp;A1023,K$3:K1023,"="&amp;K1023)</f>
        <v>1</v>
      </c>
      <c r="Z1023" s="20">
        <f>SUMIFS(T$3:T1023,L$3:L1023,"=Intermission")+SUMIFS(T$3:T1023,L$3:L1023,"=Timeout")+SUMIFS(T$3:T1023,L$3:L1023,"=Clockstop")</f>
        <v>68</v>
      </c>
      <c r="AA1023">
        <f t="shared" si="178"/>
        <v>1148</v>
      </c>
      <c r="AB1023" s="26">
        <f t="shared" si="179"/>
        <v>514</v>
      </c>
      <c r="AC1023">
        <f t="shared" si="180"/>
        <v>1216</v>
      </c>
    </row>
    <row r="1024" spans="1:29" x14ac:dyDescent="0.2">
      <c r="A1024">
        <v>538</v>
      </c>
      <c r="D1024">
        <f t="shared" si="181"/>
        <v>2</v>
      </c>
      <c r="E1024">
        <v>14</v>
      </c>
      <c r="F1024" s="6" t="s">
        <v>446</v>
      </c>
      <c r="G1024">
        <v>14</v>
      </c>
      <c r="H1024" s="8" t="s">
        <v>447</v>
      </c>
      <c r="I1024" t="s">
        <v>179</v>
      </c>
      <c r="J1024">
        <v>91</v>
      </c>
      <c r="K1024" t="s">
        <v>489</v>
      </c>
      <c r="L1024" t="s">
        <v>277</v>
      </c>
      <c r="M1024" t="s">
        <v>201</v>
      </c>
      <c r="N1024" t="s">
        <v>90</v>
      </c>
      <c r="Q1024">
        <f t="shared" si="185"/>
        <v>18977</v>
      </c>
      <c r="R1024" t="str">
        <f t="shared" si="185"/>
        <v>Velodrome</v>
      </c>
      <c r="S1024" t="str">
        <f t="shared" si="185"/>
        <v>HollowBrook</v>
      </c>
      <c r="T1024" s="20">
        <f t="shared" si="175"/>
        <v>2</v>
      </c>
      <c r="U1024">
        <f t="shared" si="176"/>
        <v>857</v>
      </c>
      <c r="V1024">
        <f t="shared" si="177"/>
        <v>855</v>
      </c>
      <c r="W1024" cm="1">
        <f t="array" ref="W1024">_xlfn._xlws.FILTER(shifts!A:A,(shifts!B:B=events!D1024)*(shifts!AH:AH&gt;=events!U1024)*(shifts!AI:AI&lt;=events!V1024))</f>
        <v>40</v>
      </c>
      <c r="X1024" t="str">
        <f t="shared" si="186"/>
        <v>opp_team_player_1</v>
      </c>
      <c r="Y1024">
        <f>COUNTIFS(A$3:A1024,"="&amp;A1024,K$3:K1024,"="&amp;K1024)</f>
        <v>1</v>
      </c>
      <c r="Z1024" s="20">
        <f>SUMIFS(T$3:T1024,L$3:L1024,"=Intermission")+SUMIFS(T$3:T1024,L$3:L1024,"=Timeout")+SUMIFS(T$3:T1024,L$3:L1024,"=Clockstop")</f>
        <v>68</v>
      </c>
      <c r="AA1024">
        <f t="shared" si="178"/>
        <v>1148</v>
      </c>
      <c r="AB1024" s="26">
        <f t="shared" si="179"/>
        <v>514</v>
      </c>
      <c r="AC1024">
        <f t="shared" si="180"/>
        <v>1216</v>
      </c>
    </row>
    <row r="1025" spans="1:29" x14ac:dyDescent="0.2">
      <c r="A1025">
        <v>539</v>
      </c>
      <c r="D1025">
        <f t="shared" si="181"/>
        <v>2</v>
      </c>
      <c r="E1025">
        <v>14</v>
      </c>
      <c r="F1025" s="6" t="s">
        <v>447</v>
      </c>
      <c r="G1025">
        <v>14</v>
      </c>
      <c r="H1025" s="8" t="s">
        <v>317</v>
      </c>
      <c r="I1025" t="s">
        <v>179</v>
      </c>
      <c r="J1025">
        <v>19</v>
      </c>
      <c r="K1025" t="s">
        <v>488</v>
      </c>
      <c r="L1025" t="s">
        <v>15</v>
      </c>
      <c r="Q1025">
        <f t="shared" si="185"/>
        <v>18977</v>
      </c>
      <c r="R1025" t="str">
        <f t="shared" si="185"/>
        <v>Velodrome</v>
      </c>
      <c r="S1025" t="str">
        <f t="shared" si="185"/>
        <v>HollowBrook</v>
      </c>
      <c r="T1025" s="20">
        <f t="shared" si="175"/>
        <v>2</v>
      </c>
      <c r="U1025">
        <f t="shared" si="176"/>
        <v>855</v>
      </c>
      <c r="V1025">
        <f t="shared" si="177"/>
        <v>853</v>
      </c>
      <c r="W1025" cm="1">
        <f t="array" ref="W1025">_xlfn._xlws.FILTER(shifts!A:A,(shifts!B:B=events!D1025)*(shifts!AH:AH&gt;=events!U1025)*(shifts!AI:AI&lt;=events!V1025))</f>
        <v>40</v>
      </c>
      <c r="X1025" t="str">
        <f t="shared" si="186"/>
        <v>event_team_player_1</v>
      </c>
      <c r="Y1025">
        <f>COUNTIFS(A$3:A1025,"="&amp;A1025,K$3:K1025,"="&amp;K1025)</f>
        <v>1</v>
      </c>
      <c r="Z1025" s="20">
        <f>SUMIFS(T$3:T1025,L$3:L1025,"=Intermission")+SUMIFS(T$3:T1025,L$3:L1025,"=Timeout")+SUMIFS(T$3:T1025,L$3:L1025,"=Clockstop")</f>
        <v>68</v>
      </c>
      <c r="AA1025">
        <f t="shared" si="178"/>
        <v>1148</v>
      </c>
      <c r="AB1025" s="26">
        <f t="shared" si="179"/>
        <v>518</v>
      </c>
      <c r="AC1025">
        <f t="shared" si="180"/>
        <v>1216</v>
      </c>
    </row>
    <row r="1026" spans="1:29" x14ac:dyDescent="0.2">
      <c r="A1026">
        <v>540</v>
      </c>
      <c r="D1026">
        <f t="shared" si="181"/>
        <v>2</v>
      </c>
      <c r="E1026">
        <v>14</v>
      </c>
      <c r="F1026" s="6" t="s">
        <v>317</v>
      </c>
      <c r="G1026">
        <v>14</v>
      </c>
      <c r="H1026" s="8" t="s">
        <v>424</v>
      </c>
      <c r="I1026" t="s">
        <v>179</v>
      </c>
      <c r="J1026">
        <v>19</v>
      </c>
      <c r="K1026" t="s">
        <v>488</v>
      </c>
      <c r="L1026" t="s">
        <v>277</v>
      </c>
      <c r="M1026" t="s">
        <v>191</v>
      </c>
      <c r="N1026" t="s">
        <v>87</v>
      </c>
      <c r="Q1026">
        <f t="shared" si="185"/>
        <v>18977</v>
      </c>
      <c r="R1026" t="str">
        <f t="shared" si="185"/>
        <v>Velodrome</v>
      </c>
      <c r="S1026" t="str">
        <f t="shared" si="185"/>
        <v>HollowBrook</v>
      </c>
      <c r="T1026" s="20">
        <f t="shared" si="175"/>
        <v>4</v>
      </c>
      <c r="U1026">
        <f t="shared" si="176"/>
        <v>853</v>
      </c>
      <c r="V1026">
        <f t="shared" si="177"/>
        <v>849</v>
      </c>
      <c r="W1026" cm="1">
        <f t="array" ref="W1026">_xlfn._xlws.FILTER(shifts!A:A,(shifts!B:B=events!D1026)*(shifts!AH:AH&gt;=events!U1026)*(shifts!AI:AI&lt;=events!V1026))</f>
        <v>40</v>
      </c>
      <c r="X1026" t="str">
        <f t="shared" si="186"/>
        <v>event_team_player_1</v>
      </c>
      <c r="Y1026">
        <f>COUNTIFS(A$3:A1026,"="&amp;A1026,K$3:K1026,"="&amp;K1026)</f>
        <v>1</v>
      </c>
      <c r="Z1026" s="20">
        <f>SUMIFS(T$3:T1026,L$3:L1026,"=Intermission")+SUMIFS(T$3:T1026,L$3:L1026,"=Timeout")+SUMIFS(T$3:T1026,L$3:L1026,"=Clockstop")</f>
        <v>68</v>
      </c>
      <c r="AA1026">
        <f t="shared" si="178"/>
        <v>1148</v>
      </c>
      <c r="AB1026" s="26">
        <f t="shared" si="179"/>
        <v>522</v>
      </c>
      <c r="AC1026">
        <f t="shared" si="180"/>
        <v>1216</v>
      </c>
    </row>
    <row r="1027" spans="1:29" x14ac:dyDescent="0.2">
      <c r="A1027">
        <v>540</v>
      </c>
      <c r="D1027">
        <f t="shared" si="181"/>
        <v>2</v>
      </c>
      <c r="E1027">
        <v>14</v>
      </c>
      <c r="F1027" s="6" t="s">
        <v>317</v>
      </c>
      <c r="G1027">
        <v>14</v>
      </c>
      <c r="H1027" s="8" t="s">
        <v>424</v>
      </c>
      <c r="I1027" t="s">
        <v>179</v>
      </c>
      <c r="J1027">
        <v>11</v>
      </c>
      <c r="K1027" t="s">
        <v>488</v>
      </c>
      <c r="L1027" t="s">
        <v>277</v>
      </c>
      <c r="M1027" t="s">
        <v>191</v>
      </c>
      <c r="N1027" t="s">
        <v>87</v>
      </c>
      <c r="Q1027">
        <f t="shared" si="185"/>
        <v>18977</v>
      </c>
      <c r="R1027" t="str">
        <f t="shared" si="185"/>
        <v>Velodrome</v>
      </c>
      <c r="S1027" t="str">
        <f t="shared" si="185"/>
        <v>HollowBrook</v>
      </c>
      <c r="T1027" s="20">
        <f t="shared" si="175"/>
        <v>4</v>
      </c>
      <c r="U1027">
        <f t="shared" si="176"/>
        <v>853</v>
      </c>
      <c r="V1027">
        <f t="shared" si="177"/>
        <v>849</v>
      </c>
      <c r="W1027" cm="1">
        <f t="array" ref="W1027">_xlfn._xlws.FILTER(shifts!A:A,(shifts!B:B=events!D1027)*(shifts!AH:AH&gt;=events!U1027)*(shifts!AI:AI&lt;=events!V1027))</f>
        <v>40</v>
      </c>
      <c r="X1027" t="str">
        <f t="shared" si="186"/>
        <v>event_team_player_2</v>
      </c>
      <c r="Y1027">
        <f>COUNTIFS(A$3:A1027,"="&amp;A1027,K$3:K1027,"="&amp;K1027)</f>
        <v>2</v>
      </c>
      <c r="Z1027" s="20">
        <f>SUMIFS(T$3:T1027,L$3:L1027,"=Intermission")+SUMIFS(T$3:T1027,L$3:L1027,"=Timeout")+SUMIFS(T$3:T1027,L$3:L1027,"=Clockstop")</f>
        <v>68</v>
      </c>
      <c r="AA1027">
        <f t="shared" si="178"/>
        <v>1148</v>
      </c>
      <c r="AB1027" s="26">
        <f t="shared" si="179"/>
        <v>522</v>
      </c>
      <c r="AC1027">
        <f t="shared" si="180"/>
        <v>1216</v>
      </c>
    </row>
    <row r="1028" spans="1:29" x14ac:dyDescent="0.2">
      <c r="A1028">
        <v>540</v>
      </c>
      <c r="D1028">
        <f t="shared" si="181"/>
        <v>2</v>
      </c>
      <c r="E1028">
        <v>14</v>
      </c>
      <c r="F1028" s="6" t="s">
        <v>317</v>
      </c>
      <c r="G1028">
        <v>14</v>
      </c>
      <c r="H1028" s="8" t="s">
        <v>424</v>
      </c>
      <c r="I1028" t="s">
        <v>179</v>
      </c>
      <c r="J1028">
        <v>22</v>
      </c>
      <c r="K1028" t="s">
        <v>488</v>
      </c>
      <c r="L1028" t="s">
        <v>277</v>
      </c>
      <c r="M1028" t="s">
        <v>191</v>
      </c>
      <c r="N1028" t="s">
        <v>87</v>
      </c>
      <c r="Q1028">
        <f t="shared" si="185"/>
        <v>18977</v>
      </c>
      <c r="R1028" t="str">
        <f t="shared" si="185"/>
        <v>Velodrome</v>
      </c>
      <c r="S1028" t="str">
        <f t="shared" si="185"/>
        <v>HollowBrook</v>
      </c>
      <c r="T1028" s="20">
        <f t="shared" ref="T1028:T1091" si="187">IF(AND(G1028="",H1028=""),0,((E1028*60)+F1028)-((G1028*60)+H1028))</f>
        <v>4</v>
      </c>
      <c r="U1028">
        <f t="shared" ref="U1028:U1091" si="188">(E1028*60)+F1028</f>
        <v>853</v>
      </c>
      <c r="V1028">
        <f t="shared" ref="V1028:V1091" si="189">IF(AND(G1028="",H1028=""),U1028,((G1028*60)+H1028))</f>
        <v>849</v>
      </c>
      <c r="W1028" cm="1">
        <f t="array" ref="W1028">_xlfn._xlws.FILTER(shifts!A:A,(shifts!B:B=events!D1028)*(shifts!AH:AH&gt;=events!U1028)*(shifts!AI:AI&lt;=events!V1028))</f>
        <v>40</v>
      </c>
      <c r="X1028" t="str">
        <f t="shared" si="186"/>
        <v>event_team_player_3</v>
      </c>
      <c r="Y1028">
        <f>COUNTIFS(A$3:A1028,"="&amp;A1028,K$3:K1028,"="&amp;K1028)</f>
        <v>3</v>
      </c>
      <c r="Z1028" s="20">
        <f>SUMIFS(T$3:T1028,L$3:L1028,"=Intermission")+SUMIFS(T$3:T1028,L$3:L1028,"=Timeout")+SUMIFS(T$3:T1028,L$3:L1028,"=Clockstop")</f>
        <v>68</v>
      </c>
      <c r="AA1028">
        <f t="shared" ref="AA1028:AA1091" si="190">IF(D1028=1,0,IF(D1028=2,1080+Z1028,IF(D1028=3,(1080*2)+Z1028,0)))</f>
        <v>1148</v>
      </c>
      <c r="AB1028" s="26">
        <f t="shared" ref="AB1028:AB1029" si="191">((1080*D1028)-((E1028*60)+F1028)*D1028)+Z1028</f>
        <v>522</v>
      </c>
      <c r="AC1028">
        <f t="shared" ref="AC1028:AC1091" si="192">IF(L1027="GameStart",0,AA1028+Z1028)</f>
        <v>1216</v>
      </c>
    </row>
    <row r="1029" spans="1:29" x14ac:dyDescent="0.2">
      <c r="A1029">
        <v>540</v>
      </c>
      <c r="D1029">
        <f t="shared" ref="D1029:D1092" si="193">IF(L1029="Intermission",D1028+1,D1028)</f>
        <v>2</v>
      </c>
      <c r="E1029">
        <v>14</v>
      </c>
      <c r="F1029" s="6" t="s">
        <v>317</v>
      </c>
      <c r="G1029">
        <v>14</v>
      </c>
      <c r="H1029" s="8" t="s">
        <v>424</v>
      </c>
      <c r="I1029" t="s">
        <v>179</v>
      </c>
      <c r="J1029">
        <v>9</v>
      </c>
      <c r="K1029" t="s">
        <v>489</v>
      </c>
      <c r="L1029" t="s">
        <v>277</v>
      </c>
      <c r="M1029" t="s">
        <v>191</v>
      </c>
      <c r="N1029" t="s">
        <v>87</v>
      </c>
      <c r="Q1029">
        <f t="shared" ref="Q1029:S1044" si="194">Q1028</f>
        <v>18977</v>
      </c>
      <c r="R1029" t="str">
        <f t="shared" si="194"/>
        <v>Velodrome</v>
      </c>
      <c r="S1029" t="str">
        <f t="shared" si="194"/>
        <v>HollowBrook</v>
      </c>
      <c r="T1029" s="20">
        <f t="shared" si="187"/>
        <v>4</v>
      </c>
      <c r="U1029">
        <f t="shared" si="188"/>
        <v>853</v>
      </c>
      <c r="V1029">
        <f t="shared" si="189"/>
        <v>849</v>
      </c>
      <c r="W1029" cm="1">
        <f t="array" ref="W1029">_xlfn._xlws.FILTER(shifts!A:A,(shifts!B:B=events!D1029)*(shifts!AH:AH&gt;=events!U1029)*(shifts!AI:AI&lt;=events!V1029))</f>
        <v>40</v>
      </c>
      <c r="X1029" t="str">
        <f t="shared" si="186"/>
        <v>opp_team_player_1</v>
      </c>
      <c r="Y1029">
        <f>COUNTIFS(A$3:A1029,"="&amp;A1029,K$3:K1029,"="&amp;K1029)</f>
        <v>1</v>
      </c>
      <c r="Z1029" s="20">
        <f>SUMIFS(T$3:T1029,L$3:L1029,"=Intermission")+SUMIFS(T$3:T1029,L$3:L1029,"=Timeout")+SUMIFS(T$3:T1029,L$3:L1029,"=Clockstop")</f>
        <v>68</v>
      </c>
      <c r="AA1029">
        <f t="shared" si="190"/>
        <v>1148</v>
      </c>
      <c r="AB1029" s="26">
        <f t="shared" si="191"/>
        <v>522</v>
      </c>
      <c r="AC1029">
        <f t="shared" si="192"/>
        <v>1216</v>
      </c>
    </row>
    <row r="1030" spans="1:29" x14ac:dyDescent="0.2">
      <c r="A1030">
        <v>540</v>
      </c>
      <c r="D1030">
        <f t="shared" si="193"/>
        <v>2</v>
      </c>
      <c r="E1030">
        <v>14</v>
      </c>
      <c r="F1030" s="6" t="s">
        <v>317</v>
      </c>
      <c r="G1030">
        <v>14</v>
      </c>
      <c r="H1030" s="8" t="s">
        <v>424</v>
      </c>
      <c r="I1030" t="s">
        <v>179</v>
      </c>
      <c r="J1030">
        <v>70</v>
      </c>
      <c r="K1030" t="s">
        <v>489</v>
      </c>
      <c r="L1030" t="s">
        <v>277</v>
      </c>
      <c r="M1030" t="s">
        <v>191</v>
      </c>
      <c r="N1030" t="s">
        <v>87</v>
      </c>
      <c r="Q1030">
        <f t="shared" si="194"/>
        <v>18977</v>
      </c>
      <c r="R1030" t="str">
        <f t="shared" si="194"/>
        <v>Velodrome</v>
      </c>
      <c r="S1030" t="str">
        <f t="shared" si="194"/>
        <v>HollowBrook</v>
      </c>
      <c r="T1030" s="20">
        <f t="shared" si="187"/>
        <v>4</v>
      </c>
      <c r="U1030">
        <f t="shared" si="188"/>
        <v>853</v>
      </c>
      <c r="V1030">
        <f t="shared" si="189"/>
        <v>849</v>
      </c>
      <c r="W1030" cm="1">
        <f t="array" ref="W1030">_xlfn._xlws.FILTER(shifts!A:A,(shifts!B:B=events!D1030)*(shifts!AH:AH&gt;=events!U1030)*(shifts!AI:AI&lt;=events!V1030))</f>
        <v>40</v>
      </c>
      <c r="X1030" t="str">
        <f t="shared" si="186"/>
        <v>opp_team_player_2</v>
      </c>
      <c r="Y1030">
        <f>COUNTIFS(A$3:A1030,"="&amp;A1030,K$3:K1030,"="&amp;K1030)</f>
        <v>2</v>
      </c>
      <c r="Z1030" s="20">
        <f>SUMIFS(T$3:T1030,L$3:L1030,"=Intermission")+SUMIFS(T$3:T1030,L$3:L1030,"=Timeout")+SUMIFS(T$3:T1030,L$3:L1030,"=Clockstop")</f>
        <v>68</v>
      </c>
      <c r="AA1030">
        <f t="shared" si="190"/>
        <v>1148</v>
      </c>
      <c r="AC1030">
        <f t="shared" si="192"/>
        <v>1216</v>
      </c>
    </row>
    <row r="1031" spans="1:29" x14ac:dyDescent="0.2">
      <c r="A1031">
        <v>540</v>
      </c>
      <c r="D1031">
        <f t="shared" si="193"/>
        <v>2</v>
      </c>
      <c r="E1031">
        <v>14</v>
      </c>
      <c r="F1031" s="6" t="s">
        <v>317</v>
      </c>
      <c r="G1031">
        <v>14</v>
      </c>
      <c r="H1031" s="8" t="s">
        <v>424</v>
      </c>
      <c r="I1031" t="s">
        <v>179</v>
      </c>
      <c r="J1031">
        <v>52</v>
      </c>
      <c r="K1031" t="s">
        <v>489</v>
      </c>
      <c r="L1031" t="s">
        <v>277</v>
      </c>
      <c r="M1031" t="s">
        <v>191</v>
      </c>
      <c r="N1031" t="s">
        <v>87</v>
      </c>
      <c r="Q1031">
        <f t="shared" si="194"/>
        <v>18977</v>
      </c>
      <c r="R1031" t="str">
        <f t="shared" si="194"/>
        <v>Velodrome</v>
      </c>
      <c r="S1031" t="str">
        <f t="shared" si="194"/>
        <v>HollowBrook</v>
      </c>
      <c r="T1031" s="20">
        <f t="shared" si="187"/>
        <v>4</v>
      </c>
      <c r="U1031">
        <f t="shared" si="188"/>
        <v>853</v>
      </c>
      <c r="V1031">
        <f t="shared" si="189"/>
        <v>849</v>
      </c>
      <c r="W1031" cm="1">
        <f t="array" ref="W1031">_xlfn._xlws.FILTER(shifts!A:A,(shifts!B:B=events!D1031)*(shifts!AH:AH&gt;=events!U1031)*(shifts!AI:AI&lt;=events!V1031))</f>
        <v>40</v>
      </c>
      <c r="X1031" t="str">
        <f t="shared" si="186"/>
        <v>opp_team_player_3</v>
      </c>
      <c r="Y1031">
        <f>COUNTIFS(A$3:A1031,"="&amp;A1031,K$3:K1031,"="&amp;K1031)</f>
        <v>3</v>
      </c>
      <c r="Z1031" s="20">
        <f>SUMIFS(T$3:T1031,L$3:L1031,"=Intermission")+SUMIFS(T$3:T1031,L$3:L1031,"=Timeout")+SUMIFS(T$3:T1031,L$3:L1031,"=Clockstop")</f>
        <v>68</v>
      </c>
      <c r="AA1031">
        <f t="shared" si="190"/>
        <v>1148</v>
      </c>
      <c r="AC1031">
        <f t="shared" si="192"/>
        <v>1216</v>
      </c>
    </row>
    <row r="1032" spans="1:29" x14ac:dyDescent="0.2">
      <c r="A1032">
        <v>541</v>
      </c>
      <c r="D1032">
        <f t="shared" si="193"/>
        <v>2</v>
      </c>
      <c r="E1032">
        <v>14</v>
      </c>
      <c r="F1032" s="6" t="s">
        <v>424</v>
      </c>
      <c r="G1032">
        <v>14</v>
      </c>
      <c r="H1032" s="8" t="s">
        <v>315</v>
      </c>
      <c r="I1032" t="s">
        <v>179</v>
      </c>
      <c r="J1032">
        <v>19</v>
      </c>
      <c r="K1032" t="s">
        <v>488</v>
      </c>
      <c r="L1032" t="s">
        <v>15</v>
      </c>
      <c r="Q1032">
        <f t="shared" si="194"/>
        <v>18977</v>
      </c>
      <c r="R1032" t="str">
        <f t="shared" si="194"/>
        <v>Velodrome</v>
      </c>
      <c r="S1032" t="str">
        <f t="shared" si="194"/>
        <v>HollowBrook</v>
      </c>
      <c r="T1032" s="20">
        <f t="shared" si="187"/>
        <v>4</v>
      </c>
      <c r="U1032">
        <f t="shared" si="188"/>
        <v>849</v>
      </c>
      <c r="V1032">
        <f t="shared" si="189"/>
        <v>845</v>
      </c>
      <c r="W1032" cm="1">
        <f t="array" ref="W1032">_xlfn._xlws.FILTER(shifts!A:A,(shifts!B:B=events!D1032)*(shifts!AH:AH&gt;=events!U1032)*(shifts!AI:AI&lt;=events!V1032))</f>
        <v>40</v>
      </c>
      <c r="X1032" t="str">
        <f t="shared" si="186"/>
        <v>event_team_player_1</v>
      </c>
      <c r="Y1032">
        <f>COUNTIFS(A$3:A1032,"="&amp;A1032,K$3:K1032,"="&amp;K1032)</f>
        <v>1</v>
      </c>
      <c r="Z1032" s="20">
        <f>SUMIFS(T$3:T1032,L$3:L1032,"=Intermission")+SUMIFS(T$3:T1032,L$3:L1032,"=Timeout")+SUMIFS(T$3:T1032,L$3:L1032,"=Clockstop")</f>
        <v>68</v>
      </c>
      <c r="AA1032">
        <f t="shared" si="190"/>
        <v>1148</v>
      </c>
      <c r="AC1032">
        <f t="shared" si="192"/>
        <v>1216</v>
      </c>
    </row>
    <row r="1033" spans="1:29" x14ac:dyDescent="0.2">
      <c r="A1033">
        <v>541</v>
      </c>
      <c r="D1033">
        <f t="shared" si="193"/>
        <v>2</v>
      </c>
      <c r="E1033">
        <v>14</v>
      </c>
      <c r="F1033" s="6" t="s">
        <v>424</v>
      </c>
      <c r="G1033">
        <v>14</v>
      </c>
      <c r="H1033" s="8" t="s">
        <v>315</v>
      </c>
      <c r="I1033" t="s">
        <v>179</v>
      </c>
      <c r="J1033">
        <v>52</v>
      </c>
      <c r="K1033" t="s">
        <v>489</v>
      </c>
      <c r="L1033" t="s">
        <v>15</v>
      </c>
      <c r="Q1033">
        <f t="shared" si="194"/>
        <v>18977</v>
      </c>
      <c r="R1033" t="str">
        <f t="shared" si="194"/>
        <v>Velodrome</v>
      </c>
      <c r="S1033" t="str">
        <f t="shared" si="194"/>
        <v>HollowBrook</v>
      </c>
      <c r="T1033" s="20">
        <f t="shared" si="187"/>
        <v>4</v>
      </c>
      <c r="U1033">
        <f t="shared" si="188"/>
        <v>849</v>
      </c>
      <c r="V1033">
        <f t="shared" si="189"/>
        <v>845</v>
      </c>
      <c r="W1033" cm="1">
        <f t="array" ref="W1033">_xlfn._xlws.FILTER(shifts!A:A,(shifts!B:B=events!D1033)*(shifts!AH:AH&gt;=events!U1033)*(shifts!AI:AI&lt;=events!V1033))</f>
        <v>40</v>
      </c>
      <c r="X1033" t="str">
        <f t="shared" si="186"/>
        <v>opp_team_player_1</v>
      </c>
      <c r="Y1033">
        <f>COUNTIFS(A$3:A1033,"="&amp;A1033,K$3:K1033,"="&amp;K1033)</f>
        <v>1</v>
      </c>
      <c r="Z1033" s="20">
        <f>SUMIFS(T$3:T1033,L$3:L1033,"=Intermission")+SUMIFS(T$3:T1033,L$3:L1033,"=Timeout")+SUMIFS(T$3:T1033,L$3:L1033,"=Clockstop")</f>
        <v>68</v>
      </c>
      <c r="AA1033">
        <f t="shared" si="190"/>
        <v>1148</v>
      </c>
      <c r="AC1033">
        <f t="shared" si="192"/>
        <v>1216</v>
      </c>
    </row>
    <row r="1034" spans="1:29" x14ac:dyDescent="0.2">
      <c r="A1034">
        <v>542</v>
      </c>
      <c r="D1034">
        <f t="shared" si="193"/>
        <v>2</v>
      </c>
      <c r="E1034">
        <v>14</v>
      </c>
      <c r="F1034" s="6" t="s">
        <v>315</v>
      </c>
      <c r="I1034" t="s">
        <v>179</v>
      </c>
      <c r="J1034">
        <v>19</v>
      </c>
      <c r="K1034" t="s">
        <v>488</v>
      </c>
      <c r="L1034" t="s">
        <v>7</v>
      </c>
      <c r="M1034" t="s">
        <v>222</v>
      </c>
      <c r="N1034" t="s">
        <v>53</v>
      </c>
      <c r="Q1034">
        <f t="shared" si="194"/>
        <v>18977</v>
      </c>
      <c r="R1034" t="str">
        <f t="shared" si="194"/>
        <v>Velodrome</v>
      </c>
      <c r="S1034" t="str">
        <f t="shared" si="194"/>
        <v>HollowBrook</v>
      </c>
      <c r="T1034" s="20">
        <f t="shared" si="187"/>
        <v>0</v>
      </c>
      <c r="U1034">
        <f t="shared" si="188"/>
        <v>845</v>
      </c>
      <c r="V1034">
        <f t="shared" si="189"/>
        <v>845</v>
      </c>
      <c r="W1034" cm="1">
        <f t="array" ref="W1034">_xlfn._xlws.FILTER(shifts!A:A,(shifts!B:B=events!D1034)*(shifts!AH:AH&gt;=events!U1034)*(shifts!AI:AI&lt;=events!V1034))</f>
        <v>40</v>
      </c>
      <c r="X1034" t="str">
        <f t="shared" si="186"/>
        <v>event_team_player_1</v>
      </c>
      <c r="Y1034">
        <f>COUNTIFS(A$3:A1034,"="&amp;A1034,K$3:K1034,"="&amp;K1034)</f>
        <v>1</v>
      </c>
      <c r="Z1034" s="20">
        <f>SUMIFS(T$3:T1034,L$3:L1034,"=Intermission")+SUMIFS(T$3:T1034,L$3:L1034,"=Timeout")+SUMIFS(T$3:T1034,L$3:L1034,"=Clockstop")</f>
        <v>68</v>
      </c>
      <c r="AA1034">
        <f t="shared" si="190"/>
        <v>1148</v>
      </c>
      <c r="AC1034">
        <f t="shared" si="192"/>
        <v>1216</v>
      </c>
    </row>
    <row r="1035" spans="1:29" x14ac:dyDescent="0.2">
      <c r="A1035">
        <v>542</v>
      </c>
      <c r="D1035">
        <f t="shared" si="193"/>
        <v>2</v>
      </c>
      <c r="E1035">
        <v>14</v>
      </c>
      <c r="F1035" s="6" t="s">
        <v>315</v>
      </c>
      <c r="I1035" t="s">
        <v>179</v>
      </c>
      <c r="J1035">
        <v>11</v>
      </c>
      <c r="K1035" t="s">
        <v>488</v>
      </c>
      <c r="L1035" t="s">
        <v>7</v>
      </c>
      <c r="M1035" t="s">
        <v>222</v>
      </c>
      <c r="N1035" t="s">
        <v>53</v>
      </c>
      <c r="Q1035">
        <f t="shared" si="194"/>
        <v>18977</v>
      </c>
      <c r="R1035" t="str">
        <f t="shared" si="194"/>
        <v>Velodrome</v>
      </c>
      <c r="S1035" t="str">
        <f t="shared" si="194"/>
        <v>HollowBrook</v>
      </c>
      <c r="T1035" s="20">
        <f t="shared" si="187"/>
        <v>0</v>
      </c>
      <c r="U1035">
        <f t="shared" si="188"/>
        <v>845</v>
      </c>
      <c r="V1035">
        <f t="shared" si="189"/>
        <v>845</v>
      </c>
      <c r="W1035" cm="1">
        <f t="array" ref="W1035">_xlfn._xlws.FILTER(shifts!A:A,(shifts!B:B=events!D1035)*(shifts!AH:AH&gt;=events!U1035)*(shifts!AI:AI&lt;=events!V1035))</f>
        <v>40</v>
      </c>
      <c r="X1035" t="str">
        <f t="shared" si="186"/>
        <v>event_team_player_2</v>
      </c>
      <c r="Y1035">
        <f>COUNTIFS(A$3:A1035,"="&amp;A1035,K$3:K1035,"="&amp;K1035)</f>
        <v>2</v>
      </c>
      <c r="Z1035" s="20">
        <f>SUMIFS(T$3:T1035,L$3:L1035,"=Intermission")+SUMIFS(T$3:T1035,L$3:L1035,"=Timeout")+SUMIFS(T$3:T1035,L$3:L1035,"=Clockstop")</f>
        <v>68</v>
      </c>
      <c r="AA1035">
        <f t="shared" si="190"/>
        <v>1148</v>
      </c>
      <c r="AC1035">
        <f t="shared" si="192"/>
        <v>1216</v>
      </c>
    </row>
    <row r="1036" spans="1:29" x14ac:dyDescent="0.2">
      <c r="A1036">
        <v>542</v>
      </c>
      <c r="D1036">
        <f t="shared" si="193"/>
        <v>2</v>
      </c>
      <c r="E1036">
        <v>14</v>
      </c>
      <c r="F1036" s="6" t="s">
        <v>315</v>
      </c>
      <c r="I1036" t="s">
        <v>179</v>
      </c>
      <c r="J1036">
        <v>39</v>
      </c>
      <c r="K1036" t="s">
        <v>489</v>
      </c>
      <c r="L1036" t="s">
        <v>7</v>
      </c>
      <c r="M1036" t="s">
        <v>222</v>
      </c>
      <c r="N1036" t="s">
        <v>53</v>
      </c>
      <c r="Q1036">
        <f t="shared" si="194"/>
        <v>18977</v>
      </c>
      <c r="R1036" t="str">
        <f t="shared" si="194"/>
        <v>Velodrome</v>
      </c>
      <c r="S1036" t="str">
        <f t="shared" si="194"/>
        <v>HollowBrook</v>
      </c>
      <c r="T1036" s="20">
        <f t="shared" si="187"/>
        <v>0</v>
      </c>
      <c r="U1036">
        <f t="shared" si="188"/>
        <v>845</v>
      </c>
      <c r="V1036">
        <f t="shared" si="189"/>
        <v>845</v>
      </c>
      <c r="W1036" cm="1">
        <f t="array" ref="W1036">_xlfn._xlws.FILTER(shifts!A:A,(shifts!B:B=events!D1036)*(shifts!AH:AH&gt;=events!U1036)*(shifts!AI:AI&lt;=events!V1036))</f>
        <v>40</v>
      </c>
      <c r="X1036" t="str">
        <f t="shared" si="186"/>
        <v>opp_team_player_1</v>
      </c>
      <c r="Y1036">
        <f>COUNTIFS(A$3:A1036,"="&amp;A1036,K$3:K1036,"="&amp;K1036)</f>
        <v>1</v>
      </c>
      <c r="Z1036" s="20">
        <f>SUMIFS(T$3:T1036,L$3:L1036,"=Intermission")+SUMIFS(T$3:T1036,L$3:L1036,"=Timeout")+SUMIFS(T$3:T1036,L$3:L1036,"=Clockstop")</f>
        <v>68</v>
      </c>
      <c r="AA1036">
        <f t="shared" si="190"/>
        <v>1148</v>
      </c>
      <c r="AC1036">
        <f t="shared" si="192"/>
        <v>1216</v>
      </c>
    </row>
    <row r="1037" spans="1:29" x14ac:dyDescent="0.2">
      <c r="A1037">
        <v>542</v>
      </c>
      <c r="D1037">
        <f t="shared" si="193"/>
        <v>2</v>
      </c>
      <c r="E1037">
        <v>14</v>
      </c>
      <c r="F1037" s="6" t="s">
        <v>315</v>
      </c>
      <c r="I1037" t="s">
        <v>179</v>
      </c>
      <c r="J1037">
        <v>49</v>
      </c>
      <c r="K1037" t="s">
        <v>489</v>
      </c>
      <c r="L1037" t="s">
        <v>7</v>
      </c>
      <c r="M1037" t="s">
        <v>222</v>
      </c>
      <c r="N1037" t="s">
        <v>53</v>
      </c>
      <c r="Q1037">
        <f t="shared" si="194"/>
        <v>18977</v>
      </c>
      <c r="R1037" t="str">
        <f t="shared" si="194"/>
        <v>Velodrome</v>
      </c>
      <c r="S1037" t="str">
        <f t="shared" si="194"/>
        <v>HollowBrook</v>
      </c>
      <c r="T1037" s="20">
        <f t="shared" si="187"/>
        <v>0</v>
      </c>
      <c r="U1037">
        <f t="shared" si="188"/>
        <v>845</v>
      </c>
      <c r="V1037">
        <f t="shared" si="189"/>
        <v>845</v>
      </c>
      <c r="W1037" cm="1">
        <f t="array" ref="W1037">_xlfn._xlws.FILTER(shifts!A:A,(shifts!B:B=events!D1037)*(shifts!AH:AH&gt;=events!U1037)*(shifts!AI:AI&lt;=events!V1037))</f>
        <v>40</v>
      </c>
      <c r="X1037" t="str">
        <f t="shared" si="186"/>
        <v>opp_team_player_2</v>
      </c>
      <c r="Y1037">
        <f>COUNTIFS(A$3:A1037,"="&amp;A1037,K$3:K1037,"="&amp;K1037)</f>
        <v>2</v>
      </c>
      <c r="Z1037" s="20">
        <f>SUMIFS(T$3:T1037,L$3:L1037,"=Intermission")+SUMIFS(T$3:T1037,L$3:L1037,"=Timeout")+SUMIFS(T$3:T1037,L$3:L1037,"=Clockstop")</f>
        <v>68</v>
      </c>
      <c r="AA1037">
        <f t="shared" si="190"/>
        <v>1148</v>
      </c>
      <c r="AC1037">
        <f t="shared" si="192"/>
        <v>1216</v>
      </c>
    </row>
    <row r="1038" spans="1:29" x14ac:dyDescent="0.2">
      <c r="A1038">
        <v>543</v>
      </c>
      <c r="D1038">
        <f t="shared" si="193"/>
        <v>2</v>
      </c>
      <c r="E1038">
        <v>14</v>
      </c>
      <c r="F1038" s="6" t="s">
        <v>315</v>
      </c>
      <c r="I1038" t="s">
        <v>178</v>
      </c>
      <c r="J1038">
        <v>39</v>
      </c>
      <c r="K1038" t="s">
        <v>488</v>
      </c>
      <c r="L1038" t="s">
        <v>17</v>
      </c>
      <c r="M1038" t="s">
        <v>196</v>
      </c>
      <c r="N1038" t="s">
        <v>97</v>
      </c>
      <c r="Q1038">
        <f t="shared" si="194"/>
        <v>18977</v>
      </c>
      <c r="R1038" t="str">
        <f t="shared" si="194"/>
        <v>Velodrome</v>
      </c>
      <c r="S1038" t="str">
        <f t="shared" si="194"/>
        <v>HollowBrook</v>
      </c>
      <c r="T1038" s="20">
        <f t="shared" si="187"/>
        <v>0</v>
      </c>
      <c r="U1038">
        <f t="shared" si="188"/>
        <v>845</v>
      </c>
      <c r="V1038">
        <f t="shared" si="189"/>
        <v>845</v>
      </c>
      <c r="W1038" cm="1">
        <f t="array" ref="W1038">_xlfn._xlws.FILTER(shifts!A:A,(shifts!B:B=events!D1038)*(shifts!AH:AH&gt;=events!U1038)*(shifts!AI:AI&lt;=events!V1038))</f>
        <v>40</v>
      </c>
      <c r="X1038" t="str">
        <f t="shared" si="186"/>
        <v>event_team_player_1</v>
      </c>
      <c r="Y1038">
        <f>COUNTIFS(A$3:A1038,"="&amp;A1038,K$3:K1038,"="&amp;K1038)</f>
        <v>1</v>
      </c>
      <c r="Z1038" s="20">
        <f>SUMIFS(T$3:T1038,L$3:L1038,"=Intermission")+SUMIFS(T$3:T1038,L$3:L1038,"=Timeout")+SUMIFS(T$3:T1038,L$3:L1038,"=Clockstop")</f>
        <v>68</v>
      </c>
      <c r="AA1038">
        <f t="shared" si="190"/>
        <v>1148</v>
      </c>
      <c r="AC1038">
        <f t="shared" si="192"/>
        <v>1216</v>
      </c>
    </row>
    <row r="1039" spans="1:29" x14ac:dyDescent="0.2">
      <c r="A1039">
        <v>543</v>
      </c>
      <c r="D1039">
        <f t="shared" si="193"/>
        <v>2</v>
      </c>
      <c r="E1039">
        <v>14</v>
      </c>
      <c r="F1039" s="6" t="s">
        <v>315</v>
      </c>
      <c r="I1039" t="s">
        <v>178</v>
      </c>
      <c r="J1039">
        <v>49</v>
      </c>
      <c r="K1039" t="s">
        <v>488</v>
      </c>
      <c r="L1039" t="s">
        <v>17</v>
      </c>
      <c r="M1039" t="s">
        <v>196</v>
      </c>
      <c r="N1039" t="s">
        <v>97</v>
      </c>
      <c r="Q1039">
        <f t="shared" si="194"/>
        <v>18977</v>
      </c>
      <c r="R1039" t="str">
        <f t="shared" si="194"/>
        <v>Velodrome</v>
      </c>
      <c r="S1039" t="str">
        <f t="shared" si="194"/>
        <v>HollowBrook</v>
      </c>
      <c r="T1039" s="20">
        <f t="shared" si="187"/>
        <v>0</v>
      </c>
      <c r="U1039">
        <f t="shared" si="188"/>
        <v>845</v>
      </c>
      <c r="V1039">
        <f t="shared" si="189"/>
        <v>845</v>
      </c>
      <c r="W1039" cm="1">
        <f t="array" ref="W1039">_xlfn._xlws.FILTER(shifts!A:A,(shifts!B:B=events!D1039)*(shifts!AH:AH&gt;=events!U1039)*(shifts!AI:AI&lt;=events!V1039))</f>
        <v>40</v>
      </c>
      <c r="X1039" t="str">
        <f t="shared" si="186"/>
        <v>event_team_player_2</v>
      </c>
      <c r="Y1039">
        <f>COUNTIFS(A$3:A1039,"="&amp;A1039,K$3:K1039,"="&amp;K1039)</f>
        <v>2</v>
      </c>
      <c r="Z1039" s="20">
        <f>SUMIFS(T$3:T1039,L$3:L1039,"=Intermission")+SUMIFS(T$3:T1039,L$3:L1039,"=Timeout")+SUMIFS(T$3:T1039,L$3:L1039,"=Clockstop")</f>
        <v>68</v>
      </c>
      <c r="AA1039">
        <f t="shared" si="190"/>
        <v>1148</v>
      </c>
      <c r="AC1039">
        <f t="shared" si="192"/>
        <v>1216</v>
      </c>
    </row>
    <row r="1040" spans="1:29" x14ac:dyDescent="0.2">
      <c r="A1040">
        <v>543</v>
      </c>
      <c r="D1040">
        <f t="shared" si="193"/>
        <v>2</v>
      </c>
      <c r="E1040">
        <v>14</v>
      </c>
      <c r="F1040" s="6" t="s">
        <v>315</v>
      </c>
      <c r="I1040" t="s">
        <v>178</v>
      </c>
      <c r="J1040">
        <v>19</v>
      </c>
      <c r="K1040" t="s">
        <v>489</v>
      </c>
      <c r="L1040" t="s">
        <v>17</v>
      </c>
      <c r="M1040" t="s">
        <v>196</v>
      </c>
      <c r="N1040" t="s">
        <v>97</v>
      </c>
      <c r="Q1040">
        <f t="shared" si="194"/>
        <v>18977</v>
      </c>
      <c r="R1040" t="str">
        <f t="shared" si="194"/>
        <v>Velodrome</v>
      </c>
      <c r="S1040" t="str">
        <f t="shared" si="194"/>
        <v>HollowBrook</v>
      </c>
      <c r="T1040" s="20">
        <f t="shared" si="187"/>
        <v>0</v>
      </c>
      <c r="U1040">
        <f t="shared" si="188"/>
        <v>845</v>
      </c>
      <c r="V1040">
        <f t="shared" si="189"/>
        <v>845</v>
      </c>
      <c r="W1040" cm="1">
        <f t="array" ref="W1040">_xlfn._xlws.FILTER(shifts!A:A,(shifts!B:B=events!D1040)*(shifts!AH:AH&gt;=events!U1040)*(shifts!AI:AI&lt;=events!V1040))</f>
        <v>40</v>
      </c>
      <c r="X1040" t="str">
        <f t="shared" si="186"/>
        <v>opp_team_player_1</v>
      </c>
      <c r="Y1040">
        <f>COUNTIFS(A$3:A1040,"="&amp;A1040,K$3:K1040,"="&amp;K1040)</f>
        <v>1</v>
      </c>
      <c r="Z1040" s="20">
        <f>SUMIFS(T$3:T1040,L$3:L1040,"=Intermission")+SUMIFS(T$3:T1040,L$3:L1040,"=Timeout")+SUMIFS(T$3:T1040,L$3:L1040,"=Clockstop")</f>
        <v>68</v>
      </c>
      <c r="AA1040">
        <f t="shared" si="190"/>
        <v>1148</v>
      </c>
      <c r="AC1040">
        <f t="shared" si="192"/>
        <v>1216</v>
      </c>
    </row>
    <row r="1041" spans="1:29" x14ac:dyDescent="0.2">
      <c r="A1041">
        <v>543</v>
      </c>
      <c r="D1041">
        <f t="shared" si="193"/>
        <v>2</v>
      </c>
      <c r="E1041">
        <v>14</v>
      </c>
      <c r="F1041" s="6" t="s">
        <v>315</v>
      </c>
      <c r="I1041" t="s">
        <v>178</v>
      </c>
      <c r="J1041">
        <v>11</v>
      </c>
      <c r="K1041" t="s">
        <v>489</v>
      </c>
      <c r="L1041" t="s">
        <v>17</v>
      </c>
      <c r="M1041" t="s">
        <v>196</v>
      </c>
      <c r="N1041" t="s">
        <v>97</v>
      </c>
      <c r="Q1041">
        <f t="shared" si="194"/>
        <v>18977</v>
      </c>
      <c r="R1041" t="str">
        <f t="shared" si="194"/>
        <v>Velodrome</v>
      </c>
      <c r="S1041" t="str">
        <f t="shared" si="194"/>
        <v>HollowBrook</v>
      </c>
      <c r="T1041" s="20">
        <f t="shared" si="187"/>
        <v>0</v>
      </c>
      <c r="U1041">
        <f t="shared" si="188"/>
        <v>845</v>
      </c>
      <c r="V1041">
        <f t="shared" si="189"/>
        <v>845</v>
      </c>
      <c r="W1041" cm="1">
        <f t="array" ref="W1041">_xlfn._xlws.FILTER(shifts!A:A,(shifts!B:B=events!D1041)*(shifts!AH:AH&gt;=events!U1041)*(shifts!AI:AI&lt;=events!V1041))</f>
        <v>40</v>
      </c>
      <c r="X1041" t="str">
        <f t="shared" si="186"/>
        <v>opp_team_player_2</v>
      </c>
      <c r="Y1041">
        <f>COUNTIFS(A$3:A1041,"="&amp;A1041,K$3:K1041,"="&amp;K1041)</f>
        <v>2</v>
      </c>
      <c r="Z1041" s="20">
        <f>SUMIFS(T$3:T1041,L$3:L1041,"=Intermission")+SUMIFS(T$3:T1041,L$3:L1041,"=Timeout")+SUMIFS(T$3:T1041,L$3:L1041,"=Clockstop")</f>
        <v>68</v>
      </c>
      <c r="AA1041">
        <f t="shared" si="190"/>
        <v>1148</v>
      </c>
      <c r="AC1041">
        <f t="shared" si="192"/>
        <v>1216</v>
      </c>
    </row>
    <row r="1042" spans="1:29" x14ac:dyDescent="0.2">
      <c r="A1042">
        <v>544</v>
      </c>
      <c r="D1042">
        <f t="shared" si="193"/>
        <v>2</v>
      </c>
      <c r="E1042">
        <v>14</v>
      </c>
      <c r="F1042" s="6" t="s">
        <v>315</v>
      </c>
      <c r="I1042" t="s">
        <v>178</v>
      </c>
      <c r="J1042">
        <v>39</v>
      </c>
      <c r="K1042" t="s">
        <v>488</v>
      </c>
      <c r="L1042" t="s">
        <v>270</v>
      </c>
      <c r="M1042" t="s">
        <v>272</v>
      </c>
      <c r="Q1042">
        <f t="shared" si="194"/>
        <v>18977</v>
      </c>
      <c r="R1042" t="str">
        <f t="shared" si="194"/>
        <v>Velodrome</v>
      </c>
      <c r="S1042" t="str">
        <f t="shared" si="194"/>
        <v>HollowBrook</v>
      </c>
      <c r="T1042" s="20">
        <f t="shared" si="187"/>
        <v>0</v>
      </c>
      <c r="U1042">
        <f t="shared" si="188"/>
        <v>845</v>
      </c>
      <c r="V1042">
        <f t="shared" si="189"/>
        <v>845</v>
      </c>
      <c r="W1042" cm="1">
        <f t="array" ref="W1042">_xlfn._xlws.FILTER(shifts!A:A,(shifts!B:B=events!D1042)*(shifts!AH:AH&gt;=events!U1042)*(shifts!AI:AI&lt;=events!V1042))</f>
        <v>40</v>
      </c>
      <c r="X1042" t="str">
        <f t="shared" si="186"/>
        <v>event_team_player_1</v>
      </c>
      <c r="Y1042">
        <f>COUNTIFS(A$3:A1042,"="&amp;A1042,K$3:K1042,"="&amp;K1042)</f>
        <v>1</v>
      </c>
      <c r="Z1042" s="20">
        <f>SUMIFS(T$3:T1042,L$3:L1042,"=Intermission")+SUMIFS(T$3:T1042,L$3:L1042,"=Timeout")+SUMIFS(T$3:T1042,L$3:L1042,"=Clockstop")</f>
        <v>68</v>
      </c>
      <c r="AA1042">
        <f t="shared" si="190"/>
        <v>1148</v>
      </c>
      <c r="AC1042">
        <f t="shared" si="192"/>
        <v>1216</v>
      </c>
    </row>
    <row r="1043" spans="1:29" x14ac:dyDescent="0.2">
      <c r="A1043">
        <v>545</v>
      </c>
      <c r="D1043">
        <f t="shared" si="193"/>
        <v>2</v>
      </c>
      <c r="E1043">
        <v>14</v>
      </c>
      <c r="F1043" s="6" t="s">
        <v>312</v>
      </c>
      <c r="I1043" t="s">
        <v>179</v>
      </c>
      <c r="J1043">
        <v>27</v>
      </c>
      <c r="K1043" t="s">
        <v>488</v>
      </c>
      <c r="L1043" t="s">
        <v>277</v>
      </c>
      <c r="M1043" t="s">
        <v>210</v>
      </c>
      <c r="N1043" t="s">
        <v>93</v>
      </c>
      <c r="Q1043">
        <f t="shared" si="194"/>
        <v>18977</v>
      </c>
      <c r="R1043" t="str">
        <f t="shared" si="194"/>
        <v>Velodrome</v>
      </c>
      <c r="S1043" t="str">
        <f t="shared" si="194"/>
        <v>HollowBrook</v>
      </c>
      <c r="T1043" s="20">
        <f t="shared" si="187"/>
        <v>0</v>
      </c>
      <c r="U1043">
        <f t="shared" si="188"/>
        <v>841</v>
      </c>
      <c r="V1043">
        <f t="shared" si="189"/>
        <v>841</v>
      </c>
      <c r="W1043" cm="1">
        <f t="array" ref="W1043">_xlfn._xlws.FILTER(shifts!A:A,(shifts!B:B=events!D1043)*(shifts!AH:AH&gt;=events!U1043)*(shifts!AI:AI&lt;=events!V1043))</f>
        <v>40</v>
      </c>
      <c r="X1043" t="str">
        <f t="shared" si="186"/>
        <v>event_team_player_1</v>
      </c>
      <c r="Y1043">
        <f>COUNTIFS(A$3:A1043,"="&amp;A1043,K$3:K1043,"="&amp;K1043)</f>
        <v>1</v>
      </c>
      <c r="Z1043" s="20">
        <f>SUMIFS(T$3:T1043,L$3:L1043,"=Intermission")+SUMIFS(T$3:T1043,L$3:L1043,"=Timeout")+SUMIFS(T$3:T1043,L$3:L1043,"=Clockstop")</f>
        <v>68</v>
      </c>
      <c r="AA1043">
        <f t="shared" si="190"/>
        <v>1148</v>
      </c>
      <c r="AC1043">
        <f t="shared" si="192"/>
        <v>1216</v>
      </c>
    </row>
    <row r="1044" spans="1:29" x14ac:dyDescent="0.2">
      <c r="A1044">
        <v>546</v>
      </c>
      <c r="D1044">
        <f t="shared" si="193"/>
        <v>2</v>
      </c>
      <c r="E1044">
        <v>14</v>
      </c>
      <c r="F1044" s="6" t="s">
        <v>312</v>
      </c>
      <c r="I1044" t="s">
        <v>179</v>
      </c>
      <c r="J1044">
        <v>27</v>
      </c>
      <c r="K1044" t="s">
        <v>488</v>
      </c>
      <c r="L1044" t="s">
        <v>8</v>
      </c>
      <c r="M1044" t="s">
        <v>199</v>
      </c>
      <c r="N1044" t="s">
        <v>495</v>
      </c>
      <c r="Q1044">
        <f t="shared" si="194"/>
        <v>18977</v>
      </c>
      <c r="R1044" t="str">
        <f t="shared" si="194"/>
        <v>Velodrome</v>
      </c>
      <c r="S1044" t="str">
        <f t="shared" si="194"/>
        <v>HollowBrook</v>
      </c>
      <c r="T1044" s="20">
        <f t="shared" si="187"/>
        <v>0</v>
      </c>
      <c r="U1044">
        <f t="shared" si="188"/>
        <v>841</v>
      </c>
      <c r="V1044">
        <f t="shared" si="189"/>
        <v>841</v>
      </c>
      <c r="W1044" cm="1">
        <f t="array" ref="W1044">_xlfn._xlws.FILTER(shifts!A:A,(shifts!B:B=events!D1044)*(shifts!AH:AH&gt;=events!U1044)*(shifts!AI:AI&lt;=events!V1044))</f>
        <v>40</v>
      </c>
      <c r="X1044" t="str">
        <f t="shared" si="186"/>
        <v>event_team_player_1</v>
      </c>
      <c r="Y1044">
        <f>COUNTIFS(A$3:A1044,"="&amp;A1044,K$3:K1044,"="&amp;K1044)</f>
        <v>1</v>
      </c>
      <c r="Z1044" s="20">
        <f>SUMIFS(T$3:T1044,L$3:L1044,"=Intermission")+SUMIFS(T$3:T1044,L$3:L1044,"=Timeout")+SUMIFS(T$3:T1044,L$3:L1044,"=Clockstop")</f>
        <v>68</v>
      </c>
      <c r="AA1044">
        <f t="shared" si="190"/>
        <v>1148</v>
      </c>
      <c r="AC1044">
        <f t="shared" si="192"/>
        <v>1216</v>
      </c>
    </row>
    <row r="1045" spans="1:29" x14ac:dyDescent="0.2">
      <c r="A1045">
        <v>547</v>
      </c>
      <c r="D1045">
        <f t="shared" si="193"/>
        <v>2</v>
      </c>
      <c r="E1045">
        <v>14</v>
      </c>
      <c r="F1045" s="6" t="s">
        <v>312</v>
      </c>
      <c r="I1045" t="s">
        <v>179</v>
      </c>
      <c r="J1045">
        <v>27</v>
      </c>
      <c r="K1045" t="s">
        <v>488</v>
      </c>
      <c r="L1045" t="s">
        <v>10</v>
      </c>
      <c r="M1045" t="s">
        <v>190</v>
      </c>
      <c r="N1045" t="s">
        <v>460</v>
      </c>
      <c r="Q1045">
        <f t="shared" ref="Q1045:S1060" si="195">Q1044</f>
        <v>18977</v>
      </c>
      <c r="R1045" t="str">
        <f t="shared" si="195"/>
        <v>Velodrome</v>
      </c>
      <c r="S1045" t="str">
        <f t="shared" si="195"/>
        <v>HollowBrook</v>
      </c>
      <c r="T1045" s="20">
        <f t="shared" si="187"/>
        <v>0</v>
      </c>
      <c r="U1045">
        <f t="shared" si="188"/>
        <v>841</v>
      </c>
      <c r="V1045">
        <f t="shared" si="189"/>
        <v>841</v>
      </c>
      <c r="W1045" cm="1">
        <f t="array" ref="W1045">_xlfn._xlws.FILTER(shifts!A:A,(shifts!B:B=events!D1045)*(shifts!AH:AH&gt;=events!U1045)*(shifts!AI:AI&lt;=events!V1045))</f>
        <v>40</v>
      </c>
      <c r="X1045" t="str">
        <f t="shared" si="186"/>
        <v>event_team_player_1</v>
      </c>
      <c r="Y1045">
        <f>COUNTIFS(A$3:A1045,"="&amp;A1045,K$3:K1045,"="&amp;K1045)</f>
        <v>1</v>
      </c>
      <c r="Z1045" s="20">
        <f>SUMIFS(T$3:T1045,L$3:L1045,"=Intermission")+SUMIFS(T$3:T1045,L$3:L1045,"=Timeout")+SUMIFS(T$3:T1045,L$3:L1045,"=Clockstop")</f>
        <v>68</v>
      </c>
      <c r="AA1045">
        <f t="shared" si="190"/>
        <v>1148</v>
      </c>
      <c r="AC1045">
        <f t="shared" si="192"/>
        <v>1216</v>
      </c>
    </row>
    <row r="1046" spans="1:29" x14ac:dyDescent="0.2">
      <c r="A1046">
        <v>548</v>
      </c>
      <c r="D1046">
        <f t="shared" si="193"/>
        <v>2</v>
      </c>
      <c r="E1046">
        <v>13</v>
      </c>
      <c r="F1046" s="6" t="s">
        <v>487</v>
      </c>
      <c r="G1046">
        <v>13</v>
      </c>
      <c r="H1046" s="8" t="s">
        <v>433</v>
      </c>
      <c r="I1046" t="s">
        <v>178</v>
      </c>
      <c r="J1046">
        <v>9</v>
      </c>
      <c r="K1046" t="s">
        <v>488</v>
      </c>
      <c r="L1046" t="s">
        <v>15</v>
      </c>
      <c r="Q1046">
        <f t="shared" si="195"/>
        <v>18977</v>
      </c>
      <c r="R1046" t="str">
        <f t="shared" si="195"/>
        <v>Velodrome</v>
      </c>
      <c r="S1046" t="str">
        <f t="shared" si="195"/>
        <v>HollowBrook</v>
      </c>
      <c r="T1046" s="20">
        <f t="shared" si="187"/>
        <v>2</v>
      </c>
      <c r="U1046">
        <f t="shared" si="188"/>
        <v>839</v>
      </c>
      <c r="V1046">
        <f t="shared" si="189"/>
        <v>837</v>
      </c>
      <c r="W1046" cm="1">
        <f t="array" ref="W1046">_xlfn._xlws.FILTER(shifts!A:A,(shifts!B:B=events!D1046)*(shifts!AH:AH&gt;=events!U1046)*(shifts!AI:AI&lt;=events!V1046))</f>
        <v>40</v>
      </c>
      <c r="X1046" t="str">
        <f t="shared" si="186"/>
        <v>event_team_player_1</v>
      </c>
      <c r="Y1046">
        <f>COUNTIFS(A$3:A1046,"="&amp;A1046,K$3:K1046,"="&amp;K1046)</f>
        <v>1</v>
      </c>
      <c r="Z1046" s="20">
        <f>SUMIFS(T$3:T1046,L$3:L1046,"=Intermission")+SUMIFS(T$3:T1046,L$3:L1046,"=Timeout")+SUMIFS(T$3:T1046,L$3:L1046,"=Clockstop")</f>
        <v>68</v>
      </c>
      <c r="AA1046">
        <f t="shared" si="190"/>
        <v>1148</v>
      </c>
      <c r="AC1046">
        <f t="shared" si="192"/>
        <v>1216</v>
      </c>
    </row>
    <row r="1047" spans="1:29" x14ac:dyDescent="0.2">
      <c r="A1047">
        <v>549</v>
      </c>
      <c r="D1047">
        <f t="shared" si="193"/>
        <v>2</v>
      </c>
      <c r="E1047">
        <v>13</v>
      </c>
      <c r="F1047" s="6" t="s">
        <v>433</v>
      </c>
      <c r="I1047" t="s">
        <v>178</v>
      </c>
      <c r="J1047">
        <v>9</v>
      </c>
      <c r="K1047" t="s">
        <v>488</v>
      </c>
      <c r="L1047" t="s">
        <v>8</v>
      </c>
      <c r="M1047" t="s">
        <v>209</v>
      </c>
      <c r="N1047" t="s">
        <v>67</v>
      </c>
      <c r="Q1047">
        <f t="shared" si="195"/>
        <v>18977</v>
      </c>
      <c r="R1047" t="str">
        <f t="shared" si="195"/>
        <v>Velodrome</v>
      </c>
      <c r="S1047" t="str">
        <f t="shared" si="195"/>
        <v>HollowBrook</v>
      </c>
      <c r="T1047" s="20">
        <f t="shared" si="187"/>
        <v>0</v>
      </c>
      <c r="U1047">
        <f t="shared" si="188"/>
        <v>837</v>
      </c>
      <c r="V1047">
        <f t="shared" si="189"/>
        <v>837</v>
      </c>
      <c r="W1047" cm="1">
        <f t="array" ref="W1047">_xlfn._xlws.FILTER(shifts!A:A,(shifts!B:B=events!D1047)*(shifts!AH:AH&gt;=events!U1047)*(shifts!AI:AI&lt;=events!V1047))</f>
        <v>40</v>
      </c>
      <c r="X1047" t="str">
        <f t="shared" si="186"/>
        <v>event_team_player_1</v>
      </c>
      <c r="Y1047">
        <f>COUNTIFS(A$3:A1047,"="&amp;A1047,K$3:K1047,"="&amp;K1047)</f>
        <v>1</v>
      </c>
      <c r="Z1047" s="20">
        <f>SUMIFS(T$3:T1047,L$3:L1047,"=Intermission")+SUMIFS(T$3:T1047,L$3:L1047,"=Timeout")+SUMIFS(T$3:T1047,L$3:L1047,"=Clockstop")</f>
        <v>68</v>
      </c>
      <c r="AA1047">
        <f t="shared" si="190"/>
        <v>1148</v>
      </c>
      <c r="AC1047">
        <f t="shared" si="192"/>
        <v>1216</v>
      </c>
    </row>
    <row r="1048" spans="1:29" x14ac:dyDescent="0.2">
      <c r="A1048">
        <v>549</v>
      </c>
      <c r="D1048">
        <f t="shared" si="193"/>
        <v>2</v>
      </c>
      <c r="E1048">
        <v>13</v>
      </c>
      <c r="F1048" s="6" t="s">
        <v>433</v>
      </c>
      <c r="I1048" t="s">
        <v>178</v>
      </c>
      <c r="J1048">
        <v>49</v>
      </c>
      <c r="K1048" t="s">
        <v>488</v>
      </c>
      <c r="L1048" t="s">
        <v>8</v>
      </c>
      <c r="M1048" t="s">
        <v>209</v>
      </c>
      <c r="N1048" t="s">
        <v>67</v>
      </c>
      <c r="Q1048">
        <f t="shared" si="195"/>
        <v>18977</v>
      </c>
      <c r="R1048" t="str">
        <f t="shared" si="195"/>
        <v>Velodrome</v>
      </c>
      <c r="S1048" t="str">
        <f t="shared" si="195"/>
        <v>HollowBrook</v>
      </c>
      <c r="T1048" s="20">
        <f t="shared" si="187"/>
        <v>0</v>
      </c>
      <c r="U1048">
        <f t="shared" si="188"/>
        <v>837</v>
      </c>
      <c r="V1048">
        <f t="shared" si="189"/>
        <v>837</v>
      </c>
      <c r="W1048" cm="1">
        <f t="array" ref="W1048">_xlfn._xlws.FILTER(shifts!A:A,(shifts!B:B=events!D1048)*(shifts!AH:AH&gt;=events!U1048)*(shifts!AI:AI&lt;=events!V1048))</f>
        <v>40</v>
      </c>
      <c r="X1048" t="str">
        <f t="shared" si="186"/>
        <v>event_team_player_2</v>
      </c>
      <c r="Y1048">
        <f>COUNTIFS(A$3:A1048,"="&amp;A1048,K$3:K1048,"="&amp;K1048)</f>
        <v>2</v>
      </c>
      <c r="Z1048" s="20">
        <f>SUMIFS(T$3:T1048,L$3:L1048,"=Intermission")+SUMIFS(T$3:T1048,L$3:L1048,"=Timeout")+SUMIFS(T$3:T1048,L$3:L1048,"=Clockstop")</f>
        <v>68</v>
      </c>
      <c r="AA1048">
        <f t="shared" si="190"/>
        <v>1148</v>
      </c>
      <c r="AC1048">
        <f t="shared" si="192"/>
        <v>1216</v>
      </c>
    </row>
    <row r="1049" spans="1:29" x14ac:dyDescent="0.2">
      <c r="A1049">
        <v>549</v>
      </c>
      <c r="D1049">
        <f t="shared" si="193"/>
        <v>2</v>
      </c>
      <c r="E1049">
        <v>13</v>
      </c>
      <c r="F1049" s="6" t="s">
        <v>433</v>
      </c>
      <c r="I1049" t="s">
        <v>178</v>
      </c>
      <c r="J1049">
        <v>5</v>
      </c>
      <c r="K1049" t="s">
        <v>489</v>
      </c>
      <c r="L1049" t="s">
        <v>8</v>
      </c>
      <c r="M1049" t="s">
        <v>209</v>
      </c>
      <c r="N1049" t="s">
        <v>67</v>
      </c>
      <c r="Q1049">
        <f t="shared" si="195"/>
        <v>18977</v>
      </c>
      <c r="R1049" t="str">
        <f t="shared" si="195"/>
        <v>Velodrome</v>
      </c>
      <c r="S1049" t="str">
        <f t="shared" si="195"/>
        <v>HollowBrook</v>
      </c>
      <c r="T1049" s="20">
        <f t="shared" si="187"/>
        <v>0</v>
      </c>
      <c r="U1049">
        <f t="shared" si="188"/>
        <v>837</v>
      </c>
      <c r="V1049">
        <f t="shared" si="189"/>
        <v>837</v>
      </c>
      <c r="W1049" cm="1">
        <f t="array" ref="W1049">_xlfn._xlws.FILTER(shifts!A:A,(shifts!B:B=events!D1049)*(shifts!AH:AH&gt;=events!U1049)*(shifts!AI:AI&lt;=events!V1049))</f>
        <v>40</v>
      </c>
      <c r="X1049" t="str">
        <f t="shared" si="186"/>
        <v>opp_team_player_1</v>
      </c>
      <c r="Y1049">
        <f>COUNTIFS(A$3:A1049,"="&amp;A1049,K$3:K1049,"="&amp;K1049)</f>
        <v>1</v>
      </c>
      <c r="Z1049" s="20">
        <f>SUMIFS(T$3:T1049,L$3:L1049,"=Intermission")+SUMIFS(T$3:T1049,L$3:L1049,"=Timeout")+SUMIFS(T$3:T1049,L$3:L1049,"=Clockstop")</f>
        <v>68</v>
      </c>
      <c r="AA1049">
        <f t="shared" si="190"/>
        <v>1148</v>
      </c>
      <c r="AC1049">
        <f t="shared" si="192"/>
        <v>1216</v>
      </c>
    </row>
    <row r="1050" spans="1:29" x14ac:dyDescent="0.2">
      <c r="A1050">
        <v>550</v>
      </c>
      <c r="D1050">
        <f t="shared" si="193"/>
        <v>2</v>
      </c>
      <c r="E1050">
        <v>13</v>
      </c>
      <c r="F1050" s="6" t="s">
        <v>492</v>
      </c>
      <c r="G1050">
        <v>13</v>
      </c>
      <c r="H1050" s="8" t="s">
        <v>432</v>
      </c>
      <c r="I1050" t="s">
        <v>178</v>
      </c>
      <c r="J1050">
        <v>52</v>
      </c>
      <c r="K1050" t="s">
        <v>488</v>
      </c>
      <c r="L1050" t="s">
        <v>15</v>
      </c>
      <c r="Q1050">
        <f t="shared" si="195"/>
        <v>18977</v>
      </c>
      <c r="R1050" t="str">
        <f t="shared" si="195"/>
        <v>Velodrome</v>
      </c>
      <c r="S1050" t="str">
        <f t="shared" si="195"/>
        <v>HollowBrook</v>
      </c>
      <c r="T1050" s="20">
        <f t="shared" si="187"/>
        <v>3</v>
      </c>
      <c r="U1050">
        <f t="shared" si="188"/>
        <v>833</v>
      </c>
      <c r="V1050">
        <f t="shared" si="189"/>
        <v>830</v>
      </c>
      <c r="W1050" cm="1">
        <f t="array" ref="W1050">_xlfn._xlws.FILTER(shifts!A:A,(shifts!B:B=events!D1050)*(shifts!AH:AH&gt;=events!U1050)*(shifts!AI:AI&lt;=events!V1050))</f>
        <v>40</v>
      </c>
      <c r="X1050" t="str">
        <f t="shared" si="186"/>
        <v>event_team_player_1</v>
      </c>
      <c r="Y1050">
        <f>COUNTIFS(A$3:A1050,"="&amp;A1050,K$3:K1050,"="&amp;K1050)</f>
        <v>1</v>
      </c>
      <c r="Z1050" s="20">
        <f>SUMIFS(T$3:T1050,L$3:L1050,"=Intermission")+SUMIFS(T$3:T1050,L$3:L1050,"=Timeout")+SUMIFS(T$3:T1050,L$3:L1050,"=Clockstop")</f>
        <v>68</v>
      </c>
      <c r="AA1050">
        <f t="shared" si="190"/>
        <v>1148</v>
      </c>
      <c r="AC1050">
        <f t="shared" si="192"/>
        <v>1216</v>
      </c>
    </row>
    <row r="1051" spans="1:29" x14ac:dyDescent="0.2">
      <c r="A1051">
        <v>551</v>
      </c>
      <c r="D1051">
        <f t="shared" si="193"/>
        <v>2</v>
      </c>
      <c r="E1051">
        <v>13</v>
      </c>
      <c r="F1051" s="6" t="s">
        <v>432</v>
      </c>
      <c r="I1051" t="s">
        <v>178</v>
      </c>
      <c r="J1051">
        <v>52</v>
      </c>
      <c r="K1051" t="s">
        <v>488</v>
      </c>
      <c r="L1051" t="s">
        <v>8</v>
      </c>
      <c r="M1051" t="s">
        <v>189</v>
      </c>
      <c r="N1051" t="s">
        <v>71</v>
      </c>
      <c r="Q1051">
        <f t="shared" si="195"/>
        <v>18977</v>
      </c>
      <c r="R1051" t="str">
        <f t="shared" si="195"/>
        <v>Velodrome</v>
      </c>
      <c r="S1051" t="str">
        <f t="shared" si="195"/>
        <v>HollowBrook</v>
      </c>
      <c r="T1051" s="20">
        <f t="shared" si="187"/>
        <v>0</v>
      </c>
      <c r="U1051">
        <f t="shared" si="188"/>
        <v>830</v>
      </c>
      <c r="V1051">
        <f t="shared" si="189"/>
        <v>830</v>
      </c>
      <c r="W1051" cm="1">
        <f t="array" ref="W1051">_xlfn._xlws.FILTER(shifts!A:A,(shifts!B:B=events!D1051)*(shifts!AH:AH&gt;=events!U1051)*(shifts!AI:AI&lt;=events!V1051))</f>
        <v>40</v>
      </c>
      <c r="X1051" t="str">
        <f t="shared" si="186"/>
        <v>event_team_player_1</v>
      </c>
      <c r="Y1051">
        <f>COUNTIFS(A$3:A1051,"="&amp;A1051,K$3:K1051,"="&amp;K1051)</f>
        <v>1</v>
      </c>
      <c r="Z1051" s="20">
        <f>SUMIFS(T$3:T1051,L$3:L1051,"=Intermission")+SUMIFS(T$3:T1051,L$3:L1051,"=Timeout")+SUMIFS(T$3:T1051,L$3:L1051,"=Clockstop")</f>
        <v>68</v>
      </c>
      <c r="AA1051">
        <f t="shared" si="190"/>
        <v>1148</v>
      </c>
      <c r="AC1051">
        <f t="shared" si="192"/>
        <v>1216</v>
      </c>
    </row>
    <row r="1052" spans="1:29" x14ac:dyDescent="0.2">
      <c r="A1052">
        <v>551</v>
      </c>
      <c r="D1052">
        <f t="shared" si="193"/>
        <v>2</v>
      </c>
      <c r="E1052">
        <v>13</v>
      </c>
      <c r="F1052" s="6" t="s">
        <v>432</v>
      </c>
      <c r="I1052" t="s">
        <v>178</v>
      </c>
      <c r="J1052">
        <v>70</v>
      </c>
      <c r="K1052" t="s">
        <v>488</v>
      </c>
      <c r="L1052" t="s">
        <v>8</v>
      </c>
      <c r="M1052" t="s">
        <v>189</v>
      </c>
      <c r="N1052" t="s">
        <v>71</v>
      </c>
      <c r="Q1052">
        <f t="shared" si="195"/>
        <v>18977</v>
      </c>
      <c r="R1052" t="str">
        <f t="shared" si="195"/>
        <v>Velodrome</v>
      </c>
      <c r="S1052" t="str">
        <f t="shared" si="195"/>
        <v>HollowBrook</v>
      </c>
      <c r="T1052" s="20">
        <f t="shared" si="187"/>
        <v>0</v>
      </c>
      <c r="U1052">
        <f t="shared" si="188"/>
        <v>830</v>
      </c>
      <c r="V1052">
        <f t="shared" si="189"/>
        <v>830</v>
      </c>
      <c r="W1052" cm="1">
        <f t="array" ref="W1052">_xlfn._xlws.FILTER(shifts!A:A,(shifts!B:B=events!D1052)*(shifts!AH:AH&gt;=events!U1052)*(shifts!AI:AI&lt;=events!V1052))</f>
        <v>40</v>
      </c>
      <c r="X1052" t="str">
        <f t="shared" si="186"/>
        <v>event_team_player_2</v>
      </c>
      <c r="Y1052">
        <f>COUNTIFS(A$3:A1052,"="&amp;A1052,K$3:K1052,"="&amp;K1052)</f>
        <v>2</v>
      </c>
      <c r="Z1052" s="20">
        <f>SUMIFS(T$3:T1052,L$3:L1052,"=Intermission")+SUMIFS(T$3:T1052,L$3:L1052,"=Timeout")+SUMIFS(T$3:T1052,L$3:L1052,"=Clockstop")</f>
        <v>68</v>
      </c>
      <c r="AA1052">
        <f t="shared" si="190"/>
        <v>1148</v>
      </c>
      <c r="AC1052">
        <f t="shared" si="192"/>
        <v>1216</v>
      </c>
    </row>
    <row r="1053" spans="1:29" x14ac:dyDescent="0.2">
      <c r="A1053">
        <v>552</v>
      </c>
      <c r="D1053">
        <f t="shared" si="193"/>
        <v>2</v>
      </c>
      <c r="E1053">
        <v>13</v>
      </c>
      <c r="F1053" s="6" t="s">
        <v>432</v>
      </c>
      <c r="G1053">
        <v>13</v>
      </c>
      <c r="H1053" s="8" t="s">
        <v>434</v>
      </c>
      <c r="I1053" t="s">
        <v>178</v>
      </c>
      <c r="J1053">
        <v>70</v>
      </c>
      <c r="K1053" t="s">
        <v>488</v>
      </c>
      <c r="L1053" t="s">
        <v>15</v>
      </c>
      <c r="Q1053">
        <f t="shared" si="195"/>
        <v>18977</v>
      </c>
      <c r="R1053" t="str">
        <f t="shared" si="195"/>
        <v>Velodrome</v>
      </c>
      <c r="S1053" t="str">
        <f t="shared" si="195"/>
        <v>HollowBrook</v>
      </c>
      <c r="T1053" s="20">
        <f t="shared" si="187"/>
        <v>3</v>
      </c>
      <c r="U1053">
        <f t="shared" si="188"/>
        <v>830</v>
      </c>
      <c r="V1053">
        <f t="shared" si="189"/>
        <v>827</v>
      </c>
      <c r="W1053" cm="1">
        <f t="array" ref="W1053">_xlfn._xlws.FILTER(shifts!A:A,(shifts!B:B=events!D1053)*(shifts!AH:AH&gt;=events!U1053)*(shifts!AI:AI&lt;=events!V1053))</f>
        <v>40</v>
      </c>
      <c r="X1053" t="str">
        <f t="shared" si="186"/>
        <v>event_team_player_1</v>
      </c>
      <c r="Y1053">
        <f>COUNTIFS(A$3:A1053,"="&amp;A1053,K$3:K1053,"="&amp;K1053)</f>
        <v>1</v>
      </c>
      <c r="Z1053" s="20">
        <f>SUMIFS(T$3:T1053,L$3:L1053,"=Intermission")+SUMIFS(T$3:T1053,L$3:L1053,"=Timeout")+SUMIFS(T$3:T1053,L$3:L1053,"=Clockstop")</f>
        <v>68</v>
      </c>
      <c r="AA1053">
        <f t="shared" si="190"/>
        <v>1148</v>
      </c>
      <c r="AC1053">
        <f t="shared" si="192"/>
        <v>1216</v>
      </c>
    </row>
    <row r="1054" spans="1:29" x14ac:dyDescent="0.2">
      <c r="A1054">
        <v>553</v>
      </c>
      <c r="D1054">
        <f t="shared" si="193"/>
        <v>2</v>
      </c>
      <c r="E1054">
        <v>13</v>
      </c>
      <c r="F1054" s="6" t="s">
        <v>434</v>
      </c>
      <c r="I1054" t="s">
        <v>178</v>
      </c>
      <c r="J1054">
        <v>70</v>
      </c>
      <c r="K1054" t="s">
        <v>488</v>
      </c>
      <c r="L1054" t="s">
        <v>8</v>
      </c>
      <c r="M1054" t="s">
        <v>189</v>
      </c>
      <c r="N1054" t="s">
        <v>71</v>
      </c>
      <c r="Q1054">
        <f t="shared" si="195"/>
        <v>18977</v>
      </c>
      <c r="R1054" t="str">
        <f t="shared" si="195"/>
        <v>Velodrome</v>
      </c>
      <c r="S1054" t="str">
        <f t="shared" si="195"/>
        <v>HollowBrook</v>
      </c>
      <c r="T1054" s="20">
        <f t="shared" si="187"/>
        <v>0</v>
      </c>
      <c r="U1054">
        <f t="shared" si="188"/>
        <v>827</v>
      </c>
      <c r="V1054">
        <f t="shared" si="189"/>
        <v>827</v>
      </c>
      <c r="W1054" cm="1">
        <f t="array" ref="W1054">_xlfn._xlws.FILTER(shifts!A:A,(shifts!B:B=events!D1054)*(shifts!AH:AH&gt;=events!U1054)*(shifts!AI:AI&lt;=events!V1054))</f>
        <v>40</v>
      </c>
      <c r="X1054" t="str">
        <f t="shared" si="186"/>
        <v>event_team_player_1</v>
      </c>
      <c r="Y1054">
        <f>COUNTIFS(A$3:A1054,"="&amp;A1054,K$3:K1054,"="&amp;K1054)</f>
        <v>1</v>
      </c>
      <c r="Z1054" s="20">
        <f>SUMIFS(T$3:T1054,L$3:L1054,"=Intermission")+SUMIFS(T$3:T1054,L$3:L1054,"=Timeout")+SUMIFS(T$3:T1054,L$3:L1054,"=Clockstop")</f>
        <v>68</v>
      </c>
      <c r="AA1054">
        <f t="shared" si="190"/>
        <v>1148</v>
      </c>
      <c r="AC1054">
        <f t="shared" si="192"/>
        <v>1216</v>
      </c>
    </row>
    <row r="1055" spans="1:29" x14ac:dyDescent="0.2">
      <c r="A1055">
        <v>553</v>
      </c>
      <c r="D1055">
        <f t="shared" si="193"/>
        <v>2</v>
      </c>
      <c r="E1055">
        <v>13</v>
      </c>
      <c r="F1055" s="6" t="s">
        <v>434</v>
      </c>
      <c r="I1055" t="s">
        <v>178</v>
      </c>
      <c r="J1055">
        <v>52</v>
      </c>
      <c r="K1055" t="s">
        <v>488</v>
      </c>
      <c r="L1055" t="s">
        <v>8</v>
      </c>
      <c r="M1055" t="s">
        <v>189</v>
      </c>
      <c r="N1055" t="s">
        <v>71</v>
      </c>
      <c r="Q1055">
        <f t="shared" si="195"/>
        <v>18977</v>
      </c>
      <c r="R1055" t="str">
        <f t="shared" si="195"/>
        <v>Velodrome</v>
      </c>
      <c r="S1055" t="str">
        <f t="shared" si="195"/>
        <v>HollowBrook</v>
      </c>
      <c r="T1055" s="20">
        <f t="shared" si="187"/>
        <v>0</v>
      </c>
      <c r="U1055">
        <f t="shared" si="188"/>
        <v>827</v>
      </c>
      <c r="V1055">
        <f t="shared" si="189"/>
        <v>827</v>
      </c>
      <c r="W1055" cm="1">
        <f t="array" ref="W1055">_xlfn._xlws.FILTER(shifts!A:A,(shifts!B:B=events!D1055)*(shifts!AH:AH&gt;=events!U1055)*(shifts!AI:AI&lt;=events!V1055))</f>
        <v>40</v>
      </c>
      <c r="X1055" t="str">
        <f t="shared" si="186"/>
        <v>event_team_player_2</v>
      </c>
      <c r="Y1055">
        <f>COUNTIFS(A$3:A1055,"="&amp;A1055,K$3:K1055,"="&amp;K1055)</f>
        <v>2</v>
      </c>
      <c r="Z1055" s="20">
        <f>SUMIFS(T$3:T1055,L$3:L1055,"=Intermission")+SUMIFS(T$3:T1055,L$3:L1055,"=Timeout")+SUMIFS(T$3:T1055,L$3:L1055,"=Clockstop")</f>
        <v>68</v>
      </c>
      <c r="AA1055">
        <f t="shared" si="190"/>
        <v>1148</v>
      </c>
      <c r="AC1055">
        <f t="shared" si="192"/>
        <v>1216</v>
      </c>
    </row>
    <row r="1056" spans="1:29" x14ac:dyDescent="0.2">
      <c r="A1056">
        <v>554</v>
      </c>
      <c r="D1056">
        <f t="shared" si="193"/>
        <v>2</v>
      </c>
      <c r="E1056">
        <v>13</v>
      </c>
      <c r="F1056" s="6" t="s">
        <v>436</v>
      </c>
      <c r="G1056">
        <v>13</v>
      </c>
      <c r="H1056" s="8" t="s">
        <v>454</v>
      </c>
      <c r="I1056" t="s">
        <v>178</v>
      </c>
      <c r="J1056">
        <v>52</v>
      </c>
      <c r="K1056" t="s">
        <v>488</v>
      </c>
      <c r="L1056" t="s">
        <v>15</v>
      </c>
      <c r="Q1056">
        <f t="shared" si="195"/>
        <v>18977</v>
      </c>
      <c r="R1056" t="str">
        <f t="shared" si="195"/>
        <v>Velodrome</v>
      </c>
      <c r="S1056" t="str">
        <f t="shared" si="195"/>
        <v>HollowBrook</v>
      </c>
      <c r="T1056" s="20">
        <f t="shared" si="187"/>
        <v>2</v>
      </c>
      <c r="U1056">
        <f t="shared" si="188"/>
        <v>825</v>
      </c>
      <c r="V1056">
        <f t="shared" si="189"/>
        <v>823</v>
      </c>
      <c r="W1056" cm="1">
        <f t="array" ref="W1056">_xlfn._xlws.FILTER(shifts!A:A,(shifts!B:B=events!D1056)*(shifts!AH:AH&gt;=events!U1056)*(shifts!AI:AI&lt;=events!V1056))</f>
        <v>40</v>
      </c>
      <c r="X1056" t="str">
        <f t="shared" si="186"/>
        <v>event_team_player_1</v>
      </c>
      <c r="Y1056">
        <f>COUNTIFS(A$3:A1056,"="&amp;A1056,K$3:K1056,"="&amp;K1056)</f>
        <v>1</v>
      </c>
      <c r="Z1056" s="20">
        <f>SUMIFS(T$3:T1056,L$3:L1056,"=Intermission")+SUMIFS(T$3:T1056,L$3:L1056,"=Timeout")+SUMIFS(T$3:T1056,L$3:L1056,"=Clockstop")</f>
        <v>68</v>
      </c>
      <c r="AA1056">
        <f t="shared" si="190"/>
        <v>1148</v>
      </c>
      <c r="AC1056">
        <f t="shared" si="192"/>
        <v>1216</v>
      </c>
    </row>
    <row r="1057" spans="1:29" x14ac:dyDescent="0.2">
      <c r="A1057">
        <v>555</v>
      </c>
      <c r="D1057">
        <f t="shared" si="193"/>
        <v>2</v>
      </c>
      <c r="E1057">
        <v>13</v>
      </c>
      <c r="F1057" s="6" t="s">
        <v>454</v>
      </c>
      <c r="I1057" t="s">
        <v>178</v>
      </c>
      <c r="J1057">
        <v>52</v>
      </c>
      <c r="K1057" t="s">
        <v>488</v>
      </c>
      <c r="L1057" t="s">
        <v>277</v>
      </c>
      <c r="M1057" t="s">
        <v>191</v>
      </c>
      <c r="N1057" t="s">
        <v>89</v>
      </c>
      <c r="Q1057">
        <f t="shared" si="195"/>
        <v>18977</v>
      </c>
      <c r="R1057" t="str">
        <f t="shared" si="195"/>
        <v>Velodrome</v>
      </c>
      <c r="S1057" t="str">
        <f t="shared" si="195"/>
        <v>HollowBrook</v>
      </c>
      <c r="T1057" s="20">
        <f t="shared" si="187"/>
        <v>0</v>
      </c>
      <c r="U1057">
        <f t="shared" si="188"/>
        <v>823</v>
      </c>
      <c r="V1057">
        <f t="shared" si="189"/>
        <v>823</v>
      </c>
      <c r="W1057" cm="1">
        <f t="array" ref="W1057">_xlfn._xlws.FILTER(shifts!A:A,(shifts!B:B=events!D1057)*(shifts!AH:AH&gt;=events!U1057)*(shifts!AI:AI&lt;=events!V1057))</f>
        <v>40</v>
      </c>
      <c r="X1057" t="str">
        <f t="shared" si="186"/>
        <v>event_team_player_1</v>
      </c>
      <c r="Y1057">
        <f>COUNTIFS(A$3:A1057,"="&amp;A1057,K$3:K1057,"="&amp;K1057)</f>
        <v>1</v>
      </c>
      <c r="Z1057" s="20">
        <f>SUMIFS(T$3:T1057,L$3:L1057,"=Intermission")+SUMIFS(T$3:T1057,L$3:L1057,"=Timeout")+SUMIFS(T$3:T1057,L$3:L1057,"=Clockstop")</f>
        <v>68</v>
      </c>
      <c r="AA1057">
        <f t="shared" si="190"/>
        <v>1148</v>
      </c>
      <c r="AC1057">
        <f t="shared" si="192"/>
        <v>1216</v>
      </c>
    </row>
    <row r="1058" spans="1:29" x14ac:dyDescent="0.2">
      <c r="A1058">
        <v>556</v>
      </c>
      <c r="D1058">
        <f t="shared" si="193"/>
        <v>2</v>
      </c>
      <c r="E1058">
        <v>13</v>
      </c>
      <c r="F1058" s="6" t="s">
        <v>454</v>
      </c>
      <c r="I1058" t="s">
        <v>178</v>
      </c>
      <c r="J1058">
        <v>52</v>
      </c>
      <c r="K1058" t="s">
        <v>488</v>
      </c>
      <c r="L1058" t="s">
        <v>10</v>
      </c>
      <c r="M1058" t="s">
        <v>190</v>
      </c>
      <c r="N1058" t="s">
        <v>460</v>
      </c>
      <c r="Q1058">
        <f t="shared" si="195"/>
        <v>18977</v>
      </c>
      <c r="R1058" t="str">
        <f t="shared" si="195"/>
        <v>Velodrome</v>
      </c>
      <c r="S1058" t="str">
        <f t="shared" si="195"/>
        <v>HollowBrook</v>
      </c>
      <c r="T1058" s="20">
        <f t="shared" si="187"/>
        <v>0</v>
      </c>
      <c r="U1058">
        <f t="shared" si="188"/>
        <v>823</v>
      </c>
      <c r="V1058">
        <f t="shared" si="189"/>
        <v>823</v>
      </c>
      <c r="W1058" cm="1">
        <f t="array" ref="W1058">_xlfn._xlws.FILTER(shifts!A:A,(shifts!B:B=events!D1058)*(shifts!AH:AH&gt;=events!U1058)*(shifts!AI:AI&lt;=events!V1058))</f>
        <v>40</v>
      </c>
      <c r="X1058" t="str">
        <f t="shared" si="186"/>
        <v>event_team_player_1</v>
      </c>
      <c r="Y1058">
        <f>COUNTIFS(A$3:A1058,"="&amp;A1058,K$3:K1058,"="&amp;K1058)</f>
        <v>1</v>
      </c>
      <c r="Z1058" s="20">
        <f>SUMIFS(T$3:T1058,L$3:L1058,"=Intermission")+SUMIFS(T$3:T1058,L$3:L1058,"=Timeout")+SUMIFS(T$3:T1058,L$3:L1058,"=Clockstop")</f>
        <v>68</v>
      </c>
      <c r="AA1058">
        <f t="shared" si="190"/>
        <v>1148</v>
      </c>
      <c r="AC1058">
        <f t="shared" si="192"/>
        <v>1216</v>
      </c>
    </row>
    <row r="1059" spans="1:29" x14ac:dyDescent="0.2">
      <c r="A1059">
        <v>557</v>
      </c>
      <c r="D1059">
        <f t="shared" si="193"/>
        <v>2</v>
      </c>
      <c r="E1059">
        <v>13</v>
      </c>
      <c r="F1059" s="6" t="s">
        <v>438</v>
      </c>
      <c r="G1059">
        <v>13</v>
      </c>
      <c r="H1059" s="8" t="s">
        <v>452</v>
      </c>
      <c r="I1059" t="s">
        <v>179</v>
      </c>
      <c r="J1059">
        <v>5</v>
      </c>
      <c r="K1059" t="s">
        <v>488</v>
      </c>
      <c r="L1059" t="s">
        <v>15</v>
      </c>
      <c r="Q1059">
        <f t="shared" si="195"/>
        <v>18977</v>
      </c>
      <c r="R1059" t="str">
        <f t="shared" si="195"/>
        <v>Velodrome</v>
      </c>
      <c r="S1059" t="str">
        <f t="shared" si="195"/>
        <v>HollowBrook</v>
      </c>
      <c r="T1059" s="20">
        <f t="shared" si="187"/>
        <v>2</v>
      </c>
      <c r="U1059">
        <f t="shared" si="188"/>
        <v>818</v>
      </c>
      <c r="V1059">
        <f t="shared" si="189"/>
        <v>816</v>
      </c>
      <c r="W1059" cm="1">
        <f t="array" ref="W1059">_xlfn._xlws.FILTER(shifts!A:A,(shifts!B:B=events!D1059)*(shifts!AH:AH&gt;=events!U1059)*(shifts!AI:AI&lt;=events!V1059))</f>
        <v>40</v>
      </c>
      <c r="X1059" t="str">
        <f t="shared" si="186"/>
        <v>event_team_player_1</v>
      </c>
      <c r="Y1059">
        <f>COUNTIFS(A$3:A1059,"="&amp;A1059,K$3:K1059,"="&amp;K1059)</f>
        <v>1</v>
      </c>
      <c r="Z1059" s="20">
        <f>SUMIFS(T$3:T1059,L$3:L1059,"=Intermission")+SUMIFS(T$3:T1059,L$3:L1059,"=Timeout")+SUMIFS(T$3:T1059,L$3:L1059,"=Clockstop")</f>
        <v>68</v>
      </c>
      <c r="AA1059">
        <f t="shared" si="190"/>
        <v>1148</v>
      </c>
      <c r="AC1059">
        <f t="shared" si="192"/>
        <v>1216</v>
      </c>
    </row>
    <row r="1060" spans="1:29" x14ac:dyDescent="0.2">
      <c r="A1060">
        <v>558</v>
      </c>
      <c r="D1060">
        <f t="shared" si="193"/>
        <v>2</v>
      </c>
      <c r="E1060">
        <v>13</v>
      </c>
      <c r="F1060" s="6" t="s">
        <v>452</v>
      </c>
      <c r="I1060" t="s">
        <v>179</v>
      </c>
      <c r="J1060">
        <v>5</v>
      </c>
      <c r="K1060" t="s">
        <v>488</v>
      </c>
      <c r="L1060" t="s">
        <v>277</v>
      </c>
      <c r="M1060" t="s">
        <v>201</v>
      </c>
      <c r="N1060" t="s">
        <v>501</v>
      </c>
      <c r="Q1060">
        <f t="shared" si="195"/>
        <v>18977</v>
      </c>
      <c r="R1060" t="str">
        <f t="shared" si="195"/>
        <v>Velodrome</v>
      </c>
      <c r="S1060" t="str">
        <f t="shared" si="195"/>
        <v>HollowBrook</v>
      </c>
      <c r="T1060" s="20">
        <f t="shared" si="187"/>
        <v>0</v>
      </c>
      <c r="U1060">
        <f t="shared" si="188"/>
        <v>816</v>
      </c>
      <c r="V1060">
        <f t="shared" si="189"/>
        <v>816</v>
      </c>
      <c r="W1060" cm="1">
        <f t="array" ref="W1060">_xlfn._xlws.FILTER(shifts!A:A,(shifts!B:B=events!D1060)*(shifts!AH:AH&gt;=events!U1060)*(shifts!AI:AI&lt;=events!V1060))</f>
        <v>40</v>
      </c>
      <c r="X1060" t="str">
        <f t="shared" si="186"/>
        <v>event_team_player_1</v>
      </c>
      <c r="Y1060">
        <f>COUNTIFS(A$3:A1060,"="&amp;A1060,K$3:K1060,"="&amp;K1060)</f>
        <v>1</v>
      </c>
      <c r="Z1060" s="20">
        <f>SUMIFS(T$3:T1060,L$3:L1060,"=Intermission")+SUMIFS(T$3:T1060,L$3:L1060,"=Timeout")+SUMIFS(T$3:T1060,L$3:L1060,"=Clockstop")</f>
        <v>68</v>
      </c>
      <c r="AA1060">
        <f t="shared" si="190"/>
        <v>1148</v>
      </c>
      <c r="AC1060">
        <f t="shared" si="192"/>
        <v>1216</v>
      </c>
    </row>
    <row r="1061" spans="1:29" x14ac:dyDescent="0.2">
      <c r="A1061">
        <v>558</v>
      </c>
      <c r="D1061">
        <f t="shared" si="193"/>
        <v>2</v>
      </c>
      <c r="E1061">
        <v>13</v>
      </c>
      <c r="F1061" s="6" t="s">
        <v>452</v>
      </c>
      <c r="I1061" t="s">
        <v>179</v>
      </c>
      <c r="J1061">
        <v>22</v>
      </c>
      <c r="K1061" t="s">
        <v>488</v>
      </c>
      <c r="L1061" t="s">
        <v>277</v>
      </c>
      <c r="M1061" t="s">
        <v>201</v>
      </c>
      <c r="N1061" t="s">
        <v>501</v>
      </c>
      <c r="Q1061">
        <f t="shared" ref="Q1061:S1076" si="196">Q1060</f>
        <v>18977</v>
      </c>
      <c r="R1061" t="str">
        <f t="shared" si="196"/>
        <v>Velodrome</v>
      </c>
      <c r="S1061" t="str">
        <f t="shared" si="196"/>
        <v>HollowBrook</v>
      </c>
      <c r="T1061" s="20">
        <f t="shared" si="187"/>
        <v>0</v>
      </c>
      <c r="U1061">
        <f t="shared" si="188"/>
        <v>816</v>
      </c>
      <c r="V1061">
        <f t="shared" si="189"/>
        <v>816</v>
      </c>
      <c r="W1061" cm="1">
        <f t="array" ref="W1061">_xlfn._xlws.FILTER(shifts!A:A,(shifts!B:B=events!D1061)*(shifts!AH:AH&gt;=events!U1061)*(shifts!AI:AI&lt;=events!V1061))</f>
        <v>40</v>
      </c>
      <c r="X1061" t="str">
        <f t="shared" si="186"/>
        <v>event_team_player_2</v>
      </c>
      <c r="Y1061">
        <f>COUNTIFS(A$3:A1061,"="&amp;A1061,K$3:K1061,"="&amp;K1061)</f>
        <v>2</v>
      </c>
      <c r="Z1061" s="20">
        <f>SUMIFS(T$3:T1061,L$3:L1061,"=Intermission")+SUMIFS(T$3:T1061,L$3:L1061,"=Timeout")+SUMIFS(T$3:T1061,L$3:L1061,"=Clockstop")</f>
        <v>68</v>
      </c>
      <c r="AA1061">
        <f t="shared" si="190"/>
        <v>1148</v>
      </c>
      <c r="AC1061">
        <f t="shared" si="192"/>
        <v>1216</v>
      </c>
    </row>
    <row r="1062" spans="1:29" x14ac:dyDescent="0.2">
      <c r="A1062">
        <v>559</v>
      </c>
      <c r="D1062">
        <f t="shared" si="193"/>
        <v>2</v>
      </c>
      <c r="E1062">
        <v>13</v>
      </c>
      <c r="F1062" s="6" t="s">
        <v>452</v>
      </c>
      <c r="I1062" t="s">
        <v>179</v>
      </c>
      <c r="J1062">
        <v>5</v>
      </c>
      <c r="K1062" t="s">
        <v>488</v>
      </c>
      <c r="L1062" t="s">
        <v>8</v>
      </c>
      <c r="M1062" t="s">
        <v>209</v>
      </c>
      <c r="N1062" t="s">
        <v>70</v>
      </c>
      <c r="Q1062">
        <f t="shared" si="196"/>
        <v>18977</v>
      </c>
      <c r="R1062" t="str">
        <f t="shared" si="196"/>
        <v>Velodrome</v>
      </c>
      <c r="S1062" t="str">
        <f t="shared" si="196"/>
        <v>HollowBrook</v>
      </c>
      <c r="T1062" s="20">
        <f t="shared" si="187"/>
        <v>0</v>
      </c>
      <c r="U1062">
        <f t="shared" si="188"/>
        <v>816</v>
      </c>
      <c r="V1062">
        <f t="shared" si="189"/>
        <v>816</v>
      </c>
      <c r="W1062" cm="1">
        <f t="array" ref="W1062">_xlfn._xlws.FILTER(shifts!A:A,(shifts!B:B=events!D1062)*(shifts!AH:AH&gt;=events!U1062)*(shifts!AI:AI&lt;=events!V1062))</f>
        <v>40</v>
      </c>
      <c r="X1062" t="str">
        <f t="shared" si="186"/>
        <v>event_team_player_1</v>
      </c>
      <c r="Y1062">
        <f>COUNTIFS(A$3:A1062,"="&amp;A1062,K$3:K1062,"="&amp;K1062)</f>
        <v>1</v>
      </c>
      <c r="Z1062" s="20">
        <f>SUMIFS(T$3:T1062,L$3:L1062,"=Intermission")+SUMIFS(T$3:T1062,L$3:L1062,"=Timeout")+SUMIFS(T$3:T1062,L$3:L1062,"=Clockstop")</f>
        <v>68</v>
      </c>
      <c r="AA1062">
        <f t="shared" si="190"/>
        <v>1148</v>
      </c>
      <c r="AC1062">
        <f t="shared" si="192"/>
        <v>1216</v>
      </c>
    </row>
    <row r="1063" spans="1:29" x14ac:dyDescent="0.2">
      <c r="A1063">
        <v>559</v>
      </c>
      <c r="D1063">
        <f t="shared" si="193"/>
        <v>2</v>
      </c>
      <c r="E1063">
        <v>13</v>
      </c>
      <c r="F1063" s="6" t="s">
        <v>452</v>
      </c>
      <c r="I1063" t="s">
        <v>179</v>
      </c>
      <c r="J1063">
        <v>22</v>
      </c>
      <c r="K1063" t="s">
        <v>488</v>
      </c>
      <c r="L1063" t="s">
        <v>8</v>
      </c>
      <c r="M1063" t="s">
        <v>209</v>
      </c>
      <c r="N1063" t="s">
        <v>70</v>
      </c>
      <c r="Q1063">
        <f t="shared" si="196"/>
        <v>18977</v>
      </c>
      <c r="R1063" t="str">
        <f t="shared" si="196"/>
        <v>Velodrome</v>
      </c>
      <c r="S1063" t="str">
        <f t="shared" si="196"/>
        <v>HollowBrook</v>
      </c>
      <c r="T1063" s="20">
        <f t="shared" si="187"/>
        <v>0</v>
      </c>
      <c r="U1063">
        <f t="shared" si="188"/>
        <v>816</v>
      </c>
      <c r="V1063">
        <f t="shared" si="189"/>
        <v>816</v>
      </c>
      <c r="W1063" cm="1">
        <f t="array" ref="W1063">_xlfn._xlws.FILTER(shifts!A:A,(shifts!B:B=events!D1063)*(shifts!AH:AH&gt;=events!U1063)*(shifts!AI:AI&lt;=events!V1063))</f>
        <v>40</v>
      </c>
      <c r="X1063" t="str">
        <f t="shared" si="186"/>
        <v>event_team_player_2</v>
      </c>
      <c r="Y1063">
        <f>COUNTIFS(A$3:A1063,"="&amp;A1063,K$3:K1063,"="&amp;K1063)</f>
        <v>2</v>
      </c>
      <c r="Z1063" s="20">
        <f>SUMIFS(T$3:T1063,L$3:L1063,"=Intermission")+SUMIFS(T$3:T1063,L$3:L1063,"=Timeout")+SUMIFS(T$3:T1063,L$3:L1063,"=Clockstop")</f>
        <v>68</v>
      </c>
      <c r="AA1063">
        <f t="shared" si="190"/>
        <v>1148</v>
      </c>
      <c r="AC1063">
        <f t="shared" si="192"/>
        <v>1216</v>
      </c>
    </row>
    <row r="1064" spans="1:29" x14ac:dyDescent="0.2">
      <c r="A1064">
        <v>560</v>
      </c>
      <c r="D1064">
        <f t="shared" si="193"/>
        <v>2</v>
      </c>
      <c r="E1064">
        <v>13</v>
      </c>
      <c r="F1064" s="6" t="s">
        <v>439</v>
      </c>
      <c r="I1064" t="s">
        <v>179</v>
      </c>
      <c r="J1064">
        <v>5</v>
      </c>
      <c r="K1064" t="s">
        <v>488</v>
      </c>
      <c r="L1064" t="s">
        <v>10</v>
      </c>
      <c r="M1064" t="s">
        <v>190</v>
      </c>
      <c r="N1064" t="s">
        <v>76</v>
      </c>
      <c r="Q1064">
        <f t="shared" si="196"/>
        <v>18977</v>
      </c>
      <c r="R1064" t="str">
        <f t="shared" si="196"/>
        <v>Velodrome</v>
      </c>
      <c r="S1064" t="str">
        <f t="shared" si="196"/>
        <v>HollowBrook</v>
      </c>
      <c r="T1064" s="20">
        <f t="shared" si="187"/>
        <v>0</v>
      </c>
      <c r="U1064">
        <f t="shared" si="188"/>
        <v>814</v>
      </c>
      <c r="V1064">
        <f t="shared" si="189"/>
        <v>814</v>
      </c>
      <c r="W1064" cm="1">
        <f t="array" ref="W1064">_xlfn._xlws.FILTER(shifts!A:A,(shifts!B:B=events!D1064)*(shifts!AH:AH&gt;=events!U1064)*(shifts!AI:AI&lt;=events!V1064))</f>
        <v>40</v>
      </c>
      <c r="X1064" t="str">
        <f t="shared" si="186"/>
        <v>event_team_player_1</v>
      </c>
      <c r="Y1064">
        <f>COUNTIFS(A$3:A1064,"="&amp;A1064,K$3:K1064,"="&amp;K1064)</f>
        <v>1</v>
      </c>
      <c r="Z1064" s="20">
        <f>SUMIFS(T$3:T1064,L$3:L1064,"=Intermission")+SUMIFS(T$3:T1064,L$3:L1064,"=Timeout")+SUMIFS(T$3:T1064,L$3:L1064,"=Clockstop")</f>
        <v>68</v>
      </c>
      <c r="AA1064">
        <f t="shared" si="190"/>
        <v>1148</v>
      </c>
      <c r="AC1064">
        <f t="shared" si="192"/>
        <v>1216</v>
      </c>
    </row>
    <row r="1065" spans="1:29" x14ac:dyDescent="0.2">
      <c r="A1065">
        <v>561</v>
      </c>
      <c r="D1065">
        <f t="shared" si="193"/>
        <v>2</v>
      </c>
      <c r="E1065">
        <v>13</v>
      </c>
      <c r="F1065" s="6" t="s">
        <v>482</v>
      </c>
      <c r="G1065">
        <v>13</v>
      </c>
      <c r="H1065" s="8" t="s">
        <v>493</v>
      </c>
      <c r="I1065" t="s">
        <v>178</v>
      </c>
      <c r="J1065">
        <v>52</v>
      </c>
      <c r="K1065" t="s">
        <v>488</v>
      </c>
      <c r="L1065" t="s">
        <v>15</v>
      </c>
      <c r="Q1065">
        <f t="shared" si="196"/>
        <v>18977</v>
      </c>
      <c r="R1065" t="str">
        <f t="shared" si="196"/>
        <v>Velodrome</v>
      </c>
      <c r="S1065" t="str">
        <f t="shared" si="196"/>
        <v>HollowBrook</v>
      </c>
      <c r="T1065" s="20">
        <f t="shared" si="187"/>
        <v>2</v>
      </c>
      <c r="U1065">
        <f t="shared" si="188"/>
        <v>813</v>
      </c>
      <c r="V1065">
        <f t="shared" si="189"/>
        <v>811</v>
      </c>
      <c r="W1065" cm="1">
        <f t="array" ref="W1065">_xlfn._xlws.FILTER(shifts!A:A,(shifts!B:B=events!D1065)*(shifts!AH:AH&gt;=events!U1065)*(shifts!AI:AI&lt;=events!V1065))</f>
        <v>40</v>
      </c>
      <c r="X1065" t="str">
        <f t="shared" si="186"/>
        <v>event_team_player_1</v>
      </c>
      <c r="Y1065">
        <f>COUNTIFS(A$3:A1065,"="&amp;A1065,K$3:K1065,"="&amp;K1065)</f>
        <v>1</v>
      </c>
      <c r="Z1065" s="20">
        <f>SUMIFS(T$3:T1065,L$3:L1065,"=Intermission")+SUMIFS(T$3:T1065,L$3:L1065,"=Timeout")+SUMIFS(T$3:T1065,L$3:L1065,"=Clockstop")</f>
        <v>68</v>
      </c>
      <c r="AA1065">
        <f t="shared" si="190"/>
        <v>1148</v>
      </c>
      <c r="AC1065">
        <f t="shared" si="192"/>
        <v>1216</v>
      </c>
    </row>
    <row r="1066" spans="1:29" x14ac:dyDescent="0.2">
      <c r="A1066">
        <v>562</v>
      </c>
      <c r="D1066">
        <f t="shared" si="193"/>
        <v>2</v>
      </c>
      <c r="E1066">
        <v>13</v>
      </c>
      <c r="F1066" s="6" t="s">
        <v>493</v>
      </c>
      <c r="I1066" t="s">
        <v>178</v>
      </c>
      <c r="J1066">
        <v>52</v>
      </c>
      <c r="K1066" t="s">
        <v>488</v>
      </c>
      <c r="L1066" t="s">
        <v>8</v>
      </c>
      <c r="M1066" t="s">
        <v>189</v>
      </c>
      <c r="N1066" t="s">
        <v>70</v>
      </c>
      <c r="Q1066">
        <f t="shared" si="196"/>
        <v>18977</v>
      </c>
      <c r="R1066" t="str">
        <f t="shared" si="196"/>
        <v>Velodrome</v>
      </c>
      <c r="S1066" t="str">
        <f t="shared" si="196"/>
        <v>HollowBrook</v>
      </c>
      <c r="T1066" s="20">
        <f t="shared" si="187"/>
        <v>0</v>
      </c>
      <c r="U1066">
        <f t="shared" si="188"/>
        <v>811</v>
      </c>
      <c r="V1066">
        <f t="shared" si="189"/>
        <v>811</v>
      </c>
      <c r="W1066" cm="1">
        <f t="array" ref="W1066">_xlfn._xlws.FILTER(shifts!A:A,(shifts!B:B=events!D1066)*(shifts!AH:AH&gt;=events!U1066)*(shifts!AI:AI&lt;=events!V1066))</f>
        <v>40</v>
      </c>
      <c r="X1066" t="str">
        <f t="shared" si="186"/>
        <v>event_team_player_1</v>
      </c>
      <c r="Y1066">
        <f>COUNTIFS(A$3:A1066,"="&amp;A1066,K$3:K1066,"="&amp;K1066)</f>
        <v>1</v>
      </c>
      <c r="Z1066" s="20">
        <f>SUMIFS(T$3:T1066,L$3:L1066,"=Intermission")+SUMIFS(T$3:T1066,L$3:L1066,"=Timeout")+SUMIFS(T$3:T1066,L$3:L1066,"=Clockstop")</f>
        <v>68</v>
      </c>
      <c r="AA1066">
        <f t="shared" si="190"/>
        <v>1148</v>
      </c>
      <c r="AC1066">
        <f t="shared" si="192"/>
        <v>1216</v>
      </c>
    </row>
    <row r="1067" spans="1:29" x14ac:dyDescent="0.2">
      <c r="A1067">
        <v>562</v>
      </c>
      <c r="D1067">
        <f t="shared" si="193"/>
        <v>2</v>
      </c>
      <c r="E1067">
        <v>13</v>
      </c>
      <c r="F1067" s="6" t="s">
        <v>493</v>
      </c>
      <c r="I1067" t="s">
        <v>178</v>
      </c>
      <c r="J1067">
        <v>9</v>
      </c>
      <c r="K1067" t="s">
        <v>488</v>
      </c>
      <c r="L1067" t="s">
        <v>8</v>
      </c>
      <c r="M1067" t="s">
        <v>189</v>
      </c>
      <c r="N1067" t="s">
        <v>70</v>
      </c>
      <c r="Q1067">
        <f t="shared" si="196"/>
        <v>18977</v>
      </c>
      <c r="R1067" t="str">
        <f t="shared" si="196"/>
        <v>Velodrome</v>
      </c>
      <c r="S1067" t="str">
        <f t="shared" si="196"/>
        <v>HollowBrook</v>
      </c>
      <c r="T1067" s="20">
        <f t="shared" si="187"/>
        <v>0</v>
      </c>
      <c r="U1067">
        <f t="shared" si="188"/>
        <v>811</v>
      </c>
      <c r="V1067">
        <f t="shared" si="189"/>
        <v>811</v>
      </c>
      <c r="W1067" cm="1">
        <f t="array" ref="W1067">_xlfn._xlws.FILTER(shifts!A:A,(shifts!B:B=events!D1067)*(shifts!AH:AH&gt;=events!U1067)*(shifts!AI:AI&lt;=events!V1067))</f>
        <v>40</v>
      </c>
      <c r="X1067" t="str">
        <f t="shared" si="186"/>
        <v>event_team_player_2</v>
      </c>
      <c r="Y1067">
        <f>COUNTIFS(A$3:A1067,"="&amp;A1067,K$3:K1067,"="&amp;K1067)</f>
        <v>2</v>
      </c>
      <c r="Z1067" s="20">
        <f>SUMIFS(T$3:T1067,L$3:L1067,"=Intermission")+SUMIFS(T$3:T1067,L$3:L1067,"=Timeout")+SUMIFS(T$3:T1067,L$3:L1067,"=Clockstop")</f>
        <v>68</v>
      </c>
      <c r="AA1067">
        <f t="shared" si="190"/>
        <v>1148</v>
      </c>
      <c r="AC1067">
        <f t="shared" si="192"/>
        <v>1216</v>
      </c>
    </row>
    <row r="1068" spans="1:29" x14ac:dyDescent="0.2">
      <c r="A1068">
        <v>563</v>
      </c>
      <c r="D1068">
        <f t="shared" si="193"/>
        <v>2</v>
      </c>
      <c r="E1068">
        <v>13</v>
      </c>
      <c r="F1068" s="6" t="s">
        <v>493</v>
      </c>
      <c r="G1068">
        <v>13</v>
      </c>
      <c r="H1068" s="8" t="s">
        <v>442</v>
      </c>
      <c r="I1068" t="s">
        <v>178</v>
      </c>
      <c r="J1068">
        <v>9</v>
      </c>
      <c r="K1068" t="s">
        <v>488</v>
      </c>
      <c r="L1068" t="s">
        <v>15</v>
      </c>
      <c r="Q1068">
        <f t="shared" si="196"/>
        <v>18977</v>
      </c>
      <c r="R1068" t="str">
        <f t="shared" si="196"/>
        <v>Velodrome</v>
      </c>
      <c r="S1068" t="str">
        <f t="shared" si="196"/>
        <v>HollowBrook</v>
      </c>
      <c r="T1068" s="20">
        <f t="shared" si="187"/>
        <v>2</v>
      </c>
      <c r="U1068">
        <f t="shared" si="188"/>
        <v>811</v>
      </c>
      <c r="V1068">
        <f t="shared" si="189"/>
        <v>809</v>
      </c>
      <c r="W1068" cm="1">
        <f t="array" ref="W1068">_xlfn._xlws.FILTER(shifts!A:A,(shifts!B:B=events!D1068)*(shifts!AH:AH&gt;=events!U1068)*(shifts!AI:AI&lt;=events!V1068))</f>
        <v>40</v>
      </c>
      <c r="X1068" t="str">
        <f t="shared" si="186"/>
        <v>event_team_player_1</v>
      </c>
      <c r="Y1068">
        <f>COUNTIFS(A$3:A1068,"="&amp;A1068,K$3:K1068,"="&amp;K1068)</f>
        <v>1</v>
      </c>
      <c r="Z1068" s="20">
        <f>SUMIFS(T$3:T1068,L$3:L1068,"=Intermission")+SUMIFS(T$3:T1068,L$3:L1068,"=Timeout")+SUMIFS(T$3:T1068,L$3:L1068,"=Clockstop")</f>
        <v>68</v>
      </c>
      <c r="AA1068">
        <f t="shared" si="190"/>
        <v>1148</v>
      </c>
      <c r="AC1068">
        <f t="shared" si="192"/>
        <v>1216</v>
      </c>
    </row>
    <row r="1069" spans="1:29" x14ac:dyDescent="0.2">
      <c r="A1069">
        <v>563</v>
      </c>
      <c r="D1069">
        <f t="shared" si="193"/>
        <v>2</v>
      </c>
      <c r="E1069">
        <v>13</v>
      </c>
      <c r="F1069" s="6" t="s">
        <v>493</v>
      </c>
      <c r="G1069">
        <v>13</v>
      </c>
      <c r="H1069" s="8" t="s">
        <v>442</v>
      </c>
      <c r="I1069" t="s">
        <v>178</v>
      </c>
      <c r="J1069">
        <v>19</v>
      </c>
      <c r="K1069" t="s">
        <v>489</v>
      </c>
      <c r="L1069" t="s">
        <v>15</v>
      </c>
      <c r="Q1069">
        <f t="shared" si="196"/>
        <v>18977</v>
      </c>
      <c r="R1069" t="str">
        <f t="shared" si="196"/>
        <v>Velodrome</v>
      </c>
      <c r="S1069" t="str">
        <f t="shared" si="196"/>
        <v>HollowBrook</v>
      </c>
      <c r="T1069" s="20">
        <f t="shared" si="187"/>
        <v>2</v>
      </c>
      <c r="U1069">
        <f t="shared" si="188"/>
        <v>811</v>
      </c>
      <c r="V1069">
        <f t="shared" si="189"/>
        <v>809</v>
      </c>
      <c r="W1069" cm="1">
        <f t="array" ref="W1069">_xlfn._xlws.FILTER(shifts!A:A,(shifts!B:B=events!D1069)*(shifts!AH:AH&gt;=events!U1069)*(shifts!AI:AI&lt;=events!V1069))</f>
        <v>40</v>
      </c>
      <c r="X1069" t="str">
        <f t="shared" si="186"/>
        <v>opp_team_player_1</v>
      </c>
      <c r="Y1069">
        <f>COUNTIFS(A$3:A1069,"="&amp;A1069,K$3:K1069,"="&amp;K1069)</f>
        <v>1</v>
      </c>
      <c r="Z1069" s="20">
        <f>SUMIFS(T$3:T1069,L$3:L1069,"=Intermission")+SUMIFS(T$3:T1069,L$3:L1069,"=Timeout")+SUMIFS(T$3:T1069,L$3:L1069,"=Clockstop")</f>
        <v>68</v>
      </c>
      <c r="AA1069">
        <f t="shared" si="190"/>
        <v>1148</v>
      </c>
      <c r="AC1069">
        <f t="shared" si="192"/>
        <v>1216</v>
      </c>
    </row>
    <row r="1070" spans="1:29" x14ac:dyDescent="0.2">
      <c r="A1070">
        <v>564</v>
      </c>
      <c r="D1070">
        <f t="shared" si="193"/>
        <v>2</v>
      </c>
      <c r="E1070">
        <v>13</v>
      </c>
      <c r="F1070" s="6" t="s">
        <v>442</v>
      </c>
      <c r="I1070" t="s">
        <v>178</v>
      </c>
      <c r="J1070">
        <v>9</v>
      </c>
      <c r="K1070" t="s">
        <v>488</v>
      </c>
      <c r="L1070" t="s">
        <v>8</v>
      </c>
      <c r="M1070" t="s">
        <v>199</v>
      </c>
      <c r="N1070" t="s">
        <v>67</v>
      </c>
      <c r="Q1070">
        <f t="shared" si="196"/>
        <v>18977</v>
      </c>
      <c r="R1070" t="str">
        <f t="shared" si="196"/>
        <v>Velodrome</v>
      </c>
      <c r="S1070" t="str">
        <f t="shared" si="196"/>
        <v>HollowBrook</v>
      </c>
      <c r="T1070" s="20">
        <f t="shared" si="187"/>
        <v>0</v>
      </c>
      <c r="U1070">
        <f t="shared" si="188"/>
        <v>809</v>
      </c>
      <c r="V1070">
        <f t="shared" si="189"/>
        <v>809</v>
      </c>
      <c r="W1070" cm="1">
        <f t="array" ref="W1070">_xlfn._xlws.FILTER(shifts!A:A,(shifts!B:B=events!D1070)*(shifts!AH:AH&gt;=events!U1070)*(shifts!AI:AI&lt;=events!V1070))</f>
        <v>40</v>
      </c>
      <c r="X1070" t="str">
        <f t="shared" si="186"/>
        <v>event_team_player_1</v>
      </c>
      <c r="Y1070">
        <f>COUNTIFS(A$3:A1070,"="&amp;A1070,K$3:K1070,"="&amp;K1070)</f>
        <v>1</v>
      </c>
      <c r="Z1070" s="20">
        <f>SUMIFS(T$3:T1070,L$3:L1070,"=Intermission")+SUMIFS(T$3:T1070,L$3:L1070,"=Timeout")+SUMIFS(T$3:T1070,L$3:L1070,"=Clockstop")</f>
        <v>68</v>
      </c>
      <c r="AA1070">
        <f t="shared" si="190"/>
        <v>1148</v>
      </c>
      <c r="AC1070">
        <f t="shared" si="192"/>
        <v>1216</v>
      </c>
    </row>
    <row r="1071" spans="1:29" x14ac:dyDescent="0.2">
      <c r="A1071">
        <v>564</v>
      </c>
      <c r="D1071">
        <f t="shared" si="193"/>
        <v>2</v>
      </c>
      <c r="E1071">
        <v>13</v>
      </c>
      <c r="F1071" s="6" t="s">
        <v>442</v>
      </c>
      <c r="I1071" t="s">
        <v>178</v>
      </c>
      <c r="J1071">
        <v>70</v>
      </c>
      <c r="K1071" t="s">
        <v>488</v>
      </c>
      <c r="L1071" t="s">
        <v>8</v>
      </c>
      <c r="M1071" t="s">
        <v>199</v>
      </c>
      <c r="N1071" t="s">
        <v>67</v>
      </c>
      <c r="Q1071">
        <f t="shared" si="196"/>
        <v>18977</v>
      </c>
      <c r="R1071" t="str">
        <f t="shared" si="196"/>
        <v>Velodrome</v>
      </c>
      <c r="S1071" t="str">
        <f t="shared" si="196"/>
        <v>HollowBrook</v>
      </c>
      <c r="T1071" s="20">
        <f t="shared" si="187"/>
        <v>0</v>
      </c>
      <c r="U1071">
        <f t="shared" si="188"/>
        <v>809</v>
      </c>
      <c r="V1071">
        <f t="shared" si="189"/>
        <v>809</v>
      </c>
      <c r="W1071" cm="1">
        <f t="array" ref="W1071">_xlfn._xlws.FILTER(shifts!A:A,(shifts!B:B=events!D1071)*(shifts!AH:AH&gt;=events!U1071)*(shifts!AI:AI&lt;=events!V1071))</f>
        <v>40</v>
      </c>
      <c r="X1071" t="str">
        <f t="shared" si="186"/>
        <v>event_team_player_2</v>
      </c>
      <c r="Y1071">
        <f>COUNTIFS(A$3:A1071,"="&amp;A1071,K$3:K1071,"="&amp;K1071)</f>
        <v>2</v>
      </c>
      <c r="Z1071" s="20">
        <f>SUMIFS(T$3:T1071,L$3:L1071,"=Intermission")+SUMIFS(T$3:T1071,L$3:L1071,"=Timeout")+SUMIFS(T$3:T1071,L$3:L1071,"=Clockstop")</f>
        <v>68</v>
      </c>
      <c r="AA1071">
        <f t="shared" si="190"/>
        <v>1148</v>
      </c>
      <c r="AC1071">
        <f t="shared" si="192"/>
        <v>1216</v>
      </c>
    </row>
    <row r="1072" spans="1:29" x14ac:dyDescent="0.2">
      <c r="A1072">
        <v>564</v>
      </c>
      <c r="D1072">
        <f t="shared" si="193"/>
        <v>2</v>
      </c>
      <c r="E1072">
        <v>13</v>
      </c>
      <c r="F1072" s="6" t="s">
        <v>442</v>
      </c>
      <c r="I1072" s="24" t="s">
        <v>178</v>
      </c>
      <c r="J1072" s="24">
        <v>19</v>
      </c>
      <c r="K1072" s="24" t="s">
        <v>489</v>
      </c>
      <c r="L1072" s="24" t="s">
        <v>8</v>
      </c>
      <c r="M1072" s="24" t="s">
        <v>199</v>
      </c>
      <c r="N1072" s="24" t="s">
        <v>67</v>
      </c>
      <c r="Q1072">
        <f t="shared" si="196"/>
        <v>18977</v>
      </c>
      <c r="R1072" t="str">
        <f t="shared" si="196"/>
        <v>Velodrome</v>
      </c>
      <c r="S1072" t="str">
        <f t="shared" si="196"/>
        <v>HollowBrook</v>
      </c>
      <c r="T1072" s="20">
        <f t="shared" si="187"/>
        <v>0</v>
      </c>
      <c r="U1072">
        <f t="shared" si="188"/>
        <v>809</v>
      </c>
      <c r="V1072">
        <f t="shared" si="189"/>
        <v>809</v>
      </c>
      <c r="W1072" cm="1">
        <f t="array" ref="W1072">_xlfn._xlws.FILTER(shifts!A:A,(shifts!B:B=events!D1072)*(shifts!AH:AH&gt;=events!U1072)*(shifts!AI:AI&lt;=events!V1072))</f>
        <v>40</v>
      </c>
      <c r="X1072" t="str">
        <f t="shared" si="186"/>
        <v>opp_team_player_1</v>
      </c>
      <c r="Y1072">
        <f>COUNTIFS(A$3:A1072,"="&amp;A1072,K$3:K1072,"="&amp;K1072)</f>
        <v>1</v>
      </c>
      <c r="Z1072" s="20">
        <f>SUMIFS(T$3:T1072,L$3:L1072,"=Intermission")+SUMIFS(T$3:T1072,L$3:L1072,"=Timeout")+SUMIFS(T$3:T1072,L$3:L1072,"=Clockstop")</f>
        <v>68</v>
      </c>
      <c r="AA1072">
        <f t="shared" si="190"/>
        <v>1148</v>
      </c>
      <c r="AC1072">
        <f t="shared" si="192"/>
        <v>1216</v>
      </c>
    </row>
    <row r="1073" spans="1:29" x14ac:dyDescent="0.2">
      <c r="A1073">
        <v>565</v>
      </c>
      <c r="D1073">
        <f t="shared" si="193"/>
        <v>2</v>
      </c>
      <c r="E1073">
        <v>13</v>
      </c>
      <c r="F1073" s="6" t="s">
        <v>444</v>
      </c>
      <c r="I1073" t="s">
        <v>178</v>
      </c>
      <c r="J1073">
        <v>70</v>
      </c>
      <c r="K1073" t="s">
        <v>488</v>
      </c>
      <c r="L1073" t="s">
        <v>8</v>
      </c>
      <c r="M1073" t="s">
        <v>189</v>
      </c>
      <c r="N1073" t="s">
        <v>70</v>
      </c>
      <c r="Q1073">
        <f t="shared" si="196"/>
        <v>18977</v>
      </c>
      <c r="R1073" t="str">
        <f t="shared" si="196"/>
        <v>Velodrome</v>
      </c>
      <c r="S1073" t="str">
        <f t="shared" si="196"/>
        <v>HollowBrook</v>
      </c>
      <c r="T1073" s="20">
        <f t="shared" si="187"/>
        <v>0</v>
      </c>
      <c r="U1073">
        <f t="shared" si="188"/>
        <v>804</v>
      </c>
      <c r="V1073">
        <f t="shared" si="189"/>
        <v>804</v>
      </c>
      <c r="W1073" cm="1">
        <f t="array" ref="W1073">_xlfn._xlws.FILTER(shifts!A:A,(shifts!B:B=events!D1073)*(shifts!AH:AH&gt;=events!U1073)*(shifts!AI:AI&lt;=events!V1073))</f>
        <v>40</v>
      </c>
      <c r="X1073" t="str">
        <f t="shared" si="186"/>
        <v>event_team_player_1</v>
      </c>
      <c r="Y1073">
        <f>COUNTIFS(A$3:A1073,"="&amp;A1073,K$3:K1073,"="&amp;K1073)</f>
        <v>1</v>
      </c>
      <c r="Z1073" s="20">
        <f>SUMIFS(T$3:T1073,L$3:L1073,"=Intermission")+SUMIFS(T$3:T1073,L$3:L1073,"=Timeout")+SUMIFS(T$3:T1073,L$3:L1073,"=Clockstop")</f>
        <v>68</v>
      </c>
      <c r="AA1073">
        <f t="shared" si="190"/>
        <v>1148</v>
      </c>
      <c r="AC1073">
        <f t="shared" si="192"/>
        <v>1216</v>
      </c>
    </row>
    <row r="1074" spans="1:29" x14ac:dyDescent="0.2">
      <c r="A1074">
        <v>565</v>
      </c>
      <c r="D1074">
        <f t="shared" si="193"/>
        <v>2</v>
      </c>
      <c r="E1074">
        <v>13</v>
      </c>
      <c r="F1074" s="6" t="s">
        <v>444</v>
      </c>
      <c r="I1074" t="s">
        <v>178</v>
      </c>
      <c r="J1074">
        <v>49</v>
      </c>
      <c r="K1074" t="s">
        <v>488</v>
      </c>
      <c r="L1074" t="s">
        <v>8</v>
      </c>
      <c r="M1074" t="s">
        <v>189</v>
      </c>
      <c r="N1074" t="s">
        <v>70</v>
      </c>
      <c r="Q1074">
        <f t="shared" si="196"/>
        <v>18977</v>
      </c>
      <c r="R1074" t="str">
        <f t="shared" si="196"/>
        <v>Velodrome</v>
      </c>
      <c r="S1074" t="str">
        <f t="shared" si="196"/>
        <v>HollowBrook</v>
      </c>
      <c r="T1074" s="20">
        <f t="shared" si="187"/>
        <v>0</v>
      </c>
      <c r="U1074">
        <f t="shared" si="188"/>
        <v>804</v>
      </c>
      <c r="V1074">
        <f t="shared" si="189"/>
        <v>804</v>
      </c>
      <c r="W1074" cm="1">
        <f t="array" ref="W1074">_xlfn._xlws.FILTER(shifts!A:A,(shifts!B:B=events!D1074)*(shifts!AH:AH&gt;=events!U1074)*(shifts!AI:AI&lt;=events!V1074))</f>
        <v>40</v>
      </c>
      <c r="X1074" t="str">
        <f t="shared" si="186"/>
        <v>event_team_player_2</v>
      </c>
      <c r="Y1074">
        <f>COUNTIFS(A$3:A1074,"="&amp;A1074,K$3:K1074,"="&amp;K1074)</f>
        <v>2</v>
      </c>
      <c r="Z1074" s="20">
        <f>SUMIFS(T$3:T1074,L$3:L1074,"=Intermission")+SUMIFS(T$3:T1074,L$3:L1074,"=Timeout")+SUMIFS(T$3:T1074,L$3:L1074,"=Clockstop")</f>
        <v>68</v>
      </c>
      <c r="AA1074">
        <f t="shared" si="190"/>
        <v>1148</v>
      </c>
      <c r="AC1074">
        <f t="shared" si="192"/>
        <v>1216</v>
      </c>
    </row>
    <row r="1075" spans="1:29" x14ac:dyDescent="0.2">
      <c r="A1075">
        <v>566</v>
      </c>
      <c r="D1075">
        <f t="shared" si="193"/>
        <v>2</v>
      </c>
      <c r="E1075">
        <v>13</v>
      </c>
      <c r="F1075" s="6" t="s">
        <v>444</v>
      </c>
      <c r="I1075" t="s">
        <v>178</v>
      </c>
      <c r="J1075">
        <v>49</v>
      </c>
      <c r="K1075" t="s">
        <v>488</v>
      </c>
      <c r="L1075" t="s">
        <v>277</v>
      </c>
      <c r="M1075" t="s">
        <v>191</v>
      </c>
      <c r="N1075" t="s">
        <v>88</v>
      </c>
      <c r="Q1075">
        <f t="shared" si="196"/>
        <v>18977</v>
      </c>
      <c r="R1075" t="str">
        <f t="shared" si="196"/>
        <v>Velodrome</v>
      </c>
      <c r="S1075" t="str">
        <f t="shared" si="196"/>
        <v>HollowBrook</v>
      </c>
      <c r="T1075" s="20">
        <f t="shared" si="187"/>
        <v>0</v>
      </c>
      <c r="U1075">
        <f t="shared" si="188"/>
        <v>804</v>
      </c>
      <c r="V1075">
        <f t="shared" si="189"/>
        <v>804</v>
      </c>
      <c r="W1075" cm="1">
        <f t="array" ref="W1075">_xlfn._xlws.FILTER(shifts!A:A,(shifts!B:B=events!D1075)*(shifts!AH:AH&gt;=events!U1075)*(shifts!AI:AI&lt;=events!V1075))</f>
        <v>40</v>
      </c>
      <c r="X1075" t="str">
        <f t="shared" si="186"/>
        <v>event_team_player_1</v>
      </c>
      <c r="Y1075">
        <f>COUNTIFS(A$3:A1075,"="&amp;A1075,K$3:K1075,"="&amp;K1075)</f>
        <v>1</v>
      </c>
      <c r="Z1075" s="20">
        <f>SUMIFS(T$3:T1075,L$3:L1075,"=Intermission")+SUMIFS(T$3:T1075,L$3:L1075,"=Timeout")+SUMIFS(T$3:T1075,L$3:L1075,"=Clockstop")</f>
        <v>68</v>
      </c>
      <c r="AA1075">
        <f t="shared" si="190"/>
        <v>1148</v>
      </c>
      <c r="AC1075">
        <f t="shared" si="192"/>
        <v>1216</v>
      </c>
    </row>
    <row r="1076" spans="1:29" x14ac:dyDescent="0.2">
      <c r="A1076">
        <v>566</v>
      </c>
      <c r="D1076">
        <f t="shared" si="193"/>
        <v>2</v>
      </c>
      <c r="E1076">
        <v>13</v>
      </c>
      <c r="F1076" s="6" t="s">
        <v>444</v>
      </c>
      <c r="I1076" t="s">
        <v>178</v>
      </c>
      <c r="J1076">
        <v>70</v>
      </c>
      <c r="K1076" t="s">
        <v>488</v>
      </c>
      <c r="L1076" t="s">
        <v>277</v>
      </c>
      <c r="M1076" t="s">
        <v>191</v>
      </c>
      <c r="N1076" t="s">
        <v>88</v>
      </c>
      <c r="Q1076">
        <f t="shared" si="196"/>
        <v>18977</v>
      </c>
      <c r="R1076" t="str">
        <f t="shared" si="196"/>
        <v>Velodrome</v>
      </c>
      <c r="S1076" t="str">
        <f t="shared" si="196"/>
        <v>HollowBrook</v>
      </c>
      <c r="T1076" s="20">
        <f t="shared" si="187"/>
        <v>0</v>
      </c>
      <c r="U1076">
        <f t="shared" si="188"/>
        <v>804</v>
      </c>
      <c r="V1076">
        <f t="shared" si="189"/>
        <v>804</v>
      </c>
      <c r="W1076" cm="1">
        <f t="array" ref="W1076">_xlfn._xlws.FILTER(shifts!A:A,(shifts!B:B=events!D1076)*(shifts!AH:AH&gt;=events!U1076)*(shifts!AI:AI&lt;=events!V1076))</f>
        <v>40</v>
      </c>
      <c r="X1076" t="str">
        <f t="shared" si="186"/>
        <v>event_team_player_2</v>
      </c>
      <c r="Y1076">
        <f>COUNTIFS(A$3:A1076,"="&amp;A1076,K$3:K1076,"="&amp;K1076)</f>
        <v>2</v>
      </c>
      <c r="Z1076" s="20">
        <f>SUMIFS(T$3:T1076,L$3:L1076,"=Intermission")+SUMIFS(T$3:T1076,L$3:L1076,"=Timeout")+SUMIFS(T$3:T1076,L$3:L1076,"=Clockstop")</f>
        <v>68</v>
      </c>
      <c r="AA1076">
        <f t="shared" si="190"/>
        <v>1148</v>
      </c>
      <c r="AC1076">
        <f t="shared" si="192"/>
        <v>1216</v>
      </c>
    </row>
    <row r="1077" spans="1:29" x14ac:dyDescent="0.2">
      <c r="A1077">
        <v>566</v>
      </c>
      <c r="D1077">
        <f t="shared" si="193"/>
        <v>2</v>
      </c>
      <c r="E1077">
        <v>13</v>
      </c>
      <c r="F1077" s="6" t="s">
        <v>444</v>
      </c>
      <c r="I1077" t="s">
        <v>178</v>
      </c>
      <c r="J1077">
        <v>5</v>
      </c>
      <c r="K1077" t="s">
        <v>489</v>
      </c>
      <c r="L1077" t="s">
        <v>277</v>
      </c>
      <c r="M1077" t="s">
        <v>191</v>
      </c>
      <c r="N1077" t="s">
        <v>88</v>
      </c>
      <c r="Q1077">
        <f t="shared" ref="Q1077:S1092" si="197">Q1076</f>
        <v>18977</v>
      </c>
      <c r="R1077" t="str">
        <f t="shared" si="197"/>
        <v>Velodrome</v>
      </c>
      <c r="S1077" t="str">
        <f t="shared" si="197"/>
        <v>HollowBrook</v>
      </c>
      <c r="T1077" s="20">
        <f t="shared" si="187"/>
        <v>0</v>
      </c>
      <c r="U1077">
        <f t="shared" si="188"/>
        <v>804</v>
      </c>
      <c r="V1077">
        <f t="shared" si="189"/>
        <v>804</v>
      </c>
      <c r="W1077" cm="1">
        <f t="array" ref="W1077">_xlfn._xlws.FILTER(shifts!A:A,(shifts!B:B=events!D1077)*(shifts!AH:AH&gt;=events!U1077)*(shifts!AI:AI&lt;=events!V1077))</f>
        <v>40</v>
      </c>
      <c r="X1077" t="str">
        <f t="shared" ref="X1077:X1140" si="198">IF(K1077="e","event_team_player_"&amp;Y1077,IF(K1077="o","opp_team_player_"&amp;Y1077,""))</f>
        <v>opp_team_player_1</v>
      </c>
      <c r="Y1077">
        <f>COUNTIFS(A$3:A1077,"="&amp;A1077,K$3:K1077,"="&amp;K1077)</f>
        <v>1</v>
      </c>
      <c r="Z1077" s="20">
        <f>SUMIFS(T$3:T1077,L$3:L1077,"=Intermission")+SUMIFS(T$3:T1077,L$3:L1077,"=Timeout")+SUMIFS(T$3:T1077,L$3:L1077,"=Clockstop")</f>
        <v>68</v>
      </c>
      <c r="AA1077">
        <f t="shared" si="190"/>
        <v>1148</v>
      </c>
      <c r="AC1077">
        <f t="shared" si="192"/>
        <v>1216</v>
      </c>
    </row>
    <row r="1078" spans="1:29" x14ac:dyDescent="0.2">
      <c r="A1078">
        <v>566</v>
      </c>
      <c r="D1078">
        <f t="shared" si="193"/>
        <v>2</v>
      </c>
      <c r="E1078">
        <v>13</v>
      </c>
      <c r="F1078" s="6" t="s">
        <v>444</v>
      </c>
      <c r="I1078" t="s">
        <v>178</v>
      </c>
      <c r="J1078">
        <v>27</v>
      </c>
      <c r="K1078" t="s">
        <v>489</v>
      </c>
      <c r="L1078" t="s">
        <v>277</v>
      </c>
      <c r="M1078" t="s">
        <v>191</v>
      </c>
      <c r="N1078" t="s">
        <v>88</v>
      </c>
      <c r="Q1078">
        <f t="shared" si="197"/>
        <v>18977</v>
      </c>
      <c r="R1078" t="str">
        <f t="shared" si="197"/>
        <v>Velodrome</v>
      </c>
      <c r="S1078" t="str">
        <f t="shared" si="197"/>
        <v>HollowBrook</v>
      </c>
      <c r="T1078" s="20">
        <f t="shared" si="187"/>
        <v>0</v>
      </c>
      <c r="U1078">
        <f t="shared" si="188"/>
        <v>804</v>
      </c>
      <c r="V1078">
        <f t="shared" si="189"/>
        <v>804</v>
      </c>
      <c r="W1078" cm="1">
        <f t="array" ref="W1078">_xlfn._xlws.FILTER(shifts!A:A,(shifts!B:B=events!D1078)*(shifts!AH:AH&gt;=events!U1078)*(shifts!AI:AI&lt;=events!V1078))</f>
        <v>40</v>
      </c>
      <c r="X1078" t="str">
        <f t="shared" si="198"/>
        <v>opp_team_player_2</v>
      </c>
      <c r="Y1078">
        <f>COUNTIFS(A$3:A1078,"="&amp;A1078,K$3:K1078,"="&amp;K1078)</f>
        <v>2</v>
      </c>
      <c r="Z1078" s="20">
        <f>SUMIFS(T$3:T1078,L$3:L1078,"=Intermission")+SUMIFS(T$3:T1078,L$3:L1078,"=Timeout")+SUMIFS(T$3:T1078,L$3:L1078,"=Clockstop")</f>
        <v>68</v>
      </c>
      <c r="AA1078">
        <f t="shared" si="190"/>
        <v>1148</v>
      </c>
      <c r="AC1078">
        <f t="shared" si="192"/>
        <v>1216</v>
      </c>
    </row>
    <row r="1079" spans="1:29" x14ac:dyDescent="0.2">
      <c r="A1079">
        <v>567</v>
      </c>
      <c r="D1079">
        <f t="shared" si="193"/>
        <v>2</v>
      </c>
      <c r="E1079">
        <v>13</v>
      </c>
      <c r="F1079" s="6" t="s">
        <v>422</v>
      </c>
      <c r="I1079" t="s">
        <v>179</v>
      </c>
      <c r="J1079">
        <v>11</v>
      </c>
      <c r="K1079" t="s">
        <v>488</v>
      </c>
      <c r="L1079" t="s">
        <v>10</v>
      </c>
      <c r="M1079" t="s">
        <v>200</v>
      </c>
      <c r="N1079" t="s">
        <v>81</v>
      </c>
      <c r="Q1079">
        <f t="shared" si="197"/>
        <v>18977</v>
      </c>
      <c r="R1079" t="str">
        <f t="shared" si="197"/>
        <v>Velodrome</v>
      </c>
      <c r="S1079" t="str">
        <f t="shared" si="197"/>
        <v>HollowBrook</v>
      </c>
      <c r="T1079" s="20">
        <f t="shared" si="187"/>
        <v>0</v>
      </c>
      <c r="U1079">
        <f t="shared" si="188"/>
        <v>800</v>
      </c>
      <c r="V1079">
        <f t="shared" si="189"/>
        <v>800</v>
      </c>
      <c r="W1079" cm="1">
        <f t="array" ref="W1079">_xlfn._xlws.FILTER(shifts!A:A,(shifts!B:B=events!D1079)*(shifts!AH:AH&gt;=events!U1079)*(shifts!AI:AI&lt;=events!V1079))</f>
        <v>40</v>
      </c>
      <c r="X1079" t="str">
        <f t="shared" si="198"/>
        <v>event_team_player_1</v>
      </c>
      <c r="Y1079">
        <f>COUNTIFS(A$3:A1079,"="&amp;A1079,K$3:K1079,"="&amp;K1079)</f>
        <v>1</v>
      </c>
      <c r="Z1079" s="20">
        <f>SUMIFS(T$3:T1079,L$3:L1079,"=Intermission")+SUMIFS(T$3:T1079,L$3:L1079,"=Timeout")+SUMIFS(T$3:T1079,L$3:L1079,"=Clockstop")</f>
        <v>68</v>
      </c>
      <c r="AA1079">
        <f t="shared" si="190"/>
        <v>1148</v>
      </c>
      <c r="AC1079">
        <f t="shared" si="192"/>
        <v>1216</v>
      </c>
    </row>
    <row r="1080" spans="1:29" x14ac:dyDescent="0.2">
      <c r="A1080">
        <v>567</v>
      </c>
      <c r="D1080">
        <f t="shared" si="193"/>
        <v>2</v>
      </c>
      <c r="E1080">
        <v>13</v>
      </c>
      <c r="F1080" s="6" t="s">
        <v>422</v>
      </c>
      <c r="I1080" t="s">
        <v>179</v>
      </c>
      <c r="J1080">
        <v>70</v>
      </c>
      <c r="K1080" t="s">
        <v>489</v>
      </c>
      <c r="L1080" t="s">
        <v>10</v>
      </c>
      <c r="M1080" t="s">
        <v>200</v>
      </c>
      <c r="N1080" t="s">
        <v>81</v>
      </c>
      <c r="Q1080">
        <f t="shared" si="197"/>
        <v>18977</v>
      </c>
      <c r="R1080" t="str">
        <f t="shared" si="197"/>
        <v>Velodrome</v>
      </c>
      <c r="S1080" t="str">
        <f t="shared" si="197"/>
        <v>HollowBrook</v>
      </c>
      <c r="T1080" s="20">
        <f t="shared" si="187"/>
        <v>0</v>
      </c>
      <c r="U1080">
        <f t="shared" si="188"/>
        <v>800</v>
      </c>
      <c r="V1080">
        <f t="shared" si="189"/>
        <v>800</v>
      </c>
      <c r="W1080" cm="1">
        <f t="array" ref="W1080">_xlfn._xlws.FILTER(shifts!A:A,(shifts!B:B=events!D1080)*(shifts!AH:AH&gt;=events!U1080)*(shifts!AI:AI&lt;=events!V1080))</f>
        <v>40</v>
      </c>
      <c r="X1080" t="str">
        <f t="shared" si="198"/>
        <v>opp_team_player_1</v>
      </c>
      <c r="Y1080">
        <f>COUNTIFS(A$3:A1080,"="&amp;A1080,K$3:K1080,"="&amp;K1080)</f>
        <v>1</v>
      </c>
      <c r="Z1080" s="20">
        <f>SUMIFS(T$3:T1080,L$3:L1080,"=Intermission")+SUMIFS(T$3:T1080,L$3:L1080,"=Timeout")+SUMIFS(T$3:T1080,L$3:L1080,"=Clockstop")</f>
        <v>68</v>
      </c>
      <c r="AA1080">
        <f t="shared" si="190"/>
        <v>1148</v>
      </c>
      <c r="AC1080">
        <f t="shared" si="192"/>
        <v>1216</v>
      </c>
    </row>
    <row r="1081" spans="1:29" x14ac:dyDescent="0.2">
      <c r="A1081">
        <v>568</v>
      </c>
      <c r="D1081">
        <f t="shared" si="193"/>
        <v>2</v>
      </c>
      <c r="E1081">
        <v>13</v>
      </c>
      <c r="F1081" s="6" t="s">
        <v>446</v>
      </c>
      <c r="I1081" t="s">
        <v>179</v>
      </c>
      <c r="J1081">
        <v>27</v>
      </c>
      <c r="K1081" t="s">
        <v>488</v>
      </c>
      <c r="L1081" t="s">
        <v>13</v>
      </c>
      <c r="M1081" t="s">
        <v>204</v>
      </c>
      <c r="N1081" t="s">
        <v>107</v>
      </c>
      <c r="Q1081">
        <f t="shared" si="197"/>
        <v>18977</v>
      </c>
      <c r="R1081" t="str">
        <f t="shared" si="197"/>
        <v>Velodrome</v>
      </c>
      <c r="S1081" t="str">
        <f t="shared" si="197"/>
        <v>HollowBrook</v>
      </c>
      <c r="T1081" s="20">
        <f t="shared" si="187"/>
        <v>0</v>
      </c>
      <c r="U1081">
        <f t="shared" si="188"/>
        <v>797</v>
      </c>
      <c r="V1081">
        <f t="shared" si="189"/>
        <v>797</v>
      </c>
      <c r="W1081" cm="1">
        <f t="array" ref="W1081">_xlfn._xlws.FILTER(shifts!A:A,(shifts!B:B=events!D1081)*(shifts!AH:AH&gt;=events!U1081)*(shifts!AI:AI&lt;=events!V1081))</f>
        <v>40</v>
      </c>
      <c r="X1081" t="str">
        <f t="shared" si="198"/>
        <v>event_team_player_1</v>
      </c>
      <c r="Y1081">
        <f>COUNTIFS(A$3:A1081,"="&amp;A1081,K$3:K1081,"="&amp;K1081)</f>
        <v>1</v>
      </c>
      <c r="Z1081" s="20">
        <f>SUMIFS(T$3:T1081,L$3:L1081,"=Intermission")+SUMIFS(T$3:T1081,L$3:L1081,"=Timeout")+SUMIFS(T$3:T1081,L$3:L1081,"=Clockstop")</f>
        <v>68</v>
      </c>
      <c r="AA1081">
        <f t="shared" si="190"/>
        <v>1148</v>
      </c>
      <c r="AC1081">
        <f t="shared" si="192"/>
        <v>1216</v>
      </c>
    </row>
    <row r="1082" spans="1:29" x14ac:dyDescent="0.2">
      <c r="A1082">
        <v>569</v>
      </c>
      <c r="D1082">
        <f t="shared" si="193"/>
        <v>2</v>
      </c>
      <c r="E1082">
        <v>13</v>
      </c>
      <c r="F1082" s="6" t="s">
        <v>446</v>
      </c>
      <c r="G1082">
        <v>12</v>
      </c>
      <c r="H1082" s="8" t="s">
        <v>454</v>
      </c>
      <c r="I1082" t="s">
        <v>179</v>
      </c>
      <c r="J1082">
        <v>27</v>
      </c>
      <c r="K1082" t="s">
        <v>488</v>
      </c>
      <c r="L1082" t="s">
        <v>282</v>
      </c>
      <c r="Q1082">
        <f t="shared" si="197"/>
        <v>18977</v>
      </c>
      <c r="R1082" t="str">
        <f t="shared" si="197"/>
        <v>Velodrome</v>
      </c>
      <c r="S1082" t="str">
        <f t="shared" si="197"/>
        <v>HollowBrook</v>
      </c>
      <c r="T1082" s="20">
        <f t="shared" si="187"/>
        <v>34</v>
      </c>
      <c r="U1082">
        <f t="shared" si="188"/>
        <v>797</v>
      </c>
      <c r="V1082">
        <f t="shared" si="189"/>
        <v>763</v>
      </c>
      <c r="W1082">
        <v>41</v>
      </c>
      <c r="X1082" t="str">
        <f t="shared" si="198"/>
        <v>event_team_player_1</v>
      </c>
      <c r="Y1082">
        <f>COUNTIFS(A$3:A1082,"="&amp;A1082,K$3:K1082,"="&amp;K1082)</f>
        <v>1</v>
      </c>
      <c r="Z1082" s="20">
        <f>SUMIFS(T$3:T1082,L$3:L1082,"=Intermission")+SUMIFS(T$3:T1082,L$3:L1082,"=Timeout")+SUMIFS(T$3:T1082,L$3:L1082,"=Clockstop")</f>
        <v>68</v>
      </c>
      <c r="AA1082">
        <f t="shared" si="190"/>
        <v>1148</v>
      </c>
      <c r="AC1082">
        <f t="shared" si="192"/>
        <v>1216</v>
      </c>
    </row>
    <row r="1083" spans="1:29" x14ac:dyDescent="0.2">
      <c r="A1083">
        <v>570</v>
      </c>
      <c r="D1083">
        <f t="shared" si="193"/>
        <v>2</v>
      </c>
      <c r="E1083">
        <v>12</v>
      </c>
      <c r="F1083" s="6" t="s">
        <v>454</v>
      </c>
      <c r="I1083" t="s">
        <v>179</v>
      </c>
      <c r="J1083">
        <v>26</v>
      </c>
      <c r="K1083" t="s">
        <v>488</v>
      </c>
      <c r="L1083" t="s">
        <v>6</v>
      </c>
      <c r="M1083" t="s">
        <v>275</v>
      </c>
      <c r="Q1083">
        <f t="shared" si="197"/>
        <v>18977</v>
      </c>
      <c r="R1083" t="str">
        <f t="shared" si="197"/>
        <v>Velodrome</v>
      </c>
      <c r="S1083" t="str">
        <f t="shared" si="197"/>
        <v>HollowBrook</v>
      </c>
      <c r="T1083" s="20">
        <f t="shared" si="187"/>
        <v>0</v>
      </c>
      <c r="U1083">
        <f t="shared" si="188"/>
        <v>763</v>
      </c>
      <c r="V1083">
        <f t="shared" si="189"/>
        <v>763</v>
      </c>
      <c r="W1083" cm="1">
        <f t="array" ref="W1083">_xlfn._xlws.FILTER(shifts!A:A,(shifts!B:B=events!D1083)*(shifts!AH:AH&gt;=events!U1083)*(shifts!AI:AI&lt;=events!V1083))</f>
        <v>41</v>
      </c>
      <c r="X1083" t="str">
        <f t="shared" si="198"/>
        <v>event_team_player_1</v>
      </c>
      <c r="Y1083">
        <f>COUNTIFS(A$3:A1083,"="&amp;A1083,K$3:K1083,"="&amp;K1083)</f>
        <v>1</v>
      </c>
      <c r="Z1083" s="20">
        <f>SUMIFS(T$3:T1083,L$3:L1083,"=Intermission")+SUMIFS(T$3:T1083,L$3:L1083,"=Timeout")+SUMIFS(T$3:T1083,L$3:L1083,"=Clockstop")</f>
        <v>68</v>
      </c>
      <c r="AA1083">
        <f t="shared" si="190"/>
        <v>1148</v>
      </c>
      <c r="AC1083">
        <f t="shared" si="192"/>
        <v>1216</v>
      </c>
    </row>
    <row r="1084" spans="1:29" x14ac:dyDescent="0.2">
      <c r="A1084">
        <v>570</v>
      </c>
      <c r="D1084">
        <f t="shared" si="193"/>
        <v>2</v>
      </c>
      <c r="E1084">
        <v>12</v>
      </c>
      <c r="F1084" s="6" t="s">
        <v>454</v>
      </c>
      <c r="I1084" t="s">
        <v>179</v>
      </c>
      <c r="J1084">
        <v>42</v>
      </c>
      <c r="K1084" t="s">
        <v>489</v>
      </c>
      <c r="L1084" t="s">
        <v>6</v>
      </c>
      <c r="M1084" t="s">
        <v>275</v>
      </c>
      <c r="Q1084">
        <f t="shared" si="197"/>
        <v>18977</v>
      </c>
      <c r="R1084" t="str">
        <f t="shared" si="197"/>
        <v>Velodrome</v>
      </c>
      <c r="S1084" t="str">
        <f t="shared" si="197"/>
        <v>HollowBrook</v>
      </c>
      <c r="T1084" s="20">
        <f t="shared" si="187"/>
        <v>0</v>
      </c>
      <c r="U1084">
        <f t="shared" si="188"/>
        <v>763</v>
      </c>
      <c r="V1084">
        <f t="shared" si="189"/>
        <v>763</v>
      </c>
      <c r="W1084" cm="1">
        <f t="array" ref="W1084">_xlfn._xlws.FILTER(shifts!A:A,(shifts!B:B=events!D1084)*(shifts!AH:AH&gt;=events!U1084)*(shifts!AI:AI&lt;=events!V1084))</f>
        <v>41</v>
      </c>
      <c r="X1084" t="str">
        <f t="shared" si="198"/>
        <v>opp_team_player_1</v>
      </c>
      <c r="Y1084">
        <f>COUNTIFS(A$3:A1084,"="&amp;A1084,K$3:K1084,"="&amp;K1084)</f>
        <v>1</v>
      </c>
      <c r="Z1084" s="20">
        <f>SUMIFS(T$3:T1084,L$3:L1084,"=Intermission")+SUMIFS(T$3:T1084,L$3:L1084,"=Timeout")+SUMIFS(T$3:T1084,L$3:L1084,"=Clockstop")</f>
        <v>68</v>
      </c>
      <c r="AA1084">
        <f t="shared" si="190"/>
        <v>1148</v>
      </c>
      <c r="AC1084">
        <f t="shared" si="192"/>
        <v>1216</v>
      </c>
    </row>
    <row r="1085" spans="1:29" x14ac:dyDescent="0.2">
      <c r="A1085">
        <v>571</v>
      </c>
      <c r="D1085">
        <f t="shared" si="193"/>
        <v>2</v>
      </c>
      <c r="E1085">
        <v>12</v>
      </c>
      <c r="F1085" s="6" t="s">
        <v>430</v>
      </c>
      <c r="I1085" t="s">
        <v>178</v>
      </c>
      <c r="J1085">
        <v>49</v>
      </c>
      <c r="K1085" t="s">
        <v>488</v>
      </c>
      <c r="L1085" t="s">
        <v>7</v>
      </c>
      <c r="M1085" t="s">
        <v>222</v>
      </c>
      <c r="N1085" t="s">
        <v>55</v>
      </c>
      <c r="Q1085">
        <f t="shared" si="197"/>
        <v>18977</v>
      </c>
      <c r="R1085" t="str">
        <f t="shared" si="197"/>
        <v>Velodrome</v>
      </c>
      <c r="S1085" t="str">
        <f t="shared" si="197"/>
        <v>HollowBrook</v>
      </c>
      <c r="T1085" s="20">
        <f t="shared" si="187"/>
        <v>0</v>
      </c>
      <c r="U1085">
        <f t="shared" si="188"/>
        <v>762</v>
      </c>
      <c r="V1085">
        <f t="shared" si="189"/>
        <v>762</v>
      </c>
      <c r="W1085" cm="1">
        <f t="array" ref="W1085">_xlfn._xlws.FILTER(shifts!A:A,(shifts!B:B=events!D1085)*(shifts!AH:AH&gt;=events!U1085)*(shifts!AI:AI&lt;=events!V1085))</f>
        <v>41</v>
      </c>
      <c r="X1085" t="str">
        <f t="shared" si="198"/>
        <v>event_team_player_1</v>
      </c>
      <c r="Y1085">
        <f>COUNTIFS(A$3:A1085,"="&amp;A1085,K$3:K1085,"="&amp;K1085)</f>
        <v>1</v>
      </c>
      <c r="Z1085" s="20">
        <f>SUMIFS(T$3:T1085,L$3:L1085,"=Intermission")+SUMIFS(T$3:T1085,L$3:L1085,"=Timeout")+SUMIFS(T$3:T1085,L$3:L1085,"=Clockstop")</f>
        <v>68</v>
      </c>
      <c r="AA1085">
        <f t="shared" si="190"/>
        <v>1148</v>
      </c>
      <c r="AC1085">
        <f t="shared" si="192"/>
        <v>1216</v>
      </c>
    </row>
    <row r="1086" spans="1:29" x14ac:dyDescent="0.2">
      <c r="A1086">
        <v>571</v>
      </c>
      <c r="D1086">
        <f t="shared" si="193"/>
        <v>2</v>
      </c>
      <c r="E1086">
        <v>12</v>
      </c>
      <c r="F1086" s="6" t="s">
        <v>430</v>
      </c>
      <c r="I1086" t="s">
        <v>178</v>
      </c>
      <c r="J1086">
        <v>99</v>
      </c>
      <c r="K1086" t="s">
        <v>489</v>
      </c>
      <c r="L1086" t="s">
        <v>7</v>
      </c>
      <c r="M1086" t="s">
        <v>222</v>
      </c>
      <c r="N1086" t="s">
        <v>55</v>
      </c>
      <c r="Q1086">
        <f t="shared" si="197"/>
        <v>18977</v>
      </c>
      <c r="R1086" t="str">
        <f t="shared" si="197"/>
        <v>Velodrome</v>
      </c>
      <c r="S1086" t="str">
        <f t="shared" si="197"/>
        <v>HollowBrook</v>
      </c>
      <c r="T1086" s="20">
        <f t="shared" si="187"/>
        <v>0</v>
      </c>
      <c r="U1086">
        <f t="shared" si="188"/>
        <v>762</v>
      </c>
      <c r="V1086">
        <f t="shared" si="189"/>
        <v>762</v>
      </c>
      <c r="W1086" cm="1">
        <f t="array" ref="W1086">_xlfn._xlws.FILTER(shifts!A:A,(shifts!B:B=events!D1086)*(shifts!AH:AH&gt;=events!U1086)*(shifts!AI:AI&lt;=events!V1086))</f>
        <v>41</v>
      </c>
      <c r="X1086" t="str">
        <f t="shared" si="198"/>
        <v>opp_team_player_1</v>
      </c>
      <c r="Y1086">
        <f>COUNTIFS(A$3:A1086,"="&amp;A1086,K$3:K1086,"="&amp;K1086)</f>
        <v>1</v>
      </c>
      <c r="Z1086" s="20">
        <f>SUMIFS(T$3:T1086,L$3:L1086,"=Intermission")+SUMIFS(T$3:T1086,L$3:L1086,"=Timeout")+SUMIFS(T$3:T1086,L$3:L1086,"=Clockstop")</f>
        <v>68</v>
      </c>
      <c r="AA1086">
        <f t="shared" si="190"/>
        <v>1148</v>
      </c>
      <c r="AC1086">
        <f t="shared" si="192"/>
        <v>1216</v>
      </c>
    </row>
    <row r="1087" spans="1:29" x14ac:dyDescent="0.2">
      <c r="A1087">
        <v>572</v>
      </c>
      <c r="D1087">
        <f t="shared" si="193"/>
        <v>2</v>
      </c>
      <c r="E1087">
        <v>12</v>
      </c>
      <c r="F1087" s="6" t="s">
        <v>430</v>
      </c>
      <c r="I1087" t="s">
        <v>179</v>
      </c>
      <c r="J1087">
        <v>99</v>
      </c>
      <c r="K1087" t="s">
        <v>488</v>
      </c>
      <c r="L1087" t="s">
        <v>17</v>
      </c>
      <c r="M1087" t="s">
        <v>196</v>
      </c>
      <c r="N1087" t="s">
        <v>104</v>
      </c>
      <c r="Q1087">
        <f t="shared" si="197"/>
        <v>18977</v>
      </c>
      <c r="R1087" t="str">
        <f t="shared" si="197"/>
        <v>Velodrome</v>
      </c>
      <c r="S1087" t="str">
        <f t="shared" si="197"/>
        <v>HollowBrook</v>
      </c>
      <c r="T1087" s="20">
        <f t="shared" si="187"/>
        <v>0</v>
      </c>
      <c r="U1087">
        <f t="shared" si="188"/>
        <v>762</v>
      </c>
      <c r="V1087">
        <f t="shared" si="189"/>
        <v>762</v>
      </c>
      <c r="W1087" cm="1">
        <f t="array" ref="W1087">_xlfn._xlws.FILTER(shifts!A:A,(shifts!B:B=events!D1087)*(shifts!AH:AH&gt;=events!U1087)*(shifts!AI:AI&lt;=events!V1087))</f>
        <v>41</v>
      </c>
      <c r="X1087" t="str">
        <f t="shared" si="198"/>
        <v>event_team_player_1</v>
      </c>
      <c r="Y1087">
        <f>COUNTIFS(A$3:A1087,"="&amp;A1087,K$3:K1087,"="&amp;K1087)</f>
        <v>1</v>
      </c>
      <c r="Z1087" s="20">
        <f>SUMIFS(T$3:T1087,L$3:L1087,"=Intermission")+SUMIFS(T$3:T1087,L$3:L1087,"=Timeout")+SUMIFS(T$3:T1087,L$3:L1087,"=Clockstop")</f>
        <v>68</v>
      </c>
      <c r="AA1087">
        <f t="shared" si="190"/>
        <v>1148</v>
      </c>
      <c r="AC1087">
        <f t="shared" si="192"/>
        <v>1216</v>
      </c>
    </row>
    <row r="1088" spans="1:29" x14ac:dyDescent="0.2">
      <c r="A1088">
        <v>572</v>
      </c>
      <c r="D1088">
        <f t="shared" si="193"/>
        <v>2</v>
      </c>
      <c r="E1088">
        <v>12</v>
      </c>
      <c r="F1088" s="6" t="s">
        <v>430</v>
      </c>
      <c r="I1088" t="s">
        <v>179</v>
      </c>
      <c r="J1088">
        <v>49</v>
      </c>
      <c r="K1088" t="s">
        <v>489</v>
      </c>
      <c r="L1088" t="s">
        <v>17</v>
      </c>
      <c r="M1088" t="s">
        <v>196</v>
      </c>
      <c r="N1088" t="s">
        <v>104</v>
      </c>
      <c r="Q1088">
        <f t="shared" si="197"/>
        <v>18977</v>
      </c>
      <c r="R1088" t="str">
        <f t="shared" si="197"/>
        <v>Velodrome</v>
      </c>
      <c r="S1088" t="str">
        <f t="shared" si="197"/>
        <v>HollowBrook</v>
      </c>
      <c r="T1088" s="20">
        <f t="shared" si="187"/>
        <v>0</v>
      </c>
      <c r="U1088">
        <f t="shared" si="188"/>
        <v>762</v>
      </c>
      <c r="V1088">
        <f t="shared" si="189"/>
        <v>762</v>
      </c>
      <c r="W1088" cm="1">
        <f t="array" ref="W1088">_xlfn._xlws.FILTER(shifts!A:A,(shifts!B:B=events!D1088)*(shifts!AH:AH&gt;=events!U1088)*(shifts!AI:AI&lt;=events!V1088))</f>
        <v>41</v>
      </c>
      <c r="X1088" t="str">
        <f t="shared" si="198"/>
        <v>opp_team_player_1</v>
      </c>
      <c r="Y1088">
        <f>COUNTIFS(A$3:A1088,"="&amp;A1088,K$3:K1088,"="&amp;K1088)</f>
        <v>1</v>
      </c>
      <c r="Z1088" s="20">
        <f>SUMIFS(T$3:T1088,L$3:L1088,"=Intermission")+SUMIFS(T$3:T1088,L$3:L1088,"=Timeout")+SUMIFS(T$3:T1088,L$3:L1088,"=Clockstop")</f>
        <v>68</v>
      </c>
      <c r="AA1088">
        <f t="shared" si="190"/>
        <v>1148</v>
      </c>
      <c r="AC1088">
        <f t="shared" si="192"/>
        <v>1216</v>
      </c>
    </row>
    <row r="1089" spans="1:29" x14ac:dyDescent="0.2">
      <c r="A1089">
        <v>573</v>
      </c>
      <c r="D1089">
        <f t="shared" si="193"/>
        <v>2</v>
      </c>
      <c r="E1089">
        <v>12</v>
      </c>
      <c r="F1089" s="6" t="s">
        <v>430</v>
      </c>
      <c r="I1089" t="s">
        <v>179</v>
      </c>
      <c r="J1089">
        <v>99</v>
      </c>
      <c r="K1089" t="s">
        <v>488</v>
      </c>
      <c r="L1089" t="s">
        <v>270</v>
      </c>
      <c r="M1089" t="s">
        <v>272</v>
      </c>
      <c r="Q1089">
        <f t="shared" si="197"/>
        <v>18977</v>
      </c>
      <c r="R1089" t="str">
        <f t="shared" si="197"/>
        <v>Velodrome</v>
      </c>
      <c r="S1089" t="str">
        <f t="shared" si="197"/>
        <v>HollowBrook</v>
      </c>
      <c r="T1089" s="20">
        <f t="shared" si="187"/>
        <v>0</v>
      </c>
      <c r="U1089">
        <f t="shared" si="188"/>
        <v>762</v>
      </c>
      <c r="V1089">
        <f t="shared" si="189"/>
        <v>762</v>
      </c>
      <c r="W1089" cm="1">
        <f t="array" ref="W1089">_xlfn._xlws.FILTER(shifts!A:A,(shifts!B:B=events!D1089)*(shifts!AH:AH&gt;=events!U1089)*(shifts!AI:AI&lt;=events!V1089))</f>
        <v>41</v>
      </c>
      <c r="X1089" t="str">
        <f t="shared" si="198"/>
        <v>event_team_player_1</v>
      </c>
      <c r="Y1089">
        <f>COUNTIFS(A$3:A1089,"="&amp;A1089,K$3:K1089,"="&amp;K1089)</f>
        <v>1</v>
      </c>
      <c r="Z1089" s="20">
        <f>SUMIFS(T$3:T1089,L$3:L1089,"=Intermission")+SUMIFS(T$3:T1089,L$3:L1089,"=Timeout")+SUMIFS(T$3:T1089,L$3:L1089,"=Clockstop")</f>
        <v>68</v>
      </c>
      <c r="AA1089">
        <f t="shared" si="190"/>
        <v>1148</v>
      </c>
      <c r="AC1089">
        <f t="shared" si="192"/>
        <v>1216</v>
      </c>
    </row>
    <row r="1090" spans="1:29" x14ac:dyDescent="0.2">
      <c r="A1090">
        <v>574</v>
      </c>
      <c r="D1090">
        <f t="shared" si="193"/>
        <v>2</v>
      </c>
      <c r="E1090">
        <v>12</v>
      </c>
      <c r="F1090" s="6" t="s">
        <v>438</v>
      </c>
      <c r="G1090">
        <v>12</v>
      </c>
      <c r="H1090" s="8" t="s">
        <v>439</v>
      </c>
      <c r="I1090" t="s">
        <v>178</v>
      </c>
      <c r="J1090">
        <v>42</v>
      </c>
      <c r="K1090" t="s">
        <v>488</v>
      </c>
      <c r="L1090" t="s">
        <v>15</v>
      </c>
      <c r="Q1090">
        <f t="shared" si="197"/>
        <v>18977</v>
      </c>
      <c r="R1090" t="str">
        <f t="shared" si="197"/>
        <v>Velodrome</v>
      </c>
      <c r="S1090" t="str">
        <f t="shared" si="197"/>
        <v>HollowBrook</v>
      </c>
      <c r="T1090" s="20">
        <f t="shared" si="187"/>
        <v>4</v>
      </c>
      <c r="U1090">
        <f t="shared" si="188"/>
        <v>758</v>
      </c>
      <c r="V1090">
        <f t="shared" si="189"/>
        <v>754</v>
      </c>
      <c r="W1090" cm="1">
        <f t="array" ref="W1090">_xlfn._xlws.FILTER(shifts!A:A,(shifts!B:B=events!D1090)*(shifts!AH:AH&gt;=events!U1090)*(shifts!AI:AI&lt;=events!V1090))</f>
        <v>41</v>
      </c>
      <c r="X1090" t="str">
        <f t="shared" si="198"/>
        <v>event_team_player_1</v>
      </c>
      <c r="Y1090">
        <f>COUNTIFS(A$3:A1090,"="&amp;A1090,K$3:K1090,"="&amp;K1090)</f>
        <v>1</v>
      </c>
      <c r="Z1090" s="20">
        <f>SUMIFS(T$3:T1090,L$3:L1090,"=Intermission")+SUMIFS(T$3:T1090,L$3:L1090,"=Timeout")+SUMIFS(T$3:T1090,L$3:L1090,"=Clockstop")</f>
        <v>68</v>
      </c>
      <c r="AA1090">
        <f t="shared" si="190"/>
        <v>1148</v>
      </c>
      <c r="AC1090">
        <f t="shared" si="192"/>
        <v>1216</v>
      </c>
    </row>
    <row r="1091" spans="1:29" x14ac:dyDescent="0.2">
      <c r="A1091">
        <v>575</v>
      </c>
      <c r="D1091">
        <f t="shared" si="193"/>
        <v>2</v>
      </c>
      <c r="E1091">
        <v>12</v>
      </c>
      <c r="F1091" s="6" t="s">
        <v>439</v>
      </c>
      <c r="G1091">
        <v>12</v>
      </c>
      <c r="H1091" s="8" t="s">
        <v>493</v>
      </c>
      <c r="I1091" t="s">
        <v>178</v>
      </c>
      <c r="J1091">
        <v>42</v>
      </c>
      <c r="K1091" t="s">
        <v>488</v>
      </c>
      <c r="L1091" t="s">
        <v>15</v>
      </c>
      <c r="Q1091">
        <f t="shared" si="197"/>
        <v>18977</v>
      </c>
      <c r="R1091" t="str">
        <f t="shared" si="197"/>
        <v>Velodrome</v>
      </c>
      <c r="S1091" t="str">
        <f t="shared" si="197"/>
        <v>HollowBrook</v>
      </c>
      <c r="T1091" s="20">
        <f t="shared" si="187"/>
        <v>3</v>
      </c>
      <c r="U1091">
        <f t="shared" si="188"/>
        <v>754</v>
      </c>
      <c r="V1091">
        <f t="shared" si="189"/>
        <v>751</v>
      </c>
      <c r="W1091" cm="1">
        <f t="array" ref="W1091">_xlfn._xlws.FILTER(shifts!A:A,(shifts!B:B=events!D1091)*(shifts!AH:AH&gt;=events!U1091)*(shifts!AI:AI&lt;=events!V1091))</f>
        <v>41</v>
      </c>
      <c r="X1091" t="str">
        <f t="shared" si="198"/>
        <v>event_team_player_1</v>
      </c>
      <c r="Y1091">
        <f>COUNTIFS(A$3:A1091,"="&amp;A1091,K$3:K1091,"="&amp;K1091)</f>
        <v>1</v>
      </c>
      <c r="Z1091" s="20">
        <f>SUMIFS(T$3:T1091,L$3:L1091,"=Intermission")+SUMIFS(T$3:T1091,L$3:L1091,"=Timeout")+SUMIFS(T$3:T1091,L$3:L1091,"=Clockstop")</f>
        <v>68</v>
      </c>
      <c r="AA1091">
        <f t="shared" si="190"/>
        <v>1148</v>
      </c>
      <c r="AC1091">
        <f t="shared" si="192"/>
        <v>1216</v>
      </c>
    </row>
    <row r="1092" spans="1:29" x14ac:dyDescent="0.2">
      <c r="A1092">
        <v>576</v>
      </c>
      <c r="D1092">
        <f t="shared" si="193"/>
        <v>2</v>
      </c>
      <c r="E1092">
        <v>12</v>
      </c>
      <c r="F1092" s="6" t="s">
        <v>493</v>
      </c>
      <c r="G1092">
        <v>12</v>
      </c>
      <c r="H1092" s="8" t="s">
        <v>440</v>
      </c>
      <c r="I1092" t="s">
        <v>178</v>
      </c>
      <c r="J1092">
        <v>42</v>
      </c>
      <c r="K1092" t="s">
        <v>488</v>
      </c>
      <c r="L1092" t="s">
        <v>15</v>
      </c>
      <c r="Q1092">
        <f t="shared" si="197"/>
        <v>18977</v>
      </c>
      <c r="R1092" t="str">
        <f t="shared" si="197"/>
        <v>Velodrome</v>
      </c>
      <c r="S1092" t="str">
        <f t="shared" si="197"/>
        <v>HollowBrook</v>
      </c>
      <c r="T1092" s="20">
        <f t="shared" ref="T1092:T1155" si="199">IF(AND(G1092="",H1092=""),0,((E1092*60)+F1092)-((G1092*60)+H1092))</f>
        <v>3</v>
      </c>
      <c r="U1092">
        <f t="shared" ref="U1092:U1155" si="200">(E1092*60)+F1092</f>
        <v>751</v>
      </c>
      <c r="V1092">
        <f t="shared" ref="V1092:V1155" si="201">IF(AND(G1092="",H1092=""),U1092,((G1092*60)+H1092))</f>
        <v>748</v>
      </c>
      <c r="W1092" cm="1">
        <f t="array" ref="W1092">_xlfn._xlws.FILTER(shifts!A:A,(shifts!B:B=events!D1092)*(shifts!AH:AH&gt;=events!U1092)*(shifts!AI:AI&lt;=events!V1092))</f>
        <v>41</v>
      </c>
      <c r="X1092" t="str">
        <f t="shared" si="198"/>
        <v>event_team_player_1</v>
      </c>
      <c r="Y1092">
        <f>COUNTIFS(A$3:A1092,"="&amp;A1092,K$3:K1092,"="&amp;K1092)</f>
        <v>1</v>
      </c>
      <c r="Z1092" s="20">
        <f>SUMIFS(T$3:T1092,L$3:L1092,"=Intermission")+SUMIFS(T$3:T1092,L$3:L1092,"=Timeout")+SUMIFS(T$3:T1092,L$3:L1092,"=Clockstop")</f>
        <v>68</v>
      </c>
      <c r="AA1092">
        <f t="shared" ref="AA1092:AA1155" si="202">IF(D1092=1,0,IF(D1092=2,1080+Z1092,IF(D1092=3,(1080*2)+Z1092,0)))</f>
        <v>1148</v>
      </c>
      <c r="AC1092">
        <f t="shared" ref="AC1092:AC1155" si="203">IF(L1091="GameStart",0,AA1092+Z1092)</f>
        <v>1216</v>
      </c>
    </row>
    <row r="1093" spans="1:29" x14ac:dyDescent="0.2">
      <c r="A1093">
        <v>574</v>
      </c>
      <c r="D1093">
        <f t="shared" ref="D1093:D1156" si="204">IF(L1093="Intermission",D1092+1,D1092)</f>
        <v>2</v>
      </c>
      <c r="E1093">
        <v>12</v>
      </c>
      <c r="F1093" s="6" t="s">
        <v>438</v>
      </c>
      <c r="G1093">
        <v>12</v>
      </c>
      <c r="H1093" s="8" t="s">
        <v>439</v>
      </c>
      <c r="I1093" t="s">
        <v>178</v>
      </c>
      <c r="J1093">
        <v>13</v>
      </c>
      <c r="K1093" t="s">
        <v>489</v>
      </c>
      <c r="L1093" t="s">
        <v>15</v>
      </c>
      <c r="Q1093">
        <f t="shared" ref="Q1093:S1108" si="205">Q1092</f>
        <v>18977</v>
      </c>
      <c r="R1093" t="str">
        <f t="shared" si="205"/>
        <v>Velodrome</v>
      </c>
      <c r="S1093" t="str">
        <f t="shared" si="205"/>
        <v>HollowBrook</v>
      </c>
      <c r="T1093" s="20">
        <f t="shared" si="199"/>
        <v>4</v>
      </c>
      <c r="U1093">
        <f t="shared" si="200"/>
        <v>758</v>
      </c>
      <c r="V1093">
        <f t="shared" si="201"/>
        <v>754</v>
      </c>
      <c r="W1093" cm="1">
        <f t="array" ref="W1093">_xlfn._xlws.FILTER(shifts!A:A,(shifts!B:B=events!D1093)*(shifts!AH:AH&gt;=events!U1093)*(shifts!AI:AI&lt;=events!V1093))</f>
        <v>41</v>
      </c>
      <c r="X1093" t="str">
        <f t="shared" si="198"/>
        <v>opp_team_player_1</v>
      </c>
      <c r="Y1093">
        <f>COUNTIFS(A$3:A1093,"="&amp;A1093,K$3:K1093,"="&amp;K1093)</f>
        <v>1</v>
      </c>
      <c r="Z1093" s="20">
        <f>SUMIFS(T$3:T1093,L$3:L1093,"=Intermission")+SUMIFS(T$3:T1093,L$3:L1093,"=Timeout")+SUMIFS(T$3:T1093,L$3:L1093,"=Clockstop")</f>
        <v>68</v>
      </c>
      <c r="AA1093">
        <f t="shared" si="202"/>
        <v>1148</v>
      </c>
      <c r="AC1093">
        <f t="shared" si="203"/>
        <v>1216</v>
      </c>
    </row>
    <row r="1094" spans="1:29" x14ac:dyDescent="0.2">
      <c r="A1094">
        <v>575</v>
      </c>
      <c r="D1094">
        <f t="shared" si="204"/>
        <v>2</v>
      </c>
      <c r="E1094">
        <v>12</v>
      </c>
      <c r="F1094" s="6" t="s">
        <v>439</v>
      </c>
      <c r="G1094">
        <v>12</v>
      </c>
      <c r="H1094" s="8" t="s">
        <v>493</v>
      </c>
      <c r="I1094" t="s">
        <v>178</v>
      </c>
      <c r="J1094">
        <v>18</v>
      </c>
      <c r="K1094" t="s">
        <v>489</v>
      </c>
      <c r="L1094" t="s">
        <v>15</v>
      </c>
      <c r="Q1094">
        <f t="shared" si="205"/>
        <v>18977</v>
      </c>
      <c r="R1094" t="str">
        <f t="shared" si="205"/>
        <v>Velodrome</v>
      </c>
      <c r="S1094" t="str">
        <f t="shared" si="205"/>
        <v>HollowBrook</v>
      </c>
      <c r="T1094" s="20">
        <f t="shared" si="199"/>
        <v>3</v>
      </c>
      <c r="U1094">
        <f t="shared" si="200"/>
        <v>754</v>
      </c>
      <c r="V1094">
        <f t="shared" si="201"/>
        <v>751</v>
      </c>
      <c r="W1094" cm="1">
        <f t="array" ref="W1094">_xlfn._xlws.FILTER(shifts!A:A,(shifts!B:B=events!D1094)*(shifts!AH:AH&gt;=events!U1094)*(shifts!AI:AI&lt;=events!V1094))</f>
        <v>41</v>
      </c>
      <c r="X1094" t="str">
        <f t="shared" si="198"/>
        <v>opp_team_player_1</v>
      </c>
      <c r="Y1094">
        <f>COUNTIFS(A$3:A1094,"="&amp;A1094,K$3:K1094,"="&amp;K1094)</f>
        <v>1</v>
      </c>
      <c r="Z1094" s="20">
        <f>SUMIFS(T$3:T1094,L$3:L1094,"=Intermission")+SUMIFS(T$3:T1094,L$3:L1094,"=Timeout")+SUMIFS(T$3:T1094,L$3:L1094,"=Clockstop")</f>
        <v>68</v>
      </c>
      <c r="AA1094">
        <f t="shared" si="202"/>
        <v>1148</v>
      </c>
      <c r="AC1094">
        <f t="shared" si="203"/>
        <v>1216</v>
      </c>
    </row>
    <row r="1095" spans="1:29" x14ac:dyDescent="0.2">
      <c r="A1095">
        <v>576</v>
      </c>
      <c r="D1095">
        <f t="shared" si="204"/>
        <v>2</v>
      </c>
      <c r="E1095">
        <v>12</v>
      </c>
      <c r="F1095" s="6" t="s">
        <v>493</v>
      </c>
      <c r="G1095">
        <v>12</v>
      </c>
      <c r="H1095" s="8" t="s">
        <v>440</v>
      </c>
      <c r="I1095" t="s">
        <v>178</v>
      </c>
      <c r="J1095">
        <v>33</v>
      </c>
      <c r="K1095" t="s">
        <v>489</v>
      </c>
      <c r="L1095" t="s">
        <v>15</v>
      </c>
      <c r="Q1095">
        <f t="shared" si="205"/>
        <v>18977</v>
      </c>
      <c r="R1095" t="str">
        <f t="shared" si="205"/>
        <v>Velodrome</v>
      </c>
      <c r="S1095" t="str">
        <f t="shared" si="205"/>
        <v>HollowBrook</v>
      </c>
      <c r="T1095" s="20">
        <f t="shared" si="199"/>
        <v>3</v>
      </c>
      <c r="U1095">
        <f t="shared" si="200"/>
        <v>751</v>
      </c>
      <c r="V1095">
        <f t="shared" si="201"/>
        <v>748</v>
      </c>
      <c r="W1095" cm="1">
        <f t="array" ref="W1095">_xlfn._xlws.FILTER(shifts!A:A,(shifts!B:B=events!D1095)*(shifts!AH:AH&gt;=events!U1095)*(shifts!AI:AI&lt;=events!V1095))</f>
        <v>41</v>
      </c>
      <c r="X1095" t="str">
        <f t="shared" si="198"/>
        <v>opp_team_player_1</v>
      </c>
      <c r="Y1095">
        <f>COUNTIFS(A$3:A1095,"="&amp;A1095,K$3:K1095,"="&amp;K1095)</f>
        <v>1</v>
      </c>
      <c r="Z1095" s="20">
        <f>SUMIFS(T$3:T1095,L$3:L1095,"=Intermission")+SUMIFS(T$3:T1095,L$3:L1095,"=Timeout")+SUMIFS(T$3:T1095,L$3:L1095,"=Clockstop")</f>
        <v>68</v>
      </c>
      <c r="AA1095">
        <f t="shared" si="202"/>
        <v>1148</v>
      </c>
      <c r="AC1095">
        <f t="shared" si="203"/>
        <v>1216</v>
      </c>
    </row>
    <row r="1096" spans="1:29" x14ac:dyDescent="0.2">
      <c r="A1096">
        <v>576</v>
      </c>
      <c r="D1096">
        <f t="shared" si="204"/>
        <v>2</v>
      </c>
      <c r="E1096">
        <v>12</v>
      </c>
      <c r="F1096" s="6" t="s">
        <v>493</v>
      </c>
      <c r="G1096">
        <v>12</v>
      </c>
      <c r="H1096" s="8" t="s">
        <v>440</v>
      </c>
      <c r="I1096" t="s">
        <v>178</v>
      </c>
      <c r="J1096">
        <v>18</v>
      </c>
      <c r="K1096" t="s">
        <v>489</v>
      </c>
      <c r="L1096" t="s">
        <v>15</v>
      </c>
      <c r="Q1096">
        <f t="shared" si="205"/>
        <v>18977</v>
      </c>
      <c r="R1096" t="str">
        <f t="shared" si="205"/>
        <v>Velodrome</v>
      </c>
      <c r="S1096" t="str">
        <f t="shared" si="205"/>
        <v>HollowBrook</v>
      </c>
      <c r="T1096" s="20">
        <f t="shared" si="199"/>
        <v>3</v>
      </c>
      <c r="U1096">
        <f t="shared" si="200"/>
        <v>751</v>
      </c>
      <c r="V1096">
        <f t="shared" si="201"/>
        <v>748</v>
      </c>
      <c r="W1096" cm="1">
        <f t="array" ref="W1096">_xlfn._xlws.FILTER(shifts!A:A,(shifts!B:B=events!D1096)*(shifts!AH:AH&gt;=events!U1096)*(shifts!AI:AI&lt;=events!V1096))</f>
        <v>41</v>
      </c>
      <c r="X1096" t="str">
        <f t="shared" si="198"/>
        <v>opp_team_player_2</v>
      </c>
      <c r="Y1096">
        <f>COUNTIFS(A$3:A1096,"="&amp;A1096,K$3:K1096,"="&amp;K1096)</f>
        <v>2</v>
      </c>
      <c r="Z1096" s="20">
        <f>SUMIFS(T$3:T1096,L$3:L1096,"=Intermission")+SUMIFS(T$3:T1096,L$3:L1096,"=Timeout")+SUMIFS(T$3:T1096,L$3:L1096,"=Clockstop")</f>
        <v>68</v>
      </c>
      <c r="AA1096">
        <f t="shared" si="202"/>
        <v>1148</v>
      </c>
      <c r="AC1096">
        <f t="shared" si="203"/>
        <v>1216</v>
      </c>
    </row>
    <row r="1097" spans="1:29" x14ac:dyDescent="0.2">
      <c r="A1097">
        <v>577</v>
      </c>
      <c r="D1097">
        <f t="shared" si="204"/>
        <v>2</v>
      </c>
      <c r="E1097">
        <v>12</v>
      </c>
      <c r="F1097" s="6" t="s">
        <v>440</v>
      </c>
      <c r="I1097" t="s">
        <v>178</v>
      </c>
      <c r="J1097">
        <v>42</v>
      </c>
      <c r="K1097" t="s">
        <v>488</v>
      </c>
      <c r="L1097" t="s">
        <v>8</v>
      </c>
      <c r="M1097" t="s">
        <v>209</v>
      </c>
      <c r="N1097" t="s">
        <v>70</v>
      </c>
      <c r="Q1097">
        <f t="shared" si="205"/>
        <v>18977</v>
      </c>
      <c r="R1097" t="str">
        <f t="shared" si="205"/>
        <v>Velodrome</v>
      </c>
      <c r="S1097" t="str">
        <f t="shared" si="205"/>
        <v>HollowBrook</v>
      </c>
      <c r="T1097" s="20">
        <f t="shared" si="199"/>
        <v>0</v>
      </c>
      <c r="U1097">
        <f t="shared" si="200"/>
        <v>748</v>
      </c>
      <c r="V1097">
        <f t="shared" si="201"/>
        <v>748</v>
      </c>
      <c r="W1097" cm="1">
        <f t="array" ref="W1097">_xlfn._xlws.FILTER(shifts!A:A,(shifts!B:B=events!D1097)*(shifts!AH:AH&gt;=events!U1097)*(shifts!AI:AI&lt;=events!V1097))</f>
        <v>41</v>
      </c>
      <c r="X1097" t="str">
        <f t="shared" si="198"/>
        <v>event_team_player_1</v>
      </c>
      <c r="Y1097">
        <f>COUNTIFS(A$3:A1097,"="&amp;A1097,K$3:K1097,"="&amp;K1097)</f>
        <v>1</v>
      </c>
      <c r="Z1097" s="20">
        <f>SUMIFS(T$3:T1097,L$3:L1097,"=Intermission")+SUMIFS(T$3:T1097,L$3:L1097,"=Timeout")+SUMIFS(T$3:T1097,L$3:L1097,"=Clockstop")</f>
        <v>68</v>
      </c>
      <c r="AA1097">
        <f t="shared" si="202"/>
        <v>1148</v>
      </c>
      <c r="AC1097">
        <f t="shared" si="203"/>
        <v>1216</v>
      </c>
    </row>
    <row r="1098" spans="1:29" x14ac:dyDescent="0.2">
      <c r="A1098">
        <v>577</v>
      </c>
      <c r="D1098">
        <f t="shared" si="204"/>
        <v>2</v>
      </c>
      <c r="E1098">
        <v>12</v>
      </c>
      <c r="F1098" s="6" t="s">
        <v>440</v>
      </c>
      <c r="I1098" t="s">
        <v>178</v>
      </c>
      <c r="J1098">
        <v>26</v>
      </c>
      <c r="K1098" t="s">
        <v>489</v>
      </c>
      <c r="L1098" t="s">
        <v>8</v>
      </c>
      <c r="M1098" t="s">
        <v>209</v>
      </c>
      <c r="N1098" t="s">
        <v>70</v>
      </c>
      <c r="Q1098">
        <f t="shared" si="205"/>
        <v>18977</v>
      </c>
      <c r="R1098" t="str">
        <f t="shared" si="205"/>
        <v>Velodrome</v>
      </c>
      <c r="S1098" t="str">
        <f t="shared" si="205"/>
        <v>HollowBrook</v>
      </c>
      <c r="T1098" s="20">
        <f t="shared" si="199"/>
        <v>0</v>
      </c>
      <c r="U1098">
        <f t="shared" si="200"/>
        <v>748</v>
      </c>
      <c r="V1098">
        <f t="shared" si="201"/>
        <v>748</v>
      </c>
      <c r="W1098" cm="1">
        <f t="array" ref="W1098">_xlfn._xlws.FILTER(shifts!A:A,(shifts!B:B=events!D1098)*(shifts!AH:AH&gt;=events!U1098)*(shifts!AI:AI&lt;=events!V1098))</f>
        <v>41</v>
      </c>
      <c r="X1098" t="str">
        <f t="shared" si="198"/>
        <v>opp_team_player_1</v>
      </c>
      <c r="Y1098">
        <f>COUNTIFS(A$3:A1098,"="&amp;A1098,K$3:K1098,"="&amp;K1098)</f>
        <v>1</v>
      </c>
      <c r="Z1098" s="20">
        <f>SUMIFS(T$3:T1098,L$3:L1098,"=Intermission")+SUMIFS(T$3:T1098,L$3:L1098,"=Timeout")+SUMIFS(T$3:T1098,L$3:L1098,"=Clockstop")</f>
        <v>68</v>
      </c>
      <c r="AA1098">
        <f t="shared" si="202"/>
        <v>1148</v>
      </c>
      <c r="AC1098">
        <f t="shared" si="203"/>
        <v>1216</v>
      </c>
    </row>
    <row r="1099" spans="1:29" x14ac:dyDescent="0.2">
      <c r="A1099">
        <v>578</v>
      </c>
      <c r="D1099">
        <f t="shared" si="204"/>
        <v>2</v>
      </c>
      <c r="E1099">
        <v>12</v>
      </c>
      <c r="F1099" s="6" t="s">
        <v>456</v>
      </c>
      <c r="I1099" t="s">
        <v>178</v>
      </c>
      <c r="J1099">
        <v>84</v>
      </c>
      <c r="K1099" t="s">
        <v>488</v>
      </c>
      <c r="L1099" t="s">
        <v>277</v>
      </c>
      <c r="M1099" t="s">
        <v>210</v>
      </c>
      <c r="N1099" t="s">
        <v>93</v>
      </c>
      <c r="Q1099">
        <f t="shared" si="205"/>
        <v>18977</v>
      </c>
      <c r="R1099" t="str">
        <f t="shared" si="205"/>
        <v>Velodrome</v>
      </c>
      <c r="S1099" t="str">
        <f t="shared" si="205"/>
        <v>HollowBrook</v>
      </c>
      <c r="T1099" s="20">
        <f t="shared" si="199"/>
        <v>0</v>
      </c>
      <c r="U1099">
        <f t="shared" si="200"/>
        <v>743</v>
      </c>
      <c r="V1099">
        <f t="shared" si="201"/>
        <v>743</v>
      </c>
      <c r="W1099" cm="1">
        <f t="array" ref="W1099">_xlfn._xlws.FILTER(shifts!A:A,(shifts!B:B=events!D1099)*(shifts!AH:AH&gt;=events!U1099)*(shifts!AI:AI&lt;=events!V1099))</f>
        <v>41</v>
      </c>
      <c r="X1099" t="str">
        <f t="shared" si="198"/>
        <v>event_team_player_1</v>
      </c>
      <c r="Y1099">
        <f>COUNTIFS(A$3:A1099,"="&amp;A1099,K$3:K1099,"="&amp;K1099)</f>
        <v>1</v>
      </c>
      <c r="Z1099" s="20">
        <f>SUMIFS(T$3:T1099,L$3:L1099,"=Intermission")+SUMIFS(T$3:T1099,L$3:L1099,"=Timeout")+SUMIFS(T$3:T1099,L$3:L1099,"=Clockstop")</f>
        <v>68</v>
      </c>
      <c r="AA1099">
        <f t="shared" si="202"/>
        <v>1148</v>
      </c>
      <c r="AC1099">
        <f t="shared" si="203"/>
        <v>1216</v>
      </c>
    </row>
    <row r="1100" spans="1:29" x14ac:dyDescent="0.2">
      <c r="A1100">
        <v>579</v>
      </c>
      <c r="D1100">
        <f t="shared" si="204"/>
        <v>2</v>
      </c>
      <c r="E1100">
        <v>12</v>
      </c>
      <c r="F1100" s="6" t="s">
        <v>456</v>
      </c>
      <c r="G1100">
        <v>12</v>
      </c>
      <c r="H1100" s="8" t="s">
        <v>484</v>
      </c>
      <c r="I1100" t="s">
        <v>178</v>
      </c>
      <c r="J1100">
        <v>84</v>
      </c>
      <c r="K1100" t="s">
        <v>488</v>
      </c>
      <c r="L1100" t="s">
        <v>15</v>
      </c>
      <c r="Q1100">
        <f t="shared" si="205"/>
        <v>18977</v>
      </c>
      <c r="R1100" t="str">
        <f t="shared" si="205"/>
        <v>Velodrome</v>
      </c>
      <c r="S1100" t="str">
        <f t="shared" si="205"/>
        <v>HollowBrook</v>
      </c>
      <c r="T1100" s="20">
        <f t="shared" si="199"/>
        <v>1</v>
      </c>
      <c r="U1100">
        <f t="shared" si="200"/>
        <v>743</v>
      </c>
      <c r="V1100">
        <f t="shared" si="201"/>
        <v>742</v>
      </c>
      <c r="W1100" cm="1">
        <f t="array" ref="W1100">_xlfn._xlws.FILTER(shifts!A:A,(shifts!B:B=events!D1100)*(shifts!AH:AH&gt;=events!U1100)*(shifts!AI:AI&lt;=events!V1100))</f>
        <v>41</v>
      </c>
      <c r="X1100" t="str">
        <f t="shared" si="198"/>
        <v>event_team_player_1</v>
      </c>
      <c r="Y1100">
        <f>COUNTIFS(A$3:A1100,"="&amp;A1100,K$3:K1100,"="&amp;K1100)</f>
        <v>1</v>
      </c>
      <c r="Z1100" s="20">
        <f>SUMIFS(T$3:T1100,L$3:L1100,"=Intermission")+SUMIFS(T$3:T1100,L$3:L1100,"=Timeout")+SUMIFS(T$3:T1100,L$3:L1100,"=Clockstop")</f>
        <v>68</v>
      </c>
      <c r="AA1100">
        <f t="shared" si="202"/>
        <v>1148</v>
      </c>
      <c r="AC1100">
        <f t="shared" si="203"/>
        <v>1216</v>
      </c>
    </row>
    <row r="1101" spans="1:29" x14ac:dyDescent="0.2">
      <c r="A1101">
        <v>580</v>
      </c>
      <c r="D1101">
        <f t="shared" si="204"/>
        <v>2</v>
      </c>
      <c r="E1101">
        <v>12</v>
      </c>
      <c r="F1101" s="6" t="s">
        <v>484</v>
      </c>
      <c r="I1101" t="s">
        <v>178</v>
      </c>
      <c r="J1101">
        <v>84</v>
      </c>
      <c r="K1101" t="s">
        <v>488</v>
      </c>
      <c r="L1101" t="s">
        <v>7</v>
      </c>
      <c r="M1101" t="s">
        <v>222</v>
      </c>
      <c r="N1101" t="s">
        <v>53</v>
      </c>
      <c r="Q1101">
        <f t="shared" si="205"/>
        <v>18977</v>
      </c>
      <c r="R1101" t="str">
        <f t="shared" si="205"/>
        <v>Velodrome</v>
      </c>
      <c r="S1101" t="str">
        <f t="shared" si="205"/>
        <v>HollowBrook</v>
      </c>
      <c r="T1101" s="20">
        <f t="shared" si="199"/>
        <v>0</v>
      </c>
      <c r="U1101">
        <f t="shared" si="200"/>
        <v>742</v>
      </c>
      <c r="V1101">
        <f t="shared" si="201"/>
        <v>742</v>
      </c>
      <c r="W1101" cm="1">
        <f t="array" ref="W1101">_xlfn._xlws.FILTER(shifts!A:A,(shifts!B:B=events!D1101)*(shifts!AH:AH&gt;=events!U1101)*(shifts!AI:AI&lt;=events!V1101))</f>
        <v>41</v>
      </c>
      <c r="X1101" t="str">
        <f t="shared" si="198"/>
        <v>event_team_player_1</v>
      </c>
      <c r="Y1101">
        <f>COUNTIFS(A$3:A1101,"="&amp;A1101,K$3:K1101,"="&amp;K1101)</f>
        <v>1</v>
      </c>
      <c r="Z1101" s="20">
        <f>SUMIFS(T$3:T1101,L$3:L1101,"=Intermission")+SUMIFS(T$3:T1101,L$3:L1101,"=Timeout")+SUMIFS(T$3:T1101,L$3:L1101,"=Clockstop")</f>
        <v>68</v>
      </c>
      <c r="AA1101">
        <f t="shared" si="202"/>
        <v>1148</v>
      </c>
      <c r="AC1101">
        <f t="shared" si="203"/>
        <v>1216</v>
      </c>
    </row>
    <row r="1102" spans="1:29" x14ac:dyDescent="0.2">
      <c r="A1102">
        <v>580</v>
      </c>
      <c r="D1102">
        <f t="shared" si="204"/>
        <v>2</v>
      </c>
      <c r="E1102">
        <v>12</v>
      </c>
      <c r="F1102" s="6" t="s">
        <v>484</v>
      </c>
      <c r="I1102" t="s">
        <v>178</v>
      </c>
      <c r="J1102">
        <v>49</v>
      </c>
      <c r="K1102" t="s">
        <v>488</v>
      </c>
      <c r="L1102" t="s">
        <v>7</v>
      </c>
      <c r="M1102" t="s">
        <v>222</v>
      </c>
      <c r="N1102" t="s">
        <v>53</v>
      </c>
      <c r="Q1102">
        <f t="shared" si="205"/>
        <v>18977</v>
      </c>
      <c r="R1102" t="str">
        <f t="shared" si="205"/>
        <v>Velodrome</v>
      </c>
      <c r="S1102" t="str">
        <f t="shared" si="205"/>
        <v>HollowBrook</v>
      </c>
      <c r="T1102" s="20">
        <f t="shared" si="199"/>
        <v>0</v>
      </c>
      <c r="U1102">
        <f t="shared" si="200"/>
        <v>742</v>
      </c>
      <c r="V1102">
        <f t="shared" si="201"/>
        <v>742</v>
      </c>
      <c r="W1102" cm="1">
        <f t="array" ref="W1102">_xlfn._xlws.FILTER(shifts!A:A,(shifts!B:B=events!D1102)*(shifts!AH:AH&gt;=events!U1102)*(shifts!AI:AI&lt;=events!V1102))</f>
        <v>41</v>
      </c>
      <c r="X1102" t="str">
        <f t="shared" si="198"/>
        <v>event_team_player_2</v>
      </c>
      <c r="Y1102">
        <f>COUNTIFS(A$3:A1102,"="&amp;A1102,K$3:K1102,"="&amp;K1102)</f>
        <v>2</v>
      </c>
      <c r="Z1102" s="20">
        <f>SUMIFS(T$3:T1102,L$3:L1102,"=Intermission")+SUMIFS(T$3:T1102,L$3:L1102,"=Timeout")+SUMIFS(T$3:T1102,L$3:L1102,"=Clockstop")</f>
        <v>68</v>
      </c>
      <c r="AA1102">
        <f t="shared" si="202"/>
        <v>1148</v>
      </c>
      <c r="AC1102">
        <f t="shared" si="203"/>
        <v>1216</v>
      </c>
    </row>
    <row r="1103" spans="1:29" x14ac:dyDescent="0.2">
      <c r="A1103">
        <v>580</v>
      </c>
      <c r="D1103">
        <f t="shared" si="204"/>
        <v>2</v>
      </c>
      <c r="E1103">
        <v>12</v>
      </c>
      <c r="F1103" s="6" t="s">
        <v>484</v>
      </c>
      <c r="I1103" t="s">
        <v>178</v>
      </c>
      <c r="J1103">
        <v>99</v>
      </c>
      <c r="K1103" t="s">
        <v>489</v>
      </c>
      <c r="L1103" t="s">
        <v>7</v>
      </c>
      <c r="M1103" t="s">
        <v>222</v>
      </c>
      <c r="N1103" t="s">
        <v>53</v>
      </c>
      <c r="Q1103">
        <f t="shared" si="205"/>
        <v>18977</v>
      </c>
      <c r="R1103" t="str">
        <f t="shared" si="205"/>
        <v>Velodrome</v>
      </c>
      <c r="S1103" t="str">
        <f t="shared" si="205"/>
        <v>HollowBrook</v>
      </c>
      <c r="T1103" s="20">
        <f t="shared" si="199"/>
        <v>0</v>
      </c>
      <c r="U1103">
        <f t="shared" si="200"/>
        <v>742</v>
      </c>
      <c r="V1103">
        <f t="shared" si="201"/>
        <v>742</v>
      </c>
      <c r="W1103" cm="1">
        <f t="array" ref="W1103">_xlfn._xlws.FILTER(shifts!A:A,(shifts!B:B=events!D1103)*(shifts!AH:AH&gt;=events!U1103)*(shifts!AI:AI&lt;=events!V1103))</f>
        <v>41</v>
      </c>
      <c r="X1103" t="str">
        <f t="shared" si="198"/>
        <v>opp_team_player_1</v>
      </c>
      <c r="Y1103">
        <f>COUNTIFS(A$3:A1103,"="&amp;A1103,K$3:K1103,"="&amp;K1103)</f>
        <v>1</v>
      </c>
      <c r="Z1103" s="20">
        <f>SUMIFS(T$3:T1103,L$3:L1103,"=Intermission")+SUMIFS(T$3:T1103,L$3:L1103,"=Timeout")+SUMIFS(T$3:T1103,L$3:L1103,"=Clockstop")</f>
        <v>68</v>
      </c>
      <c r="AA1103">
        <f t="shared" si="202"/>
        <v>1148</v>
      </c>
      <c r="AC1103">
        <f t="shared" si="203"/>
        <v>1216</v>
      </c>
    </row>
    <row r="1104" spans="1:29" x14ac:dyDescent="0.2">
      <c r="A1104">
        <v>580</v>
      </c>
      <c r="D1104">
        <f t="shared" si="204"/>
        <v>2</v>
      </c>
      <c r="E1104">
        <v>12</v>
      </c>
      <c r="F1104" s="6" t="s">
        <v>484</v>
      </c>
      <c r="I1104" t="s">
        <v>178</v>
      </c>
      <c r="J1104">
        <v>18</v>
      </c>
      <c r="K1104" t="s">
        <v>489</v>
      </c>
      <c r="L1104" t="s">
        <v>7</v>
      </c>
      <c r="M1104" t="s">
        <v>222</v>
      </c>
      <c r="N1104" t="s">
        <v>53</v>
      </c>
      <c r="Q1104">
        <f t="shared" si="205"/>
        <v>18977</v>
      </c>
      <c r="R1104" t="str">
        <f t="shared" si="205"/>
        <v>Velodrome</v>
      </c>
      <c r="S1104" t="str">
        <f t="shared" si="205"/>
        <v>HollowBrook</v>
      </c>
      <c r="T1104" s="20">
        <f t="shared" si="199"/>
        <v>0</v>
      </c>
      <c r="U1104">
        <f t="shared" si="200"/>
        <v>742</v>
      </c>
      <c r="V1104">
        <f t="shared" si="201"/>
        <v>742</v>
      </c>
      <c r="W1104" cm="1">
        <f t="array" ref="W1104">_xlfn._xlws.FILTER(shifts!A:A,(shifts!B:B=events!D1104)*(shifts!AH:AH&gt;=events!U1104)*(shifts!AI:AI&lt;=events!V1104))</f>
        <v>41</v>
      </c>
      <c r="X1104" t="str">
        <f t="shared" si="198"/>
        <v>opp_team_player_2</v>
      </c>
      <c r="Y1104">
        <f>COUNTIFS(A$3:A1104,"="&amp;A1104,K$3:K1104,"="&amp;K1104)</f>
        <v>2</v>
      </c>
      <c r="Z1104" s="20">
        <f>SUMIFS(T$3:T1104,L$3:L1104,"=Intermission")+SUMIFS(T$3:T1104,L$3:L1104,"=Timeout")+SUMIFS(T$3:T1104,L$3:L1104,"=Clockstop")</f>
        <v>68</v>
      </c>
      <c r="AA1104">
        <f t="shared" si="202"/>
        <v>1148</v>
      </c>
      <c r="AC1104">
        <f t="shared" si="203"/>
        <v>1216</v>
      </c>
    </row>
    <row r="1105" spans="1:29" x14ac:dyDescent="0.2">
      <c r="A1105">
        <v>580</v>
      </c>
      <c r="D1105">
        <f t="shared" si="204"/>
        <v>2</v>
      </c>
      <c r="E1105">
        <v>12</v>
      </c>
      <c r="F1105" s="6" t="s">
        <v>484</v>
      </c>
      <c r="I1105" t="s">
        <v>178</v>
      </c>
      <c r="J1105">
        <v>13</v>
      </c>
      <c r="K1105" t="s">
        <v>489</v>
      </c>
      <c r="L1105" t="s">
        <v>7</v>
      </c>
      <c r="M1105" t="s">
        <v>222</v>
      </c>
      <c r="N1105" t="s">
        <v>53</v>
      </c>
      <c r="Q1105">
        <f t="shared" si="205"/>
        <v>18977</v>
      </c>
      <c r="R1105" t="str">
        <f t="shared" si="205"/>
        <v>Velodrome</v>
      </c>
      <c r="S1105" t="str">
        <f t="shared" si="205"/>
        <v>HollowBrook</v>
      </c>
      <c r="T1105" s="20">
        <f t="shared" si="199"/>
        <v>0</v>
      </c>
      <c r="U1105">
        <f t="shared" si="200"/>
        <v>742</v>
      </c>
      <c r="V1105">
        <f t="shared" si="201"/>
        <v>742</v>
      </c>
      <c r="W1105" cm="1">
        <f t="array" ref="W1105">_xlfn._xlws.FILTER(shifts!A:A,(shifts!B:B=events!D1105)*(shifts!AH:AH&gt;=events!U1105)*(shifts!AI:AI&lt;=events!V1105))</f>
        <v>41</v>
      </c>
      <c r="X1105" t="str">
        <f t="shared" si="198"/>
        <v>opp_team_player_3</v>
      </c>
      <c r="Y1105">
        <f>COUNTIFS(A$3:A1105,"="&amp;A1105,K$3:K1105,"="&amp;K1105)</f>
        <v>3</v>
      </c>
      <c r="Z1105" s="20">
        <f>SUMIFS(T$3:T1105,L$3:L1105,"=Intermission")+SUMIFS(T$3:T1105,L$3:L1105,"=Timeout")+SUMIFS(T$3:T1105,L$3:L1105,"=Clockstop")</f>
        <v>68</v>
      </c>
      <c r="AA1105">
        <f t="shared" si="202"/>
        <v>1148</v>
      </c>
      <c r="AC1105">
        <f t="shared" si="203"/>
        <v>1216</v>
      </c>
    </row>
    <row r="1106" spans="1:29" x14ac:dyDescent="0.2">
      <c r="A1106">
        <v>581</v>
      </c>
      <c r="D1106">
        <f t="shared" si="204"/>
        <v>2</v>
      </c>
      <c r="E1106">
        <v>12</v>
      </c>
      <c r="F1106" s="6" t="s">
        <v>484</v>
      </c>
      <c r="I1106" t="s">
        <v>179</v>
      </c>
      <c r="J1106">
        <v>99</v>
      </c>
      <c r="K1106" t="s">
        <v>488</v>
      </c>
      <c r="L1106" t="s">
        <v>17</v>
      </c>
      <c r="M1106" t="s">
        <v>206</v>
      </c>
      <c r="N1106" t="s">
        <v>102</v>
      </c>
      <c r="Q1106">
        <f t="shared" si="205"/>
        <v>18977</v>
      </c>
      <c r="R1106" t="str">
        <f t="shared" si="205"/>
        <v>Velodrome</v>
      </c>
      <c r="S1106" t="str">
        <f t="shared" si="205"/>
        <v>HollowBrook</v>
      </c>
      <c r="T1106" s="20">
        <f t="shared" si="199"/>
        <v>0</v>
      </c>
      <c r="U1106">
        <f t="shared" si="200"/>
        <v>742</v>
      </c>
      <c r="V1106">
        <f t="shared" si="201"/>
        <v>742</v>
      </c>
      <c r="W1106" cm="1">
        <f t="array" ref="W1106">_xlfn._xlws.FILTER(shifts!A:A,(shifts!B:B=events!D1106)*(shifts!AH:AH&gt;=events!U1106)*(shifts!AI:AI&lt;=events!V1106))</f>
        <v>41</v>
      </c>
      <c r="X1106" t="str">
        <f t="shared" si="198"/>
        <v>event_team_player_1</v>
      </c>
      <c r="Y1106">
        <f>COUNTIFS(A$3:A1106,"="&amp;A1106,K$3:K1106,"="&amp;K1106)</f>
        <v>1</v>
      </c>
      <c r="Z1106" s="20">
        <f>SUMIFS(T$3:T1106,L$3:L1106,"=Intermission")+SUMIFS(T$3:T1106,L$3:L1106,"=Timeout")+SUMIFS(T$3:T1106,L$3:L1106,"=Clockstop")</f>
        <v>68</v>
      </c>
      <c r="AA1106">
        <f t="shared" si="202"/>
        <v>1148</v>
      </c>
      <c r="AC1106">
        <f t="shared" si="203"/>
        <v>1216</v>
      </c>
    </row>
    <row r="1107" spans="1:29" x14ac:dyDescent="0.2">
      <c r="A1107">
        <v>581</v>
      </c>
      <c r="D1107">
        <f t="shared" si="204"/>
        <v>2</v>
      </c>
      <c r="E1107">
        <v>12</v>
      </c>
      <c r="F1107" s="6" t="s">
        <v>484</v>
      </c>
      <c r="I1107" t="s">
        <v>179</v>
      </c>
      <c r="J1107">
        <v>18</v>
      </c>
      <c r="K1107" t="s">
        <v>488</v>
      </c>
      <c r="L1107" t="s">
        <v>17</v>
      </c>
      <c r="M1107" t="s">
        <v>206</v>
      </c>
      <c r="N1107" t="s">
        <v>102</v>
      </c>
      <c r="Q1107">
        <f t="shared" si="205"/>
        <v>18977</v>
      </c>
      <c r="R1107" t="str">
        <f t="shared" si="205"/>
        <v>Velodrome</v>
      </c>
      <c r="S1107" t="str">
        <f t="shared" si="205"/>
        <v>HollowBrook</v>
      </c>
      <c r="T1107" s="20">
        <f t="shared" si="199"/>
        <v>0</v>
      </c>
      <c r="U1107">
        <f t="shared" si="200"/>
        <v>742</v>
      </c>
      <c r="V1107">
        <f t="shared" si="201"/>
        <v>742</v>
      </c>
      <c r="W1107" cm="1">
        <f t="array" ref="W1107">_xlfn._xlws.FILTER(shifts!A:A,(shifts!B:B=events!D1107)*(shifts!AH:AH&gt;=events!U1107)*(shifts!AI:AI&lt;=events!V1107))</f>
        <v>41</v>
      </c>
      <c r="X1107" t="str">
        <f t="shared" si="198"/>
        <v>event_team_player_2</v>
      </c>
      <c r="Y1107">
        <f>COUNTIFS(A$3:A1107,"="&amp;A1107,K$3:K1107,"="&amp;K1107)</f>
        <v>2</v>
      </c>
      <c r="Z1107" s="20">
        <f>SUMIFS(T$3:T1107,L$3:L1107,"=Intermission")+SUMIFS(T$3:T1107,L$3:L1107,"=Timeout")+SUMIFS(T$3:T1107,L$3:L1107,"=Clockstop")</f>
        <v>68</v>
      </c>
      <c r="AA1107">
        <f t="shared" si="202"/>
        <v>1148</v>
      </c>
      <c r="AC1107">
        <f t="shared" si="203"/>
        <v>1216</v>
      </c>
    </row>
    <row r="1108" spans="1:29" x14ac:dyDescent="0.2">
      <c r="A1108">
        <v>581</v>
      </c>
      <c r="D1108">
        <f t="shared" si="204"/>
        <v>2</v>
      </c>
      <c r="E1108">
        <v>12</v>
      </c>
      <c r="F1108" s="6" t="s">
        <v>484</v>
      </c>
      <c r="I1108" t="s">
        <v>179</v>
      </c>
      <c r="J1108">
        <v>13</v>
      </c>
      <c r="K1108" t="s">
        <v>488</v>
      </c>
      <c r="L1108" t="s">
        <v>17</v>
      </c>
      <c r="M1108" t="s">
        <v>206</v>
      </c>
      <c r="N1108" t="s">
        <v>102</v>
      </c>
      <c r="Q1108">
        <f t="shared" si="205"/>
        <v>18977</v>
      </c>
      <c r="R1108" t="str">
        <f t="shared" si="205"/>
        <v>Velodrome</v>
      </c>
      <c r="S1108" t="str">
        <f t="shared" si="205"/>
        <v>HollowBrook</v>
      </c>
      <c r="T1108" s="20">
        <f t="shared" si="199"/>
        <v>0</v>
      </c>
      <c r="U1108">
        <f t="shared" si="200"/>
        <v>742</v>
      </c>
      <c r="V1108">
        <f t="shared" si="201"/>
        <v>742</v>
      </c>
      <c r="W1108" cm="1">
        <f t="array" ref="W1108">_xlfn._xlws.FILTER(shifts!A:A,(shifts!B:B=events!D1108)*(shifts!AH:AH&gt;=events!U1108)*(shifts!AI:AI&lt;=events!V1108))</f>
        <v>41</v>
      </c>
      <c r="X1108" t="str">
        <f t="shared" si="198"/>
        <v>event_team_player_3</v>
      </c>
      <c r="Y1108">
        <f>COUNTIFS(A$3:A1108,"="&amp;A1108,K$3:K1108,"="&amp;K1108)</f>
        <v>3</v>
      </c>
      <c r="Z1108" s="20">
        <f>SUMIFS(T$3:T1108,L$3:L1108,"=Intermission")+SUMIFS(T$3:T1108,L$3:L1108,"=Timeout")+SUMIFS(T$3:T1108,L$3:L1108,"=Clockstop")</f>
        <v>68</v>
      </c>
      <c r="AA1108">
        <f t="shared" si="202"/>
        <v>1148</v>
      </c>
      <c r="AC1108">
        <f t="shared" si="203"/>
        <v>1216</v>
      </c>
    </row>
    <row r="1109" spans="1:29" x14ac:dyDescent="0.2">
      <c r="A1109">
        <v>581</v>
      </c>
      <c r="D1109">
        <f t="shared" si="204"/>
        <v>2</v>
      </c>
      <c r="E1109">
        <v>12</v>
      </c>
      <c r="F1109" s="6" t="s">
        <v>484</v>
      </c>
      <c r="I1109" t="s">
        <v>179</v>
      </c>
      <c r="J1109">
        <v>84</v>
      </c>
      <c r="K1109" t="s">
        <v>489</v>
      </c>
      <c r="L1109" t="s">
        <v>17</v>
      </c>
      <c r="M1109" t="s">
        <v>206</v>
      </c>
      <c r="N1109" t="s">
        <v>102</v>
      </c>
      <c r="Q1109">
        <f t="shared" ref="Q1109:S1124" si="206">Q1108</f>
        <v>18977</v>
      </c>
      <c r="R1109" t="str">
        <f t="shared" si="206"/>
        <v>Velodrome</v>
      </c>
      <c r="S1109" t="str">
        <f t="shared" si="206"/>
        <v>HollowBrook</v>
      </c>
      <c r="T1109" s="20">
        <f t="shared" si="199"/>
        <v>0</v>
      </c>
      <c r="U1109">
        <f t="shared" si="200"/>
        <v>742</v>
      </c>
      <c r="V1109">
        <f t="shared" si="201"/>
        <v>742</v>
      </c>
      <c r="W1109" cm="1">
        <f t="array" ref="W1109">_xlfn._xlws.FILTER(shifts!A:A,(shifts!B:B=events!D1109)*(shifts!AH:AH&gt;=events!U1109)*(shifts!AI:AI&lt;=events!V1109))</f>
        <v>41</v>
      </c>
      <c r="X1109" t="str">
        <f t="shared" si="198"/>
        <v>opp_team_player_1</v>
      </c>
      <c r="Y1109">
        <f>COUNTIFS(A$3:A1109,"="&amp;A1109,K$3:K1109,"="&amp;K1109)</f>
        <v>1</v>
      </c>
      <c r="Z1109" s="20">
        <f>SUMIFS(T$3:T1109,L$3:L1109,"=Intermission")+SUMIFS(T$3:T1109,L$3:L1109,"=Timeout")+SUMIFS(T$3:T1109,L$3:L1109,"=Clockstop")</f>
        <v>68</v>
      </c>
      <c r="AA1109">
        <f t="shared" si="202"/>
        <v>1148</v>
      </c>
      <c r="AC1109">
        <f t="shared" si="203"/>
        <v>1216</v>
      </c>
    </row>
    <row r="1110" spans="1:29" x14ac:dyDescent="0.2">
      <c r="A1110">
        <v>581</v>
      </c>
      <c r="D1110">
        <f t="shared" si="204"/>
        <v>2</v>
      </c>
      <c r="E1110">
        <v>12</v>
      </c>
      <c r="F1110" s="6" t="s">
        <v>484</v>
      </c>
      <c r="I1110" t="s">
        <v>179</v>
      </c>
      <c r="J1110">
        <v>49</v>
      </c>
      <c r="K1110" t="s">
        <v>489</v>
      </c>
      <c r="L1110" t="s">
        <v>17</v>
      </c>
      <c r="M1110" t="s">
        <v>206</v>
      </c>
      <c r="N1110" t="s">
        <v>102</v>
      </c>
      <c r="Q1110">
        <f t="shared" si="206"/>
        <v>18977</v>
      </c>
      <c r="R1110" t="str">
        <f t="shared" si="206"/>
        <v>Velodrome</v>
      </c>
      <c r="S1110" t="str">
        <f t="shared" si="206"/>
        <v>HollowBrook</v>
      </c>
      <c r="T1110" s="20">
        <f t="shared" si="199"/>
        <v>0</v>
      </c>
      <c r="U1110">
        <f t="shared" si="200"/>
        <v>742</v>
      </c>
      <c r="V1110">
        <f t="shared" si="201"/>
        <v>742</v>
      </c>
      <c r="W1110" cm="1">
        <f t="array" ref="W1110">_xlfn._xlws.FILTER(shifts!A:A,(shifts!B:B=events!D1110)*(shifts!AH:AH&gt;=events!U1110)*(shifts!AI:AI&lt;=events!V1110))</f>
        <v>41</v>
      </c>
      <c r="X1110" t="str">
        <f t="shared" si="198"/>
        <v>opp_team_player_2</v>
      </c>
      <c r="Y1110">
        <f>COUNTIFS(A$3:A1110,"="&amp;A1110,K$3:K1110,"="&amp;K1110)</f>
        <v>2</v>
      </c>
      <c r="Z1110" s="20">
        <f>SUMIFS(T$3:T1110,L$3:L1110,"=Intermission")+SUMIFS(T$3:T1110,L$3:L1110,"=Timeout")+SUMIFS(T$3:T1110,L$3:L1110,"=Clockstop")</f>
        <v>68</v>
      </c>
      <c r="AA1110">
        <f t="shared" si="202"/>
        <v>1148</v>
      </c>
      <c r="AC1110">
        <f t="shared" si="203"/>
        <v>1216</v>
      </c>
    </row>
    <row r="1111" spans="1:29" x14ac:dyDescent="0.2">
      <c r="A1111">
        <v>582</v>
      </c>
      <c r="D1111">
        <f t="shared" si="204"/>
        <v>2</v>
      </c>
      <c r="E1111">
        <v>12</v>
      </c>
      <c r="F1111" s="6" t="s">
        <v>484</v>
      </c>
      <c r="I1111" t="s">
        <v>179</v>
      </c>
      <c r="J1111">
        <v>99</v>
      </c>
      <c r="K1111" t="s">
        <v>488</v>
      </c>
      <c r="L1111" t="s">
        <v>13</v>
      </c>
      <c r="M1111" t="s">
        <v>204</v>
      </c>
      <c r="N1111" t="s">
        <v>110</v>
      </c>
      <c r="Q1111">
        <f t="shared" si="206"/>
        <v>18977</v>
      </c>
      <c r="R1111" t="str">
        <f t="shared" si="206"/>
        <v>Velodrome</v>
      </c>
      <c r="S1111" t="str">
        <f t="shared" si="206"/>
        <v>HollowBrook</v>
      </c>
      <c r="T1111" s="20">
        <f t="shared" si="199"/>
        <v>0</v>
      </c>
      <c r="U1111">
        <f t="shared" si="200"/>
        <v>742</v>
      </c>
      <c r="V1111">
        <f t="shared" si="201"/>
        <v>742</v>
      </c>
      <c r="W1111" cm="1">
        <f t="array" ref="W1111">_xlfn._xlws.FILTER(shifts!A:A,(shifts!B:B=events!D1111)*(shifts!AH:AH&gt;=events!U1111)*(shifts!AI:AI&lt;=events!V1111))</f>
        <v>41</v>
      </c>
      <c r="X1111" t="str">
        <f t="shared" si="198"/>
        <v>event_team_player_1</v>
      </c>
      <c r="Y1111">
        <f>COUNTIFS(A$3:A1111,"="&amp;A1111,K$3:K1111,"="&amp;K1111)</f>
        <v>1</v>
      </c>
      <c r="Z1111" s="20">
        <f>SUMIFS(T$3:T1111,L$3:L1111,"=Intermission")+SUMIFS(T$3:T1111,L$3:L1111,"=Timeout")+SUMIFS(T$3:T1111,L$3:L1111,"=Clockstop")</f>
        <v>68</v>
      </c>
      <c r="AA1111">
        <f t="shared" si="202"/>
        <v>1148</v>
      </c>
      <c r="AC1111">
        <f t="shared" si="203"/>
        <v>1216</v>
      </c>
    </row>
    <row r="1112" spans="1:29" x14ac:dyDescent="0.2">
      <c r="A1112">
        <v>583</v>
      </c>
      <c r="D1112">
        <f t="shared" si="204"/>
        <v>2</v>
      </c>
      <c r="E1112">
        <v>12</v>
      </c>
      <c r="F1112" s="6" t="s">
        <v>484</v>
      </c>
      <c r="G1112">
        <v>12</v>
      </c>
      <c r="H1112" s="8" t="s">
        <v>315</v>
      </c>
      <c r="I1112" t="s">
        <v>179</v>
      </c>
      <c r="J1112">
        <v>99</v>
      </c>
      <c r="K1112" t="s">
        <v>488</v>
      </c>
      <c r="L1112" t="s">
        <v>282</v>
      </c>
      <c r="Q1112">
        <f t="shared" si="206"/>
        <v>18977</v>
      </c>
      <c r="R1112" t="str">
        <f t="shared" si="206"/>
        <v>Velodrome</v>
      </c>
      <c r="S1112" t="str">
        <f t="shared" si="206"/>
        <v>HollowBrook</v>
      </c>
      <c r="T1112" s="20">
        <f t="shared" si="199"/>
        <v>17</v>
      </c>
      <c r="U1112">
        <f t="shared" si="200"/>
        <v>742</v>
      </c>
      <c r="V1112">
        <f t="shared" si="201"/>
        <v>725</v>
      </c>
      <c r="W1112" cm="1">
        <f t="array" ref="W1112">_xlfn._xlws.FILTER(shifts!A:A,(shifts!B:B=events!D1112)*(shifts!AH:AH&gt;=events!U1112)*(shifts!AI:AI&lt;=events!V1112))</f>
        <v>41</v>
      </c>
      <c r="X1112" t="str">
        <f t="shared" si="198"/>
        <v>event_team_player_1</v>
      </c>
      <c r="Y1112">
        <f>COUNTIFS(A$3:A1112,"="&amp;A1112,K$3:K1112,"="&amp;K1112)</f>
        <v>1</v>
      </c>
      <c r="Z1112" s="20">
        <f>SUMIFS(T$3:T1112,L$3:L1112,"=Intermission")+SUMIFS(T$3:T1112,L$3:L1112,"=Timeout")+SUMIFS(T$3:T1112,L$3:L1112,"=Clockstop")</f>
        <v>68</v>
      </c>
      <c r="AA1112">
        <f t="shared" si="202"/>
        <v>1148</v>
      </c>
      <c r="AC1112">
        <f t="shared" si="203"/>
        <v>1216</v>
      </c>
    </row>
    <row r="1113" spans="1:29" x14ac:dyDescent="0.2">
      <c r="A1113">
        <v>584</v>
      </c>
      <c r="D1113">
        <f t="shared" si="204"/>
        <v>2</v>
      </c>
      <c r="E1113">
        <v>12</v>
      </c>
      <c r="F1113" s="6" t="s">
        <v>315</v>
      </c>
      <c r="I1113" t="s">
        <v>179</v>
      </c>
      <c r="J1113">
        <v>26</v>
      </c>
      <c r="K1113" t="s">
        <v>488</v>
      </c>
      <c r="L1113" t="s">
        <v>6</v>
      </c>
      <c r="M1113" t="s">
        <v>275</v>
      </c>
      <c r="Q1113">
        <f t="shared" si="206"/>
        <v>18977</v>
      </c>
      <c r="R1113" t="str">
        <f t="shared" si="206"/>
        <v>Velodrome</v>
      </c>
      <c r="S1113" t="str">
        <f t="shared" si="206"/>
        <v>HollowBrook</v>
      </c>
      <c r="T1113" s="20">
        <f t="shared" si="199"/>
        <v>0</v>
      </c>
      <c r="U1113">
        <f t="shared" si="200"/>
        <v>725</v>
      </c>
      <c r="V1113">
        <f t="shared" si="201"/>
        <v>725</v>
      </c>
      <c r="W1113" cm="1">
        <f t="array" ref="W1113">_xlfn._xlws.FILTER(shifts!A:A,(shifts!B:B=events!D1113)*(shifts!AH:AH&gt;=events!U1113)*(shifts!AI:AI&lt;=events!V1113))</f>
        <v>41</v>
      </c>
      <c r="X1113" t="str">
        <f t="shared" si="198"/>
        <v>event_team_player_1</v>
      </c>
      <c r="Y1113">
        <f>COUNTIFS(A$3:A1113,"="&amp;A1113,K$3:K1113,"="&amp;K1113)</f>
        <v>1</v>
      </c>
      <c r="Z1113" s="20">
        <f>SUMIFS(T$3:T1113,L$3:L1113,"=Intermission")+SUMIFS(T$3:T1113,L$3:L1113,"=Timeout")+SUMIFS(T$3:T1113,L$3:L1113,"=Clockstop")</f>
        <v>68</v>
      </c>
      <c r="AA1113">
        <f t="shared" si="202"/>
        <v>1148</v>
      </c>
      <c r="AC1113">
        <f t="shared" si="203"/>
        <v>1216</v>
      </c>
    </row>
    <row r="1114" spans="1:29" x14ac:dyDescent="0.2">
      <c r="A1114">
        <v>584</v>
      </c>
      <c r="D1114">
        <f t="shared" si="204"/>
        <v>2</v>
      </c>
      <c r="E1114">
        <v>12</v>
      </c>
      <c r="F1114" s="6" t="s">
        <v>315</v>
      </c>
      <c r="I1114" t="s">
        <v>179</v>
      </c>
      <c r="J1114">
        <v>18</v>
      </c>
      <c r="K1114" t="s">
        <v>488</v>
      </c>
      <c r="L1114" t="s">
        <v>6</v>
      </c>
      <c r="M1114" t="s">
        <v>275</v>
      </c>
      <c r="Q1114">
        <f t="shared" si="206"/>
        <v>18977</v>
      </c>
      <c r="R1114" t="str">
        <f t="shared" si="206"/>
        <v>Velodrome</v>
      </c>
      <c r="S1114" t="str">
        <f t="shared" si="206"/>
        <v>HollowBrook</v>
      </c>
      <c r="T1114" s="20">
        <f t="shared" si="199"/>
        <v>0</v>
      </c>
      <c r="U1114">
        <f t="shared" si="200"/>
        <v>725</v>
      </c>
      <c r="V1114">
        <f t="shared" si="201"/>
        <v>725</v>
      </c>
      <c r="W1114" cm="1">
        <f t="array" ref="W1114">_xlfn._xlws.FILTER(shifts!A:A,(shifts!B:B=events!D1114)*(shifts!AH:AH&gt;=events!U1114)*(shifts!AI:AI&lt;=events!V1114))</f>
        <v>41</v>
      </c>
      <c r="X1114" t="str">
        <f t="shared" si="198"/>
        <v>event_team_player_2</v>
      </c>
      <c r="Y1114">
        <f>COUNTIFS(A$3:A1114,"="&amp;A1114,K$3:K1114,"="&amp;K1114)</f>
        <v>2</v>
      </c>
      <c r="Z1114" s="20">
        <f>SUMIFS(T$3:T1114,L$3:L1114,"=Intermission")+SUMIFS(T$3:T1114,L$3:L1114,"=Timeout")+SUMIFS(T$3:T1114,L$3:L1114,"=Clockstop")</f>
        <v>68</v>
      </c>
      <c r="AA1114">
        <f t="shared" si="202"/>
        <v>1148</v>
      </c>
      <c r="AC1114">
        <f t="shared" si="203"/>
        <v>1216</v>
      </c>
    </row>
    <row r="1115" spans="1:29" x14ac:dyDescent="0.2">
      <c r="A1115">
        <v>584</v>
      </c>
      <c r="D1115">
        <f t="shared" si="204"/>
        <v>2</v>
      </c>
      <c r="E1115">
        <v>12</v>
      </c>
      <c r="F1115" s="6" t="s">
        <v>315</v>
      </c>
      <c r="I1115" t="s">
        <v>179</v>
      </c>
      <c r="J1115">
        <v>42</v>
      </c>
      <c r="K1115" t="s">
        <v>489</v>
      </c>
      <c r="L1115" t="s">
        <v>6</v>
      </c>
      <c r="M1115" t="s">
        <v>275</v>
      </c>
      <c r="Q1115">
        <f t="shared" si="206"/>
        <v>18977</v>
      </c>
      <c r="R1115" t="str">
        <f t="shared" si="206"/>
        <v>Velodrome</v>
      </c>
      <c r="S1115" t="str">
        <f t="shared" si="206"/>
        <v>HollowBrook</v>
      </c>
      <c r="T1115" s="20">
        <f t="shared" si="199"/>
        <v>0</v>
      </c>
      <c r="U1115">
        <f t="shared" si="200"/>
        <v>725</v>
      </c>
      <c r="V1115">
        <f t="shared" si="201"/>
        <v>725</v>
      </c>
      <c r="W1115" cm="1">
        <f t="array" ref="W1115">_xlfn._xlws.FILTER(shifts!A:A,(shifts!B:B=events!D1115)*(shifts!AH:AH&gt;=events!U1115)*(shifts!AI:AI&lt;=events!V1115))</f>
        <v>41</v>
      </c>
      <c r="X1115" t="str">
        <f t="shared" si="198"/>
        <v>opp_team_player_1</v>
      </c>
      <c r="Y1115">
        <f>COUNTIFS(A$3:A1115,"="&amp;A1115,K$3:K1115,"="&amp;K1115)</f>
        <v>1</v>
      </c>
      <c r="Z1115" s="20">
        <f>SUMIFS(T$3:T1115,L$3:L1115,"=Intermission")+SUMIFS(T$3:T1115,L$3:L1115,"=Timeout")+SUMIFS(T$3:T1115,L$3:L1115,"=Clockstop")</f>
        <v>68</v>
      </c>
      <c r="AA1115">
        <f t="shared" si="202"/>
        <v>1148</v>
      </c>
      <c r="AC1115">
        <f t="shared" si="203"/>
        <v>1216</v>
      </c>
    </row>
    <row r="1116" spans="1:29" x14ac:dyDescent="0.2">
      <c r="A1116">
        <v>585</v>
      </c>
      <c r="D1116">
        <f t="shared" si="204"/>
        <v>2</v>
      </c>
      <c r="E1116">
        <v>12</v>
      </c>
      <c r="F1116" s="6" t="s">
        <v>315</v>
      </c>
      <c r="G1116">
        <v>12</v>
      </c>
      <c r="H1116" s="8" t="s">
        <v>311</v>
      </c>
      <c r="I1116" t="s">
        <v>179</v>
      </c>
      <c r="J1116">
        <v>18</v>
      </c>
      <c r="K1116" t="s">
        <v>488</v>
      </c>
      <c r="L1116" t="s">
        <v>15</v>
      </c>
      <c r="Q1116">
        <f t="shared" si="206"/>
        <v>18977</v>
      </c>
      <c r="R1116" t="str">
        <f t="shared" si="206"/>
        <v>Velodrome</v>
      </c>
      <c r="S1116" t="str">
        <f t="shared" si="206"/>
        <v>HollowBrook</v>
      </c>
      <c r="T1116" s="20">
        <f t="shared" si="199"/>
        <v>2</v>
      </c>
      <c r="U1116">
        <f t="shared" si="200"/>
        <v>725</v>
      </c>
      <c r="V1116">
        <f t="shared" si="201"/>
        <v>723</v>
      </c>
      <c r="W1116" cm="1">
        <f t="array" ref="W1116">_xlfn._xlws.FILTER(shifts!A:A,(shifts!B:B=events!D1116)*(shifts!AH:AH&gt;=events!U1116)*(shifts!AI:AI&lt;=events!V1116))</f>
        <v>41</v>
      </c>
      <c r="X1116" t="str">
        <f t="shared" si="198"/>
        <v>event_team_player_1</v>
      </c>
      <c r="Y1116">
        <f>COUNTIFS(A$3:A1116,"="&amp;A1116,K$3:K1116,"="&amp;K1116)</f>
        <v>1</v>
      </c>
      <c r="Z1116" s="20">
        <f>SUMIFS(T$3:T1116,L$3:L1116,"=Intermission")+SUMIFS(T$3:T1116,L$3:L1116,"=Timeout")+SUMIFS(T$3:T1116,L$3:L1116,"=Clockstop")</f>
        <v>68</v>
      </c>
      <c r="AA1116">
        <f t="shared" si="202"/>
        <v>1148</v>
      </c>
      <c r="AC1116">
        <f t="shared" si="203"/>
        <v>1216</v>
      </c>
    </row>
    <row r="1117" spans="1:29" x14ac:dyDescent="0.2">
      <c r="A1117">
        <v>586</v>
      </c>
      <c r="D1117">
        <f t="shared" si="204"/>
        <v>2</v>
      </c>
      <c r="E1117">
        <v>12</v>
      </c>
      <c r="F1117" s="6" t="s">
        <v>311</v>
      </c>
      <c r="I1117" t="s">
        <v>179</v>
      </c>
      <c r="J1117">
        <v>18</v>
      </c>
      <c r="K1117" t="s">
        <v>488</v>
      </c>
      <c r="L1117" t="s">
        <v>277</v>
      </c>
      <c r="M1117" t="s">
        <v>201</v>
      </c>
      <c r="N1117" t="s">
        <v>505</v>
      </c>
      <c r="Q1117">
        <f t="shared" si="206"/>
        <v>18977</v>
      </c>
      <c r="R1117" t="str">
        <f t="shared" si="206"/>
        <v>Velodrome</v>
      </c>
      <c r="S1117" t="str">
        <f t="shared" si="206"/>
        <v>HollowBrook</v>
      </c>
      <c r="T1117" s="20">
        <f t="shared" si="199"/>
        <v>0</v>
      </c>
      <c r="U1117">
        <f t="shared" si="200"/>
        <v>723</v>
      </c>
      <c r="V1117">
        <f t="shared" si="201"/>
        <v>723</v>
      </c>
      <c r="W1117" cm="1">
        <f t="array" ref="W1117">_xlfn._xlws.FILTER(shifts!A:A,(shifts!B:B=events!D1117)*(shifts!AH:AH&gt;=events!U1117)*(shifts!AI:AI&lt;=events!V1117))</f>
        <v>41</v>
      </c>
      <c r="X1117" t="str">
        <f t="shared" si="198"/>
        <v>event_team_player_1</v>
      </c>
      <c r="Y1117">
        <f>COUNTIFS(A$3:A1117,"="&amp;A1117,K$3:K1117,"="&amp;K1117)</f>
        <v>1</v>
      </c>
      <c r="Z1117" s="20">
        <f>SUMIFS(T$3:T1117,L$3:L1117,"=Intermission")+SUMIFS(T$3:T1117,L$3:L1117,"=Timeout")+SUMIFS(T$3:T1117,L$3:L1117,"=Clockstop")</f>
        <v>68</v>
      </c>
      <c r="AA1117">
        <f t="shared" si="202"/>
        <v>1148</v>
      </c>
      <c r="AC1117">
        <f t="shared" si="203"/>
        <v>1216</v>
      </c>
    </row>
    <row r="1118" spans="1:29" x14ac:dyDescent="0.2">
      <c r="A1118">
        <v>586</v>
      </c>
      <c r="D1118">
        <f t="shared" si="204"/>
        <v>2</v>
      </c>
      <c r="E1118">
        <v>12</v>
      </c>
      <c r="F1118" s="6" t="s">
        <v>311</v>
      </c>
      <c r="I1118" t="s">
        <v>179</v>
      </c>
      <c r="J1118">
        <v>13</v>
      </c>
      <c r="K1118" t="s">
        <v>488</v>
      </c>
      <c r="L1118" t="s">
        <v>277</v>
      </c>
      <c r="M1118" t="s">
        <v>201</v>
      </c>
      <c r="N1118" t="s">
        <v>505</v>
      </c>
      <c r="Q1118">
        <f t="shared" si="206"/>
        <v>18977</v>
      </c>
      <c r="R1118" t="str">
        <f t="shared" si="206"/>
        <v>Velodrome</v>
      </c>
      <c r="S1118" t="str">
        <f t="shared" si="206"/>
        <v>HollowBrook</v>
      </c>
      <c r="T1118" s="20">
        <f t="shared" si="199"/>
        <v>0</v>
      </c>
      <c r="U1118">
        <f t="shared" si="200"/>
        <v>723</v>
      </c>
      <c r="V1118">
        <f t="shared" si="201"/>
        <v>723</v>
      </c>
      <c r="W1118" cm="1">
        <f t="array" ref="W1118">_xlfn._xlws.FILTER(shifts!A:A,(shifts!B:B=events!D1118)*(shifts!AH:AH&gt;=events!U1118)*(shifts!AI:AI&lt;=events!V1118))</f>
        <v>41</v>
      </c>
      <c r="X1118" t="str">
        <f t="shared" si="198"/>
        <v>event_team_player_2</v>
      </c>
      <c r="Y1118">
        <f>COUNTIFS(A$3:A1118,"="&amp;A1118,K$3:K1118,"="&amp;K1118)</f>
        <v>2</v>
      </c>
      <c r="Z1118" s="20">
        <f>SUMIFS(T$3:T1118,L$3:L1118,"=Intermission")+SUMIFS(T$3:T1118,L$3:L1118,"=Timeout")+SUMIFS(T$3:T1118,L$3:L1118,"=Clockstop")</f>
        <v>68</v>
      </c>
      <c r="AA1118">
        <f t="shared" si="202"/>
        <v>1148</v>
      </c>
      <c r="AC1118">
        <f t="shared" si="203"/>
        <v>1216</v>
      </c>
    </row>
    <row r="1119" spans="1:29" x14ac:dyDescent="0.2">
      <c r="A1119">
        <v>587</v>
      </c>
      <c r="D1119">
        <f t="shared" si="204"/>
        <v>2</v>
      </c>
      <c r="E1119">
        <v>12</v>
      </c>
      <c r="F1119" s="6" t="s">
        <v>311</v>
      </c>
      <c r="I1119" t="s">
        <v>179</v>
      </c>
      <c r="J1119">
        <v>18</v>
      </c>
      <c r="K1119" t="s">
        <v>488</v>
      </c>
      <c r="L1119" t="s">
        <v>8</v>
      </c>
      <c r="M1119" t="s">
        <v>189</v>
      </c>
      <c r="N1119" t="s">
        <v>506</v>
      </c>
      <c r="Q1119">
        <f t="shared" si="206"/>
        <v>18977</v>
      </c>
      <c r="R1119" t="str">
        <f t="shared" si="206"/>
        <v>Velodrome</v>
      </c>
      <c r="S1119" t="str">
        <f t="shared" si="206"/>
        <v>HollowBrook</v>
      </c>
      <c r="T1119" s="20">
        <f t="shared" si="199"/>
        <v>0</v>
      </c>
      <c r="U1119">
        <f t="shared" si="200"/>
        <v>723</v>
      </c>
      <c r="V1119">
        <f t="shared" si="201"/>
        <v>723</v>
      </c>
      <c r="W1119" cm="1">
        <f t="array" ref="W1119">_xlfn._xlws.FILTER(shifts!A:A,(shifts!B:B=events!D1119)*(shifts!AH:AH&gt;=events!U1119)*(shifts!AI:AI&lt;=events!V1119))</f>
        <v>41</v>
      </c>
      <c r="X1119" t="str">
        <f t="shared" si="198"/>
        <v>event_team_player_1</v>
      </c>
      <c r="Y1119">
        <f>COUNTIFS(A$3:A1119,"="&amp;A1119,K$3:K1119,"="&amp;K1119)</f>
        <v>1</v>
      </c>
      <c r="Z1119" s="20">
        <f>SUMIFS(T$3:T1119,L$3:L1119,"=Intermission")+SUMIFS(T$3:T1119,L$3:L1119,"=Timeout")+SUMIFS(T$3:T1119,L$3:L1119,"=Clockstop")</f>
        <v>68</v>
      </c>
      <c r="AA1119">
        <f t="shared" si="202"/>
        <v>1148</v>
      </c>
      <c r="AC1119">
        <f t="shared" si="203"/>
        <v>1216</v>
      </c>
    </row>
    <row r="1120" spans="1:29" x14ac:dyDescent="0.2">
      <c r="A1120">
        <v>587</v>
      </c>
      <c r="D1120">
        <f t="shared" si="204"/>
        <v>2</v>
      </c>
      <c r="E1120">
        <v>12</v>
      </c>
      <c r="F1120" s="6" t="s">
        <v>311</v>
      </c>
      <c r="I1120" t="s">
        <v>179</v>
      </c>
      <c r="J1120">
        <v>13</v>
      </c>
      <c r="K1120" t="s">
        <v>488</v>
      </c>
      <c r="L1120" t="s">
        <v>8</v>
      </c>
      <c r="M1120" t="s">
        <v>189</v>
      </c>
      <c r="N1120" t="s">
        <v>506</v>
      </c>
      <c r="Q1120">
        <f t="shared" si="206"/>
        <v>18977</v>
      </c>
      <c r="R1120" t="str">
        <f t="shared" si="206"/>
        <v>Velodrome</v>
      </c>
      <c r="S1120" t="str">
        <f t="shared" si="206"/>
        <v>HollowBrook</v>
      </c>
      <c r="T1120" s="20">
        <f t="shared" si="199"/>
        <v>0</v>
      </c>
      <c r="U1120">
        <f t="shared" si="200"/>
        <v>723</v>
      </c>
      <c r="V1120">
        <f t="shared" si="201"/>
        <v>723</v>
      </c>
      <c r="W1120" cm="1">
        <f t="array" ref="W1120">_xlfn._xlws.FILTER(shifts!A:A,(shifts!B:B=events!D1120)*(shifts!AH:AH&gt;=events!U1120)*(shifts!AI:AI&lt;=events!V1120))</f>
        <v>41</v>
      </c>
      <c r="X1120" t="str">
        <f t="shared" si="198"/>
        <v>event_team_player_2</v>
      </c>
      <c r="Y1120">
        <f>COUNTIFS(A$3:A1120,"="&amp;A1120,K$3:K1120,"="&amp;K1120)</f>
        <v>2</v>
      </c>
      <c r="Z1120" s="20">
        <f>SUMIFS(T$3:T1120,L$3:L1120,"=Intermission")+SUMIFS(T$3:T1120,L$3:L1120,"=Timeout")+SUMIFS(T$3:T1120,L$3:L1120,"=Clockstop")</f>
        <v>68</v>
      </c>
      <c r="AA1120">
        <f t="shared" si="202"/>
        <v>1148</v>
      </c>
      <c r="AC1120">
        <f t="shared" si="203"/>
        <v>1216</v>
      </c>
    </row>
    <row r="1121" spans="1:29" x14ac:dyDescent="0.2">
      <c r="A1121">
        <v>588</v>
      </c>
      <c r="D1121">
        <f t="shared" si="204"/>
        <v>2</v>
      </c>
      <c r="E1121">
        <v>11</v>
      </c>
      <c r="F1121" s="6" t="s">
        <v>487</v>
      </c>
      <c r="I1121" t="s">
        <v>179</v>
      </c>
      <c r="J1121">
        <v>13</v>
      </c>
      <c r="K1121" t="s">
        <v>488</v>
      </c>
      <c r="L1121" t="s">
        <v>277</v>
      </c>
      <c r="M1121" t="s">
        <v>191</v>
      </c>
      <c r="N1121" t="s">
        <v>507</v>
      </c>
      <c r="Q1121">
        <f t="shared" si="206"/>
        <v>18977</v>
      </c>
      <c r="R1121" t="str">
        <f t="shared" si="206"/>
        <v>Velodrome</v>
      </c>
      <c r="S1121" t="str">
        <f t="shared" si="206"/>
        <v>HollowBrook</v>
      </c>
      <c r="T1121" s="20">
        <f t="shared" si="199"/>
        <v>0</v>
      </c>
      <c r="U1121">
        <f t="shared" si="200"/>
        <v>719</v>
      </c>
      <c r="V1121">
        <f t="shared" si="201"/>
        <v>719</v>
      </c>
      <c r="W1121" cm="1">
        <f t="array" ref="W1121">_xlfn._xlws.FILTER(shifts!A:A,(shifts!B:B=events!D1121)*(shifts!AH:AH&gt;=events!U1121)*(shifts!AI:AI&lt;=events!V1121))</f>
        <v>41</v>
      </c>
      <c r="X1121" t="str">
        <f t="shared" si="198"/>
        <v>event_team_player_1</v>
      </c>
      <c r="Y1121">
        <f>COUNTIFS(A$3:A1121,"="&amp;A1121,K$3:K1121,"="&amp;K1121)</f>
        <v>1</v>
      </c>
      <c r="Z1121" s="20">
        <f>SUMIFS(T$3:T1121,L$3:L1121,"=Intermission")+SUMIFS(T$3:T1121,L$3:L1121,"=Timeout")+SUMIFS(T$3:T1121,L$3:L1121,"=Clockstop")</f>
        <v>68</v>
      </c>
      <c r="AA1121">
        <f t="shared" si="202"/>
        <v>1148</v>
      </c>
      <c r="AC1121">
        <f t="shared" si="203"/>
        <v>1216</v>
      </c>
    </row>
    <row r="1122" spans="1:29" x14ac:dyDescent="0.2">
      <c r="A1122">
        <v>588</v>
      </c>
      <c r="D1122">
        <f t="shared" si="204"/>
        <v>2</v>
      </c>
      <c r="E1122">
        <v>11</v>
      </c>
      <c r="F1122" s="6" t="s">
        <v>487</v>
      </c>
      <c r="I1122" t="s">
        <v>179</v>
      </c>
      <c r="J1122">
        <v>84</v>
      </c>
      <c r="K1122" t="s">
        <v>489</v>
      </c>
      <c r="L1122" t="s">
        <v>277</v>
      </c>
      <c r="M1122" t="s">
        <v>191</v>
      </c>
      <c r="N1122" t="s">
        <v>507</v>
      </c>
      <c r="Q1122">
        <f t="shared" si="206"/>
        <v>18977</v>
      </c>
      <c r="R1122" t="str">
        <f t="shared" si="206"/>
        <v>Velodrome</v>
      </c>
      <c r="S1122" t="str">
        <f t="shared" si="206"/>
        <v>HollowBrook</v>
      </c>
      <c r="T1122" s="20">
        <f t="shared" si="199"/>
        <v>0</v>
      </c>
      <c r="U1122">
        <f t="shared" si="200"/>
        <v>719</v>
      </c>
      <c r="V1122">
        <f t="shared" si="201"/>
        <v>719</v>
      </c>
      <c r="W1122" cm="1">
        <f t="array" ref="W1122">_xlfn._xlws.FILTER(shifts!A:A,(shifts!B:B=events!D1122)*(shifts!AH:AH&gt;=events!U1122)*(shifts!AI:AI&lt;=events!V1122))</f>
        <v>41</v>
      </c>
      <c r="X1122" t="str">
        <f t="shared" si="198"/>
        <v>opp_team_player_1</v>
      </c>
      <c r="Y1122">
        <f>COUNTIFS(A$3:A1122,"="&amp;A1122,K$3:K1122,"="&amp;K1122)</f>
        <v>1</v>
      </c>
      <c r="Z1122" s="20">
        <f>SUMIFS(T$3:T1122,L$3:L1122,"=Intermission")+SUMIFS(T$3:T1122,L$3:L1122,"=Timeout")+SUMIFS(T$3:T1122,L$3:L1122,"=Clockstop")</f>
        <v>68</v>
      </c>
      <c r="AA1122">
        <f t="shared" si="202"/>
        <v>1148</v>
      </c>
      <c r="AC1122">
        <f t="shared" si="203"/>
        <v>1216</v>
      </c>
    </row>
    <row r="1123" spans="1:29" x14ac:dyDescent="0.2">
      <c r="A1123">
        <v>588</v>
      </c>
      <c r="D1123">
        <f t="shared" si="204"/>
        <v>2</v>
      </c>
      <c r="E1123">
        <v>11</v>
      </c>
      <c r="F1123" s="6" t="s">
        <v>487</v>
      </c>
      <c r="I1123" t="s">
        <v>179</v>
      </c>
      <c r="J1123">
        <v>22</v>
      </c>
      <c r="K1123" t="s">
        <v>489</v>
      </c>
      <c r="L1123" t="s">
        <v>277</v>
      </c>
      <c r="M1123" t="s">
        <v>191</v>
      </c>
      <c r="N1123" t="s">
        <v>507</v>
      </c>
      <c r="Q1123">
        <f t="shared" si="206"/>
        <v>18977</v>
      </c>
      <c r="R1123" t="str">
        <f t="shared" si="206"/>
        <v>Velodrome</v>
      </c>
      <c r="S1123" t="str">
        <f t="shared" si="206"/>
        <v>HollowBrook</v>
      </c>
      <c r="T1123" s="20">
        <f t="shared" si="199"/>
        <v>0</v>
      </c>
      <c r="U1123">
        <f t="shared" si="200"/>
        <v>719</v>
      </c>
      <c r="V1123">
        <f t="shared" si="201"/>
        <v>719</v>
      </c>
      <c r="W1123" cm="1">
        <f t="array" ref="W1123">_xlfn._xlws.FILTER(shifts!A:A,(shifts!B:B=events!D1123)*(shifts!AH:AH&gt;=events!U1123)*(shifts!AI:AI&lt;=events!V1123))</f>
        <v>41</v>
      </c>
      <c r="X1123" t="str">
        <f t="shared" si="198"/>
        <v>opp_team_player_2</v>
      </c>
      <c r="Y1123">
        <f>COUNTIFS(A$3:A1123,"="&amp;A1123,K$3:K1123,"="&amp;K1123)</f>
        <v>2</v>
      </c>
      <c r="Z1123" s="20">
        <f>SUMIFS(T$3:T1123,L$3:L1123,"=Intermission")+SUMIFS(T$3:T1123,L$3:L1123,"=Timeout")+SUMIFS(T$3:T1123,L$3:L1123,"=Clockstop")</f>
        <v>68</v>
      </c>
      <c r="AA1123">
        <f t="shared" si="202"/>
        <v>1148</v>
      </c>
      <c r="AC1123">
        <f t="shared" si="203"/>
        <v>1216</v>
      </c>
    </row>
    <row r="1124" spans="1:29" x14ac:dyDescent="0.2">
      <c r="A1124">
        <v>589</v>
      </c>
      <c r="D1124">
        <f t="shared" si="204"/>
        <v>2</v>
      </c>
      <c r="E1124">
        <v>11</v>
      </c>
      <c r="F1124" s="6" t="s">
        <v>487</v>
      </c>
      <c r="G1124">
        <v>11</v>
      </c>
      <c r="H1124" s="8" t="s">
        <v>433</v>
      </c>
      <c r="I1124" t="s">
        <v>179</v>
      </c>
      <c r="J1124">
        <v>13</v>
      </c>
      <c r="K1124" t="s">
        <v>488</v>
      </c>
      <c r="L1124" t="s">
        <v>15</v>
      </c>
      <c r="Q1124">
        <f t="shared" si="206"/>
        <v>18977</v>
      </c>
      <c r="R1124" t="str">
        <f t="shared" si="206"/>
        <v>Velodrome</v>
      </c>
      <c r="S1124" t="str">
        <f t="shared" si="206"/>
        <v>HollowBrook</v>
      </c>
      <c r="T1124" s="20">
        <f t="shared" si="199"/>
        <v>2</v>
      </c>
      <c r="U1124">
        <f t="shared" si="200"/>
        <v>719</v>
      </c>
      <c r="V1124">
        <f t="shared" si="201"/>
        <v>717</v>
      </c>
      <c r="W1124" cm="1">
        <f t="array" ref="W1124">_xlfn._xlws.FILTER(shifts!A:A,(shifts!B:B=events!D1124)*(shifts!AH:AH&gt;=events!U1124)*(shifts!AI:AI&lt;=events!V1124))</f>
        <v>41</v>
      </c>
      <c r="X1124" t="str">
        <f t="shared" si="198"/>
        <v>event_team_player_1</v>
      </c>
      <c r="Y1124">
        <f>COUNTIFS(A$3:A1124,"="&amp;A1124,K$3:K1124,"="&amp;K1124)</f>
        <v>1</v>
      </c>
      <c r="Z1124" s="20">
        <f>SUMIFS(T$3:T1124,L$3:L1124,"=Intermission")+SUMIFS(T$3:T1124,L$3:L1124,"=Timeout")+SUMIFS(T$3:T1124,L$3:L1124,"=Clockstop")</f>
        <v>68</v>
      </c>
      <c r="AA1124">
        <f t="shared" si="202"/>
        <v>1148</v>
      </c>
      <c r="AC1124">
        <f t="shared" si="203"/>
        <v>1216</v>
      </c>
    </row>
    <row r="1125" spans="1:29" x14ac:dyDescent="0.2">
      <c r="A1125">
        <v>590</v>
      </c>
      <c r="D1125">
        <f t="shared" si="204"/>
        <v>2</v>
      </c>
      <c r="E1125">
        <v>11</v>
      </c>
      <c r="F1125" s="6" t="s">
        <v>433</v>
      </c>
      <c r="I1125" t="s">
        <v>179</v>
      </c>
      <c r="J1125">
        <v>13</v>
      </c>
      <c r="K1125" t="s">
        <v>488</v>
      </c>
      <c r="L1125" t="s">
        <v>7</v>
      </c>
      <c r="M1125" t="s">
        <v>222</v>
      </c>
      <c r="N1125" t="s">
        <v>53</v>
      </c>
      <c r="Q1125">
        <f t="shared" ref="Q1125:S1140" si="207">Q1124</f>
        <v>18977</v>
      </c>
      <c r="R1125" t="str">
        <f t="shared" si="207"/>
        <v>Velodrome</v>
      </c>
      <c r="S1125" t="str">
        <f t="shared" si="207"/>
        <v>HollowBrook</v>
      </c>
      <c r="T1125" s="20">
        <f t="shared" si="199"/>
        <v>0</v>
      </c>
      <c r="U1125">
        <f t="shared" si="200"/>
        <v>717</v>
      </c>
      <c r="V1125">
        <f t="shared" si="201"/>
        <v>717</v>
      </c>
      <c r="W1125" cm="1">
        <f t="array" ref="W1125">_xlfn._xlws.FILTER(shifts!A:A,(shifts!B:B=events!D1125)*(shifts!AH:AH&gt;=events!U1125)*(shifts!AI:AI&lt;=events!V1125))</f>
        <v>41</v>
      </c>
      <c r="X1125" t="str">
        <f t="shared" si="198"/>
        <v>event_team_player_1</v>
      </c>
      <c r="Y1125">
        <f>COUNTIFS(A$3:A1125,"="&amp;A1125,K$3:K1125,"="&amp;K1125)</f>
        <v>1</v>
      </c>
      <c r="Z1125" s="20">
        <f>SUMIFS(T$3:T1125,L$3:L1125,"=Intermission")+SUMIFS(T$3:T1125,L$3:L1125,"=Timeout")+SUMIFS(T$3:T1125,L$3:L1125,"=Clockstop")</f>
        <v>68</v>
      </c>
      <c r="AA1125">
        <f t="shared" si="202"/>
        <v>1148</v>
      </c>
      <c r="AC1125">
        <f t="shared" si="203"/>
        <v>1216</v>
      </c>
    </row>
    <row r="1126" spans="1:29" x14ac:dyDescent="0.2">
      <c r="A1126">
        <v>590</v>
      </c>
      <c r="D1126">
        <f t="shared" si="204"/>
        <v>2</v>
      </c>
      <c r="E1126">
        <v>11</v>
      </c>
      <c r="F1126" s="6" t="s">
        <v>433</v>
      </c>
      <c r="I1126" t="s">
        <v>179</v>
      </c>
      <c r="J1126">
        <v>39</v>
      </c>
      <c r="K1126" t="s">
        <v>489</v>
      </c>
      <c r="L1126" t="s">
        <v>7</v>
      </c>
      <c r="M1126" t="s">
        <v>222</v>
      </c>
      <c r="N1126" t="s">
        <v>53</v>
      </c>
      <c r="Q1126">
        <f t="shared" si="207"/>
        <v>18977</v>
      </c>
      <c r="R1126" t="str">
        <f t="shared" si="207"/>
        <v>Velodrome</v>
      </c>
      <c r="S1126" t="str">
        <f t="shared" si="207"/>
        <v>HollowBrook</v>
      </c>
      <c r="T1126" s="20">
        <f t="shared" si="199"/>
        <v>0</v>
      </c>
      <c r="U1126">
        <f t="shared" si="200"/>
        <v>717</v>
      </c>
      <c r="V1126">
        <f t="shared" si="201"/>
        <v>717</v>
      </c>
      <c r="W1126" cm="1">
        <f t="array" ref="W1126">_xlfn._xlws.FILTER(shifts!A:A,(shifts!B:B=events!D1126)*(shifts!AH:AH&gt;=events!U1126)*(shifts!AI:AI&lt;=events!V1126))</f>
        <v>41</v>
      </c>
      <c r="X1126" t="str">
        <f t="shared" si="198"/>
        <v>opp_team_player_1</v>
      </c>
      <c r="Y1126">
        <f>COUNTIFS(A$3:A1126,"="&amp;A1126,K$3:K1126,"="&amp;K1126)</f>
        <v>1</v>
      </c>
      <c r="Z1126" s="20">
        <f>SUMIFS(T$3:T1126,L$3:L1126,"=Intermission")+SUMIFS(T$3:T1126,L$3:L1126,"=Timeout")+SUMIFS(T$3:T1126,L$3:L1126,"=Clockstop")</f>
        <v>68</v>
      </c>
      <c r="AA1126">
        <f t="shared" si="202"/>
        <v>1148</v>
      </c>
      <c r="AC1126">
        <f t="shared" si="203"/>
        <v>1216</v>
      </c>
    </row>
    <row r="1127" spans="1:29" x14ac:dyDescent="0.2">
      <c r="A1127">
        <v>591</v>
      </c>
      <c r="D1127">
        <f t="shared" si="204"/>
        <v>2</v>
      </c>
      <c r="E1127">
        <v>11</v>
      </c>
      <c r="F1127" s="6" t="s">
        <v>433</v>
      </c>
      <c r="I1127" t="s">
        <v>178</v>
      </c>
      <c r="J1127">
        <v>39</v>
      </c>
      <c r="K1127" t="s">
        <v>488</v>
      </c>
      <c r="L1127" t="s">
        <v>17</v>
      </c>
      <c r="M1127" t="s">
        <v>196</v>
      </c>
      <c r="N1127" t="s">
        <v>103</v>
      </c>
      <c r="Q1127">
        <f t="shared" si="207"/>
        <v>18977</v>
      </c>
      <c r="R1127" t="str">
        <f t="shared" si="207"/>
        <v>Velodrome</v>
      </c>
      <c r="S1127" t="str">
        <f t="shared" si="207"/>
        <v>HollowBrook</v>
      </c>
      <c r="T1127" s="20">
        <f t="shared" si="199"/>
        <v>0</v>
      </c>
      <c r="U1127">
        <f t="shared" si="200"/>
        <v>717</v>
      </c>
      <c r="V1127">
        <f t="shared" si="201"/>
        <v>717</v>
      </c>
      <c r="W1127" cm="1">
        <f t="array" ref="W1127">_xlfn._xlws.FILTER(shifts!A:A,(shifts!B:B=events!D1127)*(shifts!AH:AH&gt;=events!U1127)*(shifts!AI:AI&lt;=events!V1127))</f>
        <v>41</v>
      </c>
      <c r="X1127" t="str">
        <f t="shared" si="198"/>
        <v>event_team_player_1</v>
      </c>
      <c r="Y1127">
        <f>COUNTIFS(A$3:A1127,"="&amp;A1127,K$3:K1127,"="&amp;K1127)</f>
        <v>1</v>
      </c>
      <c r="Z1127" s="20">
        <f>SUMIFS(T$3:T1127,L$3:L1127,"=Intermission")+SUMIFS(T$3:T1127,L$3:L1127,"=Timeout")+SUMIFS(T$3:T1127,L$3:L1127,"=Clockstop")</f>
        <v>68</v>
      </c>
      <c r="AA1127">
        <f t="shared" si="202"/>
        <v>1148</v>
      </c>
      <c r="AC1127">
        <f t="shared" si="203"/>
        <v>1216</v>
      </c>
    </row>
    <row r="1128" spans="1:29" x14ac:dyDescent="0.2">
      <c r="A1128">
        <v>591</v>
      </c>
      <c r="D1128">
        <f t="shared" si="204"/>
        <v>2</v>
      </c>
      <c r="E1128">
        <v>11</v>
      </c>
      <c r="F1128" s="6" t="s">
        <v>433</v>
      </c>
      <c r="I1128" t="s">
        <v>178</v>
      </c>
      <c r="J1128">
        <v>13</v>
      </c>
      <c r="K1128" t="s">
        <v>489</v>
      </c>
      <c r="L1128" t="s">
        <v>17</v>
      </c>
      <c r="M1128" t="s">
        <v>196</v>
      </c>
      <c r="N1128" t="s">
        <v>103</v>
      </c>
      <c r="Q1128">
        <f t="shared" si="207"/>
        <v>18977</v>
      </c>
      <c r="R1128" t="str">
        <f t="shared" si="207"/>
        <v>Velodrome</v>
      </c>
      <c r="S1128" t="str">
        <f t="shared" si="207"/>
        <v>HollowBrook</v>
      </c>
      <c r="T1128" s="20">
        <f t="shared" si="199"/>
        <v>0</v>
      </c>
      <c r="U1128">
        <f t="shared" si="200"/>
        <v>717</v>
      </c>
      <c r="V1128">
        <f t="shared" si="201"/>
        <v>717</v>
      </c>
      <c r="W1128" cm="1">
        <f t="array" ref="W1128">_xlfn._xlws.FILTER(shifts!A:A,(shifts!B:B=events!D1128)*(shifts!AH:AH&gt;=events!U1128)*(shifts!AI:AI&lt;=events!V1128))</f>
        <v>41</v>
      </c>
      <c r="X1128" t="str">
        <f t="shared" si="198"/>
        <v>opp_team_player_1</v>
      </c>
      <c r="Y1128">
        <f>COUNTIFS(A$3:A1128,"="&amp;A1128,K$3:K1128,"="&amp;K1128)</f>
        <v>1</v>
      </c>
      <c r="Z1128" s="20">
        <f>SUMIFS(T$3:T1128,L$3:L1128,"=Intermission")+SUMIFS(T$3:T1128,L$3:L1128,"=Timeout")+SUMIFS(T$3:T1128,L$3:L1128,"=Clockstop")</f>
        <v>68</v>
      </c>
      <c r="AA1128">
        <f t="shared" si="202"/>
        <v>1148</v>
      </c>
      <c r="AC1128">
        <f t="shared" si="203"/>
        <v>1216</v>
      </c>
    </row>
    <row r="1129" spans="1:29" x14ac:dyDescent="0.2">
      <c r="A1129">
        <v>592</v>
      </c>
      <c r="D1129">
        <f t="shared" si="204"/>
        <v>2</v>
      </c>
      <c r="E1129">
        <v>11</v>
      </c>
      <c r="F1129" s="6" t="s">
        <v>433</v>
      </c>
      <c r="I1129" t="s">
        <v>178</v>
      </c>
      <c r="J1129">
        <v>39</v>
      </c>
      <c r="K1129" t="s">
        <v>488</v>
      </c>
      <c r="L1129" t="s">
        <v>270</v>
      </c>
      <c r="M1129" t="s">
        <v>271</v>
      </c>
      <c r="Q1129">
        <f t="shared" si="207"/>
        <v>18977</v>
      </c>
      <c r="R1129" t="str">
        <f t="shared" si="207"/>
        <v>Velodrome</v>
      </c>
      <c r="S1129" t="str">
        <f t="shared" si="207"/>
        <v>HollowBrook</v>
      </c>
      <c r="T1129" s="20">
        <f t="shared" si="199"/>
        <v>0</v>
      </c>
      <c r="U1129">
        <f t="shared" si="200"/>
        <v>717</v>
      </c>
      <c r="V1129">
        <f t="shared" si="201"/>
        <v>717</v>
      </c>
      <c r="W1129" cm="1">
        <f t="array" ref="W1129">_xlfn._xlws.FILTER(shifts!A:A,(shifts!B:B=events!D1129)*(shifts!AH:AH&gt;=events!U1129)*(shifts!AI:AI&lt;=events!V1129))</f>
        <v>41</v>
      </c>
      <c r="X1129" t="str">
        <f t="shared" si="198"/>
        <v>event_team_player_1</v>
      </c>
      <c r="Y1129">
        <f>COUNTIFS(A$3:A1129,"="&amp;A1129,K$3:K1129,"="&amp;K1129)</f>
        <v>1</v>
      </c>
      <c r="Z1129" s="20">
        <f>SUMIFS(T$3:T1129,L$3:L1129,"=Intermission")+SUMIFS(T$3:T1129,L$3:L1129,"=Timeout")+SUMIFS(T$3:T1129,L$3:L1129,"=Clockstop")</f>
        <v>68</v>
      </c>
      <c r="AA1129">
        <f t="shared" si="202"/>
        <v>1148</v>
      </c>
      <c r="AC1129">
        <f t="shared" si="203"/>
        <v>1216</v>
      </c>
    </row>
    <row r="1130" spans="1:29" x14ac:dyDescent="0.2">
      <c r="A1130">
        <v>593</v>
      </c>
      <c r="D1130">
        <f t="shared" si="204"/>
        <v>2</v>
      </c>
      <c r="E1130">
        <v>11</v>
      </c>
      <c r="F1130" s="6" t="s">
        <v>477</v>
      </c>
      <c r="I1130" t="s">
        <v>178</v>
      </c>
      <c r="J1130">
        <v>22</v>
      </c>
      <c r="K1130" t="s">
        <v>488</v>
      </c>
      <c r="L1130" t="s">
        <v>277</v>
      </c>
      <c r="M1130" t="s">
        <v>201</v>
      </c>
      <c r="N1130" t="s">
        <v>499</v>
      </c>
      <c r="Q1130">
        <f t="shared" si="207"/>
        <v>18977</v>
      </c>
      <c r="R1130" t="str">
        <f t="shared" si="207"/>
        <v>Velodrome</v>
      </c>
      <c r="S1130" t="str">
        <f t="shared" si="207"/>
        <v>HollowBrook</v>
      </c>
      <c r="T1130" s="20">
        <f t="shared" si="199"/>
        <v>0</v>
      </c>
      <c r="U1130">
        <f t="shared" si="200"/>
        <v>711</v>
      </c>
      <c r="V1130">
        <f t="shared" si="201"/>
        <v>711</v>
      </c>
      <c r="W1130" cm="1">
        <f t="array" ref="W1130">_xlfn._xlws.FILTER(shifts!A:A,(shifts!B:B=events!D1130)*(shifts!AH:AH&gt;=events!U1130)*(shifts!AI:AI&lt;=events!V1130))</f>
        <v>41</v>
      </c>
      <c r="X1130" t="str">
        <f t="shared" si="198"/>
        <v>event_team_player_1</v>
      </c>
      <c r="Y1130">
        <f>COUNTIFS(A$3:A1130,"="&amp;A1130,K$3:K1130,"="&amp;K1130)</f>
        <v>1</v>
      </c>
      <c r="Z1130" s="20">
        <f>SUMIFS(T$3:T1130,L$3:L1130,"=Intermission")+SUMIFS(T$3:T1130,L$3:L1130,"=Timeout")+SUMIFS(T$3:T1130,L$3:L1130,"=Clockstop")</f>
        <v>68</v>
      </c>
      <c r="AA1130">
        <f t="shared" si="202"/>
        <v>1148</v>
      </c>
      <c r="AC1130">
        <f t="shared" si="203"/>
        <v>1216</v>
      </c>
    </row>
    <row r="1131" spans="1:29" x14ac:dyDescent="0.2">
      <c r="A1131">
        <v>594</v>
      </c>
      <c r="D1131">
        <f t="shared" si="204"/>
        <v>2</v>
      </c>
      <c r="E1131">
        <v>11</v>
      </c>
      <c r="F1131" s="6" t="s">
        <v>477</v>
      </c>
      <c r="I1131" t="s">
        <v>179</v>
      </c>
      <c r="J1131">
        <v>33</v>
      </c>
      <c r="K1131" t="s">
        <v>488</v>
      </c>
      <c r="L1131" t="s">
        <v>277</v>
      </c>
      <c r="M1131" t="s">
        <v>210</v>
      </c>
      <c r="N1131" t="s">
        <v>93</v>
      </c>
      <c r="Q1131">
        <f t="shared" si="207"/>
        <v>18977</v>
      </c>
      <c r="R1131" t="str">
        <f t="shared" si="207"/>
        <v>Velodrome</v>
      </c>
      <c r="S1131" t="str">
        <f t="shared" si="207"/>
        <v>HollowBrook</v>
      </c>
      <c r="T1131" s="20">
        <f t="shared" si="199"/>
        <v>0</v>
      </c>
      <c r="U1131">
        <f t="shared" si="200"/>
        <v>711</v>
      </c>
      <c r="V1131">
        <f t="shared" si="201"/>
        <v>711</v>
      </c>
      <c r="W1131" cm="1">
        <f t="array" ref="W1131">_xlfn._xlws.FILTER(shifts!A:A,(shifts!B:B=events!D1131)*(shifts!AH:AH&gt;=events!U1131)*(shifts!AI:AI&lt;=events!V1131))</f>
        <v>41</v>
      </c>
      <c r="X1131" t="str">
        <f t="shared" si="198"/>
        <v>event_team_player_1</v>
      </c>
      <c r="Y1131">
        <f>COUNTIFS(A$3:A1131,"="&amp;A1131,K$3:K1131,"="&amp;K1131)</f>
        <v>1</v>
      </c>
      <c r="Z1131" s="20">
        <f>SUMIFS(T$3:T1131,L$3:L1131,"=Intermission")+SUMIFS(T$3:T1131,L$3:L1131,"=Timeout")+SUMIFS(T$3:T1131,L$3:L1131,"=Clockstop")</f>
        <v>68</v>
      </c>
      <c r="AA1131">
        <f t="shared" si="202"/>
        <v>1148</v>
      </c>
      <c r="AC1131">
        <f t="shared" si="203"/>
        <v>1216</v>
      </c>
    </row>
    <row r="1132" spans="1:29" x14ac:dyDescent="0.2">
      <c r="A1132">
        <v>595</v>
      </c>
      <c r="D1132">
        <f t="shared" si="204"/>
        <v>2</v>
      </c>
      <c r="E1132">
        <v>11</v>
      </c>
      <c r="F1132" s="6" t="s">
        <v>451</v>
      </c>
      <c r="I1132" t="s">
        <v>178</v>
      </c>
      <c r="J1132">
        <v>22</v>
      </c>
      <c r="K1132" t="s">
        <v>488</v>
      </c>
      <c r="L1132" t="s">
        <v>8</v>
      </c>
      <c r="M1132" t="s">
        <v>209</v>
      </c>
      <c r="N1132" t="s">
        <v>495</v>
      </c>
      <c r="Q1132">
        <f t="shared" si="207"/>
        <v>18977</v>
      </c>
      <c r="R1132" t="str">
        <f t="shared" si="207"/>
        <v>Velodrome</v>
      </c>
      <c r="S1132" t="str">
        <f t="shared" si="207"/>
        <v>HollowBrook</v>
      </c>
      <c r="T1132" s="20">
        <f t="shared" si="199"/>
        <v>0</v>
      </c>
      <c r="U1132">
        <f t="shared" si="200"/>
        <v>708</v>
      </c>
      <c r="V1132">
        <f t="shared" si="201"/>
        <v>708</v>
      </c>
      <c r="W1132" cm="1">
        <f t="array" ref="W1132">_xlfn._xlws.FILTER(shifts!A:A,(shifts!B:B=events!D1132)*(shifts!AH:AH&gt;=events!U1132)*(shifts!AI:AI&lt;=events!V1132))</f>
        <v>41</v>
      </c>
      <c r="X1132" t="str">
        <f t="shared" si="198"/>
        <v>event_team_player_1</v>
      </c>
      <c r="Y1132">
        <f>COUNTIFS(A$3:A1132,"="&amp;A1132,K$3:K1132,"="&amp;K1132)</f>
        <v>1</v>
      </c>
      <c r="Z1132" s="20">
        <f>SUMIFS(T$3:T1132,L$3:L1132,"=Intermission")+SUMIFS(T$3:T1132,L$3:L1132,"=Timeout")+SUMIFS(T$3:T1132,L$3:L1132,"=Clockstop")</f>
        <v>68</v>
      </c>
      <c r="AA1132">
        <f t="shared" si="202"/>
        <v>1148</v>
      </c>
      <c r="AC1132">
        <f t="shared" si="203"/>
        <v>1216</v>
      </c>
    </row>
    <row r="1133" spans="1:29" x14ac:dyDescent="0.2">
      <c r="A1133">
        <v>595</v>
      </c>
      <c r="D1133">
        <f t="shared" si="204"/>
        <v>2</v>
      </c>
      <c r="E1133">
        <v>11</v>
      </c>
      <c r="F1133" s="6" t="s">
        <v>451</v>
      </c>
      <c r="I1133" t="s">
        <v>178</v>
      </c>
      <c r="J1133">
        <v>18</v>
      </c>
      <c r="K1133" t="s">
        <v>489</v>
      </c>
      <c r="L1133" t="s">
        <v>8</v>
      </c>
      <c r="M1133" t="s">
        <v>209</v>
      </c>
      <c r="N1133" t="s">
        <v>495</v>
      </c>
      <c r="Q1133">
        <f t="shared" si="207"/>
        <v>18977</v>
      </c>
      <c r="R1133" t="str">
        <f t="shared" si="207"/>
        <v>Velodrome</v>
      </c>
      <c r="S1133" t="str">
        <f t="shared" si="207"/>
        <v>HollowBrook</v>
      </c>
      <c r="T1133" s="20">
        <f t="shared" si="199"/>
        <v>0</v>
      </c>
      <c r="U1133">
        <f t="shared" si="200"/>
        <v>708</v>
      </c>
      <c r="V1133">
        <f t="shared" si="201"/>
        <v>708</v>
      </c>
      <c r="W1133" cm="1">
        <f t="array" ref="W1133">_xlfn._xlws.FILTER(shifts!A:A,(shifts!B:B=events!D1133)*(shifts!AH:AH&gt;=events!U1133)*(shifts!AI:AI&lt;=events!V1133))</f>
        <v>41</v>
      </c>
      <c r="X1133" t="str">
        <f t="shared" si="198"/>
        <v>opp_team_player_1</v>
      </c>
      <c r="Y1133">
        <f>COUNTIFS(A$3:A1133,"="&amp;A1133,K$3:K1133,"="&amp;K1133)</f>
        <v>1</v>
      </c>
      <c r="Z1133" s="20">
        <f>SUMIFS(T$3:T1133,L$3:L1133,"=Intermission")+SUMIFS(T$3:T1133,L$3:L1133,"=Timeout")+SUMIFS(T$3:T1133,L$3:L1133,"=Clockstop")</f>
        <v>68</v>
      </c>
      <c r="AA1133">
        <f t="shared" si="202"/>
        <v>1148</v>
      </c>
      <c r="AC1133">
        <f t="shared" si="203"/>
        <v>1216</v>
      </c>
    </row>
    <row r="1134" spans="1:29" x14ac:dyDescent="0.2">
      <c r="A1134">
        <v>596</v>
      </c>
      <c r="D1134">
        <f t="shared" si="204"/>
        <v>2</v>
      </c>
      <c r="E1134">
        <v>11</v>
      </c>
      <c r="F1134" s="6" t="s">
        <v>436</v>
      </c>
      <c r="G1134">
        <v>11</v>
      </c>
      <c r="H1134" s="8" t="s">
        <v>454</v>
      </c>
      <c r="I1134" t="s">
        <v>178</v>
      </c>
      <c r="J1134">
        <v>75</v>
      </c>
      <c r="K1134" t="s">
        <v>488</v>
      </c>
      <c r="L1134" t="s">
        <v>277</v>
      </c>
      <c r="M1134" t="s">
        <v>201</v>
      </c>
      <c r="N1134" t="s">
        <v>90</v>
      </c>
      <c r="Q1134">
        <f t="shared" si="207"/>
        <v>18977</v>
      </c>
      <c r="R1134" t="str">
        <f t="shared" si="207"/>
        <v>Velodrome</v>
      </c>
      <c r="S1134" t="str">
        <f t="shared" si="207"/>
        <v>HollowBrook</v>
      </c>
      <c r="T1134" s="20">
        <f t="shared" si="199"/>
        <v>2</v>
      </c>
      <c r="U1134">
        <f t="shared" si="200"/>
        <v>705</v>
      </c>
      <c r="V1134">
        <f t="shared" si="201"/>
        <v>703</v>
      </c>
      <c r="W1134" cm="1">
        <f t="array" ref="W1134">_xlfn._xlws.FILTER(shifts!A:A,(shifts!B:B=events!D1134)*(shifts!AH:AH&gt;=events!U1134)*(shifts!AI:AI&lt;=events!V1134))</f>
        <v>41</v>
      </c>
      <c r="X1134" t="str">
        <f t="shared" si="198"/>
        <v>event_team_player_1</v>
      </c>
      <c r="Y1134">
        <f>COUNTIFS(A$3:A1134,"="&amp;A1134,K$3:K1134,"="&amp;K1134)</f>
        <v>1</v>
      </c>
      <c r="Z1134" s="20">
        <f>SUMIFS(T$3:T1134,L$3:L1134,"=Intermission")+SUMIFS(T$3:T1134,L$3:L1134,"=Timeout")+SUMIFS(T$3:T1134,L$3:L1134,"=Clockstop")</f>
        <v>68</v>
      </c>
      <c r="AA1134">
        <f t="shared" si="202"/>
        <v>1148</v>
      </c>
      <c r="AC1134">
        <f t="shared" si="203"/>
        <v>1216</v>
      </c>
    </row>
    <row r="1135" spans="1:29" x14ac:dyDescent="0.2">
      <c r="A1135">
        <v>597</v>
      </c>
      <c r="D1135">
        <f t="shared" si="204"/>
        <v>2</v>
      </c>
      <c r="E1135">
        <v>11</v>
      </c>
      <c r="F1135" s="6" t="s">
        <v>454</v>
      </c>
      <c r="I1135" t="s">
        <v>178</v>
      </c>
      <c r="J1135">
        <v>75</v>
      </c>
      <c r="K1135" t="s">
        <v>488</v>
      </c>
      <c r="L1135" t="s">
        <v>8</v>
      </c>
      <c r="M1135" t="s">
        <v>189</v>
      </c>
      <c r="N1135" t="s">
        <v>71</v>
      </c>
      <c r="Q1135">
        <f t="shared" si="207"/>
        <v>18977</v>
      </c>
      <c r="R1135" t="str">
        <f t="shared" si="207"/>
        <v>Velodrome</v>
      </c>
      <c r="S1135" t="str">
        <f t="shared" si="207"/>
        <v>HollowBrook</v>
      </c>
      <c r="T1135" s="20">
        <f t="shared" si="199"/>
        <v>0</v>
      </c>
      <c r="U1135">
        <f t="shared" si="200"/>
        <v>703</v>
      </c>
      <c r="V1135">
        <f t="shared" si="201"/>
        <v>703</v>
      </c>
      <c r="W1135" cm="1">
        <f t="array" ref="W1135">_xlfn._xlws.FILTER(shifts!A:A,(shifts!B:B=events!D1135)*(shifts!AH:AH&gt;=events!U1135)*(shifts!AI:AI&lt;=events!V1135))</f>
        <v>41</v>
      </c>
      <c r="X1135" t="str">
        <f t="shared" si="198"/>
        <v>event_team_player_1</v>
      </c>
      <c r="Y1135">
        <f>COUNTIFS(A$3:A1135,"="&amp;A1135,K$3:K1135,"="&amp;K1135)</f>
        <v>1</v>
      </c>
      <c r="Z1135" s="20">
        <f>SUMIFS(T$3:T1135,L$3:L1135,"=Intermission")+SUMIFS(T$3:T1135,L$3:L1135,"=Timeout")+SUMIFS(T$3:T1135,L$3:L1135,"=Clockstop")</f>
        <v>68</v>
      </c>
      <c r="AA1135">
        <f t="shared" si="202"/>
        <v>1148</v>
      </c>
      <c r="AC1135">
        <f t="shared" si="203"/>
        <v>1216</v>
      </c>
    </row>
    <row r="1136" spans="1:29" x14ac:dyDescent="0.2">
      <c r="A1136">
        <v>597</v>
      </c>
      <c r="D1136">
        <f t="shared" si="204"/>
        <v>2</v>
      </c>
      <c r="E1136">
        <v>11</v>
      </c>
      <c r="F1136" s="6" t="s">
        <v>454</v>
      </c>
      <c r="I1136" t="s">
        <v>178</v>
      </c>
      <c r="J1136">
        <v>42</v>
      </c>
      <c r="K1136" t="s">
        <v>488</v>
      </c>
      <c r="L1136" t="s">
        <v>8</v>
      </c>
      <c r="M1136" t="s">
        <v>189</v>
      </c>
      <c r="N1136" t="s">
        <v>71</v>
      </c>
      <c r="Q1136">
        <f t="shared" si="207"/>
        <v>18977</v>
      </c>
      <c r="R1136" t="str">
        <f t="shared" si="207"/>
        <v>Velodrome</v>
      </c>
      <c r="S1136" t="str">
        <f t="shared" si="207"/>
        <v>HollowBrook</v>
      </c>
      <c r="T1136" s="20">
        <f t="shared" si="199"/>
        <v>0</v>
      </c>
      <c r="U1136">
        <f t="shared" si="200"/>
        <v>703</v>
      </c>
      <c r="V1136">
        <f t="shared" si="201"/>
        <v>703</v>
      </c>
      <c r="W1136" cm="1">
        <f t="array" ref="W1136">_xlfn._xlws.FILTER(shifts!A:A,(shifts!B:B=events!D1136)*(shifts!AH:AH&gt;=events!U1136)*(shifts!AI:AI&lt;=events!V1136))</f>
        <v>41</v>
      </c>
      <c r="X1136" t="str">
        <f t="shared" si="198"/>
        <v>event_team_player_2</v>
      </c>
      <c r="Y1136">
        <f>COUNTIFS(A$3:A1136,"="&amp;A1136,K$3:K1136,"="&amp;K1136)</f>
        <v>2</v>
      </c>
      <c r="Z1136" s="20">
        <f>SUMIFS(T$3:T1136,L$3:L1136,"=Intermission")+SUMIFS(T$3:T1136,L$3:L1136,"=Timeout")+SUMIFS(T$3:T1136,L$3:L1136,"=Clockstop")</f>
        <v>68</v>
      </c>
      <c r="AA1136">
        <f t="shared" si="202"/>
        <v>1148</v>
      </c>
      <c r="AC1136">
        <f t="shared" si="203"/>
        <v>1216</v>
      </c>
    </row>
    <row r="1137" spans="1:29" x14ac:dyDescent="0.2">
      <c r="A1137">
        <v>598</v>
      </c>
      <c r="D1137">
        <f t="shared" si="204"/>
        <v>2</v>
      </c>
      <c r="E1137">
        <v>11</v>
      </c>
      <c r="F1137" s="6" t="s">
        <v>454</v>
      </c>
      <c r="I1137" t="s">
        <v>178</v>
      </c>
      <c r="J1137">
        <v>42</v>
      </c>
      <c r="K1137" t="s">
        <v>488</v>
      </c>
      <c r="L1137" t="s">
        <v>277</v>
      </c>
      <c r="M1137" t="s">
        <v>191</v>
      </c>
      <c r="N1137" t="s">
        <v>498</v>
      </c>
      <c r="Q1137">
        <f t="shared" si="207"/>
        <v>18977</v>
      </c>
      <c r="R1137" t="str">
        <f t="shared" si="207"/>
        <v>Velodrome</v>
      </c>
      <c r="S1137" t="str">
        <f t="shared" si="207"/>
        <v>HollowBrook</v>
      </c>
      <c r="T1137" s="20">
        <f t="shared" si="199"/>
        <v>0</v>
      </c>
      <c r="U1137">
        <f t="shared" si="200"/>
        <v>703</v>
      </c>
      <c r="V1137">
        <f t="shared" si="201"/>
        <v>703</v>
      </c>
      <c r="W1137" cm="1">
        <f t="array" ref="W1137">_xlfn._xlws.FILTER(shifts!A:A,(shifts!B:B=events!D1137)*(shifts!AH:AH&gt;=events!U1137)*(shifts!AI:AI&lt;=events!V1137))</f>
        <v>41</v>
      </c>
      <c r="X1137" t="str">
        <f t="shared" si="198"/>
        <v>event_team_player_1</v>
      </c>
      <c r="Y1137">
        <f>COUNTIFS(A$3:A1137,"="&amp;A1137,K$3:K1137,"="&amp;K1137)</f>
        <v>1</v>
      </c>
      <c r="Z1137" s="20">
        <f>SUMIFS(T$3:T1137,L$3:L1137,"=Intermission")+SUMIFS(T$3:T1137,L$3:L1137,"=Timeout")+SUMIFS(T$3:T1137,L$3:L1137,"=Clockstop")</f>
        <v>68</v>
      </c>
      <c r="AA1137">
        <f t="shared" si="202"/>
        <v>1148</v>
      </c>
      <c r="AC1137">
        <f t="shared" si="203"/>
        <v>1216</v>
      </c>
    </row>
    <row r="1138" spans="1:29" x14ac:dyDescent="0.2">
      <c r="A1138">
        <v>598</v>
      </c>
      <c r="D1138">
        <f t="shared" si="204"/>
        <v>2</v>
      </c>
      <c r="E1138">
        <v>11</v>
      </c>
      <c r="F1138" s="6" t="s">
        <v>454</v>
      </c>
      <c r="I1138" t="s">
        <v>178</v>
      </c>
      <c r="J1138">
        <v>18</v>
      </c>
      <c r="K1138" t="s">
        <v>489</v>
      </c>
      <c r="L1138" t="s">
        <v>277</v>
      </c>
      <c r="M1138" t="s">
        <v>191</v>
      </c>
      <c r="N1138" t="s">
        <v>498</v>
      </c>
      <c r="Q1138">
        <f t="shared" si="207"/>
        <v>18977</v>
      </c>
      <c r="R1138" t="str">
        <f t="shared" si="207"/>
        <v>Velodrome</v>
      </c>
      <c r="S1138" t="str">
        <f t="shared" si="207"/>
        <v>HollowBrook</v>
      </c>
      <c r="T1138" s="20">
        <f t="shared" si="199"/>
        <v>0</v>
      </c>
      <c r="U1138">
        <f t="shared" si="200"/>
        <v>703</v>
      </c>
      <c r="V1138">
        <f t="shared" si="201"/>
        <v>703</v>
      </c>
      <c r="W1138" cm="1">
        <f t="array" ref="W1138">_xlfn._xlws.FILTER(shifts!A:A,(shifts!B:B=events!D1138)*(shifts!AH:AH&gt;=events!U1138)*(shifts!AI:AI&lt;=events!V1138))</f>
        <v>41</v>
      </c>
      <c r="X1138" t="str">
        <f t="shared" si="198"/>
        <v>opp_team_player_1</v>
      </c>
      <c r="Y1138">
        <f>COUNTIFS(A$3:A1138,"="&amp;A1138,K$3:K1138,"="&amp;K1138)</f>
        <v>1</v>
      </c>
      <c r="Z1138" s="20">
        <f>SUMIFS(T$3:T1138,L$3:L1138,"=Intermission")+SUMIFS(T$3:T1138,L$3:L1138,"=Timeout")+SUMIFS(T$3:T1138,L$3:L1138,"=Clockstop")</f>
        <v>68</v>
      </c>
      <c r="AA1138">
        <f t="shared" si="202"/>
        <v>1148</v>
      </c>
      <c r="AC1138">
        <f t="shared" si="203"/>
        <v>1216</v>
      </c>
    </row>
    <row r="1139" spans="1:29" x14ac:dyDescent="0.2">
      <c r="A1139">
        <v>599</v>
      </c>
      <c r="D1139">
        <f t="shared" si="204"/>
        <v>2</v>
      </c>
      <c r="E1139">
        <v>11</v>
      </c>
      <c r="F1139" s="6" t="s">
        <v>454</v>
      </c>
      <c r="I1139" t="s">
        <v>178</v>
      </c>
      <c r="J1139">
        <v>42</v>
      </c>
      <c r="K1139" t="s">
        <v>488</v>
      </c>
      <c r="L1139" t="s">
        <v>10</v>
      </c>
      <c r="M1139" t="s">
        <v>190</v>
      </c>
      <c r="N1139" t="s">
        <v>460</v>
      </c>
      <c r="Q1139">
        <f t="shared" si="207"/>
        <v>18977</v>
      </c>
      <c r="R1139" t="str">
        <f t="shared" si="207"/>
        <v>Velodrome</v>
      </c>
      <c r="S1139" t="str">
        <f t="shared" si="207"/>
        <v>HollowBrook</v>
      </c>
      <c r="T1139" s="20">
        <f t="shared" si="199"/>
        <v>0</v>
      </c>
      <c r="U1139">
        <f t="shared" si="200"/>
        <v>703</v>
      </c>
      <c r="V1139">
        <f t="shared" si="201"/>
        <v>703</v>
      </c>
      <c r="W1139" cm="1">
        <f t="array" ref="W1139">_xlfn._xlws.FILTER(shifts!A:A,(shifts!B:B=events!D1139)*(shifts!AH:AH&gt;=events!U1139)*(shifts!AI:AI&lt;=events!V1139))</f>
        <v>41</v>
      </c>
      <c r="X1139" t="str">
        <f t="shared" si="198"/>
        <v>event_team_player_1</v>
      </c>
      <c r="Y1139">
        <f>COUNTIFS(A$3:A1139,"="&amp;A1139,K$3:K1139,"="&amp;K1139)</f>
        <v>1</v>
      </c>
      <c r="Z1139" s="20">
        <f>SUMIFS(T$3:T1139,L$3:L1139,"=Intermission")+SUMIFS(T$3:T1139,L$3:L1139,"=Timeout")+SUMIFS(T$3:T1139,L$3:L1139,"=Clockstop")</f>
        <v>68</v>
      </c>
      <c r="AA1139">
        <f t="shared" si="202"/>
        <v>1148</v>
      </c>
      <c r="AC1139">
        <f t="shared" si="203"/>
        <v>1216</v>
      </c>
    </row>
    <row r="1140" spans="1:29" x14ac:dyDescent="0.2">
      <c r="A1140">
        <v>600</v>
      </c>
      <c r="D1140">
        <f t="shared" si="204"/>
        <v>2</v>
      </c>
      <c r="E1140">
        <v>11</v>
      </c>
      <c r="F1140" s="6" t="s">
        <v>431</v>
      </c>
      <c r="G1140">
        <v>11</v>
      </c>
      <c r="H1140" s="8" t="s">
        <v>481</v>
      </c>
      <c r="I1140" t="s">
        <v>179</v>
      </c>
      <c r="J1140">
        <v>18</v>
      </c>
      <c r="K1140" t="s">
        <v>488</v>
      </c>
      <c r="L1140" t="s">
        <v>15</v>
      </c>
      <c r="Q1140">
        <f t="shared" si="207"/>
        <v>18977</v>
      </c>
      <c r="R1140" t="str">
        <f t="shared" si="207"/>
        <v>Velodrome</v>
      </c>
      <c r="S1140" t="str">
        <f t="shared" si="207"/>
        <v>HollowBrook</v>
      </c>
      <c r="T1140" s="20">
        <f t="shared" si="199"/>
        <v>2</v>
      </c>
      <c r="U1140">
        <f t="shared" si="200"/>
        <v>701</v>
      </c>
      <c r="V1140">
        <f t="shared" si="201"/>
        <v>699</v>
      </c>
      <c r="W1140" cm="1">
        <f t="array" ref="W1140">_xlfn._xlws.FILTER(shifts!A:A,(shifts!B:B=events!D1140)*(shifts!AH:AH&gt;=events!U1140)*(shifts!AI:AI&lt;=events!V1140))</f>
        <v>41</v>
      </c>
      <c r="X1140" t="str">
        <f t="shared" si="198"/>
        <v>event_team_player_1</v>
      </c>
      <c r="Y1140">
        <f>COUNTIFS(A$3:A1140,"="&amp;A1140,K$3:K1140,"="&amp;K1140)</f>
        <v>1</v>
      </c>
      <c r="Z1140" s="20">
        <f>SUMIFS(T$3:T1140,L$3:L1140,"=Intermission")+SUMIFS(T$3:T1140,L$3:L1140,"=Timeout")+SUMIFS(T$3:T1140,L$3:L1140,"=Clockstop")</f>
        <v>68</v>
      </c>
      <c r="AA1140">
        <f t="shared" si="202"/>
        <v>1148</v>
      </c>
      <c r="AC1140">
        <f t="shared" si="203"/>
        <v>1216</v>
      </c>
    </row>
    <row r="1141" spans="1:29" x14ac:dyDescent="0.2">
      <c r="A1141">
        <v>601</v>
      </c>
      <c r="D1141">
        <f t="shared" si="204"/>
        <v>2</v>
      </c>
      <c r="E1141">
        <v>11</v>
      </c>
      <c r="F1141" s="6" t="s">
        <v>481</v>
      </c>
      <c r="I1141" t="s">
        <v>179</v>
      </c>
      <c r="J1141">
        <v>18</v>
      </c>
      <c r="K1141" t="s">
        <v>488</v>
      </c>
      <c r="L1141" t="s">
        <v>277</v>
      </c>
      <c r="M1141" t="s">
        <v>201</v>
      </c>
      <c r="N1141" t="s">
        <v>92</v>
      </c>
      <c r="Q1141">
        <f t="shared" ref="Q1141:S1156" si="208">Q1140</f>
        <v>18977</v>
      </c>
      <c r="R1141" t="str">
        <f t="shared" si="208"/>
        <v>Velodrome</v>
      </c>
      <c r="S1141" t="str">
        <f t="shared" si="208"/>
        <v>HollowBrook</v>
      </c>
      <c r="T1141" s="20">
        <f t="shared" si="199"/>
        <v>0</v>
      </c>
      <c r="U1141">
        <f t="shared" si="200"/>
        <v>699</v>
      </c>
      <c r="V1141">
        <f t="shared" si="201"/>
        <v>699</v>
      </c>
      <c r="W1141" cm="1">
        <f t="array" ref="W1141">_xlfn._xlws.FILTER(shifts!A:A,(shifts!B:B=events!D1141)*(shifts!AH:AH&gt;=events!U1141)*(shifts!AI:AI&lt;=events!V1141))</f>
        <v>41</v>
      </c>
      <c r="X1141" t="str">
        <f t="shared" ref="X1141:X1205" si="209">IF(K1141="e","event_team_player_"&amp;Y1141,IF(K1141="o","opp_team_player_"&amp;Y1141,""))</f>
        <v>event_team_player_1</v>
      </c>
      <c r="Y1141">
        <f>COUNTIFS(A$3:A1141,"="&amp;A1141,K$3:K1141,"="&amp;K1141)</f>
        <v>1</v>
      </c>
      <c r="Z1141" s="20">
        <f>SUMIFS(T$3:T1141,L$3:L1141,"=Intermission")+SUMIFS(T$3:T1141,L$3:L1141,"=Timeout")+SUMIFS(T$3:T1141,L$3:L1141,"=Clockstop")</f>
        <v>68</v>
      </c>
      <c r="AA1141">
        <f t="shared" si="202"/>
        <v>1148</v>
      </c>
      <c r="AC1141">
        <f t="shared" si="203"/>
        <v>1216</v>
      </c>
    </row>
    <row r="1142" spans="1:29" x14ac:dyDescent="0.2">
      <c r="A1142">
        <v>602</v>
      </c>
      <c r="D1142">
        <f t="shared" si="204"/>
        <v>2</v>
      </c>
      <c r="E1142">
        <v>11</v>
      </c>
      <c r="F1142" s="6" t="s">
        <v>481</v>
      </c>
      <c r="I1142" t="s">
        <v>179</v>
      </c>
      <c r="J1142">
        <v>18</v>
      </c>
      <c r="K1142" t="s">
        <v>488</v>
      </c>
      <c r="L1142" t="s">
        <v>10</v>
      </c>
      <c r="M1142" t="s">
        <v>190</v>
      </c>
      <c r="N1142" t="s">
        <v>460</v>
      </c>
      <c r="Q1142">
        <f t="shared" si="208"/>
        <v>18977</v>
      </c>
      <c r="R1142" t="str">
        <f t="shared" si="208"/>
        <v>Velodrome</v>
      </c>
      <c r="S1142" t="str">
        <f t="shared" si="208"/>
        <v>HollowBrook</v>
      </c>
      <c r="T1142" s="20">
        <f t="shared" si="199"/>
        <v>0</v>
      </c>
      <c r="U1142">
        <f t="shared" si="200"/>
        <v>699</v>
      </c>
      <c r="V1142">
        <f t="shared" si="201"/>
        <v>699</v>
      </c>
      <c r="W1142" cm="1">
        <f t="array" ref="W1142">_xlfn._xlws.FILTER(shifts!A:A,(shifts!B:B=events!D1142)*(shifts!AH:AH&gt;=events!U1142)*(shifts!AI:AI&lt;=events!V1142))</f>
        <v>41</v>
      </c>
      <c r="X1142" t="str">
        <f t="shared" si="209"/>
        <v>event_team_player_1</v>
      </c>
      <c r="Y1142">
        <f>COUNTIFS(A$3:A1142,"="&amp;A1142,K$3:K1142,"="&amp;K1142)</f>
        <v>1</v>
      </c>
      <c r="Z1142" s="20">
        <f>SUMIFS(T$3:T1142,L$3:L1142,"=Intermission")+SUMIFS(T$3:T1142,L$3:L1142,"=Timeout")+SUMIFS(T$3:T1142,L$3:L1142,"=Clockstop")</f>
        <v>68</v>
      </c>
      <c r="AA1142">
        <f t="shared" si="202"/>
        <v>1148</v>
      </c>
      <c r="AC1142">
        <f t="shared" si="203"/>
        <v>1216</v>
      </c>
    </row>
    <row r="1143" spans="1:29" x14ac:dyDescent="0.2">
      <c r="A1143">
        <v>603</v>
      </c>
      <c r="D1143">
        <f t="shared" si="204"/>
        <v>2</v>
      </c>
      <c r="E1143">
        <v>11</v>
      </c>
      <c r="F1143" s="6" t="s">
        <v>438</v>
      </c>
      <c r="G1143">
        <v>11</v>
      </c>
      <c r="H1143" s="8" t="s">
        <v>455</v>
      </c>
      <c r="I1143" t="s">
        <v>178</v>
      </c>
      <c r="J1143">
        <v>22</v>
      </c>
      <c r="K1143" t="s">
        <v>488</v>
      </c>
      <c r="L1143" t="s">
        <v>15</v>
      </c>
      <c r="Q1143">
        <f t="shared" si="208"/>
        <v>18977</v>
      </c>
      <c r="R1143" t="str">
        <f t="shared" si="208"/>
        <v>Velodrome</v>
      </c>
      <c r="S1143" t="str">
        <f t="shared" si="208"/>
        <v>HollowBrook</v>
      </c>
      <c r="T1143" s="20">
        <f t="shared" si="199"/>
        <v>3</v>
      </c>
      <c r="U1143">
        <f t="shared" si="200"/>
        <v>698</v>
      </c>
      <c r="V1143">
        <f t="shared" si="201"/>
        <v>695</v>
      </c>
      <c r="W1143" cm="1">
        <f t="array" ref="W1143">_xlfn._xlws.FILTER(shifts!A:A,(shifts!B:B=events!D1143)*(shifts!AH:AH&gt;=events!U1143)*(shifts!AI:AI&lt;=events!V1143))</f>
        <v>41</v>
      </c>
      <c r="X1143" t="str">
        <f t="shared" si="209"/>
        <v>event_team_player_1</v>
      </c>
      <c r="Y1143">
        <f>COUNTIFS(A$3:A1143,"="&amp;A1143,K$3:K1143,"="&amp;K1143)</f>
        <v>1</v>
      </c>
      <c r="Z1143" s="20">
        <f>SUMIFS(T$3:T1143,L$3:L1143,"=Intermission")+SUMIFS(T$3:T1143,L$3:L1143,"=Timeout")+SUMIFS(T$3:T1143,L$3:L1143,"=Clockstop")</f>
        <v>68</v>
      </c>
      <c r="AA1143">
        <f t="shared" si="202"/>
        <v>1148</v>
      </c>
      <c r="AC1143">
        <f t="shared" si="203"/>
        <v>1216</v>
      </c>
    </row>
    <row r="1144" spans="1:29" x14ac:dyDescent="0.2">
      <c r="A1144">
        <v>604</v>
      </c>
      <c r="D1144">
        <f t="shared" si="204"/>
        <v>2</v>
      </c>
      <c r="E1144">
        <v>11</v>
      </c>
      <c r="F1144" s="6" t="s">
        <v>455</v>
      </c>
      <c r="I1144" t="s">
        <v>178</v>
      </c>
      <c r="J1144">
        <v>22</v>
      </c>
      <c r="K1144" t="s">
        <v>488</v>
      </c>
      <c r="L1144" t="s">
        <v>8</v>
      </c>
      <c r="M1144" t="s">
        <v>209</v>
      </c>
      <c r="N1144" t="s">
        <v>70</v>
      </c>
      <c r="Q1144">
        <f t="shared" si="208"/>
        <v>18977</v>
      </c>
      <c r="R1144" t="str">
        <f t="shared" si="208"/>
        <v>Velodrome</v>
      </c>
      <c r="S1144" t="str">
        <f t="shared" si="208"/>
        <v>HollowBrook</v>
      </c>
      <c r="T1144" s="20">
        <f t="shared" si="199"/>
        <v>0</v>
      </c>
      <c r="U1144">
        <f t="shared" si="200"/>
        <v>695</v>
      </c>
      <c r="V1144">
        <f t="shared" si="201"/>
        <v>695</v>
      </c>
      <c r="W1144" cm="1">
        <f t="array" ref="W1144">_xlfn._xlws.FILTER(shifts!A:A,(shifts!B:B=events!D1144)*(shifts!AH:AH&gt;=events!U1144)*(shifts!AI:AI&lt;=events!V1144))</f>
        <v>41</v>
      </c>
      <c r="X1144" t="str">
        <f t="shared" si="209"/>
        <v>event_team_player_1</v>
      </c>
      <c r="Y1144">
        <f>COUNTIFS(A$3:A1144,"="&amp;A1144,K$3:K1144,"="&amp;K1144)</f>
        <v>1</v>
      </c>
      <c r="Z1144" s="20">
        <f>SUMIFS(T$3:T1144,L$3:L1144,"=Intermission")+SUMIFS(T$3:T1144,L$3:L1144,"=Timeout")+SUMIFS(T$3:T1144,L$3:L1144,"=Clockstop")</f>
        <v>68</v>
      </c>
      <c r="AA1144">
        <f t="shared" si="202"/>
        <v>1148</v>
      </c>
      <c r="AC1144">
        <f t="shared" si="203"/>
        <v>1216</v>
      </c>
    </row>
    <row r="1145" spans="1:29" x14ac:dyDescent="0.2">
      <c r="A1145">
        <v>604</v>
      </c>
      <c r="D1145">
        <f t="shared" si="204"/>
        <v>2</v>
      </c>
      <c r="E1145">
        <v>11</v>
      </c>
      <c r="F1145" s="6" t="s">
        <v>455</v>
      </c>
      <c r="I1145" t="s">
        <v>178</v>
      </c>
      <c r="J1145">
        <v>13</v>
      </c>
      <c r="K1145" t="s">
        <v>489</v>
      </c>
      <c r="L1145" t="s">
        <v>8</v>
      </c>
      <c r="M1145" t="s">
        <v>209</v>
      </c>
      <c r="N1145" t="s">
        <v>70</v>
      </c>
      <c r="Q1145">
        <f t="shared" si="208"/>
        <v>18977</v>
      </c>
      <c r="R1145" t="str">
        <f t="shared" si="208"/>
        <v>Velodrome</v>
      </c>
      <c r="S1145" t="str">
        <f t="shared" si="208"/>
        <v>HollowBrook</v>
      </c>
      <c r="T1145" s="20">
        <f t="shared" si="199"/>
        <v>0</v>
      </c>
      <c r="U1145">
        <f t="shared" si="200"/>
        <v>695</v>
      </c>
      <c r="V1145">
        <f t="shared" si="201"/>
        <v>695</v>
      </c>
      <c r="W1145" cm="1">
        <f t="array" ref="W1145">_xlfn._xlws.FILTER(shifts!A:A,(shifts!B:B=events!D1145)*(shifts!AH:AH&gt;=events!U1145)*(shifts!AI:AI&lt;=events!V1145))</f>
        <v>41</v>
      </c>
      <c r="X1145" t="str">
        <f t="shared" si="209"/>
        <v>opp_team_player_1</v>
      </c>
      <c r="Y1145">
        <f>COUNTIFS(A$3:A1145,"="&amp;A1145,K$3:K1145,"="&amp;K1145)</f>
        <v>1</v>
      </c>
      <c r="Z1145" s="20">
        <f>SUMIFS(T$3:T1145,L$3:L1145,"=Intermission")+SUMIFS(T$3:T1145,L$3:L1145,"=Timeout")+SUMIFS(T$3:T1145,L$3:L1145,"=Clockstop")</f>
        <v>68</v>
      </c>
      <c r="AA1145">
        <f t="shared" si="202"/>
        <v>1148</v>
      </c>
      <c r="AC1145">
        <f t="shared" si="203"/>
        <v>1216</v>
      </c>
    </row>
    <row r="1146" spans="1:29" x14ac:dyDescent="0.2">
      <c r="A1146">
        <v>605</v>
      </c>
      <c r="D1146">
        <f t="shared" si="204"/>
        <v>2</v>
      </c>
      <c r="E1146">
        <v>11</v>
      </c>
      <c r="F1146" s="6" t="s">
        <v>494</v>
      </c>
      <c r="I1146" t="s">
        <v>178</v>
      </c>
      <c r="J1146">
        <v>84</v>
      </c>
      <c r="K1146" t="s">
        <v>488</v>
      </c>
      <c r="L1146" t="s">
        <v>8</v>
      </c>
      <c r="M1146" t="s">
        <v>189</v>
      </c>
      <c r="N1146" t="s">
        <v>70</v>
      </c>
      <c r="Q1146">
        <f t="shared" si="208"/>
        <v>18977</v>
      </c>
      <c r="R1146" t="str">
        <f t="shared" si="208"/>
        <v>Velodrome</v>
      </c>
      <c r="S1146" t="str">
        <f t="shared" si="208"/>
        <v>HollowBrook</v>
      </c>
      <c r="T1146" s="20">
        <f t="shared" si="199"/>
        <v>0</v>
      </c>
      <c r="U1146">
        <f t="shared" si="200"/>
        <v>692</v>
      </c>
      <c r="V1146">
        <f t="shared" si="201"/>
        <v>692</v>
      </c>
      <c r="W1146">
        <v>42</v>
      </c>
      <c r="X1146" t="str">
        <f t="shared" si="209"/>
        <v>event_team_player_1</v>
      </c>
      <c r="Y1146">
        <f>COUNTIFS(A$3:A1146,"="&amp;A1146,K$3:K1146,"="&amp;K1146)</f>
        <v>1</v>
      </c>
      <c r="Z1146" s="20">
        <f>SUMIFS(T$3:T1146,L$3:L1146,"=Intermission")+SUMIFS(T$3:T1146,L$3:L1146,"=Timeout")+SUMIFS(T$3:T1146,L$3:L1146,"=Clockstop")</f>
        <v>68</v>
      </c>
      <c r="AA1146">
        <f t="shared" si="202"/>
        <v>1148</v>
      </c>
      <c r="AC1146">
        <f t="shared" si="203"/>
        <v>1216</v>
      </c>
    </row>
    <row r="1147" spans="1:29" x14ac:dyDescent="0.2">
      <c r="A1147">
        <v>605</v>
      </c>
      <c r="D1147">
        <f t="shared" si="204"/>
        <v>2</v>
      </c>
      <c r="E1147">
        <v>11</v>
      </c>
      <c r="F1147" s="6" t="s">
        <v>494</v>
      </c>
      <c r="I1147" t="s">
        <v>178</v>
      </c>
      <c r="J1147">
        <v>22</v>
      </c>
      <c r="K1147" t="s">
        <v>488</v>
      </c>
      <c r="L1147" t="s">
        <v>8</v>
      </c>
      <c r="M1147" t="s">
        <v>189</v>
      </c>
      <c r="N1147" t="s">
        <v>70</v>
      </c>
      <c r="Q1147">
        <f t="shared" si="208"/>
        <v>18977</v>
      </c>
      <c r="R1147" t="str">
        <f t="shared" si="208"/>
        <v>Velodrome</v>
      </c>
      <c r="S1147" t="str">
        <f t="shared" si="208"/>
        <v>HollowBrook</v>
      </c>
      <c r="T1147" s="20">
        <f t="shared" si="199"/>
        <v>0</v>
      </c>
      <c r="U1147">
        <f t="shared" si="200"/>
        <v>692</v>
      </c>
      <c r="V1147">
        <f t="shared" si="201"/>
        <v>692</v>
      </c>
      <c r="W1147">
        <v>42</v>
      </c>
      <c r="X1147" t="str">
        <f t="shared" si="209"/>
        <v>event_team_player_2</v>
      </c>
      <c r="Y1147">
        <f>COUNTIFS(A$3:A1147,"="&amp;A1147,K$3:K1147,"="&amp;K1147)</f>
        <v>2</v>
      </c>
      <c r="Z1147" s="20">
        <f>SUMIFS(T$3:T1147,L$3:L1147,"=Intermission")+SUMIFS(T$3:T1147,L$3:L1147,"=Timeout")+SUMIFS(T$3:T1147,L$3:L1147,"=Clockstop")</f>
        <v>68</v>
      </c>
      <c r="AA1147">
        <f t="shared" si="202"/>
        <v>1148</v>
      </c>
      <c r="AC1147">
        <f t="shared" si="203"/>
        <v>1216</v>
      </c>
    </row>
    <row r="1148" spans="1:29" x14ac:dyDescent="0.2">
      <c r="A1148">
        <v>606</v>
      </c>
      <c r="D1148">
        <f t="shared" si="204"/>
        <v>2</v>
      </c>
      <c r="E1148">
        <v>11</v>
      </c>
      <c r="F1148" s="6" t="s">
        <v>493</v>
      </c>
      <c r="G1148">
        <v>11</v>
      </c>
      <c r="H1148" s="8" t="s">
        <v>483</v>
      </c>
      <c r="I1148" t="s">
        <v>178</v>
      </c>
      <c r="J1148">
        <v>22</v>
      </c>
      <c r="K1148" t="s">
        <v>488</v>
      </c>
      <c r="L1148" t="s">
        <v>15</v>
      </c>
      <c r="Q1148">
        <f t="shared" si="208"/>
        <v>18977</v>
      </c>
      <c r="R1148" t="str">
        <f t="shared" si="208"/>
        <v>Velodrome</v>
      </c>
      <c r="S1148" t="str">
        <f t="shared" si="208"/>
        <v>HollowBrook</v>
      </c>
      <c r="T1148" s="20">
        <f t="shared" si="199"/>
        <v>4</v>
      </c>
      <c r="U1148">
        <f t="shared" si="200"/>
        <v>691</v>
      </c>
      <c r="V1148">
        <f t="shared" si="201"/>
        <v>687</v>
      </c>
      <c r="W1148" cm="1">
        <f t="array" ref="W1148">_xlfn._xlws.FILTER(shifts!A:A,(shifts!B:B=events!D1148)*(shifts!AH:AH&gt;=events!U1148)*(shifts!AI:AI&lt;=events!V1148))</f>
        <v>42</v>
      </c>
      <c r="X1148" t="str">
        <f t="shared" si="209"/>
        <v>event_team_player_1</v>
      </c>
      <c r="Y1148">
        <f>COUNTIFS(A$3:A1148,"="&amp;A1148,K$3:K1148,"="&amp;K1148)</f>
        <v>1</v>
      </c>
      <c r="Z1148" s="20">
        <f>SUMIFS(T$3:T1148,L$3:L1148,"=Intermission")+SUMIFS(T$3:T1148,L$3:L1148,"=Timeout")+SUMIFS(T$3:T1148,L$3:L1148,"=Clockstop")</f>
        <v>68</v>
      </c>
      <c r="AA1148">
        <f t="shared" si="202"/>
        <v>1148</v>
      </c>
      <c r="AC1148">
        <f t="shared" si="203"/>
        <v>1216</v>
      </c>
    </row>
    <row r="1149" spans="1:29" x14ac:dyDescent="0.2">
      <c r="A1149">
        <v>607</v>
      </c>
      <c r="D1149">
        <f t="shared" si="204"/>
        <v>2</v>
      </c>
      <c r="E1149">
        <v>11</v>
      </c>
      <c r="F1149" s="6" t="s">
        <v>483</v>
      </c>
      <c r="I1149" t="s">
        <v>178</v>
      </c>
      <c r="J1149">
        <v>22</v>
      </c>
      <c r="K1149" t="s">
        <v>488</v>
      </c>
      <c r="L1149" t="s">
        <v>277</v>
      </c>
      <c r="M1149" t="s">
        <v>191</v>
      </c>
      <c r="N1149" t="s">
        <v>87</v>
      </c>
      <c r="Q1149">
        <f t="shared" si="208"/>
        <v>18977</v>
      </c>
      <c r="R1149" t="str">
        <f t="shared" si="208"/>
        <v>Velodrome</v>
      </c>
      <c r="S1149" t="str">
        <f t="shared" si="208"/>
        <v>HollowBrook</v>
      </c>
      <c r="T1149" s="20">
        <f t="shared" si="199"/>
        <v>0</v>
      </c>
      <c r="U1149">
        <f t="shared" si="200"/>
        <v>687</v>
      </c>
      <c r="V1149">
        <f t="shared" si="201"/>
        <v>687</v>
      </c>
      <c r="W1149" cm="1">
        <f t="array" ref="W1149">_xlfn._xlws.FILTER(shifts!A:A,(shifts!B:B=events!D1149)*(shifts!AH:AH&gt;=events!U1149)*(shifts!AI:AI&lt;=events!V1149))</f>
        <v>42</v>
      </c>
      <c r="X1149" t="str">
        <f t="shared" si="209"/>
        <v>event_team_player_1</v>
      </c>
      <c r="Y1149">
        <f>COUNTIFS(A$3:A1149,"="&amp;A1149,K$3:K1149,"="&amp;K1149)</f>
        <v>1</v>
      </c>
      <c r="Z1149" s="20">
        <f>SUMIFS(T$3:T1149,L$3:L1149,"=Intermission")+SUMIFS(T$3:T1149,L$3:L1149,"=Timeout")+SUMIFS(T$3:T1149,L$3:L1149,"=Clockstop")</f>
        <v>68</v>
      </c>
      <c r="AA1149">
        <f t="shared" si="202"/>
        <v>1148</v>
      </c>
      <c r="AC1149">
        <f t="shared" si="203"/>
        <v>1216</v>
      </c>
    </row>
    <row r="1150" spans="1:29" x14ac:dyDescent="0.2">
      <c r="A1150">
        <v>607</v>
      </c>
      <c r="D1150">
        <f t="shared" si="204"/>
        <v>2</v>
      </c>
      <c r="E1150">
        <v>11</v>
      </c>
      <c r="F1150" s="6" t="s">
        <v>483</v>
      </c>
      <c r="I1150" t="s">
        <v>178</v>
      </c>
      <c r="J1150">
        <v>49</v>
      </c>
      <c r="K1150" t="s">
        <v>488</v>
      </c>
      <c r="L1150" t="s">
        <v>277</v>
      </c>
      <c r="M1150" t="s">
        <v>191</v>
      </c>
      <c r="N1150" t="s">
        <v>87</v>
      </c>
      <c r="Q1150">
        <f t="shared" si="208"/>
        <v>18977</v>
      </c>
      <c r="R1150" t="str">
        <f t="shared" si="208"/>
        <v>Velodrome</v>
      </c>
      <c r="S1150" t="str">
        <f t="shared" si="208"/>
        <v>HollowBrook</v>
      </c>
      <c r="T1150" s="20">
        <f t="shared" si="199"/>
        <v>0</v>
      </c>
      <c r="U1150">
        <f t="shared" si="200"/>
        <v>687</v>
      </c>
      <c r="V1150">
        <f t="shared" si="201"/>
        <v>687</v>
      </c>
      <c r="W1150" cm="1">
        <f t="array" ref="W1150">_xlfn._xlws.FILTER(shifts!A:A,(shifts!B:B=events!D1150)*(shifts!AH:AH&gt;=events!U1150)*(shifts!AI:AI&lt;=events!V1150))</f>
        <v>42</v>
      </c>
      <c r="X1150" t="str">
        <f t="shared" si="209"/>
        <v>event_team_player_2</v>
      </c>
      <c r="Y1150">
        <f>COUNTIFS(A$3:A1150,"="&amp;A1150,K$3:K1150,"="&amp;K1150)</f>
        <v>2</v>
      </c>
      <c r="Z1150" s="20">
        <f>SUMIFS(T$3:T1150,L$3:L1150,"=Intermission")+SUMIFS(T$3:T1150,L$3:L1150,"=Timeout")+SUMIFS(T$3:T1150,L$3:L1150,"=Clockstop")</f>
        <v>68</v>
      </c>
      <c r="AA1150">
        <f t="shared" si="202"/>
        <v>1148</v>
      </c>
      <c r="AC1150">
        <f t="shared" si="203"/>
        <v>1216</v>
      </c>
    </row>
    <row r="1151" spans="1:29" x14ac:dyDescent="0.2">
      <c r="A1151">
        <v>607</v>
      </c>
      <c r="D1151">
        <f t="shared" si="204"/>
        <v>2</v>
      </c>
      <c r="E1151">
        <v>11</v>
      </c>
      <c r="F1151" s="6" t="s">
        <v>483</v>
      </c>
      <c r="I1151" t="s">
        <v>178</v>
      </c>
      <c r="J1151">
        <v>91</v>
      </c>
      <c r="K1151" t="s">
        <v>488</v>
      </c>
      <c r="L1151" t="s">
        <v>277</v>
      </c>
      <c r="M1151" t="s">
        <v>191</v>
      </c>
      <c r="N1151" t="s">
        <v>87</v>
      </c>
      <c r="Q1151">
        <f t="shared" si="208"/>
        <v>18977</v>
      </c>
      <c r="R1151" t="str">
        <f t="shared" si="208"/>
        <v>Velodrome</v>
      </c>
      <c r="S1151" t="str">
        <f t="shared" si="208"/>
        <v>HollowBrook</v>
      </c>
      <c r="T1151" s="20">
        <f t="shared" si="199"/>
        <v>0</v>
      </c>
      <c r="U1151">
        <f t="shared" si="200"/>
        <v>687</v>
      </c>
      <c r="V1151">
        <f t="shared" si="201"/>
        <v>687</v>
      </c>
      <c r="W1151" cm="1">
        <f t="array" ref="W1151">_xlfn._xlws.FILTER(shifts!A:A,(shifts!B:B=events!D1151)*(shifts!AH:AH&gt;=events!U1151)*(shifts!AI:AI&lt;=events!V1151))</f>
        <v>42</v>
      </c>
      <c r="X1151" t="str">
        <f t="shared" si="209"/>
        <v>event_team_player_3</v>
      </c>
      <c r="Y1151">
        <f>COUNTIFS(A$3:A1151,"="&amp;A1151,K$3:K1151,"="&amp;K1151)</f>
        <v>3</v>
      </c>
      <c r="Z1151" s="20">
        <f>SUMIFS(T$3:T1151,L$3:L1151,"=Intermission")+SUMIFS(T$3:T1151,L$3:L1151,"=Timeout")+SUMIFS(T$3:T1151,L$3:L1151,"=Clockstop")</f>
        <v>68</v>
      </c>
      <c r="AA1151">
        <f t="shared" si="202"/>
        <v>1148</v>
      </c>
      <c r="AC1151">
        <f t="shared" si="203"/>
        <v>1216</v>
      </c>
    </row>
    <row r="1152" spans="1:29" x14ac:dyDescent="0.2">
      <c r="A1152">
        <v>607</v>
      </c>
      <c r="D1152">
        <f t="shared" si="204"/>
        <v>2</v>
      </c>
      <c r="E1152">
        <v>11</v>
      </c>
      <c r="F1152" s="6" t="s">
        <v>483</v>
      </c>
      <c r="I1152" t="s">
        <v>178</v>
      </c>
      <c r="J1152">
        <v>13</v>
      </c>
      <c r="K1152" t="s">
        <v>489</v>
      </c>
      <c r="L1152" t="s">
        <v>277</v>
      </c>
      <c r="M1152" t="s">
        <v>191</v>
      </c>
      <c r="N1152" t="s">
        <v>87</v>
      </c>
      <c r="Q1152">
        <f t="shared" si="208"/>
        <v>18977</v>
      </c>
      <c r="R1152" t="str">
        <f t="shared" si="208"/>
        <v>Velodrome</v>
      </c>
      <c r="S1152" t="str">
        <f t="shared" si="208"/>
        <v>HollowBrook</v>
      </c>
      <c r="T1152" s="20">
        <f t="shared" si="199"/>
        <v>0</v>
      </c>
      <c r="U1152">
        <f t="shared" si="200"/>
        <v>687</v>
      </c>
      <c r="V1152">
        <f t="shared" si="201"/>
        <v>687</v>
      </c>
      <c r="W1152" cm="1">
        <f t="array" ref="W1152">_xlfn._xlws.FILTER(shifts!A:A,(shifts!B:B=events!D1152)*(shifts!AH:AH&gt;=events!U1152)*(shifts!AI:AI&lt;=events!V1152))</f>
        <v>42</v>
      </c>
      <c r="X1152" t="str">
        <f t="shared" si="209"/>
        <v>opp_team_player_1</v>
      </c>
      <c r="Y1152">
        <f>COUNTIFS(A$3:A1152,"="&amp;A1152,K$3:K1152,"="&amp;K1152)</f>
        <v>1</v>
      </c>
      <c r="Z1152" s="20">
        <f>SUMIFS(T$3:T1152,L$3:L1152,"=Intermission")+SUMIFS(T$3:T1152,L$3:L1152,"=Timeout")+SUMIFS(T$3:T1152,L$3:L1152,"=Clockstop")</f>
        <v>68</v>
      </c>
      <c r="AA1152">
        <f t="shared" si="202"/>
        <v>1148</v>
      </c>
      <c r="AC1152">
        <f t="shared" si="203"/>
        <v>1216</v>
      </c>
    </row>
    <row r="1153" spans="1:29" x14ac:dyDescent="0.2">
      <c r="A1153">
        <v>607</v>
      </c>
      <c r="D1153">
        <f t="shared" si="204"/>
        <v>2</v>
      </c>
      <c r="E1153">
        <v>11</v>
      </c>
      <c r="F1153" s="6" t="s">
        <v>483</v>
      </c>
      <c r="I1153" t="s">
        <v>178</v>
      </c>
      <c r="J1153">
        <v>33</v>
      </c>
      <c r="K1153" t="s">
        <v>489</v>
      </c>
      <c r="L1153" t="s">
        <v>277</v>
      </c>
      <c r="M1153" t="s">
        <v>191</v>
      </c>
      <c r="N1153" t="s">
        <v>87</v>
      </c>
      <c r="Q1153">
        <f t="shared" si="208"/>
        <v>18977</v>
      </c>
      <c r="R1153" t="str">
        <f t="shared" si="208"/>
        <v>Velodrome</v>
      </c>
      <c r="S1153" t="str">
        <f t="shared" si="208"/>
        <v>HollowBrook</v>
      </c>
      <c r="T1153" s="20">
        <f t="shared" si="199"/>
        <v>0</v>
      </c>
      <c r="U1153">
        <f t="shared" si="200"/>
        <v>687</v>
      </c>
      <c r="V1153">
        <f t="shared" si="201"/>
        <v>687</v>
      </c>
      <c r="W1153" cm="1">
        <f t="array" ref="W1153">_xlfn._xlws.FILTER(shifts!A:A,(shifts!B:B=events!D1153)*(shifts!AH:AH&gt;=events!U1153)*(shifts!AI:AI&lt;=events!V1153))</f>
        <v>42</v>
      </c>
      <c r="X1153" t="str">
        <f t="shared" si="209"/>
        <v>opp_team_player_2</v>
      </c>
      <c r="Y1153">
        <f>COUNTIFS(A$3:A1153,"="&amp;A1153,K$3:K1153,"="&amp;K1153)</f>
        <v>2</v>
      </c>
      <c r="Z1153" s="20">
        <f>SUMIFS(T$3:T1153,L$3:L1153,"=Intermission")+SUMIFS(T$3:T1153,L$3:L1153,"=Timeout")+SUMIFS(T$3:T1153,L$3:L1153,"=Clockstop")</f>
        <v>68</v>
      </c>
      <c r="AA1153">
        <f t="shared" si="202"/>
        <v>1148</v>
      </c>
      <c r="AC1153">
        <f t="shared" si="203"/>
        <v>1216</v>
      </c>
    </row>
    <row r="1154" spans="1:29" x14ac:dyDescent="0.2">
      <c r="A1154">
        <v>607</v>
      </c>
      <c r="D1154">
        <f t="shared" si="204"/>
        <v>2</v>
      </c>
      <c r="E1154">
        <v>11</v>
      </c>
      <c r="F1154" s="6" t="s">
        <v>483</v>
      </c>
      <c r="I1154" t="s">
        <v>178</v>
      </c>
      <c r="J1154">
        <v>18</v>
      </c>
      <c r="K1154" t="s">
        <v>489</v>
      </c>
      <c r="L1154" t="s">
        <v>277</v>
      </c>
      <c r="M1154" t="s">
        <v>191</v>
      </c>
      <c r="N1154" t="s">
        <v>87</v>
      </c>
      <c r="Q1154">
        <f t="shared" si="208"/>
        <v>18977</v>
      </c>
      <c r="R1154" t="str">
        <f t="shared" si="208"/>
        <v>Velodrome</v>
      </c>
      <c r="S1154" t="str">
        <f t="shared" si="208"/>
        <v>HollowBrook</v>
      </c>
      <c r="T1154" s="20">
        <f t="shared" si="199"/>
        <v>0</v>
      </c>
      <c r="U1154">
        <f t="shared" si="200"/>
        <v>687</v>
      </c>
      <c r="V1154">
        <f t="shared" si="201"/>
        <v>687</v>
      </c>
      <c r="W1154" cm="1">
        <f t="array" ref="W1154">_xlfn._xlws.FILTER(shifts!A:A,(shifts!B:B=events!D1154)*(shifts!AH:AH&gt;=events!U1154)*(shifts!AI:AI&lt;=events!V1154))</f>
        <v>42</v>
      </c>
      <c r="X1154" t="str">
        <f t="shared" si="209"/>
        <v>opp_team_player_3</v>
      </c>
      <c r="Y1154">
        <f>COUNTIFS(A$3:A1154,"="&amp;A1154,K$3:K1154,"="&amp;K1154)</f>
        <v>3</v>
      </c>
      <c r="Z1154" s="20">
        <f>SUMIFS(T$3:T1154,L$3:L1154,"=Intermission")+SUMIFS(T$3:T1154,L$3:L1154,"=Timeout")+SUMIFS(T$3:T1154,L$3:L1154,"=Clockstop")</f>
        <v>68</v>
      </c>
      <c r="AA1154">
        <f t="shared" si="202"/>
        <v>1148</v>
      </c>
      <c r="AC1154">
        <f t="shared" si="203"/>
        <v>1216</v>
      </c>
    </row>
    <row r="1155" spans="1:29" x14ac:dyDescent="0.2">
      <c r="A1155">
        <v>608</v>
      </c>
      <c r="D1155">
        <f t="shared" si="204"/>
        <v>2</v>
      </c>
      <c r="E1155">
        <v>11</v>
      </c>
      <c r="F1155" s="6" t="s">
        <v>443</v>
      </c>
      <c r="I1155" t="s">
        <v>178</v>
      </c>
      <c r="J1155">
        <v>22</v>
      </c>
      <c r="K1155" t="s">
        <v>488</v>
      </c>
      <c r="L1155" t="s">
        <v>8</v>
      </c>
      <c r="M1155" t="s">
        <v>189</v>
      </c>
      <c r="N1155" t="s">
        <v>69</v>
      </c>
      <c r="Q1155">
        <f t="shared" si="208"/>
        <v>18977</v>
      </c>
      <c r="R1155" t="str">
        <f t="shared" si="208"/>
        <v>Velodrome</v>
      </c>
      <c r="S1155" t="str">
        <f t="shared" si="208"/>
        <v>HollowBrook</v>
      </c>
      <c r="T1155" s="20">
        <f t="shared" si="199"/>
        <v>0</v>
      </c>
      <c r="U1155">
        <f t="shared" si="200"/>
        <v>686</v>
      </c>
      <c r="V1155">
        <f t="shared" si="201"/>
        <v>686</v>
      </c>
      <c r="W1155" cm="1">
        <f t="array" ref="W1155">_xlfn._xlws.FILTER(shifts!A:A,(shifts!B:B=events!D1155)*(shifts!AH:AH&gt;=events!U1155)*(shifts!AI:AI&lt;=events!V1155))</f>
        <v>42</v>
      </c>
      <c r="X1155" t="str">
        <f t="shared" si="209"/>
        <v>event_team_player_1</v>
      </c>
      <c r="Y1155">
        <f>COUNTIFS(A$3:A1155,"="&amp;A1155,K$3:K1155,"="&amp;K1155)</f>
        <v>1</v>
      </c>
      <c r="Z1155" s="20">
        <f>SUMIFS(T$3:T1155,L$3:L1155,"=Intermission")+SUMIFS(T$3:T1155,L$3:L1155,"=Timeout")+SUMIFS(T$3:T1155,L$3:L1155,"=Clockstop")</f>
        <v>68</v>
      </c>
      <c r="AA1155">
        <f t="shared" si="202"/>
        <v>1148</v>
      </c>
      <c r="AC1155">
        <f t="shared" si="203"/>
        <v>1216</v>
      </c>
    </row>
    <row r="1156" spans="1:29" x14ac:dyDescent="0.2">
      <c r="A1156">
        <v>608</v>
      </c>
      <c r="D1156">
        <f t="shared" si="204"/>
        <v>2</v>
      </c>
      <c r="E1156">
        <v>11</v>
      </c>
      <c r="F1156" s="6" t="s">
        <v>443</v>
      </c>
      <c r="I1156" t="s">
        <v>178</v>
      </c>
      <c r="J1156">
        <v>91</v>
      </c>
      <c r="K1156" t="s">
        <v>488</v>
      </c>
      <c r="L1156" t="s">
        <v>8</v>
      </c>
      <c r="M1156" t="s">
        <v>189</v>
      </c>
      <c r="N1156" t="s">
        <v>69</v>
      </c>
      <c r="Q1156">
        <f t="shared" si="208"/>
        <v>18977</v>
      </c>
      <c r="R1156" t="str">
        <f t="shared" si="208"/>
        <v>Velodrome</v>
      </c>
      <c r="S1156" t="str">
        <f t="shared" si="208"/>
        <v>HollowBrook</v>
      </c>
      <c r="T1156" s="20">
        <f t="shared" ref="T1156:T1220" si="210">IF(AND(G1156="",H1156=""),0,((E1156*60)+F1156)-((G1156*60)+H1156))</f>
        <v>0</v>
      </c>
      <c r="U1156">
        <f t="shared" ref="U1156:U1220" si="211">(E1156*60)+F1156</f>
        <v>686</v>
      </c>
      <c r="V1156">
        <f t="shared" ref="V1156:V1220" si="212">IF(AND(G1156="",H1156=""),U1156,((G1156*60)+H1156))</f>
        <v>686</v>
      </c>
      <c r="W1156" cm="1">
        <f t="array" ref="W1156">_xlfn._xlws.FILTER(shifts!A:A,(shifts!B:B=events!D1156)*(shifts!AH:AH&gt;=events!U1156)*(shifts!AI:AI&lt;=events!V1156))</f>
        <v>42</v>
      </c>
      <c r="X1156" t="str">
        <f t="shared" si="209"/>
        <v>event_team_player_2</v>
      </c>
      <c r="Y1156">
        <f>COUNTIFS(A$3:A1156,"="&amp;A1156,K$3:K1156,"="&amp;K1156)</f>
        <v>2</v>
      </c>
      <c r="Z1156" s="20">
        <f>SUMIFS(T$3:T1156,L$3:L1156,"=Intermission")+SUMIFS(T$3:T1156,L$3:L1156,"=Timeout")+SUMIFS(T$3:T1156,L$3:L1156,"=Clockstop")</f>
        <v>68</v>
      </c>
      <c r="AA1156">
        <f t="shared" ref="AA1156:AA1219" si="213">IF(D1156=1,0,IF(D1156=2,1080+Z1156,IF(D1156=3,(1080*2)+Z1156,0)))</f>
        <v>1148</v>
      </c>
      <c r="AC1156">
        <f t="shared" ref="AC1156:AC1219" si="214">IF(L1155="GameStart",0,AA1156+Z1156)</f>
        <v>1216</v>
      </c>
    </row>
    <row r="1157" spans="1:29" x14ac:dyDescent="0.2">
      <c r="A1157">
        <v>608</v>
      </c>
      <c r="D1157">
        <f t="shared" ref="D1157:D1220" si="215">IF(L1157="Intermission",D1156+1,D1156)</f>
        <v>2</v>
      </c>
      <c r="E1157">
        <v>11</v>
      </c>
      <c r="F1157" s="6" t="s">
        <v>443</v>
      </c>
      <c r="I1157" t="s">
        <v>178</v>
      </c>
      <c r="J1157">
        <v>13</v>
      </c>
      <c r="K1157" t="s">
        <v>489</v>
      </c>
      <c r="L1157" t="s">
        <v>8</v>
      </c>
      <c r="M1157" t="s">
        <v>189</v>
      </c>
      <c r="N1157" t="s">
        <v>69</v>
      </c>
      <c r="Q1157">
        <f t="shared" ref="Q1157:S1173" si="216">Q1156</f>
        <v>18977</v>
      </c>
      <c r="R1157" t="str">
        <f t="shared" si="216"/>
        <v>Velodrome</v>
      </c>
      <c r="S1157" t="str">
        <f t="shared" si="216"/>
        <v>HollowBrook</v>
      </c>
      <c r="T1157" s="20">
        <f t="shared" si="210"/>
        <v>0</v>
      </c>
      <c r="U1157">
        <f t="shared" si="211"/>
        <v>686</v>
      </c>
      <c r="V1157">
        <f t="shared" si="212"/>
        <v>686</v>
      </c>
      <c r="W1157" cm="1">
        <f t="array" ref="W1157">_xlfn._xlws.FILTER(shifts!A:A,(shifts!B:B=events!D1157)*(shifts!AH:AH&gt;=events!U1157)*(shifts!AI:AI&lt;=events!V1157))</f>
        <v>42</v>
      </c>
      <c r="X1157" t="str">
        <f t="shared" si="209"/>
        <v>opp_team_player_1</v>
      </c>
      <c r="Y1157">
        <f>COUNTIFS(A$3:A1157,"="&amp;A1157,K$3:K1157,"="&amp;K1157)</f>
        <v>1</v>
      </c>
      <c r="Z1157" s="20">
        <f>SUMIFS(T$3:T1157,L$3:L1157,"=Intermission")+SUMIFS(T$3:T1157,L$3:L1157,"=Timeout")+SUMIFS(T$3:T1157,L$3:L1157,"=Clockstop")</f>
        <v>68</v>
      </c>
      <c r="AA1157">
        <f t="shared" si="213"/>
        <v>1148</v>
      </c>
      <c r="AC1157">
        <f t="shared" si="214"/>
        <v>1216</v>
      </c>
    </row>
    <row r="1158" spans="1:29" x14ac:dyDescent="0.2">
      <c r="A1158">
        <v>609</v>
      </c>
      <c r="D1158">
        <f t="shared" si="215"/>
        <v>2</v>
      </c>
      <c r="E1158">
        <v>11</v>
      </c>
      <c r="F1158" s="6" t="s">
        <v>443</v>
      </c>
      <c r="G1158">
        <v>11</v>
      </c>
      <c r="H1158" s="8" t="s">
        <v>456</v>
      </c>
      <c r="I1158" t="s">
        <v>178</v>
      </c>
      <c r="J1158">
        <v>91</v>
      </c>
      <c r="K1158" t="s">
        <v>488</v>
      </c>
      <c r="L1158" t="s">
        <v>15</v>
      </c>
      <c r="Q1158">
        <f t="shared" si="216"/>
        <v>18977</v>
      </c>
      <c r="R1158" t="str">
        <f t="shared" si="216"/>
        <v>Velodrome</v>
      </c>
      <c r="S1158" t="str">
        <f t="shared" si="216"/>
        <v>HollowBrook</v>
      </c>
      <c r="T1158" s="20">
        <f t="shared" si="210"/>
        <v>3</v>
      </c>
      <c r="U1158">
        <f t="shared" si="211"/>
        <v>686</v>
      </c>
      <c r="V1158">
        <f t="shared" si="212"/>
        <v>683</v>
      </c>
      <c r="W1158" cm="1">
        <f t="array" ref="W1158">_xlfn._xlws.FILTER(shifts!A:A,(shifts!B:B=events!D1158)*(shifts!AH:AH&gt;=events!U1158)*(shifts!AI:AI&lt;=events!V1158))</f>
        <v>42</v>
      </c>
      <c r="X1158" t="str">
        <f t="shared" si="209"/>
        <v>event_team_player_1</v>
      </c>
      <c r="Y1158">
        <f>COUNTIFS(A$3:A1158,"="&amp;A1158,K$3:K1158,"="&amp;K1158)</f>
        <v>1</v>
      </c>
      <c r="Z1158" s="20">
        <f>SUMIFS(T$3:T1158,L$3:L1158,"=Intermission")+SUMIFS(T$3:T1158,L$3:L1158,"=Timeout")+SUMIFS(T$3:T1158,L$3:L1158,"=Clockstop")</f>
        <v>68</v>
      </c>
      <c r="AA1158">
        <f t="shared" si="213"/>
        <v>1148</v>
      </c>
      <c r="AC1158">
        <f t="shared" si="214"/>
        <v>1216</v>
      </c>
    </row>
    <row r="1159" spans="1:29" x14ac:dyDescent="0.2">
      <c r="A1159">
        <v>610</v>
      </c>
      <c r="D1159">
        <f t="shared" si="215"/>
        <v>2</v>
      </c>
      <c r="E1159">
        <v>11</v>
      </c>
      <c r="F1159" s="6" t="s">
        <v>484</v>
      </c>
      <c r="I1159" t="s">
        <v>178</v>
      </c>
      <c r="J1159">
        <v>91</v>
      </c>
      <c r="K1159" t="s">
        <v>488</v>
      </c>
      <c r="L1159" t="s">
        <v>8</v>
      </c>
      <c r="M1159" t="s">
        <v>189</v>
      </c>
      <c r="N1159" t="s">
        <v>70</v>
      </c>
      <c r="Q1159">
        <f t="shared" si="216"/>
        <v>18977</v>
      </c>
      <c r="R1159" t="str">
        <f t="shared" si="216"/>
        <v>Velodrome</v>
      </c>
      <c r="S1159" t="str">
        <f t="shared" si="216"/>
        <v>HollowBrook</v>
      </c>
      <c r="T1159" s="20">
        <f t="shared" si="210"/>
        <v>0</v>
      </c>
      <c r="U1159">
        <f t="shared" si="211"/>
        <v>682</v>
      </c>
      <c r="V1159">
        <f t="shared" si="212"/>
        <v>682</v>
      </c>
      <c r="W1159" cm="1">
        <f t="array" ref="W1159">_xlfn._xlws.FILTER(shifts!A:A,(shifts!B:B=events!D1159)*(shifts!AH:AH&gt;=events!U1159)*(shifts!AI:AI&lt;=events!V1159))</f>
        <v>42</v>
      </c>
      <c r="X1159" t="str">
        <f t="shared" si="209"/>
        <v>event_team_player_1</v>
      </c>
      <c r="Y1159">
        <f>COUNTIFS(A$3:A1159,"="&amp;A1159,K$3:K1159,"="&amp;K1159)</f>
        <v>1</v>
      </c>
      <c r="Z1159" s="20">
        <f>SUMIFS(T$3:T1159,L$3:L1159,"=Intermission")+SUMIFS(T$3:T1159,L$3:L1159,"=Timeout")+SUMIFS(T$3:T1159,L$3:L1159,"=Clockstop")</f>
        <v>68</v>
      </c>
      <c r="AA1159">
        <f t="shared" si="213"/>
        <v>1148</v>
      </c>
      <c r="AC1159">
        <f t="shared" si="214"/>
        <v>1216</v>
      </c>
    </row>
    <row r="1160" spans="1:29" x14ac:dyDescent="0.2">
      <c r="A1160">
        <v>610</v>
      </c>
      <c r="D1160">
        <f t="shared" si="215"/>
        <v>2</v>
      </c>
      <c r="E1160">
        <v>11</v>
      </c>
      <c r="F1160" s="6" t="s">
        <v>484</v>
      </c>
      <c r="I1160" t="s">
        <v>178</v>
      </c>
      <c r="J1160">
        <v>22</v>
      </c>
      <c r="K1160" t="s">
        <v>488</v>
      </c>
      <c r="L1160" t="s">
        <v>8</v>
      </c>
      <c r="M1160" t="s">
        <v>189</v>
      </c>
      <c r="N1160" t="s">
        <v>70</v>
      </c>
      <c r="Q1160">
        <f t="shared" si="216"/>
        <v>18977</v>
      </c>
      <c r="R1160" t="str">
        <f t="shared" si="216"/>
        <v>Velodrome</v>
      </c>
      <c r="S1160" t="str">
        <f t="shared" si="216"/>
        <v>HollowBrook</v>
      </c>
      <c r="T1160" s="20">
        <f t="shared" si="210"/>
        <v>0</v>
      </c>
      <c r="U1160">
        <f t="shared" si="211"/>
        <v>682</v>
      </c>
      <c r="V1160">
        <f t="shared" si="212"/>
        <v>682</v>
      </c>
      <c r="W1160" cm="1">
        <f t="array" ref="W1160">_xlfn._xlws.FILTER(shifts!A:A,(shifts!B:B=events!D1160)*(shifts!AH:AH&gt;=events!U1160)*(shifts!AI:AI&lt;=events!V1160))</f>
        <v>42</v>
      </c>
      <c r="X1160" t="str">
        <f t="shared" si="209"/>
        <v>event_team_player_2</v>
      </c>
      <c r="Y1160">
        <f>COUNTIFS(A$3:A1160,"="&amp;A1160,K$3:K1160,"="&amp;K1160)</f>
        <v>2</v>
      </c>
      <c r="Z1160" s="20">
        <f>SUMIFS(T$3:T1160,L$3:L1160,"=Intermission")+SUMIFS(T$3:T1160,L$3:L1160,"=Timeout")+SUMIFS(T$3:T1160,L$3:L1160,"=Clockstop")</f>
        <v>68</v>
      </c>
      <c r="AA1160">
        <f t="shared" si="213"/>
        <v>1148</v>
      </c>
      <c r="AC1160">
        <f t="shared" si="214"/>
        <v>1216</v>
      </c>
    </row>
    <row r="1161" spans="1:29" x14ac:dyDescent="0.2">
      <c r="A1161">
        <v>611</v>
      </c>
      <c r="D1161">
        <f t="shared" si="215"/>
        <v>2</v>
      </c>
      <c r="E1161">
        <v>11</v>
      </c>
      <c r="F1161" s="6" t="s">
        <v>484</v>
      </c>
      <c r="I1161" t="s">
        <v>178</v>
      </c>
      <c r="J1161">
        <v>22</v>
      </c>
      <c r="K1161" t="s">
        <v>488</v>
      </c>
      <c r="L1161" t="s">
        <v>7</v>
      </c>
      <c r="M1161" t="s">
        <v>228</v>
      </c>
      <c r="Q1161">
        <f t="shared" si="216"/>
        <v>18977</v>
      </c>
      <c r="R1161" t="str">
        <f t="shared" si="216"/>
        <v>Velodrome</v>
      </c>
      <c r="S1161" t="str">
        <f t="shared" si="216"/>
        <v>HollowBrook</v>
      </c>
      <c r="T1161" s="20">
        <f t="shared" si="210"/>
        <v>0</v>
      </c>
      <c r="U1161">
        <f t="shared" si="211"/>
        <v>682</v>
      </c>
      <c r="V1161">
        <f t="shared" si="212"/>
        <v>682</v>
      </c>
      <c r="W1161" cm="1">
        <f t="array" ref="W1161">_xlfn._xlws.FILTER(shifts!A:A,(shifts!B:B=events!D1161)*(shifts!AH:AH&gt;=events!U1161)*(shifts!AI:AI&lt;=events!V1161))</f>
        <v>42</v>
      </c>
      <c r="X1161" t="str">
        <f t="shared" si="209"/>
        <v>event_team_player_1</v>
      </c>
      <c r="Y1161">
        <f>COUNTIFS(A$3:A1161,"="&amp;A1161,K$3:K1161,"="&amp;K1161)</f>
        <v>1</v>
      </c>
      <c r="Z1161" s="20">
        <f>SUMIFS(T$3:T1161,L$3:L1161,"=Intermission")+SUMIFS(T$3:T1161,L$3:L1161,"=Timeout")+SUMIFS(T$3:T1161,L$3:L1161,"=Clockstop")</f>
        <v>68</v>
      </c>
      <c r="AA1161">
        <f t="shared" si="213"/>
        <v>1148</v>
      </c>
      <c r="AC1161">
        <f t="shared" si="214"/>
        <v>1216</v>
      </c>
    </row>
    <row r="1162" spans="1:29" x14ac:dyDescent="0.2">
      <c r="A1162">
        <v>612</v>
      </c>
      <c r="D1162">
        <f t="shared" si="215"/>
        <v>2</v>
      </c>
      <c r="E1162">
        <v>11</v>
      </c>
      <c r="F1162" s="6" t="s">
        <v>484</v>
      </c>
      <c r="I1162" t="s">
        <v>178</v>
      </c>
      <c r="J1162">
        <v>22</v>
      </c>
      <c r="K1162" t="s">
        <v>488</v>
      </c>
      <c r="L1162" t="s">
        <v>9</v>
      </c>
      <c r="M1162" t="s">
        <v>230</v>
      </c>
      <c r="N1162" t="s">
        <v>236</v>
      </c>
      <c r="Q1162">
        <f t="shared" si="216"/>
        <v>18977</v>
      </c>
      <c r="R1162" t="str">
        <f t="shared" si="216"/>
        <v>Velodrome</v>
      </c>
      <c r="S1162" t="str">
        <f t="shared" si="216"/>
        <v>HollowBrook</v>
      </c>
      <c r="T1162" s="20">
        <f t="shared" si="210"/>
        <v>0</v>
      </c>
      <c r="U1162">
        <f t="shared" si="211"/>
        <v>682</v>
      </c>
      <c r="V1162">
        <f t="shared" si="212"/>
        <v>682</v>
      </c>
      <c r="W1162" cm="1">
        <f t="array" ref="W1162">_xlfn._xlws.FILTER(shifts!A:A,(shifts!B:B=events!D1162)*(shifts!AH:AH&gt;=events!U1162)*(shifts!AI:AI&lt;=events!V1162))</f>
        <v>42</v>
      </c>
      <c r="X1162" t="str">
        <f t="shared" si="209"/>
        <v>event_team_player_1</v>
      </c>
      <c r="Y1162">
        <f>COUNTIFS(A$3:A1162,"="&amp;A1162,K$3:K1162,"="&amp;K1162)</f>
        <v>1</v>
      </c>
      <c r="Z1162" s="20">
        <f>SUMIFS(T$3:T1162,L$3:L1162,"=Intermission")+SUMIFS(T$3:T1162,L$3:L1162,"=Timeout")+SUMIFS(T$3:T1162,L$3:L1162,"=Clockstop")</f>
        <v>68</v>
      </c>
      <c r="AA1162">
        <f t="shared" si="213"/>
        <v>1148</v>
      </c>
      <c r="AC1162">
        <f t="shared" si="214"/>
        <v>1216</v>
      </c>
    </row>
    <row r="1163" spans="1:29" x14ac:dyDescent="0.2">
      <c r="A1163">
        <v>612</v>
      </c>
      <c r="D1163">
        <f t="shared" si="215"/>
        <v>2</v>
      </c>
      <c r="E1163">
        <v>11</v>
      </c>
      <c r="F1163" s="6" t="s">
        <v>484</v>
      </c>
      <c r="I1163" t="s">
        <v>178</v>
      </c>
      <c r="J1163">
        <v>99</v>
      </c>
      <c r="K1163" t="s">
        <v>489</v>
      </c>
      <c r="L1163" t="s">
        <v>9</v>
      </c>
      <c r="M1163" t="s">
        <v>230</v>
      </c>
      <c r="N1163" t="s">
        <v>236</v>
      </c>
      <c r="Q1163">
        <f t="shared" si="216"/>
        <v>18977</v>
      </c>
      <c r="R1163" t="str">
        <f t="shared" si="216"/>
        <v>Velodrome</v>
      </c>
      <c r="S1163" t="str">
        <f t="shared" si="216"/>
        <v>HollowBrook</v>
      </c>
      <c r="T1163" s="20">
        <f t="shared" ref="T1163" si="217">IF(AND(G1163="",H1163=""),0,((E1163*60)+F1163)-((G1163*60)+H1163))</f>
        <v>0</v>
      </c>
      <c r="U1163">
        <f t="shared" ref="U1163" si="218">(E1163*60)+F1163</f>
        <v>682</v>
      </c>
      <c r="V1163">
        <f t="shared" ref="V1163" si="219">IF(AND(G1163="",H1163=""),U1163,((G1163*60)+H1163))</f>
        <v>682</v>
      </c>
      <c r="W1163" cm="1">
        <f t="array" ref="W1163">_xlfn._xlws.FILTER(shifts!A:A,(shifts!B:B=events!D1163)*(shifts!AH:AH&gt;=events!U1163)*(shifts!AI:AI&lt;=events!V1163))</f>
        <v>42</v>
      </c>
      <c r="X1163" t="str">
        <f t="shared" ref="X1163" si="220">IF(K1163="e","event_team_player_"&amp;Y1163,IF(K1163="o","opp_team_player_"&amp;Y1163,""))</f>
        <v>opp_team_player_1</v>
      </c>
      <c r="Y1163">
        <f>COUNTIFS(A$3:A1163,"="&amp;A1163,K$3:K1163,"="&amp;K1163)</f>
        <v>1</v>
      </c>
      <c r="Z1163" s="20">
        <f>SUMIFS(T$3:T1163,L$3:L1163,"=Intermission")+SUMIFS(T$3:T1163,L$3:L1163,"=Timeout")+SUMIFS(T$3:T1163,L$3:L1163,"=Clockstop")</f>
        <v>68</v>
      </c>
      <c r="AA1163">
        <f t="shared" si="213"/>
        <v>1148</v>
      </c>
      <c r="AC1163">
        <f t="shared" si="214"/>
        <v>1216</v>
      </c>
    </row>
    <row r="1164" spans="1:29" x14ac:dyDescent="0.2">
      <c r="A1164">
        <v>613</v>
      </c>
      <c r="D1164">
        <f t="shared" si="215"/>
        <v>2</v>
      </c>
      <c r="E1164">
        <v>11</v>
      </c>
      <c r="F1164" s="6" t="s">
        <v>484</v>
      </c>
      <c r="G1164">
        <v>10</v>
      </c>
      <c r="H1164" s="8" t="s">
        <v>492</v>
      </c>
      <c r="I1164" t="s">
        <v>178</v>
      </c>
      <c r="J1164">
        <v>22</v>
      </c>
      <c r="K1164" t="s">
        <v>488</v>
      </c>
      <c r="L1164" t="s">
        <v>282</v>
      </c>
      <c r="Q1164">
        <f>Q1162</f>
        <v>18977</v>
      </c>
      <c r="R1164" t="str">
        <f>R1162</f>
        <v>Velodrome</v>
      </c>
      <c r="S1164" t="str">
        <f>S1162</f>
        <v>HollowBrook</v>
      </c>
      <c r="T1164" s="20">
        <f t="shared" si="210"/>
        <v>29</v>
      </c>
      <c r="U1164">
        <f t="shared" si="211"/>
        <v>682</v>
      </c>
      <c r="V1164">
        <f t="shared" si="212"/>
        <v>653</v>
      </c>
      <c r="W1164">
        <v>43</v>
      </c>
      <c r="X1164" t="str">
        <f t="shared" si="209"/>
        <v>event_team_player_1</v>
      </c>
      <c r="Y1164">
        <f>COUNTIFS(A$3:A1164,"="&amp;A1164,K$3:K1164,"="&amp;K1164)</f>
        <v>1</v>
      </c>
      <c r="Z1164" s="20">
        <f>SUMIFS(T$3:T1164,L$3:L1164,"=Intermission")+SUMIFS(T$3:T1164,L$3:L1164,"=Timeout")+SUMIFS(T$3:T1164,L$3:L1164,"=Clockstop")</f>
        <v>68</v>
      </c>
      <c r="AA1164">
        <f t="shared" si="213"/>
        <v>1148</v>
      </c>
      <c r="AC1164">
        <f t="shared" si="214"/>
        <v>1216</v>
      </c>
    </row>
    <row r="1165" spans="1:29" x14ac:dyDescent="0.2">
      <c r="A1165">
        <v>614</v>
      </c>
      <c r="D1165">
        <f t="shared" si="215"/>
        <v>2</v>
      </c>
      <c r="E1165">
        <v>10</v>
      </c>
      <c r="F1165" s="6" t="s">
        <v>492</v>
      </c>
      <c r="I1165" t="s">
        <v>179</v>
      </c>
      <c r="J1165">
        <v>11</v>
      </c>
      <c r="K1165" t="s">
        <v>488</v>
      </c>
      <c r="L1165" t="s">
        <v>6</v>
      </c>
      <c r="M1165" t="s">
        <v>207</v>
      </c>
      <c r="Q1165">
        <f t="shared" si="216"/>
        <v>18977</v>
      </c>
      <c r="R1165" t="str">
        <f t="shared" si="216"/>
        <v>Velodrome</v>
      </c>
      <c r="S1165" t="str">
        <f t="shared" si="216"/>
        <v>HollowBrook</v>
      </c>
      <c r="T1165" s="20">
        <f t="shared" si="210"/>
        <v>0</v>
      </c>
      <c r="U1165">
        <f t="shared" si="211"/>
        <v>653</v>
      </c>
      <c r="V1165">
        <f t="shared" si="212"/>
        <v>653</v>
      </c>
      <c r="W1165" cm="1">
        <f t="array" ref="W1165">_xlfn._xlws.FILTER(shifts!A:A,(shifts!B:B=events!D1165)*(shifts!AH:AH&gt;=events!U1165)*(shifts!AI:AI&lt;=events!V1165))</f>
        <v>43</v>
      </c>
      <c r="X1165" t="str">
        <f t="shared" si="209"/>
        <v>event_team_player_1</v>
      </c>
      <c r="Y1165">
        <f>COUNTIFS(A$3:A1165,"="&amp;A1165,K$3:K1165,"="&amp;K1165)</f>
        <v>1</v>
      </c>
      <c r="Z1165" s="20">
        <f>SUMIFS(T$3:T1165,L$3:L1165,"=Intermission")+SUMIFS(T$3:T1165,L$3:L1165,"=Timeout")+SUMIFS(T$3:T1165,L$3:L1165,"=Clockstop")</f>
        <v>68</v>
      </c>
      <c r="AA1165">
        <f t="shared" si="213"/>
        <v>1148</v>
      </c>
      <c r="AC1165">
        <f t="shared" si="214"/>
        <v>1216</v>
      </c>
    </row>
    <row r="1166" spans="1:29" x14ac:dyDescent="0.2">
      <c r="A1166">
        <v>614</v>
      </c>
      <c r="D1166">
        <f t="shared" si="215"/>
        <v>2</v>
      </c>
      <c r="E1166">
        <v>10</v>
      </c>
      <c r="F1166" s="6" t="s">
        <v>492</v>
      </c>
      <c r="I1166" t="s">
        <v>179</v>
      </c>
      <c r="J1166">
        <v>2</v>
      </c>
      <c r="K1166" t="s">
        <v>488</v>
      </c>
      <c r="L1166" t="s">
        <v>6</v>
      </c>
      <c r="M1166" t="s">
        <v>207</v>
      </c>
      <c r="Q1166">
        <f t="shared" si="216"/>
        <v>18977</v>
      </c>
      <c r="R1166" t="str">
        <f t="shared" si="216"/>
        <v>Velodrome</v>
      </c>
      <c r="S1166" t="str">
        <f t="shared" si="216"/>
        <v>HollowBrook</v>
      </c>
      <c r="T1166" s="20">
        <f t="shared" si="210"/>
        <v>0</v>
      </c>
      <c r="U1166">
        <f t="shared" si="211"/>
        <v>653</v>
      </c>
      <c r="V1166">
        <f t="shared" si="212"/>
        <v>653</v>
      </c>
      <c r="W1166" cm="1">
        <f t="array" ref="W1166">_xlfn._xlws.FILTER(shifts!A:A,(shifts!B:B=events!D1166)*(shifts!AH:AH&gt;=events!U1166)*(shifts!AI:AI&lt;=events!V1166))</f>
        <v>43</v>
      </c>
      <c r="X1166" t="str">
        <f t="shared" si="209"/>
        <v>event_team_player_2</v>
      </c>
      <c r="Y1166">
        <f>COUNTIFS(A$3:A1166,"="&amp;A1166,K$3:K1166,"="&amp;K1166)</f>
        <v>2</v>
      </c>
      <c r="Z1166" s="20">
        <f>SUMIFS(T$3:T1166,L$3:L1166,"=Intermission")+SUMIFS(T$3:T1166,L$3:L1166,"=Timeout")+SUMIFS(T$3:T1166,L$3:L1166,"=Clockstop")</f>
        <v>68</v>
      </c>
      <c r="AA1166">
        <f t="shared" si="213"/>
        <v>1148</v>
      </c>
      <c r="AC1166">
        <f t="shared" si="214"/>
        <v>1216</v>
      </c>
    </row>
    <row r="1167" spans="1:29" x14ac:dyDescent="0.2">
      <c r="A1167">
        <v>614</v>
      </c>
      <c r="D1167">
        <f t="shared" si="215"/>
        <v>2</v>
      </c>
      <c r="E1167">
        <v>10</v>
      </c>
      <c r="F1167" s="6" t="s">
        <v>492</v>
      </c>
      <c r="I1167" t="s">
        <v>179</v>
      </c>
      <c r="J1167">
        <v>42</v>
      </c>
      <c r="K1167" t="s">
        <v>489</v>
      </c>
      <c r="L1167" t="s">
        <v>6</v>
      </c>
      <c r="M1167" t="s">
        <v>207</v>
      </c>
      <c r="Q1167">
        <f t="shared" si="216"/>
        <v>18977</v>
      </c>
      <c r="R1167" t="str">
        <f t="shared" si="216"/>
        <v>Velodrome</v>
      </c>
      <c r="S1167" t="str">
        <f t="shared" si="216"/>
        <v>HollowBrook</v>
      </c>
      <c r="T1167" s="20">
        <f t="shared" si="210"/>
        <v>0</v>
      </c>
      <c r="U1167">
        <f t="shared" si="211"/>
        <v>653</v>
      </c>
      <c r="V1167">
        <f t="shared" si="212"/>
        <v>653</v>
      </c>
      <c r="W1167" cm="1">
        <f t="array" ref="W1167">_xlfn._xlws.FILTER(shifts!A:A,(shifts!B:B=events!D1167)*(shifts!AH:AH&gt;=events!U1167)*(shifts!AI:AI&lt;=events!V1167))</f>
        <v>43</v>
      </c>
      <c r="X1167" t="str">
        <f t="shared" si="209"/>
        <v>opp_team_player_1</v>
      </c>
      <c r="Y1167">
        <f>COUNTIFS(A$3:A1167,"="&amp;A1167,K$3:K1167,"="&amp;K1167)</f>
        <v>1</v>
      </c>
      <c r="Z1167" s="20">
        <f>SUMIFS(T$3:T1167,L$3:L1167,"=Intermission")+SUMIFS(T$3:T1167,L$3:L1167,"=Timeout")+SUMIFS(T$3:T1167,L$3:L1167,"=Clockstop")</f>
        <v>68</v>
      </c>
      <c r="AA1167">
        <f t="shared" si="213"/>
        <v>1148</v>
      </c>
      <c r="AC1167">
        <f t="shared" si="214"/>
        <v>1216</v>
      </c>
    </row>
    <row r="1168" spans="1:29" x14ac:dyDescent="0.2">
      <c r="A1168">
        <v>615</v>
      </c>
      <c r="D1168">
        <f t="shared" si="215"/>
        <v>2</v>
      </c>
      <c r="E1168">
        <v>10</v>
      </c>
      <c r="F1168" s="6" t="s">
        <v>428</v>
      </c>
      <c r="G1168">
        <v>10</v>
      </c>
      <c r="H1168" s="8" t="s">
        <v>432</v>
      </c>
      <c r="I1168" t="s">
        <v>179</v>
      </c>
      <c r="J1168">
        <v>2</v>
      </c>
      <c r="K1168" t="s">
        <v>488</v>
      </c>
      <c r="L1168" t="s">
        <v>15</v>
      </c>
      <c r="Q1168">
        <f t="shared" si="216"/>
        <v>18977</v>
      </c>
      <c r="R1168" t="str">
        <f t="shared" si="216"/>
        <v>Velodrome</v>
      </c>
      <c r="S1168" t="str">
        <f t="shared" si="216"/>
        <v>HollowBrook</v>
      </c>
      <c r="T1168" s="20">
        <f t="shared" si="210"/>
        <v>2</v>
      </c>
      <c r="U1168">
        <f t="shared" si="211"/>
        <v>652</v>
      </c>
      <c r="V1168">
        <f t="shared" si="212"/>
        <v>650</v>
      </c>
      <c r="W1168" cm="1">
        <f t="array" ref="W1168">_xlfn._xlws.FILTER(shifts!A:A,(shifts!B:B=events!D1168)*(shifts!AH:AH&gt;=events!U1168)*(shifts!AI:AI&lt;=events!V1168))</f>
        <v>43</v>
      </c>
      <c r="X1168" t="str">
        <f t="shared" si="209"/>
        <v>event_team_player_1</v>
      </c>
      <c r="Y1168">
        <f>COUNTIFS(A$3:A1168,"="&amp;A1168,K$3:K1168,"="&amp;K1168)</f>
        <v>1</v>
      </c>
      <c r="Z1168" s="20">
        <f>SUMIFS(T$3:T1168,L$3:L1168,"=Intermission")+SUMIFS(T$3:T1168,L$3:L1168,"=Timeout")+SUMIFS(T$3:T1168,L$3:L1168,"=Clockstop")</f>
        <v>68</v>
      </c>
      <c r="AA1168">
        <f t="shared" si="213"/>
        <v>1148</v>
      </c>
      <c r="AC1168">
        <f t="shared" si="214"/>
        <v>1216</v>
      </c>
    </row>
    <row r="1169" spans="1:29" x14ac:dyDescent="0.2">
      <c r="A1169">
        <v>616</v>
      </c>
      <c r="D1169">
        <f t="shared" si="215"/>
        <v>2</v>
      </c>
      <c r="E1169">
        <v>10</v>
      </c>
      <c r="F1169" s="6" t="s">
        <v>432</v>
      </c>
      <c r="I1169" t="s">
        <v>179</v>
      </c>
      <c r="J1169">
        <v>2</v>
      </c>
      <c r="K1169" t="s">
        <v>488</v>
      </c>
      <c r="L1169" t="s">
        <v>8</v>
      </c>
      <c r="M1169" t="s">
        <v>199</v>
      </c>
      <c r="N1169" t="s">
        <v>70</v>
      </c>
      <c r="Q1169">
        <f t="shared" si="216"/>
        <v>18977</v>
      </c>
      <c r="R1169" t="str">
        <f t="shared" si="216"/>
        <v>Velodrome</v>
      </c>
      <c r="S1169" t="str">
        <f t="shared" si="216"/>
        <v>HollowBrook</v>
      </c>
      <c r="T1169" s="20">
        <f t="shared" si="210"/>
        <v>0</v>
      </c>
      <c r="U1169">
        <f t="shared" si="211"/>
        <v>650</v>
      </c>
      <c r="V1169">
        <f t="shared" si="212"/>
        <v>650</v>
      </c>
      <c r="W1169" cm="1">
        <f t="array" ref="W1169">_xlfn._xlws.FILTER(shifts!A:A,(shifts!B:B=events!D1169)*(shifts!AH:AH&gt;=events!U1169)*(shifts!AI:AI&lt;=events!V1169))</f>
        <v>43</v>
      </c>
      <c r="X1169" t="str">
        <f t="shared" si="209"/>
        <v>event_team_player_1</v>
      </c>
      <c r="Y1169">
        <f>COUNTIFS(A$3:A1169,"="&amp;A1169,K$3:K1169,"="&amp;K1169)</f>
        <v>1</v>
      </c>
      <c r="Z1169" s="20">
        <f>SUMIFS(T$3:T1169,L$3:L1169,"=Intermission")+SUMIFS(T$3:T1169,L$3:L1169,"=Timeout")+SUMIFS(T$3:T1169,L$3:L1169,"=Clockstop")</f>
        <v>68</v>
      </c>
      <c r="AA1169">
        <f t="shared" si="213"/>
        <v>1148</v>
      </c>
      <c r="AC1169">
        <f t="shared" si="214"/>
        <v>1216</v>
      </c>
    </row>
    <row r="1170" spans="1:29" x14ac:dyDescent="0.2">
      <c r="A1170">
        <v>616</v>
      </c>
      <c r="D1170">
        <f t="shared" si="215"/>
        <v>2</v>
      </c>
      <c r="E1170">
        <v>10</v>
      </c>
      <c r="F1170" s="6" t="s">
        <v>432</v>
      </c>
      <c r="I1170" t="s">
        <v>179</v>
      </c>
      <c r="J1170">
        <v>19</v>
      </c>
      <c r="K1170" t="s">
        <v>488</v>
      </c>
      <c r="L1170" t="s">
        <v>8</v>
      </c>
      <c r="M1170" t="s">
        <v>199</v>
      </c>
      <c r="N1170" t="s">
        <v>70</v>
      </c>
      <c r="Q1170">
        <f t="shared" si="216"/>
        <v>18977</v>
      </c>
      <c r="R1170" t="str">
        <f t="shared" si="216"/>
        <v>Velodrome</v>
      </c>
      <c r="S1170" t="str">
        <f t="shared" si="216"/>
        <v>HollowBrook</v>
      </c>
      <c r="T1170" s="20">
        <f t="shared" si="210"/>
        <v>0</v>
      </c>
      <c r="U1170">
        <f t="shared" si="211"/>
        <v>650</v>
      </c>
      <c r="V1170">
        <f t="shared" si="212"/>
        <v>650</v>
      </c>
      <c r="W1170" cm="1">
        <f t="array" ref="W1170">_xlfn._xlws.FILTER(shifts!A:A,(shifts!B:B=events!D1170)*(shifts!AH:AH&gt;=events!U1170)*(shifts!AI:AI&lt;=events!V1170))</f>
        <v>43</v>
      </c>
      <c r="X1170" t="str">
        <f t="shared" si="209"/>
        <v>event_team_player_2</v>
      </c>
      <c r="Y1170">
        <f>COUNTIFS(A$3:A1170,"="&amp;A1170,K$3:K1170,"="&amp;K1170)</f>
        <v>2</v>
      </c>
      <c r="Z1170" s="20">
        <f>SUMIFS(T$3:T1170,L$3:L1170,"=Intermission")+SUMIFS(T$3:T1170,L$3:L1170,"=Timeout")+SUMIFS(T$3:T1170,L$3:L1170,"=Clockstop")</f>
        <v>68</v>
      </c>
      <c r="AA1170">
        <f t="shared" si="213"/>
        <v>1148</v>
      </c>
      <c r="AC1170">
        <f t="shared" si="214"/>
        <v>1216</v>
      </c>
    </row>
    <row r="1171" spans="1:29" x14ac:dyDescent="0.2">
      <c r="A1171">
        <v>617</v>
      </c>
      <c r="D1171">
        <f t="shared" si="215"/>
        <v>2</v>
      </c>
      <c r="E1171">
        <v>10</v>
      </c>
      <c r="F1171" s="6" t="s">
        <v>432</v>
      </c>
      <c r="I1171" t="s">
        <v>179</v>
      </c>
      <c r="J1171">
        <v>2</v>
      </c>
      <c r="K1171" t="s">
        <v>488</v>
      </c>
      <c r="L1171" t="s">
        <v>277</v>
      </c>
      <c r="M1171" t="s">
        <v>191</v>
      </c>
      <c r="N1171" t="s">
        <v>515</v>
      </c>
      <c r="Q1171">
        <f t="shared" si="216"/>
        <v>18977</v>
      </c>
      <c r="R1171" t="str">
        <f t="shared" si="216"/>
        <v>Velodrome</v>
      </c>
      <c r="S1171" t="str">
        <f t="shared" si="216"/>
        <v>HollowBrook</v>
      </c>
      <c r="T1171" s="20">
        <f t="shared" si="210"/>
        <v>0</v>
      </c>
      <c r="U1171">
        <f t="shared" si="211"/>
        <v>650</v>
      </c>
      <c r="V1171">
        <f t="shared" si="212"/>
        <v>650</v>
      </c>
      <c r="W1171" cm="1">
        <f t="array" ref="W1171">_xlfn._xlws.FILTER(shifts!A:A,(shifts!B:B=events!D1171)*(shifts!AH:AH&gt;=events!U1171)*(shifts!AI:AI&lt;=events!V1171))</f>
        <v>43</v>
      </c>
      <c r="X1171" t="str">
        <f t="shared" si="209"/>
        <v>event_team_player_1</v>
      </c>
      <c r="Y1171">
        <f>COUNTIFS(A$3:A1171,"="&amp;A1171,K$3:K1171,"="&amp;K1171)</f>
        <v>1</v>
      </c>
      <c r="Z1171" s="20">
        <f>SUMIFS(T$3:T1171,L$3:L1171,"=Intermission")+SUMIFS(T$3:T1171,L$3:L1171,"=Timeout")+SUMIFS(T$3:T1171,L$3:L1171,"=Clockstop")</f>
        <v>68</v>
      </c>
      <c r="AA1171">
        <f t="shared" si="213"/>
        <v>1148</v>
      </c>
      <c r="AC1171">
        <f t="shared" si="214"/>
        <v>1216</v>
      </c>
    </row>
    <row r="1172" spans="1:29" x14ac:dyDescent="0.2">
      <c r="A1172">
        <v>617</v>
      </c>
      <c r="D1172">
        <f t="shared" si="215"/>
        <v>2</v>
      </c>
      <c r="E1172">
        <v>10</v>
      </c>
      <c r="F1172" s="6" t="s">
        <v>432</v>
      </c>
      <c r="I1172" t="s">
        <v>179</v>
      </c>
      <c r="J1172">
        <v>19</v>
      </c>
      <c r="K1172" t="s">
        <v>488</v>
      </c>
      <c r="L1172" t="s">
        <v>277</v>
      </c>
      <c r="M1172" t="s">
        <v>191</v>
      </c>
      <c r="N1172" t="s">
        <v>515</v>
      </c>
      <c r="Q1172">
        <f t="shared" si="216"/>
        <v>18977</v>
      </c>
      <c r="R1172" t="str">
        <f t="shared" si="216"/>
        <v>Velodrome</v>
      </c>
      <c r="S1172" t="str">
        <f t="shared" si="216"/>
        <v>HollowBrook</v>
      </c>
      <c r="T1172" s="20">
        <f t="shared" si="210"/>
        <v>0</v>
      </c>
      <c r="U1172">
        <f t="shared" si="211"/>
        <v>650</v>
      </c>
      <c r="V1172">
        <f t="shared" si="212"/>
        <v>650</v>
      </c>
      <c r="W1172" cm="1">
        <f t="array" ref="W1172">_xlfn._xlws.FILTER(shifts!A:A,(shifts!B:B=events!D1172)*(shifts!AH:AH&gt;=events!U1172)*(shifts!AI:AI&lt;=events!V1172))</f>
        <v>43</v>
      </c>
      <c r="X1172" t="str">
        <f t="shared" si="209"/>
        <v>event_team_player_2</v>
      </c>
      <c r="Y1172">
        <f>COUNTIFS(A$3:A1172,"="&amp;A1172,K$3:K1172,"="&amp;K1172)</f>
        <v>2</v>
      </c>
      <c r="Z1172" s="20">
        <f>SUMIFS(T$3:T1172,L$3:L1172,"=Intermission")+SUMIFS(T$3:T1172,L$3:L1172,"=Timeout")+SUMIFS(T$3:T1172,L$3:L1172,"=Clockstop")</f>
        <v>68</v>
      </c>
      <c r="AA1172">
        <f t="shared" si="213"/>
        <v>1148</v>
      </c>
      <c r="AC1172">
        <f t="shared" si="214"/>
        <v>1216</v>
      </c>
    </row>
    <row r="1173" spans="1:29" x14ac:dyDescent="0.2">
      <c r="A1173">
        <v>618</v>
      </c>
      <c r="D1173">
        <f t="shared" si="215"/>
        <v>2</v>
      </c>
      <c r="E1173">
        <v>10</v>
      </c>
      <c r="F1173" s="6" t="s">
        <v>432</v>
      </c>
      <c r="I1173" t="s">
        <v>179</v>
      </c>
      <c r="J1173">
        <v>2</v>
      </c>
      <c r="K1173" t="s">
        <v>488</v>
      </c>
      <c r="L1173" t="s">
        <v>10</v>
      </c>
      <c r="M1173" t="s">
        <v>190</v>
      </c>
      <c r="N1173" t="s">
        <v>508</v>
      </c>
      <c r="Q1173">
        <f t="shared" si="216"/>
        <v>18977</v>
      </c>
      <c r="R1173" t="str">
        <f t="shared" si="216"/>
        <v>Velodrome</v>
      </c>
      <c r="S1173" t="str">
        <f t="shared" si="216"/>
        <v>HollowBrook</v>
      </c>
      <c r="T1173" s="20">
        <f t="shared" si="210"/>
        <v>0</v>
      </c>
      <c r="U1173">
        <f t="shared" si="211"/>
        <v>650</v>
      </c>
      <c r="V1173">
        <f t="shared" si="212"/>
        <v>650</v>
      </c>
      <c r="W1173" cm="1">
        <f t="array" ref="W1173">_xlfn._xlws.FILTER(shifts!A:A,(shifts!B:B=events!D1173)*(shifts!AH:AH&gt;=events!U1173)*(shifts!AI:AI&lt;=events!V1173))</f>
        <v>43</v>
      </c>
      <c r="X1173" t="str">
        <f t="shared" si="209"/>
        <v>event_team_player_1</v>
      </c>
      <c r="Y1173">
        <f>COUNTIFS(A$3:A1173,"="&amp;A1173,K$3:K1173,"="&amp;K1173)</f>
        <v>1</v>
      </c>
      <c r="Z1173" s="20">
        <f>SUMIFS(T$3:T1173,L$3:L1173,"=Intermission")+SUMIFS(T$3:T1173,L$3:L1173,"=Timeout")+SUMIFS(T$3:T1173,L$3:L1173,"=Clockstop")</f>
        <v>68</v>
      </c>
      <c r="AA1173">
        <f t="shared" si="213"/>
        <v>1148</v>
      </c>
      <c r="AC1173">
        <f t="shared" si="214"/>
        <v>1216</v>
      </c>
    </row>
    <row r="1174" spans="1:29" x14ac:dyDescent="0.2">
      <c r="A1174">
        <v>619</v>
      </c>
      <c r="D1174">
        <f t="shared" si="215"/>
        <v>2</v>
      </c>
      <c r="E1174">
        <v>10</v>
      </c>
      <c r="F1174" s="6" t="s">
        <v>436</v>
      </c>
      <c r="I1174" t="s">
        <v>178</v>
      </c>
      <c r="J1174">
        <v>84</v>
      </c>
      <c r="K1174" t="s">
        <v>488</v>
      </c>
      <c r="L1174" t="s">
        <v>8</v>
      </c>
      <c r="M1174" t="s">
        <v>189</v>
      </c>
      <c r="N1174" t="s">
        <v>68</v>
      </c>
      <c r="Q1174">
        <f t="shared" ref="Q1174:S1189" si="221">Q1173</f>
        <v>18977</v>
      </c>
      <c r="R1174" t="str">
        <f t="shared" si="221"/>
        <v>Velodrome</v>
      </c>
      <c r="S1174" t="str">
        <f t="shared" si="221"/>
        <v>HollowBrook</v>
      </c>
      <c r="T1174" s="20">
        <f t="shared" si="210"/>
        <v>0</v>
      </c>
      <c r="U1174">
        <f t="shared" si="211"/>
        <v>645</v>
      </c>
      <c r="V1174">
        <f t="shared" si="212"/>
        <v>645</v>
      </c>
      <c r="W1174" cm="1">
        <f t="array" ref="W1174">_xlfn._xlws.FILTER(shifts!A:A,(shifts!B:B=events!D1174)*(shifts!AH:AH&gt;=events!U1174)*(shifts!AI:AI&lt;=events!V1174))</f>
        <v>43</v>
      </c>
      <c r="X1174" t="str">
        <f t="shared" si="209"/>
        <v>event_team_player_1</v>
      </c>
      <c r="Y1174">
        <f>COUNTIFS(A$3:A1174,"="&amp;A1174,K$3:K1174,"="&amp;K1174)</f>
        <v>1</v>
      </c>
      <c r="Z1174" s="20">
        <f>SUMIFS(T$3:T1174,L$3:L1174,"=Intermission")+SUMIFS(T$3:T1174,L$3:L1174,"=Timeout")+SUMIFS(T$3:T1174,L$3:L1174,"=Clockstop")</f>
        <v>68</v>
      </c>
      <c r="AA1174">
        <f t="shared" si="213"/>
        <v>1148</v>
      </c>
      <c r="AC1174">
        <f t="shared" si="214"/>
        <v>1216</v>
      </c>
    </row>
    <row r="1175" spans="1:29" x14ac:dyDescent="0.2">
      <c r="A1175">
        <v>619</v>
      </c>
      <c r="D1175">
        <f t="shared" si="215"/>
        <v>2</v>
      </c>
      <c r="E1175">
        <v>10</v>
      </c>
      <c r="F1175" s="6" t="s">
        <v>436</v>
      </c>
      <c r="I1175" t="s">
        <v>178</v>
      </c>
      <c r="J1175">
        <v>91</v>
      </c>
      <c r="K1175" t="s">
        <v>488</v>
      </c>
      <c r="L1175" t="s">
        <v>8</v>
      </c>
      <c r="M1175" t="s">
        <v>189</v>
      </c>
      <c r="N1175" t="s">
        <v>68</v>
      </c>
      <c r="Q1175">
        <f t="shared" si="221"/>
        <v>18977</v>
      </c>
      <c r="R1175" t="str">
        <f t="shared" si="221"/>
        <v>Velodrome</v>
      </c>
      <c r="S1175" t="str">
        <f t="shared" si="221"/>
        <v>HollowBrook</v>
      </c>
      <c r="T1175" s="20">
        <f t="shared" si="210"/>
        <v>0</v>
      </c>
      <c r="U1175">
        <f t="shared" si="211"/>
        <v>645</v>
      </c>
      <c r="V1175">
        <f t="shared" si="212"/>
        <v>645</v>
      </c>
      <c r="W1175" cm="1">
        <f t="array" ref="W1175">_xlfn._xlws.FILTER(shifts!A:A,(shifts!B:B=events!D1175)*(shifts!AH:AH&gt;=events!U1175)*(shifts!AI:AI&lt;=events!V1175))</f>
        <v>43</v>
      </c>
      <c r="X1175" t="str">
        <f t="shared" si="209"/>
        <v>event_team_player_2</v>
      </c>
      <c r="Y1175">
        <f>COUNTIFS(A$3:A1175,"="&amp;A1175,K$3:K1175,"="&amp;K1175)</f>
        <v>2</v>
      </c>
      <c r="Z1175" s="20">
        <f>SUMIFS(T$3:T1175,L$3:L1175,"=Intermission")+SUMIFS(T$3:T1175,L$3:L1175,"=Timeout")+SUMIFS(T$3:T1175,L$3:L1175,"=Clockstop")</f>
        <v>68</v>
      </c>
      <c r="AA1175">
        <f t="shared" si="213"/>
        <v>1148</v>
      </c>
      <c r="AC1175">
        <f t="shared" si="214"/>
        <v>1216</v>
      </c>
    </row>
    <row r="1176" spans="1:29" x14ac:dyDescent="0.2">
      <c r="A1176">
        <v>620</v>
      </c>
      <c r="D1176">
        <f t="shared" si="215"/>
        <v>2</v>
      </c>
      <c r="E1176">
        <v>10</v>
      </c>
      <c r="F1176" s="6" t="s">
        <v>454</v>
      </c>
      <c r="G1176">
        <v>10</v>
      </c>
      <c r="H1176" s="8" t="s">
        <v>481</v>
      </c>
      <c r="I1176" t="s">
        <v>178</v>
      </c>
      <c r="J1176">
        <v>91</v>
      </c>
      <c r="K1176" t="s">
        <v>488</v>
      </c>
      <c r="L1176" t="s">
        <v>15</v>
      </c>
      <c r="Q1176">
        <f t="shared" si="221"/>
        <v>18977</v>
      </c>
      <c r="R1176" t="str">
        <f t="shared" si="221"/>
        <v>Velodrome</v>
      </c>
      <c r="S1176" t="str">
        <f t="shared" si="221"/>
        <v>HollowBrook</v>
      </c>
      <c r="T1176" s="20">
        <f t="shared" si="210"/>
        <v>4</v>
      </c>
      <c r="U1176">
        <f t="shared" si="211"/>
        <v>643</v>
      </c>
      <c r="V1176">
        <f t="shared" si="212"/>
        <v>639</v>
      </c>
      <c r="W1176" cm="1">
        <f t="array" ref="W1176">_xlfn._xlws.FILTER(shifts!A:A,(shifts!B:B=events!D1176)*(shifts!AH:AH&gt;=events!U1176)*(shifts!AI:AI&lt;=events!V1176))</f>
        <v>43</v>
      </c>
      <c r="X1176" t="str">
        <f t="shared" si="209"/>
        <v>event_team_player_1</v>
      </c>
      <c r="Y1176">
        <f>COUNTIFS(A$3:A1176,"="&amp;A1176,K$3:K1176,"="&amp;K1176)</f>
        <v>1</v>
      </c>
      <c r="Z1176" s="20">
        <f>SUMIFS(T$3:T1176,L$3:L1176,"=Intermission")+SUMIFS(T$3:T1176,L$3:L1176,"=Timeout")+SUMIFS(T$3:T1176,L$3:L1176,"=Clockstop")</f>
        <v>68</v>
      </c>
      <c r="AA1176">
        <f t="shared" si="213"/>
        <v>1148</v>
      </c>
      <c r="AC1176">
        <f t="shared" si="214"/>
        <v>1216</v>
      </c>
    </row>
    <row r="1177" spans="1:29" x14ac:dyDescent="0.2">
      <c r="A1177">
        <v>620</v>
      </c>
      <c r="D1177">
        <f t="shared" si="215"/>
        <v>2</v>
      </c>
      <c r="E1177">
        <v>10</v>
      </c>
      <c r="F1177" s="6" t="s">
        <v>454</v>
      </c>
      <c r="G1177">
        <v>10</v>
      </c>
      <c r="H1177" s="8" t="s">
        <v>481</v>
      </c>
      <c r="I1177" t="s">
        <v>178</v>
      </c>
      <c r="J1177">
        <v>40</v>
      </c>
      <c r="K1177" t="s">
        <v>489</v>
      </c>
      <c r="L1177" t="s">
        <v>15</v>
      </c>
      <c r="Q1177">
        <f t="shared" si="221"/>
        <v>18977</v>
      </c>
      <c r="R1177" t="str">
        <f t="shared" si="221"/>
        <v>Velodrome</v>
      </c>
      <c r="S1177" t="str">
        <f t="shared" si="221"/>
        <v>HollowBrook</v>
      </c>
      <c r="T1177" s="20">
        <f t="shared" si="210"/>
        <v>4</v>
      </c>
      <c r="U1177">
        <f t="shared" si="211"/>
        <v>643</v>
      </c>
      <c r="V1177">
        <f t="shared" si="212"/>
        <v>639</v>
      </c>
      <c r="W1177" cm="1">
        <f t="array" ref="W1177">_xlfn._xlws.FILTER(shifts!A:A,(shifts!B:B=events!D1177)*(shifts!AH:AH&gt;=events!U1177)*(shifts!AI:AI&lt;=events!V1177))</f>
        <v>43</v>
      </c>
      <c r="X1177" t="str">
        <f t="shared" si="209"/>
        <v>opp_team_player_1</v>
      </c>
      <c r="Y1177">
        <f>COUNTIFS(A$3:A1177,"="&amp;A1177,K$3:K1177,"="&amp;K1177)</f>
        <v>1</v>
      </c>
      <c r="Z1177" s="20">
        <f>SUMIFS(T$3:T1177,L$3:L1177,"=Intermission")+SUMIFS(T$3:T1177,L$3:L1177,"=Timeout")+SUMIFS(T$3:T1177,L$3:L1177,"=Clockstop")</f>
        <v>68</v>
      </c>
      <c r="AA1177">
        <f t="shared" si="213"/>
        <v>1148</v>
      </c>
      <c r="AC1177">
        <f t="shared" si="214"/>
        <v>1216</v>
      </c>
    </row>
    <row r="1178" spans="1:29" x14ac:dyDescent="0.2">
      <c r="A1178">
        <v>621</v>
      </c>
      <c r="D1178">
        <f t="shared" si="215"/>
        <v>2</v>
      </c>
      <c r="E1178">
        <v>10</v>
      </c>
      <c r="F1178" s="6" t="s">
        <v>481</v>
      </c>
      <c r="I1178" t="s">
        <v>178</v>
      </c>
      <c r="J1178">
        <v>91</v>
      </c>
      <c r="K1178" t="s">
        <v>488</v>
      </c>
      <c r="L1178" t="s">
        <v>8</v>
      </c>
      <c r="M1178" t="s">
        <v>189</v>
      </c>
      <c r="N1178" t="s">
        <v>70</v>
      </c>
      <c r="Q1178">
        <f t="shared" si="221"/>
        <v>18977</v>
      </c>
      <c r="R1178" t="str">
        <f t="shared" si="221"/>
        <v>Velodrome</v>
      </c>
      <c r="S1178" t="str">
        <f t="shared" si="221"/>
        <v>HollowBrook</v>
      </c>
      <c r="T1178" s="20">
        <f t="shared" si="210"/>
        <v>0</v>
      </c>
      <c r="U1178">
        <f t="shared" si="211"/>
        <v>639</v>
      </c>
      <c r="V1178">
        <f t="shared" si="212"/>
        <v>639</v>
      </c>
      <c r="W1178" cm="1">
        <f t="array" ref="W1178">_xlfn._xlws.FILTER(shifts!A:A,(shifts!B:B=events!D1178)*(shifts!AH:AH&gt;=events!U1178)*(shifts!AI:AI&lt;=events!V1178))</f>
        <v>43</v>
      </c>
      <c r="X1178" t="str">
        <f t="shared" si="209"/>
        <v>event_team_player_1</v>
      </c>
      <c r="Y1178">
        <f>COUNTIFS(A$3:A1178,"="&amp;A1178,K$3:K1178,"="&amp;K1178)</f>
        <v>1</v>
      </c>
      <c r="Z1178" s="20">
        <f>SUMIFS(T$3:T1178,L$3:L1178,"=Intermission")+SUMIFS(T$3:T1178,L$3:L1178,"=Timeout")+SUMIFS(T$3:T1178,L$3:L1178,"=Clockstop")</f>
        <v>68</v>
      </c>
      <c r="AA1178">
        <f t="shared" si="213"/>
        <v>1148</v>
      </c>
      <c r="AC1178">
        <f t="shared" si="214"/>
        <v>1216</v>
      </c>
    </row>
    <row r="1179" spans="1:29" x14ac:dyDescent="0.2">
      <c r="A1179">
        <v>621</v>
      </c>
      <c r="D1179">
        <f t="shared" si="215"/>
        <v>2</v>
      </c>
      <c r="E1179">
        <v>10</v>
      </c>
      <c r="F1179" s="6" t="s">
        <v>481</v>
      </c>
      <c r="I1179" t="s">
        <v>178</v>
      </c>
      <c r="J1179">
        <v>84</v>
      </c>
      <c r="K1179" t="s">
        <v>488</v>
      </c>
      <c r="L1179" t="s">
        <v>8</v>
      </c>
      <c r="M1179" t="s">
        <v>189</v>
      </c>
      <c r="N1179" t="s">
        <v>70</v>
      </c>
      <c r="Q1179">
        <f t="shared" si="221"/>
        <v>18977</v>
      </c>
      <c r="R1179" t="str">
        <f t="shared" si="221"/>
        <v>Velodrome</v>
      </c>
      <c r="S1179" t="str">
        <f t="shared" si="221"/>
        <v>HollowBrook</v>
      </c>
      <c r="T1179" s="20">
        <f t="shared" si="210"/>
        <v>0</v>
      </c>
      <c r="U1179">
        <f t="shared" si="211"/>
        <v>639</v>
      </c>
      <c r="V1179">
        <f t="shared" si="212"/>
        <v>639</v>
      </c>
      <c r="W1179" cm="1">
        <f t="array" ref="W1179">_xlfn._xlws.FILTER(shifts!A:A,(shifts!B:B=events!D1179)*(shifts!AH:AH&gt;=events!U1179)*(shifts!AI:AI&lt;=events!V1179))</f>
        <v>43</v>
      </c>
      <c r="X1179" t="str">
        <f t="shared" si="209"/>
        <v>event_team_player_2</v>
      </c>
      <c r="Y1179">
        <f>COUNTIFS(A$3:A1179,"="&amp;A1179,K$3:K1179,"="&amp;K1179)</f>
        <v>2</v>
      </c>
      <c r="Z1179" s="20">
        <f>SUMIFS(T$3:T1179,L$3:L1179,"=Intermission")+SUMIFS(T$3:T1179,L$3:L1179,"=Timeout")+SUMIFS(T$3:T1179,L$3:L1179,"=Clockstop")</f>
        <v>68</v>
      </c>
      <c r="AA1179">
        <f t="shared" si="213"/>
        <v>1148</v>
      </c>
      <c r="AC1179">
        <f t="shared" si="214"/>
        <v>1216</v>
      </c>
    </row>
    <row r="1180" spans="1:29" x14ac:dyDescent="0.2">
      <c r="A1180">
        <v>622</v>
      </c>
      <c r="D1180">
        <f t="shared" si="215"/>
        <v>2</v>
      </c>
      <c r="E1180">
        <v>10</v>
      </c>
      <c r="F1180" s="6" t="s">
        <v>455</v>
      </c>
      <c r="I1180" t="s">
        <v>178</v>
      </c>
      <c r="J1180">
        <v>84</v>
      </c>
      <c r="K1180" t="s">
        <v>488</v>
      </c>
      <c r="L1180" t="s">
        <v>277</v>
      </c>
      <c r="M1180" t="s">
        <v>201</v>
      </c>
      <c r="N1180" t="s">
        <v>499</v>
      </c>
      <c r="Q1180">
        <f t="shared" si="221"/>
        <v>18977</v>
      </c>
      <c r="R1180" t="str">
        <f t="shared" si="221"/>
        <v>Velodrome</v>
      </c>
      <c r="S1180" t="str">
        <f t="shared" si="221"/>
        <v>HollowBrook</v>
      </c>
      <c r="T1180" s="20">
        <f t="shared" si="210"/>
        <v>0</v>
      </c>
      <c r="U1180">
        <f t="shared" si="211"/>
        <v>635</v>
      </c>
      <c r="V1180">
        <f t="shared" si="212"/>
        <v>635</v>
      </c>
      <c r="W1180" cm="1">
        <f t="array" ref="W1180">_xlfn._xlws.FILTER(shifts!A:A,(shifts!B:B=events!D1180)*(shifts!AH:AH&gt;=events!U1180)*(shifts!AI:AI&lt;=events!V1180))</f>
        <v>43</v>
      </c>
      <c r="X1180" t="str">
        <f t="shared" si="209"/>
        <v>event_team_player_1</v>
      </c>
      <c r="Y1180">
        <f>COUNTIFS(A$3:A1180,"="&amp;A1180,K$3:K1180,"="&amp;K1180)</f>
        <v>1</v>
      </c>
      <c r="Z1180" s="20">
        <f>SUMIFS(T$3:T1180,L$3:L1180,"=Intermission")+SUMIFS(T$3:T1180,L$3:L1180,"=Timeout")+SUMIFS(T$3:T1180,L$3:L1180,"=Clockstop")</f>
        <v>68</v>
      </c>
      <c r="AA1180">
        <f t="shared" si="213"/>
        <v>1148</v>
      </c>
      <c r="AC1180">
        <f t="shared" si="214"/>
        <v>1216</v>
      </c>
    </row>
    <row r="1181" spans="1:29" x14ac:dyDescent="0.2">
      <c r="A1181">
        <v>623</v>
      </c>
      <c r="D1181">
        <f t="shared" si="215"/>
        <v>2</v>
      </c>
      <c r="E1181">
        <v>10</v>
      </c>
      <c r="F1181" s="6" t="s">
        <v>455</v>
      </c>
      <c r="I1181" t="s">
        <v>178</v>
      </c>
      <c r="J1181">
        <v>84</v>
      </c>
      <c r="K1181" t="s">
        <v>488</v>
      </c>
      <c r="L1181" t="s">
        <v>10</v>
      </c>
      <c r="M1181" t="s">
        <v>190</v>
      </c>
      <c r="N1181" t="s">
        <v>508</v>
      </c>
      <c r="Q1181">
        <f t="shared" si="221"/>
        <v>18977</v>
      </c>
      <c r="R1181" t="str">
        <f t="shared" si="221"/>
        <v>Velodrome</v>
      </c>
      <c r="S1181" t="str">
        <f t="shared" si="221"/>
        <v>HollowBrook</v>
      </c>
      <c r="T1181" s="20">
        <f t="shared" si="210"/>
        <v>0</v>
      </c>
      <c r="U1181">
        <f t="shared" si="211"/>
        <v>635</v>
      </c>
      <c r="V1181">
        <f t="shared" si="212"/>
        <v>635</v>
      </c>
      <c r="W1181" cm="1">
        <f t="array" ref="W1181">_xlfn._xlws.FILTER(shifts!A:A,(shifts!B:B=events!D1181)*(shifts!AH:AH&gt;=events!U1181)*(shifts!AI:AI&lt;=events!V1181))</f>
        <v>43</v>
      </c>
      <c r="X1181" t="str">
        <f t="shared" si="209"/>
        <v>event_team_player_1</v>
      </c>
      <c r="Y1181">
        <f>COUNTIFS(A$3:A1181,"="&amp;A1181,K$3:K1181,"="&amp;K1181)</f>
        <v>1</v>
      </c>
      <c r="Z1181" s="20">
        <f>SUMIFS(T$3:T1181,L$3:L1181,"=Intermission")+SUMIFS(T$3:T1181,L$3:L1181,"=Timeout")+SUMIFS(T$3:T1181,L$3:L1181,"=Clockstop")</f>
        <v>68</v>
      </c>
      <c r="AA1181">
        <f t="shared" si="213"/>
        <v>1148</v>
      </c>
      <c r="AC1181">
        <f t="shared" si="214"/>
        <v>1216</v>
      </c>
    </row>
    <row r="1182" spans="1:29" x14ac:dyDescent="0.2">
      <c r="A1182">
        <v>624</v>
      </c>
      <c r="D1182">
        <f t="shared" si="215"/>
        <v>2</v>
      </c>
      <c r="E1182">
        <v>10</v>
      </c>
      <c r="F1182" s="6" t="s">
        <v>493</v>
      </c>
      <c r="G1182">
        <v>10</v>
      </c>
      <c r="H1182" s="8" t="s">
        <v>442</v>
      </c>
      <c r="I1182" t="s">
        <v>179</v>
      </c>
      <c r="J1182">
        <v>19</v>
      </c>
      <c r="K1182" t="s">
        <v>488</v>
      </c>
      <c r="L1182" t="s">
        <v>277</v>
      </c>
      <c r="M1182" t="s">
        <v>191</v>
      </c>
      <c r="N1182" t="s">
        <v>87</v>
      </c>
      <c r="Q1182">
        <f t="shared" si="221"/>
        <v>18977</v>
      </c>
      <c r="R1182" t="str">
        <f t="shared" si="221"/>
        <v>Velodrome</v>
      </c>
      <c r="S1182" t="str">
        <f t="shared" si="221"/>
        <v>HollowBrook</v>
      </c>
      <c r="T1182" s="20">
        <f t="shared" si="210"/>
        <v>2</v>
      </c>
      <c r="U1182">
        <f t="shared" si="211"/>
        <v>631</v>
      </c>
      <c r="V1182">
        <f t="shared" si="212"/>
        <v>629</v>
      </c>
      <c r="W1182" cm="1">
        <f t="array" ref="W1182">_xlfn._xlws.FILTER(shifts!A:A,(shifts!B:B=events!D1182)*(shifts!AH:AH&gt;=events!U1182)*(shifts!AI:AI&lt;=events!V1182))</f>
        <v>43</v>
      </c>
      <c r="X1182" t="str">
        <f t="shared" si="209"/>
        <v>event_team_player_1</v>
      </c>
      <c r="Y1182">
        <f>COUNTIFS(A$3:A1182,"="&amp;A1182,K$3:K1182,"="&amp;K1182)</f>
        <v>1</v>
      </c>
      <c r="Z1182" s="20">
        <f>SUMIFS(T$3:T1182,L$3:L1182,"=Intermission")+SUMIFS(T$3:T1182,L$3:L1182,"=Timeout")+SUMIFS(T$3:T1182,L$3:L1182,"=Clockstop")</f>
        <v>68</v>
      </c>
      <c r="AA1182">
        <f t="shared" si="213"/>
        <v>1148</v>
      </c>
      <c r="AC1182">
        <f t="shared" si="214"/>
        <v>1216</v>
      </c>
    </row>
    <row r="1183" spans="1:29" x14ac:dyDescent="0.2">
      <c r="A1183">
        <v>624</v>
      </c>
      <c r="D1183">
        <f t="shared" si="215"/>
        <v>2</v>
      </c>
      <c r="E1183">
        <v>10</v>
      </c>
      <c r="F1183" s="6" t="s">
        <v>493</v>
      </c>
      <c r="G1183">
        <v>10</v>
      </c>
      <c r="H1183" s="8" t="s">
        <v>442</v>
      </c>
      <c r="I1183" t="s">
        <v>179</v>
      </c>
      <c r="J1183">
        <v>84</v>
      </c>
      <c r="K1183" t="s">
        <v>489</v>
      </c>
      <c r="L1183" t="s">
        <v>277</v>
      </c>
      <c r="M1183" t="s">
        <v>191</v>
      </c>
      <c r="N1183" t="s">
        <v>87</v>
      </c>
      <c r="Q1183">
        <f t="shared" si="221"/>
        <v>18977</v>
      </c>
      <c r="R1183" t="str">
        <f t="shared" si="221"/>
        <v>Velodrome</v>
      </c>
      <c r="S1183" t="str">
        <f t="shared" si="221"/>
        <v>HollowBrook</v>
      </c>
      <c r="T1183" s="20">
        <f t="shared" si="210"/>
        <v>2</v>
      </c>
      <c r="U1183">
        <f t="shared" si="211"/>
        <v>631</v>
      </c>
      <c r="V1183">
        <f t="shared" si="212"/>
        <v>629</v>
      </c>
      <c r="W1183" cm="1">
        <f t="array" ref="W1183">_xlfn._xlws.FILTER(shifts!A:A,(shifts!B:B=events!D1183)*(shifts!AH:AH&gt;=events!U1183)*(shifts!AI:AI&lt;=events!V1183))</f>
        <v>43</v>
      </c>
      <c r="X1183" t="str">
        <f t="shared" si="209"/>
        <v>opp_team_player_1</v>
      </c>
      <c r="Y1183">
        <f>COUNTIFS(A$3:A1183,"="&amp;A1183,K$3:K1183,"="&amp;K1183)</f>
        <v>1</v>
      </c>
      <c r="Z1183" s="20">
        <f>SUMIFS(T$3:T1183,L$3:L1183,"=Intermission")+SUMIFS(T$3:T1183,L$3:L1183,"=Timeout")+SUMIFS(T$3:T1183,L$3:L1183,"=Clockstop")</f>
        <v>68</v>
      </c>
      <c r="AA1183">
        <f t="shared" si="213"/>
        <v>1148</v>
      </c>
      <c r="AC1183">
        <f t="shared" si="214"/>
        <v>1216</v>
      </c>
    </row>
    <row r="1184" spans="1:29" x14ac:dyDescent="0.2">
      <c r="A1184">
        <v>624</v>
      </c>
      <c r="D1184">
        <f t="shared" si="215"/>
        <v>2</v>
      </c>
      <c r="E1184">
        <v>10</v>
      </c>
      <c r="F1184" s="6" t="s">
        <v>493</v>
      </c>
      <c r="G1184">
        <v>10</v>
      </c>
      <c r="H1184" s="8" t="s">
        <v>442</v>
      </c>
      <c r="I1184" t="s">
        <v>179</v>
      </c>
      <c r="J1184">
        <v>87</v>
      </c>
      <c r="K1184" t="s">
        <v>489</v>
      </c>
      <c r="L1184" t="s">
        <v>277</v>
      </c>
      <c r="M1184" t="s">
        <v>191</v>
      </c>
      <c r="N1184" t="s">
        <v>87</v>
      </c>
      <c r="Q1184">
        <f t="shared" si="221"/>
        <v>18977</v>
      </c>
      <c r="R1184" t="str">
        <f t="shared" si="221"/>
        <v>Velodrome</v>
      </c>
      <c r="S1184" t="str">
        <f t="shared" si="221"/>
        <v>HollowBrook</v>
      </c>
      <c r="T1184" s="20">
        <f t="shared" si="210"/>
        <v>2</v>
      </c>
      <c r="U1184">
        <f t="shared" si="211"/>
        <v>631</v>
      </c>
      <c r="V1184">
        <f t="shared" si="212"/>
        <v>629</v>
      </c>
      <c r="W1184" cm="1">
        <f t="array" ref="W1184">_xlfn._xlws.FILTER(shifts!A:A,(shifts!B:B=events!D1184)*(shifts!AH:AH&gt;=events!U1184)*(shifts!AI:AI&lt;=events!V1184))</f>
        <v>43</v>
      </c>
      <c r="X1184" t="str">
        <f t="shared" si="209"/>
        <v>opp_team_player_2</v>
      </c>
      <c r="Y1184">
        <f>COUNTIFS(A$3:A1184,"="&amp;A1184,K$3:K1184,"="&amp;K1184)</f>
        <v>2</v>
      </c>
      <c r="Z1184" s="20">
        <f>SUMIFS(T$3:T1184,L$3:L1184,"=Intermission")+SUMIFS(T$3:T1184,L$3:L1184,"=Timeout")+SUMIFS(T$3:T1184,L$3:L1184,"=Clockstop")</f>
        <v>68</v>
      </c>
      <c r="AA1184">
        <f t="shared" si="213"/>
        <v>1148</v>
      </c>
      <c r="AC1184">
        <f t="shared" si="214"/>
        <v>1216</v>
      </c>
    </row>
    <row r="1185" spans="1:29" x14ac:dyDescent="0.2">
      <c r="A1185">
        <v>625</v>
      </c>
      <c r="D1185">
        <f t="shared" si="215"/>
        <v>2</v>
      </c>
      <c r="E1185">
        <v>10</v>
      </c>
      <c r="F1185" s="6" t="s">
        <v>442</v>
      </c>
      <c r="I1185" t="s">
        <v>179</v>
      </c>
      <c r="J1185">
        <v>19</v>
      </c>
      <c r="K1185" t="s">
        <v>488</v>
      </c>
      <c r="L1185" t="s">
        <v>7</v>
      </c>
      <c r="M1185" t="s">
        <v>222</v>
      </c>
      <c r="N1185" t="s">
        <v>53</v>
      </c>
      <c r="Q1185">
        <f t="shared" si="221"/>
        <v>18977</v>
      </c>
      <c r="R1185" t="str">
        <f t="shared" si="221"/>
        <v>Velodrome</v>
      </c>
      <c r="S1185" t="str">
        <f t="shared" si="221"/>
        <v>HollowBrook</v>
      </c>
      <c r="T1185" s="20">
        <f t="shared" si="210"/>
        <v>0</v>
      </c>
      <c r="U1185">
        <f t="shared" si="211"/>
        <v>629</v>
      </c>
      <c r="V1185">
        <f t="shared" si="212"/>
        <v>629</v>
      </c>
      <c r="W1185" cm="1">
        <f t="array" ref="W1185">_xlfn._xlws.FILTER(shifts!A:A,(shifts!B:B=events!D1185)*(shifts!AH:AH&gt;=events!U1185)*(shifts!AI:AI&lt;=events!V1185))</f>
        <v>43</v>
      </c>
      <c r="X1185" t="str">
        <f t="shared" si="209"/>
        <v>event_team_player_1</v>
      </c>
      <c r="Y1185">
        <f>COUNTIFS(A$3:A1185,"="&amp;A1185,K$3:K1185,"="&amp;K1185)</f>
        <v>1</v>
      </c>
      <c r="Z1185" s="20">
        <f>SUMIFS(T$3:T1185,L$3:L1185,"=Intermission")+SUMIFS(T$3:T1185,L$3:L1185,"=Timeout")+SUMIFS(T$3:T1185,L$3:L1185,"=Clockstop")</f>
        <v>68</v>
      </c>
      <c r="AA1185">
        <f t="shared" si="213"/>
        <v>1148</v>
      </c>
      <c r="AC1185">
        <f t="shared" si="214"/>
        <v>1216</v>
      </c>
    </row>
    <row r="1186" spans="1:29" x14ac:dyDescent="0.2">
      <c r="A1186">
        <v>625</v>
      </c>
      <c r="D1186">
        <f t="shared" si="215"/>
        <v>2</v>
      </c>
      <c r="E1186">
        <v>10</v>
      </c>
      <c r="F1186" s="6" t="s">
        <v>442</v>
      </c>
      <c r="I1186" t="s">
        <v>179</v>
      </c>
      <c r="J1186">
        <v>39</v>
      </c>
      <c r="K1186" t="s">
        <v>489</v>
      </c>
      <c r="L1186" t="s">
        <v>7</v>
      </c>
      <c r="M1186" t="s">
        <v>222</v>
      </c>
      <c r="N1186" t="s">
        <v>53</v>
      </c>
      <c r="Q1186">
        <f t="shared" si="221"/>
        <v>18977</v>
      </c>
      <c r="R1186" t="str">
        <f t="shared" si="221"/>
        <v>Velodrome</v>
      </c>
      <c r="S1186" t="str">
        <f t="shared" si="221"/>
        <v>HollowBrook</v>
      </c>
      <c r="T1186" s="20">
        <f t="shared" si="210"/>
        <v>0</v>
      </c>
      <c r="U1186">
        <f t="shared" si="211"/>
        <v>629</v>
      </c>
      <c r="V1186">
        <f t="shared" si="212"/>
        <v>629</v>
      </c>
      <c r="W1186" cm="1">
        <f t="array" ref="W1186">_xlfn._xlws.FILTER(shifts!A:A,(shifts!B:B=events!D1186)*(shifts!AH:AH&gt;=events!U1186)*(shifts!AI:AI&lt;=events!V1186))</f>
        <v>43</v>
      </c>
      <c r="X1186" t="str">
        <f t="shared" si="209"/>
        <v>opp_team_player_1</v>
      </c>
      <c r="Y1186">
        <f>COUNTIFS(A$3:A1186,"="&amp;A1186,K$3:K1186,"="&amp;K1186)</f>
        <v>1</v>
      </c>
      <c r="Z1186" s="20">
        <f>SUMIFS(T$3:T1186,L$3:L1186,"=Intermission")+SUMIFS(T$3:T1186,L$3:L1186,"=Timeout")+SUMIFS(T$3:T1186,L$3:L1186,"=Clockstop")</f>
        <v>68</v>
      </c>
      <c r="AA1186">
        <f t="shared" si="213"/>
        <v>1148</v>
      </c>
      <c r="AC1186">
        <f t="shared" si="214"/>
        <v>1216</v>
      </c>
    </row>
    <row r="1187" spans="1:29" x14ac:dyDescent="0.2">
      <c r="A1187">
        <v>626</v>
      </c>
      <c r="D1187">
        <f t="shared" si="215"/>
        <v>2</v>
      </c>
      <c r="E1187">
        <v>10</v>
      </c>
      <c r="F1187" s="6" t="s">
        <v>442</v>
      </c>
      <c r="I1187" t="s">
        <v>178</v>
      </c>
      <c r="J1187">
        <v>39</v>
      </c>
      <c r="K1187" t="s">
        <v>488</v>
      </c>
      <c r="L1187" t="s">
        <v>17</v>
      </c>
      <c r="M1187" t="s">
        <v>509</v>
      </c>
      <c r="N1187" t="s">
        <v>96</v>
      </c>
      <c r="Q1187">
        <f t="shared" si="221"/>
        <v>18977</v>
      </c>
      <c r="R1187" t="str">
        <f t="shared" si="221"/>
        <v>Velodrome</v>
      </c>
      <c r="S1187" t="str">
        <f t="shared" si="221"/>
        <v>HollowBrook</v>
      </c>
      <c r="T1187" s="20">
        <f t="shared" si="210"/>
        <v>0</v>
      </c>
      <c r="U1187">
        <f t="shared" si="211"/>
        <v>629</v>
      </c>
      <c r="V1187">
        <f t="shared" si="212"/>
        <v>629</v>
      </c>
      <c r="W1187" cm="1">
        <f t="array" ref="W1187">_xlfn._xlws.FILTER(shifts!A:A,(shifts!B:B=events!D1187)*(shifts!AH:AH&gt;=events!U1187)*(shifts!AI:AI&lt;=events!V1187))</f>
        <v>43</v>
      </c>
      <c r="X1187" t="str">
        <f t="shared" si="209"/>
        <v>event_team_player_1</v>
      </c>
      <c r="Y1187">
        <f>COUNTIFS(A$3:A1187,"="&amp;A1187,K$3:K1187,"="&amp;K1187)</f>
        <v>1</v>
      </c>
      <c r="Z1187" s="20">
        <f>SUMIFS(T$3:T1187,L$3:L1187,"=Intermission")+SUMIFS(T$3:T1187,L$3:L1187,"=Timeout")+SUMIFS(T$3:T1187,L$3:L1187,"=Clockstop")</f>
        <v>68</v>
      </c>
      <c r="AA1187">
        <f t="shared" si="213"/>
        <v>1148</v>
      </c>
      <c r="AC1187">
        <f t="shared" si="214"/>
        <v>1216</v>
      </c>
    </row>
    <row r="1188" spans="1:29" x14ac:dyDescent="0.2">
      <c r="A1188">
        <v>626</v>
      </c>
      <c r="D1188">
        <f t="shared" si="215"/>
        <v>2</v>
      </c>
      <c r="E1188">
        <v>10</v>
      </c>
      <c r="F1188" s="6" t="s">
        <v>442</v>
      </c>
      <c r="I1188" t="s">
        <v>178</v>
      </c>
      <c r="J1188">
        <v>19</v>
      </c>
      <c r="K1188" t="s">
        <v>489</v>
      </c>
      <c r="L1188" t="s">
        <v>17</v>
      </c>
      <c r="M1188" t="s">
        <v>509</v>
      </c>
      <c r="N1188" t="s">
        <v>96</v>
      </c>
      <c r="Q1188">
        <f t="shared" si="221"/>
        <v>18977</v>
      </c>
      <c r="R1188" t="str">
        <f t="shared" si="221"/>
        <v>Velodrome</v>
      </c>
      <c r="S1188" t="str">
        <f t="shared" si="221"/>
        <v>HollowBrook</v>
      </c>
      <c r="T1188" s="20">
        <f t="shared" si="210"/>
        <v>0</v>
      </c>
      <c r="U1188">
        <f t="shared" si="211"/>
        <v>629</v>
      </c>
      <c r="V1188">
        <f t="shared" si="212"/>
        <v>629</v>
      </c>
      <c r="W1188" cm="1">
        <f t="array" ref="W1188">_xlfn._xlws.FILTER(shifts!A:A,(shifts!B:B=events!D1188)*(shifts!AH:AH&gt;=events!U1188)*(shifts!AI:AI&lt;=events!V1188))</f>
        <v>43</v>
      </c>
      <c r="X1188" t="str">
        <f t="shared" si="209"/>
        <v>opp_team_player_1</v>
      </c>
      <c r="Y1188">
        <f>COUNTIFS(A$3:A1188,"="&amp;A1188,K$3:K1188,"="&amp;K1188)</f>
        <v>1</v>
      </c>
      <c r="Z1188" s="20">
        <f>SUMIFS(T$3:T1188,L$3:L1188,"=Intermission")+SUMIFS(T$3:T1188,L$3:L1188,"=Timeout")+SUMIFS(T$3:T1188,L$3:L1188,"=Clockstop")</f>
        <v>68</v>
      </c>
      <c r="AA1188">
        <f t="shared" si="213"/>
        <v>1148</v>
      </c>
      <c r="AC1188">
        <f t="shared" si="214"/>
        <v>1216</v>
      </c>
    </row>
    <row r="1189" spans="1:29" x14ac:dyDescent="0.2">
      <c r="A1189">
        <v>627</v>
      </c>
      <c r="D1189">
        <f t="shared" si="215"/>
        <v>2</v>
      </c>
      <c r="E1189">
        <v>10</v>
      </c>
      <c r="F1189" s="6" t="s">
        <v>442</v>
      </c>
      <c r="G1189">
        <v>10</v>
      </c>
      <c r="H1189" s="8" t="s">
        <v>483</v>
      </c>
      <c r="I1189" t="s">
        <v>178</v>
      </c>
      <c r="J1189">
        <v>39</v>
      </c>
      <c r="K1189" t="s">
        <v>488</v>
      </c>
      <c r="L1189" t="s">
        <v>15</v>
      </c>
      <c r="Q1189">
        <f t="shared" si="221"/>
        <v>18977</v>
      </c>
      <c r="R1189" t="str">
        <f t="shared" si="221"/>
        <v>Velodrome</v>
      </c>
      <c r="S1189" t="str">
        <f t="shared" si="221"/>
        <v>HollowBrook</v>
      </c>
      <c r="T1189" s="20">
        <f t="shared" si="210"/>
        <v>2</v>
      </c>
      <c r="U1189">
        <f t="shared" si="211"/>
        <v>629</v>
      </c>
      <c r="V1189">
        <f t="shared" si="212"/>
        <v>627</v>
      </c>
      <c r="W1189" cm="1">
        <f t="array" ref="W1189">_xlfn._xlws.FILTER(shifts!A:A,(shifts!B:B=events!D1189)*(shifts!AH:AH&gt;=events!U1189)*(shifts!AI:AI&lt;=events!V1189))</f>
        <v>43</v>
      </c>
      <c r="X1189" t="str">
        <f t="shared" si="209"/>
        <v>event_team_player_1</v>
      </c>
      <c r="Y1189">
        <f>COUNTIFS(A$3:A1189,"="&amp;A1189,K$3:K1189,"="&amp;K1189)</f>
        <v>1</v>
      </c>
      <c r="Z1189" s="20">
        <f>SUMIFS(T$3:T1189,L$3:L1189,"=Intermission")+SUMIFS(T$3:T1189,L$3:L1189,"=Timeout")+SUMIFS(T$3:T1189,L$3:L1189,"=Clockstop")</f>
        <v>68</v>
      </c>
      <c r="AA1189">
        <f t="shared" si="213"/>
        <v>1148</v>
      </c>
      <c r="AC1189">
        <f t="shared" si="214"/>
        <v>1216</v>
      </c>
    </row>
    <row r="1190" spans="1:29" x14ac:dyDescent="0.2">
      <c r="A1190">
        <v>628</v>
      </c>
      <c r="D1190">
        <f t="shared" si="215"/>
        <v>2</v>
      </c>
      <c r="E1190">
        <v>10</v>
      </c>
      <c r="F1190" s="6" t="s">
        <v>483</v>
      </c>
      <c r="I1190" t="s">
        <v>178</v>
      </c>
      <c r="J1190">
        <v>39</v>
      </c>
      <c r="K1190" t="s">
        <v>488</v>
      </c>
      <c r="L1190" t="s">
        <v>8</v>
      </c>
      <c r="M1190" t="s">
        <v>189</v>
      </c>
      <c r="N1190" t="s">
        <v>72</v>
      </c>
      <c r="Q1190">
        <f t="shared" ref="Q1190:S1205" si="222">Q1189</f>
        <v>18977</v>
      </c>
      <c r="R1190" t="str">
        <f t="shared" si="222"/>
        <v>Velodrome</v>
      </c>
      <c r="S1190" t="str">
        <f t="shared" si="222"/>
        <v>HollowBrook</v>
      </c>
      <c r="T1190" s="20">
        <f t="shared" si="210"/>
        <v>0</v>
      </c>
      <c r="U1190">
        <f t="shared" si="211"/>
        <v>627</v>
      </c>
      <c r="V1190">
        <f t="shared" si="212"/>
        <v>627</v>
      </c>
      <c r="W1190" cm="1">
        <f t="array" ref="W1190">_xlfn._xlws.FILTER(shifts!A:A,(shifts!B:B=events!D1190)*(shifts!AH:AH&gt;=events!U1190)*(shifts!AI:AI&lt;=events!V1190))</f>
        <v>43</v>
      </c>
      <c r="X1190" t="str">
        <f t="shared" si="209"/>
        <v>event_team_player_1</v>
      </c>
      <c r="Y1190">
        <f>COUNTIFS(A$3:A1190,"="&amp;A1190,K$3:K1190,"="&amp;K1190)</f>
        <v>1</v>
      </c>
      <c r="Z1190" s="20">
        <f>SUMIFS(T$3:T1190,L$3:L1190,"=Intermission")+SUMIFS(T$3:T1190,L$3:L1190,"=Timeout")+SUMIFS(T$3:T1190,L$3:L1190,"=Clockstop")</f>
        <v>68</v>
      </c>
      <c r="AA1190">
        <f t="shared" si="213"/>
        <v>1148</v>
      </c>
      <c r="AC1190">
        <f t="shared" si="214"/>
        <v>1216</v>
      </c>
    </row>
    <row r="1191" spans="1:29" x14ac:dyDescent="0.2">
      <c r="A1191">
        <v>628</v>
      </c>
      <c r="D1191">
        <f t="shared" si="215"/>
        <v>2</v>
      </c>
      <c r="E1191">
        <v>10</v>
      </c>
      <c r="F1191" s="6" t="s">
        <v>483</v>
      </c>
      <c r="I1191" t="s">
        <v>178</v>
      </c>
      <c r="J1191">
        <v>91</v>
      </c>
      <c r="K1191" t="s">
        <v>488</v>
      </c>
      <c r="L1191" t="s">
        <v>8</v>
      </c>
      <c r="M1191" t="s">
        <v>189</v>
      </c>
      <c r="N1191" t="s">
        <v>72</v>
      </c>
      <c r="Q1191">
        <f t="shared" si="222"/>
        <v>18977</v>
      </c>
      <c r="R1191" t="str">
        <f t="shared" si="222"/>
        <v>Velodrome</v>
      </c>
      <c r="S1191" t="str">
        <f t="shared" si="222"/>
        <v>HollowBrook</v>
      </c>
      <c r="T1191" s="20">
        <f t="shared" si="210"/>
        <v>0</v>
      </c>
      <c r="U1191">
        <f t="shared" si="211"/>
        <v>627</v>
      </c>
      <c r="V1191">
        <f t="shared" si="212"/>
        <v>627</v>
      </c>
      <c r="W1191" cm="1">
        <f t="array" ref="W1191">_xlfn._xlws.FILTER(shifts!A:A,(shifts!B:B=events!D1191)*(shifts!AH:AH&gt;=events!U1191)*(shifts!AI:AI&lt;=events!V1191))</f>
        <v>43</v>
      </c>
      <c r="X1191" t="str">
        <f t="shared" si="209"/>
        <v>event_team_player_2</v>
      </c>
      <c r="Y1191">
        <f>COUNTIFS(A$3:A1191,"="&amp;A1191,K$3:K1191,"="&amp;K1191)</f>
        <v>2</v>
      </c>
      <c r="Z1191" s="20">
        <f>SUMIFS(T$3:T1191,L$3:L1191,"=Intermission")+SUMIFS(T$3:T1191,L$3:L1191,"=Timeout")+SUMIFS(T$3:T1191,L$3:L1191,"=Clockstop")</f>
        <v>68</v>
      </c>
      <c r="AA1191">
        <f t="shared" si="213"/>
        <v>1148</v>
      </c>
      <c r="AC1191">
        <f t="shared" si="214"/>
        <v>1216</v>
      </c>
    </row>
    <row r="1192" spans="1:29" x14ac:dyDescent="0.2">
      <c r="A1192">
        <v>629</v>
      </c>
      <c r="D1192">
        <f t="shared" si="215"/>
        <v>2</v>
      </c>
      <c r="E1192">
        <v>10</v>
      </c>
      <c r="F1192" s="6" t="s">
        <v>473</v>
      </c>
      <c r="I1192" t="s">
        <v>178</v>
      </c>
      <c r="J1192">
        <v>91</v>
      </c>
      <c r="K1192" t="s">
        <v>488</v>
      </c>
      <c r="L1192" t="s">
        <v>8</v>
      </c>
      <c r="M1192" t="s">
        <v>199</v>
      </c>
      <c r="N1192" t="s">
        <v>68</v>
      </c>
      <c r="Q1192">
        <f t="shared" si="222"/>
        <v>18977</v>
      </c>
      <c r="R1192" t="str">
        <f t="shared" si="222"/>
        <v>Velodrome</v>
      </c>
      <c r="S1192" t="str">
        <f t="shared" si="222"/>
        <v>HollowBrook</v>
      </c>
      <c r="T1192" s="20">
        <f t="shared" si="210"/>
        <v>0</v>
      </c>
      <c r="U1192">
        <f t="shared" si="211"/>
        <v>621</v>
      </c>
      <c r="V1192">
        <f t="shared" si="212"/>
        <v>621</v>
      </c>
      <c r="W1192" cm="1">
        <f t="array" ref="W1192">_xlfn._xlws.FILTER(shifts!A:A,(shifts!B:B=events!D1192)*(shifts!AH:AH&gt;=events!U1192)*(shifts!AI:AI&lt;=events!V1192))</f>
        <v>43</v>
      </c>
      <c r="X1192" t="str">
        <f t="shared" si="209"/>
        <v>event_team_player_1</v>
      </c>
      <c r="Y1192">
        <f>COUNTIFS(A$3:A1192,"="&amp;A1192,K$3:K1192,"="&amp;K1192)</f>
        <v>1</v>
      </c>
      <c r="Z1192" s="20">
        <f>SUMIFS(T$3:T1192,L$3:L1192,"=Intermission")+SUMIFS(T$3:T1192,L$3:L1192,"=Timeout")+SUMIFS(T$3:T1192,L$3:L1192,"=Clockstop")</f>
        <v>68</v>
      </c>
      <c r="AA1192">
        <f t="shared" si="213"/>
        <v>1148</v>
      </c>
      <c r="AC1192">
        <f t="shared" si="214"/>
        <v>1216</v>
      </c>
    </row>
    <row r="1193" spans="1:29" x14ac:dyDescent="0.2">
      <c r="A1193">
        <v>630</v>
      </c>
      <c r="D1193">
        <f t="shared" si="215"/>
        <v>2</v>
      </c>
      <c r="E1193">
        <v>10</v>
      </c>
      <c r="F1193" s="6" t="s">
        <v>473</v>
      </c>
      <c r="I1193" t="s">
        <v>178</v>
      </c>
      <c r="J1193">
        <v>91</v>
      </c>
      <c r="K1193" t="s">
        <v>488</v>
      </c>
      <c r="L1193" t="s">
        <v>10</v>
      </c>
      <c r="M1193" t="s">
        <v>190</v>
      </c>
      <c r="N1193" t="s">
        <v>479</v>
      </c>
      <c r="Q1193">
        <f t="shared" si="222"/>
        <v>18977</v>
      </c>
      <c r="R1193" t="str">
        <f t="shared" si="222"/>
        <v>Velodrome</v>
      </c>
      <c r="S1193" t="str">
        <f t="shared" si="222"/>
        <v>HollowBrook</v>
      </c>
      <c r="T1193" s="20">
        <f t="shared" si="210"/>
        <v>0</v>
      </c>
      <c r="U1193">
        <f t="shared" si="211"/>
        <v>621</v>
      </c>
      <c r="V1193">
        <f t="shared" si="212"/>
        <v>621</v>
      </c>
      <c r="W1193" cm="1">
        <f t="array" ref="W1193">_xlfn._xlws.FILTER(shifts!A:A,(shifts!B:B=events!D1193)*(shifts!AH:AH&gt;=events!U1193)*(shifts!AI:AI&lt;=events!V1193))</f>
        <v>43</v>
      </c>
      <c r="X1193" t="str">
        <f t="shared" si="209"/>
        <v>event_team_player_1</v>
      </c>
      <c r="Y1193">
        <f>COUNTIFS(A$3:A1193,"="&amp;A1193,K$3:K1193,"="&amp;K1193)</f>
        <v>1</v>
      </c>
      <c r="Z1193" s="20">
        <f>SUMIFS(T$3:T1193,L$3:L1193,"=Intermission")+SUMIFS(T$3:T1193,L$3:L1193,"=Timeout")+SUMIFS(T$3:T1193,L$3:L1193,"=Clockstop")</f>
        <v>68</v>
      </c>
      <c r="AA1193">
        <f t="shared" si="213"/>
        <v>1148</v>
      </c>
      <c r="AC1193">
        <f t="shared" si="214"/>
        <v>1216</v>
      </c>
    </row>
    <row r="1194" spans="1:29" x14ac:dyDescent="0.2">
      <c r="A1194">
        <v>631</v>
      </c>
      <c r="D1194">
        <f t="shared" si="215"/>
        <v>2</v>
      </c>
      <c r="E1194">
        <v>10</v>
      </c>
      <c r="F1194" s="6" t="s">
        <v>473</v>
      </c>
      <c r="I1194" t="s">
        <v>179</v>
      </c>
      <c r="J1194">
        <v>27</v>
      </c>
      <c r="K1194" t="s">
        <v>488</v>
      </c>
      <c r="L1194" t="s">
        <v>277</v>
      </c>
      <c r="M1194" t="s">
        <v>210</v>
      </c>
      <c r="N1194" t="s">
        <v>93</v>
      </c>
      <c r="Q1194">
        <f t="shared" si="222"/>
        <v>18977</v>
      </c>
      <c r="R1194" t="str">
        <f t="shared" si="222"/>
        <v>Velodrome</v>
      </c>
      <c r="S1194" t="str">
        <f t="shared" si="222"/>
        <v>HollowBrook</v>
      </c>
      <c r="T1194" s="20">
        <f t="shared" si="210"/>
        <v>0</v>
      </c>
      <c r="U1194">
        <f t="shared" si="211"/>
        <v>621</v>
      </c>
      <c r="V1194">
        <f t="shared" si="212"/>
        <v>621</v>
      </c>
      <c r="W1194" cm="1">
        <f t="array" ref="W1194">_xlfn._xlws.FILTER(shifts!A:A,(shifts!B:B=events!D1194)*(shifts!AH:AH&gt;=events!U1194)*(shifts!AI:AI&lt;=events!V1194))</f>
        <v>43</v>
      </c>
      <c r="X1194" t="str">
        <f t="shared" si="209"/>
        <v>event_team_player_1</v>
      </c>
      <c r="Y1194">
        <f>COUNTIFS(A$3:A1194,"="&amp;A1194,K$3:K1194,"="&amp;K1194)</f>
        <v>1</v>
      </c>
      <c r="Z1194" s="20">
        <f>SUMIFS(T$3:T1194,L$3:L1194,"=Intermission")+SUMIFS(T$3:T1194,L$3:L1194,"=Timeout")+SUMIFS(T$3:T1194,L$3:L1194,"=Clockstop")</f>
        <v>68</v>
      </c>
      <c r="AA1194">
        <f t="shared" si="213"/>
        <v>1148</v>
      </c>
      <c r="AC1194">
        <f t="shared" si="214"/>
        <v>1216</v>
      </c>
    </row>
    <row r="1195" spans="1:29" x14ac:dyDescent="0.2">
      <c r="A1195">
        <v>632</v>
      </c>
      <c r="D1195">
        <f t="shared" si="215"/>
        <v>2</v>
      </c>
      <c r="E1195">
        <v>10</v>
      </c>
      <c r="F1195" s="6" t="s">
        <v>310</v>
      </c>
      <c r="G1195">
        <v>10</v>
      </c>
      <c r="H1195" s="8" t="s">
        <v>312</v>
      </c>
      <c r="I1195" t="s">
        <v>179</v>
      </c>
      <c r="J1195">
        <v>11</v>
      </c>
      <c r="K1195" t="s">
        <v>488</v>
      </c>
      <c r="L1195" t="s">
        <v>15</v>
      </c>
      <c r="Q1195">
        <f t="shared" si="222"/>
        <v>18977</v>
      </c>
      <c r="R1195" t="str">
        <f t="shared" si="222"/>
        <v>Velodrome</v>
      </c>
      <c r="S1195" t="str">
        <f t="shared" si="222"/>
        <v>HollowBrook</v>
      </c>
      <c r="T1195" s="20">
        <f t="shared" si="210"/>
        <v>3</v>
      </c>
      <c r="U1195">
        <f t="shared" si="211"/>
        <v>604</v>
      </c>
      <c r="V1195">
        <f t="shared" si="212"/>
        <v>601</v>
      </c>
      <c r="W1195" cm="1">
        <f t="array" ref="W1195">_xlfn._xlws.FILTER(shifts!A:A,(shifts!B:B=events!D1195)*(shifts!AH:AH&gt;=events!U1195)*(shifts!AI:AI&lt;=events!V1195))</f>
        <v>43</v>
      </c>
      <c r="X1195" t="str">
        <f t="shared" si="209"/>
        <v>event_team_player_1</v>
      </c>
      <c r="Y1195">
        <f>COUNTIFS(A$3:A1195,"="&amp;A1195,K$3:K1195,"="&amp;K1195)</f>
        <v>1</v>
      </c>
      <c r="Z1195" s="20">
        <f>SUMIFS(T$3:T1195,L$3:L1195,"=Intermission")+SUMIFS(T$3:T1195,L$3:L1195,"=Timeout")+SUMIFS(T$3:T1195,L$3:L1195,"=Clockstop")</f>
        <v>68</v>
      </c>
      <c r="AA1195">
        <f t="shared" si="213"/>
        <v>1148</v>
      </c>
      <c r="AC1195">
        <f t="shared" si="214"/>
        <v>1216</v>
      </c>
    </row>
    <row r="1196" spans="1:29" x14ac:dyDescent="0.2">
      <c r="A1196">
        <v>632</v>
      </c>
      <c r="D1196">
        <f t="shared" si="215"/>
        <v>2</v>
      </c>
      <c r="E1196">
        <v>10</v>
      </c>
      <c r="F1196" s="6" t="s">
        <v>310</v>
      </c>
      <c r="G1196">
        <v>10</v>
      </c>
      <c r="H1196" s="8" t="s">
        <v>312</v>
      </c>
      <c r="I1196" t="s">
        <v>179</v>
      </c>
      <c r="J1196">
        <v>84</v>
      </c>
      <c r="K1196" t="s">
        <v>489</v>
      </c>
      <c r="L1196" t="s">
        <v>15</v>
      </c>
      <c r="Q1196">
        <f t="shared" si="222"/>
        <v>18977</v>
      </c>
      <c r="R1196" t="str">
        <f t="shared" si="222"/>
        <v>Velodrome</v>
      </c>
      <c r="S1196" t="str">
        <f t="shared" si="222"/>
        <v>HollowBrook</v>
      </c>
      <c r="T1196" s="20">
        <f t="shared" si="210"/>
        <v>3</v>
      </c>
      <c r="U1196">
        <f t="shared" si="211"/>
        <v>604</v>
      </c>
      <c r="V1196">
        <f t="shared" si="212"/>
        <v>601</v>
      </c>
      <c r="W1196" cm="1">
        <f t="array" ref="W1196">_xlfn._xlws.FILTER(shifts!A:A,(shifts!B:B=events!D1196)*(shifts!AH:AH&gt;=events!U1196)*(shifts!AI:AI&lt;=events!V1196))</f>
        <v>43</v>
      </c>
      <c r="X1196" t="str">
        <f t="shared" si="209"/>
        <v>opp_team_player_1</v>
      </c>
      <c r="Y1196">
        <f>COUNTIFS(A$3:A1196,"="&amp;A1196,K$3:K1196,"="&amp;K1196)</f>
        <v>1</v>
      </c>
      <c r="Z1196" s="20">
        <f>SUMIFS(T$3:T1196,L$3:L1196,"=Intermission")+SUMIFS(T$3:T1196,L$3:L1196,"=Timeout")+SUMIFS(T$3:T1196,L$3:L1196,"=Clockstop")</f>
        <v>68</v>
      </c>
      <c r="AA1196">
        <f t="shared" si="213"/>
        <v>1148</v>
      </c>
      <c r="AC1196">
        <f t="shared" si="214"/>
        <v>1216</v>
      </c>
    </row>
    <row r="1197" spans="1:29" x14ac:dyDescent="0.2">
      <c r="A1197">
        <v>633</v>
      </c>
      <c r="D1197">
        <f t="shared" si="215"/>
        <v>2</v>
      </c>
      <c r="E1197">
        <v>10</v>
      </c>
      <c r="F1197" s="6" t="s">
        <v>312</v>
      </c>
      <c r="I1197" t="s">
        <v>179</v>
      </c>
      <c r="J1197">
        <v>11</v>
      </c>
      <c r="K1197" t="s">
        <v>488</v>
      </c>
      <c r="L1197" t="s">
        <v>8</v>
      </c>
      <c r="M1197" t="s">
        <v>189</v>
      </c>
      <c r="N1197" t="s">
        <v>70</v>
      </c>
      <c r="Q1197">
        <f t="shared" si="222"/>
        <v>18977</v>
      </c>
      <c r="R1197" t="str">
        <f t="shared" si="222"/>
        <v>Velodrome</v>
      </c>
      <c r="S1197" t="str">
        <f t="shared" si="222"/>
        <v>HollowBrook</v>
      </c>
      <c r="T1197" s="20">
        <f t="shared" si="210"/>
        <v>0</v>
      </c>
      <c r="U1197">
        <f t="shared" si="211"/>
        <v>601</v>
      </c>
      <c r="V1197">
        <f t="shared" si="212"/>
        <v>601</v>
      </c>
      <c r="W1197" cm="1">
        <f t="array" ref="W1197">_xlfn._xlws.FILTER(shifts!A:A,(shifts!B:B=events!D1197)*(shifts!AH:AH&gt;=events!U1197)*(shifts!AI:AI&lt;=events!V1197))</f>
        <v>43</v>
      </c>
      <c r="X1197" t="str">
        <f t="shared" si="209"/>
        <v>event_team_player_1</v>
      </c>
      <c r="Y1197">
        <f>COUNTIFS(A$3:A1197,"="&amp;A1197,K$3:K1197,"="&amp;K1197)</f>
        <v>1</v>
      </c>
      <c r="Z1197" s="20">
        <f>SUMIFS(T$3:T1197,L$3:L1197,"=Intermission")+SUMIFS(T$3:T1197,L$3:L1197,"=Timeout")+SUMIFS(T$3:T1197,L$3:L1197,"=Clockstop")</f>
        <v>68</v>
      </c>
      <c r="AA1197">
        <f t="shared" si="213"/>
        <v>1148</v>
      </c>
      <c r="AC1197">
        <f t="shared" si="214"/>
        <v>1216</v>
      </c>
    </row>
    <row r="1198" spans="1:29" x14ac:dyDescent="0.2">
      <c r="A1198">
        <v>633</v>
      </c>
      <c r="D1198">
        <f t="shared" si="215"/>
        <v>2</v>
      </c>
      <c r="E1198">
        <v>10</v>
      </c>
      <c r="F1198" s="6" t="s">
        <v>312</v>
      </c>
      <c r="I1198" t="s">
        <v>179</v>
      </c>
      <c r="J1198">
        <v>19</v>
      </c>
      <c r="K1198" t="s">
        <v>488</v>
      </c>
      <c r="L1198" t="s">
        <v>8</v>
      </c>
      <c r="M1198" t="s">
        <v>189</v>
      </c>
      <c r="N1198" t="s">
        <v>70</v>
      </c>
      <c r="Q1198">
        <f t="shared" si="222"/>
        <v>18977</v>
      </c>
      <c r="R1198" t="str">
        <f t="shared" si="222"/>
        <v>Velodrome</v>
      </c>
      <c r="S1198" t="str">
        <f t="shared" si="222"/>
        <v>HollowBrook</v>
      </c>
      <c r="T1198" s="20">
        <f t="shared" si="210"/>
        <v>0</v>
      </c>
      <c r="U1198">
        <f t="shared" si="211"/>
        <v>601</v>
      </c>
      <c r="V1198">
        <f t="shared" si="212"/>
        <v>601</v>
      </c>
      <c r="W1198" cm="1">
        <f t="array" ref="W1198">_xlfn._xlws.FILTER(shifts!A:A,(shifts!B:B=events!D1198)*(shifts!AH:AH&gt;=events!U1198)*(shifts!AI:AI&lt;=events!V1198))</f>
        <v>43</v>
      </c>
      <c r="X1198" t="str">
        <f t="shared" si="209"/>
        <v>event_team_player_2</v>
      </c>
      <c r="Y1198">
        <f>COUNTIFS(A$3:A1198,"="&amp;A1198,K$3:K1198,"="&amp;K1198)</f>
        <v>2</v>
      </c>
      <c r="Z1198" s="20">
        <f>SUMIFS(T$3:T1198,L$3:L1198,"=Intermission")+SUMIFS(T$3:T1198,L$3:L1198,"=Timeout")+SUMIFS(T$3:T1198,L$3:L1198,"=Clockstop")</f>
        <v>68</v>
      </c>
      <c r="AA1198">
        <f t="shared" si="213"/>
        <v>1148</v>
      </c>
      <c r="AC1198">
        <f t="shared" si="214"/>
        <v>1216</v>
      </c>
    </row>
    <row r="1199" spans="1:29" x14ac:dyDescent="0.2">
      <c r="A1199">
        <v>633</v>
      </c>
      <c r="D1199">
        <f t="shared" si="215"/>
        <v>2</v>
      </c>
      <c r="E1199">
        <v>10</v>
      </c>
      <c r="F1199" s="6" t="s">
        <v>312</v>
      </c>
      <c r="I1199" t="s">
        <v>179</v>
      </c>
      <c r="J1199">
        <v>87</v>
      </c>
      <c r="K1199" t="s">
        <v>489</v>
      </c>
      <c r="L1199" t="s">
        <v>8</v>
      </c>
      <c r="M1199" t="s">
        <v>189</v>
      </c>
      <c r="N1199" t="s">
        <v>70</v>
      </c>
      <c r="Q1199">
        <f t="shared" si="222"/>
        <v>18977</v>
      </c>
      <c r="R1199" t="str">
        <f t="shared" si="222"/>
        <v>Velodrome</v>
      </c>
      <c r="S1199" t="str">
        <f t="shared" si="222"/>
        <v>HollowBrook</v>
      </c>
      <c r="T1199" s="20">
        <f t="shared" si="210"/>
        <v>0</v>
      </c>
      <c r="U1199">
        <f t="shared" si="211"/>
        <v>601</v>
      </c>
      <c r="V1199">
        <f t="shared" si="212"/>
        <v>601</v>
      </c>
      <c r="W1199" cm="1">
        <f t="array" ref="W1199">_xlfn._xlws.FILTER(shifts!A:A,(shifts!B:B=events!D1199)*(shifts!AH:AH&gt;=events!U1199)*(shifts!AI:AI&lt;=events!V1199))</f>
        <v>43</v>
      </c>
      <c r="X1199" t="str">
        <f t="shared" si="209"/>
        <v>opp_team_player_1</v>
      </c>
      <c r="Y1199">
        <f>COUNTIFS(A$3:A1199,"="&amp;A1199,K$3:K1199,"="&amp;K1199)</f>
        <v>1</v>
      </c>
      <c r="Z1199" s="20">
        <f>SUMIFS(T$3:T1199,L$3:L1199,"=Intermission")+SUMIFS(T$3:T1199,L$3:L1199,"=Timeout")+SUMIFS(T$3:T1199,L$3:L1199,"=Clockstop")</f>
        <v>68</v>
      </c>
      <c r="AA1199">
        <f t="shared" si="213"/>
        <v>1148</v>
      </c>
      <c r="AC1199">
        <f t="shared" si="214"/>
        <v>1216</v>
      </c>
    </row>
    <row r="1200" spans="1:29" x14ac:dyDescent="0.2">
      <c r="A1200">
        <v>634</v>
      </c>
      <c r="D1200">
        <f t="shared" si="215"/>
        <v>2</v>
      </c>
      <c r="E1200">
        <v>10</v>
      </c>
      <c r="F1200" s="6" t="s">
        <v>312</v>
      </c>
      <c r="G1200">
        <v>9</v>
      </c>
      <c r="H1200" s="8" t="s">
        <v>487</v>
      </c>
      <c r="I1200" t="s">
        <v>179</v>
      </c>
      <c r="J1200">
        <v>19</v>
      </c>
      <c r="K1200" t="s">
        <v>488</v>
      </c>
      <c r="L1200" t="s">
        <v>15</v>
      </c>
      <c r="Q1200">
        <f t="shared" si="222"/>
        <v>18977</v>
      </c>
      <c r="R1200" t="str">
        <f t="shared" si="222"/>
        <v>Velodrome</v>
      </c>
      <c r="S1200" t="str">
        <f t="shared" si="222"/>
        <v>HollowBrook</v>
      </c>
      <c r="T1200" s="20">
        <f t="shared" si="210"/>
        <v>2</v>
      </c>
      <c r="U1200">
        <f t="shared" si="211"/>
        <v>601</v>
      </c>
      <c r="V1200">
        <f t="shared" si="212"/>
        <v>599</v>
      </c>
      <c r="W1200" cm="1">
        <f t="array" ref="W1200">_xlfn._xlws.FILTER(shifts!A:A,(shifts!B:B=events!D1200)*(shifts!AH:AH&gt;=events!U1200)*(shifts!AI:AI&lt;=events!V1200))</f>
        <v>43</v>
      </c>
      <c r="X1200" t="str">
        <f t="shared" si="209"/>
        <v>event_team_player_1</v>
      </c>
      <c r="Y1200">
        <f>COUNTIFS(A$3:A1200,"="&amp;A1200,K$3:K1200,"="&amp;K1200)</f>
        <v>1</v>
      </c>
      <c r="Z1200" s="20">
        <f>SUMIFS(T$3:T1200,L$3:L1200,"=Intermission")+SUMIFS(T$3:T1200,L$3:L1200,"=Timeout")+SUMIFS(T$3:T1200,L$3:L1200,"=Clockstop")</f>
        <v>68</v>
      </c>
      <c r="AA1200">
        <f t="shared" si="213"/>
        <v>1148</v>
      </c>
      <c r="AC1200">
        <f t="shared" si="214"/>
        <v>1216</v>
      </c>
    </row>
    <row r="1201" spans="1:29" x14ac:dyDescent="0.2">
      <c r="A1201">
        <v>635</v>
      </c>
      <c r="D1201">
        <f t="shared" si="215"/>
        <v>2</v>
      </c>
      <c r="E1201">
        <v>9</v>
      </c>
      <c r="F1201" s="6" t="s">
        <v>487</v>
      </c>
      <c r="I1201" t="s">
        <v>179</v>
      </c>
      <c r="J1201">
        <v>19</v>
      </c>
      <c r="K1201" t="s">
        <v>488</v>
      </c>
      <c r="L1201" t="s">
        <v>7</v>
      </c>
      <c r="M1201" t="s">
        <v>222</v>
      </c>
      <c r="N1201" t="s">
        <v>53</v>
      </c>
      <c r="Q1201">
        <f t="shared" si="222"/>
        <v>18977</v>
      </c>
      <c r="R1201" t="str">
        <f t="shared" si="222"/>
        <v>Velodrome</v>
      </c>
      <c r="S1201" t="str">
        <f t="shared" si="222"/>
        <v>HollowBrook</v>
      </c>
      <c r="T1201" s="20">
        <f t="shared" si="210"/>
        <v>0</v>
      </c>
      <c r="U1201">
        <f t="shared" si="211"/>
        <v>599</v>
      </c>
      <c r="V1201">
        <f t="shared" si="212"/>
        <v>599</v>
      </c>
      <c r="W1201" cm="1">
        <f t="array" ref="W1201">_xlfn._xlws.FILTER(shifts!A:A,(shifts!B:B=events!D1201)*(shifts!AH:AH&gt;=events!U1201)*(shifts!AI:AI&lt;=events!V1201))</f>
        <v>43</v>
      </c>
      <c r="X1201" t="str">
        <f t="shared" si="209"/>
        <v>event_team_player_1</v>
      </c>
      <c r="Y1201">
        <f>COUNTIFS(A$3:A1201,"="&amp;A1201,K$3:K1201,"="&amp;K1201)</f>
        <v>1</v>
      </c>
      <c r="Z1201" s="20">
        <f>SUMIFS(T$3:T1201,L$3:L1201,"=Intermission")+SUMIFS(T$3:T1201,L$3:L1201,"=Timeout")+SUMIFS(T$3:T1201,L$3:L1201,"=Clockstop")</f>
        <v>68</v>
      </c>
      <c r="AA1201">
        <f t="shared" si="213"/>
        <v>1148</v>
      </c>
      <c r="AC1201">
        <f t="shared" si="214"/>
        <v>1216</v>
      </c>
    </row>
    <row r="1202" spans="1:29" x14ac:dyDescent="0.2">
      <c r="A1202">
        <v>635</v>
      </c>
      <c r="D1202">
        <f t="shared" si="215"/>
        <v>2</v>
      </c>
      <c r="E1202">
        <v>9</v>
      </c>
      <c r="F1202" s="6" t="s">
        <v>487</v>
      </c>
      <c r="I1202" t="s">
        <v>179</v>
      </c>
      <c r="J1202">
        <v>39</v>
      </c>
      <c r="K1202" t="s">
        <v>489</v>
      </c>
      <c r="L1202" t="s">
        <v>7</v>
      </c>
      <c r="M1202" t="s">
        <v>222</v>
      </c>
      <c r="N1202" t="s">
        <v>53</v>
      </c>
      <c r="Q1202">
        <f t="shared" si="222"/>
        <v>18977</v>
      </c>
      <c r="R1202" t="str">
        <f t="shared" si="222"/>
        <v>Velodrome</v>
      </c>
      <c r="S1202" t="str">
        <f t="shared" si="222"/>
        <v>HollowBrook</v>
      </c>
      <c r="T1202" s="20">
        <f t="shared" si="210"/>
        <v>0</v>
      </c>
      <c r="U1202">
        <f t="shared" si="211"/>
        <v>599</v>
      </c>
      <c r="V1202">
        <f t="shared" si="212"/>
        <v>599</v>
      </c>
      <c r="W1202" cm="1">
        <f t="array" ref="W1202">_xlfn._xlws.FILTER(shifts!A:A,(shifts!B:B=events!D1202)*(shifts!AH:AH&gt;=events!U1202)*(shifts!AI:AI&lt;=events!V1202))</f>
        <v>43</v>
      </c>
      <c r="X1202" t="str">
        <f t="shared" si="209"/>
        <v>opp_team_player_1</v>
      </c>
      <c r="Y1202">
        <f>COUNTIFS(A$3:A1202,"="&amp;A1202,K$3:K1202,"="&amp;K1202)</f>
        <v>1</v>
      </c>
      <c r="Z1202" s="20">
        <f>SUMIFS(T$3:T1202,L$3:L1202,"=Intermission")+SUMIFS(T$3:T1202,L$3:L1202,"=Timeout")+SUMIFS(T$3:T1202,L$3:L1202,"=Clockstop")</f>
        <v>68</v>
      </c>
      <c r="AA1202">
        <f t="shared" si="213"/>
        <v>1148</v>
      </c>
      <c r="AC1202">
        <f t="shared" si="214"/>
        <v>1216</v>
      </c>
    </row>
    <row r="1203" spans="1:29" x14ac:dyDescent="0.2">
      <c r="A1203">
        <v>636</v>
      </c>
      <c r="D1203">
        <f t="shared" si="215"/>
        <v>2</v>
      </c>
      <c r="E1203">
        <v>9</v>
      </c>
      <c r="F1203" s="6" t="s">
        <v>487</v>
      </c>
      <c r="I1203" t="s">
        <v>178</v>
      </c>
      <c r="J1203">
        <v>39</v>
      </c>
      <c r="K1203" t="s">
        <v>488</v>
      </c>
      <c r="L1203" t="s">
        <v>17</v>
      </c>
      <c r="M1203" t="s">
        <v>196</v>
      </c>
      <c r="N1203" t="s">
        <v>100</v>
      </c>
      <c r="Q1203">
        <f t="shared" si="222"/>
        <v>18977</v>
      </c>
      <c r="R1203" t="str">
        <f t="shared" si="222"/>
        <v>Velodrome</v>
      </c>
      <c r="S1203" t="str">
        <f t="shared" si="222"/>
        <v>HollowBrook</v>
      </c>
      <c r="T1203" s="20">
        <f t="shared" si="210"/>
        <v>0</v>
      </c>
      <c r="U1203">
        <f t="shared" si="211"/>
        <v>599</v>
      </c>
      <c r="V1203">
        <f t="shared" si="212"/>
        <v>599</v>
      </c>
      <c r="W1203" cm="1">
        <f t="array" ref="W1203">_xlfn._xlws.FILTER(shifts!A:A,(shifts!B:B=events!D1203)*(shifts!AH:AH&gt;=events!U1203)*(shifts!AI:AI&lt;=events!V1203))</f>
        <v>43</v>
      </c>
      <c r="X1203" t="str">
        <f t="shared" si="209"/>
        <v>event_team_player_1</v>
      </c>
      <c r="Y1203">
        <f>COUNTIFS(A$3:A1203,"="&amp;A1203,K$3:K1203,"="&amp;K1203)</f>
        <v>1</v>
      </c>
      <c r="Z1203" s="20">
        <f>SUMIFS(T$3:T1203,L$3:L1203,"=Intermission")+SUMIFS(T$3:T1203,L$3:L1203,"=Timeout")+SUMIFS(T$3:T1203,L$3:L1203,"=Clockstop")</f>
        <v>68</v>
      </c>
      <c r="AA1203">
        <f t="shared" si="213"/>
        <v>1148</v>
      </c>
      <c r="AC1203">
        <f t="shared" si="214"/>
        <v>1216</v>
      </c>
    </row>
    <row r="1204" spans="1:29" x14ac:dyDescent="0.2">
      <c r="A1204">
        <v>636</v>
      </c>
      <c r="D1204">
        <f t="shared" si="215"/>
        <v>2</v>
      </c>
      <c r="E1204">
        <v>9</v>
      </c>
      <c r="F1204" s="6" t="s">
        <v>487</v>
      </c>
      <c r="I1204" t="s">
        <v>178</v>
      </c>
      <c r="J1204">
        <v>19</v>
      </c>
      <c r="K1204" t="s">
        <v>489</v>
      </c>
      <c r="L1204" t="s">
        <v>17</v>
      </c>
      <c r="M1204" t="s">
        <v>196</v>
      </c>
      <c r="N1204" t="s">
        <v>100</v>
      </c>
      <c r="Q1204">
        <f t="shared" si="222"/>
        <v>18977</v>
      </c>
      <c r="R1204" t="str">
        <f t="shared" si="222"/>
        <v>Velodrome</v>
      </c>
      <c r="S1204" t="str">
        <f t="shared" si="222"/>
        <v>HollowBrook</v>
      </c>
      <c r="T1204" s="20">
        <f t="shared" si="210"/>
        <v>0</v>
      </c>
      <c r="U1204">
        <f t="shared" si="211"/>
        <v>599</v>
      </c>
      <c r="V1204">
        <f t="shared" si="212"/>
        <v>599</v>
      </c>
      <c r="W1204" cm="1">
        <f t="array" ref="W1204">_xlfn._xlws.FILTER(shifts!A:A,(shifts!B:B=events!D1204)*(shifts!AH:AH&gt;=events!U1204)*(shifts!AI:AI&lt;=events!V1204))</f>
        <v>43</v>
      </c>
      <c r="X1204" t="str">
        <f t="shared" si="209"/>
        <v>opp_team_player_1</v>
      </c>
      <c r="Y1204">
        <f>COUNTIFS(A$3:A1204,"="&amp;A1204,K$3:K1204,"="&amp;K1204)</f>
        <v>1</v>
      </c>
      <c r="Z1204" s="20">
        <f>SUMIFS(T$3:T1204,L$3:L1204,"=Intermission")+SUMIFS(T$3:T1204,L$3:L1204,"=Timeout")+SUMIFS(T$3:T1204,L$3:L1204,"=Clockstop")</f>
        <v>68</v>
      </c>
      <c r="AA1204">
        <f t="shared" si="213"/>
        <v>1148</v>
      </c>
      <c r="AC1204">
        <f t="shared" si="214"/>
        <v>1216</v>
      </c>
    </row>
    <row r="1205" spans="1:29" x14ac:dyDescent="0.2">
      <c r="A1205">
        <v>637</v>
      </c>
      <c r="D1205">
        <f t="shared" si="215"/>
        <v>2</v>
      </c>
      <c r="E1205">
        <v>9</v>
      </c>
      <c r="F1205" s="6" t="s">
        <v>487</v>
      </c>
      <c r="I1205" t="s">
        <v>178</v>
      </c>
      <c r="J1205">
        <v>39</v>
      </c>
      <c r="K1205" t="s">
        <v>488</v>
      </c>
      <c r="L1205" t="s">
        <v>270</v>
      </c>
      <c r="M1205" t="s">
        <v>271</v>
      </c>
      <c r="Q1205">
        <f t="shared" si="222"/>
        <v>18977</v>
      </c>
      <c r="R1205" t="str">
        <f t="shared" si="222"/>
        <v>Velodrome</v>
      </c>
      <c r="S1205" t="str">
        <f t="shared" si="222"/>
        <v>HollowBrook</v>
      </c>
      <c r="T1205" s="20">
        <f t="shared" si="210"/>
        <v>0</v>
      </c>
      <c r="U1205">
        <f t="shared" si="211"/>
        <v>599</v>
      </c>
      <c r="V1205">
        <f t="shared" si="212"/>
        <v>599</v>
      </c>
      <c r="W1205" cm="1">
        <f t="array" ref="W1205">_xlfn._xlws.FILTER(shifts!A:A,(shifts!B:B=events!D1205)*(shifts!AH:AH&gt;=events!U1205)*(shifts!AI:AI&lt;=events!V1205))</f>
        <v>43</v>
      </c>
      <c r="X1205" t="str">
        <f t="shared" si="209"/>
        <v>event_team_player_1</v>
      </c>
      <c r="Y1205">
        <f>COUNTIFS(A$3:A1205,"="&amp;A1205,K$3:K1205,"="&amp;K1205)</f>
        <v>1</v>
      </c>
      <c r="Z1205" s="20">
        <f>SUMIFS(T$3:T1205,L$3:L1205,"=Intermission")+SUMIFS(T$3:T1205,L$3:L1205,"=Timeout")+SUMIFS(T$3:T1205,L$3:L1205,"=Clockstop")</f>
        <v>68</v>
      </c>
      <c r="AA1205">
        <f t="shared" si="213"/>
        <v>1148</v>
      </c>
      <c r="AC1205">
        <f t="shared" si="214"/>
        <v>1216</v>
      </c>
    </row>
    <row r="1206" spans="1:29" x14ac:dyDescent="0.2">
      <c r="A1206">
        <v>638</v>
      </c>
      <c r="D1206">
        <f t="shared" si="215"/>
        <v>2</v>
      </c>
      <c r="E1206">
        <v>9</v>
      </c>
      <c r="F1206" s="6" t="s">
        <v>421</v>
      </c>
      <c r="I1206" t="s">
        <v>179</v>
      </c>
      <c r="J1206">
        <v>2</v>
      </c>
      <c r="K1206" t="s">
        <v>488</v>
      </c>
      <c r="L1206" t="s">
        <v>277</v>
      </c>
      <c r="M1206" t="s">
        <v>210</v>
      </c>
      <c r="N1206" t="s">
        <v>93</v>
      </c>
      <c r="Q1206">
        <f t="shared" ref="Q1206:S1221" si="223">Q1205</f>
        <v>18977</v>
      </c>
      <c r="R1206" t="str">
        <f t="shared" si="223"/>
        <v>Velodrome</v>
      </c>
      <c r="S1206" t="str">
        <f t="shared" si="223"/>
        <v>HollowBrook</v>
      </c>
      <c r="T1206" s="20">
        <f t="shared" si="210"/>
        <v>0</v>
      </c>
      <c r="U1206">
        <f t="shared" si="211"/>
        <v>596</v>
      </c>
      <c r="V1206">
        <f t="shared" si="212"/>
        <v>596</v>
      </c>
      <c r="W1206" cm="1">
        <f t="array" ref="W1206">_xlfn._xlws.FILTER(shifts!A:A,(shifts!B:B=events!D1206)*(shifts!AH:AH&gt;=events!U1206)*(shifts!AI:AI&lt;=events!V1206))</f>
        <v>43</v>
      </c>
      <c r="X1206" t="str">
        <f t="shared" ref="X1206:X1269" si="224">IF(K1206="e","event_team_player_"&amp;Y1206,IF(K1206="o","opp_team_player_"&amp;Y1206,""))</f>
        <v>event_team_player_1</v>
      </c>
      <c r="Y1206">
        <f>COUNTIFS(A$3:A1206,"="&amp;A1206,K$3:K1206,"="&amp;K1206)</f>
        <v>1</v>
      </c>
      <c r="Z1206" s="20">
        <f>SUMIFS(T$3:T1206,L$3:L1206,"=Intermission")+SUMIFS(T$3:T1206,L$3:L1206,"=Timeout")+SUMIFS(T$3:T1206,L$3:L1206,"=Clockstop")</f>
        <v>68</v>
      </c>
      <c r="AA1206">
        <f t="shared" si="213"/>
        <v>1148</v>
      </c>
      <c r="AC1206">
        <f t="shared" si="214"/>
        <v>1216</v>
      </c>
    </row>
    <row r="1207" spans="1:29" x14ac:dyDescent="0.2">
      <c r="A1207">
        <v>639</v>
      </c>
      <c r="D1207">
        <f t="shared" si="215"/>
        <v>2</v>
      </c>
      <c r="E1207">
        <v>9</v>
      </c>
      <c r="F1207" s="6" t="s">
        <v>428</v>
      </c>
      <c r="G1207">
        <v>9</v>
      </c>
      <c r="H1207" s="8" t="s">
        <v>451</v>
      </c>
      <c r="I1207" t="s">
        <v>178</v>
      </c>
      <c r="J1207">
        <v>42</v>
      </c>
      <c r="K1207" t="s">
        <v>488</v>
      </c>
      <c r="L1207" t="s">
        <v>277</v>
      </c>
      <c r="M1207" t="s">
        <v>201</v>
      </c>
      <c r="N1207" t="s">
        <v>90</v>
      </c>
      <c r="Q1207">
        <f t="shared" si="223"/>
        <v>18977</v>
      </c>
      <c r="R1207" t="str">
        <f t="shared" si="223"/>
        <v>Velodrome</v>
      </c>
      <c r="S1207" t="str">
        <f t="shared" si="223"/>
        <v>HollowBrook</v>
      </c>
      <c r="T1207" s="20">
        <f t="shared" si="210"/>
        <v>4</v>
      </c>
      <c r="U1207">
        <f t="shared" si="211"/>
        <v>592</v>
      </c>
      <c r="V1207">
        <f t="shared" si="212"/>
        <v>588</v>
      </c>
      <c r="W1207" cm="1">
        <f t="array" ref="W1207">_xlfn._xlws.FILTER(shifts!A:A,(shifts!B:B=events!D1207)*(shifts!AH:AH&gt;=events!U1207)*(shifts!AI:AI&lt;=events!V1207))</f>
        <v>43</v>
      </c>
      <c r="X1207" t="str">
        <f t="shared" si="224"/>
        <v>event_team_player_1</v>
      </c>
      <c r="Y1207">
        <f>COUNTIFS(A$3:A1207,"="&amp;A1207,K$3:K1207,"="&amp;K1207)</f>
        <v>1</v>
      </c>
      <c r="Z1207" s="20">
        <f>SUMIFS(T$3:T1207,L$3:L1207,"=Intermission")+SUMIFS(T$3:T1207,L$3:L1207,"=Timeout")+SUMIFS(T$3:T1207,L$3:L1207,"=Clockstop")</f>
        <v>68</v>
      </c>
      <c r="AA1207">
        <f t="shared" si="213"/>
        <v>1148</v>
      </c>
      <c r="AC1207">
        <f t="shared" si="214"/>
        <v>1216</v>
      </c>
    </row>
    <row r="1208" spans="1:29" x14ac:dyDescent="0.2">
      <c r="A1208">
        <v>640</v>
      </c>
      <c r="D1208">
        <f t="shared" si="215"/>
        <v>2</v>
      </c>
      <c r="E1208">
        <v>9</v>
      </c>
      <c r="F1208" s="6" t="s">
        <v>451</v>
      </c>
      <c r="I1208" t="s">
        <v>178</v>
      </c>
      <c r="J1208">
        <v>42</v>
      </c>
      <c r="K1208" t="s">
        <v>488</v>
      </c>
      <c r="L1208" t="s">
        <v>8</v>
      </c>
      <c r="M1208" t="s">
        <v>189</v>
      </c>
      <c r="N1208" t="s">
        <v>70</v>
      </c>
      <c r="Q1208">
        <f t="shared" si="223"/>
        <v>18977</v>
      </c>
      <c r="R1208" t="str">
        <f t="shared" si="223"/>
        <v>Velodrome</v>
      </c>
      <c r="S1208" t="str">
        <f t="shared" si="223"/>
        <v>HollowBrook</v>
      </c>
      <c r="T1208" s="20">
        <f t="shared" si="210"/>
        <v>0</v>
      </c>
      <c r="U1208">
        <f t="shared" si="211"/>
        <v>588</v>
      </c>
      <c r="V1208">
        <f t="shared" si="212"/>
        <v>588</v>
      </c>
      <c r="W1208" cm="1">
        <f t="array" ref="W1208">_xlfn._xlws.FILTER(shifts!A:A,(shifts!B:B=events!D1208)*(shifts!AH:AH&gt;=events!U1208)*(shifts!AI:AI&lt;=events!V1208))</f>
        <v>43</v>
      </c>
      <c r="X1208" t="str">
        <f t="shared" si="224"/>
        <v>event_team_player_1</v>
      </c>
      <c r="Y1208">
        <f>COUNTIFS(A$3:A1208,"="&amp;A1208,K$3:K1208,"="&amp;K1208)</f>
        <v>1</v>
      </c>
      <c r="Z1208" s="20">
        <f>SUMIFS(T$3:T1208,L$3:L1208,"=Intermission")+SUMIFS(T$3:T1208,L$3:L1208,"=Timeout")+SUMIFS(T$3:T1208,L$3:L1208,"=Clockstop")</f>
        <v>68</v>
      </c>
      <c r="AA1208">
        <f t="shared" si="213"/>
        <v>1148</v>
      </c>
      <c r="AC1208">
        <f t="shared" si="214"/>
        <v>1216</v>
      </c>
    </row>
    <row r="1209" spans="1:29" x14ac:dyDescent="0.2">
      <c r="A1209">
        <v>640</v>
      </c>
      <c r="D1209">
        <f t="shared" si="215"/>
        <v>2</v>
      </c>
      <c r="E1209">
        <v>9</v>
      </c>
      <c r="F1209" s="6" t="s">
        <v>451</v>
      </c>
      <c r="I1209" t="s">
        <v>178</v>
      </c>
      <c r="J1209">
        <v>91</v>
      </c>
      <c r="K1209" t="s">
        <v>488</v>
      </c>
      <c r="L1209" t="s">
        <v>8</v>
      </c>
      <c r="M1209" t="s">
        <v>189</v>
      </c>
      <c r="N1209" t="s">
        <v>70</v>
      </c>
      <c r="Q1209">
        <f t="shared" si="223"/>
        <v>18977</v>
      </c>
      <c r="R1209" t="str">
        <f t="shared" si="223"/>
        <v>Velodrome</v>
      </c>
      <c r="S1209" t="str">
        <f t="shared" si="223"/>
        <v>HollowBrook</v>
      </c>
      <c r="T1209" s="20">
        <f t="shared" si="210"/>
        <v>0</v>
      </c>
      <c r="U1209">
        <f t="shared" si="211"/>
        <v>588</v>
      </c>
      <c r="V1209">
        <f t="shared" si="212"/>
        <v>588</v>
      </c>
      <c r="W1209" cm="1">
        <f t="array" ref="W1209">_xlfn._xlws.FILTER(shifts!A:A,(shifts!B:B=events!D1209)*(shifts!AH:AH&gt;=events!U1209)*(shifts!AI:AI&lt;=events!V1209))</f>
        <v>43</v>
      </c>
      <c r="X1209" t="str">
        <f t="shared" si="224"/>
        <v>event_team_player_2</v>
      </c>
      <c r="Y1209">
        <f>COUNTIFS(A$3:A1209,"="&amp;A1209,K$3:K1209,"="&amp;K1209)</f>
        <v>2</v>
      </c>
      <c r="Z1209" s="20">
        <f>SUMIFS(T$3:T1209,L$3:L1209,"=Intermission")+SUMIFS(T$3:T1209,L$3:L1209,"=Timeout")+SUMIFS(T$3:T1209,L$3:L1209,"=Clockstop")</f>
        <v>68</v>
      </c>
      <c r="AA1209">
        <f t="shared" si="213"/>
        <v>1148</v>
      </c>
      <c r="AC1209">
        <f t="shared" si="214"/>
        <v>1216</v>
      </c>
    </row>
    <row r="1210" spans="1:29" x14ac:dyDescent="0.2">
      <c r="A1210">
        <v>640</v>
      </c>
      <c r="D1210">
        <f t="shared" si="215"/>
        <v>2</v>
      </c>
      <c r="E1210">
        <v>9</v>
      </c>
      <c r="F1210" s="6" t="s">
        <v>451</v>
      </c>
      <c r="I1210" t="s">
        <v>178</v>
      </c>
      <c r="J1210">
        <v>19</v>
      </c>
      <c r="K1210" t="s">
        <v>489</v>
      </c>
      <c r="L1210" t="s">
        <v>8</v>
      </c>
      <c r="M1210" t="s">
        <v>189</v>
      </c>
      <c r="N1210" t="s">
        <v>70</v>
      </c>
      <c r="Q1210">
        <f t="shared" si="223"/>
        <v>18977</v>
      </c>
      <c r="R1210" t="str">
        <f t="shared" si="223"/>
        <v>Velodrome</v>
      </c>
      <c r="S1210" t="str">
        <f t="shared" si="223"/>
        <v>HollowBrook</v>
      </c>
      <c r="T1210" s="20">
        <f t="shared" si="210"/>
        <v>0</v>
      </c>
      <c r="U1210">
        <f t="shared" si="211"/>
        <v>588</v>
      </c>
      <c r="V1210">
        <f t="shared" si="212"/>
        <v>588</v>
      </c>
      <c r="W1210" cm="1">
        <f t="array" ref="W1210">_xlfn._xlws.FILTER(shifts!A:A,(shifts!B:B=events!D1210)*(shifts!AH:AH&gt;=events!U1210)*(shifts!AI:AI&lt;=events!V1210))</f>
        <v>43</v>
      </c>
      <c r="X1210" t="str">
        <f t="shared" si="224"/>
        <v>opp_team_player_1</v>
      </c>
      <c r="Y1210">
        <f>COUNTIFS(A$3:A1210,"="&amp;A1210,K$3:K1210,"="&amp;K1210)</f>
        <v>1</v>
      </c>
      <c r="Z1210" s="20">
        <f>SUMIFS(T$3:T1210,L$3:L1210,"=Intermission")+SUMIFS(T$3:T1210,L$3:L1210,"=Timeout")+SUMIFS(T$3:T1210,L$3:L1210,"=Clockstop")</f>
        <v>68</v>
      </c>
      <c r="AA1210">
        <f t="shared" si="213"/>
        <v>1148</v>
      </c>
      <c r="AC1210">
        <f t="shared" si="214"/>
        <v>1216</v>
      </c>
    </row>
    <row r="1211" spans="1:29" x14ac:dyDescent="0.2">
      <c r="A1211">
        <v>641</v>
      </c>
      <c r="D1211">
        <f t="shared" si="215"/>
        <v>2</v>
      </c>
      <c r="E1211">
        <v>9</v>
      </c>
      <c r="F1211" s="6" t="s">
        <v>430</v>
      </c>
      <c r="I1211" t="s">
        <v>178</v>
      </c>
      <c r="J1211">
        <v>91</v>
      </c>
      <c r="K1211" t="s">
        <v>488</v>
      </c>
      <c r="L1211" t="s">
        <v>277</v>
      </c>
      <c r="M1211" t="s">
        <v>191</v>
      </c>
      <c r="N1211" t="s">
        <v>89</v>
      </c>
      <c r="Q1211">
        <f t="shared" si="223"/>
        <v>18977</v>
      </c>
      <c r="R1211" t="str">
        <f t="shared" si="223"/>
        <v>Velodrome</v>
      </c>
      <c r="S1211" t="str">
        <f t="shared" si="223"/>
        <v>HollowBrook</v>
      </c>
      <c r="T1211" s="20">
        <f t="shared" si="210"/>
        <v>0</v>
      </c>
      <c r="U1211">
        <f t="shared" si="211"/>
        <v>582</v>
      </c>
      <c r="V1211">
        <f t="shared" si="212"/>
        <v>582</v>
      </c>
      <c r="W1211">
        <v>44</v>
      </c>
      <c r="X1211" t="str">
        <f t="shared" si="224"/>
        <v>event_team_player_1</v>
      </c>
      <c r="Y1211">
        <f>COUNTIFS(A$3:A1211,"="&amp;A1211,K$3:K1211,"="&amp;K1211)</f>
        <v>1</v>
      </c>
      <c r="Z1211" s="20">
        <f>SUMIFS(T$3:T1211,L$3:L1211,"=Intermission")+SUMIFS(T$3:T1211,L$3:L1211,"=Timeout")+SUMIFS(T$3:T1211,L$3:L1211,"=Clockstop")</f>
        <v>68</v>
      </c>
      <c r="AA1211">
        <f t="shared" si="213"/>
        <v>1148</v>
      </c>
      <c r="AC1211">
        <f t="shared" si="214"/>
        <v>1216</v>
      </c>
    </row>
    <row r="1212" spans="1:29" x14ac:dyDescent="0.2">
      <c r="A1212">
        <v>642</v>
      </c>
      <c r="D1212">
        <f t="shared" si="215"/>
        <v>2</v>
      </c>
      <c r="E1212">
        <v>9</v>
      </c>
      <c r="F1212" s="6" t="s">
        <v>430</v>
      </c>
      <c r="I1212" t="s">
        <v>178</v>
      </c>
      <c r="J1212">
        <v>91</v>
      </c>
      <c r="K1212" t="s">
        <v>488</v>
      </c>
      <c r="L1212" t="s">
        <v>10</v>
      </c>
      <c r="M1212" t="s">
        <v>190</v>
      </c>
      <c r="N1212" t="s">
        <v>460</v>
      </c>
      <c r="Q1212">
        <f t="shared" si="223"/>
        <v>18977</v>
      </c>
      <c r="R1212" t="str">
        <f t="shared" si="223"/>
        <v>Velodrome</v>
      </c>
      <c r="S1212" t="str">
        <f t="shared" si="223"/>
        <v>HollowBrook</v>
      </c>
      <c r="T1212" s="20">
        <f t="shared" si="210"/>
        <v>0</v>
      </c>
      <c r="U1212">
        <f t="shared" si="211"/>
        <v>582</v>
      </c>
      <c r="V1212">
        <f t="shared" si="212"/>
        <v>582</v>
      </c>
      <c r="W1212">
        <v>44</v>
      </c>
      <c r="X1212" t="str">
        <f t="shared" si="224"/>
        <v>event_team_player_1</v>
      </c>
      <c r="Y1212">
        <f>COUNTIFS(A$3:A1212,"="&amp;A1212,K$3:K1212,"="&amp;K1212)</f>
        <v>1</v>
      </c>
      <c r="Z1212" s="20">
        <f>SUMIFS(T$3:T1212,L$3:L1212,"=Intermission")+SUMIFS(T$3:T1212,L$3:L1212,"=Timeout")+SUMIFS(T$3:T1212,L$3:L1212,"=Clockstop")</f>
        <v>68</v>
      </c>
      <c r="AA1212">
        <f t="shared" si="213"/>
        <v>1148</v>
      </c>
      <c r="AC1212">
        <f t="shared" si="214"/>
        <v>1216</v>
      </c>
    </row>
    <row r="1213" spans="1:29" x14ac:dyDescent="0.2">
      <c r="A1213">
        <v>643</v>
      </c>
      <c r="D1213">
        <f t="shared" si="215"/>
        <v>2</v>
      </c>
      <c r="E1213">
        <v>9</v>
      </c>
      <c r="F1213" s="6" t="s">
        <v>437</v>
      </c>
      <c r="G1213">
        <v>9</v>
      </c>
      <c r="H1213" s="8" t="s">
        <v>453</v>
      </c>
      <c r="I1213" t="s">
        <v>179</v>
      </c>
      <c r="J1213">
        <v>18</v>
      </c>
      <c r="K1213" t="s">
        <v>488</v>
      </c>
      <c r="L1213" t="s">
        <v>15</v>
      </c>
      <c r="Q1213">
        <f t="shared" si="223"/>
        <v>18977</v>
      </c>
      <c r="R1213" t="str">
        <f t="shared" si="223"/>
        <v>Velodrome</v>
      </c>
      <c r="S1213" t="str">
        <f t="shared" si="223"/>
        <v>HollowBrook</v>
      </c>
      <c r="T1213" s="20">
        <f t="shared" si="210"/>
        <v>3</v>
      </c>
      <c r="U1213">
        <f t="shared" si="211"/>
        <v>580</v>
      </c>
      <c r="V1213">
        <f t="shared" si="212"/>
        <v>577</v>
      </c>
      <c r="W1213" cm="1">
        <f t="array" ref="W1213">_xlfn._xlws.FILTER(shifts!A:A,(shifts!B:B=events!D1213)*(shifts!AH:AH&gt;=events!U1213)*(shifts!AI:AI&lt;=events!V1213))</f>
        <v>44</v>
      </c>
      <c r="X1213" t="str">
        <f t="shared" si="224"/>
        <v>event_team_player_1</v>
      </c>
      <c r="Y1213">
        <f>COUNTIFS(A$3:A1213,"="&amp;A1213,K$3:K1213,"="&amp;K1213)</f>
        <v>1</v>
      </c>
      <c r="Z1213" s="20">
        <f>SUMIFS(T$3:T1213,L$3:L1213,"=Intermission")+SUMIFS(T$3:T1213,L$3:L1213,"=Timeout")+SUMIFS(T$3:T1213,L$3:L1213,"=Clockstop")</f>
        <v>68</v>
      </c>
      <c r="AA1213">
        <f t="shared" si="213"/>
        <v>1148</v>
      </c>
      <c r="AC1213">
        <f t="shared" si="214"/>
        <v>1216</v>
      </c>
    </row>
    <row r="1214" spans="1:29" x14ac:dyDescent="0.2">
      <c r="A1214">
        <v>643</v>
      </c>
      <c r="D1214">
        <f t="shared" si="215"/>
        <v>2</v>
      </c>
      <c r="E1214">
        <v>9</v>
      </c>
      <c r="F1214" s="6" t="s">
        <v>452</v>
      </c>
      <c r="I1214" t="s">
        <v>179</v>
      </c>
      <c r="J1214">
        <v>18</v>
      </c>
      <c r="K1214" t="s">
        <v>488</v>
      </c>
      <c r="L1214" t="s">
        <v>8</v>
      </c>
      <c r="M1214" t="s">
        <v>189</v>
      </c>
      <c r="N1214" t="s">
        <v>70</v>
      </c>
      <c r="Q1214">
        <f t="shared" si="223"/>
        <v>18977</v>
      </c>
      <c r="R1214" t="str">
        <f t="shared" si="223"/>
        <v>Velodrome</v>
      </c>
      <c r="S1214" t="str">
        <f t="shared" si="223"/>
        <v>HollowBrook</v>
      </c>
      <c r="T1214" s="20">
        <f t="shared" si="210"/>
        <v>0</v>
      </c>
      <c r="U1214">
        <f t="shared" si="211"/>
        <v>576</v>
      </c>
      <c r="V1214">
        <f t="shared" si="212"/>
        <v>576</v>
      </c>
      <c r="W1214" cm="1">
        <f t="array" ref="W1214">_xlfn._xlws.FILTER(shifts!A:A,(shifts!B:B=events!D1214)*(shifts!AH:AH&gt;=events!U1214)*(shifts!AI:AI&lt;=events!V1214))</f>
        <v>44</v>
      </c>
      <c r="X1214" t="str">
        <f t="shared" si="224"/>
        <v>event_team_player_2</v>
      </c>
      <c r="Y1214">
        <f>COUNTIFS(A$3:A1214,"="&amp;A1214,K$3:K1214,"="&amp;K1214)</f>
        <v>2</v>
      </c>
      <c r="Z1214" s="20">
        <f>SUMIFS(T$3:T1214,L$3:L1214,"=Intermission")+SUMIFS(T$3:T1214,L$3:L1214,"=Timeout")+SUMIFS(T$3:T1214,L$3:L1214,"=Clockstop")</f>
        <v>68</v>
      </c>
      <c r="AA1214">
        <f t="shared" si="213"/>
        <v>1148</v>
      </c>
      <c r="AC1214">
        <f t="shared" si="214"/>
        <v>1216</v>
      </c>
    </row>
    <row r="1215" spans="1:29" x14ac:dyDescent="0.2">
      <c r="A1215">
        <v>643</v>
      </c>
      <c r="D1215">
        <f t="shared" si="215"/>
        <v>2</v>
      </c>
      <c r="E1215">
        <v>9</v>
      </c>
      <c r="F1215" s="6" t="s">
        <v>452</v>
      </c>
      <c r="I1215" t="s">
        <v>179</v>
      </c>
      <c r="J1215">
        <v>40</v>
      </c>
      <c r="K1215" t="s">
        <v>488</v>
      </c>
      <c r="L1215" t="s">
        <v>8</v>
      </c>
      <c r="M1215" t="s">
        <v>189</v>
      </c>
      <c r="N1215" t="s">
        <v>70</v>
      </c>
      <c r="Q1215">
        <f t="shared" si="223"/>
        <v>18977</v>
      </c>
      <c r="R1215" t="str">
        <f t="shared" si="223"/>
        <v>Velodrome</v>
      </c>
      <c r="S1215" t="str">
        <f t="shared" si="223"/>
        <v>HollowBrook</v>
      </c>
      <c r="T1215" s="20">
        <f t="shared" si="210"/>
        <v>0</v>
      </c>
      <c r="U1215">
        <f t="shared" si="211"/>
        <v>576</v>
      </c>
      <c r="V1215">
        <f t="shared" si="212"/>
        <v>576</v>
      </c>
      <c r="W1215" cm="1">
        <f t="array" ref="W1215">_xlfn._xlws.FILTER(shifts!A:A,(shifts!B:B=events!D1215)*(shifts!AH:AH&gt;=events!U1215)*(shifts!AI:AI&lt;=events!V1215))</f>
        <v>44</v>
      </c>
      <c r="X1215" t="str">
        <f t="shared" si="224"/>
        <v>event_team_player_3</v>
      </c>
      <c r="Y1215">
        <f>COUNTIFS(A$3:A1215,"="&amp;A1215,K$3:K1215,"="&amp;K1215)</f>
        <v>3</v>
      </c>
      <c r="Z1215" s="20">
        <f>SUMIFS(T$3:T1215,L$3:L1215,"=Intermission")+SUMIFS(T$3:T1215,L$3:L1215,"=Timeout")+SUMIFS(T$3:T1215,L$3:L1215,"=Clockstop")</f>
        <v>68</v>
      </c>
      <c r="AA1215">
        <f t="shared" si="213"/>
        <v>1148</v>
      </c>
      <c r="AC1215">
        <f t="shared" si="214"/>
        <v>1216</v>
      </c>
    </row>
    <row r="1216" spans="1:29" x14ac:dyDescent="0.2">
      <c r="A1216">
        <v>644</v>
      </c>
      <c r="D1216">
        <f t="shared" si="215"/>
        <v>2</v>
      </c>
      <c r="E1216">
        <v>9</v>
      </c>
      <c r="F1216" s="6" t="s">
        <v>455</v>
      </c>
      <c r="I1216" t="s">
        <v>179</v>
      </c>
      <c r="J1216">
        <v>40</v>
      </c>
      <c r="K1216" t="s">
        <v>488</v>
      </c>
      <c r="L1216" t="s">
        <v>8</v>
      </c>
      <c r="M1216" t="s">
        <v>189</v>
      </c>
      <c r="N1216" t="s">
        <v>67</v>
      </c>
      <c r="Q1216">
        <f t="shared" si="223"/>
        <v>18977</v>
      </c>
      <c r="R1216" t="str">
        <f t="shared" si="223"/>
        <v>Velodrome</v>
      </c>
      <c r="S1216" t="str">
        <f t="shared" si="223"/>
        <v>HollowBrook</v>
      </c>
      <c r="T1216" s="20">
        <f t="shared" si="210"/>
        <v>0</v>
      </c>
      <c r="U1216">
        <f t="shared" si="211"/>
        <v>575</v>
      </c>
      <c r="V1216">
        <f t="shared" si="212"/>
        <v>575</v>
      </c>
      <c r="W1216" cm="1">
        <f t="array" ref="W1216">_xlfn._xlws.FILTER(shifts!A:A,(shifts!B:B=events!D1216)*(shifts!AH:AH&gt;=events!U1216)*(shifts!AI:AI&lt;=events!V1216))</f>
        <v>44</v>
      </c>
      <c r="X1216" t="str">
        <f t="shared" si="224"/>
        <v>event_team_player_1</v>
      </c>
      <c r="Y1216">
        <f>COUNTIFS(A$3:A1216,"="&amp;A1216,K$3:K1216,"="&amp;K1216)</f>
        <v>1</v>
      </c>
      <c r="Z1216" s="20">
        <f>SUMIFS(T$3:T1216,L$3:L1216,"=Intermission")+SUMIFS(T$3:T1216,L$3:L1216,"=Timeout")+SUMIFS(T$3:T1216,L$3:L1216,"=Clockstop")</f>
        <v>68</v>
      </c>
      <c r="AA1216">
        <f t="shared" si="213"/>
        <v>1148</v>
      </c>
      <c r="AC1216">
        <f t="shared" si="214"/>
        <v>1216</v>
      </c>
    </row>
    <row r="1217" spans="1:29" x14ac:dyDescent="0.2">
      <c r="A1217">
        <v>644</v>
      </c>
      <c r="D1217">
        <f t="shared" si="215"/>
        <v>2</v>
      </c>
      <c r="E1217">
        <v>9</v>
      </c>
      <c r="F1217" s="6" t="s">
        <v>455</v>
      </c>
      <c r="I1217" t="s">
        <v>179</v>
      </c>
      <c r="J1217">
        <v>11</v>
      </c>
      <c r="K1217" t="s">
        <v>488</v>
      </c>
      <c r="L1217" t="s">
        <v>8</v>
      </c>
      <c r="M1217" t="s">
        <v>189</v>
      </c>
      <c r="N1217" t="s">
        <v>67</v>
      </c>
      <c r="Q1217">
        <f t="shared" si="223"/>
        <v>18977</v>
      </c>
      <c r="R1217" t="str">
        <f t="shared" si="223"/>
        <v>Velodrome</v>
      </c>
      <c r="S1217" t="str">
        <f t="shared" si="223"/>
        <v>HollowBrook</v>
      </c>
      <c r="T1217" s="20">
        <f t="shared" si="210"/>
        <v>0</v>
      </c>
      <c r="U1217">
        <f t="shared" si="211"/>
        <v>575</v>
      </c>
      <c r="V1217">
        <f t="shared" si="212"/>
        <v>575</v>
      </c>
      <c r="W1217" cm="1">
        <f t="array" ref="W1217">_xlfn._xlws.FILTER(shifts!A:A,(shifts!B:B=events!D1217)*(shifts!AH:AH&gt;=events!U1217)*(shifts!AI:AI&lt;=events!V1217))</f>
        <v>44</v>
      </c>
      <c r="X1217" t="str">
        <f t="shared" si="224"/>
        <v>event_team_player_2</v>
      </c>
      <c r="Y1217">
        <f>COUNTIFS(A$3:A1217,"="&amp;A1217,K$3:K1217,"="&amp;K1217)</f>
        <v>2</v>
      </c>
      <c r="Z1217" s="20">
        <f>SUMIFS(T$3:T1217,L$3:L1217,"=Intermission")+SUMIFS(T$3:T1217,L$3:L1217,"=Timeout")+SUMIFS(T$3:T1217,L$3:L1217,"=Clockstop")</f>
        <v>68</v>
      </c>
      <c r="AA1217">
        <f t="shared" si="213"/>
        <v>1148</v>
      </c>
      <c r="AC1217">
        <f t="shared" si="214"/>
        <v>1216</v>
      </c>
    </row>
    <row r="1218" spans="1:29" x14ac:dyDescent="0.2">
      <c r="A1218">
        <v>645</v>
      </c>
      <c r="D1218">
        <f t="shared" si="215"/>
        <v>2</v>
      </c>
      <c r="E1218">
        <v>9</v>
      </c>
      <c r="F1218" s="6" t="s">
        <v>455</v>
      </c>
      <c r="I1218" t="s">
        <v>179</v>
      </c>
      <c r="J1218">
        <v>40</v>
      </c>
      <c r="K1218" t="s">
        <v>488</v>
      </c>
      <c r="L1218" t="s">
        <v>277</v>
      </c>
      <c r="M1218" t="s">
        <v>201</v>
      </c>
      <c r="N1218" t="s">
        <v>91</v>
      </c>
      <c r="Q1218">
        <f t="shared" si="223"/>
        <v>18977</v>
      </c>
      <c r="R1218" t="str">
        <f t="shared" si="223"/>
        <v>Velodrome</v>
      </c>
      <c r="S1218" t="str">
        <f t="shared" si="223"/>
        <v>HollowBrook</v>
      </c>
      <c r="T1218" s="20">
        <f t="shared" si="210"/>
        <v>0</v>
      </c>
      <c r="U1218">
        <f t="shared" si="211"/>
        <v>575</v>
      </c>
      <c r="V1218">
        <f t="shared" si="212"/>
        <v>575</v>
      </c>
      <c r="W1218" cm="1">
        <f t="array" ref="W1218">_xlfn._xlws.FILTER(shifts!A:A,(shifts!B:B=events!D1218)*(shifts!AH:AH&gt;=events!U1218)*(shifts!AI:AI&lt;=events!V1218))</f>
        <v>44</v>
      </c>
      <c r="X1218" t="str">
        <f t="shared" si="224"/>
        <v>event_team_player_1</v>
      </c>
      <c r="Y1218">
        <f>COUNTIFS(A$3:A1218,"="&amp;A1218,K$3:K1218,"="&amp;K1218)</f>
        <v>1</v>
      </c>
      <c r="Z1218" s="20">
        <f>SUMIFS(T$3:T1218,L$3:L1218,"=Intermission")+SUMIFS(T$3:T1218,L$3:L1218,"=Timeout")+SUMIFS(T$3:T1218,L$3:L1218,"=Clockstop")</f>
        <v>68</v>
      </c>
      <c r="AA1218">
        <f t="shared" si="213"/>
        <v>1148</v>
      </c>
      <c r="AC1218">
        <f t="shared" si="214"/>
        <v>1216</v>
      </c>
    </row>
    <row r="1219" spans="1:29" x14ac:dyDescent="0.2">
      <c r="A1219">
        <v>645</v>
      </c>
      <c r="D1219">
        <f t="shared" si="215"/>
        <v>2</v>
      </c>
      <c r="E1219">
        <v>9</v>
      </c>
      <c r="F1219" s="6" t="s">
        <v>455</v>
      </c>
      <c r="I1219" t="s">
        <v>179</v>
      </c>
      <c r="J1219">
        <v>11</v>
      </c>
      <c r="K1219" t="s">
        <v>488</v>
      </c>
      <c r="L1219" t="s">
        <v>277</v>
      </c>
      <c r="M1219" t="s">
        <v>201</v>
      </c>
      <c r="N1219" t="s">
        <v>91</v>
      </c>
      <c r="Q1219">
        <f t="shared" si="223"/>
        <v>18977</v>
      </c>
      <c r="R1219" t="str">
        <f t="shared" si="223"/>
        <v>Velodrome</v>
      </c>
      <c r="S1219" t="str">
        <f t="shared" si="223"/>
        <v>HollowBrook</v>
      </c>
      <c r="T1219" s="20">
        <f t="shared" si="210"/>
        <v>0</v>
      </c>
      <c r="U1219">
        <f t="shared" si="211"/>
        <v>575</v>
      </c>
      <c r="V1219">
        <f t="shared" si="212"/>
        <v>575</v>
      </c>
      <c r="W1219" cm="1">
        <f t="array" ref="W1219">_xlfn._xlws.FILTER(shifts!A:A,(shifts!B:B=events!D1219)*(shifts!AH:AH&gt;=events!U1219)*(shifts!AI:AI&lt;=events!V1219))</f>
        <v>44</v>
      </c>
      <c r="X1219" t="str">
        <f t="shared" si="224"/>
        <v>event_team_player_2</v>
      </c>
      <c r="Y1219">
        <f>COUNTIFS(A$3:A1219,"="&amp;A1219,K$3:K1219,"="&amp;K1219)</f>
        <v>2</v>
      </c>
      <c r="Z1219" s="20">
        <f>SUMIFS(T$3:T1219,L$3:L1219,"=Intermission")+SUMIFS(T$3:T1219,L$3:L1219,"=Timeout")+SUMIFS(T$3:T1219,L$3:L1219,"=Clockstop")</f>
        <v>68</v>
      </c>
      <c r="AA1219">
        <f t="shared" si="213"/>
        <v>1148</v>
      </c>
      <c r="AC1219">
        <f t="shared" si="214"/>
        <v>1216</v>
      </c>
    </row>
    <row r="1220" spans="1:29" x14ac:dyDescent="0.2">
      <c r="A1220">
        <v>646</v>
      </c>
      <c r="D1220">
        <f t="shared" si="215"/>
        <v>2</v>
      </c>
      <c r="E1220">
        <v>9</v>
      </c>
      <c r="F1220" s="6" t="s">
        <v>494</v>
      </c>
      <c r="I1220" t="s">
        <v>179</v>
      </c>
      <c r="J1220">
        <v>11</v>
      </c>
      <c r="K1220" t="s">
        <v>488</v>
      </c>
      <c r="L1220" t="s">
        <v>10</v>
      </c>
      <c r="M1220" t="s">
        <v>190</v>
      </c>
      <c r="N1220" t="s">
        <v>73</v>
      </c>
      <c r="Q1220">
        <f t="shared" si="223"/>
        <v>18977</v>
      </c>
      <c r="R1220" t="str">
        <f t="shared" si="223"/>
        <v>Velodrome</v>
      </c>
      <c r="S1220" t="str">
        <f t="shared" si="223"/>
        <v>HollowBrook</v>
      </c>
      <c r="T1220" s="20">
        <f t="shared" si="210"/>
        <v>0</v>
      </c>
      <c r="U1220">
        <f t="shared" si="211"/>
        <v>572</v>
      </c>
      <c r="V1220">
        <f t="shared" si="212"/>
        <v>572</v>
      </c>
      <c r="W1220" cm="1">
        <f t="array" ref="W1220">_xlfn._xlws.FILTER(shifts!A:A,(shifts!B:B=events!D1220)*(shifts!AH:AH&gt;=events!U1220)*(shifts!AI:AI&lt;=events!V1220))</f>
        <v>44</v>
      </c>
      <c r="X1220" t="str">
        <f t="shared" si="224"/>
        <v>event_team_player_1</v>
      </c>
      <c r="Y1220">
        <f>COUNTIFS(A$3:A1220,"="&amp;A1220,K$3:K1220,"="&amp;K1220)</f>
        <v>1</v>
      </c>
      <c r="Z1220" s="20">
        <f>SUMIFS(T$3:T1220,L$3:L1220,"=Intermission")+SUMIFS(T$3:T1220,L$3:L1220,"=Timeout")+SUMIFS(T$3:T1220,L$3:L1220,"=Clockstop")</f>
        <v>68</v>
      </c>
      <c r="AA1220">
        <f t="shared" ref="AA1220:AA1283" si="225">IF(D1220=1,0,IF(D1220=2,1080+Z1220,IF(D1220=3,(1080*2)+Z1220,0)))</f>
        <v>1148</v>
      </c>
      <c r="AC1220">
        <f t="shared" ref="AC1220:AC1283" si="226">IF(L1219="GameStart",0,AA1220+Z1220)</f>
        <v>1216</v>
      </c>
    </row>
    <row r="1221" spans="1:29" x14ac:dyDescent="0.2">
      <c r="A1221">
        <v>646</v>
      </c>
      <c r="D1221">
        <f t="shared" ref="D1221:D1284" si="227">IF(L1221="Intermission",D1220+1,D1220)</f>
        <v>2</v>
      </c>
      <c r="E1221">
        <v>9</v>
      </c>
      <c r="F1221" s="6" t="s">
        <v>494</v>
      </c>
      <c r="I1221" t="s">
        <v>179</v>
      </c>
      <c r="J1221">
        <v>87</v>
      </c>
      <c r="K1221" t="s">
        <v>489</v>
      </c>
      <c r="L1221" t="s">
        <v>10</v>
      </c>
      <c r="M1221" t="s">
        <v>190</v>
      </c>
      <c r="N1221" t="s">
        <v>73</v>
      </c>
      <c r="Q1221">
        <f t="shared" si="223"/>
        <v>18977</v>
      </c>
      <c r="R1221" t="str">
        <f t="shared" si="223"/>
        <v>Velodrome</v>
      </c>
      <c r="S1221" t="str">
        <f t="shared" si="223"/>
        <v>HollowBrook</v>
      </c>
      <c r="T1221" s="20">
        <f t="shared" ref="T1221:T1284" si="228">IF(AND(G1221="",H1221=""),0,((E1221*60)+F1221)-((G1221*60)+H1221))</f>
        <v>0</v>
      </c>
      <c r="U1221">
        <f t="shared" ref="U1221:U1284" si="229">(E1221*60)+F1221</f>
        <v>572</v>
      </c>
      <c r="V1221">
        <f t="shared" ref="V1221:V1284" si="230">IF(AND(G1221="",H1221=""),U1221,((G1221*60)+H1221))</f>
        <v>572</v>
      </c>
      <c r="W1221" cm="1">
        <f t="array" ref="W1221">_xlfn._xlws.FILTER(shifts!A:A,(shifts!B:B=events!D1221)*(shifts!AH:AH&gt;=events!U1221)*(shifts!AI:AI&lt;=events!V1221))</f>
        <v>44</v>
      </c>
      <c r="X1221" t="str">
        <f t="shared" si="224"/>
        <v>opp_team_player_1</v>
      </c>
      <c r="Y1221">
        <f>COUNTIFS(A$3:A1221,"="&amp;A1221,K$3:K1221,"="&amp;K1221)</f>
        <v>1</v>
      </c>
      <c r="Z1221" s="20">
        <f>SUMIFS(T$3:T1221,L$3:L1221,"=Intermission")+SUMIFS(T$3:T1221,L$3:L1221,"=Timeout")+SUMIFS(T$3:T1221,L$3:L1221,"=Clockstop")</f>
        <v>68</v>
      </c>
      <c r="AA1221">
        <f t="shared" si="225"/>
        <v>1148</v>
      </c>
      <c r="AC1221">
        <f t="shared" si="226"/>
        <v>1216</v>
      </c>
    </row>
    <row r="1222" spans="1:29" x14ac:dyDescent="0.2">
      <c r="A1222">
        <v>647</v>
      </c>
      <c r="D1222">
        <f t="shared" si="227"/>
        <v>2</v>
      </c>
      <c r="E1222">
        <v>9</v>
      </c>
      <c r="F1222" s="6" t="s">
        <v>472</v>
      </c>
      <c r="G1222">
        <v>9</v>
      </c>
      <c r="H1222" s="8" t="s">
        <v>440</v>
      </c>
      <c r="I1222" t="s">
        <v>178</v>
      </c>
      <c r="J1222">
        <v>87</v>
      </c>
      <c r="K1222" t="s">
        <v>488</v>
      </c>
      <c r="L1222" t="s">
        <v>15</v>
      </c>
      <c r="Q1222">
        <f t="shared" ref="Q1222:S1237" si="231">Q1221</f>
        <v>18977</v>
      </c>
      <c r="R1222" t="str">
        <f t="shared" si="231"/>
        <v>Velodrome</v>
      </c>
      <c r="S1222" t="str">
        <f t="shared" si="231"/>
        <v>HollowBrook</v>
      </c>
      <c r="T1222" s="20">
        <f t="shared" si="228"/>
        <v>2</v>
      </c>
      <c r="U1222">
        <f t="shared" si="229"/>
        <v>570</v>
      </c>
      <c r="V1222">
        <f t="shared" si="230"/>
        <v>568</v>
      </c>
      <c r="W1222" cm="1">
        <f t="array" ref="W1222">_xlfn._xlws.FILTER(shifts!A:A,(shifts!B:B=events!D1222)*(shifts!AH:AH&gt;=events!U1222)*(shifts!AI:AI&lt;=events!V1222))</f>
        <v>44</v>
      </c>
      <c r="X1222" t="str">
        <f t="shared" si="224"/>
        <v>event_team_player_1</v>
      </c>
      <c r="Y1222">
        <f>COUNTIFS(A$3:A1222,"="&amp;A1222,K$3:K1222,"="&amp;K1222)</f>
        <v>1</v>
      </c>
      <c r="Z1222" s="20">
        <f>SUMIFS(T$3:T1222,L$3:L1222,"=Intermission")+SUMIFS(T$3:T1222,L$3:L1222,"=Timeout")+SUMIFS(T$3:T1222,L$3:L1222,"=Clockstop")</f>
        <v>68</v>
      </c>
      <c r="AA1222">
        <f t="shared" si="225"/>
        <v>1148</v>
      </c>
      <c r="AC1222">
        <f t="shared" si="226"/>
        <v>1216</v>
      </c>
    </row>
    <row r="1223" spans="1:29" x14ac:dyDescent="0.2">
      <c r="A1223">
        <v>648</v>
      </c>
      <c r="D1223">
        <f t="shared" si="227"/>
        <v>2</v>
      </c>
      <c r="E1223">
        <v>9</v>
      </c>
      <c r="F1223" s="6" t="s">
        <v>440</v>
      </c>
      <c r="G1223">
        <v>9</v>
      </c>
      <c r="H1223" s="8" t="s">
        <v>441</v>
      </c>
      <c r="I1223" t="s">
        <v>178</v>
      </c>
      <c r="J1223">
        <v>87</v>
      </c>
      <c r="K1223" t="s">
        <v>488</v>
      </c>
      <c r="L1223" t="s">
        <v>277</v>
      </c>
      <c r="M1223" t="s">
        <v>191</v>
      </c>
      <c r="N1223" t="s">
        <v>87</v>
      </c>
      <c r="Q1223">
        <f t="shared" si="231"/>
        <v>18977</v>
      </c>
      <c r="R1223" t="str">
        <f t="shared" si="231"/>
        <v>Velodrome</v>
      </c>
      <c r="S1223" t="str">
        <f t="shared" si="231"/>
        <v>HollowBrook</v>
      </c>
      <c r="T1223" s="20">
        <f t="shared" si="228"/>
        <v>3</v>
      </c>
      <c r="U1223">
        <f t="shared" si="229"/>
        <v>568</v>
      </c>
      <c r="V1223">
        <f t="shared" si="230"/>
        <v>565</v>
      </c>
      <c r="W1223" cm="1">
        <f t="array" ref="W1223">_xlfn._xlws.FILTER(shifts!A:A,(shifts!B:B=events!D1223)*(shifts!AH:AH&gt;=events!U1223)*(shifts!AI:AI&lt;=events!V1223))</f>
        <v>44</v>
      </c>
      <c r="X1223" t="str">
        <f t="shared" si="224"/>
        <v>event_team_player_1</v>
      </c>
      <c r="Y1223">
        <f>COUNTIFS(A$3:A1223,"="&amp;A1223,K$3:K1223,"="&amp;K1223)</f>
        <v>1</v>
      </c>
      <c r="Z1223" s="20">
        <f>SUMIFS(T$3:T1223,L$3:L1223,"=Intermission")+SUMIFS(T$3:T1223,L$3:L1223,"=Timeout")+SUMIFS(T$3:T1223,L$3:L1223,"=Clockstop")</f>
        <v>68</v>
      </c>
      <c r="AA1223">
        <f t="shared" si="225"/>
        <v>1148</v>
      </c>
      <c r="AC1223">
        <f t="shared" si="226"/>
        <v>1216</v>
      </c>
    </row>
    <row r="1224" spans="1:29" x14ac:dyDescent="0.2">
      <c r="A1224">
        <v>648</v>
      </c>
      <c r="D1224">
        <f t="shared" si="227"/>
        <v>2</v>
      </c>
      <c r="E1224">
        <v>9</v>
      </c>
      <c r="F1224" s="6" t="s">
        <v>440</v>
      </c>
      <c r="G1224">
        <v>9</v>
      </c>
      <c r="H1224" s="8" t="s">
        <v>441</v>
      </c>
      <c r="I1224" t="s">
        <v>178</v>
      </c>
      <c r="J1224">
        <v>24</v>
      </c>
      <c r="K1224" t="s">
        <v>488</v>
      </c>
      <c r="L1224" t="s">
        <v>277</v>
      </c>
      <c r="M1224" t="s">
        <v>191</v>
      </c>
      <c r="N1224" t="s">
        <v>87</v>
      </c>
      <c r="Q1224">
        <f t="shared" si="231"/>
        <v>18977</v>
      </c>
      <c r="R1224" t="str">
        <f t="shared" si="231"/>
        <v>Velodrome</v>
      </c>
      <c r="S1224" t="str">
        <f t="shared" si="231"/>
        <v>HollowBrook</v>
      </c>
      <c r="T1224" s="20">
        <f t="shared" si="228"/>
        <v>3</v>
      </c>
      <c r="U1224">
        <f t="shared" si="229"/>
        <v>568</v>
      </c>
      <c r="V1224">
        <f t="shared" si="230"/>
        <v>565</v>
      </c>
      <c r="W1224" cm="1">
        <f t="array" ref="W1224">_xlfn._xlws.FILTER(shifts!A:A,(shifts!B:B=events!D1224)*(shifts!AH:AH&gt;=events!U1224)*(shifts!AI:AI&lt;=events!V1224))</f>
        <v>44</v>
      </c>
      <c r="X1224" t="str">
        <f t="shared" si="224"/>
        <v>event_team_player_2</v>
      </c>
      <c r="Y1224">
        <f>COUNTIFS(A$3:A1224,"="&amp;A1224,K$3:K1224,"="&amp;K1224)</f>
        <v>2</v>
      </c>
      <c r="Z1224" s="20">
        <f>SUMIFS(T$3:T1224,L$3:L1224,"=Intermission")+SUMIFS(T$3:T1224,L$3:L1224,"=Timeout")+SUMIFS(T$3:T1224,L$3:L1224,"=Clockstop")</f>
        <v>68</v>
      </c>
      <c r="AA1224">
        <f t="shared" si="225"/>
        <v>1148</v>
      </c>
      <c r="AC1224">
        <f t="shared" si="226"/>
        <v>1216</v>
      </c>
    </row>
    <row r="1225" spans="1:29" x14ac:dyDescent="0.2">
      <c r="A1225">
        <v>648</v>
      </c>
      <c r="D1225">
        <f t="shared" si="227"/>
        <v>2</v>
      </c>
      <c r="E1225">
        <v>9</v>
      </c>
      <c r="F1225" s="6" t="s">
        <v>440</v>
      </c>
      <c r="G1225">
        <v>9</v>
      </c>
      <c r="H1225" s="8" t="s">
        <v>441</v>
      </c>
      <c r="I1225" t="s">
        <v>178</v>
      </c>
      <c r="J1225">
        <v>18</v>
      </c>
      <c r="K1225" t="s">
        <v>489</v>
      </c>
      <c r="L1225" t="s">
        <v>277</v>
      </c>
      <c r="M1225" t="s">
        <v>191</v>
      </c>
      <c r="N1225" t="s">
        <v>87</v>
      </c>
      <c r="Q1225">
        <f t="shared" si="231"/>
        <v>18977</v>
      </c>
      <c r="R1225" t="str">
        <f t="shared" si="231"/>
        <v>Velodrome</v>
      </c>
      <c r="S1225" t="str">
        <f t="shared" si="231"/>
        <v>HollowBrook</v>
      </c>
      <c r="T1225" s="20">
        <f t="shared" si="228"/>
        <v>3</v>
      </c>
      <c r="U1225">
        <f t="shared" si="229"/>
        <v>568</v>
      </c>
      <c r="V1225">
        <f t="shared" si="230"/>
        <v>565</v>
      </c>
      <c r="W1225" cm="1">
        <f t="array" ref="W1225">_xlfn._xlws.FILTER(shifts!A:A,(shifts!B:B=events!D1225)*(shifts!AH:AH&gt;=events!U1225)*(shifts!AI:AI&lt;=events!V1225))</f>
        <v>44</v>
      </c>
      <c r="X1225" t="str">
        <f t="shared" si="224"/>
        <v>opp_team_player_1</v>
      </c>
      <c r="Y1225">
        <f>COUNTIFS(A$3:A1225,"="&amp;A1225,K$3:K1225,"="&amp;K1225)</f>
        <v>1</v>
      </c>
      <c r="Z1225" s="20">
        <f>SUMIFS(T$3:T1225,L$3:L1225,"=Intermission")+SUMIFS(T$3:T1225,L$3:L1225,"=Timeout")+SUMIFS(T$3:T1225,L$3:L1225,"=Clockstop")</f>
        <v>68</v>
      </c>
      <c r="AA1225">
        <f t="shared" si="225"/>
        <v>1148</v>
      </c>
      <c r="AC1225">
        <f t="shared" si="226"/>
        <v>1216</v>
      </c>
    </row>
    <row r="1226" spans="1:29" x14ac:dyDescent="0.2">
      <c r="A1226">
        <v>648</v>
      </c>
      <c r="D1226">
        <f t="shared" si="227"/>
        <v>2</v>
      </c>
      <c r="E1226">
        <v>9</v>
      </c>
      <c r="F1226" s="6" t="s">
        <v>440</v>
      </c>
      <c r="G1226">
        <v>9</v>
      </c>
      <c r="H1226" s="8" t="s">
        <v>441</v>
      </c>
      <c r="I1226" t="s">
        <v>178</v>
      </c>
      <c r="J1226">
        <v>2</v>
      </c>
      <c r="K1226" t="s">
        <v>489</v>
      </c>
      <c r="L1226" t="s">
        <v>277</v>
      </c>
      <c r="M1226" t="s">
        <v>191</v>
      </c>
      <c r="N1226" t="s">
        <v>87</v>
      </c>
      <c r="Q1226">
        <f t="shared" si="231"/>
        <v>18977</v>
      </c>
      <c r="R1226" t="str">
        <f t="shared" si="231"/>
        <v>Velodrome</v>
      </c>
      <c r="S1226" t="str">
        <f t="shared" si="231"/>
        <v>HollowBrook</v>
      </c>
      <c r="T1226" s="20">
        <f t="shared" si="228"/>
        <v>3</v>
      </c>
      <c r="U1226">
        <f t="shared" si="229"/>
        <v>568</v>
      </c>
      <c r="V1226">
        <f t="shared" si="230"/>
        <v>565</v>
      </c>
      <c r="W1226" cm="1">
        <f t="array" ref="W1226">_xlfn._xlws.FILTER(shifts!A:A,(shifts!B:B=events!D1226)*(shifts!AH:AH&gt;=events!U1226)*(shifts!AI:AI&lt;=events!V1226))</f>
        <v>44</v>
      </c>
      <c r="X1226" t="str">
        <f t="shared" si="224"/>
        <v>opp_team_player_2</v>
      </c>
      <c r="Y1226">
        <f>COUNTIFS(A$3:A1226,"="&amp;A1226,K$3:K1226,"="&amp;K1226)</f>
        <v>2</v>
      </c>
      <c r="Z1226" s="20">
        <f>SUMIFS(T$3:T1226,L$3:L1226,"=Intermission")+SUMIFS(T$3:T1226,L$3:L1226,"=Timeout")+SUMIFS(T$3:T1226,L$3:L1226,"=Clockstop")</f>
        <v>68</v>
      </c>
      <c r="AA1226">
        <f t="shared" si="225"/>
        <v>1148</v>
      </c>
      <c r="AC1226">
        <f t="shared" si="226"/>
        <v>1216</v>
      </c>
    </row>
    <row r="1227" spans="1:29" x14ac:dyDescent="0.2">
      <c r="A1227">
        <v>649</v>
      </c>
      <c r="D1227">
        <f t="shared" si="227"/>
        <v>2</v>
      </c>
      <c r="E1227">
        <v>9</v>
      </c>
      <c r="F1227" s="6" t="s">
        <v>441</v>
      </c>
      <c r="I1227" t="s">
        <v>178</v>
      </c>
      <c r="J1227">
        <v>87</v>
      </c>
      <c r="K1227" t="s">
        <v>488</v>
      </c>
      <c r="L1227" t="s">
        <v>8</v>
      </c>
      <c r="M1227" t="s">
        <v>209</v>
      </c>
      <c r="N1227" t="s">
        <v>70</v>
      </c>
      <c r="Q1227">
        <f t="shared" si="231"/>
        <v>18977</v>
      </c>
      <c r="R1227" t="str">
        <f t="shared" si="231"/>
        <v>Velodrome</v>
      </c>
      <c r="S1227" t="str">
        <f t="shared" si="231"/>
        <v>HollowBrook</v>
      </c>
      <c r="T1227" s="20">
        <f t="shared" si="228"/>
        <v>0</v>
      </c>
      <c r="U1227">
        <f t="shared" si="229"/>
        <v>565</v>
      </c>
      <c r="V1227">
        <f t="shared" si="230"/>
        <v>565</v>
      </c>
      <c r="W1227" cm="1">
        <f t="array" ref="W1227">_xlfn._xlws.FILTER(shifts!A:A,(shifts!B:B=events!D1227)*(shifts!AH:AH&gt;=events!U1227)*(shifts!AI:AI&lt;=events!V1227))</f>
        <v>44</v>
      </c>
      <c r="X1227" t="str">
        <f t="shared" si="224"/>
        <v>event_team_player_1</v>
      </c>
      <c r="Y1227">
        <f>COUNTIFS(A$3:A1227,"="&amp;A1227,K$3:K1227,"="&amp;K1227)</f>
        <v>1</v>
      </c>
      <c r="Z1227" s="20">
        <f>SUMIFS(T$3:T1227,L$3:L1227,"=Intermission")+SUMIFS(T$3:T1227,L$3:L1227,"=Timeout")+SUMIFS(T$3:T1227,L$3:L1227,"=Clockstop")</f>
        <v>68</v>
      </c>
      <c r="AA1227">
        <f t="shared" si="225"/>
        <v>1148</v>
      </c>
      <c r="AC1227">
        <f t="shared" si="226"/>
        <v>1216</v>
      </c>
    </row>
    <row r="1228" spans="1:29" x14ac:dyDescent="0.2">
      <c r="A1228">
        <v>649</v>
      </c>
      <c r="D1228">
        <f t="shared" si="227"/>
        <v>2</v>
      </c>
      <c r="E1228">
        <v>9</v>
      </c>
      <c r="F1228" s="6" t="s">
        <v>441</v>
      </c>
      <c r="I1228" t="s">
        <v>178</v>
      </c>
      <c r="J1228">
        <v>18</v>
      </c>
      <c r="K1228" t="s">
        <v>489</v>
      </c>
      <c r="L1228" t="s">
        <v>8</v>
      </c>
      <c r="M1228" t="s">
        <v>209</v>
      </c>
      <c r="N1228" t="s">
        <v>70</v>
      </c>
      <c r="Q1228">
        <f t="shared" si="231"/>
        <v>18977</v>
      </c>
      <c r="R1228" t="str">
        <f t="shared" si="231"/>
        <v>Velodrome</v>
      </c>
      <c r="S1228" t="str">
        <f t="shared" si="231"/>
        <v>HollowBrook</v>
      </c>
      <c r="T1228" s="20">
        <f t="shared" si="228"/>
        <v>0</v>
      </c>
      <c r="U1228">
        <f t="shared" si="229"/>
        <v>565</v>
      </c>
      <c r="V1228">
        <f t="shared" si="230"/>
        <v>565</v>
      </c>
      <c r="W1228" cm="1">
        <f t="array" ref="W1228">_xlfn._xlws.FILTER(shifts!A:A,(shifts!B:B=events!D1228)*(shifts!AH:AH&gt;=events!U1228)*(shifts!AI:AI&lt;=events!V1228))</f>
        <v>44</v>
      </c>
      <c r="X1228" t="str">
        <f t="shared" si="224"/>
        <v>opp_team_player_1</v>
      </c>
      <c r="Y1228">
        <f>COUNTIFS(A$3:A1228,"="&amp;A1228,K$3:K1228,"="&amp;K1228)</f>
        <v>1</v>
      </c>
      <c r="Z1228" s="20">
        <f>SUMIFS(T$3:T1228,L$3:L1228,"=Intermission")+SUMIFS(T$3:T1228,L$3:L1228,"=Timeout")+SUMIFS(T$3:T1228,L$3:L1228,"=Clockstop")</f>
        <v>68</v>
      </c>
      <c r="AA1228">
        <f t="shared" si="225"/>
        <v>1148</v>
      </c>
      <c r="AC1228">
        <f t="shared" si="226"/>
        <v>1216</v>
      </c>
    </row>
    <row r="1229" spans="1:29" x14ac:dyDescent="0.2">
      <c r="A1229">
        <v>650</v>
      </c>
      <c r="D1229">
        <f t="shared" si="227"/>
        <v>2</v>
      </c>
      <c r="E1229">
        <v>9</v>
      </c>
      <c r="F1229" s="6" t="s">
        <v>441</v>
      </c>
      <c r="I1229" t="s">
        <v>178</v>
      </c>
      <c r="J1229">
        <v>87</v>
      </c>
      <c r="K1229" t="s">
        <v>488</v>
      </c>
      <c r="L1229" t="s">
        <v>10</v>
      </c>
      <c r="M1229" t="s">
        <v>190</v>
      </c>
      <c r="N1229" t="s">
        <v>77</v>
      </c>
      <c r="Q1229">
        <f t="shared" si="231"/>
        <v>18977</v>
      </c>
      <c r="R1229" t="str">
        <f t="shared" si="231"/>
        <v>Velodrome</v>
      </c>
      <c r="S1229" t="str">
        <f t="shared" si="231"/>
        <v>HollowBrook</v>
      </c>
      <c r="T1229" s="20">
        <f t="shared" si="228"/>
        <v>0</v>
      </c>
      <c r="U1229">
        <f t="shared" si="229"/>
        <v>565</v>
      </c>
      <c r="V1229">
        <f t="shared" si="230"/>
        <v>565</v>
      </c>
      <c r="W1229" cm="1">
        <f t="array" ref="W1229">_xlfn._xlws.FILTER(shifts!A:A,(shifts!B:B=events!D1229)*(shifts!AH:AH&gt;=events!U1229)*(shifts!AI:AI&lt;=events!V1229))</f>
        <v>44</v>
      </c>
      <c r="X1229" t="str">
        <f t="shared" si="224"/>
        <v>event_team_player_1</v>
      </c>
      <c r="Y1229">
        <f>COUNTIFS(A$3:A1229,"="&amp;A1229,K$3:K1229,"="&amp;K1229)</f>
        <v>1</v>
      </c>
      <c r="Z1229" s="20">
        <f>SUMIFS(T$3:T1229,L$3:L1229,"=Intermission")+SUMIFS(T$3:T1229,L$3:L1229,"=Timeout")+SUMIFS(T$3:T1229,L$3:L1229,"=Clockstop")</f>
        <v>68</v>
      </c>
      <c r="AA1229">
        <f t="shared" si="225"/>
        <v>1148</v>
      </c>
      <c r="AC1229">
        <f t="shared" si="226"/>
        <v>1216</v>
      </c>
    </row>
    <row r="1230" spans="1:29" x14ac:dyDescent="0.2">
      <c r="A1230">
        <v>650</v>
      </c>
      <c r="D1230">
        <f t="shared" si="227"/>
        <v>2</v>
      </c>
      <c r="E1230">
        <v>9</v>
      </c>
      <c r="F1230" s="6" t="s">
        <v>441</v>
      </c>
      <c r="I1230" t="s">
        <v>178</v>
      </c>
      <c r="J1230">
        <v>18</v>
      </c>
      <c r="K1230" t="s">
        <v>489</v>
      </c>
      <c r="L1230" t="s">
        <v>10</v>
      </c>
      <c r="M1230" t="s">
        <v>190</v>
      </c>
      <c r="N1230" t="s">
        <v>77</v>
      </c>
      <c r="Q1230">
        <f t="shared" si="231"/>
        <v>18977</v>
      </c>
      <c r="R1230" t="str">
        <f t="shared" si="231"/>
        <v>Velodrome</v>
      </c>
      <c r="S1230" t="str">
        <f t="shared" si="231"/>
        <v>HollowBrook</v>
      </c>
      <c r="T1230" s="20">
        <f t="shared" si="228"/>
        <v>0</v>
      </c>
      <c r="U1230">
        <f t="shared" si="229"/>
        <v>565</v>
      </c>
      <c r="V1230">
        <f t="shared" si="230"/>
        <v>565</v>
      </c>
      <c r="W1230" cm="1">
        <f t="array" ref="W1230">_xlfn._xlws.FILTER(shifts!A:A,(shifts!B:B=events!D1230)*(shifts!AH:AH&gt;=events!U1230)*(shifts!AI:AI&lt;=events!V1230))</f>
        <v>44</v>
      </c>
      <c r="X1230" t="str">
        <f t="shared" si="224"/>
        <v>opp_team_player_1</v>
      </c>
      <c r="Y1230">
        <f>COUNTIFS(A$3:A1230,"="&amp;A1230,K$3:K1230,"="&amp;K1230)</f>
        <v>1</v>
      </c>
      <c r="Z1230" s="20">
        <f>SUMIFS(T$3:T1230,L$3:L1230,"=Intermission")+SUMIFS(T$3:T1230,L$3:L1230,"=Timeout")+SUMIFS(T$3:T1230,L$3:L1230,"=Clockstop")</f>
        <v>68</v>
      </c>
      <c r="AA1230">
        <f t="shared" si="225"/>
        <v>1148</v>
      </c>
      <c r="AC1230">
        <f t="shared" si="226"/>
        <v>1216</v>
      </c>
    </row>
    <row r="1231" spans="1:29" x14ac:dyDescent="0.2">
      <c r="A1231">
        <v>651</v>
      </c>
      <c r="D1231">
        <f t="shared" si="227"/>
        <v>2</v>
      </c>
      <c r="E1231">
        <v>9</v>
      </c>
      <c r="F1231" s="6" t="s">
        <v>456</v>
      </c>
      <c r="I1231" t="s">
        <v>179</v>
      </c>
      <c r="J1231">
        <v>18</v>
      </c>
      <c r="K1231" t="s">
        <v>488</v>
      </c>
      <c r="L1231" t="s">
        <v>10</v>
      </c>
      <c r="M1231" t="s">
        <v>190</v>
      </c>
      <c r="N1231" t="s">
        <v>479</v>
      </c>
      <c r="Q1231">
        <f t="shared" si="231"/>
        <v>18977</v>
      </c>
      <c r="R1231" t="str">
        <f t="shared" si="231"/>
        <v>Velodrome</v>
      </c>
      <c r="S1231" t="str">
        <f t="shared" si="231"/>
        <v>HollowBrook</v>
      </c>
      <c r="T1231" s="20">
        <f t="shared" si="228"/>
        <v>0</v>
      </c>
      <c r="U1231">
        <f t="shared" si="229"/>
        <v>563</v>
      </c>
      <c r="V1231">
        <f t="shared" si="230"/>
        <v>563</v>
      </c>
      <c r="W1231" cm="1">
        <f t="array" ref="W1231">_xlfn._xlws.FILTER(shifts!A:A,(shifts!B:B=events!D1231)*(shifts!AH:AH&gt;=events!U1231)*(shifts!AI:AI&lt;=events!V1231))</f>
        <v>44</v>
      </c>
      <c r="X1231" t="str">
        <f t="shared" si="224"/>
        <v>event_team_player_1</v>
      </c>
      <c r="Y1231">
        <f>COUNTIFS(A$3:A1231,"="&amp;A1231,K$3:K1231,"="&amp;K1231)</f>
        <v>1</v>
      </c>
      <c r="Z1231" s="20">
        <f>SUMIFS(T$3:T1231,L$3:L1231,"=Intermission")+SUMIFS(T$3:T1231,L$3:L1231,"=Timeout")+SUMIFS(T$3:T1231,L$3:L1231,"=Clockstop")</f>
        <v>68</v>
      </c>
      <c r="AA1231">
        <f t="shared" si="225"/>
        <v>1148</v>
      </c>
      <c r="AC1231">
        <f t="shared" si="226"/>
        <v>1216</v>
      </c>
    </row>
    <row r="1232" spans="1:29" x14ac:dyDescent="0.2">
      <c r="A1232">
        <v>651</v>
      </c>
      <c r="D1232">
        <f t="shared" si="227"/>
        <v>2</v>
      </c>
      <c r="E1232">
        <v>9</v>
      </c>
      <c r="F1232" s="6" t="s">
        <v>456</v>
      </c>
      <c r="I1232" t="s">
        <v>179</v>
      </c>
      <c r="J1232">
        <v>70</v>
      </c>
      <c r="K1232" t="s">
        <v>489</v>
      </c>
      <c r="L1232" t="s">
        <v>10</v>
      </c>
      <c r="M1232" t="s">
        <v>190</v>
      </c>
      <c r="N1232" t="s">
        <v>479</v>
      </c>
      <c r="Q1232">
        <f t="shared" si="231"/>
        <v>18977</v>
      </c>
      <c r="R1232" t="str">
        <f t="shared" si="231"/>
        <v>Velodrome</v>
      </c>
      <c r="S1232" t="str">
        <f t="shared" si="231"/>
        <v>HollowBrook</v>
      </c>
      <c r="T1232" s="20">
        <f t="shared" si="228"/>
        <v>0</v>
      </c>
      <c r="U1232">
        <f t="shared" si="229"/>
        <v>563</v>
      </c>
      <c r="V1232">
        <f t="shared" si="230"/>
        <v>563</v>
      </c>
      <c r="W1232" cm="1">
        <f t="array" ref="W1232">_xlfn._xlws.FILTER(shifts!A:A,(shifts!B:B=events!D1232)*(shifts!AH:AH&gt;=events!U1232)*(shifts!AI:AI&lt;=events!V1232))</f>
        <v>44</v>
      </c>
      <c r="X1232" t="str">
        <f t="shared" si="224"/>
        <v>opp_team_player_1</v>
      </c>
      <c r="Y1232">
        <f>COUNTIFS(A$3:A1232,"="&amp;A1232,K$3:K1232,"="&amp;K1232)</f>
        <v>1</v>
      </c>
      <c r="Z1232" s="20">
        <f>SUMIFS(T$3:T1232,L$3:L1232,"=Intermission")+SUMIFS(T$3:T1232,L$3:L1232,"=Timeout")+SUMIFS(T$3:T1232,L$3:L1232,"=Clockstop")</f>
        <v>68</v>
      </c>
      <c r="AA1232">
        <f t="shared" si="225"/>
        <v>1148</v>
      </c>
      <c r="AC1232">
        <f t="shared" si="226"/>
        <v>1216</v>
      </c>
    </row>
    <row r="1233" spans="1:29" x14ac:dyDescent="0.2">
      <c r="A1233">
        <v>652</v>
      </c>
      <c r="D1233">
        <f t="shared" si="227"/>
        <v>2</v>
      </c>
      <c r="E1233">
        <v>9</v>
      </c>
      <c r="F1233" s="6" t="s">
        <v>456</v>
      </c>
      <c r="G1233">
        <v>9</v>
      </c>
      <c r="H1233" s="8" t="s">
        <v>422</v>
      </c>
      <c r="I1233" t="s">
        <v>178</v>
      </c>
      <c r="J1233">
        <v>70</v>
      </c>
      <c r="K1233" t="s">
        <v>488</v>
      </c>
      <c r="L1233" t="s">
        <v>15</v>
      </c>
      <c r="Q1233">
        <f t="shared" si="231"/>
        <v>18977</v>
      </c>
      <c r="R1233" t="str">
        <f t="shared" si="231"/>
        <v>Velodrome</v>
      </c>
      <c r="S1233" t="str">
        <f t="shared" si="231"/>
        <v>HollowBrook</v>
      </c>
      <c r="T1233" s="20">
        <f t="shared" si="228"/>
        <v>3</v>
      </c>
      <c r="U1233">
        <f t="shared" si="229"/>
        <v>563</v>
      </c>
      <c r="V1233">
        <f t="shared" si="230"/>
        <v>560</v>
      </c>
      <c r="W1233" cm="1">
        <f t="array" ref="W1233">_xlfn._xlws.FILTER(shifts!A:A,(shifts!B:B=events!D1233)*(shifts!AH:AH&gt;=events!U1233)*(shifts!AI:AI&lt;=events!V1233))</f>
        <v>44</v>
      </c>
      <c r="X1233" t="str">
        <f t="shared" si="224"/>
        <v>event_team_player_1</v>
      </c>
      <c r="Y1233">
        <f>COUNTIFS(A$3:A1233,"="&amp;A1233,K$3:K1233,"="&amp;K1233)</f>
        <v>1</v>
      </c>
      <c r="Z1233" s="20">
        <f>SUMIFS(T$3:T1233,L$3:L1233,"=Intermission")+SUMIFS(T$3:T1233,L$3:L1233,"=Timeout")+SUMIFS(T$3:T1233,L$3:L1233,"=Clockstop")</f>
        <v>68</v>
      </c>
      <c r="AA1233">
        <f t="shared" si="225"/>
        <v>1148</v>
      </c>
      <c r="AC1233">
        <f t="shared" si="226"/>
        <v>1216</v>
      </c>
    </row>
    <row r="1234" spans="1:29" x14ac:dyDescent="0.2">
      <c r="A1234">
        <v>653</v>
      </c>
      <c r="D1234">
        <f t="shared" si="227"/>
        <v>2</v>
      </c>
      <c r="E1234">
        <v>9</v>
      </c>
      <c r="F1234" s="6" t="s">
        <v>422</v>
      </c>
      <c r="I1234" t="s">
        <v>178</v>
      </c>
      <c r="J1234">
        <v>70</v>
      </c>
      <c r="K1234" t="s">
        <v>488</v>
      </c>
      <c r="L1234" t="s">
        <v>7</v>
      </c>
      <c r="M1234" t="s">
        <v>222</v>
      </c>
      <c r="N1234" t="s">
        <v>53</v>
      </c>
      <c r="Q1234">
        <f t="shared" si="231"/>
        <v>18977</v>
      </c>
      <c r="R1234" t="str">
        <f t="shared" si="231"/>
        <v>Velodrome</v>
      </c>
      <c r="S1234" t="str">
        <f t="shared" si="231"/>
        <v>HollowBrook</v>
      </c>
      <c r="T1234" s="20">
        <f t="shared" si="228"/>
        <v>0</v>
      </c>
      <c r="U1234">
        <f t="shared" si="229"/>
        <v>560</v>
      </c>
      <c r="V1234">
        <f t="shared" si="230"/>
        <v>560</v>
      </c>
      <c r="W1234">
        <v>45</v>
      </c>
      <c r="X1234" t="str">
        <f t="shared" si="224"/>
        <v>event_team_player_1</v>
      </c>
      <c r="Y1234">
        <f>COUNTIFS(A$3:A1234,"="&amp;A1234,K$3:K1234,"="&amp;K1234)</f>
        <v>1</v>
      </c>
      <c r="Z1234" s="20">
        <f>SUMIFS(T$3:T1234,L$3:L1234,"=Intermission")+SUMIFS(T$3:T1234,L$3:L1234,"=Timeout")+SUMIFS(T$3:T1234,L$3:L1234,"=Clockstop")</f>
        <v>68</v>
      </c>
      <c r="AA1234">
        <f t="shared" si="225"/>
        <v>1148</v>
      </c>
      <c r="AC1234">
        <f t="shared" si="226"/>
        <v>1216</v>
      </c>
    </row>
    <row r="1235" spans="1:29" x14ac:dyDescent="0.2">
      <c r="A1235">
        <v>653</v>
      </c>
      <c r="D1235">
        <f t="shared" si="227"/>
        <v>2</v>
      </c>
      <c r="E1235">
        <v>9</v>
      </c>
      <c r="F1235" s="6" t="s">
        <v>422</v>
      </c>
      <c r="I1235" t="s">
        <v>178</v>
      </c>
      <c r="J1235">
        <v>99</v>
      </c>
      <c r="K1235" t="s">
        <v>489</v>
      </c>
      <c r="L1235" t="s">
        <v>7</v>
      </c>
      <c r="M1235" t="s">
        <v>222</v>
      </c>
      <c r="N1235" t="s">
        <v>53</v>
      </c>
      <c r="Q1235">
        <f t="shared" si="231"/>
        <v>18977</v>
      </c>
      <c r="R1235" t="str">
        <f t="shared" si="231"/>
        <v>Velodrome</v>
      </c>
      <c r="S1235" t="str">
        <f t="shared" si="231"/>
        <v>HollowBrook</v>
      </c>
      <c r="T1235" s="20">
        <f t="shared" si="228"/>
        <v>0</v>
      </c>
      <c r="U1235">
        <f t="shared" si="229"/>
        <v>560</v>
      </c>
      <c r="V1235">
        <f t="shared" si="230"/>
        <v>560</v>
      </c>
      <c r="W1235">
        <v>45</v>
      </c>
      <c r="X1235" t="str">
        <f t="shared" si="224"/>
        <v>opp_team_player_1</v>
      </c>
      <c r="Y1235">
        <f>COUNTIFS(A$3:A1235,"="&amp;A1235,K$3:K1235,"="&amp;K1235)</f>
        <v>1</v>
      </c>
      <c r="Z1235" s="20">
        <f>SUMIFS(T$3:T1235,L$3:L1235,"=Intermission")+SUMIFS(T$3:T1235,L$3:L1235,"=Timeout")+SUMIFS(T$3:T1235,L$3:L1235,"=Clockstop")</f>
        <v>68</v>
      </c>
      <c r="AA1235">
        <f t="shared" si="225"/>
        <v>1148</v>
      </c>
      <c r="AC1235">
        <f t="shared" si="226"/>
        <v>1216</v>
      </c>
    </row>
    <row r="1236" spans="1:29" x14ac:dyDescent="0.2">
      <c r="A1236">
        <v>654</v>
      </c>
      <c r="D1236">
        <f t="shared" si="227"/>
        <v>2</v>
      </c>
      <c r="E1236">
        <v>9</v>
      </c>
      <c r="F1236" s="6" t="s">
        <v>422</v>
      </c>
      <c r="I1236" t="s">
        <v>179</v>
      </c>
      <c r="J1236">
        <v>99</v>
      </c>
      <c r="K1236" t="s">
        <v>488</v>
      </c>
      <c r="L1236" t="s">
        <v>17</v>
      </c>
      <c r="M1236" t="s">
        <v>196</v>
      </c>
      <c r="N1236" t="s">
        <v>97</v>
      </c>
      <c r="Q1236">
        <f t="shared" si="231"/>
        <v>18977</v>
      </c>
      <c r="R1236" t="str">
        <f t="shared" si="231"/>
        <v>Velodrome</v>
      </c>
      <c r="S1236" t="str">
        <f t="shared" si="231"/>
        <v>HollowBrook</v>
      </c>
      <c r="T1236" s="20">
        <f t="shared" si="228"/>
        <v>0</v>
      </c>
      <c r="U1236">
        <f t="shared" si="229"/>
        <v>560</v>
      </c>
      <c r="V1236">
        <f t="shared" si="230"/>
        <v>560</v>
      </c>
      <c r="W1236">
        <v>45</v>
      </c>
      <c r="X1236" t="str">
        <f t="shared" si="224"/>
        <v>event_team_player_1</v>
      </c>
      <c r="Y1236">
        <f>COUNTIFS(A$3:A1236,"="&amp;A1236,K$3:K1236,"="&amp;K1236)</f>
        <v>1</v>
      </c>
      <c r="Z1236" s="20">
        <f>SUMIFS(T$3:T1236,L$3:L1236,"=Intermission")+SUMIFS(T$3:T1236,L$3:L1236,"=Timeout")+SUMIFS(T$3:T1236,L$3:L1236,"=Clockstop")</f>
        <v>68</v>
      </c>
      <c r="AA1236">
        <f t="shared" si="225"/>
        <v>1148</v>
      </c>
      <c r="AC1236">
        <f t="shared" si="226"/>
        <v>1216</v>
      </c>
    </row>
    <row r="1237" spans="1:29" x14ac:dyDescent="0.2">
      <c r="A1237">
        <v>654</v>
      </c>
      <c r="D1237">
        <f t="shared" si="227"/>
        <v>2</v>
      </c>
      <c r="E1237">
        <v>9</v>
      </c>
      <c r="F1237" s="6" t="s">
        <v>422</v>
      </c>
      <c r="I1237" t="s">
        <v>179</v>
      </c>
      <c r="J1237">
        <v>70</v>
      </c>
      <c r="K1237" t="s">
        <v>489</v>
      </c>
      <c r="L1237" t="s">
        <v>17</v>
      </c>
      <c r="M1237" t="s">
        <v>196</v>
      </c>
      <c r="N1237" t="s">
        <v>97</v>
      </c>
      <c r="Q1237">
        <f t="shared" si="231"/>
        <v>18977</v>
      </c>
      <c r="R1237" t="str">
        <f t="shared" si="231"/>
        <v>Velodrome</v>
      </c>
      <c r="S1237" t="str">
        <f t="shared" si="231"/>
        <v>HollowBrook</v>
      </c>
      <c r="T1237" s="20">
        <f t="shared" si="228"/>
        <v>0</v>
      </c>
      <c r="U1237">
        <f t="shared" si="229"/>
        <v>560</v>
      </c>
      <c r="V1237">
        <f t="shared" si="230"/>
        <v>560</v>
      </c>
      <c r="W1237">
        <v>45</v>
      </c>
      <c r="X1237" t="str">
        <f t="shared" si="224"/>
        <v>opp_team_player_1</v>
      </c>
      <c r="Y1237">
        <f>COUNTIFS(A$3:A1237,"="&amp;A1237,K$3:K1237,"="&amp;K1237)</f>
        <v>1</v>
      </c>
      <c r="Z1237" s="20">
        <f>SUMIFS(T$3:T1237,L$3:L1237,"=Intermission")+SUMIFS(T$3:T1237,L$3:L1237,"=Timeout")+SUMIFS(T$3:T1237,L$3:L1237,"=Clockstop")</f>
        <v>68</v>
      </c>
      <c r="AA1237">
        <f t="shared" si="225"/>
        <v>1148</v>
      </c>
      <c r="AC1237">
        <f t="shared" si="226"/>
        <v>1216</v>
      </c>
    </row>
    <row r="1238" spans="1:29" x14ac:dyDescent="0.2">
      <c r="A1238">
        <v>656</v>
      </c>
      <c r="D1238">
        <f t="shared" si="227"/>
        <v>2</v>
      </c>
      <c r="E1238">
        <v>9</v>
      </c>
      <c r="F1238" s="6" t="s">
        <v>422</v>
      </c>
      <c r="I1238" t="s">
        <v>179</v>
      </c>
      <c r="J1238">
        <v>99</v>
      </c>
      <c r="K1238" t="s">
        <v>488</v>
      </c>
      <c r="L1238" t="s">
        <v>13</v>
      </c>
      <c r="M1238" t="s">
        <v>204</v>
      </c>
      <c r="N1238" t="s">
        <v>107</v>
      </c>
      <c r="Q1238">
        <f t="shared" ref="Q1238:S1253" si="232">Q1237</f>
        <v>18977</v>
      </c>
      <c r="R1238" t="str">
        <f t="shared" si="232"/>
        <v>Velodrome</v>
      </c>
      <c r="S1238" t="str">
        <f t="shared" si="232"/>
        <v>HollowBrook</v>
      </c>
      <c r="T1238" s="20">
        <f t="shared" si="228"/>
        <v>0</v>
      </c>
      <c r="U1238">
        <f t="shared" si="229"/>
        <v>560</v>
      </c>
      <c r="V1238">
        <f t="shared" si="230"/>
        <v>560</v>
      </c>
      <c r="W1238">
        <v>45</v>
      </c>
      <c r="X1238" t="str">
        <f t="shared" si="224"/>
        <v>event_team_player_1</v>
      </c>
      <c r="Y1238">
        <f>COUNTIFS(A$3:A1238,"="&amp;A1238,K$3:K1238,"="&amp;K1238)</f>
        <v>1</v>
      </c>
      <c r="Z1238" s="20">
        <f>SUMIFS(T$3:T1238,L$3:L1238,"=Intermission")+SUMIFS(T$3:T1238,L$3:L1238,"=Timeout")+SUMIFS(T$3:T1238,L$3:L1238,"=Clockstop")</f>
        <v>68</v>
      </c>
      <c r="AA1238">
        <f t="shared" si="225"/>
        <v>1148</v>
      </c>
      <c r="AC1238">
        <f t="shared" si="226"/>
        <v>1216</v>
      </c>
    </row>
    <row r="1239" spans="1:29" x14ac:dyDescent="0.2">
      <c r="A1239">
        <v>657</v>
      </c>
      <c r="D1239">
        <f t="shared" si="227"/>
        <v>2</v>
      </c>
      <c r="E1239">
        <v>9</v>
      </c>
      <c r="F1239" s="6" t="s">
        <v>422</v>
      </c>
      <c r="G1239">
        <v>8</v>
      </c>
      <c r="H1239" s="8" t="s">
        <v>451</v>
      </c>
      <c r="I1239" t="s">
        <v>179</v>
      </c>
      <c r="J1239">
        <v>99</v>
      </c>
      <c r="K1239" t="s">
        <v>488</v>
      </c>
      <c r="L1239" t="s">
        <v>282</v>
      </c>
      <c r="Q1239">
        <f t="shared" si="232"/>
        <v>18977</v>
      </c>
      <c r="R1239" t="str">
        <f t="shared" si="232"/>
        <v>Velodrome</v>
      </c>
      <c r="S1239" t="str">
        <f t="shared" si="232"/>
        <v>HollowBrook</v>
      </c>
      <c r="T1239" s="20">
        <f t="shared" si="228"/>
        <v>32</v>
      </c>
      <c r="U1239">
        <f t="shared" si="229"/>
        <v>560</v>
      </c>
      <c r="V1239">
        <f t="shared" si="230"/>
        <v>528</v>
      </c>
      <c r="W1239">
        <v>45</v>
      </c>
      <c r="X1239" t="str">
        <f t="shared" si="224"/>
        <v>event_team_player_1</v>
      </c>
      <c r="Y1239">
        <f>COUNTIFS(A$3:A1239,"="&amp;A1239,K$3:K1239,"="&amp;K1239)</f>
        <v>1</v>
      </c>
      <c r="Z1239" s="20">
        <f>SUMIFS(T$3:T1239,L$3:L1239,"=Intermission")+SUMIFS(T$3:T1239,L$3:L1239,"=Timeout")+SUMIFS(T$3:T1239,L$3:L1239,"=Clockstop")</f>
        <v>68</v>
      </c>
      <c r="AA1239">
        <f t="shared" si="225"/>
        <v>1148</v>
      </c>
      <c r="AC1239">
        <f t="shared" si="226"/>
        <v>1216</v>
      </c>
    </row>
    <row r="1240" spans="1:29" x14ac:dyDescent="0.2">
      <c r="A1240">
        <v>658</v>
      </c>
      <c r="D1240">
        <f t="shared" si="227"/>
        <v>2</v>
      </c>
      <c r="E1240">
        <v>8</v>
      </c>
      <c r="F1240" s="6" t="s">
        <v>451</v>
      </c>
      <c r="I1240" t="s">
        <v>179</v>
      </c>
      <c r="J1240">
        <v>26</v>
      </c>
      <c r="K1240" t="s">
        <v>488</v>
      </c>
      <c r="L1240" t="s">
        <v>6</v>
      </c>
      <c r="M1240" t="s">
        <v>275</v>
      </c>
      <c r="Q1240">
        <f t="shared" si="232"/>
        <v>18977</v>
      </c>
      <c r="R1240" t="str">
        <f t="shared" si="232"/>
        <v>Velodrome</v>
      </c>
      <c r="S1240" t="str">
        <f t="shared" si="232"/>
        <v>HollowBrook</v>
      </c>
      <c r="T1240" s="20">
        <f t="shared" si="228"/>
        <v>0</v>
      </c>
      <c r="U1240">
        <f t="shared" si="229"/>
        <v>528</v>
      </c>
      <c r="V1240">
        <f t="shared" si="230"/>
        <v>528</v>
      </c>
      <c r="W1240" cm="1">
        <f t="array" ref="W1240">_xlfn._xlws.FILTER(shifts!A:A,(shifts!B:B=events!D1240)*(shifts!AH:AH&gt;=events!U1240)*(shifts!AI:AI&lt;=events!V1240))</f>
        <v>45</v>
      </c>
      <c r="X1240" t="str">
        <f t="shared" si="224"/>
        <v>event_team_player_1</v>
      </c>
      <c r="Y1240">
        <f>COUNTIFS(A$3:A1240,"="&amp;A1240,K$3:K1240,"="&amp;K1240)</f>
        <v>1</v>
      </c>
      <c r="Z1240" s="20">
        <f>SUMIFS(T$3:T1240,L$3:L1240,"=Intermission")+SUMIFS(T$3:T1240,L$3:L1240,"=Timeout")+SUMIFS(T$3:T1240,L$3:L1240,"=Clockstop")</f>
        <v>68</v>
      </c>
      <c r="AA1240">
        <f t="shared" si="225"/>
        <v>1148</v>
      </c>
      <c r="AC1240">
        <f t="shared" si="226"/>
        <v>1216</v>
      </c>
    </row>
    <row r="1241" spans="1:29" x14ac:dyDescent="0.2">
      <c r="A1241">
        <v>658</v>
      </c>
      <c r="D1241">
        <f t="shared" si="227"/>
        <v>2</v>
      </c>
      <c r="E1241">
        <v>8</v>
      </c>
      <c r="F1241" s="6" t="s">
        <v>451</v>
      </c>
      <c r="I1241" t="s">
        <v>179</v>
      </c>
      <c r="J1241">
        <v>70</v>
      </c>
      <c r="K1241" t="s">
        <v>489</v>
      </c>
      <c r="L1241" t="s">
        <v>6</v>
      </c>
      <c r="M1241" t="s">
        <v>275</v>
      </c>
      <c r="Q1241">
        <f t="shared" si="232"/>
        <v>18977</v>
      </c>
      <c r="R1241" t="str">
        <f t="shared" si="232"/>
        <v>Velodrome</v>
      </c>
      <c r="S1241" t="str">
        <f t="shared" si="232"/>
        <v>HollowBrook</v>
      </c>
      <c r="T1241" s="20">
        <f t="shared" si="228"/>
        <v>0</v>
      </c>
      <c r="U1241">
        <f t="shared" si="229"/>
        <v>528</v>
      </c>
      <c r="V1241">
        <f t="shared" si="230"/>
        <v>528</v>
      </c>
      <c r="W1241" cm="1">
        <f t="array" ref="W1241">_xlfn._xlws.FILTER(shifts!A:A,(shifts!B:B=events!D1241)*(shifts!AH:AH&gt;=events!U1241)*(shifts!AI:AI&lt;=events!V1241))</f>
        <v>45</v>
      </c>
      <c r="X1241" t="str">
        <f t="shared" si="224"/>
        <v>opp_team_player_1</v>
      </c>
      <c r="Y1241">
        <f>COUNTIFS(A$3:A1241,"="&amp;A1241,K$3:K1241,"="&amp;K1241)</f>
        <v>1</v>
      </c>
      <c r="Z1241" s="20">
        <f>SUMIFS(T$3:T1241,L$3:L1241,"=Intermission")+SUMIFS(T$3:T1241,L$3:L1241,"=Timeout")+SUMIFS(T$3:T1241,L$3:L1241,"=Clockstop")</f>
        <v>68</v>
      </c>
      <c r="AA1241">
        <f t="shared" si="225"/>
        <v>1148</v>
      </c>
      <c r="AC1241">
        <f t="shared" si="226"/>
        <v>1216</v>
      </c>
    </row>
    <row r="1242" spans="1:29" x14ac:dyDescent="0.2">
      <c r="A1242">
        <v>659</v>
      </c>
      <c r="D1242">
        <f t="shared" si="227"/>
        <v>2</v>
      </c>
      <c r="E1242">
        <v>8</v>
      </c>
      <c r="F1242" s="6" t="s">
        <v>454</v>
      </c>
      <c r="I1242" t="s">
        <v>178</v>
      </c>
      <c r="J1242">
        <v>52</v>
      </c>
      <c r="K1242" t="s">
        <v>488</v>
      </c>
      <c r="L1242" t="s">
        <v>277</v>
      </c>
      <c r="M1242" t="s">
        <v>210</v>
      </c>
      <c r="N1242" t="s">
        <v>93</v>
      </c>
      <c r="Q1242">
        <f t="shared" si="232"/>
        <v>18977</v>
      </c>
      <c r="R1242" t="str">
        <f t="shared" si="232"/>
        <v>Velodrome</v>
      </c>
      <c r="S1242" t="str">
        <f t="shared" si="232"/>
        <v>HollowBrook</v>
      </c>
      <c r="T1242" s="20">
        <f t="shared" si="228"/>
        <v>0</v>
      </c>
      <c r="U1242">
        <f t="shared" si="229"/>
        <v>523</v>
      </c>
      <c r="V1242">
        <f t="shared" si="230"/>
        <v>523</v>
      </c>
      <c r="W1242" cm="1">
        <f t="array" ref="W1242">_xlfn._xlws.FILTER(shifts!A:A,(shifts!B:B=events!D1242)*(shifts!AH:AH&gt;=events!U1242)*(shifts!AI:AI&lt;=events!V1242))</f>
        <v>45</v>
      </c>
      <c r="X1242" t="str">
        <f t="shared" si="224"/>
        <v>event_team_player_1</v>
      </c>
      <c r="Y1242">
        <f>COUNTIFS(A$3:A1242,"="&amp;A1242,K$3:K1242,"="&amp;K1242)</f>
        <v>1</v>
      </c>
      <c r="Z1242" s="20">
        <f>SUMIFS(T$3:T1242,L$3:L1242,"=Intermission")+SUMIFS(T$3:T1242,L$3:L1242,"=Timeout")+SUMIFS(T$3:T1242,L$3:L1242,"=Clockstop")</f>
        <v>68</v>
      </c>
      <c r="AA1242">
        <f t="shared" si="225"/>
        <v>1148</v>
      </c>
      <c r="AC1242">
        <f t="shared" si="226"/>
        <v>1216</v>
      </c>
    </row>
    <row r="1243" spans="1:29" x14ac:dyDescent="0.2">
      <c r="A1243">
        <v>660</v>
      </c>
      <c r="D1243">
        <f t="shared" si="227"/>
        <v>2</v>
      </c>
      <c r="E1243">
        <v>8</v>
      </c>
      <c r="F1243" s="6" t="s">
        <v>454</v>
      </c>
      <c r="G1243">
        <v>8</v>
      </c>
      <c r="H1243" s="8" t="s">
        <v>431</v>
      </c>
      <c r="I1243" t="s">
        <v>178</v>
      </c>
      <c r="J1243">
        <v>52</v>
      </c>
      <c r="K1243" t="s">
        <v>488</v>
      </c>
      <c r="L1243" t="s">
        <v>15</v>
      </c>
      <c r="Q1243">
        <f t="shared" si="232"/>
        <v>18977</v>
      </c>
      <c r="R1243" t="str">
        <f t="shared" si="232"/>
        <v>Velodrome</v>
      </c>
      <c r="S1243" t="str">
        <f t="shared" si="232"/>
        <v>HollowBrook</v>
      </c>
      <c r="T1243" s="20">
        <f t="shared" si="228"/>
        <v>2</v>
      </c>
      <c r="U1243">
        <f t="shared" si="229"/>
        <v>523</v>
      </c>
      <c r="V1243">
        <f t="shared" si="230"/>
        <v>521</v>
      </c>
      <c r="W1243" cm="1">
        <f t="array" ref="W1243">_xlfn._xlws.FILTER(shifts!A:A,(shifts!B:B=events!D1243)*(shifts!AH:AH&gt;=events!U1243)*(shifts!AI:AI&lt;=events!V1243))</f>
        <v>45</v>
      </c>
      <c r="X1243" t="str">
        <f t="shared" si="224"/>
        <v>event_team_player_1</v>
      </c>
      <c r="Y1243">
        <f>COUNTIFS(A$3:A1243,"="&amp;A1243,K$3:K1243,"="&amp;K1243)</f>
        <v>1</v>
      </c>
      <c r="Z1243" s="20">
        <f>SUMIFS(T$3:T1243,L$3:L1243,"=Intermission")+SUMIFS(T$3:T1243,L$3:L1243,"=Timeout")+SUMIFS(T$3:T1243,L$3:L1243,"=Clockstop")</f>
        <v>68</v>
      </c>
      <c r="AA1243">
        <f t="shared" si="225"/>
        <v>1148</v>
      </c>
      <c r="AC1243">
        <f t="shared" si="226"/>
        <v>1216</v>
      </c>
    </row>
    <row r="1244" spans="1:29" x14ac:dyDescent="0.2">
      <c r="A1244">
        <v>661</v>
      </c>
      <c r="D1244">
        <f t="shared" si="227"/>
        <v>2</v>
      </c>
      <c r="E1244">
        <v>8</v>
      </c>
      <c r="F1244" s="6" t="s">
        <v>431</v>
      </c>
      <c r="I1244" t="s">
        <v>178</v>
      </c>
      <c r="J1244">
        <v>52</v>
      </c>
      <c r="K1244" t="s">
        <v>488</v>
      </c>
      <c r="L1244" t="s">
        <v>8</v>
      </c>
      <c r="M1244" t="s">
        <v>209</v>
      </c>
      <c r="N1244" t="s">
        <v>70</v>
      </c>
      <c r="Q1244">
        <f t="shared" si="232"/>
        <v>18977</v>
      </c>
      <c r="R1244" t="str">
        <f t="shared" si="232"/>
        <v>Velodrome</v>
      </c>
      <c r="S1244" t="str">
        <f t="shared" si="232"/>
        <v>HollowBrook</v>
      </c>
      <c r="T1244" s="20">
        <f t="shared" si="228"/>
        <v>0</v>
      </c>
      <c r="U1244">
        <f t="shared" si="229"/>
        <v>521</v>
      </c>
      <c r="V1244">
        <f t="shared" si="230"/>
        <v>521</v>
      </c>
      <c r="W1244" cm="1">
        <f t="array" ref="W1244">_xlfn._xlws.FILTER(shifts!A:A,(shifts!B:B=events!D1244)*(shifts!AH:AH&gt;=events!U1244)*(shifts!AI:AI&lt;=events!V1244))</f>
        <v>45</v>
      </c>
      <c r="X1244" t="str">
        <f t="shared" si="224"/>
        <v>event_team_player_1</v>
      </c>
      <c r="Y1244">
        <f>COUNTIFS(A$3:A1244,"="&amp;A1244,K$3:K1244,"="&amp;K1244)</f>
        <v>1</v>
      </c>
      <c r="Z1244" s="20">
        <f>SUMIFS(T$3:T1244,L$3:L1244,"=Intermission")+SUMIFS(T$3:T1244,L$3:L1244,"=Timeout")+SUMIFS(T$3:T1244,L$3:L1244,"=Clockstop")</f>
        <v>68</v>
      </c>
      <c r="AA1244">
        <f t="shared" si="225"/>
        <v>1148</v>
      </c>
      <c r="AC1244">
        <f t="shared" si="226"/>
        <v>1216</v>
      </c>
    </row>
    <row r="1245" spans="1:29" x14ac:dyDescent="0.2">
      <c r="A1245">
        <v>661</v>
      </c>
      <c r="D1245">
        <f t="shared" si="227"/>
        <v>2</v>
      </c>
      <c r="E1245">
        <v>8</v>
      </c>
      <c r="F1245" s="6" t="s">
        <v>431</v>
      </c>
      <c r="I1245" t="s">
        <v>178</v>
      </c>
      <c r="J1245">
        <v>27</v>
      </c>
      <c r="K1245" t="s">
        <v>489</v>
      </c>
      <c r="L1245" t="s">
        <v>8</v>
      </c>
      <c r="M1245" t="s">
        <v>209</v>
      </c>
      <c r="N1245" t="s">
        <v>70</v>
      </c>
      <c r="Q1245">
        <f t="shared" si="232"/>
        <v>18977</v>
      </c>
      <c r="R1245" t="str">
        <f t="shared" si="232"/>
        <v>Velodrome</v>
      </c>
      <c r="S1245" t="str">
        <f t="shared" si="232"/>
        <v>HollowBrook</v>
      </c>
      <c r="T1245" s="20">
        <f t="shared" si="228"/>
        <v>0</v>
      </c>
      <c r="U1245">
        <f t="shared" si="229"/>
        <v>521</v>
      </c>
      <c r="V1245">
        <f t="shared" si="230"/>
        <v>521</v>
      </c>
      <c r="W1245" cm="1">
        <f t="array" ref="W1245">_xlfn._xlws.FILTER(shifts!A:A,(shifts!B:B=events!D1245)*(shifts!AH:AH&gt;=events!U1245)*(shifts!AI:AI&lt;=events!V1245))</f>
        <v>45</v>
      </c>
      <c r="X1245" t="str">
        <f t="shared" si="224"/>
        <v>opp_team_player_1</v>
      </c>
      <c r="Y1245">
        <f>COUNTIFS(A$3:A1245,"="&amp;A1245,K$3:K1245,"="&amp;K1245)</f>
        <v>1</v>
      </c>
      <c r="Z1245" s="20">
        <f>SUMIFS(T$3:T1245,L$3:L1245,"=Intermission")+SUMIFS(T$3:T1245,L$3:L1245,"=Timeout")+SUMIFS(T$3:T1245,L$3:L1245,"=Clockstop")</f>
        <v>68</v>
      </c>
      <c r="AA1245">
        <f t="shared" si="225"/>
        <v>1148</v>
      </c>
      <c r="AC1245">
        <f t="shared" si="226"/>
        <v>1216</v>
      </c>
    </row>
    <row r="1246" spans="1:29" x14ac:dyDescent="0.2">
      <c r="A1246">
        <v>662</v>
      </c>
      <c r="D1246">
        <f t="shared" si="227"/>
        <v>2</v>
      </c>
      <c r="E1246">
        <v>8</v>
      </c>
      <c r="F1246" s="6" t="s">
        <v>431</v>
      </c>
      <c r="I1246" t="s">
        <v>178</v>
      </c>
      <c r="J1246">
        <v>52</v>
      </c>
      <c r="K1246" t="s">
        <v>488</v>
      </c>
      <c r="L1246" t="s">
        <v>10</v>
      </c>
      <c r="M1246" t="s">
        <v>190</v>
      </c>
      <c r="N1246" t="s">
        <v>77</v>
      </c>
      <c r="Q1246">
        <f t="shared" si="232"/>
        <v>18977</v>
      </c>
      <c r="R1246" t="str">
        <f t="shared" si="232"/>
        <v>Velodrome</v>
      </c>
      <c r="S1246" t="str">
        <f t="shared" si="232"/>
        <v>HollowBrook</v>
      </c>
      <c r="T1246" s="20">
        <f t="shared" si="228"/>
        <v>0</v>
      </c>
      <c r="U1246">
        <f t="shared" si="229"/>
        <v>521</v>
      </c>
      <c r="V1246">
        <f t="shared" si="230"/>
        <v>521</v>
      </c>
      <c r="W1246" cm="1">
        <f t="array" ref="W1246">_xlfn._xlws.FILTER(shifts!A:A,(shifts!B:B=events!D1246)*(shifts!AH:AH&gt;=events!U1246)*(shifts!AI:AI&lt;=events!V1246))</f>
        <v>45</v>
      </c>
      <c r="X1246" t="str">
        <f t="shared" si="224"/>
        <v>event_team_player_1</v>
      </c>
      <c r="Y1246">
        <f>COUNTIFS(A$3:A1246,"="&amp;A1246,K$3:K1246,"="&amp;K1246)</f>
        <v>1</v>
      </c>
      <c r="Z1246" s="20">
        <f>SUMIFS(T$3:T1246,L$3:L1246,"=Intermission")+SUMIFS(T$3:T1246,L$3:L1246,"=Timeout")+SUMIFS(T$3:T1246,L$3:L1246,"=Clockstop")</f>
        <v>68</v>
      </c>
      <c r="AA1246">
        <f t="shared" si="225"/>
        <v>1148</v>
      </c>
      <c r="AC1246">
        <f t="shared" si="226"/>
        <v>1216</v>
      </c>
    </row>
    <row r="1247" spans="1:29" x14ac:dyDescent="0.2">
      <c r="A1247">
        <v>662</v>
      </c>
      <c r="D1247">
        <f t="shared" si="227"/>
        <v>2</v>
      </c>
      <c r="E1247">
        <v>8</v>
      </c>
      <c r="F1247" s="6" t="s">
        <v>431</v>
      </c>
      <c r="I1247" t="s">
        <v>178</v>
      </c>
      <c r="J1247">
        <v>27</v>
      </c>
      <c r="K1247" t="s">
        <v>489</v>
      </c>
      <c r="L1247" t="s">
        <v>10</v>
      </c>
      <c r="M1247" t="s">
        <v>190</v>
      </c>
      <c r="N1247" t="s">
        <v>77</v>
      </c>
      <c r="Q1247">
        <f t="shared" si="232"/>
        <v>18977</v>
      </c>
      <c r="R1247" t="str">
        <f t="shared" si="232"/>
        <v>Velodrome</v>
      </c>
      <c r="S1247" t="str">
        <f t="shared" si="232"/>
        <v>HollowBrook</v>
      </c>
      <c r="T1247" s="20">
        <f t="shared" si="228"/>
        <v>0</v>
      </c>
      <c r="U1247">
        <f t="shared" si="229"/>
        <v>521</v>
      </c>
      <c r="V1247">
        <f t="shared" si="230"/>
        <v>521</v>
      </c>
      <c r="W1247" cm="1">
        <f t="array" ref="W1247">_xlfn._xlws.FILTER(shifts!A:A,(shifts!B:B=events!D1247)*(shifts!AH:AH&gt;=events!U1247)*(shifts!AI:AI&lt;=events!V1247))</f>
        <v>45</v>
      </c>
      <c r="X1247" t="str">
        <f t="shared" si="224"/>
        <v>opp_team_player_1</v>
      </c>
      <c r="Y1247">
        <f>COUNTIFS(A$3:A1247,"="&amp;A1247,K$3:K1247,"="&amp;K1247)</f>
        <v>1</v>
      </c>
      <c r="Z1247" s="20">
        <f>SUMIFS(T$3:T1247,L$3:L1247,"=Intermission")+SUMIFS(T$3:T1247,L$3:L1247,"=Timeout")+SUMIFS(T$3:T1247,L$3:L1247,"=Clockstop")</f>
        <v>68</v>
      </c>
      <c r="AA1247">
        <f t="shared" si="225"/>
        <v>1148</v>
      </c>
      <c r="AC1247">
        <f t="shared" si="226"/>
        <v>1216</v>
      </c>
    </row>
    <row r="1248" spans="1:29" x14ac:dyDescent="0.2">
      <c r="A1248">
        <v>663</v>
      </c>
      <c r="D1248">
        <f t="shared" si="227"/>
        <v>2</v>
      </c>
      <c r="E1248">
        <v>8</v>
      </c>
      <c r="F1248" s="6" t="s">
        <v>453</v>
      </c>
      <c r="I1248" t="s">
        <v>179</v>
      </c>
      <c r="J1248">
        <v>27</v>
      </c>
      <c r="K1248" t="s">
        <v>488</v>
      </c>
      <c r="L1248" t="s">
        <v>10</v>
      </c>
      <c r="M1248" t="s">
        <v>190</v>
      </c>
      <c r="N1248" t="s">
        <v>479</v>
      </c>
      <c r="Q1248">
        <f t="shared" si="232"/>
        <v>18977</v>
      </c>
      <c r="R1248" t="str">
        <f t="shared" si="232"/>
        <v>Velodrome</v>
      </c>
      <c r="S1248" t="str">
        <f t="shared" si="232"/>
        <v>HollowBrook</v>
      </c>
      <c r="T1248" s="20">
        <f t="shared" si="228"/>
        <v>0</v>
      </c>
      <c r="U1248">
        <f t="shared" si="229"/>
        <v>517</v>
      </c>
      <c r="V1248">
        <f t="shared" si="230"/>
        <v>517</v>
      </c>
      <c r="W1248" cm="1">
        <f t="array" ref="W1248">_xlfn._xlws.FILTER(shifts!A:A,(shifts!B:B=events!D1248)*(shifts!AH:AH&gt;=events!U1248)*(shifts!AI:AI&lt;=events!V1248))</f>
        <v>45</v>
      </c>
      <c r="X1248" t="str">
        <f t="shared" si="224"/>
        <v>event_team_player_1</v>
      </c>
      <c r="Y1248">
        <f>COUNTIFS(A$3:A1248,"="&amp;A1248,K$3:K1248,"="&amp;K1248)</f>
        <v>1</v>
      </c>
      <c r="Z1248" s="20">
        <f>SUMIFS(T$3:T1248,L$3:L1248,"=Intermission")+SUMIFS(T$3:T1248,L$3:L1248,"=Timeout")+SUMIFS(T$3:T1248,L$3:L1248,"=Clockstop")</f>
        <v>68</v>
      </c>
      <c r="AA1248">
        <f t="shared" si="225"/>
        <v>1148</v>
      </c>
      <c r="AC1248">
        <f t="shared" si="226"/>
        <v>1216</v>
      </c>
    </row>
    <row r="1249" spans="1:29" x14ac:dyDescent="0.2">
      <c r="A1249">
        <v>663</v>
      </c>
      <c r="D1249">
        <f t="shared" si="227"/>
        <v>2</v>
      </c>
      <c r="E1249">
        <v>8</v>
      </c>
      <c r="F1249" s="6" t="s">
        <v>453</v>
      </c>
      <c r="I1249" t="s">
        <v>179</v>
      </c>
      <c r="J1249">
        <v>9</v>
      </c>
      <c r="K1249" t="s">
        <v>489</v>
      </c>
      <c r="L1249" t="s">
        <v>10</v>
      </c>
      <c r="M1249" t="s">
        <v>190</v>
      </c>
      <c r="N1249" t="s">
        <v>479</v>
      </c>
      <c r="Q1249">
        <f t="shared" si="232"/>
        <v>18977</v>
      </c>
      <c r="R1249" t="str">
        <f t="shared" si="232"/>
        <v>Velodrome</v>
      </c>
      <c r="S1249" t="str">
        <f t="shared" si="232"/>
        <v>HollowBrook</v>
      </c>
      <c r="T1249" s="20">
        <f t="shared" si="228"/>
        <v>0</v>
      </c>
      <c r="U1249">
        <f t="shared" si="229"/>
        <v>517</v>
      </c>
      <c r="V1249">
        <f t="shared" si="230"/>
        <v>517</v>
      </c>
      <c r="W1249" cm="1">
        <f t="array" ref="W1249">_xlfn._xlws.FILTER(shifts!A:A,(shifts!B:B=events!D1249)*(shifts!AH:AH&gt;=events!U1249)*(shifts!AI:AI&lt;=events!V1249))</f>
        <v>45</v>
      </c>
      <c r="X1249" t="str">
        <f t="shared" si="224"/>
        <v>opp_team_player_1</v>
      </c>
      <c r="Y1249">
        <f>COUNTIFS(A$3:A1249,"="&amp;A1249,K$3:K1249,"="&amp;K1249)</f>
        <v>1</v>
      </c>
      <c r="Z1249" s="20">
        <f>SUMIFS(T$3:T1249,L$3:L1249,"=Intermission")+SUMIFS(T$3:T1249,L$3:L1249,"=Timeout")+SUMIFS(T$3:T1249,L$3:L1249,"=Clockstop")</f>
        <v>68</v>
      </c>
      <c r="AA1249">
        <f t="shared" si="225"/>
        <v>1148</v>
      </c>
      <c r="AC1249">
        <f t="shared" si="226"/>
        <v>1216</v>
      </c>
    </row>
    <row r="1250" spans="1:29" x14ac:dyDescent="0.2">
      <c r="A1250">
        <v>664</v>
      </c>
      <c r="D1250">
        <f t="shared" si="227"/>
        <v>2</v>
      </c>
      <c r="E1250">
        <v>8</v>
      </c>
      <c r="F1250" s="6" t="s">
        <v>455</v>
      </c>
      <c r="I1250" t="s">
        <v>178</v>
      </c>
      <c r="J1250">
        <v>9</v>
      </c>
      <c r="K1250" t="s">
        <v>488</v>
      </c>
      <c r="L1250" t="s">
        <v>277</v>
      </c>
      <c r="M1250" t="s">
        <v>210</v>
      </c>
      <c r="N1250" t="s">
        <v>93</v>
      </c>
      <c r="Q1250">
        <f t="shared" si="232"/>
        <v>18977</v>
      </c>
      <c r="R1250" t="str">
        <f t="shared" si="232"/>
        <v>Velodrome</v>
      </c>
      <c r="S1250" t="str">
        <f t="shared" si="232"/>
        <v>HollowBrook</v>
      </c>
      <c r="T1250" s="20">
        <f t="shared" si="228"/>
        <v>0</v>
      </c>
      <c r="U1250">
        <f t="shared" si="229"/>
        <v>515</v>
      </c>
      <c r="V1250">
        <f t="shared" si="230"/>
        <v>515</v>
      </c>
      <c r="W1250" cm="1">
        <f t="array" ref="W1250">_xlfn._xlws.FILTER(shifts!A:A,(shifts!B:B=events!D1250)*(shifts!AH:AH&gt;=events!U1250)*(shifts!AI:AI&lt;=events!V1250))</f>
        <v>45</v>
      </c>
      <c r="X1250" t="str">
        <f t="shared" si="224"/>
        <v>event_team_player_1</v>
      </c>
      <c r="Y1250">
        <f>COUNTIFS(A$3:A1250,"="&amp;A1250,K$3:K1250,"="&amp;K1250)</f>
        <v>1</v>
      </c>
      <c r="Z1250" s="20">
        <f>SUMIFS(T$3:T1250,L$3:L1250,"=Intermission")+SUMIFS(T$3:T1250,L$3:L1250,"=Timeout")+SUMIFS(T$3:T1250,L$3:L1250,"=Clockstop")</f>
        <v>68</v>
      </c>
      <c r="AA1250">
        <f t="shared" si="225"/>
        <v>1148</v>
      </c>
      <c r="AC1250">
        <f t="shared" si="226"/>
        <v>1216</v>
      </c>
    </row>
    <row r="1251" spans="1:29" x14ac:dyDescent="0.2">
      <c r="A1251">
        <v>665</v>
      </c>
      <c r="D1251">
        <f t="shared" si="227"/>
        <v>2</v>
      </c>
      <c r="E1251">
        <v>8</v>
      </c>
      <c r="F1251" s="6" t="s">
        <v>455</v>
      </c>
      <c r="I1251" t="s">
        <v>178</v>
      </c>
      <c r="J1251">
        <v>9</v>
      </c>
      <c r="K1251" t="s">
        <v>488</v>
      </c>
      <c r="L1251" t="s">
        <v>8</v>
      </c>
      <c r="M1251" t="s">
        <v>189</v>
      </c>
      <c r="N1251" t="s">
        <v>68</v>
      </c>
      <c r="Q1251">
        <f t="shared" si="232"/>
        <v>18977</v>
      </c>
      <c r="R1251" t="str">
        <f t="shared" si="232"/>
        <v>Velodrome</v>
      </c>
      <c r="S1251" t="str">
        <f t="shared" si="232"/>
        <v>HollowBrook</v>
      </c>
      <c r="T1251" s="20">
        <f t="shared" si="228"/>
        <v>0</v>
      </c>
      <c r="U1251">
        <f t="shared" si="229"/>
        <v>515</v>
      </c>
      <c r="V1251">
        <f t="shared" si="230"/>
        <v>515</v>
      </c>
      <c r="W1251" cm="1">
        <f t="array" ref="W1251">_xlfn._xlws.FILTER(shifts!A:A,(shifts!B:B=events!D1251)*(shifts!AH:AH&gt;=events!U1251)*(shifts!AI:AI&lt;=events!V1251))</f>
        <v>45</v>
      </c>
      <c r="X1251" t="str">
        <f t="shared" si="224"/>
        <v>event_team_player_1</v>
      </c>
      <c r="Y1251">
        <f>COUNTIFS(A$3:A1251,"="&amp;A1251,K$3:K1251,"="&amp;K1251)</f>
        <v>1</v>
      </c>
      <c r="Z1251" s="20">
        <f>SUMIFS(T$3:T1251,L$3:L1251,"=Intermission")+SUMIFS(T$3:T1251,L$3:L1251,"=Timeout")+SUMIFS(T$3:T1251,L$3:L1251,"=Clockstop")</f>
        <v>68</v>
      </c>
      <c r="AA1251">
        <f t="shared" si="225"/>
        <v>1148</v>
      </c>
      <c r="AC1251">
        <f t="shared" si="226"/>
        <v>1216</v>
      </c>
    </row>
    <row r="1252" spans="1:29" x14ac:dyDescent="0.2">
      <c r="A1252">
        <v>665</v>
      </c>
      <c r="D1252">
        <f t="shared" si="227"/>
        <v>2</v>
      </c>
      <c r="E1252">
        <v>8</v>
      </c>
      <c r="F1252" s="6" t="s">
        <v>455</v>
      </c>
      <c r="I1252" t="s">
        <v>178</v>
      </c>
      <c r="J1252">
        <v>61</v>
      </c>
      <c r="K1252" t="s">
        <v>488</v>
      </c>
      <c r="L1252" t="s">
        <v>8</v>
      </c>
      <c r="M1252" t="s">
        <v>189</v>
      </c>
      <c r="N1252" t="s">
        <v>68</v>
      </c>
      <c r="Q1252">
        <f t="shared" si="232"/>
        <v>18977</v>
      </c>
      <c r="R1252" t="str">
        <f t="shared" si="232"/>
        <v>Velodrome</v>
      </c>
      <c r="S1252" t="str">
        <f t="shared" si="232"/>
        <v>HollowBrook</v>
      </c>
      <c r="T1252" s="20">
        <f t="shared" si="228"/>
        <v>0</v>
      </c>
      <c r="U1252">
        <f t="shared" si="229"/>
        <v>515</v>
      </c>
      <c r="V1252">
        <f t="shared" si="230"/>
        <v>515</v>
      </c>
      <c r="W1252" cm="1">
        <f t="array" ref="W1252">_xlfn._xlws.FILTER(shifts!A:A,(shifts!B:B=events!D1252)*(shifts!AH:AH&gt;=events!U1252)*(shifts!AI:AI&lt;=events!V1252))</f>
        <v>45</v>
      </c>
      <c r="X1252" t="str">
        <f t="shared" si="224"/>
        <v>event_team_player_2</v>
      </c>
      <c r="Y1252">
        <f>COUNTIFS(A$3:A1252,"="&amp;A1252,K$3:K1252,"="&amp;K1252)</f>
        <v>2</v>
      </c>
      <c r="Z1252" s="20">
        <f>SUMIFS(T$3:T1252,L$3:L1252,"=Intermission")+SUMIFS(T$3:T1252,L$3:L1252,"=Timeout")+SUMIFS(T$3:T1252,L$3:L1252,"=Clockstop")</f>
        <v>68</v>
      </c>
      <c r="AA1252">
        <f t="shared" si="225"/>
        <v>1148</v>
      </c>
      <c r="AC1252">
        <f t="shared" si="226"/>
        <v>1216</v>
      </c>
    </row>
    <row r="1253" spans="1:29" x14ac:dyDescent="0.2">
      <c r="A1253">
        <v>666</v>
      </c>
      <c r="D1253">
        <f t="shared" si="227"/>
        <v>2</v>
      </c>
      <c r="E1253">
        <v>8</v>
      </c>
      <c r="F1253" s="6" t="s">
        <v>472</v>
      </c>
      <c r="I1253" t="s">
        <v>178</v>
      </c>
      <c r="J1253">
        <v>61</v>
      </c>
      <c r="K1253" t="s">
        <v>488</v>
      </c>
      <c r="L1253" t="s">
        <v>8</v>
      </c>
      <c r="M1253" t="s">
        <v>189</v>
      </c>
      <c r="N1253" t="s">
        <v>70</v>
      </c>
      <c r="Q1253">
        <f t="shared" si="232"/>
        <v>18977</v>
      </c>
      <c r="R1253" t="str">
        <f t="shared" si="232"/>
        <v>Velodrome</v>
      </c>
      <c r="S1253" t="str">
        <f t="shared" si="232"/>
        <v>HollowBrook</v>
      </c>
      <c r="T1253" s="20">
        <f t="shared" si="228"/>
        <v>0</v>
      </c>
      <c r="U1253">
        <f t="shared" si="229"/>
        <v>510</v>
      </c>
      <c r="V1253">
        <f t="shared" si="230"/>
        <v>510</v>
      </c>
      <c r="W1253" cm="1">
        <f t="array" ref="W1253">_xlfn._xlws.FILTER(shifts!A:A,(shifts!B:B=events!D1253)*(shifts!AH:AH&gt;=events!U1253)*(shifts!AI:AI&lt;=events!V1253))</f>
        <v>45</v>
      </c>
      <c r="X1253" t="str">
        <f t="shared" si="224"/>
        <v>event_team_player_1</v>
      </c>
      <c r="Y1253">
        <f>COUNTIFS(A$3:A1253,"="&amp;A1253,K$3:K1253,"="&amp;K1253)</f>
        <v>1</v>
      </c>
      <c r="Z1253" s="20">
        <f>SUMIFS(T$3:T1253,L$3:L1253,"=Intermission")+SUMIFS(T$3:T1253,L$3:L1253,"=Timeout")+SUMIFS(T$3:T1253,L$3:L1253,"=Clockstop")</f>
        <v>68</v>
      </c>
      <c r="AA1253">
        <f t="shared" si="225"/>
        <v>1148</v>
      </c>
      <c r="AC1253">
        <f t="shared" si="226"/>
        <v>1216</v>
      </c>
    </row>
    <row r="1254" spans="1:29" x14ac:dyDescent="0.2">
      <c r="A1254">
        <v>666</v>
      </c>
      <c r="D1254">
        <f t="shared" si="227"/>
        <v>2</v>
      </c>
      <c r="E1254">
        <v>8</v>
      </c>
      <c r="F1254" s="6" t="s">
        <v>472</v>
      </c>
      <c r="I1254" t="s">
        <v>178</v>
      </c>
      <c r="J1254">
        <v>14</v>
      </c>
      <c r="K1254" t="s">
        <v>488</v>
      </c>
      <c r="L1254" t="s">
        <v>8</v>
      </c>
      <c r="M1254" t="s">
        <v>189</v>
      </c>
      <c r="N1254" t="s">
        <v>70</v>
      </c>
      <c r="Q1254">
        <f t="shared" ref="Q1254:S1269" si="233">Q1253</f>
        <v>18977</v>
      </c>
      <c r="R1254" t="str">
        <f t="shared" si="233"/>
        <v>Velodrome</v>
      </c>
      <c r="S1254" t="str">
        <f t="shared" si="233"/>
        <v>HollowBrook</v>
      </c>
      <c r="T1254" s="20">
        <f t="shared" si="228"/>
        <v>0</v>
      </c>
      <c r="U1254">
        <f t="shared" si="229"/>
        <v>510</v>
      </c>
      <c r="V1254">
        <f t="shared" si="230"/>
        <v>510</v>
      </c>
      <c r="W1254" cm="1">
        <f t="array" ref="W1254">_xlfn._xlws.FILTER(shifts!A:A,(shifts!B:B=events!D1254)*(shifts!AH:AH&gt;=events!U1254)*(shifts!AI:AI&lt;=events!V1254))</f>
        <v>45</v>
      </c>
      <c r="X1254" t="str">
        <f t="shared" si="224"/>
        <v>event_team_player_2</v>
      </c>
      <c r="Y1254">
        <f>COUNTIFS(A$3:A1254,"="&amp;A1254,K$3:K1254,"="&amp;K1254)</f>
        <v>2</v>
      </c>
      <c r="Z1254" s="20">
        <f>SUMIFS(T$3:T1254,L$3:L1254,"=Intermission")+SUMIFS(T$3:T1254,L$3:L1254,"=Timeout")+SUMIFS(T$3:T1254,L$3:L1254,"=Clockstop")</f>
        <v>68</v>
      </c>
      <c r="AA1254">
        <f t="shared" si="225"/>
        <v>1148</v>
      </c>
      <c r="AC1254">
        <f t="shared" si="226"/>
        <v>1216</v>
      </c>
    </row>
    <row r="1255" spans="1:29" x14ac:dyDescent="0.2">
      <c r="A1255">
        <v>667</v>
      </c>
      <c r="D1255">
        <f t="shared" si="227"/>
        <v>2</v>
      </c>
      <c r="E1255">
        <v>8</v>
      </c>
      <c r="F1255" s="6" t="s">
        <v>442</v>
      </c>
      <c r="I1255" t="s">
        <v>178</v>
      </c>
      <c r="J1255">
        <v>14</v>
      </c>
      <c r="K1255" t="s">
        <v>488</v>
      </c>
      <c r="L1255" t="s">
        <v>8</v>
      </c>
      <c r="M1255" t="s">
        <v>189</v>
      </c>
      <c r="N1255" t="s">
        <v>70</v>
      </c>
      <c r="Q1255">
        <f t="shared" si="233"/>
        <v>18977</v>
      </c>
      <c r="R1255" t="str">
        <f t="shared" si="233"/>
        <v>Velodrome</v>
      </c>
      <c r="S1255" t="str">
        <f t="shared" si="233"/>
        <v>HollowBrook</v>
      </c>
      <c r="T1255" s="20">
        <f t="shared" si="228"/>
        <v>0</v>
      </c>
      <c r="U1255">
        <f t="shared" si="229"/>
        <v>509</v>
      </c>
      <c r="V1255">
        <f t="shared" si="230"/>
        <v>509</v>
      </c>
      <c r="W1255" cm="1">
        <f t="array" ref="W1255">_xlfn._xlws.FILTER(shifts!A:A,(shifts!B:B=events!D1255)*(shifts!AH:AH&gt;=events!U1255)*(shifts!AI:AI&lt;=events!V1255))</f>
        <v>45</v>
      </c>
      <c r="X1255" t="str">
        <f t="shared" si="224"/>
        <v>event_team_player_1</v>
      </c>
      <c r="Y1255">
        <f>COUNTIFS(A$3:A1255,"="&amp;A1255,K$3:K1255,"="&amp;K1255)</f>
        <v>1</v>
      </c>
      <c r="Z1255" s="20">
        <f>SUMIFS(T$3:T1255,L$3:L1255,"=Intermission")+SUMIFS(T$3:T1255,L$3:L1255,"=Timeout")+SUMIFS(T$3:T1255,L$3:L1255,"=Clockstop")</f>
        <v>68</v>
      </c>
      <c r="AA1255">
        <f t="shared" si="225"/>
        <v>1148</v>
      </c>
      <c r="AC1255">
        <f t="shared" si="226"/>
        <v>1216</v>
      </c>
    </row>
    <row r="1256" spans="1:29" x14ac:dyDescent="0.2">
      <c r="A1256">
        <v>667</v>
      </c>
      <c r="D1256">
        <f t="shared" si="227"/>
        <v>2</v>
      </c>
      <c r="E1256">
        <v>8</v>
      </c>
      <c r="F1256" s="6" t="s">
        <v>442</v>
      </c>
      <c r="I1256" t="s">
        <v>178</v>
      </c>
      <c r="J1256">
        <v>70</v>
      </c>
      <c r="K1256" t="s">
        <v>488</v>
      </c>
      <c r="L1256" s="24" t="s">
        <v>8</v>
      </c>
      <c r="M1256" s="24" t="s">
        <v>189</v>
      </c>
      <c r="N1256" s="24" t="s">
        <v>70</v>
      </c>
      <c r="Q1256">
        <f t="shared" si="233"/>
        <v>18977</v>
      </c>
      <c r="R1256" t="str">
        <f t="shared" si="233"/>
        <v>Velodrome</v>
      </c>
      <c r="S1256" t="str">
        <f t="shared" si="233"/>
        <v>HollowBrook</v>
      </c>
      <c r="T1256" s="20">
        <f t="shared" si="228"/>
        <v>0</v>
      </c>
      <c r="U1256">
        <f t="shared" si="229"/>
        <v>509</v>
      </c>
      <c r="V1256">
        <f t="shared" si="230"/>
        <v>509</v>
      </c>
      <c r="W1256" cm="1">
        <f t="array" ref="W1256">_xlfn._xlws.FILTER(shifts!A:A,(shifts!B:B=events!D1256)*(shifts!AH:AH&gt;=events!U1256)*(shifts!AI:AI&lt;=events!V1256))</f>
        <v>45</v>
      </c>
      <c r="X1256" t="str">
        <f t="shared" si="224"/>
        <v>event_team_player_2</v>
      </c>
      <c r="Y1256">
        <f>COUNTIFS(A$3:A1256,"="&amp;A1256,K$3:K1256,"="&amp;K1256)</f>
        <v>2</v>
      </c>
      <c r="Z1256" s="20">
        <f>SUMIFS(T$3:T1256,L$3:L1256,"=Intermission")+SUMIFS(T$3:T1256,L$3:L1256,"=Timeout")+SUMIFS(T$3:T1256,L$3:L1256,"=Clockstop")</f>
        <v>68</v>
      </c>
      <c r="AA1256">
        <f t="shared" si="225"/>
        <v>1148</v>
      </c>
      <c r="AC1256">
        <f t="shared" si="226"/>
        <v>1216</v>
      </c>
    </row>
    <row r="1257" spans="1:29" x14ac:dyDescent="0.2">
      <c r="A1257">
        <v>666</v>
      </c>
      <c r="D1257">
        <f t="shared" si="227"/>
        <v>2</v>
      </c>
      <c r="E1257">
        <v>8</v>
      </c>
      <c r="F1257" s="6" t="s">
        <v>472</v>
      </c>
      <c r="I1257" t="s">
        <v>178</v>
      </c>
      <c r="J1257">
        <v>8</v>
      </c>
      <c r="K1257" t="s">
        <v>489</v>
      </c>
      <c r="L1257" t="s">
        <v>8</v>
      </c>
      <c r="M1257" t="s">
        <v>189</v>
      </c>
      <c r="N1257" t="s">
        <v>70</v>
      </c>
      <c r="Q1257">
        <f t="shared" si="233"/>
        <v>18977</v>
      </c>
      <c r="R1257" t="str">
        <f t="shared" si="233"/>
        <v>Velodrome</v>
      </c>
      <c r="S1257" t="str">
        <f t="shared" si="233"/>
        <v>HollowBrook</v>
      </c>
      <c r="T1257" s="20">
        <f t="shared" si="228"/>
        <v>0</v>
      </c>
      <c r="U1257">
        <f t="shared" si="229"/>
        <v>510</v>
      </c>
      <c r="V1257">
        <f t="shared" si="230"/>
        <v>510</v>
      </c>
      <c r="W1257" cm="1">
        <f t="array" ref="W1257">_xlfn._xlws.FILTER(shifts!A:A,(shifts!B:B=events!D1257)*(shifts!AH:AH&gt;=events!U1257)*(shifts!AI:AI&lt;=events!V1257))</f>
        <v>45</v>
      </c>
      <c r="X1257" t="str">
        <f t="shared" si="224"/>
        <v>opp_team_player_1</v>
      </c>
      <c r="Y1257">
        <f>COUNTIFS(A$3:A1257,"="&amp;A1257,K$3:K1257,"="&amp;K1257)</f>
        <v>1</v>
      </c>
      <c r="Z1257" s="20">
        <f>SUMIFS(T$3:T1257,L$3:L1257,"=Intermission")+SUMIFS(T$3:T1257,L$3:L1257,"=Timeout")+SUMIFS(T$3:T1257,L$3:L1257,"=Clockstop")</f>
        <v>68</v>
      </c>
      <c r="AA1257">
        <f t="shared" si="225"/>
        <v>1148</v>
      </c>
      <c r="AC1257">
        <f t="shared" si="226"/>
        <v>1216</v>
      </c>
    </row>
    <row r="1258" spans="1:29" x14ac:dyDescent="0.2">
      <c r="A1258">
        <v>668</v>
      </c>
      <c r="D1258">
        <f t="shared" si="227"/>
        <v>2</v>
      </c>
      <c r="E1258">
        <v>8</v>
      </c>
      <c r="F1258" s="6" t="s">
        <v>442</v>
      </c>
      <c r="I1258" t="s">
        <v>178</v>
      </c>
      <c r="J1258">
        <v>70</v>
      </c>
      <c r="K1258" t="s">
        <v>488</v>
      </c>
      <c r="L1258" t="s">
        <v>7</v>
      </c>
      <c r="M1258" t="s">
        <v>198</v>
      </c>
      <c r="N1258" t="s">
        <v>53</v>
      </c>
      <c r="Q1258">
        <f t="shared" si="233"/>
        <v>18977</v>
      </c>
      <c r="R1258" t="str">
        <f t="shared" si="233"/>
        <v>Velodrome</v>
      </c>
      <c r="S1258" t="str">
        <f t="shared" si="233"/>
        <v>HollowBrook</v>
      </c>
      <c r="T1258" s="20">
        <f t="shared" si="228"/>
        <v>0</v>
      </c>
      <c r="U1258">
        <f t="shared" si="229"/>
        <v>509</v>
      </c>
      <c r="V1258">
        <f t="shared" si="230"/>
        <v>509</v>
      </c>
      <c r="W1258" cm="1">
        <f t="array" ref="W1258">_xlfn._xlws.FILTER(shifts!A:A,(shifts!B:B=events!D1258)*(shifts!AH:AH&gt;=events!U1258)*(shifts!AI:AI&lt;=events!V1258))</f>
        <v>45</v>
      </c>
      <c r="X1258" t="str">
        <f t="shared" si="224"/>
        <v>event_team_player_1</v>
      </c>
      <c r="Y1258">
        <f>COUNTIFS(A$3:A1258,"="&amp;A1258,K$3:K1258,"="&amp;K1258)</f>
        <v>1</v>
      </c>
      <c r="Z1258" s="20">
        <f>SUMIFS(T$3:T1258,L$3:L1258,"=Intermission")+SUMIFS(T$3:T1258,L$3:L1258,"=Timeout")+SUMIFS(T$3:T1258,L$3:L1258,"=Clockstop")</f>
        <v>68</v>
      </c>
      <c r="AA1258">
        <f t="shared" si="225"/>
        <v>1148</v>
      </c>
      <c r="AC1258">
        <f t="shared" si="226"/>
        <v>1216</v>
      </c>
    </row>
    <row r="1259" spans="1:29" x14ac:dyDescent="0.2">
      <c r="A1259">
        <v>668</v>
      </c>
      <c r="D1259">
        <f t="shared" si="227"/>
        <v>2</v>
      </c>
      <c r="E1259">
        <v>8</v>
      </c>
      <c r="F1259" s="6" t="s">
        <v>442</v>
      </c>
      <c r="I1259" t="s">
        <v>178</v>
      </c>
      <c r="J1259">
        <v>26</v>
      </c>
      <c r="K1259" t="s">
        <v>489</v>
      </c>
      <c r="L1259" t="s">
        <v>7</v>
      </c>
      <c r="M1259" t="s">
        <v>198</v>
      </c>
      <c r="N1259" t="s">
        <v>53</v>
      </c>
      <c r="Q1259">
        <f t="shared" si="233"/>
        <v>18977</v>
      </c>
      <c r="R1259" t="str">
        <f t="shared" si="233"/>
        <v>Velodrome</v>
      </c>
      <c r="S1259" t="str">
        <f t="shared" si="233"/>
        <v>HollowBrook</v>
      </c>
      <c r="T1259" s="20">
        <f t="shared" si="228"/>
        <v>0</v>
      </c>
      <c r="U1259">
        <f t="shared" si="229"/>
        <v>509</v>
      </c>
      <c r="V1259">
        <f t="shared" si="230"/>
        <v>509</v>
      </c>
      <c r="W1259" cm="1">
        <f t="array" ref="W1259">_xlfn._xlws.FILTER(shifts!A:A,(shifts!B:B=events!D1259)*(shifts!AH:AH&gt;=events!U1259)*(shifts!AI:AI&lt;=events!V1259))</f>
        <v>45</v>
      </c>
      <c r="X1259" t="str">
        <f t="shared" si="224"/>
        <v>opp_team_player_1</v>
      </c>
      <c r="Y1259">
        <f>COUNTIFS(A$3:A1259,"="&amp;A1259,K$3:K1259,"="&amp;K1259)</f>
        <v>1</v>
      </c>
      <c r="Z1259" s="20">
        <f>SUMIFS(T$3:T1259,L$3:L1259,"=Intermission")+SUMIFS(T$3:T1259,L$3:L1259,"=Timeout")+SUMIFS(T$3:T1259,L$3:L1259,"=Clockstop")</f>
        <v>68</v>
      </c>
      <c r="AA1259">
        <f t="shared" si="225"/>
        <v>1148</v>
      </c>
      <c r="AC1259">
        <f t="shared" si="226"/>
        <v>1216</v>
      </c>
    </row>
    <row r="1260" spans="1:29" x14ac:dyDescent="0.2">
      <c r="A1260">
        <v>669</v>
      </c>
      <c r="D1260">
        <f t="shared" si="227"/>
        <v>2</v>
      </c>
      <c r="E1260">
        <v>8</v>
      </c>
      <c r="F1260" s="6" t="s">
        <v>444</v>
      </c>
      <c r="I1260" t="s">
        <v>178</v>
      </c>
      <c r="J1260">
        <v>9</v>
      </c>
      <c r="K1260" t="s">
        <v>488</v>
      </c>
      <c r="L1260" t="s">
        <v>277</v>
      </c>
      <c r="M1260" t="s">
        <v>210</v>
      </c>
      <c r="N1260" t="s">
        <v>93</v>
      </c>
      <c r="Q1260">
        <f t="shared" si="233"/>
        <v>18977</v>
      </c>
      <c r="R1260" t="str">
        <f t="shared" si="233"/>
        <v>Velodrome</v>
      </c>
      <c r="S1260" t="str">
        <f t="shared" si="233"/>
        <v>HollowBrook</v>
      </c>
      <c r="T1260" s="20">
        <f t="shared" si="228"/>
        <v>0</v>
      </c>
      <c r="U1260">
        <f t="shared" si="229"/>
        <v>504</v>
      </c>
      <c r="V1260">
        <f t="shared" si="230"/>
        <v>504</v>
      </c>
      <c r="W1260" cm="1">
        <f t="array" ref="W1260">_xlfn._xlws.FILTER(shifts!A:A,(shifts!B:B=events!D1260)*(shifts!AH:AH&gt;=events!U1260)*(shifts!AI:AI&lt;=events!V1260))</f>
        <v>45</v>
      </c>
      <c r="X1260" t="str">
        <f t="shared" si="224"/>
        <v>event_team_player_1</v>
      </c>
      <c r="Y1260">
        <f>COUNTIFS(A$3:A1260,"="&amp;A1260,K$3:K1260,"="&amp;K1260)</f>
        <v>1</v>
      </c>
      <c r="Z1260" s="20">
        <f>SUMIFS(T$3:T1260,L$3:L1260,"=Intermission")+SUMIFS(T$3:T1260,L$3:L1260,"=Timeout")+SUMIFS(T$3:T1260,L$3:L1260,"=Clockstop")</f>
        <v>68</v>
      </c>
      <c r="AA1260">
        <f t="shared" si="225"/>
        <v>1148</v>
      </c>
      <c r="AC1260">
        <f t="shared" si="226"/>
        <v>1216</v>
      </c>
    </row>
    <row r="1261" spans="1:29" x14ac:dyDescent="0.2">
      <c r="A1261">
        <v>669</v>
      </c>
      <c r="D1261">
        <f t="shared" si="227"/>
        <v>2</v>
      </c>
      <c r="E1261">
        <v>8</v>
      </c>
      <c r="F1261" s="6" t="s">
        <v>444</v>
      </c>
      <c r="I1261" t="s">
        <v>178</v>
      </c>
      <c r="J1261">
        <v>22</v>
      </c>
      <c r="K1261" t="s">
        <v>489</v>
      </c>
      <c r="L1261" t="s">
        <v>277</v>
      </c>
      <c r="M1261" t="s">
        <v>210</v>
      </c>
      <c r="N1261" t="s">
        <v>93</v>
      </c>
      <c r="Q1261">
        <f t="shared" si="233"/>
        <v>18977</v>
      </c>
      <c r="R1261" t="str">
        <f t="shared" si="233"/>
        <v>Velodrome</v>
      </c>
      <c r="S1261" t="str">
        <f t="shared" si="233"/>
        <v>HollowBrook</v>
      </c>
      <c r="T1261" s="20">
        <f t="shared" si="228"/>
        <v>0</v>
      </c>
      <c r="U1261">
        <f t="shared" si="229"/>
        <v>504</v>
      </c>
      <c r="V1261">
        <f t="shared" si="230"/>
        <v>504</v>
      </c>
      <c r="W1261" cm="1">
        <f t="array" ref="W1261">_xlfn._xlws.FILTER(shifts!A:A,(shifts!B:B=events!D1261)*(shifts!AH:AH&gt;=events!U1261)*(shifts!AI:AI&lt;=events!V1261))</f>
        <v>45</v>
      </c>
      <c r="X1261" t="str">
        <f t="shared" si="224"/>
        <v>opp_team_player_1</v>
      </c>
      <c r="Y1261">
        <f>COUNTIFS(A$3:A1261,"="&amp;A1261,K$3:K1261,"="&amp;K1261)</f>
        <v>1</v>
      </c>
      <c r="Z1261" s="20">
        <f>SUMIFS(T$3:T1261,L$3:L1261,"=Intermission")+SUMIFS(T$3:T1261,L$3:L1261,"=Timeout")+SUMIFS(T$3:T1261,L$3:L1261,"=Clockstop")</f>
        <v>68</v>
      </c>
      <c r="AA1261">
        <f t="shared" si="225"/>
        <v>1148</v>
      </c>
      <c r="AC1261">
        <f t="shared" si="226"/>
        <v>1216</v>
      </c>
    </row>
    <row r="1262" spans="1:29" x14ac:dyDescent="0.2">
      <c r="A1262">
        <v>670</v>
      </c>
      <c r="D1262">
        <f t="shared" si="227"/>
        <v>2</v>
      </c>
      <c r="E1262">
        <v>8</v>
      </c>
      <c r="F1262" s="6" t="s">
        <v>444</v>
      </c>
      <c r="I1262" t="s">
        <v>178</v>
      </c>
      <c r="J1262">
        <v>9</v>
      </c>
      <c r="K1262" t="s">
        <v>488</v>
      </c>
      <c r="L1262" t="s">
        <v>8</v>
      </c>
      <c r="M1262" t="s">
        <v>199</v>
      </c>
      <c r="N1262" t="s">
        <v>68</v>
      </c>
      <c r="Q1262">
        <f t="shared" si="233"/>
        <v>18977</v>
      </c>
      <c r="R1262" t="str">
        <f t="shared" si="233"/>
        <v>Velodrome</v>
      </c>
      <c r="S1262" t="str">
        <f t="shared" si="233"/>
        <v>HollowBrook</v>
      </c>
      <c r="T1262" s="20">
        <f t="shared" si="228"/>
        <v>0</v>
      </c>
      <c r="U1262">
        <f t="shared" si="229"/>
        <v>504</v>
      </c>
      <c r="V1262">
        <f t="shared" si="230"/>
        <v>504</v>
      </c>
      <c r="W1262" cm="1">
        <f t="array" ref="W1262">_xlfn._xlws.FILTER(shifts!A:A,(shifts!B:B=events!D1262)*(shifts!AH:AH&gt;=events!U1262)*(shifts!AI:AI&lt;=events!V1262))</f>
        <v>45</v>
      </c>
      <c r="X1262" t="str">
        <f t="shared" si="224"/>
        <v>event_team_player_1</v>
      </c>
      <c r="Y1262">
        <f>COUNTIFS(A$3:A1262,"="&amp;A1262,K$3:K1262,"="&amp;K1262)</f>
        <v>1</v>
      </c>
      <c r="Z1262" s="20">
        <f>SUMIFS(T$3:T1262,L$3:L1262,"=Intermission")+SUMIFS(T$3:T1262,L$3:L1262,"=Timeout")+SUMIFS(T$3:T1262,L$3:L1262,"=Clockstop")</f>
        <v>68</v>
      </c>
      <c r="AA1262">
        <f t="shared" si="225"/>
        <v>1148</v>
      </c>
      <c r="AC1262">
        <f t="shared" si="226"/>
        <v>1216</v>
      </c>
    </row>
    <row r="1263" spans="1:29" x14ac:dyDescent="0.2">
      <c r="A1263">
        <v>671</v>
      </c>
      <c r="D1263">
        <f t="shared" si="227"/>
        <v>2</v>
      </c>
      <c r="E1263">
        <v>8</v>
      </c>
      <c r="F1263" s="6" t="s">
        <v>444</v>
      </c>
      <c r="I1263" t="s">
        <v>178</v>
      </c>
      <c r="J1263">
        <v>9</v>
      </c>
      <c r="K1263" t="s">
        <v>488</v>
      </c>
      <c r="L1263" t="s">
        <v>10</v>
      </c>
      <c r="M1263" t="s">
        <v>190</v>
      </c>
      <c r="N1263" t="s">
        <v>460</v>
      </c>
      <c r="Q1263">
        <f t="shared" si="233"/>
        <v>18977</v>
      </c>
      <c r="R1263" t="str">
        <f t="shared" si="233"/>
        <v>Velodrome</v>
      </c>
      <c r="S1263" t="str">
        <f t="shared" si="233"/>
        <v>HollowBrook</v>
      </c>
      <c r="T1263" s="20">
        <f t="shared" si="228"/>
        <v>0</v>
      </c>
      <c r="U1263">
        <f t="shared" si="229"/>
        <v>504</v>
      </c>
      <c r="V1263">
        <f t="shared" si="230"/>
        <v>504</v>
      </c>
      <c r="W1263" cm="1">
        <f t="array" ref="W1263">_xlfn._xlws.FILTER(shifts!A:A,(shifts!B:B=events!D1263)*(shifts!AH:AH&gt;=events!U1263)*(shifts!AI:AI&lt;=events!V1263))</f>
        <v>45</v>
      </c>
      <c r="X1263" t="str">
        <f t="shared" si="224"/>
        <v>event_team_player_1</v>
      </c>
      <c r="Y1263">
        <f>COUNTIFS(A$3:A1263,"="&amp;A1263,K$3:K1263,"="&amp;K1263)</f>
        <v>1</v>
      </c>
      <c r="Z1263" s="20">
        <f>SUMIFS(T$3:T1263,L$3:L1263,"=Intermission")+SUMIFS(T$3:T1263,L$3:L1263,"=Timeout")+SUMIFS(T$3:T1263,L$3:L1263,"=Clockstop")</f>
        <v>68</v>
      </c>
      <c r="AA1263">
        <f t="shared" si="225"/>
        <v>1148</v>
      </c>
      <c r="AC1263">
        <f t="shared" si="226"/>
        <v>1216</v>
      </c>
    </row>
    <row r="1264" spans="1:29" x14ac:dyDescent="0.2">
      <c r="A1264">
        <v>672</v>
      </c>
      <c r="D1264">
        <f t="shared" si="227"/>
        <v>2</v>
      </c>
      <c r="E1264">
        <v>8</v>
      </c>
      <c r="F1264" s="6" t="s">
        <v>445</v>
      </c>
      <c r="I1264" t="s">
        <v>179</v>
      </c>
      <c r="J1264">
        <v>27</v>
      </c>
      <c r="K1264" t="s">
        <v>488</v>
      </c>
      <c r="L1264" t="s">
        <v>277</v>
      </c>
      <c r="M1264" t="s">
        <v>201</v>
      </c>
      <c r="N1264" t="s">
        <v>92</v>
      </c>
      <c r="Q1264">
        <f t="shared" si="233"/>
        <v>18977</v>
      </c>
      <c r="R1264" t="str">
        <f t="shared" si="233"/>
        <v>Velodrome</v>
      </c>
      <c r="S1264" t="str">
        <f t="shared" si="233"/>
        <v>HollowBrook</v>
      </c>
      <c r="T1264" s="20">
        <f t="shared" si="228"/>
        <v>0</v>
      </c>
      <c r="U1264">
        <f t="shared" si="229"/>
        <v>499</v>
      </c>
      <c r="V1264">
        <f t="shared" si="230"/>
        <v>499</v>
      </c>
      <c r="W1264" cm="1">
        <f t="array" ref="W1264">_xlfn._xlws.FILTER(shifts!A:A,(shifts!B:B=events!D1264)*(shifts!AH:AH&gt;=events!U1264)*(shifts!AI:AI&lt;=events!V1264))</f>
        <v>45</v>
      </c>
      <c r="X1264" t="str">
        <f t="shared" si="224"/>
        <v>event_team_player_1</v>
      </c>
      <c r="Y1264">
        <f>COUNTIFS(A$3:A1264,"="&amp;A1264,K$3:K1264,"="&amp;K1264)</f>
        <v>1</v>
      </c>
      <c r="Z1264" s="20">
        <f>SUMIFS(T$3:T1264,L$3:L1264,"=Intermission")+SUMIFS(T$3:T1264,L$3:L1264,"=Timeout")+SUMIFS(T$3:T1264,L$3:L1264,"=Clockstop")</f>
        <v>68</v>
      </c>
      <c r="AA1264">
        <f t="shared" si="225"/>
        <v>1148</v>
      </c>
      <c r="AC1264">
        <f t="shared" si="226"/>
        <v>1216</v>
      </c>
    </row>
    <row r="1265" spans="1:29" x14ac:dyDescent="0.2">
      <c r="A1265">
        <v>673</v>
      </c>
      <c r="D1265">
        <f t="shared" si="227"/>
        <v>2</v>
      </c>
      <c r="E1265">
        <v>8</v>
      </c>
      <c r="F1265" s="6" t="s">
        <v>445</v>
      </c>
      <c r="I1265" t="s">
        <v>179</v>
      </c>
      <c r="J1265">
        <v>27</v>
      </c>
      <c r="K1265" t="s">
        <v>488</v>
      </c>
      <c r="L1265" t="s">
        <v>10</v>
      </c>
      <c r="M1265" t="s">
        <v>190</v>
      </c>
      <c r="N1265" t="s">
        <v>460</v>
      </c>
      <c r="Q1265">
        <f t="shared" si="233"/>
        <v>18977</v>
      </c>
      <c r="R1265" t="str">
        <f t="shared" si="233"/>
        <v>Velodrome</v>
      </c>
      <c r="S1265" t="str">
        <f t="shared" si="233"/>
        <v>HollowBrook</v>
      </c>
      <c r="T1265" s="20">
        <f t="shared" si="228"/>
        <v>0</v>
      </c>
      <c r="U1265">
        <f t="shared" si="229"/>
        <v>499</v>
      </c>
      <c r="V1265">
        <f t="shared" si="230"/>
        <v>499</v>
      </c>
      <c r="W1265" cm="1">
        <f t="array" ref="W1265">_xlfn._xlws.FILTER(shifts!A:A,(shifts!B:B=events!D1265)*(shifts!AH:AH&gt;=events!U1265)*(shifts!AI:AI&lt;=events!V1265))</f>
        <v>45</v>
      </c>
      <c r="X1265" t="str">
        <f t="shared" si="224"/>
        <v>event_team_player_1</v>
      </c>
      <c r="Y1265">
        <f>COUNTIFS(A$3:A1265,"="&amp;A1265,K$3:K1265,"="&amp;K1265)</f>
        <v>1</v>
      </c>
      <c r="Z1265" s="20">
        <f>SUMIFS(T$3:T1265,L$3:L1265,"=Intermission")+SUMIFS(T$3:T1265,L$3:L1265,"=Timeout")+SUMIFS(T$3:T1265,L$3:L1265,"=Clockstop")</f>
        <v>68</v>
      </c>
      <c r="AA1265">
        <f t="shared" si="225"/>
        <v>1148</v>
      </c>
      <c r="AC1265">
        <f t="shared" si="226"/>
        <v>1216</v>
      </c>
    </row>
    <row r="1266" spans="1:29" x14ac:dyDescent="0.2">
      <c r="A1266">
        <v>674</v>
      </c>
      <c r="D1266">
        <f t="shared" si="227"/>
        <v>2</v>
      </c>
      <c r="E1266">
        <v>8</v>
      </c>
      <c r="F1266" s="6" t="s">
        <v>445</v>
      </c>
      <c r="G1266">
        <v>8</v>
      </c>
      <c r="H1266" s="8" t="s">
        <v>446</v>
      </c>
      <c r="I1266" t="s">
        <v>178</v>
      </c>
      <c r="J1266">
        <v>52</v>
      </c>
      <c r="K1266" t="s">
        <v>488</v>
      </c>
      <c r="L1266" t="s">
        <v>15</v>
      </c>
      <c r="Q1266">
        <f t="shared" si="233"/>
        <v>18977</v>
      </c>
      <c r="R1266" t="str">
        <f t="shared" si="233"/>
        <v>Velodrome</v>
      </c>
      <c r="S1266" t="str">
        <f t="shared" si="233"/>
        <v>HollowBrook</v>
      </c>
      <c r="T1266" s="20">
        <f t="shared" si="228"/>
        <v>2</v>
      </c>
      <c r="U1266">
        <f t="shared" si="229"/>
        <v>499</v>
      </c>
      <c r="V1266">
        <f t="shared" si="230"/>
        <v>497</v>
      </c>
      <c r="W1266" cm="1">
        <f t="array" ref="W1266">_xlfn._xlws.FILTER(shifts!A:A,(shifts!B:B=events!D1266)*(shifts!AH:AH&gt;=events!U1266)*(shifts!AI:AI&lt;=events!V1266))</f>
        <v>45</v>
      </c>
      <c r="X1266" t="str">
        <f t="shared" si="224"/>
        <v>event_team_player_1</v>
      </c>
      <c r="Y1266">
        <f>COUNTIFS(A$3:A1266,"="&amp;A1266,K$3:K1266,"="&amp;K1266)</f>
        <v>1</v>
      </c>
      <c r="Z1266" s="20">
        <f>SUMIFS(T$3:T1266,L$3:L1266,"=Intermission")+SUMIFS(T$3:T1266,L$3:L1266,"=Timeout")+SUMIFS(T$3:T1266,L$3:L1266,"=Clockstop")</f>
        <v>68</v>
      </c>
      <c r="AA1266">
        <f t="shared" si="225"/>
        <v>1148</v>
      </c>
      <c r="AC1266">
        <f t="shared" si="226"/>
        <v>1216</v>
      </c>
    </row>
    <row r="1267" spans="1:29" x14ac:dyDescent="0.2">
      <c r="A1267">
        <v>675</v>
      </c>
      <c r="D1267">
        <f t="shared" si="227"/>
        <v>2</v>
      </c>
      <c r="E1267">
        <v>8</v>
      </c>
      <c r="F1267" s="6" t="s">
        <v>446</v>
      </c>
      <c r="I1267" t="s">
        <v>178</v>
      </c>
      <c r="J1267">
        <v>52</v>
      </c>
      <c r="K1267" t="s">
        <v>488</v>
      </c>
      <c r="L1267" t="s">
        <v>8</v>
      </c>
      <c r="M1267" t="s">
        <v>189</v>
      </c>
      <c r="N1267" t="s">
        <v>70</v>
      </c>
      <c r="Q1267">
        <f t="shared" si="233"/>
        <v>18977</v>
      </c>
      <c r="R1267" t="str">
        <f t="shared" si="233"/>
        <v>Velodrome</v>
      </c>
      <c r="S1267" t="str">
        <f t="shared" si="233"/>
        <v>HollowBrook</v>
      </c>
      <c r="T1267" s="20">
        <f t="shared" si="228"/>
        <v>0</v>
      </c>
      <c r="U1267">
        <f t="shared" si="229"/>
        <v>497</v>
      </c>
      <c r="V1267">
        <f t="shared" si="230"/>
        <v>497</v>
      </c>
      <c r="W1267" cm="1">
        <f t="array" ref="W1267">_xlfn._xlws.FILTER(shifts!A:A,(shifts!B:B=events!D1267)*(shifts!AH:AH&gt;=events!U1267)*(shifts!AI:AI&lt;=events!V1267))</f>
        <v>45</v>
      </c>
      <c r="X1267" t="str">
        <f t="shared" si="224"/>
        <v>event_team_player_1</v>
      </c>
      <c r="Y1267">
        <f>COUNTIFS(A$3:A1267,"="&amp;A1267,K$3:K1267,"="&amp;K1267)</f>
        <v>1</v>
      </c>
      <c r="Z1267" s="20">
        <f>SUMIFS(T$3:T1267,L$3:L1267,"=Intermission")+SUMIFS(T$3:T1267,L$3:L1267,"=Timeout")+SUMIFS(T$3:T1267,L$3:L1267,"=Clockstop")</f>
        <v>68</v>
      </c>
      <c r="AA1267">
        <f t="shared" si="225"/>
        <v>1148</v>
      </c>
      <c r="AC1267">
        <f t="shared" si="226"/>
        <v>1216</v>
      </c>
    </row>
    <row r="1268" spans="1:29" x14ac:dyDescent="0.2">
      <c r="A1268">
        <v>675</v>
      </c>
      <c r="D1268">
        <f t="shared" si="227"/>
        <v>2</v>
      </c>
      <c r="E1268">
        <v>8</v>
      </c>
      <c r="F1268" s="6" t="s">
        <v>446</v>
      </c>
      <c r="I1268" t="s">
        <v>178</v>
      </c>
      <c r="J1268">
        <v>70</v>
      </c>
      <c r="K1268" t="s">
        <v>488</v>
      </c>
      <c r="L1268" t="s">
        <v>8</v>
      </c>
      <c r="M1268" t="s">
        <v>189</v>
      </c>
      <c r="N1268" t="s">
        <v>70</v>
      </c>
      <c r="Q1268">
        <f t="shared" si="233"/>
        <v>18977</v>
      </c>
      <c r="R1268" t="str">
        <f t="shared" si="233"/>
        <v>Velodrome</v>
      </c>
      <c r="S1268" t="str">
        <f t="shared" si="233"/>
        <v>HollowBrook</v>
      </c>
      <c r="T1268" s="20">
        <f t="shared" si="228"/>
        <v>0</v>
      </c>
      <c r="U1268">
        <f t="shared" si="229"/>
        <v>497</v>
      </c>
      <c r="V1268">
        <f t="shared" si="230"/>
        <v>497</v>
      </c>
      <c r="W1268" cm="1">
        <f t="array" ref="W1268">_xlfn._xlws.FILTER(shifts!A:A,(shifts!B:B=events!D1268)*(shifts!AH:AH&gt;=events!U1268)*(shifts!AI:AI&lt;=events!V1268))</f>
        <v>45</v>
      </c>
      <c r="X1268" t="str">
        <f t="shared" si="224"/>
        <v>event_team_player_2</v>
      </c>
      <c r="Y1268">
        <f>COUNTIFS(A$3:A1268,"="&amp;A1268,K$3:K1268,"="&amp;K1268)</f>
        <v>2</v>
      </c>
      <c r="Z1268" s="20">
        <f>SUMIFS(T$3:T1268,L$3:L1268,"=Intermission")+SUMIFS(T$3:T1268,L$3:L1268,"=Timeout")+SUMIFS(T$3:T1268,L$3:L1268,"=Clockstop")</f>
        <v>68</v>
      </c>
      <c r="AA1268">
        <f t="shared" si="225"/>
        <v>1148</v>
      </c>
      <c r="AC1268">
        <f t="shared" si="226"/>
        <v>1216</v>
      </c>
    </row>
    <row r="1269" spans="1:29" x14ac:dyDescent="0.2">
      <c r="A1269">
        <v>676</v>
      </c>
      <c r="D1269">
        <f t="shared" si="227"/>
        <v>2</v>
      </c>
      <c r="E1269">
        <v>8</v>
      </c>
      <c r="F1269" s="6" t="s">
        <v>446</v>
      </c>
      <c r="G1269">
        <v>8</v>
      </c>
      <c r="H1269" s="8" t="s">
        <v>423</v>
      </c>
      <c r="I1269" t="s">
        <v>178</v>
      </c>
      <c r="J1269">
        <v>70</v>
      </c>
      <c r="K1269" t="s">
        <v>488</v>
      </c>
      <c r="L1269" t="s">
        <v>15</v>
      </c>
      <c r="Q1269">
        <f t="shared" si="233"/>
        <v>18977</v>
      </c>
      <c r="R1269" t="str">
        <f t="shared" si="233"/>
        <v>Velodrome</v>
      </c>
      <c r="S1269" t="str">
        <f t="shared" si="233"/>
        <v>HollowBrook</v>
      </c>
      <c r="T1269" s="20">
        <f t="shared" si="228"/>
        <v>3</v>
      </c>
      <c r="U1269">
        <f t="shared" si="229"/>
        <v>497</v>
      </c>
      <c r="V1269">
        <f t="shared" si="230"/>
        <v>494</v>
      </c>
      <c r="W1269" cm="1">
        <f t="array" ref="W1269">_xlfn._xlws.FILTER(shifts!A:A,(shifts!B:B=events!D1269)*(shifts!AH:AH&gt;=events!U1269)*(shifts!AI:AI&lt;=events!V1269))</f>
        <v>45</v>
      </c>
      <c r="X1269" t="str">
        <f t="shared" si="224"/>
        <v>event_team_player_1</v>
      </c>
      <c r="Y1269">
        <f>COUNTIFS(A$3:A1269,"="&amp;A1269,K$3:K1269,"="&amp;K1269)</f>
        <v>1</v>
      </c>
      <c r="Z1269" s="20">
        <f>SUMIFS(T$3:T1269,L$3:L1269,"=Intermission")+SUMIFS(T$3:T1269,L$3:L1269,"=Timeout")+SUMIFS(T$3:T1269,L$3:L1269,"=Clockstop")</f>
        <v>68</v>
      </c>
      <c r="AA1269">
        <f t="shared" si="225"/>
        <v>1148</v>
      </c>
      <c r="AC1269">
        <f t="shared" si="226"/>
        <v>1216</v>
      </c>
    </row>
    <row r="1270" spans="1:29" x14ac:dyDescent="0.2">
      <c r="A1270">
        <v>677</v>
      </c>
      <c r="D1270">
        <f t="shared" si="227"/>
        <v>2</v>
      </c>
      <c r="E1270">
        <v>8</v>
      </c>
      <c r="F1270" s="6" t="s">
        <v>449</v>
      </c>
      <c r="G1270">
        <v>8</v>
      </c>
      <c r="H1270" s="8" t="s">
        <v>425</v>
      </c>
      <c r="I1270" t="s">
        <v>178</v>
      </c>
      <c r="J1270">
        <v>14</v>
      </c>
      <c r="K1270" t="s">
        <v>488</v>
      </c>
      <c r="L1270" t="s">
        <v>15</v>
      </c>
      <c r="Q1270">
        <f t="shared" ref="Q1270:S1285" si="234">Q1269</f>
        <v>18977</v>
      </c>
      <c r="R1270" t="str">
        <f t="shared" si="234"/>
        <v>Velodrome</v>
      </c>
      <c r="S1270" t="str">
        <f t="shared" si="234"/>
        <v>HollowBrook</v>
      </c>
      <c r="T1270" s="20">
        <f t="shared" si="228"/>
        <v>2</v>
      </c>
      <c r="U1270">
        <f t="shared" si="229"/>
        <v>492</v>
      </c>
      <c r="V1270">
        <f t="shared" si="230"/>
        <v>490</v>
      </c>
      <c r="W1270" cm="1">
        <f t="array" ref="W1270">_xlfn._xlws.FILTER(shifts!A:A,(shifts!B:B=events!D1270)*(shifts!AH:AH&gt;=events!U1270)*(shifts!AI:AI&lt;=events!V1270))</f>
        <v>45</v>
      </c>
      <c r="X1270" t="str">
        <f t="shared" ref="X1270:X1333" si="235">IF(K1270="e","event_team_player_"&amp;Y1270,IF(K1270="o","opp_team_player_"&amp;Y1270,""))</f>
        <v>event_team_player_1</v>
      </c>
      <c r="Y1270">
        <f>COUNTIFS(A$3:A1270,"="&amp;A1270,K$3:K1270,"="&amp;K1270)</f>
        <v>1</v>
      </c>
      <c r="Z1270" s="20">
        <f>SUMIFS(T$3:T1270,L$3:L1270,"=Intermission")+SUMIFS(T$3:T1270,L$3:L1270,"=Timeout")+SUMIFS(T$3:T1270,L$3:L1270,"=Clockstop")</f>
        <v>68</v>
      </c>
      <c r="AA1270">
        <f t="shared" si="225"/>
        <v>1148</v>
      </c>
      <c r="AC1270">
        <f t="shared" si="226"/>
        <v>1216</v>
      </c>
    </row>
    <row r="1271" spans="1:29" x14ac:dyDescent="0.2">
      <c r="A1271">
        <v>678</v>
      </c>
      <c r="D1271">
        <f t="shared" si="227"/>
        <v>2</v>
      </c>
      <c r="E1271">
        <v>8</v>
      </c>
      <c r="F1271" s="6" t="s">
        <v>425</v>
      </c>
      <c r="I1271" t="s">
        <v>178</v>
      </c>
      <c r="J1271">
        <v>14</v>
      </c>
      <c r="K1271" t="s">
        <v>488</v>
      </c>
      <c r="L1271" t="s">
        <v>8</v>
      </c>
      <c r="M1271" t="s">
        <v>189</v>
      </c>
      <c r="N1271" t="s">
        <v>70</v>
      </c>
      <c r="Q1271">
        <f t="shared" si="234"/>
        <v>18977</v>
      </c>
      <c r="R1271" t="str">
        <f t="shared" si="234"/>
        <v>Velodrome</v>
      </c>
      <c r="S1271" t="str">
        <f t="shared" si="234"/>
        <v>HollowBrook</v>
      </c>
      <c r="T1271" s="20">
        <f t="shared" si="228"/>
        <v>0</v>
      </c>
      <c r="U1271">
        <f t="shared" si="229"/>
        <v>490</v>
      </c>
      <c r="V1271">
        <f t="shared" si="230"/>
        <v>490</v>
      </c>
      <c r="W1271" cm="1">
        <f t="array" ref="W1271">_xlfn._xlws.FILTER(shifts!A:A,(shifts!B:B=events!D1271)*(shifts!AH:AH&gt;=events!U1271)*(shifts!AI:AI&lt;=events!V1271))</f>
        <v>45</v>
      </c>
      <c r="X1271" t="str">
        <f t="shared" si="235"/>
        <v>event_team_player_1</v>
      </c>
      <c r="Y1271">
        <f>COUNTIFS(A$3:A1271,"="&amp;A1271,K$3:K1271,"="&amp;K1271)</f>
        <v>1</v>
      </c>
      <c r="Z1271" s="20">
        <f>SUMIFS(T$3:T1271,L$3:L1271,"=Intermission")+SUMIFS(T$3:T1271,L$3:L1271,"=Timeout")+SUMIFS(T$3:T1271,L$3:L1271,"=Clockstop")</f>
        <v>68</v>
      </c>
      <c r="AA1271">
        <f t="shared" si="225"/>
        <v>1148</v>
      </c>
      <c r="AC1271">
        <f t="shared" si="226"/>
        <v>1216</v>
      </c>
    </row>
    <row r="1272" spans="1:29" x14ac:dyDescent="0.2">
      <c r="A1272">
        <v>678</v>
      </c>
      <c r="D1272">
        <f t="shared" si="227"/>
        <v>2</v>
      </c>
      <c r="E1272">
        <v>8</v>
      </c>
      <c r="F1272" s="6" t="s">
        <v>425</v>
      </c>
      <c r="I1272" t="s">
        <v>178</v>
      </c>
      <c r="J1272">
        <v>52</v>
      </c>
      <c r="K1272" t="s">
        <v>488</v>
      </c>
      <c r="L1272" t="s">
        <v>8</v>
      </c>
      <c r="M1272" t="s">
        <v>189</v>
      </c>
      <c r="N1272" t="s">
        <v>70</v>
      </c>
      <c r="Q1272">
        <f t="shared" si="234"/>
        <v>18977</v>
      </c>
      <c r="R1272" t="str">
        <f t="shared" si="234"/>
        <v>Velodrome</v>
      </c>
      <c r="S1272" t="str">
        <f t="shared" si="234"/>
        <v>HollowBrook</v>
      </c>
      <c r="T1272" s="20">
        <f t="shared" si="228"/>
        <v>0</v>
      </c>
      <c r="U1272">
        <f t="shared" si="229"/>
        <v>490</v>
      </c>
      <c r="V1272">
        <f t="shared" si="230"/>
        <v>490</v>
      </c>
      <c r="W1272" cm="1">
        <f t="array" ref="W1272">_xlfn._xlws.FILTER(shifts!A:A,(shifts!B:B=events!D1272)*(shifts!AH:AH&gt;=events!U1272)*(shifts!AI:AI&lt;=events!V1272))</f>
        <v>45</v>
      </c>
      <c r="X1272" t="str">
        <f t="shared" si="235"/>
        <v>event_team_player_2</v>
      </c>
      <c r="Y1272">
        <f>COUNTIFS(A$3:A1272,"="&amp;A1272,K$3:K1272,"="&amp;K1272)</f>
        <v>2</v>
      </c>
      <c r="Z1272" s="20">
        <f>SUMIFS(T$3:T1272,L$3:L1272,"=Intermission")+SUMIFS(T$3:T1272,L$3:L1272,"=Timeout")+SUMIFS(T$3:T1272,L$3:L1272,"=Clockstop")</f>
        <v>68</v>
      </c>
      <c r="AA1272">
        <f t="shared" si="225"/>
        <v>1148</v>
      </c>
      <c r="AC1272">
        <f t="shared" si="226"/>
        <v>1216</v>
      </c>
    </row>
    <row r="1273" spans="1:29" x14ac:dyDescent="0.2">
      <c r="A1273">
        <v>679</v>
      </c>
      <c r="D1273">
        <f t="shared" si="227"/>
        <v>2</v>
      </c>
      <c r="E1273">
        <v>8</v>
      </c>
      <c r="F1273" s="6" t="s">
        <v>425</v>
      </c>
      <c r="G1273">
        <v>8</v>
      </c>
      <c r="H1273" s="8" t="s">
        <v>313</v>
      </c>
      <c r="I1273" t="s">
        <v>178</v>
      </c>
      <c r="J1273">
        <v>52</v>
      </c>
      <c r="K1273" t="s">
        <v>488</v>
      </c>
      <c r="L1273" t="s">
        <v>15</v>
      </c>
      <c r="Q1273">
        <f t="shared" si="234"/>
        <v>18977</v>
      </c>
      <c r="R1273" t="str">
        <f t="shared" si="234"/>
        <v>Velodrome</v>
      </c>
      <c r="S1273" t="str">
        <f t="shared" si="234"/>
        <v>HollowBrook</v>
      </c>
      <c r="T1273" s="20">
        <f t="shared" si="228"/>
        <v>2</v>
      </c>
      <c r="U1273">
        <f t="shared" si="229"/>
        <v>490</v>
      </c>
      <c r="V1273">
        <f t="shared" si="230"/>
        <v>488</v>
      </c>
      <c r="W1273" cm="1">
        <f t="array" ref="W1273">_xlfn._xlws.FILTER(shifts!A:A,(shifts!B:B=events!D1273)*(shifts!AH:AH&gt;=events!U1273)*(shifts!AI:AI&lt;=events!V1273))</f>
        <v>45</v>
      </c>
      <c r="X1273" t="str">
        <f t="shared" si="235"/>
        <v>event_team_player_1</v>
      </c>
      <c r="Y1273">
        <f>COUNTIFS(A$3:A1273,"="&amp;A1273,K$3:K1273,"="&amp;K1273)</f>
        <v>1</v>
      </c>
      <c r="Z1273" s="20">
        <f>SUMIFS(T$3:T1273,L$3:L1273,"=Intermission")+SUMIFS(T$3:T1273,L$3:L1273,"=Timeout")+SUMIFS(T$3:T1273,L$3:L1273,"=Clockstop")</f>
        <v>68</v>
      </c>
      <c r="AA1273">
        <f t="shared" si="225"/>
        <v>1148</v>
      </c>
      <c r="AC1273">
        <f t="shared" si="226"/>
        <v>1216</v>
      </c>
    </row>
    <row r="1274" spans="1:29" x14ac:dyDescent="0.2">
      <c r="A1274">
        <v>680</v>
      </c>
      <c r="D1274">
        <f t="shared" si="227"/>
        <v>2</v>
      </c>
      <c r="E1274">
        <v>8</v>
      </c>
      <c r="F1274" s="6" t="s">
        <v>313</v>
      </c>
      <c r="I1274" t="s">
        <v>178</v>
      </c>
      <c r="J1274">
        <v>52</v>
      </c>
      <c r="K1274" t="s">
        <v>488</v>
      </c>
      <c r="L1274" t="s">
        <v>277</v>
      </c>
      <c r="M1274" t="s">
        <v>191</v>
      </c>
      <c r="N1274" t="s">
        <v>89</v>
      </c>
      <c r="Q1274">
        <f t="shared" si="234"/>
        <v>18977</v>
      </c>
      <c r="R1274" t="str">
        <f t="shared" si="234"/>
        <v>Velodrome</v>
      </c>
      <c r="S1274" t="str">
        <f t="shared" si="234"/>
        <v>HollowBrook</v>
      </c>
      <c r="T1274" s="20">
        <f t="shared" si="228"/>
        <v>0</v>
      </c>
      <c r="U1274">
        <f t="shared" si="229"/>
        <v>488</v>
      </c>
      <c r="V1274">
        <f t="shared" si="230"/>
        <v>488</v>
      </c>
      <c r="W1274" cm="1">
        <f t="array" ref="W1274">_xlfn._xlws.FILTER(shifts!A:A,(shifts!B:B=events!D1274)*(shifts!AH:AH&gt;=events!U1274)*(shifts!AI:AI&lt;=events!V1274))</f>
        <v>45</v>
      </c>
      <c r="X1274" t="str">
        <f t="shared" si="235"/>
        <v>event_team_player_1</v>
      </c>
      <c r="Y1274">
        <f>COUNTIFS(A$3:A1274,"="&amp;A1274,K$3:K1274,"="&amp;K1274)</f>
        <v>1</v>
      </c>
      <c r="Z1274" s="20">
        <f>SUMIFS(T$3:T1274,L$3:L1274,"=Intermission")+SUMIFS(T$3:T1274,L$3:L1274,"=Timeout")+SUMIFS(T$3:T1274,L$3:L1274,"=Clockstop")</f>
        <v>68</v>
      </c>
      <c r="AA1274">
        <f t="shared" si="225"/>
        <v>1148</v>
      </c>
      <c r="AC1274">
        <f t="shared" si="226"/>
        <v>1216</v>
      </c>
    </row>
    <row r="1275" spans="1:29" x14ac:dyDescent="0.2">
      <c r="A1275">
        <v>681</v>
      </c>
      <c r="D1275">
        <f t="shared" si="227"/>
        <v>2</v>
      </c>
      <c r="E1275">
        <v>8</v>
      </c>
      <c r="F1275" s="6" t="s">
        <v>313</v>
      </c>
      <c r="I1275" t="s">
        <v>178</v>
      </c>
      <c r="J1275">
        <v>52</v>
      </c>
      <c r="K1275" t="s">
        <v>488</v>
      </c>
      <c r="L1275" t="s">
        <v>10</v>
      </c>
      <c r="M1275" t="s">
        <v>190</v>
      </c>
      <c r="N1275" t="s">
        <v>460</v>
      </c>
      <c r="Q1275">
        <f t="shared" si="234"/>
        <v>18977</v>
      </c>
      <c r="R1275" t="str">
        <f t="shared" si="234"/>
        <v>Velodrome</v>
      </c>
      <c r="S1275" t="str">
        <f t="shared" si="234"/>
        <v>HollowBrook</v>
      </c>
      <c r="T1275" s="20">
        <f t="shared" si="228"/>
        <v>0</v>
      </c>
      <c r="U1275">
        <f t="shared" si="229"/>
        <v>488</v>
      </c>
      <c r="V1275">
        <f t="shared" si="230"/>
        <v>488</v>
      </c>
      <c r="W1275" cm="1">
        <f t="array" ref="W1275">_xlfn._xlws.FILTER(shifts!A:A,(shifts!B:B=events!D1275)*(shifts!AH:AH&gt;=events!U1275)*(shifts!AI:AI&lt;=events!V1275))</f>
        <v>45</v>
      </c>
      <c r="X1275" t="str">
        <f t="shared" si="235"/>
        <v>event_team_player_1</v>
      </c>
      <c r="Y1275">
        <f>COUNTIFS(A$3:A1275,"="&amp;A1275,K$3:K1275,"="&amp;K1275)</f>
        <v>1</v>
      </c>
      <c r="Z1275" s="20">
        <f>SUMIFS(T$3:T1275,L$3:L1275,"=Intermission")+SUMIFS(T$3:T1275,L$3:L1275,"=Timeout")+SUMIFS(T$3:T1275,L$3:L1275,"=Clockstop")</f>
        <v>68</v>
      </c>
      <c r="AA1275">
        <f t="shared" si="225"/>
        <v>1148</v>
      </c>
      <c r="AC1275">
        <f t="shared" si="226"/>
        <v>1216</v>
      </c>
    </row>
    <row r="1276" spans="1:29" x14ac:dyDescent="0.2">
      <c r="A1276">
        <v>682</v>
      </c>
      <c r="D1276">
        <f t="shared" si="227"/>
        <v>2</v>
      </c>
      <c r="E1276">
        <v>8</v>
      </c>
      <c r="F1276" s="6" t="s">
        <v>316</v>
      </c>
      <c r="I1276" t="s">
        <v>179</v>
      </c>
      <c r="J1276">
        <v>5</v>
      </c>
      <c r="K1276" t="s">
        <v>488</v>
      </c>
      <c r="L1276" t="s">
        <v>8</v>
      </c>
      <c r="M1276" t="s">
        <v>189</v>
      </c>
      <c r="N1276" t="s">
        <v>71</v>
      </c>
      <c r="Q1276">
        <f t="shared" si="234"/>
        <v>18977</v>
      </c>
      <c r="R1276" t="str">
        <f t="shared" si="234"/>
        <v>Velodrome</v>
      </c>
      <c r="S1276" t="str">
        <f t="shared" si="234"/>
        <v>HollowBrook</v>
      </c>
      <c r="T1276" s="20">
        <f t="shared" si="228"/>
        <v>0</v>
      </c>
      <c r="U1276">
        <f t="shared" si="229"/>
        <v>482</v>
      </c>
      <c r="V1276">
        <f t="shared" si="230"/>
        <v>482</v>
      </c>
      <c r="W1276" cm="1">
        <f t="array" ref="W1276">_xlfn._xlws.FILTER(shifts!A:A,(shifts!B:B=events!D1276)*(shifts!AH:AH&gt;=events!U1276)*(shifts!AI:AI&lt;=events!V1276))</f>
        <v>45</v>
      </c>
      <c r="X1276" t="str">
        <f t="shared" si="235"/>
        <v>event_team_player_1</v>
      </c>
      <c r="Y1276">
        <f>COUNTIFS(A$3:A1276,"="&amp;A1276,K$3:K1276,"="&amp;K1276)</f>
        <v>1</v>
      </c>
      <c r="Z1276" s="20">
        <f>SUMIFS(T$3:T1276,L$3:L1276,"=Intermission")+SUMIFS(T$3:T1276,L$3:L1276,"=Timeout")+SUMIFS(T$3:T1276,L$3:L1276,"=Clockstop")</f>
        <v>68</v>
      </c>
      <c r="AA1276">
        <f t="shared" si="225"/>
        <v>1148</v>
      </c>
      <c r="AC1276">
        <f t="shared" si="226"/>
        <v>1216</v>
      </c>
    </row>
    <row r="1277" spans="1:29" x14ac:dyDescent="0.2">
      <c r="A1277">
        <v>682</v>
      </c>
      <c r="D1277">
        <f t="shared" si="227"/>
        <v>2</v>
      </c>
      <c r="E1277">
        <v>8</v>
      </c>
      <c r="F1277" s="6" t="s">
        <v>316</v>
      </c>
      <c r="I1277" t="s">
        <v>179</v>
      </c>
      <c r="J1277">
        <v>22</v>
      </c>
      <c r="K1277" t="s">
        <v>488</v>
      </c>
      <c r="L1277" t="s">
        <v>8</v>
      </c>
      <c r="M1277" t="s">
        <v>189</v>
      </c>
      <c r="N1277" t="s">
        <v>71</v>
      </c>
      <c r="Q1277">
        <f t="shared" si="234"/>
        <v>18977</v>
      </c>
      <c r="R1277" t="str">
        <f t="shared" si="234"/>
        <v>Velodrome</v>
      </c>
      <c r="S1277" t="str">
        <f t="shared" si="234"/>
        <v>HollowBrook</v>
      </c>
      <c r="T1277" s="20">
        <f t="shared" si="228"/>
        <v>0</v>
      </c>
      <c r="U1277">
        <f t="shared" si="229"/>
        <v>482</v>
      </c>
      <c r="V1277">
        <f t="shared" si="230"/>
        <v>482</v>
      </c>
      <c r="W1277" cm="1">
        <f t="array" ref="W1277">_xlfn._xlws.FILTER(shifts!A:A,(shifts!B:B=events!D1277)*(shifts!AH:AH&gt;=events!U1277)*(shifts!AI:AI&lt;=events!V1277))</f>
        <v>45</v>
      </c>
      <c r="X1277" t="str">
        <f t="shared" si="235"/>
        <v>event_team_player_2</v>
      </c>
      <c r="Y1277">
        <f>COUNTIFS(A$3:A1277,"="&amp;A1277,K$3:K1277,"="&amp;K1277)</f>
        <v>2</v>
      </c>
      <c r="Z1277" s="20">
        <f>SUMIFS(T$3:T1277,L$3:L1277,"=Intermission")+SUMIFS(T$3:T1277,L$3:L1277,"=Timeout")+SUMIFS(T$3:T1277,L$3:L1277,"=Clockstop")</f>
        <v>68</v>
      </c>
      <c r="AA1277">
        <f t="shared" si="225"/>
        <v>1148</v>
      </c>
      <c r="AC1277">
        <f t="shared" si="226"/>
        <v>1216</v>
      </c>
    </row>
    <row r="1278" spans="1:29" x14ac:dyDescent="0.2">
      <c r="A1278">
        <v>683</v>
      </c>
      <c r="D1278">
        <f t="shared" si="227"/>
        <v>2</v>
      </c>
      <c r="E1278">
        <v>8</v>
      </c>
      <c r="F1278" s="6" t="s">
        <v>316</v>
      </c>
      <c r="I1278" t="s">
        <v>178</v>
      </c>
      <c r="J1278">
        <v>9</v>
      </c>
      <c r="K1278" t="s">
        <v>488</v>
      </c>
      <c r="L1278" t="s">
        <v>10</v>
      </c>
      <c r="M1278" t="s">
        <v>200</v>
      </c>
      <c r="N1278" t="s">
        <v>81</v>
      </c>
      <c r="Q1278">
        <f t="shared" si="234"/>
        <v>18977</v>
      </c>
      <c r="R1278" t="str">
        <f t="shared" si="234"/>
        <v>Velodrome</v>
      </c>
      <c r="S1278" t="str">
        <f t="shared" si="234"/>
        <v>HollowBrook</v>
      </c>
      <c r="T1278" s="20">
        <f t="shared" si="228"/>
        <v>0</v>
      </c>
      <c r="U1278">
        <f t="shared" si="229"/>
        <v>482</v>
      </c>
      <c r="V1278">
        <f t="shared" si="230"/>
        <v>482</v>
      </c>
      <c r="W1278" cm="1">
        <f t="array" ref="W1278">_xlfn._xlws.FILTER(shifts!A:A,(shifts!B:B=events!D1278)*(shifts!AH:AH&gt;=events!U1278)*(shifts!AI:AI&lt;=events!V1278))</f>
        <v>45</v>
      </c>
      <c r="X1278" t="str">
        <f t="shared" si="235"/>
        <v>event_team_player_1</v>
      </c>
      <c r="Y1278">
        <f>COUNTIFS(A$3:A1278,"="&amp;A1278,K$3:K1278,"="&amp;K1278)</f>
        <v>1</v>
      </c>
      <c r="Z1278" s="20">
        <f>SUMIFS(T$3:T1278,L$3:L1278,"=Intermission")+SUMIFS(T$3:T1278,L$3:L1278,"=Timeout")+SUMIFS(T$3:T1278,L$3:L1278,"=Clockstop")</f>
        <v>68</v>
      </c>
      <c r="AA1278">
        <f t="shared" si="225"/>
        <v>1148</v>
      </c>
      <c r="AC1278">
        <f t="shared" si="226"/>
        <v>1216</v>
      </c>
    </row>
    <row r="1279" spans="1:29" x14ac:dyDescent="0.2">
      <c r="A1279">
        <v>683</v>
      </c>
      <c r="D1279">
        <f t="shared" si="227"/>
        <v>2</v>
      </c>
      <c r="E1279">
        <v>8</v>
      </c>
      <c r="F1279" s="6" t="s">
        <v>316</v>
      </c>
      <c r="I1279" t="s">
        <v>178</v>
      </c>
      <c r="J1279">
        <v>22</v>
      </c>
      <c r="K1279" t="s">
        <v>489</v>
      </c>
      <c r="L1279" t="s">
        <v>10</v>
      </c>
      <c r="M1279" t="s">
        <v>200</v>
      </c>
      <c r="N1279" t="s">
        <v>81</v>
      </c>
      <c r="Q1279">
        <f t="shared" si="234"/>
        <v>18977</v>
      </c>
      <c r="R1279" t="str">
        <f t="shared" si="234"/>
        <v>Velodrome</v>
      </c>
      <c r="S1279" t="str">
        <f t="shared" si="234"/>
        <v>HollowBrook</v>
      </c>
      <c r="T1279" s="20">
        <f t="shared" si="228"/>
        <v>0</v>
      </c>
      <c r="U1279">
        <f t="shared" si="229"/>
        <v>482</v>
      </c>
      <c r="V1279">
        <f t="shared" si="230"/>
        <v>482</v>
      </c>
      <c r="W1279" cm="1">
        <f t="array" ref="W1279">_xlfn._xlws.FILTER(shifts!A:A,(shifts!B:B=events!D1279)*(shifts!AH:AH&gt;=events!U1279)*(shifts!AI:AI&lt;=events!V1279))</f>
        <v>45</v>
      </c>
      <c r="X1279" t="str">
        <f t="shared" si="235"/>
        <v>opp_team_player_1</v>
      </c>
      <c r="Y1279">
        <f>COUNTIFS(A$3:A1279,"="&amp;A1279,K$3:K1279,"="&amp;K1279)</f>
        <v>1</v>
      </c>
      <c r="Z1279" s="20">
        <f>SUMIFS(T$3:T1279,L$3:L1279,"=Intermission")+SUMIFS(T$3:T1279,L$3:L1279,"=Timeout")+SUMIFS(T$3:T1279,L$3:L1279,"=Clockstop")</f>
        <v>68</v>
      </c>
      <c r="AA1279">
        <f t="shared" si="225"/>
        <v>1148</v>
      </c>
      <c r="AC1279">
        <f t="shared" si="226"/>
        <v>1216</v>
      </c>
    </row>
    <row r="1280" spans="1:29" x14ac:dyDescent="0.2">
      <c r="A1280">
        <v>684</v>
      </c>
      <c r="D1280">
        <f t="shared" si="227"/>
        <v>2</v>
      </c>
      <c r="E1280">
        <v>8</v>
      </c>
      <c r="F1280" s="6" t="s">
        <v>316</v>
      </c>
      <c r="I1280" t="s">
        <v>178</v>
      </c>
      <c r="J1280">
        <v>9</v>
      </c>
      <c r="K1280" t="s">
        <v>488</v>
      </c>
      <c r="L1280" t="s">
        <v>277</v>
      </c>
      <c r="M1280" t="s">
        <v>210</v>
      </c>
      <c r="N1280" t="s">
        <v>93</v>
      </c>
      <c r="Q1280">
        <f t="shared" si="234"/>
        <v>18977</v>
      </c>
      <c r="R1280" t="str">
        <f t="shared" si="234"/>
        <v>Velodrome</v>
      </c>
      <c r="S1280" t="str">
        <f t="shared" si="234"/>
        <v>HollowBrook</v>
      </c>
      <c r="T1280" s="20">
        <f t="shared" si="228"/>
        <v>0</v>
      </c>
      <c r="U1280">
        <f t="shared" si="229"/>
        <v>482</v>
      </c>
      <c r="V1280">
        <f t="shared" si="230"/>
        <v>482</v>
      </c>
      <c r="W1280" cm="1">
        <f t="array" ref="W1280">_xlfn._xlws.FILTER(shifts!A:A,(shifts!B:B=events!D1280)*(shifts!AH:AH&gt;=events!U1280)*(shifts!AI:AI&lt;=events!V1280))</f>
        <v>45</v>
      </c>
      <c r="X1280" t="str">
        <f t="shared" si="235"/>
        <v>event_team_player_1</v>
      </c>
      <c r="Y1280">
        <f>COUNTIFS(A$3:A1280,"="&amp;A1280,K$3:K1280,"="&amp;K1280)</f>
        <v>1</v>
      </c>
      <c r="Z1280" s="20">
        <f>SUMIFS(T$3:T1280,L$3:L1280,"=Intermission")+SUMIFS(T$3:T1280,L$3:L1280,"=Timeout")+SUMIFS(T$3:T1280,L$3:L1280,"=Clockstop")</f>
        <v>68</v>
      </c>
      <c r="AA1280">
        <f t="shared" si="225"/>
        <v>1148</v>
      </c>
      <c r="AC1280">
        <f t="shared" si="226"/>
        <v>1216</v>
      </c>
    </row>
    <row r="1281" spans="1:29" x14ac:dyDescent="0.2">
      <c r="A1281">
        <v>685</v>
      </c>
      <c r="D1281">
        <f t="shared" si="227"/>
        <v>2</v>
      </c>
      <c r="E1281">
        <v>8</v>
      </c>
      <c r="F1281" s="6" t="s">
        <v>426</v>
      </c>
      <c r="I1281" t="s">
        <v>178</v>
      </c>
      <c r="J1281">
        <v>9</v>
      </c>
      <c r="K1281" t="s">
        <v>488</v>
      </c>
      <c r="L1281" t="s">
        <v>8</v>
      </c>
      <c r="M1281" t="s">
        <v>189</v>
      </c>
      <c r="N1281" t="s">
        <v>70</v>
      </c>
      <c r="Q1281">
        <f t="shared" si="234"/>
        <v>18977</v>
      </c>
      <c r="R1281" t="str">
        <f t="shared" si="234"/>
        <v>Velodrome</v>
      </c>
      <c r="S1281" t="str">
        <f t="shared" si="234"/>
        <v>HollowBrook</v>
      </c>
      <c r="T1281" s="20">
        <f t="shared" si="228"/>
        <v>0</v>
      </c>
      <c r="U1281">
        <f t="shared" si="229"/>
        <v>480</v>
      </c>
      <c r="V1281">
        <f t="shared" si="230"/>
        <v>480</v>
      </c>
      <c r="W1281" cm="1">
        <f t="array" ref="W1281">_xlfn._xlws.FILTER(shifts!A:A,(shifts!B:B=events!D1281)*(shifts!AH:AH&gt;=events!U1281)*(shifts!AI:AI&lt;=events!V1281))</f>
        <v>45</v>
      </c>
      <c r="X1281" t="str">
        <f t="shared" si="235"/>
        <v>event_team_player_1</v>
      </c>
      <c r="Y1281">
        <f>COUNTIFS(A$3:A1281,"="&amp;A1281,K$3:K1281,"="&amp;K1281)</f>
        <v>1</v>
      </c>
      <c r="Z1281" s="20">
        <f>SUMIFS(T$3:T1281,L$3:L1281,"=Intermission")+SUMIFS(T$3:T1281,L$3:L1281,"=Timeout")+SUMIFS(T$3:T1281,L$3:L1281,"=Clockstop")</f>
        <v>68</v>
      </c>
      <c r="AA1281">
        <f t="shared" si="225"/>
        <v>1148</v>
      </c>
      <c r="AC1281">
        <f t="shared" si="226"/>
        <v>1216</v>
      </c>
    </row>
    <row r="1282" spans="1:29" x14ac:dyDescent="0.2">
      <c r="A1282">
        <v>685</v>
      </c>
      <c r="D1282">
        <f t="shared" si="227"/>
        <v>2</v>
      </c>
      <c r="E1282">
        <v>8</v>
      </c>
      <c r="F1282" s="6" t="s">
        <v>426</v>
      </c>
      <c r="I1282" t="s">
        <v>178</v>
      </c>
      <c r="J1282">
        <v>61</v>
      </c>
      <c r="K1282" t="s">
        <v>488</v>
      </c>
      <c r="L1282" t="s">
        <v>8</v>
      </c>
      <c r="M1282" t="s">
        <v>189</v>
      </c>
      <c r="N1282" t="s">
        <v>70</v>
      </c>
      <c r="Q1282">
        <f t="shared" si="234"/>
        <v>18977</v>
      </c>
      <c r="R1282" t="str">
        <f t="shared" si="234"/>
        <v>Velodrome</v>
      </c>
      <c r="S1282" t="str">
        <f t="shared" si="234"/>
        <v>HollowBrook</v>
      </c>
      <c r="T1282" s="20">
        <f t="shared" si="228"/>
        <v>0</v>
      </c>
      <c r="U1282">
        <f t="shared" si="229"/>
        <v>480</v>
      </c>
      <c r="V1282">
        <f t="shared" si="230"/>
        <v>480</v>
      </c>
      <c r="W1282" cm="1">
        <f t="array" ref="W1282">_xlfn._xlws.FILTER(shifts!A:A,(shifts!B:B=events!D1282)*(shifts!AH:AH&gt;=events!U1282)*(shifts!AI:AI&lt;=events!V1282))</f>
        <v>45</v>
      </c>
      <c r="X1282" t="str">
        <f t="shared" si="235"/>
        <v>event_team_player_2</v>
      </c>
      <c r="Y1282">
        <f>COUNTIFS(A$3:A1282,"="&amp;A1282,K$3:K1282,"="&amp;K1282)</f>
        <v>2</v>
      </c>
      <c r="Z1282" s="20">
        <f>SUMIFS(T$3:T1282,L$3:L1282,"=Intermission")+SUMIFS(T$3:T1282,L$3:L1282,"=Timeout")+SUMIFS(T$3:T1282,L$3:L1282,"=Clockstop")</f>
        <v>68</v>
      </c>
      <c r="AA1282">
        <f t="shared" si="225"/>
        <v>1148</v>
      </c>
      <c r="AC1282">
        <f t="shared" si="226"/>
        <v>1216</v>
      </c>
    </row>
    <row r="1283" spans="1:29" x14ac:dyDescent="0.2">
      <c r="A1283">
        <v>685</v>
      </c>
      <c r="D1283">
        <f t="shared" si="227"/>
        <v>2</v>
      </c>
      <c r="E1283">
        <v>8</v>
      </c>
      <c r="F1283" s="6" t="s">
        <v>426</v>
      </c>
      <c r="I1283" t="s">
        <v>178</v>
      </c>
      <c r="J1283">
        <v>27</v>
      </c>
      <c r="K1283" t="s">
        <v>489</v>
      </c>
      <c r="L1283" t="s">
        <v>8</v>
      </c>
      <c r="M1283" t="s">
        <v>189</v>
      </c>
      <c r="N1283" t="s">
        <v>70</v>
      </c>
      <c r="Q1283">
        <f t="shared" si="234"/>
        <v>18977</v>
      </c>
      <c r="R1283" t="str">
        <f t="shared" si="234"/>
        <v>Velodrome</v>
      </c>
      <c r="S1283" t="str">
        <f t="shared" si="234"/>
        <v>HollowBrook</v>
      </c>
      <c r="T1283" s="20">
        <f t="shared" si="228"/>
        <v>0</v>
      </c>
      <c r="U1283">
        <f t="shared" si="229"/>
        <v>480</v>
      </c>
      <c r="V1283">
        <f t="shared" si="230"/>
        <v>480</v>
      </c>
      <c r="W1283" cm="1">
        <f t="array" ref="W1283">_xlfn._xlws.FILTER(shifts!A:A,(shifts!B:B=events!D1283)*(shifts!AH:AH&gt;=events!U1283)*(shifts!AI:AI&lt;=events!V1283))</f>
        <v>45</v>
      </c>
      <c r="X1283" t="str">
        <f t="shared" si="235"/>
        <v>opp_team_player_1</v>
      </c>
      <c r="Y1283">
        <f>COUNTIFS(A$3:A1283,"="&amp;A1283,K$3:K1283,"="&amp;K1283)</f>
        <v>1</v>
      </c>
      <c r="Z1283" s="20">
        <f>SUMIFS(T$3:T1283,L$3:L1283,"=Intermission")+SUMIFS(T$3:T1283,L$3:L1283,"=Timeout")+SUMIFS(T$3:T1283,L$3:L1283,"=Clockstop")</f>
        <v>68</v>
      </c>
      <c r="AA1283">
        <f t="shared" si="225"/>
        <v>1148</v>
      </c>
      <c r="AC1283">
        <f t="shared" si="226"/>
        <v>1216</v>
      </c>
    </row>
    <row r="1284" spans="1:29" x14ac:dyDescent="0.2">
      <c r="A1284">
        <v>685</v>
      </c>
      <c r="D1284">
        <f t="shared" si="227"/>
        <v>2</v>
      </c>
      <c r="E1284">
        <v>8</v>
      </c>
      <c r="F1284" s="6" t="s">
        <v>426</v>
      </c>
      <c r="I1284" t="s">
        <v>178</v>
      </c>
      <c r="J1284">
        <v>26</v>
      </c>
      <c r="K1284" t="s">
        <v>489</v>
      </c>
      <c r="L1284" t="s">
        <v>8</v>
      </c>
      <c r="M1284" t="s">
        <v>189</v>
      </c>
      <c r="N1284" t="s">
        <v>70</v>
      </c>
      <c r="Q1284">
        <f t="shared" si="234"/>
        <v>18977</v>
      </c>
      <c r="R1284" t="str">
        <f t="shared" si="234"/>
        <v>Velodrome</v>
      </c>
      <c r="S1284" t="str">
        <f t="shared" si="234"/>
        <v>HollowBrook</v>
      </c>
      <c r="T1284" s="20">
        <f t="shared" si="228"/>
        <v>0</v>
      </c>
      <c r="U1284">
        <f t="shared" si="229"/>
        <v>480</v>
      </c>
      <c r="V1284">
        <f t="shared" si="230"/>
        <v>480</v>
      </c>
      <c r="W1284" cm="1">
        <f t="array" ref="W1284">_xlfn._xlws.FILTER(shifts!A:A,(shifts!B:B=events!D1284)*(shifts!AH:AH&gt;=events!U1284)*(shifts!AI:AI&lt;=events!V1284))</f>
        <v>45</v>
      </c>
      <c r="X1284" t="str">
        <f t="shared" si="235"/>
        <v>opp_team_player_2</v>
      </c>
      <c r="Y1284">
        <f>COUNTIFS(A$3:A1284,"="&amp;A1284,K$3:K1284,"="&amp;K1284)</f>
        <v>2</v>
      </c>
      <c r="Z1284" s="20">
        <f>SUMIFS(T$3:T1284,L$3:L1284,"=Intermission")+SUMIFS(T$3:T1284,L$3:L1284,"=Timeout")+SUMIFS(T$3:T1284,L$3:L1284,"=Clockstop")</f>
        <v>68</v>
      </c>
      <c r="AA1284">
        <f t="shared" ref="AA1284:AA1347" si="236">IF(D1284=1,0,IF(D1284=2,1080+Z1284,IF(D1284=3,(1080*2)+Z1284,0)))</f>
        <v>1148</v>
      </c>
      <c r="AC1284">
        <f t="shared" ref="AC1284:AC1347" si="237">IF(L1283="GameStart",0,AA1284+Z1284)</f>
        <v>1216</v>
      </c>
    </row>
    <row r="1285" spans="1:29" x14ac:dyDescent="0.2">
      <c r="A1285">
        <v>686</v>
      </c>
      <c r="D1285">
        <f t="shared" ref="D1285:D1348" si="238">IF(L1285="Intermission",D1284+1,D1284)</f>
        <v>2</v>
      </c>
      <c r="E1285">
        <v>7</v>
      </c>
      <c r="F1285" s="6" t="s">
        <v>462</v>
      </c>
      <c r="I1285" t="s">
        <v>178</v>
      </c>
      <c r="J1285">
        <v>61</v>
      </c>
      <c r="K1285" t="s">
        <v>488</v>
      </c>
      <c r="L1285" t="s">
        <v>7</v>
      </c>
      <c r="M1285" t="s">
        <v>222</v>
      </c>
      <c r="N1285" t="s">
        <v>53</v>
      </c>
      <c r="Q1285">
        <f t="shared" si="234"/>
        <v>18977</v>
      </c>
      <c r="R1285" t="str">
        <f t="shared" si="234"/>
        <v>Velodrome</v>
      </c>
      <c r="S1285" t="str">
        <f t="shared" si="234"/>
        <v>HollowBrook</v>
      </c>
      <c r="T1285" s="20">
        <f t="shared" ref="T1285:T1348" si="239">IF(AND(G1285="",H1285=""),0,((E1285*60)+F1285)-((G1285*60)+H1285))</f>
        <v>0</v>
      </c>
      <c r="U1285">
        <f t="shared" ref="U1285:U1348" si="240">(E1285*60)+F1285</f>
        <v>478</v>
      </c>
      <c r="V1285">
        <f t="shared" ref="V1285:V1348" si="241">IF(AND(G1285="",H1285=""),U1285,((G1285*60)+H1285))</f>
        <v>478</v>
      </c>
      <c r="W1285" cm="1">
        <f t="array" ref="W1285">_xlfn._xlws.FILTER(shifts!A:A,(shifts!B:B=events!D1285)*(shifts!AH:AH&gt;=events!U1285)*(shifts!AI:AI&lt;=events!V1285))</f>
        <v>45</v>
      </c>
      <c r="X1285" t="str">
        <f t="shared" si="235"/>
        <v>event_team_player_1</v>
      </c>
      <c r="Y1285">
        <f>COUNTIFS(A$3:A1285,"="&amp;A1285,K$3:K1285,"="&amp;K1285)</f>
        <v>1</v>
      </c>
      <c r="Z1285" s="20">
        <f>SUMIFS(T$3:T1285,L$3:L1285,"=Intermission")+SUMIFS(T$3:T1285,L$3:L1285,"=Timeout")+SUMIFS(T$3:T1285,L$3:L1285,"=Clockstop")</f>
        <v>68</v>
      </c>
      <c r="AA1285">
        <f t="shared" si="236"/>
        <v>1148</v>
      </c>
      <c r="AC1285">
        <f t="shared" si="237"/>
        <v>1216</v>
      </c>
    </row>
    <row r="1286" spans="1:29" x14ac:dyDescent="0.2">
      <c r="A1286">
        <v>686</v>
      </c>
      <c r="D1286">
        <f t="shared" si="238"/>
        <v>2</v>
      </c>
      <c r="E1286">
        <v>7</v>
      </c>
      <c r="F1286" s="6" t="s">
        <v>462</v>
      </c>
      <c r="I1286" t="s">
        <v>178</v>
      </c>
      <c r="J1286">
        <v>99</v>
      </c>
      <c r="K1286" t="s">
        <v>489</v>
      </c>
      <c r="L1286" t="s">
        <v>7</v>
      </c>
      <c r="M1286" t="s">
        <v>222</v>
      </c>
      <c r="N1286" t="s">
        <v>53</v>
      </c>
      <c r="Q1286">
        <f t="shared" ref="Q1286:S1301" si="242">Q1285</f>
        <v>18977</v>
      </c>
      <c r="R1286" t="str">
        <f t="shared" si="242"/>
        <v>Velodrome</v>
      </c>
      <c r="S1286" t="str">
        <f t="shared" si="242"/>
        <v>HollowBrook</v>
      </c>
      <c r="T1286" s="20">
        <f t="shared" si="239"/>
        <v>0</v>
      </c>
      <c r="U1286">
        <f t="shared" si="240"/>
        <v>478</v>
      </c>
      <c r="V1286">
        <f t="shared" si="241"/>
        <v>478</v>
      </c>
      <c r="W1286" cm="1">
        <f t="array" ref="W1286">_xlfn._xlws.FILTER(shifts!A:A,(shifts!B:B=events!D1286)*(shifts!AH:AH&gt;=events!U1286)*(shifts!AI:AI&lt;=events!V1286))</f>
        <v>45</v>
      </c>
      <c r="X1286" t="str">
        <f t="shared" si="235"/>
        <v>opp_team_player_1</v>
      </c>
      <c r="Y1286">
        <f>COUNTIFS(A$3:A1286,"="&amp;A1286,K$3:K1286,"="&amp;K1286)</f>
        <v>1</v>
      </c>
      <c r="Z1286" s="20">
        <f>SUMIFS(T$3:T1286,L$3:L1286,"=Intermission")+SUMIFS(T$3:T1286,L$3:L1286,"=Timeout")+SUMIFS(T$3:T1286,L$3:L1286,"=Clockstop")</f>
        <v>68</v>
      </c>
      <c r="AA1286">
        <f t="shared" si="236"/>
        <v>1148</v>
      </c>
      <c r="AC1286">
        <f t="shared" si="237"/>
        <v>1216</v>
      </c>
    </row>
    <row r="1287" spans="1:29" x14ac:dyDescent="0.2">
      <c r="A1287">
        <v>686</v>
      </c>
      <c r="D1287">
        <f t="shared" si="238"/>
        <v>2</v>
      </c>
      <c r="E1287">
        <v>7</v>
      </c>
      <c r="F1287" s="6" t="s">
        <v>462</v>
      </c>
      <c r="I1287" t="s">
        <v>178</v>
      </c>
      <c r="J1287">
        <v>27</v>
      </c>
      <c r="K1287" t="s">
        <v>489</v>
      </c>
      <c r="L1287" t="s">
        <v>7</v>
      </c>
      <c r="M1287" t="s">
        <v>222</v>
      </c>
      <c r="N1287" t="s">
        <v>53</v>
      </c>
      <c r="Q1287">
        <f t="shared" si="242"/>
        <v>18977</v>
      </c>
      <c r="R1287" t="str">
        <f t="shared" si="242"/>
        <v>Velodrome</v>
      </c>
      <c r="S1287" t="str">
        <f t="shared" si="242"/>
        <v>HollowBrook</v>
      </c>
      <c r="T1287" s="20">
        <f t="shared" si="239"/>
        <v>0</v>
      </c>
      <c r="U1287">
        <f t="shared" si="240"/>
        <v>478</v>
      </c>
      <c r="V1287">
        <f t="shared" si="241"/>
        <v>478</v>
      </c>
      <c r="W1287" cm="1">
        <f t="array" ref="W1287">_xlfn._xlws.FILTER(shifts!A:A,(shifts!B:B=events!D1287)*(shifts!AH:AH&gt;=events!U1287)*(shifts!AI:AI&lt;=events!V1287))</f>
        <v>45</v>
      </c>
      <c r="X1287" t="str">
        <f t="shared" si="235"/>
        <v>opp_team_player_2</v>
      </c>
      <c r="Y1287">
        <f>COUNTIFS(A$3:A1287,"="&amp;A1287,K$3:K1287,"="&amp;K1287)</f>
        <v>2</v>
      </c>
      <c r="Z1287" s="20">
        <f>SUMIFS(T$3:T1287,L$3:L1287,"=Intermission")+SUMIFS(T$3:T1287,L$3:L1287,"=Timeout")+SUMIFS(T$3:T1287,L$3:L1287,"=Clockstop")</f>
        <v>68</v>
      </c>
      <c r="AA1287">
        <f t="shared" si="236"/>
        <v>1148</v>
      </c>
      <c r="AC1287">
        <f t="shared" si="237"/>
        <v>1216</v>
      </c>
    </row>
    <row r="1288" spans="1:29" x14ac:dyDescent="0.2">
      <c r="A1288">
        <v>687</v>
      </c>
      <c r="D1288">
        <f t="shared" si="238"/>
        <v>2</v>
      </c>
      <c r="E1288">
        <v>7</v>
      </c>
      <c r="F1288" s="6" t="s">
        <v>462</v>
      </c>
      <c r="I1288" t="s">
        <v>179</v>
      </c>
      <c r="J1288">
        <v>99</v>
      </c>
      <c r="K1288" t="s">
        <v>488</v>
      </c>
      <c r="L1288" t="s">
        <v>17</v>
      </c>
      <c r="M1288" t="s">
        <v>206</v>
      </c>
      <c r="N1288" t="s">
        <v>102</v>
      </c>
      <c r="Q1288">
        <f t="shared" si="242"/>
        <v>18977</v>
      </c>
      <c r="R1288" t="str">
        <f t="shared" si="242"/>
        <v>Velodrome</v>
      </c>
      <c r="S1288" t="str">
        <f t="shared" si="242"/>
        <v>HollowBrook</v>
      </c>
      <c r="T1288" s="20">
        <f t="shared" si="239"/>
        <v>0</v>
      </c>
      <c r="U1288">
        <f t="shared" si="240"/>
        <v>478</v>
      </c>
      <c r="V1288">
        <f t="shared" si="241"/>
        <v>478</v>
      </c>
      <c r="W1288" cm="1">
        <f t="array" ref="W1288">_xlfn._xlws.FILTER(shifts!A:A,(shifts!B:B=events!D1288)*(shifts!AH:AH&gt;=events!U1288)*(shifts!AI:AI&lt;=events!V1288))</f>
        <v>45</v>
      </c>
      <c r="X1288" t="str">
        <f t="shared" si="235"/>
        <v>event_team_player_1</v>
      </c>
      <c r="Y1288">
        <f>COUNTIFS(A$3:A1288,"="&amp;A1288,K$3:K1288,"="&amp;K1288)</f>
        <v>1</v>
      </c>
      <c r="Z1288" s="20">
        <f>SUMIFS(T$3:T1288,L$3:L1288,"=Intermission")+SUMIFS(T$3:T1288,L$3:L1288,"=Timeout")+SUMIFS(T$3:T1288,L$3:L1288,"=Clockstop")</f>
        <v>68</v>
      </c>
      <c r="AA1288">
        <f t="shared" si="236"/>
        <v>1148</v>
      </c>
      <c r="AC1288">
        <f t="shared" si="237"/>
        <v>1216</v>
      </c>
    </row>
    <row r="1289" spans="1:29" x14ac:dyDescent="0.2">
      <c r="A1289">
        <v>687</v>
      </c>
      <c r="D1289">
        <f t="shared" si="238"/>
        <v>2</v>
      </c>
      <c r="E1289">
        <v>7</v>
      </c>
      <c r="F1289" s="6" t="s">
        <v>462</v>
      </c>
      <c r="I1289" t="s">
        <v>179</v>
      </c>
      <c r="J1289">
        <v>27</v>
      </c>
      <c r="K1289" t="s">
        <v>488</v>
      </c>
      <c r="L1289" t="s">
        <v>17</v>
      </c>
      <c r="M1289" t="s">
        <v>206</v>
      </c>
      <c r="N1289" t="s">
        <v>102</v>
      </c>
      <c r="Q1289">
        <f t="shared" si="242"/>
        <v>18977</v>
      </c>
      <c r="R1289" t="str">
        <f t="shared" si="242"/>
        <v>Velodrome</v>
      </c>
      <c r="S1289" t="str">
        <f t="shared" si="242"/>
        <v>HollowBrook</v>
      </c>
      <c r="T1289" s="20">
        <f t="shared" si="239"/>
        <v>0</v>
      </c>
      <c r="U1289">
        <f t="shared" si="240"/>
        <v>478</v>
      </c>
      <c r="V1289">
        <f t="shared" si="241"/>
        <v>478</v>
      </c>
      <c r="W1289" cm="1">
        <f t="array" ref="W1289">_xlfn._xlws.FILTER(shifts!A:A,(shifts!B:B=events!D1289)*(shifts!AH:AH&gt;=events!U1289)*(shifts!AI:AI&lt;=events!V1289))</f>
        <v>45</v>
      </c>
      <c r="X1289" t="str">
        <f t="shared" si="235"/>
        <v>event_team_player_2</v>
      </c>
      <c r="Y1289">
        <f>COUNTIFS(A$3:A1289,"="&amp;A1289,K$3:K1289,"="&amp;K1289)</f>
        <v>2</v>
      </c>
      <c r="Z1289" s="20">
        <f>SUMIFS(T$3:T1289,L$3:L1289,"=Intermission")+SUMIFS(T$3:T1289,L$3:L1289,"=Timeout")+SUMIFS(T$3:T1289,L$3:L1289,"=Clockstop")</f>
        <v>68</v>
      </c>
      <c r="AA1289">
        <f t="shared" si="236"/>
        <v>1148</v>
      </c>
      <c r="AC1289">
        <f t="shared" si="237"/>
        <v>1216</v>
      </c>
    </row>
    <row r="1290" spans="1:29" x14ac:dyDescent="0.2">
      <c r="A1290">
        <v>687</v>
      </c>
      <c r="D1290">
        <f t="shared" si="238"/>
        <v>2</v>
      </c>
      <c r="E1290">
        <v>7</v>
      </c>
      <c r="F1290" s="6" t="s">
        <v>462</v>
      </c>
      <c r="I1290" t="s">
        <v>179</v>
      </c>
      <c r="J1290">
        <v>61</v>
      </c>
      <c r="K1290" t="s">
        <v>489</v>
      </c>
      <c r="L1290" t="s">
        <v>17</v>
      </c>
      <c r="M1290" t="s">
        <v>206</v>
      </c>
      <c r="N1290" t="s">
        <v>102</v>
      </c>
      <c r="Q1290">
        <f t="shared" si="242"/>
        <v>18977</v>
      </c>
      <c r="R1290" t="str">
        <f t="shared" si="242"/>
        <v>Velodrome</v>
      </c>
      <c r="S1290" t="str">
        <f t="shared" si="242"/>
        <v>HollowBrook</v>
      </c>
      <c r="T1290" s="20">
        <f t="shared" si="239"/>
        <v>0</v>
      </c>
      <c r="U1290">
        <f t="shared" si="240"/>
        <v>478</v>
      </c>
      <c r="V1290">
        <f t="shared" si="241"/>
        <v>478</v>
      </c>
      <c r="W1290" cm="1">
        <f t="array" ref="W1290">_xlfn._xlws.FILTER(shifts!A:A,(shifts!B:B=events!D1290)*(shifts!AH:AH&gt;=events!U1290)*(shifts!AI:AI&lt;=events!V1290))</f>
        <v>45</v>
      </c>
      <c r="X1290" t="str">
        <f t="shared" si="235"/>
        <v>opp_team_player_1</v>
      </c>
      <c r="Y1290">
        <f>COUNTIFS(A$3:A1290,"="&amp;A1290,K$3:K1290,"="&amp;K1290)</f>
        <v>1</v>
      </c>
      <c r="Z1290" s="20">
        <f>SUMIFS(T$3:T1290,L$3:L1290,"=Intermission")+SUMIFS(T$3:T1290,L$3:L1290,"=Timeout")+SUMIFS(T$3:T1290,L$3:L1290,"=Clockstop")</f>
        <v>68</v>
      </c>
      <c r="AA1290">
        <f t="shared" si="236"/>
        <v>1148</v>
      </c>
      <c r="AC1290">
        <f t="shared" si="237"/>
        <v>1216</v>
      </c>
    </row>
    <row r="1291" spans="1:29" x14ac:dyDescent="0.2">
      <c r="A1291">
        <v>688</v>
      </c>
      <c r="D1291">
        <f t="shared" si="238"/>
        <v>2</v>
      </c>
      <c r="E1291">
        <v>7</v>
      </c>
      <c r="F1291" s="6" t="s">
        <v>462</v>
      </c>
      <c r="I1291" t="s">
        <v>179</v>
      </c>
      <c r="J1291">
        <v>99</v>
      </c>
      <c r="K1291" t="s">
        <v>488</v>
      </c>
      <c r="L1291" t="s">
        <v>13</v>
      </c>
      <c r="M1291" t="s">
        <v>204</v>
      </c>
      <c r="N1291" t="s">
        <v>110</v>
      </c>
      <c r="Q1291">
        <f t="shared" si="242"/>
        <v>18977</v>
      </c>
      <c r="R1291" t="str">
        <f t="shared" si="242"/>
        <v>Velodrome</v>
      </c>
      <c r="S1291" t="str">
        <f t="shared" si="242"/>
        <v>HollowBrook</v>
      </c>
      <c r="T1291" s="20">
        <f t="shared" si="239"/>
        <v>0</v>
      </c>
      <c r="U1291">
        <f t="shared" si="240"/>
        <v>478</v>
      </c>
      <c r="V1291">
        <f t="shared" si="241"/>
        <v>478</v>
      </c>
      <c r="W1291" cm="1">
        <f t="array" ref="W1291">_xlfn._xlws.FILTER(shifts!A:A,(shifts!B:B=events!D1291)*(shifts!AH:AH&gt;=events!U1291)*(shifts!AI:AI&lt;=events!V1291))</f>
        <v>45</v>
      </c>
      <c r="X1291" t="str">
        <f t="shared" si="235"/>
        <v>event_team_player_1</v>
      </c>
      <c r="Y1291">
        <f>COUNTIFS(A$3:A1291,"="&amp;A1291,K$3:K1291,"="&amp;K1291)</f>
        <v>1</v>
      </c>
      <c r="Z1291" s="20">
        <f>SUMIFS(T$3:T1291,L$3:L1291,"=Intermission")+SUMIFS(T$3:T1291,L$3:L1291,"=Timeout")+SUMIFS(T$3:T1291,L$3:L1291,"=Clockstop")</f>
        <v>68</v>
      </c>
      <c r="AA1291">
        <f t="shared" si="236"/>
        <v>1148</v>
      </c>
      <c r="AC1291">
        <f t="shared" si="237"/>
        <v>1216</v>
      </c>
    </row>
    <row r="1292" spans="1:29" x14ac:dyDescent="0.2">
      <c r="A1292">
        <v>689</v>
      </c>
      <c r="D1292">
        <f t="shared" si="238"/>
        <v>2</v>
      </c>
      <c r="E1292">
        <v>7</v>
      </c>
      <c r="F1292" s="6" t="s">
        <v>462</v>
      </c>
      <c r="G1292">
        <v>7</v>
      </c>
      <c r="H1292" s="8" t="s">
        <v>493</v>
      </c>
      <c r="I1292" t="s">
        <v>179</v>
      </c>
      <c r="J1292">
        <v>99</v>
      </c>
      <c r="K1292" t="s">
        <v>488</v>
      </c>
      <c r="L1292" t="s">
        <v>282</v>
      </c>
      <c r="Q1292">
        <f t="shared" si="242"/>
        <v>18977</v>
      </c>
      <c r="R1292" t="str">
        <f t="shared" si="242"/>
        <v>Velodrome</v>
      </c>
      <c r="S1292" t="str">
        <f t="shared" si="242"/>
        <v>HollowBrook</v>
      </c>
      <c r="T1292" s="20">
        <f t="shared" si="239"/>
        <v>27</v>
      </c>
      <c r="U1292">
        <f t="shared" si="240"/>
        <v>478</v>
      </c>
      <c r="V1292">
        <f t="shared" si="241"/>
        <v>451</v>
      </c>
      <c r="W1292">
        <v>46</v>
      </c>
      <c r="X1292" t="str">
        <f t="shared" si="235"/>
        <v>event_team_player_1</v>
      </c>
      <c r="Y1292">
        <f>COUNTIFS(A$3:A1292,"="&amp;A1292,K$3:K1292,"="&amp;K1292)</f>
        <v>1</v>
      </c>
      <c r="Z1292" s="20">
        <f>SUMIFS(T$3:T1292,L$3:L1292,"=Intermission")+SUMIFS(T$3:T1292,L$3:L1292,"=Timeout")+SUMIFS(T$3:T1292,L$3:L1292,"=Clockstop")</f>
        <v>68</v>
      </c>
      <c r="AA1292">
        <f t="shared" si="236"/>
        <v>1148</v>
      </c>
      <c r="AC1292">
        <f t="shared" si="237"/>
        <v>1216</v>
      </c>
    </row>
    <row r="1293" spans="1:29" x14ac:dyDescent="0.2">
      <c r="A1293">
        <v>690</v>
      </c>
      <c r="D1293">
        <f t="shared" si="238"/>
        <v>2</v>
      </c>
      <c r="E1293">
        <v>7</v>
      </c>
      <c r="F1293" s="6" t="s">
        <v>493</v>
      </c>
      <c r="I1293" t="s">
        <v>178</v>
      </c>
      <c r="J1293">
        <v>70</v>
      </c>
      <c r="K1293" t="s">
        <v>488</v>
      </c>
      <c r="L1293" t="s">
        <v>6</v>
      </c>
      <c r="M1293" t="s">
        <v>275</v>
      </c>
      <c r="Q1293">
        <f t="shared" si="242"/>
        <v>18977</v>
      </c>
      <c r="R1293" t="str">
        <f t="shared" si="242"/>
        <v>Velodrome</v>
      </c>
      <c r="S1293" t="str">
        <f t="shared" si="242"/>
        <v>HollowBrook</v>
      </c>
      <c r="T1293" s="20">
        <f t="shared" si="239"/>
        <v>0</v>
      </c>
      <c r="U1293">
        <f t="shared" si="240"/>
        <v>451</v>
      </c>
      <c r="V1293">
        <f t="shared" si="241"/>
        <v>451</v>
      </c>
      <c r="W1293" cm="1">
        <f t="array" ref="W1293">_xlfn._xlws.FILTER(shifts!A:A,(shifts!B:B=events!D1293)*(shifts!AH:AH&gt;=events!U1293)*(shifts!AI:AI&lt;=events!V1293))</f>
        <v>46</v>
      </c>
      <c r="X1293" t="str">
        <f t="shared" si="235"/>
        <v>event_team_player_1</v>
      </c>
      <c r="Y1293">
        <f>COUNTIFS(A$3:A1293,"="&amp;A1293,K$3:K1293,"="&amp;K1293)</f>
        <v>1</v>
      </c>
      <c r="Z1293" s="20">
        <f>SUMIFS(T$3:T1293,L$3:L1293,"=Intermission")+SUMIFS(T$3:T1293,L$3:L1293,"=Timeout")+SUMIFS(T$3:T1293,L$3:L1293,"=Clockstop")</f>
        <v>68</v>
      </c>
      <c r="AA1293">
        <f t="shared" si="236"/>
        <v>1148</v>
      </c>
      <c r="AC1293">
        <f t="shared" si="237"/>
        <v>1216</v>
      </c>
    </row>
    <row r="1294" spans="1:29" x14ac:dyDescent="0.2">
      <c r="A1294">
        <v>690</v>
      </c>
      <c r="D1294">
        <f t="shared" si="238"/>
        <v>2</v>
      </c>
      <c r="E1294">
        <v>7</v>
      </c>
      <c r="F1294" s="6" t="s">
        <v>493</v>
      </c>
      <c r="I1294" t="s">
        <v>178</v>
      </c>
      <c r="J1294">
        <v>11</v>
      </c>
      <c r="K1294" t="s">
        <v>489</v>
      </c>
      <c r="L1294" t="s">
        <v>6</v>
      </c>
      <c r="M1294" t="s">
        <v>275</v>
      </c>
      <c r="Q1294">
        <f t="shared" si="242"/>
        <v>18977</v>
      </c>
      <c r="R1294" t="str">
        <f t="shared" si="242"/>
        <v>Velodrome</v>
      </c>
      <c r="S1294" t="str">
        <f t="shared" si="242"/>
        <v>HollowBrook</v>
      </c>
      <c r="T1294" s="20">
        <f t="shared" si="239"/>
        <v>0</v>
      </c>
      <c r="U1294">
        <f t="shared" si="240"/>
        <v>451</v>
      </c>
      <c r="V1294">
        <f t="shared" si="241"/>
        <v>451</v>
      </c>
      <c r="W1294" cm="1">
        <f t="array" ref="W1294">_xlfn._xlws.FILTER(shifts!A:A,(shifts!B:B=events!D1294)*(shifts!AH:AH&gt;=events!U1294)*(shifts!AI:AI&lt;=events!V1294))</f>
        <v>46</v>
      </c>
      <c r="X1294" t="str">
        <f t="shared" si="235"/>
        <v>opp_team_player_1</v>
      </c>
      <c r="Y1294">
        <f>COUNTIFS(A$3:A1294,"="&amp;A1294,K$3:K1294,"="&amp;K1294)</f>
        <v>1</v>
      </c>
      <c r="Z1294" s="20">
        <f>SUMIFS(T$3:T1294,L$3:L1294,"=Intermission")+SUMIFS(T$3:T1294,L$3:L1294,"=Timeout")+SUMIFS(T$3:T1294,L$3:L1294,"=Clockstop")</f>
        <v>68</v>
      </c>
      <c r="AA1294">
        <f t="shared" si="236"/>
        <v>1148</v>
      </c>
      <c r="AC1294">
        <f t="shared" si="237"/>
        <v>1216</v>
      </c>
    </row>
    <row r="1295" spans="1:29" x14ac:dyDescent="0.2">
      <c r="A1295">
        <v>690</v>
      </c>
      <c r="D1295">
        <f t="shared" si="238"/>
        <v>2</v>
      </c>
      <c r="E1295">
        <v>7</v>
      </c>
      <c r="F1295" s="6" t="s">
        <v>493</v>
      </c>
      <c r="I1295" t="s">
        <v>178</v>
      </c>
      <c r="J1295">
        <v>61</v>
      </c>
      <c r="K1295" t="s">
        <v>488</v>
      </c>
      <c r="L1295" t="s">
        <v>8</v>
      </c>
      <c r="M1295" t="s">
        <v>189</v>
      </c>
      <c r="N1295" t="s">
        <v>70</v>
      </c>
      <c r="Q1295">
        <f t="shared" si="242"/>
        <v>18977</v>
      </c>
      <c r="R1295" t="str">
        <f t="shared" si="242"/>
        <v>Velodrome</v>
      </c>
      <c r="S1295" t="str">
        <f t="shared" si="242"/>
        <v>HollowBrook</v>
      </c>
      <c r="T1295" s="20">
        <f t="shared" si="239"/>
        <v>0</v>
      </c>
      <c r="U1295">
        <f t="shared" si="240"/>
        <v>451</v>
      </c>
      <c r="V1295">
        <f t="shared" si="241"/>
        <v>451</v>
      </c>
      <c r="W1295" cm="1">
        <f t="array" ref="W1295">_xlfn._xlws.FILTER(shifts!A:A,(shifts!B:B=events!D1295)*(shifts!AH:AH&gt;=events!U1295)*(shifts!AI:AI&lt;=events!V1295))</f>
        <v>46</v>
      </c>
      <c r="X1295" t="str">
        <f t="shared" si="235"/>
        <v>event_team_player_2</v>
      </c>
      <c r="Y1295">
        <f>COUNTIFS(A$3:A1295,"="&amp;A1295,K$3:K1295,"="&amp;K1295)</f>
        <v>2</v>
      </c>
      <c r="Z1295" s="20">
        <f>SUMIFS(T$3:T1295,L$3:L1295,"=Intermission")+SUMIFS(T$3:T1295,L$3:L1295,"=Timeout")+SUMIFS(T$3:T1295,L$3:L1295,"=Clockstop")</f>
        <v>68</v>
      </c>
      <c r="AA1295">
        <f t="shared" si="236"/>
        <v>1148</v>
      </c>
      <c r="AC1295">
        <f t="shared" si="237"/>
        <v>1216</v>
      </c>
    </row>
    <row r="1296" spans="1:29" x14ac:dyDescent="0.2">
      <c r="A1296">
        <v>691</v>
      </c>
      <c r="D1296">
        <f t="shared" si="238"/>
        <v>2</v>
      </c>
      <c r="E1296">
        <v>7</v>
      </c>
      <c r="F1296" s="6" t="s">
        <v>472</v>
      </c>
      <c r="I1296" t="s">
        <v>178</v>
      </c>
      <c r="J1296">
        <v>84</v>
      </c>
      <c r="K1296" t="s">
        <v>488</v>
      </c>
      <c r="L1296" t="s">
        <v>8</v>
      </c>
      <c r="M1296" t="s">
        <v>189</v>
      </c>
      <c r="N1296" t="s">
        <v>70</v>
      </c>
      <c r="Q1296">
        <f t="shared" si="242"/>
        <v>18977</v>
      </c>
      <c r="R1296" t="str">
        <f t="shared" si="242"/>
        <v>Velodrome</v>
      </c>
      <c r="S1296" t="str">
        <f t="shared" si="242"/>
        <v>HollowBrook</v>
      </c>
      <c r="T1296" s="20">
        <f t="shared" si="239"/>
        <v>0</v>
      </c>
      <c r="U1296">
        <f t="shared" si="240"/>
        <v>450</v>
      </c>
      <c r="V1296">
        <f t="shared" si="241"/>
        <v>450</v>
      </c>
      <c r="W1296" cm="1">
        <f t="array" ref="W1296">_xlfn._xlws.FILTER(shifts!A:A,(shifts!B:B=events!D1296)*(shifts!AH:AH&gt;=events!U1296)*(shifts!AI:AI&lt;=events!V1296))</f>
        <v>46</v>
      </c>
      <c r="X1296" t="str">
        <f t="shared" si="235"/>
        <v>event_team_player_1</v>
      </c>
      <c r="Y1296">
        <f>COUNTIFS(A$3:A1296,"="&amp;A1296,K$3:K1296,"="&amp;K1296)</f>
        <v>1</v>
      </c>
      <c r="Z1296" s="20">
        <f>SUMIFS(T$3:T1296,L$3:L1296,"=Intermission")+SUMIFS(T$3:T1296,L$3:L1296,"=Timeout")+SUMIFS(T$3:T1296,L$3:L1296,"=Clockstop")</f>
        <v>68</v>
      </c>
      <c r="AA1296">
        <f t="shared" si="236"/>
        <v>1148</v>
      </c>
      <c r="AC1296">
        <f t="shared" si="237"/>
        <v>1216</v>
      </c>
    </row>
    <row r="1297" spans="1:29" x14ac:dyDescent="0.2">
      <c r="A1297">
        <v>691</v>
      </c>
      <c r="D1297">
        <f t="shared" si="238"/>
        <v>2</v>
      </c>
      <c r="E1297">
        <v>7</v>
      </c>
      <c r="F1297" s="6" t="s">
        <v>472</v>
      </c>
      <c r="I1297" t="s">
        <v>178</v>
      </c>
      <c r="J1297">
        <v>84</v>
      </c>
      <c r="K1297" t="s">
        <v>488</v>
      </c>
      <c r="L1297" t="s">
        <v>8</v>
      </c>
      <c r="M1297" t="s">
        <v>189</v>
      </c>
      <c r="N1297" t="s">
        <v>70</v>
      </c>
      <c r="Q1297">
        <f t="shared" si="242"/>
        <v>18977</v>
      </c>
      <c r="R1297" t="str">
        <f t="shared" si="242"/>
        <v>Velodrome</v>
      </c>
      <c r="S1297" t="str">
        <f t="shared" si="242"/>
        <v>HollowBrook</v>
      </c>
      <c r="T1297" s="20">
        <f t="shared" si="239"/>
        <v>0</v>
      </c>
      <c r="U1297">
        <f t="shared" si="240"/>
        <v>450</v>
      </c>
      <c r="V1297">
        <f t="shared" si="241"/>
        <v>450</v>
      </c>
      <c r="W1297" cm="1">
        <f t="array" ref="W1297">_xlfn._xlws.FILTER(shifts!A:A,(shifts!B:B=events!D1297)*(shifts!AH:AH&gt;=events!U1297)*(shifts!AI:AI&lt;=events!V1297))</f>
        <v>46</v>
      </c>
      <c r="X1297" t="str">
        <f t="shared" si="235"/>
        <v>event_team_player_2</v>
      </c>
      <c r="Y1297">
        <f>COUNTIFS(A$3:A1297,"="&amp;A1297,K$3:K1297,"="&amp;K1297)</f>
        <v>2</v>
      </c>
      <c r="Z1297" s="20">
        <f>SUMIFS(T$3:T1297,L$3:L1297,"=Intermission")+SUMIFS(T$3:T1297,L$3:L1297,"=Timeout")+SUMIFS(T$3:T1297,L$3:L1297,"=Clockstop")</f>
        <v>68</v>
      </c>
      <c r="AA1297">
        <f t="shared" si="236"/>
        <v>1148</v>
      </c>
      <c r="AC1297">
        <f t="shared" si="237"/>
        <v>1216</v>
      </c>
    </row>
    <row r="1298" spans="1:29" x14ac:dyDescent="0.2">
      <c r="A1298">
        <v>692</v>
      </c>
      <c r="D1298">
        <f t="shared" si="238"/>
        <v>2</v>
      </c>
      <c r="E1298">
        <v>7</v>
      </c>
      <c r="F1298" s="6" t="s">
        <v>442</v>
      </c>
      <c r="I1298" t="s">
        <v>178</v>
      </c>
      <c r="J1298">
        <v>22</v>
      </c>
      <c r="K1298" t="s">
        <v>488</v>
      </c>
      <c r="L1298" t="s">
        <v>8</v>
      </c>
      <c r="M1298" t="s">
        <v>189</v>
      </c>
      <c r="N1298" t="s">
        <v>70</v>
      </c>
      <c r="Q1298">
        <f t="shared" si="242"/>
        <v>18977</v>
      </c>
      <c r="R1298" t="str">
        <f t="shared" si="242"/>
        <v>Velodrome</v>
      </c>
      <c r="S1298" t="str">
        <f t="shared" si="242"/>
        <v>HollowBrook</v>
      </c>
      <c r="T1298" s="20">
        <f t="shared" si="239"/>
        <v>0</v>
      </c>
      <c r="U1298">
        <f t="shared" si="240"/>
        <v>449</v>
      </c>
      <c r="V1298">
        <f t="shared" si="241"/>
        <v>449</v>
      </c>
      <c r="W1298" cm="1">
        <f t="array" ref="W1298">_xlfn._xlws.FILTER(shifts!A:A,(shifts!B:B=events!D1298)*(shifts!AH:AH&gt;=events!U1298)*(shifts!AI:AI&lt;=events!V1298))</f>
        <v>46</v>
      </c>
      <c r="X1298" t="str">
        <f t="shared" si="235"/>
        <v>event_team_player_1</v>
      </c>
      <c r="Y1298">
        <f>COUNTIFS(A$3:A1298,"="&amp;A1298,K$3:K1298,"="&amp;K1298)</f>
        <v>1</v>
      </c>
      <c r="Z1298" s="20">
        <f>SUMIFS(T$3:T1298,L$3:L1298,"=Intermission")+SUMIFS(T$3:T1298,L$3:L1298,"=Timeout")+SUMIFS(T$3:T1298,L$3:L1298,"=Clockstop")</f>
        <v>68</v>
      </c>
      <c r="AA1298">
        <f t="shared" si="236"/>
        <v>1148</v>
      </c>
      <c r="AC1298">
        <f t="shared" si="237"/>
        <v>1216</v>
      </c>
    </row>
    <row r="1299" spans="1:29" x14ac:dyDescent="0.2">
      <c r="A1299">
        <v>692</v>
      </c>
      <c r="D1299">
        <f t="shared" si="238"/>
        <v>2</v>
      </c>
      <c r="E1299">
        <v>7</v>
      </c>
      <c r="F1299" s="6" t="s">
        <v>441</v>
      </c>
      <c r="I1299" t="s">
        <v>179</v>
      </c>
      <c r="J1299">
        <v>19</v>
      </c>
      <c r="K1299" t="s">
        <v>488</v>
      </c>
      <c r="L1299" t="s">
        <v>10</v>
      </c>
      <c r="M1299" t="s">
        <v>200</v>
      </c>
      <c r="N1299" t="s">
        <v>81</v>
      </c>
      <c r="Q1299">
        <f t="shared" si="242"/>
        <v>18977</v>
      </c>
      <c r="R1299" t="str">
        <f t="shared" si="242"/>
        <v>Velodrome</v>
      </c>
      <c r="S1299" t="str">
        <f t="shared" si="242"/>
        <v>HollowBrook</v>
      </c>
      <c r="T1299" s="20">
        <f t="shared" si="239"/>
        <v>0</v>
      </c>
      <c r="U1299">
        <f t="shared" si="240"/>
        <v>445</v>
      </c>
      <c r="V1299">
        <f t="shared" si="241"/>
        <v>445</v>
      </c>
      <c r="W1299" cm="1">
        <f t="array" ref="W1299">_xlfn._xlws.FILTER(shifts!A:A,(shifts!B:B=events!D1299)*(shifts!AH:AH&gt;=events!U1299)*(shifts!AI:AI&lt;=events!V1299))</f>
        <v>46</v>
      </c>
      <c r="X1299" t="str">
        <f t="shared" si="235"/>
        <v>event_team_player_2</v>
      </c>
      <c r="Y1299">
        <f>COUNTIFS(A$3:A1299,"="&amp;A1299,K$3:K1299,"="&amp;K1299)</f>
        <v>2</v>
      </c>
      <c r="Z1299" s="20">
        <f>SUMIFS(T$3:T1299,L$3:L1299,"=Intermission")+SUMIFS(T$3:T1299,L$3:L1299,"=Timeout")+SUMIFS(T$3:T1299,L$3:L1299,"=Clockstop")</f>
        <v>68</v>
      </c>
      <c r="AA1299">
        <f t="shared" si="236"/>
        <v>1148</v>
      </c>
      <c r="AC1299">
        <f t="shared" si="237"/>
        <v>1216</v>
      </c>
    </row>
    <row r="1300" spans="1:29" x14ac:dyDescent="0.2">
      <c r="A1300">
        <v>692</v>
      </c>
      <c r="D1300">
        <f t="shared" si="238"/>
        <v>2</v>
      </c>
      <c r="E1300">
        <v>7</v>
      </c>
      <c r="F1300" s="6" t="s">
        <v>441</v>
      </c>
      <c r="I1300" t="s">
        <v>179</v>
      </c>
      <c r="J1300">
        <v>22</v>
      </c>
      <c r="K1300" t="s">
        <v>488</v>
      </c>
      <c r="L1300" t="s">
        <v>10</v>
      </c>
      <c r="M1300" t="s">
        <v>200</v>
      </c>
      <c r="N1300" t="s">
        <v>81</v>
      </c>
      <c r="Q1300">
        <f t="shared" si="242"/>
        <v>18977</v>
      </c>
      <c r="R1300" t="str">
        <f t="shared" si="242"/>
        <v>Velodrome</v>
      </c>
      <c r="S1300" t="str">
        <f t="shared" si="242"/>
        <v>HollowBrook</v>
      </c>
      <c r="T1300" s="20">
        <f t="shared" si="239"/>
        <v>0</v>
      </c>
      <c r="U1300">
        <f t="shared" si="240"/>
        <v>445</v>
      </c>
      <c r="V1300">
        <f t="shared" si="241"/>
        <v>445</v>
      </c>
      <c r="W1300" cm="1">
        <f t="array" ref="W1300">_xlfn._xlws.FILTER(shifts!A:A,(shifts!B:B=events!D1300)*(shifts!AH:AH&gt;=events!U1300)*(shifts!AI:AI&lt;=events!V1300))</f>
        <v>46</v>
      </c>
      <c r="X1300" t="str">
        <f t="shared" si="235"/>
        <v>event_team_player_3</v>
      </c>
      <c r="Y1300">
        <f>COUNTIFS(A$3:A1300,"="&amp;A1300,K$3:K1300,"="&amp;K1300)</f>
        <v>3</v>
      </c>
      <c r="Z1300" s="20">
        <f>SUMIFS(T$3:T1300,L$3:L1300,"=Intermission")+SUMIFS(T$3:T1300,L$3:L1300,"=Timeout")+SUMIFS(T$3:T1300,L$3:L1300,"=Clockstop")</f>
        <v>68</v>
      </c>
      <c r="AA1300">
        <f t="shared" si="236"/>
        <v>1148</v>
      </c>
      <c r="AC1300">
        <f t="shared" si="237"/>
        <v>1216</v>
      </c>
    </row>
    <row r="1301" spans="1:29" x14ac:dyDescent="0.2">
      <c r="A1301">
        <v>693</v>
      </c>
      <c r="D1301">
        <f t="shared" si="238"/>
        <v>2</v>
      </c>
      <c r="E1301">
        <v>7</v>
      </c>
      <c r="F1301" s="6" t="s">
        <v>441</v>
      </c>
      <c r="G1301">
        <v>7</v>
      </c>
      <c r="H1301" s="8" t="s">
        <v>444</v>
      </c>
      <c r="I1301" t="s">
        <v>179</v>
      </c>
      <c r="J1301">
        <v>19</v>
      </c>
      <c r="K1301" t="s">
        <v>488</v>
      </c>
      <c r="L1301" t="s">
        <v>277</v>
      </c>
      <c r="M1301" t="s">
        <v>201</v>
      </c>
      <c r="N1301" t="s">
        <v>90</v>
      </c>
      <c r="Q1301">
        <f t="shared" si="242"/>
        <v>18977</v>
      </c>
      <c r="R1301" t="str">
        <f t="shared" si="242"/>
        <v>Velodrome</v>
      </c>
      <c r="S1301" t="str">
        <f t="shared" si="242"/>
        <v>HollowBrook</v>
      </c>
      <c r="T1301" s="20">
        <f t="shared" si="239"/>
        <v>1</v>
      </c>
      <c r="U1301">
        <f t="shared" si="240"/>
        <v>445</v>
      </c>
      <c r="V1301">
        <f t="shared" si="241"/>
        <v>444</v>
      </c>
      <c r="W1301" cm="1">
        <f t="array" ref="W1301">_xlfn._xlws.FILTER(shifts!A:A,(shifts!B:B=events!D1301)*(shifts!AH:AH&gt;=events!U1301)*(shifts!AI:AI&lt;=events!V1301))</f>
        <v>46</v>
      </c>
      <c r="X1301" t="str">
        <f t="shared" si="235"/>
        <v>event_team_player_1</v>
      </c>
      <c r="Y1301">
        <f>COUNTIFS(A$3:A1301,"="&amp;A1301,K$3:K1301,"="&amp;K1301)</f>
        <v>1</v>
      </c>
      <c r="Z1301" s="20">
        <f>SUMIFS(T$3:T1301,L$3:L1301,"=Intermission")+SUMIFS(T$3:T1301,L$3:L1301,"=Timeout")+SUMIFS(T$3:T1301,L$3:L1301,"=Clockstop")</f>
        <v>68</v>
      </c>
      <c r="AA1301">
        <f t="shared" si="236"/>
        <v>1148</v>
      </c>
      <c r="AC1301">
        <f t="shared" si="237"/>
        <v>1216</v>
      </c>
    </row>
    <row r="1302" spans="1:29" x14ac:dyDescent="0.2">
      <c r="A1302">
        <v>693</v>
      </c>
      <c r="D1302">
        <f t="shared" si="238"/>
        <v>2</v>
      </c>
      <c r="E1302">
        <v>7</v>
      </c>
      <c r="F1302" s="6" t="s">
        <v>441</v>
      </c>
      <c r="G1302">
        <v>7</v>
      </c>
      <c r="H1302" s="8" t="s">
        <v>444</v>
      </c>
      <c r="I1302" t="s">
        <v>179</v>
      </c>
      <c r="J1302">
        <v>22</v>
      </c>
      <c r="K1302" t="s">
        <v>489</v>
      </c>
      <c r="L1302" t="s">
        <v>277</v>
      </c>
      <c r="M1302" t="s">
        <v>201</v>
      </c>
      <c r="N1302" t="s">
        <v>90</v>
      </c>
      <c r="Q1302">
        <f t="shared" ref="Q1302:S1317" si="243">Q1301</f>
        <v>18977</v>
      </c>
      <c r="R1302" t="str">
        <f t="shared" si="243"/>
        <v>Velodrome</v>
      </c>
      <c r="S1302" t="str">
        <f t="shared" si="243"/>
        <v>HollowBrook</v>
      </c>
      <c r="T1302" s="20">
        <f t="shared" si="239"/>
        <v>1</v>
      </c>
      <c r="U1302">
        <f t="shared" si="240"/>
        <v>445</v>
      </c>
      <c r="V1302">
        <f t="shared" si="241"/>
        <v>444</v>
      </c>
      <c r="W1302" cm="1">
        <f t="array" ref="W1302">_xlfn._xlws.FILTER(shifts!A:A,(shifts!B:B=events!D1302)*(shifts!AH:AH&gt;=events!U1302)*(shifts!AI:AI&lt;=events!V1302))</f>
        <v>46</v>
      </c>
      <c r="X1302" t="str">
        <f t="shared" si="235"/>
        <v>opp_team_player_1</v>
      </c>
      <c r="Y1302">
        <f>COUNTIFS(A$3:A1302,"="&amp;A1302,K$3:K1302,"="&amp;K1302)</f>
        <v>1</v>
      </c>
      <c r="Z1302" s="20">
        <f>SUMIFS(T$3:T1302,L$3:L1302,"=Intermission")+SUMIFS(T$3:T1302,L$3:L1302,"=Timeout")+SUMIFS(T$3:T1302,L$3:L1302,"=Clockstop")</f>
        <v>68</v>
      </c>
      <c r="AA1302">
        <f t="shared" si="236"/>
        <v>1148</v>
      </c>
      <c r="AC1302">
        <f t="shared" si="237"/>
        <v>1216</v>
      </c>
    </row>
    <row r="1303" spans="1:29" x14ac:dyDescent="0.2">
      <c r="A1303">
        <v>694</v>
      </c>
      <c r="D1303">
        <f t="shared" si="238"/>
        <v>2</v>
      </c>
      <c r="E1303">
        <v>7</v>
      </c>
      <c r="F1303" s="6" t="s">
        <v>444</v>
      </c>
      <c r="G1303">
        <v>7</v>
      </c>
      <c r="H1303" s="8" t="s">
        <v>484</v>
      </c>
      <c r="I1303" t="s">
        <v>179</v>
      </c>
      <c r="J1303">
        <v>19</v>
      </c>
      <c r="K1303" t="s">
        <v>488</v>
      </c>
      <c r="L1303" t="s">
        <v>15</v>
      </c>
      <c r="Q1303">
        <f t="shared" si="243"/>
        <v>18977</v>
      </c>
      <c r="R1303" t="str">
        <f t="shared" si="243"/>
        <v>Velodrome</v>
      </c>
      <c r="S1303" t="str">
        <f t="shared" si="243"/>
        <v>HollowBrook</v>
      </c>
      <c r="T1303" s="20">
        <f t="shared" si="239"/>
        <v>2</v>
      </c>
      <c r="U1303">
        <f t="shared" si="240"/>
        <v>444</v>
      </c>
      <c r="V1303">
        <f t="shared" si="241"/>
        <v>442</v>
      </c>
      <c r="W1303" cm="1">
        <f t="array" ref="W1303">_xlfn._xlws.FILTER(shifts!A:A,(shifts!B:B=events!D1303)*(shifts!AH:AH&gt;=events!U1303)*(shifts!AI:AI&lt;=events!V1303))</f>
        <v>46</v>
      </c>
      <c r="X1303" t="str">
        <f t="shared" si="235"/>
        <v>event_team_player_1</v>
      </c>
      <c r="Y1303">
        <f>COUNTIFS(A$3:A1303,"="&amp;A1303,K$3:K1303,"="&amp;K1303)</f>
        <v>1</v>
      </c>
      <c r="Z1303" s="20">
        <f>SUMIFS(T$3:T1303,L$3:L1303,"=Intermission")+SUMIFS(T$3:T1303,L$3:L1303,"=Timeout")+SUMIFS(T$3:T1303,L$3:L1303,"=Clockstop")</f>
        <v>68</v>
      </c>
      <c r="AA1303">
        <f t="shared" si="236"/>
        <v>1148</v>
      </c>
      <c r="AC1303">
        <f t="shared" si="237"/>
        <v>1216</v>
      </c>
    </row>
    <row r="1304" spans="1:29" x14ac:dyDescent="0.2">
      <c r="A1304">
        <v>694</v>
      </c>
      <c r="D1304">
        <f t="shared" si="238"/>
        <v>2</v>
      </c>
      <c r="E1304">
        <v>7</v>
      </c>
      <c r="F1304" s="6" t="s">
        <v>444</v>
      </c>
      <c r="G1304">
        <v>7</v>
      </c>
      <c r="H1304" s="8" t="s">
        <v>484</v>
      </c>
      <c r="I1304" t="s">
        <v>179</v>
      </c>
      <c r="J1304">
        <v>22</v>
      </c>
      <c r="K1304" t="s">
        <v>489</v>
      </c>
      <c r="L1304" t="s">
        <v>15</v>
      </c>
      <c r="Q1304">
        <f t="shared" si="243"/>
        <v>18977</v>
      </c>
      <c r="R1304" t="str">
        <f t="shared" si="243"/>
        <v>Velodrome</v>
      </c>
      <c r="S1304" t="str">
        <f t="shared" si="243"/>
        <v>HollowBrook</v>
      </c>
      <c r="T1304" s="20">
        <f t="shared" si="239"/>
        <v>2</v>
      </c>
      <c r="U1304">
        <f t="shared" si="240"/>
        <v>444</v>
      </c>
      <c r="V1304">
        <f t="shared" si="241"/>
        <v>442</v>
      </c>
      <c r="W1304" cm="1">
        <f t="array" ref="W1304">_xlfn._xlws.FILTER(shifts!A:A,(shifts!B:B=events!D1304)*(shifts!AH:AH&gt;=events!U1304)*(shifts!AI:AI&lt;=events!V1304))</f>
        <v>46</v>
      </c>
      <c r="X1304" t="str">
        <f t="shared" si="235"/>
        <v>opp_team_player_1</v>
      </c>
      <c r="Y1304">
        <f>COUNTIFS(A$3:A1304,"="&amp;A1304,K$3:K1304,"="&amp;K1304)</f>
        <v>1</v>
      </c>
      <c r="Z1304" s="20">
        <f>SUMIFS(T$3:T1304,L$3:L1304,"=Intermission")+SUMIFS(T$3:T1304,L$3:L1304,"=Timeout")+SUMIFS(T$3:T1304,L$3:L1304,"=Clockstop")</f>
        <v>68</v>
      </c>
      <c r="AA1304">
        <f t="shared" si="236"/>
        <v>1148</v>
      </c>
      <c r="AC1304">
        <f t="shared" si="237"/>
        <v>1216</v>
      </c>
    </row>
    <row r="1305" spans="1:29" x14ac:dyDescent="0.2">
      <c r="A1305">
        <v>695</v>
      </c>
      <c r="D1305">
        <f t="shared" si="238"/>
        <v>2</v>
      </c>
      <c r="E1305">
        <v>7</v>
      </c>
      <c r="F1305" s="6" t="s">
        <v>484</v>
      </c>
      <c r="G1305">
        <v>7</v>
      </c>
      <c r="H1305" s="8" t="s">
        <v>473</v>
      </c>
      <c r="I1305" t="s">
        <v>179</v>
      </c>
      <c r="J1305">
        <v>19</v>
      </c>
      <c r="K1305" t="s">
        <v>488</v>
      </c>
      <c r="L1305" t="s">
        <v>277</v>
      </c>
      <c r="M1305" t="s">
        <v>191</v>
      </c>
      <c r="N1305" t="s">
        <v>87</v>
      </c>
      <c r="Q1305">
        <f t="shared" si="243"/>
        <v>18977</v>
      </c>
      <c r="R1305" t="str">
        <f t="shared" si="243"/>
        <v>Velodrome</v>
      </c>
      <c r="S1305" t="str">
        <f t="shared" si="243"/>
        <v>HollowBrook</v>
      </c>
      <c r="T1305" s="20">
        <f t="shared" si="239"/>
        <v>1</v>
      </c>
      <c r="U1305">
        <f t="shared" si="240"/>
        <v>442</v>
      </c>
      <c r="V1305">
        <f t="shared" si="241"/>
        <v>441</v>
      </c>
      <c r="W1305" cm="1">
        <f t="array" ref="W1305">_xlfn._xlws.FILTER(shifts!A:A,(shifts!B:B=events!D1305)*(shifts!AH:AH&gt;=events!U1305)*(shifts!AI:AI&lt;=events!V1305))</f>
        <v>46</v>
      </c>
      <c r="X1305" t="str">
        <f t="shared" si="235"/>
        <v>event_team_player_1</v>
      </c>
      <c r="Y1305">
        <f>COUNTIFS(A$3:A1305,"="&amp;A1305,K$3:K1305,"="&amp;K1305)</f>
        <v>1</v>
      </c>
      <c r="Z1305" s="20">
        <f>SUMIFS(T$3:T1305,L$3:L1305,"=Intermission")+SUMIFS(T$3:T1305,L$3:L1305,"=Timeout")+SUMIFS(T$3:T1305,L$3:L1305,"=Clockstop")</f>
        <v>68</v>
      </c>
      <c r="AA1305">
        <f t="shared" si="236"/>
        <v>1148</v>
      </c>
      <c r="AC1305">
        <f t="shared" si="237"/>
        <v>1216</v>
      </c>
    </row>
    <row r="1306" spans="1:29" x14ac:dyDescent="0.2">
      <c r="A1306">
        <v>695</v>
      </c>
      <c r="D1306">
        <f t="shared" si="238"/>
        <v>2</v>
      </c>
      <c r="E1306">
        <v>7</v>
      </c>
      <c r="F1306" s="6" t="s">
        <v>484</v>
      </c>
      <c r="G1306">
        <v>7</v>
      </c>
      <c r="H1306" s="8" t="s">
        <v>473</v>
      </c>
      <c r="I1306" t="s">
        <v>179</v>
      </c>
      <c r="J1306">
        <v>13</v>
      </c>
      <c r="K1306" t="s">
        <v>488</v>
      </c>
      <c r="L1306" t="s">
        <v>277</v>
      </c>
      <c r="M1306" t="s">
        <v>191</v>
      </c>
      <c r="N1306" t="s">
        <v>87</v>
      </c>
      <c r="Q1306">
        <f t="shared" si="243"/>
        <v>18977</v>
      </c>
      <c r="R1306" t="str">
        <f t="shared" si="243"/>
        <v>Velodrome</v>
      </c>
      <c r="S1306" t="str">
        <f t="shared" si="243"/>
        <v>HollowBrook</v>
      </c>
      <c r="T1306" s="20">
        <f t="shared" si="239"/>
        <v>1</v>
      </c>
      <c r="U1306">
        <f t="shared" si="240"/>
        <v>442</v>
      </c>
      <c r="V1306">
        <f t="shared" si="241"/>
        <v>441</v>
      </c>
      <c r="W1306" cm="1">
        <f t="array" ref="W1306">_xlfn._xlws.FILTER(shifts!A:A,(shifts!B:B=events!D1306)*(shifts!AH:AH&gt;=events!U1306)*(shifts!AI:AI&lt;=events!V1306))</f>
        <v>46</v>
      </c>
      <c r="X1306" t="str">
        <f t="shared" si="235"/>
        <v>event_team_player_2</v>
      </c>
      <c r="Y1306">
        <f>COUNTIFS(A$3:A1306,"="&amp;A1306,K$3:K1306,"="&amp;K1306)</f>
        <v>2</v>
      </c>
      <c r="Z1306" s="20">
        <f>SUMIFS(T$3:T1306,L$3:L1306,"=Intermission")+SUMIFS(T$3:T1306,L$3:L1306,"=Timeout")+SUMIFS(T$3:T1306,L$3:L1306,"=Clockstop")</f>
        <v>68</v>
      </c>
      <c r="AA1306">
        <f t="shared" si="236"/>
        <v>1148</v>
      </c>
      <c r="AC1306">
        <f t="shared" si="237"/>
        <v>1216</v>
      </c>
    </row>
    <row r="1307" spans="1:29" x14ac:dyDescent="0.2">
      <c r="A1307">
        <v>695</v>
      </c>
      <c r="D1307">
        <f t="shared" si="238"/>
        <v>2</v>
      </c>
      <c r="E1307">
        <v>7</v>
      </c>
      <c r="F1307" s="6" t="s">
        <v>484</v>
      </c>
      <c r="G1307">
        <v>7</v>
      </c>
      <c r="H1307" s="8" t="s">
        <v>473</v>
      </c>
      <c r="I1307" t="s">
        <v>179</v>
      </c>
      <c r="J1307">
        <v>22</v>
      </c>
      <c r="K1307" t="s">
        <v>489</v>
      </c>
      <c r="L1307" t="s">
        <v>277</v>
      </c>
      <c r="M1307" t="s">
        <v>191</v>
      </c>
      <c r="N1307" t="s">
        <v>87</v>
      </c>
      <c r="Q1307">
        <f t="shared" si="243"/>
        <v>18977</v>
      </c>
      <c r="R1307" t="str">
        <f t="shared" si="243"/>
        <v>Velodrome</v>
      </c>
      <c r="S1307" t="str">
        <f t="shared" si="243"/>
        <v>HollowBrook</v>
      </c>
      <c r="T1307" s="20">
        <f t="shared" si="239"/>
        <v>1</v>
      </c>
      <c r="U1307">
        <f t="shared" si="240"/>
        <v>442</v>
      </c>
      <c r="V1307">
        <f t="shared" si="241"/>
        <v>441</v>
      </c>
      <c r="W1307" cm="1">
        <f t="array" ref="W1307">_xlfn._xlws.FILTER(shifts!A:A,(shifts!B:B=events!D1307)*(shifts!AH:AH&gt;=events!U1307)*(shifts!AI:AI&lt;=events!V1307))</f>
        <v>46</v>
      </c>
      <c r="X1307" t="str">
        <f t="shared" si="235"/>
        <v>opp_team_player_1</v>
      </c>
      <c r="Y1307">
        <f>COUNTIFS(A$3:A1307,"="&amp;A1307,K$3:K1307,"="&amp;K1307)</f>
        <v>1</v>
      </c>
      <c r="Z1307" s="20">
        <f>SUMIFS(T$3:T1307,L$3:L1307,"=Intermission")+SUMIFS(T$3:T1307,L$3:L1307,"=Timeout")+SUMIFS(T$3:T1307,L$3:L1307,"=Clockstop")</f>
        <v>68</v>
      </c>
      <c r="AA1307">
        <f t="shared" si="236"/>
        <v>1148</v>
      </c>
      <c r="AC1307">
        <f t="shared" si="237"/>
        <v>1216</v>
      </c>
    </row>
    <row r="1308" spans="1:29" x14ac:dyDescent="0.2">
      <c r="A1308">
        <v>695</v>
      </c>
      <c r="D1308">
        <f t="shared" si="238"/>
        <v>2</v>
      </c>
      <c r="E1308">
        <v>7</v>
      </c>
      <c r="F1308" s="6" t="s">
        <v>484</v>
      </c>
      <c r="G1308">
        <v>7</v>
      </c>
      <c r="H1308" s="8" t="s">
        <v>473</v>
      </c>
      <c r="I1308" t="s">
        <v>179</v>
      </c>
      <c r="J1308">
        <v>84</v>
      </c>
      <c r="K1308" t="s">
        <v>489</v>
      </c>
      <c r="L1308" t="s">
        <v>277</v>
      </c>
      <c r="M1308" t="s">
        <v>191</v>
      </c>
      <c r="N1308" t="s">
        <v>87</v>
      </c>
      <c r="Q1308">
        <f t="shared" si="243"/>
        <v>18977</v>
      </c>
      <c r="R1308" t="str">
        <f t="shared" si="243"/>
        <v>Velodrome</v>
      </c>
      <c r="S1308" t="str">
        <f t="shared" si="243"/>
        <v>HollowBrook</v>
      </c>
      <c r="T1308" s="20">
        <f t="shared" si="239"/>
        <v>1</v>
      </c>
      <c r="U1308">
        <f t="shared" si="240"/>
        <v>442</v>
      </c>
      <c r="V1308">
        <f t="shared" si="241"/>
        <v>441</v>
      </c>
      <c r="W1308" cm="1">
        <f t="array" ref="W1308">_xlfn._xlws.FILTER(shifts!A:A,(shifts!B:B=events!D1308)*(shifts!AH:AH&gt;=events!U1308)*(shifts!AI:AI&lt;=events!V1308))</f>
        <v>46</v>
      </c>
      <c r="X1308" t="str">
        <f t="shared" si="235"/>
        <v>opp_team_player_2</v>
      </c>
      <c r="Y1308">
        <f>COUNTIFS(A$3:A1308,"="&amp;A1308,K$3:K1308,"="&amp;K1308)</f>
        <v>2</v>
      </c>
      <c r="Z1308" s="20">
        <f>SUMIFS(T$3:T1308,L$3:L1308,"=Intermission")+SUMIFS(T$3:T1308,L$3:L1308,"=Timeout")+SUMIFS(T$3:T1308,L$3:L1308,"=Clockstop")</f>
        <v>68</v>
      </c>
      <c r="AA1308">
        <f t="shared" si="236"/>
        <v>1148</v>
      </c>
      <c r="AC1308">
        <f t="shared" si="237"/>
        <v>1216</v>
      </c>
    </row>
    <row r="1309" spans="1:29" x14ac:dyDescent="0.2">
      <c r="A1309">
        <v>696</v>
      </c>
      <c r="D1309">
        <f t="shared" si="238"/>
        <v>2</v>
      </c>
      <c r="E1309">
        <v>7</v>
      </c>
      <c r="F1309" s="6" t="s">
        <v>473</v>
      </c>
      <c r="I1309" t="s">
        <v>179</v>
      </c>
      <c r="J1309">
        <v>19</v>
      </c>
      <c r="K1309" t="s">
        <v>488</v>
      </c>
      <c r="L1309" t="s">
        <v>8</v>
      </c>
      <c r="M1309" t="s">
        <v>189</v>
      </c>
      <c r="N1309" t="s">
        <v>510</v>
      </c>
      <c r="Q1309">
        <f t="shared" si="243"/>
        <v>18977</v>
      </c>
      <c r="R1309" t="str">
        <f t="shared" si="243"/>
        <v>Velodrome</v>
      </c>
      <c r="S1309" t="str">
        <f t="shared" si="243"/>
        <v>HollowBrook</v>
      </c>
      <c r="T1309" s="20">
        <f t="shared" si="239"/>
        <v>0</v>
      </c>
      <c r="U1309">
        <f t="shared" si="240"/>
        <v>441</v>
      </c>
      <c r="V1309">
        <f t="shared" si="241"/>
        <v>441</v>
      </c>
      <c r="W1309" cm="1">
        <f t="array" ref="W1309">_xlfn._xlws.FILTER(shifts!A:A,(shifts!B:B=events!D1309)*(shifts!AH:AH&gt;=events!U1309)*(shifts!AI:AI&lt;=events!V1309))</f>
        <v>46</v>
      </c>
      <c r="X1309" t="str">
        <f t="shared" si="235"/>
        <v>event_team_player_1</v>
      </c>
      <c r="Y1309">
        <f>COUNTIFS(A$3:A1309,"="&amp;A1309,K$3:K1309,"="&amp;K1309)</f>
        <v>1</v>
      </c>
      <c r="Z1309" s="20">
        <f>SUMIFS(T$3:T1309,L$3:L1309,"=Intermission")+SUMIFS(T$3:T1309,L$3:L1309,"=Timeout")+SUMIFS(T$3:T1309,L$3:L1309,"=Clockstop")</f>
        <v>68</v>
      </c>
      <c r="AA1309">
        <f t="shared" si="236"/>
        <v>1148</v>
      </c>
      <c r="AC1309">
        <f t="shared" si="237"/>
        <v>1216</v>
      </c>
    </row>
    <row r="1310" spans="1:29" x14ac:dyDescent="0.2">
      <c r="A1310">
        <v>696</v>
      </c>
      <c r="D1310">
        <f t="shared" si="238"/>
        <v>2</v>
      </c>
      <c r="E1310">
        <v>7</v>
      </c>
      <c r="F1310" s="6" t="s">
        <v>473</v>
      </c>
      <c r="I1310" t="s">
        <v>179</v>
      </c>
      <c r="J1310">
        <v>13</v>
      </c>
      <c r="K1310" t="s">
        <v>488</v>
      </c>
      <c r="L1310" t="s">
        <v>8</v>
      </c>
      <c r="M1310" t="s">
        <v>189</v>
      </c>
      <c r="N1310" t="s">
        <v>510</v>
      </c>
      <c r="Q1310">
        <f t="shared" si="243"/>
        <v>18977</v>
      </c>
      <c r="R1310" t="str">
        <f t="shared" si="243"/>
        <v>Velodrome</v>
      </c>
      <c r="S1310" t="str">
        <f t="shared" si="243"/>
        <v>HollowBrook</v>
      </c>
      <c r="T1310" s="20">
        <f t="shared" si="239"/>
        <v>0</v>
      </c>
      <c r="U1310">
        <f t="shared" si="240"/>
        <v>441</v>
      </c>
      <c r="V1310">
        <f t="shared" si="241"/>
        <v>441</v>
      </c>
      <c r="W1310" cm="1">
        <f t="array" ref="W1310">_xlfn._xlws.FILTER(shifts!A:A,(shifts!B:B=events!D1310)*(shifts!AH:AH&gt;=events!U1310)*(shifts!AI:AI&lt;=events!V1310))</f>
        <v>46</v>
      </c>
      <c r="X1310" t="str">
        <f t="shared" si="235"/>
        <v>event_team_player_2</v>
      </c>
      <c r="Y1310">
        <f>COUNTIFS(A$3:A1310,"="&amp;A1310,K$3:K1310,"="&amp;K1310)</f>
        <v>2</v>
      </c>
      <c r="Z1310" s="20">
        <f>SUMIFS(T$3:T1310,L$3:L1310,"=Intermission")+SUMIFS(T$3:T1310,L$3:L1310,"=Timeout")+SUMIFS(T$3:T1310,L$3:L1310,"=Clockstop")</f>
        <v>68</v>
      </c>
      <c r="AA1310">
        <f t="shared" si="236"/>
        <v>1148</v>
      </c>
      <c r="AC1310">
        <f t="shared" si="237"/>
        <v>1216</v>
      </c>
    </row>
    <row r="1311" spans="1:29" x14ac:dyDescent="0.2">
      <c r="A1311">
        <v>697</v>
      </c>
      <c r="D1311">
        <f t="shared" si="238"/>
        <v>2</v>
      </c>
      <c r="E1311">
        <v>7</v>
      </c>
      <c r="F1311" s="6" t="s">
        <v>473</v>
      </c>
      <c r="G1311">
        <v>7</v>
      </c>
      <c r="H1311" s="8" t="s">
        <v>445</v>
      </c>
      <c r="I1311" t="s">
        <v>179</v>
      </c>
      <c r="J1311">
        <v>13</v>
      </c>
      <c r="K1311" t="s">
        <v>488</v>
      </c>
      <c r="L1311" t="s">
        <v>15</v>
      </c>
      <c r="Q1311">
        <f t="shared" si="243"/>
        <v>18977</v>
      </c>
      <c r="R1311" t="str">
        <f t="shared" si="243"/>
        <v>Velodrome</v>
      </c>
      <c r="S1311" t="str">
        <f t="shared" si="243"/>
        <v>HollowBrook</v>
      </c>
      <c r="T1311" s="20">
        <f t="shared" si="239"/>
        <v>2</v>
      </c>
      <c r="U1311">
        <f t="shared" si="240"/>
        <v>441</v>
      </c>
      <c r="V1311">
        <f t="shared" si="241"/>
        <v>439</v>
      </c>
      <c r="W1311" cm="1">
        <f t="array" ref="W1311">_xlfn._xlws.FILTER(shifts!A:A,(shifts!B:B=events!D1311)*(shifts!AH:AH&gt;=events!U1311)*(shifts!AI:AI&lt;=events!V1311))</f>
        <v>46</v>
      </c>
      <c r="X1311" t="str">
        <f t="shared" si="235"/>
        <v>event_team_player_1</v>
      </c>
      <c r="Y1311">
        <f>COUNTIFS(A$3:A1311,"="&amp;A1311,K$3:K1311,"="&amp;K1311)</f>
        <v>1</v>
      </c>
      <c r="Z1311" s="20">
        <f>SUMIFS(T$3:T1311,L$3:L1311,"=Intermission")+SUMIFS(T$3:T1311,L$3:L1311,"=Timeout")+SUMIFS(T$3:T1311,L$3:L1311,"=Clockstop")</f>
        <v>68</v>
      </c>
      <c r="AA1311">
        <f t="shared" si="236"/>
        <v>1148</v>
      </c>
      <c r="AC1311">
        <f t="shared" si="237"/>
        <v>1216</v>
      </c>
    </row>
    <row r="1312" spans="1:29" x14ac:dyDescent="0.2">
      <c r="A1312">
        <v>698</v>
      </c>
      <c r="D1312">
        <f t="shared" si="238"/>
        <v>2</v>
      </c>
      <c r="E1312">
        <v>7</v>
      </c>
      <c r="F1312" s="6" t="s">
        <v>445</v>
      </c>
      <c r="I1312" t="s">
        <v>179</v>
      </c>
      <c r="J1312">
        <v>13</v>
      </c>
      <c r="K1312" t="s">
        <v>488</v>
      </c>
      <c r="L1312" t="s">
        <v>8</v>
      </c>
      <c r="M1312" t="s">
        <v>209</v>
      </c>
      <c r="N1312" t="s">
        <v>70</v>
      </c>
      <c r="Q1312">
        <f t="shared" si="243"/>
        <v>18977</v>
      </c>
      <c r="R1312" t="str">
        <f t="shared" si="243"/>
        <v>Velodrome</v>
      </c>
      <c r="S1312" t="str">
        <f t="shared" si="243"/>
        <v>HollowBrook</v>
      </c>
      <c r="T1312" s="20">
        <f t="shared" si="239"/>
        <v>0</v>
      </c>
      <c r="U1312">
        <f t="shared" si="240"/>
        <v>439</v>
      </c>
      <c r="V1312">
        <f t="shared" si="241"/>
        <v>439</v>
      </c>
      <c r="W1312" cm="1">
        <f t="array" ref="W1312">_xlfn._xlws.FILTER(shifts!A:A,(shifts!B:B=events!D1312)*(shifts!AH:AH&gt;=events!U1312)*(shifts!AI:AI&lt;=events!V1312))</f>
        <v>46</v>
      </c>
      <c r="X1312" t="str">
        <f t="shared" si="235"/>
        <v>event_team_player_1</v>
      </c>
      <c r="Y1312">
        <f>COUNTIFS(A$3:A1312,"="&amp;A1312,K$3:K1312,"="&amp;K1312)</f>
        <v>1</v>
      </c>
      <c r="Z1312" s="20">
        <f>SUMIFS(T$3:T1312,L$3:L1312,"=Intermission")+SUMIFS(T$3:T1312,L$3:L1312,"=Timeout")+SUMIFS(T$3:T1312,L$3:L1312,"=Clockstop")</f>
        <v>68</v>
      </c>
      <c r="AA1312">
        <f t="shared" si="236"/>
        <v>1148</v>
      </c>
      <c r="AC1312">
        <f t="shared" si="237"/>
        <v>1216</v>
      </c>
    </row>
    <row r="1313" spans="1:29" x14ac:dyDescent="0.2">
      <c r="A1313">
        <v>698</v>
      </c>
      <c r="D1313">
        <f t="shared" si="238"/>
        <v>2</v>
      </c>
      <c r="E1313">
        <v>7</v>
      </c>
      <c r="F1313" s="6" t="s">
        <v>445</v>
      </c>
      <c r="I1313" t="s">
        <v>179</v>
      </c>
      <c r="J1313">
        <v>19</v>
      </c>
      <c r="K1313" t="s">
        <v>488</v>
      </c>
      <c r="L1313" t="s">
        <v>8</v>
      </c>
      <c r="M1313" t="s">
        <v>209</v>
      </c>
      <c r="N1313" t="s">
        <v>70</v>
      </c>
      <c r="Q1313">
        <f t="shared" si="243"/>
        <v>18977</v>
      </c>
      <c r="R1313" t="str">
        <f t="shared" si="243"/>
        <v>Velodrome</v>
      </c>
      <c r="S1313" t="str">
        <f t="shared" si="243"/>
        <v>HollowBrook</v>
      </c>
      <c r="T1313" s="20">
        <f t="shared" si="239"/>
        <v>0</v>
      </c>
      <c r="U1313">
        <f t="shared" si="240"/>
        <v>439</v>
      </c>
      <c r="V1313">
        <f t="shared" si="241"/>
        <v>439</v>
      </c>
      <c r="W1313" cm="1">
        <f t="array" ref="W1313">_xlfn._xlws.FILTER(shifts!A:A,(shifts!B:B=events!D1313)*(shifts!AH:AH&gt;=events!U1313)*(shifts!AI:AI&lt;=events!V1313))</f>
        <v>46</v>
      </c>
      <c r="X1313" t="str">
        <f t="shared" si="235"/>
        <v>event_team_player_2</v>
      </c>
      <c r="Y1313">
        <f>COUNTIFS(A$3:A1313,"="&amp;A1313,K$3:K1313,"="&amp;K1313)</f>
        <v>2</v>
      </c>
      <c r="Z1313" s="20">
        <f>SUMIFS(T$3:T1313,L$3:L1313,"=Intermission")+SUMIFS(T$3:T1313,L$3:L1313,"=Timeout")+SUMIFS(T$3:T1313,L$3:L1313,"=Clockstop")</f>
        <v>68</v>
      </c>
      <c r="AA1313">
        <f t="shared" si="236"/>
        <v>1148</v>
      </c>
      <c r="AC1313">
        <f t="shared" si="237"/>
        <v>1216</v>
      </c>
    </row>
    <row r="1314" spans="1:29" x14ac:dyDescent="0.2">
      <c r="A1314">
        <v>698</v>
      </c>
      <c r="D1314">
        <f t="shared" si="238"/>
        <v>2</v>
      </c>
      <c r="E1314">
        <v>7</v>
      </c>
      <c r="F1314" s="6" t="s">
        <v>445</v>
      </c>
      <c r="I1314" t="s">
        <v>179</v>
      </c>
      <c r="J1314">
        <v>84</v>
      </c>
      <c r="K1314" t="s">
        <v>489</v>
      </c>
      <c r="L1314" t="s">
        <v>8</v>
      </c>
      <c r="M1314" t="s">
        <v>209</v>
      </c>
      <c r="N1314" t="s">
        <v>70</v>
      </c>
      <c r="Q1314">
        <f t="shared" si="243"/>
        <v>18977</v>
      </c>
      <c r="R1314" t="str">
        <f t="shared" si="243"/>
        <v>Velodrome</v>
      </c>
      <c r="S1314" t="str">
        <f t="shared" si="243"/>
        <v>HollowBrook</v>
      </c>
      <c r="T1314" s="20">
        <f t="shared" si="239"/>
        <v>0</v>
      </c>
      <c r="U1314">
        <f t="shared" si="240"/>
        <v>439</v>
      </c>
      <c r="V1314">
        <f t="shared" si="241"/>
        <v>439</v>
      </c>
      <c r="W1314" cm="1">
        <f t="array" ref="W1314">_xlfn._xlws.FILTER(shifts!A:A,(shifts!B:B=events!D1314)*(shifts!AH:AH&gt;=events!U1314)*(shifts!AI:AI&lt;=events!V1314))</f>
        <v>46</v>
      </c>
      <c r="X1314" t="str">
        <f t="shared" si="235"/>
        <v>opp_team_player_1</v>
      </c>
      <c r="Y1314">
        <f>COUNTIFS(A$3:A1314,"="&amp;A1314,K$3:K1314,"="&amp;K1314)</f>
        <v>1</v>
      </c>
      <c r="Z1314" s="20">
        <f>SUMIFS(T$3:T1314,L$3:L1314,"=Intermission")+SUMIFS(T$3:T1314,L$3:L1314,"=Timeout")+SUMIFS(T$3:T1314,L$3:L1314,"=Clockstop")</f>
        <v>68</v>
      </c>
      <c r="AA1314">
        <f t="shared" si="236"/>
        <v>1148</v>
      </c>
      <c r="AC1314">
        <f t="shared" si="237"/>
        <v>1216</v>
      </c>
    </row>
    <row r="1315" spans="1:29" x14ac:dyDescent="0.2">
      <c r="A1315">
        <v>698</v>
      </c>
      <c r="D1315">
        <f t="shared" si="238"/>
        <v>2</v>
      </c>
      <c r="E1315">
        <v>7</v>
      </c>
      <c r="F1315" s="6" t="s">
        <v>445</v>
      </c>
      <c r="I1315" t="s">
        <v>179</v>
      </c>
      <c r="J1315">
        <v>39</v>
      </c>
      <c r="K1315" t="s">
        <v>489</v>
      </c>
      <c r="L1315" t="s">
        <v>8</v>
      </c>
      <c r="M1315" t="s">
        <v>209</v>
      </c>
      <c r="N1315" t="s">
        <v>70</v>
      </c>
      <c r="Q1315">
        <f t="shared" si="243"/>
        <v>18977</v>
      </c>
      <c r="R1315" t="str">
        <f t="shared" si="243"/>
        <v>Velodrome</v>
      </c>
      <c r="S1315" t="str">
        <f t="shared" si="243"/>
        <v>HollowBrook</v>
      </c>
      <c r="T1315" s="20">
        <f t="shared" si="239"/>
        <v>0</v>
      </c>
      <c r="U1315">
        <f t="shared" si="240"/>
        <v>439</v>
      </c>
      <c r="V1315">
        <f t="shared" si="241"/>
        <v>439</v>
      </c>
      <c r="W1315" cm="1">
        <f t="array" ref="W1315">_xlfn._xlws.FILTER(shifts!A:A,(shifts!B:B=events!D1315)*(shifts!AH:AH&gt;=events!U1315)*(shifts!AI:AI&lt;=events!V1315))</f>
        <v>46</v>
      </c>
      <c r="X1315" t="str">
        <f t="shared" si="235"/>
        <v>opp_team_player_2</v>
      </c>
      <c r="Y1315">
        <f>COUNTIFS(A$3:A1315,"="&amp;A1315,K$3:K1315,"="&amp;K1315)</f>
        <v>2</v>
      </c>
      <c r="Z1315" s="20">
        <f>SUMIFS(T$3:T1315,L$3:L1315,"=Intermission")+SUMIFS(T$3:T1315,L$3:L1315,"=Timeout")+SUMIFS(T$3:T1315,L$3:L1315,"=Clockstop")</f>
        <v>68</v>
      </c>
      <c r="AA1315">
        <f t="shared" si="236"/>
        <v>1148</v>
      </c>
      <c r="AC1315">
        <f t="shared" si="237"/>
        <v>1216</v>
      </c>
    </row>
    <row r="1316" spans="1:29" x14ac:dyDescent="0.2">
      <c r="A1316">
        <v>699</v>
      </c>
      <c r="D1316">
        <f t="shared" si="238"/>
        <v>2</v>
      </c>
      <c r="E1316">
        <v>7</v>
      </c>
      <c r="F1316" s="6" t="s">
        <v>445</v>
      </c>
      <c r="I1316" t="s">
        <v>179</v>
      </c>
      <c r="J1316">
        <v>13</v>
      </c>
      <c r="K1316" t="s">
        <v>488</v>
      </c>
      <c r="L1316" t="s">
        <v>10</v>
      </c>
      <c r="M1316" t="s">
        <v>190</v>
      </c>
      <c r="N1316" t="s">
        <v>77</v>
      </c>
      <c r="Q1316">
        <f t="shared" si="243"/>
        <v>18977</v>
      </c>
      <c r="R1316" t="str">
        <f t="shared" si="243"/>
        <v>Velodrome</v>
      </c>
      <c r="S1316" t="str">
        <f t="shared" si="243"/>
        <v>HollowBrook</v>
      </c>
      <c r="T1316" s="20">
        <f t="shared" si="239"/>
        <v>0</v>
      </c>
      <c r="U1316">
        <f t="shared" si="240"/>
        <v>439</v>
      </c>
      <c r="V1316">
        <f t="shared" si="241"/>
        <v>439</v>
      </c>
      <c r="W1316" cm="1">
        <f t="array" ref="W1316">_xlfn._xlws.FILTER(shifts!A:A,(shifts!B:B=events!D1316)*(shifts!AH:AH&gt;=events!U1316)*(shifts!AI:AI&lt;=events!V1316))</f>
        <v>46</v>
      </c>
      <c r="X1316" t="str">
        <f t="shared" si="235"/>
        <v>event_team_player_1</v>
      </c>
      <c r="Y1316">
        <f>COUNTIFS(A$3:A1316,"="&amp;A1316,K$3:K1316,"="&amp;K1316)</f>
        <v>1</v>
      </c>
      <c r="Z1316" s="20">
        <f>SUMIFS(T$3:T1316,L$3:L1316,"=Intermission")+SUMIFS(T$3:T1316,L$3:L1316,"=Timeout")+SUMIFS(T$3:T1316,L$3:L1316,"=Clockstop")</f>
        <v>68</v>
      </c>
      <c r="AA1316">
        <f t="shared" si="236"/>
        <v>1148</v>
      </c>
      <c r="AC1316">
        <f t="shared" si="237"/>
        <v>1216</v>
      </c>
    </row>
    <row r="1317" spans="1:29" x14ac:dyDescent="0.2">
      <c r="A1317">
        <v>699</v>
      </c>
      <c r="D1317">
        <f t="shared" si="238"/>
        <v>2</v>
      </c>
      <c r="E1317">
        <v>7</v>
      </c>
      <c r="F1317" s="6" t="s">
        <v>445</v>
      </c>
      <c r="I1317" t="s">
        <v>179</v>
      </c>
      <c r="J1317">
        <v>19</v>
      </c>
      <c r="K1317" t="s">
        <v>488</v>
      </c>
      <c r="L1317" t="s">
        <v>10</v>
      </c>
      <c r="M1317" t="s">
        <v>190</v>
      </c>
      <c r="N1317" t="s">
        <v>77</v>
      </c>
      <c r="Q1317">
        <f t="shared" si="243"/>
        <v>18977</v>
      </c>
      <c r="R1317" t="str">
        <f t="shared" si="243"/>
        <v>Velodrome</v>
      </c>
      <c r="S1317" t="str">
        <f t="shared" si="243"/>
        <v>HollowBrook</v>
      </c>
      <c r="T1317" s="20">
        <f t="shared" si="239"/>
        <v>0</v>
      </c>
      <c r="U1317">
        <f t="shared" si="240"/>
        <v>439</v>
      </c>
      <c r="V1317">
        <f t="shared" si="241"/>
        <v>439</v>
      </c>
      <c r="W1317" cm="1">
        <f t="array" ref="W1317">_xlfn._xlws.FILTER(shifts!A:A,(shifts!B:B=events!D1317)*(shifts!AH:AH&gt;=events!U1317)*(shifts!AI:AI&lt;=events!V1317))</f>
        <v>46</v>
      </c>
      <c r="X1317" t="str">
        <f t="shared" si="235"/>
        <v>event_team_player_2</v>
      </c>
      <c r="Y1317">
        <f>COUNTIFS(A$3:A1317,"="&amp;A1317,K$3:K1317,"="&amp;K1317)</f>
        <v>2</v>
      </c>
      <c r="Z1317" s="20">
        <f>SUMIFS(T$3:T1317,L$3:L1317,"=Intermission")+SUMIFS(T$3:T1317,L$3:L1317,"=Timeout")+SUMIFS(T$3:T1317,L$3:L1317,"=Clockstop")</f>
        <v>68</v>
      </c>
      <c r="AA1317">
        <f t="shared" si="236"/>
        <v>1148</v>
      </c>
      <c r="AC1317">
        <f t="shared" si="237"/>
        <v>1216</v>
      </c>
    </row>
    <row r="1318" spans="1:29" x14ac:dyDescent="0.2">
      <c r="A1318">
        <v>699</v>
      </c>
      <c r="D1318">
        <f t="shared" si="238"/>
        <v>2</v>
      </c>
      <c r="E1318">
        <v>7</v>
      </c>
      <c r="F1318" s="6" t="s">
        <v>445</v>
      </c>
      <c r="I1318" t="s">
        <v>179</v>
      </c>
      <c r="J1318">
        <v>84</v>
      </c>
      <c r="K1318" t="s">
        <v>489</v>
      </c>
      <c r="L1318" t="s">
        <v>10</v>
      </c>
      <c r="M1318" t="s">
        <v>190</v>
      </c>
      <c r="N1318" t="s">
        <v>77</v>
      </c>
      <c r="Q1318">
        <f t="shared" ref="Q1318:S1333" si="244">Q1317</f>
        <v>18977</v>
      </c>
      <c r="R1318" t="str">
        <f t="shared" si="244"/>
        <v>Velodrome</v>
      </c>
      <c r="S1318" t="str">
        <f t="shared" si="244"/>
        <v>HollowBrook</v>
      </c>
      <c r="T1318" s="20">
        <f t="shared" si="239"/>
        <v>0</v>
      </c>
      <c r="U1318">
        <f t="shared" si="240"/>
        <v>439</v>
      </c>
      <c r="V1318">
        <f t="shared" si="241"/>
        <v>439</v>
      </c>
      <c r="W1318" cm="1">
        <f t="array" ref="W1318">_xlfn._xlws.FILTER(shifts!A:A,(shifts!B:B=events!D1318)*(shifts!AH:AH&gt;=events!U1318)*(shifts!AI:AI&lt;=events!V1318))</f>
        <v>46</v>
      </c>
      <c r="X1318" t="str">
        <f t="shared" si="235"/>
        <v>opp_team_player_1</v>
      </c>
      <c r="Y1318">
        <f>COUNTIFS(A$3:A1318,"="&amp;A1318,K$3:K1318,"="&amp;K1318)</f>
        <v>1</v>
      </c>
      <c r="Z1318" s="20">
        <f>SUMIFS(T$3:T1318,L$3:L1318,"=Intermission")+SUMIFS(T$3:T1318,L$3:L1318,"=Timeout")+SUMIFS(T$3:T1318,L$3:L1318,"=Clockstop")</f>
        <v>68</v>
      </c>
      <c r="AA1318">
        <f t="shared" si="236"/>
        <v>1148</v>
      </c>
      <c r="AC1318">
        <f t="shared" si="237"/>
        <v>1216</v>
      </c>
    </row>
    <row r="1319" spans="1:29" x14ac:dyDescent="0.2">
      <c r="A1319">
        <v>699</v>
      </c>
      <c r="D1319">
        <f t="shared" si="238"/>
        <v>2</v>
      </c>
      <c r="E1319">
        <v>7</v>
      </c>
      <c r="F1319" s="6" t="s">
        <v>445</v>
      </c>
      <c r="I1319" t="s">
        <v>179</v>
      </c>
      <c r="J1319">
        <v>39</v>
      </c>
      <c r="K1319" t="s">
        <v>489</v>
      </c>
      <c r="L1319" t="s">
        <v>10</v>
      </c>
      <c r="M1319" t="s">
        <v>190</v>
      </c>
      <c r="N1319" t="s">
        <v>77</v>
      </c>
      <c r="Q1319">
        <f t="shared" si="244"/>
        <v>18977</v>
      </c>
      <c r="R1319" t="str">
        <f t="shared" si="244"/>
        <v>Velodrome</v>
      </c>
      <c r="S1319" t="str">
        <f t="shared" si="244"/>
        <v>HollowBrook</v>
      </c>
      <c r="T1319" s="20">
        <f t="shared" si="239"/>
        <v>0</v>
      </c>
      <c r="U1319">
        <f t="shared" si="240"/>
        <v>439</v>
      </c>
      <c r="V1319">
        <f t="shared" si="241"/>
        <v>439</v>
      </c>
      <c r="W1319" cm="1">
        <f t="array" ref="W1319">_xlfn._xlws.FILTER(shifts!A:A,(shifts!B:B=events!D1319)*(shifts!AH:AH&gt;=events!U1319)*(shifts!AI:AI&lt;=events!V1319))</f>
        <v>46</v>
      </c>
      <c r="X1319" t="str">
        <f t="shared" si="235"/>
        <v>opp_team_player_2</v>
      </c>
      <c r="Y1319">
        <f>COUNTIFS(A$3:A1319,"="&amp;A1319,K$3:K1319,"="&amp;K1319)</f>
        <v>2</v>
      </c>
      <c r="Z1319" s="20">
        <f>SUMIFS(T$3:T1319,L$3:L1319,"=Intermission")+SUMIFS(T$3:T1319,L$3:L1319,"=Timeout")+SUMIFS(T$3:T1319,L$3:L1319,"=Clockstop")</f>
        <v>68</v>
      </c>
      <c r="AA1319">
        <f t="shared" si="236"/>
        <v>1148</v>
      </c>
      <c r="AC1319">
        <f t="shared" si="237"/>
        <v>1216</v>
      </c>
    </row>
    <row r="1320" spans="1:29" x14ac:dyDescent="0.2">
      <c r="A1320">
        <v>700</v>
      </c>
      <c r="D1320">
        <f t="shared" si="238"/>
        <v>2</v>
      </c>
      <c r="E1320">
        <v>7</v>
      </c>
      <c r="F1320" s="6" t="s">
        <v>447</v>
      </c>
      <c r="I1320" t="s">
        <v>178</v>
      </c>
      <c r="J1320">
        <v>84</v>
      </c>
      <c r="K1320" t="s">
        <v>488</v>
      </c>
      <c r="L1320" t="s">
        <v>10</v>
      </c>
      <c r="M1320" t="s">
        <v>190</v>
      </c>
      <c r="N1320" t="s">
        <v>479</v>
      </c>
      <c r="Q1320">
        <f t="shared" si="244"/>
        <v>18977</v>
      </c>
      <c r="R1320" t="str">
        <f t="shared" si="244"/>
        <v>Velodrome</v>
      </c>
      <c r="S1320" t="str">
        <f t="shared" si="244"/>
        <v>HollowBrook</v>
      </c>
      <c r="T1320" s="20">
        <f t="shared" si="239"/>
        <v>0</v>
      </c>
      <c r="U1320">
        <f t="shared" si="240"/>
        <v>435</v>
      </c>
      <c r="V1320">
        <f t="shared" si="241"/>
        <v>435</v>
      </c>
      <c r="W1320" cm="1">
        <f t="array" ref="W1320">_xlfn._xlws.FILTER(shifts!A:A,(shifts!B:B=events!D1320)*(shifts!AH:AH&gt;=events!U1320)*(shifts!AI:AI&lt;=events!V1320))</f>
        <v>46</v>
      </c>
      <c r="X1320" t="str">
        <f t="shared" si="235"/>
        <v>event_team_player_1</v>
      </c>
      <c r="Y1320">
        <f>COUNTIFS(A$3:A1320,"="&amp;A1320,K$3:K1320,"="&amp;K1320)</f>
        <v>1</v>
      </c>
      <c r="Z1320" s="20">
        <f>SUMIFS(T$3:T1320,L$3:L1320,"=Intermission")+SUMIFS(T$3:T1320,L$3:L1320,"=Timeout")+SUMIFS(T$3:T1320,L$3:L1320,"=Clockstop")</f>
        <v>68</v>
      </c>
      <c r="AA1320">
        <f t="shared" si="236"/>
        <v>1148</v>
      </c>
      <c r="AC1320">
        <f t="shared" si="237"/>
        <v>1216</v>
      </c>
    </row>
    <row r="1321" spans="1:29" x14ac:dyDescent="0.2">
      <c r="A1321">
        <v>701</v>
      </c>
      <c r="D1321">
        <f t="shared" si="238"/>
        <v>2</v>
      </c>
      <c r="E1321">
        <v>7</v>
      </c>
      <c r="F1321" s="6" t="s">
        <v>447</v>
      </c>
      <c r="I1321" t="s">
        <v>178</v>
      </c>
      <c r="J1321">
        <v>5</v>
      </c>
      <c r="K1321" t="s">
        <v>488</v>
      </c>
      <c r="L1321" t="s">
        <v>277</v>
      </c>
      <c r="M1321" t="s">
        <v>210</v>
      </c>
      <c r="N1321" t="s">
        <v>93</v>
      </c>
      <c r="Q1321">
        <f t="shared" si="244"/>
        <v>18977</v>
      </c>
      <c r="R1321" t="str">
        <f t="shared" si="244"/>
        <v>Velodrome</v>
      </c>
      <c r="S1321" t="str">
        <f t="shared" si="244"/>
        <v>HollowBrook</v>
      </c>
      <c r="T1321" s="20">
        <f t="shared" si="239"/>
        <v>0</v>
      </c>
      <c r="U1321">
        <f t="shared" si="240"/>
        <v>435</v>
      </c>
      <c r="V1321">
        <f t="shared" si="241"/>
        <v>435</v>
      </c>
      <c r="W1321" cm="1">
        <f t="array" ref="W1321">_xlfn._xlws.FILTER(shifts!A:A,(shifts!B:B=events!D1321)*(shifts!AH:AH&gt;=events!U1321)*(shifts!AI:AI&lt;=events!V1321))</f>
        <v>46</v>
      </c>
      <c r="X1321" t="str">
        <f t="shared" si="235"/>
        <v>event_team_player_1</v>
      </c>
      <c r="Y1321">
        <f>COUNTIFS(A$3:A1321,"="&amp;A1321,K$3:K1321,"="&amp;K1321)</f>
        <v>1</v>
      </c>
      <c r="Z1321" s="20">
        <f>SUMIFS(T$3:T1321,L$3:L1321,"=Intermission")+SUMIFS(T$3:T1321,L$3:L1321,"=Timeout")+SUMIFS(T$3:T1321,L$3:L1321,"=Clockstop")</f>
        <v>68</v>
      </c>
      <c r="AA1321">
        <f t="shared" si="236"/>
        <v>1148</v>
      </c>
      <c r="AC1321">
        <f t="shared" si="237"/>
        <v>1216</v>
      </c>
    </row>
    <row r="1322" spans="1:29" x14ac:dyDescent="0.2">
      <c r="A1322">
        <v>702</v>
      </c>
      <c r="D1322">
        <f t="shared" si="238"/>
        <v>2</v>
      </c>
      <c r="E1322">
        <v>7</v>
      </c>
      <c r="F1322" s="6" t="s">
        <v>449</v>
      </c>
      <c r="I1322" t="s">
        <v>179</v>
      </c>
      <c r="J1322">
        <v>5</v>
      </c>
      <c r="K1322" t="s">
        <v>488</v>
      </c>
      <c r="L1322" t="s">
        <v>10</v>
      </c>
      <c r="M1322" t="s">
        <v>190</v>
      </c>
      <c r="N1322" t="s">
        <v>80</v>
      </c>
      <c r="Q1322">
        <f t="shared" si="244"/>
        <v>18977</v>
      </c>
      <c r="R1322" t="str">
        <f t="shared" si="244"/>
        <v>Velodrome</v>
      </c>
      <c r="S1322" t="str">
        <f t="shared" si="244"/>
        <v>HollowBrook</v>
      </c>
      <c r="T1322" s="20">
        <f t="shared" si="239"/>
        <v>0</v>
      </c>
      <c r="U1322">
        <f t="shared" si="240"/>
        <v>432</v>
      </c>
      <c r="V1322">
        <f t="shared" si="241"/>
        <v>432</v>
      </c>
      <c r="W1322" cm="1">
        <f t="array" ref="W1322">_xlfn._xlws.FILTER(shifts!A:A,(shifts!B:B=events!D1322)*(shifts!AH:AH&gt;=events!U1322)*(shifts!AI:AI&lt;=events!V1322))</f>
        <v>46</v>
      </c>
      <c r="X1322" t="str">
        <f t="shared" si="235"/>
        <v>event_team_player_1</v>
      </c>
      <c r="Y1322">
        <f>COUNTIFS(A$3:A1322,"="&amp;A1322,K$3:K1322,"="&amp;K1322)</f>
        <v>1</v>
      </c>
      <c r="Z1322" s="20">
        <f>SUMIFS(T$3:T1322,L$3:L1322,"=Intermission")+SUMIFS(T$3:T1322,L$3:L1322,"=Timeout")+SUMIFS(T$3:T1322,L$3:L1322,"=Clockstop")</f>
        <v>68</v>
      </c>
      <c r="AA1322">
        <f t="shared" si="236"/>
        <v>1148</v>
      </c>
      <c r="AC1322">
        <f t="shared" si="237"/>
        <v>1216</v>
      </c>
    </row>
    <row r="1323" spans="1:29" x14ac:dyDescent="0.2">
      <c r="A1323">
        <v>703</v>
      </c>
      <c r="D1323">
        <f t="shared" si="238"/>
        <v>2</v>
      </c>
      <c r="E1323">
        <v>7</v>
      </c>
      <c r="F1323" s="6" t="s">
        <v>449</v>
      </c>
      <c r="G1323">
        <v>7</v>
      </c>
      <c r="H1323" s="8" t="s">
        <v>425</v>
      </c>
      <c r="I1323" t="s">
        <v>178</v>
      </c>
      <c r="J1323">
        <v>84</v>
      </c>
      <c r="K1323" t="s">
        <v>488</v>
      </c>
      <c r="L1323" t="s">
        <v>15</v>
      </c>
      <c r="Q1323">
        <f t="shared" si="244"/>
        <v>18977</v>
      </c>
      <c r="R1323" t="str">
        <f t="shared" si="244"/>
        <v>Velodrome</v>
      </c>
      <c r="S1323" t="str">
        <f t="shared" si="244"/>
        <v>HollowBrook</v>
      </c>
      <c r="T1323" s="20">
        <f t="shared" si="239"/>
        <v>2</v>
      </c>
      <c r="U1323">
        <f t="shared" si="240"/>
        <v>432</v>
      </c>
      <c r="V1323">
        <f t="shared" si="241"/>
        <v>430</v>
      </c>
      <c r="W1323" cm="1">
        <f t="array" ref="W1323">_xlfn._xlws.FILTER(shifts!A:A,(shifts!B:B=events!D1323)*(shifts!AH:AH&gt;=events!U1323)*(shifts!AI:AI&lt;=events!V1323))</f>
        <v>46</v>
      </c>
      <c r="X1323" t="str">
        <f t="shared" si="235"/>
        <v>event_team_player_1</v>
      </c>
      <c r="Y1323">
        <f>COUNTIFS(A$3:A1323,"="&amp;A1323,K$3:K1323,"="&amp;K1323)</f>
        <v>1</v>
      </c>
      <c r="Z1323" s="20">
        <f>SUMIFS(T$3:T1323,L$3:L1323,"=Intermission")+SUMIFS(T$3:T1323,L$3:L1323,"=Timeout")+SUMIFS(T$3:T1323,L$3:L1323,"=Clockstop")</f>
        <v>68</v>
      </c>
      <c r="AA1323">
        <f t="shared" si="236"/>
        <v>1148</v>
      </c>
      <c r="AC1323">
        <f t="shared" si="237"/>
        <v>1216</v>
      </c>
    </row>
    <row r="1324" spans="1:29" x14ac:dyDescent="0.2">
      <c r="A1324">
        <v>704</v>
      </c>
      <c r="D1324">
        <f t="shared" si="238"/>
        <v>2</v>
      </c>
      <c r="E1324">
        <v>7</v>
      </c>
      <c r="F1324" s="6" t="s">
        <v>425</v>
      </c>
      <c r="I1324" t="s">
        <v>178</v>
      </c>
      <c r="J1324">
        <v>84</v>
      </c>
      <c r="K1324" t="s">
        <v>488</v>
      </c>
      <c r="L1324" t="s">
        <v>8</v>
      </c>
      <c r="M1324" t="s">
        <v>189</v>
      </c>
      <c r="N1324" t="s">
        <v>67</v>
      </c>
      <c r="Q1324">
        <f t="shared" si="244"/>
        <v>18977</v>
      </c>
      <c r="R1324" t="str">
        <f t="shared" si="244"/>
        <v>Velodrome</v>
      </c>
      <c r="S1324" t="str">
        <f t="shared" si="244"/>
        <v>HollowBrook</v>
      </c>
      <c r="T1324" s="20">
        <f t="shared" si="239"/>
        <v>0</v>
      </c>
      <c r="U1324">
        <f t="shared" si="240"/>
        <v>430</v>
      </c>
      <c r="V1324">
        <f t="shared" si="241"/>
        <v>430</v>
      </c>
      <c r="W1324" cm="1">
        <f t="array" ref="W1324">_xlfn._xlws.FILTER(shifts!A:A,(shifts!B:B=events!D1324)*(shifts!AH:AH&gt;=events!U1324)*(shifts!AI:AI&lt;=events!V1324))</f>
        <v>46</v>
      </c>
      <c r="X1324" t="str">
        <f t="shared" si="235"/>
        <v>event_team_player_1</v>
      </c>
      <c r="Y1324">
        <f>COUNTIFS(A$3:A1324,"="&amp;A1324,K$3:K1324,"="&amp;K1324)</f>
        <v>1</v>
      </c>
      <c r="Z1324" s="20">
        <f>SUMIFS(T$3:T1324,L$3:L1324,"=Intermission")+SUMIFS(T$3:T1324,L$3:L1324,"=Timeout")+SUMIFS(T$3:T1324,L$3:L1324,"=Clockstop")</f>
        <v>68</v>
      </c>
      <c r="AA1324">
        <f t="shared" si="236"/>
        <v>1148</v>
      </c>
      <c r="AC1324">
        <f t="shared" si="237"/>
        <v>1216</v>
      </c>
    </row>
    <row r="1325" spans="1:29" x14ac:dyDescent="0.2">
      <c r="A1325">
        <v>704</v>
      </c>
      <c r="D1325">
        <f t="shared" si="238"/>
        <v>2</v>
      </c>
      <c r="E1325">
        <v>7</v>
      </c>
      <c r="F1325" s="6" t="s">
        <v>425</v>
      </c>
      <c r="I1325" t="s">
        <v>178</v>
      </c>
      <c r="J1325">
        <v>70</v>
      </c>
      <c r="K1325" t="s">
        <v>488</v>
      </c>
      <c r="L1325" t="s">
        <v>8</v>
      </c>
      <c r="M1325" t="s">
        <v>189</v>
      </c>
      <c r="N1325" t="s">
        <v>67</v>
      </c>
      <c r="Q1325">
        <f t="shared" si="244"/>
        <v>18977</v>
      </c>
      <c r="R1325" t="str">
        <f t="shared" si="244"/>
        <v>Velodrome</v>
      </c>
      <c r="S1325" t="str">
        <f t="shared" si="244"/>
        <v>HollowBrook</v>
      </c>
      <c r="T1325" s="20">
        <f t="shared" si="239"/>
        <v>0</v>
      </c>
      <c r="U1325">
        <f t="shared" si="240"/>
        <v>430</v>
      </c>
      <c r="V1325">
        <f t="shared" si="241"/>
        <v>430</v>
      </c>
      <c r="W1325" cm="1">
        <f t="array" ref="W1325">_xlfn._xlws.FILTER(shifts!A:A,(shifts!B:B=events!D1325)*(shifts!AH:AH&gt;=events!U1325)*(shifts!AI:AI&lt;=events!V1325))</f>
        <v>46</v>
      </c>
      <c r="X1325" t="str">
        <f t="shared" si="235"/>
        <v>event_team_player_2</v>
      </c>
      <c r="Y1325">
        <f>COUNTIFS(A$3:A1325,"="&amp;A1325,K$3:K1325,"="&amp;K1325)</f>
        <v>2</v>
      </c>
      <c r="Z1325" s="20">
        <f>SUMIFS(T$3:T1325,L$3:L1325,"=Intermission")+SUMIFS(T$3:T1325,L$3:L1325,"=Timeout")+SUMIFS(T$3:T1325,L$3:L1325,"=Clockstop")</f>
        <v>68</v>
      </c>
      <c r="AA1325">
        <f t="shared" si="236"/>
        <v>1148</v>
      </c>
      <c r="AC1325">
        <f t="shared" si="237"/>
        <v>1216</v>
      </c>
    </row>
    <row r="1326" spans="1:29" x14ac:dyDescent="0.2">
      <c r="A1326">
        <v>705</v>
      </c>
      <c r="D1326">
        <f t="shared" si="238"/>
        <v>2</v>
      </c>
      <c r="E1326">
        <v>7</v>
      </c>
      <c r="F1326" s="6" t="s">
        <v>425</v>
      </c>
      <c r="I1326" t="s">
        <v>178</v>
      </c>
      <c r="J1326">
        <v>84</v>
      </c>
      <c r="K1326" t="s">
        <v>488</v>
      </c>
      <c r="L1326" t="s">
        <v>277</v>
      </c>
      <c r="M1326" t="s">
        <v>201</v>
      </c>
      <c r="N1326" t="s">
        <v>91</v>
      </c>
      <c r="Q1326">
        <f t="shared" si="244"/>
        <v>18977</v>
      </c>
      <c r="R1326" t="str">
        <f t="shared" si="244"/>
        <v>Velodrome</v>
      </c>
      <c r="S1326" t="str">
        <f t="shared" si="244"/>
        <v>HollowBrook</v>
      </c>
      <c r="T1326" s="20">
        <f t="shared" si="239"/>
        <v>0</v>
      </c>
      <c r="U1326">
        <f t="shared" si="240"/>
        <v>430</v>
      </c>
      <c r="V1326">
        <f t="shared" si="241"/>
        <v>430</v>
      </c>
      <c r="W1326" cm="1">
        <f t="array" ref="W1326">_xlfn._xlws.FILTER(shifts!A:A,(shifts!B:B=events!D1326)*(shifts!AH:AH&gt;=events!U1326)*(shifts!AI:AI&lt;=events!V1326))</f>
        <v>46</v>
      </c>
      <c r="X1326" t="str">
        <f t="shared" si="235"/>
        <v>event_team_player_1</v>
      </c>
      <c r="Y1326">
        <f>COUNTIFS(A$3:A1326,"="&amp;A1326,K$3:K1326,"="&amp;K1326)</f>
        <v>1</v>
      </c>
      <c r="Z1326" s="20">
        <f>SUMIFS(T$3:T1326,L$3:L1326,"=Intermission")+SUMIFS(T$3:T1326,L$3:L1326,"=Timeout")+SUMIFS(T$3:T1326,L$3:L1326,"=Clockstop")</f>
        <v>68</v>
      </c>
      <c r="AA1326">
        <f t="shared" si="236"/>
        <v>1148</v>
      </c>
      <c r="AC1326">
        <f t="shared" si="237"/>
        <v>1216</v>
      </c>
    </row>
    <row r="1327" spans="1:29" x14ac:dyDescent="0.2">
      <c r="A1327">
        <v>705</v>
      </c>
      <c r="D1327">
        <f t="shared" si="238"/>
        <v>2</v>
      </c>
      <c r="E1327">
        <v>7</v>
      </c>
      <c r="F1327" s="6" t="s">
        <v>425</v>
      </c>
      <c r="I1327" t="s">
        <v>178</v>
      </c>
      <c r="J1327">
        <v>70</v>
      </c>
      <c r="K1327" t="s">
        <v>488</v>
      </c>
      <c r="L1327" t="s">
        <v>277</v>
      </c>
      <c r="M1327" t="s">
        <v>201</v>
      </c>
      <c r="N1327" t="s">
        <v>91</v>
      </c>
      <c r="Q1327">
        <f t="shared" si="244"/>
        <v>18977</v>
      </c>
      <c r="R1327" t="str">
        <f t="shared" si="244"/>
        <v>Velodrome</v>
      </c>
      <c r="S1327" t="str">
        <f t="shared" si="244"/>
        <v>HollowBrook</v>
      </c>
      <c r="T1327" s="20">
        <f t="shared" si="239"/>
        <v>0</v>
      </c>
      <c r="U1327">
        <f t="shared" si="240"/>
        <v>430</v>
      </c>
      <c r="V1327">
        <f t="shared" si="241"/>
        <v>430</v>
      </c>
      <c r="W1327" cm="1">
        <f t="array" ref="W1327">_xlfn._xlws.FILTER(shifts!A:A,(shifts!B:B=events!D1327)*(shifts!AH:AH&gt;=events!U1327)*(shifts!AI:AI&lt;=events!V1327))</f>
        <v>46</v>
      </c>
      <c r="X1327" t="str">
        <f t="shared" si="235"/>
        <v>event_team_player_2</v>
      </c>
      <c r="Y1327">
        <f>COUNTIFS(A$3:A1327,"="&amp;A1327,K$3:K1327,"="&amp;K1327)</f>
        <v>2</v>
      </c>
      <c r="Z1327" s="20">
        <f>SUMIFS(T$3:T1327,L$3:L1327,"=Intermission")+SUMIFS(T$3:T1327,L$3:L1327,"=Timeout")+SUMIFS(T$3:T1327,L$3:L1327,"=Clockstop")</f>
        <v>68</v>
      </c>
      <c r="AA1327">
        <f t="shared" si="236"/>
        <v>1148</v>
      </c>
      <c r="AC1327">
        <f t="shared" si="237"/>
        <v>1216</v>
      </c>
    </row>
    <row r="1328" spans="1:29" x14ac:dyDescent="0.2">
      <c r="A1328">
        <v>706</v>
      </c>
      <c r="D1328">
        <f t="shared" si="238"/>
        <v>2</v>
      </c>
      <c r="E1328">
        <v>7</v>
      </c>
      <c r="F1328" s="6" t="s">
        <v>425</v>
      </c>
      <c r="G1328">
        <v>7</v>
      </c>
      <c r="H1328" s="8" t="s">
        <v>424</v>
      </c>
      <c r="I1328" t="s">
        <v>178</v>
      </c>
      <c r="J1328">
        <v>70</v>
      </c>
      <c r="K1328" t="s">
        <v>488</v>
      </c>
      <c r="L1328" t="s">
        <v>15</v>
      </c>
      <c r="Q1328">
        <f t="shared" si="244"/>
        <v>18977</v>
      </c>
      <c r="R1328" t="str">
        <f t="shared" si="244"/>
        <v>Velodrome</v>
      </c>
      <c r="S1328" t="str">
        <f t="shared" si="244"/>
        <v>HollowBrook</v>
      </c>
      <c r="T1328" s="20">
        <f t="shared" si="239"/>
        <v>1</v>
      </c>
      <c r="U1328">
        <f t="shared" si="240"/>
        <v>430</v>
      </c>
      <c r="V1328">
        <f t="shared" si="241"/>
        <v>429</v>
      </c>
      <c r="W1328" cm="1">
        <f t="array" ref="W1328">_xlfn._xlws.FILTER(shifts!A:A,(shifts!B:B=events!D1328)*(shifts!AH:AH&gt;=events!U1328)*(shifts!AI:AI&lt;=events!V1328))</f>
        <v>46</v>
      </c>
      <c r="X1328" t="str">
        <f t="shared" si="235"/>
        <v>event_team_player_1</v>
      </c>
      <c r="Y1328">
        <f>COUNTIFS(A$3:A1328,"="&amp;A1328,K$3:K1328,"="&amp;K1328)</f>
        <v>1</v>
      </c>
      <c r="Z1328" s="20">
        <f>SUMIFS(T$3:T1328,L$3:L1328,"=Intermission")+SUMIFS(T$3:T1328,L$3:L1328,"=Timeout")+SUMIFS(T$3:T1328,L$3:L1328,"=Clockstop")</f>
        <v>68</v>
      </c>
      <c r="AA1328">
        <f t="shared" si="236"/>
        <v>1148</v>
      </c>
      <c r="AC1328">
        <f t="shared" si="237"/>
        <v>1216</v>
      </c>
    </row>
    <row r="1329" spans="1:29" x14ac:dyDescent="0.2">
      <c r="A1329">
        <v>707</v>
      </c>
      <c r="D1329">
        <f t="shared" si="238"/>
        <v>2</v>
      </c>
      <c r="E1329">
        <v>7</v>
      </c>
      <c r="F1329" s="6" t="s">
        <v>424</v>
      </c>
      <c r="G1329">
        <v>7</v>
      </c>
      <c r="H1329" s="8" t="s">
        <v>309</v>
      </c>
      <c r="I1329" t="s">
        <v>178</v>
      </c>
      <c r="J1329">
        <v>70</v>
      </c>
      <c r="K1329" t="s">
        <v>488</v>
      </c>
      <c r="L1329" t="s">
        <v>277</v>
      </c>
      <c r="M1329" t="s">
        <v>191</v>
      </c>
      <c r="N1329" t="s">
        <v>87</v>
      </c>
      <c r="Q1329">
        <f t="shared" si="244"/>
        <v>18977</v>
      </c>
      <c r="R1329" t="str">
        <f t="shared" si="244"/>
        <v>Velodrome</v>
      </c>
      <c r="S1329" t="str">
        <f t="shared" si="244"/>
        <v>HollowBrook</v>
      </c>
      <c r="T1329" s="20">
        <f t="shared" si="239"/>
        <v>2</v>
      </c>
      <c r="U1329">
        <f t="shared" si="240"/>
        <v>429</v>
      </c>
      <c r="V1329">
        <f t="shared" si="241"/>
        <v>427</v>
      </c>
      <c r="W1329" cm="1">
        <f t="array" ref="W1329">_xlfn._xlws.FILTER(shifts!A:A,(shifts!B:B=events!D1329)*(shifts!AH:AH&gt;=events!U1329)*(shifts!AI:AI&lt;=events!V1329))</f>
        <v>46</v>
      </c>
      <c r="X1329" t="str">
        <f t="shared" si="235"/>
        <v>event_team_player_1</v>
      </c>
      <c r="Y1329">
        <f>COUNTIFS(A$3:A1329,"="&amp;A1329,K$3:K1329,"="&amp;K1329)</f>
        <v>1</v>
      </c>
      <c r="Z1329" s="20">
        <f>SUMIFS(T$3:T1329,L$3:L1329,"=Intermission")+SUMIFS(T$3:T1329,L$3:L1329,"=Timeout")+SUMIFS(T$3:T1329,L$3:L1329,"=Clockstop")</f>
        <v>68</v>
      </c>
      <c r="AA1329">
        <f t="shared" si="236"/>
        <v>1148</v>
      </c>
      <c r="AC1329">
        <f t="shared" si="237"/>
        <v>1216</v>
      </c>
    </row>
    <row r="1330" spans="1:29" x14ac:dyDescent="0.2">
      <c r="A1330">
        <v>707</v>
      </c>
      <c r="D1330">
        <f t="shared" si="238"/>
        <v>2</v>
      </c>
      <c r="E1330">
        <v>7</v>
      </c>
      <c r="F1330" s="6" t="s">
        <v>424</v>
      </c>
      <c r="G1330">
        <v>7</v>
      </c>
      <c r="H1330" s="8" t="s">
        <v>309</v>
      </c>
      <c r="I1330" t="s">
        <v>178</v>
      </c>
      <c r="J1330">
        <v>27</v>
      </c>
      <c r="K1330" t="s">
        <v>489</v>
      </c>
      <c r="L1330" t="s">
        <v>277</v>
      </c>
      <c r="M1330" t="s">
        <v>191</v>
      </c>
      <c r="N1330" t="s">
        <v>87</v>
      </c>
      <c r="Q1330">
        <f t="shared" si="244"/>
        <v>18977</v>
      </c>
      <c r="R1330" t="str">
        <f t="shared" si="244"/>
        <v>Velodrome</v>
      </c>
      <c r="S1330" t="str">
        <f t="shared" si="244"/>
        <v>HollowBrook</v>
      </c>
      <c r="T1330" s="20">
        <f t="shared" si="239"/>
        <v>2</v>
      </c>
      <c r="U1330">
        <f t="shared" si="240"/>
        <v>429</v>
      </c>
      <c r="V1330">
        <f t="shared" si="241"/>
        <v>427</v>
      </c>
      <c r="W1330" cm="1">
        <f t="array" ref="W1330">_xlfn._xlws.FILTER(shifts!A:A,(shifts!B:B=events!D1330)*(shifts!AH:AH&gt;=events!U1330)*(shifts!AI:AI&lt;=events!V1330))</f>
        <v>46</v>
      </c>
      <c r="X1330" t="str">
        <f t="shared" si="235"/>
        <v>opp_team_player_1</v>
      </c>
      <c r="Y1330">
        <f>COUNTIFS(A$3:A1330,"="&amp;A1330,K$3:K1330,"="&amp;K1330)</f>
        <v>1</v>
      </c>
      <c r="Z1330" s="20">
        <f>SUMIFS(T$3:T1330,L$3:L1330,"=Intermission")+SUMIFS(T$3:T1330,L$3:L1330,"=Timeout")+SUMIFS(T$3:T1330,L$3:L1330,"=Clockstop")</f>
        <v>68</v>
      </c>
      <c r="AA1330">
        <f t="shared" si="236"/>
        <v>1148</v>
      </c>
      <c r="AC1330">
        <f t="shared" si="237"/>
        <v>1216</v>
      </c>
    </row>
    <row r="1331" spans="1:29" x14ac:dyDescent="0.2">
      <c r="A1331">
        <v>707</v>
      </c>
      <c r="D1331">
        <f t="shared" si="238"/>
        <v>2</v>
      </c>
      <c r="E1331">
        <v>7</v>
      </c>
      <c r="F1331" s="6" t="s">
        <v>424</v>
      </c>
      <c r="G1331">
        <v>7</v>
      </c>
      <c r="H1331" s="8" t="s">
        <v>309</v>
      </c>
      <c r="I1331" t="s">
        <v>178</v>
      </c>
      <c r="J1331">
        <v>5</v>
      </c>
      <c r="K1331" t="s">
        <v>489</v>
      </c>
      <c r="L1331" t="s">
        <v>277</v>
      </c>
      <c r="M1331" t="s">
        <v>191</v>
      </c>
      <c r="N1331" t="s">
        <v>87</v>
      </c>
      <c r="Q1331">
        <f t="shared" si="244"/>
        <v>18977</v>
      </c>
      <c r="R1331" t="str">
        <f t="shared" si="244"/>
        <v>Velodrome</v>
      </c>
      <c r="S1331" t="str">
        <f t="shared" si="244"/>
        <v>HollowBrook</v>
      </c>
      <c r="T1331" s="20">
        <f t="shared" si="239"/>
        <v>2</v>
      </c>
      <c r="U1331">
        <f t="shared" si="240"/>
        <v>429</v>
      </c>
      <c r="V1331">
        <f t="shared" si="241"/>
        <v>427</v>
      </c>
      <c r="W1331" cm="1">
        <f t="array" ref="W1331">_xlfn._xlws.FILTER(shifts!A:A,(shifts!B:B=events!D1331)*(shifts!AH:AH&gt;=events!U1331)*(shifts!AI:AI&lt;=events!V1331))</f>
        <v>46</v>
      </c>
      <c r="X1331" t="str">
        <f t="shared" si="235"/>
        <v>opp_team_player_2</v>
      </c>
      <c r="Y1331">
        <f>COUNTIFS(A$3:A1331,"="&amp;A1331,K$3:K1331,"="&amp;K1331)</f>
        <v>2</v>
      </c>
      <c r="Z1331" s="20">
        <f>SUMIFS(T$3:T1331,L$3:L1331,"=Intermission")+SUMIFS(T$3:T1331,L$3:L1331,"=Timeout")+SUMIFS(T$3:T1331,L$3:L1331,"=Clockstop")</f>
        <v>68</v>
      </c>
      <c r="AA1331">
        <f t="shared" si="236"/>
        <v>1148</v>
      </c>
      <c r="AC1331">
        <f t="shared" si="237"/>
        <v>1216</v>
      </c>
    </row>
    <row r="1332" spans="1:29" x14ac:dyDescent="0.2">
      <c r="A1332">
        <v>707</v>
      </c>
      <c r="D1332">
        <f t="shared" si="238"/>
        <v>2</v>
      </c>
      <c r="E1332">
        <v>7</v>
      </c>
      <c r="F1332" s="6" t="s">
        <v>424</v>
      </c>
      <c r="G1332">
        <v>7</v>
      </c>
      <c r="H1332" s="8" t="s">
        <v>309</v>
      </c>
      <c r="I1332" t="s">
        <v>178</v>
      </c>
      <c r="J1332">
        <v>13</v>
      </c>
      <c r="K1332" t="s">
        <v>489</v>
      </c>
      <c r="L1332" t="s">
        <v>277</v>
      </c>
      <c r="M1332" t="s">
        <v>191</v>
      </c>
      <c r="N1332" t="s">
        <v>87</v>
      </c>
      <c r="Q1332">
        <f t="shared" si="244"/>
        <v>18977</v>
      </c>
      <c r="R1332" t="str">
        <f t="shared" si="244"/>
        <v>Velodrome</v>
      </c>
      <c r="S1332" t="str">
        <f t="shared" si="244"/>
        <v>HollowBrook</v>
      </c>
      <c r="T1332" s="20">
        <f t="shared" si="239"/>
        <v>2</v>
      </c>
      <c r="U1332">
        <f t="shared" si="240"/>
        <v>429</v>
      </c>
      <c r="V1332">
        <f t="shared" si="241"/>
        <v>427</v>
      </c>
      <c r="W1332" cm="1">
        <f t="array" ref="W1332">_xlfn._xlws.FILTER(shifts!A:A,(shifts!B:B=events!D1332)*(shifts!AH:AH&gt;=events!U1332)*(shifts!AI:AI&lt;=events!V1332))</f>
        <v>46</v>
      </c>
      <c r="X1332" t="str">
        <f t="shared" si="235"/>
        <v>opp_team_player_3</v>
      </c>
      <c r="Y1332">
        <f>COUNTIFS(A$3:A1332,"="&amp;A1332,K$3:K1332,"="&amp;K1332)</f>
        <v>3</v>
      </c>
      <c r="Z1332" s="20">
        <f>SUMIFS(T$3:T1332,L$3:L1332,"=Intermission")+SUMIFS(T$3:T1332,L$3:L1332,"=Timeout")+SUMIFS(T$3:T1332,L$3:L1332,"=Clockstop")</f>
        <v>68</v>
      </c>
      <c r="AA1332">
        <f t="shared" si="236"/>
        <v>1148</v>
      </c>
      <c r="AC1332">
        <f t="shared" si="237"/>
        <v>1216</v>
      </c>
    </row>
    <row r="1333" spans="1:29" x14ac:dyDescent="0.2">
      <c r="A1333">
        <v>708</v>
      </c>
      <c r="D1333">
        <f t="shared" si="238"/>
        <v>2</v>
      </c>
      <c r="E1333">
        <v>7</v>
      </c>
      <c r="F1333" s="6" t="s">
        <v>309</v>
      </c>
      <c r="I1333" t="s">
        <v>179</v>
      </c>
      <c r="J1333">
        <v>27</v>
      </c>
      <c r="K1333" t="s">
        <v>488</v>
      </c>
      <c r="L1333" t="s">
        <v>247</v>
      </c>
      <c r="M1333" t="s">
        <v>514</v>
      </c>
      <c r="N1333" t="s">
        <v>158</v>
      </c>
      <c r="Q1333">
        <f t="shared" si="244"/>
        <v>18977</v>
      </c>
      <c r="R1333" t="str">
        <f t="shared" si="244"/>
        <v>Velodrome</v>
      </c>
      <c r="S1333" t="str">
        <f t="shared" si="244"/>
        <v>HollowBrook</v>
      </c>
      <c r="T1333" s="20">
        <f t="shared" si="239"/>
        <v>0</v>
      </c>
      <c r="U1333">
        <f t="shared" si="240"/>
        <v>427</v>
      </c>
      <c r="V1333">
        <f t="shared" si="241"/>
        <v>427</v>
      </c>
      <c r="W1333" cm="1">
        <f t="array" ref="W1333">_xlfn._xlws.FILTER(shifts!A:A,(shifts!B:B=events!D1333)*(shifts!AH:AH&gt;=events!U1333)*(shifts!AI:AI&lt;=events!V1333))</f>
        <v>46</v>
      </c>
      <c r="X1333" t="str">
        <f t="shared" si="235"/>
        <v>event_team_player_1</v>
      </c>
      <c r="Y1333">
        <f>COUNTIFS(A$3:A1333,"="&amp;A1333,K$3:K1333,"="&amp;K1333)</f>
        <v>1</v>
      </c>
      <c r="Z1333" s="20">
        <f>SUMIFS(T$3:T1333,L$3:L1333,"=Intermission")+SUMIFS(T$3:T1333,L$3:L1333,"=Timeout")+SUMIFS(T$3:T1333,L$3:L1333,"=Clockstop")</f>
        <v>68</v>
      </c>
      <c r="AA1333">
        <f t="shared" si="236"/>
        <v>1148</v>
      </c>
      <c r="AC1333">
        <f t="shared" si="237"/>
        <v>1216</v>
      </c>
    </row>
    <row r="1334" spans="1:29" x14ac:dyDescent="0.2">
      <c r="A1334">
        <v>708</v>
      </c>
      <c r="D1334">
        <f t="shared" si="238"/>
        <v>2</v>
      </c>
      <c r="E1334">
        <v>7</v>
      </c>
      <c r="F1334" s="6" t="s">
        <v>309</v>
      </c>
      <c r="I1334" t="s">
        <v>179</v>
      </c>
      <c r="J1334">
        <v>70</v>
      </c>
      <c r="K1334" t="s">
        <v>489</v>
      </c>
      <c r="L1334" t="s">
        <v>247</v>
      </c>
      <c r="M1334" t="s">
        <v>514</v>
      </c>
      <c r="N1334" t="s">
        <v>158</v>
      </c>
      <c r="Q1334">
        <f t="shared" ref="Q1334:S1349" si="245">Q1333</f>
        <v>18977</v>
      </c>
      <c r="R1334" t="str">
        <f t="shared" si="245"/>
        <v>Velodrome</v>
      </c>
      <c r="S1334" t="str">
        <f t="shared" si="245"/>
        <v>HollowBrook</v>
      </c>
      <c r="T1334" s="20">
        <f t="shared" si="239"/>
        <v>0</v>
      </c>
      <c r="U1334">
        <f t="shared" si="240"/>
        <v>427</v>
      </c>
      <c r="V1334">
        <f t="shared" si="241"/>
        <v>427</v>
      </c>
      <c r="W1334" cm="1">
        <f t="array" ref="W1334">_xlfn._xlws.FILTER(shifts!A:A,(shifts!B:B=events!D1334)*(shifts!AH:AH&gt;=events!U1334)*(shifts!AI:AI&lt;=events!V1334))</f>
        <v>46</v>
      </c>
      <c r="X1334" t="str">
        <f t="shared" ref="X1334:X1397" si="246">IF(K1334="e","event_team_player_"&amp;Y1334,IF(K1334="o","opp_team_player_"&amp;Y1334,""))</f>
        <v>opp_team_player_1</v>
      </c>
      <c r="Y1334">
        <f>COUNTIFS(A$3:A1334,"="&amp;A1334,K$3:K1334,"="&amp;K1334)</f>
        <v>1</v>
      </c>
      <c r="Z1334" s="20">
        <f>SUMIFS(T$3:T1334,L$3:L1334,"=Intermission")+SUMIFS(T$3:T1334,L$3:L1334,"=Timeout")+SUMIFS(T$3:T1334,L$3:L1334,"=Clockstop")</f>
        <v>68</v>
      </c>
      <c r="AA1334">
        <f t="shared" si="236"/>
        <v>1148</v>
      </c>
      <c r="AC1334">
        <f t="shared" si="237"/>
        <v>1216</v>
      </c>
    </row>
    <row r="1335" spans="1:29" x14ac:dyDescent="0.2">
      <c r="A1335">
        <v>709</v>
      </c>
      <c r="D1335">
        <f t="shared" si="238"/>
        <v>2</v>
      </c>
      <c r="E1335">
        <v>7</v>
      </c>
      <c r="F1335" s="6" t="s">
        <v>310</v>
      </c>
      <c r="I1335" t="s">
        <v>178</v>
      </c>
      <c r="J1335">
        <v>14</v>
      </c>
      <c r="K1335" t="s">
        <v>488</v>
      </c>
      <c r="L1335" t="s">
        <v>277</v>
      </c>
      <c r="M1335" t="s">
        <v>210</v>
      </c>
      <c r="N1335" t="s">
        <v>93</v>
      </c>
      <c r="Q1335">
        <f t="shared" si="245"/>
        <v>18977</v>
      </c>
      <c r="R1335" t="str">
        <f t="shared" si="245"/>
        <v>Velodrome</v>
      </c>
      <c r="S1335" t="str">
        <f t="shared" si="245"/>
        <v>HollowBrook</v>
      </c>
      <c r="T1335" s="20">
        <f t="shared" si="239"/>
        <v>0</v>
      </c>
      <c r="U1335">
        <f t="shared" si="240"/>
        <v>424</v>
      </c>
      <c r="V1335">
        <f t="shared" si="241"/>
        <v>424</v>
      </c>
      <c r="W1335" cm="1">
        <f t="array" ref="W1335">_xlfn._xlws.FILTER(shifts!A:A,(shifts!B:B=events!D1335)*(shifts!AH:AH&gt;=events!U1335)*(shifts!AI:AI&lt;=events!V1335))</f>
        <v>46</v>
      </c>
      <c r="X1335" t="str">
        <f t="shared" si="246"/>
        <v>event_team_player_1</v>
      </c>
      <c r="Y1335">
        <f>COUNTIFS(A$3:A1335,"="&amp;A1335,K$3:K1335,"="&amp;K1335)</f>
        <v>1</v>
      </c>
      <c r="Z1335" s="20">
        <f>SUMIFS(T$3:T1335,L$3:L1335,"=Intermission")+SUMIFS(T$3:T1335,L$3:L1335,"=Timeout")+SUMIFS(T$3:T1335,L$3:L1335,"=Clockstop")</f>
        <v>68</v>
      </c>
      <c r="AA1335">
        <f t="shared" si="236"/>
        <v>1148</v>
      </c>
      <c r="AC1335">
        <f t="shared" si="237"/>
        <v>1216</v>
      </c>
    </row>
    <row r="1336" spans="1:29" x14ac:dyDescent="0.2">
      <c r="A1336">
        <v>710</v>
      </c>
      <c r="D1336">
        <f t="shared" si="238"/>
        <v>2</v>
      </c>
      <c r="E1336">
        <v>7</v>
      </c>
      <c r="F1336" s="6" t="s">
        <v>310</v>
      </c>
      <c r="I1336" t="s">
        <v>178</v>
      </c>
      <c r="J1336">
        <v>14</v>
      </c>
      <c r="K1336" t="s">
        <v>488</v>
      </c>
      <c r="L1336" t="s">
        <v>7</v>
      </c>
      <c r="M1336" t="s">
        <v>198</v>
      </c>
      <c r="N1336" t="s">
        <v>53</v>
      </c>
      <c r="Q1336">
        <f t="shared" si="245"/>
        <v>18977</v>
      </c>
      <c r="R1336" t="str">
        <f t="shared" si="245"/>
        <v>Velodrome</v>
      </c>
      <c r="S1336" t="str">
        <f t="shared" si="245"/>
        <v>HollowBrook</v>
      </c>
      <c r="T1336" s="20">
        <f t="shared" si="239"/>
        <v>0</v>
      </c>
      <c r="U1336">
        <f t="shared" si="240"/>
        <v>424</v>
      </c>
      <c r="V1336">
        <f t="shared" si="241"/>
        <v>424</v>
      </c>
      <c r="W1336" cm="1">
        <f t="array" ref="W1336">_xlfn._xlws.FILTER(shifts!A:A,(shifts!B:B=events!D1336)*(shifts!AH:AH&gt;=events!U1336)*(shifts!AI:AI&lt;=events!V1336))</f>
        <v>46</v>
      </c>
      <c r="X1336" t="str">
        <f t="shared" si="246"/>
        <v>event_team_player_1</v>
      </c>
      <c r="Y1336">
        <f>COUNTIFS(A$3:A1336,"="&amp;A1336,K$3:K1336,"="&amp;K1336)</f>
        <v>1</v>
      </c>
      <c r="Z1336" s="20">
        <f>SUMIFS(T$3:T1336,L$3:L1336,"=Intermission")+SUMIFS(T$3:T1336,L$3:L1336,"=Timeout")+SUMIFS(T$3:T1336,L$3:L1336,"=Clockstop")</f>
        <v>68</v>
      </c>
      <c r="AA1336">
        <f t="shared" si="236"/>
        <v>1148</v>
      </c>
      <c r="AC1336">
        <f t="shared" si="237"/>
        <v>1216</v>
      </c>
    </row>
    <row r="1337" spans="1:29" x14ac:dyDescent="0.2">
      <c r="A1337">
        <v>710</v>
      </c>
      <c r="D1337">
        <f t="shared" si="238"/>
        <v>2</v>
      </c>
      <c r="E1337">
        <v>7</v>
      </c>
      <c r="F1337" s="6" t="s">
        <v>310</v>
      </c>
      <c r="I1337" t="s">
        <v>178</v>
      </c>
      <c r="J1337">
        <v>13</v>
      </c>
      <c r="K1337" t="s">
        <v>489</v>
      </c>
      <c r="L1337" t="s">
        <v>7</v>
      </c>
      <c r="M1337" t="s">
        <v>198</v>
      </c>
      <c r="N1337" t="s">
        <v>53</v>
      </c>
      <c r="Q1337">
        <f t="shared" si="245"/>
        <v>18977</v>
      </c>
      <c r="R1337" t="str">
        <f t="shared" si="245"/>
        <v>Velodrome</v>
      </c>
      <c r="S1337" t="str">
        <f t="shared" si="245"/>
        <v>HollowBrook</v>
      </c>
      <c r="T1337" s="20">
        <f t="shared" si="239"/>
        <v>0</v>
      </c>
      <c r="U1337">
        <f t="shared" si="240"/>
        <v>424</v>
      </c>
      <c r="V1337">
        <f t="shared" si="241"/>
        <v>424</v>
      </c>
      <c r="W1337" cm="1">
        <f t="array" ref="W1337">_xlfn._xlws.FILTER(shifts!A:A,(shifts!B:B=events!D1337)*(shifts!AH:AH&gt;=events!U1337)*(shifts!AI:AI&lt;=events!V1337))</f>
        <v>46</v>
      </c>
      <c r="X1337" t="str">
        <f t="shared" si="246"/>
        <v>opp_team_player_1</v>
      </c>
      <c r="Y1337">
        <f>COUNTIFS(A$3:A1337,"="&amp;A1337,K$3:K1337,"="&amp;K1337)</f>
        <v>1</v>
      </c>
      <c r="Z1337" s="20">
        <f>SUMIFS(T$3:T1337,L$3:L1337,"=Intermission")+SUMIFS(T$3:T1337,L$3:L1337,"=Timeout")+SUMIFS(T$3:T1337,L$3:L1337,"=Clockstop")</f>
        <v>68</v>
      </c>
      <c r="AA1337">
        <f t="shared" si="236"/>
        <v>1148</v>
      </c>
      <c r="AC1337">
        <f t="shared" si="237"/>
        <v>1216</v>
      </c>
    </row>
    <row r="1338" spans="1:29" x14ac:dyDescent="0.2">
      <c r="A1338">
        <v>711</v>
      </c>
      <c r="D1338">
        <f t="shared" si="238"/>
        <v>2</v>
      </c>
      <c r="E1338">
        <v>7</v>
      </c>
      <c r="F1338" s="6" t="s">
        <v>316</v>
      </c>
      <c r="G1338">
        <v>7</v>
      </c>
      <c r="H1338" s="8" t="s">
        <v>426</v>
      </c>
      <c r="I1338" t="s">
        <v>178</v>
      </c>
      <c r="J1338">
        <v>61</v>
      </c>
      <c r="K1338" t="s">
        <v>488</v>
      </c>
      <c r="L1338" t="s">
        <v>15</v>
      </c>
      <c r="Q1338">
        <f t="shared" si="245"/>
        <v>18977</v>
      </c>
      <c r="R1338" t="str">
        <f t="shared" si="245"/>
        <v>Velodrome</v>
      </c>
      <c r="S1338" t="str">
        <f t="shared" si="245"/>
        <v>HollowBrook</v>
      </c>
      <c r="T1338" s="20">
        <f t="shared" si="239"/>
        <v>2</v>
      </c>
      <c r="U1338">
        <f t="shared" si="240"/>
        <v>422</v>
      </c>
      <c r="V1338">
        <f t="shared" si="241"/>
        <v>420</v>
      </c>
      <c r="W1338" cm="1">
        <f t="array" ref="W1338">_xlfn._xlws.FILTER(shifts!A:A,(shifts!B:B=events!D1338)*(shifts!AH:AH&gt;=events!U1338)*(shifts!AI:AI&lt;=events!V1338))</f>
        <v>46</v>
      </c>
      <c r="X1338" t="str">
        <f t="shared" si="246"/>
        <v>event_team_player_1</v>
      </c>
      <c r="Y1338">
        <f>COUNTIFS(A$3:A1338,"="&amp;A1338,K$3:K1338,"="&amp;K1338)</f>
        <v>1</v>
      </c>
      <c r="Z1338" s="20">
        <f>SUMIFS(T$3:T1338,L$3:L1338,"=Intermission")+SUMIFS(T$3:T1338,L$3:L1338,"=Timeout")+SUMIFS(T$3:T1338,L$3:L1338,"=Clockstop")</f>
        <v>68</v>
      </c>
      <c r="AA1338">
        <f t="shared" si="236"/>
        <v>1148</v>
      </c>
      <c r="AC1338">
        <f t="shared" si="237"/>
        <v>1216</v>
      </c>
    </row>
    <row r="1339" spans="1:29" x14ac:dyDescent="0.2">
      <c r="A1339">
        <v>712</v>
      </c>
      <c r="D1339">
        <f t="shared" si="238"/>
        <v>2</v>
      </c>
      <c r="E1339">
        <v>7</v>
      </c>
      <c r="F1339" s="6" t="s">
        <v>426</v>
      </c>
      <c r="I1339" t="s">
        <v>178</v>
      </c>
      <c r="J1339">
        <v>61</v>
      </c>
      <c r="K1339" t="s">
        <v>488</v>
      </c>
      <c r="L1339" t="s">
        <v>8</v>
      </c>
      <c r="M1339" t="s">
        <v>189</v>
      </c>
      <c r="N1339" t="s">
        <v>70</v>
      </c>
      <c r="Q1339">
        <f t="shared" si="245"/>
        <v>18977</v>
      </c>
      <c r="R1339" t="str">
        <f t="shared" si="245"/>
        <v>Velodrome</v>
      </c>
      <c r="S1339" t="str">
        <f t="shared" si="245"/>
        <v>HollowBrook</v>
      </c>
      <c r="T1339" s="20">
        <f t="shared" si="239"/>
        <v>0</v>
      </c>
      <c r="U1339">
        <f t="shared" si="240"/>
        <v>420</v>
      </c>
      <c r="V1339">
        <f t="shared" si="241"/>
        <v>420</v>
      </c>
      <c r="W1339" cm="1">
        <f t="array" ref="W1339">_xlfn._xlws.FILTER(shifts!A:A,(shifts!B:B=events!D1339)*(shifts!AH:AH&gt;=events!U1339)*(shifts!AI:AI&lt;=events!V1339))</f>
        <v>46</v>
      </c>
      <c r="X1339" t="str">
        <f t="shared" si="246"/>
        <v>event_team_player_1</v>
      </c>
      <c r="Y1339">
        <f>COUNTIFS(A$3:A1339,"="&amp;A1339,K$3:K1339,"="&amp;K1339)</f>
        <v>1</v>
      </c>
      <c r="Z1339" s="20">
        <f>SUMIFS(T$3:T1339,L$3:L1339,"=Intermission")+SUMIFS(T$3:T1339,L$3:L1339,"=Timeout")+SUMIFS(T$3:T1339,L$3:L1339,"=Clockstop")</f>
        <v>68</v>
      </c>
      <c r="AA1339">
        <f t="shared" si="236"/>
        <v>1148</v>
      </c>
      <c r="AC1339">
        <f t="shared" si="237"/>
        <v>1216</v>
      </c>
    </row>
    <row r="1340" spans="1:29" x14ac:dyDescent="0.2">
      <c r="A1340">
        <v>712</v>
      </c>
      <c r="D1340">
        <f t="shared" si="238"/>
        <v>2</v>
      </c>
      <c r="E1340">
        <v>7</v>
      </c>
      <c r="F1340" s="6" t="s">
        <v>426</v>
      </c>
      <c r="I1340" t="s">
        <v>178</v>
      </c>
      <c r="J1340">
        <v>70</v>
      </c>
      <c r="K1340" t="s">
        <v>488</v>
      </c>
      <c r="L1340" t="s">
        <v>8</v>
      </c>
      <c r="M1340" t="s">
        <v>189</v>
      </c>
      <c r="N1340" t="s">
        <v>70</v>
      </c>
      <c r="Q1340">
        <f t="shared" si="245"/>
        <v>18977</v>
      </c>
      <c r="R1340" t="str">
        <f t="shared" si="245"/>
        <v>Velodrome</v>
      </c>
      <c r="S1340" t="str">
        <f t="shared" si="245"/>
        <v>HollowBrook</v>
      </c>
      <c r="T1340" s="20">
        <f t="shared" si="239"/>
        <v>0</v>
      </c>
      <c r="U1340">
        <f t="shared" si="240"/>
        <v>420</v>
      </c>
      <c r="V1340">
        <f t="shared" si="241"/>
        <v>420</v>
      </c>
      <c r="W1340" cm="1">
        <f t="array" ref="W1340">_xlfn._xlws.FILTER(shifts!A:A,(shifts!B:B=events!D1340)*(shifts!AH:AH&gt;=events!U1340)*(shifts!AI:AI&lt;=events!V1340))</f>
        <v>46</v>
      </c>
      <c r="X1340" t="str">
        <f t="shared" si="246"/>
        <v>event_team_player_2</v>
      </c>
      <c r="Y1340">
        <f>COUNTIFS(A$3:A1340,"="&amp;A1340,K$3:K1340,"="&amp;K1340)</f>
        <v>2</v>
      </c>
      <c r="Z1340" s="20">
        <f>SUMIFS(T$3:T1340,L$3:L1340,"=Intermission")+SUMIFS(T$3:T1340,L$3:L1340,"=Timeout")+SUMIFS(T$3:T1340,L$3:L1340,"=Clockstop")</f>
        <v>68</v>
      </c>
      <c r="AA1340">
        <f t="shared" si="236"/>
        <v>1148</v>
      </c>
      <c r="AC1340">
        <f t="shared" si="237"/>
        <v>1216</v>
      </c>
    </row>
    <row r="1341" spans="1:29" x14ac:dyDescent="0.2">
      <c r="A1341">
        <v>713</v>
      </c>
      <c r="D1341">
        <f t="shared" si="238"/>
        <v>2</v>
      </c>
      <c r="E1341">
        <v>7</v>
      </c>
      <c r="F1341" s="6" t="s">
        <v>426</v>
      </c>
      <c r="I1341" t="s">
        <v>178</v>
      </c>
      <c r="J1341">
        <v>70</v>
      </c>
      <c r="K1341" t="s">
        <v>488</v>
      </c>
      <c r="L1341" t="s">
        <v>7</v>
      </c>
      <c r="M1341" t="s">
        <v>198</v>
      </c>
      <c r="N1341" t="s">
        <v>221</v>
      </c>
      <c r="Q1341">
        <f t="shared" si="245"/>
        <v>18977</v>
      </c>
      <c r="R1341" t="str">
        <f t="shared" si="245"/>
        <v>Velodrome</v>
      </c>
      <c r="S1341" t="str">
        <f t="shared" si="245"/>
        <v>HollowBrook</v>
      </c>
      <c r="T1341" s="20">
        <f t="shared" si="239"/>
        <v>0</v>
      </c>
      <c r="U1341">
        <f t="shared" si="240"/>
        <v>420</v>
      </c>
      <c r="V1341">
        <f t="shared" si="241"/>
        <v>420</v>
      </c>
      <c r="W1341" cm="1">
        <f t="array" ref="W1341">_xlfn._xlws.FILTER(shifts!A:A,(shifts!B:B=events!D1341)*(shifts!AH:AH&gt;=events!U1341)*(shifts!AI:AI&lt;=events!V1341))</f>
        <v>46</v>
      </c>
      <c r="X1341" t="str">
        <f t="shared" si="246"/>
        <v>event_team_player_1</v>
      </c>
      <c r="Y1341">
        <f>COUNTIFS(A$3:A1341,"="&amp;A1341,K$3:K1341,"="&amp;K1341)</f>
        <v>1</v>
      </c>
      <c r="Z1341" s="20">
        <f>SUMIFS(T$3:T1341,L$3:L1341,"=Intermission")+SUMIFS(T$3:T1341,L$3:L1341,"=Timeout")+SUMIFS(T$3:T1341,L$3:L1341,"=Clockstop")</f>
        <v>68</v>
      </c>
      <c r="AA1341">
        <f t="shared" si="236"/>
        <v>1148</v>
      </c>
      <c r="AC1341">
        <f t="shared" si="237"/>
        <v>1216</v>
      </c>
    </row>
    <row r="1342" spans="1:29" x14ac:dyDescent="0.2">
      <c r="A1342">
        <v>713</v>
      </c>
      <c r="D1342">
        <f t="shared" si="238"/>
        <v>2</v>
      </c>
      <c r="E1342">
        <v>7</v>
      </c>
      <c r="F1342" s="6" t="s">
        <v>426</v>
      </c>
      <c r="I1342" t="s">
        <v>178</v>
      </c>
      <c r="J1342">
        <v>19</v>
      </c>
      <c r="K1342" t="s">
        <v>489</v>
      </c>
      <c r="L1342" t="s">
        <v>7</v>
      </c>
      <c r="M1342" t="s">
        <v>198</v>
      </c>
      <c r="N1342" t="s">
        <v>221</v>
      </c>
      <c r="Q1342">
        <f t="shared" si="245"/>
        <v>18977</v>
      </c>
      <c r="R1342" t="str">
        <f t="shared" si="245"/>
        <v>Velodrome</v>
      </c>
      <c r="S1342" t="str">
        <f t="shared" si="245"/>
        <v>HollowBrook</v>
      </c>
      <c r="T1342" s="20">
        <f t="shared" si="239"/>
        <v>0</v>
      </c>
      <c r="U1342">
        <f t="shared" si="240"/>
        <v>420</v>
      </c>
      <c r="V1342">
        <f t="shared" si="241"/>
        <v>420</v>
      </c>
      <c r="W1342" cm="1">
        <f t="array" ref="W1342">_xlfn._xlws.FILTER(shifts!A:A,(shifts!B:B=events!D1342)*(shifts!AH:AH&gt;=events!U1342)*(shifts!AI:AI&lt;=events!V1342))</f>
        <v>46</v>
      </c>
      <c r="X1342" t="str">
        <f t="shared" si="246"/>
        <v>opp_team_player_1</v>
      </c>
      <c r="Y1342">
        <f>COUNTIFS(A$3:A1342,"="&amp;A1342,K$3:K1342,"="&amp;K1342)</f>
        <v>1</v>
      </c>
      <c r="Z1342" s="20">
        <f>SUMIFS(T$3:T1342,L$3:L1342,"=Intermission")+SUMIFS(T$3:T1342,L$3:L1342,"=Timeout")+SUMIFS(T$3:T1342,L$3:L1342,"=Clockstop")</f>
        <v>68</v>
      </c>
      <c r="AA1342">
        <f t="shared" si="236"/>
        <v>1148</v>
      </c>
      <c r="AC1342">
        <f t="shared" si="237"/>
        <v>1216</v>
      </c>
    </row>
    <row r="1343" spans="1:29" x14ac:dyDescent="0.2">
      <c r="A1343">
        <v>713</v>
      </c>
      <c r="D1343">
        <f t="shared" si="238"/>
        <v>2</v>
      </c>
      <c r="E1343">
        <v>7</v>
      </c>
      <c r="F1343" s="6" t="s">
        <v>426</v>
      </c>
      <c r="I1343" t="s">
        <v>178</v>
      </c>
      <c r="J1343">
        <v>27</v>
      </c>
      <c r="K1343" t="s">
        <v>489</v>
      </c>
      <c r="L1343" t="s">
        <v>7</v>
      </c>
      <c r="M1343" t="s">
        <v>198</v>
      </c>
      <c r="N1343" t="s">
        <v>221</v>
      </c>
      <c r="Q1343">
        <f t="shared" si="245"/>
        <v>18977</v>
      </c>
      <c r="R1343" t="str">
        <f t="shared" si="245"/>
        <v>Velodrome</v>
      </c>
      <c r="S1343" t="str">
        <f t="shared" si="245"/>
        <v>HollowBrook</v>
      </c>
      <c r="T1343" s="20">
        <f t="shared" si="239"/>
        <v>0</v>
      </c>
      <c r="U1343">
        <f t="shared" si="240"/>
        <v>420</v>
      </c>
      <c r="V1343">
        <f t="shared" si="241"/>
        <v>420</v>
      </c>
      <c r="W1343" cm="1">
        <f t="array" ref="W1343">_xlfn._xlws.FILTER(shifts!A:A,(shifts!B:B=events!D1343)*(shifts!AH:AH&gt;=events!U1343)*(shifts!AI:AI&lt;=events!V1343))</f>
        <v>46</v>
      </c>
      <c r="X1343" t="str">
        <f t="shared" si="246"/>
        <v>opp_team_player_2</v>
      </c>
      <c r="Y1343">
        <f>COUNTIFS(A$3:A1343,"="&amp;A1343,K$3:K1343,"="&amp;K1343)</f>
        <v>2</v>
      </c>
      <c r="Z1343" s="20">
        <f>SUMIFS(T$3:T1343,L$3:L1343,"=Intermission")+SUMIFS(T$3:T1343,L$3:L1343,"=Timeout")+SUMIFS(T$3:T1343,L$3:L1343,"=Clockstop")</f>
        <v>68</v>
      </c>
      <c r="AA1343">
        <f t="shared" si="236"/>
        <v>1148</v>
      </c>
      <c r="AC1343">
        <f t="shared" si="237"/>
        <v>1216</v>
      </c>
    </row>
    <row r="1344" spans="1:29" x14ac:dyDescent="0.2">
      <c r="A1344">
        <v>714</v>
      </c>
      <c r="D1344">
        <f t="shared" si="238"/>
        <v>2</v>
      </c>
      <c r="E1344">
        <v>6</v>
      </c>
      <c r="F1344" s="6" t="s">
        <v>421</v>
      </c>
      <c r="G1344">
        <v>6</v>
      </c>
      <c r="H1344" s="8" t="s">
        <v>492</v>
      </c>
      <c r="I1344" t="s">
        <v>179</v>
      </c>
      <c r="J1344">
        <v>11</v>
      </c>
      <c r="K1344" t="s">
        <v>488</v>
      </c>
      <c r="L1344" t="s">
        <v>15</v>
      </c>
      <c r="Q1344">
        <f t="shared" si="245"/>
        <v>18977</v>
      </c>
      <c r="R1344" t="str">
        <f t="shared" si="245"/>
        <v>Velodrome</v>
      </c>
      <c r="S1344" t="str">
        <f t="shared" si="245"/>
        <v>HollowBrook</v>
      </c>
      <c r="T1344" s="20">
        <f t="shared" si="239"/>
        <v>3</v>
      </c>
      <c r="U1344">
        <f t="shared" si="240"/>
        <v>416</v>
      </c>
      <c r="V1344">
        <f t="shared" si="241"/>
        <v>413</v>
      </c>
      <c r="W1344" cm="1">
        <f t="array" ref="W1344">_xlfn._xlws.FILTER(shifts!A:A,(shifts!B:B=events!D1344)*(shifts!AH:AH&gt;=events!U1344)*(shifts!AI:AI&lt;=events!V1344))</f>
        <v>46</v>
      </c>
      <c r="X1344" t="str">
        <f t="shared" si="246"/>
        <v>event_team_player_1</v>
      </c>
      <c r="Y1344">
        <f>COUNTIFS(A$3:A1344,"="&amp;A1344,K$3:K1344,"="&amp;K1344)</f>
        <v>1</v>
      </c>
      <c r="Z1344" s="20">
        <f>SUMIFS(T$3:T1344,L$3:L1344,"=Intermission")+SUMIFS(T$3:T1344,L$3:L1344,"=Timeout")+SUMIFS(T$3:T1344,L$3:L1344,"=Clockstop")</f>
        <v>68</v>
      </c>
      <c r="AA1344">
        <f t="shared" si="236"/>
        <v>1148</v>
      </c>
      <c r="AC1344">
        <f t="shared" si="237"/>
        <v>1216</v>
      </c>
    </row>
    <row r="1345" spans="1:29" x14ac:dyDescent="0.2">
      <c r="A1345">
        <v>714</v>
      </c>
      <c r="D1345">
        <f t="shared" si="238"/>
        <v>2</v>
      </c>
      <c r="E1345">
        <v>6</v>
      </c>
      <c r="F1345" s="6" t="s">
        <v>421</v>
      </c>
      <c r="G1345">
        <v>6</v>
      </c>
      <c r="H1345" s="8" t="s">
        <v>492</v>
      </c>
      <c r="I1345" t="s">
        <v>179</v>
      </c>
      <c r="J1345">
        <v>61</v>
      </c>
      <c r="K1345" t="s">
        <v>489</v>
      </c>
      <c r="L1345" t="s">
        <v>15</v>
      </c>
      <c r="Q1345">
        <f t="shared" si="245"/>
        <v>18977</v>
      </c>
      <c r="R1345" t="str">
        <f t="shared" si="245"/>
        <v>Velodrome</v>
      </c>
      <c r="S1345" t="str">
        <f t="shared" si="245"/>
        <v>HollowBrook</v>
      </c>
      <c r="T1345" s="20">
        <f t="shared" si="239"/>
        <v>3</v>
      </c>
      <c r="U1345">
        <f t="shared" si="240"/>
        <v>416</v>
      </c>
      <c r="V1345">
        <f t="shared" si="241"/>
        <v>413</v>
      </c>
      <c r="W1345" cm="1">
        <f t="array" ref="W1345">_xlfn._xlws.FILTER(shifts!A:A,(shifts!B:B=events!D1345)*(shifts!AH:AH&gt;=events!U1345)*(shifts!AI:AI&lt;=events!V1345))</f>
        <v>46</v>
      </c>
      <c r="X1345" t="str">
        <f t="shared" si="246"/>
        <v>opp_team_player_1</v>
      </c>
      <c r="Y1345">
        <f>COUNTIFS(A$3:A1345,"="&amp;A1345,K$3:K1345,"="&amp;K1345)</f>
        <v>1</v>
      </c>
      <c r="Z1345" s="20">
        <f>SUMIFS(T$3:T1345,L$3:L1345,"=Intermission")+SUMIFS(T$3:T1345,L$3:L1345,"=Timeout")+SUMIFS(T$3:T1345,L$3:L1345,"=Clockstop")</f>
        <v>68</v>
      </c>
      <c r="AA1345">
        <f t="shared" si="236"/>
        <v>1148</v>
      </c>
      <c r="AC1345">
        <f t="shared" si="237"/>
        <v>1216</v>
      </c>
    </row>
    <row r="1346" spans="1:29" x14ac:dyDescent="0.2">
      <c r="A1346">
        <v>715</v>
      </c>
      <c r="D1346">
        <f t="shared" si="238"/>
        <v>2</v>
      </c>
      <c r="E1346">
        <v>6</v>
      </c>
      <c r="F1346" s="6" t="s">
        <v>428</v>
      </c>
      <c r="G1346">
        <v>6</v>
      </c>
      <c r="H1346" s="8" t="s">
        <v>477</v>
      </c>
      <c r="I1346" t="s">
        <v>179</v>
      </c>
      <c r="J1346">
        <v>11</v>
      </c>
      <c r="K1346" t="s">
        <v>488</v>
      </c>
      <c r="L1346" t="s">
        <v>277</v>
      </c>
      <c r="M1346" t="s">
        <v>201</v>
      </c>
      <c r="N1346" t="s">
        <v>499</v>
      </c>
      <c r="Q1346">
        <f t="shared" si="245"/>
        <v>18977</v>
      </c>
      <c r="R1346" t="str">
        <f t="shared" si="245"/>
        <v>Velodrome</v>
      </c>
      <c r="S1346" t="str">
        <f t="shared" si="245"/>
        <v>HollowBrook</v>
      </c>
      <c r="T1346" s="20">
        <f t="shared" si="239"/>
        <v>1</v>
      </c>
      <c r="U1346">
        <f t="shared" si="240"/>
        <v>412</v>
      </c>
      <c r="V1346">
        <f t="shared" si="241"/>
        <v>411</v>
      </c>
      <c r="W1346" cm="1">
        <f t="array" ref="W1346">_xlfn._xlws.FILTER(shifts!A:A,(shifts!B:B=events!D1346)*(shifts!AH:AH&gt;=events!U1346)*(shifts!AI:AI&lt;=events!V1346))</f>
        <v>46</v>
      </c>
      <c r="X1346" t="str">
        <f t="shared" si="246"/>
        <v>event_team_player_1</v>
      </c>
      <c r="Y1346">
        <f>COUNTIFS(A$3:A1346,"="&amp;A1346,K$3:K1346,"="&amp;K1346)</f>
        <v>1</v>
      </c>
      <c r="Z1346" s="20">
        <f>SUMIFS(T$3:T1346,L$3:L1346,"=Intermission")+SUMIFS(T$3:T1346,L$3:L1346,"=Timeout")+SUMIFS(T$3:T1346,L$3:L1346,"=Clockstop")</f>
        <v>68</v>
      </c>
      <c r="AA1346">
        <f t="shared" si="236"/>
        <v>1148</v>
      </c>
      <c r="AC1346">
        <f t="shared" si="237"/>
        <v>1216</v>
      </c>
    </row>
    <row r="1347" spans="1:29" x14ac:dyDescent="0.2">
      <c r="A1347">
        <v>715</v>
      </c>
      <c r="D1347">
        <f t="shared" si="238"/>
        <v>2</v>
      </c>
      <c r="E1347">
        <v>6</v>
      </c>
      <c r="F1347" s="6" t="s">
        <v>428</v>
      </c>
      <c r="G1347">
        <v>6</v>
      </c>
      <c r="H1347" s="8" t="s">
        <v>477</v>
      </c>
      <c r="I1347" t="s">
        <v>179</v>
      </c>
      <c r="J1347">
        <v>22</v>
      </c>
      <c r="K1347" t="s">
        <v>489</v>
      </c>
      <c r="L1347" t="s">
        <v>277</v>
      </c>
      <c r="M1347" t="s">
        <v>201</v>
      </c>
      <c r="N1347" t="s">
        <v>499</v>
      </c>
      <c r="Q1347">
        <f t="shared" si="245"/>
        <v>18977</v>
      </c>
      <c r="R1347" t="str">
        <f t="shared" si="245"/>
        <v>Velodrome</v>
      </c>
      <c r="S1347" t="str">
        <f t="shared" si="245"/>
        <v>HollowBrook</v>
      </c>
      <c r="T1347" s="20">
        <f t="shared" si="239"/>
        <v>1</v>
      </c>
      <c r="U1347">
        <f t="shared" si="240"/>
        <v>412</v>
      </c>
      <c r="V1347">
        <f t="shared" si="241"/>
        <v>411</v>
      </c>
      <c r="W1347" cm="1">
        <f t="array" ref="W1347">_xlfn._xlws.FILTER(shifts!A:A,(shifts!B:B=events!D1347)*(shifts!AH:AH&gt;=events!U1347)*(shifts!AI:AI&lt;=events!V1347))</f>
        <v>46</v>
      </c>
      <c r="X1347" t="str">
        <f t="shared" si="246"/>
        <v>opp_team_player_1</v>
      </c>
      <c r="Y1347">
        <f>COUNTIFS(A$3:A1347,"="&amp;A1347,K$3:K1347,"="&amp;K1347)</f>
        <v>1</v>
      </c>
      <c r="Z1347" s="20">
        <f>SUMIFS(T$3:T1347,L$3:L1347,"=Intermission")+SUMIFS(T$3:T1347,L$3:L1347,"=Timeout")+SUMIFS(T$3:T1347,L$3:L1347,"=Clockstop")</f>
        <v>68</v>
      </c>
      <c r="AA1347">
        <f t="shared" si="236"/>
        <v>1148</v>
      </c>
      <c r="AC1347">
        <f t="shared" si="237"/>
        <v>1216</v>
      </c>
    </row>
    <row r="1348" spans="1:29" x14ac:dyDescent="0.2">
      <c r="A1348">
        <v>715</v>
      </c>
      <c r="D1348">
        <f t="shared" si="238"/>
        <v>2</v>
      </c>
      <c r="E1348">
        <v>6</v>
      </c>
      <c r="F1348" s="6" t="s">
        <v>428</v>
      </c>
      <c r="G1348">
        <v>6</v>
      </c>
      <c r="H1348" s="8" t="s">
        <v>477</v>
      </c>
      <c r="I1348" t="s">
        <v>179</v>
      </c>
      <c r="J1348">
        <v>14</v>
      </c>
      <c r="K1348" t="s">
        <v>489</v>
      </c>
      <c r="L1348" t="s">
        <v>277</v>
      </c>
      <c r="M1348" t="s">
        <v>201</v>
      </c>
      <c r="N1348" t="s">
        <v>499</v>
      </c>
      <c r="Q1348">
        <f t="shared" si="245"/>
        <v>18977</v>
      </c>
      <c r="R1348" t="str">
        <f t="shared" si="245"/>
        <v>Velodrome</v>
      </c>
      <c r="S1348" t="str">
        <f t="shared" si="245"/>
        <v>HollowBrook</v>
      </c>
      <c r="T1348" s="20">
        <f t="shared" si="239"/>
        <v>1</v>
      </c>
      <c r="U1348">
        <f t="shared" si="240"/>
        <v>412</v>
      </c>
      <c r="V1348">
        <f t="shared" si="241"/>
        <v>411</v>
      </c>
      <c r="W1348" cm="1">
        <f t="array" ref="W1348">_xlfn._xlws.FILTER(shifts!A:A,(shifts!B:B=events!D1348)*(shifts!AH:AH&gt;=events!U1348)*(shifts!AI:AI&lt;=events!V1348))</f>
        <v>46</v>
      </c>
      <c r="X1348" t="str">
        <f t="shared" si="246"/>
        <v>opp_team_player_2</v>
      </c>
      <c r="Y1348">
        <f>COUNTIFS(A$3:A1348,"="&amp;A1348,K$3:K1348,"="&amp;K1348)</f>
        <v>2</v>
      </c>
      <c r="Z1348" s="20">
        <f>SUMIFS(T$3:T1348,L$3:L1348,"=Intermission")+SUMIFS(T$3:T1348,L$3:L1348,"=Timeout")+SUMIFS(T$3:T1348,L$3:L1348,"=Clockstop")</f>
        <v>68</v>
      </c>
      <c r="AA1348">
        <f t="shared" ref="AA1348:AA1411" si="247">IF(D1348=1,0,IF(D1348=2,1080+Z1348,IF(D1348=3,(1080*2)+Z1348,0)))</f>
        <v>1148</v>
      </c>
      <c r="AC1348">
        <f t="shared" ref="AC1348:AC1411" si="248">IF(L1347="GameStart",0,AA1348+Z1348)</f>
        <v>1216</v>
      </c>
    </row>
    <row r="1349" spans="1:29" x14ac:dyDescent="0.2">
      <c r="A1349">
        <v>716</v>
      </c>
      <c r="D1349">
        <f t="shared" ref="D1349:D1412" si="249">IF(L1349="Intermission",D1348+1,D1348)</f>
        <v>2</v>
      </c>
      <c r="E1349">
        <v>6</v>
      </c>
      <c r="F1349" s="6" t="s">
        <v>477</v>
      </c>
      <c r="I1349" t="s">
        <v>178</v>
      </c>
      <c r="J1349">
        <v>22</v>
      </c>
      <c r="K1349" t="s">
        <v>488</v>
      </c>
      <c r="L1349" t="s">
        <v>10</v>
      </c>
      <c r="M1349" t="s">
        <v>200</v>
      </c>
      <c r="N1349" t="s">
        <v>82</v>
      </c>
      <c r="Q1349">
        <f t="shared" si="245"/>
        <v>18977</v>
      </c>
      <c r="R1349" t="str">
        <f t="shared" si="245"/>
        <v>Velodrome</v>
      </c>
      <c r="S1349" t="str">
        <f t="shared" si="245"/>
        <v>HollowBrook</v>
      </c>
      <c r="T1349" s="20">
        <f t="shared" ref="T1349:T1412" si="250">IF(AND(G1349="",H1349=""),0,((E1349*60)+F1349)-((G1349*60)+H1349))</f>
        <v>0</v>
      </c>
      <c r="U1349">
        <f t="shared" ref="U1349:U1412" si="251">(E1349*60)+F1349</f>
        <v>411</v>
      </c>
      <c r="V1349">
        <f t="shared" ref="V1349:V1412" si="252">IF(AND(G1349="",H1349=""),U1349,((G1349*60)+H1349))</f>
        <v>411</v>
      </c>
      <c r="W1349" cm="1">
        <f t="array" ref="W1349">_xlfn._xlws.FILTER(shifts!A:A,(shifts!B:B=events!D1349)*(shifts!AH:AH&gt;=events!U1349)*(shifts!AI:AI&lt;=events!V1349))</f>
        <v>46</v>
      </c>
      <c r="X1349" t="str">
        <f t="shared" si="246"/>
        <v>event_team_player_1</v>
      </c>
      <c r="Y1349">
        <f>COUNTIFS(A$3:A1349,"="&amp;A1349,K$3:K1349,"="&amp;K1349)</f>
        <v>1</v>
      </c>
      <c r="Z1349" s="20">
        <f>SUMIFS(T$3:T1349,L$3:L1349,"=Intermission")+SUMIFS(T$3:T1349,L$3:L1349,"=Timeout")+SUMIFS(T$3:T1349,L$3:L1349,"=Clockstop")</f>
        <v>68</v>
      </c>
      <c r="AA1349">
        <f t="shared" si="247"/>
        <v>1148</v>
      </c>
      <c r="AC1349">
        <f t="shared" si="248"/>
        <v>1216</v>
      </c>
    </row>
    <row r="1350" spans="1:29" x14ac:dyDescent="0.2">
      <c r="A1350">
        <v>716</v>
      </c>
      <c r="D1350">
        <f t="shared" si="249"/>
        <v>2</v>
      </c>
      <c r="E1350">
        <v>6</v>
      </c>
      <c r="F1350" s="6" t="s">
        <v>477</v>
      </c>
      <c r="I1350" t="s">
        <v>178</v>
      </c>
      <c r="J1350">
        <v>11</v>
      </c>
      <c r="K1350" t="s">
        <v>489</v>
      </c>
      <c r="L1350" t="s">
        <v>10</v>
      </c>
      <c r="M1350" t="s">
        <v>200</v>
      </c>
      <c r="N1350" t="s">
        <v>82</v>
      </c>
      <c r="Q1350">
        <f t="shared" ref="Q1350:S1365" si="253">Q1349</f>
        <v>18977</v>
      </c>
      <c r="R1350" t="str">
        <f t="shared" si="253"/>
        <v>Velodrome</v>
      </c>
      <c r="S1350" t="str">
        <f t="shared" si="253"/>
        <v>HollowBrook</v>
      </c>
      <c r="T1350" s="20">
        <f t="shared" si="250"/>
        <v>0</v>
      </c>
      <c r="U1350">
        <f t="shared" si="251"/>
        <v>411</v>
      </c>
      <c r="V1350">
        <f t="shared" si="252"/>
        <v>411</v>
      </c>
      <c r="W1350" cm="1">
        <f t="array" ref="W1350">_xlfn._xlws.FILTER(shifts!A:A,(shifts!B:B=events!D1350)*(shifts!AH:AH&gt;=events!U1350)*(shifts!AI:AI&lt;=events!V1350))</f>
        <v>46</v>
      </c>
      <c r="X1350" t="str">
        <f t="shared" si="246"/>
        <v>opp_team_player_1</v>
      </c>
      <c r="Y1350">
        <f>COUNTIFS(A$3:A1350,"="&amp;A1350,K$3:K1350,"="&amp;K1350)</f>
        <v>1</v>
      </c>
      <c r="Z1350" s="20">
        <f>SUMIFS(T$3:T1350,L$3:L1350,"=Intermission")+SUMIFS(T$3:T1350,L$3:L1350,"=Timeout")+SUMIFS(T$3:T1350,L$3:L1350,"=Clockstop")</f>
        <v>68</v>
      </c>
      <c r="AA1350">
        <f t="shared" si="247"/>
        <v>1148</v>
      </c>
      <c r="AC1350">
        <f t="shared" si="248"/>
        <v>1216</v>
      </c>
    </row>
    <row r="1351" spans="1:29" x14ac:dyDescent="0.2">
      <c r="A1351">
        <v>717</v>
      </c>
      <c r="D1351">
        <f t="shared" si="249"/>
        <v>2</v>
      </c>
      <c r="E1351">
        <v>6</v>
      </c>
      <c r="F1351" s="6" t="s">
        <v>432</v>
      </c>
      <c r="I1351" t="s">
        <v>178</v>
      </c>
      <c r="J1351">
        <v>14</v>
      </c>
      <c r="K1351" t="s">
        <v>488</v>
      </c>
      <c r="L1351" t="s">
        <v>277</v>
      </c>
      <c r="M1351" t="s">
        <v>191</v>
      </c>
      <c r="N1351" t="s">
        <v>89</v>
      </c>
      <c r="Q1351">
        <f t="shared" si="253"/>
        <v>18977</v>
      </c>
      <c r="R1351" t="str">
        <f t="shared" si="253"/>
        <v>Velodrome</v>
      </c>
      <c r="S1351" t="str">
        <f t="shared" si="253"/>
        <v>HollowBrook</v>
      </c>
      <c r="T1351" s="20">
        <f t="shared" si="250"/>
        <v>0</v>
      </c>
      <c r="U1351">
        <f t="shared" si="251"/>
        <v>410</v>
      </c>
      <c r="V1351">
        <f t="shared" si="252"/>
        <v>410</v>
      </c>
      <c r="W1351" cm="1">
        <f t="array" ref="W1351">_xlfn._xlws.FILTER(shifts!A:A,(shifts!B:B=events!D1351)*(shifts!AH:AH&gt;=events!U1351)*(shifts!AI:AI&lt;=events!V1351))</f>
        <v>46</v>
      </c>
      <c r="X1351" t="str">
        <f t="shared" si="246"/>
        <v>event_team_player_1</v>
      </c>
      <c r="Y1351">
        <f>COUNTIFS(A$3:A1351,"="&amp;A1351,K$3:K1351,"="&amp;K1351)</f>
        <v>1</v>
      </c>
      <c r="Z1351" s="20">
        <f>SUMIFS(T$3:T1351,L$3:L1351,"=Intermission")+SUMIFS(T$3:T1351,L$3:L1351,"=Timeout")+SUMIFS(T$3:T1351,L$3:L1351,"=Clockstop")</f>
        <v>68</v>
      </c>
      <c r="AA1351">
        <f t="shared" si="247"/>
        <v>1148</v>
      </c>
      <c r="AC1351">
        <f t="shared" si="248"/>
        <v>1216</v>
      </c>
    </row>
    <row r="1352" spans="1:29" x14ac:dyDescent="0.2">
      <c r="A1352">
        <v>718</v>
      </c>
      <c r="D1352">
        <f t="shared" si="249"/>
        <v>2</v>
      </c>
      <c r="E1352">
        <v>6</v>
      </c>
      <c r="F1352" s="6" t="s">
        <v>432</v>
      </c>
      <c r="I1352" t="s">
        <v>178</v>
      </c>
      <c r="J1352">
        <v>14</v>
      </c>
      <c r="K1352" t="s">
        <v>488</v>
      </c>
      <c r="L1352" t="s">
        <v>10</v>
      </c>
      <c r="M1352" t="s">
        <v>190</v>
      </c>
      <c r="N1352" t="s">
        <v>460</v>
      </c>
      <c r="Q1352">
        <f t="shared" si="253"/>
        <v>18977</v>
      </c>
      <c r="R1352" t="str">
        <f t="shared" si="253"/>
        <v>Velodrome</v>
      </c>
      <c r="S1352" t="str">
        <f t="shared" si="253"/>
        <v>HollowBrook</v>
      </c>
      <c r="T1352" s="20">
        <f t="shared" si="250"/>
        <v>0</v>
      </c>
      <c r="U1352">
        <f t="shared" si="251"/>
        <v>410</v>
      </c>
      <c r="V1352">
        <f t="shared" si="252"/>
        <v>410</v>
      </c>
      <c r="W1352" cm="1">
        <f t="array" ref="W1352">_xlfn._xlws.FILTER(shifts!A:A,(shifts!B:B=events!D1352)*(shifts!AH:AH&gt;=events!U1352)*(shifts!AI:AI&lt;=events!V1352))</f>
        <v>46</v>
      </c>
      <c r="X1352" t="str">
        <f t="shared" si="246"/>
        <v>event_team_player_1</v>
      </c>
      <c r="Y1352">
        <f>COUNTIFS(A$3:A1352,"="&amp;A1352,K$3:K1352,"="&amp;K1352)</f>
        <v>1</v>
      </c>
      <c r="Z1352" s="20">
        <f>SUMIFS(T$3:T1352,L$3:L1352,"=Intermission")+SUMIFS(T$3:T1352,L$3:L1352,"=Timeout")+SUMIFS(T$3:T1352,L$3:L1352,"=Clockstop")</f>
        <v>68</v>
      </c>
      <c r="AA1352">
        <f t="shared" si="247"/>
        <v>1148</v>
      </c>
      <c r="AC1352">
        <f t="shared" si="248"/>
        <v>1216</v>
      </c>
    </row>
    <row r="1353" spans="1:29" x14ac:dyDescent="0.2">
      <c r="A1353">
        <v>719</v>
      </c>
      <c r="D1353">
        <f t="shared" si="249"/>
        <v>2</v>
      </c>
      <c r="E1353">
        <v>6</v>
      </c>
      <c r="F1353" s="6" t="s">
        <v>434</v>
      </c>
      <c r="G1353">
        <v>6</v>
      </c>
      <c r="H1353" s="8" t="s">
        <v>436</v>
      </c>
      <c r="I1353" t="s">
        <v>179</v>
      </c>
      <c r="J1353">
        <v>99</v>
      </c>
      <c r="K1353" t="s">
        <v>488</v>
      </c>
      <c r="L1353" t="s">
        <v>15</v>
      </c>
      <c r="Q1353">
        <f t="shared" si="253"/>
        <v>18977</v>
      </c>
      <c r="R1353" t="str">
        <f t="shared" si="253"/>
        <v>Velodrome</v>
      </c>
      <c r="S1353" t="str">
        <f t="shared" si="253"/>
        <v>HollowBrook</v>
      </c>
      <c r="T1353" s="20">
        <f t="shared" si="250"/>
        <v>2</v>
      </c>
      <c r="U1353">
        <f t="shared" si="251"/>
        <v>407</v>
      </c>
      <c r="V1353">
        <f t="shared" si="252"/>
        <v>405</v>
      </c>
      <c r="W1353">
        <v>47</v>
      </c>
      <c r="X1353" t="str">
        <f t="shared" si="246"/>
        <v>event_team_player_1</v>
      </c>
      <c r="Y1353">
        <f>COUNTIFS(A$3:A1353,"="&amp;A1353,K$3:K1353,"="&amp;K1353)</f>
        <v>1</v>
      </c>
      <c r="Z1353" s="20">
        <f>SUMIFS(T$3:T1353,L$3:L1353,"=Intermission")+SUMIFS(T$3:T1353,L$3:L1353,"=Timeout")+SUMIFS(T$3:T1353,L$3:L1353,"=Clockstop")</f>
        <v>68</v>
      </c>
      <c r="AA1353">
        <f t="shared" si="247"/>
        <v>1148</v>
      </c>
      <c r="AC1353">
        <f t="shared" si="248"/>
        <v>1216</v>
      </c>
    </row>
    <row r="1354" spans="1:29" x14ac:dyDescent="0.2">
      <c r="A1354">
        <v>720</v>
      </c>
      <c r="D1354">
        <f t="shared" si="249"/>
        <v>2</v>
      </c>
      <c r="E1354">
        <v>6</v>
      </c>
      <c r="F1354" s="6" t="s">
        <v>436</v>
      </c>
      <c r="I1354" t="s">
        <v>179</v>
      </c>
      <c r="J1354">
        <v>99</v>
      </c>
      <c r="K1354" t="s">
        <v>488</v>
      </c>
      <c r="L1354" t="s">
        <v>8</v>
      </c>
      <c r="M1354" t="s">
        <v>189</v>
      </c>
      <c r="N1354" t="s">
        <v>510</v>
      </c>
      <c r="Q1354">
        <f t="shared" si="253"/>
        <v>18977</v>
      </c>
      <c r="R1354" t="str">
        <f t="shared" si="253"/>
        <v>Velodrome</v>
      </c>
      <c r="S1354" t="str">
        <f t="shared" si="253"/>
        <v>HollowBrook</v>
      </c>
      <c r="T1354" s="20">
        <f t="shared" si="250"/>
        <v>0</v>
      </c>
      <c r="U1354">
        <f t="shared" si="251"/>
        <v>405</v>
      </c>
      <c r="V1354">
        <f t="shared" si="252"/>
        <v>405</v>
      </c>
      <c r="W1354" cm="1">
        <f t="array" ref="W1354">_xlfn._xlws.FILTER(shifts!A:A,(shifts!B:B=events!D1354)*(shifts!AH:AH&gt;=events!U1354)*(shifts!AI:AI&lt;=events!V1354))</f>
        <v>47</v>
      </c>
      <c r="X1354" t="str">
        <f>IF(K1354="e","event_team_player_"&amp;Y1354,IF(K1354="o","opp_team_player_"&amp;Y1354,""))</f>
        <v>event_team_player_1</v>
      </c>
      <c r="Y1354">
        <f>COUNTIFS(A$3:A1354,"="&amp;A1354,K$3:K1354,"="&amp;K1354)</f>
        <v>1</v>
      </c>
      <c r="Z1354" s="20">
        <f>SUMIFS(T$3:T1354,L$3:L1354,"=Intermission")+SUMIFS(T$3:T1354,L$3:L1354,"=Timeout")+SUMIFS(T$3:T1354,L$3:L1354,"=Clockstop")</f>
        <v>68</v>
      </c>
      <c r="AA1354">
        <f t="shared" si="247"/>
        <v>1148</v>
      </c>
      <c r="AC1354">
        <f t="shared" si="248"/>
        <v>1216</v>
      </c>
    </row>
    <row r="1355" spans="1:29" x14ac:dyDescent="0.2">
      <c r="A1355">
        <v>720</v>
      </c>
      <c r="D1355">
        <f t="shared" si="249"/>
        <v>2</v>
      </c>
      <c r="E1355">
        <v>6</v>
      </c>
      <c r="F1355" s="6" t="s">
        <v>436</v>
      </c>
      <c r="I1355" t="s">
        <v>179</v>
      </c>
      <c r="J1355">
        <v>5</v>
      </c>
      <c r="K1355" t="s">
        <v>488</v>
      </c>
      <c r="L1355" t="s">
        <v>8</v>
      </c>
      <c r="M1355" t="s">
        <v>189</v>
      </c>
      <c r="N1355" t="s">
        <v>510</v>
      </c>
      <c r="Q1355">
        <f t="shared" si="253"/>
        <v>18977</v>
      </c>
      <c r="R1355" t="str">
        <f t="shared" si="253"/>
        <v>Velodrome</v>
      </c>
      <c r="S1355" t="str">
        <f t="shared" si="253"/>
        <v>HollowBrook</v>
      </c>
      <c r="T1355" s="20">
        <f t="shared" si="250"/>
        <v>0</v>
      </c>
      <c r="U1355">
        <f t="shared" si="251"/>
        <v>405</v>
      </c>
      <c r="V1355">
        <f t="shared" si="252"/>
        <v>405</v>
      </c>
      <c r="W1355" cm="1">
        <f t="array" ref="W1355">_xlfn._xlws.FILTER(shifts!A:A,(shifts!B:B=events!D1355)*(shifts!AH:AH&gt;=events!U1355)*(shifts!AI:AI&lt;=events!V1355))</f>
        <v>47</v>
      </c>
      <c r="X1355" t="str">
        <f>IF(K1355="e","event_team_player_"&amp;Y1355,IF(K1355="o","opp_team_player_"&amp;Y1355,""))</f>
        <v>event_team_player_2</v>
      </c>
      <c r="Y1355">
        <f>COUNTIFS(A$3:A1355,"="&amp;A1355,K$3:K1355,"="&amp;K1355)</f>
        <v>2</v>
      </c>
      <c r="Z1355" s="20">
        <f>SUMIFS(T$3:T1355,L$3:L1355,"=Intermission")+SUMIFS(T$3:T1355,L$3:L1355,"=Timeout")+SUMIFS(T$3:T1355,L$3:L1355,"=Clockstop")</f>
        <v>68</v>
      </c>
      <c r="AA1355">
        <f t="shared" si="247"/>
        <v>1148</v>
      </c>
      <c r="AC1355">
        <f t="shared" si="248"/>
        <v>1216</v>
      </c>
    </row>
    <row r="1356" spans="1:29" x14ac:dyDescent="0.2">
      <c r="A1356">
        <v>721</v>
      </c>
      <c r="D1356">
        <f t="shared" si="249"/>
        <v>2</v>
      </c>
      <c r="E1356">
        <v>6</v>
      </c>
      <c r="F1356" s="6" t="s">
        <v>436</v>
      </c>
      <c r="G1356">
        <v>6</v>
      </c>
      <c r="H1356" s="8" t="s">
        <v>431</v>
      </c>
      <c r="I1356" t="s">
        <v>179</v>
      </c>
      <c r="J1356">
        <v>5</v>
      </c>
      <c r="K1356" t="s">
        <v>488</v>
      </c>
      <c r="L1356" t="s">
        <v>15</v>
      </c>
      <c r="Q1356">
        <f t="shared" si="253"/>
        <v>18977</v>
      </c>
      <c r="R1356" t="str">
        <f t="shared" si="253"/>
        <v>Velodrome</v>
      </c>
      <c r="S1356" t="str">
        <f t="shared" si="253"/>
        <v>HollowBrook</v>
      </c>
      <c r="T1356" s="20">
        <f t="shared" si="250"/>
        <v>4</v>
      </c>
      <c r="U1356">
        <f t="shared" si="251"/>
        <v>405</v>
      </c>
      <c r="V1356">
        <f t="shared" si="252"/>
        <v>401</v>
      </c>
      <c r="W1356" cm="1">
        <f t="array" ref="W1356">_xlfn._xlws.FILTER(shifts!A:A,(shifts!B:B=events!D1356)*(shifts!AH:AH&gt;=events!U1356)*(shifts!AI:AI&lt;=events!V1356))</f>
        <v>47</v>
      </c>
      <c r="X1356" t="str">
        <f t="shared" si="246"/>
        <v>event_team_player_1</v>
      </c>
      <c r="Y1356">
        <f>COUNTIFS(A$3:A1356,"="&amp;A1356,K$3:K1356,"="&amp;K1356)</f>
        <v>1</v>
      </c>
      <c r="Z1356" s="20">
        <f>SUMIFS(T$3:T1356,L$3:L1356,"=Intermission")+SUMIFS(T$3:T1356,L$3:L1356,"=Timeout")+SUMIFS(T$3:T1356,L$3:L1356,"=Clockstop")</f>
        <v>68</v>
      </c>
      <c r="AA1356">
        <f t="shared" si="247"/>
        <v>1148</v>
      </c>
      <c r="AC1356">
        <f t="shared" si="248"/>
        <v>1216</v>
      </c>
    </row>
    <row r="1357" spans="1:29" x14ac:dyDescent="0.2">
      <c r="A1357">
        <v>722</v>
      </c>
      <c r="D1357">
        <f t="shared" si="249"/>
        <v>2</v>
      </c>
      <c r="E1357">
        <v>6</v>
      </c>
      <c r="F1357" s="6" t="s">
        <v>437</v>
      </c>
      <c r="I1357" t="s">
        <v>179</v>
      </c>
      <c r="J1357">
        <v>5</v>
      </c>
      <c r="K1357" t="s">
        <v>488</v>
      </c>
      <c r="L1357" t="s">
        <v>8</v>
      </c>
      <c r="M1357" t="s">
        <v>189</v>
      </c>
      <c r="N1357" t="s">
        <v>68</v>
      </c>
      <c r="Q1357">
        <f t="shared" si="253"/>
        <v>18977</v>
      </c>
      <c r="R1357" t="str">
        <f t="shared" si="253"/>
        <v>Velodrome</v>
      </c>
      <c r="S1357" t="str">
        <f t="shared" si="253"/>
        <v>HollowBrook</v>
      </c>
      <c r="T1357" s="20">
        <f t="shared" si="250"/>
        <v>0</v>
      </c>
      <c r="U1357">
        <f t="shared" si="251"/>
        <v>400</v>
      </c>
      <c r="V1357">
        <f t="shared" si="252"/>
        <v>400</v>
      </c>
      <c r="W1357" cm="1">
        <f t="array" ref="W1357">_xlfn._xlws.FILTER(shifts!A:A,(shifts!B:B=events!D1357)*(shifts!AH:AH&gt;=events!U1357)*(shifts!AI:AI&lt;=events!V1357))</f>
        <v>47</v>
      </c>
      <c r="X1357" t="str">
        <f t="shared" si="246"/>
        <v>event_team_player_1</v>
      </c>
      <c r="Y1357">
        <f>COUNTIFS(A$3:A1357,"="&amp;A1357,K$3:K1357,"="&amp;K1357)</f>
        <v>1</v>
      </c>
      <c r="Z1357" s="20">
        <f>SUMIFS(T$3:T1357,L$3:L1357,"=Intermission")+SUMIFS(T$3:T1357,L$3:L1357,"=Timeout")+SUMIFS(T$3:T1357,L$3:L1357,"=Clockstop")</f>
        <v>68</v>
      </c>
      <c r="AA1357">
        <f t="shared" si="247"/>
        <v>1148</v>
      </c>
      <c r="AC1357">
        <f t="shared" si="248"/>
        <v>1216</v>
      </c>
    </row>
    <row r="1358" spans="1:29" x14ac:dyDescent="0.2">
      <c r="A1358">
        <v>722</v>
      </c>
      <c r="D1358">
        <f t="shared" si="249"/>
        <v>2</v>
      </c>
      <c r="E1358">
        <v>6</v>
      </c>
      <c r="F1358" s="6" t="s">
        <v>437</v>
      </c>
      <c r="I1358" t="s">
        <v>179</v>
      </c>
      <c r="J1358">
        <v>19</v>
      </c>
      <c r="K1358" t="s">
        <v>488</v>
      </c>
      <c r="L1358" t="s">
        <v>8</v>
      </c>
      <c r="M1358" t="s">
        <v>189</v>
      </c>
      <c r="N1358" t="s">
        <v>68</v>
      </c>
      <c r="Q1358">
        <f t="shared" si="253"/>
        <v>18977</v>
      </c>
      <c r="R1358" t="str">
        <f t="shared" si="253"/>
        <v>Velodrome</v>
      </c>
      <c r="S1358" t="str">
        <f t="shared" si="253"/>
        <v>HollowBrook</v>
      </c>
      <c r="T1358" s="20">
        <f t="shared" si="250"/>
        <v>0</v>
      </c>
      <c r="U1358">
        <f t="shared" si="251"/>
        <v>400</v>
      </c>
      <c r="V1358">
        <f t="shared" si="252"/>
        <v>400</v>
      </c>
      <c r="W1358" cm="1">
        <f t="array" ref="W1358">_xlfn._xlws.FILTER(shifts!A:A,(shifts!B:B=events!D1358)*(shifts!AH:AH&gt;=events!U1358)*(shifts!AI:AI&lt;=events!V1358))</f>
        <v>47</v>
      </c>
      <c r="X1358" t="str">
        <f t="shared" si="246"/>
        <v>event_team_player_2</v>
      </c>
      <c r="Y1358">
        <f>COUNTIFS(A$3:A1358,"="&amp;A1358,K$3:K1358,"="&amp;K1358)</f>
        <v>2</v>
      </c>
      <c r="Z1358" s="20">
        <f>SUMIFS(T$3:T1358,L$3:L1358,"=Intermission")+SUMIFS(T$3:T1358,L$3:L1358,"=Timeout")+SUMIFS(T$3:T1358,L$3:L1358,"=Clockstop")</f>
        <v>68</v>
      </c>
      <c r="AA1358">
        <f t="shared" si="247"/>
        <v>1148</v>
      </c>
      <c r="AC1358">
        <f t="shared" si="248"/>
        <v>1216</v>
      </c>
    </row>
    <row r="1359" spans="1:29" x14ac:dyDescent="0.2">
      <c r="A1359">
        <v>723</v>
      </c>
      <c r="D1359">
        <f t="shared" si="249"/>
        <v>2</v>
      </c>
      <c r="E1359">
        <v>6</v>
      </c>
      <c r="F1359" s="6" t="s">
        <v>437</v>
      </c>
      <c r="G1359">
        <v>6</v>
      </c>
      <c r="H1359" s="8" t="s">
        <v>438</v>
      </c>
      <c r="I1359" t="s">
        <v>179</v>
      </c>
      <c r="J1359">
        <v>19</v>
      </c>
      <c r="K1359" t="s">
        <v>488</v>
      </c>
      <c r="L1359" t="s">
        <v>277</v>
      </c>
      <c r="M1359" t="s">
        <v>201</v>
      </c>
      <c r="N1359" t="s">
        <v>90</v>
      </c>
      <c r="Q1359">
        <f t="shared" si="253"/>
        <v>18977</v>
      </c>
      <c r="R1359" t="str">
        <f t="shared" si="253"/>
        <v>Velodrome</v>
      </c>
      <c r="S1359" t="str">
        <f t="shared" si="253"/>
        <v>HollowBrook</v>
      </c>
      <c r="T1359" s="20">
        <f t="shared" si="250"/>
        <v>2</v>
      </c>
      <c r="U1359">
        <f t="shared" si="251"/>
        <v>400</v>
      </c>
      <c r="V1359">
        <f t="shared" si="252"/>
        <v>398</v>
      </c>
      <c r="W1359" cm="1">
        <f t="array" ref="W1359">_xlfn._xlws.FILTER(shifts!A:A,(shifts!B:B=events!D1359)*(shifts!AH:AH&gt;=events!U1359)*(shifts!AI:AI&lt;=events!V1359))</f>
        <v>47</v>
      </c>
      <c r="X1359" t="str">
        <f t="shared" si="246"/>
        <v>event_team_player_1</v>
      </c>
      <c r="Y1359">
        <f>COUNTIFS(A$3:A1359,"="&amp;A1359,K$3:K1359,"="&amp;K1359)</f>
        <v>1</v>
      </c>
      <c r="Z1359" s="20">
        <f>SUMIFS(T$3:T1359,L$3:L1359,"=Intermission")+SUMIFS(T$3:T1359,L$3:L1359,"=Timeout")+SUMIFS(T$3:T1359,L$3:L1359,"=Clockstop")</f>
        <v>68</v>
      </c>
      <c r="AA1359">
        <f t="shared" si="247"/>
        <v>1148</v>
      </c>
      <c r="AC1359">
        <f t="shared" si="248"/>
        <v>1216</v>
      </c>
    </row>
    <row r="1360" spans="1:29" x14ac:dyDescent="0.2">
      <c r="A1360">
        <v>724</v>
      </c>
      <c r="D1360">
        <f t="shared" si="249"/>
        <v>2</v>
      </c>
      <c r="E1360">
        <v>6</v>
      </c>
      <c r="F1360" s="6" t="s">
        <v>453</v>
      </c>
      <c r="I1360" t="s">
        <v>179</v>
      </c>
      <c r="J1360">
        <v>19</v>
      </c>
      <c r="K1360" t="s">
        <v>488</v>
      </c>
      <c r="L1360" t="s">
        <v>8</v>
      </c>
      <c r="M1360" t="s">
        <v>216</v>
      </c>
      <c r="N1360" t="s">
        <v>506</v>
      </c>
      <c r="Q1360">
        <f t="shared" si="253"/>
        <v>18977</v>
      </c>
      <c r="R1360" t="str">
        <f t="shared" si="253"/>
        <v>Velodrome</v>
      </c>
      <c r="S1360" t="str">
        <f t="shared" si="253"/>
        <v>HollowBrook</v>
      </c>
      <c r="T1360" s="20">
        <f t="shared" si="250"/>
        <v>0</v>
      </c>
      <c r="U1360">
        <f t="shared" si="251"/>
        <v>397</v>
      </c>
      <c r="V1360">
        <f t="shared" si="252"/>
        <v>397</v>
      </c>
      <c r="W1360" cm="1">
        <f t="array" ref="W1360">_xlfn._xlws.FILTER(shifts!A:A,(shifts!B:B=events!D1360)*(shifts!AH:AH&gt;=events!U1360)*(shifts!AI:AI&lt;=events!V1360))</f>
        <v>47</v>
      </c>
      <c r="X1360" t="str">
        <f t="shared" si="246"/>
        <v>event_team_player_1</v>
      </c>
      <c r="Y1360">
        <f>COUNTIFS(A$3:A1360,"="&amp;A1360,K$3:K1360,"="&amp;K1360)</f>
        <v>1</v>
      </c>
      <c r="Z1360" s="20">
        <f>SUMIFS(T$3:T1360,L$3:L1360,"=Intermission")+SUMIFS(T$3:T1360,L$3:L1360,"=Timeout")+SUMIFS(T$3:T1360,L$3:L1360,"=Clockstop")</f>
        <v>68</v>
      </c>
      <c r="AA1360">
        <f t="shared" si="247"/>
        <v>1148</v>
      </c>
      <c r="AC1360">
        <f t="shared" si="248"/>
        <v>1216</v>
      </c>
    </row>
    <row r="1361" spans="1:29" x14ac:dyDescent="0.2">
      <c r="A1361">
        <v>724</v>
      </c>
      <c r="D1361">
        <f t="shared" si="249"/>
        <v>2</v>
      </c>
      <c r="E1361">
        <v>6</v>
      </c>
      <c r="F1361" s="6" t="s">
        <v>453</v>
      </c>
      <c r="I1361" t="s">
        <v>179</v>
      </c>
      <c r="J1361">
        <v>11</v>
      </c>
      <c r="K1361" t="s">
        <v>488</v>
      </c>
      <c r="L1361" t="s">
        <v>8</v>
      </c>
      <c r="M1361" t="s">
        <v>216</v>
      </c>
      <c r="N1361" t="s">
        <v>506</v>
      </c>
      <c r="Q1361">
        <f t="shared" si="253"/>
        <v>18977</v>
      </c>
      <c r="R1361" t="str">
        <f t="shared" si="253"/>
        <v>Velodrome</v>
      </c>
      <c r="S1361" t="str">
        <f t="shared" si="253"/>
        <v>HollowBrook</v>
      </c>
      <c r="T1361" s="20">
        <f t="shared" si="250"/>
        <v>0</v>
      </c>
      <c r="U1361">
        <f t="shared" si="251"/>
        <v>397</v>
      </c>
      <c r="V1361">
        <f t="shared" si="252"/>
        <v>397</v>
      </c>
      <c r="W1361" cm="1">
        <f t="array" ref="W1361">_xlfn._xlws.FILTER(shifts!A:A,(shifts!B:B=events!D1361)*(shifts!AH:AH&gt;=events!U1361)*(shifts!AI:AI&lt;=events!V1361))</f>
        <v>47</v>
      </c>
      <c r="X1361" t="str">
        <f t="shared" si="246"/>
        <v>event_team_player_2</v>
      </c>
      <c r="Y1361">
        <f>COUNTIFS(A$3:A1361,"="&amp;A1361,K$3:K1361,"="&amp;K1361)</f>
        <v>2</v>
      </c>
      <c r="Z1361" s="20">
        <f>SUMIFS(T$3:T1361,L$3:L1361,"=Intermission")+SUMIFS(T$3:T1361,L$3:L1361,"=Timeout")+SUMIFS(T$3:T1361,L$3:L1361,"=Clockstop")</f>
        <v>68</v>
      </c>
      <c r="AA1361">
        <f t="shared" si="247"/>
        <v>1148</v>
      </c>
      <c r="AC1361">
        <f t="shared" si="248"/>
        <v>1216</v>
      </c>
    </row>
    <row r="1362" spans="1:29" x14ac:dyDescent="0.2">
      <c r="A1362">
        <v>724</v>
      </c>
      <c r="D1362">
        <f t="shared" si="249"/>
        <v>2</v>
      </c>
      <c r="E1362">
        <v>6</v>
      </c>
      <c r="F1362" s="6" t="s">
        <v>453</v>
      </c>
      <c r="I1362" t="s">
        <v>179</v>
      </c>
      <c r="J1362">
        <v>49</v>
      </c>
      <c r="K1362" t="s">
        <v>489</v>
      </c>
      <c r="L1362" t="s">
        <v>8</v>
      </c>
      <c r="M1362" t="s">
        <v>216</v>
      </c>
      <c r="N1362" t="s">
        <v>506</v>
      </c>
      <c r="Q1362">
        <f t="shared" si="253"/>
        <v>18977</v>
      </c>
      <c r="R1362" t="str">
        <f t="shared" si="253"/>
        <v>Velodrome</v>
      </c>
      <c r="S1362" t="str">
        <f t="shared" si="253"/>
        <v>HollowBrook</v>
      </c>
      <c r="T1362" s="20">
        <f t="shared" si="250"/>
        <v>0</v>
      </c>
      <c r="U1362">
        <f t="shared" si="251"/>
        <v>397</v>
      </c>
      <c r="V1362">
        <f t="shared" si="252"/>
        <v>397</v>
      </c>
      <c r="W1362" cm="1">
        <f t="array" ref="W1362">_xlfn._xlws.FILTER(shifts!A:A,(shifts!B:B=events!D1362)*(shifts!AH:AH&gt;=events!U1362)*(shifts!AI:AI&lt;=events!V1362))</f>
        <v>47</v>
      </c>
      <c r="X1362" t="str">
        <f t="shared" si="246"/>
        <v>opp_team_player_1</v>
      </c>
      <c r="Y1362">
        <f>COUNTIFS(A$3:A1362,"="&amp;A1362,K$3:K1362,"="&amp;K1362)</f>
        <v>1</v>
      </c>
      <c r="Z1362" s="20">
        <f>SUMIFS(T$3:T1362,L$3:L1362,"=Intermission")+SUMIFS(T$3:T1362,L$3:L1362,"=Timeout")+SUMIFS(T$3:T1362,L$3:L1362,"=Clockstop")</f>
        <v>68</v>
      </c>
      <c r="AA1362">
        <f t="shared" si="247"/>
        <v>1148</v>
      </c>
      <c r="AC1362">
        <f t="shared" si="248"/>
        <v>1216</v>
      </c>
    </row>
    <row r="1363" spans="1:29" x14ac:dyDescent="0.2">
      <c r="A1363">
        <v>725</v>
      </c>
      <c r="D1363">
        <f t="shared" si="249"/>
        <v>2</v>
      </c>
      <c r="E1363">
        <v>6</v>
      </c>
      <c r="F1363" s="6" t="s">
        <v>453</v>
      </c>
      <c r="I1363" t="s">
        <v>178</v>
      </c>
      <c r="J1363">
        <v>49</v>
      </c>
      <c r="K1363" t="s">
        <v>488</v>
      </c>
      <c r="L1363" t="s">
        <v>10</v>
      </c>
      <c r="M1363" t="s">
        <v>200</v>
      </c>
      <c r="N1363" t="s">
        <v>83</v>
      </c>
      <c r="Q1363">
        <f t="shared" si="253"/>
        <v>18977</v>
      </c>
      <c r="R1363" t="str">
        <f t="shared" si="253"/>
        <v>Velodrome</v>
      </c>
      <c r="S1363" t="str">
        <f t="shared" si="253"/>
        <v>HollowBrook</v>
      </c>
      <c r="T1363" s="20">
        <f t="shared" si="250"/>
        <v>0</v>
      </c>
      <c r="U1363">
        <f t="shared" si="251"/>
        <v>397</v>
      </c>
      <c r="V1363">
        <f t="shared" si="252"/>
        <v>397</v>
      </c>
      <c r="W1363" cm="1">
        <f t="array" ref="W1363">_xlfn._xlws.FILTER(shifts!A:A,(shifts!B:B=events!D1363)*(shifts!AH:AH&gt;=events!U1363)*(shifts!AI:AI&lt;=events!V1363))</f>
        <v>47</v>
      </c>
      <c r="X1363" t="str">
        <f t="shared" si="246"/>
        <v>event_team_player_1</v>
      </c>
      <c r="Y1363">
        <f>COUNTIFS(A$3:A1363,"="&amp;A1363,K$3:K1363,"="&amp;K1363)</f>
        <v>1</v>
      </c>
      <c r="Z1363" s="20">
        <f>SUMIFS(T$3:T1363,L$3:L1363,"=Intermission")+SUMIFS(T$3:T1363,L$3:L1363,"=Timeout")+SUMIFS(T$3:T1363,L$3:L1363,"=Clockstop")</f>
        <v>68</v>
      </c>
      <c r="AA1363">
        <f t="shared" si="247"/>
        <v>1148</v>
      </c>
      <c r="AC1363">
        <f t="shared" si="248"/>
        <v>1216</v>
      </c>
    </row>
    <row r="1364" spans="1:29" x14ac:dyDescent="0.2">
      <c r="A1364">
        <v>725</v>
      </c>
      <c r="D1364">
        <f t="shared" si="249"/>
        <v>2</v>
      </c>
      <c r="E1364">
        <v>6</v>
      </c>
      <c r="F1364" s="6" t="s">
        <v>453</v>
      </c>
      <c r="I1364" t="s">
        <v>178</v>
      </c>
      <c r="J1364">
        <v>19</v>
      </c>
      <c r="K1364" t="s">
        <v>488</v>
      </c>
      <c r="L1364" t="s">
        <v>10</v>
      </c>
      <c r="M1364" t="s">
        <v>200</v>
      </c>
      <c r="N1364" t="s">
        <v>83</v>
      </c>
      <c r="Q1364">
        <f t="shared" si="253"/>
        <v>18977</v>
      </c>
      <c r="R1364" t="str">
        <f t="shared" si="253"/>
        <v>Velodrome</v>
      </c>
      <c r="S1364" t="str">
        <f t="shared" si="253"/>
        <v>HollowBrook</v>
      </c>
      <c r="T1364" s="20">
        <f t="shared" si="250"/>
        <v>0</v>
      </c>
      <c r="U1364">
        <f t="shared" si="251"/>
        <v>397</v>
      </c>
      <c r="V1364">
        <f t="shared" si="252"/>
        <v>397</v>
      </c>
      <c r="W1364" cm="1">
        <f t="array" ref="W1364">_xlfn._xlws.FILTER(shifts!A:A,(shifts!B:B=events!D1364)*(shifts!AH:AH&gt;=events!U1364)*(shifts!AI:AI&lt;=events!V1364))</f>
        <v>47</v>
      </c>
      <c r="X1364" t="str">
        <f t="shared" si="246"/>
        <v>event_team_player_2</v>
      </c>
      <c r="Y1364">
        <f>COUNTIFS(A$3:A1364,"="&amp;A1364,K$3:K1364,"="&amp;K1364)</f>
        <v>2</v>
      </c>
      <c r="Z1364" s="20">
        <f>SUMIFS(T$3:T1364,L$3:L1364,"=Intermission")+SUMIFS(T$3:T1364,L$3:L1364,"=Timeout")+SUMIFS(T$3:T1364,L$3:L1364,"=Clockstop")</f>
        <v>68</v>
      </c>
      <c r="AA1364">
        <f t="shared" si="247"/>
        <v>1148</v>
      </c>
      <c r="AC1364">
        <f t="shared" si="248"/>
        <v>1216</v>
      </c>
    </row>
    <row r="1365" spans="1:29" x14ac:dyDescent="0.2">
      <c r="A1365">
        <v>725</v>
      </c>
      <c r="D1365">
        <f t="shared" si="249"/>
        <v>2</v>
      </c>
      <c r="E1365">
        <v>6</v>
      </c>
      <c r="F1365" s="6" t="s">
        <v>453</v>
      </c>
      <c r="I1365" t="s">
        <v>178</v>
      </c>
      <c r="J1365">
        <v>11</v>
      </c>
      <c r="K1365" t="s">
        <v>489</v>
      </c>
      <c r="L1365" t="s">
        <v>10</v>
      </c>
      <c r="M1365" t="s">
        <v>200</v>
      </c>
      <c r="N1365" t="s">
        <v>83</v>
      </c>
      <c r="Q1365">
        <f t="shared" si="253"/>
        <v>18977</v>
      </c>
      <c r="R1365" t="str">
        <f t="shared" si="253"/>
        <v>Velodrome</v>
      </c>
      <c r="S1365" t="str">
        <f t="shared" si="253"/>
        <v>HollowBrook</v>
      </c>
      <c r="T1365" s="20">
        <f t="shared" si="250"/>
        <v>0</v>
      </c>
      <c r="U1365">
        <f t="shared" si="251"/>
        <v>397</v>
      </c>
      <c r="V1365">
        <f t="shared" si="252"/>
        <v>397</v>
      </c>
      <c r="W1365" cm="1">
        <f t="array" ref="W1365">_xlfn._xlws.FILTER(shifts!A:A,(shifts!B:B=events!D1365)*(shifts!AH:AH&gt;=events!U1365)*(shifts!AI:AI&lt;=events!V1365))</f>
        <v>47</v>
      </c>
      <c r="X1365" t="str">
        <f t="shared" si="246"/>
        <v>opp_team_player_1</v>
      </c>
      <c r="Y1365">
        <f>COUNTIFS(A$3:A1365,"="&amp;A1365,K$3:K1365,"="&amp;K1365)</f>
        <v>1</v>
      </c>
      <c r="Z1365" s="20">
        <f>SUMIFS(T$3:T1365,L$3:L1365,"=Intermission")+SUMIFS(T$3:T1365,L$3:L1365,"=Timeout")+SUMIFS(T$3:T1365,L$3:L1365,"=Clockstop")</f>
        <v>68</v>
      </c>
      <c r="AA1365">
        <f t="shared" si="247"/>
        <v>1148</v>
      </c>
      <c r="AC1365">
        <f t="shared" si="248"/>
        <v>1216</v>
      </c>
    </row>
    <row r="1366" spans="1:29" x14ac:dyDescent="0.2">
      <c r="A1366">
        <v>726</v>
      </c>
      <c r="D1366">
        <f t="shared" si="249"/>
        <v>2</v>
      </c>
      <c r="E1366">
        <v>6</v>
      </c>
      <c r="F1366" s="6" t="s">
        <v>452</v>
      </c>
      <c r="G1366">
        <v>6</v>
      </c>
      <c r="H1366" s="8" t="s">
        <v>472</v>
      </c>
      <c r="I1366" t="s">
        <v>178</v>
      </c>
      <c r="J1366">
        <v>49</v>
      </c>
      <c r="K1366" t="s">
        <v>488</v>
      </c>
      <c r="L1366" t="s">
        <v>15</v>
      </c>
      <c r="Q1366">
        <f t="shared" ref="Q1366:S1381" si="254">Q1365</f>
        <v>18977</v>
      </c>
      <c r="R1366" t="str">
        <f t="shared" si="254"/>
        <v>Velodrome</v>
      </c>
      <c r="S1366" t="str">
        <f t="shared" si="254"/>
        <v>HollowBrook</v>
      </c>
      <c r="T1366" s="20">
        <f t="shared" si="250"/>
        <v>6</v>
      </c>
      <c r="U1366">
        <f t="shared" si="251"/>
        <v>396</v>
      </c>
      <c r="V1366">
        <f t="shared" si="252"/>
        <v>390</v>
      </c>
      <c r="W1366" cm="1">
        <f t="array" ref="W1366">_xlfn._xlws.FILTER(shifts!A:A,(shifts!B:B=events!D1366)*(shifts!AH:AH&gt;=events!U1366)*(shifts!AI:AI&lt;=events!V1366))</f>
        <v>47</v>
      </c>
      <c r="X1366" t="str">
        <f t="shared" si="246"/>
        <v>event_team_player_1</v>
      </c>
      <c r="Y1366">
        <f>COUNTIFS(A$3:A1366,"="&amp;A1366,K$3:K1366,"="&amp;K1366)</f>
        <v>1</v>
      </c>
      <c r="Z1366" s="20">
        <f>SUMIFS(T$3:T1366,L$3:L1366,"=Intermission")+SUMIFS(T$3:T1366,L$3:L1366,"=Timeout")+SUMIFS(T$3:T1366,L$3:L1366,"=Clockstop")</f>
        <v>68</v>
      </c>
      <c r="AA1366">
        <f t="shared" si="247"/>
        <v>1148</v>
      </c>
      <c r="AC1366">
        <f t="shared" si="248"/>
        <v>1216</v>
      </c>
    </row>
    <row r="1367" spans="1:29" x14ac:dyDescent="0.2">
      <c r="A1367">
        <v>727</v>
      </c>
      <c r="D1367">
        <f t="shared" si="249"/>
        <v>2</v>
      </c>
      <c r="E1367">
        <v>6</v>
      </c>
      <c r="F1367" s="6" t="s">
        <v>472</v>
      </c>
      <c r="I1367" t="s">
        <v>178</v>
      </c>
      <c r="J1367">
        <v>49</v>
      </c>
      <c r="K1367" t="s">
        <v>488</v>
      </c>
      <c r="L1367" t="s">
        <v>8</v>
      </c>
      <c r="M1367" t="s">
        <v>189</v>
      </c>
      <c r="N1367" t="s">
        <v>70</v>
      </c>
      <c r="Q1367">
        <f t="shared" si="254"/>
        <v>18977</v>
      </c>
      <c r="R1367" t="str">
        <f t="shared" si="254"/>
        <v>Velodrome</v>
      </c>
      <c r="S1367" t="str">
        <f t="shared" si="254"/>
        <v>HollowBrook</v>
      </c>
      <c r="T1367" s="20">
        <f t="shared" si="250"/>
        <v>0</v>
      </c>
      <c r="U1367">
        <f t="shared" si="251"/>
        <v>390</v>
      </c>
      <c r="V1367">
        <f t="shared" si="252"/>
        <v>390</v>
      </c>
      <c r="W1367" cm="1">
        <f t="array" ref="W1367">_xlfn._xlws.FILTER(shifts!A:A,(shifts!B:B=events!D1367)*(shifts!AH:AH&gt;=events!U1367)*(shifts!AI:AI&lt;=events!V1367))</f>
        <v>47</v>
      </c>
      <c r="X1367" t="str">
        <f t="shared" si="246"/>
        <v>event_team_player_1</v>
      </c>
      <c r="Y1367">
        <f>COUNTIFS(A$3:A1367,"="&amp;A1367,K$3:K1367,"="&amp;K1367)</f>
        <v>1</v>
      </c>
      <c r="Z1367" s="20">
        <f>SUMIFS(T$3:T1367,L$3:L1367,"=Intermission")+SUMIFS(T$3:T1367,L$3:L1367,"=Timeout")+SUMIFS(T$3:T1367,L$3:L1367,"=Clockstop")</f>
        <v>68</v>
      </c>
      <c r="AA1367">
        <f t="shared" si="247"/>
        <v>1148</v>
      </c>
      <c r="AC1367">
        <f t="shared" si="248"/>
        <v>1216</v>
      </c>
    </row>
    <row r="1368" spans="1:29" x14ac:dyDescent="0.2">
      <c r="A1368">
        <v>727</v>
      </c>
      <c r="D1368">
        <f t="shared" si="249"/>
        <v>2</v>
      </c>
      <c r="E1368">
        <v>6</v>
      </c>
      <c r="F1368" s="6" t="s">
        <v>472</v>
      </c>
      <c r="I1368" t="s">
        <v>178</v>
      </c>
      <c r="J1368">
        <v>22</v>
      </c>
      <c r="K1368" t="s">
        <v>488</v>
      </c>
      <c r="L1368" t="s">
        <v>8</v>
      </c>
      <c r="M1368" t="s">
        <v>189</v>
      </c>
      <c r="N1368" t="s">
        <v>70</v>
      </c>
      <c r="Q1368">
        <f t="shared" si="254"/>
        <v>18977</v>
      </c>
      <c r="R1368" t="str">
        <f t="shared" si="254"/>
        <v>Velodrome</v>
      </c>
      <c r="S1368" t="str">
        <f t="shared" si="254"/>
        <v>HollowBrook</v>
      </c>
      <c r="T1368" s="20">
        <f t="shared" si="250"/>
        <v>0</v>
      </c>
      <c r="U1368">
        <f t="shared" si="251"/>
        <v>390</v>
      </c>
      <c r="V1368">
        <f t="shared" si="252"/>
        <v>390</v>
      </c>
      <c r="W1368" cm="1">
        <f t="array" ref="W1368">_xlfn._xlws.FILTER(shifts!A:A,(shifts!B:B=events!D1368)*(shifts!AH:AH&gt;=events!U1368)*(shifts!AI:AI&lt;=events!V1368))</f>
        <v>47</v>
      </c>
      <c r="X1368" t="str">
        <f t="shared" si="246"/>
        <v>event_team_player_2</v>
      </c>
      <c r="Y1368">
        <f>COUNTIFS(A$3:A1368,"="&amp;A1368,K$3:K1368,"="&amp;K1368)</f>
        <v>2</v>
      </c>
      <c r="Z1368" s="20">
        <f>SUMIFS(T$3:T1368,L$3:L1368,"=Intermission")+SUMIFS(T$3:T1368,L$3:L1368,"=Timeout")+SUMIFS(T$3:T1368,L$3:L1368,"=Clockstop")</f>
        <v>68</v>
      </c>
      <c r="AA1368">
        <f t="shared" si="247"/>
        <v>1148</v>
      </c>
      <c r="AC1368">
        <f t="shared" si="248"/>
        <v>1216</v>
      </c>
    </row>
    <row r="1369" spans="1:29" x14ac:dyDescent="0.2">
      <c r="A1369">
        <v>728</v>
      </c>
      <c r="D1369">
        <f t="shared" si="249"/>
        <v>2</v>
      </c>
      <c r="E1369">
        <v>6</v>
      </c>
      <c r="F1369" s="6" t="s">
        <v>472</v>
      </c>
      <c r="G1369">
        <v>6</v>
      </c>
      <c r="H1369" s="8" t="s">
        <v>440</v>
      </c>
      <c r="I1369" t="s">
        <v>178</v>
      </c>
      <c r="J1369">
        <v>22</v>
      </c>
      <c r="K1369" t="s">
        <v>488</v>
      </c>
      <c r="L1369" t="s">
        <v>15</v>
      </c>
      <c r="Q1369">
        <f t="shared" si="254"/>
        <v>18977</v>
      </c>
      <c r="R1369" t="str">
        <f t="shared" si="254"/>
        <v>Velodrome</v>
      </c>
      <c r="S1369" t="str">
        <f t="shared" si="254"/>
        <v>HollowBrook</v>
      </c>
      <c r="T1369" s="20">
        <f t="shared" si="250"/>
        <v>2</v>
      </c>
      <c r="U1369">
        <f t="shared" si="251"/>
        <v>390</v>
      </c>
      <c r="V1369">
        <f t="shared" si="252"/>
        <v>388</v>
      </c>
      <c r="W1369" cm="1">
        <f t="array" ref="W1369">_xlfn._xlws.FILTER(shifts!A:A,(shifts!B:B=events!D1369)*(shifts!AH:AH&gt;=events!U1369)*(shifts!AI:AI&lt;=events!V1369))</f>
        <v>47</v>
      </c>
      <c r="X1369" t="str">
        <f t="shared" si="246"/>
        <v>event_team_player_1</v>
      </c>
      <c r="Y1369">
        <f>COUNTIFS(A$3:A1369,"="&amp;A1369,K$3:K1369,"="&amp;K1369)</f>
        <v>1</v>
      </c>
      <c r="Z1369" s="20">
        <f>SUMIFS(T$3:T1369,L$3:L1369,"=Intermission")+SUMIFS(T$3:T1369,L$3:L1369,"=Timeout")+SUMIFS(T$3:T1369,L$3:L1369,"=Clockstop")</f>
        <v>68</v>
      </c>
      <c r="AA1369">
        <f t="shared" si="247"/>
        <v>1148</v>
      </c>
      <c r="AC1369">
        <f t="shared" si="248"/>
        <v>1216</v>
      </c>
    </row>
    <row r="1370" spans="1:29" x14ac:dyDescent="0.2">
      <c r="A1370">
        <v>729</v>
      </c>
      <c r="D1370">
        <f t="shared" si="249"/>
        <v>2</v>
      </c>
      <c r="E1370">
        <v>6</v>
      </c>
      <c r="F1370" s="6" t="s">
        <v>440</v>
      </c>
      <c r="G1370">
        <v>6</v>
      </c>
      <c r="H1370" s="8" t="s">
        <v>441</v>
      </c>
      <c r="I1370" t="s">
        <v>178</v>
      </c>
      <c r="J1370">
        <v>22</v>
      </c>
      <c r="K1370" t="s">
        <v>488</v>
      </c>
      <c r="L1370" t="s">
        <v>277</v>
      </c>
      <c r="M1370" t="s">
        <v>191</v>
      </c>
      <c r="N1370" t="s">
        <v>87</v>
      </c>
      <c r="Q1370">
        <f t="shared" si="254"/>
        <v>18977</v>
      </c>
      <c r="R1370" t="str">
        <f t="shared" si="254"/>
        <v>Velodrome</v>
      </c>
      <c r="S1370" t="str">
        <f t="shared" si="254"/>
        <v>HollowBrook</v>
      </c>
      <c r="T1370" s="20">
        <f t="shared" si="250"/>
        <v>3</v>
      </c>
      <c r="U1370">
        <f t="shared" si="251"/>
        <v>388</v>
      </c>
      <c r="V1370">
        <f t="shared" si="252"/>
        <v>385</v>
      </c>
      <c r="W1370" cm="1">
        <f t="array" ref="W1370">_xlfn._xlws.FILTER(shifts!A:A,(shifts!B:B=events!D1370)*(shifts!AH:AH&gt;=events!U1370)*(shifts!AI:AI&lt;=events!V1370))</f>
        <v>47</v>
      </c>
      <c r="X1370" t="str">
        <f t="shared" si="246"/>
        <v>event_team_player_1</v>
      </c>
      <c r="Y1370">
        <f>COUNTIFS(A$3:A1370,"="&amp;A1370,K$3:K1370,"="&amp;K1370)</f>
        <v>1</v>
      </c>
      <c r="Z1370" s="20">
        <f>SUMIFS(T$3:T1370,L$3:L1370,"=Intermission")+SUMIFS(T$3:T1370,L$3:L1370,"=Timeout")+SUMIFS(T$3:T1370,L$3:L1370,"=Clockstop")</f>
        <v>68</v>
      </c>
      <c r="AA1370">
        <f t="shared" si="247"/>
        <v>1148</v>
      </c>
      <c r="AC1370">
        <f t="shared" si="248"/>
        <v>1216</v>
      </c>
    </row>
    <row r="1371" spans="1:29" x14ac:dyDescent="0.2">
      <c r="A1371">
        <v>729</v>
      </c>
      <c r="D1371">
        <f t="shared" si="249"/>
        <v>2</v>
      </c>
      <c r="E1371">
        <v>6</v>
      </c>
      <c r="F1371" s="6" t="s">
        <v>440</v>
      </c>
      <c r="G1371">
        <v>6</v>
      </c>
      <c r="H1371" s="8" t="s">
        <v>441</v>
      </c>
      <c r="I1371" t="s">
        <v>178</v>
      </c>
      <c r="J1371">
        <v>49</v>
      </c>
      <c r="K1371" t="s">
        <v>488</v>
      </c>
      <c r="L1371" t="s">
        <v>277</v>
      </c>
      <c r="M1371" t="s">
        <v>191</v>
      </c>
      <c r="N1371" t="s">
        <v>87</v>
      </c>
      <c r="Q1371">
        <f t="shared" si="254"/>
        <v>18977</v>
      </c>
      <c r="R1371" t="str">
        <f t="shared" si="254"/>
        <v>Velodrome</v>
      </c>
      <c r="S1371" t="str">
        <f t="shared" si="254"/>
        <v>HollowBrook</v>
      </c>
      <c r="T1371" s="20">
        <f t="shared" si="250"/>
        <v>3</v>
      </c>
      <c r="U1371">
        <f t="shared" si="251"/>
        <v>388</v>
      </c>
      <c r="V1371">
        <f t="shared" si="252"/>
        <v>385</v>
      </c>
      <c r="W1371" cm="1">
        <f t="array" ref="W1371">_xlfn._xlws.FILTER(shifts!A:A,(shifts!B:B=events!D1371)*(shifts!AH:AH&gt;=events!U1371)*(shifts!AI:AI&lt;=events!V1371))</f>
        <v>47</v>
      </c>
      <c r="X1371" t="str">
        <f t="shared" si="246"/>
        <v>event_team_player_2</v>
      </c>
      <c r="Y1371">
        <f>COUNTIFS(A$3:A1371,"="&amp;A1371,K$3:K1371,"="&amp;K1371)</f>
        <v>2</v>
      </c>
      <c r="Z1371" s="20">
        <f>SUMIFS(T$3:T1371,L$3:L1371,"=Intermission")+SUMIFS(T$3:T1371,L$3:L1371,"=Timeout")+SUMIFS(T$3:T1371,L$3:L1371,"=Clockstop")</f>
        <v>68</v>
      </c>
      <c r="AA1371">
        <f t="shared" si="247"/>
        <v>1148</v>
      </c>
      <c r="AC1371">
        <f t="shared" si="248"/>
        <v>1216</v>
      </c>
    </row>
    <row r="1372" spans="1:29" x14ac:dyDescent="0.2">
      <c r="A1372">
        <v>729</v>
      </c>
      <c r="D1372">
        <f t="shared" si="249"/>
        <v>2</v>
      </c>
      <c r="E1372">
        <v>6</v>
      </c>
      <c r="F1372" s="6" t="s">
        <v>440</v>
      </c>
      <c r="G1372">
        <v>6</v>
      </c>
      <c r="H1372" s="8" t="s">
        <v>441</v>
      </c>
      <c r="I1372" t="s">
        <v>178</v>
      </c>
      <c r="J1372">
        <v>61</v>
      </c>
      <c r="K1372" t="s">
        <v>488</v>
      </c>
      <c r="L1372" t="s">
        <v>277</v>
      </c>
      <c r="M1372" t="s">
        <v>191</v>
      </c>
      <c r="N1372" t="s">
        <v>87</v>
      </c>
      <c r="Q1372">
        <f t="shared" si="254"/>
        <v>18977</v>
      </c>
      <c r="R1372" t="str">
        <f t="shared" si="254"/>
        <v>Velodrome</v>
      </c>
      <c r="S1372" t="str">
        <f t="shared" si="254"/>
        <v>HollowBrook</v>
      </c>
      <c r="T1372" s="20">
        <f t="shared" si="250"/>
        <v>3</v>
      </c>
      <c r="U1372">
        <f t="shared" si="251"/>
        <v>388</v>
      </c>
      <c r="V1372">
        <f t="shared" si="252"/>
        <v>385</v>
      </c>
      <c r="W1372" cm="1">
        <f t="array" ref="W1372">_xlfn._xlws.FILTER(shifts!A:A,(shifts!B:B=events!D1372)*(shifts!AH:AH&gt;=events!U1372)*(shifts!AI:AI&lt;=events!V1372))</f>
        <v>47</v>
      </c>
      <c r="X1372" t="str">
        <f t="shared" si="246"/>
        <v>event_team_player_3</v>
      </c>
      <c r="Y1372">
        <f>COUNTIFS(A$3:A1372,"="&amp;A1372,K$3:K1372,"="&amp;K1372)</f>
        <v>3</v>
      </c>
      <c r="Z1372" s="20">
        <f>SUMIFS(T$3:T1372,L$3:L1372,"=Intermission")+SUMIFS(T$3:T1372,L$3:L1372,"=Timeout")+SUMIFS(T$3:T1372,L$3:L1372,"=Clockstop")</f>
        <v>68</v>
      </c>
      <c r="AA1372">
        <f t="shared" si="247"/>
        <v>1148</v>
      </c>
      <c r="AC1372">
        <f t="shared" si="248"/>
        <v>1216</v>
      </c>
    </row>
    <row r="1373" spans="1:29" x14ac:dyDescent="0.2">
      <c r="A1373">
        <v>729</v>
      </c>
      <c r="D1373">
        <f t="shared" si="249"/>
        <v>2</v>
      </c>
      <c r="E1373">
        <v>6</v>
      </c>
      <c r="F1373" s="6" t="s">
        <v>440</v>
      </c>
      <c r="G1373">
        <v>6</v>
      </c>
      <c r="H1373" s="8" t="s">
        <v>441</v>
      </c>
      <c r="I1373" t="s">
        <v>178</v>
      </c>
      <c r="J1373">
        <v>27</v>
      </c>
      <c r="K1373" t="s">
        <v>489</v>
      </c>
      <c r="L1373" t="s">
        <v>277</v>
      </c>
      <c r="M1373" t="s">
        <v>191</v>
      </c>
      <c r="N1373" t="s">
        <v>87</v>
      </c>
      <c r="Q1373">
        <f t="shared" si="254"/>
        <v>18977</v>
      </c>
      <c r="R1373" t="str">
        <f t="shared" si="254"/>
        <v>Velodrome</v>
      </c>
      <c r="S1373" t="str">
        <f t="shared" si="254"/>
        <v>HollowBrook</v>
      </c>
      <c r="T1373" s="20">
        <f t="shared" si="250"/>
        <v>3</v>
      </c>
      <c r="U1373">
        <f t="shared" si="251"/>
        <v>388</v>
      </c>
      <c r="V1373">
        <f t="shared" si="252"/>
        <v>385</v>
      </c>
      <c r="W1373" cm="1">
        <f t="array" ref="W1373">_xlfn._xlws.FILTER(shifts!A:A,(shifts!B:B=events!D1373)*(shifts!AH:AH&gt;=events!U1373)*(shifts!AI:AI&lt;=events!V1373))</f>
        <v>47</v>
      </c>
      <c r="X1373" t="str">
        <f t="shared" si="246"/>
        <v>opp_team_player_1</v>
      </c>
      <c r="Y1373">
        <f>COUNTIFS(A$3:A1373,"="&amp;A1373,K$3:K1373,"="&amp;K1373)</f>
        <v>1</v>
      </c>
      <c r="Z1373" s="20">
        <f>SUMIFS(T$3:T1373,L$3:L1373,"=Intermission")+SUMIFS(T$3:T1373,L$3:L1373,"=Timeout")+SUMIFS(T$3:T1373,L$3:L1373,"=Clockstop")</f>
        <v>68</v>
      </c>
      <c r="AA1373">
        <f t="shared" si="247"/>
        <v>1148</v>
      </c>
      <c r="AC1373">
        <f t="shared" si="248"/>
        <v>1216</v>
      </c>
    </row>
    <row r="1374" spans="1:29" x14ac:dyDescent="0.2">
      <c r="A1374">
        <v>729</v>
      </c>
      <c r="D1374">
        <f t="shared" si="249"/>
        <v>2</v>
      </c>
      <c r="E1374">
        <v>6</v>
      </c>
      <c r="F1374" s="6" t="s">
        <v>440</v>
      </c>
      <c r="G1374">
        <v>6</v>
      </c>
      <c r="H1374" s="8" t="s">
        <v>441</v>
      </c>
      <c r="I1374" t="s">
        <v>178</v>
      </c>
      <c r="J1374">
        <v>13</v>
      </c>
      <c r="K1374" t="s">
        <v>489</v>
      </c>
      <c r="L1374" t="s">
        <v>277</v>
      </c>
      <c r="M1374" t="s">
        <v>191</v>
      </c>
      <c r="N1374" t="s">
        <v>87</v>
      </c>
      <c r="Q1374">
        <f t="shared" si="254"/>
        <v>18977</v>
      </c>
      <c r="R1374" t="str">
        <f t="shared" si="254"/>
        <v>Velodrome</v>
      </c>
      <c r="S1374" t="str">
        <f t="shared" si="254"/>
        <v>HollowBrook</v>
      </c>
      <c r="T1374" s="20">
        <f t="shared" si="250"/>
        <v>3</v>
      </c>
      <c r="U1374">
        <f t="shared" si="251"/>
        <v>388</v>
      </c>
      <c r="V1374">
        <f t="shared" si="252"/>
        <v>385</v>
      </c>
      <c r="W1374" cm="1">
        <f t="array" ref="W1374">_xlfn._xlws.FILTER(shifts!A:A,(shifts!B:B=events!D1374)*(shifts!AH:AH&gt;=events!U1374)*(shifts!AI:AI&lt;=events!V1374))</f>
        <v>47</v>
      </c>
      <c r="X1374" t="str">
        <f t="shared" si="246"/>
        <v>opp_team_player_2</v>
      </c>
      <c r="Y1374">
        <f>COUNTIFS(A$3:A1374,"="&amp;A1374,K$3:K1374,"="&amp;K1374)</f>
        <v>2</v>
      </c>
      <c r="Z1374" s="20">
        <f>SUMIFS(T$3:T1374,L$3:L1374,"=Intermission")+SUMIFS(T$3:T1374,L$3:L1374,"=Timeout")+SUMIFS(T$3:T1374,L$3:L1374,"=Clockstop")</f>
        <v>68</v>
      </c>
      <c r="AA1374">
        <f t="shared" si="247"/>
        <v>1148</v>
      </c>
      <c r="AC1374">
        <f t="shared" si="248"/>
        <v>1216</v>
      </c>
    </row>
    <row r="1375" spans="1:29" x14ac:dyDescent="0.2">
      <c r="A1375">
        <v>729</v>
      </c>
      <c r="D1375">
        <f t="shared" si="249"/>
        <v>2</v>
      </c>
      <c r="E1375">
        <v>6</v>
      </c>
      <c r="F1375" s="6" t="s">
        <v>440</v>
      </c>
      <c r="G1375">
        <v>6</v>
      </c>
      <c r="H1375" s="8" t="s">
        <v>441</v>
      </c>
      <c r="I1375" t="s">
        <v>178</v>
      </c>
      <c r="J1375">
        <v>5</v>
      </c>
      <c r="K1375" t="s">
        <v>489</v>
      </c>
      <c r="L1375" t="s">
        <v>277</v>
      </c>
      <c r="M1375" t="s">
        <v>191</v>
      </c>
      <c r="N1375" t="s">
        <v>87</v>
      </c>
      <c r="Q1375">
        <f t="shared" si="254"/>
        <v>18977</v>
      </c>
      <c r="R1375" t="str">
        <f t="shared" si="254"/>
        <v>Velodrome</v>
      </c>
      <c r="S1375" t="str">
        <f t="shared" si="254"/>
        <v>HollowBrook</v>
      </c>
      <c r="T1375" s="20">
        <f t="shared" si="250"/>
        <v>3</v>
      </c>
      <c r="U1375">
        <f t="shared" si="251"/>
        <v>388</v>
      </c>
      <c r="V1375">
        <f t="shared" si="252"/>
        <v>385</v>
      </c>
      <c r="W1375" cm="1">
        <f t="array" ref="W1375">_xlfn._xlws.FILTER(shifts!A:A,(shifts!B:B=events!D1375)*(shifts!AH:AH&gt;=events!U1375)*(shifts!AI:AI&lt;=events!V1375))</f>
        <v>47</v>
      </c>
      <c r="X1375" t="str">
        <f t="shared" si="246"/>
        <v>opp_team_player_3</v>
      </c>
      <c r="Y1375">
        <f>COUNTIFS(A$3:A1375,"="&amp;A1375,K$3:K1375,"="&amp;K1375)</f>
        <v>3</v>
      </c>
      <c r="Z1375" s="20">
        <f>SUMIFS(T$3:T1375,L$3:L1375,"=Intermission")+SUMIFS(T$3:T1375,L$3:L1375,"=Timeout")+SUMIFS(T$3:T1375,L$3:L1375,"=Clockstop")</f>
        <v>68</v>
      </c>
      <c r="AA1375">
        <f t="shared" si="247"/>
        <v>1148</v>
      </c>
      <c r="AC1375">
        <f t="shared" si="248"/>
        <v>1216</v>
      </c>
    </row>
    <row r="1376" spans="1:29" x14ac:dyDescent="0.2">
      <c r="A1376">
        <v>730</v>
      </c>
      <c r="D1376">
        <f t="shared" si="249"/>
        <v>2</v>
      </c>
      <c r="E1376">
        <v>6</v>
      </c>
      <c r="F1376" s="6" t="s">
        <v>441</v>
      </c>
      <c r="I1376" t="s">
        <v>178</v>
      </c>
      <c r="J1376">
        <v>22</v>
      </c>
      <c r="K1376" t="s">
        <v>488</v>
      </c>
      <c r="L1376" t="s">
        <v>7</v>
      </c>
      <c r="M1376" t="s">
        <v>208</v>
      </c>
      <c r="N1376" t="s">
        <v>53</v>
      </c>
      <c r="Q1376">
        <f t="shared" si="254"/>
        <v>18977</v>
      </c>
      <c r="R1376" t="str">
        <f t="shared" si="254"/>
        <v>Velodrome</v>
      </c>
      <c r="S1376" t="str">
        <f t="shared" si="254"/>
        <v>HollowBrook</v>
      </c>
      <c r="T1376" s="20">
        <f t="shared" si="250"/>
        <v>0</v>
      </c>
      <c r="U1376">
        <f t="shared" si="251"/>
        <v>385</v>
      </c>
      <c r="V1376">
        <f t="shared" si="252"/>
        <v>385</v>
      </c>
      <c r="W1376" cm="1">
        <f t="array" ref="W1376">_xlfn._xlws.FILTER(shifts!A:A,(shifts!B:B=events!D1376)*(shifts!AH:AH&gt;=events!U1376)*(shifts!AI:AI&lt;=events!V1376))</f>
        <v>47</v>
      </c>
      <c r="X1376" t="str">
        <f t="shared" si="246"/>
        <v>event_team_player_1</v>
      </c>
      <c r="Y1376">
        <f>COUNTIFS(A$3:A1376,"="&amp;A1376,K$3:K1376,"="&amp;K1376)</f>
        <v>1</v>
      </c>
      <c r="Z1376" s="20">
        <f>SUMIFS(T$3:T1376,L$3:L1376,"=Intermission")+SUMIFS(T$3:T1376,L$3:L1376,"=Timeout")+SUMIFS(T$3:T1376,L$3:L1376,"=Clockstop")</f>
        <v>68</v>
      </c>
      <c r="AA1376">
        <f t="shared" si="247"/>
        <v>1148</v>
      </c>
      <c r="AC1376">
        <f t="shared" si="248"/>
        <v>1216</v>
      </c>
    </row>
    <row r="1377" spans="1:29" x14ac:dyDescent="0.2">
      <c r="A1377">
        <v>730</v>
      </c>
      <c r="D1377">
        <f t="shared" si="249"/>
        <v>2</v>
      </c>
      <c r="E1377">
        <v>6</v>
      </c>
      <c r="F1377" s="6" t="s">
        <v>441</v>
      </c>
      <c r="I1377" t="s">
        <v>178</v>
      </c>
      <c r="J1377">
        <v>27</v>
      </c>
      <c r="K1377" t="s">
        <v>489</v>
      </c>
      <c r="L1377" t="s">
        <v>7</v>
      </c>
      <c r="M1377" t="s">
        <v>208</v>
      </c>
      <c r="N1377" t="s">
        <v>53</v>
      </c>
      <c r="Q1377">
        <f t="shared" si="254"/>
        <v>18977</v>
      </c>
      <c r="R1377" t="str">
        <f t="shared" si="254"/>
        <v>Velodrome</v>
      </c>
      <c r="S1377" t="str">
        <f t="shared" si="254"/>
        <v>HollowBrook</v>
      </c>
      <c r="T1377" s="20">
        <f t="shared" si="250"/>
        <v>0</v>
      </c>
      <c r="U1377">
        <f t="shared" si="251"/>
        <v>385</v>
      </c>
      <c r="V1377">
        <f t="shared" si="252"/>
        <v>385</v>
      </c>
      <c r="W1377" cm="1">
        <f t="array" ref="W1377">_xlfn._xlws.FILTER(shifts!A:A,(shifts!B:B=events!D1377)*(shifts!AH:AH&gt;=events!U1377)*(shifts!AI:AI&lt;=events!V1377))</f>
        <v>47</v>
      </c>
      <c r="X1377" t="str">
        <f t="shared" si="246"/>
        <v>opp_team_player_1</v>
      </c>
      <c r="Y1377">
        <f>COUNTIFS(A$3:A1377,"="&amp;A1377,K$3:K1377,"="&amp;K1377)</f>
        <v>1</v>
      </c>
      <c r="Z1377" s="20">
        <f>SUMIFS(T$3:T1377,L$3:L1377,"=Intermission")+SUMIFS(T$3:T1377,L$3:L1377,"=Timeout")+SUMIFS(T$3:T1377,L$3:L1377,"=Clockstop")</f>
        <v>68</v>
      </c>
      <c r="AA1377">
        <f t="shared" si="247"/>
        <v>1148</v>
      </c>
      <c r="AC1377">
        <f t="shared" si="248"/>
        <v>1216</v>
      </c>
    </row>
    <row r="1378" spans="1:29" x14ac:dyDescent="0.2">
      <c r="A1378">
        <v>731</v>
      </c>
      <c r="D1378">
        <f t="shared" si="249"/>
        <v>2</v>
      </c>
      <c r="E1378">
        <v>6</v>
      </c>
      <c r="F1378" s="6" t="s">
        <v>441</v>
      </c>
      <c r="I1378" t="s">
        <v>178</v>
      </c>
      <c r="J1378">
        <v>22</v>
      </c>
      <c r="K1378" t="s">
        <v>488</v>
      </c>
      <c r="L1378" t="s">
        <v>10</v>
      </c>
      <c r="M1378" t="s">
        <v>190</v>
      </c>
      <c r="N1378" t="s">
        <v>78</v>
      </c>
      <c r="Q1378">
        <f t="shared" si="254"/>
        <v>18977</v>
      </c>
      <c r="R1378" t="str">
        <f t="shared" si="254"/>
        <v>Velodrome</v>
      </c>
      <c r="S1378" t="str">
        <f t="shared" si="254"/>
        <v>HollowBrook</v>
      </c>
      <c r="T1378" s="20">
        <f t="shared" si="250"/>
        <v>0</v>
      </c>
      <c r="U1378">
        <f t="shared" si="251"/>
        <v>385</v>
      </c>
      <c r="V1378">
        <f t="shared" si="252"/>
        <v>385</v>
      </c>
      <c r="W1378" cm="1">
        <f t="array" ref="W1378">_xlfn._xlws.FILTER(shifts!A:A,(shifts!B:B=events!D1378)*(shifts!AH:AH&gt;=events!U1378)*(shifts!AI:AI&lt;=events!V1378))</f>
        <v>47</v>
      </c>
      <c r="X1378" t="str">
        <f t="shared" si="246"/>
        <v>event_team_player_1</v>
      </c>
      <c r="Y1378">
        <f>COUNTIFS(A$3:A1378,"="&amp;A1378,K$3:K1378,"="&amp;K1378)</f>
        <v>1</v>
      </c>
      <c r="Z1378" s="20">
        <f>SUMIFS(T$3:T1378,L$3:L1378,"=Intermission")+SUMIFS(T$3:T1378,L$3:L1378,"=Timeout")+SUMIFS(T$3:T1378,L$3:L1378,"=Clockstop")</f>
        <v>68</v>
      </c>
      <c r="AA1378">
        <f t="shared" si="247"/>
        <v>1148</v>
      </c>
      <c r="AC1378">
        <f t="shared" si="248"/>
        <v>1216</v>
      </c>
    </row>
    <row r="1379" spans="1:29" x14ac:dyDescent="0.2">
      <c r="A1379">
        <v>731</v>
      </c>
      <c r="D1379">
        <f t="shared" si="249"/>
        <v>2</v>
      </c>
      <c r="E1379">
        <v>6</v>
      </c>
      <c r="F1379" s="6" t="s">
        <v>441</v>
      </c>
      <c r="I1379" t="s">
        <v>178</v>
      </c>
      <c r="J1379">
        <v>27</v>
      </c>
      <c r="K1379" t="s">
        <v>489</v>
      </c>
      <c r="L1379" t="s">
        <v>10</v>
      </c>
      <c r="M1379" t="s">
        <v>190</v>
      </c>
      <c r="N1379" t="s">
        <v>78</v>
      </c>
      <c r="Q1379">
        <f t="shared" si="254"/>
        <v>18977</v>
      </c>
      <c r="R1379" t="str">
        <f t="shared" si="254"/>
        <v>Velodrome</v>
      </c>
      <c r="S1379" t="str">
        <f t="shared" si="254"/>
        <v>HollowBrook</v>
      </c>
      <c r="T1379" s="20">
        <f t="shared" si="250"/>
        <v>0</v>
      </c>
      <c r="U1379">
        <f t="shared" si="251"/>
        <v>385</v>
      </c>
      <c r="V1379">
        <f t="shared" si="252"/>
        <v>385</v>
      </c>
      <c r="W1379" cm="1">
        <f t="array" ref="W1379">_xlfn._xlws.FILTER(shifts!A:A,(shifts!B:B=events!D1379)*(shifts!AH:AH&gt;=events!U1379)*(shifts!AI:AI&lt;=events!V1379))</f>
        <v>47</v>
      </c>
      <c r="X1379" t="str">
        <f t="shared" si="246"/>
        <v>opp_team_player_1</v>
      </c>
      <c r="Y1379">
        <f>COUNTIFS(A$3:A1379,"="&amp;A1379,K$3:K1379,"="&amp;K1379)</f>
        <v>1</v>
      </c>
      <c r="Z1379" s="20">
        <f>SUMIFS(T$3:T1379,L$3:L1379,"=Intermission")+SUMIFS(T$3:T1379,L$3:L1379,"=Timeout")+SUMIFS(T$3:T1379,L$3:L1379,"=Clockstop")</f>
        <v>68</v>
      </c>
      <c r="AA1379">
        <f t="shared" si="247"/>
        <v>1148</v>
      </c>
      <c r="AC1379">
        <f t="shared" si="248"/>
        <v>1216</v>
      </c>
    </row>
    <row r="1380" spans="1:29" x14ac:dyDescent="0.2">
      <c r="A1380">
        <v>732</v>
      </c>
      <c r="D1380">
        <f t="shared" si="249"/>
        <v>2</v>
      </c>
      <c r="E1380">
        <v>6</v>
      </c>
      <c r="F1380" s="6" t="s">
        <v>445</v>
      </c>
      <c r="I1380" t="s">
        <v>179</v>
      </c>
      <c r="J1380">
        <v>27</v>
      </c>
      <c r="K1380" t="s">
        <v>488</v>
      </c>
      <c r="L1380" t="s">
        <v>13</v>
      </c>
      <c r="M1380" t="s">
        <v>204</v>
      </c>
      <c r="N1380" t="s">
        <v>108</v>
      </c>
      <c r="Q1380">
        <f t="shared" si="254"/>
        <v>18977</v>
      </c>
      <c r="R1380" t="str">
        <f t="shared" si="254"/>
        <v>Velodrome</v>
      </c>
      <c r="S1380" t="str">
        <f t="shared" si="254"/>
        <v>HollowBrook</v>
      </c>
      <c r="T1380" s="20">
        <f t="shared" si="250"/>
        <v>0</v>
      </c>
      <c r="U1380">
        <f t="shared" si="251"/>
        <v>379</v>
      </c>
      <c r="V1380">
        <f t="shared" si="252"/>
        <v>379</v>
      </c>
      <c r="W1380">
        <v>48</v>
      </c>
      <c r="X1380" t="str">
        <f t="shared" si="246"/>
        <v>event_team_player_1</v>
      </c>
      <c r="Y1380">
        <f>COUNTIFS(A$3:A1380,"="&amp;A1380,K$3:K1380,"="&amp;K1380)</f>
        <v>1</v>
      </c>
      <c r="Z1380" s="20">
        <f>SUMIFS(T$3:T1380,L$3:L1380,"=Intermission")+SUMIFS(T$3:T1380,L$3:L1380,"=Timeout")+SUMIFS(T$3:T1380,L$3:L1380,"=Clockstop")</f>
        <v>68</v>
      </c>
      <c r="AA1380">
        <f t="shared" si="247"/>
        <v>1148</v>
      </c>
      <c r="AC1380">
        <f t="shared" si="248"/>
        <v>1216</v>
      </c>
    </row>
    <row r="1381" spans="1:29" x14ac:dyDescent="0.2">
      <c r="A1381">
        <v>732</v>
      </c>
      <c r="D1381">
        <f t="shared" si="249"/>
        <v>2</v>
      </c>
      <c r="E1381">
        <v>6</v>
      </c>
      <c r="F1381" s="6" t="s">
        <v>445</v>
      </c>
      <c r="G1381">
        <v>5</v>
      </c>
      <c r="H1381" s="8" t="s">
        <v>492</v>
      </c>
      <c r="I1381" t="s">
        <v>179</v>
      </c>
      <c r="J1381">
        <v>27</v>
      </c>
      <c r="K1381" t="s">
        <v>488</v>
      </c>
      <c r="L1381" t="s">
        <v>282</v>
      </c>
      <c r="Q1381">
        <f t="shared" si="254"/>
        <v>18977</v>
      </c>
      <c r="R1381" t="str">
        <f t="shared" si="254"/>
        <v>Velodrome</v>
      </c>
      <c r="S1381" t="str">
        <f t="shared" si="254"/>
        <v>HollowBrook</v>
      </c>
      <c r="T1381" s="20">
        <f t="shared" si="250"/>
        <v>26</v>
      </c>
      <c r="U1381">
        <f t="shared" si="251"/>
        <v>379</v>
      </c>
      <c r="V1381">
        <f t="shared" si="252"/>
        <v>353</v>
      </c>
      <c r="W1381" cm="1">
        <f t="array" ref="W1381">_xlfn._xlws.FILTER(shifts!A:A,(shifts!B:B=events!D1381)*(shifts!AH:AH&gt;=events!U1381)*(shifts!AI:AI&lt;=events!V1381))</f>
        <v>48</v>
      </c>
      <c r="X1381" t="str">
        <f t="shared" si="246"/>
        <v>event_team_player_2</v>
      </c>
      <c r="Y1381">
        <f>COUNTIFS(A$3:A1381,"="&amp;A1381,K$3:K1381,"="&amp;K1381)</f>
        <v>2</v>
      </c>
      <c r="Z1381" s="20">
        <f>SUMIFS(T$3:T1381,L$3:L1381,"=Intermission")+SUMIFS(T$3:T1381,L$3:L1381,"=Timeout")+SUMIFS(T$3:T1381,L$3:L1381,"=Clockstop")</f>
        <v>68</v>
      </c>
      <c r="AA1381">
        <f t="shared" si="247"/>
        <v>1148</v>
      </c>
      <c r="AC1381">
        <f t="shared" si="248"/>
        <v>1216</v>
      </c>
    </row>
    <row r="1382" spans="1:29" x14ac:dyDescent="0.2">
      <c r="A1382">
        <v>733</v>
      </c>
      <c r="D1382">
        <f t="shared" si="249"/>
        <v>2</v>
      </c>
      <c r="E1382">
        <v>5</v>
      </c>
      <c r="F1382" s="6" t="s">
        <v>492</v>
      </c>
      <c r="I1382" t="s">
        <v>179</v>
      </c>
      <c r="J1382">
        <v>11</v>
      </c>
      <c r="K1382" t="s">
        <v>488</v>
      </c>
      <c r="L1382" t="s">
        <v>6</v>
      </c>
      <c r="M1382" t="s">
        <v>275</v>
      </c>
      <c r="Q1382">
        <f t="shared" ref="Q1382:S1397" si="255">Q1381</f>
        <v>18977</v>
      </c>
      <c r="R1382" t="str">
        <f t="shared" si="255"/>
        <v>Velodrome</v>
      </c>
      <c r="S1382" t="str">
        <f t="shared" si="255"/>
        <v>HollowBrook</v>
      </c>
      <c r="T1382" s="20">
        <f t="shared" si="250"/>
        <v>0</v>
      </c>
      <c r="U1382">
        <f t="shared" si="251"/>
        <v>353</v>
      </c>
      <c r="V1382">
        <f t="shared" si="252"/>
        <v>353</v>
      </c>
      <c r="W1382" cm="1">
        <f t="array" ref="W1382">_xlfn._xlws.FILTER(shifts!A:A,(shifts!B:B=events!D1382)*(shifts!AH:AH&gt;=events!U1382)*(shifts!AI:AI&lt;=events!V1382))</f>
        <v>48</v>
      </c>
      <c r="X1382" t="str">
        <f t="shared" si="246"/>
        <v>event_team_player_1</v>
      </c>
      <c r="Y1382">
        <f>COUNTIFS(A$3:A1382,"="&amp;A1382,K$3:K1382,"="&amp;K1382)</f>
        <v>1</v>
      </c>
      <c r="Z1382" s="20">
        <f>SUMIFS(T$3:T1382,L$3:L1382,"=Intermission")+SUMIFS(T$3:T1382,L$3:L1382,"=Timeout")+SUMIFS(T$3:T1382,L$3:L1382,"=Clockstop")</f>
        <v>68</v>
      </c>
      <c r="AA1382">
        <f t="shared" si="247"/>
        <v>1148</v>
      </c>
      <c r="AC1382">
        <f t="shared" si="248"/>
        <v>1216</v>
      </c>
    </row>
    <row r="1383" spans="1:29" x14ac:dyDescent="0.2">
      <c r="A1383">
        <v>733</v>
      </c>
      <c r="D1383">
        <f t="shared" si="249"/>
        <v>2</v>
      </c>
      <c r="E1383">
        <v>5</v>
      </c>
      <c r="F1383" s="6" t="s">
        <v>492</v>
      </c>
      <c r="I1383" t="s">
        <v>179</v>
      </c>
      <c r="J1383">
        <v>18</v>
      </c>
      <c r="K1383" t="s">
        <v>488</v>
      </c>
      <c r="L1383" t="s">
        <v>6</v>
      </c>
      <c r="M1383" t="s">
        <v>275</v>
      </c>
      <c r="Q1383">
        <f t="shared" si="255"/>
        <v>18977</v>
      </c>
      <c r="R1383" t="str">
        <f t="shared" si="255"/>
        <v>Velodrome</v>
      </c>
      <c r="S1383" t="str">
        <f t="shared" si="255"/>
        <v>HollowBrook</v>
      </c>
      <c r="T1383" s="20">
        <f t="shared" si="250"/>
        <v>0</v>
      </c>
      <c r="U1383">
        <f t="shared" si="251"/>
        <v>353</v>
      </c>
      <c r="V1383">
        <f t="shared" si="252"/>
        <v>353</v>
      </c>
      <c r="W1383" cm="1">
        <f t="array" ref="W1383">_xlfn._xlws.FILTER(shifts!A:A,(shifts!B:B=events!D1383)*(shifts!AH:AH&gt;=events!U1383)*(shifts!AI:AI&lt;=events!V1383))</f>
        <v>48</v>
      </c>
      <c r="X1383" t="str">
        <f t="shared" si="246"/>
        <v>event_team_player_2</v>
      </c>
      <c r="Y1383">
        <f>COUNTIFS(A$3:A1383,"="&amp;A1383,K$3:K1383,"="&amp;K1383)</f>
        <v>2</v>
      </c>
      <c r="Z1383" s="20">
        <f>SUMIFS(T$3:T1383,L$3:L1383,"=Intermission")+SUMIFS(T$3:T1383,L$3:L1383,"=Timeout")+SUMIFS(T$3:T1383,L$3:L1383,"=Clockstop")</f>
        <v>68</v>
      </c>
      <c r="AA1383">
        <f t="shared" si="247"/>
        <v>1148</v>
      </c>
      <c r="AC1383">
        <f t="shared" si="248"/>
        <v>1216</v>
      </c>
    </row>
    <row r="1384" spans="1:29" x14ac:dyDescent="0.2">
      <c r="A1384">
        <v>733</v>
      </c>
      <c r="D1384">
        <f t="shared" si="249"/>
        <v>2</v>
      </c>
      <c r="E1384">
        <v>5</v>
      </c>
      <c r="F1384" s="6" t="s">
        <v>492</v>
      </c>
      <c r="I1384" t="s">
        <v>179</v>
      </c>
      <c r="J1384">
        <v>42</v>
      </c>
      <c r="K1384" t="s">
        <v>489</v>
      </c>
      <c r="L1384" t="s">
        <v>6</v>
      </c>
      <c r="M1384" t="s">
        <v>275</v>
      </c>
      <c r="Q1384">
        <f t="shared" si="255"/>
        <v>18977</v>
      </c>
      <c r="R1384" t="str">
        <f t="shared" si="255"/>
        <v>Velodrome</v>
      </c>
      <c r="S1384" t="str">
        <f t="shared" si="255"/>
        <v>HollowBrook</v>
      </c>
      <c r="T1384" s="20">
        <f t="shared" si="250"/>
        <v>0</v>
      </c>
      <c r="U1384">
        <f t="shared" si="251"/>
        <v>353</v>
      </c>
      <c r="V1384">
        <f t="shared" si="252"/>
        <v>353</v>
      </c>
      <c r="W1384" cm="1">
        <f t="array" ref="W1384">_xlfn._xlws.FILTER(shifts!A:A,(shifts!B:B=events!D1384)*(shifts!AH:AH&gt;=events!U1384)*(shifts!AI:AI&lt;=events!V1384))</f>
        <v>48</v>
      </c>
      <c r="X1384" t="str">
        <f t="shared" si="246"/>
        <v>opp_team_player_1</v>
      </c>
      <c r="Y1384">
        <f>COUNTIFS(A$3:A1384,"="&amp;A1384,K$3:K1384,"="&amp;K1384)</f>
        <v>1</v>
      </c>
      <c r="Z1384" s="20">
        <f>SUMIFS(T$3:T1384,L$3:L1384,"=Intermission")+SUMIFS(T$3:T1384,L$3:L1384,"=Timeout")+SUMIFS(T$3:T1384,L$3:L1384,"=Clockstop")</f>
        <v>68</v>
      </c>
      <c r="AA1384">
        <f t="shared" si="247"/>
        <v>1148</v>
      </c>
      <c r="AC1384">
        <f t="shared" si="248"/>
        <v>1216</v>
      </c>
    </row>
    <row r="1385" spans="1:29" x14ac:dyDescent="0.2">
      <c r="A1385">
        <v>734</v>
      </c>
      <c r="D1385">
        <f t="shared" si="249"/>
        <v>2</v>
      </c>
      <c r="E1385">
        <v>5</v>
      </c>
      <c r="F1385" s="6" t="s">
        <v>492</v>
      </c>
      <c r="G1385">
        <v>5</v>
      </c>
      <c r="H1385" s="8" t="s">
        <v>451</v>
      </c>
      <c r="I1385" t="s">
        <v>179</v>
      </c>
      <c r="J1385">
        <v>18</v>
      </c>
      <c r="K1385" t="s">
        <v>488</v>
      </c>
      <c r="L1385" t="s">
        <v>15</v>
      </c>
      <c r="Q1385">
        <f t="shared" si="255"/>
        <v>18977</v>
      </c>
      <c r="R1385" t="str">
        <f t="shared" si="255"/>
        <v>Velodrome</v>
      </c>
      <c r="S1385" t="str">
        <f t="shared" si="255"/>
        <v>HollowBrook</v>
      </c>
      <c r="T1385" s="20">
        <f t="shared" si="250"/>
        <v>5</v>
      </c>
      <c r="U1385">
        <f t="shared" si="251"/>
        <v>353</v>
      </c>
      <c r="V1385">
        <f t="shared" si="252"/>
        <v>348</v>
      </c>
      <c r="W1385" cm="1">
        <f t="array" ref="W1385">_xlfn._xlws.FILTER(shifts!A:A,(shifts!B:B=events!D1385)*(shifts!AH:AH&gt;=events!U1385)*(shifts!AI:AI&lt;=events!V1385))</f>
        <v>48</v>
      </c>
      <c r="X1385" t="str">
        <f t="shared" si="246"/>
        <v>event_team_player_1</v>
      </c>
      <c r="Y1385">
        <f>COUNTIFS(A$3:A1385,"="&amp;A1385,K$3:K1385,"="&amp;K1385)</f>
        <v>1</v>
      </c>
      <c r="Z1385" s="20">
        <f>SUMIFS(T$3:T1385,L$3:L1385,"=Intermission")+SUMIFS(T$3:T1385,L$3:L1385,"=Timeout")+SUMIFS(T$3:T1385,L$3:L1385,"=Clockstop")</f>
        <v>68</v>
      </c>
      <c r="AA1385">
        <f t="shared" si="247"/>
        <v>1148</v>
      </c>
      <c r="AC1385">
        <f t="shared" si="248"/>
        <v>1216</v>
      </c>
    </row>
    <row r="1386" spans="1:29" x14ac:dyDescent="0.2">
      <c r="A1386">
        <v>735</v>
      </c>
      <c r="D1386">
        <f t="shared" si="249"/>
        <v>2</v>
      </c>
      <c r="E1386">
        <v>5</v>
      </c>
      <c r="F1386" s="6" t="s">
        <v>451</v>
      </c>
      <c r="I1386" t="s">
        <v>179</v>
      </c>
      <c r="J1386">
        <v>18</v>
      </c>
      <c r="K1386" t="s">
        <v>488</v>
      </c>
      <c r="L1386" t="s">
        <v>277</v>
      </c>
      <c r="M1386" t="s">
        <v>201</v>
      </c>
      <c r="N1386" t="s">
        <v>92</v>
      </c>
      <c r="Q1386">
        <f t="shared" si="255"/>
        <v>18977</v>
      </c>
      <c r="R1386" t="str">
        <f t="shared" si="255"/>
        <v>Velodrome</v>
      </c>
      <c r="S1386" t="str">
        <f t="shared" si="255"/>
        <v>HollowBrook</v>
      </c>
      <c r="T1386" s="20">
        <f t="shared" si="250"/>
        <v>0</v>
      </c>
      <c r="U1386">
        <f t="shared" si="251"/>
        <v>348</v>
      </c>
      <c r="V1386">
        <f t="shared" si="252"/>
        <v>348</v>
      </c>
      <c r="W1386" cm="1">
        <f t="array" ref="W1386">_xlfn._xlws.FILTER(shifts!A:A,(shifts!B:B=events!D1386)*(shifts!AH:AH&gt;=events!U1386)*(shifts!AI:AI&lt;=events!V1386))</f>
        <v>48</v>
      </c>
      <c r="X1386" t="str">
        <f t="shared" si="246"/>
        <v>event_team_player_1</v>
      </c>
      <c r="Y1386">
        <f>COUNTIFS(A$3:A1386,"="&amp;A1386,K$3:K1386,"="&amp;K1386)</f>
        <v>1</v>
      </c>
      <c r="Z1386" s="20">
        <f>SUMIFS(T$3:T1386,L$3:L1386,"=Intermission")+SUMIFS(T$3:T1386,L$3:L1386,"=Timeout")+SUMIFS(T$3:T1386,L$3:L1386,"=Clockstop")</f>
        <v>68</v>
      </c>
      <c r="AA1386">
        <f t="shared" si="247"/>
        <v>1148</v>
      </c>
      <c r="AC1386">
        <f t="shared" si="248"/>
        <v>1216</v>
      </c>
    </row>
    <row r="1387" spans="1:29" x14ac:dyDescent="0.2">
      <c r="A1387">
        <v>736</v>
      </c>
      <c r="D1387">
        <f t="shared" si="249"/>
        <v>2</v>
      </c>
      <c r="E1387">
        <v>5</v>
      </c>
      <c r="F1387" s="6" t="s">
        <v>451</v>
      </c>
      <c r="I1387" t="s">
        <v>179</v>
      </c>
      <c r="J1387">
        <v>18</v>
      </c>
      <c r="K1387" t="s">
        <v>488</v>
      </c>
      <c r="L1387" t="s">
        <v>277</v>
      </c>
      <c r="M1387" t="s">
        <v>191</v>
      </c>
      <c r="N1387" t="s">
        <v>500</v>
      </c>
      <c r="Q1387">
        <f t="shared" si="255"/>
        <v>18977</v>
      </c>
      <c r="R1387" t="str">
        <f t="shared" si="255"/>
        <v>Velodrome</v>
      </c>
      <c r="S1387" t="str">
        <f t="shared" si="255"/>
        <v>HollowBrook</v>
      </c>
      <c r="T1387" s="20">
        <f t="shared" si="250"/>
        <v>0</v>
      </c>
      <c r="U1387">
        <f t="shared" si="251"/>
        <v>348</v>
      </c>
      <c r="V1387">
        <f t="shared" si="252"/>
        <v>348</v>
      </c>
      <c r="W1387" cm="1">
        <f t="array" ref="W1387">_xlfn._xlws.FILTER(shifts!A:A,(shifts!B:B=events!D1387)*(shifts!AH:AH&gt;=events!U1387)*(shifts!AI:AI&lt;=events!V1387))</f>
        <v>48</v>
      </c>
      <c r="X1387" t="str">
        <f t="shared" si="246"/>
        <v>event_team_player_1</v>
      </c>
      <c r="Y1387">
        <f>COUNTIFS(A$3:A1387,"="&amp;A1387,K$3:K1387,"="&amp;K1387)</f>
        <v>1</v>
      </c>
      <c r="Z1387" s="20">
        <f>SUMIFS(T$3:T1387,L$3:L1387,"=Intermission")+SUMIFS(T$3:T1387,L$3:L1387,"=Timeout")+SUMIFS(T$3:T1387,L$3:L1387,"=Clockstop")</f>
        <v>68</v>
      </c>
      <c r="AA1387">
        <f t="shared" si="247"/>
        <v>1148</v>
      </c>
      <c r="AC1387">
        <f t="shared" si="248"/>
        <v>1216</v>
      </c>
    </row>
    <row r="1388" spans="1:29" x14ac:dyDescent="0.2">
      <c r="A1388">
        <v>737</v>
      </c>
      <c r="D1388">
        <f t="shared" si="249"/>
        <v>2</v>
      </c>
      <c r="E1388">
        <v>5</v>
      </c>
      <c r="F1388" s="6" t="s">
        <v>430</v>
      </c>
      <c r="I1388" t="s">
        <v>179</v>
      </c>
      <c r="J1388">
        <v>18</v>
      </c>
      <c r="K1388" t="s">
        <v>488</v>
      </c>
      <c r="L1388" t="s">
        <v>10</v>
      </c>
      <c r="M1388" t="s">
        <v>190</v>
      </c>
      <c r="N1388" t="s">
        <v>460</v>
      </c>
      <c r="Q1388">
        <f t="shared" si="255"/>
        <v>18977</v>
      </c>
      <c r="R1388" t="str">
        <f t="shared" si="255"/>
        <v>Velodrome</v>
      </c>
      <c r="S1388" t="str">
        <f t="shared" si="255"/>
        <v>HollowBrook</v>
      </c>
      <c r="T1388" s="20">
        <f t="shared" si="250"/>
        <v>0</v>
      </c>
      <c r="U1388">
        <f t="shared" si="251"/>
        <v>342</v>
      </c>
      <c r="V1388">
        <f t="shared" si="252"/>
        <v>342</v>
      </c>
      <c r="W1388" cm="1">
        <f t="array" ref="W1388">_xlfn._xlws.FILTER(shifts!A:A,(shifts!B:B=events!D1388)*(shifts!AH:AH&gt;=events!U1388)*(shifts!AI:AI&lt;=events!V1388))</f>
        <v>48</v>
      </c>
      <c r="X1388" t="str">
        <f t="shared" si="246"/>
        <v>event_team_player_1</v>
      </c>
      <c r="Y1388">
        <f>COUNTIFS(A$3:A1388,"="&amp;A1388,K$3:K1388,"="&amp;K1388)</f>
        <v>1</v>
      </c>
      <c r="Z1388" s="20">
        <f>SUMIFS(T$3:T1388,L$3:L1388,"=Intermission")+SUMIFS(T$3:T1388,L$3:L1388,"=Timeout")+SUMIFS(T$3:T1388,L$3:L1388,"=Clockstop")</f>
        <v>68</v>
      </c>
      <c r="AA1388">
        <f t="shared" si="247"/>
        <v>1148</v>
      </c>
      <c r="AC1388">
        <f t="shared" si="248"/>
        <v>1216</v>
      </c>
    </row>
    <row r="1389" spans="1:29" x14ac:dyDescent="0.2">
      <c r="A1389">
        <v>738</v>
      </c>
      <c r="D1389">
        <f t="shared" si="249"/>
        <v>2</v>
      </c>
      <c r="E1389">
        <v>5</v>
      </c>
      <c r="F1389" s="6" t="s">
        <v>430</v>
      </c>
      <c r="G1389">
        <v>5</v>
      </c>
      <c r="H1389" s="8" t="s">
        <v>437</v>
      </c>
      <c r="I1389" t="s">
        <v>178</v>
      </c>
      <c r="J1389">
        <v>39</v>
      </c>
      <c r="K1389" t="s">
        <v>488</v>
      </c>
      <c r="L1389" t="s">
        <v>15</v>
      </c>
      <c r="Q1389">
        <f t="shared" si="255"/>
        <v>18977</v>
      </c>
      <c r="R1389" t="str">
        <f t="shared" si="255"/>
        <v>Velodrome</v>
      </c>
      <c r="S1389" t="str">
        <f t="shared" si="255"/>
        <v>HollowBrook</v>
      </c>
      <c r="T1389" s="20">
        <f t="shared" si="250"/>
        <v>2</v>
      </c>
      <c r="U1389">
        <f t="shared" si="251"/>
        <v>342</v>
      </c>
      <c r="V1389">
        <f t="shared" si="252"/>
        <v>340</v>
      </c>
      <c r="W1389" cm="1">
        <f t="array" ref="W1389">_xlfn._xlws.FILTER(shifts!A:A,(shifts!B:B=events!D1389)*(shifts!AH:AH&gt;=events!U1389)*(shifts!AI:AI&lt;=events!V1389))</f>
        <v>48</v>
      </c>
      <c r="X1389" t="str">
        <f t="shared" si="246"/>
        <v>event_team_player_1</v>
      </c>
      <c r="Y1389">
        <f>COUNTIFS(A$3:A1389,"="&amp;A1389,K$3:K1389,"="&amp;K1389)</f>
        <v>1</v>
      </c>
      <c r="Z1389" s="20">
        <f>SUMIFS(T$3:T1389,L$3:L1389,"=Intermission")+SUMIFS(T$3:T1389,L$3:L1389,"=Timeout")+SUMIFS(T$3:T1389,L$3:L1389,"=Clockstop")</f>
        <v>68</v>
      </c>
      <c r="AA1389">
        <f t="shared" si="247"/>
        <v>1148</v>
      </c>
      <c r="AC1389">
        <f t="shared" si="248"/>
        <v>1216</v>
      </c>
    </row>
    <row r="1390" spans="1:29" x14ac:dyDescent="0.2">
      <c r="A1390">
        <v>739</v>
      </c>
      <c r="D1390">
        <f t="shared" si="249"/>
        <v>2</v>
      </c>
      <c r="E1390">
        <v>5</v>
      </c>
      <c r="F1390" s="6" t="s">
        <v>437</v>
      </c>
      <c r="I1390" t="s">
        <v>178</v>
      </c>
      <c r="J1390">
        <v>39</v>
      </c>
      <c r="K1390" t="s">
        <v>488</v>
      </c>
      <c r="L1390" t="s">
        <v>8</v>
      </c>
      <c r="M1390" t="s">
        <v>189</v>
      </c>
      <c r="N1390" t="s">
        <v>510</v>
      </c>
      <c r="Q1390">
        <f t="shared" si="255"/>
        <v>18977</v>
      </c>
      <c r="R1390" t="str">
        <f t="shared" si="255"/>
        <v>Velodrome</v>
      </c>
      <c r="S1390" t="str">
        <f t="shared" si="255"/>
        <v>HollowBrook</v>
      </c>
      <c r="T1390" s="20">
        <f t="shared" si="250"/>
        <v>0</v>
      </c>
      <c r="U1390">
        <f t="shared" si="251"/>
        <v>340</v>
      </c>
      <c r="V1390">
        <f t="shared" si="252"/>
        <v>340</v>
      </c>
      <c r="W1390" cm="1">
        <f t="array" ref="W1390">_xlfn._xlws.FILTER(shifts!A:A,(shifts!B:B=events!D1390)*(shifts!AH:AH&gt;=events!U1390)*(shifts!AI:AI&lt;=events!V1390))</f>
        <v>48</v>
      </c>
      <c r="X1390" t="str">
        <f t="shared" si="246"/>
        <v>event_team_player_1</v>
      </c>
      <c r="Y1390">
        <f>COUNTIFS(A$3:A1390,"="&amp;A1390,K$3:K1390,"="&amp;K1390)</f>
        <v>1</v>
      </c>
      <c r="Z1390" s="20">
        <f>SUMIFS(T$3:T1390,L$3:L1390,"=Intermission")+SUMIFS(T$3:T1390,L$3:L1390,"=Timeout")+SUMIFS(T$3:T1390,L$3:L1390,"=Clockstop")</f>
        <v>68</v>
      </c>
      <c r="AA1390">
        <f t="shared" si="247"/>
        <v>1148</v>
      </c>
      <c r="AC1390">
        <f t="shared" si="248"/>
        <v>1216</v>
      </c>
    </row>
    <row r="1391" spans="1:29" x14ac:dyDescent="0.2">
      <c r="A1391">
        <v>739</v>
      </c>
      <c r="D1391">
        <f t="shared" si="249"/>
        <v>2</v>
      </c>
      <c r="E1391">
        <v>5</v>
      </c>
      <c r="F1391" s="6" t="s">
        <v>437</v>
      </c>
      <c r="I1391" t="s">
        <v>178</v>
      </c>
      <c r="J1391">
        <v>87</v>
      </c>
      <c r="K1391" t="s">
        <v>488</v>
      </c>
      <c r="L1391" t="s">
        <v>8</v>
      </c>
      <c r="M1391" t="s">
        <v>189</v>
      </c>
      <c r="N1391" t="s">
        <v>510</v>
      </c>
      <c r="Q1391">
        <f t="shared" si="255"/>
        <v>18977</v>
      </c>
      <c r="R1391" t="str">
        <f t="shared" si="255"/>
        <v>Velodrome</v>
      </c>
      <c r="S1391" t="str">
        <f t="shared" si="255"/>
        <v>HollowBrook</v>
      </c>
      <c r="T1391" s="20">
        <f t="shared" si="250"/>
        <v>0</v>
      </c>
      <c r="U1391">
        <f t="shared" si="251"/>
        <v>340</v>
      </c>
      <c r="V1391">
        <f t="shared" si="252"/>
        <v>340</v>
      </c>
      <c r="W1391" cm="1">
        <f t="array" ref="W1391">_xlfn._xlws.FILTER(shifts!A:A,(shifts!B:B=events!D1391)*(shifts!AH:AH&gt;=events!U1391)*(shifts!AI:AI&lt;=events!V1391))</f>
        <v>48</v>
      </c>
      <c r="X1391" t="str">
        <f t="shared" si="246"/>
        <v>event_team_player_2</v>
      </c>
      <c r="Y1391">
        <f>COUNTIFS(A$3:A1391,"="&amp;A1391,K$3:K1391,"="&amp;K1391)</f>
        <v>2</v>
      </c>
      <c r="Z1391" s="20">
        <f>SUMIFS(T$3:T1391,L$3:L1391,"=Intermission")+SUMIFS(T$3:T1391,L$3:L1391,"=Timeout")+SUMIFS(T$3:T1391,L$3:L1391,"=Clockstop")</f>
        <v>68</v>
      </c>
      <c r="AA1391">
        <f t="shared" si="247"/>
        <v>1148</v>
      </c>
      <c r="AC1391">
        <f t="shared" si="248"/>
        <v>1216</v>
      </c>
    </row>
    <row r="1392" spans="1:29" x14ac:dyDescent="0.2">
      <c r="A1392">
        <v>740</v>
      </c>
      <c r="D1392">
        <f t="shared" si="249"/>
        <v>2</v>
      </c>
      <c r="E1392">
        <v>5</v>
      </c>
      <c r="F1392" s="6" t="s">
        <v>437</v>
      </c>
      <c r="G1392">
        <v>5</v>
      </c>
      <c r="H1392" s="8" t="s">
        <v>438</v>
      </c>
      <c r="I1392" t="s">
        <v>178</v>
      </c>
      <c r="J1392">
        <v>87</v>
      </c>
      <c r="K1392" t="s">
        <v>488</v>
      </c>
      <c r="L1392" t="s">
        <v>15</v>
      </c>
      <c r="Q1392">
        <f t="shared" si="255"/>
        <v>18977</v>
      </c>
      <c r="R1392" t="str">
        <f t="shared" si="255"/>
        <v>Velodrome</v>
      </c>
      <c r="S1392" t="str">
        <f t="shared" si="255"/>
        <v>HollowBrook</v>
      </c>
      <c r="T1392" s="20">
        <f t="shared" si="250"/>
        <v>2</v>
      </c>
      <c r="U1392">
        <f t="shared" si="251"/>
        <v>340</v>
      </c>
      <c r="V1392">
        <f t="shared" si="252"/>
        <v>338</v>
      </c>
      <c r="W1392" cm="1">
        <f t="array" ref="W1392">_xlfn._xlws.FILTER(shifts!A:A,(shifts!B:B=events!D1392)*(shifts!AH:AH&gt;=events!U1392)*(shifts!AI:AI&lt;=events!V1392))</f>
        <v>48</v>
      </c>
      <c r="X1392" t="str">
        <f t="shared" si="246"/>
        <v>event_team_player_1</v>
      </c>
      <c r="Y1392">
        <f>COUNTIFS(A$3:A1392,"="&amp;A1392,K$3:K1392,"="&amp;K1392)</f>
        <v>1</v>
      </c>
      <c r="Z1392" s="20">
        <f>SUMIFS(T$3:T1392,L$3:L1392,"=Intermission")+SUMIFS(T$3:T1392,L$3:L1392,"=Timeout")+SUMIFS(T$3:T1392,L$3:L1392,"=Clockstop")</f>
        <v>68</v>
      </c>
      <c r="AA1392">
        <f t="shared" si="247"/>
        <v>1148</v>
      </c>
      <c r="AC1392">
        <f t="shared" si="248"/>
        <v>1216</v>
      </c>
    </row>
    <row r="1393" spans="1:29" x14ac:dyDescent="0.2">
      <c r="A1393">
        <v>741</v>
      </c>
      <c r="D1393">
        <f t="shared" si="249"/>
        <v>2</v>
      </c>
      <c r="E1393">
        <v>5</v>
      </c>
      <c r="F1393" s="6" t="s">
        <v>438</v>
      </c>
      <c r="G1393">
        <v>5</v>
      </c>
      <c r="H1393" s="8" t="s">
        <v>455</v>
      </c>
      <c r="I1393" t="s">
        <v>178</v>
      </c>
      <c r="J1393">
        <v>87</v>
      </c>
      <c r="K1393" t="s">
        <v>488</v>
      </c>
      <c r="L1393" t="s">
        <v>277</v>
      </c>
      <c r="M1393" t="s">
        <v>201</v>
      </c>
      <c r="N1393" t="s">
        <v>90</v>
      </c>
      <c r="Q1393">
        <f t="shared" si="255"/>
        <v>18977</v>
      </c>
      <c r="R1393" t="str">
        <f t="shared" si="255"/>
        <v>Velodrome</v>
      </c>
      <c r="S1393" t="str">
        <f t="shared" si="255"/>
        <v>HollowBrook</v>
      </c>
      <c r="T1393" s="20">
        <f t="shared" si="250"/>
        <v>3</v>
      </c>
      <c r="U1393">
        <f t="shared" si="251"/>
        <v>338</v>
      </c>
      <c r="V1393">
        <f t="shared" si="252"/>
        <v>335</v>
      </c>
      <c r="W1393" cm="1">
        <f t="array" ref="W1393">_xlfn._xlws.FILTER(shifts!A:A,(shifts!B:B=events!D1393)*(shifts!AH:AH&gt;=events!U1393)*(shifts!AI:AI&lt;=events!V1393))</f>
        <v>48</v>
      </c>
      <c r="X1393" t="str">
        <f t="shared" si="246"/>
        <v>event_team_player_1</v>
      </c>
      <c r="Y1393">
        <f>COUNTIFS(A$3:A1393,"="&amp;A1393,K$3:K1393,"="&amp;K1393)</f>
        <v>1</v>
      </c>
      <c r="Z1393" s="20">
        <f>SUMIFS(T$3:T1393,L$3:L1393,"=Intermission")+SUMIFS(T$3:T1393,L$3:L1393,"=Timeout")+SUMIFS(T$3:T1393,L$3:L1393,"=Clockstop")</f>
        <v>68</v>
      </c>
      <c r="AA1393">
        <f t="shared" si="247"/>
        <v>1148</v>
      </c>
      <c r="AC1393">
        <f t="shared" si="248"/>
        <v>1216</v>
      </c>
    </row>
    <row r="1394" spans="1:29" x14ac:dyDescent="0.2">
      <c r="A1394">
        <v>742</v>
      </c>
      <c r="D1394">
        <f t="shared" si="249"/>
        <v>2</v>
      </c>
      <c r="E1394">
        <v>5</v>
      </c>
      <c r="F1394" s="6" t="s">
        <v>455</v>
      </c>
      <c r="G1394">
        <v>5</v>
      </c>
      <c r="H1394" s="8" t="s">
        <v>482</v>
      </c>
      <c r="I1394" t="s">
        <v>178</v>
      </c>
      <c r="J1394">
        <v>87</v>
      </c>
      <c r="K1394" t="s">
        <v>488</v>
      </c>
      <c r="L1394" t="s">
        <v>15</v>
      </c>
      <c r="Q1394">
        <f t="shared" si="255"/>
        <v>18977</v>
      </c>
      <c r="R1394" t="str">
        <f t="shared" si="255"/>
        <v>Velodrome</v>
      </c>
      <c r="S1394" t="str">
        <f t="shared" si="255"/>
        <v>HollowBrook</v>
      </c>
      <c r="T1394" s="20">
        <f t="shared" si="250"/>
        <v>2</v>
      </c>
      <c r="U1394">
        <f t="shared" si="251"/>
        <v>335</v>
      </c>
      <c r="V1394">
        <f t="shared" si="252"/>
        <v>333</v>
      </c>
      <c r="W1394" cm="1">
        <f t="array" ref="W1394">_xlfn._xlws.FILTER(shifts!A:A,(shifts!B:B=events!D1394)*(shifts!AH:AH&gt;=events!U1394)*(shifts!AI:AI&lt;=events!V1394))</f>
        <v>48</v>
      </c>
      <c r="X1394" t="str">
        <f t="shared" si="246"/>
        <v>event_team_player_1</v>
      </c>
      <c r="Y1394">
        <f>COUNTIFS(A$3:A1394,"="&amp;A1394,K$3:K1394,"="&amp;K1394)</f>
        <v>1</v>
      </c>
      <c r="Z1394" s="20">
        <f>SUMIFS(T$3:T1394,L$3:L1394,"=Intermission")+SUMIFS(T$3:T1394,L$3:L1394,"=Timeout")+SUMIFS(T$3:T1394,L$3:L1394,"=Clockstop")</f>
        <v>68</v>
      </c>
      <c r="AA1394">
        <f t="shared" si="247"/>
        <v>1148</v>
      </c>
      <c r="AC1394">
        <f t="shared" si="248"/>
        <v>1216</v>
      </c>
    </row>
    <row r="1395" spans="1:29" x14ac:dyDescent="0.2">
      <c r="A1395">
        <v>742</v>
      </c>
      <c r="D1395">
        <f t="shared" si="249"/>
        <v>2</v>
      </c>
      <c r="E1395">
        <v>5</v>
      </c>
      <c r="F1395" s="6" t="s">
        <v>455</v>
      </c>
      <c r="G1395">
        <v>5</v>
      </c>
      <c r="H1395" s="8" t="s">
        <v>482</v>
      </c>
      <c r="I1395" t="s">
        <v>178</v>
      </c>
      <c r="J1395">
        <v>11</v>
      </c>
      <c r="K1395" t="s">
        <v>489</v>
      </c>
      <c r="L1395" t="s">
        <v>15</v>
      </c>
      <c r="Q1395">
        <f t="shared" si="255"/>
        <v>18977</v>
      </c>
      <c r="R1395" t="str">
        <f t="shared" si="255"/>
        <v>Velodrome</v>
      </c>
      <c r="S1395" t="str">
        <f t="shared" si="255"/>
        <v>HollowBrook</v>
      </c>
      <c r="T1395" s="20">
        <f t="shared" si="250"/>
        <v>2</v>
      </c>
      <c r="U1395">
        <f t="shared" si="251"/>
        <v>335</v>
      </c>
      <c r="V1395">
        <f t="shared" si="252"/>
        <v>333</v>
      </c>
      <c r="W1395" cm="1">
        <f t="array" ref="W1395">_xlfn._xlws.FILTER(shifts!A:A,(shifts!B:B=events!D1395)*(shifts!AH:AH&gt;=events!U1395)*(shifts!AI:AI&lt;=events!V1395))</f>
        <v>48</v>
      </c>
      <c r="X1395" t="str">
        <f t="shared" si="246"/>
        <v>opp_team_player_1</v>
      </c>
      <c r="Y1395">
        <f>COUNTIFS(A$3:A1395,"="&amp;A1395,K$3:K1395,"="&amp;K1395)</f>
        <v>1</v>
      </c>
      <c r="Z1395" s="20">
        <f>SUMIFS(T$3:T1395,L$3:L1395,"=Intermission")+SUMIFS(T$3:T1395,L$3:L1395,"=Timeout")+SUMIFS(T$3:T1395,L$3:L1395,"=Clockstop")</f>
        <v>68</v>
      </c>
      <c r="AA1395">
        <f t="shared" si="247"/>
        <v>1148</v>
      </c>
      <c r="AC1395">
        <f t="shared" si="248"/>
        <v>1216</v>
      </c>
    </row>
    <row r="1396" spans="1:29" x14ac:dyDescent="0.2">
      <c r="A1396">
        <v>743</v>
      </c>
      <c r="D1396">
        <f t="shared" si="249"/>
        <v>2</v>
      </c>
      <c r="E1396">
        <v>5</v>
      </c>
      <c r="F1396" s="6" t="s">
        <v>482</v>
      </c>
      <c r="G1396">
        <v>5</v>
      </c>
      <c r="H1396" s="8" t="s">
        <v>493</v>
      </c>
      <c r="I1396" t="s">
        <v>178</v>
      </c>
      <c r="J1396">
        <v>87</v>
      </c>
      <c r="K1396" t="s">
        <v>488</v>
      </c>
      <c r="L1396" t="s">
        <v>277</v>
      </c>
      <c r="M1396" t="s">
        <v>191</v>
      </c>
      <c r="N1396" t="s">
        <v>87</v>
      </c>
      <c r="Q1396">
        <f t="shared" si="255"/>
        <v>18977</v>
      </c>
      <c r="R1396" t="str">
        <f t="shared" si="255"/>
        <v>Velodrome</v>
      </c>
      <c r="S1396" t="str">
        <f t="shared" si="255"/>
        <v>HollowBrook</v>
      </c>
      <c r="T1396" s="20">
        <f t="shared" si="250"/>
        <v>2</v>
      </c>
      <c r="U1396">
        <f t="shared" si="251"/>
        <v>333</v>
      </c>
      <c r="V1396">
        <f t="shared" si="252"/>
        <v>331</v>
      </c>
      <c r="W1396" cm="1">
        <f t="array" ref="W1396">_xlfn._xlws.FILTER(shifts!A:A,(shifts!B:B=events!D1396)*(shifts!AH:AH&gt;=events!U1396)*(shifts!AI:AI&lt;=events!V1396))</f>
        <v>48</v>
      </c>
      <c r="X1396" t="str">
        <f t="shared" si="246"/>
        <v>event_team_player_1</v>
      </c>
      <c r="Y1396">
        <f>COUNTIFS(A$3:A1396,"="&amp;A1396,K$3:K1396,"="&amp;K1396)</f>
        <v>1</v>
      </c>
      <c r="Z1396" s="20">
        <f>SUMIFS(T$3:T1396,L$3:L1396,"=Intermission")+SUMIFS(T$3:T1396,L$3:L1396,"=Timeout")+SUMIFS(T$3:T1396,L$3:L1396,"=Clockstop")</f>
        <v>68</v>
      </c>
      <c r="AA1396">
        <f t="shared" si="247"/>
        <v>1148</v>
      </c>
      <c r="AC1396">
        <f t="shared" si="248"/>
        <v>1216</v>
      </c>
    </row>
    <row r="1397" spans="1:29" x14ac:dyDescent="0.2">
      <c r="A1397">
        <v>743</v>
      </c>
      <c r="D1397">
        <f t="shared" si="249"/>
        <v>2</v>
      </c>
      <c r="E1397">
        <v>5</v>
      </c>
      <c r="F1397" s="6" t="s">
        <v>482</v>
      </c>
      <c r="G1397">
        <v>5</v>
      </c>
      <c r="H1397" s="8" t="s">
        <v>493</v>
      </c>
      <c r="I1397" t="s">
        <v>178</v>
      </c>
      <c r="J1397">
        <v>11</v>
      </c>
      <c r="K1397" t="s">
        <v>489</v>
      </c>
      <c r="L1397" t="s">
        <v>277</v>
      </c>
      <c r="M1397" t="s">
        <v>191</v>
      </c>
      <c r="N1397" t="s">
        <v>87</v>
      </c>
      <c r="Q1397">
        <f t="shared" si="255"/>
        <v>18977</v>
      </c>
      <c r="R1397" t="str">
        <f t="shared" si="255"/>
        <v>Velodrome</v>
      </c>
      <c r="S1397" t="str">
        <f t="shared" si="255"/>
        <v>HollowBrook</v>
      </c>
      <c r="T1397" s="20">
        <f t="shared" si="250"/>
        <v>2</v>
      </c>
      <c r="U1397">
        <f t="shared" si="251"/>
        <v>333</v>
      </c>
      <c r="V1397">
        <f t="shared" si="252"/>
        <v>331</v>
      </c>
      <c r="W1397" cm="1">
        <f t="array" ref="W1397">_xlfn._xlws.FILTER(shifts!A:A,(shifts!B:B=events!D1397)*(shifts!AH:AH&gt;=events!U1397)*(shifts!AI:AI&lt;=events!V1397))</f>
        <v>48</v>
      </c>
      <c r="X1397" t="str">
        <f t="shared" si="246"/>
        <v>opp_team_player_1</v>
      </c>
      <c r="Y1397">
        <f>COUNTIFS(A$3:A1397,"="&amp;A1397,K$3:K1397,"="&amp;K1397)</f>
        <v>1</v>
      </c>
      <c r="Z1397" s="20">
        <f>SUMIFS(T$3:T1397,L$3:L1397,"=Intermission")+SUMIFS(T$3:T1397,L$3:L1397,"=Timeout")+SUMIFS(T$3:T1397,L$3:L1397,"=Clockstop")</f>
        <v>68</v>
      </c>
      <c r="AA1397">
        <f t="shared" si="247"/>
        <v>1148</v>
      </c>
      <c r="AC1397">
        <f t="shared" si="248"/>
        <v>1216</v>
      </c>
    </row>
    <row r="1398" spans="1:29" x14ac:dyDescent="0.2">
      <c r="A1398">
        <v>743</v>
      </c>
      <c r="D1398">
        <f t="shared" si="249"/>
        <v>2</v>
      </c>
      <c r="E1398">
        <v>5</v>
      </c>
      <c r="F1398" s="6" t="s">
        <v>482</v>
      </c>
      <c r="G1398">
        <v>5</v>
      </c>
      <c r="H1398" s="8" t="s">
        <v>493</v>
      </c>
      <c r="I1398" t="s">
        <v>178</v>
      </c>
      <c r="J1398">
        <v>18</v>
      </c>
      <c r="K1398" t="s">
        <v>489</v>
      </c>
      <c r="L1398" t="s">
        <v>277</v>
      </c>
      <c r="M1398" t="s">
        <v>191</v>
      </c>
      <c r="N1398" t="s">
        <v>87</v>
      </c>
      <c r="Q1398">
        <f t="shared" ref="Q1398:S1413" si="256">Q1397</f>
        <v>18977</v>
      </c>
      <c r="R1398" t="str">
        <f t="shared" si="256"/>
        <v>Velodrome</v>
      </c>
      <c r="S1398" t="str">
        <f t="shared" si="256"/>
        <v>HollowBrook</v>
      </c>
      <c r="T1398" s="20">
        <f t="shared" si="250"/>
        <v>2</v>
      </c>
      <c r="U1398">
        <f t="shared" si="251"/>
        <v>333</v>
      </c>
      <c r="V1398">
        <f t="shared" si="252"/>
        <v>331</v>
      </c>
      <c r="W1398" cm="1">
        <f t="array" ref="W1398">_xlfn._xlws.FILTER(shifts!A:A,(shifts!B:B=events!D1398)*(shifts!AH:AH&gt;=events!U1398)*(shifts!AI:AI&lt;=events!V1398))</f>
        <v>48</v>
      </c>
      <c r="X1398" t="str">
        <f t="shared" ref="X1398:X1414" si="257">IF(K1398="e","event_team_player_"&amp;Y1398,IF(K1398="o","opp_team_player_"&amp;Y1398,""))</f>
        <v>opp_team_player_2</v>
      </c>
      <c r="Y1398">
        <f>COUNTIFS(A$3:A1398,"="&amp;A1398,K$3:K1398,"="&amp;K1398)</f>
        <v>2</v>
      </c>
      <c r="Z1398" s="20">
        <f>SUMIFS(T$3:T1398,L$3:L1398,"=Intermission")+SUMIFS(T$3:T1398,L$3:L1398,"=Timeout")+SUMIFS(T$3:T1398,L$3:L1398,"=Clockstop")</f>
        <v>68</v>
      </c>
      <c r="AA1398">
        <f t="shared" si="247"/>
        <v>1148</v>
      </c>
      <c r="AC1398">
        <f t="shared" si="248"/>
        <v>1216</v>
      </c>
    </row>
    <row r="1399" spans="1:29" x14ac:dyDescent="0.2">
      <c r="A1399">
        <v>744</v>
      </c>
      <c r="D1399">
        <f t="shared" si="249"/>
        <v>2</v>
      </c>
      <c r="E1399">
        <v>5</v>
      </c>
      <c r="F1399" s="6" t="s">
        <v>493</v>
      </c>
      <c r="I1399" t="s">
        <v>179</v>
      </c>
      <c r="J1399">
        <v>18</v>
      </c>
      <c r="K1399" t="s">
        <v>488</v>
      </c>
      <c r="L1399" t="s">
        <v>10</v>
      </c>
      <c r="M1399" t="s">
        <v>200</v>
      </c>
      <c r="N1399" t="s">
        <v>82</v>
      </c>
      <c r="Q1399">
        <f t="shared" si="256"/>
        <v>18977</v>
      </c>
      <c r="R1399" t="str">
        <f t="shared" si="256"/>
        <v>Velodrome</v>
      </c>
      <c r="S1399" t="str">
        <f t="shared" si="256"/>
        <v>HollowBrook</v>
      </c>
      <c r="T1399" s="20">
        <f t="shared" si="250"/>
        <v>0</v>
      </c>
      <c r="U1399">
        <f t="shared" si="251"/>
        <v>331</v>
      </c>
      <c r="V1399">
        <f t="shared" si="252"/>
        <v>331</v>
      </c>
      <c r="W1399" cm="1">
        <f t="array" ref="W1399">_xlfn._xlws.FILTER(shifts!A:A,(shifts!B:B=events!D1399)*(shifts!AH:AH&gt;=events!U1399)*(shifts!AI:AI&lt;=events!V1399))</f>
        <v>48</v>
      </c>
      <c r="X1399" t="str">
        <f t="shared" si="257"/>
        <v>event_team_player_1</v>
      </c>
      <c r="Y1399">
        <f>COUNTIFS(A$3:A1399,"="&amp;A1399,K$3:K1399,"="&amp;K1399)</f>
        <v>1</v>
      </c>
      <c r="Z1399" s="20">
        <f>SUMIFS(T$3:T1399,L$3:L1399,"=Intermission")+SUMIFS(T$3:T1399,L$3:L1399,"=Timeout")+SUMIFS(T$3:T1399,L$3:L1399,"=Clockstop")</f>
        <v>68</v>
      </c>
      <c r="AA1399">
        <f t="shared" si="247"/>
        <v>1148</v>
      </c>
      <c r="AC1399">
        <f t="shared" si="248"/>
        <v>1216</v>
      </c>
    </row>
    <row r="1400" spans="1:29" x14ac:dyDescent="0.2">
      <c r="A1400">
        <v>744</v>
      </c>
      <c r="D1400">
        <f t="shared" si="249"/>
        <v>2</v>
      </c>
      <c r="E1400">
        <v>5</v>
      </c>
      <c r="F1400" s="6" t="s">
        <v>493</v>
      </c>
      <c r="I1400" t="s">
        <v>179</v>
      </c>
      <c r="J1400">
        <v>87</v>
      </c>
      <c r="K1400" t="s">
        <v>489</v>
      </c>
      <c r="L1400" t="s">
        <v>10</v>
      </c>
      <c r="M1400" t="s">
        <v>200</v>
      </c>
      <c r="N1400" t="s">
        <v>82</v>
      </c>
      <c r="Q1400">
        <f t="shared" si="256"/>
        <v>18977</v>
      </c>
      <c r="R1400" t="str">
        <f t="shared" si="256"/>
        <v>Velodrome</v>
      </c>
      <c r="S1400" t="str">
        <f t="shared" si="256"/>
        <v>HollowBrook</v>
      </c>
      <c r="T1400" s="20">
        <f t="shared" si="250"/>
        <v>0</v>
      </c>
      <c r="U1400">
        <f t="shared" si="251"/>
        <v>331</v>
      </c>
      <c r="V1400">
        <f t="shared" si="252"/>
        <v>331</v>
      </c>
      <c r="W1400" cm="1">
        <f t="array" ref="W1400">_xlfn._xlws.FILTER(shifts!A:A,(shifts!B:B=events!D1400)*(shifts!AH:AH&gt;=events!U1400)*(shifts!AI:AI&lt;=events!V1400))</f>
        <v>48</v>
      </c>
      <c r="X1400" t="str">
        <f t="shared" si="257"/>
        <v>opp_team_player_1</v>
      </c>
      <c r="Y1400">
        <f>COUNTIFS(A$3:A1400,"="&amp;A1400,K$3:K1400,"="&amp;K1400)</f>
        <v>1</v>
      </c>
      <c r="Z1400" s="20">
        <f>SUMIFS(T$3:T1400,L$3:L1400,"=Intermission")+SUMIFS(T$3:T1400,L$3:L1400,"=Timeout")+SUMIFS(T$3:T1400,L$3:L1400,"=Clockstop")</f>
        <v>68</v>
      </c>
      <c r="AA1400">
        <f t="shared" si="247"/>
        <v>1148</v>
      </c>
      <c r="AC1400">
        <f t="shared" si="248"/>
        <v>1216</v>
      </c>
    </row>
    <row r="1401" spans="1:29" x14ac:dyDescent="0.2">
      <c r="A1401">
        <v>745</v>
      </c>
      <c r="D1401">
        <f t="shared" si="249"/>
        <v>2</v>
      </c>
      <c r="E1401">
        <v>5</v>
      </c>
      <c r="F1401" s="6" t="s">
        <v>483</v>
      </c>
      <c r="I1401" t="s">
        <v>179</v>
      </c>
      <c r="J1401">
        <v>19</v>
      </c>
      <c r="K1401" t="s">
        <v>488</v>
      </c>
      <c r="L1401" t="s">
        <v>10</v>
      </c>
      <c r="M1401" t="s">
        <v>190</v>
      </c>
      <c r="N1401" t="s">
        <v>479</v>
      </c>
      <c r="Q1401">
        <f t="shared" si="256"/>
        <v>18977</v>
      </c>
      <c r="R1401" t="str">
        <f t="shared" si="256"/>
        <v>Velodrome</v>
      </c>
      <c r="S1401" t="str">
        <f t="shared" si="256"/>
        <v>HollowBrook</v>
      </c>
      <c r="T1401" s="20">
        <f t="shared" si="250"/>
        <v>0</v>
      </c>
      <c r="U1401">
        <f t="shared" si="251"/>
        <v>327</v>
      </c>
      <c r="V1401">
        <f t="shared" si="252"/>
        <v>327</v>
      </c>
      <c r="W1401" cm="1">
        <f t="array" ref="W1401">_xlfn._xlws.FILTER(shifts!A:A,(shifts!B:B=events!D1401)*(shifts!AH:AH&gt;=events!U1401)*(shifts!AI:AI&lt;=events!V1401))</f>
        <v>48</v>
      </c>
      <c r="X1401" t="str">
        <f t="shared" si="257"/>
        <v>event_team_player_1</v>
      </c>
      <c r="Y1401">
        <f>COUNTIFS(A$3:A1401,"="&amp;A1401,K$3:K1401,"="&amp;K1401)</f>
        <v>1</v>
      </c>
      <c r="Z1401" s="20">
        <f>SUMIFS(T$3:T1401,L$3:L1401,"=Intermission")+SUMIFS(T$3:T1401,L$3:L1401,"=Timeout")+SUMIFS(T$3:T1401,L$3:L1401,"=Clockstop")</f>
        <v>68</v>
      </c>
      <c r="AA1401">
        <f t="shared" si="247"/>
        <v>1148</v>
      </c>
      <c r="AC1401">
        <f t="shared" si="248"/>
        <v>1216</v>
      </c>
    </row>
    <row r="1402" spans="1:29" x14ac:dyDescent="0.2">
      <c r="A1402">
        <v>746</v>
      </c>
      <c r="D1402">
        <f t="shared" si="249"/>
        <v>2</v>
      </c>
      <c r="E1402">
        <v>5</v>
      </c>
      <c r="F1402" s="6" t="s">
        <v>483</v>
      </c>
      <c r="I1402" t="s">
        <v>178</v>
      </c>
      <c r="J1402">
        <v>49</v>
      </c>
      <c r="K1402" t="s">
        <v>488</v>
      </c>
      <c r="L1402" t="s">
        <v>277</v>
      </c>
      <c r="M1402" t="s">
        <v>210</v>
      </c>
      <c r="N1402" t="s">
        <v>93</v>
      </c>
      <c r="Q1402">
        <f t="shared" si="256"/>
        <v>18977</v>
      </c>
      <c r="R1402" t="str">
        <f t="shared" si="256"/>
        <v>Velodrome</v>
      </c>
      <c r="S1402" t="str">
        <f t="shared" si="256"/>
        <v>HollowBrook</v>
      </c>
      <c r="T1402" s="20">
        <f t="shared" si="250"/>
        <v>0</v>
      </c>
      <c r="U1402">
        <f t="shared" si="251"/>
        <v>327</v>
      </c>
      <c r="V1402">
        <f t="shared" si="252"/>
        <v>327</v>
      </c>
      <c r="W1402" cm="1">
        <f t="array" ref="W1402">_xlfn._xlws.FILTER(shifts!A:A,(shifts!B:B=events!D1402)*(shifts!AH:AH&gt;=events!U1402)*(shifts!AI:AI&lt;=events!V1402))</f>
        <v>48</v>
      </c>
      <c r="X1402" t="str">
        <f t="shared" si="257"/>
        <v>event_team_player_1</v>
      </c>
      <c r="Y1402">
        <f>COUNTIFS(A$3:A1402,"="&amp;A1402,K$3:K1402,"="&amp;K1402)</f>
        <v>1</v>
      </c>
      <c r="Z1402" s="20">
        <f>SUMIFS(T$3:T1402,L$3:L1402,"=Intermission")+SUMIFS(T$3:T1402,L$3:L1402,"=Timeout")+SUMIFS(T$3:T1402,L$3:L1402,"=Clockstop")</f>
        <v>68</v>
      </c>
      <c r="AA1402">
        <f t="shared" si="247"/>
        <v>1148</v>
      </c>
      <c r="AC1402">
        <f t="shared" si="248"/>
        <v>1216</v>
      </c>
    </row>
    <row r="1403" spans="1:29" x14ac:dyDescent="0.2">
      <c r="A1403">
        <v>747</v>
      </c>
      <c r="D1403">
        <f t="shared" si="249"/>
        <v>2</v>
      </c>
      <c r="E1403">
        <v>5</v>
      </c>
      <c r="F1403" s="6" t="s">
        <v>483</v>
      </c>
      <c r="I1403" t="s">
        <v>178</v>
      </c>
      <c r="J1403">
        <v>49</v>
      </c>
      <c r="K1403" t="s">
        <v>488</v>
      </c>
      <c r="L1403" t="s">
        <v>10</v>
      </c>
      <c r="M1403" t="s">
        <v>190</v>
      </c>
      <c r="N1403" t="s">
        <v>460</v>
      </c>
      <c r="Q1403">
        <f t="shared" si="256"/>
        <v>18977</v>
      </c>
      <c r="R1403" t="str">
        <f t="shared" si="256"/>
        <v>Velodrome</v>
      </c>
      <c r="S1403" t="str">
        <f t="shared" si="256"/>
        <v>HollowBrook</v>
      </c>
      <c r="T1403" s="20">
        <f t="shared" si="250"/>
        <v>0</v>
      </c>
      <c r="U1403">
        <f t="shared" si="251"/>
        <v>327</v>
      </c>
      <c r="V1403">
        <f t="shared" si="252"/>
        <v>327</v>
      </c>
      <c r="W1403" cm="1">
        <f t="array" ref="W1403">_xlfn._xlws.FILTER(shifts!A:A,(shifts!B:B=events!D1403)*(shifts!AH:AH&gt;=events!U1403)*(shifts!AI:AI&lt;=events!V1403))</f>
        <v>48</v>
      </c>
      <c r="X1403" t="str">
        <f t="shared" si="257"/>
        <v>event_team_player_1</v>
      </c>
      <c r="Y1403">
        <f>COUNTIFS(A$3:A1403,"="&amp;A1403,K$3:K1403,"="&amp;K1403)</f>
        <v>1</v>
      </c>
      <c r="Z1403" s="20">
        <f>SUMIFS(T$3:T1403,L$3:L1403,"=Intermission")+SUMIFS(T$3:T1403,L$3:L1403,"=Timeout")+SUMIFS(T$3:T1403,L$3:L1403,"=Clockstop")</f>
        <v>68</v>
      </c>
      <c r="AA1403">
        <f t="shared" si="247"/>
        <v>1148</v>
      </c>
      <c r="AC1403">
        <f t="shared" si="248"/>
        <v>1216</v>
      </c>
    </row>
    <row r="1404" spans="1:29" x14ac:dyDescent="0.2">
      <c r="A1404">
        <v>748</v>
      </c>
      <c r="D1404">
        <f t="shared" si="249"/>
        <v>2</v>
      </c>
      <c r="E1404">
        <v>5</v>
      </c>
      <c r="F1404" s="6" t="s">
        <v>473</v>
      </c>
      <c r="I1404" t="s">
        <v>179</v>
      </c>
      <c r="J1404">
        <v>33</v>
      </c>
      <c r="K1404" t="s">
        <v>488</v>
      </c>
      <c r="L1404" t="s">
        <v>277</v>
      </c>
      <c r="M1404" t="s">
        <v>201</v>
      </c>
      <c r="N1404" t="s">
        <v>92</v>
      </c>
      <c r="Q1404">
        <f t="shared" si="256"/>
        <v>18977</v>
      </c>
      <c r="R1404" t="str">
        <f t="shared" si="256"/>
        <v>Velodrome</v>
      </c>
      <c r="S1404" t="str">
        <f t="shared" si="256"/>
        <v>HollowBrook</v>
      </c>
      <c r="T1404" s="20">
        <f t="shared" si="250"/>
        <v>0</v>
      </c>
      <c r="U1404">
        <f t="shared" si="251"/>
        <v>321</v>
      </c>
      <c r="V1404">
        <f t="shared" si="252"/>
        <v>321</v>
      </c>
      <c r="W1404" cm="1">
        <f t="array" ref="W1404">_xlfn._xlws.FILTER(shifts!A:A,(shifts!B:B=events!D1404)*(shifts!AH:AH&gt;=events!U1404)*(shifts!AI:AI&lt;=events!V1404))</f>
        <v>48</v>
      </c>
      <c r="X1404" t="str">
        <f t="shared" si="257"/>
        <v>event_team_player_1</v>
      </c>
      <c r="Y1404">
        <f>COUNTIFS(A$3:A1404,"="&amp;A1404,K$3:K1404,"="&amp;K1404)</f>
        <v>1</v>
      </c>
      <c r="Z1404" s="20">
        <f>SUMIFS(T$3:T1404,L$3:L1404,"=Intermission")+SUMIFS(T$3:T1404,L$3:L1404,"=Timeout")+SUMIFS(T$3:T1404,L$3:L1404,"=Clockstop")</f>
        <v>68</v>
      </c>
      <c r="AA1404">
        <f t="shared" si="247"/>
        <v>1148</v>
      </c>
      <c r="AC1404">
        <f t="shared" si="248"/>
        <v>1216</v>
      </c>
    </row>
    <row r="1405" spans="1:29" x14ac:dyDescent="0.2">
      <c r="A1405">
        <v>749</v>
      </c>
      <c r="D1405">
        <f t="shared" si="249"/>
        <v>2</v>
      </c>
      <c r="E1405">
        <v>5</v>
      </c>
      <c r="F1405" s="6" t="s">
        <v>473</v>
      </c>
      <c r="I1405" t="s">
        <v>179</v>
      </c>
      <c r="J1405">
        <v>33</v>
      </c>
      <c r="K1405" t="s">
        <v>488</v>
      </c>
      <c r="L1405" t="s">
        <v>10</v>
      </c>
      <c r="M1405" t="s">
        <v>190</v>
      </c>
      <c r="N1405" t="s">
        <v>460</v>
      </c>
      <c r="Q1405">
        <f t="shared" si="256"/>
        <v>18977</v>
      </c>
      <c r="R1405" t="str">
        <f t="shared" si="256"/>
        <v>Velodrome</v>
      </c>
      <c r="S1405" t="str">
        <f t="shared" si="256"/>
        <v>HollowBrook</v>
      </c>
      <c r="T1405" s="20">
        <f t="shared" si="250"/>
        <v>0</v>
      </c>
      <c r="U1405">
        <f t="shared" si="251"/>
        <v>321</v>
      </c>
      <c r="V1405">
        <f t="shared" si="252"/>
        <v>321</v>
      </c>
      <c r="W1405" cm="1">
        <f t="array" ref="W1405">_xlfn._xlws.FILTER(shifts!A:A,(shifts!B:B=events!D1405)*(shifts!AH:AH&gt;=events!U1405)*(shifts!AI:AI&lt;=events!V1405))</f>
        <v>48</v>
      </c>
      <c r="X1405" t="str">
        <f t="shared" si="257"/>
        <v>event_team_player_1</v>
      </c>
      <c r="Y1405">
        <f>COUNTIFS(A$3:A1405,"="&amp;A1405,K$3:K1405,"="&amp;K1405)</f>
        <v>1</v>
      </c>
      <c r="Z1405" s="20">
        <f>SUMIFS(T$3:T1405,L$3:L1405,"=Intermission")+SUMIFS(T$3:T1405,L$3:L1405,"=Timeout")+SUMIFS(T$3:T1405,L$3:L1405,"=Clockstop")</f>
        <v>68</v>
      </c>
      <c r="AA1405">
        <f t="shared" si="247"/>
        <v>1148</v>
      </c>
      <c r="AC1405">
        <f t="shared" si="248"/>
        <v>1216</v>
      </c>
    </row>
    <row r="1406" spans="1:29" x14ac:dyDescent="0.2">
      <c r="A1406">
        <v>750</v>
      </c>
      <c r="D1406">
        <f t="shared" si="249"/>
        <v>2</v>
      </c>
      <c r="E1406">
        <v>5</v>
      </c>
      <c r="F1406" s="6" t="s">
        <v>485</v>
      </c>
      <c r="G1406">
        <v>5</v>
      </c>
      <c r="H1406" s="8" t="s">
        <v>449</v>
      </c>
      <c r="I1406" t="s">
        <v>178</v>
      </c>
      <c r="J1406">
        <v>84</v>
      </c>
      <c r="K1406" t="s">
        <v>488</v>
      </c>
      <c r="L1406" t="s">
        <v>15</v>
      </c>
      <c r="Q1406">
        <f t="shared" si="256"/>
        <v>18977</v>
      </c>
      <c r="R1406" t="str">
        <f t="shared" si="256"/>
        <v>Velodrome</v>
      </c>
      <c r="S1406" t="str">
        <f t="shared" si="256"/>
        <v>HollowBrook</v>
      </c>
      <c r="T1406" s="20">
        <f t="shared" si="250"/>
        <v>6</v>
      </c>
      <c r="U1406">
        <f t="shared" si="251"/>
        <v>318</v>
      </c>
      <c r="V1406">
        <f t="shared" si="252"/>
        <v>312</v>
      </c>
      <c r="W1406" cm="1">
        <f t="array" ref="W1406">_xlfn._xlws.FILTER(shifts!A:A,(shifts!B:B=events!D1406)*(shifts!AH:AH&gt;=events!U1406)*(shifts!AI:AI&lt;=events!V1406))</f>
        <v>48</v>
      </c>
      <c r="X1406" t="str">
        <f t="shared" si="257"/>
        <v>event_team_player_1</v>
      </c>
      <c r="Y1406">
        <f>COUNTIFS(A$3:A1406,"="&amp;A1406,K$3:K1406,"="&amp;K1406)</f>
        <v>1</v>
      </c>
      <c r="Z1406" s="20">
        <f>SUMIFS(T$3:T1406,L$3:L1406,"=Intermission")+SUMIFS(T$3:T1406,L$3:L1406,"=Timeout")+SUMIFS(T$3:T1406,L$3:L1406,"=Clockstop")</f>
        <v>68</v>
      </c>
      <c r="AA1406">
        <f t="shared" si="247"/>
        <v>1148</v>
      </c>
      <c r="AC1406">
        <f t="shared" si="248"/>
        <v>1216</v>
      </c>
    </row>
    <row r="1407" spans="1:29" x14ac:dyDescent="0.2">
      <c r="A1407">
        <v>751</v>
      </c>
      <c r="D1407">
        <f t="shared" si="249"/>
        <v>2</v>
      </c>
      <c r="E1407">
        <v>5</v>
      </c>
      <c r="F1407" s="6" t="s">
        <v>449</v>
      </c>
      <c r="I1407" t="s">
        <v>178</v>
      </c>
      <c r="J1407">
        <v>84</v>
      </c>
      <c r="K1407" t="s">
        <v>488</v>
      </c>
      <c r="L1407" t="s">
        <v>8</v>
      </c>
      <c r="M1407" t="s">
        <v>189</v>
      </c>
      <c r="N1407" t="s">
        <v>70</v>
      </c>
      <c r="Q1407">
        <f t="shared" si="256"/>
        <v>18977</v>
      </c>
      <c r="R1407" t="str">
        <f t="shared" si="256"/>
        <v>Velodrome</v>
      </c>
      <c r="S1407" t="str">
        <f t="shared" si="256"/>
        <v>HollowBrook</v>
      </c>
      <c r="T1407" s="20">
        <f t="shared" si="250"/>
        <v>0</v>
      </c>
      <c r="U1407">
        <f t="shared" si="251"/>
        <v>312</v>
      </c>
      <c r="V1407">
        <f t="shared" si="252"/>
        <v>312</v>
      </c>
      <c r="W1407" cm="1">
        <f t="array" ref="W1407">_xlfn._xlws.FILTER(shifts!A:A,(shifts!B:B=events!D1407)*(shifts!AH:AH&gt;=events!U1407)*(shifts!AI:AI&lt;=events!V1407))</f>
        <v>48</v>
      </c>
      <c r="X1407" t="str">
        <f t="shared" si="257"/>
        <v>event_team_player_1</v>
      </c>
      <c r="Y1407">
        <f>COUNTIFS(A$3:A1407,"="&amp;A1407,K$3:K1407,"="&amp;K1407)</f>
        <v>1</v>
      </c>
      <c r="Z1407" s="20">
        <f>SUMIFS(T$3:T1407,L$3:L1407,"=Intermission")+SUMIFS(T$3:T1407,L$3:L1407,"=Timeout")+SUMIFS(T$3:T1407,L$3:L1407,"=Clockstop")</f>
        <v>68</v>
      </c>
      <c r="AA1407">
        <f t="shared" si="247"/>
        <v>1148</v>
      </c>
      <c r="AC1407">
        <f t="shared" si="248"/>
        <v>1216</v>
      </c>
    </row>
    <row r="1408" spans="1:29" x14ac:dyDescent="0.2">
      <c r="A1408">
        <v>751</v>
      </c>
      <c r="D1408">
        <f t="shared" si="249"/>
        <v>2</v>
      </c>
      <c r="E1408">
        <v>5</v>
      </c>
      <c r="F1408" s="6" t="s">
        <v>449</v>
      </c>
      <c r="I1408" t="s">
        <v>178</v>
      </c>
      <c r="J1408">
        <v>87</v>
      </c>
      <c r="K1408" t="s">
        <v>488</v>
      </c>
      <c r="L1408" t="s">
        <v>8</v>
      </c>
      <c r="M1408" t="s">
        <v>189</v>
      </c>
      <c r="N1408" t="s">
        <v>70</v>
      </c>
      <c r="Q1408">
        <f t="shared" si="256"/>
        <v>18977</v>
      </c>
      <c r="R1408" t="str">
        <f t="shared" si="256"/>
        <v>Velodrome</v>
      </c>
      <c r="S1408" t="str">
        <f t="shared" si="256"/>
        <v>HollowBrook</v>
      </c>
      <c r="T1408" s="20">
        <f t="shared" si="250"/>
        <v>0</v>
      </c>
      <c r="U1408">
        <f t="shared" si="251"/>
        <v>312</v>
      </c>
      <c r="V1408">
        <f t="shared" si="252"/>
        <v>312</v>
      </c>
      <c r="W1408" cm="1">
        <f t="array" ref="W1408">_xlfn._xlws.FILTER(shifts!A:A,(shifts!B:B=events!D1408)*(shifts!AH:AH&gt;=events!U1408)*(shifts!AI:AI&lt;=events!V1408))</f>
        <v>48</v>
      </c>
      <c r="X1408" t="str">
        <f t="shared" si="257"/>
        <v>event_team_player_2</v>
      </c>
      <c r="Y1408">
        <f>COUNTIFS(A$3:A1408,"="&amp;A1408,K$3:K1408,"="&amp;K1408)</f>
        <v>2</v>
      </c>
      <c r="Z1408" s="20">
        <f>SUMIFS(T$3:T1408,L$3:L1408,"=Intermission")+SUMIFS(T$3:T1408,L$3:L1408,"=Timeout")+SUMIFS(T$3:T1408,L$3:L1408,"=Clockstop")</f>
        <v>68</v>
      </c>
      <c r="AA1408">
        <f t="shared" si="247"/>
        <v>1148</v>
      </c>
      <c r="AC1408">
        <f t="shared" si="248"/>
        <v>1216</v>
      </c>
    </row>
    <row r="1409" spans="1:29" x14ac:dyDescent="0.2">
      <c r="A1409">
        <v>752</v>
      </c>
      <c r="D1409">
        <f t="shared" si="249"/>
        <v>2</v>
      </c>
      <c r="E1409">
        <v>5</v>
      </c>
      <c r="F1409" s="6" t="s">
        <v>449</v>
      </c>
      <c r="G1409">
        <v>5</v>
      </c>
      <c r="H1409" s="8" t="s">
        <v>486</v>
      </c>
      <c r="I1409" t="s">
        <v>178</v>
      </c>
      <c r="J1409">
        <v>87</v>
      </c>
      <c r="K1409" t="s">
        <v>488</v>
      </c>
      <c r="L1409" t="s">
        <v>15</v>
      </c>
      <c r="Q1409">
        <f t="shared" si="256"/>
        <v>18977</v>
      </c>
      <c r="R1409" t="str">
        <f t="shared" si="256"/>
        <v>Velodrome</v>
      </c>
      <c r="S1409" t="str">
        <f t="shared" si="256"/>
        <v>HollowBrook</v>
      </c>
      <c r="T1409" s="20">
        <f t="shared" si="250"/>
        <v>1</v>
      </c>
      <c r="U1409">
        <f t="shared" si="251"/>
        <v>312</v>
      </c>
      <c r="V1409">
        <f t="shared" si="252"/>
        <v>311</v>
      </c>
      <c r="W1409" cm="1">
        <f t="array" ref="W1409">_xlfn._xlws.FILTER(shifts!A:A,(shifts!B:B=events!D1409)*(shifts!AH:AH&gt;=events!U1409)*(shifts!AI:AI&lt;=events!V1409))</f>
        <v>48</v>
      </c>
      <c r="X1409" t="str">
        <f t="shared" si="257"/>
        <v>event_team_player_1</v>
      </c>
      <c r="Y1409">
        <f>COUNTIFS(A$3:A1409,"="&amp;A1409,K$3:K1409,"="&amp;K1409)</f>
        <v>1</v>
      </c>
      <c r="Z1409" s="20">
        <f>SUMIFS(T$3:T1409,L$3:L1409,"=Intermission")+SUMIFS(T$3:T1409,L$3:L1409,"=Timeout")+SUMIFS(T$3:T1409,L$3:L1409,"=Clockstop")</f>
        <v>68</v>
      </c>
      <c r="AA1409">
        <f t="shared" si="247"/>
        <v>1148</v>
      </c>
      <c r="AC1409">
        <f t="shared" si="248"/>
        <v>1216</v>
      </c>
    </row>
    <row r="1410" spans="1:29" x14ac:dyDescent="0.2">
      <c r="A1410">
        <v>753</v>
      </c>
      <c r="D1410">
        <f t="shared" si="249"/>
        <v>2</v>
      </c>
      <c r="E1410">
        <v>5</v>
      </c>
      <c r="F1410" s="6" t="s">
        <v>486</v>
      </c>
      <c r="I1410" t="s">
        <v>178</v>
      </c>
      <c r="J1410">
        <v>87</v>
      </c>
      <c r="K1410" t="s">
        <v>488</v>
      </c>
      <c r="L1410" t="s">
        <v>8</v>
      </c>
      <c r="M1410" t="s">
        <v>189</v>
      </c>
      <c r="N1410" t="s">
        <v>71</v>
      </c>
      <c r="Q1410">
        <f t="shared" si="256"/>
        <v>18977</v>
      </c>
      <c r="R1410" t="str">
        <f t="shared" si="256"/>
        <v>Velodrome</v>
      </c>
      <c r="S1410" t="str">
        <f t="shared" si="256"/>
        <v>HollowBrook</v>
      </c>
      <c r="T1410" s="20">
        <f t="shared" si="250"/>
        <v>0</v>
      </c>
      <c r="U1410">
        <f t="shared" si="251"/>
        <v>311</v>
      </c>
      <c r="V1410">
        <f t="shared" si="252"/>
        <v>311</v>
      </c>
      <c r="W1410" cm="1">
        <f t="array" ref="W1410">_xlfn._xlws.FILTER(shifts!A:A,(shifts!B:B=events!D1410)*(shifts!AH:AH&gt;=events!U1410)*(shifts!AI:AI&lt;=events!V1410))</f>
        <v>48</v>
      </c>
      <c r="X1410" t="str">
        <f t="shared" si="257"/>
        <v>event_team_player_1</v>
      </c>
      <c r="Y1410">
        <f>COUNTIFS(A$3:A1410,"="&amp;A1410,K$3:K1410,"="&amp;K1410)</f>
        <v>1</v>
      </c>
      <c r="Z1410" s="20">
        <f>SUMIFS(T$3:T1410,L$3:L1410,"=Intermission")+SUMIFS(T$3:T1410,L$3:L1410,"=Timeout")+SUMIFS(T$3:T1410,L$3:L1410,"=Clockstop")</f>
        <v>68</v>
      </c>
      <c r="AA1410">
        <f t="shared" si="247"/>
        <v>1148</v>
      </c>
      <c r="AC1410">
        <f t="shared" si="248"/>
        <v>1216</v>
      </c>
    </row>
    <row r="1411" spans="1:29" x14ac:dyDescent="0.2">
      <c r="A1411">
        <v>753</v>
      </c>
      <c r="D1411">
        <f t="shared" si="249"/>
        <v>2</v>
      </c>
      <c r="E1411">
        <v>5</v>
      </c>
      <c r="F1411" s="6" t="s">
        <v>486</v>
      </c>
      <c r="I1411" t="s">
        <v>178</v>
      </c>
      <c r="J1411">
        <v>49</v>
      </c>
      <c r="K1411" t="s">
        <v>488</v>
      </c>
      <c r="L1411" t="s">
        <v>8</v>
      </c>
      <c r="M1411" t="s">
        <v>189</v>
      </c>
      <c r="N1411" t="s">
        <v>71</v>
      </c>
      <c r="Q1411">
        <f t="shared" si="256"/>
        <v>18977</v>
      </c>
      <c r="R1411" t="str">
        <f t="shared" si="256"/>
        <v>Velodrome</v>
      </c>
      <c r="S1411" t="str">
        <f t="shared" si="256"/>
        <v>HollowBrook</v>
      </c>
      <c r="T1411" s="20">
        <f t="shared" si="250"/>
        <v>0</v>
      </c>
      <c r="U1411">
        <f t="shared" si="251"/>
        <v>311</v>
      </c>
      <c r="V1411">
        <f t="shared" si="252"/>
        <v>311</v>
      </c>
      <c r="W1411" cm="1">
        <f t="array" ref="W1411">_xlfn._xlws.FILTER(shifts!A:A,(shifts!B:B=events!D1411)*(shifts!AH:AH&gt;=events!U1411)*(shifts!AI:AI&lt;=events!V1411))</f>
        <v>48</v>
      </c>
      <c r="X1411" t="str">
        <f t="shared" si="257"/>
        <v>event_team_player_2</v>
      </c>
      <c r="Y1411">
        <f>COUNTIFS(A$3:A1411,"="&amp;A1411,K$3:K1411,"="&amp;K1411)</f>
        <v>2</v>
      </c>
      <c r="Z1411" s="20">
        <f>SUMIFS(T$3:T1411,L$3:L1411,"=Intermission")+SUMIFS(T$3:T1411,L$3:L1411,"=Timeout")+SUMIFS(T$3:T1411,L$3:L1411,"=Clockstop")</f>
        <v>68</v>
      </c>
      <c r="AA1411">
        <f t="shared" si="247"/>
        <v>1148</v>
      </c>
      <c r="AC1411">
        <f t="shared" si="248"/>
        <v>1216</v>
      </c>
    </row>
    <row r="1412" spans="1:29" x14ac:dyDescent="0.2">
      <c r="A1412">
        <v>754</v>
      </c>
      <c r="D1412">
        <f t="shared" si="249"/>
        <v>2</v>
      </c>
      <c r="E1412">
        <v>5</v>
      </c>
      <c r="F1412" s="6" t="s">
        <v>486</v>
      </c>
      <c r="I1412" t="s">
        <v>178</v>
      </c>
      <c r="J1412">
        <v>87</v>
      </c>
      <c r="K1412" t="s">
        <v>488</v>
      </c>
      <c r="L1412" t="s">
        <v>277</v>
      </c>
      <c r="M1412" t="s">
        <v>191</v>
      </c>
      <c r="N1412" t="s">
        <v>88</v>
      </c>
      <c r="Q1412">
        <f t="shared" si="256"/>
        <v>18977</v>
      </c>
      <c r="R1412" t="str">
        <f t="shared" si="256"/>
        <v>Velodrome</v>
      </c>
      <c r="S1412" t="str">
        <f t="shared" si="256"/>
        <v>HollowBrook</v>
      </c>
      <c r="T1412" s="20">
        <f t="shared" si="250"/>
        <v>0</v>
      </c>
      <c r="U1412">
        <f t="shared" si="251"/>
        <v>311</v>
      </c>
      <c r="V1412">
        <f t="shared" si="252"/>
        <v>311</v>
      </c>
      <c r="W1412" cm="1">
        <f t="array" ref="W1412">_xlfn._xlws.FILTER(shifts!A:A,(shifts!B:B=events!D1412)*(shifts!AH:AH&gt;=events!U1412)*(shifts!AI:AI&lt;=events!V1412))</f>
        <v>48</v>
      </c>
      <c r="X1412" t="str">
        <f t="shared" si="257"/>
        <v>event_team_player_1</v>
      </c>
      <c r="Y1412">
        <f>COUNTIFS(A$3:A1412,"="&amp;A1412,K$3:K1412,"="&amp;K1412)</f>
        <v>1</v>
      </c>
      <c r="Z1412" s="20">
        <f>SUMIFS(T$3:T1412,L$3:L1412,"=Intermission")+SUMIFS(T$3:T1412,L$3:L1412,"=Timeout")+SUMIFS(T$3:T1412,L$3:L1412,"=Clockstop")</f>
        <v>68</v>
      </c>
      <c r="AA1412">
        <f t="shared" ref="AA1412:AA1475" si="258">IF(D1412=1,0,IF(D1412=2,1080+Z1412,IF(D1412=3,(1080*2)+Z1412,0)))</f>
        <v>1148</v>
      </c>
      <c r="AC1412">
        <f t="shared" ref="AC1412:AC1475" si="259">IF(L1411="GameStart",0,AA1412+Z1412)</f>
        <v>1216</v>
      </c>
    </row>
    <row r="1413" spans="1:29" x14ac:dyDescent="0.2">
      <c r="A1413">
        <v>754</v>
      </c>
      <c r="D1413">
        <f t="shared" ref="D1413:D1476" si="260">IF(L1413="Intermission",D1412+1,D1412)</f>
        <v>2</v>
      </c>
      <c r="E1413">
        <v>5</v>
      </c>
      <c r="F1413" s="6" t="s">
        <v>486</v>
      </c>
      <c r="I1413" t="s">
        <v>178</v>
      </c>
      <c r="J1413">
        <v>49</v>
      </c>
      <c r="K1413" t="s">
        <v>488</v>
      </c>
      <c r="L1413" t="s">
        <v>277</v>
      </c>
      <c r="M1413" t="s">
        <v>191</v>
      </c>
      <c r="N1413" t="s">
        <v>88</v>
      </c>
      <c r="Q1413">
        <f t="shared" si="256"/>
        <v>18977</v>
      </c>
      <c r="R1413" t="str">
        <f t="shared" si="256"/>
        <v>Velodrome</v>
      </c>
      <c r="S1413" t="str">
        <f t="shared" si="256"/>
        <v>HollowBrook</v>
      </c>
      <c r="T1413" s="20">
        <f t="shared" ref="T1413:T1414" si="261">IF(AND(G1413="",H1413=""),0,((E1413*60)+F1413)-((G1413*60)+H1413))</f>
        <v>0</v>
      </c>
      <c r="U1413">
        <f t="shared" ref="U1413:U1414" si="262">(E1413*60)+F1413</f>
        <v>311</v>
      </c>
      <c r="V1413">
        <f t="shared" ref="V1413:V1414" si="263">IF(AND(G1413="",H1413=""),U1413,((G1413*60)+H1413))</f>
        <v>311</v>
      </c>
      <c r="W1413" cm="1">
        <f t="array" ref="W1413">_xlfn._xlws.FILTER(shifts!A:A,(shifts!B:B=events!D1413)*(shifts!AH:AH&gt;=events!U1413)*(shifts!AI:AI&lt;=events!V1413))</f>
        <v>48</v>
      </c>
      <c r="X1413" t="str">
        <f t="shared" si="257"/>
        <v>event_team_player_2</v>
      </c>
      <c r="Y1413">
        <f>COUNTIFS(A$3:A1413,"="&amp;A1413,K$3:K1413,"="&amp;K1413)</f>
        <v>2</v>
      </c>
      <c r="Z1413" s="20">
        <f>SUMIFS(T$3:T1413,L$3:L1413,"=Intermission")+SUMIFS(T$3:T1413,L$3:L1413,"=Timeout")+SUMIFS(T$3:T1413,L$3:L1413,"=Clockstop")</f>
        <v>68</v>
      </c>
      <c r="AA1413">
        <f t="shared" si="258"/>
        <v>1148</v>
      </c>
      <c r="AC1413">
        <f t="shared" si="259"/>
        <v>1216</v>
      </c>
    </row>
    <row r="1414" spans="1:29" x14ac:dyDescent="0.2">
      <c r="A1414">
        <v>754</v>
      </c>
      <c r="D1414">
        <f t="shared" si="260"/>
        <v>2</v>
      </c>
      <c r="E1414">
        <v>5</v>
      </c>
      <c r="F1414" s="6" t="s">
        <v>486</v>
      </c>
      <c r="I1414" t="s">
        <v>178</v>
      </c>
      <c r="J1414">
        <v>33</v>
      </c>
      <c r="K1414" t="s">
        <v>489</v>
      </c>
      <c r="L1414" t="s">
        <v>277</v>
      </c>
      <c r="M1414" t="s">
        <v>191</v>
      </c>
      <c r="N1414" t="s">
        <v>88</v>
      </c>
      <c r="Q1414">
        <f t="shared" ref="Q1414:S1414" si="264">Q1413</f>
        <v>18977</v>
      </c>
      <c r="R1414" t="str">
        <f t="shared" si="264"/>
        <v>Velodrome</v>
      </c>
      <c r="S1414" t="str">
        <f t="shared" si="264"/>
        <v>HollowBrook</v>
      </c>
      <c r="T1414" s="20">
        <f t="shared" si="261"/>
        <v>0</v>
      </c>
      <c r="U1414">
        <f t="shared" si="262"/>
        <v>311</v>
      </c>
      <c r="V1414">
        <f t="shared" si="263"/>
        <v>311</v>
      </c>
      <c r="W1414" cm="1">
        <f t="array" ref="W1414">_xlfn._xlws.FILTER(shifts!A:A,(shifts!B:B=events!D1414)*(shifts!AH:AH&gt;=events!U1414)*(shifts!AI:AI&lt;=events!V1414))</f>
        <v>48</v>
      </c>
      <c r="X1414" t="str">
        <f t="shared" si="257"/>
        <v>opp_team_player_1</v>
      </c>
      <c r="Y1414">
        <f>COUNTIFS(A$3:A1414,"="&amp;A1414,K$3:K1414,"="&amp;K1414)</f>
        <v>1</v>
      </c>
      <c r="Z1414" s="20">
        <f>SUMIFS(T$3:T1414,L$3:L1414,"=Intermission")+SUMIFS(T$3:T1414,L$3:L1414,"=Timeout")+SUMIFS(T$3:T1414,L$3:L1414,"=Clockstop")</f>
        <v>68</v>
      </c>
      <c r="AA1414">
        <f t="shared" si="258"/>
        <v>1148</v>
      </c>
      <c r="AC1414">
        <f t="shared" si="259"/>
        <v>1216</v>
      </c>
    </row>
    <row r="1415" spans="1:29" x14ac:dyDescent="0.2">
      <c r="A1415">
        <v>754</v>
      </c>
      <c r="D1415">
        <f t="shared" si="260"/>
        <v>2</v>
      </c>
      <c r="E1415">
        <v>5</v>
      </c>
      <c r="F1415" s="6" t="s">
        <v>486</v>
      </c>
      <c r="I1415" t="s">
        <v>178</v>
      </c>
      <c r="J1415">
        <v>18</v>
      </c>
      <c r="K1415" t="s">
        <v>489</v>
      </c>
      <c r="L1415" t="s">
        <v>277</v>
      </c>
      <c r="M1415" t="s">
        <v>191</v>
      </c>
      <c r="N1415" t="s">
        <v>88</v>
      </c>
      <c r="Q1415">
        <f t="shared" ref="Q1415:S1415" si="265">Q1414</f>
        <v>18977</v>
      </c>
      <c r="R1415" t="str">
        <f t="shared" si="265"/>
        <v>Velodrome</v>
      </c>
      <c r="S1415" t="str">
        <f t="shared" si="265"/>
        <v>HollowBrook</v>
      </c>
      <c r="T1415" s="20">
        <f t="shared" ref="T1415:T1478" si="266">IF(AND(G1415="",H1415=""),0,((E1415*60)+F1415)-((G1415*60)+H1415))</f>
        <v>0</v>
      </c>
      <c r="U1415">
        <f t="shared" ref="U1415:U1478" si="267">(E1415*60)+F1415</f>
        <v>311</v>
      </c>
      <c r="V1415">
        <f t="shared" ref="V1415:V1478" si="268">IF(AND(G1415="",H1415=""),U1415,((G1415*60)+H1415))</f>
        <v>311</v>
      </c>
      <c r="W1415" cm="1">
        <f t="array" ref="W1415">_xlfn._xlws.FILTER(shifts!A:A,(shifts!B:B=events!D1415)*(shifts!AH:AH&gt;=events!U1415)*(shifts!AI:AI&lt;=events!V1415))</f>
        <v>48</v>
      </c>
      <c r="X1415" t="str">
        <f t="shared" ref="X1415:X1478" si="269">IF(K1415="e","event_team_player_"&amp;Y1415,IF(K1415="o","opp_team_player_"&amp;Y1415,""))</f>
        <v>opp_team_player_2</v>
      </c>
      <c r="Y1415">
        <f>COUNTIFS(A$3:A1415,"="&amp;A1415,K$3:K1415,"="&amp;K1415)</f>
        <v>2</v>
      </c>
      <c r="Z1415" s="20">
        <f>SUMIFS(T$3:T1415,L$3:L1415,"=Intermission")+SUMIFS(T$3:T1415,L$3:L1415,"=Timeout")+SUMIFS(T$3:T1415,L$3:L1415,"=Clockstop")</f>
        <v>68</v>
      </c>
      <c r="AA1415">
        <f t="shared" si="258"/>
        <v>1148</v>
      </c>
      <c r="AC1415">
        <f t="shared" si="259"/>
        <v>1216</v>
      </c>
    </row>
    <row r="1416" spans="1:29" x14ac:dyDescent="0.2">
      <c r="A1416">
        <v>755</v>
      </c>
      <c r="D1416">
        <f t="shared" si="260"/>
        <v>2</v>
      </c>
      <c r="E1416">
        <v>5</v>
      </c>
      <c r="F1416" s="6" t="s">
        <v>425</v>
      </c>
      <c r="G1416">
        <v>5</v>
      </c>
      <c r="H1416" s="8" t="s">
        <v>309</v>
      </c>
      <c r="I1416" t="s">
        <v>178</v>
      </c>
      <c r="J1416">
        <v>49</v>
      </c>
      <c r="K1416" t="s">
        <v>488</v>
      </c>
      <c r="L1416" t="s">
        <v>15</v>
      </c>
      <c r="Q1416">
        <f t="shared" ref="Q1416:S1416" si="270">Q1415</f>
        <v>18977</v>
      </c>
      <c r="R1416" t="str">
        <f t="shared" si="270"/>
        <v>Velodrome</v>
      </c>
      <c r="S1416" t="str">
        <f t="shared" si="270"/>
        <v>HollowBrook</v>
      </c>
      <c r="T1416" s="20">
        <f t="shared" si="266"/>
        <v>3</v>
      </c>
      <c r="U1416">
        <f t="shared" si="267"/>
        <v>310</v>
      </c>
      <c r="V1416">
        <f t="shared" si="268"/>
        <v>307</v>
      </c>
      <c r="W1416" cm="1">
        <f t="array" ref="W1416">_xlfn._xlws.FILTER(shifts!A:A,(shifts!B:B=events!D1416)*(shifts!AH:AH&gt;=events!U1416)*(shifts!AI:AI&lt;=events!V1416))</f>
        <v>48</v>
      </c>
      <c r="X1416" t="str">
        <f t="shared" si="269"/>
        <v>event_team_player_1</v>
      </c>
      <c r="Y1416">
        <f>COUNTIFS(A$3:A1416,"="&amp;A1416,K$3:K1416,"="&amp;K1416)</f>
        <v>1</v>
      </c>
      <c r="Z1416" s="20">
        <f>SUMIFS(T$3:T1416,L$3:L1416,"=Intermission")+SUMIFS(T$3:T1416,L$3:L1416,"=Timeout")+SUMIFS(T$3:T1416,L$3:L1416,"=Clockstop")</f>
        <v>68</v>
      </c>
      <c r="AA1416">
        <f t="shared" si="258"/>
        <v>1148</v>
      </c>
      <c r="AC1416">
        <f t="shared" si="259"/>
        <v>1216</v>
      </c>
    </row>
    <row r="1417" spans="1:29" x14ac:dyDescent="0.2">
      <c r="A1417">
        <v>755</v>
      </c>
      <c r="D1417">
        <f t="shared" si="260"/>
        <v>2</v>
      </c>
      <c r="E1417">
        <v>5</v>
      </c>
      <c r="F1417" s="6" t="s">
        <v>425</v>
      </c>
      <c r="G1417">
        <v>5</v>
      </c>
      <c r="H1417" s="8" t="s">
        <v>309</v>
      </c>
      <c r="I1417" t="s">
        <v>178</v>
      </c>
      <c r="J1417">
        <v>33</v>
      </c>
      <c r="K1417" t="s">
        <v>489</v>
      </c>
      <c r="L1417" t="s">
        <v>15</v>
      </c>
      <c r="Q1417">
        <f t="shared" ref="Q1417:S1417" si="271">Q1416</f>
        <v>18977</v>
      </c>
      <c r="R1417" t="str">
        <f t="shared" si="271"/>
        <v>Velodrome</v>
      </c>
      <c r="S1417" t="str">
        <f t="shared" si="271"/>
        <v>HollowBrook</v>
      </c>
      <c r="T1417" s="20">
        <f t="shared" si="266"/>
        <v>3</v>
      </c>
      <c r="U1417">
        <f t="shared" si="267"/>
        <v>310</v>
      </c>
      <c r="V1417">
        <f t="shared" si="268"/>
        <v>307</v>
      </c>
      <c r="W1417" cm="1">
        <f t="array" ref="W1417">_xlfn._xlws.FILTER(shifts!A:A,(shifts!B:B=events!D1417)*(shifts!AH:AH&gt;=events!U1417)*(shifts!AI:AI&lt;=events!V1417))</f>
        <v>48</v>
      </c>
      <c r="X1417" t="str">
        <f t="shared" si="269"/>
        <v>opp_team_player_1</v>
      </c>
      <c r="Y1417">
        <f>COUNTIFS(A$3:A1417,"="&amp;A1417,K$3:K1417,"="&amp;K1417)</f>
        <v>1</v>
      </c>
      <c r="Z1417" s="20">
        <f>SUMIFS(T$3:T1417,L$3:L1417,"=Intermission")+SUMIFS(T$3:T1417,L$3:L1417,"=Timeout")+SUMIFS(T$3:T1417,L$3:L1417,"=Clockstop")</f>
        <v>68</v>
      </c>
      <c r="AA1417">
        <f t="shared" si="258"/>
        <v>1148</v>
      </c>
      <c r="AC1417">
        <f t="shared" si="259"/>
        <v>1216</v>
      </c>
    </row>
    <row r="1418" spans="1:29" x14ac:dyDescent="0.2">
      <c r="A1418">
        <v>756</v>
      </c>
      <c r="D1418">
        <f t="shared" si="260"/>
        <v>2</v>
      </c>
      <c r="E1418">
        <v>5</v>
      </c>
      <c r="F1418" s="6" t="s">
        <v>309</v>
      </c>
      <c r="I1418" t="s">
        <v>179</v>
      </c>
      <c r="J1418">
        <v>18</v>
      </c>
      <c r="K1418" t="s">
        <v>488</v>
      </c>
      <c r="L1418" t="s">
        <v>10</v>
      </c>
      <c r="M1418" t="s">
        <v>200</v>
      </c>
      <c r="N1418" t="s">
        <v>82</v>
      </c>
      <c r="Q1418">
        <f t="shared" ref="Q1418:S1418" si="272">Q1417</f>
        <v>18977</v>
      </c>
      <c r="R1418" t="str">
        <f t="shared" si="272"/>
        <v>Velodrome</v>
      </c>
      <c r="S1418" t="str">
        <f t="shared" si="272"/>
        <v>HollowBrook</v>
      </c>
      <c r="T1418" s="20">
        <f t="shared" si="266"/>
        <v>0</v>
      </c>
      <c r="U1418">
        <f t="shared" si="267"/>
        <v>307</v>
      </c>
      <c r="V1418">
        <f t="shared" si="268"/>
        <v>307</v>
      </c>
      <c r="W1418">
        <v>49</v>
      </c>
      <c r="X1418" t="str">
        <f t="shared" si="269"/>
        <v>event_team_player_1</v>
      </c>
      <c r="Y1418">
        <f>COUNTIFS(A$3:A1418,"="&amp;A1418,K$3:K1418,"="&amp;K1418)</f>
        <v>1</v>
      </c>
      <c r="Z1418" s="20">
        <f>SUMIFS(T$3:T1418,L$3:L1418,"=Intermission")+SUMIFS(T$3:T1418,L$3:L1418,"=Timeout")+SUMIFS(T$3:T1418,L$3:L1418,"=Clockstop")</f>
        <v>68</v>
      </c>
      <c r="AA1418">
        <f t="shared" si="258"/>
        <v>1148</v>
      </c>
      <c r="AC1418">
        <f t="shared" si="259"/>
        <v>1216</v>
      </c>
    </row>
    <row r="1419" spans="1:29" x14ac:dyDescent="0.2">
      <c r="A1419">
        <v>756</v>
      </c>
      <c r="D1419">
        <f t="shared" si="260"/>
        <v>2</v>
      </c>
      <c r="E1419">
        <v>5</v>
      </c>
      <c r="F1419" s="6" t="s">
        <v>309</v>
      </c>
      <c r="I1419" t="s">
        <v>179</v>
      </c>
      <c r="J1419">
        <v>49</v>
      </c>
      <c r="K1419" t="s">
        <v>489</v>
      </c>
      <c r="L1419" t="s">
        <v>10</v>
      </c>
      <c r="M1419" t="s">
        <v>200</v>
      </c>
      <c r="N1419" t="s">
        <v>82</v>
      </c>
      <c r="Q1419">
        <f t="shared" ref="Q1419:S1419" si="273">Q1418</f>
        <v>18977</v>
      </c>
      <c r="R1419" t="str">
        <f t="shared" si="273"/>
        <v>Velodrome</v>
      </c>
      <c r="S1419" t="str">
        <f t="shared" si="273"/>
        <v>HollowBrook</v>
      </c>
      <c r="T1419" s="20">
        <f t="shared" si="266"/>
        <v>0</v>
      </c>
      <c r="U1419">
        <f t="shared" si="267"/>
        <v>307</v>
      </c>
      <c r="V1419">
        <f t="shared" si="268"/>
        <v>307</v>
      </c>
      <c r="W1419">
        <v>49</v>
      </c>
      <c r="X1419" t="str">
        <f t="shared" si="269"/>
        <v>opp_team_player_1</v>
      </c>
      <c r="Y1419">
        <f>COUNTIFS(A$3:A1419,"="&amp;A1419,K$3:K1419,"="&amp;K1419)</f>
        <v>1</v>
      </c>
      <c r="Z1419" s="20">
        <f>SUMIFS(T$3:T1419,L$3:L1419,"=Intermission")+SUMIFS(T$3:T1419,L$3:L1419,"=Timeout")+SUMIFS(T$3:T1419,L$3:L1419,"=Clockstop")</f>
        <v>68</v>
      </c>
      <c r="AA1419">
        <f t="shared" si="258"/>
        <v>1148</v>
      </c>
      <c r="AC1419">
        <f t="shared" si="259"/>
        <v>1216</v>
      </c>
    </row>
    <row r="1420" spans="1:29" x14ac:dyDescent="0.2">
      <c r="A1420">
        <v>757</v>
      </c>
      <c r="D1420">
        <f t="shared" si="260"/>
        <v>2</v>
      </c>
      <c r="E1420">
        <v>5</v>
      </c>
      <c r="F1420" s="6" t="s">
        <v>309</v>
      </c>
      <c r="G1420">
        <v>5</v>
      </c>
      <c r="H1420" s="8" t="s">
        <v>314</v>
      </c>
      <c r="I1420" t="s">
        <v>179</v>
      </c>
      <c r="J1420">
        <v>18</v>
      </c>
      <c r="K1420" t="s">
        <v>488</v>
      </c>
      <c r="L1420" t="s">
        <v>15</v>
      </c>
      <c r="Q1420">
        <f t="shared" ref="Q1420:S1420" si="274">Q1419</f>
        <v>18977</v>
      </c>
      <c r="R1420" t="str">
        <f t="shared" si="274"/>
        <v>Velodrome</v>
      </c>
      <c r="S1420" t="str">
        <f t="shared" si="274"/>
        <v>HollowBrook</v>
      </c>
      <c r="T1420" s="20">
        <f t="shared" si="266"/>
        <v>1</v>
      </c>
      <c r="U1420">
        <f t="shared" si="267"/>
        <v>307</v>
      </c>
      <c r="V1420">
        <f t="shared" si="268"/>
        <v>306</v>
      </c>
      <c r="W1420" cm="1">
        <f t="array" ref="W1420">_xlfn._xlws.FILTER(shifts!A:A,(shifts!B:B=events!D1420)*(shifts!AH:AH&gt;=events!U1420)*(shifts!AI:AI&lt;=events!V1420))</f>
        <v>49</v>
      </c>
      <c r="X1420" t="str">
        <f t="shared" si="269"/>
        <v>event_team_player_1</v>
      </c>
      <c r="Y1420">
        <f>COUNTIFS(A$3:A1420,"="&amp;A1420,K$3:K1420,"="&amp;K1420)</f>
        <v>1</v>
      </c>
      <c r="Z1420" s="20">
        <f>SUMIFS(T$3:T1420,L$3:L1420,"=Intermission")+SUMIFS(T$3:T1420,L$3:L1420,"=Timeout")+SUMIFS(T$3:T1420,L$3:L1420,"=Clockstop")</f>
        <v>68</v>
      </c>
      <c r="AA1420">
        <f t="shared" si="258"/>
        <v>1148</v>
      </c>
      <c r="AC1420">
        <f t="shared" si="259"/>
        <v>1216</v>
      </c>
    </row>
    <row r="1421" spans="1:29" x14ac:dyDescent="0.2">
      <c r="A1421">
        <v>758</v>
      </c>
      <c r="D1421">
        <f t="shared" si="260"/>
        <v>2</v>
      </c>
      <c r="E1421">
        <v>5</v>
      </c>
      <c r="F1421" s="6" t="s">
        <v>314</v>
      </c>
      <c r="I1421" t="s">
        <v>179</v>
      </c>
      <c r="J1421">
        <v>18</v>
      </c>
      <c r="K1421" t="s">
        <v>488</v>
      </c>
      <c r="L1421" t="s">
        <v>8</v>
      </c>
      <c r="M1421" t="s">
        <v>189</v>
      </c>
      <c r="N1421" t="s">
        <v>68</v>
      </c>
      <c r="Q1421">
        <f t="shared" ref="Q1421:S1421" si="275">Q1420</f>
        <v>18977</v>
      </c>
      <c r="R1421" t="str">
        <f t="shared" si="275"/>
        <v>Velodrome</v>
      </c>
      <c r="S1421" t="str">
        <f t="shared" si="275"/>
        <v>HollowBrook</v>
      </c>
      <c r="T1421" s="20">
        <f t="shared" si="266"/>
        <v>0</v>
      </c>
      <c r="U1421">
        <f t="shared" si="267"/>
        <v>306</v>
      </c>
      <c r="V1421">
        <f t="shared" si="268"/>
        <v>306</v>
      </c>
      <c r="W1421" cm="1">
        <f t="array" ref="W1421">_xlfn._xlws.FILTER(shifts!A:A,(shifts!B:B=events!D1421)*(shifts!AH:AH&gt;=events!U1421)*(shifts!AI:AI&lt;=events!V1421))</f>
        <v>49</v>
      </c>
      <c r="X1421" t="str">
        <f t="shared" si="269"/>
        <v>event_team_player_1</v>
      </c>
      <c r="Y1421">
        <f>COUNTIFS(A$3:A1421,"="&amp;A1421,K$3:K1421,"="&amp;K1421)</f>
        <v>1</v>
      </c>
      <c r="Z1421" s="20">
        <f>SUMIFS(T$3:T1421,L$3:L1421,"=Intermission")+SUMIFS(T$3:T1421,L$3:L1421,"=Timeout")+SUMIFS(T$3:T1421,L$3:L1421,"=Clockstop")</f>
        <v>68</v>
      </c>
      <c r="AA1421">
        <f t="shared" si="258"/>
        <v>1148</v>
      </c>
      <c r="AC1421">
        <f t="shared" si="259"/>
        <v>1216</v>
      </c>
    </row>
    <row r="1422" spans="1:29" x14ac:dyDescent="0.2">
      <c r="A1422">
        <v>758</v>
      </c>
      <c r="D1422">
        <f t="shared" si="260"/>
        <v>2</v>
      </c>
      <c r="E1422">
        <v>5</v>
      </c>
      <c r="F1422" s="6" t="s">
        <v>314</v>
      </c>
      <c r="I1422" t="s">
        <v>179</v>
      </c>
      <c r="J1422">
        <v>19</v>
      </c>
      <c r="K1422" t="s">
        <v>488</v>
      </c>
      <c r="L1422" t="s">
        <v>8</v>
      </c>
      <c r="M1422" t="s">
        <v>189</v>
      </c>
      <c r="N1422" t="s">
        <v>68</v>
      </c>
      <c r="Q1422">
        <f t="shared" ref="Q1422:S1422" si="276">Q1421</f>
        <v>18977</v>
      </c>
      <c r="R1422" t="str">
        <f t="shared" si="276"/>
        <v>Velodrome</v>
      </c>
      <c r="S1422" t="str">
        <f t="shared" si="276"/>
        <v>HollowBrook</v>
      </c>
      <c r="T1422" s="20">
        <f t="shared" si="266"/>
        <v>0</v>
      </c>
      <c r="U1422">
        <f t="shared" si="267"/>
        <v>306</v>
      </c>
      <c r="V1422">
        <f t="shared" si="268"/>
        <v>306</v>
      </c>
      <c r="W1422" cm="1">
        <f t="array" ref="W1422">_xlfn._xlws.FILTER(shifts!A:A,(shifts!B:B=events!D1422)*(shifts!AH:AH&gt;=events!U1422)*(shifts!AI:AI&lt;=events!V1422))</f>
        <v>49</v>
      </c>
      <c r="X1422" t="str">
        <f t="shared" si="269"/>
        <v>event_team_player_2</v>
      </c>
      <c r="Y1422">
        <f>COUNTIFS(A$3:A1422,"="&amp;A1422,K$3:K1422,"="&amp;K1422)</f>
        <v>2</v>
      </c>
      <c r="Z1422" s="20">
        <f>SUMIFS(T$3:T1422,L$3:L1422,"=Intermission")+SUMIFS(T$3:T1422,L$3:L1422,"=Timeout")+SUMIFS(T$3:T1422,L$3:L1422,"=Clockstop")</f>
        <v>68</v>
      </c>
      <c r="AA1422">
        <f t="shared" si="258"/>
        <v>1148</v>
      </c>
      <c r="AC1422">
        <f t="shared" si="259"/>
        <v>1216</v>
      </c>
    </row>
    <row r="1423" spans="1:29" x14ac:dyDescent="0.2">
      <c r="A1423">
        <v>759</v>
      </c>
      <c r="D1423">
        <f t="shared" si="260"/>
        <v>2</v>
      </c>
      <c r="E1423">
        <v>5</v>
      </c>
      <c r="F1423" s="6" t="s">
        <v>310</v>
      </c>
      <c r="G1423">
        <v>5</v>
      </c>
      <c r="H1423" s="8" t="s">
        <v>426</v>
      </c>
      <c r="I1423" t="s">
        <v>179</v>
      </c>
      <c r="J1423">
        <v>19</v>
      </c>
      <c r="K1423" t="s">
        <v>488</v>
      </c>
      <c r="L1423" t="s">
        <v>15</v>
      </c>
      <c r="Q1423">
        <f t="shared" ref="Q1423:S1423" si="277">Q1422</f>
        <v>18977</v>
      </c>
      <c r="R1423" t="str">
        <f t="shared" si="277"/>
        <v>Velodrome</v>
      </c>
      <c r="S1423" t="str">
        <f t="shared" si="277"/>
        <v>HollowBrook</v>
      </c>
      <c r="T1423" s="20">
        <f t="shared" si="266"/>
        <v>4</v>
      </c>
      <c r="U1423">
        <f t="shared" si="267"/>
        <v>304</v>
      </c>
      <c r="V1423">
        <f t="shared" si="268"/>
        <v>300</v>
      </c>
      <c r="W1423" cm="1">
        <f t="array" ref="W1423">_xlfn._xlws.FILTER(shifts!A:A,(shifts!B:B=events!D1423)*(shifts!AH:AH&gt;=events!U1423)*(shifts!AI:AI&lt;=events!V1423))</f>
        <v>49</v>
      </c>
      <c r="X1423" t="str">
        <f t="shared" si="269"/>
        <v>event_team_player_1</v>
      </c>
      <c r="Y1423">
        <f>COUNTIFS(A$3:A1423,"="&amp;A1423,K$3:K1423,"="&amp;K1423)</f>
        <v>1</v>
      </c>
      <c r="Z1423" s="20">
        <f>SUMIFS(T$3:T1423,L$3:L1423,"=Intermission")+SUMIFS(T$3:T1423,L$3:L1423,"=Timeout")+SUMIFS(T$3:T1423,L$3:L1423,"=Clockstop")</f>
        <v>68</v>
      </c>
      <c r="AA1423">
        <f t="shared" si="258"/>
        <v>1148</v>
      </c>
      <c r="AC1423">
        <f t="shared" si="259"/>
        <v>1216</v>
      </c>
    </row>
    <row r="1424" spans="1:29" x14ac:dyDescent="0.2">
      <c r="A1424">
        <v>759</v>
      </c>
      <c r="D1424">
        <f t="shared" si="260"/>
        <v>2</v>
      </c>
      <c r="E1424">
        <v>5</v>
      </c>
      <c r="F1424" s="6" t="s">
        <v>310</v>
      </c>
      <c r="G1424">
        <v>5</v>
      </c>
      <c r="H1424" s="8" t="s">
        <v>426</v>
      </c>
      <c r="I1424" t="s">
        <v>179</v>
      </c>
      <c r="J1424">
        <v>42</v>
      </c>
      <c r="K1424" t="s">
        <v>489</v>
      </c>
      <c r="L1424" t="s">
        <v>15</v>
      </c>
      <c r="Q1424">
        <f t="shared" ref="Q1424:S1424" si="278">Q1423</f>
        <v>18977</v>
      </c>
      <c r="R1424" t="str">
        <f t="shared" si="278"/>
        <v>Velodrome</v>
      </c>
      <c r="S1424" t="str">
        <f t="shared" si="278"/>
        <v>HollowBrook</v>
      </c>
      <c r="T1424" s="20">
        <f t="shared" si="266"/>
        <v>4</v>
      </c>
      <c r="U1424">
        <f t="shared" si="267"/>
        <v>304</v>
      </c>
      <c r="V1424">
        <f t="shared" si="268"/>
        <v>300</v>
      </c>
      <c r="W1424" cm="1">
        <f t="array" ref="W1424">_xlfn._xlws.FILTER(shifts!A:A,(shifts!B:B=events!D1424)*(shifts!AH:AH&gt;=events!U1424)*(shifts!AI:AI&lt;=events!V1424))</f>
        <v>49</v>
      </c>
      <c r="X1424" t="str">
        <f t="shared" si="269"/>
        <v>opp_team_player_1</v>
      </c>
      <c r="Y1424">
        <f>COUNTIFS(A$3:A1424,"="&amp;A1424,K$3:K1424,"="&amp;K1424)</f>
        <v>1</v>
      </c>
      <c r="Z1424" s="20">
        <f>SUMIFS(T$3:T1424,L$3:L1424,"=Intermission")+SUMIFS(T$3:T1424,L$3:L1424,"=Timeout")+SUMIFS(T$3:T1424,L$3:L1424,"=Clockstop")</f>
        <v>68</v>
      </c>
      <c r="AA1424">
        <f t="shared" si="258"/>
        <v>1148</v>
      </c>
      <c r="AC1424">
        <f t="shared" si="259"/>
        <v>1216</v>
      </c>
    </row>
    <row r="1425" spans="1:29" x14ac:dyDescent="0.2">
      <c r="A1425">
        <v>760</v>
      </c>
      <c r="D1425">
        <f t="shared" si="260"/>
        <v>2</v>
      </c>
      <c r="E1425">
        <v>5</v>
      </c>
      <c r="F1425" s="6" t="s">
        <v>426</v>
      </c>
      <c r="I1425" t="s">
        <v>179</v>
      </c>
      <c r="J1425">
        <v>19</v>
      </c>
      <c r="K1425" t="s">
        <v>488</v>
      </c>
      <c r="L1425" t="s">
        <v>277</v>
      </c>
      <c r="M1425" t="s">
        <v>201</v>
      </c>
      <c r="N1425" t="s">
        <v>88</v>
      </c>
      <c r="Q1425">
        <f t="shared" ref="Q1425:S1425" si="279">Q1424</f>
        <v>18977</v>
      </c>
      <c r="R1425" t="str">
        <f t="shared" si="279"/>
        <v>Velodrome</v>
      </c>
      <c r="S1425" t="str">
        <f t="shared" si="279"/>
        <v>HollowBrook</v>
      </c>
      <c r="T1425" s="20">
        <f t="shared" si="266"/>
        <v>0</v>
      </c>
      <c r="U1425">
        <f t="shared" si="267"/>
        <v>300</v>
      </c>
      <c r="V1425">
        <f t="shared" si="268"/>
        <v>300</v>
      </c>
      <c r="W1425" cm="1">
        <f t="array" ref="W1425">_xlfn._xlws.FILTER(shifts!A:A,(shifts!B:B=events!D1425)*(shifts!AH:AH&gt;=events!U1425)*(shifts!AI:AI&lt;=events!V1425))</f>
        <v>49</v>
      </c>
      <c r="X1425" t="str">
        <f t="shared" si="269"/>
        <v>event_team_player_1</v>
      </c>
      <c r="Y1425">
        <f>COUNTIFS(A$3:A1425,"="&amp;A1425,K$3:K1425,"="&amp;K1425)</f>
        <v>1</v>
      </c>
      <c r="Z1425" s="20">
        <f>SUMIFS(T$3:T1425,L$3:L1425,"=Intermission")+SUMIFS(T$3:T1425,L$3:L1425,"=Timeout")+SUMIFS(T$3:T1425,L$3:L1425,"=Clockstop")</f>
        <v>68</v>
      </c>
      <c r="AA1425">
        <f t="shared" si="258"/>
        <v>1148</v>
      </c>
      <c r="AC1425">
        <f t="shared" si="259"/>
        <v>1216</v>
      </c>
    </row>
    <row r="1426" spans="1:29" x14ac:dyDescent="0.2">
      <c r="A1426">
        <v>760</v>
      </c>
      <c r="D1426">
        <f t="shared" si="260"/>
        <v>2</v>
      </c>
      <c r="E1426">
        <v>5</v>
      </c>
      <c r="F1426" s="6" t="s">
        <v>426</v>
      </c>
      <c r="I1426" t="s">
        <v>179</v>
      </c>
      <c r="J1426">
        <v>13</v>
      </c>
      <c r="K1426" t="s">
        <v>488</v>
      </c>
      <c r="L1426" t="s">
        <v>277</v>
      </c>
      <c r="M1426" t="s">
        <v>201</v>
      </c>
      <c r="N1426" t="s">
        <v>88</v>
      </c>
      <c r="Q1426">
        <f t="shared" ref="Q1426:S1426" si="280">Q1425</f>
        <v>18977</v>
      </c>
      <c r="R1426" t="str">
        <f t="shared" si="280"/>
        <v>Velodrome</v>
      </c>
      <c r="S1426" t="str">
        <f t="shared" si="280"/>
        <v>HollowBrook</v>
      </c>
      <c r="T1426" s="20">
        <f t="shared" si="266"/>
        <v>0</v>
      </c>
      <c r="U1426">
        <f t="shared" si="267"/>
        <v>300</v>
      </c>
      <c r="V1426">
        <f t="shared" si="268"/>
        <v>300</v>
      </c>
      <c r="W1426" cm="1">
        <f t="array" ref="W1426">_xlfn._xlws.FILTER(shifts!A:A,(shifts!B:B=events!D1426)*(shifts!AH:AH&gt;=events!U1426)*(shifts!AI:AI&lt;=events!V1426))</f>
        <v>49</v>
      </c>
      <c r="X1426" t="str">
        <f t="shared" si="269"/>
        <v>event_team_player_2</v>
      </c>
      <c r="Y1426">
        <f>COUNTIFS(A$3:A1426,"="&amp;A1426,K$3:K1426,"="&amp;K1426)</f>
        <v>2</v>
      </c>
      <c r="Z1426" s="20">
        <f>SUMIFS(T$3:T1426,L$3:L1426,"=Intermission")+SUMIFS(T$3:T1426,L$3:L1426,"=Timeout")+SUMIFS(T$3:T1426,L$3:L1426,"=Clockstop")</f>
        <v>68</v>
      </c>
      <c r="AA1426">
        <f t="shared" si="258"/>
        <v>1148</v>
      </c>
      <c r="AC1426">
        <f t="shared" si="259"/>
        <v>1216</v>
      </c>
    </row>
    <row r="1427" spans="1:29" x14ac:dyDescent="0.2">
      <c r="A1427">
        <v>760</v>
      </c>
      <c r="D1427">
        <f t="shared" si="260"/>
        <v>2</v>
      </c>
      <c r="E1427">
        <v>5</v>
      </c>
      <c r="F1427" s="6" t="s">
        <v>426</v>
      </c>
      <c r="I1427" t="s">
        <v>179</v>
      </c>
      <c r="J1427">
        <v>42</v>
      </c>
      <c r="K1427" t="s">
        <v>489</v>
      </c>
      <c r="L1427" t="s">
        <v>277</v>
      </c>
      <c r="M1427" t="s">
        <v>201</v>
      </c>
      <c r="N1427" t="s">
        <v>88</v>
      </c>
      <c r="Q1427">
        <f t="shared" ref="Q1427:S1427" si="281">Q1426</f>
        <v>18977</v>
      </c>
      <c r="R1427" t="str">
        <f t="shared" si="281"/>
        <v>Velodrome</v>
      </c>
      <c r="S1427" t="str">
        <f t="shared" si="281"/>
        <v>HollowBrook</v>
      </c>
      <c r="T1427" s="20">
        <f t="shared" si="266"/>
        <v>0</v>
      </c>
      <c r="U1427">
        <f t="shared" si="267"/>
        <v>300</v>
      </c>
      <c r="V1427">
        <f t="shared" si="268"/>
        <v>300</v>
      </c>
      <c r="W1427" cm="1">
        <f t="array" ref="W1427">_xlfn._xlws.FILTER(shifts!A:A,(shifts!B:B=events!D1427)*(shifts!AH:AH&gt;=events!U1427)*(shifts!AI:AI&lt;=events!V1427))</f>
        <v>49</v>
      </c>
      <c r="X1427" t="str">
        <f t="shared" si="269"/>
        <v>opp_team_player_1</v>
      </c>
      <c r="Y1427">
        <f>COUNTIFS(A$3:A1427,"="&amp;A1427,K$3:K1427,"="&amp;K1427)</f>
        <v>1</v>
      </c>
      <c r="Z1427" s="20">
        <f>SUMIFS(T$3:T1427,L$3:L1427,"=Intermission")+SUMIFS(T$3:T1427,L$3:L1427,"=Timeout")+SUMIFS(T$3:T1427,L$3:L1427,"=Clockstop")</f>
        <v>68</v>
      </c>
      <c r="AA1427">
        <f t="shared" si="258"/>
        <v>1148</v>
      </c>
      <c r="AC1427">
        <f t="shared" si="259"/>
        <v>1216</v>
      </c>
    </row>
    <row r="1428" spans="1:29" x14ac:dyDescent="0.2">
      <c r="A1428">
        <v>761</v>
      </c>
      <c r="D1428">
        <f t="shared" si="260"/>
        <v>2</v>
      </c>
      <c r="E1428">
        <v>5</v>
      </c>
      <c r="F1428" s="6" t="s">
        <v>426</v>
      </c>
      <c r="I1428" t="s">
        <v>179</v>
      </c>
      <c r="J1428">
        <v>19</v>
      </c>
      <c r="K1428" t="s">
        <v>488</v>
      </c>
      <c r="L1428" t="s">
        <v>8</v>
      </c>
      <c r="M1428" t="s">
        <v>189</v>
      </c>
      <c r="N1428" t="s">
        <v>67</v>
      </c>
      <c r="Q1428">
        <f t="shared" ref="Q1428:S1428" si="282">Q1427</f>
        <v>18977</v>
      </c>
      <c r="R1428" t="str">
        <f t="shared" si="282"/>
        <v>Velodrome</v>
      </c>
      <c r="S1428" t="str">
        <f t="shared" si="282"/>
        <v>HollowBrook</v>
      </c>
      <c r="T1428" s="20">
        <f t="shared" si="266"/>
        <v>0</v>
      </c>
      <c r="U1428">
        <f t="shared" si="267"/>
        <v>300</v>
      </c>
      <c r="V1428">
        <f t="shared" si="268"/>
        <v>300</v>
      </c>
      <c r="W1428" cm="1">
        <f t="array" ref="W1428">_xlfn._xlws.FILTER(shifts!A:A,(shifts!B:B=events!D1428)*(shifts!AH:AH&gt;=events!U1428)*(shifts!AI:AI&lt;=events!V1428))</f>
        <v>49</v>
      </c>
      <c r="X1428" t="str">
        <f t="shared" si="269"/>
        <v>event_team_player_1</v>
      </c>
      <c r="Y1428">
        <f>COUNTIFS(A$3:A1428,"="&amp;A1428,K$3:K1428,"="&amp;K1428)</f>
        <v>1</v>
      </c>
      <c r="Z1428" s="20">
        <f>SUMIFS(T$3:T1428,L$3:L1428,"=Intermission")+SUMIFS(T$3:T1428,L$3:L1428,"=Timeout")+SUMIFS(T$3:T1428,L$3:L1428,"=Clockstop")</f>
        <v>68</v>
      </c>
      <c r="AA1428">
        <f t="shared" si="258"/>
        <v>1148</v>
      </c>
      <c r="AC1428">
        <f t="shared" si="259"/>
        <v>1216</v>
      </c>
    </row>
    <row r="1429" spans="1:29" x14ac:dyDescent="0.2">
      <c r="A1429">
        <v>761</v>
      </c>
      <c r="D1429">
        <f t="shared" si="260"/>
        <v>2</v>
      </c>
      <c r="E1429">
        <v>5</v>
      </c>
      <c r="F1429" s="6" t="s">
        <v>426</v>
      </c>
      <c r="I1429" t="s">
        <v>179</v>
      </c>
      <c r="J1429">
        <v>13</v>
      </c>
      <c r="K1429" t="s">
        <v>488</v>
      </c>
      <c r="L1429" t="s">
        <v>8</v>
      </c>
      <c r="M1429" t="s">
        <v>189</v>
      </c>
      <c r="N1429" t="s">
        <v>67</v>
      </c>
      <c r="Q1429">
        <f t="shared" ref="Q1429:S1429" si="283">Q1428</f>
        <v>18977</v>
      </c>
      <c r="R1429" t="str">
        <f t="shared" si="283"/>
        <v>Velodrome</v>
      </c>
      <c r="S1429" t="str">
        <f t="shared" si="283"/>
        <v>HollowBrook</v>
      </c>
      <c r="T1429" s="20">
        <f t="shared" si="266"/>
        <v>0</v>
      </c>
      <c r="U1429">
        <f t="shared" si="267"/>
        <v>300</v>
      </c>
      <c r="V1429">
        <f t="shared" si="268"/>
        <v>300</v>
      </c>
      <c r="W1429" cm="1">
        <f t="array" ref="W1429">_xlfn._xlws.FILTER(shifts!A:A,(shifts!B:B=events!D1429)*(shifts!AH:AH&gt;=events!U1429)*(shifts!AI:AI&lt;=events!V1429))</f>
        <v>49</v>
      </c>
      <c r="X1429" t="str">
        <f t="shared" si="269"/>
        <v>event_team_player_2</v>
      </c>
      <c r="Y1429">
        <f>COUNTIFS(A$3:A1429,"="&amp;A1429,K$3:K1429,"="&amp;K1429)</f>
        <v>2</v>
      </c>
      <c r="Z1429" s="20">
        <f>SUMIFS(T$3:T1429,L$3:L1429,"=Intermission")+SUMIFS(T$3:T1429,L$3:L1429,"=Timeout")+SUMIFS(T$3:T1429,L$3:L1429,"=Clockstop")</f>
        <v>68</v>
      </c>
      <c r="AA1429">
        <f t="shared" si="258"/>
        <v>1148</v>
      </c>
      <c r="AC1429">
        <f t="shared" si="259"/>
        <v>1216</v>
      </c>
    </row>
    <row r="1430" spans="1:29" x14ac:dyDescent="0.2">
      <c r="A1430">
        <v>761</v>
      </c>
      <c r="D1430">
        <f t="shared" si="260"/>
        <v>2</v>
      </c>
      <c r="E1430">
        <v>5</v>
      </c>
      <c r="F1430" s="6" t="s">
        <v>426</v>
      </c>
      <c r="I1430" t="s">
        <v>179</v>
      </c>
      <c r="J1430">
        <v>42</v>
      </c>
      <c r="K1430" t="s">
        <v>489</v>
      </c>
      <c r="L1430" t="s">
        <v>8</v>
      </c>
      <c r="M1430" t="s">
        <v>189</v>
      </c>
      <c r="N1430" t="s">
        <v>67</v>
      </c>
      <c r="Q1430">
        <f t="shared" ref="Q1430:S1430" si="284">Q1429</f>
        <v>18977</v>
      </c>
      <c r="R1430" t="str">
        <f t="shared" si="284"/>
        <v>Velodrome</v>
      </c>
      <c r="S1430" t="str">
        <f t="shared" si="284"/>
        <v>HollowBrook</v>
      </c>
      <c r="T1430" s="20">
        <f t="shared" si="266"/>
        <v>0</v>
      </c>
      <c r="U1430">
        <f t="shared" si="267"/>
        <v>300</v>
      </c>
      <c r="V1430">
        <f t="shared" si="268"/>
        <v>300</v>
      </c>
      <c r="W1430" cm="1">
        <f t="array" ref="W1430">_xlfn._xlws.FILTER(shifts!A:A,(shifts!B:B=events!D1430)*(shifts!AH:AH&gt;=events!U1430)*(shifts!AI:AI&lt;=events!V1430))</f>
        <v>49</v>
      </c>
      <c r="X1430" t="str">
        <f t="shared" si="269"/>
        <v>opp_team_player_1</v>
      </c>
      <c r="Y1430">
        <f>COUNTIFS(A$3:A1430,"="&amp;A1430,K$3:K1430,"="&amp;K1430)</f>
        <v>1</v>
      </c>
      <c r="Z1430" s="20">
        <f>SUMIFS(T$3:T1430,L$3:L1430,"=Intermission")+SUMIFS(T$3:T1430,L$3:L1430,"=Timeout")+SUMIFS(T$3:T1430,L$3:L1430,"=Clockstop")</f>
        <v>68</v>
      </c>
      <c r="AA1430">
        <f t="shared" si="258"/>
        <v>1148</v>
      </c>
      <c r="AC1430">
        <f t="shared" si="259"/>
        <v>1216</v>
      </c>
    </row>
    <row r="1431" spans="1:29" ht="13" customHeight="1" x14ac:dyDescent="0.2">
      <c r="A1431">
        <v>762</v>
      </c>
      <c r="D1431">
        <f t="shared" si="260"/>
        <v>2</v>
      </c>
      <c r="E1431">
        <v>4</v>
      </c>
      <c r="F1431" s="6" t="s">
        <v>462</v>
      </c>
      <c r="I1431" t="s">
        <v>179</v>
      </c>
      <c r="J1431">
        <v>13</v>
      </c>
      <c r="K1431" t="s">
        <v>488</v>
      </c>
      <c r="L1431" t="s">
        <v>8</v>
      </c>
      <c r="M1431" t="s">
        <v>189</v>
      </c>
      <c r="N1431" t="s">
        <v>72</v>
      </c>
      <c r="Q1431">
        <f t="shared" ref="Q1431:S1431" si="285">Q1430</f>
        <v>18977</v>
      </c>
      <c r="R1431" t="str">
        <f t="shared" si="285"/>
        <v>Velodrome</v>
      </c>
      <c r="S1431" t="str">
        <f t="shared" si="285"/>
        <v>HollowBrook</v>
      </c>
      <c r="T1431" s="20">
        <f t="shared" si="266"/>
        <v>0</v>
      </c>
      <c r="U1431">
        <f t="shared" si="267"/>
        <v>298</v>
      </c>
      <c r="V1431">
        <f t="shared" si="268"/>
        <v>298</v>
      </c>
      <c r="W1431" cm="1">
        <f t="array" ref="W1431">_xlfn._xlws.FILTER(shifts!A:A,(shifts!B:B=events!D1431)*(shifts!AH:AH&gt;=events!U1431)*(shifts!AI:AI&lt;=events!V1431))</f>
        <v>49</v>
      </c>
      <c r="X1431" t="str">
        <f t="shared" si="269"/>
        <v>event_team_player_1</v>
      </c>
      <c r="Y1431">
        <f>COUNTIFS(A$3:A1431,"="&amp;A1431,K$3:K1431,"="&amp;K1431)</f>
        <v>1</v>
      </c>
      <c r="Z1431" s="20">
        <f>SUMIFS(T$3:T1431,L$3:L1431,"=Intermission")+SUMIFS(T$3:T1431,L$3:L1431,"=Timeout")+SUMIFS(T$3:T1431,L$3:L1431,"=Clockstop")</f>
        <v>68</v>
      </c>
      <c r="AA1431">
        <f t="shared" si="258"/>
        <v>1148</v>
      </c>
      <c r="AC1431">
        <f t="shared" si="259"/>
        <v>1216</v>
      </c>
    </row>
    <row r="1432" spans="1:29" x14ac:dyDescent="0.2">
      <c r="A1432">
        <v>762</v>
      </c>
      <c r="D1432">
        <f t="shared" si="260"/>
        <v>2</v>
      </c>
      <c r="E1432">
        <v>4</v>
      </c>
      <c r="F1432" s="6" t="s">
        <v>462</v>
      </c>
      <c r="I1432" t="s">
        <v>179</v>
      </c>
      <c r="J1432">
        <v>11</v>
      </c>
      <c r="K1432" t="s">
        <v>488</v>
      </c>
      <c r="L1432" t="s">
        <v>8</v>
      </c>
      <c r="M1432" t="s">
        <v>189</v>
      </c>
      <c r="N1432" t="s">
        <v>72</v>
      </c>
      <c r="Q1432">
        <f t="shared" ref="Q1432:S1432" si="286">Q1431</f>
        <v>18977</v>
      </c>
      <c r="R1432" t="str">
        <f t="shared" si="286"/>
        <v>Velodrome</v>
      </c>
      <c r="S1432" t="str">
        <f t="shared" si="286"/>
        <v>HollowBrook</v>
      </c>
      <c r="T1432" s="20">
        <f t="shared" si="266"/>
        <v>0</v>
      </c>
      <c r="U1432">
        <f t="shared" si="267"/>
        <v>298</v>
      </c>
      <c r="V1432">
        <f t="shared" si="268"/>
        <v>298</v>
      </c>
      <c r="W1432" cm="1">
        <f t="array" ref="W1432">_xlfn._xlws.FILTER(shifts!A:A,(shifts!B:B=events!D1432)*(shifts!AH:AH&gt;=events!U1432)*(shifts!AI:AI&lt;=events!V1432))</f>
        <v>49</v>
      </c>
      <c r="X1432" t="str">
        <f t="shared" si="269"/>
        <v>event_team_player_2</v>
      </c>
      <c r="Y1432">
        <f>COUNTIFS(A$3:A1432,"="&amp;A1432,K$3:K1432,"="&amp;K1432)</f>
        <v>2</v>
      </c>
      <c r="Z1432" s="20">
        <f>SUMIFS(T$3:T1432,L$3:L1432,"=Intermission")+SUMIFS(T$3:T1432,L$3:L1432,"=Timeout")+SUMIFS(T$3:T1432,L$3:L1432,"=Clockstop")</f>
        <v>68</v>
      </c>
      <c r="AA1432">
        <f t="shared" si="258"/>
        <v>1148</v>
      </c>
      <c r="AC1432">
        <f t="shared" si="259"/>
        <v>1216</v>
      </c>
    </row>
    <row r="1433" spans="1:29" x14ac:dyDescent="0.2">
      <c r="A1433">
        <v>763</v>
      </c>
      <c r="D1433">
        <f t="shared" si="260"/>
        <v>2</v>
      </c>
      <c r="E1433">
        <v>4</v>
      </c>
      <c r="F1433" s="6" t="s">
        <v>462</v>
      </c>
      <c r="G1433">
        <v>4</v>
      </c>
      <c r="H1433" s="8" t="s">
        <v>421</v>
      </c>
      <c r="I1433" t="s">
        <v>179</v>
      </c>
      <c r="J1433">
        <v>11</v>
      </c>
      <c r="K1433" t="s">
        <v>488</v>
      </c>
      <c r="L1433" t="s">
        <v>277</v>
      </c>
      <c r="M1433" t="s">
        <v>191</v>
      </c>
      <c r="N1433" t="s">
        <v>87</v>
      </c>
      <c r="Q1433">
        <f t="shared" ref="Q1433:S1433" si="287">Q1432</f>
        <v>18977</v>
      </c>
      <c r="R1433" t="str">
        <f t="shared" si="287"/>
        <v>Velodrome</v>
      </c>
      <c r="S1433" t="str">
        <f t="shared" si="287"/>
        <v>HollowBrook</v>
      </c>
      <c r="T1433" s="20">
        <f t="shared" si="266"/>
        <v>2</v>
      </c>
      <c r="U1433">
        <f t="shared" si="267"/>
        <v>298</v>
      </c>
      <c r="V1433">
        <f t="shared" si="268"/>
        <v>296</v>
      </c>
      <c r="W1433" cm="1">
        <f t="array" ref="W1433">_xlfn._xlws.FILTER(shifts!A:A,(shifts!B:B=events!D1433)*(shifts!AH:AH&gt;=events!U1433)*(shifts!AI:AI&lt;=events!V1433))</f>
        <v>49</v>
      </c>
      <c r="X1433" t="str">
        <f t="shared" si="269"/>
        <v>event_team_player_1</v>
      </c>
      <c r="Y1433">
        <f>COUNTIFS(A$3:A1433,"="&amp;A1433,K$3:K1433,"="&amp;K1433)</f>
        <v>1</v>
      </c>
      <c r="Z1433" s="20">
        <f>SUMIFS(T$3:T1433,L$3:L1433,"=Intermission")+SUMIFS(T$3:T1433,L$3:L1433,"=Timeout")+SUMIFS(T$3:T1433,L$3:L1433,"=Clockstop")</f>
        <v>68</v>
      </c>
      <c r="AA1433">
        <f t="shared" si="258"/>
        <v>1148</v>
      </c>
      <c r="AC1433">
        <f t="shared" si="259"/>
        <v>1216</v>
      </c>
    </row>
    <row r="1434" spans="1:29" x14ac:dyDescent="0.2">
      <c r="A1434">
        <v>763</v>
      </c>
      <c r="D1434">
        <f t="shared" si="260"/>
        <v>2</v>
      </c>
      <c r="E1434">
        <v>4</v>
      </c>
      <c r="F1434" s="6" t="s">
        <v>462</v>
      </c>
      <c r="G1434">
        <v>4</v>
      </c>
      <c r="H1434" s="8" t="s">
        <v>421</v>
      </c>
      <c r="I1434" t="s">
        <v>179</v>
      </c>
      <c r="J1434">
        <v>13</v>
      </c>
      <c r="K1434" t="s">
        <v>488</v>
      </c>
      <c r="L1434" t="s">
        <v>277</v>
      </c>
      <c r="M1434" t="s">
        <v>191</v>
      </c>
      <c r="N1434" t="s">
        <v>87</v>
      </c>
      <c r="Q1434">
        <f t="shared" ref="Q1434:S1434" si="288">Q1433</f>
        <v>18977</v>
      </c>
      <c r="R1434" t="str">
        <f t="shared" si="288"/>
        <v>Velodrome</v>
      </c>
      <c r="S1434" t="str">
        <f t="shared" si="288"/>
        <v>HollowBrook</v>
      </c>
      <c r="T1434" s="20">
        <f t="shared" si="266"/>
        <v>2</v>
      </c>
      <c r="U1434">
        <f t="shared" si="267"/>
        <v>298</v>
      </c>
      <c r="V1434">
        <f t="shared" si="268"/>
        <v>296</v>
      </c>
      <c r="W1434" cm="1">
        <f t="array" ref="W1434">_xlfn._xlws.FILTER(shifts!A:A,(shifts!B:B=events!D1434)*(shifts!AH:AH&gt;=events!U1434)*(shifts!AI:AI&lt;=events!V1434))</f>
        <v>49</v>
      </c>
      <c r="X1434" t="str">
        <f t="shared" si="269"/>
        <v>event_team_player_2</v>
      </c>
      <c r="Y1434">
        <f>COUNTIFS(A$3:A1434,"="&amp;A1434,K$3:K1434,"="&amp;K1434)</f>
        <v>2</v>
      </c>
      <c r="Z1434" s="20">
        <f>SUMIFS(T$3:T1434,L$3:L1434,"=Intermission")+SUMIFS(T$3:T1434,L$3:L1434,"=Timeout")+SUMIFS(T$3:T1434,L$3:L1434,"=Clockstop")</f>
        <v>68</v>
      </c>
      <c r="AA1434">
        <f t="shared" si="258"/>
        <v>1148</v>
      </c>
      <c r="AC1434">
        <f t="shared" si="259"/>
        <v>1216</v>
      </c>
    </row>
    <row r="1435" spans="1:29" x14ac:dyDescent="0.2">
      <c r="A1435">
        <v>763</v>
      </c>
      <c r="D1435">
        <f t="shared" si="260"/>
        <v>2</v>
      </c>
      <c r="E1435">
        <v>4</v>
      </c>
      <c r="F1435" s="6" t="s">
        <v>462</v>
      </c>
      <c r="G1435">
        <v>4</v>
      </c>
      <c r="H1435" s="8" t="s">
        <v>421</v>
      </c>
      <c r="I1435" t="s">
        <v>179</v>
      </c>
      <c r="J1435">
        <v>52</v>
      </c>
      <c r="K1435" t="s">
        <v>489</v>
      </c>
      <c r="L1435" t="s">
        <v>277</v>
      </c>
      <c r="M1435" t="s">
        <v>191</v>
      </c>
      <c r="N1435" t="s">
        <v>87</v>
      </c>
      <c r="Q1435">
        <f t="shared" ref="Q1435:S1435" si="289">Q1434</f>
        <v>18977</v>
      </c>
      <c r="R1435" t="str">
        <f t="shared" si="289"/>
        <v>Velodrome</v>
      </c>
      <c r="S1435" t="str">
        <f t="shared" si="289"/>
        <v>HollowBrook</v>
      </c>
      <c r="T1435" s="20">
        <f t="shared" si="266"/>
        <v>2</v>
      </c>
      <c r="U1435">
        <f t="shared" si="267"/>
        <v>298</v>
      </c>
      <c r="V1435">
        <f t="shared" si="268"/>
        <v>296</v>
      </c>
      <c r="W1435" cm="1">
        <f t="array" ref="W1435">_xlfn._xlws.FILTER(shifts!A:A,(shifts!B:B=events!D1435)*(shifts!AH:AH&gt;=events!U1435)*(shifts!AI:AI&lt;=events!V1435))</f>
        <v>49</v>
      </c>
      <c r="X1435" t="str">
        <f t="shared" si="269"/>
        <v>opp_team_player_1</v>
      </c>
      <c r="Y1435">
        <f>COUNTIFS(A$3:A1435,"="&amp;A1435,K$3:K1435,"="&amp;K1435)</f>
        <v>1</v>
      </c>
      <c r="Z1435" s="20">
        <f>SUMIFS(T$3:T1435,L$3:L1435,"=Intermission")+SUMIFS(T$3:T1435,L$3:L1435,"=Timeout")+SUMIFS(T$3:T1435,L$3:L1435,"=Clockstop")</f>
        <v>68</v>
      </c>
      <c r="AA1435">
        <f t="shared" si="258"/>
        <v>1148</v>
      </c>
      <c r="AC1435">
        <f t="shared" si="259"/>
        <v>1216</v>
      </c>
    </row>
    <row r="1436" spans="1:29" x14ac:dyDescent="0.2">
      <c r="A1436">
        <v>764</v>
      </c>
      <c r="D1436">
        <f t="shared" si="260"/>
        <v>2</v>
      </c>
      <c r="E1436">
        <v>4</v>
      </c>
      <c r="F1436" s="6" t="s">
        <v>421</v>
      </c>
      <c r="I1436" t="s">
        <v>179</v>
      </c>
      <c r="J1436">
        <v>11</v>
      </c>
      <c r="K1436" t="s">
        <v>488</v>
      </c>
      <c r="L1436" t="s">
        <v>8</v>
      </c>
      <c r="M1436" t="s">
        <v>189</v>
      </c>
      <c r="N1436" t="s">
        <v>510</v>
      </c>
      <c r="Q1436">
        <f t="shared" ref="Q1436:S1436" si="290">Q1435</f>
        <v>18977</v>
      </c>
      <c r="R1436" t="str">
        <f t="shared" si="290"/>
        <v>Velodrome</v>
      </c>
      <c r="S1436" t="str">
        <f t="shared" si="290"/>
        <v>HollowBrook</v>
      </c>
      <c r="T1436" s="20">
        <f t="shared" si="266"/>
        <v>0</v>
      </c>
      <c r="U1436">
        <f t="shared" si="267"/>
        <v>296</v>
      </c>
      <c r="V1436">
        <f t="shared" si="268"/>
        <v>296</v>
      </c>
      <c r="W1436" cm="1">
        <f t="array" ref="W1436">_xlfn._xlws.FILTER(shifts!A:A,(shifts!B:B=events!D1436)*(shifts!AH:AH&gt;=events!U1436)*(shifts!AI:AI&lt;=events!V1436))</f>
        <v>49</v>
      </c>
      <c r="X1436" t="str">
        <f t="shared" si="269"/>
        <v>event_team_player_1</v>
      </c>
      <c r="Y1436">
        <f>COUNTIFS(A$3:A1436,"="&amp;A1436,K$3:K1436,"="&amp;K1436)</f>
        <v>1</v>
      </c>
      <c r="Z1436" s="20">
        <f>SUMIFS(T$3:T1436,L$3:L1436,"=Intermission")+SUMIFS(T$3:T1436,L$3:L1436,"=Timeout")+SUMIFS(T$3:T1436,L$3:L1436,"=Clockstop")</f>
        <v>68</v>
      </c>
      <c r="AA1436">
        <f t="shared" si="258"/>
        <v>1148</v>
      </c>
      <c r="AC1436">
        <f t="shared" si="259"/>
        <v>1216</v>
      </c>
    </row>
    <row r="1437" spans="1:29" x14ac:dyDescent="0.2">
      <c r="A1437">
        <v>764</v>
      </c>
      <c r="D1437">
        <f t="shared" si="260"/>
        <v>2</v>
      </c>
      <c r="E1437">
        <v>4</v>
      </c>
      <c r="F1437" s="6" t="s">
        <v>421</v>
      </c>
      <c r="I1437" t="s">
        <v>179</v>
      </c>
      <c r="J1437">
        <v>13</v>
      </c>
      <c r="K1437" t="s">
        <v>488</v>
      </c>
      <c r="L1437" t="s">
        <v>8</v>
      </c>
      <c r="M1437" t="s">
        <v>189</v>
      </c>
      <c r="N1437" t="s">
        <v>510</v>
      </c>
      <c r="Q1437">
        <f t="shared" ref="Q1437:S1437" si="291">Q1436</f>
        <v>18977</v>
      </c>
      <c r="R1437" t="str">
        <f t="shared" si="291"/>
        <v>Velodrome</v>
      </c>
      <c r="S1437" t="str">
        <f t="shared" si="291"/>
        <v>HollowBrook</v>
      </c>
      <c r="T1437" s="20">
        <f t="shared" si="266"/>
        <v>0</v>
      </c>
      <c r="U1437">
        <f t="shared" si="267"/>
        <v>296</v>
      </c>
      <c r="V1437">
        <f t="shared" si="268"/>
        <v>296</v>
      </c>
      <c r="W1437" cm="1">
        <f t="array" ref="W1437">_xlfn._xlws.FILTER(shifts!A:A,(shifts!B:B=events!D1437)*(shifts!AH:AH&gt;=events!U1437)*(shifts!AI:AI&lt;=events!V1437))</f>
        <v>49</v>
      </c>
      <c r="X1437" t="str">
        <f t="shared" si="269"/>
        <v>event_team_player_2</v>
      </c>
      <c r="Y1437">
        <f>COUNTIFS(A$3:A1437,"="&amp;A1437,K$3:K1437,"="&amp;K1437)</f>
        <v>2</v>
      </c>
      <c r="Z1437" s="20">
        <f>SUMIFS(T$3:T1437,L$3:L1437,"=Intermission")+SUMIFS(T$3:T1437,L$3:L1437,"=Timeout")+SUMIFS(T$3:T1437,L$3:L1437,"=Clockstop")</f>
        <v>68</v>
      </c>
      <c r="AA1437">
        <f t="shared" si="258"/>
        <v>1148</v>
      </c>
      <c r="AC1437">
        <f t="shared" si="259"/>
        <v>1216</v>
      </c>
    </row>
    <row r="1438" spans="1:29" x14ac:dyDescent="0.2">
      <c r="A1438">
        <v>765</v>
      </c>
      <c r="D1438">
        <f t="shared" si="260"/>
        <v>2</v>
      </c>
      <c r="E1438">
        <v>4</v>
      </c>
      <c r="F1438" s="6" t="s">
        <v>421</v>
      </c>
      <c r="G1438">
        <v>4</v>
      </c>
      <c r="H1438" s="8" t="s">
        <v>429</v>
      </c>
      <c r="I1438" t="s">
        <v>179</v>
      </c>
      <c r="J1438">
        <v>13</v>
      </c>
      <c r="K1438" t="s">
        <v>488</v>
      </c>
      <c r="L1438" t="s">
        <v>15</v>
      </c>
      <c r="Q1438">
        <f t="shared" ref="Q1438:S1438" si="292">Q1437</f>
        <v>18977</v>
      </c>
      <c r="R1438" t="str">
        <f t="shared" si="292"/>
        <v>Velodrome</v>
      </c>
      <c r="S1438" t="str">
        <f t="shared" si="292"/>
        <v>HollowBrook</v>
      </c>
      <c r="T1438" s="20">
        <f t="shared" si="266"/>
        <v>1</v>
      </c>
      <c r="U1438">
        <f t="shared" si="267"/>
        <v>296</v>
      </c>
      <c r="V1438">
        <f t="shared" si="268"/>
        <v>295</v>
      </c>
      <c r="W1438" cm="1">
        <f t="array" ref="W1438">_xlfn._xlws.FILTER(shifts!A:A,(shifts!B:B=events!D1438)*(shifts!AH:AH&gt;=events!U1438)*(shifts!AI:AI&lt;=events!V1438))</f>
        <v>49</v>
      </c>
      <c r="X1438" t="str">
        <f t="shared" si="269"/>
        <v>event_team_player_1</v>
      </c>
      <c r="Y1438">
        <f>COUNTIFS(A$3:A1438,"="&amp;A1438,K$3:K1438,"="&amp;K1438)</f>
        <v>1</v>
      </c>
      <c r="Z1438" s="20">
        <f>SUMIFS(T$3:T1438,L$3:L1438,"=Intermission")+SUMIFS(T$3:T1438,L$3:L1438,"=Timeout")+SUMIFS(T$3:T1438,L$3:L1438,"=Clockstop")</f>
        <v>68</v>
      </c>
      <c r="AA1438">
        <f t="shared" si="258"/>
        <v>1148</v>
      </c>
      <c r="AC1438">
        <f t="shared" si="259"/>
        <v>1216</v>
      </c>
    </row>
    <row r="1439" spans="1:29" x14ac:dyDescent="0.2">
      <c r="A1439">
        <v>766</v>
      </c>
      <c r="D1439">
        <f t="shared" si="260"/>
        <v>2</v>
      </c>
      <c r="E1439">
        <v>4</v>
      </c>
      <c r="F1439" s="6" t="s">
        <v>429</v>
      </c>
      <c r="I1439" t="s">
        <v>179</v>
      </c>
      <c r="J1439">
        <v>13</v>
      </c>
      <c r="K1439" t="s">
        <v>488</v>
      </c>
      <c r="L1439" t="s">
        <v>8</v>
      </c>
      <c r="M1439" t="s">
        <v>189</v>
      </c>
      <c r="N1439" t="s">
        <v>70</v>
      </c>
      <c r="Q1439">
        <f t="shared" ref="Q1439:S1439" si="293">Q1438</f>
        <v>18977</v>
      </c>
      <c r="R1439" t="str">
        <f t="shared" si="293"/>
        <v>Velodrome</v>
      </c>
      <c r="S1439" t="str">
        <f t="shared" si="293"/>
        <v>HollowBrook</v>
      </c>
      <c r="T1439" s="20">
        <f t="shared" si="266"/>
        <v>0</v>
      </c>
      <c r="U1439">
        <f t="shared" si="267"/>
        <v>295</v>
      </c>
      <c r="V1439">
        <f t="shared" si="268"/>
        <v>295</v>
      </c>
      <c r="W1439" cm="1">
        <f t="array" ref="W1439">_xlfn._xlws.FILTER(shifts!A:A,(shifts!B:B=events!D1439)*(shifts!AH:AH&gt;=events!U1439)*(shifts!AI:AI&lt;=events!V1439))</f>
        <v>49</v>
      </c>
      <c r="X1439" t="str">
        <f t="shared" si="269"/>
        <v>event_team_player_1</v>
      </c>
      <c r="Y1439">
        <f>COUNTIFS(A$3:A1439,"="&amp;A1439,K$3:K1439,"="&amp;K1439)</f>
        <v>1</v>
      </c>
      <c r="Z1439" s="20">
        <f>SUMIFS(T$3:T1439,L$3:L1439,"=Intermission")+SUMIFS(T$3:T1439,L$3:L1439,"=Timeout")+SUMIFS(T$3:T1439,L$3:L1439,"=Clockstop")</f>
        <v>68</v>
      </c>
      <c r="AA1439">
        <f t="shared" si="258"/>
        <v>1148</v>
      </c>
      <c r="AC1439">
        <f t="shared" si="259"/>
        <v>1216</v>
      </c>
    </row>
    <row r="1440" spans="1:29" x14ac:dyDescent="0.2">
      <c r="A1440">
        <v>766</v>
      </c>
      <c r="D1440">
        <f t="shared" si="260"/>
        <v>2</v>
      </c>
      <c r="E1440">
        <v>4</v>
      </c>
      <c r="F1440" s="6" t="s">
        <v>429</v>
      </c>
      <c r="I1440" t="s">
        <v>179</v>
      </c>
      <c r="J1440">
        <v>11</v>
      </c>
      <c r="K1440" t="s">
        <v>488</v>
      </c>
      <c r="L1440" t="s">
        <v>8</v>
      </c>
      <c r="M1440" t="s">
        <v>189</v>
      </c>
      <c r="N1440" t="s">
        <v>70</v>
      </c>
      <c r="Q1440">
        <f t="shared" ref="Q1440:S1440" si="294">Q1439</f>
        <v>18977</v>
      </c>
      <c r="R1440" t="str">
        <f t="shared" si="294"/>
        <v>Velodrome</v>
      </c>
      <c r="S1440" t="str">
        <f t="shared" si="294"/>
        <v>HollowBrook</v>
      </c>
      <c r="T1440" s="20">
        <f t="shared" si="266"/>
        <v>0</v>
      </c>
      <c r="U1440">
        <f t="shared" si="267"/>
        <v>295</v>
      </c>
      <c r="V1440">
        <f t="shared" si="268"/>
        <v>295</v>
      </c>
      <c r="W1440" cm="1">
        <f t="array" ref="W1440">_xlfn._xlws.FILTER(shifts!A:A,(shifts!B:B=events!D1440)*(shifts!AH:AH&gt;=events!U1440)*(shifts!AI:AI&lt;=events!V1440))</f>
        <v>49</v>
      </c>
      <c r="X1440" t="str">
        <f t="shared" si="269"/>
        <v>event_team_player_2</v>
      </c>
      <c r="Y1440">
        <f>COUNTIFS(A$3:A1440,"="&amp;A1440,K$3:K1440,"="&amp;K1440)</f>
        <v>2</v>
      </c>
      <c r="Z1440" s="20">
        <f>SUMIFS(T$3:T1440,L$3:L1440,"=Intermission")+SUMIFS(T$3:T1440,L$3:L1440,"=Timeout")+SUMIFS(T$3:T1440,L$3:L1440,"=Clockstop")</f>
        <v>68</v>
      </c>
      <c r="AA1440">
        <f t="shared" si="258"/>
        <v>1148</v>
      </c>
      <c r="AC1440">
        <f t="shared" si="259"/>
        <v>1216</v>
      </c>
    </row>
    <row r="1441" spans="1:29" x14ac:dyDescent="0.2">
      <c r="A1441">
        <v>766</v>
      </c>
      <c r="D1441">
        <f t="shared" si="260"/>
        <v>2</v>
      </c>
      <c r="E1441">
        <v>4</v>
      </c>
      <c r="F1441" s="6" t="s">
        <v>429</v>
      </c>
      <c r="I1441" t="s">
        <v>179</v>
      </c>
      <c r="J1441">
        <v>52</v>
      </c>
      <c r="K1441" t="s">
        <v>489</v>
      </c>
      <c r="L1441" t="s">
        <v>8</v>
      </c>
      <c r="M1441" t="s">
        <v>189</v>
      </c>
      <c r="N1441" t="s">
        <v>70</v>
      </c>
      <c r="Q1441">
        <f t="shared" ref="Q1441:S1441" si="295">Q1440</f>
        <v>18977</v>
      </c>
      <c r="R1441" t="str">
        <f t="shared" si="295"/>
        <v>Velodrome</v>
      </c>
      <c r="S1441" t="str">
        <f t="shared" si="295"/>
        <v>HollowBrook</v>
      </c>
      <c r="T1441" s="20">
        <f t="shared" si="266"/>
        <v>0</v>
      </c>
      <c r="U1441">
        <f t="shared" si="267"/>
        <v>295</v>
      </c>
      <c r="V1441">
        <f t="shared" si="268"/>
        <v>295</v>
      </c>
      <c r="W1441" cm="1">
        <f t="array" ref="W1441">_xlfn._xlws.FILTER(shifts!A:A,(shifts!B:B=events!D1441)*(shifts!AH:AH&gt;=events!U1441)*(shifts!AI:AI&lt;=events!V1441))</f>
        <v>49</v>
      </c>
      <c r="X1441" t="str">
        <f t="shared" si="269"/>
        <v>opp_team_player_1</v>
      </c>
      <c r="Y1441">
        <f>COUNTIFS(A$3:A1441,"="&amp;A1441,K$3:K1441,"="&amp;K1441)</f>
        <v>1</v>
      </c>
      <c r="Z1441" s="20">
        <f>SUMIFS(T$3:T1441,L$3:L1441,"=Intermission")+SUMIFS(T$3:T1441,L$3:L1441,"=Timeout")+SUMIFS(T$3:T1441,L$3:L1441,"=Clockstop")</f>
        <v>68</v>
      </c>
      <c r="AA1441">
        <f t="shared" si="258"/>
        <v>1148</v>
      </c>
      <c r="AC1441">
        <f t="shared" si="259"/>
        <v>1216</v>
      </c>
    </row>
    <row r="1442" spans="1:29" x14ac:dyDescent="0.2">
      <c r="A1442">
        <v>767</v>
      </c>
      <c r="D1442">
        <f t="shared" si="260"/>
        <v>2</v>
      </c>
      <c r="E1442">
        <v>4</v>
      </c>
      <c r="F1442" s="6" t="s">
        <v>429</v>
      </c>
      <c r="G1442">
        <v>4</v>
      </c>
      <c r="H1442" s="8" t="s">
        <v>492</v>
      </c>
      <c r="I1442" t="s">
        <v>179</v>
      </c>
      <c r="J1442">
        <v>11</v>
      </c>
      <c r="K1442" t="s">
        <v>488</v>
      </c>
      <c r="L1442" t="s">
        <v>15</v>
      </c>
      <c r="Q1442">
        <f t="shared" ref="Q1442:S1442" si="296">Q1441</f>
        <v>18977</v>
      </c>
      <c r="R1442" t="str">
        <f t="shared" si="296"/>
        <v>Velodrome</v>
      </c>
      <c r="S1442" t="str">
        <f t="shared" si="296"/>
        <v>HollowBrook</v>
      </c>
      <c r="T1442" s="20">
        <f t="shared" si="266"/>
        <v>2</v>
      </c>
      <c r="U1442">
        <f t="shared" si="267"/>
        <v>295</v>
      </c>
      <c r="V1442">
        <f t="shared" si="268"/>
        <v>293</v>
      </c>
      <c r="W1442" cm="1">
        <f t="array" ref="W1442">_xlfn._xlws.FILTER(shifts!A:A,(shifts!B:B=events!D1442)*(shifts!AH:AH&gt;=events!U1442)*(shifts!AI:AI&lt;=events!V1442))</f>
        <v>49</v>
      </c>
      <c r="X1442" t="str">
        <f t="shared" si="269"/>
        <v>event_team_player_1</v>
      </c>
      <c r="Y1442">
        <f>COUNTIFS(A$3:A1442,"="&amp;A1442,K$3:K1442,"="&amp;K1442)</f>
        <v>1</v>
      </c>
      <c r="Z1442" s="20">
        <f>SUMIFS(T$3:T1442,L$3:L1442,"=Intermission")+SUMIFS(T$3:T1442,L$3:L1442,"=Timeout")+SUMIFS(T$3:T1442,L$3:L1442,"=Clockstop")</f>
        <v>68</v>
      </c>
      <c r="AA1442">
        <f t="shared" si="258"/>
        <v>1148</v>
      </c>
      <c r="AC1442">
        <f t="shared" si="259"/>
        <v>1216</v>
      </c>
    </row>
    <row r="1443" spans="1:29" x14ac:dyDescent="0.2">
      <c r="A1443">
        <v>768</v>
      </c>
      <c r="D1443">
        <f t="shared" si="260"/>
        <v>2</v>
      </c>
      <c r="E1443">
        <v>4</v>
      </c>
      <c r="F1443" s="6" t="s">
        <v>492</v>
      </c>
      <c r="I1443" t="s">
        <v>179</v>
      </c>
      <c r="J1443">
        <v>11</v>
      </c>
      <c r="K1443" t="s">
        <v>488</v>
      </c>
      <c r="L1443" t="s">
        <v>7</v>
      </c>
      <c r="M1443" t="s">
        <v>222</v>
      </c>
      <c r="N1443" t="s">
        <v>53</v>
      </c>
      <c r="Q1443">
        <f t="shared" ref="Q1443:S1443" si="297">Q1442</f>
        <v>18977</v>
      </c>
      <c r="R1443" t="str">
        <f t="shared" si="297"/>
        <v>Velodrome</v>
      </c>
      <c r="S1443" t="str">
        <f t="shared" si="297"/>
        <v>HollowBrook</v>
      </c>
      <c r="T1443" s="20">
        <f t="shared" si="266"/>
        <v>0</v>
      </c>
      <c r="U1443">
        <f t="shared" si="267"/>
        <v>293</v>
      </c>
      <c r="V1443">
        <f t="shared" si="268"/>
        <v>293</v>
      </c>
      <c r="W1443" cm="1">
        <f t="array" ref="W1443">_xlfn._xlws.FILTER(shifts!A:A,(shifts!B:B=events!D1443)*(shifts!AH:AH&gt;=events!U1443)*(shifts!AI:AI&lt;=events!V1443))</f>
        <v>49</v>
      </c>
      <c r="X1443" t="str">
        <f t="shared" si="269"/>
        <v>event_team_player_1</v>
      </c>
      <c r="Y1443">
        <f>COUNTIFS(A$3:A1443,"="&amp;A1443,K$3:K1443,"="&amp;K1443)</f>
        <v>1</v>
      </c>
      <c r="Z1443" s="20">
        <f>SUMIFS(T$3:T1443,L$3:L1443,"=Intermission")+SUMIFS(T$3:T1443,L$3:L1443,"=Timeout")+SUMIFS(T$3:T1443,L$3:L1443,"=Clockstop")</f>
        <v>68</v>
      </c>
      <c r="AA1443">
        <f t="shared" si="258"/>
        <v>1148</v>
      </c>
      <c r="AC1443">
        <f t="shared" si="259"/>
        <v>1216</v>
      </c>
    </row>
    <row r="1444" spans="1:29" x14ac:dyDescent="0.2">
      <c r="A1444">
        <v>768</v>
      </c>
      <c r="D1444">
        <f t="shared" si="260"/>
        <v>2</v>
      </c>
      <c r="E1444">
        <v>4</v>
      </c>
      <c r="F1444" s="6" t="s">
        <v>492</v>
      </c>
      <c r="I1444" t="s">
        <v>179</v>
      </c>
      <c r="J1444">
        <v>39</v>
      </c>
      <c r="K1444" t="s">
        <v>489</v>
      </c>
      <c r="L1444" t="s">
        <v>7</v>
      </c>
      <c r="M1444" t="s">
        <v>222</v>
      </c>
      <c r="N1444" t="s">
        <v>53</v>
      </c>
      <c r="Q1444">
        <f t="shared" ref="Q1444:S1444" si="298">Q1443</f>
        <v>18977</v>
      </c>
      <c r="R1444" t="str">
        <f t="shared" si="298"/>
        <v>Velodrome</v>
      </c>
      <c r="S1444" t="str">
        <f t="shared" si="298"/>
        <v>HollowBrook</v>
      </c>
      <c r="T1444" s="20">
        <f t="shared" si="266"/>
        <v>0</v>
      </c>
      <c r="U1444">
        <f t="shared" si="267"/>
        <v>293</v>
      </c>
      <c r="V1444">
        <f t="shared" si="268"/>
        <v>293</v>
      </c>
      <c r="W1444" cm="1">
        <f t="array" ref="W1444">_xlfn._xlws.FILTER(shifts!A:A,(shifts!B:B=events!D1444)*(shifts!AH:AH&gt;=events!U1444)*(shifts!AI:AI&lt;=events!V1444))</f>
        <v>49</v>
      </c>
      <c r="X1444" t="str">
        <f t="shared" si="269"/>
        <v>opp_team_player_1</v>
      </c>
      <c r="Y1444">
        <f>COUNTIFS(A$3:A1444,"="&amp;A1444,K$3:K1444,"="&amp;K1444)</f>
        <v>1</v>
      </c>
      <c r="Z1444" s="20">
        <f>SUMIFS(T$3:T1444,L$3:L1444,"=Intermission")+SUMIFS(T$3:T1444,L$3:L1444,"=Timeout")+SUMIFS(T$3:T1444,L$3:L1444,"=Clockstop")</f>
        <v>68</v>
      </c>
      <c r="AA1444">
        <f t="shared" si="258"/>
        <v>1148</v>
      </c>
      <c r="AC1444">
        <f t="shared" si="259"/>
        <v>1216</v>
      </c>
    </row>
    <row r="1445" spans="1:29" x14ac:dyDescent="0.2">
      <c r="A1445">
        <v>769</v>
      </c>
      <c r="D1445">
        <f t="shared" si="260"/>
        <v>2</v>
      </c>
      <c r="E1445">
        <v>4</v>
      </c>
      <c r="F1445" s="6" t="s">
        <v>492</v>
      </c>
      <c r="I1445" t="s">
        <v>178</v>
      </c>
      <c r="J1445">
        <v>39</v>
      </c>
      <c r="K1445" t="s">
        <v>488</v>
      </c>
      <c r="L1445" t="s">
        <v>17</v>
      </c>
      <c r="M1445" t="s">
        <v>196</v>
      </c>
      <c r="N1445" t="s">
        <v>103</v>
      </c>
      <c r="Q1445">
        <f t="shared" ref="Q1445:S1445" si="299">Q1444</f>
        <v>18977</v>
      </c>
      <c r="R1445" t="str">
        <f t="shared" si="299"/>
        <v>Velodrome</v>
      </c>
      <c r="S1445" t="str">
        <f t="shared" si="299"/>
        <v>HollowBrook</v>
      </c>
      <c r="T1445" s="20">
        <f t="shared" si="266"/>
        <v>0</v>
      </c>
      <c r="U1445">
        <f t="shared" si="267"/>
        <v>293</v>
      </c>
      <c r="V1445">
        <f t="shared" si="268"/>
        <v>293</v>
      </c>
      <c r="W1445" cm="1">
        <f t="array" ref="W1445">_xlfn._xlws.FILTER(shifts!A:A,(shifts!B:B=events!D1445)*(shifts!AH:AH&gt;=events!U1445)*(shifts!AI:AI&lt;=events!V1445))</f>
        <v>49</v>
      </c>
      <c r="X1445" t="str">
        <f t="shared" si="269"/>
        <v>event_team_player_1</v>
      </c>
      <c r="Y1445">
        <f>COUNTIFS(A$3:A1445,"="&amp;A1445,K$3:K1445,"="&amp;K1445)</f>
        <v>1</v>
      </c>
      <c r="Z1445" s="20">
        <f>SUMIFS(T$3:T1445,L$3:L1445,"=Intermission")+SUMIFS(T$3:T1445,L$3:L1445,"=Timeout")+SUMIFS(T$3:T1445,L$3:L1445,"=Clockstop")</f>
        <v>68</v>
      </c>
      <c r="AA1445">
        <f t="shared" si="258"/>
        <v>1148</v>
      </c>
      <c r="AC1445">
        <f t="shared" si="259"/>
        <v>1216</v>
      </c>
    </row>
    <row r="1446" spans="1:29" x14ac:dyDescent="0.2">
      <c r="A1446">
        <v>769</v>
      </c>
      <c r="D1446">
        <f t="shared" si="260"/>
        <v>2</v>
      </c>
      <c r="E1446">
        <v>4</v>
      </c>
      <c r="F1446" s="6" t="s">
        <v>492</v>
      </c>
      <c r="I1446" t="s">
        <v>178</v>
      </c>
      <c r="J1446">
        <v>11</v>
      </c>
      <c r="K1446" t="s">
        <v>489</v>
      </c>
      <c r="L1446" t="s">
        <v>17</v>
      </c>
      <c r="M1446" t="s">
        <v>196</v>
      </c>
      <c r="N1446" t="s">
        <v>103</v>
      </c>
      <c r="Q1446">
        <f t="shared" ref="Q1446:S1446" si="300">Q1445</f>
        <v>18977</v>
      </c>
      <c r="R1446" t="str">
        <f t="shared" si="300"/>
        <v>Velodrome</v>
      </c>
      <c r="S1446" t="str">
        <f t="shared" si="300"/>
        <v>HollowBrook</v>
      </c>
      <c r="T1446" s="20">
        <f t="shared" si="266"/>
        <v>0</v>
      </c>
      <c r="U1446">
        <f t="shared" si="267"/>
        <v>293</v>
      </c>
      <c r="V1446">
        <f t="shared" si="268"/>
        <v>293</v>
      </c>
      <c r="W1446" cm="1">
        <f t="array" ref="W1446">_xlfn._xlws.FILTER(shifts!A:A,(shifts!B:B=events!D1446)*(shifts!AH:AH&gt;=events!U1446)*(shifts!AI:AI&lt;=events!V1446))</f>
        <v>49</v>
      </c>
      <c r="X1446" t="str">
        <f t="shared" si="269"/>
        <v>opp_team_player_1</v>
      </c>
      <c r="Y1446">
        <f>COUNTIFS(A$3:A1446,"="&amp;A1446,K$3:K1446,"="&amp;K1446)</f>
        <v>1</v>
      </c>
      <c r="Z1446" s="20">
        <f>SUMIFS(T$3:T1446,L$3:L1446,"=Intermission")+SUMIFS(T$3:T1446,L$3:L1446,"=Timeout")+SUMIFS(T$3:T1446,L$3:L1446,"=Clockstop")</f>
        <v>68</v>
      </c>
      <c r="AA1446">
        <f t="shared" si="258"/>
        <v>1148</v>
      </c>
      <c r="AC1446">
        <f t="shared" si="259"/>
        <v>1216</v>
      </c>
    </row>
    <row r="1447" spans="1:29" x14ac:dyDescent="0.2">
      <c r="A1447">
        <v>770</v>
      </c>
      <c r="D1447">
        <f t="shared" si="260"/>
        <v>2</v>
      </c>
      <c r="E1447">
        <v>4</v>
      </c>
      <c r="F1447" s="6" t="s">
        <v>492</v>
      </c>
      <c r="I1447" t="s">
        <v>178</v>
      </c>
      <c r="J1447">
        <v>39</v>
      </c>
      <c r="K1447" t="s">
        <v>488</v>
      </c>
      <c r="L1447" t="s">
        <v>270</v>
      </c>
      <c r="M1447" t="s">
        <v>271</v>
      </c>
      <c r="Q1447">
        <f t="shared" ref="Q1447:S1447" si="301">Q1446</f>
        <v>18977</v>
      </c>
      <c r="R1447" t="str">
        <f t="shared" si="301"/>
        <v>Velodrome</v>
      </c>
      <c r="S1447" t="str">
        <f t="shared" si="301"/>
        <v>HollowBrook</v>
      </c>
      <c r="T1447" s="20">
        <f t="shared" si="266"/>
        <v>0</v>
      </c>
      <c r="U1447">
        <f t="shared" si="267"/>
        <v>293</v>
      </c>
      <c r="V1447">
        <f t="shared" si="268"/>
        <v>293</v>
      </c>
      <c r="W1447" cm="1">
        <f t="array" ref="W1447">_xlfn._xlws.FILTER(shifts!A:A,(shifts!B:B=events!D1447)*(shifts!AH:AH&gt;=events!U1447)*(shifts!AI:AI&lt;=events!V1447))</f>
        <v>49</v>
      </c>
      <c r="X1447" t="str">
        <f t="shared" si="269"/>
        <v>event_team_player_1</v>
      </c>
      <c r="Y1447">
        <f>COUNTIFS(A$3:A1447,"="&amp;A1447,K$3:K1447,"="&amp;K1447)</f>
        <v>1</v>
      </c>
      <c r="Z1447" s="20">
        <f>SUMIFS(T$3:T1447,L$3:L1447,"=Intermission")+SUMIFS(T$3:T1447,L$3:L1447,"=Timeout")+SUMIFS(T$3:T1447,L$3:L1447,"=Clockstop")</f>
        <v>68</v>
      </c>
      <c r="AA1447">
        <f t="shared" si="258"/>
        <v>1148</v>
      </c>
      <c r="AC1447">
        <f t="shared" si="259"/>
        <v>1216</v>
      </c>
    </row>
    <row r="1448" spans="1:29" x14ac:dyDescent="0.2">
      <c r="A1448">
        <v>771</v>
      </c>
      <c r="D1448">
        <f t="shared" si="260"/>
        <v>2</v>
      </c>
      <c r="E1448">
        <v>4</v>
      </c>
      <c r="F1448" s="6" t="s">
        <v>432</v>
      </c>
      <c r="G1448">
        <v>4</v>
      </c>
      <c r="H1448" s="8" t="s">
        <v>434</v>
      </c>
      <c r="I1448" t="s">
        <v>178</v>
      </c>
      <c r="J1448">
        <v>87</v>
      </c>
      <c r="K1448" t="s">
        <v>488</v>
      </c>
      <c r="L1448" t="s">
        <v>15</v>
      </c>
      <c r="Q1448">
        <f t="shared" ref="Q1448:S1448" si="302">Q1447</f>
        <v>18977</v>
      </c>
      <c r="R1448" t="str">
        <f t="shared" si="302"/>
        <v>Velodrome</v>
      </c>
      <c r="S1448" t="str">
        <f t="shared" si="302"/>
        <v>HollowBrook</v>
      </c>
      <c r="T1448" s="20">
        <f t="shared" si="266"/>
        <v>3</v>
      </c>
      <c r="U1448">
        <f t="shared" si="267"/>
        <v>290</v>
      </c>
      <c r="V1448">
        <f t="shared" si="268"/>
        <v>287</v>
      </c>
      <c r="W1448">
        <v>50</v>
      </c>
      <c r="X1448" t="str">
        <f t="shared" si="269"/>
        <v>event_team_player_1</v>
      </c>
      <c r="Y1448">
        <f>COUNTIFS(A$3:A1448,"="&amp;A1448,K$3:K1448,"="&amp;K1448)</f>
        <v>1</v>
      </c>
      <c r="Z1448" s="20">
        <f>SUMIFS(T$3:T1448,L$3:L1448,"=Intermission")+SUMIFS(T$3:T1448,L$3:L1448,"=Timeout")+SUMIFS(T$3:T1448,L$3:L1448,"=Clockstop")</f>
        <v>68</v>
      </c>
      <c r="AA1448">
        <f t="shared" si="258"/>
        <v>1148</v>
      </c>
      <c r="AC1448">
        <f t="shared" si="259"/>
        <v>1216</v>
      </c>
    </row>
    <row r="1449" spans="1:29" x14ac:dyDescent="0.2">
      <c r="A1449">
        <v>772</v>
      </c>
      <c r="D1449">
        <f t="shared" si="260"/>
        <v>2</v>
      </c>
      <c r="E1449">
        <v>4</v>
      </c>
      <c r="F1449" s="6" t="s">
        <v>434</v>
      </c>
      <c r="I1449" t="s">
        <v>178</v>
      </c>
      <c r="J1449">
        <v>87</v>
      </c>
      <c r="K1449" t="s">
        <v>488</v>
      </c>
      <c r="L1449" t="s">
        <v>8</v>
      </c>
      <c r="M1449" t="s">
        <v>199</v>
      </c>
      <c r="N1449" t="s">
        <v>70</v>
      </c>
      <c r="Q1449">
        <f t="shared" ref="Q1449:S1449" si="303">Q1448</f>
        <v>18977</v>
      </c>
      <c r="R1449" t="str">
        <f t="shared" si="303"/>
        <v>Velodrome</v>
      </c>
      <c r="S1449" t="str">
        <f t="shared" si="303"/>
        <v>HollowBrook</v>
      </c>
      <c r="T1449" s="20">
        <f t="shared" si="266"/>
        <v>0</v>
      </c>
      <c r="U1449">
        <f t="shared" si="267"/>
        <v>287</v>
      </c>
      <c r="V1449">
        <f t="shared" si="268"/>
        <v>287</v>
      </c>
      <c r="W1449" cm="1">
        <f t="array" ref="W1449">_xlfn._xlws.FILTER(shifts!A:A,(shifts!B:B=events!D1449)*(shifts!AH:AH&gt;=events!U1449)*(shifts!AI:AI&lt;=events!V1449))</f>
        <v>50</v>
      </c>
      <c r="X1449" t="str">
        <f t="shared" si="269"/>
        <v>event_team_player_1</v>
      </c>
      <c r="Y1449">
        <f>COUNTIFS(A$3:A1449,"="&amp;A1449,K$3:K1449,"="&amp;K1449)</f>
        <v>1</v>
      </c>
      <c r="Z1449" s="20">
        <f>SUMIFS(T$3:T1449,L$3:L1449,"=Intermission")+SUMIFS(T$3:T1449,L$3:L1449,"=Timeout")+SUMIFS(T$3:T1449,L$3:L1449,"=Clockstop")</f>
        <v>68</v>
      </c>
      <c r="AA1449">
        <f t="shared" si="258"/>
        <v>1148</v>
      </c>
      <c r="AC1449">
        <f t="shared" si="259"/>
        <v>1216</v>
      </c>
    </row>
    <row r="1450" spans="1:29" x14ac:dyDescent="0.2">
      <c r="A1450">
        <v>772</v>
      </c>
      <c r="D1450">
        <f t="shared" si="260"/>
        <v>2</v>
      </c>
      <c r="E1450">
        <v>4</v>
      </c>
      <c r="F1450" s="6" t="s">
        <v>434</v>
      </c>
      <c r="I1450" t="s">
        <v>178</v>
      </c>
      <c r="J1450">
        <v>75</v>
      </c>
      <c r="K1450" t="s">
        <v>488</v>
      </c>
      <c r="L1450" t="s">
        <v>8</v>
      </c>
      <c r="M1450" t="s">
        <v>199</v>
      </c>
      <c r="N1450" t="s">
        <v>70</v>
      </c>
      <c r="Q1450">
        <f t="shared" ref="Q1450:S1450" si="304">Q1449</f>
        <v>18977</v>
      </c>
      <c r="R1450" t="str">
        <f t="shared" si="304"/>
        <v>Velodrome</v>
      </c>
      <c r="S1450" t="str">
        <f t="shared" si="304"/>
        <v>HollowBrook</v>
      </c>
      <c r="T1450" s="20">
        <f t="shared" si="266"/>
        <v>0</v>
      </c>
      <c r="U1450">
        <f t="shared" si="267"/>
        <v>287</v>
      </c>
      <c r="V1450">
        <f t="shared" si="268"/>
        <v>287</v>
      </c>
      <c r="W1450" cm="1">
        <f t="array" ref="W1450">_xlfn._xlws.FILTER(shifts!A:A,(shifts!B:B=events!D1450)*(shifts!AH:AH&gt;=events!U1450)*(shifts!AI:AI&lt;=events!V1450))</f>
        <v>50</v>
      </c>
      <c r="X1450" t="str">
        <f t="shared" si="269"/>
        <v>event_team_player_2</v>
      </c>
      <c r="Y1450">
        <f>COUNTIFS(A$3:A1450,"="&amp;A1450,K$3:K1450,"="&amp;K1450)</f>
        <v>2</v>
      </c>
      <c r="Z1450" s="20">
        <f>SUMIFS(T$3:T1450,L$3:L1450,"=Intermission")+SUMIFS(T$3:T1450,L$3:L1450,"=Timeout")+SUMIFS(T$3:T1450,L$3:L1450,"=Clockstop")</f>
        <v>68</v>
      </c>
      <c r="AA1450">
        <f t="shared" si="258"/>
        <v>1148</v>
      </c>
      <c r="AC1450">
        <f t="shared" si="259"/>
        <v>1216</v>
      </c>
    </row>
    <row r="1451" spans="1:29" x14ac:dyDescent="0.2">
      <c r="A1451">
        <v>772</v>
      </c>
      <c r="D1451">
        <f t="shared" si="260"/>
        <v>2</v>
      </c>
      <c r="E1451">
        <v>4</v>
      </c>
      <c r="F1451" s="6" t="s">
        <v>434</v>
      </c>
      <c r="I1451" t="s">
        <v>178</v>
      </c>
      <c r="J1451">
        <v>13</v>
      </c>
      <c r="K1451" t="s">
        <v>489</v>
      </c>
      <c r="L1451" t="s">
        <v>8</v>
      </c>
      <c r="M1451" t="s">
        <v>199</v>
      </c>
      <c r="N1451" t="s">
        <v>70</v>
      </c>
      <c r="Q1451">
        <f t="shared" ref="Q1451:S1451" si="305">Q1450</f>
        <v>18977</v>
      </c>
      <c r="R1451" t="str">
        <f t="shared" si="305"/>
        <v>Velodrome</v>
      </c>
      <c r="S1451" t="str">
        <f t="shared" si="305"/>
        <v>HollowBrook</v>
      </c>
      <c r="T1451" s="20">
        <f t="shared" si="266"/>
        <v>0</v>
      </c>
      <c r="U1451">
        <f t="shared" si="267"/>
        <v>287</v>
      </c>
      <c r="V1451">
        <f t="shared" si="268"/>
        <v>287</v>
      </c>
      <c r="W1451" cm="1">
        <f t="array" ref="W1451">_xlfn._xlws.FILTER(shifts!A:A,(shifts!B:B=events!D1451)*(shifts!AH:AH&gt;=events!U1451)*(shifts!AI:AI&lt;=events!V1451))</f>
        <v>50</v>
      </c>
      <c r="X1451" t="str">
        <f t="shared" si="269"/>
        <v>opp_team_player_1</v>
      </c>
      <c r="Y1451">
        <f>COUNTIFS(A$3:A1451,"="&amp;A1451,K$3:K1451,"="&amp;K1451)</f>
        <v>1</v>
      </c>
      <c r="Z1451" s="20">
        <f>SUMIFS(T$3:T1451,L$3:L1451,"=Intermission")+SUMIFS(T$3:T1451,L$3:L1451,"=Timeout")+SUMIFS(T$3:T1451,L$3:L1451,"=Clockstop")</f>
        <v>68</v>
      </c>
      <c r="AA1451">
        <f t="shared" si="258"/>
        <v>1148</v>
      </c>
      <c r="AC1451">
        <f t="shared" si="259"/>
        <v>1216</v>
      </c>
    </row>
    <row r="1452" spans="1:29" x14ac:dyDescent="0.2">
      <c r="A1452">
        <v>772</v>
      </c>
      <c r="D1452">
        <f t="shared" si="260"/>
        <v>2</v>
      </c>
      <c r="E1452">
        <v>4</v>
      </c>
      <c r="F1452" s="6" t="s">
        <v>434</v>
      </c>
      <c r="I1452" t="s">
        <v>178</v>
      </c>
      <c r="J1452">
        <v>11</v>
      </c>
      <c r="K1452" t="s">
        <v>489</v>
      </c>
      <c r="L1452" t="s">
        <v>8</v>
      </c>
      <c r="M1452" t="s">
        <v>199</v>
      </c>
      <c r="N1452" t="s">
        <v>70</v>
      </c>
      <c r="Q1452">
        <f t="shared" ref="Q1452:S1452" si="306">Q1451</f>
        <v>18977</v>
      </c>
      <c r="R1452" t="str">
        <f t="shared" si="306"/>
        <v>Velodrome</v>
      </c>
      <c r="S1452" t="str">
        <f t="shared" si="306"/>
        <v>HollowBrook</v>
      </c>
      <c r="T1452" s="20">
        <f t="shared" si="266"/>
        <v>0</v>
      </c>
      <c r="U1452">
        <f t="shared" si="267"/>
        <v>287</v>
      </c>
      <c r="V1452">
        <f t="shared" si="268"/>
        <v>287</v>
      </c>
      <c r="W1452" cm="1">
        <f t="array" ref="W1452">_xlfn._xlws.FILTER(shifts!A:A,(shifts!B:B=events!D1452)*(shifts!AH:AH&gt;=events!U1452)*(shifts!AI:AI&lt;=events!V1452))</f>
        <v>50</v>
      </c>
      <c r="X1452" t="str">
        <f t="shared" si="269"/>
        <v>opp_team_player_2</v>
      </c>
      <c r="Y1452">
        <f>COUNTIFS(A$3:A1452,"="&amp;A1452,K$3:K1452,"="&amp;K1452)</f>
        <v>2</v>
      </c>
      <c r="Z1452" s="20">
        <f>SUMIFS(T$3:T1452,L$3:L1452,"=Intermission")+SUMIFS(T$3:T1452,L$3:L1452,"=Timeout")+SUMIFS(T$3:T1452,L$3:L1452,"=Clockstop")</f>
        <v>68</v>
      </c>
      <c r="AA1452">
        <f t="shared" si="258"/>
        <v>1148</v>
      </c>
      <c r="AC1452">
        <f t="shared" si="259"/>
        <v>1216</v>
      </c>
    </row>
    <row r="1453" spans="1:29" x14ac:dyDescent="0.2">
      <c r="A1453">
        <v>773</v>
      </c>
      <c r="D1453">
        <f t="shared" si="260"/>
        <v>2</v>
      </c>
      <c r="E1453">
        <v>4</v>
      </c>
      <c r="F1453" s="6" t="s">
        <v>435</v>
      </c>
      <c r="I1453" t="s">
        <v>178</v>
      </c>
      <c r="J1453">
        <v>52</v>
      </c>
      <c r="K1453" t="s">
        <v>488</v>
      </c>
      <c r="L1453" t="s">
        <v>10</v>
      </c>
      <c r="M1453" t="s">
        <v>190</v>
      </c>
      <c r="N1453" t="s">
        <v>479</v>
      </c>
      <c r="Q1453">
        <f t="shared" ref="Q1453:S1453" si="307">Q1452</f>
        <v>18977</v>
      </c>
      <c r="R1453" t="str">
        <f t="shared" si="307"/>
        <v>Velodrome</v>
      </c>
      <c r="S1453" t="str">
        <f t="shared" si="307"/>
        <v>HollowBrook</v>
      </c>
      <c r="T1453" s="20">
        <f t="shared" si="266"/>
        <v>0</v>
      </c>
      <c r="U1453">
        <f t="shared" si="267"/>
        <v>284</v>
      </c>
      <c r="V1453">
        <f t="shared" si="268"/>
        <v>284</v>
      </c>
      <c r="W1453" cm="1">
        <f t="array" ref="W1453">_xlfn._xlws.FILTER(shifts!A:A,(shifts!B:B=events!D1453)*(shifts!AH:AH&gt;=events!U1453)*(shifts!AI:AI&lt;=events!V1453))</f>
        <v>50</v>
      </c>
      <c r="X1453" t="str">
        <f t="shared" si="269"/>
        <v>event_team_player_1</v>
      </c>
      <c r="Y1453">
        <f>COUNTIFS(A$3:A1453,"="&amp;A1453,K$3:K1453,"="&amp;K1453)</f>
        <v>1</v>
      </c>
      <c r="Z1453" s="20">
        <f>SUMIFS(T$3:T1453,L$3:L1453,"=Intermission")+SUMIFS(T$3:T1453,L$3:L1453,"=Timeout")+SUMIFS(T$3:T1453,L$3:L1453,"=Clockstop")</f>
        <v>68</v>
      </c>
      <c r="AA1453">
        <f t="shared" si="258"/>
        <v>1148</v>
      </c>
      <c r="AC1453">
        <f t="shared" si="259"/>
        <v>1216</v>
      </c>
    </row>
    <row r="1454" spans="1:29" x14ac:dyDescent="0.2">
      <c r="A1454">
        <v>773</v>
      </c>
      <c r="D1454">
        <f t="shared" si="260"/>
        <v>2</v>
      </c>
      <c r="E1454">
        <v>4</v>
      </c>
      <c r="F1454" s="6" t="s">
        <v>435</v>
      </c>
      <c r="I1454" t="s">
        <v>178</v>
      </c>
      <c r="J1454">
        <v>11</v>
      </c>
      <c r="K1454" t="s">
        <v>489</v>
      </c>
      <c r="L1454" t="s">
        <v>10</v>
      </c>
      <c r="M1454" t="s">
        <v>190</v>
      </c>
      <c r="N1454" t="s">
        <v>479</v>
      </c>
      <c r="Q1454">
        <f t="shared" ref="Q1454:S1454" si="308">Q1453</f>
        <v>18977</v>
      </c>
      <c r="R1454" t="str">
        <f t="shared" si="308"/>
        <v>Velodrome</v>
      </c>
      <c r="S1454" t="str">
        <f t="shared" si="308"/>
        <v>HollowBrook</v>
      </c>
      <c r="T1454" s="20">
        <f t="shared" si="266"/>
        <v>0</v>
      </c>
      <c r="U1454">
        <f t="shared" si="267"/>
        <v>284</v>
      </c>
      <c r="V1454">
        <f t="shared" si="268"/>
        <v>284</v>
      </c>
      <c r="W1454" cm="1">
        <f t="array" ref="W1454">_xlfn._xlws.FILTER(shifts!A:A,(shifts!B:B=events!D1454)*(shifts!AH:AH&gt;=events!U1454)*(shifts!AI:AI&lt;=events!V1454))</f>
        <v>50</v>
      </c>
      <c r="X1454" t="str">
        <f t="shared" si="269"/>
        <v>opp_team_player_1</v>
      </c>
      <c r="Y1454">
        <f>COUNTIFS(A$3:A1454,"="&amp;A1454,K$3:K1454,"="&amp;K1454)</f>
        <v>1</v>
      </c>
      <c r="Z1454" s="20">
        <f>SUMIFS(T$3:T1454,L$3:L1454,"=Intermission")+SUMIFS(T$3:T1454,L$3:L1454,"=Timeout")+SUMIFS(T$3:T1454,L$3:L1454,"=Clockstop")</f>
        <v>68</v>
      </c>
      <c r="AA1454">
        <f t="shared" si="258"/>
        <v>1148</v>
      </c>
      <c r="AC1454">
        <f t="shared" si="259"/>
        <v>1216</v>
      </c>
    </row>
    <row r="1455" spans="1:29" x14ac:dyDescent="0.2">
      <c r="A1455">
        <v>774</v>
      </c>
      <c r="D1455">
        <f t="shared" si="260"/>
        <v>2</v>
      </c>
      <c r="E1455">
        <v>4</v>
      </c>
      <c r="F1455" s="6" t="s">
        <v>435</v>
      </c>
      <c r="I1455" t="s">
        <v>179</v>
      </c>
      <c r="J1455">
        <v>11</v>
      </c>
      <c r="K1455" t="s">
        <v>488</v>
      </c>
      <c r="L1455" t="s">
        <v>277</v>
      </c>
      <c r="M1455" t="s">
        <v>210</v>
      </c>
      <c r="N1455" t="s">
        <v>93</v>
      </c>
      <c r="Q1455">
        <f t="shared" ref="Q1455:S1455" si="309">Q1454</f>
        <v>18977</v>
      </c>
      <c r="R1455" t="str">
        <f t="shared" si="309"/>
        <v>Velodrome</v>
      </c>
      <c r="S1455" t="str">
        <f t="shared" si="309"/>
        <v>HollowBrook</v>
      </c>
      <c r="T1455" s="20">
        <f t="shared" si="266"/>
        <v>0</v>
      </c>
      <c r="U1455">
        <f t="shared" si="267"/>
        <v>284</v>
      </c>
      <c r="V1455">
        <f t="shared" si="268"/>
        <v>284</v>
      </c>
      <c r="W1455" cm="1">
        <f t="array" ref="W1455">_xlfn._xlws.FILTER(shifts!A:A,(shifts!B:B=events!D1455)*(shifts!AH:AH&gt;=events!U1455)*(shifts!AI:AI&lt;=events!V1455))</f>
        <v>50</v>
      </c>
      <c r="X1455" t="str">
        <f t="shared" si="269"/>
        <v>event_team_player_1</v>
      </c>
      <c r="Y1455">
        <f>COUNTIFS(A$3:A1455,"="&amp;A1455,K$3:K1455,"="&amp;K1455)</f>
        <v>1</v>
      </c>
      <c r="Z1455" s="20">
        <f>SUMIFS(T$3:T1455,L$3:L1455,"=Intermission")+SUMIFS(T$3:T1455,L$3:L1455,"=Timeout")+SUMIFS(T$3:T1455,L$3:L1455,"=Clockstop")</f>
        <v>68</v>
      </c>
      <c r="AA1455">
        <f t="shared" si="258"/>
        <v>1148</v>
      </c>
      <c r="AC1455">
        <f t="shared" si="259"/>
        <v>1216</v>
      </c>
    </row>
    <row r="1456" spans="1:29" x14ac:dyDescent="0.2">
      <c r="A1456">
        <v>775</v>
      </c>
      <c r="D1456">
        <f t="shared" si="260"/>
        <v>2</v>
      </c>
      <c r="E1456">
        <v>4</v>
      </c>
      <c r="F1456" s="6" t="s">
        <v>430</v>
      </c>
      <c r="G1456">
        <v>4</v>
      </c>
      <c r="H1456" s="8" t="s">
        <v>437</v>
      </c>
      <c r="I1456" t="s">
        <v>179</v>
      </c>
      <c r="J1456">
        <v>11</v>
      </c>
      <c r="K1456" t="s">
        <v>488</v>
      </c>
      <c r="L1456" t="s">
        <v>15</v>
      </c>
      <c r="Q1456">
        <f t="shared" ref="Q1456:S1456" si="310">Q1455</f>
        <v>18977</v>
      </c>
      <c r="R1456" t="str">
        <f t="shared" si="310"/>
        <v>Velodrome</v>
      </c>
      <c r="S1456" t="str">
        <f t="shared" si="310"/>
        <v>HollowBrook</v>
      </c>
      <c r="T1456" s="20">
        <f t="shared" si="266"/>
        <v>2</v>
      </c>
      <c r="U1456">
        <f t="shared" si="267"/>
        <v>282</v>
      </c>
      <c r="V1456">
        <f t="shared" si="268"/>
        <v>280</v>
      </c>
      <c r="W1456" cm="1">
        <f t="array" ref="W1456">_xlfn._xlws.FILTER(shifts!A:A,(shifts!B:B=events!D1456)*(shifts!AH:AH&gt;=events!U1456)*(shifts!AI:AI&lt;=events!V1456))</f>
        <v>50</v>
      </c>
      <c r="X1456" t="str">
        <f t="shared" si="269"/>
        <v>event_team_player_1</v>
      </c>
      <c r="Y1456">
        <f>COUNTIFS(A$3:A1456,"="&amp;A1456,K$3:K1456,"="&amp;K1456)</f>
        <v>1</v>
      </c>
      <c r="Z1456" s="20">
        <f>SUMIFS(T$3:T1456,L$3:L1456,"=Intermission")+SUMIFS(T$3:T1456,L$3:L1456,"=Timeout")+SUMIFS(T$3:T1456,L$3:L1456,"=Clockstop")</f>
        <v>68</v>
      </c>
      <c r="AA1456">
        <f t="shared" si="258"/>
        <v>1148</v>
      </c>
      <c r="AC1456">
        <f t="shared" si="259"/>
        <v>1216</v>
      </c>
    </row>
    <row r="1457" spans="1:29" x14ac:dyDescent="0.2">
      <c r="A1457">
        <v>776</v>
      </c>
      <c r="D1457">
        <f t="shared" si="260"/>
        <v>2</v>
      </c>
      <c r="E1457">
        <v>4</v>
      </c>
      <c r="F1457" s="6" t="s">
        <v>437</v>
      </c>
      <c r="I1457" t="s">
        <v>179</v>
      </c>
      <c r="J1457">
        <v>11</v>
      </c>
      <c r="K1457" t="s">
        <v>488</v>
      </c>
      <c r="L1457" t="s">
        <v>8</v>
      </c>
      <c r="M1457" t="s">
        <v>189</v>
      </c>
      <c r="N1457" t="s">
        <v>70</v>
      </c>
      <c r="Q1457">
        <f t="shared" ref="Q1457:S1457" si="311">Q1456</f>
        <v>18977</v>
      </c>
      <c r="R1457" t="str">
        <f t="shared" si="311"/>
        <v>Velodrome</v>
      </c>
      <c r="S1457" t="str">
        <f t="shared" si="311"/>
        <v>HollowBrook</v>
      </c>
      <c r="T1457" s="20">
        <f t="shared" si="266"/>
        <v>0</v>
      </c>
      <c r="U1457">
        <f t="shared" si="267"/>
        <v>280</v>
      </c>
      <c r="V1457">
        <f t="shared" si="268"/>
        <v>280</v>
      </c>
      <c r="W1457" cm="1">
        <f t="array" ref="W1457">_xlfn._xlws.FILTER(shifts!A:A,(shifts!B:B=events!D1457)*(shifts!AH:AH&gt;=events!U1457)*(shifts!AI:AI&lt;=events!V1457))</f>
        <v>50</v>
      </c>
      <c r="X1457" t="str">
        <f t="shared" si="269"/>
        <v>event_team_player_1</v>
      </c>
      <c r="Y1457">
        <f>COUNTIFS(A$3:A1457,"="&amp;A1457,K$3:K1457,"="&amp;K1457)</f>
        <v>1</v>
      </c>
      <c r="Z1457" s="20">
        <f>SUMIFS(T$3:T1457,L$3:L1457,"=Intermission")+SUMIFS(T$3:T1457,L$3:L1457,"=Timeout")+SUMIFS(T$3:T1457,L$3:L1457,"=Clockstop")</f>
        <v>68</v>
      </c>
      <c r="AA1457">
        <f t="shared" si="258"/>
        <v>1148</v>
      </c>
      <c r="AC1457">
        <f t="shared" si="259"/>
        <v>1216</v>
      </c>
    </row>
    <row r="1458" spans="1:29" x14ac:dyDescent="0.2">
      <c r="A1458">
        <v>776</v>
      </c>
      <c r="D1458">
        <f t="shared" si="260"/>
        <v>2</v>
      </c>
      <c r="E1458">
        <v>4</v>
      </c>
      <c r="F1458" s="6" t="s">
        <v>437</v>
      </c>
      <c r="I1458" t="s">
        <v>179</v>
      </c>
      <c r="J1458">
        <v>13</v>
      </c>
      <c r="K1458" t="s">
        <v>488</v>
      </c>
      <c r="L1458" t="s">
        <v>8</v>
      </c>
      <c r="M1458" t="s">
        <v>189</v>
      </c>
      <c r="N1458" t="s">
        <v>70</v>
      </c>
      <c r="Q1458">
        <f t="shared" ref="Q1458:S1458" si="312">Q1457</f>
        <v>18977</v>
      </c>
      <c r="R1458" t="str">
        <f t="shared" si="312"/>
        <v>Velodrome</v>
      </c>
      <c r="S1458" t="str">
        <f t="shared" si="312"/>
        <v>HollowBrook</v>
      </c>
      <c r="T1458" s="20">
        <f t="shared" si="266"/>
        <v>0</v>
      </c>
      <c r="U1458">
        <f t="shared" si="267"/>
        <v>280</v>
      </c>
      <c r="V1458">
        <f t="shared" si="268"/>
        <v>280</v>
      </c>
      <c r="W1458" cm="1">
        <f t="array" ref="W1458">_xlfn._xlws.FILTER(shifts!A:A,(shifts!B:B=events!D1458)*(shifts!AH:AH&gt;=events!U1458)*(shifts!AI:AI&lt;=events!V1458))</f>
        <v>50</v>
      </c>
      <c r="X1458" t="str">
        <f t="shared" si="269"/>
        <v>event_team_player_2</v>
      </c>
      <c r="Y1458">
        <f>COUNTIFS(A$3:A1458,"="&amp;A1458,K$3:K1458,"="&amp;K1458)</f>
        <v>2</v>
      </c>
      <c r="Z1458" s="20">
        <f>SUMIFS(T$3:T1458,L$3:L1458,"=Intermission")+SUMIFS(T$3:T1458,L$3:L1458,"=Timeout")+SUMIFS(T$3:T1458,L$3:L1458,"=Clockstop")</f>
        <v>68</v>
      </c>
      <c r="AA1458">
        <f t="shared" si="258"/>
        <v>1148</v>
      </c>
      <c r="AC1458">
        <f t="shared" si="259"/>
        <v>1216</v>
      </c>
    </row>
    <row r="1459" spans="1:29" x14ac:dyDescent="0.2">
      <c r="A1459">
        <v>776</v>
      </c>
      <c r="D1459">
        <f t="shared" si="260"/>
        <v>2</v>
      </c>
      <c r="E1459">
        <v>4</v>
      </c>
      <c r="F1459" s="6" t="s">
        <v>437</v>
      </c>
      <c r="I1459" t="s">
        <v>179</v>
      </c>
      <c r="J1459">
        <v>42</v>
      </c>
      <c r="K1459" t="s">
        <v>489</v>
      </c>
      <c r="L1459" t="s">
        <v>8</v>
      </c>
      <c r="M1459" t="s">
        <v>189</v>
      </c>
      <c r="N1459" t="s">
        <v>70</v>
      </c>
      <c r="Q1459">
        <f t="shared" ref="Q1459:S1459" si="313">Q1458</f>
        <v>18977</v>
      </c>
      <c r="R1459" t="str">
        <f t="shared" si="313"/>
        <v>Velodrome</v>
      </c>
      <c r="S1459" t="str">
        <f t="shared" si="313"/>
        <v>HollowBrook</v>
      </c>
      <c r="T1459" s="20">
        <f t="shared" si="266"/>
        <v>0</v>
      </c>
      <c r="U1459">
        <f t="shared" si="267"/>
        <v>280</v>
      </c>
      <c r="V1459">
        <f t="shared" si="268"/>
        <v>280</v>
      </c>
      <c r="W1459" cm="1">
        <f t="array" ref="W1459">_xlfn._xlws.FILTER(shifts!A:A,(shifts!B:B=events!D1459)*(shifts!AH:AH&gt;=events!U1459)*(shifts!AI:AI&lt;=events!V1459))</f>
        <v>50</v>
      </c>
      <c r="X1459" t="str">
        <f t="shared" si="269"/>
        <v>opp_team_player_1</v>
      </c>
      <c r="Y1459">
        <f>COUNTIFS(A$3:A1459,"="&amp;A1459,K$3:K1459,"="&amp;K1459)</f>
        <v>1</v>
      </c>
      <c r="Z1459" s="20">
        <f>SUMIFS(T$3:T1459,L$3:L1459,"=Intermission")+SUMIFS(T$3:T1459,L$3:L1459,"=Timeout")+SUMIFS(T$3:T1459,L$3:L1459,"=Clockstop")</f>
        <v>68</v>
      </c>
      <c r="AA1459">
        <f t="shared" si="258"/>
        <v>1148</v>
      </c>
      <c r="AC1459">
        <f t="shared" si="259"/>
        <v>1216</v>
      </c>
    </row>
    <row r="1460" spans="1:29" x14ac:dyDescent="0.2">
      <c r="A1460">
        <v>777</v>
      </c>
      <c r="D1460">
        <f t="shared" si="260"/>
        <v>2</v>
      </c>
      <c r="E1460">
        <v>4</v>
      </c>
      <c r="F1460" s="6" t="s">
        <v>481</v>
      </c>
      <c r="I1460" t="s">
        <v>179</v>
      </c>
      <c r="J1460">
        <v>13</v>
      </c>
      <c r="K1460" t="s">
        <v>488</v>
      </c>
      <c r="L1460" t="s">
        <v>7</v>
      </c>
      <c r="M1460" t="s">
        <v>222</v>
      </c>
      <c r="N1460" t="s">
        <v>53</v>
      </c>
      <c r="Q1460">
        <f t="shared" ref="Q1460:S1460" si="314">Q1459</f>
        <v>18977</v>
      </c>
      <c r="R1460" t="str">
        <f t="shared" si="314"/>
        <v>Velodrome</v>
      </c>
      <c r="S1460" t="str">
        <f t="shared" si="314"/>
        <v>HollowBrook</v>
      </c>
      <c r="T1460" s="20">
        <f t="shared" si="266"/>
        <v>0</v>
      </c>
      <c r="U1460">
        <f t="shared" si="267"/>
        <v>279</v>
      </c>
      <c r="V1460">
        <f t="shared" si="268"/>
        <v>279</v>
      </c>
      <c r="W1460" cm="1">
        <f t="array" ref="W1460">_xlfn._xlws.FILTER(shifts!A:A,(shifts!B:B=events!D1460)*(shifts!AH:AH&gt;=events!U1460)*(shifts!AI:AI&lt;=events!V1460))</f>
        <v>50</v>
      </c>
      <c r="X1460" t="str">
        <f t="shared" si="269"/>
        <v>event_team_player_1</v>
      </c>
      <c r="Y1460">
        <f>COUNTIFS(A$3:A1460,"="&amp;A1460,K$3:K1460,"="&amp;K1460)</f>
        <v>1</v>
      </c>
      <c r="Z1460" s="20">
        <f>SUMIFS(T$3:T1460,L$3:L1460,"=Intermission")+SUMIFS(T$3:T1460,L$3:L1460,"=Timeout")+SUMIFS(T$3:T1460,L$3:L1460,"=Clockstop")</f>
        <v>68</v>
      </c>
      <c r="AA1460">
        <f t="shared" si="258"/>
        <v>1148</v>
      </c>
      <c r="AC1460">
        <f t="shared" si="259"/>
        <v>1216</v>
      </c>
    </row>
    <row r="1461" spans="1:29" x14ac:dyDescent="0.2">
      <c r="A1461">
        <v>777</v>
      </c>
      <c r="D1461">
        <f t="shared" si="260"/>
        <v>2</v>
      </c>
      <c r="E1461">
        <v>4</v>
      </c>
      <c r="F1461" s="6" t="s">
        <v>481</v>
      </c>
      <c r="I1461" t="s">
        <v>179</v>
      </c>
      <c r="J1461">
        <v>39</v>
      </c>
      <c r="K1461" t="s">
        <v>489</v>
      </c>
      <c r="L1461" t="s">
        <v>7</v>
      </c>
      <c r="M1461" t="s">
        <v>222</v>
      </c>
      <c r="N1461" t="s">
        <v>53</v>
      </c>
      <c r="Q1461">
        <f t="shared" ref="Q1461:S1461" si="315">Q1460</f>
        <v>18977</v>
      </c>
      <c r="R1461" t="str">
        <f t="shared" si="315"/>
        <v>Velodrome</v>
      </c>
      <c r="S1461" t="str">
        <f t="shared" si="315"/>
        <v>HollowBrook</v>
      </c>
      <c r="T1461" s="20">
        <f t="shared" si="266"/>
        <v>0</v>
      </c>
      <c r="U1461">
        <f t="shared" si="267"/>
        <v>279</v>
      </c>
      <c r="V1461">
        <f t="shared" si="268"/>
        <v>279</v>
      </c>
      <c r="W1461" cm="1">
        <f t="array" ref="W1461">_xlfn._xlws.FILTER(shifts!A:A,(shifts!B:B=events!D1461)*(shifts!AH:AH&gt;=events!U1461)*(shifts!AI:AI&lt;=events!V1461))</f>
        <v>50</v>
      </c>
      <c r="X1461" t="str">
        <f t="shared" si="269"/>
        <v>opp_team_player_1</v>
      </c>
      <c r="Y1461">
        <f>COUNTIFS(A$3:A1461,"="&amp;A1461,K$3:K1461,"="&amp;K1461)</f>
        <v>1</v>
      </c>
      <c r="Z1461" s="20">
        <f>SUMIFS(T$3:T1461,L$3:L1461,"=Intermission")+SUMIFS(T$3:T1461,L$3:L1461,"=Timeout")+SUMIFS(T$3:T1461,L$3:L1461,"=Clockstop")</f>
        <v>68</v>
      </c>
      <c r="AA1461">
        <f t="shared" si="258"/>
        <v>1148</v>
      </c>
      <c r="AC1461">
        <f t="shared" si="259"/>
        <v>1216</v>
      </c>
    </row>
    <row r="1462" spans="1:29" x14ac:dyDescent="0.2">
      <c r="A1462">
        <v>778</v>
      </c>
      <c r="D1462">
        <f t="shared" si="260"/>
        <v>2</v>
      </c>
      <c r="E1462">
        <v>4</v>
      </c>
      <c r="F1462" s="6" t="s">
        <v>481</v>
      </c>
      <c r="I1462" t="s">
        <v>178</v>
      </c>
      <c r="J1462">
        <v>39</v>
      </c>
      <c r="K1462" t="s">
        <v>488</v>
      </c>
      <c r="L1462" t="s">
        <v>17</v>
      </c>
      <c r="M1462" t="s">
        <v>196</v>
      </c>
      <c r="N1462" t="s">
        <v>103</v>
      </c>
      <c r="Q1462">
        <f t="shared" ref="Q1462:S1462" si="316">Q1461</f>
        <v>18977</v>
      </c>
      <c r="R1462" t="str">
        <f t="shared" si="316"/>
        <v>Velodrome</v>
      </c>
      <c r="S1462" t="str">
        <f t="shared" si="316"/>
        <v>HollowBrook</v>
      </c>
      <c r="T1462" s="20">
        <f t="shared" si="266"/>
        <v>0</v>
      </c>
      <c r="U1462">
        <f t="shared" si="267"/>
        <v>279</v>
      </c>
      <c r="V1462">
        <f t="shared" si="268"/>
        <v>279</v>
      </c>
      <c r="W1462" cm="1">
        <f t="array" ref="W1462">_xlfn._xlws.FILTER(shifts!A:A,(shifts!B:B=events!D1462)*(shifts!AH:AH&gt;=events!U1462)*(shifts!AI:AI&lt;=events!V1462))</f>
        <v>50</v>
      </c>
      <c r="X1462" t="str">
        <f t="shared" si="269"/>
        <v>event_team_player_1</v>
      </c>
      <c r="Y1462">
        <f>COUNTIFS(A$3:A1462,"="&amp;A1462,K$3:K1462,"="&amp;K1462)</f>
        <v>1</v>
      </c>
      <c r="Z1462" s="20">
        <f>SUMIFS(T$3:T1462,L$3:L1462,"=Intermission")+SUMIFS(T$3:T1462,L$3:L1462,"=Timeout")+SUMIFS(T$3:T1462,L$3:L1462,"=Clockstop")</f>
        <v>68</v>
      </c>
      <c r="AA1462">
        <f t="shared" si="258"/>
        <v>1148</v>
      </c>
      <c r="AC1462">
        <f t="shared" si="259"/>
        <v>1216</v>
      </c>
    </row>
    <row r="1463" spans="1:29" x14ac:dyDescent="0.2">
      <c r="A1463">
        <v>778</v>
      </c>
      <c r="D1463">
        <f t="shared" si="260"/>
        <v>2</v>
      </c>
      <c r="E1463">
        <v>4</v>
      </c>
      <c r="F1463" s="6" t="s">
        <v>481</v>
      </c>
      <c r="I1463" t="s">
        <v>178</v>
      </c>
      <c r="J1463">
        <v>13</v>
      </c>
      <c r="K1463" t="s">
        <v>489</v>
      </c>
      <c r="L1463" t="s">
        <v>17</v>
      </c>
      <c r="M1463" t="s">
        <v>196</v>
      </c>
      <c r="N1463" t="s">
        <v>103</v>
      </c>
      <c r="Q1463">
        <f t="shared" ref="Q1463:S1463" si="317">Q1462</f>
        <v>18977</v>
      </c>
      <c r="R1463" t="str">
        <f t="shared" si="317"/>
        <v>Velodrome</v>
      </c>
      <c r="S1463" t="str">
        <f t="shared" si="317"/>
        <v>HollowBrook</v>
      </c>
      <c r="T1463" s="20">
        <f t="shared" si="266"/>
        <v>0</v>
      </c>
      <c r="U1463">
        <f t="shared" si="267"/>
        <v>279</v>
      </c>
      <c r="V1463">
        <f t="shared" si="268"/>
        <v>279</v>
      </c>
      <c r="W1463" cm="1">
        <f t="array" ref="W1463">_xlfn._xlws.FILTER(shifts!A:A,(shifts!B:B=events!D1463)*(shifts!AH:AH&gt;=events!U1463)*(shifts!AI:AI&lt;=events!V1463))</f>
        <v>50</v>
      </c>
      <c r="X1463" t="str">
        <f t="shared" si="269"/>
        <v>opp_team_player_1</v>
      </c>
      <c r="Y1463">
        <f>COUNTIFS(A$3:A1463,"="&amp;A1463,K$3:K1463,"="&amp;K1463)</f>
        <v>1</v>
      </c>
      <c r="Z1463" s="20">
        <f>SUMIFS(T$3:T1463,L$3:L1463,"=Intermission")+SUMIFS(T$3:T1463,L$3:L1463,"=Timeout")+SUMIFS(T$3:T1463,L$3:L1463,"=Clockstop")</f>
        <v>68</v>
      </c>
      <c r="AA1463">
        <f t="shared" si="258"/>
        <v>1148</v>
      </c>
      <c r="AC1463">
        <f t="shared" si="259"/>
        <v>1216</v>
      </c>
    </row>
    <row r="1464" spans="1:29" x14ac:dyDescent="0.2">
      <c r="A1464">
        <v>779</v>
      </c>
      <c r="D1464">
        <f t="shared" si="260"/>
        <v>2</v>
      </c>
      <c r="E1464">
        <v>4</v>
      </c>
      <c r="F1464" s="6" t="s">
        <v>438</v>
      </c>
      <c r="I1464" t="s">
        <v>178</v>
      </c>
      <c r="J1464">
        <v>39</v>
      </c>
      <c r="K1464" t="s">
        <v>488</v>
      </c>
      <c r="L1464" t="s">
        <v>270</v>
      </c>
      <c r="M1464" t="s">
        <v>273</v>
      </c>
      <c r="Q1464">
        <f t="shared" ref="Q1464:S1464" si="318">Q1463</f>
        <v>18977</v>
      </c>
      <c r="R1464" t="str">
        <f t="shared" si="318"/>
        <v>Velodrome</v>
      </c>
      <c r="S1464" t="str">
        <f t="shared" si="318"/>
        <v>HollowBrook</v>
      </c>
      <c r="T1464" s="20">
        <f t="shared" si="266"/>
        <v>0</v>
      </c>
      <c r="U1464">
        <f t="shared" si="267"/>
        <v>278</v>
      </c>
      <c r="V1464">
        <f t="shared" si="268"/>
        <v>278</v>
      </c>
      <c r="W1464" cm="1">
        <f t="array" ref="W1464">_xlfn._xlws.FILTER(shifts!A:A,(shifts!B:B=events!D1464)*(shifts!AH:AH&gt;=events!U1464)*(shifts!AI:AI&lt;=events!V1464))</f>
        <v>50</v>
      </c>
      <c r="X1464" t="str">
        <f t="shared" si="269"/>
        <v>event_team_player_1</v>
      </c>
      <c r="Y1464">
        <f>COUNTIFS(A$3:A1464,"="&amp;A1464,K$3:K1464,"="&amp;K1464)</f>
        <v>1</v>
      </c>
      <c r="Z1464" s="20">
        <f>SUMIFS(T$3:T1464,L$3:L1464,"=Intermission")+SUMIFS(T$3:T1464,L$3:L1464,"=Timeout")+SUMIFS(T$3:T1464,L$3:L1464,"=Clockstop")</f>
        <v>68</v>
      </c>
      <c r="AA1464">
        <f t="shared" si="258"/>
        <v>1148</v>
      </c>
      <c r="AC1464">
        <f t="shared" si="259"/>
        <v>1216</v>
      </c>
    </row>
    <row r="1465" spans="1:29" x14ac:dyDescent="0.2">
      <c r="A1465">
        <v>780</v>
      </c>
      <c r="D1465">
        <f t="shared" si="260"/>
        <v>2</v>
      </c>
      <c r="E1465">
        <v>4</v>
      </c>
      <c r="F1465" s="6" t="s">
        <v>453</v>
      </c>
      <c r="I1465" t="s">
        <v>179</v>
      </c>
      <c r="J1465">
        <v>13</v>
      </c>
      <c r="K1465" t="s">
        <v>488</v>
      </c>
      <c r="L1465" t="s">
        <v>7</v>
      </c>
      <c r="M1465" t="s">
        <v>222</v>
      </c>
      <c r="N1465" t="s">
        <v>55</v>
      </c>
      <c r="Q1465">
        <f t="shared" ref="Q1465:S1465" si="319">Q1464</f>
        <v>18977</v>
      </c>
      <c r="R1465" t="str">
        <f t="shared" si="319"/>
        <v>Velodrome</v>
      </c>
      <c r="S1465" t="str">
        <f t="shared" si="319"/>
        <v>HollowBrook</v>
      </c>
      <c r="T1465" s="20">
        <f t="shared" si="266"/>
        <v>0</v>
      </c>
      <c r="U1465">
        <f t="shared" si="267"/>
        <v>277</v>
      </c>
      <c r="V1465">
        <f t="shared" si="268"/>
        <v>277</v>
      </c>
      <c r="W1465" cm="1">
        <f t="array" ref="W1465">_xlfn._xlws.FILTER(shifts!A:A,(shifts!B:B=events!D1465)*(shifts!AH:AH&gt;=events!U1465)*(shifts!AI:AI&lt;=events!V1465))</f>
        <v>50</v>
      </c>
      <c r="X1465" t="str">
        <f t="shared" si="269"/>
        <v>event_team_player_1</v>
      </c>
      <c r="Y1465">
        <f>COUNTIFS(A$3:A1465,"="&amp;A1465,K$3:K1465,"="&amp;K1465)</f>
        <v>1</v>
      </c>
      <c r="Z1465" s="20">
        <f>SUMIFS(T$3:T1465,L$3:L1465,"=Intermission")+SUMIFS(T$3:T1465,L$3:L1465,"=Timeout")+SUMIFS(T$3:T1465,L$3:L1465,"=Clockstop")</f>
        <v>68</v>
      </c>
      <c r="AA1465">
        <f t="shared" si="258"/>
        <v>1148</v>
      </c>
      <c r="AC1465">
        <f t="shared" si="259"/>
        <v>1216</v>
      </c>
    </row>
    <row r="1466" spans="1:29" x14ac:dyDescent="0.2">
      <c r="A1466">
        <v>780</v>
      </c>
      <c r="D1466">
        <f t="shared" si="260"/>
        <v>2</v>
      </c>
      <c r="E1466">
        <v>4</v>
      </c>
      <c r="F1466" s="6" t="s">
        <v>453</v>
      </c>
      <c r="I1466" t="s">
        <v>179</v>
      </c>
      <c r="J1466">
        <v>39</v>
      </c>
      <c r="K1466" t="s">
        <v>489</v>
      </c>
      <c r="L1466" t="s">
        <v>7</v>
      </c>
      <c r="M1466" t="s">
        <v>222</v>
      </c>
      <c r="N1466" t="s">
        <v>55</v>
      </c>
      <c r="Q1466">
        <f t="shared" ref="Q1466:S1466" si="320">Q1465</f>
        <v>18977</v>
      </c>
      <c r="R1466" t="str">
        <f t="shared" si="320"/>
        <v>Velodrome</v>
      </c>
      <c r="S1466" t="str">
        <f t="shared" si="320"/>
        <v>HollowBrook</v>
      </c>
      <c r="T1466" s="20">
        <f t="shared" si="266"/>
        <v>0</v>
      </c>
      <c r="U1466">
        <f t="shared" si="267"/>
        <v>277</v>
      </c>
      <c r="V1466">
        <f t="shared" si="268"/>
        <v>277</v>
      </c>
      <c r="W1466" cm="1">
        <f t="array" ref="W1466">_xlfn._xlws.FILTER(shifts!A:A,(shifts!B:B=events!D1466)*(shifts!AH:AH&gt;=events!U1466)*(shifts!AI:AI&lt;=events!V1466))</f>
        <v>50</v>
      </c>
      <c r="X1466" t="str">
        <f t="shared" si="269"/>
        <v>opp_team_player_1</v>
      </c>
      <c r="Y1466">
        <f>COUNTIFS(A$3:A1466,"="&amp;A1466,K$3:K1466,"="&amp;K1466)</f>
        <v>1</v>
      </c>
      <c r="Z1466" s="20">
        <f>SUMIFS(T$3:T1466,L$3:L1466,"=Intermission")+SUMIFS(T$3:T1466,L$3:L1466,"=Timeout")+SUMIFS(T$3:T1466,L$3:L1466,"=Clockstop")</f>
        <v>68</v>
      </c>
      <c r="AA1466">
        <f t="shared" si="258"/>
        <v>1148</v>
      </c>
      <c r="AC1466">
        <f t="shared" si="259"/>
        <v>1216</v>
      </c>
    </row>
    <row r="1467" spans="1:29" x14ac:dyDescent="0.2">
      <c r="A1467">
        <v>781</v>
      </c>
      <c r="D1467">
        <f t="shared" si="260"/>
        <v>2</v>
      </c>
      <c r="E1467">
        <v>4</v>
      </c>
      <c r="F1467" s="6" t="s">
        <v>453</v>
      </c>
      <c r="I1467" t="s">
        <v>178</v>
      </c>
      <c r="J1467">
        <v>39</v>
      </c>
      <c r="K1467" t="s">
        <v>488</v>
      </c>
      <c r="L1467" t="s">
        <v>17</v>
      </c>
      <c r="M1467" t="s">
        <v>206</v>
      </c>
      <c r="N1467" t="s">
        <v>98</v>
      </c>
      <c r="Q1467">
        <f t="shared" ref="Q1467:S1467" si="321">Q1466</f>
        <v>18977</v>
      </c>
      <c r="R1467" t="str">
        <f t="shared" si="321"/>
        <v>Velodrome</v>
      </c>
      <c r="S1467" t="str">
        <f t="shared" si="321"/>
        <v>HollowBrook</v>
      </c>
      <c r="T1467" s="20">
        <f t="shared" si="266"/>
        <v>0</v>
      </c>
      <c r="U1467">
        <f t="shared" si="267"/>
        <v>277</v>
      </c>
      <c r="V1467">
        <f t="shared" si="268"/>
        <v>277</v>
      </c>
      <c r="W1467" cm="1">
        <f t="array" ref="W1467">_xlfn._xlws.FILTER(shifts!A:A,(shifts!B:B=events!D1467)*(shifts!AH:AH&gt;=events!U1467)*(shifts!AI:AI&lt;=events!V1467))</f>
        <v>50</v>
      </c>
      <c r="X1467" t="str">
        <f t="shared" si="269"/>
        <v>event_team_player_1</v>
      </c>
      <c r="Y1467">
        <f>COUNTIFS(A$3:A1467,"="&amp;A1467,K$3:K1467,"="&amp;K1467)</f>
        <v>1</v>
      </c>
      <c r="Z1467" s="20">
        <f>SUMIFS(T$3:T1467,L$3:L1467,"=Intermission")+SUMIFS(T$3:T1467,L$3:L1467,"=Timeout")+SUMIFS(T$3:T1467,L$3:L1467,"=Clockstop")</f>
        <v>68</v>
      </c>
      <c r="AA1467">
        <f t="shared" si="258"/>
        <v>1148</v>
      </c>
      <c r="AC1467">
        <f t="shared" si="259"/>
        <v>1216</v>
      </c>
    </row>
    <row r="1468" spans="1:29" x14ac:dyDescent="0.2">
      <c r="A1468">
        <v>781</v>
      </c>
      <c r="D1468">
        <f t="shared" si="260"/>
        <v>2</v>
      </c>
      <c r="E1468">
        <v>4</v>
      </c>
      <c r="F1468" s="6" t="s">
        <v>453</v>
      </c>
      <c r="I1468" t="s">
        <v>178</v>
      </c>
      <c r="J1468">
        <v>13</v>
      </c>
      <c r="K1468" t="s">
        <v>489</v>
      </c>
      <c r="L1468" t="s">
        <v>17</v>
      </c>
      <c r="M1468" t="s">
        <v>206</v>
      </c>
      <c r="N1468" t="s">
        <v>98</v>
      </c>
      <c r="Q1468">
        <f t="shared" ref="Q1468:S1468" si="322">Q1467</f>
        <v>18977</v>
      </c>
      <c r="R1468" t="str">
        <f t="shared" si="322"/>
        <v>Velodrome</v>
      </c>
      <c r="S1468" t="str">
        <f t="shared" si="322"/>
        <v>HollowBrook</v>
      </c>
      <c r="T1468" s="20">
        <f t="shared" si="266"/>
        <v>0</v>
      </c>
      <c r="U1468">
        <f t="shared" si="267"/>
        <v>277</v>
      </c>
      <c r="V1468">
        <f t="shared" si="268"/>
        <v>277</v>
      </c>
      <c r="W1468" cm="1">
        <f t="array" ref="W1468">_xlfn._xlws.FILTER(shifts!A:A,(shifts!B:B=events!D1468)*(shifts!AH:AH&gt;=events!U1468)*(shifts!AI:AI&lt;=events!V1468))</f>
        <v>50</v>
      </c>
      <c r="X1468" t="str">
        <f t="shared" si="269"/>
        <v>opp_team_player_1</v>
      </c>
      <c r="Y1468">
        <f>COUNTIFS(A$3:A1468,"="&amp;A1468,K$3:K1468,"="&amp;K1468)</f>
        <v>1</v>
      </c>
      <c r="Z1468" s="20">
        <f>SUMIFS(T$3:T1468,L$3:L1468,"=Intermission")+SUMIFS(T$3:T1468,L$3:L1468,"=Timeout")+SUMIFS(T$3:T1468,L$3:L1468,"=Clockstop")</f>
        <v>68</v>
      </c>
      <c r="AA1468">
        <f t="shared" si="258"/>
        <v>1148</v>
      </c>
      <c r="AC1468">
        <f t="shared" si="259"/>
        <v>1216</v>
      </c>
    </row>
    <row r="1469" spans="1:29" x14ac:dyDescent="0.2">
      <c r="A1469">
        <v>782</v>
      </c>
      <c r="D1469">
        <f t="shared" si="260"/>
        <v>2</v>
      </c>
      <c r="E1469">
        <v>4</v>
      </c>
      <c r="F1469" s="6" t="s">
        <v>453</v>
      </c>
      <c r="I1469" t="s">
        <v>178</v>
      </c>
      <c r="J1469">
        <v>39</v>
      </c>
      <c r="K1469" t="s">
        <v>488</v>
      </c>
      <c r="L1469" t="s">
        <v>13</v>
      </c>
      <c r="M1469" t="s">
        <v>204</v>
      </c>
      <c r="N1469" t="s">
        <v>110</v>
      </c>
      <c r="Q1469">
        <f t="shared" ref="Q1469:S1469" si="323">Q1468</f>
        <v>18977</v>
      </c>
      <c r="R1469" t="str">
        <f t="shared" si="323"/>
        <v>Velodrome</v>
      </c>
      <c r="S1469" t="str">
        <f t="shared" si="323"/>
        <v>HollowBrook</v>
      </c>
      <c r="T1469" s="20">
        <f t="shared" si="266"/>
        <v>0</v>
      </c>
      <c r="U1469">
        <f t="shared" si="267"/>
        <v>277</v>
      </c>
      <c r="V1469">
        <f t="shared" si="268"/>
        <v>277</v>
      </c>
      <c r="W1469" cm="1">
        <f t="array" ref="W1469">_xlfn._xlws.FILTER(shifts!A:A,(shifts!B:B=events!D1469)*(shifts!AH:AH&gt;=events!U1469)*(shifts!AI:AI&lt;=events!V1469))</f>
        <v>50</v>
      </c>
      <c r="X1469" t="str">
        <f t="shared" si="269"/>
        <v>event_team_player_1</v>
      </c>
      <c r="Y1469">
        <f>COUNTIFS(A$3:A1469,"="&amp;A1469,K$3:K1469,"="&amp;K1469)</f>
        <v>1</v>
      </c>
      <c r="Z1469" s="20">
        <f>SUMIFS(T$3:T1469,L$3:L1469,"=Intermission")+SUMIFS(T$3:T1469,L$3:L1469,"=Timeout")+SUMIFS(T$3:T1469,L$3:L1469,"=Clockstop")</f>
        <v>68</v>
      </c>
      <c r="AA1469">
        <f t="shared" si="258"/>
        <v>1148</v>
      </c>
      <c r="AC1469">
        <f t="shared" si="259"/>
        <v>1216</v>
      </c>
    </row>
    <row r="1470" spans="1:29" x14ac:dyDescent="0.2">
      <c r="A1470">
        <v>783</v>
      </c>
      <c r="D1470">
        <f t="shared" si="260"/>
        <v>2</v>
      </c>
      <c r="E1470">
        <v>4</v>
      </c>
      <c r="F1470" s="6" t="s">
        <v>453</v>
      </c>
      <c r="G1470">
        <v>4</v>
      </c>
      <c r="H1470" s="8" t="s">
        <v>423</v>
      </c>
      <c r="I1470" t="s">
        <v>178</v>
      </c>
      <c r="J1470">
        <v>39</v>
      </c>
      <c r="K1470" t="s">
        <v>488</v>
      </c>
      <c r="L1470" t="s">
        <v>282</v>
      </c>
      <c r="Q1470">
        <f t="shared" ref="Q1470:S1470" si="324">Q1469</f>
        <v>18977</v>
      </c>
      <c r="R1470" t="str">
        <f t="shared" si="324"/>
        <v>Velodrome</v>
      </c>
      <c r="S1470" t="str">
        <f t="shared" si="324"/>
        <v>HollowBrook</v>
      </c>
      <c r="T1470" s="20">
        <f t="shared" si="266"/>
        <v>23</v>
      </c>
      <c r="U1470">
        <f t="shared" si="267"/>
        <v>277</v>
      </c>
      <c r="V1470">
        <f t="shared" si="268"/>
        <v>254</v>
      </c>
      <c r="W1470">
        <v>51</v>
      </c>
      <c r="X1470" t="str">
        <f t="shared" si="269"/>
        <v>event_team_player_1</v>
      </c>
      <c r="Y1470">
        <f>COUNTIFS(A$3:A1470,"="&amp;A1470,K$3:K1470,"="&amp;K1470)</f>
        <v>1</v>
      </c>
      <c r="Z1470" s="20">
        <f>SUMIFS(T$3:T1470,L$3:L1470,"=Intermission")+SUMIFS(T$3:T1470,L$3:L1470,"=Timeout")+SUMIFS(T$3:T1470,L$3:L1470,"=Clockstop")</f>
        <v>68</v>
      </c>
      <c r="AA1470">
        <f t="shared" si="258"/>
        <v>1148</v>
      </c>
      <c r="AC1470">
        <f t="shared" si="259"/>
        <v>1216</v>
      </c>
    </row>
    <row r="1471" spans="1:29" x14ac:dyDescent="0.2">
      <c r="A1471">
        <v>784</v>
      </c>
      <c r="D1471">
        <f t="shared" si="260"/>
        <v>2</v>
      </c>
      <c r="E1471">
        <v>4</v>
      </c>
      <c r="F1471" s="6" t="s">
        <v>423</v>
      </c>
      <c r="I1471" t="s">
        <v>178</v>
      </c>
      <c r="J1471">
        <v>42</v>
      </c>
      <c r="K1471" t="s">
        <v>488</v>
      </c>
      <c r="L1471" t="s">
        <v>6</v>
      </c>
      <c r="M1471" t="s">
        <v>275</v>
      </c>
      <c r="Q1471">
        <f t="shared" ref="Q1471:S1471" si="325">Q1470</f>
        <v>18977</v>
      </c>
      <c r="R1471" t="str">
        <f t="shared" si="325"/>
        <v>Velodrome</v>
      </c>
      <c r="S1471" t="str">
        <f t="shared" si="325"/>
        <v>HollowBrook</v>
      </c>
      <c r="T1471" s="20">
        <f t="shared" si="266"/>
        <v>0</v>
      </c>
      <c r="U1471">
        <f t="shared" si="267"/>
        <v>254</v>
      </c>
      <c r="V1471">
        <f t="shared" si="268"/>
        <v>254</v>
      </c>
      <c r="W1471" cm="1">
        <f t="array" ref="W1471">_xlfn._xlws.FILTER(shifts!A:A,(shifts!B:B=events!D1471)*(shifts!AH:AH&gt;=events!U1471)*(shifts!AI:AI&lt;=events!V1471))</f>
        <v>51</v>
      </c>
      <c r="X1471" t="str">
        <f t="shared" si="269"/>
        <v>event_team_player_1</v>
      </c>
      <c r="Y1471">
        <f>COUNTIFS(A$3:A1471,"="&amp;A1471,K$3:K1471,"="&amp;K1471)</f>
        <v>1</v>
      </c>
      <c r="Z1471" s="20">
        <f>SUMIFS(T$3:T1471,L$3:L1471,"=Intermission")+SUMIFS(T$3:T1471,L$3:L1471,"=Timeout")+SUMIFS(T$3:T1471,L$3:L1471,"=Clockstop")</f>
        <v>68</v>
      </c>
      <c r="AA1471">
        <f t="shared" si="258"/>
        <v>1148</v>
      </c>
      <c r="AC1471">
        <f t="shared" si="259"/>
        <v>1216</v>
      </c>
    </row>
    <row r="1472" spans="1:29" x14ac:dyDescent="0.2">
      <c r="A1472">
        <v>784</v>
      </c>
      <c r="D1472">
        <f t="shared" si="260"/>
        <v>2</v>
      </c>
      <c r="E1472">
        <v>4</v>
      </c>
      <c r="F1472" s="6" t="s">
        <v>423</v>
      </c>
      <c r="I1472" t="s">
        <v>178</v>
      </c>
      <c r="J1472">
        <v>26</v>
      </c>
      <c r="K1472" t="s">
        <v>489</v>
      </c>
      <c r="L1472" t="s">
        <v>6</v>
      </c>
      <c r="M1472" t="s">
        <v>275</v>
      </c>
      <c r="Q1472">
        <f t="shared" ref="Q1472:S1472" si="326">Q1471</f>
        <v>18977</v>
      </c>
      <c r="R1472" t="str">
        <f t="shared" si="326"/>
        <v>Velodrome</v>
      </c>
      <c r="S1472" t="str">
        <f t="shared" si="326"/>
        <v>HollowBrook</v>
      </c>
      <c r="T1472" s="20">
        <f t="shared" si="266"/>
        <v>0</v>
      </c>
      <c r="U1472">
        <f t="shared" si="267"/>
        <v>254</v>
      </c>
      <c r="V1472">
        <f t="shared" si="268"/>
        <v>254</v>
      </c>
      <c r="W1472" cm="1">
        <f t="array" ref="W1472">_xlfn._xlws.FILTER(shifts!A:A,(shifts!B:B=events!D1472)*(shifts!AH:AH&gt;=events!U1472)*(shifts!AI:AI&lt;=events!V1472))</f>
        <v>51</v>
      </c>
      <c r="X1472" t="str">
        <f t="shared" si="269"/>
        <v>opp_team_player_1</v>
      </c>
      <c r="Y1472">
        <f>COUNTIFS(A$3:A1472,"="&amp;A1472,K$3:K1472,"="&amp;K1472)</f>
        <v>1</v>
      </c>
      <c r="Z1472" s="20">
        <f>SUMIFS(T$3:T1472,L$3:L1472,"=Intermission")+SUMIFS(T$3:T1472,L$3:L1472,"=Timeout")+SUMIFS(T$3:T1472,L$3:L1472,"=Clockstop")</f>
        <v>68</v>
      </c>
      <c r="AA1472">
        <f t="shared" si="258"/>
        <v>1148</v>
      </c>
      <c r="AC1472">
        <f t="shared" si="259"/>
        <v>1216</v>
      </c>
    </row>
    <row r="1473" spans="1:29" x14ac:dyDescent="0.2">
      <c r="A1473">
        <v>785</v>
      </c>
      <c r="D1473">
        <f t="shared" si="260"/>
        <v>2</v>
      </c>
      <c r="E1473">
        <v>4</v>
      </c>
      <c r="F1473" s="6" t="s">
        <v>449</v>
      </c>
      <c r="I1473" t="s">
        <v>178</v>
      </c>
      <c r="J1473">
        <v>49</v>
      </c>
      <c r="K1473" t="s">
        <v>488</v>
      </c>
      <c r="L1473" t="s">
        <v>277</v>
      </c>
      <c r="M1473" t="s">
        <v>201</v>
      </c>
      <c r="N1473" t="s">
        <v>183</v>
      </c>
      <c r="Q1473">
        <f t="shared" ref="Q1473:S1473" si="327">Q1472</f>
        <v>18977</v>
      </c>
      <c r="R1473" t="str">
        <f t="shared" si="327"/>
        <v>Velodrome</v>
      </c>
      <c r="S1473" t="str">
        <f t="shared" si="327"/>
        <v>HollowBrook</v>
      </c>
      <c r="T1473" s="20">
        <f t="shared" si="266"/>
        <v>0</v>
      </c>
      <c r="U1473">
        <f t="shared" si="267"/>
        <v>252</v>
      </c>
      <c r="V1473">
        <f t="shared" si="268"/>
        <v>252</v>
      </c>
      <c r="W1473" cm="1">
        <f t="array" ref="W1473">_xlfn._xlws.FILTER(shifts!A:A,(shifts!B:B=events!D1473)*(shifts!AH:AH&gt;=events!U1473)*(shifts!AI:AI&lt;=events!V1473))</f>
        <v>51</v>
      </c>
      <c r="X1473" t="str">
        <f t="shared" si="269"/>
        <v>event_team_player_1</v>
      </c>
      <c r="Y1473">
        <f>COUNTIFS(A$3:A1473,"="&amp;A1473,K$3:K1473,"="&amp;K1473)</f>
        <v>1</v>
      </c>
      <c r="Z1473" s="20">
        <f>SUMIFS(T$3:T1473,L$3:L1473,"=Intermission")+SUMIFS(T$3:T1473,L$3:L1473,"=Timeout")+SUMIFS(T$3:T1473,L$3:L1473,"=Clockstop")</f>
        <v>68</v>
      </c>
      <c r="AA1473">
        <f t="shared" si="258"/>
        <v>1148</v>
      </c>
      <c r="AC1473">
        <f t="shared" si="259"/>
        <v>1216</v>
      </c>
    </row>
    <row r="1474" spans="1:29" x14ac:dyDescent="0.2">
      <c r="A1474">
        <v>786</v>
      </c>
      <c r="D1474">
        <f t="shared" si="260"/>
        <v>2</v>
      </c>
      <c r="E1474">
        <v>4</v>
      </c>
      <c r="F1474" s="6" t="s">
        <v>449</v>
      </c>
      <c r="I1474" t="s">
        <v>178</v>
      </c>
      <c r="J1474">
        <v>49</v>
      </c>
      <c r="K1474" t="s">
        <v>488</v>
      </c>
      <c r="L1474" t="s">
        <v>10</v>
      </c>
      <c r="M1474" t="s">
        <v>190</v>
      </c>
      <c r="N1474" t="s">
        <v>460</v>
      </c>
      <c r="Q1474">
        <f t="shared" ref="Q1474:S1474" si="328">Q1473</f>
        <v>18977</v>
      </c>
      <c r="R1474" t="str">
        <f t="shared" si="328"/>
        <v>Velodrome</v>
      </c>
      <c r="S1474" t="str">
        <f t="shared" si="328"/>
        <v>HollowBrook</v>
      </c>
      <c r="T1474" s="20">
        <f t="shared" si="266"/>
        <v>0</v>
      </c>
      <c r="U1474">
        <f t="shared" si="267"/>
        <v>252</v>
      </c>
      <c r="V1474">
        <f t="shared" si="268"/>
        <v>252</v>
      </c>
      <c r="W1474" cm="1">
        <f t="array" ref="W1474">_xlfn._xlws.FILTER(shifts!A:A,(shifts!B:B=events!D1474)*(shifts!AH:AH&gt;=events!U1474)*(shifts!AI:AI&lt;=events!V1474))</f>
        <v>51</v>
      </c>
      <c r="X1474" t="str">
        <f t="shared" si="269"/>
        <v>event_team_player_1</v>
      </c>
      <c r="Y1474">
        <f>COUNTIFS(A$3:A1474,"="&amp;A1474,K$3:K1474,"="&amp;K1474)</f>
        <v>1</v>
      </c>
      <c r="Z1474" s="20">
        <f>SUMIFS(T$3:T1474,L$3:L1474,"=Intermission")+SUMIFS(T$3:T1474,L$3:L1474,"=Timeout")+SUMIFS(T$3:T1474,L$3:L1474,"=Clockstop")</f>
        <v>68</v>
      </c>
      <c r="AA1474">
        <f t="shared" si="258"/>
        <v>1148</v>
      </c>
      <c r="AC1474">
        <f t="shared" si="259"/>
        <v>1216</v>
      </c>
    </row>
    <row r="1475" spans="1:29" x14ac:dyDescent="0.2">
      <c r="A1475">
        <v>787</v>
      </c>
      <c r="D1475">
        <f t="shared" si="260"/>
        <v>2</v>
      </c>
      <c r="E1475">
        <v>4</v>
      </c>
      <c r="F1475" s="6" t="s">
        <v>425</v>
      </c>
      <c r="I1475" t="s">
        <v>179</v>
      </c>
      <c r="J1475">
        <v>27</v>
      </c>
      <c r="K1475" t="s">
        <v>488</v>
      </c>
      <c r="L1475" t="s">
        <v>277</v>
      </c>
      <c r="M1475" t="s">
        <v>191</v>
      </c>
      <c r="N1475" t="s">
        <v>89</v>
      </c>
      <c r="Q1475">
        <f t="shared" ref="Q1475:S1475" si="329">Q1474</f>
        <v>18977</v>
      </c>
      <c r="R1475" t="str">
        <f t="shared" si="329"/>
        <v>Velodrome</v>
      </c>
      <c r="S1475" t="str">
        <f t="shared" si="329"/>
        <v>HollowBrook</v>
      </c>
      <c r="T1475" s="20">
        <f t="shared" si="266"/>
        <v>0</v>
      </c>
      <c r="U1475">
        <f t="shared" si="267"/>
        <v>250</v>
      </c>
      <c r="V1475">
        <f t="shared" si="268"/>
        <v>250</v>
      </c>
      <c r="W1475" cm="1">
        <f t="array" ref="W1475">_xlfn._xlws.FILTER(shifts!A:A,(shifts!B:B=events!D1475)*(shifts!AH:AH&gt;=events!U1475)*(shifts!AI:AI&lt;=events!V1475))</f>
        <v>51</v>
      </c>
      <c r="X1475" t="str">
        <f t="shared" si="269"/>
        <v>event_team_player_1</v>
      </c>
      <c r="Y1475">
        <f>COUNTIFS(A$3:A1475,"="&amp;A1475,K$3:K1475,"="&amp;K1475)</f>
        <v>1</v>
      </c>
      <c r="Z1475" s="20">
        <f>SUMIFS(T$3:T1475,L$3:L1475,"=Intermission")+SUMIFS(T$3:T1475,L$3:L1475,"=Timeout")+SUMIFS(T$3:T1475,L$3:L1475,"=Clockstop")</f>
        <v>68</v>
      </c>
      <c r="AA1475">
        <f t="shared" si="258"/>
        <v>1148</v>
      </c>
      <c r="AC1475">
        <f t="shared" si="259"/>
        <v>1216</v>
      </c>
    </row>
    <row r="1476" spans="1:29" x14ac:dyDescent="0.2">
      <c r="A1476">
        <v>788</v>
      </c>
      <c r="D1476">
        <f t="shared" si="260"/>
        <v>2</v>
      </c>
      <c r="E1476">
        <v>4</v>
      </c>
      <c r="F1476" s="6" t="s">
        <v>425</v>
      </c>
      <c r="I1476" t="s">
        <v>179</v>
      </c>
      <c r="J1476">
        <v>27</v>
      </c>
      <c r="K1476" t="s">
        <v>488</v>
      </c>
      <c r="L1476" t="s">
        <v>10</v>
      </c>
      <c r="M1476" t="s">
        <v>190</v>
      </c>
      <c r="N1476" t="s">
        <v>460</v>
      </c>
      <c r="Q1476">
        <f t="shared" ref="Q1476:S1476" si="330">Q1475</f>
        <v>18977</v>
      </c>
      <c r="R1476" t="str">
        <f t="shared" si="330"/>
        <v>Velodrome</v>
      </c>
      <c r="S1476" t="str">
        <f t="shared" si="330"/>
        <v>HollowBrook</v>
      </c>
      <c r="T1476" s="20">
        <f t="shared" si="266"/>
        <v>0</v>
      </c>
      <c r="U1476">
        <f t="shared" si="267"/>
        <v>250</v>
      </c>
      <c r="V1476">
        <f t="shared" si="268"/>
        <v>250</v>
      </c>
      <c r="W1476" cm="1">
        <f t="array" ref="W1476">_xlfn._xlws.FILTER(shifts!A:A,(shifts!B:B=events!D1476)*(shifts!AH:AH&gt;=events!U1476)*(shifts!AI:AI&lt;=events!V1476))</f>
        <v>51</v>
      </c>
      <c r="X1476" t="str">
        <f t="shared" si="269"/>
        <v>event_team_player_1</v>
      </c>
      <c r="Y1476">
        <f>COUNTIFS(A$3:A1476,"="&amp;A1476,K$3:K1476,"="&amp;K1476)</f>
        <v>1</v>
      </c>
      <c r="Z1476" s="20">
        <f>SUMIFS(T$3:T1476,L$3:L1476,"=Intermission")+SUMIFS(T$3:T1476,L$3:L1476,"=Timeout")+SUMIFS(T$3:T1476,L$3:L1476,"=Clockstop")</f>
        <v>68</v>
      </c>
      <c r="AA1476">
        <f t="shared" ref="AA1476:AA1539" si="331">IF(D1476=1,0,IF(D1476=2,1080+Z1476,IF(D1476=3,(1080*2)+Z1476,0)))</f>
        <v>1148</v>
      </c>
      <c r="AC1476">
        <f t="shared" ref="AC1476:AC1539" si="332">IF(L1475="GameStart",0,AA1476+Z1476)</f>
        <v>1216</v>
      </c>
    </row>
    <row r="1477" spans="1:29" x14ac:dyDescent="0.2">
      <c r="A1477">
        <v>789</v>
      </c>
      <c r="D1477">
        <f t="shared" ref="D1477:D1540" si="333">IF(L1477="Intermission",D1476+1,D1476)</f>
        <v>2</v>
      </c>
      <c r="E1477">
        <v>4</v>
      </c>
      <c r="F1477" s="6" t="s">
        <v>424</v>
      </c>
      <c r="G1477">
        <v>4</v>
      </c>
      <c r="H1477" s="8" t="s">
        <v>311</v>
      </c>
      <c r="I1477" t="s">
        <v>179</v>
      </c>
      <c r="J1477">
        <v>52</v>
      </c>
      <c r="K1477" t="s">
        <v>488</v>
      </c>
      <c r="L1477" t="s">
        <v>277</v>
      </c>
      <c r="M1477" t="s">
        <v>201</v>
      </c>
      <c r="N1477" t="s">
        <v>90</v>
      </c>
      <c r="Q1477">
        <f t="shared" ref="Q1477:S1477" si="334">Q1476</f>
        <v>18977</v>
      </c>
      <c r="R1477" t="str">
        <f t="shared" si="334"/>
        <v>Velodrome</v>
      </c>
      <c r="S1477" t="str">
        <f t="shared" si="334"/>
        <v>HollowBrook</v>
      </c>
      <c r="T1477" s="20">
        <f t="shared" si="266"/>
        <v>6</v>
      </c>
      <c r="U1477">
        <f t="shared" si="267"/>
        <v>249</v>
      </c>
      <c r="V1477">
        <f t="shared" si="268"/>
        <v>243</v>
      </c>
      <c r="W1477" cm="1">
        <f t="array" ref="W1477">_xlfn._xlws.FILTER(shifts!A:A,(shifts!B:B=events!D1477)*(shifts!AH:AH&gt;=events!U1477)*(shifts!AI:AI&lt;=events!V1477))</f>
        <v>51</v>
      </c>
      <c r="X1477" t="str">
        <f t="shared" si="269"/>
        <v>event_team_player_1</v>
      </c>
      <c r="Y1477">
        <f>COUNTIFS(A$3:A1477,"="&amp;A1477,K$3:K1477,"="&amp;K1477)</f>
        <v>1</v>
      </c>
      <c r="Z1477" s="20">
        <f>SUMIFS(T$3:T1477,L$3:L1477,"=Intermission")+SUMIFS(T$3:T1477,L$3:L1477,"=Timeout")+SUMIFS(T$3:T1477,L$3:L1477,"=Clockstop")</f>
        <v>68</v>
      </c>
      <c r="AA1477">
        <f t="shared" si="331"/>
        <v>1148</v>
      </c>
      <c r="AC1477">
        <f t="shared" si="332"/>
        <v>1216</v>
      </c>
    </row>
    <row r="1478" spans="1:29" x14ac:dyDescent="0.2">
      <c r="A1478">
        <v>790</v>
      </c>
      <c r="D1478">
        <f t="shared" si="333"/>
        <v>2</v>
      </c>
      <c r="E1478">
        <v>4</v>
      </c>
      <c r="F1478" s="6" t="s">
        <v>311</v>
      </c>
      <c r="I1478" t="s">
        <v>179</v>
      </c>
      <c r="J1478">
        <v>52</v>
      </c>
      <c r="K1478" t="s">
        <v>488</v>
      </c>
      <c r="L1478" t="s">
        <v>13</v>
      </c>
      <c r="M1478" t="s">
        <v>204</v>
      </c>
      <c r="N1478" t="s">
        <v>108</v>
      </c>
      <c r="Q1478">
        <f t="shared" ref="Q1478:S1478" si="335">Q1477</f>
        <v>18977</v>
      </c>
      <c r="R1478" t="str">
        <f t="shared" si="335"/>
        <v>Velodrome</v>
      </c>
      <c r="S1478" t="str">
        <f t="shared" si="335"/>
        <v>HollowBrook</v>
      </c>
      <c r="T1478" s="20">
        <f t="shared" si="266"/>
        <v>0</v>
      </c>
      <c r="U1478">
        <f t="shared" si="267"/>
        <v>243</v>
      </c>
      <c r="V1478">
        <f t="shared" si="268"/>
        <v>243</v>
      </c>
      <c r="W1478" cm="1">
        <f t="array" ref="W1478">_xlfn._xlws.FILTER(shifts!A:A,(shifts!B:B=events!D1478)*(shifts!AH:AH&gt;=events!U1478)*(shifts!AI:AI&lt;=events!V1478))</f>
        <v>51</v>
      </c>
      <c r="X1478" t="str">
        <f t="shared" si="269"/>
        <v>event_team_player_1</v>
      </c>
      <c r="Y1478">
        <f>COUNTIFS(A$3:A1478,"="&amp;A1478,K$3:K1478,"="&amp;K1478)</f>
        <v>1</v>
      </c>
      <c r="Z1478" s="20">
        <f>SUMIFS(T$3:T1478,L$3:L1478,"=Intermission")+SUMIFS(T$3:T1478,L$3:L1478,"=Timeout")+SUMIFS(T$3:T1478,L$3:L1478,"=Clockstop")</f>
        <v>68</v>
      </c>
      <c r="AA1478">
        <f t="shared" si="331"/>
        <v>1148</v>
      </c>
      <c r="AC1478">
        <f t="shared" si="332"/>
        <v>1216</v>
      </c>
    </row>
    <row r="1479" spans="1:29" x14ac:dyDescent="0.2">
      <c r="A1479">
        <v>791</v>
      </c>
      <c r="D1479">
        <f t="shared" si="333"/>
        <v>2</v>
      </c>
      <c r="E1479">
        <v>4</v>
      </c>
      <c r="F1479" s="6" t="s">
        <v>426</v>
      </c>
      <c r="G1479">
        <v>3</v>
      </c>
      <c r="H1479" s="8" t="s">
        <v>438</v>
      </c>
      <c r="I1479" t="s">
        <v>179</v>
      </c>
      <c r="J1479">
        <v>52</v>
      </c>
      <c r="K1479" t="s">
        <v>488</v>
      </c>
      <c r="L1479" t="s">
        <v>282</v>
      </c>
      <c r="Q1479">
        <f t="shared" ref="Q1479:S1479" si="336">Q1478</f>
        <v>18977</v>
      </c>
      <c r="R1479" t="str">
        <f t="shared" si="336"/>
        <v>Velodrome</v>
      </c>
      <c r="S1479" t="str">
        <f t="shared" si="336"/>
        <v>HollowBrook</v>
      </c>
      <c r="T1479" s="20">
        <f t="shared" ref="T1479:T1542" si="337">IF(AND(G1479="",H1479=""),0,((E1479*60)+F1479)-((G1479*60)+H1479))</f>
        <v>22</v>
      </c>
      <c r="U1479">
        <f t="shared" ref="U1479:U1542" si="338">(E1479*60)+F1479</f>
        <v>240</v>
      </c>
      <c r="V1479">
        <f t="shared" ref="V1479:V1542" si="339">IF(AND(G1479="",H1479=""),U1479,((G1479*60)+H1479))</f>
        <v>218</v>
      </c>
      <c r="W1479" cm="1">
        <f t="array" ref="W1479">_xlfn._xlws.FILTER(shifts!A:A,(shifts!B:B=events!D1479)*(shifts!AH:AH&gt;=events!U1479)*(shifts!AI:AI&lt;=events!V1479))</f>
        <v>52</v>
      </c>
      <c r="X1479" t="str">
        <f t="shared" ref="X1479:X1542" si="340">IF(K1479="e","event_team_player_"&amp;Y1479,IF(K1479="o","opp_team_player_"&amp;Y1479,""))</f>
        <v>event_team_player_1</v>
      </c>
      <c r="Y1479">
        <f>COUNTIFS(A$3:A1479,"="&amp;A1479,K$3:K1479,"="&amp;K1479)</f>
        <v>1</v>
      </c>
      <c r="Z1479" s="20">
        <f>SUMIFS(T$3:T1479,L$3:L1479,"=Intermission")+SUMIFS(T$3:T1479,L$3:L1479,"=Timeout")+SUMIFS(T$3:T1479,L$3:L1479,"=Clockstop")</f>
        <v>68</v>
      </c>
      <c r="AA1479">
        <f t="shared" si="331"/>
        <v>1148</v>
      </c>
      <c r="AC1479">
        <f t="shared" si="332"/>
        <v>1216</v>
      </c>
    </row>
    <row r="1480" spans="1:29" x14ac:dyDescent="0.2">
      <c r="A1480">
        <v>792</v>
      </c>
      <c r="D1480">
        <f t="shared" si="333"/>
        <v>2</v>
      </c>
      <c r="E1480">
        <v>3</v>
      </c>
      <c r="F1480" s="6" t="s">
        <v>438</v>
      </c>
      <c r="I1480" t="s">
        <v>178</v>
      </c>
      <c r="J1480">
        <v>70</v>
      </c>
      <c r="K1480" t="s">
        <v>488</v>
      </c>
      <c r="L1480" t="s">
        <v>6</v>
      </c>
      <c r="M1480" t="s">
        <v>275</v>
      </c>
      <c r="Q1480">
        <f t="shared" ref="Q1480:S1480" si="341">Q1479</f>
        <v>18977</v>
      </c>
      <c r="R1480" t="str">
        <f t="shared" si="341"/>
        <v>Velodrome</v>
      </c>
      <c r="S1480" t="str">
        <f t="shared" si="341"/>
        <v>HollowBrook</v>
      </c>
      <c r="T1480" s="20">
        <f t="shared" si="337"/>
        <v>0</v>
      </c>
      <c r="U1480">
        <f t="shared" si="338"/>
        <v>218</v>
      </c>
      <c r="V1480">
        <f t="shared" si="339"/>
        <v>218</v>
      </c>
      <c r="W1480" cm="1">
        <f t="array" ref="W1480">_xlfn._xlws.FILTER(shifts!A:A,(shifts!B:B=events!D1480)*(shifts!AH:AH&gt;=events!U1480)*(shifts!AI:AI&lt;=events!V1480))</f>
        <v>52</v>
      </c>
      <c r="X1480" t="str">
        <f t="shared" si="340"/>
        <v>event_team_player_1</v>
      </c>
      <c r="Y1480">
        <f>COUNTIFS(A$3:A1480,"="&amp;A1480,K$3:K1480,"="&amp;K1480)</f>
        <v>1</v>
      </c>
      <c r="Z1480" s="20">
        <f>SUMIFS(T$3:T1480,L$3:L1480,"=Intermission")+SUMIFS(T$3:T1480,L$3:L1480,"=Timeout")+SUMIFS(T$3:T1480,L$3:L1480,"=Clockstop")</f>
        <v>68</v>
      </c>
      <c r="AA1480">
        <f t="shared" si="331"/>
        <v>1148</v>
      </c>
      <c r="AC1480">
        <f t="shared" si="332"/>
        <v>1216</v>
      </c>
    </row>
    <row r="1481" spans="1:29" x14ac:dyDescent="0.2">
      <c r="A1481">
        <v>792</v>
      </c>
      <c r="D1481">
        <f t="shared" si="333"/>
        <v>2</v>
      </c>
      <c r="E1481">
        <v>3</v>
      </c>
      <c r="F1481" s="6" t="s">
        <v>438</v>
      </c>
      <c r="I1481" t="s">
        <v>178</v>
      </c>
      <c r="J1481">
        <v>26</v>
      </c>
      <c r="K1481" t="s">
        <v>489</v>
      </c>
      <c r="L1481" t="s">
        <v>6</v>
      </c>
      <c r="M1481" t="s">
        <v>275</v>
      </c>
      <c r="Q1481">
        <f t="shared" ref="Q1481:S1481" si="342">Q1480</f>
        <v>18977</v>
      </c>
      <c r="R1481" t="str">
        <f t="shared" si="342"/>
        <v>Velodrome</v>
      </c>
      <c r="S1481" t="str">
        <f t="shared" si="342"/>
        <v>HollowBrook</v>
      </c>
      <c r="T1481" s="20">
        <f t="shared" si="337"/>
        <v>0</v>
      </c>
      <c r="U1481">
        <f t="shared" si="338"/>
        <v>218</v>
      </c>
      <c r="V1481">
        <f t="shared" si="339"/>
        <v>218</v>
      </c>
      <c r="W1481" cm="1">
        <f t="array" ref="W1481">_xlfn._xlws.FILTER(shifts!A:A,(shifts!B:B=events!D1481)*(shifts!AH:AH&gt;=events!U1481)*(shifts!AI:AI&lt;=events!V1481))</f>
        <v>52</v>
      </c>
      <c r="X1481" t="str">
        <f t="shared" si="340"/>
        <v>opp_team_player_1</v>
      </c>
      <c r="Y1481">
        <f>COUNTIFS(A$3:A1481,"="&amp;A1481,K$3:K1481,"="&amp;K1481)</f>
        <v>1</v>
      </c>
      <c r="Z1481" s="20">
        <f>SUMIFS(T$3:T1481,L$3:L1481,"=Intermission")+SUMIFS(T$3:T1481,L$3:L1481,"=Timeout")+SUMIFS(T$3:T1481,L$3:L1481,"=Clockstop")</f>
        <v>68</v>
      </c>
      <c r="AA1481">
        <f t="shared" si="331"/>
        <v>1148</v>
      </c>
      <c r="AC1481">
        <f t="shared" si="332"/>
        <v>1216</v>
      </c>
    </row>
    <row r="1482" spans="1:29" x14ac:dyDescent="0.2">
      <c r="A1482">
        <v>793</v>
      </c>
      <c r="D1482">
        <f t="shared" si="333"/>
        <v>2</v>
      </c>
      <c r="E1482">
        <v>3</v>
      </c>
      <c r="F1482" s="6" t="s">
        <v>452</v>
      </c>
      <c r="I1482" t="s">
        <v>178</v>
      </c>
      <c r="J1482">
        <v>91</v>
      </c>
      <c r="K1482" t="s">
        <v>488</v>
      </c>
      <c r="L1482" t="s">
        <v>8</v>
      </c>
      <c r="M1482" t="s">
        <v>189</v>
      </c>
      <c r="N1482" t="s">
        <v>70</v>
      </c>
      <c r="Q1482">
        <f t="shared" ref="Q1482:S1482" si="343">Q1481</f>
        <v>18977</v>
      </c>
      <c r="R1482" t="str">
        <f t="shared" si="343"/>
        <v>Velodrome</v>
      </c>
      <c r="S1482" t="str">
        <f t="shared" si="343"/>
        <v>HollowBrook</v>
      </c>
      <c r="T1482" s="20">
        <f t="shared" si="337"/>
        <v>0</v>
      </c>
      <c r="U1482">
        <f t="shared" si="338"/>
        <v>216</v>
      </c>
      <c r="V1482">
        <f t="shared" si="339"/>
        <v>216</v>
      </c>
      <c r="W1482" cm="1">
        <f t="array" ref="W1482">_xlfn._xlws.FILTER(shifts!A:A,(shifts!B:B=events!D1482)*(shifts!AH:AH&gt;=events!U1482)*(shifts!AI:AI&lt;=events!V1482))</f>
        <v>52</v>
      </c>
      <c r="X1482" t="str">
        <f t="shared" si="340"/>
        <v>event_team_player_1</v>
      </c>
      <c r="Y1482">
        <f>COUNTIFS(A$3:A1482,"="&amp;A1482,K$3:K1482,"="&amp;K1482)</f>
        <v>1</v>
      </c>
      <c r="Z1482" s="20">
        <f>SUMIFS(T$3:T1482,L$3:L1482,"=Intermission")+SUMIFS(T$3:T1482,L$3:L1482,"=Timeout")+SUMIFS(T$3:T1482,L$3:L1482,"=Clockstop")</f>
        <v>68</v>
      </c>
      <c r="AA1482">
        <f t="shared" si="331"/>
        <v>1148</v>
      </c>
      <c r="AC1482">
        <f t="shared" si="332"/>
        <v>1216</v>
      </c>
    </row>
    <row r="1483" spans="1:29" x14ac:dyDescent="0.2">
      <c r="A1483">
        <v>793</v>
      </c>
      <c r="D1483">
        <f t="shared" si="333"/>
        <v>2</v>
      </c>
      <c r="E1483">
        <v>3</v>
      </c>
      <c r="F1483" s="6" t="s">
        <v>452</v>
      </c>
      <c r="I1483" t="s">
        <v>178</v>
      </c>
      <c r="J1483">
        <v>70</v>
      </c>
      <c r="K1483" t="s">
        <v>488</v>
      </c>
      <c r="L1483" t="s">
        <v>8</v>
      </c>
      <c r="M1483" t="s">
        <v>189</v>
      </c>
      <c r="N1483" t="s">
        <v>70</v>
      </c>
      <c r="Q1483">
        <f t="shared" ref="Q1483:S1483" si="344">Q1482</f>
        <v>18977</v>
      </c>
      <c r="R1483" t="str">
        <f t="shared" si="344"/>
        <v>Velodrome</v>
      </c>
      <c r="S1483" t="str">
        <f t="shared" si="344"/>
        <v>HollowBrook</v>
      </c>
      <c r="T1483" s="20">
        <f t="shared" si="337"/>
        <v>0</v>
      </c>
      <c r="U1483">
        <f t="shared" si="338"/>
        <v>216</v>
      </c>
      <c r="V1483">
        <f t="shared" si="339"/>
        <v>216</v>
      </c>
      <c r="W1483" cm="1">
        <f t="array" ref="W1483">_xlfn._xlws.FILTER(shifts!A:A,(shifts!B:B=events!D1483)*(shifts!AH:AH&gt;=events!U1483)*(shifts!AI:AI&lt;=events!V1483))</f>
        <v>52</v>
      </c>
      <c r="X1483" t="str">
        <f t="shared" si="340"/>
        <v>event_team_player_2</v>
      </c>
      <c r="Y1483">
        <f>COUNTIFS(A$3:A1483,"="&amp;A1483,K$3:K1483,"="&amp;K1483)</f>
        <v>2</v>
      </c>
      <c r="Z1483" s="20">
        <f>SUMIFS(T$3:T1483,L$3:L1483,"=Intermission")+SUMIFS(T$3:T1483,L$3:L1483,"=Timeout")+SUMIFS(T$3:T1483,L$3:L1483,"=Clockstop")</f>
        <v>68</v>
      </c>
      <c r="AA1483">
        <f t="shared" si="331"/>
        <v>1148</v>
      </c>
      <c r="AC1483">
        <f t="shared" si="332"/>
        <v>1216</v>
      </c>
    </row>
    <row r="1484" spans="1:29" x14ac:dyDescent="0.2">
      <c r="A1484">
        <v>794</v>
      </c>
      <c r="D1484">
        <f t="shared" si="333"/>
        <v>2</v>
      </c>
      <c r="E1484">
        <v>3</v>
      </c>
      <c r="F1484" s="6" t="s">
        <v>455</v>
      </c>
      <c r="G1484">
        <v>3</v>
      </c>
      <c r="H1484" s="8" t="s">
        <v>439</v>
      </c>
      <c r="I1484" t="s">
        <v>178</v>
      </c>
      <c r="J1484">
        <v>70</v>
      </c>
      <c r="K1484" t="s">
        <v>488</v>
      </c>
      <c r="L1484" t="s">
        <v>277</v>
      </c>
      <c r="M1484" t="s">
        <v>201</v>
      </c>
      <c r="N1484" t="s">
        <v>90</v>
      </c>
      <c r="Q1484">
        <f t="shared" ref="Q1484:S1484" si="345">Q1483</f>
        <v>18977</v>
      </c>
      <c r="R1484" t="str">
        <f t="shared" si="345"/>
        <v>Velodrome</v>
      </c>
      <c r="S1484" t="str">
        <f t="shared" si="345"/>
        <v>HollowBrook</v>
      </c>
      <c r="T1484" s="20">
        <f t="shared" si="337"/>
        <v>1</v>
      </c>
      <c r="U1484">
        <f t="shared" si="338"/>
        <v>215</v>
      </c>
      <c r="V1484">
        <f t="shared" si="339"/>
        <v>214</v>
      </c>
      <c r="W1484" cm="1">
        <f t="array" ref="W1484">_xlfn._xlws.FILTER(shifts!A:A,(shifts!B:B=events!D1484)*(shifts!AH:AH&gt;=events!U1484)*(shifts!AI:AI&lt;=events!V1484))</f>
        <v>52</v>
      </c>
      <c r="X1484" t="str">
        <f t="shared" si="340"/>
        <v>event_team_player_1</v>
      </c>
      <c r="Y1484">
        <f>COUNTIFS(A$3:A1484,"="&amp;A1484,K$3:K1484,"="&amp;K1484)</f>
        <v>1</v>
      </c>
      <c r="Z1484" s="20">
        <f>SUMIFS(T$3:T1484,L$3:L1484,"=Intermission")+SUMIFS(T$3:T1484,L$3:L1484,"=Timeout")+SUMIFS(T$3:T1484,L$3:L1484,"=Clockstop")</f>
        <v>68</v>
      </c>
      <c r="AA1484">
        <f t="shared" si="331"/>
        <v>1148</v>
      </c>
      <c r="AC1484">
        <f t="shared" si="332"/>
        <v>1216</v>
      </c>
    </row>
    <row r="1485" spans="1:29" x14ac:dyDescent="0.2">
      <c r="A1485">
        <v>795</v>
      </c>
      <c r="D1485">
        <f t="shared" si="333"/>
        <v>2</v>
      </c>
      <c r="E1485">
        <v>3</v>
      </c>
      <c r="F1485" s="6" t="s">
        <v>439</v>
      </c>
      <c r="G1485">
        <v>3</v>
      </c>
      <c r="H1485" s="8" t="s">
        <v>494</v>
      </c>
      <c r="I1485" t="s">
        <v>178</v>
      </c>
      <c r="J1485">
        <v>70</v>
      </c>
      <c r="K1485" t="s">
        <v>488</v>
      </c>
      <c r="L1485" t="s">
        <v>15</v>
      </c>
      <c r="Q1485">
        <f t="shared" ref="Q1485:S1485" si="346">Q1484</f>
        <v>18977</v>
      </c>
      <c r="R1485" t="str">
        <f t="shared" si="346"/>
        <v>Velodrome</v>
      </c>
      <c r="S1485" t="str">
        <f t="shared" si="346"/>
        <v>HollowBrook</v>
      </c>
      <c r="T1485" s="20">
        <f t="shared" si="337"/>
        <v>2</v>
      </c>
      <c r="U1485">
        <f t="shared" si="338"/>
        <v>214</v>
      </c>
      <c r="V1485">
        <f t="shared" si="339"/>
        <v>212</v>
      </c>
      <c r="W1485" cm="1">
        <f t="array" ref="W1485">_xlfn._xlws.FILTER(shifts!A:A,(shifts!B:B=events!D1485)*(shifts!AH:AH&gt;=events!U1485)*(shifts!AI:AI&lt;=events!V1485))</f>
        <v>52</v>
      </c>
      <c r="X1485" t="str">
        <f t="shared" si="340"/>
        <v>event_team_player_1</v>
      </c>
      <c r="Y1485">
        <f>COUNTIFS(A$3:A1485,"="&amp;A1485,K$3:K1485,"="&amp;K1485)</f>
        <v>1</v>
      </c>
      <c r="Z1485" s="20">
        <f>SUMIFS(T$3:T1485,L$3:L1485,"=Intermission")+SUMIFS(T$3:T1485,L$3:L1485,"=Timeout")+SUMIFS(T$3:T1485,L$3:L1485,"=Clockstop")</f>
        <v>68</v>
      </c>
      <c r="AA1485">
        <f t="shared" si="331"/>
        <v>1148</v>
      </c>
      <c r="AC1485">
        <f t="shared" si="332"/>
        <v>1216</v>
      </c>
    </row>
    <row r="1486" spans="1:29" x14ac:dyDescent="0.2">
      <c r="A1486">
        <v>796</v>
      </c>
      <c r="D1486">
        <f t="shared" si="333"/>
        <v>2</v>
      </c>
      <c r="E1486">
        <v>3</v>
      </c>
      <c r="F1486" s="6" t="s">
        <v>494</v>
      </c>
      <c r="G1486">
        <v>3</v>
      </c>
      <c r="H1486" s="8" t="s">
        <v>472</v>
      </c>
      <c r="I1486" t="s">
        <v>178</v>
      </c>
      <c r="J1486">
        <v>70</v>
      </c>
      <c r="K1486" t="s">
        <v>488</v>
      </c>
      <c r="L1486" t="s">
        <v>277</v>
      </c>
      <c r="M1486" t="s">
        <v>191</v>
      </c>
      <c r="N1486" t="s">
        <v>87</v>
      </c>
      <c r="Q1486">
        <f t="shared" ref="Q1486:S1486" si="347">Q1485</f>
        <v>18977</v>
      </c>
      <c r="R1486" t="str">
        <f t="shared" si="347"/>
        <v>Velodrome</v>
      </c>
      <c r="S1486" t="str">
        <f t="shared" si="347"/>
        <v>HollowBrook</v>
      </c>
      <c r="T1486" s="20">
        <f t="shared" si="337"/>
        <v>2</v>
      </c>
      <c r="U1486">
        <f t="shared" si="338"/>
        <v>212</v>
      </c>
      <c r="V1486">
        <f t="shared" si="339"/>
        <v>210</v>
      </c>
      <c r="W1486" cm="1">
        <f t="array" ref="W1486">_xlfn._xlws.FILTER(shifts!A:A,(shifts!B:B=events!D1486)*(shifts!AH:AH&gt;=events!U1486)*(shifts!AI:AI&lt;=events!V1486))</f>
        <v>52</v>
      </c>
      <c r="X1486" t="str">
        <f t="shared" si="340"/>
        <v>event_team_player_1</v>
      </c>
      <c r="Y1486">
        <f>COUNTIFS(A$3:A1486,"="&amp;A1486,K$3:K1486,"="&amp;K1486)</f>
        <v>1</v>
      </c>
      <c r="Z1486" s="20">
        <f>SUMIFS(T$3:T1486,L$3:L1486,"=Intermission")+SUMIFS(T$3:T1486,L$3:L1486,"=Timeout")+SUMIFS(T$3:T1486,L$3:L1486,"=Clockstop")</f>
        <v>68</v>
      </c>
      <c r="AA1486">
        <f t="shared" si="331"/>
        <v>1148</v>
      </c>
      <c r="AC1486">
        <f t="shared" si="332"/>
        <v>1216</v>
      </c>
    </row>
    <row r="1487" spans="1:29" x14ac:dyDescent="0.2">
      <c r="A1487">
        <v>796</v>
      </c>
      <c r="D1487">
        <f t="shared" si="333"/>
        <v>2</v>
      </c>
      <c r="E1487">
        <v>3</v>
      </c>
      <c r="F1487" s="6" t="s">
        <v>494</v>
      </c>
      <c r="G1487">
        <v>3</v>
      </c>
      <c r="H1487" s="8" t="s">
        <v>472</v>
      </c>
      <c r="I1487" t="s">
        <v>178</v>
      </c>
      <c r="J1487">
        <v>27</v>
      </c>
      <c r="K1487" t="s">
        <v>489</v>
      </c>
      <c r="L1487" t="s">
        <v>277</v>
      </c>
      <c r="M1487" t="s">
        <v>191</v>
      </c>
      <c r="N1487" t="s">
        <v>87</v>
      </c>
      <c r="Q1487">
        <f t="shared" ref="Q1487:S1487" si="348">Q1486</f>
        <v>18977</v>
      </c>
      <c r="R1487" t="str">
        <f t="shared" si="348"/>
        <v>Velodrome</v>
      </c>
      <c r="S1487" t="str">
        <f t="shared" si="348"/>
        <v>HollowBrook</v>
      </c>
      <c r="T1487" s="20">
        <f t="shared" si="337"/>
        <v>2</v>
      </c>
      <c r="U1487">
        <f t="shared" si="338"/>
        <v>212</v>
      </c>
      <c r="V1487">
        <f t="shared" si="339"/>
        <v>210</v>
      </c>
      <c r="W1487" cm="1">
        <f t="array" ref="W1487">_xlfn._xlws.FILTER(shifts!A:A,(shifts!B:B=events!D1487)*(shifts!AH:AH&gt;=events!U1487)*(shifts!AI:AI&lt;=events!V1487))</f>
        <v>52</v>
      </c>
      <c r="X1487" t="str">
        <f t="shared" si="340"/>
        <v>opp_team_player_1</v>
      </c>
      <c r="Y1487">
        <f>COUNTIFS(A$3:A1487,"="&amp;A1487,K$3:K1487,"="&amp;K1487)</f>
        <v>1</v>
      </c>
      <c r="Z1487" s="20">
        <f>SUMIFS(T$3:T1487,L$3:L1487,"=Intermission")+SUMIFS(T$3:T1487,L$3:L1487,"=Timeout")+SUMIFS(T$3:T1487,L$3:L1487,"=Clockstop")</f>
        <v>68</v>
      </c>
      <c r="AA1487">
        <f t="shared" si="331"/>
        <v>1148</v>
      </c>
      <c r="AC1487">
        <f t="shared" si="332"/>
        <v>1216</v>
      </c>
    </row>
    <row r="1488" spans="1:29" x14ac:dyDescent="0.2">
      <c r="A1488">
        <v>797</v>
      </c>
      <c r="D1488">
        <f t="shared" si="333"/>
        <v>2</v>
      </c>
      <c r="E1488">
        <v>3</v>
      </c>
      <c r="F1488" s="6" t="s">
        <v>442</v>
      </c>
      <c r="I1488" t="s">
        <v>178</v>
      </c>
      <c r="J1488">
        <v>70</v>
      </c>
      <c r="K1488" t="s">
        <v>488</v>
      </c>
      <c r="L1488" t="s">
        <v>7</v>
      </c>
      <c r="M1488" t="s">
        <v>198</v>
      </c>
      <c r="N1488" t="s">
        <v>53</v>
      </c>
      <c r="Q1488">
        <f t="shared" ref="Q1488:S1488" si="349">Q1487</f>
        <v>18977</v>
      </c>
      <c r="R1488" t="str">
        <f t="shared" si="349"/>
        <v>Velodrome</v>
      </c>
      <c r="S1488" t="str">
        <f t="shared" si="349"/>
        <v>HollowBrook</v>
      </c>
      <c r="T1488" s="20">
        <f t="shared" si="337"/>
        <v>0</v>
      </c>
      <c r="U1488">
        <f t="shared" si="338"/>
        <v>209</v>
      </c>
      <c r="V1488">
        <f t="shared" si="339"/>
        <v>209</v>
      </c>
      <c r="W1488" cm="1">
        <f t="array" ref="W1488">_xlfn._xlws.FILTER(shifts!A:A,(shifts!B:B=events!D1488)*(shifts!AH:AH&gt;=events!U1488)*(shifts!AI:AI&lt;=events!V1488))</f>
        <v>52</v>
      </c>
      <c r="X1488" t="str">
        <f t="shared" si="340"/>
        <v>event_team_player_1</v>
      </c>
      <c r="Y1488">
        <f>COUNTIFS(A$3:A1488,"="&amp;A1488,K$3:K1488,"="&amp;K1488)</f>
        <v>1</v>
      </c>
      <c r="Z1488" s="20">
        <f>SUMIFS(T$3:T1488,L$3:L1488,"=Intermission")+SUMIFS(T$3:T1488,L$3:L1488,"=Timeout")+SUMIFS(T$3:T1488,L$3:L1488,"=Clockstop")</f>
        <v>68</v>
      </c>
      <c r="AA1488">
        <f t="shared" si="331"/>
        <v>1148</v>
      </c>
      <c r="AC1488">
        <f t="shared" si="332"/>
        <v>1216</v>
      </c>
    </row>
    <row r="1489" spans="1:29" x14ac:dyDescent="0.2">
      <c r="A1489">
        <v>798</v>
      </c>
      <c r="D1489">
        <f t="shared" si="333"/>
        <v>2</v>
      </c>
      <c r="E1489">
        <v>3</v>
      </c>
      <c r="F1489" s="6" t="s">
        <v>483</v>
      </c>
      <c r="G1489">
        <v>3</v>
      </c>
      <c r="H1489" s="8" t="s">
        <v>441</v>
      </c>
      <c r="I1489" t="s">
        <v>178</v>
      </c>
      <c r="J1489">
        <v>70</v>
      </c>
      <c r="K1489" t="s">
        <v>488</v>
      </c>
      <c r="L1489" t="s">
        <v>15</v>
      </c>
      <c r="Q1489">
        <f t="shared" ref="Q1489:S1489" si="350">Q1488</f>
        <v>18977</v>
      </c>
      <c r="R1489" t="str">
        <f t="shared" si="350"/>
        <v>Velodrome</v>
      </c>
      <c r="S1489" t="str">
        <f t="shared" si="350"/>
        <v>HollowBrook</v>
      </c>
      <c r="T1489" s="20">
        <f t="shared" si="337"/>
        <v>2</v>
      </c>
      <c r="U1489">
        <f t="shared" si="338"/>
        <v>207</v>
      </c>
      <c r="V1489">
        <f t="shared" si="339"/>
        <v>205</v>
      </c>
      <c r="W1489" cm="1">
        <f t="array" ref="W1489">_xlfn._xlws.FILTER(shifts!A:A,(shifts!B:B=events!D1489)*(shifts!AH:AH&gt;=events!U1489)*(shifts!AI:AI&lt;=events!V1489))</f>
        <v>52</v>
      </c>
      <c r="X1489" t="str">
        <f t="shared" si="340"/>
        <v>event_team_player_1</v>
      </c>
      <c r="Y1489">
        <f>COUNTIFS(A$3:A1489,"="&amp;A1489,K$3:K1489,"="&amp;K1489)</f>
        <v>1</v>
      </c>
      <c r="Z1489" s="20">
        <f>SUMIFS(T$3:T1489,L$3:L1489,"=Intermission")+SUMIFS(T$3:T1489,L$3:L1489,"=Timeout")+SUMIFS(T$3:T1489,L$3:L1489,"=Clockstop")</f>
        <v>68</v>
      </c>
      <c r="AA1489">
        <f t="shared" si="331"/>
        <v>1148</v>
      </c>
      <c r="AC1489">
        <f t="shared" si="332"/>
        <v>1216</v>
      </c>
    </row>
    <row r="1490" spans="1:29" x14ac:dyDescent="0.2">
      <c r="A1490">
        <v>799</v>
      </c>
      <c r="D1490">
        <f t="shared" si="333"/>
        <v>2</v>
      </c>
      <c r="E1490">
        <v>3</v>
      </c>
      <c r="F1490" s="6" t="s">
        <v>441</v>
      </c>
      <c r="I1490" t="s">
        <v>178</v>
      </c>
      <c r="J1490">
        <v>70</v>
      </c>
      <c r="K1490" t="s">
        <v>488</v>
      </c>
      <c r="L1490" t="s">
        <v>8</v>
      </c>
      <c r="M1490" t="s">
        <v>189</v>
      </c>
      <c r="N1490" t="s">
        <v>70</v>
      </c>
      <c r="Q1490">
        <f t="shared" ref="Q1490:S1490" si="351">Q1489</f>
        <v>18977</v>
      </c>
      <c r="R1490" t="str">
        <f t="shared" si="351"/>
        <v>Velodrome</v>
      </c>
      <c r="S1490" t="str">
        <f t="shared" si="351"/>
        <v>HollowBrook</v>
      </c>
      <c r="T1490" s="20">
        <f t="shared" si="337"/>
        <v>0</v>
      </c>
      <c r="U1490">
        <f t="shared" si="338"/>
        <v>205</v>
      </c>
      <c r="V1490">
        <f t="shared" si="339"/>
        <v>205</v>
      </c>
      <c r="W1490" cm="1">
        <f t="array" ref="W1490">_xlfn._xlws.FILTER(shifts!A:A,(shifts!B:B=events!D1490)*(shifts!AH:AH&gt;=events!U1490)*(shifts!AI:AI&lt;=events!V1490))</f>
        <v>52</v>
      </c>
      <c r="X1490" t="str">
        <f t="shared" si="340"/>
        <v>event_team_player_1</v>
      </c>
      <c r="Y1490">
        <f>COUNTIFS(A$3:A1490,"="&amp;A1490,K$3:K1490,"="&amp;K1490)</f>
        <v>1</v>
      </c>
      <c r="Z1490" s="20">
        <f>SUMIFS(T$3:T1490,L$3:L1490,"=Intermission")+SUMIFS(T$3:T1490,L$3:L1490,"=Timeout")+SUMIFS(T$3:T1490,L$3:L1490,"=Clockstop")</f>
        <v>68</v>
      </c>
      <c r="AA1490">
        <f t="shared" si="331"/>
        <v>1148</v>
      </c>
      <c r="AC1490">
        <f t="shared" si="332"/>
        <v>1216</v>
      </c>
    </row>
    <row r="1491" spans="1:29" x14ac:dyDescent="0.2">
      <c r="A1491">
        <v>799</v>
      </c>
      <c r="D1491">
        <f t="shared" si="333"/>
        <v>2</v>
      </c>
      <c r="E1491">
        <v>3</v>
      </c>
      <c r="F1491" s="6" t="s">
        <v>441</v>
      </c>
      <c r="I1491" t="s">
        <v>178</v>
      </c>
      <c r="J1491">
        <v>52</v>
      </c>
      <c r="K1491" t="s">
        <v>488</v>
      </c>
      <c r="L1491" t="s">
        <v>8</v>
      </c>
      <c r="M1491" t="s">
        <v>189</v>
      </c>
      <c r="N1491" t="s">
        <v>70</v>
      </c>
      <c r="Q1491">
        <f t="shared" ref="Q1491:S1491" si="352">Q1490</f>
        <v>18977</v>
      </c>
      <c r="R1491" t="str">
        <f t="shared" si="352"/>
        <v>Velodrome</v>
      </c>
      <c r="S1491" t="str">
        <f t="shared" si="352"/>
        <v>HollowBrook</v>
      </c>
      <c r="T1491" s="20">
        <f t="shared" si="337"/>
        <v>0</v>
      </c>
      <c r="U1491">
        <f t="shared" si="338"/>
        <v>205</v>
      </c>
      <c r="V1491">
        <f t="shared" si="339"/>
        <v>205</v>
      </c>
      <c r="W1491" cm="1">
        <f t="array" ref="W1491">_xlfn._xlws.FILTER(shifts!A:A,(shifts!B:B=events!D1491)*(shifts!AH:AH&gt;=events!U1491)*(shifts!AI:AI&lt;=events!V1491))</f>
        <v>52</v>
      </c>
      <c r="X1491" t="str">
        <f t="shared" si="340"/>
        <v>event_team_player_2</v>
      </c>
      <c r="Y1491">
        <f>COUNTIFS(A$3:A1491,"="&amp;A1491,K$3:K1491,"="&amp;K1491)</f>
        <v>2</v>
      </c>
      <c r="Z1491" s="20">
        <f>SUMIFS(T$3:T1491,L$3:L1491,"=Intermission")+SUMIFS(T$3:T1491,L$3:L1491,"=Timeout")+SUMIFS(T$3:T1491,L$3:L1491,"=Clockstop")</f>
        <v>68</v>
      </c>
      <c r="AA1491">
        <f t="shared" si="331"/>
        <v>1148</v>
      </c>
      <c r="AC1491">
        <f t="shared" si="332"/>
        <v>1216</v>
      </c>
    </row>
    <row r="1492" spans="1:29" x14ac:dyDescent="0.2">
      <c r="A1492">
        <v>800</v>
      </c>
      <c r="D1492">
        <f t="shared" si="333"/>
        <v>2</v>
      </c>
      <c r="E1492">
        <v>3</v>
      </c>
      <c r="F1492" s="6" t="s">
        <v>444</v>
      </c>
      <c r="I1492" t="s">
        <v>178</v>
      </c>
      <c r="J1492">
        <v>52</v>
      </c>
      <c r="K1492" t="s">
        <v>488</v>
      </c>
      <c r="L1492" t="s">
        <v>7</v>
      </c>
      <c r="M1492" t="s">
        <v>222</v>
      </c>
      <c r="N1492" t="s">
        <v>53</v>
      </c>
      <c r="Q1492">
        <f t="shared" ref="Q1492:S1492" si="353">Q1491</f>
        <v>18977</v>
      </c>
      <c r="R1492" t="str">
        <f t="shared" si="353"/>
        <v>Velodrome</v>
      </c>
      <c r="S1492" t="str">
        <f t="shared" si="353"/>
        <v>HollowBrook</v>
      </c>
      <c r="T1492" s="20">
        <f t="shared" si="337"/>
        <v>0</v>
      </c>
      <c r="U1492">
        <f t="shared" si="338"/>
        <v>204</v>
      </c>
      <c r="V1492">
        <f t="shared" si="339"/>
        <v>204</v>
      </c>
      <c r="W1492" cm="1">
        <f t="array" ref="W1492">_xlfn._xlws.FILTER(shifts!A:A,(shifts!B:B=events!D1492)*(shifts!AH:AH&gt;=events!U1492)*(shifts!AI:AI&lt;=events!V1492))</f>
        <v>52</v>
      </c>
      <c r="X1492" t="str">
        <f t="shared" si="340"/>
        <v>event_team_player_1</v>
      </c>
      <c r="Y1492">
        <f>COUNTIFS(A$3:A1492,"="&amp;A1492,K$3:K1492,"="&amp;K1492)</f>
        <v>1</v>
      </c>
      <c r="Z1492" s="20">
        <f>SUMIFS(T$3:T1492,L$3:L1492,"=Intermission")+SUMIFS(T$3:T1492,L$3:L1492,"=Timeout")+SUMIFS(T$3:T1492,L$3:L1492,"=Clockstop")</f>
        <v>68</v>
      </c>
      <c r="AA1492">
        <f t="shared" si="331"/>
        <v>1148</v>
      </c>
      <c r="AC1492">
        <f t="shared" si="332"/>
        <v>1216</v>
      </c>
    </row>
    <row r="1493" spans="1:29" x14ac:dyDescent="0.2">
      <c r="A1493">
        <v>800</v>
      </c>
      <c r="D1493">
        <f t="shared" si="333"/>
        <v>2</v>
      </c>
      <c r="E1493">
        <v>3</v>
      </c>
      <c r="F1493" s="6" t="s">
        <v>444</v>
      </c>
      <c r="I1493" t="s">
        <v>178</v>
      </c>
      <c r="J1493">
        <v>99</v>
      </c>
      <c r="K1493" t="s">
        <v>489</v>
      </c>
      <c r="L1493" t="s">
        <v>7</v>
      </c>
      <c r="M1493" t="s">
        <v>222</v>
      </c>
      <c r="N1493" t="s">
        <v>53</v>
      </c>
      <c r="Q1493">
        <f t="shared" ref="Q1493:S1493" si="354">Q1492</f>
        <v>18977</v>
      </c>
      <c r="R1493" t="str">
        <f t="shared" si="354"/>
        <v>Velodrome</v>
      </c>
      <c r="S1493" t="str">
        <f t="shared" si="354"/>
        <v>HollowBrook</v>
      </c>
      <c r="T1493" s="20">
        <f t="shared" si="337"/>
        <v>0</v>
      </c>
      <c r="U1493">
        <f t="shared" si="338"/>
        <v>204</v>
      </c>
      <c r="V1493">
        <f t="shared" si="339"/>
        <v>204</v>
      </c>
      <c r="W1493" cm="1">
        <f t="array" ref="W1493">_xlfn._xlws.FILTER(shifts!A:A,(shifts!B:B=events!D1493)*(shifts!AH:AH&gt;=events!U1493)*(shifts!AI:AI&lt;=events!V1493))</f>
        <v>52</v>
      </c>
      <c r="X1493" t="str">
        <f t="shared" si="340"/>
        <v>opp_team_player_1</v>
      </c>
      <c r="Y1493">
        <f>COUNTIFS(A$3:A1493,"="&amp;A1493,K$3:K1493,"="&amp;K1493)</f>
        <v>1</v>
      </c>
      <c r="Z1493" s="20">
        <f>SUMIFS(T$3:T1493,L$3:L1493,"=Intermission")+SUMIFS(T$3:T1493,L$3:L1493,"=Timeout")+SUMIFS(T$3:T1493,L$3:L1493,"=Clockstop")</f>
        <v>68</v>
      </c>
      <c r="AA1493">
        <f t="shared" si="331"/>
        <v>1148</v>
      </c>
      <c r="AC1493">
        <f t="shared" si="332"/>
        <v>1216</v>
      </c>
    </row>
    <row r="1494" spans="1:29" x14ac:dyDescent="0.2">
      <c r="A1494">
        <v>801</v>
      </c>
      <c r="D1494">
        <f t="shared" si="333"/>
        <v>2</v>
      </c>
      <c r="E1494">
        <v>3</v>
      </c>
      <c r="F1494" s="6" t="s">
        <v>444</v>
      </c>
      <c r="I1494" t="s">
        <v>179</v>
      </c>
      <c r="J1494">
        <v>99</v>
      </c>
      <c r="K1494" t="s">
        <v>488</v>
      </c>
      <c r="L1494" t="s">
        <v>17</v>
      </c>
      <c r="M1494" t="s">
        <v>206</v>
      </c>
      <c r="N1494" t="s">
        <v>102</v>
      </c>
      <c r="Q1494">
        <f t="shared" ref="Q1494:S1494" si="355">Q1493</f>
        <v>18977</v>
      </c>
      <c r="R1494" t="str">
        <f t="shared" si="355"/>
        <v>Velodrome</v>
      </c>
      <c r="S1494" t="str">
        <f t="shared" si="355"/>
        <v>HollowBrook</v>
      </c>
      <c r="T1494" s="20">
        <f t="shared" si="337"/>
        <v>0</v>
      </c>
      <c r="U1494">
        <f t="shared" si="338"/>
        <v>204</v>
      </c>
      <c r="V1494">
        <f t="shared" si="339"/>
        <v>204</v>
      </c>
      <c r="W1494" cm="1">
        <f t="array" ref="W1494">_xlfn._xlws.FILTER(shifts!A:A,(shifts!B:B=events!D1494)*(shifts!AH:AH&gt;=events!U1494)*(shifts!AI:AI&lt;=events!V1494))</f>
        <v>52</v>
      </c>
      <c r="X1494" t="str">
        <f t="shared" si="340"/>
        <v>event_team_player_1</v>
      </c>
      <c r="Y1494">
        <f>COUNTIFS(A$3:A1494,"="&amp;A1494,K$3:K1494,"="&amp;K1494)</f>
        <v>1</v>
      </c>
      <c r="Z1494" s="20">
        <f>SUMIFS(T$3:T1494,L$3:L1494,"=Intermission")+SUMIFS(T$3:T1494,L$3:L1494,"=Timeout")+SUMIFS(T$3:T1494,L$3:L1494,"=Clockstop")</f>
        <v>68</v>
      </c>
      <c r="AA1494">
        <f t="shared" si="331"/>
        <v>1148</v>
      </c>
      <c r="AC1494">
        <f t="shared" si="332"/>
        <v>1216</v>
      </c>
    </row>
    <row r="1495" spans="1:29" x14ac:dyDescent="0.2">
      <c r="A1495">
        <v>801</v>
      </c>
      <c r="D1495">
        <f t="shared" si="333"/>
        <v>2</v>
      </c>
      <c r="E1495">
        <v>3</v>
      </c>
      <c r="F1495" s="6" t="s">
        <v>444</v>
      </c>
      <c r="I1495" t="s">
        <v>179</v>
      </c>
      <c r="J1495">
        <v>52</v>
      </c>
      <c r="K1495" t="s">
        <v>489</v>
      </c>
      <c r="L1495" t="s">
        <v>17</v>
      </c>
      <c r="M1495" t="s">
        <v>206</v>
      </c>
      <c r="N1495" t="s">
        <v>102</v>
      </c>
      <c r="Q1495">
        <f t="shared" ref="Q1495:S1495" si="356">Q1494</f>
        <v>18977</v>
      </c>
      <c r="R1495" t="str">
        <f t="shared" si="356"/>
        <v>Velodrome</v>
      </c>
      <c r="S1495" t="str">
        <f t="shared" si="356"/>
        <v>HollowBrook</v>
      </c>
      <c r="T1495" s="20">
        <f t="shared" si="337"/>
        <v>0</v>
      </c>
      <c r="U1495">
        <f t="shared" si="338"/>
        <v>204</v>
      </c>
      <c r="V1495">
        <f t="shared" si="339"/>
        <v>204</v>
      </c>
      <c r="W1495" cm="1">
        <f t="array" ref="W1495">_xlfn._xlws.FILTER(shifts!A:A,(shifts!B:B=events!D1495)*(shifts!AH:AH&gt;=events!U1495)*(shifts!AI:AI&lt;=events!V1495))</f>
        <v>52</v>
      </c>
      <c r="X1495" t="str">
        <f t="shared" si="340"/>
        <v>opp_team_player_1</v>
      </c>
      <c r="Y1495">
        <f>COUNTIFS(A$3:A1495,"="&amp;A1495,K$3:K1495,"="&amp;K1495)</f>
        <v>1</v>
      </c>
      <c r="Z1495" s="20">
        <f>SUMIFS(T$3:T1495,L$3:L1495,"=Intermission")+SUMIFS(T$3:T1495,L$3:L1495,"=Timeout")+SUMIFS(T$3:T1495,L$3:L1495,"=Clockstop")</f>
        <v>68</v>
      </c>
      <c r="AA1495">
        <f t="shared" si="331"/>
        <v>1148</v>
      </c>
      <c r="AC1495">
        <f t="shared" si="332"/>
        <v>1216</v>
      </c>
    </row>
    <row r="1496" spans="1:29" x14ac:dyDescent="0.2">
      <c r="A1496">
        <v>802</v>
      </c>
      <c r="D1496">
        <f t="shared" si="333"/>
        <v>2</v>
      </c>
      <c r="E1496">
        <v>3</v>
      </c>
      <c r="F1496" s="6" t="s">
        <v>444</v>
      </c>
      <c r="I1496" t="s">
        <v>179</v>
      </c>
      <c r="J1496">
        <v>99</v>
      </c>
      <c r="K1496" t="s">
        <v>488</v>
      </c>
      <c r="L1496" t="s">
        <v>13</v>
      </c>
      <c r="M1496" t="s">
        <v>204</v>
      </c>
      <c r="N1496" t="s">
        <v>110</v>
      </c>
      <c r="Q1496">
        <f t="shared" ref="Q1496:S1496" si="357">Q1495</f>
        <v>18977</v>
      </c>
      <c r="R1496" t="str">
        <f t="shared" si="357"/>
        <v>Velodrome</v>
      </c>
      <c r="S1496" t="str">
        <f t="shared" si="357"/>
        <v>HollowBrook</v>
      </c>
      <c r="T1496" s="20">
        <f t="shared" si="337"/>
        <v>0</v>
      </c>
      <c r="U1496">
        <f t="shared" si="338"/>
        <v>204</v>
      </c>
      <c r="V1496">
        <f t="shared" si="339"/>
        <v>204</v>
      </c>
      <c r="W1496" cm="1">
        <f t="array" ref="W1496">_xlfn._xlws.FILTER(shifts!A:A,(shifts!B:B=events!D1496)*(shifts!AH:AH&gt;=events!U1496)*(shifts!AI:AI&lt;=events!V1496))</f>
        <v>52</v>
      </c>
      <c r="X1496" t="str">
        <f t="shared" si="340"/>
        <v>event_team_player_1</v>
      </c>
      <c r="Y1496">
        <f>COUNTIFS(A$3:A1496,"="&amp;A1496,K$3:K1496,"="&amp;K1496)</f>
        <v>1</v>
      </c>
      <c r="Z1496" s="20">
        <f>SUMIFS(T$3:T1496,L$3:L1496,"=Intermission")+SUMIFS(T$3:T1496,L$3:L1496,"=Timeout")+SUMIFS(T$3:T1496,L$3:L1496,"=Clockstop")</f>
        <v>68</v>
      </c>
      <c r="AA1496">
        <f t="shared" si="331"/>
        <v>1148</v>
      </c>
      <c r="AC1496">
        <f t="shared" si="332"/>
        <v>1216</v>
      </c>
    </row>
    <row r="1497" spans="1:29" x14ac:dyDescent="0.2">
      <c r="A1497">
        <v>803</v>
      </c>
      <c r="D1497">
        <f t="shared" si="333"/>
        <v>2</v>
      </c>
      <c r="E1497">
        <v>3</v>
      </c>
      <c r="F1497" s="6" t="s">
        <v>444</v>
      </c>
      <c r="G1497">
        <v>3</v>
      </c>
      <c r="H1497" s="8" t="s">
        <v>310</v>
      </c>
      <c r="I1497" t="s">
        <v>179</v>
      </c>
      <c r="J1497">
        <v>99</v>
      </c>
      <c r="K1497" t="s">
        <v>488</v>
      </c>
      <c r="L1497" t="s">
        <v>282</v>
      </c>
      <c r="Q1497">
        <f t="shared" ref="Q1497:S1497" si="358">Q1496</f>
        <v>18977</v>
      </c>
      <c r="R1497" t="str">
        <f t="shared" si="358"/>
        <v>Velodrome</v>
      </c>
      <c r="S1497" t="str">
        <f t="shared" si="358"/>
        <v>HollowBrook</v>
      </c>
      <c r="T1497" s="20">
        <f t="shared" si="337"/>
        <v>20</v>
      </c>
      <c r="U1497">
        <f t="shared" si="338"/>
        <v>204</v>
      </c>
      <c r="V1497">
        <f t="shared" si="339"/>
        <v>184</v>
      </c>
      <c r="W1497" cm="1">
        <f t="array" ref="W1497">_xlfn._xlws.FILTER(shifts!A:A,(shifts!B:B=events!D1497)*(shifts!AH:AH&gt;=events!U1497)*(shifts!AI:AI&lt;=events!V1497))</f>
        <v>52</v>
      </c>
      <c r="X1497" t="str">
        <f t="shared" si="340"/>
        <v>event_team_player_1</v>
      </c>
      <c r="Y1497">
        <f>COUNTIFS(A$3:A1497,"="&amp;A1497,K$3:K1497,"="&amp;K1497)</f>
        <v>1</v>
      </c>
      <c r="Z1497" s="20">
        <f>SUMIFS(T$3:T1497,L$3:L1497,"=Intermission")+SUMIFS(T$3:T1497,L$3:L1497,"=Timeout")+SUMIFS(T$3:T1497,L$3:L1497,"=Clockstop")</f>
        <v>68</v>
      </c>
      <c r="AA1497">
        <f t="shared" si="331"/>
        <v>1148</v>
      </c>
      <c r="AC1497">
        <f t="shared" si="332"/>
        <v>1216</v>
      </c>
    </row>
    <row r="1498" spans="1:29" x14ac:dyDescent="0.2">
      <c r="A1498">
        <v>804</v>
      </c>
      <c r="D1498">
        <f t="shared" si="333"/>
        <v>2</v>
      </c>
      <c r="E1498">
        <v>3</v>
      </c>
      <c r="F1498" s="6" t="s">
        <v>310</v>
      </c>
      <c r="I1498" t="s">
        <v>179</v>
      </c>
      <c r="J1498">
        <v>26</v>
      </c>
      <c r="K1498" t="s">
        <v>488</v>
      </c>
      <c r="L1498" t="s">
        <v>6</v>
      </c>
      <c r="M1498" t="s">
        <v>275</v>
      </c>
      <c r="Q1498">
        <f t="shared" ref="Q1498:S1498" si="359">Q1497</f>
        <v>18977</v>
      </c>
      <c r="R1498" t="str">
        <f t="shared" si="359"/>
        <v>Velodrome</v>
      </c>
      <c r="S1498" t="str">
        <f t="shared" si="359"/>
        <v>HollowBrook</v>
      </c>
      <c r="T1498" s="20">
        <f t="shared" si="337"/>
        <v>0</v>
      </c>
      <c r="U1498">
        <f t="shared" si="338"/>
        <v>184</v>
      </c>
      <c r="V1498">
        <f t="shared" si="339"/>
        <v>184</v>
      </c>
      <c r="W1498" cm="1">
        <f t="array" ref="W1498">_xlfn._xlws.FILTER(shifts!A:A,(shifts!B:B=events!D1498)*(shifts!AH:AH&gt;=events!U1498)*(shifts!AI:AI&lt;=events!V1498))</f>
        <v>52</v>
      </c>
      <c r="X1498" t="str">
        <f t="shared" si="340"/>
        <v>event_team_player_1</v>
      </c>
      <c r="Y1498">
        <f>COUNTIFS(A$3:A1498,"="&amp;A1498,K$3:K1498,"="&amp;K1498)</f>
        <v>1</v>
      </c>
      <c r="Z1498" s="20">
        <f>SUMIFS(T$3:T1498,L$3:L1498,"=Intermission")+SUMIFS(T$3:T1498,L$3:L1498,"=Timeout")+SUMIFS(T$3:T1498,L$3:L1498,"=Clockstop")</f>
        <v>68</v>
      </c>
      <c r="AA1498">
        <f t="shared" si="331"/>
        <v>1148</v>
      </c>
      <c r="AC1498">
        <f t="shared" si="332"/>
        <v>1216</v>
      </c>
    </row>
    <row r="1499" spans="1:29" x14ac:dyDescent="0.2">
      <c r="A1499">
        <v>804</v>
      </c>
      <c r="D1499">
        <f t="shared" si="333"/>
        <v>2</v>
      </c>
      <c r="E1499">
        <v>3</v>
      </c>
      <c r="F1499" s="6" t="s">
        <v>310</v>
      </c>
      <c r="I1499" t="s">
        <v>179</v>
      </c>
      <c r="J1499">
        <v>40</v>
      </c>
      <c r="K1499" t="s">
        <v>488</v>
      </c>
      <c r="L1499" t="s">
        <v>6</v>
      </c>
      <c r="M1499" t="s">
        <v>275</v>
      </c>
      <c r="Q1499">
        <f t="shared" ref="Q1499:S1499" si="360">Q1498</f>
        <v>18977</v>
      </c>
      <c r="R1499" t="str">
        <f t="shared" si="360"/>
        <v>Velodrome</v>
      </c>
      <c r="S1499" t="str">
        <f t="shared" si="360"/>
        <v>HollowBrook</v>
      </c>
      <c r="T1499" s="20">
        <f t="shared" si="337"/>
        <v>0</v>
      </c>
      <c r="U1499">
        <f t="shared" si="338"/>
        <v>184</v>
      </c>
      <c r="V1499">
        <f t="shared" si="339"/>
        <v>184</v>
      </c>
      <c r="W1499" cm="1">
        <f t="array" ref="W1499">_xlfn._xlws.FILTER(shifts!A:A,(shifts!B:B=events!D1499)*(shifts!AH:AH&gt;=events!U1499)*(shifts!AI:AI&lt;=events!V1499))</f>
        <v>52</v>
      </c>
      <c r="X1499" t="str">
        <f t="shared" si="340"/>
        <v>event_team_player_2</v>
      </c>
      <c r="Y1499">
        <f>COUNTIFS(A$3:A1499,"="&amp;A1499,K$3:K1499,"="&amp;K1499)</f>
        <v>2</v>
      </c>
      <c r="Z1499" s="20">
        <f>SUMIFS(T$3:T1499,L$3:L1499,"=Intermission")+SUMIFS(T$3:T1499,L$3:L1499,"=Timeout")+SUMIFS(T$3:T1499,L$3:L1499,"=Clockstop")</f>
        <v>68</v>
      </c>
      <c r="AA1499">
        <f t="shared" si="331"/>
        <v>1148</v>
      </c>
      <c r="AC1499">
        <f t="shared" si="332"/>
        <v>1216</v>
      </c>
    </row>
    <row r="1500" spans="1:29" x14ac:dyDescent="0.2">
      <c r="A1500">
        <v>804</v>
      </c>
      <c r="D1500">
        <f t="shared" si="333"/>
        <v>2</v>
      </c>
      <c r="E1500">
        <v>3</v>
      </c>
      <c r="F1500" s="6" t="s">
        <v>310</v>
      </c>
      <c r="I1500" t="s">
        <v>179</v>
      </c>
      <c r="J1500">
        <v>70</v>
      </c>
      <c r="K1500" t="s">
        <v>489</v>
      </c>
      <c r="L1500" t="s">
        <v>6</v>
      </c>
      <c r="M1500" t="s">
        <v>275</v>
      </c>
      <c r="Q1500">
        <f t="shared" ref="Q1500:S1500" si="361">Q1499</f>
        <v>18977</v>
      </c>
      <c r="R1500" t="str">
        <f t="shared" si="361"/>
        <v>Velodrome</v>
      </c>
      <c r="S1500" t="str">
        <f t="shared" si="361"/>
        <v>HollowBrook</v>
      </c>
      <c r="T1500" s="20">
        <f t="shared" si="337"/>
        <v>0</v>
      </c>
      <c r="U1500">
        <f t="shared" si="338"/>
        <v>184</v>
      </c>
      <c r="V1500">
        <f t="shared" si="339"/>
        <v>184</v>
      </c>
      <c r="W1500" cm="1">
        <f t="array" ref="W1500">_xlfn._xlws.FILTER(shifts!A:A,(shifts!B:B=events!D1500)*(shifts!AH:AH&gt;=events!U1500)*(shifts!AI:AI&lt;=events!V1500))</f>
        <v>52</v>
      </c>
      <c r="X1500" t="str">
        <f t="shared" si="340"/>
        <v>opp_team_player_1</v>
      </c>
      <c r="Y1500">
        <f>COUNTIFS(A$3:A1500,"="&amp;A1500,K$3:K1500,"="&amp;K1500)</f>
        <v>1</v>
      </c>
      <c r="Z1500" s="20">
        <f>SUMIFS(T$3:T1500,L$3:L1500,"=Intermission")+SUMIFS(T$3:T1500,L$3:L1500,"=Timeout")+SUMIFS(T$3:T1500,L$3:L1500,"=Clockstop")</f>
        <v>68</v>
      </c>
      <c r="AA1500">
        <f t="shared" si="331"/>
        <v>1148</v>
      </c>
      <c r="AC1500">
        <f t="shared" si="332"/>
        <v>1216</v>
      </c>
    </row>
    <row r="1501" spans="1:29" x14ac:dyDescent="0.2">
      <c r="A1501">
        <v>805</v>
      </c>
      <c r="D1501">
        <f t="shared" si="333"/>
        <v>2</v>
      </c>
      <c r="E1501">
        <v>3</v>
      </c>
      <c r="F1501" s="6" t="s">
        <v>311</v>
      </c>
      <c r="G1501">
        <v>2</v>
      </c>
      <c r="H1501" s="8" t="s">
        <v>433</v>
      </c>
      <c r="I1501" t="s">
        <v>179</v>
      </c>
      <c r="J1501">
        <v>40</v>
      </c>
      <c r="K1501" t="s">
        <v>488</v>
      </c>
      <c r="L1501" t="s">
        <v>15</v>
      </c>
      <c r="Q1501">
        <f t="shared" ref="Q1501:S1501" si="362">Q1500</f>
        <v>18977</v>
      </c>
      <c r="R1501" t="str">
        <f t="shared" si="362"/>
        <v>Velodrome</v>
      </c>
      <c r="S1501" t="str">
        <f t="shared" si="362"/>
        <v>HollowBrook</v>
      </c>
      <c r="T1501" s="20">
        <f t="shared" si="337"/>
        <v>6</v>
      </c>
      <c r="U1501">
        <f t="shared" si="338"/>
        <v>183</v>
      </c>
      <c r="V1501">
        <f t="shared" si="339"/>
        <v>177</v>
      </c>
      <c r="W1501" cm="1">
        <f t="array" ref="W1501">_xlfn._xlws.FILTER(shifts!A:A,(shifts!B:B=events!D1501)*(shifts!AH:AH&gt;=events!U1501)*(shifts!AI:AI&lt;=events!V1501))</f>
        <v>52</v>
      </c>
      <c r="X1501" t="str">
        <f t="shared" si="340"/>
        <v>event_team_player_1</v>
      </c>
      <c r="Y1501">
        <f>COUNTIFS(A$3:A1501,"="&amp;A1501,K$3:K1501,"="&amp;K1501)</f>
        <v>1</v>
      </c>
      <c r="Z1501" s="20">
        <f>SUMIFS(T$3:T1501,L$3:L1501,"=Intermission")+SUMIFS(T$3:T1501,L$3:L1501,"=Timeout")+SUMIFS(T$3:T1501,L$3:L1501,"=Clockstop")</f>
        <v>68</v>
      </c>
      <c r="AA1501">
        <f t="shared" si="331"/>
        <v>1148</v>
      </c>
      <c r="AC1501">
        <f t="shared" si="332"/>
        <v>1216</v>
      </c>
    </row>
    <row r="1502" spans="1:29" x14ac:dyDescent="0.2">
      <c r="A1502">
        <v>805</v>
      </c>
      <c r="D1502">
        <f t="shared" si="333"/>
        <v>2</v>
      </c>
      <c r="E1502">
        <v>3</v>
      </c>
      <c r="F1502" s="6" t="s">
        <v>311</v>
      </c>
      <c r="G1502">
        <v>2</v>
      </c>
      <c r="H1502" s="8" t="s">
        <v>433</v>
      </c>
      <c r="I1502" t="s">
        <v>179</v>
      </c>
      <c r="J1502">
        <v>24</v>
      </c>
      <c r="K1502" t="s">
        <v>489</v>
      </c>
      <c r="L1502" t="s">
        <v>15</v>
      </c>
      <c r="Q1502">
        <f t="shared" ref="Q1502:S1502" si="363">Q1501</f>
        <v>18977</v>
      </c>
      <c r="R1502" t="str">
        <f t="shared" si="363"/>
        <v>Velodrome</v>
      </c>
      <c r="S1502" t="str">
        <f t="shared" si="363"/>
        <v>HollowBrook</v>
      </c>
      <c r="T1502" s="20">
        <f t="shared" si="337"/>
        <v>6</v>
      </c>
      <c r="U1502">
        <f t="shared" si="338"/>
        <v>183</v>
      </c>
      <c r="V1502">
        <f t="shared" si="339"/>
        <v>177</v>
      </c>
      <c r="W1502" cm="1">
        <f t="array" ref="W1502">_xlfn._xlws.FILTER(shifts!A:A,(shifts!B:B=events!D1502)*(shifts!AH:AH&gt;=events!U1502)*(shifts!AI:AI&lt;=events!V1502))</f>
        <v>52</v>
      </c>
      <c r="X1502" t="str">
        <f t="shared" si="340"/>
        <v>opp_team_player_1</v>
      </c>
      <c r="Y1502">
        <f>COUNTIFS(A$3:A1502,"="&amp;A1502,K$3:K1502,"="&amp;K1502)</f>
        <v>1</v>
      </c>
      <c r="Z1502" s="20">
        <f>SUMIFS(T$3:T1502,L$3:L1502,"=Intermission")+SUMIFS(T$3:T1502,L$3:L1502,"=Timeout")+SUMIFS(T$3:T1502,L$3:L1502,"=Clockstop")</f>
        <v>68</v>
      </c>
      <c r="AA1502">
        <f t="shared" si="331"/>
        <v>1148</v>
      </c>
      <c r="AC1502">
        <f t="shared" si="332"/>
        <v>1216</v>
      </c>
    </row>
    <row r="1503" spans="1:29" x14ac:dyDescent="0.2">
      <c r="A1503">
        <v>806</v>
      </c>
      <c r="D1503">
        <f t="shared" si="333"/>
        <v>2</v>
      </c>
      <c r="E1503">
        <v>2</v>
      </c>
      <c r="F1503" s="6" t="s">
        <v>433</v>
      </c>
      <c r="I1503" t="s">
        <v>179</v>
      </c>
      <c r="J1503">
        <v>40</v>
      </c>
      <c r="K1503" t="s">
        <v>488</v>
      </c>
      <c r="L1503" t="s">
        <v>10</v>
      </c>
      <c r="M1503" t="s">
        <v>190</v>
      </c>
      <c r="N1503" t="s">
        <v>479</v>
      </c>
      <c r="Q1503">
        <f t="shared" ref="Q1503:S1503" si="364">Q1502</f>
        <v>18977</v>
      </c>
      <c r="R1503" t="str">
        <f t="shared" si="364"/>
        <v>Velodrome</v>
      </c>
      <c r="S1503" t="str">
        <f t="shared" si="364"/>
        <v>HollowBrook</v>
      </c>
      <c r="T1503" s="20">
        <f t="shared" si="337"/>
        <v>0</v>
      </c>
      <c r="U1503">
        <f t="shared" si="338"/>
        <v>177</v>
      </c>
      <c r="V1503">
        <f t="shared" si="339"/>
        <v>177</v>
      </c>
      <c r="W1503" cm="1">
        <f t="array" ref="W1503">_xlfn._xlws.FILTER(shifts!A:A,(shifts!B:B=events!D1503)*(shifts!AH:AH&gt;=events!U1503)*(shifts!AI:AI&lt;=events!V1503))</f>
        <v>52</v>
      </c>
      <c r="X1503" t="str">
        <f t="shared" si="340"/>
        <v>event_team_player_1</v>
      </c>
      <c r="Y1503">
        <f>COUNTIFS(A$3:A1503,"="&amp;A1503,K$3:K1503,"="&amp;K1503)</f>
        <v>1</v>
      </c>
      <c r="Z1503" s="20">
        <f>SUMIFS(T$3:T1503,L$3:L1503,"=Intermission")+SUMIFS(T$3:T1503,L$3:L1503,"=Timeout")+SUMIFS(T$3:T1503,L$3:L1503,"=Clockstop")</f>
        <v>68</v>
      </c>
      <c r="AA1503">
        <f t="shared" si="331"/>
        <v>1148</v>
      </c>
      <c r="AC1503">
        <f t="shared" si="332"/>
        <v>1216</v>
      </c>
    </row>
    <row r="1504" spans="1:29" x14ac:dyDescent="0.2">
      <c r="A1504">
        <v>807</v>
      </c>
      <c r="D1504">
        <f t="shared" si="333"/>
        <v>2</v>
      </c>
      <c r="E1504">
        <v>2</v>
      </c>
      <c r="F1504" s="6" t="s">
        <v>433</v>
      </c>
      <c r="I1504" t="s">
        <v>178</v>
      </c>
      <c r="J1504">
        <v>70</v>
      </c>
      <c r="K1504" t="s">
        <v>488</v>
      </c>
      <c r="L1504" t="s">
        <v>277</v>
      </c>
      <c r="M1504" t="s">
        <v>210</v>
      </c>
      <c r="N1504" t="s">
        <v>93</v>
      </c>
      <c r="Q1504">
        <f t="shared" ref="Q1504:S1504" si="365">Q1503</f>
        <v>18977</v>
      </c>
      <c r="R1504" t="str">
        <f t="shared" si="365"/>
        <v>Velodrome</v>
      </c>
      <c r="S1504" t="str">
        <f t="shared" si="365"/>
        <v>HollowBrook</v>
      </c>
      <c r="T1504" s="20">
        <f t="shared" si="337"/>
        <v>0</v>
      </c>
      <c r="U1504">
        <f t="shared" si="338"/>
        <v>177</v>
      </c>
      <c r="V1504">
        <f t="shared" si="339"/>
        <v>177</v>
      </c>
      <c r="W1504" cm="1">
        <f t="array" ref="W1504">_xlfn._xlws.FILTER(shifts!A:A,(shifts!B:B=events!D1504)*(shifts!AH:AH&gt;=events!U1504)*(shifts!AI:AI&lt;=events!V1504))</f>
        <v>52</v>
      </c>
      <c r="X1504" t="str">
        <f t="shared" si="340"/>
        <v>event_team_player_1</v>
      </c>
      <c r="Y1504">
        <f>COUNTIFS(A$3:A1504,"="&amp;A1504,K$3:K1504,"="&amp;K1504)</f>
        <v>1</v>
      </c>
      <c r="Z1504" s="20">
        <f>SUMIFS(T$3:T1504,L$3:L1504,"=Intermission")+SUMIFS(T$3:T1504,L$3:L1504,"=Timeout")+SUMIFS(T$3:T1504,L$3:L1504,"=Clockstop")</f>
        <v>68</v>
      </c>
      <c r="AA1504">
        <f t="shared" si="331"/>
        <v>1148</v>
      </c>
      <c r="AC1504">
        <f t="shared" si="332"/>
        <v>1216</v>
      </c>
    </row>
    <row r="1505" spans="1:29" x14ac:dyDescent="0.2">
      <c r="A1505">
        <v>808</v>
      </c>
      <c r="D1505">
        <f t="shared" si="333"/>
        <v>2</v>
      </c>
      <c r="E1505">
        <v>2</v>
      </c>
      <c r="F1505" s="6" t="s">
        <v>429</v>
      </c>
      <c r="I1505" t="s">
        <v>178</v>
      </c>
      <c r="J1505">
        <v>70</v>
      </c>
      <c r="K1505" t="s">
        <v>488</v>
      </c>
      <c r="L1505" t="s">
        <v>7</v>
      </c>
      <c r="M1505" t="s">
        <v>208</v>
      </c>
      <c r="N1505" t="s">
        <v>53</v>
      </c>
      <c r="Q1505">
        <f t="shared" ref="Q1505:S1505" si="366">Q1504</f>
        <v>18977</v>
      </c>
      <c r="R1505" t="str">
        <f t="shared" si="366"/>
        <v>Velodrome</v>
      </c>
      <c r="S1505" t="str">
        <f t="shared" si="366"/>
        <v>HollowBrook</v>
      </c>
      <c r="T1505" s="20">
        <f t="shared" si="337"/>
        <v>0</v>
      </c>
      <c r="U1505">
        <f t="shared" si="338"/>
        <v>175</v>
      </c>
      <c r="V1505">
        <f t="shared" si="339"/>
        <v>175</v>
      </c>
      <c r="W1505" cm="1">
        <f t="array" ref="W1505">_xlfn._xlws.FILTER(shifts!A:A,(shifts!B:B=events!D1505)*(shifts!AH:AH&gt;=events!U1505)*(shifts!AI:AI&lt;=events!V1505))</f>
        <v>52</v>
      </c>
      <c r="X1505" t="str">
        <f t="shared" si="340"/>
        <v>event_team_player_1</v>
      </c>
      <c r="Y1505">
        <f>COUNTIFS(A$3:A1505,"="&amp;A1505,K$3:K1505,"="&amp;K1505)</f>
        <v>1</v>
      </c>
      <c r="Z1505" s="20">
        <f>SUMIFS(T$3:T1505,L$3:L1505,"=Intermission")+SUMIFS(T$3:T1505,L$3:L1505,"=Timeout")+SUMIFS(T$3:T1505,L$3:L1505,"=Clockstop")</f>
        <v>68</v>
      </c>
      <c r="AA1505">
        <f t="shared" si="331"/>
        <v>1148</v>
      </c>
      <c r="AC1505">
        <f t="shared" si="332"/>
        <v>1216</v>
      </c>
    </row>
    <row r="1506" spans="1:29" x14ac:dyDescent="0.2">
      <c r="A1506">
        <v>808</v>
      </c>
      <c r="D1506">
        <f t="shared" si="333"/>
        <v>2</v>
      </c>
      <c r="E1506">
        <v>2</v>
      </c>
      <c r="F1506" s="6" t="s">
        <v>429</v>
      </c>
      <c r="I1506" t="s">
        <v>178</v>
      </c>
      <c r="J1506">
        <v>26</v>
      </c>
      <c r="K1506" t="s">
        <v>489</v>
      </c>
      <c r="L1506" t="s">
        <v>7</v>
      </c>
      <c r="M1506" t="s">
        <v>208</v>
      </c>
      <c r="N1506" t="s">
        <v>53</v>
      </c>
      <c r="Q1506">
        <f t="shared" ref="Q1506:S1506" si="367">Q1505</f>
        <v>18977</v>
      </c>
      <c r="R1506" t="str">
        <f t="shared" si="367"/>
        <v>Velodrome</v>
      </c>
      <c r="S1506" t="str">
        <f t="shared" si="367"/>
        <v>HollowBrook</v>
      </c>
      <c r="T1506" s="20">
        <f t="shared" si="337"/>
        <v>0</v>
      </c>
      <c r="U1506">
        <f t="shared" si="338"/>
        <v>175</v>
      </c>
      <c r="V1506">
        <f t="shared" si="339"/>
        <v>175</v>
      </c>
      <c r="W1506" cm="1">
        <f t="array" ref="W1506">_xlfn._xlws.FILTER(shifts!A:A,(shifts!B:B=events!D1506)*(shifts!AH:AH&gt;=events!U1506)*(shifts!AI:AI&lt;=events!V1506))</f>
        <v>52</v>
      </c>
      <c r="X1506" t="str">
        <f t="shared" si="340"/>
        <v>opp_team_player_1</v>
      </c>
      <c r="Y1506">
        <f>COUNTIFS(A$3:A1506,"="&amp;A1506,K$3:K1506,"="&amp;K1506)</f>
        <v>1</v>
      </c>
      <c r="Z1506" s="20">
        <f>SUMIFS(T$3:T1506,L$3:L1506,"=Intermission")+SUMIFS(T$3:T1506,L$3:L1506,"=Timeout")+SUMIFS(T$3:T1506,L$3:L1506,"=Clockstop")</f>
        <v>68</v>
      </c>
      <c r="AA1506">
        <f t="shared" si="331"/>
        <v>1148</v>
      </c>
      <c r="AC1506">
        <f t="shared" si="332"/>
        <v>1216</v>
      </c>
    </row>
    <row r="1507" spans="1:29" x14ac:dyDescent="0.2">
      <c r="A1507">
        <v>809</v>
      </c>
      <c r="D1507">
        <f t="shared" si="333"/>
        <v>2</v>
      </c>
      <c r="E1507">
        <v>2</v>
      </c>
      <c r="F1507" s="6" t="s">
        <v>492</v>
      </c>
      <c r="I1507" t="s">
        <v>178</v>
      </c>
      <c r="J1507">
        <v>9</v>
      </c>
      <c r="K1507" t="s">
        <v>488</v>
      </c>
      <c r="L1507" t="s">
        <v>8</v>
      </c>
      <c r="M1507" t="s">
        <v>189</v>
      </c>
      <c r="N1507" t="s">
        <v>72</v>
      </c>
      <c r="Q1507">
        <f t="shared" ref="Q1507:S1507" si="368">Q1506</f>
        <v>18977</v>
      </c>
      <c r="R1507" t="str">
        <f t="shared" si="368"/>
        <v>Velodrome</v>
      </c>
      <c r="S1507" t="str">
        <f t="shared" si="368"/>
        <v>HollowBrook</v>
      </c>
      <c r="T1507" s="20">
        <f t="shared" si="337"/>
        <v>0</v>
      </c>
      <c r="U1507">
        <f t="shared" si="338"/>
        <v>173</v>
      </c>
      <c r="V1507">
        <f t="shared" si="339"/>
        <v>173</v>
      </c>
      <c r="W1507" cm="1">
        <f t="array" ref="W1507">_xlfn._xlws.FILTER(shifts!A:A,(shifts!B:B=events!D1507)*(shifts!AH:AH&gt;=events!U1507)*(shifts!AI:AI&lt;=events!V1507))</f>
        <v>52</v>
      </c>
      <c r="X1507" t="str">
        <f t="shared" si="340"/>
        <v>event_team_player_1</v>
      </c>
      <c r="Y1507">
        <f>COUNTIFS(A$3:A1507,"="&amp;A1507,K$3:K1507,"="&amp;K1507)</f>
        <v>1</v>
      </c>
      <c r="Z1507" s="20">
        <f>SUMIFS(T$3:T1507,L$3:L1507,"=Intermission")+SUMIFS(T$3:T1507,L$3:L1507,"=Timeout")+SUMIFS(T$3:T1507,L$3:L1507,"=Clockstop")</f>
        <v>68</v>
      </c>
      <c r="AA1507">
        <f t="shared" si="331"/>
        <v>1148</v>
      </c>
      <c r="AC1507">
        <f t="shared" si="332"/>
        <v>1216</v>
      </c>
    </row>
    <row r="1508" spans="1:29" x14ac:dyDescent="0.2">
      <c r="A1508">
        <v>809</v>
      </c>
      <c r="D1508">
        <f t="shared" si="333"/>
        <v>2</v>
      </c>
      <c r="E1508">
        <v>2</v>
      </c>
      <c r="F1508" s="6" t="s">
        <v>492</v>
      </c>
      <c r="I1508" t="s">
        <v>178</v>
      </c>
      <c r="J1508">
        <v>91</v>
      </c>
      <c r="K1508" t="s">
        <v>488</v>
      </c>
      <c r="L1508" t="s">
        <v>8</v>
      </c>
      <c r="M1508" t="s">
        <v>189</v>
      </c>
      <c r="N1508" t="s">
        <v>72</v>
      </c>
      <c r="Q1508">
        <f t="shared" ref="Q1508:S1508" si="369">Q1507</f>
        <v>18977</v>
      </c>
      <c r="R1508" t="str">
        <f t="shared" si="369"/>
        <v>Velodrome</v>
      </c>
      <c r="S1508" t="str">
        <f t="shared" si="369"/>
        <v>HollowBrook</v>
      </c>
      <c r="T1508" s="20">
        <f t="shared" si="337"/>
        <v>0</v>
      </c>
      <c r="U1508">
        <f t="shared" si="338"/>
        <v>173</v>
      </c>
      <c r="V1508">
        <f t="shared" si="339"/>
        <v>173</v>
      </c>
      <c r="W1508" cm="1">
        <f t="array" ref="W1508">_xlfn._xlws.FILTER(shifts!A:A,(shifts!B:B=events!D1508)*(shifts!AH:AH&gt;=events!U1508)*(shifts!AI:AI&lt;=events!V1508))</f>
        <v>52</v>
      </c>
      <c r="X1508" t="str">
        <f t="shared" si="340"/>
        <v>event_team_player_2</v>
      </c>
      <c r="Y1508">
        <f>COUNTIFS(A$3:A1508,"="&amp;A1508,K$3:K1508,"="&amp;K1508)</f>
        <v>2</v>
      </c>
      <c r="Z1508" s="20">
        <f>SUMIFS(T$3:T1508,L$3:L1508,"=Intermission")+SUMIFS(T$3:T1508,L$3:L1508,"=Timeout")+SUMIFS(T$3:T1508,L$3:L1508,"=Clockstop")</f>
        <v>68</v>
      </c>
      <c r="AA1508">
        <f t="shared" si="331"/>
        <v>1148</v>
      </c>
      <c r="AC1508">
        <f t="shared" si="332"/>
        <v>1216</v>
      </c>
    </row>
    <row r="1509" spans="1:29" x14ac:dyDescent="0.2">
      <c r="A1509">
        <v>810</v>
      </c>
      <c r="D1509">
        <f t="shared" si="333"/>
        <v>2</v>
      </c>
      <c r="E1509">
        <v>2</v>
      </c>
      <c r="F1509" s="6" t="s">
        <v>428</v>
      </c>
      <c r="G1509">
        <v>2</v>
      </c>
      <c r="H1509" s="8" t="s">
        <v>432</v>
      </c>
      <c r="I1509" t="s">
        <v>178</v>
      </c>
      <c r="J1509">
        <v>91</v>
      </c>
      <c r="K1509" t="s">
        <v>488</v>
      </c>
      <c r="L1509" t="s">
        <v>15</v>
      </c>
      <c r="Q1509">
        <f t="shared" ref="Q1509:S1509" si="370">Q1508</f>
        <v>18977</v>
      </c>
      <c r="R1509" t="str">
        <f t="shared" si="370"/>
        <v>Velodrome</v>
      </c>
      <c r="S1509" t="str">
        <f t="shared" si="370"/>
        <v>HollowBrook</v>
      </c>
      <c r="T1509" s="20">
        <f t="shared" si="337"/>
        <v>2</v>
      </c>
      <c r="U1509">
        <f t="shared" si="338"/>
        <v>172</v>
      </c>
      <c r="V1509">
        <f t="shared" si="339"/>
        <v>170</v>
      </c>
      <c r="W1509" cm="1">
        <f t="array" ref="W1509">_xlfn._xlws.FILTER(shifts!A:A,(shifts!B:B=events!D1509)*(shifts!AH:AH&gt;=events!U1509)*(shifts!AI:AI&lt;=events!V1509))</f>
        <v>52</v>
      </c>
      <c r="X1509" t="str">
        <f t="shared" si="340"/>
        <v>event_team_player_1</v>
      </c>
      <c r="Y1509">
        <f>COUNTIFS(A$3:A1509,"="&amp;A1509,K$3:K1509,"="&amp;K1509)</f>
        <v>1</v>
      </c>
      <c r="Z1509" s="20">
        <f>SUMIFS(T$3:T1509,L$3:L1509,"=Intermission")+SUMIFS(T$3:T1509,L$3:L1509,"=Timeout")+SUMIFS(T$3:T1509,L$3:L1509,"=Clockstop")</f>
        <v>68</v>
      </c>
      <c r="AA1509">
        <f t="shared" si="331"/>
        <v>1148</v>
      </c>
      <c r="AC1509">
        <f t="shared" si="332"/>
        <v>1216</v>
      </c>
    </row>
    <row r="1510" spans="1:29" x14ac:dyDescent="0.2">
      <c r="A1510">
        <v>811</v>
      </c>
      <c r="D1510">
        <f t="shared" si="333"/>
        <v>2</v>
      </c>
      <c r="E1510">
        <v>2</v>
      </c>
      <c r="F1510" s="6" t="s">
        <v>432</v>
      </c>
      <c r="I1510" t="s">
        <v>178</v>
      </c>
      <c r="J1510">
        <v>91</v>
      </c>
      <c r="K1510" t="s">
        <v>488</v>
      </c>
      <c r="L1510" t="s">
        <v>8</v>
      </c>
      <c r="M1510" t="s">
        <v>209</v>
      </c>
      <c r="N1510" t="s">
        <v>70</v>
      </c>
      <c r="Q1510">
        <f t="shared" ref="Q1510:S1510" si="371">Q1509</f>
        <v>18977</v>
      </c>
      <c r="R1510" t="str">
        <f t="shared" si="371"/>
        <v>Velodrome</v>
      </c>
      <c r="S1510" t="str">
        <f t="shared" si="371"/>
        <v>HollowBrook</v>
      </c>
      <c r="T1510" s="20">
        <f t="shared" si="337"/>
        <v>0</v>
      </c>
      <c r="U1510">
        <f t="shared" si="338"/>
        <v>170</v>
      </c>
      <c r="V1510">
        <f t="shared" si="339"/>
        <v>170</v>
      </c>
      <c r="W1510" cm="1">
        <f t="array" ref="W1510">_xlfn._xlws.FILTER(shifts!A:A,(shifts!B:B=events!D1510)*(shifts!AH:AH&gt;=events!U1510)*(shifts!AI:AI&lt;=events!V1510))</f>
        <v>52</v>
      </c>
      <c r="X1510" t="str">
        <f t="shared" si="340"/>
        <v>event_team_player_1</v>
      </c>
      <c r="Y1510">
        <f>COUNTIFS(A$3:A1510,"="&amp;A1510,K$3:K1510,"="&amp;K1510)</f>
        <v>1</v>
      </c>
      <c r="Z1510" s="20">
        <f>SUMIFS(T$3:T1510,L$3:L1510,"=Intermission")+SUMIFS(T$3:T1510,L$3:L1510,"=Timeout")+SUMIFS(T$3:T1510,L$3:L1510,"=Clockstop")</f>
        <v>68</v>
      </c>
      <c r="AA1510">
        <f t="shared" si="331"/>
        <v>1148</v>
      </c>
      <c r="AC1510">
        <f t="shared" si="332"/>
        <v>1216</v>
      </c>
    </row>
    <row r="1511" spans="1:29" x14ac:dyDescent="0.2">
      <c r="A1511">
        <v>811</v>
      </c>
      <c r="D1511">
        <f t="shared" si="333"/>
        <v>2</v>
      </c>
      <c r="E1511">
        <v>2</v>
      </c>
      <c r="F1511" s="6" t="s">
        <v>432</v>
      </c>
      <c r="I1511" t="s">
        <v>178</v>
      </c>
      <c r="J1511">
        <v>24</v>
      </c>
      <c r="K1511" t="s">
        <v>488</v>
      </c>
      <c r="L1511" t="s">
        <v>8</v>
      </c>
      <c r="M1511" t="s">
        <v>209</v>
      </c>
      <c r="N1511" t="s">
        <v>70</v>
      </c>
      <c r="Q1511">
        <f t="shared" ref="Q1511:S1511" si="372">Q1510</f>
        <v>18977</v>
      </c>
      <c r="R1511" t="str">
        <f t="shared" si="372"/>
        <v>Velodrome</v>
      </c>
      <c r="S1511" t="str">
        <f t="shared" si="372"/>
        <v>HollowBrook</v>
      </c>
      <c r="T1511" s="20">
        <f t="shared" si="337"/>
        <v>0</v>
      </c>
      <c r="U1511">
        <f t="shared" si="338"/>
        <v>170</v>
      </c>
      <c r="V1511">
        <f t="shared" si="339"/>
        <v>170</v>
      </c>
      <c r="W1511" cm="1">
        <f t="array" ref="W1511">_xlfn._xlws.FILTER(shifts!A:A,(shifts!B:B=events!D1511)*(shifts!AH:AH&gt;=events!U1511)*(shifts!AI:AI&lt;=events!V1511))</f>
        <v>52</v>
      </c>
      <c r="X1511" t="str">
        <f t="shared" si="340"/>
        <v>event_team_player_2</v>
      </c>
      <c r="Y1511">
        <f>COUNTIFS(A$3:A1511,"="&amp;A1511,K$3:K1511,"="&amp;K1511)</f>
        <v>2</v>
      </c>
      <c r="Z1511" s="20">
        <f>SUMIFS(T$3:T1511,L$3:L1511,"=Intermission")+SUMIFS(T$3:T1511,L$3:L1511,"=Timeout")+SUMIFS(T$3:T1511,L$3:L1511,"=Clockstop")</f>
        <v>68</v>
      </c>
      <c r="AA1511">
        <f t="shared" si="331"/>
        <v>1148</v>
      </c>
      <c r="AC1511">
        <f t="shared" si="332"/>
        <v>1216</v>
      </c>
    </row>
    <row r="1512" spans="1:29" x14ac:dyDescent="0.2">
      <c r="A1512">
        <v>811</v>
      </c>
      <c r="D1512">
        <f t="shared" si="333"/>
        <v>2</v>
      </c>
      <c r="E1512">
        <v>2</v>
      </c>
      <c r="F1512" s="6" t="s">
        <v>432</v>
      </c>
      <c r="I1512" t="s">
        <v>178</v>
      </c>
      <c r="J1512">
        <v>27</v>
      </c>
      <c r="K1512" t="s">
        <v>489</v>
      </c>
      <c r="L1512" t="s">
        <v>8</v>
      </c>
      <c r="M1512" t="s">
        <v>209</v>
      </c>
      <c r="N1512" t="s">
        <v>70</v>
      </c>
      <c r="Q1512">
        <f t="shared" ref="Q1512:S1512" si="373">Q1511</f>
        <v>18977</v>
      </c>
      <c r="R1512" t="str">
        <f t="shared" si="373"/>
        <v>Velodrome</v>
      </c>
      <c r="S1512" t="str">
        <f t="shared" si="373"/>
        <v>HollowBrook</v>
      </c>
      <c r="T1512" s="20">
        <f t="shared" si="337"/>
        <v>0</v>
      </c>
      <c r="U1512">
        <f t="shared" si="338"/>
        <v>170</v>
      </c>
      <c r="V1512">
        <f t="shared" si="339"/>
        <v>170</v>
      </c>
      <c r="W1512" cm="1">
        <f t="array" ref="W1512">_xlfn._xlws.FILTER(shifts!A:A,(shifts!B:B=events!D1512)*(shifts!AH:AH&gt;=events!U1512)*(shifts!AI:AI&lt;=events!V1512))</f>
        <v>52</v>
      </c>
      <c r="X1512" t="str">
        <f t="shared" si="340"/>
        <v>opp_team_player_1</v>
      </c>
      <c r="Y1512">
        <f>COUNTIFS(A$3:A1512,"="&amp;A1512,K$3:K1512,"="&amp;K1512)</f>
        <v>1</v>
      </c>
      <c r="Z1512" s="20">
        <f>SUMIFS(T$3:T1512,L$3:L1512,"=Intermission")+SUMIFS(T$3:T1512,L$3:L1512,"=Timeout")+SUMIFS(T$3:T1512,L$3:L1512,"=Clockstop")</f>
        <v>68</v>
      </c>
      <c r="AA1512">
        <f t="shared" si="331"/>
        <v>1148</v>
      </c>
      <c r="AC1512">
        <f t="shared" si="332"/>
        <v>1216</v>
      </c>
    </row>
    <row r="1513" spans="1:29" x14ac:dyDescent="0.2">
      <c r="A1513">
        <v>811</v>
      </c>
      <c r="D1513">
        <f t="shared" si="333"/>
        <v>2</v>
      </c>
      <c r="E1513">
        <v>2</v>
      </c>
      <c r="F1513" s="6" t="s">
        <v>432</v>
      </c>
      <c r="I1513" t="s">
        <v>178</v>
      </c>
      <c r="J1513">
        <v>2</v>
      </c>
      <c r="K1513" t="s">
        <v>489</v>
      </c>
      <c r="L1513" t="s">
        <v>8</v>
      </c>
      <c r="M1513" t="s">
        <v>209</v>
      </c>
      <c r="N1513" t="s">
        <v>70</v>
      </c>
      <c r="Q1513">
        <f t="shared" ref="Q1513:S1513" si="374">Q1512</f>
        <v>18977</v>
      </c>
      <c r="R1513" t="str">
        <f t="shared" si="374"/>
        <v>Velodrome</v>
      </c>
      <c r="S1513" t="str">
        <f t="shared" si="374"/>
        <v>HollowBrook</v>
      </c>
      <c r="T1513" s="20">
        <f t="shared" si="337"/>
        <v>0</v>
      </c>
      <c r="U1513">
        <f t="shared" si="338"/>
        <v>170</v>
      </c>
      <c r="V1513">
        <f t="shared" si="339"/>
        <v>170</v>
      </c>
      <c r="W1513" cm="1">
        <f t="array" ref="W1513">_xlfn._xlws.FILTER(shifts!A:A,(shifts!B:B=events!D1513)*(shifts!AH:AH&gt;=events!U1513)*(shifts!AI:AI&lt;=events!V1513))</f>
        <v>52</v>
      </c>
      <c r="X1513" t="str">
        <f t="shared" si="340"/>
        <v>opp_team_player_2</v>
      </c>
      <c r="Y1513">
        <f>COUNTIFS(A$3:A1513,"="&amp;A1513,K$3:K1513,"="&amp;K1513)</f>
        <v>2</v>
      </c>
      <c r="Z1513" s="20">
        <f>SUMIFS(T$3:T1513,L$3:L1513,"=Intermission")+SUMIFS(T$3:T1513,L$3:L1513,"=Timeout")+SUMIFS(T$3:T1513,L$3:L1513,"=Clockstop")</f>
        <v>68</v>
      </c>
      <c r="AA1513">
        <f t="shared" si="331"/>
        <v>1148</v>
      </c>
      <c r="AC1513">
        <f t="shared" si="332"/>
        <v>1216</v>
      </c>
    </row>
    <row r="1514" spans="1:29" x14ac:dyDescent="0.2">
      <c r="A1514">
        <v>812</v>
      </c>
      <c r="D1514">
        <f t="shared" si="333"/>
        <v>2</v>
      </c>
      <c r="E1514">
        <v>2</v>
      </c>
      <c r="F1514" s="6" t="s">
        <v>450</v>
      </c>
      <c r="I1514" t="s">
        <v>179</v>
      </c>
      <c r="J1514">
        <v>27</v>
      </c>
      <c r="K1514" t="s">
        <v>488</v>
      </c>
      <c r="L1514" t="s">
        <v>277</v>
      </c>
      <c r="M1514" t="s">
        <v>201</v>
      </c>
      <c r="N1514" t="s">
        <v>503</v>
      </c>
      <c r="Q1514">
        <f t="shared" ref="Q1514:S1514" si="375">Q1513</f>
        <v>18977</v>
      </c>
      <c r="R1514" t="str">
        <f t="shared" si="375"/>
        <v>Velodrome</v>
      </c>
      <c r="S1514" t="str">
        <f t="shared" si="375"/>
        <v>HollowBrook</v>
      </c>
      <c r="T1514" s="20">
        <f t="shared" si="337"/>
        <v>0</v>
      </c>
      <c r="U1514">
        <f t="shared" si="338"/>
        <v>169</v>
      </c>
      <c r="V1514">
        <f t="shared" si="339"/>
        <v>169</v>
      </c>
      <c r="W1514" cm="1">
        <f t="array" ref="W1514">_xlfn._xlws.FILTER(shifts!A:A,(shifts!B:B=events!D1514)*(shifts!AH:AH&gt;=events!U1514)*(shifts!AI:AI&lt;=events!V1514))</f>
        <v>52</v>
      </c>
      <c r="X1514" t="str">
        <f t="shared" si="340"/>
        <v>event_team_player_1</v>
      </c>
      <c r="Y1514">
        <f>COUNTIFS(A$3:A1514,"="&amp;A1514,K$3:K1514,"="&amp;K1514)</f>
        <v>1</v>
      </c>
      <c r="Z1514" s="20">
        <f>SUMIFS(T$3:T1514,L$3:L1514,"=Intermission")+SUMIFS(T$3:T1514,L$3:L1514,"=Timeout")+SUMIFS(T$3:T1514,L$3:L1514,"=Clockstop")</f>
        <v>68</v>
      </c>
      <c r="AA1514">
        <f t="shared" si="331"/>
        <v>1148</v>
      </c>
      <c r="AC1514">
        <f t="shared" si="332"/>
        <v>1216</v>
      </c>
    </row>
    <row r="1515" spans="1:29" x14ac:dyDescent="0.2">
      <c r="A1515">
        <v>813</v>
      </c>
      <c r="D1515">
        <f t="shared" si="333"/>
        <v>2</v>
      </c>
      <c r="E1515">
        <v>2</v>
      </c>
      <c r="F1515" s="6" t="s">
        <v>478</v>
      </c>
      <c r="G1515">
        <v>2</v>
      </c>
      <c r="H1515" s="8" t="s">
        <v>454</v>
      </c>
      <c r="I1515" t="s">
        <v>178</v>
      </c>
      <c r="J1515">
        <v>52</v>
      </c>
      <c r="K1515" t="s">
        <v>488</v>
      </c>
      <c r="L1515" t="s">
        <v>15</v>
      </c>
      <c r="Q1515">
        <f t="shared" ref="Q1515:S1515" si="376">Q1514</f>
        <v>18977</v>
      </c>
      <c r="R1515" t="str">
        <f t="shared" si="376"/>
        <v>Velodrome</v>
      </c>
      <c r="S1515" t="str">
        <f t="shared" si="376"/>
        <v>HollowBrook</v>
      </c>
      <c r="T1515" s="20">
        <f t="shared" si="337"/>
        <v>3</v>
      </c>
      <c r="U1515">
        <f t="shared" si="338"/>
        <v>166</v>
      </c>
      <c r="V1515">
        <f t="shared" si="339"/>
        <v>163</v>
      </c>
      <c r="W1515" cm="1">
        <f t="array" ref="W1515">_xlfn._xlws.FILTER(shifts!A:A,(shifts!B:B=events!D1515)*(shifts!AH:AH&gt;=events!U1515)*(shifts!AI:AI&lt;=events!V1515))</f>
        <v>52</v>
      </c>
      <c r="X1515" t="str">
        <f t="shared" si="340"/>
        <v>event_team_player_1</v>
      </c>
      <c r="Y1515">
        <f>COUNTIFS(A$3:A1515,"="&amp;A1515,K$3:K1515,"="&amp;K1515)</f>
        <v>1</v>
      </c>
      <c r="Z1515" s="20">
        <f>SUMIFS(T$3:T1515,L$3:L1515,"=Intermission")+SUMIFS(T$3:T1515,L$3:L1515,"=Timeout")+SUMIFS(T$3:T1515,L$3:L1515,"=Clockstop")</f>
        <v>68</v>
      </c>
      <c r="AA1515">
        <f t="shared" si="331"/>
        <v>1148</v>
      </c>
      <c r="AC1515">
        <f t="shared" si="332"/>
        <v>1216</v>
      </c>
    </row>
    <row r="1516" spans="1:29" x14ac:dyDescent="0.2">
      <c r="A1516">
        <v>814</v>
      </c>
      <c r="D1516">
        <f t="shared" si="333"/>
        <v>2</v>
      </c>
      <c r="E1516">
        <v>2</v>
      </c>
      <c r="F1516" s="6" t="s">
        <v>454</v>
      </c>
      <c r="I1516" t="s">
        <v>178</v>
      </c>
      <c r="J1516">
        <v>52</v>
      </c>
      <c r="K1516" t="s">
        <v>488</v>
      </c>
      <c r="L1516" t="s">
        <v>277</v>
      </c>
      <c r="M1516" t="s">
        <v>191</v>
      </c>
      <c r="N1516" t="s">
        <v>89</v>
      </c>
      <c r="Q1516">
        <f t="shared" ref="Q1516:S1516" si="377">Q1515</f>
        <v>18977</v>
      </c>
      <c r="R1516" t="str">
        <f t="shared" si="377"/>
        <v>Velodrome</v>
      </c>
      <c r="S1516" t="str">
        <f t="shared" si="377"/>
        <v>HollowBrook</v>
      </c>
      <c r="T1516" s="20">
        <f t="shared" si="337"/>
        <v>0</v>
      </c>
      <c r="U1516">
        <f t="shared" si="338"/>
        <v>163</v>
      </c>
      <c r="V1516">
        <f t="shared" si="339"/>
        <v>163</v>
      </c>
      <c r="W1516" cm="1">
        <f t="array" ref="W1516">_xlfn._xlws.FILTER(shifts!A:A,(shifts!B:B=events!D1516)*(shifts!AH:AH&gt;=events!U1516)*(shifts!AI:AI&lt;=events!V1516))</f>
        <v>52</v>
      </c>
      <c r="X1516" t="str">
        <f t="shared" si="340"/>
        <v>event_team_player_1</v>
      </c>
      <c r="Y1516">
        <f>COUNTIFS(A$3:A1516,"="&amp;A1516,K$3:K1516,"="&amp;K1516)</f>
        <v>1</v>
      </c>
      <c r="Z1516" s="20">
        <f>SUMIFS(T$3:T1516,L$3:L1516,"=Intermission")+SUMIFS(T$3:T1516,L$3:L1516,"=Timeout")+SUMIFS(T$3:T1516,L$3:L1516,"=Clockstop")</f>
        <v>68</v>
      </c>
      <c r="AA1516">
        <f t="shared" si="331"/>
        <v>1148</v>
      </c>
      <c r="AC1516">
        <f t="shared" si="332"/>
        <v>1216</v>
      </c>
    </row>
    <row r="1517" spans="1:29" x14ac:dyDescent="0.2">
      <c r="A1517">
        <v>815</v>
      </c>
      <c r="D1517">
        <f t="shared" si="333"/>
        <v>2</v>
      </c>
      <c r="E1517">
        <v>2</v>
      </c>
      <c r="F1517" s="6" t="s">
        <v>454</v>
      </c>
      <c r="I1517" t="s">
        <v>178</v>
      </c>
      <c r="J1517">
        <v>52</v>
      </c>
      <c r="K1517" t="s">
        <v>488</v>
      </c>
      <c r="L1517" t="s">
        <v>10</v>
      </c>
      <c r="M1517" t="s">
        <v>190</v>
      </c>
      <c r="N1517" t="s">
        <v>460</v>
      </c>
      <c r="Q1517">
        <f t="shared" ref="Q1517:S1517" si="378">Q1516</f>
        <v>18977</v>
      </c>
      <c r="R1517" t="str">
        <f t="shared" si="378"/>
        <v>Velodrome</v>
      </c>
      <c r="S1517" t="str">
        <f t="shared" si="378"/>
        <v>HollowBrook</v>
      </c>
      <c r="T1517" s="20">
        <f t="shared" si="337"/>
        <v>0</v>
      </c>
      <c r="U1517">
        <f t="shared" si="338"/>
        <v>163</v>
      </c>
      <c r="V1517">
        <f t="shared" si="339"/>
        <v>163</v>
      </c>
      <c r="W1517" cm="1">
        <f t="array" ref="W1517">_xlfn._xlws.FILTER(shifts!A:A,(shifts!B:B=events!D1517)*(shifts!AH:AH&gt;=events!U1517)*(shifts!AI:AI&lt;=events!V1517))</f>
        <v>52</v>
      </c>
      <c r="X1517" t="str">
        <f t="shared" si="340"/>
        <v>event_team_player_1</v>
      </c>
      <c r="Y1517">
        <f>COUNTIFS(A$3:A1517,"="&amp;A1517,K$3:K1517,"="&amp;K1517)</f>
        <v>1</v>
      </c>
      <c r="Z1517" s="20">
        <f>SUMIFS(T$3:T1517,L$3:L1517,"=Intermission")+SUMIFS(T$3:T1517,L$3:L1517,"=Timeout")+SUMIFS(T$3:T1517,L$3:L1517,"=Clockstop")</f>
        <v>68</v>
      </c>
      <c r="AA1517">
        <f t="shared" si="331"/>
        <v>1148</v>
      </c>
      <c r="AC1517">
        <f t="shared" si="332"/>
        <v>1216</v>
      </c>
    </row>
    <row r="1518" spans="1:29" x14ac:dyDescent="0.2">
      <c r="A1518">
        <v>816</v>
      </c>
      <c r="D1518">
        <f t="shared" si="333"/>
        <v>2</v>
      </c>
      <c r="E1518">
        <v>2</v>
      </c>
      <c r="F1518" s="6" t="s">
        <v>481</v>
      </c>
      <c r="G1518">
        <v>2</v>
      </c>
      <c r="H1518" s="8" t="s">
        <v>453</v>
      </c>
      <c r="I1518" t="s">
        <v>179</v>
      </c>
      <c r="J1518">
        <v>27</v>
      </c>
      <c r="K1518" t="s">
        <v>488</v>
      </c>
      <c r="L1518" t="s">
        <v>15</v>
      </c>
      <c r="Q1518">
        <f t="shared" ref="Q1518:S1518" si="379">Q1517</f>
        <v>18977</v>
      </c>
      <c r="R1518" t="str">
        <f t="shared" si="379"/>
        <v>Velodrome</v>
      </c>
      <c r="S1518" t="str">
        <f t="shared" si="379"/>
        <v>HollowBrook</v>
      </c>
      <c r="T1518" s="20">
        <f t="shared" si="337"/>
        <v>2</v>
      </c>
      <c r="U1518">
        <f t="shared" si="338"/>
        <v>159</v>
      </c>
      <c r="V1518">
        <f t="shared" si="339"/>
        <v>157</v>
      </c>
      <c r="W1518" cm="1">
        <f t="array" ref="W1518">_xlfn._xlws.FILTER(shifts!A:A,(shifts!B:B=events!D1518)*(shifts!AH:AH&gt;=events!U1518)*(shifts!AI:AI&lt;=events!V1518))</f>
        <v>52</v>
      </c>
      <c r="X1518" t="str">
        <f t="shared" si="340"/>
        <v>event_team_player_1</v>
      </c>
      <c r="Y1518">
        <f>COUNTIFS(A$3:A1518,"="&amp;A1518,K$3:K1518,"="&amp;K1518)</f>
        <v>1</v>
      </c>
      <c r="Z1518" s="20">
        <f>SUMIFS(T$3:T1518,L$3:L1518,"=Intermission")+SUMIFS(T$3:T1518,L$3:L1518,"=Timeout")+SUMIFS(T$3:T1518,L$3:L1518,"=Clockstop")</f>
        <v>68</v>
      </c>
      <c r="AA1518">
        <f t="shared" si="331"/>
        <v>1148</v>
      </c>
      <c r="AC1518">
        <f t="shared" si="332"/>
        <v>1216</v>
      </c>
    </row>
    <row r="1519" spans="1:29" x14ac:dyDescent="0.2">
      <c r="A1519">
        <v>816</v>
      </c>
      <c r="D1519">
        <f t="shared" si="333"/>
        <v>2</v>
      </c>
      <c r="E1519">
        <v>2</v>
      </c>
      <c r="F1519" s="6" t="s">
        <v>481</v>
      </c>
      <c r="G1519">
        <v>2</v>
      </c>
      <c r="H1519" s="8" t="s">
        <v>453</v>
      </c>
      <c r="I1519" t="s">
        <v>179</v>
      </c>
      <c r="J1519">
        <v>91</v>
      </c>
      <c r="K1519" t="s">
        <v>489</v>
      </c>
      <c r="L1519" t="s">
        <v>15</v>
      </c>
      <c r="Q1519">
        <f t="shared" ref="Q1519:S1519" si="380">Q1518</f>
        <v>18977</v>
      </c>
      <c r="R1519" t="str">
        <f t="shared" si="380"/>
        <v>Velodrome</v>
      </c>
      <c r="S1519" t="str">
        <f t="shared" si="380"/>
        <v>HollowBrook</v>
      </c>
      <c r="T1519" s="20">
        <f t="shared" si="337"/>
        <v>2</v>
      </c>
      <c r="U1519">
        <f t="shared" si="338"/>
        <v>159</v>
      </c>
      <c r="V1519">
        <f t="shared" si="339"/>
        <v>157</v>
      </c>
      <c r="W1519" cm="1">
        <f t="array" ref="W1519">_xlfn._xlws.FILTER(shifts!A:A,(shifts!B:B=events!D1519)*(shifts!AH:AH&gt;=events!U1519)*(shifts!AI:AI&lt;=events!V1519))</f>
        <v>52</v>
      </c>
      <c r="X1519" t="str">
        <f t="shared" si="340"/>
        <v>opp_team_player_1</v>
      </c>
      <c r="Y1519">
        <f>COUNTIFS(A$3:A1519,"="&amp;A1519,K$3:K1519,"="&amp;K1519)</f>
        <v>1</v>
      </c>
      <c r="Z1519" s="20">
        <f>SUMIFS(T$3:T1519,L$3:L1519,"=Intermission")+SUMIFS(T$3:T1519,L$3:L1519,"=Timeout")+SUMIFS(T$3:T1519,L$3:L1519,"=Clockstop")</f>
        <v>68</v>
      </c>
      <c r="AA1519">
        <f t="shared" si="331"/>
        <v>1148</v>
      </c>
      <c r="AC1519">
        <f t="shared" si="332"/>
        <v>1216</v>
      </c>
    </row>
    <row r="1520" spans="1:29" x14ac:dyDescent="0.2">
      <c r="A1520">
        <v>817</v>
      </c>
      <c r="D1520">
        <f t="shared" si="333"/>
        <v>2</v>
      </c>
      <c r="E1520">
        <v>2</v>
      </c>
      <c r="F1520" s="6" t="s">
        <v>453</v>
      </c>
      <c r="I1520" t="s">
        <v>179</v>
      </c>
      <c r="J1520">
        <v>27</v>
      </c>
      <c r="K1520" t="s">
        <v>488</v>
      </c>
      <c r="L1520" t="s">
        <v>277</v>
      </c>
      <c r="M1520" t="s">
        <v>201</v>
      </c>
      <c r="N1520" t="s">
        <v>92</v>
      </c>
      <c r="Q1520">
        <f t="shared" ref="Q1520:S1520" si="381">Q1519</f>
        <v>18977</v>
      </c>
      <c r="R1520" t="str">
        <f t="shared" si="381"/>
        <v>Velodrome</v>
      </c>
      <c r="S1520" t="str">
        <f t="shared" si="381"/>
        <v>HollowBrook</v>
      </c>
      <c r="T1520" s="20">
        <f t="shared" si="337"/>
        <v>0</v>
      </c>
      <c r="U1520">
        <f t="shared" si="338"/>
        <v>157</v>
      </c>
      <c r="V1520">
        <f t="shared" si="339"/>
        <v>157</v>
      </c>
      <c r="W1520" cm="1">
        <f t="array" ref="W1520">_xlfn._xlws.FILTER(shifts!A:A,(shifts!B:B=events!D1520)*(shifts!AH:AH&gt;=events!U1520)*(shifts!AI:AI&lt;=events!V1520))</f>
        <v>52</v>
      </c>
      <c r="X1520" t="str">
        <f t="shared" si="340"/>
        <v>event_team_player_1</v>
      </c>
      <c r="Y1520">
        <f>COUNTIFS(A$3:A1520,"="&amp;A1520,K$3:K1520,"="&amp;K1520)</f>
        <v>1</v>
      </c>
      <c r="Z1520" s="20">
        <f>SUMIFS(T$3:T1520,L$3:L1520,"=Intermission")+SUMIFS(T$3:T1520,L$3:L1520,"=Timeout")+SUMIFS(T$3:T1520,L$3:L1520,"=Clockstop")</f>
        <v>68</v>
      </c>
      <c r="AA1520">
        <f t="shared" si="331"/>
        <v>1148</v>
      </c>
      <c r="AC1520">
        <f t="shared" si="332"/>
        <v>1216</v>
      </c>
    </row>
    <row r="1521" spans="1:29" x14ac:dyDescent="0.2">
      <c r="A1521">
        <v>818</v>
      </c>
      <c r="D1521">
        <f t="shared" si="333"/>
        <v>2</v>
      </c>
      <c r="E1521">
        <v>2</v>
      </c>
      <c r="F1521" s="6" t="s">
        <v>453</v>
      </c>
      <c r="I1521" t="s">
        <v>179</v>
      </c>
      <c r="J1521">
        <v>27</v>
      </c>
      <c r="K1521" t="s">
        <v>488</v>
      </c>
      <c r="L1521" t="s">
        <v>277</v>
      </c>
      <c r="M1521" t="s">
        <v>191</v>
      </c>
      <c r="N1521" t="s">
        <v>500</v>
      </c>
      <c r="Q1521">
        <f t="shared" ref="Q1521:S1521" si="382">Q1520</f>
        <v>18977</v>
      </c>
      <c r="R1521" t="str">
        <f t="shared" si="382"/>
        <v>Velodrome</v>
      </c>
      <c r="S1521" t="str">
        <f t="shared" si="382"/>
        <v>HollowBrook</v>
      </c>
      <c r="T1521" s="20">
        <f t="shared" si="337"/>
        <v>0</v>
      </c>
      <c r="U1521">
        <f t="shared" si="338"/>
        <v>157</v>
      </c>
      <c r="V1521">
        <f t="shared" si="339"/>
        <v>157</v>
      </c>
      <c r="W1521" cm="1">
        <f t="array" ref="W1521">_xlfn._xlws.FILTER(shifts!A:A,(shifts!B:B=events!D1521)*(shifts!AH:AH&gt;=events!U1521)*(shifts!AI:AI&lt;=events!V1521))</f>
        <v>52</v>
      </c>
      <c r="X1521" t="str">
        <f t="shared" si="340"/>
        <v>event_team_player_1</v>
      </c>
      <c r="Y1521">
        <f>COUNTIFS(A$3:A1521,"="&amp;A1521,K$3:K1521,"="&amp;K1521)</f>
        <v>1</v>
      </c>
      <c r="Z1521" s="20">
        <f>SUMIFS(T$3:T1521,L$3:L1521,"=Intermission")+SUMIFS(T$3:T1521,L$3:L1521,"=Timeout")+SUMIFS(T$3:T1521,L$3:L1521,"=Clockstop")</f>
        <v>68</v>
      </c>
      <c r="AA1521">
        <f t="shared" si="331"/>
        <v>1148</v>
      </c>
      <c r="AC1521">
        <f t="shared" si="332"/>
        <v>1216</v>
      </c>
    </row>
    <row r="1522" spans="1:29" x14ac:dyDescent="0.2">
      <c r="A1522">
        <v>819</v>
      </c>
      <c r="D1522">
        <f t="shared" si="333"/>
        <v>2</v>
      </c>
      <c r="E1522">
        <v>2</v>
      </c>
      <c r="F1522" s="6" t="s">
        <v>472</v>
      </c>
      <c r="I1522" t="s">
        <v>179</v>
      </c>
      <c r="J1522">
        <v>27</v>
      </c>
      <c r="K1522" t="s">
        <v>488</v>
      </c>
      <c r="L1522" t="s">
        <v>10</v>
      </c>
      <c r="M1522" t="s">
        <v>190</v>
      </c>
      <c r="N1522" t="s">
        <v>460</v>
      </c>
      <c r="Q1522">
        <f t="shared" ref="Q1522:S1522" si="383">Q1521</f>
        <v>18977</v>
      </c>
      <c r="R1522" t="str">
        <f t="shared" si="383"/>
        <v>Velodrome</v>
      </c>
      <c r="S1522" t="str">
        <f t="shared" si="383"/>
        <v>HollowBrook</v>
      </c>
      <c r="T1522" s="20">
        <f t="shared" si="337"/>
        <v>0</v>
      </c>
      <c r="U1522">
        <f t="shared" si="338"/>
        <v>150</v>
      </c>
      <c r="V1522">
        <f t="shared" si="339"/>
        <v>150</v>
      </c>
      <c r="W1522" cm="1">
        <f t="array" ref="W1522">_xlfn._xlws.FILTER(shifts!A:A,(shifts!B:B=events!D1522)*(shifts!AH:AH&gt;=events!U1522)*(shifts!AI:AI&lt;=events!V1522))</f>
        <v>53</v>
      </c>
      <c r="X1522" t="str">
        <f t="shared" si="340"/>
        <v>event_team_player_1</v>
      </c>
      <c r="Y1522">
        <f>COUNTIFS(A$3:A1522,"="&amp;A1522,K$3:K1522,"="&amp;K1522)</f>
        <v>1</v>
      </c>
      <c r="Z1522" s="20">
        <f>SUMIFS(T$3:T1522,L$3:L1522,"=Intermission")+SUMIFS(T$3:T1522,L$3:L1522,"=Timeout")+SUMIFS(T$3:T1522,L$3:L1522,"=Clockstop")</f>
        <v>68</v>
      </c>
      <c r="AA1522">
        <f t="shared" si="331"/>
        <v>1148</v>
      </c>
      <c r="AC1522">
        <f t="shared" si="332"/>
        <v>1216</v>
      </c>
    </row>
    <row r="1523" spans="1:29" x14ac:dyDescent="0.2">
      <c r="A1523">
        <v>820</v>
      </c>
      <c r="D1523">
        <f t="shared" si="333"/>
        <v>2</v>
      </c>
      <c r="E1523">
        <v>2</v>
      </c>
      <c r="F1523" s="6" t="s">
        <v>472</v>
      </c>
      <c r="G1523">
        <v>2</v>
      </c>
      <c r="H1523" s="8" t="s">
        <v>441</v>
      </c>
      <c r="I1523" t="s">
        <v>178</v>
      </c>
      <c r="J1523">
        <v>52</v>
      </c>
      <c r="K1523" t="s">
        <v>488</v>
      </c>
      <c r="L1523" t="s">
        <v>15</v>
      </c>
      <c r="Q1523">
        <f t="shared" ref="Q1523:S1523" si="384">Q1522</f>
        <v>18977</v>
      </c>
      <c r="R1523" t="str">
        <f t="shared" si="384"/>
        <v>Velodrome</v>
      </c>
      <c r="S1523" t="str">
        <f t="shared" si="384"/>
        <v>HollowBrook</v>
      </c>
      <c r="T1523" s="20">
        <f t="shared" si="337"/>
        <v>5</v>
      </c>
      <c r="U1523">
        <f t="shared" si="338"/>
        <v>150</v>
      </c>
      <c r="V1523">
        <f t="shared" si="339"/>
        <v>145</v>
      </c>
      <c r="W1523" cm="1">
        <f t="array" ref="W1523">_xlfn._xlws.FILTER(shifts!A:A,(shifts!B:B=events!D1523)*(shifts!AH:AH&gt;=events!U1523)*(shifts!AI:AI&lt;=events!V1523))</f>
        <v>53</v>
      </c>
      <c r="X1523" t="str">
        <f t="shared" si="340"/>
        <v>event_team_player_1</v>
      </c>
      <c r="Y1523">
        <f>COUNTIFS(A$3:A1523,"="&amp;A1523,K$3:K1523,"="&amp;K1523)</f>
        <v>1</v>
      </c>
      <c r="Z1523" s="20">
        <f>SUMIFS(T$3:T1523,L$3:L1523,"=Intermission")+SUMIFS(T$3:T1523,L$3:L1523,"=Timeout")+SUMIFS(T$3:T1523,L$3:L1523,"=Clockstop")</f>
        <v>68</v>
      </c>
      <c r="AA1523">
        <f t="shared" si="331"/>
        <v>1148</v>
      </c>
      <c r="AC1523">
        <f t="shared" si="332"/>
        <v>1216</v>
      </c>
    </row>
    <row r="1524" spans="1:29" x14ac:dyDescent="0.2">
      <c r="A1524">
        <v>821</v>
      </c>
      <c r="D1524">
        <f t="shared" si="333"/>
        <v>2</v>
      </c>
      <c r="E1524">
        <v>2</v>
      </c>
      <c r="F1524" s="6" t="s">
        <v>441</v>
      </c>
      <c r="I1524" t="s">
        <v>178</v>
      </c>
      <c r="J1524">
        <v>52</v>
      </c>
      <c r="K1524" t="s">
        <v>488</v>
      </c>
      <c r="L1524" t="s">
        <v>8</v>
      </c>
      <c r="M1524" t="s">
        <v>189</v>
      </c>
      <c r="N1524" t="s">
        <v>70</v>
      </c>
      <c r="Q1524">
        <f t="shared" ref="Q1524:S1524" si="385">Q1523</f>
        <v>18977</v>
      </c>
      <c r="R1524" t="str">
        <f t="shared" si="385"/>
        <v>Velodrome</v>
      </c>
      <c r="S1524" t="str">
        <f t="shared" si="385"/>
        <v>HollowBrook</v>
      </c>
      <c r="T1524" s="20">
        <f t="shared" si="337"/>
        <v>0</v>
      </c>
      <c r="U1524">
        <f t="shared" si="338"/>
        <v>145</v>
      </c>
      <c r="V1524">
        <f t="shared" si="339"/>
        <v>145</v>
      </c>
      <c r="W1524" cm="1">
        <f t="array" ref="W1524">_xlfn._xlws.FILTER(shifts!A:A,(shifts!B:B=events!D1524)*(shifts!AH:AH&gt;=events!U1524)*(shifts!AI:AI&lt;=events!V1524))</f>
        <v>53</v>
      </c>
      <c r="X1524" t="str">
        <f t="shared" si="340"/>
        <v>event_team_player_1</v>
      </c>
      <c r="Y1524">
        <f>COUNTIFS(A$3:A1524,"="&amp;A1524,K$3:K1524,"="&amp;K1524)</f>
        <v>1</v>
      </c>
      <c r="Z1524" s="20">
        <f>SUMIFS(T$3:T1524,L$3:L1524,"=Intermission")+SUMIFS(T$3:T1524,L$3:L1524,"=Timeout")+SUMIFS(T$3:T1524,L$3:L1524,"=Clockstop")</f>
        <v>68</v>
      </c>
      <c r="AA1524">
        <f t="shared" si="331"/>
        <v>1148</v>
      </c>
      <c r="AC1524">
        <f t="shared" si="332"/>
        <v>1216</v>
      </c>
    </row>
    <row r="1525" spans="1:29" x14ac:dyDescent="0.2">
      <c r="A1525">
        <v>821</v>
      </c>
      <c r="D1525">
        <f t="shared" si="333"/>
        <v>2</v>
      </c>
      <c r="E1525">
        <v>2</v>
      </c>
      <c r="F1525" s="6" t="s">
        <v>441</v>
      </c>
      <c r="I1525" t="s">
        <v>178</v>
      </c>
      <c r="J1525">
        <v>91</v>
      </c>
      <c r="K1525" t="s">
        <v>488</v>
      </c>
      <c r="L1525" t="s">
        <v>8</v>
      </c>
      <c r="M1525" t="s">
        <v>189</v>
      </c>
      <c r="N1525" t="s">
        <v>70</v>
      </c>
      <c r="Q1525">
        <f t="shared" ref="Q1525:S1525" si="386">Q1524</f>
        <v>18977</v>
      </c>
      <c r="R1525" t="str">
        <f t="shared" si="386"/>
        <v>Velodrome</v>
      </c>
      <c r="S1525" t="str">
        <f t="shared" si="386"/>
        <v>HollowBrook</v>
      </c>
      <c r="T1525" s="20">
        <f t="shared" si="337"/>
        <v>0</v>
      </c>
      <c r="U1525">
        <f t="shared" si="338"/>
        <v>145</v>
      </c>
      <c r="V1525">
        <f t="shared" si="339"/>
        <v>145</v>
      </c>
      <c r="W1525" cm="1">
        <f t="array" ref="W1525">_xlfn._xlws.FILTER(shifts!A:A,(shifts!B:B=events!D1525)*(shifts!AH:AH&gt;=events!U1525)*(shifts!AI:AI&lt;=events!V1525))</f>
        <v>53</v>
      </c>
      <c r="X1525" t="str">
        <f t="shared" si="340"/>
        <v>event_team_player_2</v>
      </c>
      <c r="Y1525">
        <f>COUNTIFS(A$3:A1525,"="&amp;A1525,K$3:K1525,"="&amp;K1525)</f>
        <v>2</v>
      </c>
      <c r="Z1525" s="20">
        <f>SUMIFS(T$3:T1525,L$3:L1525,"=Intermission")+SUMIFS(T$3:T1525,L$3:L1525,"=Timeout")+SUMIFS(T$3:T1525,L$3:L1525,"=Clockstop")</f>
        <v>68</v>
      </c>
      <c r="AA1525">
        <f t="shared" si="331"/>
        <v>1148</v>
      </c>
      <c r="AC1525">
        <f t="shared" si="332"/>
        <v>1216</v>
      </c>
    </row>
    <row r="1526" spans="1:29" x14ac:dyDescent="0.2">
      <c r="A1526">
        <v>822</v>
      </c>
      <c r="D1526">
        <f t="shared" si="333"/>
        <v>2</v>
      </c>
      <c r="E1526">
        <v>2</v>
      </c>
      <c r="F1526" s="6" t="s">
        <v>441</v>
      </c>
      <c r="I1526" t="s">
        <v>178</v>
      </c>
      <c r="J1526">
        <v>91</v>
      </c>
      <c r="K1526" t="s">
        <v>488</v>
      </c>
      <c r="L1526" t="s">
        <v>10</v>
      </c>
      <c r="M1526" t="s">
        <v>190</v>
      </c>
      <c r="N1526" t="s">
        <v>73</v>
      </c>
      <c r="Q1526">
        <f t="shared" ref="Q1526:S1526" si="387">Q1525</f>
        <v>18977</v>
      </c>
      <c r="R1526" t="str">
        <f t="shared" si="387"/>
        <v>Velodrome</v>
      </c>
      <c r="S1526" t="str">
        <f t="shared" si="387"/>
        <v>HollowBrook</v>
      </c>
      <c r="T1526" s="20">
        <f t="shared" si="337"/>
        <v>0</v>
      </c>
      <c r="U1526">
        <f t="shared" si="338"/>
        <v>145</v>
      </c>
      <c r="V1526">
        <f t="shared" si="339"/>
        <v>145</v>
      </c>
      <c r="W1526" cm="1">
        <f t="array" ref="W1526">_xlfn._xlws.FILTER(shifts!A:A,(shifts!B:B=events!D1526)*(shifts!AH:AH&gt;=events!U1526)*(shifts!AI:AI&lt;=events!V1526))</f>
        <v>53</v>
      </c>
      <c r="X1526" t="str">
        <f t="shared" si="340"/>
        <v>event_team_player_1</v>
      </c>
      <c r="Y1526">
        <f>COUNTIFS(A$3:A1526,"="&amp;A1526,K$3:K1526,"="&amp;K1526)</f>
        <v>1</v>
      </c>
      <c r="Z1526" s="20">
        <f>SUMIFS(T$3:T1526,L$3:L1526,"=Intermission")+SUMIFS(T$3:T1526,L$3:L1526,"=Timeout")+SUMIFS(T$3:T1526,L$3:L1526,"=Clockstop")</f>
        <v>68</v>
      </c>
      <c r="AA1526">
        <f t="shared" si="331"/>
        <v>1148</v>
      </c>
      <c r="AC1526">
        <f t="shared" si="332"/>
        <v>1216</v>
      </c>
    </row>
    <row r="1527" spans="1:29" x14ac:dyDescent="0.2">
      <c r="A1527">
        <v>822</v>
      </c>
      <c r="D1527">
        <f t="shared" si="333"/>
        <v>2</v>
      </c>
      <c r="E1527">
        <v>2</v>
      </c>
      <c r="F1527" s="6" t="s">
        <v>441</v>
      </c>
      <c r="I1527" t="s">
        <v>178</v>
      </c>
      <c r="J1527">
        <v>11</v>
      </c>
      <c r="K1527" t="s">
        <v>489</v>
      </c>
      <c r="L1527" t="s">
        <v>10</v>
      </c>
      <c r="M1527" t="s">
        <v>190</v>
      </c>
      <c r="N1527" t="s">
        <v>73</v>
      </c>
      <c r="Q1527">
        <f t="shared" ref="Q1527:S1527" si="388">Q1526</f>
        <v>18977</v>
      </c>
      <c r="R1527" t="str">
        <f t="shared" si="388"/>
        <v>Velodrome</v>
      </c>
      <c r="S1527" t="str">
        <f t="shared" si="388"/>
        <v>HollowBrook</v>
      </c>
      <c r="T1527" s="20">
        <f t="shared" si="337"/>
        <v>0</v>
      </c>
      <c r="U1527">
        <f t="shared" si="338"/>
        <v>145</v>
      </c>
      <c r="V1527">
        <f t="shared" si="339"/>
        <v>145</v>
      </c>
      <c r="W1527" cm="1">
        <f t="array" ref="W1527">_xlfn._xlws.FILTER(shifts!A:A,(shifts!B:B=events!D1527)*(shifts!AH:AH&gt;=events!U1527)*(shifts!AI:AI&lt;=events!V1527))</f>
        <v>53</v>
      </c>
      <c r="X1527" t="str">
        <f t="shared" si="340"/>
        <v>opp_team_player_1</v>
      </c>
      <c r="Y1527">
        <f>COUNTIFS(A$3:A1527,"="&amp;A1527,K$3:K1527,"="&amp;K1527)</f>
        <v>1</v>
      </c>
      <c r="Z1527" s="20">
        <f>SUMIFS(T$3:T1527,L$3:L1527,"=Intermission")+SUMIFS(T$3:T1527,L$3:L1527,"=Timeout")+SUMIFS(T$3:T1527,L$3:L1527,"=Clockstop")</f>
        <v>68</v>
      </c>
      <c r="AA1527">
        <f t="shared" si="331"/>
        <v>1148</v>
      </c>
      <c r="AC1527">
        <f t="shared" si="332"/>
        <v>1216</v>
      </c>
    </row>
    <row r="1528" spans="1:29" x14ac:dyDescent="0.2">
      <c r="A1528">
        <v>823</v>
      </c>
      <c r="D1528">
        <f t="shared" si="333"/>
        <v>2</v>
      </c>
      <c r="E1528">
        <v>2</v>
      </c>
      <c r="F1528" s="6" t="s">
        <v>441</v>
      </c>
      <c r="I1528" t="s">
        <v>178</v>
      </c>
      <c r="J1528">
        <v>91</v>
      </c>
      <c r="K1528" t="s">
        <v>488</v>
      </c>
      <c r="L1528" t="s">
        <v>277</v>
      </c>
      <c r="M1528" t="s">
        <v>201</v>
      </c>
      <c r="N1528" t="s">
        <v>501</v>
      </c>
      <c r="Q1528">
        <f t="shared" ref="Q1528:S1528" si="389">Q1527</f>
        <v>18977</v>
      </c>
      <c r="R1528" t="str">
        <f t="shared" si="389"/>
        <v>Velodrome</v>
      </c>
      <c r="S1528" t="str">
        <f t="shared" si="389"/>
        <v>HollowBrook</v>
      </c>
      <c r="T1528" s="20">
        <f t="shared" si="337"/>
        <v>0</v>
      </c>
      <c r="U1528">
        <f t="shared" si="338"/>
        <v>145</v>
      </c>
      <c r="V1528">
        <f t="shared" si="339"/>
        <v>145</v>
      </c>
      <c r="W1528" cm="1">
        <f t="array" ref="W1528">_xlfn._xlws.FILTER(shifts!A:A,(shifts!B:B=events!D1528)*(shifts!AH:AH&gt;=events!U1528)*(shifts!AI:AI&lt;=events!V1528))</f>
        <v>53</v>
      </c>
      <c r="X1528" t="str">
        <f t="shared" si="340"/>
        <v>event_team_player_1</v>
      </c>
      <c r="Y1528">
        <f>COUNTIFS(A$3:A1528,"="&amp;A1528,K$3:K1528,"="&amp;K1528)</f>
        <v>1</v>
      </c>
      <c r="Z1528" s="20">
        <f>SUMIFS(T$3:T1528,L$3:L1528,"=Intermission")+SUMIFS(T$3:T1528,L$3:L1528,"=Timeout")+SUMIFS(T$3:T1528,L$3:L1528,"=Clockstop")</f>
        <v>68</v>
      </c>
      <c r="AA1528">
        <f t="shared" si="331"/>
        <v>1148</v>
      </c>
      <c r="AC1528">
        <f t="shared" si="332"/>
        <v>1216</v>
      </c>
    </row>
    <row r="1529" spans="1:29" x14ac:dyDescent="0.2">
      <c r="A1529">
        <v>823</v>
      </c>
      <c r="D1529">
        <f t="shared" si="333"/>
        <v>2</v>
      </c>
      <c r="E1529">
        <v>2</v>
      </c>
      <c r="F1529" s="6" t="s">
        <v>441</v>
      </c>
      <c r="I1529" t="s">
        <v>178</v>
      </c>
      <c r="J1529">
        <v>11</v>
      </c>
      <c r="K1529" t="s">
        <v>489</v>
      </c>
      <c r="L1529" t="s">
        <v>277</v>
      </c>
      <c r="M1529" t="s">
        <v>201</v>
      </c>
      <c r="N1529" t="s">
        <v>501</v>
      </c>
      <c r="Q1529">
        <f t="shared" ref="Q1529:S1529" si="390">Q1528</f>
        <v>18977</v>
      </c>
      <c r="R1529" t="str">
        <f t="shared" si="390"/>
        <v>Velodrome</v>
      </c>
      <c r="S1529" t="str">
        <f t="shared" si="390"/>
        <v>HollowBrook</v>
      </c>
      <c r="T1529" s="20">
        <f t="shared" si="337"/>
        <v>0</v>
      </c>
      <c r="U1529">
        <f t="shared" si="338"/>
        <v>145</v>
      </c>
      <c r="V1529">
        <f t="shared" si="339"/>
        <v>145</v>
      </c>
      <c r="W1529" cm="1">
        <f t="array" ref="W1529">_xlfn._xlws.FILTER(shifts!A:A,(shifts!B:B=events!D1529)*(shifts!AH:AH&gt;=events!U1529)*(shifts!AI:AI&lt;=events!V1529))</f>
        <v>53</v>
      </c>
      <c r="X1529" t="str">
        <f t="shared" si="340"/>
        <v>opp_team_player_1</v>
      </c>
      <c r="Y1529">
        <f>COUNTIFS(A$3:A1529,"="&amp;A1529,K$3:K1529,"="&amp;K1529)</f>
        <v>1</v>
      </c>
      <c r="Z1529" s="20">
        <f>SUMIFS(T$3:T1529,L$3:L1529,"=Intermission")+SUMIFS(T$3:T1529,L$3:L1529,"=Timeout")+SUMIFS(T$3:T1529,L$3:L1529,"=Clockstop")</f>
        <v>68</v>
      </c>
      <c r="AA1529">
        <f t="shared" si="331"/>
        <v>1148</v>
      </c>
      <c r="AC1529">
        <f t="shared" si="332"/>
        <v>1216</v>
      </c>
    </row>
    <row r="1530" spans="1:29" x14ac:dyDescent="0.2">
      <c r="A1530">
        <v>824</v>
      </c>
      <c r="D1530">
        <f t="shared" si="333"/>
        <v>2</v>
      </c>
      <c r="E1530">
        <v>2</v>
      </c>
      <c r="F1530" s="6" t="s">
        <v>484</v>
      </c>
      <c r="G1530">
        <v>2</v>
      </c>
      <c r="H1530" s="8" t="s">
        <v>445</v>
      </c>
      <c r="I1530" t="s">
        <v>179</v>
      </c>
      <c r="J1530">
        <v>11</v>
      </c>
      <c r="K1530" t="s">
        <v>488</v>
      </c>
      <c r="L1530" t="s">
        <v>15</v>
      </c>
      <c r="Q1530">
        <f t="shared" ref="Q1530:S1530" si="391">Q1529</f>
        <v>18977</v>
      </c>
      <c r="R1530" t="str">
        <f t="shared" si="391"/>
        <v>Velodrome</v>
      </c>
      <c r="S1530" t="str">
        <f t="shared" si="391"/>
        <v>HollowBrook</v>
      </c>
      <c r="T1530" s="20">
        <f t="shared" si="337"/>
        <v>3</v>
      </c>
      <c r="U1530">
        <f t="shared" si="338"/>
        <v>142</v>
      </c>
      <c r="V1530">
        <f t="shared" si="339"/>
        <v>139</v>
      </c>
      <c r="W1530" cm="1">
        <f t="array" ref="W1530">_xlfn._xlws.FILTER(shifts!A:A,(shifts!B:B=events!D1530)*(shifts!AH:AH&gt;=events!U1530)*(shifts!AI:AI&lt;=events!V1530))</f>
        <v>53</v>
      </c>
      <c r="X1530" t="str">
        <f t="shared" si="340"/>
        <v>event_team_player_1</v>
      </c>
      <c r="Y1530">
        <f>COUNTIFS(A$3:A1530,"="&amp;A1530,K$3:K1530,"="&amp;K1530)</f>
        <v>1</v>
      </c>
      <c r="Z1530" s="20">
        <f>SUMIFS(T$3:T1530,L$3:L1530,"=Intermission")+SUMIFS(T$3:T1530,L$3:L1530,"=Timeout")+SUMIFS(T$3:T1530,L$3:L1530,"=Clockstop")</f>
        <v>68</v>
      </c>
      <c r="AA1530">
        <f t="shared" si="331"/>
        <v>1148</v>
      </c>
      <c r="AC1530">
        <f t="shared" si="332"/>
        <v>1216</v>
      </c>
    </row>
    <row r="1531" spans="1:29" x14ac:dyDescent="0.2">
      <c r="A1531">
        <v>825</v>
      </c>
      <c r="D1531">
        <f t="shared" si="333"/>
        <v>2</v>
      </c>
      <c r="E1531">
        <v>2</v>
      </c>
      <c r="F1531" s="6" t="s">
        <v>445</v>
      </c>
      <c r="I1531" t="s">
        <v>178</v>
      </c>
      <c r="J1531">
        <v>70</v>
      </c>
      <c r="K1531" t="s">
        <v>488</v>
      </c>
      <c r="L1531" t="s">
        <v>10</v>
      </c>
      <c r="M1531" t="s">
        <v>200</v>
      </c>
      <c r="N1531" t="s">
        <v>82</v>
      </c>
      <c r="Q1531">
        <f t="shared" ref="Q1531:S1531" si="392">Q1530</f>
        <v>18977</v>
      </c>
      <c r="R1531" t="str">
        <f t="shared" si="392"/>
        <v>Velodrome</v>
      </c>
      <c r="S1531" t="str">
        <f t="shared" si="392"/>
        <v>HollowBrook</v>
      </c>
      <c r="T1531" s="20">
        <f t="shared" si="337"/>
        <v>0</v>
      </c>
      <c r="U1531">
        <f t="shared" si="338"/>
        <v>139</v>
      </c>
      <c r="V1531">
        <f t="shared" si="339"/>
        <v>139</v>
      </c>
      <c r="W1531">
        <v>54</v>
      </c>
      <c r="X1531" t="str">
        <f t="shared" si="340"/>
        <v>event_team_player_1</v>
      </c>
      <c r="Y1531">
        <f>COUNTIFS(A$3:A1531,"="&amp;A1531,K$3:K1531,"="&amp;K1531)</f>
        <v>1</v>
      </c>
      <c r="Z1531" s="20">
        <f>SUMIFS(T$3:T1531,L$3:L1531,"=Intermission")+SUMIFS(T$3:T1531,L$3:L1531,"=Timeout")+SUMIFS(T$3:T1531,L$3:L1531,"=Clockstop")</f>
        <v>68</v>
      </c>
      <c r="AA1531">
        <f t="shared" si="331"/>
        <v>1148</v>
      </c>
      <c r="AC1531">
        <f t="shared" si="332"/>
        <v>1216</v>
      </c>
    </row>
    <row r="1532" spans="1:29" x14ac:dyDescent="0.2">
      <c r="A1532">
        <v>825</v>
      </c>
      <c r="D1532">
        <f t="shared" si="333"/>
        <v>2</v>
      </c>
      <c r="E1532">
        <v>2</v>
      </c>
      <c r="F1532" s="6" t="s">
        <v>445</v>
      </c>
      <c r="I1532" t="s">
        <v>178</v>
      </c>
      <c r="J1532">
        <v>11</v>
      </c>
      <c r="K1532" t="s">
        <v>489</v>
      </c>
      <c r="L1532" t="s">
        <v>10</v>
      </c>
      <c r="M1532" t="s">
        <v>200</v>
      </c>
      <c r="N1532" t="s">
        <v>82</v>
      </c>
      <c r="Q1532">
        <f t="shared" ref="Q1532:S1532" si="393">Q1531</f>
        <v>18977</v>
      </c>
      <c r="R1532" t="str">
        <f t="shared" si="393"/>
        <v>Velodrome</v>
      </c>
      <c r="S1532" t="str">
        <f t="shared" si="393"/>
        <v>HollowBrook</v>
      </c>
      <c r="T1532" s="20">
        <f t="shared" si="337"/>
        <v>0</v>
      </c>
      <c r="U1532">
        <f t="shared" si="338"/>
        <v>139</v>
      </c>
      <c r="V1532">
        <f t="shared" si="339"/>
        <v>139</v>
      </c>
      <c r="W1532">
        <v>54</v>
      </c>
      <c r="X1532" t="str">
        <f t="shared" si="340"/>
        <v>opp_team_player_1</v>
      </c>
      <c r="Y1532">
        <f>COUNTIFS(A$3:A1532,"="&amp;A1532,K$3:K1532,"="&amp;K1532)</f>
        <v>1</v>
      </c>
      <c r="Z1532" s="20">
        <f>SUMIFS(T$3:T1532,L$3:L1532,"=Intermission")+SUMIFS(T$3:T1532,L$3:L1532,"=Timeout")+SUMIFS(T$3:T1532,L$3:L1532,"=Clockstop")</f>
        <v>68</v>
      </c>
      <c r="AA1532">
        <f t="shared" si="331"/>
        <v>1148</v>
      </c>
      <c r="AC1532">
        <f t="shared" si="332"/>
        <v>1216</v>
      </c>
    </row>
    <row r="1533" spans="1:29" x14ac:dyDescent="0.2">
      <c r="A1533">
        <v>826</v>
      </c>
      <c r="D1533">
        <f t="shared" si="333"/>
        <v>2</v>
      </c>
      <c r="E1533">
        <v>2</v>
      </c>
      <c r="F1533" s="6" t="s">
        <v>445</v>
      </c>
      <c r="I1533" t="s">
        <v>178</v>
      </c>
      <c r="J1533">
        <v>91</v>
      </c>
      <c r="K1533" t="s">
        <v>488</v>
      </c>
      <c r="L1533" t="s">
        <v>8</v>
      </c>
      <c r="M1533" t="s">
        <v>189</v>
      </c>
      <c r="N1533" t="s">
        <v>70</v>
      </c>
      <c r="Q1533">
        <f t="shared" ref="Q1533:S1533" si="394">Q1532</f>
        <v>18977</v>
      </c>
      <c r="R1533" t="str">
        <f t="shared" si="394"/>
        <v>Velodrome</v>
      </c>
      <c r="S1533" t="str">
        <f t="shared" si="394"/>
        <v>HollowBrook</v>
      </c>
      <c r="T1533" s="20">
        <f t="shared" si="337"/>
        <v>0</v>
      </c>
      <c r="U1533">
        <f t="shared" si="338"/>
        <v>139</v>
      </c>
      <c r="V1533">
        <f t="shared" si="339"/>
        <v>139</v>
      </c>
      <c r="W1533">
        <v>54</v>
      </c>
      <c r="X1533" t="str">
        <f t="shared" si="340"/>
        <v>event_team_player_1</v>
      </c>
      <c r="Y1533">
        <f>COUNTIFS(A$3:A1533,"="&amp;A1533,K$3:K1533,"="&amp;K1533)</f>
        <v>1</v>
      </c>
      <c r="Z1533" s="20">
        <f>SUMIFS(T$3:T1533,L$3:L1533,"=Intermission")+SUMIFS(T$3:T1533,L$3:L1533,"=Timeout")+SUMIFS(T$3:T1533,L$3:L1533,"=Clockstop")</f>
        <v>68</v>
      </c>
      <c r="AA1533">
        <f t="shared" si="331"/>
        <v>1148</v>
      </c>
      <c r="AC1533">
        <f t="shared" si="332"/>
        <v>1216</v>
      </c>
    </row>
    <row r="1534" spans="1:29" x14ac:dyDescent="0.2">
      <c r="A1534">
        <v>826</v>
      </c>
      <c r="D1534">
        <f t="shared" si="333"/>
        <v>2</v>
      </c>
      <c r="E1534">
        <v>2</v>
      </c>
      <c r="F1534" s="6" t="s">
        <v>445</v>
      </c>
      <c r="I1534" t="s">
        <v>178</v>
      </c>
      <c r="J1534">
        <v>70</v>
      </c>
      <c r="K1534" t="s">
        <v>488</v>
      </c>
      <c r="L1534" t="s">
        <v>8</v>
      </c>
      <c r="M1534" t="s">
        <v>189</v>
      </c>
      <c r="N1534" t="s">
        <v>70</v>
      </c>
      <c r="Q1534">
        <f t="shared" ref="Q1534:S1534" si="395">Q1533</f>
        <v>18977</v>
      </c>
      <c r="R1534" t="str">
        <f t="shared" si="395"/>
        <v>Velodrome</v>
      </c>
      <c r="S1534" t="str">
        <f t="shared" si="395"/>
        <v>HollowBrook</v>
      </c>
      <c r="T1534" s="20">
        <f t="shared" si="337"/>
        <v>0</v>
      </c>
      <c r="U1534">
        <f t="shared" si="338"/>
        <v>139</v>
      </c>
      <c r="V1534">
        <f t="shared" si="339"/>
        <v>139</v>
      </c>
      <c r="W1534">
        <v>54</v>
      </c>
      <c r="X1534" t="str">
        <f t="shared" si="340"/>
        <v>event_team_player_2</v>
      </c>
      <c r="Y1534">
        <f>COUNTIFS(A$3:A1534,"="&amp;A1534,K$3:K1534,"="&amp;K1534)</f>
        <v>2</v>
      </c>
      <c r="Z1534" s="20">
        <f>SUMIFS(T$3:T1534,L$3:L1534,"=Intermission")+SUMIFS(T$3:T1534,L$3:L1534,"=Timeout")+SUMIFS(T$3:T1534,L$3:L1534,"=Clockstop")</f>
        <v>68</v>
      </c>
      <c r="AA1534">
        <f t="shared" si="331"/>
        <v>1148</v>
      </c>
      <c r="AC1534">
        <f t="shared" si="332"/>
        <v>1216</v>
      </c>
    </row>
    <row r="1535" spans="1:29" x14ac:dyDescent="0.2">
      <c r="A1535">
        <v>827</v>
      </c>
      <c r="D1535">
        <f t="shared" si="333"/>
        <v>2</v>
      </c>
      <c r="E1535">
        <v>2</v>
      </c>
      <c r="F1535" s="6" t="s">
        <v>447</v>
      </c>
      <c r="G1535">
        <v>2</v>
      </c>
      <c r="H1535" s="8" t="s">
        <v>317</v>
      </c>
      <c r="I1535" t="s">
        <v>178</v>
      </c>
      <c r="J1535">
        <v>70</v>
      </c>
      <c r="K1535" t="s">
        <v>488</v>
      </c>
      <c r="L1535" t="s">
        <v>277</v>
      </c>
      <c r="M1535" t="s">
        <v>191</v>
      </c>
      <c r="N1535" t="s">
        <v>87</v>
      </c>
      <c r="Q1535">
        <f t="shared" ref="Q1535:S1535" si="396">Q1534</f>
        <v>18977</v>
      </c>
      <c r="R1535" t="str">
        <f t="shared" si="396"/>
        <v>Velodrome</v>
      </c>
      <c r="S1535" t="str">
        <f t="shared" si="396"/>
        <v>HollowBrook</v>
      </c>
      <c r="T1535" s="20">
        <f t="shared" si="337"/>
        <v>2</v>
      </c>
      <c r="U1535">
        <f t="shared" si="338"/>
        <v>135</v>
      </c>
      <c r="V1535">
        <f t="shared" si="339"/>
        <v>133</v>
      </c>
      <c r="W1535">
        <v>54</v>
      </c>
      <c r="X1535" t="str">
        <f t="shared" si="340"/>
        <v>event_team_player_1</v>
      </c>
      <c r="Y1535">
        <f>COUNTIFS(A$3:A1535,"="&amp;A1535,K$3:K1535,"="&amp;K1535)</f>
        <v>1</v>
      </c>
      <c r="Z1535" s="20">
        <f>SUMIFS(T$3:T1535,L$3:L1535,"=Intermission")+SUMIFS(T$3:T1535,L$3:L1535,"=Timeout")+SUMIFS(T$3:T1535,L$3:L1535,"=Clockstop")</f>
        <v>68</v>
      </c>
      <c r="AA1535">
        <f t="shared" si="331"/>
        <v>1148</v>
      </c>
      <c r="AC1535">
        <f t="shared" si="332"/>
        <v>1216</v>
      </c>
    </row>
    <row r="1536" spans="1:29" x14ac:dyDescent="0.2">
      <c r="A1536">
        <v>827</v>
      </c>
      <c r="D1536">
        <f t="shared" si="333"/>
        <v>2</v>
      </c>
      <c r="E1536">
        <v>2</v>
      </c>
      <c r="F1536" s="6" t="s">
        <v>447</v>
      </c>
      <c r="G1536">
        <v>2</v>
      </c>
      <c r="H1536" s="8" t="s">
        <v>317</v>
      </c>
      <c r="I1536" t="s">
        <v>178</v>
      </c>
      <c r="J1536">
        <v>2</v>
      </c>
      <c r="K1536" t="s">
        <v>489</v>
      </c>
      <c r="L1536" t="s">
        <v>277</v>
      </c>
      <c r="M1536" t="s">
        <v>191</v>
      </c>
      <c r="N1536" t="s">
        <v>87</v>
      </c>
      <c r="Q1536">
        <f t="shared" ref="Q1536:S1536" si="397">Q1535</f>
        <v>18977</v>
      </c>
      <c r="R1536" t="str">
        <f t="shared" si="397"/>
        <v>Velodrome</v>
      </c>
      <c r="S1536" t="str">
        <f t="shared" si="397"/>
        <v>HollowBrook</v>
      </c>
      <c r="T1536" s="20">
        <f t="shared" si="337"/>
        <v>2</v>
      </c>
      <c r="U1536">
        <f t="shared" si="338"/>
        <v>135</v>
      </c>
      <c r="V1536">
        <f t="shared" si="339"/>
        <v>133</v>
      </c>
      <c r="W1536" cm="1">
        <f t="array" ref="W1536">_xlfn._xlws.FILTER(shifts!A:A,(shifts!B:B=events!D1536)*(shifts!AH:AH&gt;=events!U1536)*(shifts!AI:AI&lt;=events!V1536))</f>
        <v>54</v>
      </c>
      <c r="X1536" t="str">
        <f t="shared" si="340"/>
        <v>opp_team_player_1</v>
      </c>
      <c r="Y1536">
        <f>COUNTIFS(A$3:A1536,"="&amp;A1536,K$3:K1536,"="&amp;K1536)</f>
        <v>1</v>
      </c>
      <c r="Z1536" s="20">
        <f>SUMIFS(T$3:T1536,L$3:L1536,"=Intermission")+SUMIFS(T$3:T1536,L$3:L1536,"=Timeout")+SUMIFS(T$3:T1536,L$3:L1536,"=Clockstop")</f>
        <v>68</v>
      </c>
      <c r="AA1536">
        <f t="shared" si="331"/>
        <v>1148</v>
      </c>
      <c r="AC1536">
        <f t="shared" si="332"/>
        <v>1216</v>
      </c>
    </row>
    <row r="1537" spans="1:29" x14ac:dyDescent="0.2">
      <c r="A1537">
        <v>828</v>
      </c>
      <c r="D1537">
        <f t="shared" si="333"/>
        <v>2</v>
      </c>
      <c r="E1537">
        <v>2</v>
      </c>
      <c r="F1537" s="6" t="s">
        <v>317</v>
      </c>
      <c r="I1537" t="s">
        <v>178</v>
      </c>
      <c r="J1537">
        <v>70</v>
      </c>
      <c r="K1537" t="s">
        <v>488</v>
      </c>
      <c r="L1537" t="s">
        <v>7</v>
      </c>
      <c r="M1537" t="s">
        <v>198</v>
      </c>
      <c r="N1537" t="s">
        <v>53</v>
      </c>
      <c r="Q1537">
        <f t="shared" ref="Q1537:S1537" si="398">Q1536</f>
        <v>18977</v>
      </c>
      <c r="R1537" t="str">
        <f t="shared" si="398"/>
        <v>Velodrome</v>
      </c>
      <c r="S1537" t="str">
        <f t="shared" si="398"/>
        <v>HollowBrook</v>
      </c>
      <c r="T1537" s="20">
        <f t="shared" si="337"/>
        <v>0</v>
      </c>
      <c r="U1537">
        <f t="shared" si="338"/>
        <v>133</v>
      </c>
      <c r="V1537">
        <f t="shared" si="339"/>
        <v>133</v>
      </c>
      <c r="W1537" cm="1">
        <f t="array" ref="W1537">_xlfn._xlws.FILTER(shifts!A:A,(shifts!B:B=events!D1537)*(shifts!AH:AH&gt;=events!U1537)*(shifts!AI:AI&lt;=events!V1537))</f>
        <v>54</v>
      </c>
      <c r="X1537" t="str">
        <f t="shared" si="340"/>
        <v>event_team_player_1</v>
      </c>
      <c r="Y1537">
        <f>COUNTIFS(A$3:A1537,"="&amp;A1537,K$3:K1537,"="&amp;K1537)</f>
        <v>1</v>
      </c>
      <c r="Z1537" s="20">
        <f>SUMIFS(T$3:T1537,L$3:L1537,"=Intermission")+SUMIFS(T$3:T1537,L$3:L1537,"=Timeout")+SUMIFS(T$3:T1537,L$3:L1537,"=Clockstop")</f>
        <v>68</v>
      </c>
      <c r="AA1537">
        <f t="shared" si="331"/>
        <v>1148</v>
      </c>
      <c r="AC1537">
        <f t="shared" si="332"/>
        <v>1216</v>
      </c>
    </row>
    <row r="1538" spans="1:29" x14ac:dyDescent="0.2">
      <c r="A1538">
        <v>828</v>
      </c>
      <c r="D1538">
        <f t="shared" si="333"/>
        <v>2</v>
      </c>
      <c r="E1538">
        <v>2</v>
      </c>
      <c r="F1538" s="6" t="s">
        <v>317</v>
      </c>
      <c r="I1538" t="s">
        <v>178</v>
      </c>
      <c r="J1538">
        <v>2</v>
      </c>
      <c r="K1538" t="s">
        <v>489</v>
      </c>
      <c r="L1538" t="s">
        <v>7</v>
      </c>
      <c r="M1538" t="s">
        <v>198</v>
      </c>
      <c r="N1538" t="s">
        <v>53</v>
      </c>
      <c r="Q1538">
        <f t="shared" ref="Q1538:S1538" si="399">Q1537</f>
        <v>18977</v>
      </c>
      <c r="R1538" t="str">
        <f t="shared" si="399"/>
        <v>Velodrome</v>
      </c>
      <c r="S1538" t="str">
        <f t="shared" si="399"/>
        <v>HollowBrook</v>
      </c>
      <c r="T1538" s="20">
        <f t="shared" si="337"/>
        <v>0</v>
      </c>
      <c r="U1538">
        <f t="shared" si="338"/>
        <v>133</v>
      </c>
      <c r="V1538">
        <f t="shared" si="339"/>
        <v>133</v>
      </c>
      <c r="W1538" cm="1">
        <f t="array" ref="W1538">_xlfn._xlws.FILTER(shifts!A:A,(shifts!B:B=events!D1538)*(shifts!AH:AH&gt;=events!U1538)*(shifts!AI:AI&lt;=events!V1538))</f>
        <v>54</v>
      </c>
      <c r="X1538" t="str">
        <f t="shared" si="340"/>
        <v>opp_team_player_1</v>
      </c>
      <c r="Y1538">
        <f>COUNTIFS(A$3:A1538,"="&amp;A1538,K$3:K1538,"="&amp;K1538)</f>
        <v>1</v>
      </c>
      <c r="Z1538" s="20">
        <f>SUMIFS(T$3:T1538,L$3:L1538,"=Intermission")+SUMIFS(T$3:T1538,L$3:L1538,"=Timeout")+SUMIFS(T$3:T1538,L$3:L1538,"=Clockstop")</f>
        <v>68</v>
      </c>
      <c r="AA1538">
        <f t="shared" si="331"/>
        <v>1148</v>
      </c>
      <c r="AC1538">
        <f t="shared" si="332"/>
        <v>1216</v>
      </c>
    </row>
    <row r="1539" spans="1:29" x14ac:dyDescent="0.2">
      <c r="A1539">
        <v>829</v>
      </c>
      <c r="D1539">
        <f t="shared" si="333"/>
        <v>2</v>
      </c>
      <c r="E1539">
        <v>2</v>
      </c>
      <c r="F1539" s="6" t="s">
        <v>486</v>
      </c>
      <c r="I1539" t="s">
        <v>178</v>
      </c>
      <c r="J1539">
        <v>24</v>
      </c>
      <c r="K1539" t="s">
        <v>488</v>
      </c>
      <c r="L1539" t="s">
        <v>277</v>
      </c>
      <c r="M1539" t="s">
        <v>210</v>
      </c>
      <c r="N1539" t="s">
        <v>93</v>
      </c>
      <c r="Q1539">
        <f t="shared" ref="Q1539:S1539" si="400">Q1538</f>
        <v>18977</v>
      </c>
      <c r="R1539" t="str">
        <f t="shared" si="400"/>
        <v>Velodrome</v>
      </c>
      <c r="S1539" t="str">
        <f t="shared" si="400"/>
        <v>HollowBrook</v>
      </c>
      <c r="T1539" s="20">
        <f t="shared" si="337"/>
        <v>0</v>
      </c>
      <c r="U1539">
        <f t="shared" si="338"/>
        <v>131</v>
      </c>
      <c r="V1539">
        <f t="shared" si="339"/>
        <v>131</v>
      </c>
      <c r="W1539" cm="1">
        <f t="array" ref="W1539">_xlfn._xlws.FILTER(shifts!A:A,(shifts!B:B=events!D1539)*(shifts!AH:AH&gt;=events!U1539)*(shifts!AI:AI&lt;=events!V1539))</f>
        <v>55</v>
      </c>
      <c r="X1539" t="str">
        <f t="shared" si="340"/>
        <v>event_team_player_1</v>
      </c>
      <c r="Y1539">
        <f>COUNTIFS(A$3:A1539,"="&amp;A1539,K$3:K1539,"="&amp;K1539)</f>
        <v>1</v>
      </c>
      <c r="Z1539" s="20">
        <f>SUMIFS(T$3:T1539,L$3:L1539,"=Intermission")+SUMIFS(T$3:T1539,L$3:L1539,"=Timeout")+SUMIFS(T$3:T1539,L$3:L1539,"=Clockstop")</f>
        <v>68</v>
      </c>
      <c r="AA1539">
        <f t="shared" si="331"/>
        <v>1148</v>
      </c>
      <c r="AC1539">
        <f t="shared" si="332"/>
        <v>1216</v>
      </c>
    </row>
    <row r="1540" spans="1:29" x14ac:dyDescent="0.2">
      <c r="A1540">
        <v>829</v>
      </c>
      <c r="D1540">
        <f t="shared" si="333"/>
        <v>2</v>
      </c>
      <c r="E1540">
        <v>2</v>
      </c>
      <c r="F1540" s="6" t="s">
        <v>486</v>
      </c>
      <c r="I1540" t="s">
        <v>178</v>
      </c>
      <c r="J1540">
        <v>11</v>
      </c>
      <c r="K1540" t="s">
        <v>489</v>
      </c>
      <c r="L1540" t="s">
        <v>277</v>
      </c>
      <c r="M1540" t="s">
        <v>210</v>
      </c>
      <c r="N1540" t="s">
        <v>93</v>
      </c>
      <c r="Q1540">
        <f t="shared" ref="Q1540:S1540" si="401">Q1539</f>
        <v>18977</v>
      </c>
      <c r="R1540" t="str">
        <f t="shared" si="401"/>
        <v>Velodrome</v>
      </c>
      <c r="S1540" t="str">
        <f t="shared" si="401"/>
        <v>HollowBrook</v>
      </c>
      <c r="T1540" s="20">
        <f t="shared" si="337"/>
        <v>0</v>
      </c>
      <c r="U1540">
        <f t="shared" si="338"/>
        <v>131</v>
      </c>
      <c r="V1540">
        <f t="shared" si="339"/>
        <v>131</v>
      </c>
      <c r="W1540" cm="1">
        <f t="array" ref="W1540">_xlfn._xlws.FILTER(shifts!A:A,(shifts!B:B=events!D1540)*(shifts!AH:AH&gt;=events!U1540)*(shifts!AI:AI&lt;=events!V1540))</f>
        <v>55</v>
      </c>
      <c r="X1540" t="str">
        <f t="shared" si="340"/>
        <v>opp_team_player_1</v>
      </c>
      <c r="Y1540">
        <f>COUNTIFS(A$3:A1540,"="&amp;A1540,K$3:K1540,"="&amp;K1540)</f>
        <v>1</v>
      </c>
      <c r="Z1540" s="20">
        <f>SUMIFS(T$3:T1540,L$3:L1540,"=Intermission")+SUMIFS(T$3:T1540,L$3:L1540,"=Timeout")+SUMIFS(T$3:T1540,L$3:L1540,"=Clockstop")</f>
        <v>68</v>
      </c>
      <c r="AA1540">
        <f t="shared" ref="AA1540:AA1603" si="402">IF(D1540=1,0,IF(D1540=2,1080+Z1540,IF(D1540=3,(1080*2)+Z1540,0)))</f>
        <v>1148</v>
      </c>
      <c r="AC1540">
        <f t="shared" ref="AC1540:AC1603" si="403">IF(L1539="GameStart",0,AA1540+Z1540)</f>
        <v>1216</v>
      </c>
    </row>
    <row r="1541" spans="1:29" x14ac:dyDescent="0.2">
      <c r="A1541">
        <v>830</v>
      </c>
      <c r="D1541">
        <f t="shared" ref="D1541:D1604" si="404">IF(L1541="Intermission",D1540+1,D1540)</f>
        <v>2</v>
      </c>
      <c r="E1541">
        <v>2</v>
      </c>
      <c r="F1541" s="6" t="s">
        <v>425</v>
      </c>
      <c r="I1541" t="s">
        <v>179</v>
      </c>
      <c r="J1541">
        <v>11</v>
      </c>
      <c r="K1541" t="s">
        <v>488</v>
      </c>
      <c r="L1541" t="s">
        <v>10</v>
      </c>
      <c r="M1541" t="s">
        <v>200</v>
      </c>
      <c r="N1541" t="s">
        <v>81</v>
      </c>
      <c r="Q1541">
        <f t="shared" ref="Q1541:S1541" si="405">Q1540</f>
        <v>18977</v>
      </c>
      <c r="R1541" t="str">
        <f t="shared" si="405"/>
        <v>Velodrome</v>
      </c>
      <c r="S1541" t="str">
        <f t="shared" si="405"/>
        <v>HollowBrook</v>
      </c>
      <c r="T1541" s="20">
        <f t="shared" si="337"/>
        <v>0</v>
      </c>
      <c r="U1541">
        <f t="shared" si="338"/>
        <v>130</v>
      </c>
      <c r="V1541">
        <f t="shared" si="339"/>
        <v>130</v>
      </c>
      <c r="W1541" cm="1">
        <f t="array" ref="W1541">_xlfn._xlws.FILTER(shifts!A:A,(shifts!B:B=events!D1541)*(shifts!AH:AH&gt;=events!U1541)*(shifts!AI:AI&lt;=events!V1541))</f>
        <v>55</v>
      </c>
      <c r="X1541" t="str">
        <f t="shared" si="340"/>
        <v>event_team_player_1</v>
      </c>
      <c r="Y1541">
        <f>COUNTIFS(A$3:A1541,"="&amp;A1541,K$3:K1541,"="&amp;K1541)</f>
        <v>1</v>
      </c>
      <c r="Z1541" s="20">
        <f>SUMIFS(T$3:T1541,L$3:L1541,"=Intermission")+SUMIFS(T$3:T1541,L$3:L1541,"=Timeout")+SUMIFS(T$3:T1541,L$3:L1541,"=Clockstop")</f>
        <v>68</v>
      </c>
      <c r="AA1541">
        <f t="shared" si="402"/>
        <v>1148</v>
      </c>
      <c r="AC1541">
        <f t="shared" si="403"/>
        <v>1216</v>
      </c>
    </row>
    <row r="1542" spans="1:29" x14ac:dyDescent="0.2">
      <c r="A1542">
        <v>830</v>
      </c>
      <c r="D1542">
        <f t="shared" si="404"/>
        <v>2</v>
      </c>
      <c r="E1542">
        <v>2</v>
      </c>
      <c r="F1542" s="6" t="s">
        <v>425</v>
      </c>
      <c r="I1542" t="s">
        <v>179</v>
      </c>
      <c r="J1542">
        <v>24</v>
      </c>
      <c r="K1542" t="s">
        <v>489</v>
      </c>
      <c r="L1542" t="s">
        <v>10</v>
      </c>
      <c r="M1542" t="s">
        <v>200</v>
      </c>
      <c r="N1542" t="s">
        <v>81</v>
      </c>
      <c r="Q1542">
        <f t="shared" ref="Q1542:S1542" si="406">Q1541</f>
        <v>18977</v>
      </c>
      <c r="R1542" t="str">
        <f t="shared" si="406"/>
        <v>Velodrome</v>
      </c>
      <c r="S1542" t="str">
        <f t="shared" si="406"/>
        <v>HollowBrook</v>
      </c>
      <c r="T1542" s="20">
        <f t="shared" si="337"/>
        <v>0</v>
      </c>
      <c r="U1542">
        <f t="shared" si="338"/>
        <v>130</v>
      </c>
      <c r="V1542">
        <f t="shared" si="339"/>
        <v>130</v>
      </c>
      <c r="W1542" cm="1">
        <f t="array" ref="W1542">_xlfn._xlws.FILTER(shifts!A:A,(shifts!B:B=events!D1542)*(shifts!AH:AH&gt;=events!U1542)*(shifts!AI:AI&lt;=events!V1542))</f>
        <v>55</v>
      </c>
      <c r="X1542" t="str">
        <f t="shared" si="340"/>
        <v>opp_team_player_1</v>
      </c>
      <c r="Y1542">
        <f>COUNTIFS(A$3:A1542,"="&amp;A1542,K$3:K1542,"="&amp;K1542)</f>
        <v>1</v>
      </c>
      <c r="Z1542" s="20">
        <f>SUMIFS(T$3:T1542,L$3:L1542,"=Intermission")+SUMIFS(T$3:T1542,L$3:L1542,"=Timeout")+SUMIFS(T$3:T1542,L$3:L1542,"=Clockstop")</f>
        <v>68</v>
      </c>
      <c r="AA1542">
        <f t="shared" si="402"/>
        <v>1148</v>
      </c>
      <c r="AC1542">
        <f t="shared" si="403"/>
        <v>1216</v>
      </c>
    </row>
    <row r="1543" spans="1:29" x14ac:dyDescent="0.2">
      <c r="A1543">
        <v>831</v>
      </c>
      <c r="D1543">
        <f t="shared" si="404"/>
        <v>2</v>
      </c>
      <c r="E1543">
        <v>2</v>
      </c>
      <c r="F1543" s="6" t="s">
        <v>425</v>
      </c>
      <c r="I1543" t="s">
        <v>179</v>
      </c>
      <c r="J1543">
        <v>11</v>
      </c>
      <c r="K1543" t="s">
        <v>488</v>
      </c>
      <c r="L1543" t="s">
        <v>10</v>
      </c>
      <c r="M1543" t="s">
        <v>190</v>
      </c>
      <c r="N1543" t="s">
        <v>479</v>
      </c>
      <c r="Q1543">
        <f t="shared" ref="Q1543:S1543" si="407">Q1542</f>
        <v>18977</v>
      </c>
      <c r="R1543" t="str">
        <f t="shared" si="407"/>
        <v>Velodrome</v>
      </c>
      <c r="S1543" t="str">
        <f t="shared" si="407"/>
        <v>HollowBrook</v>
      </c>
      <c r="T1543" s="20">
        <f t="shared" ref="T1543:T1606" si="408">IF(AND(G1543="",H1543=""),0,((E1543*60)+F1543)-((G1543*60)+H1543))</f>
        <v>0</v>
      </c>
      <c r="U1543">
        <f t="shared" ref="U1543:U1606" si="409">(E1543*60)+F1543</f>
        <v>130</v>
      </c>
      <c r="V1543">
        <f t="shared" ref="V1543:V1606" si="410">IF(AND(G1543="",H1543=""),U1543,((G1543*60)+H1543))</f>
        <v>130</v>
      </c>
      <c r="W1543" cm="1">
        <f t="array" ref="W1543">_xlfn._xlws.FILTER(shifts!A:A,(shifts!B:B=events!D1543)*(shifts!AH:AH&gt;=events!U1543)*(shifts!AI:AI&lt;=events!V1543))</f>
        <v>55</v>
      </c>
      <c r="X1543" t="str">
        <f t="shared" ref="X1543:X1606" si="411">IF(K1543="e","event_team_player_"&amp;Y1543,IF(K1543="o","opp_team_player_"&amp;Y1543,""))</f>
        <v>event_team_player_1</v>
      </c>
      <c r="Y1543">
        <f>COUNTIFS(A$3:A1543,"="&amp;A1543,K$3:K1543,"="&amp;K1543)</f>
        <v>1</v>
      </c>
      <c r="Z1543" s="20">
        <f>SUMIFS(T$3:T1543,L$3:L1543,"=Intermission")+SUMIFS(T$3:T1543,L$3:L1543,"=Timeout")+SUMIFS(T$3:T1543,L$3:L1543,"=Clockstop")</f>
        <v>68</v>
      </c>
      <c r="AA1543">
        <f t="shared" si="402"/>
        <v>1148</v>
      </c>
      <c r="AC1543">
        <f t="shared" si="403"/>
        <v>1216</v>
      </c>
    </row>
    <row r="1544" spans="1:29" x14ac:dyDescent="0.2">
      <c r="A1544">
        <v>832</v>
      </c>
      <c r="D1544">
        <f t="shared" si="404"/>
        <v>2</v>
      </c>
      <c r="E1544">
        <v>2</v>
      </c>
      <c r="F1544" s="6" t="s">
        <v>315</v>
      </c>
      <c r="I1544" t="s">
        <v>178</v>
      </c>
      <c r="J1544">
        <v>22</v>
      </c>
      <c r="K1544" t="s">
        <v>488</v>
      </c>
      <c r="L1544" t="s">
        <v>277</v>
      </c>
      <c r="M1544" t="s">
        <v>210</v>
      </c>
      <c r="N1544" t="s">
        <v>93</v>
      </c>
      <c r="Q1544">
        <f t="shared" ref="Q1544:S1544" si="412">Q1543</f>
        <v>18977</v>
      </c>
      <c r="R1544" t="str">
        <f t="shared" si="412"/>
        <v>Velodrome</v>
      </c>
      <c r="S1544" t="str">
        <f t="shared" si="412"/>
        <v>HollowBrook</v>
      </c>
      <c r="T1544" s="20">
        <f t="shared" si="408"/>
        <v>0</v>
      </c>
      <c r="U1544">
        <f t="shared" si="409"/>
        <v>125</v>
      </c>
      <c r="V1544">
        <f t="shared" si="410"/>
        <v>125</v>
      </c>
      <c r="W1544" cm="1">
        <f t="array" ref="W1544">_xlfn._xlws.FILTER(shifts!A:A,(shifts!B:B=events!D1544)*(shifts!AH:AH&gt;=events!U1544)*(shifts!AI:AI&lt;=events!V1544))</f>
        <v>55</v>
      </c>
      <c r="X1544" t="str">
        <f t="shared" si="411"/>
        <v>event_team_player_1</v>
      </c>
      <c r="Y1544">
        <f>COUNTIFS(A$3:A1544,"="&amp;A1544,K$3:K1544,"="&amp;K1544)</f>
        <v>1</v>
      </c>
      <c r="Z1544" s="20">
        <f>SUMIFS(T$3:T1544,L$3:L1544,"=Intermission")+SUMIFS(T$3:T1544,L$3:L1544,"=Timeout")+SUMIFS(T$3:T1544,L$3:L1544,"=Clockstop")</f>
        <v>68</v>
      </c>
      <c r="AA1544">
        <f t="shared" si="402"/>
        <v>1148</v>
      </c>
      <c r="AC1544">
        <f t="shared" si="403"/>
        <v>1216</v>
      </c>
    </row>
    <row r="1545" spans="1:29" x14ac:dyDescent="0.2">
      <c r="A1545">
        <v>833</v>
      </c>
      <c r="D1545">
        <f t="shared" si="404"/>
        <v>2</v>
      </c>
      <c r="E1545">
        <v>2</v>
      </c>
      <c r="F1545" s="6" t="s">
        <v>310</v>
      </c>
      <c r="I1545" t="s">
        <v>178</v>
      </c>
      <c r="J1545">
        <v>22</v>
      </c>
      <c r="K1545" t="s">
        <v>488</v>
      </c>
      <c r="L1545" t="s">
        <v>8</v>
      </c>
      <c r="M1545" t="s">
        <v>189</v>
      </c>
      <c r="N1545" t="s">
        <v>68</v>
      </c>
      <c r="Q1545">
        <f t="shared" ref="Q1545:S1545" si="413">Q1544</f>
        <v>18977</v>
      </c>
      <c r="R1545" t="str">
        <f t="shared" si="413"/>
        <v>Velodrome</v>
      </c>
      <c r="S1545" t="str">
        <f t="shared" si="413"/>
        <v>HollowBrook</v>
      </c>
      <c r="T1545" s="20">
        <f t="shared" si="408"/>
        <v>0</v>
      </c>
      <c r="U1545">
        <f t="shared" si="409"/>
        <v>124</v>
      </c>
      <c r="V1545">
        <f t="shared" si="410"/>
        <v>124</v>
      </c>
      <c r="W1545" cm="1">
        <f t="array" ref="W1545">_xlfn._xlws.FILTER(shifts!A:A,(shifts!B:B=events!D1545)*(shifts!AH:AH&gt;=events!U1545)*(shifts!AI:AI&lt;=events!V1545))</f>
        <v>55</v>
      </c>
      <c r="X1545" t="str">
        <f t="shared" si="411"/>
        <v>event_team_player_1</v>
      </c>
      <c r="Y1545">
        <f>COUNTIFS(A$3:A1545,"="&amp;A1545,K$3:K1545,"="&amp;K1545)</f>
        <v>1</v>
      </c>
      <c r="Z1545" s="20">
        <f>SUMIFS(T$3:T1545,L$3:L1545,"=Intermission")+SUMIFS(T$3:T1545,L$3:L1545,"=Timeout")+SUMIFS(T$3:T1545,L$3:L1545,"=Clockstop")</f>
        <v>68</v>
      </c>
      <c r="AA1545">
        <f t="shared" si="402"/>
        <v>1148</v>
      </c>
      <c r="AC1545">
        <f t="shared" si="403"/>
        <v>1216</v>
      </c>
    </row>
    <row r="1546" spans="1:29" x14ac:dyDescent="0.2">
      <c r="A1546">
        <v>833</v>
      </c>
      <c r="D1546">
        <f t="shared" si="404"/>
        <v>2</v>
      </c>
      <c r="E1546">
        <v>2</v>
      </c>
      <c r="F1546" s="6" t="s">
        <v>310</v>
      </c>
      <c r="I1546" t="s">
        <v>178</v>
      </c>
      <c r="J1546">
        <v>70</v>
      </c>
      <c r="K1546" t="s">
        <v>488</v>
      </c>
      <c r="L1546" t="s">
        <v>8</v>
      </c>
      <c r="M1546" t="s">
        <v>189</v>
      </c>
      <c r="N1546" t="s">
        <v>68</v>
      </c>
      <c r="Q1546">
        <f t="shared" ref="Q1546:S1546" si="414">Q1545</f>
        <v>18977</v>
      </c>
      <c r="R1546" t="str">
        <f t="shared" si="414"/>
        <v>Velodrome</v>
      </c>
      <c r="S1546" t="str">
        <f t="shared" si="414"/>
        <v>HollowBrook</v>
      </c>
      <c r="T1546" s="20">
        <f t="shared" si="408"/>
        <v>0</v>
      </c>
      <c r="U1546">
        <f t="shared" si="409"/>
        <v>124</v>
      </c>
      <c r="V1546">
        <f t="shared" si="410"/>
        <v>124</v>
      </c>
      <c r="W1546" cm="1">
        <f t="array" ref="W1546">_xlfn._xlws.FILTER(shifts!A:A,(shifts!B:B=events!D1546)*(shifts!AH:AH&gt;=events!U1546)*(shifts!AI:AI&lt;=events!V1546))</f>
        <v>55</v>
      </c>
      <c r="X1546" t="str">
        <f t="shared" si="411"/>
        <v>event_team_player_2</v>
      </c>
      <c r="Y1546">
        <f>COUNTIFS(A$3:A1546,"="&amp;A1546,K$3:K1546,"="&amp;K1546)</f>
        <v>2</v>
      </c>
      <c r="Z1546" s="20">
        <f>SUMIFS(T$3:T1546,L$3:L1546,"=Intermission")+SUMIFS(T$3:T1546,L$3:L1546,"=Timeout")+SUMIFS(T$3:T1546,L$3:L1546,"=Clockstop")</f>
        <v>68</v>
      </c>
      <c r="AA1546">
        <f t="shared" si="402"/>
        <v>1148</v>
      </c>
      <c r="AC1546">
        <f t="shared" si="403"/>
        <v>1216</v>
      </c>
    </row>
    <row r="1547" spans="1:29" x14ac:dyDescent="0.2">
      <c r="A1547">
        <v>834</v>
      </c>
      <c r="D1547">
        <f t="shared" si="404"/>
        <v>2</v>
      </c>
      <c r="E1547">
        <v>2</v>
      </c>
      <c r="F1547" s="6" t="s">
        <v>426</v>
      </c>
      <c r="I1547" t="s">
        <v>178</v>
      </c>
      <c r="J1547">
        <v>70</v>
      </c>
      <c r="K1547" t="s">
        <v>488</v>
      </c>
      <c r="L1547" t="s">
        <v>7</v>
      </c>
      <c r="M1547" t="s">
        <v>208</v>
      </c>
      <c r="N1547" t="s">
        <v>53</v>
      </c>
      <c r="Q1547">
        <f t="shared" ref="Q1547:S1547" si="415">Q1546</f>
        <v>18977</v>
      </c>
      <c r="R1547" t="str">
        <f t="shared" si="415"/>
        <v>Velodrome</v>
      </c>
      <c r="S1547" t="str">
        <f t="shared" si="415"/>
        <v>HollowBrook</v>
      </c>
      <c r="T1547" s="20">
        <f t="shared" si="408"/>
        <v>0</v>
      </c>
      <c r="U1547">
        <f t="shared" si="409"/>
        <v>120</v>
      </c>
      <c r="V1547">
        <f t="shared" si="410"/>
        <v>120</v>
      </c>
      <c r="W1547" cm="1">
        <f t="array" ref="W1547">_xlfn._xlws.FILTER(shifts!A:A,(shifts!B:B=events!D1547)*(shifts!AH:AH&gt;=events!U1547)*(shifts!AI:AI&lt;=events!V1547))</f>
        <v>55</v>
      </c>
      <c r="X1547" t="str">
        <f t="shared" si="411"/>
        <v>event_team_player_1</v>
      </c>
      <c r="Y1547">
        <f>COUNTIFS(A$3:A1547,"="&amp;A1547,K$3:K1547,"="&amp;K1547)</f>
        <v>1</v>
      </c>
      <c r="Z1547" s="20">
        <f>SUMIFS(T$3:T1547,L$3:L1547,"=Intermission")+SUMIFS(T$3:T1547,L$3:L1547,"=Timeout")+SUMIFS(T$3:T1547,L$3:L1547,"=Clockstop")</f>
        <v>68</v>
      </c>
      <c r="AA1547">
        <f t="shared" si="402"/>
        <v>1148</v>
      </c>
      <c r="AC1547">
        <f t="shared" si="403"/>
        <v>1216</v>
      </c>
    </row>
    <row r="1548" spans="1:29" x14ac:dyDescent="0.2">
      <c r="A1548">
        <v>834</v>
      </c>
      <c r="D1548">
        <f t="shared" si="404"/>
        <v>2</v>
      </c>
      <c r="E1548">
        <v>2</v>
      </c>
      <c r="F1548" s="6" t="s">
        <v>426</v>
      </c>
      <c r="I1548" t="s">
        <v>178</v>
      </c>
      <c r="J1548">
        <v>18</v>
      </c>
      <c r="K1548" t="s">
        <v>489</v>
      </c>
      <c r="L1548" t="s">
        <v>7</v>
      </c>
      <c r="M1548" t="s">
        <v>208</v>
      </c>
      <c r="N1548" t="s">
        <v>53</v>
      </c>
      <c r="Q1548">
        <f t="shared" ref="Q1548:S1548" si="416">Q1547</f>
        <v>18977</v>
      </c>
      <c r="R1548" t="str">
        <f t="shared" si="416"/>
        <v>Velodrome</v>
      </c>
      <c r="S1548" t="str">
        <f t="shared" si="416"/>
        <v>HollowBrook</v>
      </c>
      <c r="T1548" s="20">
        <f t="shared" si="408"/>
        <v>0</v>
      </c>
      <c r="U1548">
        <f t="shared" si="409"/>
        <v>120</v>
      </c>
      <c r="V1548">
        <f t="shared" si="410"/>
        <v>120</v>
      </c>
      <c r="W1548" cm="1">
        <f t="array" ref="W1548">_xlfn._xlws.FILTER(shifts!A:A,(shifts!B:B=events!D1548)*(shifts!AH:AH&gt;=events!U1548)*(shifts!AI:AI&lt;=events!V1548))</f>
        <v>55</v>
      </c>
      <c r="X1548" t="str">
        <f t="shared" si="411"/>
        <v>opp_team_player_1</v>
      </c>
      <c r="Y1548">
        <f>COUNTIFS(A$3:A1548,"="&amp;A1548,K$3:K1548,"="&amp;K1548)</f>
        <v>1</v>
      </c>
      <c r="Z1548" s="20">
        <f>SUMIFS(T$3:T1548,L$3:L1548,"=Intermission")+SUMIFS(T$3:T1548,L$3:L1548,"=Timeout")+SUMIFS(T$3:T1548,L$3:L1548,"=Clockstop")</f>
        <v>68</v>
      </c>
      <c r="AA1548">
        <f t="shared" si="402"/>
        <v>1148</v>
      </c>
      <c r="AC1548">
        <f t="shared" si="403"/>
        <v>1216</v>
      </c>
    </row>
    <row r="1549" spans="1:29" x14ac:dyDescent="0.2">
      <c r="A1549">
        <v>835</v>
      </c>
      <c r="D1549">
        <f t="shared" si="404"/>
        <v>2</v>
      </c>
      <c r="E1549">
        <v>1</v>
      </c>
      <c r="F1549" s="6" t="s">
        <v>421</v>
      </c>
      <c r="I1549" t="s">
        <v>178</v>
      </c>
      <c r="J1549">
        <v>22</v>
      </c>
      <c r="K1549" t="s">
        <v>488</v>
      </c>
      <c r="L1549" t="s">
        <v>277</v>
      </c>
      <c r="M1549" t="s">
        <v>210</v>
      </c>
      <c r="N1549" t="s">
        <v>93</v>
      </c>
      <c r="Q1549">
        <f t="shared" ref="Q1549:S1549" si="417">Q1548</f>
        <v>18977</v>
      </c>
      <c r="R1549" t="str">
        <f t="shared" si="417"/>
        <v>Velodrome</v>
      </c>
      <c r="S1549" t="str">
        <f t="shared" si="417"/>
        <v>HollowBrook</v>
      </c>
      <c r="T1549" s="20">
        <f t="shared" si="408"/>
        <v>0</v>
      </c>
      <c r="U1549">
        <f t="shared" si="409"/>
        <v>116</v>
      </c>
      <c r="V1549">
        <f t="shared" si="410"/>
        <v>116</v>
      </c>
      <c r="W1549" cm="1">
        <f t="array" ref="W1549">_xlfn._xlws.FILTER(shifts!A:A,(shifts!B:B=events!D1549)*(shifts!AH:AH&gt;=events!U1549)*(shifts!AI:AI&lt;=events!V1549))</f>
        <v>55</v>
      </c>
      <c r="X1549" t="str">
        <f t="shared" si="411"/>
        <v>event_team_player_1</v>
      </c>
      <c r="Y1549">
        <f>COUNTIFS(A$3:A1549,"="&amp;A1549,K$3:K1549,"="&amp;K1549)</f>
        <v>1</v>
      </c>
      <c r="Z1549" s="20">
        <f>SUMIFS(T$3:T1549,L$3:L1549,"=Intermission")+SUMIFS(T$3:T1549,L$3:L1549,"=Timeout")+SUMIFS(T$3:T1549,L$3:L1549,"=Clockstop")</f>
        <v>68</v>
      </c>
      <c r="AA1549">
        <f t="shared" si="402"/>
        <v>1148</v>
      </c>
      <c r="AC1549">
        <f t="shared" si="403"/>
        <v>1216</v>
      </c>
    </row>
    <row r="1550" spans="1:29" x14ac:dyDescent="0.2">
      <c r="A1550">
        <v>836</v>
      </c>
      <c r="D1550">
        <f t="shared" si="404"/>
        <v>2</v>
      </c>
      <c r="E1550">
        <v>1</v>
      </c>
      <c r="F1550" s="6" t="s">
        <v>421</v>
      </c>
      <c r="I1550" t="s">
        <v>178</v>
      </c>
      <c r="J1550">
        <v>22</v>
      </c>
      <c r="K1550" t="s">
        <v>488</v>
      </c>
      <c r="L1550" t="s">
        <v>8</v>
      </c>
      <c r="M1550" t="s">
        <v>189</v>
      </c>
      <c r="N1550" t="s">
        <v>70</v>
      </c>
      <c r="Q1550">
        <f t="shared" ref="Q1550:S1550" si="418">Q1549</f>
        <v>18977</v>
      </c>
      <c r="R1550" t="str">
        <f t="shared" si="418"/>
        <v>Velodrome</v>
      </c>
      <c r="S1550" t="str">
        <f t="shared" si="418"/>
        <v>HollowBrook</v>
      </c>
      <c r="T1550" s="20">
        <f t="shared" si="408"/>
        <v>0</v>
      </c>
      <c r="U1550">
        <f t="shared" si="409"/>
        <v>116</v>
      </c>
      <c r="V1550">
        <f t="shared" si="410"/>
        <v>116</v>
      </c>
      <c r="W1550" cm="1">
        <f t="array" ref="W1550">_xlfn._xlws.FILTER(shifts!A:A,(shifts!B:B=events!D1550)*(shifts!AH:AH&gt;=events!U1550)*(shifts!AI:AI&lt;=events!V1550))</f>
        <v>55</v>
      </c>
      <c r="X1550" t="str">
        <f t="shared" si="411"/>
        <v>event_team_player_1</v>
      </c>
      <c r="Y1550">
        <f>COUNTIFS(A$3:A1550,"="&amp;A1550,K$3:K1550,"="&amp;K1550)</f>
        <v>1</v>
      </c>
      <c r="Z1550" s="20">
        <f>SUMIFS(T$3:T1550,L$3:L1550,"=Intermission")+SUMIFS(T$3:T1550,L$3:L1550,"=Timeout")+SUMIFS(T$3:T1550,L$3:L1550,"=Clockstop")</f>
        <v>68</v>
      </c>
      <c r="AA1550">
        <f t="shared" si="402"/>
        <v>1148</v>
      </c>
      <c r="AC1550">
        <f t="shared" si="403"/>
        <v>1216</v>
      </c>
    </row>
    <row r="1551" spans="1:29" x14ac:dyDescent="0.2">
      <c r="A1551">
        <v>836</v>
      </c>
      <c r="D1551">
        <f t="shared" si="404"/>
        <v>2</v>
      </c>
      <c r="E1551">
        <v>1</v>
      </c>
      <c r="F1551" s="6" t="s">
        <v>421</v>
      </c>
      <c r="I1551" t="s">
        <v>178</v>
      </c>
      <c r="J1551">
        <v>70</v>
      </c>
      <c r="K1551" t="s">
        <v>488</v>
      </c>
      <c r="L1551" t="s">
        <v>8</v>
      </c>
      <c r="M1551" t="s">
        <v>189</v>
      </c>
      <c r="N1551" t="s">
        <v>70</v>
      </c>
      <c r="Q1551">
        <f t="shared" ref="Q1551:S1551" si="419">Q1550</f>
        <v>18977</v>
      </c>
      <c r="R1551" t="str">
        <f t="shared" si="419"/>
        <v>Velodrome</v>
      </c>
      <c r="S1551" t="str">
        <f t="shared" si="419"/>
        <v>HollowBrook</v>
      </c>
      <c r="T1551" s="20">
        <f t="shared" si="408"/>
        <v>0</v>
      </c>
      <c r="U1551">
        <f t="shared" si="409"/>
        <v>116</v>
      </c>
      <c r="V1551">
        <f t="shared" si="410"/>
        <v>116</v>
      </c>
      <c r="W1551" cm="1">
        <f t="array" ref="W1551">_xlfn._xlws.FILTER(shifts!A:A,(shifts!B:B=events!D1551)*(shifts!AH:AH&gt;=events!U1551)*(shifts!AI:AI&lt;=events!V1551))</f>
        <v>55</v>
      </c>
      <c r="X1551" t="str">
        <f t="shared" si="411"/>
        <v>event_team_player_2</v>
      </c>
      <c r="Y1551">
        <f>COUNTIFS(A$3:A1551,"="&amp;A1551,K$3:K1551,"="&amp;K1551)</f>
        <v>2</v>
      </c>
      <c r="Z1551" s="20">
        <f>SUMIFS(T$3:T1551,L$3:L1551,"=Intermission")+SUMIFS(T$3:T1551,L$3:L1551,"=Timeout")+SUMIFS(T$3:T1551,L$3:L1551,"=Clockstop")</f>
        <v>68</v>
      </c>
      <c r="AA1551">
        <f t="shared" si="402"/>
        <v>1148</v>
      </c>
      <c r="AC1551">
        <f t="shared" si="403"/>
        <v>1216</v>
      </c>
    </row>
    <row r="1552" spans="1:29" x14ac:dyDescent="0.2">
      <c r="A1552">
        <v>836</v>
      </c>
      <c r="D1552">
        <f t="shared" si="404"/>
        <v>2</v>
      </c>
      <c r="E1552">
        <v>1</v>
      </c>
      <c r="F1552" s="6" t="s">
        <v>421</v>
      </c>
      <c r="I1552" t="s">
        <v>178</v>
      </c>
      <c r="J1552">
        <v>2</v>
      </c>
      <c r="K1552" t="s">
        <v>489</v>
      </c>
      <c r="L1552" t="s">
        <v>8</v>
      </c>
      <c r="M1552" t="s">
        <v>189</v>
      </c>
      <c r="N1552" t="s">
        <v>70</v>
      </c>
      <c r="Q1552">
        <f t="shared" ref="Q1552:S1552" si="420">Q1551</f>
        <v>18977</v>
      </c>
      <c r="R1552" t="str">
        <f t="shared" si="420"/>
        <v>Velodrome</v>
      </c>
      <c r="S1552" t="str">
        <f t="shared" si="420"/>
        <v>HollowBrook</v>
      </c>
      <c r="T1552" s="20">
        <f t="shared" si="408"/>
        <v>0</v>
      </c>
      <c r="U1552">
        <f t="shared" si="409"/>
        <v>116</v>
      </c>
      <c r="V1552">
        <f t="shared" si="410"/>
        <v>116</v>
      </c>
      <c r="W1552" cm="1">
        <f t="array" ref="W1552">_xlfn._xlws.FILTER(shifts!A:A,(shifts!B:B=events!D1552)*(shifts!AH:AH&gt;=events!U1552)*(shifts!AI:AI&lt;=events!V1552))</f>
        <v>55</v>
      </c>
      <c r="X1552" t="str">
        <f t="shared" si="411"/>
        <v>opp_team_player_1</v>
      </c>
      <c r="Y1552">
        <f>COUNTIFS(A$3:A1552,"="&amp;A1552,K$3:K1552,"="&amp;K1552)</f>
        <v>1</v>
      </c>
      <c r="Z1552" s="20">
        <f>SUMIFS(T$3:T1552,L$3:L1552,"=Intermission")+SUMIFS(T$3:T1552,L$3:L1552,"=Timeout")+SUMIFS(T$3:T1552,L$3:L1552,"=Clockstop")</f>
        <v>68</v>
      </c>
      <c r="AA1552">
        <f t="shared" si="402"/>
        <v>1148</v>
      </c>
      <c r="AC1552">
        <f t="shared" si="403"/>
        <v>1216</v>
      </c>
    </row>
    <row r="1553" spans="1:29" x14ac:dyDescent="0.2">
      <c r="A1553">
        <v>837</v>
      </c>
      <c r="D1553">
        <f t="shared" si="404"/>
        <v>2</v>
      </c>
      <c r="E1553">
        <v>1</v>
      </c>
      <c r="F1553" s="6" t="s">
        <v>421</v>
      </c>
      <c r="I1553" t="s">
        <v>178</v>
      </c>
      <c r="J1553">
        <v>70</v>
      </c>
      <c r="K1553" t="s">
        <v>488</v>
      </c>
      <c r="L1553" t="s">
        <v>7</v>
      </c>
      <c r="M1553" t="s">
        <v>224</v>
      </c>
      <c r="N1553" t="s">
        <v>56</v>
      </c>
      <c r="Q1553">
        <f t="shared" ref="Q1553:S1553" si="421">Q1552</f>
        <v>18977</v>
      </c>
      <c r="R1553" t="str">
        <f t="shared" si="421"/>
        <v>Velodrome</v>
      </c>
      <c r="S1553" t="str">
        <f t="shared" si="421"/>
        <v>HollowBrook</v>
      </c>
      <c r="T1553" s="20">
        <f t="shared" si="408"/>
        <v>0</v>
      </c>
      <c r="U1553">
        <f t="shared" si="409"/>
        <v>116</v>
      </c>
      <c r="V1553">
        <f t="shared" si="410"/>
        <v>116</v>
      </c>
      <c r="W1553" cm="1">
        <f t="array" ref="W1553">_xlfn._xlws.FILTER(shifts!A:A,(shifts!B:B=events!D1553)*(shifts!AH:AH&gt;=events!U1553)*(shifts!AI:AI&lt;=events!V1553))</f>
        <v>55</v>
      </c>
      <c r="X1553" t="str">
        <f t="shared" si="411"/>
        <v>event_team_player_1</v>
      </c>
      <c r="Y1553">
        <f>COUNTIFS(A$3:A1553,"="&amp;A1553,K$3:K1553,"="&amp;K1553)</f>
        <v>1</v>
      </c>
      <c r="Z1553" s="20">
        <f>SUMIFS(T$3:T1553,L$3:L1553,"=Intermission")+SUMIFS(T$3:T1553,L$3:L1553,"=Timeout")+SUMIFS(T$3:T1553,L$3:L1553,"=Clockstop")</f>
        <v>68</v>
      </c>
      <c r="AA1553">
        <f t="shared" si="402"/>
        <v>1148</v>
      </c>
      <c r="AC1553">
        <f t="shared" si="403"/>
        <v>1216</v>
      </c>
    </row>
    <row r="1554" spans="1:29" x14ac:dyDescent="0.2">
      <c r="A1554">
        <v>837</v>
      </c>
      <c r="D1554">
        <f t="shared" si="404"/>
        <v>2</v>
      </c>
      <c r="E1554">
        <v>1</v>
      </c>
      <c r="F1554" s="6" t="s">
        <v>421</v>
      </c>
      <c r="I1554" t="s">
        <v>178</v>
      </c>
      <c r="J1554">
        <v>99</v>
      </c>
      <c r="K1554" t="s">
        <v>489</v>
      </c>
      <c r="L1554" t="s">
        <v>7</v>
      </c>
      <c r="M1554" t="s">
        <v>224</v>
      </c>
      <c r="N1554" t="s">
        <v>56</v>
      </c>
      <c r="Q1554">
        <f t="shared" ref="Q1554:S1554" si="422">Q1553</f>
        <v>18977</v>
      </c>
      <c r="R1554" t="str">
        <f t="shared" si="422"/>
        <v>Velodrome</v>
      </c>
      <c r="S1554" t="str">
        <f t="shared" si="422"/>
        <v>HollowBrook</v>
      </c>
      <c r="T1554" s="20">
        <f t="shared" si="408"/>
        <v>0</v>
      </c>
      <c r="U1554">
        <f t="shared" si="409"/>
        <v>116</v>
      </c>
      <c r="V1554">
        <f t="shared" si="410"/>
        <v>116</v>
      </c>
      <c r="W1554" cm="1">
        <f t="array" ref="W1554">_xlfn._xlws.FILTER(shifts!A:A,(shifts!B:B=events!D1554)*(shifts!AH:AH&gt;=events!U1554)*(shifts!AI:AI&lt;=events!V1554))</f>
        <v>55</v>
      </c>
      <c r="X1554" t="str">
        <f t="shared" si="411"/>
        <v>opp_team_player_1</v>
      </c>
      <c r="Y1554">
        <f>COUNTIFS(A$3:A1554,"="&amp;A1554,K$3:K1554,"="&amp;K1554)</f>
        <v>1</v>
      </c>
      <c r="Z1554" s="20">
        <f>SUMIFS(T$3:T1554,L$3:L1554,"=Intermission")+SUMIFS(T$3:T1554,L$3:L1554,"=Timeout")+SUMIFS(T$3:T1554,L$3:L1554,"=Clockstop")</f>
        <v>68</v>
      </c>
      <c r="AA1554">
        <f t="shared" si="402"/>
        <v>1148</v>
      </c>
      <c r="AC1554">
        <f t="shared" si="403"/>
        <v>1216</v>
      </c>
    </row>
    <row r="1555" spans="1:29" x14ac:dyDescent="0.2">
      <c r="A1555">
        <v>838</v>
      </c>
      <c r="D1555">
        <f t="shared" si="404"/>
        <v>2</v>
      </c>
      <c r="E1555">
        <v>1</v>
      </c>
      <c r="F1555" s="6" t="s">
        <v>421</v>
      </c>
      <c r="I1555" t="s">
        <v>179</v>
      </c>
      <c r="J1555">
        <v>99</v>
      </c>
      <c r="K1555" t="s">
        <v>488</v>
      </c>
      <c r="L1555" t="s">
        <v>17</v>
      </c>
      <c r="M1555" t="s">
        <v>196</v>
      </c>
      <c r="N1555" t="s">
        <v>99</v>
      </c>
      <c r="Q1555">
        <f t="shared" ref="Q1555:S1555" si="423">Q1554</f>
        <v>18977</v>
      </c>
      <c r="R1555" t="str">
        <f t="shared" si="423"/>
        <v>Velodrome</v>
      </c>
      <c r="S1555" t="str">
        <f t="shared" si="423"/>
        <v>HollowBrook</v>
      </c>
      <c r="T1555" s="20">
        <f t="shared" si="408"/>
        <v>0</v>
      </c>
      <c r="U1555">
        <f t="shared" si="409"/>
        <v>116</v>
      </c>
      <c r="V1555">
        <f t="shared" si="410"/>
        <v>116</v>
      </c>
      <c r="W1555" cm="1">
        <f t="array" ref="W1555">_xlfn._xlws.FILTER(shifts!A:A,(shifts!B:B=events!D1555)*(shifts!AH:AH&gt;=events!U1555)*(shifts!AI:AI&lt;=events!V1555))</f>
        <v>55</v>
      </c>
      <c r="X1555" t="str">
        <f t="shared" si="411"/>
        <v>event_team_player_1</v>
      </c>
      <c r="Y1555">
        <f>COUNTIFS(A$3:A1555,"="&amp;A1555,K$3:K1555,"="&amp;K1555)</f>
        <v>1</v>
      </c>
      <c r="Z1555" s="20">
        <f>SUMIFS(T$3:T1555,L$3:L1555,"=Intermission")+SUMIFS(T$3:T1555,L$3:L1555,"=Timeout")+SUMIFS(T$3:T1555,L$3:L1555,"=Clockstop")</f>
        <v>68</v>
      </c>
      <c r="AA1555">
        <f t="shared" si="402"/>
        <v>1148</v>
      </c>
      <c r="AC1555">
        <f t="shared" si="403"/>
        <v>1216</v>
      </c>
    </row>
    <row r="1556" spans="1:29" x14ac:dyDescent="0.2">
      <c r="A1556">
        <v>838</v>
      </c>
      <c r="D1556">
        <f t="shared" si="404"/>
        <v>2</v>
      </c>
      <c r="E1556">
        <v>1</v>
      </c>
      <c r="F1556" s="6" t="s">
        <v>421</v>
      </c>
      <c r="I1556" t="s">
        <v>179</v>
      </c>
      <c r="J1556">
        <v>70</v>
      </c>
      <c r="K1556" t="s">
        <v>489</v>
      </c>
      <c r="L1556" t="s">
        <v>17</v>
      </c>
      <c r="M1556" t="s">
        <v>196</v>
      </c>
      <c r="N1556" t="s">
        <v>99</v>
      </c>
      <c r="Q1556">
        <f t="shared" ref="Q1556:S1556" si="424">Q1555</f>
        <v>18977</v>
      </c>
      <c r="R1556" t="str">
        <f t="shared" si="424"/>
        <v>Velodrome</v>
      </c>
      <c r="S1556" t="str">
        <f t="shared" si="424"/>
        <v>HollowBrook</v>
      </c>
      <c r="T1556" s="20">
        <f t="shared" si="408"/>
        <v>0</v>
      </c>
      <c r="U1556">
        <f t="shared" si="409"/>
        <v>116</v>
      </c>
      <c r="V1556">
        <f t="shared" si="410"/>
        <v>116</v>
      </c>
      <c r="W1556" cm="1">
        <f t="array" ref="W1556">_xlfn._xlws.FILTER(shifts!A:A,(shifts!B:B=events!D1556)*(shifts!AH:AH&gt;=events!U1556)*(shifts!AI:AI&lt;=events!V1556))</f>
        <v>55</v>
      </c>
      <c r="X1556" t="str">
        <f t="shared" si="411"/>
        <v>opp_team_player_1</v>
      </c>
      <c r="Y1556">
        <f>COUNTIFS(A$3:A1556,"="&amp;A1556,K$3:K1556,"="&amp;K1556)</f>
        <v>1</v>
      </c>
      <c r="Z1556" s="20">
        <f>SUMIFS(T$3:T1556,L$3:L1556,"=Intermission")+SUMIFS(T$3:T1556,L$3:L1556,"=Timeout")+SUMIFS(T$3:T1556,L$3:L1556,"=Clockstop")</f>
        <v>68</v>
      </c>
      <c r="AA1556">
        <f t="shared" si="402"/>
        <v>1148</v>
      </c>
      <c r="AC1556">
        <f t="shared" si="403"/>
        <v>1216</v>
      </c>
    </row>
    <row r="1557" spans="1:29" x14ac:dyDescent="0.2">
      <c r="A1557">
        <v>839</v>
      </c>
      <c r="D1557">
        <f t="shared" si="404"/>
        <v>2</v>
      </c>
      <c r="E1557">
        <v>1</v>
      </c>
      <c r="F1557" s="6" t="s">
        <v>421</v>
      </c>
      <c r="I1557" t="s">
        <v>179</v>
      </c>
      <c r="J1557">
        <v>99</v>
      </c>
      <c r="K1557" t="s">
        <v>488</v>
      </c>
      <c r="L1557" t="s">
        <v>270</v>
      </c>
      <c r="M1557" t="s">
        <v>272</v>
      </c>
      <c r="Q1557">
        <f t="shared" ref="Q1557:S1557" si="425">Q1556</f>
        <v>18977</v>
      </c>
      <c r="R1557" t="str">
        <f t="shared" si="425"/>
        <v>Velodrome</v>
      </c>
      <c r="S1557" t="str">
        <f t="shared" si="425"/>
        <v>HollowBrook</v>
      </c>
      <c r="T1557" s="20">
        <f t="shared" si="408"/>
        <v>0</v>
      </c>
      <c r="U1557">
        <f t="shared" si="409"/>
        <v>116</v>
      </c>
      <c r="V1557">
        <f t="shared" si="410"/>
        <v>116</v>
      </c>
      <c r="W1557" cm="1">
        <f t="array" ref="W1557">_xlfn._xlws.FILTER(shifts!A:A,(shifts!B:B=events!D1557)*(shifts!AH:AH&gt;=events!U1557)*(shifts!AI:AI&lt;=events!V1557))</f>
        <v>55</v>
      </c>
      <c r="X1557" t="str">
        <f t="shared" si="411"/>
        <v>event_team_player_1</v>
      </c>
      <c r="Y1557">
        <f>COUNTIFS(A$3:A1557,"="&amp;A1557,K$3:K1557,"="&amp;K1557)</f>
        <v>1</v>
      </c>
      <c r="Z1557" s="20">
        <f>SUMIFS(T$3:T1557,L$3:L1557,"=Intermission")+SUMIFS(T$3:T1557,L$3:L1557,"=Timeout")+SUMIFS(T$3:T1557,L$3:L1557,"=Clockstop")</f>
        <v>68</v>
      </c>
      <c r="AA1557">
        <f t="shared" si="402"/>
        <v>1148</v>
      </c>
      <c r="AC1557">
        <f t="shared" si="403"/>
        <v>1216</v>
      </c>
    </row>
    <row r="1558" spans="1:29" x14ac:dyDescent="0.2">
      <c r="A1558">
        <v>840</v>
      </c>
      <c r="D1558">
        <f t="shared" si="404"/>
        <v>2</v>
      </c>
      <c r="E1558">
        <v>1</v>
      </c>
      <c r="F1558" s="6" t="s">
        <v>428</v>
      </c>
      <c r="I1558" t="s">
        <v>178</v>
      </c>
      <c r="J1558">
        <v>24</v>
      </c>
      <c r="K1558" t="s">
        <v>488</v>
      </c>
      <c r="L1558" t="s">
        <v>7</v>
      </c>
      <c r="M1558" t="s">
        <v>208</v>
      </c>
      <c r="N1558" t="s">
        <v>53</v>
      </c>
      <c r="Q1558">
        <f t="shared" ref="Q1558:S1558" si="426">Q1557</f>
        <v>18977</v>
      </c>
      <c r="R1558" t="str">
        <f t="shared" si="426"/>
        <v>Velodrome</v>
      </c>
      <c r="S1558" t="str">
        <f t="shared" si="426"/>
        <v>HollowBrook</v>
      </c>
      <c r="T1558" s="20">
        <f t="shared" si="408"/>
        <v>0</v>
      </c>
      <c r="U1558">
        <f t="shared" si="409"/>
        <v>112</v>
      </c>
      <c r="V1558">
        <f t="shared" si="410"/>
        <v>112</v>
      </c>
      <c r="W1558" cm="1">
        <f t="array" ref="W1558">_xlfn._xlws.FILTER(shifts!A:A,(shifts!B:B=events!D1558)*(shifts!AH:AH&gt;=events!U1558)*(shifts!AI:AI&lt;=events!V1558))</f>
        <v>55</v>
      </c>
      <c r="X1558" t="str">
        <f t="shared" si="411"/>
        <v>event_team_player_1</v>
      </c>
      <c r="Y1558">
        <f>COUNTIFS(A$3:A1558,"="&amp;A1558,K$3:K1558,"="&amp;K1558)</f>
        <v>1</v>
      </c>
      <c r="Z1558" s="20">
        <f>SUMIFS(T$3:T1558,L$3:L1558,"=Intermission")+SUMIFS(T$3:T1558,L$3:L1558,"=Timeout")+SUMIFS(T$3:T1558,L$3:L1558,"=Clockstop")</f>
        <v>68</v>
      </c>
      <c r="AA1558">
        <f t="shared" si="402"/>
        <v>1148</v>
      </c>
      <c r="AC1558">
        <f t="shared" si="403"/>
        <v>1216</v>
      </c>
    </row>
    <row r="1559" spans="1:29" x14ac:dyDescent="0.2">
      <c r="A1559">
        <v>840</v>
      </c>
      <c r="D1559">
        <f t="shared" si="404"/>
        <v>2</v>
      </c>
      <c r="E1559">
        <v>1</v>
      </c>
      <c r="F1559" s="6" t="s">
        <v>428</v>
      </c>
      <c r="I1559" t="s">
        <v>178</v>
      </c>
      <c r="J1559">
        <v>11</v>
      </c>
      <c r="K1559" t="s">
        <v>489</v>
      </c>
      <c r="L1559" t="s">
        <v>7</v>
      </c>
      <c r="M1559" t="s">
        <v>208</v>
      </c>
      <c r="N1559" t="s">
        <v>53</v>
      </c>
      <c r="Q1559">
        <f t="shared" ref="Q1559:S1559" si="427">Q1558</f>
        <v>18977</v>
      </c>
      <c r="R1559" t="str">
        <f t="shared" si="427"/>
        <v>Velodrome</v>
      </c>
      <c r="S1559" t="str">
        <f t="shared" si="427"/>
        <v>HollowBrook</v>
      </c>
      <c r="T1559" s="20">
        <f t="shared" si="408"/>
        <v>0</v>
      </c>
      <c r="U1559">
        <f t="shared" si="409"/>
        <v>112</v>
      </c>
      <c r="V1559">
        <f t="shared" si="410"/>
        <v>112</v>
      </c>
      <c r="W1559" cm="1">
        <f t="array" ref="W1559">_xlfn._xlws.FILTER(shifts!A:A,(shifts!B:B=events!D1559)*(shifts!AH:AH&gt;=events!U1559)*(shifts!AI:AI&lt;=events!V1559))</f>
        <v>55</v>
      </c>
      <c r="X1559" t="str">
        <f t="shared" si="411"/>
        <v>opp_team_player_1</v>
      </c>
      <c r="Y1559">
        <f>COUNTIFS(A$3:A1559,"="&amp;A1559,K$3:K1559,"="&amp;K1559)</f>
        <v>1</v>
      </c>
      <c r="Z1559" s="20">
        <f>SUMIFS(T$3:T1559,L$3:L1559,"=Intermission")+SUMIFS(T$3:T1559,L$3:L1559,"=Timeout")+SUMIFS(T$3:T1559,L$3:L1559,"=Clockstop")</f>
        <v>68</v>
      </c>
      <c r="AA1559">
        <f t="shared" si="402"/>
        <v>1148</v>
      </c>
      <c r="AC1559">
        <f t="shared" si="403"/>
        <v>1216</v>
      </c>
    </row>
    <row r="1560" spans="1:29" x14ac:dyDescent="0.2">
      <c r="A1560">
        <v>841</v>
      </c>
      <c r="D1560">
        <f t="shared" si="404"/>
        <v>2</v>
      </c>
      <c r="E1560">
        <v>1</v>
      </c>
      <c r="F1560" s="6" t="s">
        <v>428</v>
      </c>
      <c r="I1560" t="s">
        <v>178</v>
      </c>
      <c r="J1560">
        <v>24</v>
      </c>
      <c r="K1560" t="s">
        <v>488</v>
      </c>
      <c r="L1560" t="s">
        <v>10</v>
      </c>
      <c r="M1560" t="s">
        <v>190</v>
      </c>
      <c r="N1560" t="s">
        <v>78</v>
      </c>
      <c r="Q1560">
        <f t="shared" ref="Q1560:S1560" si="428">Q1559</f>
        <v>18977</v>
      </c>
      <c r="R1560" t="str">
        <f t="shared" si="428"/>
        <v>Velodrome</v>
      </c>
      <c r="S1560" t="str">
        <f t="shared" si="428"/>
        <v>HollowBrook</v>
      </c>
      <c r="T1560" s="20">
        <f t="shared" si="408"/>
        <v>0</v>
      </c>
      <c r="U1560">
        <f t="shared" si="409"/>
        <v>112</v>
      </c>
      <c r="V1560">
        <f t="shared" si="410"/>
        <v>112</v>
      </c>
      <c r="W1560" cm="1">
        <f t="array" ref="W1560">_xlfn._xlws.FILTER(shifts!A:A,(shifts!B:B=events!D1560)*(shifts!AH:AH&gt;=events!U1560)*(shifts!AI:AI&lt;=events!V1560))</f>
        <v>55</v>
      </c>
      <c r="X1560" t="str">
        <f t="shared" si="411"/>
        <v>event_team_player_1</v>
      </c>
      <c r="Y1560">
        <f>COUNTIFS(A$3:A1560,"="&amp;A1560,K$3:K1560,"="&amp;K1560)</f>
        <v>1</v>
      </c>
      <c r="Z1560" s="20">
        <f>SUMIFS(T$3:T1560,L$3:L1560,"=Intermission")+SUMIFS(T$3:T1560,L$3:L1560,"=Timeout")+SUMIFS(T$3:T1560,L$3:L1560,"=Clockstop")</f>
        <v>68</v>
      </c>
      <c r="AA1560">
        <f t="shared" si="402"/>
        <v>1148</v>
      </c>
      <c r="AC1560">
        <f t="shared" si="403"/>
        <v>1216</v>
      </c>
    </row>
    <row r="1561" spans="1:29" x14ac:dyDescent="0.2">
      <c r="A1561">
        <v>841</v>
      </c>
      <c r="D1561">
        <f t="shared" si="404"/>
        <v>2</v>
      </c>
      <c r="E1561">
        <v>1</v>
      </c>
      <c r="F1561" s="6" t="s">
        <v>428</v>
      </c>
      <c r="I1561" t="s">
        <v>178</v>
      </c>
      <c r="J1561">
        <v>11</v>
      </c>
      <c r="K1561" t="s">
        <v>489</v>
      </c>
      <c r="L1561" t="s">
        <v>10</v>
      </c>
      <c r="M1561" t="s">
        <v>190</v>
      </c>
      <c r="N1561" t="s">
        <v>78</v>
      </c>
      <c r="Q1561">
        <f t="shared" ref="Q1561:S1561" si="429">Q1560</f>
        <v>18977</v>
      </c>
      <c r="R1561" t="str">
        <f t="shared" si="429"/>
        <v>Velodrome</v>
      </c>
      <c r="S1561" t="str">
        <f t="shared" si="429"/>
        <v>HollowBrook</v>
      </c>
      <c r="T1561" s="20">
        <f t="shared" si="408"/>
        <v>0</v>
      </c>
      <c r="U1561">
        <f t="shared" si="409"/>
        <v>112</v>
      </c>
      <c r="V1561">
        <f t="shared" si="410"/>
        <v>112</v>
      </c>
      <c r="W1561" cm="1">
        <f t="array" ref="W1561">_xlfn._xlws.FILTER(shifts!A:A,(shifts!B:B=events!D1561)*(shifts!AH:AH&gt;=events!U1561)*(shifts!AI:AI&lt;=events!V1561))</f>
        <v>55</v>
      </c>
      <c r="X1561" t="str">
        <f t="shared" si="411"/>
        <v>opp_team_player_1</v>
      </c>
      <c r="Y1561">
        <f>COUNTIFS(A$3:A1561,"="&amp;A1561,K$3:K1561,"="&amp;K1561)</f>
        <v>1</v>
      </c>
      <c r="Z1561" s="20">
        <f>SUMIFS(T$3:T1561,L$3:L1561,"=Intermission")+SUMIFS(T$3:T1561,L$3:L1561,"=Timeout")+SUMIFS(T$3:T1561,L$3:L1561,"=Clockstop")</f>
        <v>68</v>
      </c>
      <c r="AA1561">
        <f t="shared" si="402"/>
        <v>1148</v>
      </c>
      <c r="AC1561">
        <f t="shared" si="403"/>
        <v>1216</v>
      </c>
    </row>
    <row r="1562" spans="1:29" x14ac:dyDescent="0.2">
      <c r="A1562">
        <v>842</v>
      </c>
      <c r="D1562">
        <f t="shared" si="404"/>
        <v>2</v>
      </c>
      <c r="E1562">
        <v>1</v>
      </c>
      <c r="F1562" s="6" t="s">
        <v>428</v>
      </c>
      <c r="G1562">
        <v>1</v>
      </c>
      <c r="H1562" s="8" t="s">
        <v>434</v>
      </c>
      <c r="I1562" t="s">
        <v>179</v>
      </c>
      <c r="J1562">
        <v>11</v>
      </c>
      <c r="K1562" t="s">
        <v>488</v>
      </c>
      <c r="L1562" t="s">
        <v>15</v>
      </c>
      <c r="Q1562">
        <f t="shared" ref="Q1562:S1562" si="430">Q1561</f>
        <v>18977</v>
      </c>
      <c r="R1562" t="str">
        <f t="shared" si="430"/>
        <v>Velodrome</v>
      </c>
      <c r="S1562" t="str">
        <f t="shared" si="430"/>
        <v>HollowBrook</v>
      </c>
      <c r="T1562" s="20">
        <f t="shared" si="408"/>
        <v>5</v>
      </c>
      <c r="U1562">
        <f t="shared" si="409"/>
        <v>112</v>
      </c>
      <c r="V1562">
        <f t="shared" si="410"/>
        <v>107</v>
      </c>
      <c r="W1562" cm="1">
        <f t="array" ref="W1562">_xlfn._xlws.FILTER(shifts!A:A,(shifts!B:B=events!D1562)*(shifts!AH:AH&gt;=events!U1562)*(shifts!AI:AI&lt;=events!V1562))</f>
        <v>55</v>
      </c>
      <c r="X1562" t="str">
        <f t="shared" si="411"/>
        <v>event_team_player_1</v>
      </c>
      <c r="Y1562">
        <f>COUNTIFS(A$3:A1562,"="&amp;A1562,K$3:K1562,"="&amp;K1562)</f>
        <v>1</v>
      </c>
      <c r="Z1562" s="20">
        <f>SUMIFS(T$3:T1562,L$3:L1562,"=Intermission")+SUMIFS(T$3:T1562,L$3:L1562,"=Timeout")+SUMIFS(T$3:T1562,L$3:L1562,"=Clockstop")</f>
        <v>68</v>
      </c>
      <c r="AA1562">
        <f t="shared" si="402"/>
        <v>1148</v>
      </c>
      <c r="AC1562">
        <f t="shared" si="403"/>
        <v>1216</v>
      </c>
    </row>
    <row r="1563" spans="1:29" x14ac:dyDescent="0.2">
      <c r="A1563">
        <v>842</v>
      </c>
      <c r="D1563">
        <f t="shared" si="404"/>
        <v>2</v>
      </c>
      <c r="E1563">
        <v>1</v>
      </c>
      <c r="F1563" s="6" t="s">
        <v>428</v>
      </c>
      <c r="G1563">
        <v>1</v>
      </c>
      <c r="H1563" s="8" t="s">
        <v>434</v>
      </c>
      <c r="I1563" t="s">
        <v>179</v>
      </c>
      <c r="J1563">
        <v>24</v>
      </c>
      <c r="K1563" t="s">
        <v>489</v>
      </c>
      <c r="L1563" t="s">
        <v>15</v>
      </c>
      <c r="Q1563">
        <f t="shared" ref="Q1563:S1563" si="431">Q1562</f>
        <v>18977</v>
      </c>
      <c r="R1563" t="str">
        <f t="shared" si="431"/>
        <v>Velodrome</v>
      </c>
      <c r="S1563" t="str">
        <f t="shared" si="431"/>
        <v>HollowBrook</v>
      </c>
      <c r="T1563" s="20">
        <f t="shared" si="408"/>
        <v>5</v>
      </c>
      <c r="U1563">
        <f t="shared" si="409"/>
        <v>112</v>
      </c>
      <c r="V1563">
        <f t="shared" si="410"/>
        <v>107</v>
      </c>
      <c r="W1563" cm="1">
        <f t="array" ref="W1563">_xlfn._xlws.FILTER(shifts!A:A,(shifts!B:B=events!D1563)*(shifts!AH:AH&gt;=events!U1563)*(shifts!AI:AI&lt;=events!V1563))</f>
        <v>55</v>
      </c>
      <c r="X1563" t="str">
        <f t="shared" si="411"/>
        <v>opp_team_player_1</v>
      </c>
      <c r="Y1563">
        <f>COUNTIFS(A$3:A1563,"="&amp;A1563,K$3:K1563,"="&amp;K1563)</f>
        <v>1</v>
      </c>
      <c r="Z1563" s="20">
        <f>SUMIFS(T$3:T1563,L$3:L1563,"=Intermission")+SUMIFS(T$3:T1563,L$3:L1563,"=Timeout")+SUMIFS(T$3:T1563,L$3:L1563,"=Clockstop")</f>
        <v>68</v>
      </c>
      <c r="AA1563">
        <f t="shared" si="402"/>
        <v>1148</v>
      </c>
      <c r="AC1563">
        <f t="shared" si="403"/>
        <v>1216</v>
      </c>
    </row>
    <row r="1564" spans="1:29" x14ac:dyDescent="0.2">
      <c r="A1564">
        <v>843</v>
      </c>
      <c r="D1564">
        <f t="shared" si="404"/>
        <v>2</v>
      </c>
      <c r="E1564">
        <v>1</v>
      </c>
      <c r="F1564" s="6" t="s">
        <v>434</v>
      </c>
      <c r="I1564" t="s">
        <v>178</v>
      </c>
      <c r="J1564">
        <v>24</v>
      </c>
      <c r="K1564" t="s">
        <v>488</v>
      </c>
      <c r="L1564" t="s">
        <v>247</v>
      </c>
      <c r="M1564" t="s">
        <v>514</v>
      </c>
      <c r="N1564" t="s">
        <v>158</v>
      </c>
      <c r="Q1564">
        <f t="shared" ref="Q1564:S1564" si="432">Q1563</f>
        <v>18977</v>
      </c>
      <c r="R1564" t="str">
        <f t="shared" si="432"/>
        <v>Velodrome</v>
      </c>
      <c r="S1564" t="str">
        <f t="shared" si="432"/>
        <v>HollowBrook</v>
      </c>
      <c r="T1564" s="20">
        <f t="shared" si="408"/>
        <v>0</v>
      </c>
      <c r="U1564">
        <f t="shared" si="409"/>
        <v>107</v>
      </c>
      <c r="V1564">
        <f t="shared" si="410"/>
        <v>107</v>
      </c>
      <c r="W1564" cm="1">
        <f t="array" ref="W1564">_xlfn._xlws.FILTER(shifts!A:A,(shifts!B:B=events!D1564)*(shifts!AH:AH&gt;=events!U1564)*(shifts!AI:AI&lt;=events!V1564))</f>
        <v>55</v>
      </c>
      <c r="X1564" t="str">
        <f t="shared" si="411"/>
        <v>event_team_player_1</v>
      </c>
      <c r="Y1564">
        <f>COUNTIFS(A$3:A1564,"="&amp;A1564,K$3:K1564,"="&amp;K1564)</f>
        <v>1</v>
      </c>
      <c r="Z1564" s="20">
        <f>SUMIFS(T$3:T1564,L$3:L1564,"=Intermission")+SUMIFS(T$3:T1564,L$3:L1564,"=Timeout")+SUMIFS(T$3:T1564,L$3:L1564,"=Clockstop")</f>
        <v>68</v>
      </c>
      <c r="AA1564">
        <f t="shared" si="402"/>
        <v>1148</v>
      </c>
      <c r="AC1564">
        <f t="shared" si="403"/>
        <v>1216</v>
      </c>
    </row>
    <row r="1565" spans="1:29" x14ac:dyDescent="0.2">
      <c r="A1565">
        <v>843</v>
      </c>
      <c r="D1565">
        <f t="shared" si="404"/>
        <v>2</v>
      </c>
      <c r="E1565">
        <v>1</v>
      </c>
      <c r="F1565" s="6" t="s">
        <v>434</v>
      </c>
      <c r="I1565" t="s">
        <v>178</v>
      </c>
      <c r="J1565">
        <v>11</v>
      </c>
      <c r="K1565" t="s">
        <v>489</v>
      </c>
      <c r="L1565" t="s">
        <v>247</v>
      </c>
      <c r="M1565" t="s">
        <v>514</v>
      </c>
      <c r="N1565" t="s">
        <v>158</v>
      </c>
      <c r="Q1565">
        <f t="shared" ref="Q1565:S1565" si="433">Q1564</f>
        <v>18977</v>
      </c>
      <c r="R1565" t="str">
        <f t="shared" si="433"/>
        <v>Velodrome</v>
      </c>
      <c r="S1565" t="str">
        <f t="shared" si="433"/>
        <v>HollowBrook</v>
      </c>
      <c r="T1565" s="20">
        <f t="shared" si="408"/>
        <v>0</v>
      </c>
      <c r="U1565">
        <f t="shared" si="409"/>
        <v>107</v>
      </c>
      <c r="V1565">
        <f t="shared" si="410"/>
        <v>107</v>
      </c>
      <c r="W1565" cm="1">
        <f t="array" ref="W1565">_xlfn._xlws.FILTER(shifts!A:A,(shifts!B:B=events!D1565)*(shifts!AH:AH&gt;=events!U1565)*(shifts!AI:AI&lt;=events!V1565))</f>
        <v>55</v>
      </c>
      <c r="X1565" t="str">
        <f t="shared" si="411"/>
        <v>opp_team_player_1</v>
      </c>
      <c r="Y1565">
        <f>COUNTIFS(A$3:A1565,"="&amp;A1565,K$3:K1565,"="&amp;K1565)</f>
        <v>1</v>
      </c>
      <c r="Z1565" s="20">
        <f>SUMIFS(T$3:T1565,L$3:L1565,"=Intermission")+SUMIFS(T$3:T1565,L$3:L1565,"=Timeout")+SUMIFS(T$3:T1565,L$3:L1565,"=Clockstop")</f>
        <v>68</v>
      </c>
      <c r="AA1565">
        <f t="shared" si="402"/>
        <v>1148</v>
      </c>
      <c r="AC1565">
        <f t="shared" si="403"/>
        <v>1216</v>
      </c>
    </row>
    <row r="1566" spans="1:29" x14ac:dyDescent="0.2">
      <c r="A1566">
        <v>844</v>
      </c>
      <c r="D1566">
        <f t="shared" si="404"/>
        <v>2</v>
      </c>
      <c r="E1566">
        <v>1</v>
      </c>
      <c r="F1566" s="6" t="s">
        <v>454</v>
      </c>
      <c r="I1566" t="s">
        <v>179</v>
      </c>
      <c r="J1566">
        <v>2</v>
      </c>
      <c r="K1566" t="s">
        <v>488</v>
      </c>
      <c r="L1566" t="s">
        <v>8</v>
      </c>
      <c r="M1566" t="s">
        <v>189</v>
      </c>
      <c r="N1566" t="s">
        <v>70</v>
      </c>
      <c r="Q1566">
        <f t="shared" ref="Q1566:S1566" si="434">Q1565</f>
        <v>18977</v>
      </c>
      <c r="R1566" t="str">
        <f t="shared" si="434"/>
        <v>Velodrome</v>
      </c>
      <c r="S1566" t="str">
        <f t="shared" si="434"/>
        <v>HollowBrook</v>
      </c>
      <c r="T1566" s="20">
        <f t="shared" si="408"/>
        <v>0</v>
      </c>
      <c r="U1566">
        <f t="shared" si="409"/>
        <v>103</v>
      </c>
      <c r="V1566">
        <f t="shared" si="410"/>
        <v>103</v>
      </c>
      <c r="W1566" cm="1">
        <f t="array" ref="W1566">_xlfn._xlws.FILTER(shifts!A:A,(shifts!B:B=events!D1566)*(shifts!AH:AH&gt;=events!U1566)*(shifts!AI:AI&lt;=events!V1566))</f>
        <v>55</v>
      </c>
      <c r="X1566" t="str">
        <f t="shared" si="411"/>
        <v>event_team_player_1</v>
      </c>
      <c r="Y1566">
        <f>COUNTIFS(A$3:A1566,"="&amp;A1566,K$3:K1566,"="&amp;K1566)</f>
        <v>1</v>
      </c>
      <c r="Z1566" s="20">
        <f>SUMIFS(T$3:T1566,L$3:L1566,"=Intermission")+SUMIFS(T$3:T1566,L$3:L1566,"=Timeout")+SUMIFS(T$3:T1566,L$3:L1566,"=Clockstop")</f>
        <v>68</v>
      </c>
      <c r="AA1566">
        <f t="shared" si="402"/>
        <v>1148</v>
      </c>
      <c r="AC1566">
        <f t="shared" si="403"/>
        <v>1216</v>
      </c>
    </row>
    <row r="1567" spans="1:29" x14ac:dyDescent="0.2">
      <c r="A1567">
        <v>844</v>
      </c>
      <c r="D1567">
        <f t="shared" si="404"/>
        <v>2</v>
      </c>
      <c r="E1567">
        <v>1</v>
      </c>
      <c r="F1567" s="6" t="s">
        <v>454</v>
      </c>
      <c r="I1567" t="s">
        <v>179</v>
      </c>
      <c r="J1567">
        <v>18</v>
      </c>
      <c r="K1567" t="s">
        <v>488</v>
      </c>
      <c r="L1567" t="s">
        <v>8</v>
      </c>
      <c r="M1567" t="s">
        <v>189</v>
      </c>
      <c r="N1567" t="s">
        <v>70</v>
      </c>
      <c r="Q1567">
        <f t="shared" ref="Q1567:S1567" si="435">Q1566</f>
        <v>18977</v>
      </c>
      <c r="R1567" t="str">
        <f t="shared" si="435"/>
        <v>Velodrome</v>
      </c>
      <c r="S1567" t="str">
        <f t="shared" si="435"/>
        <v>HollowBrook</v>
      </c>
      <c r="T1567" s="20">
        <f t="shared" si="408"/>
        <v>0</v>
      </c>
      <c r="U1567">
        <f t="shared" si="409"/>
        <v>103</v>
      </c>
      <c r="V1567">
        <f t="shared" si="410"/>
        <v>103</v>
      </c>
      <c r="W1567" cm="1">
        <f t="array" ref="W1567">_xlfn._xlws.FILTER(shifts!A:A,(shifts!B:B=events!D1567)*(shifts!AH:AH&gt;=events!U1567)*(shifts!AI:AI&lt;=events!V1567))</f>
        <v>55</v>
      </c>
      <c r="X1567" t="str">
        <f t="shared" si="411"/>
        <v>event_team_player_2</v>
      </c>
      <c r="Y1567">
        <f>COUNTIFS(A$3:A1567,"="&amp;A1567,K$3:K1567,"="&amp;K1567)</f>
        <v>2</v>
      </c>
      <c r="Z1567" s="20">
        <f>SUMIFS(T$3:T1567,L$3:L1567,"=Intermission")+SUMIFS(T$3:T1567,L$3:L1567,"=Timeout")+SUMIFS(T$3:T1567,L$3:L1567,"=Clockstop")</f>
        <v>68</v>
      </c>
      <c r="AA1567">
        <f t="shared" si="402"/>
        <v>1148</v>
      </c>
      <c r="AC1567">
        <f t="shared" si="403"/>
        <v>1216</v>
      </c>
    </row>
    <row r="1568" spans="1:29" x14ac:dyDescent="0.2">
      <c r="A1568">
        <v>845</v>
      </c>
      <c r="D1568">
        <f t="shared" si="404"/>
        <v>2</v>
      </c>
      <c r="E1568">
        <v>1</v>
      </c>
      <c r="F1568" s="6" t="s">
        <v>454</v>
      </c>
      <c r="G1568">
        <v>1</v>
      </c>
      <c r="H1568" s="8" t="s">
        <v>430</v>
      </c>
      <c r="I1568" t="s">
        <v>179</v>
      </c>
      <c r="J1568">
        <v>18</v>
      </c>
      <c r="K1568" t="s">
        <v>488</v>
      </c>
      <c r="L1568" t="s">
        <v>277</v>
      </c>
      <c r="M1568" t="s">
        <v>201</v>
      </c>
      <c r="N1568" t="s">
        <v>90</v>
      </c>
      <c r="Q1568">
        <f t="shared" ref="Q1568:S1568" si="436">Q1567</f>
        <v>18977</v>
      </c>
      <c r="R1568" t="str">
        <f t="shared" si="436"/>
        <v>Velodrome</v>
      </c>
      <c r="S1568" t="str">
        <f t="shared" si="436"/>
        <v>HollowBrook</v>
      </c>
      <c r="T1568" s="20">
        <f t="shared" si="408"/>
        <v>1</v>
      </c>
      <c r="U1568">
        <f t="shared" si="409"/>
        <v>103</v>
      </c>
      <c r="V1568">
        <f t="shared" si="410"/>
        <v>102</v>
      </c>
      <c r="W1568" cm="1">
        <f t="array" ref="W1568">_xlfn._xlws.FILTER(shifts!A:A,(shifts!B:B=events!D1568)*(shifts!AH:AH&gt;=events!U1568)*(shifts!AI:AI&lt;=events!V1568))</f>
        <v>55</v>
      </c>
      <c r="X1568" t="str">
        <f t="shared" si="411"/>
        <v>event_team_player_1</v>
      </c>
      <c r="Y1568">
        <f>COUNTIFS(A$3:A1568,"="&amp;A1568,K$3:K1568,"="&amp;K1568)</f>
        <v>1</v>
      </c>
      <c r="Z1568" s="20">
        <f>SUMIFS(T$3:T1568,L$3:L1568,"=Intermission")+SUMIFS(T$3:T1568,L$3:L1568,"=Timeout")+SUMIFS(T$3:T1568,L$3:L1568,"=Clockstop")</f>
        <v>68</v>
      </c>
      <c r="AA1568">
        <f t="shared" si="402"/>
        <v>1148</v>
      </c>
      <c r="AC1568">
        <f t="shared" si="403"/>
        <v>1216</v>
      </c>
    </row>
    <row r="1569" spans="1:29" x14ac:dyDescent="0.2">
      <c r="A1569">
        <v>846</v>
      </c>
      <c r="D1569">
        <f t="shared" si="404"/>
        <v>2</v>
      </c>
      <c r="E1569">
        <v>1</v>
      </c>
      <c r="F1569" s="6" t="s">
        <v>430</v>
      </c>
      <c r="G1569">
        <v>1</v>
      </c>
      <c r="H1569" s="8" t="s">
        <v>481</v>
      </c>
      <c r="I1569" t="s">
        <v>179</v>
      </c>
      <c r="J1569">
        <v>18</v>
      </c>
      <c r="K1569" t="s">
        <v>488</v>
      </c>
      <c r="L1569" t="s">
        <v>15</v>
      </c>
      <c r="Q1569">
        <f t="shared" ref="Q1569:S1569" si="437">Q1568</f>
        <v>18977</v>
      </c>
      <c r="R1569" t="str">
        <f t="shared" si="437"/>
        <v>Velodrome</v>
      </c>
      <c r="S1569" t="str">
        <f t="shared" si="437"/>
        <v>HollowBrook</v>
      </c>
      <c r="T1569" s="20">
        <f t="shared" si="408"/>
        <v>3</v>
      </c>
      <c r="U1569">
        <f t="shared" si="409"/>
        <v>102</v>
      </c>
      <c r="V1569">
        <f t="shared" si="410"/>
        <v>99</v>
      </c>
      <c r="W1569" cm="1">
        <f t="array" ref="W1569">_xlfn._xlws.FILTER(shifts!A:A,(shifts!B:B=events!D1569)*(shifts!AH:AH&gt;=events!U1569)*(shifts!AI:AI&lt;=events!V1569))</f>
        <v>55</v>
      </c>
      <c r="X1569" t="str">
        <f t="shared" si="411"/>
        <v>event_team_player_1</v>
      </c>
      <c r="Y1569">
        <f>COUNTIFS(A$3:A1569,"="&amp;A1569,K$3:K1569,"="&amp;K1569)</f>
        <v>1</v>
      </c>
      <c r="Z1569" s="20">
        <f>SUMIFS(T$3:T1569,L$3:L1569,"=Intermission")+SUMIFS(T$3:T1569,L$3:L1569,"=Timeout")+SUMIFS(T$3:T1569,L$3:L1569,"=Clockstop")</f>
        <v>68</v>
      </c>
      <c r="AA1569">
        <f t="shared" si="402"/>
        <v>1148</v>
      </c>
      <c r="AC1569">
        <f t="shared" si="403"/>
        <v>1216</v>
      </c>
    </row>
    <row r="1570" spans="1:29" x14ac:dyDescent="0.2">
      <c r="A1570">
        <v>847</v>
      </c>
      <c r="D1570">
        <f t="shared" si="404"/>
        <v>2</v>
      </c>
      <c r="E1570">
        <v>1</v>
      </c>
      <c r="F1570" s="6" t="s">
        <v>481</v>
      </c>
      <c r="G1570">
        <v>1</v>
      </c>
      <c r="H1570" s="8" t="s">
        <v>438</v>
      </c>
      <c r="I1570" t="s">
        <v>179</v>
      </c>
      <c r="J1570">
        <v>18</v>
      </c>
      <c r="K1570" t="s">
        <v>488</v>
      </c>
      <c r="L1570" t="s">
        <v>277</v>
      </c>
      <c r="M1570" t="s">
        <v>191</v>
      </c>
      <c r="N1570" t="s">
        <v>87</v>
      </c>
      <c r="Q1570">
        <f t="shared" ref="Q1570:S1570" si="438">Q1569</f>
        <v>18977</v>
      </c>
      <c r="R1570" t="str">
        <f t="shared" si="438"/>
        <v>Velodrome</v>
      </c>
      <c r="S1570" t="str">
        <f t="shared" si="438"/>
        <v>HollowBrook</v>
      </c>
      <c r="T1570" s="20">
        <f t="shared" si="408"/>
        <v>1</v>
      </c>
      <c r="U1570">
        <f t="shared" si="409"/>
        <v>99</v>
      </c>
      <c r="V1570">
        <f t="shared" si="410"/>
        <v>98</v>
      </c>
      <c r="W1570" cm="1">
        <f t="array" ref="W1570">_xlfn._xlws.FILTER(shifts!A:A,(shifts!B:B=events!D1570)*(shifts!AH:AH&gt;=events!U1570)*(shifts!AI:AI&lt;=events!V1570))</f>
        <v>56</v>
      </c>
      <c r="X1570" t="str">
        <f t="shared" si="411"/>
        <v>event_team_player_1</v>
      </c>
      <c r="Y1570">
        <f>COUNTIFS(A$3:A1570,"="&amp;A1570,K$3:K1570,"="&amp;K1570)</f>
        <v>1</v>
      </c>
      <c r="Z1570" s="20">
        <f>SUMIFS(T$3:T1570,L$3:L1570,"=Intermission")+SUMIFS(T$3:T1570,L$3:L1570,"=Timeout")+SUMIFS(T$3:T1570,L$3:L1570,"=Clockstop")</f>
        <v>68</v>
      </c>
      <c r="AA1570">
        <f t="shared" si="402"/>
        <v>1148</v>
      </c>
      <c r="AC1570">
        <f t="shared" si="403"/>
        <v>1216</v>
      </c>
    </row>
    <row r="1571" spans="1:29" x14ac:dyDescent="0.2">
      <c r="A1571">
        <v>847</v>
      </c>
      <c r="D1571">
        <f t="shared" si="404"/>
        <v>2</v>
      </c>
      <c r="E1571">
        <v>1</v>
      </c>
      <c r="F1571" s="6" t="s">
        <v>481</v>
      </c>
      <c r="G1571">
        <v>1</v>
      </c>
      <c r="H1571" s="8" t="s">
        <v>438</v>
      </c>
      <c r="I1571" t="s">
        <v>179</v>
      </c>
      <c r="J1571">
        <v>19</v>
      </c>
      <c r="K1571" t="s">
        <v>488</v>
      </c>
      <c r="L1571" t="s">
        <v>277</v>
      </c>
      <c r="M1571" t="s">
        <v>191</v>
      </c>
      <c r="N1571" t="s">
        <v>87</v>
      </c>
      <c r="Q1571">
        <f t="shared" ref="Q1571:S1571" si="439">Q1570</f>
        <v>18977</v>
      </c>
      <c r="R1571" t="str">
        <f t="shared" si="439"/>
        <v>Velodrome</v>
      </c>
      <c r="S1571" t="str">
        <f t="shared" si="439"/>
        <v>HollowBrook</v>
      </c>
      <c r="T1571" s="20">
        <f t="shared" si="408"/>
        <v>1</v>
      </c>
      <c r="U1571">
        <f t="shared" si="409"/>
        <v>99</v>
      </c>
      <c r="V1571">
        <f t="shared" si="410"/>
        <v>98</v>
      </c>
      <c r="W1571" cm="1">
        <f t="array" ref="W1571">_xlfn._xlws.FILTER(shifts!A:A,(shifts!B:B=events!D1571)*(shifts!AH:AH&gt;=events!U1571)*(shifts!AI:AI&lt;=events!V1571))</f>
        <v>56</v>
      </c>
      <c r="X1571" t="str">
        <f t="shared" si="411"/>
        <v>event_team_player_2</v>
      </c>
      <c r="Y1571">
        <f>COUNTIFS(A$3:A1571,"="&amp;A1571,K$3:K1571,"="&amp;K1571)</f>
        <v>2</v>
      </c>
      <c r="Z1571" s="20">
        <f>SUMIFS(T$3:T1571,L$3:L1571,"=Intermission")+SUMIFS(T$3:T1571,L$3:L1571,"=Timeout")+SUMIFS(T$3:T1571,L$3:L1571,"=Clockstop")</f>
        <v>68</v>
      </c>
      <c r="AA1571">
        <f t="shared" si="402"/>
        <v>1148</v>
      </c>
      <c r="AC1571">
        <f t="shared" si="403"/>
        <v>1216</v>
      </c>
    </row>
    <row r="1572" spans="1:29" x14ac:dyDescent="0.2">
      <c r="A1572">
        <v>847</v>
      </c>
      <c r="D1572">
        <f t="shared" si="404"/>
        <v>2</v>
      </c>
      <c r="E1572">
        <v>1</v>
      </c>
      <c r="F1572" s="6" t="s">
        <v>481</v>
      </c>
      <c r="G1572">
        <v>1</v>
      </c>
      <c r="H1572" s="8" t="s">
        <v>438</v>
      </c>
      <c r="I1572" t="s">
        <v>179</v>
      </c>
      <c r="J1572">
        <v>9</v>
      </c>
      <c r="K1572" t="s">
        <v>489</v>
      </c>
      <c r="L1572" t="s">
        <v>277</v>
      </c>
      <c r="M1572" t="s">
        <v>191</v>
      </c>
      <c r="N1572" t="s">
        <v>87</v>
      </c>
      <c r="Q1572">
        <f t="shared" ref="Q1572:S1572" si="440">Q1571</f>
        <v>18977</v>
      </c>
      <c r="R1572" t="str">
        <f t="shared" si="440"/>
        <v>Velodrome</v>
      </c>
      <c r="S1572" t="str">
        <f t="shared" si="440"/>
        <v>HollowBrook</v>
      </c>
      <c r="T1572" s="20">
        <f t="shared" si="408"/>
        <v>1</v>
      </c>
      <c r="U1572">
        <f t="shared" si="409"/>
        <v>99</v>
      </c>
      <c r="V1572">
        <f t="shared" si="410"/>
        <v>98</v>
      </c>
      <c r="W1572" cm="1">
        <f t="array" ref="W1572">_xlfn._xlws.FILTER(shifts!A:A,(shifts!B:B=events!D1572)*(shifts!AH:AH&gt;=events!U1572)*(shifts!AI:AI&lt;=events!V1572))</f>
        <v>56</v>
      </c>
      <c r="X1572" t="str">
        <f t="shared" si="411"/>
        <v>opp_team_player_1</v>
      </c>
      <c r="Y1572">
        <f>COUNTIFS(A$3:A1572,"="&amp;A1572,K$3:K1572,"="&amp;K1572)</f>
        <v>1</v>
      </c>
      <c r="Z1572" s="20">
        <f>SUMIFS(T$3:T1572,L$3:L1572,"=Intermission")+SUMIFS(T$3:T1572,L$3:L1572,"=Timeout")+SUMIFS(T$3:T1572,L$3:L1572,"=Clockstop")</f>
        <v>68</v>
      </c>
      <c r="AA1572">
        <f t="shared" si="402"/>
        <v>1148</v>
      </c>
      <c r="AC1572">
        <f t="shared" si="403"/>
        <v>1216</v>
      </c>
    </row>
    <row r="1573" spans="1:29" x14ac:dyDescent="0.2">
      <c r="A1573">
        <v>847</v>
      </c>
      <c r="D1573">
        <f t="shared" si="404"/>
        <v>2</v>
      </c>
      <c r="E1573">
        <v>1</v>
      </c>
      <c r="F1573" s="6" t="s">
        <v>481</v>
      </c>
      <c r="G1573">
        <v>1</v>
      </c>
      <c r="H1573" s="8" t="s">
        <v>438</v>
      </c>
      <c r="I1573" t="s">
        <v>179</v>
      </c>
      <c r="J1573">
        <v>22</v>
      </c>
      <c r="K1573" t="s">
        <v>489</v>
      </c>
      <c r="L1573" t="s">
        <v>277</v>
      </c>
      <c r="M1573" t="s">
        <v>191</v>
      </c>
      <c r="N1573" t="s">
        <v>87</v>
      </c>
      <c r="Q1573">
        <f t="shared" ref="Q1573:S1573" si="441">Q1572</f>
        <v>18977</v>
      </c>
      <c r="R1573" t="str">
        <f t="shared" si="441"/>
        <v>Velodrome</v>
      </c>
      <c r="S1573" t="str">
        <f t="shared" si="441"/>
        <v>HollowBrook</v>
      </c>
      <c r="T1573" s="20">
        <f t="shared" si="408"/>
        <v>1</v>
      </c>
      <c r="U1573">
        <f t="shared" si="409"/>
        <v>99</v>
      </c>
      <c r="V1573">
        <f t="shared" si="410"/>
        <v>98</v>
      </c>
      <c r="W1573" cm="1">
        <f t="array" ref="W1573">_xlfn._xlws.FILTER(shifts!A:A,(shifts!B:B=events!D1573)*(shifts!AH:AH&gt;=events!U1573)*(shifts!AI:AI&lt;=events!V1573))</f>
        <v>56</v>
      </c>
      <c r="X1573" t="str">
        <f t="shared" si="411"/>
        <v>opp_team_player_2</v>
      </c>
      <c r="Y1573">
        <f>COUNTIFS(A$3:A1573,"="&amp;A1573,K$3:K1573,"="&amp;K1573)</f>
        <v>2</v>
      </c>
      <c r="Z1573" s="20">
        <f>SUMIFS(T$3:T1573,L$3:L1573,"=Intermission")+SUMIFS(T$3:T1573,L$3:L1573,"=Timeout")+SUMIFS(T$3:T1573,L$3:L1573,"=Clockstop")</f>
        <v>68</v>
      </c>
      <c r="AA1573">
        <f t="shared" si="402"/>
        <v>1148</v>
      </c>
      <c r="AC1573">
        <f t="shared" si="403"/>
        <v>1216</v>
      </c>
    </row>
    <row r="1574" spans="1:29" x14ac:dyDescent="0.2">
      <c r="A1574">
        <v>848</v>
      </c>
      <c r="D1574">
        <f t="shared" si="404"/>
        <v>2</v>
      </c>
      <c r="E1574">
        <v>1</v>
      </c>
      <c r="F1574" s="6" t="s">
        <v>438</v>
      </c>
      <c r="I1574" t="s">
        <v>179</v>
      </c>
      <c r="J1574">
        <v>18</v>
      </c>
      <c r="K1574" t="s">
        <v>488</v>
      </c>
      <c r="L1574" t="s">
        <v>7</v>
      </c>
      <c r="M1574" t="s">
        <v>222</v>
      </c>
      <c r="N1574" t="s">
        <v>53</v>
      </c>
      <c r="Q1574">
        <f t="shared" ref="Q1574:S1574" si="442">Q1573</f>
        <v>18977</v>
      </c>
      <c r="R1574" t="str">
        <f t="shared" si="442"/>
        <v>Velodrome</v>
      </c>
      <c r="S1574" t="str">
        <f t="shared" si="442"/>
        <v>HollowBrook</v>
      </c>
      <c r="T1574" s="20">
        <f t="shared" si="408"/>
        <v>0</v>
      </c>
      <c r="U1574">
        <f t="shared" si="409"/>
        <v>98</v>
      </c>
      <c r="V1574">
        <f t="shared" si="410"/>
        <v>98</v>
      </c>
      <c r="W1574" cm="1">
        <f t="array" ref="W1574">_xlfn._xlws.FILTER(shifts!A:A,(shifts!B:B=events!D1574)*(shifts!AH:AH&gt;=events!U1574)*(shifts!AI:AI&lt;=events!V1574))</f>
        <v>56</v>
      </c>
      <c r="X1574" t="str">
        <f t="shared" si="411"/>
        <v>event_team_player_1</v>
      </c>
      <c r="Y1574">
        <f>COUNTIFS(A$3:A1574,"="&amp;A1574,K$3:K1574,"="&amp;K1574)</f>
        <v>1</v>
      </c>
      <c r="Z1574" s="20">
        <f>SUMIFS(T$3:T1574,L$3:L1574,"=Intermission")+SUMIFS(T$3:T1574,L$3:L1574,"=Timeout")+SUMIFS(T$3:T1574,L$3:L1574,"=Clockstop")</f>
        <v>68</v>
      </c>
      <c r="AA1574">
        <f t="shared" si="402"/>
        <v>1148</v>
      </c>
      <c r="AC1574">
        <f t="shared" si="403"/>
        <v>1216</v>
      </c>
    </row>
    <row r="1575" spans="1:29" x14ac:dyDescent="0.2">
      <c r="A1575">
        <v>848</v>
      </c>
      <c r="D1575">
        <f t="shared" si="404"/>
        <v>2</v>
      </c>
      <c r="E1575">
        <v>1</v>
      </c>
      <c r="F1575" s="6" t="s">
        <v>438</v>
      </c>
      <c r="I1575" t="s">
        <v>179</v>
      </c>
      <c r="J1575">
        <v>39</v>
      </c>
      <c r="K1575" t="s">
        <v>489</v>
      </c>
      <c r="L1575" t="s">
        <v>7</v>
      </c>
      <c r="M1575" t="s">
        <v>222</v>
      </c>
      <c r="N1575" t="s">
        <v>53</v>
      </c>
      <c r="Q1575">
        <f t="shared" ref="Q1575:S1575" si="443">Q1574</f>
        <v>18977</v>
      </c>
      <c r="R1575" t="str">
        <f t="shared" si="443"/>
        <v>Velodrome</v>
      </c>
      <c r="S1575" t="str">
        <f t="shared" si="443"/>
        <v>HollowBrook</v>
      </c>
      <c r="T1575" s="20">
        <f t="shared" si="408"/>
        <v>0</v>
      </c>
      <c r="U1575">
        <f t="shared" si="409"/>
        <v>98</v>
      </c>
      <c r="V1575">
        <f t="shared" si="410"/>
        <v>98</v>
      </c>
      <c r="W1575" cm="1">
        <f t="array" ref="W1575">_xlfn._xlws.FILTER(shifts!A:A,(shifts!B:B=events!D1575)*(shifts!AH:AH&gt;=events!U1575)*(shifts!AI:AI&lt;=events!V1575))</f>
        <v>56</v>
      </c>
      <c r="X1575" t="str">
        <f t="shared" si="411"/>
        <v>opp_team_player_1</v>
      </c>
      <c r="Y1575">
        <f>COUNTIFS(A$3:A1575,"="&amp;A1575,K$3:K1575,"="&amp;K1575)</f>
        <v>1</v>
      </c>
      <c r="Z1575" s="20">
        <f>SUMIFS(T$3:T1575,L$3:L1575,"=Intermission")+SUMIFS(T$3:T1575,L$3:L1575,"=Timeout")+SUMIFS(T$3:T1575,L$3:L1575,"=Clockstop")</f>
        <v>68</v>
      </c>
      <c r="AA1575">
        <f t="shared" si="402"/>
        <v>1148</v>
      </c>
      <c r="AC1575">
        <f t="shared" si="403"/>
        <v>1216</v>
      </c>
    </row>
    <row r="1576" spans="1:29" x14ac:dyDescent="0.2">
      <c r="A1576">
        <v>849</v>
      </c>
      <c r="D1576">
        <f t="shared" si="404"/>
        <v>2</v>
      </c>
      <c r="E1576">
        <v>1</v>
      </c>
      <c r="F1576" s="6" t="s">
        <v>438</v>
      </c>
      <c r="I1576" t="s">
        <v>178</v>
      </c>
      <c r="J1576">
        <v>39</v>
      </c>
      <c r="K1576" t="s">
        <v>488</v>
      </c>
      <c r="L1576" t="s">
        <v>17</v>
      </c>
      <c r="M1576" t="s">
        <v>196</v>
      </c>
      <c r="N1576" t="s">
        <v>99</v>
      </c>
      <c r="Q1576">
        <f t="shared" ref="Q1576:S1576" si="444">Q1575</f>
        <v>18977</v>
      </c>
      <c r="R1576" t="str">
        <f t="shared" si="444"/>
        <v>Velodrome</v>
      </c>
      <c r="S1576" t="str">
        <f t="shared" si="444"/>
        <v>HollowBrook</v>
      </c>
      <c r="T1576" s="20">
        <f t="shared" si="408"/>
        <v>0</v>
      </c>
      <c r="U1576">
        <f t="shared" si="409"/>
        <v>98</v>
      </c>
      <c r="V1576">
        <f t="shared" si="410"/>
        <v>98</v>
      </c>
      <c r="W1576" cm="1">
        <f t="array" ref="W1576">_xlfn._xlws.FILTER(shifts!A:A,(shifts!B:B=events!D1576)*(shifts!AH:AH&gt;=events!U1576)*(shifts!AI:AI&lt;=events!V1576))</f>
        <v>56</v>
      </c>
      <c r="X1576" t="str">
        <f t="shared" si="411"/>
        <v>event_team_player_1</v>
      </c>
      <c r="Y1576">
        <f>COUNTIFS(A$3:A1576,"="&amp;A1576,K$3:K1576,"="&amp;K1576)</f>
        <v>1</v>
      </c>
      <c r="Z1576" s="20">
        <f>SUMIFS(T$3:T1576,L$3:L1576,"=Intermission")+SUMIFS(T$3:T1576,L$3:L1576,"=Timeout")+SUMIFS(T$3:T1576,L$3:L1576,"=Clockstop")</f>
        <v>68</v>
      </c>
      <c r="AA1576">
        <f t="shared" si="402"/>
        <v>1148</v>
      </c>
      <c r="AC1576">
        <f t="shared" si="403"/>
        <v>1216</v>
      </c>
    </row>
    <row r="1577" spans="1:29" x14ac:dyDescent="0.2">
      <c r="A1577">
        <v>849</v>
      </c>
      <c r="D1577">
        <f t="shared" si="404"/>
        <v>2</v>
      </c>
      <c r="E1577">
        <v>1</v>
      </c>
      <c r="F1577" s="6" t="s">
        <v>438</v>
      </c>
      <c r="I1577" t="s">
        <v>178</v>
      </c>
      <c r="J1577">
        <v>18</v>
      </c>
      <c r="K1577" t="s">
        <v>489</v>
      </c>
      <c r="L1577" t="s">
        <v>17</v>
      </c>
      <c r="M1577" t="s">
        <v>196</v>
      </c>
      <c r="N1577" t="s">
        <v>99</v>
      </c>
      <c r="Q1577">
        <f t="shared" ref="Q1577:S1577" si="445">Q1576</f>
        <v>18977</v>
      </c>
      <c r="R1577" t="str">
        <f t="shared" si="445"/>
        <v>Velodrome</v>
      </c>
      <c r="S1577" t="str">
        <f t="shared" si="445"/>
        <v>HollowBrook</v>
      </c>
      <c r="T1577" s="20">
        <f t="shared" si="408"/>
        <v>0</v>
      </c>
      <c r="U1577">
        <f t="shared" si="409"/>
        <v>98</v>
      </c>
      <c r="V1577">
        <f t="shared" si="410"/>
        <v>98</v>
      </c>
      <c r="W1577" cm="1">
        <f t="array" ref="W1577">_xlfn._xlws.FILTER(shifts!A:A,(shifts!B:B=events!D1577)*(shifts!AH:AH&gt;=events!U1577)*(shifts!AI:AI&lt;=events!V1577))</f>
        <v>56</v>
      </c>
      <c r="X1577" t="str">
        <f t="shared" si="411"/>
        <v>opp_team_player_1</v>
      </c>
      <c r="Y1577">
        <f>COUNTIFS(A$3:A1577,"="&amp;A1577,K$3:K1577,"="&amp;K1577)</f>
        <v>1</v>
      </c>
      <c r="Z1577" s="20">
        <f>SUMIFS(T$3:T1577,L$3:L1577,"=Intermission")+SUMIFS(T$3:T1577,L$3:L1577,"=Timeout")+SUMIFS(T$3:T1577,L$3:L1577,"=Clockstop")</f>
        <v>68</v>
      </c>
      <c r="AA1577">
        <f t="shared" si="402"/>
        <v>1148</v>
      </c>
      <c r="AC1577">
        <f t="shared" si="403"/>
        <v>1216</v>
      </c>
    </row>
    <row r="1578" spans="1:29" x14ac:dyDescent="0.2">
      <c r="A1578">
        <v>850</v>
      </c>
      <c r="D1578">
        <f t="shared" si="404"/>
        <v>2</v>
      </c>
      <c r="E1578">
        <v>1</v>
      </c>
      <c r="F1578" s="6" t="s">
        <v>438</v>
      </c>
      <c r="I1578" t="s">
        <v>178</v>
      </c>
      <c r="J1578">
        <v>39</v>
      </c>
      <c r="K1578" t="s">
        <v>488</v>
      </c>
      <c r="L1578" t="s">
        <v>270</v>
      </c>
      <c r="M1578" t="s">
        <v>271</v>
      </c>
      <c r="Q1578">
        <f t="shared" ref="Q1578:S1578" si="446">Q1577</f>
        <v>18977</v>
      </c>
      <c r="R1578" t="str">
        <f t="shared" si="446"/>
        <v>Velodrome</v>
      </c>
      <c r="S1578" t="str">
        <f t="shared" si="446"/>
        <v>HollowBrook</v>
      </c>
      <c r="T1578" s="20">
        <f t="shared" si="408"/>
        <v>0</v>
      </c>
      <c r="U1578">
        <f t="shared" si="409"/>
        <v>98</v>
      </c>
      <c r="V1578">
        <f t="shared" si="410"/>
        <v>98</v>
      </c>
      <c r="W1578" cm="1">
        <f t="array" ref="W1578">_xlfn._xlws.FILTER(shifts!A:A,(shifts!B:B=events!D1578)*(shifts!AH:AH&gt;=events!U1578)*(shifts!AI:AI&lt;=events!V1578))</f>
        <v>56</v>
      </c>
      <c r="X1578" t="str">
        <f t="shared" si="411"/>
        <v>event_team_player_1</v>
      </c>
      <c r="Y1578">
        <f>COUNTIFS(A$3:A1578,"="&amp;A1578,K$3:K1578,"="&amp;K1578)</f>
        <v>1</v>
      </c>
      <c r="Z1578" s="20">
        <f>SUMIFS(T$3:T1578,L$3:L1578,"=Intermission")+SUMIFS(T$3:T1578,L$3:L1578,"=Timeout")+SUMIFS(T$3:T1578,L$3:L1578,"=Clockstop")</f>
        <v>68</v>
      </c>
      <c r="AA1578">
        <f t="shared" si="402"/>
        <v>1148</v>
      </c>
      <c r="AC1578">
        <f t="shared" si="403"/>
        <v>1216</v>
      </c>
    </row>
    <row r="1579" spans="1:29" x14ac:dyDescent="0.2">
      <c r="A1579">
        <v>851</v>
      </c>
      <c r="D1579">
        <f t="shared" si="404"/>
        <v>2</v>
      </c>
      <c r="E1579">
        <v>1</v>
      </c>
      <c r="F1579" s="6" t="s">
        <v>455</v>
      </c>
      <c r="G1579">
        <v>1</v>
      </c>
      <c r="H1579" s="8" t="s">
        <v>482</v>
      </c>
      <c r="I1579" t="s">
        <v>178</v>
      </c>
      <c r="J1579">
        <v>9</v>
      </c>
      <c r="K1579" t="s">
        <v>488</v>
      </c>
      <c r="L1579" t="s">
        <v>15</v>
      </c>
      <c r="Q1579">
        <f t="shared" ref="Q1579:S1579" si="447">Q1578</f>
        <v>18977</v>
      </c>
      <c r="R1579" t="str">
        <f t="shared" si="447"/>
        <v>Velodrome</v>
      </c>
      <c r="S1579" t="str">
        <f t="shared" si="447"/>
        <v>HollowBrook</v>
      </c>
      <c r="T1579" s="20">
        <f t="shared" si="408"/>
        <v>2</v>
      </c>
      <c r="U1579">
        <f t="shared" si="409"/>
        <v>95</v>
      </c>
      <c r="V1579">
        <f t="shared" si="410"/>
        <v>93</v>
      </c>
      <c r="W1579" cm="1">
        <f t="array" ref="W1579">_xlfn._xlws.FILTER(shifts!A:A,(shifts!B:B=events!D1579)*(shifts!AH:AH&gt;=events!U1579)*(shifts!AI:AI&lt;=events!V1579))</f>
        <v>56</v>
      </c>
      <c r="X1579" t="str">
        <f t="shared" si="411"/>
        <v>event_team_player_1</v>
      </c>
      <c r="Y1579">
        <f>COUNTIFS(A$3:A1579,"="&amp;A1579,K$3:K1579,"="&amp;K1579)</f>
        <v>1</v>
      </c>
      <c r="Z1579" s="20">
        <f>SUMIFS(T$3:T1579,L$3:L1579,"=Intermission")+SUMIFS(T$3:T1579,L$3:L1579,"=Timeout")+SUMIFS(T$3:T1579,L$3:L1579,"=Clockstop")</f>
        <v>68</v>
      </c>
      <c r="AA1579">
        <f t="shared" si="402"/>
        <v>1148</v>
      </c>
      <c r="AC1579">
        <f t="shared" si="403"/>
        <v>1216</v>
      </c>
    </row>
    <row r="1580" spans="1:29" x14ac:dyDescent="0.2">
      <c r="A1580">
        <v>851</v>
      </c>
      <c r="D1580">
        <f t="shared" si="404"/>
        <v>2</v>
      </c>
      <c r="E1580">
        <v>1</v>
      </c>
      <c r="F1580" s="6" t="s">
        <v>455</v>
      </c>
      <c r="G1580">
        <v>1</v>
      </c>
      <c r="H1580" s="8" t="s">
        <v>482</v>
      </c>
      <c r="I1580" t="s">
        <v>178</v>
      </c>
      <c r="J1580">
        <v>11</v>
      </c>
      <c r="K1580" t="s">
        <v>489</v>
      </c>
      <c r="L1580" t="s">
        <v>15</v>
      </c>
      <c r="Q1580">
        <f t="shared" ref="Q1580:S1580" si="448">Q1579</f>
        <v>18977</v>
      </c>
      <c r="R1580" t="str">
        <f t="shared" si="448"/>
        <v>Velodrome</v>
      </c>
      <c r="S1580" t="str">
        <f t="shared" si="448"/>
        <v>HollowBrook</v>
      </c>
      <c r="T1580" s="20">
        <f t="shared" si="408"/>
        <v>2</v>
      </c>
      <c r="U1580">
        <f t="shared" si="409"/>
        <v>95</v>
      </c>
      <c r="V1580">
        <f t="shared" si="410"/>
        <v>93</v>
      </c>
      <c r="W1580" cm="1">
        <f t="array" ref="W1580">_xlfn._xlws.FILTER(shifts!A:A,(shifts!B:B=events!D1580)*(shifts!AH:AH&gt;=events!U1580)*(shifts!AI:AI&lt;=events!V1580))</f>
        <v>56</v>
      </c>
      <c r="X1580" t="str">
        <f t="shared" si="411"/>
        <v>opp_team_player_1</v>
      </c>
      <c r="Y1580">
        <f>COUNTIFS(A$3:A1580,"="&amp;A1580,K$3:K1580,"="&amp;K1580)</f>
        <v>1</v>
      </c>
      <c r="Z1580" s="20">
        <f>SUMIFS(T$3:T1580,L$3:L1580,"=Intermission")+SUMIFS(T$3:T1580,L$3:L1580,"=Timeout")+SUMIFS(T$3:T1580,L$3:L1580,"=Clockstop")</f>
        <v>68</v>
      </c>
      <c r="AA1580">
        <f t="shared" si="402"/>
        <v>1148</v>
      </c>
      <c r="AC1580">
        <f t="shared" si="403"/>
        <v>1216</v>
      </c>
    </row>
    <row r="1581" spans="1:29" x14ac:dyDescent="0.2">
      <c r="A1581">
        <v>852</v>
      </c>
      <c r="D1581">
        <f t="shared" si="404"/>
        <v>2</v>
      </c>
      <c r="E1581">
        <v>1</v>
      </c>
      <c r="F1581" s="6" t="s">
        <v>482</v>
      </c>
      <c r="I1581" t="s">
        <v>178</v>
      </c>
      <c r="J1581">
        <v>9</v>
      </c>
      <c r="K1581" t="s">
        <v>488</v>
      </c>
      <c r="L1581" t="s">
        <v>8</v>
      </c>
      <c r="M1581" t="s">
        <v>189</v>
      </c>
      <c r="N1581" t="s">
        <v>70</v>
      </c>
      <c r="Q1581">
        <f t="shared" ref="Q1581:S1581" si="449">Q1580</f>
        <v>18977</v>
      </c>
      <c r="R1581" t="str">
        <f t="shared" si="449"/>
        <v>Velodrome</v>
      </c>
      <c r="S1581" t="str">
        <f t="shared" si="449"/>
        <v>HollowBrook</v>
      </c>
      <c r="T1581" s="20">
        <f t="shared" si="408"/>
        <v>0</v>
      </c>
      <c r="U1581">
        <f t="shared" si="409"/>
        <v>93</v>
      </c>
      <c r="V1581">
        <f t="shared" si="410"/>
        <v>93</v>
      </c>
      <c r="W1581" cm="1">
        <f t="array" ref="W1581">_xlfn._xlws.FILTER(shifts!A:A,(shifts!B:B=events!D1581)*(shifts!AH:AH&gt;=events!U1581)*(shifts!AI:AI&lt;=events!V1581))</f>
        <v>56</v>
      </c>
      <c r="X1581" t="str">
        <f t="shared" si="411"/>
        <v>event_team_player_1</v>
      </c>
      <c r="Y1581">
        <f>COUNTIFS(A$3:A1581,"="&amp;A1581,K$3:K1581,"="&amp;K1581)</f>
        <v>1</v>
      </c>
      <c r="Z1581" s="20">
        <f>SUMIFS(T$3:T1581,L$3:L1581,"=Intermission")+SUMIFS(T$3:T1581,L$3:L1581,"=Timeout")+SUMIFS(T$3:T1581,L$3:L1581,"=Clockstop")</f>
        <v>68</v>
      </c>
      <c r="AA1581">
        <f t="shared" si="402"/>
        <v>1148</v>
      </c>
      <c r="AC1581">
        <f t="shared" si="403"/>
        <v>1216</v>
      </c>
    </row>
    <row r="1582" spans="1:29" x14ac:dyDescent="0.2">
      <c r="A1582">
        <v>852</v>
      </c>
      <c r="D1582">
        <f t="shared" si="404"/>
        <v>2</v>
      </c>
      <c r="E1582">
        <v>1</v>
      </c>
      <c r="F1582" s="6" t="s">
        <v>482</v>
      </c>
      <c r="I1582" t="s">
        <v>178</v>
      </c>
      <c r="J1582">
        <v>24</v>
      </c>
      <c r="K1582" t="s">
        <v>488</v>
      </c>
      <c r="L1582" t="s">
        <v>8</v>
      </c>
      <c r="M1582" t="s">
        <v>189</v>
      </c>
      <c r="N1582" t="s">
        <v>70</v>
      </c>
      <c r="Q1582">
        <f t="shared" ref="Q1582:S1582" si="450">Q1581</f>
        <v>18977</v>
      </c>
      <c r="R1582" t="str">
        <f t="shared" si="450"/>
        <v>Velodrome</v>
      </c>
      <c r="S1582" t="str">
        <f t="shared" si="450"/>
        <v>HollowBrook</v>
      </c>
      <c r="T1582" s="20">
        <f t="shared" si="408"/>
        <v>0</v>
      </c>
      <c r="U1582">
        <f t="shared" si="409"/>
        <v>93</v>
      </c>
      <c r="V1582">
        <f t="shared" si="410"/>
        <v>93</v>
      </c>
      <c r="W1582" cm="1">
        <f t="array" ref="W1582">_xlfn._xlws.FILTER(shifts!A:A,(shifts!B:B=events!D1582)*(shifts!AH:AH&gt;=events!U1582)*(shifts!AI:AI&lt;=events!V1582))</f>
        <v>56</v>
      </c>
      <c r="X1582" t="str">
        <f t="shared" si="411"/>
        <v>event_team_player_2</v>
      </c>
      <c r="Y1582">
        <f>COUNTIFS(A$3:A1582,"="&amp;A1582,K$3:K1582,"="&amp;K1582)</f>
        <v>2</v>
      </c>
      <c r="Z1582" s="20">
        <f>SUMIFS(T$3:T1582,L$3:L1582,"=Intermission")+SUMIFS(T$3:T1582,L$3:L1582,"=Timeout")+SUMIFS(T$3:T1582,L$3:L1582,"=Clockstop")</f>
        <v>68</v>
      </c>
      <c r="AA1582">
        <f t="shared" si="402"/>
        <v>1148</v>
      </c>
      <c r="AC1582">
        <f t="shared" si="403"/>
        <v>1216</v>
      </c>
    </row>
    <row r="1583" spans="1:29" x14ac:dyDescent="0.2">
      <c r="A1583">
        <v>852</v>
      </c>
      <c r="D1583">
        <f t="shared" si="404"/>
        <v>2</v>
      </c>
      <c r="E1583">
        <v>1</v>
      </c>
      <c r="F1583" s="6" t="s">
        <v>482</v>
      </c>
      <c r="I1583" t="s">
        <v>178</v>
      </c>
      <c r="J1583">
        <v>11</v>
      </c>
      <c r="K1583" t="s">
        <v>489</v>
      </c>
      <c r="L1583" t="s">
        <v>8</v>
      </c>
      <c r="M1583" t="s">
        <v>189</v>
      </c>
      <c r="N1583" t="s">
        <v>70</v>
      </c>
      <c r="Q1583">
        <f t="shared" ref="Q1583:S1583" si="451">Q1582</f>
        <v>18977</v>
      </c>
      <c r="R1583" t="str">
        <f t="shared" si="451"/>
        <v>Velodrome</v>
      </c>
      <c r="S1583" t="str">
        <f t="shared" si="451"/>
        <v>HollowBrook</v>
      </c>
      <c r="T1583" s="20">
        <f t="shared" si="408"/>
        <v>0</v>
      </c>
      <c r="U1583">
        <f t="shared" si="409"/>
        <v>93</v>
      </c>
      <c r="V1583">
        <f t="shared" si="410"/>
        <v>93</v>
      </c>
      <c r="W1583" cm="1">
        <f t="array" ref="W1583">_xlfn._xlws.FILTER(shifts!A:A,(shifts!B:B=events!D1583)*(shifts!AH:AH&gt;=events!U1583)*(shifts!AI:AI&lt;=events!V1583))</f>
        <v>56</v>
      </c>
      <c r="X1583" t="str">
        <f t="shared" si="411"/>
        <v>opp_team_player_1</v>
      </c>
      <c r="Y1583">
        <f>COUNTIFS(A$3:A1583,"="&amp;A1583,K$3:K1583,"="&amp;K1583)</f>
        <v>1</v>
      </c>
      <c r="Z1583" s="20">
        <f>SUMIFS(T$3:T1583,L$3:L1583,"=Intermission")+SUMIFS(T$3:T1583,L$3:L1583,"=Timeout")+SUMIFS(T$3:T1583,L$3:L1583,"=Clockstop")</f>
        <v>68</v>
      </c>
      <c r="AA1583">
        <f t="shared" si="402"/>
        <v>1148</v>
      </c>
      <c r="AC1583">
        <f t="shared" si="403"/>
        <v>1216</v>
      </c>
    </row>
    <row r="1584" spans="1:29" x14ac:dyDescent="0.2">
      <c r="A1584">
        <v>853</v>
      </c>
      <c r="D1584">
        <f t="shared" si="404"/>
        <v>2</v>
      </c>
      <c r="E1584">
        <v>1</v>
      </c>
      <c r="F1584" s="6" t="s">
        <v>482</v>
      </c>
      <c r="I1584" t="s">
        <v>178</v>
      </c>
      <c r="J1584">
        <v>9</v>
      </c>
      <c r="K1584" t="s">
        <v>488</v>
      </c>
      <c r="L1584" t="s">
        <v>277</v>
      </c>
      <c r="M1584" t="s">
        <v>201</v>
      </c>
      <c r="N1584" t="s">
        <v>91</v>
      </c>
      <c r="Q1584">
        <f t="shared" ref="Q1584:S1584" si="452">Q1583</f>
        <v>18977</v>
      </c>
      <c r="R1584" t="str">
        <f t="shared" si="452"/>
        <v>Velodrome</v>
      </c>
      <c r="S1584" t="str">
        <f t="shared" si="452"/>
        <v>HollowBrook</v>
      </c>
      <c r="T1584" s="20">
        <f t="shared" si="408"/>
        <v>0</v>
      </c>
      <c r="U1584">
        <f t="shared" si="409"/>
        <v>93</v>
      </c>
      <c r="V1584">
        <f t="shared" si="410"/>
        <v>93</v>
      </c>
      <c r="W1584" cm="1">
        <f t="array" ref="W1584">_xlfn._xlws.FILTER(shifts!A:A,(shifts!B:B=events!D1584)*(shifts!AH:AH&gt;=events!U1584)*(shifts!AI:AI&lt;=events!V1584))</f>
        <v>56</v>
      </c>
      <c r="X1584" t="str">
        <f t="shared" si="411"/>
        <v>event_team_player_1</v>
      </c>
      <c r="Y1584">
        <f>COUNTIFS(A$3:A1584,"="&amp;A1584,K$3:K1584,"="&amp;K1584)</f>
        <v>1</v>
      </c>
      <c r="Z1584" s="20">
        <f>SUMIFS(T$3:T1584,L$3:L1584,"=Intermission")+SUMIFS(T$3:T1584,L$3:L1584,"=Timeout")+SUMIFS(T$3:T1584,L$3:L1584,"=Clockstop")</f>
        <v>68</v>
      </c>
      <c r="AA1584">
        <f t="shared" si="402"/>
        <v>1148</v>
      </c>
      <c r="AC1584">
        <f t="shared" si="403"/>
        <v>1216</v>
      </c>
    </row>
    <row r="1585" spans="1:29" x14ac:dyDescent="0.2">
      <c r="A1585">
        <v>853</v>
      </c>
      <c r="D1585">
        <f t="shared" si="404"/>
        <v>2</v>
      </c>
      <c r="E1585">
        <v>1</v>
      </c>
      <c r="F1585" s="6" t="s">
        <v>482</v>
      </c>
      <c r="I1585" t="s">
        <v>178</v>
      </c>
      <c r="J1585">
        <v>24</v>
      </c>
      <c r="K1585" t="s">
        <v>488</v>
      </c>
      <c r="L1585" t="s">
        <v>277</v>
      </c>
      <c r="M1585" t="s">
        <v>201</v>
      </c>
      <c r="N1585" t="s">
        <v>91</v>
      </c>
      <c r="Q1585">
        <f t="shared" ref="Q1585:S1585" si="453">Q1584</f>
        <v>18977</v>
      </c>
      <c r="R1585" t="str">
        <f t="shared" si="453"/>
        <v>Velodrome</v>
      </c>
      <c r="S1585" t="str">
        <f t="shared" si="453"/>
        <v>HollowBrook</v>
      </c>
      <c r="T1585" s="20">
        <f t="shared" si="408"/>
        <v>0</v>
      </c>
      <c r="U1585">
        <f t="shared" si="409"/>
        <v>93</v>
      </c>
      <c r="V1585">
        <f t="shared" si="410"/>
        <v>93</v>
      </c>
      <c r="W1585" cm="1">
        <f t="array" ref="W1585">_xlfn._xlws.FILTER(shifts!A:A,(shifts!B:B=events!D1585)*(shifts!AH:AH&gt;=events!U1585)*(shifts!AI:AI&lt;=events!V1585))</f>
        <v>56</v>
      </c>
      <c r="X1585" t="str">
        <f t="shared" si="411"/>
        <v>event_team_player_2</v>
      </c>
      <c r="Y1585">
        <f>COUNTIFS(A$3:A1585,"="&amp;A1585,K$3:K1585,"="&amp;K1585)</f>
        <v>2</v>
      </c>
      <c r="Z1585" s="20">
        <f>SUMIFS(T$3:T1585,L$3:L1585,"=Intermission")+SUMIFS(T$3:T1585,L$3:L1585,"=Timeout")+SUMIFS(T$3:T1585,L$3:L1585,"=Clockstop")</f>
        <v>68</v>
      </c>
      <c r="AA1585">
        <f t="shared" si="402"/>
        <v>1148</v>
      </c>
      <c r="AC1585">
        <f t="shared" si="403"/>
        <v>1216</v>
      </c>
    </row>
    <row r="1586" spans="1:29" x14ac:dyDescent="0.2">
      <c r="A1586">
        <v>853</v>
      </c>
      <c r="D1586">
        <f t="shared" si="404"/>
        <v>2</v>
      </c>
      <c r="E1586">
        <v>1</v>
      </c>
      <c r="F1586" s="6" t="s">
        <v>482</v>
      </c>
      <c r="I1586" t="s">
        <v>178</v>
      </c>
      <c r="J1586">
        <v>11</v>
      </c>
      <c r="K1586" t="s">
        <v>489</v>
      </c>
      <c r="L1586" t="s">
        <v>277</v>
      </c>
      <c r="M1586" t="s">
        <v>201</v>
      </c>
      <c r="N1586" t="s">
        <v>91</v>
      </c>
      <c r="Q1586">
        <f t="shared" ref="Q1586:S1586" si="454">Q1585</f>
        <v>18977</v>
      </c>
      <c r="R1586" t="str">
        <f t="shared" si="454"/>
        <v>Velodrome</v>
      </c>
      <c r="S1586" t="str">
        <f t="shared" si="454"/>
        <v>HollowBrook</v>
      </c>
      <c r="T1586" s="20">
        <f t="shared" si="408"/>
        <v>0</v>
      </c>
      <c r="U1586">
        <f t="shared" si="409"/>
        <v>93</v>
      </c>
      <c r="V1586">
        <f t="shared" si="410"/>
        <v>93</v>
      </c>
      <c r="W1586" cm="1">
        <f t="array" ref="W1586">_xlfn._xlws.FILTER(shifts!A:A,(shifts!B:B=events!D1586)*(shifts!AH:AH&gt;=events!U1586)*(shifts!AI:AI&lt;=events!V1586))</f>
        <v>56</v>
      </c>
      <c r="X1586" t="str">
        <f t="shared" si="411"/>
        <v>opp_team_player_1</v>
      </c>
      <c r="Y1586">
        <f>COUNTIFS(A$3:A1586,"="&amp;A1586,K$3:K1586,"="&amp;K1586)</f>
        <v>1</v>
      </c>
      <c r="Z1586" s="20">
        <f>SUMIFS(T$3:T1586,L$3:L1586,"=Intermission")+SUMIFS(T$3:T1586,L$3:L1586,"=Timeout")+SUMIFS(T$3:T1586,L$3:L1586,"=Clockstop")</f>
        <v>68</v>
      </c>
      <c r="AA1586">
        <f t="shared" si="402"/>
        <v>1148</v>
      </c>
      <c r="AC1586">
        <f t="shared" si="403"/>
        <v>1216</v>
      </c>
    </row>
    <row r="1587" spans="1:29" x14ac:dyDescent="0.2">
      <c r="A1587">
        <v>854</v>
      </c>
      <c r="D1587">
        <f t="shared" si="404"/>
        <v>2</v>
      </c>
      <c r="E1587">
        <v>1</v>
      </c>
      <c r="F1587" s="6" t="s">
        <v>494</v>
      </c>
      <c r="I1587" t="s">
        <v>178</v>
      </c>
      <c r="J1587">
        <v>24</v>
      </c>
      <c r="K1587" t="s">
        <v>488</v>
      </c>
      <c r="L1587" t="s">
        <v>10</v>
      </c>
      <c r="M1587" t="s">
        <v>190</v>
      </c>
      <c r="N1587" t="s">
        <v>73</v>
      </c>
      <c r="Q1587">
        <f t="shared" ref="Q1587:S1587" si="455">Q1586</f>
        <v>18977</v>
      </c>
      <c r="R1587" t="str">
        <f t="shared" si="455"/>
        <v>Velodrome</v>
      </c>
      <c r="S1587" t="str">
        <f t="shared" si="455"/>
        <v>HollowBrook</v>
      </c>
      <c r="T1587" s="20">
        <f t="shared" si="408"/>
        <v>0</v>
      </c>
      <c r="U1587">
        <f t="shared" si="409"/>
        <v>92</v>
      </c>
      <c r="V1587">
        <f t="shared" si="410"/>
        <v>92</v>
      </c>
      <c r="W1587" cm="1">
        <f t="array" ref="W1587">_xlfn._xlws.FILTER(shifts!A:A,(shifts!B:B=events!D1587)*(shifts!AH:AH&gt;=events!U1587)*(shifts!AI:AI&lt;=events!V1587))</f>
        <v>56</v>
      </c>
      <c r="X1587" t="str">
        <f t="shared" si="411"/>
        <v>event_team_player_1</v>
      </c>
      <c r="Y1587">
        <f>COUNTIFS(A$3:A1587,"="&amp;A1587,K$3:K1587,"="&amp;K1587)</f>
        <v>1</v>
      </c>
      <c r="Z1587" s="20">
        <f>SUMIFS(T$3:T1587,L$3:L1587,"=Intermission")+SUMIFS(T$3:T1587,L$3:L1587,"=Timeout")+SUMIFS(T$3:T1587,L$3:L1587,"=Clockstop")</f>
        <v>68</v>
      </c>
      <c r="AA1587">
        <f t="shared" si="402"/>
        <v>1148</v>
      </c>
      <c r="AC1587">
        <f t="shared" si="403"/>
        <v>1216</v>
      </c>
    </row>
    <row r="1588" spans="1:29" x14ac:dyDescent="0.2">
      <c r="A1588">
        <v>854</v>
      </c>
      <c r="D1588">
        <f t="shared" si="404"/>
        <v>2</v>
      </c>
      <c r="E1588">
        <v>1</v>
      </c>
      <c r="F1588" s="6" t="s">
        <v>494</v>
      </c>
      <c r="I1588" t="s">
        <v>178</v>
      </c>
      <c r="J1588">
        <v>2</v>
      </c>
      <c r="K1588" t="s">
        <v>489</v>
      </c>
      <c r="L1588" t="s">
        <v>10</v>
      </c>
      <c r="M1588" t="s">
        <v>190</v>
      </c>
      <c r="N1588" t="s">
        <v>73</v>
      </c>
      <c r="Q1588">
        <f t="shared" ref="Q1588:S1588" si="456">Q1587</f>
        <v>18977</v>
      </c>
      <c r="R1588" t="str">
        <f t="shared" si="456"/>
        <v>Velodrome</v>
      </c>
      <c r="S1588" t="str">
        <f t="shared" si="456"/>
        <v>HollowBrook</v>
      </c>
      <c r="T1588" s="20">
        <f t="shared" si="408"/>
        <v>0</v>
      </c>
      <c r="U1588">
        <f t="shared" si="409"/>
        <v>92</v>
      </c>
      <c r="V1588">
        <f t="shared" si="410"/>
        <v>92</v>
      </c>
      <c r="W1588" cm="1">
        <f t="array" ref="W1588">_xlfn._xlws.FILTER(shifts!A:A,(shifts!B:B=events!D1588)*(shifts!AH:AH&gt;=events!U1588)*(shifts!AI:AI&lt;=events!V1588))</f>
        <v>56</v>
      </c>
      <c r="X1588" t="str">
        <f t="shared" si="411"/>
        <v>opp_team_player_1</v>
      </c>
      <c r="Y1588">
        <f>COUNTIFS(A$3:A1588,"="&amp;A1588,K$3:K1588,"="&amp;K1588)</f>
        <v>1</v>
      </c>
      <c r="Z1588" s="20">
        <f>SUMIFS(T$3:T1588,L$3:L1588,"=Intermission")+SUMIFS(T$3:T1588,L$3:L1588,"=Timeout")+SUMIFS(T$3:T1588,L$3:L1588,"=Clockstop")</f>
        <v>68</v>
      </c>
      <c r="AA1588">
        <f t="shared" si="402"/>
        <v>1148</v>
      </c>
      <c r="AC1588">
        <f t="shared" si="403"/>
        <v>1216</v>
      </c>
    </row>
    <row r="1589" spans="1:29" x14ac:dyDescent="0.2">
      <c r="A1589">
        <v>855</v>
      </c>
      <c r="D1589">
        <f t="shared" si="404"/>
        <v>2</v>
      </c>
      <c r="E1589">
        <v>1</v>
      </c>
      <c r="F1589" s="6" t="s">
        <v>493</v>
      </c>
      <c r="G1589">
        <v>1</v>
      </c>
      <c r="H1589" s="8" t="s">
        <v>442</v>
      </c>
      <c r="I1589" t="s">
        <v>179</v>
      </c>
      <c r="J1589">
        <v>2</v>
      </c>
      <c r="K1589" t="s">
        <v>488</v>
      </c>
      <c r="L1589" t="s">
        <v>15</v>
      </c>
      <c r="Q1589">
        <f t="shared" ref="Q1589:S1589" si="457">Q1588</f>
        <v>18977</v>
      </c>
      <c r="R1589" t="str">
        <f t="shared" si="457"/>
        <v>Velodrome</v>
      </c>
      <c r="S1589" t="str">
        <f t="shared" si="457"/>
        <v>HollowBrook</v>
      </c>
      <c r="T1589" s="20">
        <f t="shared" si="408"/>
        <v>2</v>
      </c>
      <c r="U1589">
        <f t="shared" si="409"/>
        <v>91</v>
      </c>
      <c r="V1589">
        <f t="shared" si="410"/>
        <v>89</v>
      </c>
      <c r="W1589" cm="1">
        <f t="array" ref="W1589">_xlfn._xlws.FILTER(shifts!A:A,(shifts!B:B=events!D1589)*(shifts!AH:AH&gt;=events!U1589)*(shifts!AI:AI&lt;=events!V1589))</f>
        <v>56</v>
      </c>
      <c r="X1589" t="str">
        <f t="shared" si="411"/>
        <v>event_team_player_1</v>
      </c>
      <c r="Y1589">
        <f>COUNTIFS(A$3:A1589,"="&amp;A1589,K$3:K1589,"="&amp;K1589)</f>
        <v>1</v>
      </c>
      <c r="Z1589" s="20">
        <f>SUMIFS(T$3:T1589,L$3:L1589,"=Intermission")+SUMIFS(T$3:T1589,L$3:L1589,"=Timeout")+SUMIFS(T$3:T1589,L$3:L1589,"=Clockstop")</f>
        <v>68</v>
      </c>
      <c r="AA1589">
        <f t="shared" si="402"/>
        <v>1148</v>
      </c>
      <c r="AC1589">
        <f t="shared" si="403"/>
        <v>1216</v>
      </c>
    </row>
    <row r="1590" spans="1:29" x14ac:dyDescent="0.2">
      <c r="A1590">
        <v>856</v>
      </c>
      <c r="D1590">
        <f t="shared" si="404"/>
        <v>2</v>
      </c>
      <c r="E1590">
        <v>1</v>
      </c>
      <c r="F1590" s="6" t="s">
        <v>442</v>
      </c>
      <c r="I1590" t="s">
        <v>179</v>
      </c>
      <c r="J1590">
        <v>2</v>
      </c>
      <c r="K1590" t="s">
        <v>488</v>
      </c>
      <c r="L1590" t="s">
        <v>8</v>
      </c>
      <c r="M1590" t="s">
        <v>216</v>
      </c>
      <c r="N1590" t="s">
        <v>70</v>
      </c>
      <c r="Q1590">
        <f t="shared" ref="Q1590:S1590" si="458">Q1589</f>
        <v>18977</v>
      </c>
      <c r="R1590" t="str">
        <f t="shared" si="458"/>
        <v>Velodrome</v>
      </c>
      <c r="S1590" t="str">
        <f t="shared" si="458"/>
        <v>HollowBrook</v>
      </c>
      <c r="T1590" s="20">
        <f t="shared" si="408"/>
        <v>0</v>
      </c>
      <c r="U1590">
        <f t="shared" si="409"/>
        <v>89</v>
      </c>
      <c r="V1590">
        <f t="shared" si="410"/>
        <v>89</v>
      </c>
      <c r="W1590" cm="1">
        <f t="array" ref="W1590">_xlfn._xlws.FILTER(shifts!A:A,(shifts!B:B=events!D1590)*(shifts!AH:AH&gt;=events!U1590)*(shifts!AI:AI&lt;=events!V1590))</f>
        <v>56</v>
      </c>
      <c r="X1590" t="str">
        <f t="shared" si="411"/>
        <v>event_team_player_1</v>
      </c>
      <c r="Y1590">
        <f>COUNTIFS(A$3:A1590,"="&amp;A1590,K$3:K1590,"="&amp;K1590)</f>
        <v>1</v>
      </c>
      <c r="Z1590" s="20">
        <f>SUMIFS(T$3:T1590,L$3:L1590,"=Intermission")+SUMIFS(T$3:T1590,L$3:L1590,"=Timeout")+SUMIFS(T$3:T1590,L$3:L1590,"=Clockstop")</f>
        <v>68</v>
      </c>
      <c r="AA1590">
        <f t="shared" si="402"/>
        <v>1148</v>
      </c>
      <c r="AC1590">
        <f t="shared" si="403"/>
        <v>1216</v>
      </c>
    </row>
    <row r="1591" spans="1:29" x14ac:dyDescent="0.2">
      <c r="A1591">
        <v>856</v>
      </c>
      <c r="D1591">
        <f t="shared" si="404"/>
        <v>2</v>
      </c>
      <c r="E1591">
        <v>1</v>
      </c>
      <c r="F1591" s="6" t="s">
        <v>442</v>
      </c>
      <c r="I1591" t="s">
        <v>179</v>
      </c>
      <c r="J1591">
        <v>19</v>
      </c>
      <c r="K1591" t="s">
        <v>488</v>
      </c>
      <c r="L1591" t="s">
        <v>8</v>
      </c>
      <c r="M1591" t="s">
        <v>216</v>
      </c>
      <c r="N1591" t="s">
        <v>70</v>
      </c>
      <c r="Q1591">
        <f t="shared" ref="Q1591:S1591" si="459">Q1590</f>
        <v>18977</v>
      </c>
      <c r="R1591" t="str">
        <f t="shared" si="459"/>
        <v>Velodrome</v>
      </c>
      <c r="S1591" t="str">
        <f t="shared" si="459"/>
        <v>HollowBrook</v>
      </c>
      <c r="T1591" s="20">
        <f t="shared" si="408"/>
        <v>0</v>
      </c>
      <c r="U1591">
        <f t="shared" si="409"/>
        <v>89</v>
      </c>
      <c r="V1591">
        <f t="shared" si="410"/>
        <v>89</v>
      </c>
      <c r="W1591" cm="1">
        <f t="array" ref="W1591">_xlfn._xlws.FILTER(shifts!A:A,(shifts!B:B=events!D1591)*(shifts!AH:AH&gt;=events!U1591)*(shifts!AI:AI&lt;=events!V1591))</f>
        <v>56</v>
      </c>
      <c r="X1591" t="str">
        <f t="shared" si="411"/>
        <v>event_team_player_2</v>
      </c>
      <c r="Y1591">
        <f>COUNTIFS(A$3:A1591,"="&amp;A1591,K$3:K1591,"="&amp;K1591)</f>
        <v>2</v>
      </c>
      <c r="Z1591" s="20">
        <f>SUMIFS(T$3:T1591,L$3:L1591,"=Intermission")+SUMIFS(T$3:T1591,L$3:L1591,"=Timeout")+SUMIFS(T$3:T1591,L$3:L1591,"=Clockstop")</f>
        <v>68</v>
      </c>
      <c r="AA1591">
        <f t="shared" si="402"/>
        <v>1148</v>
      </c>
      <c r="AC1591">
        <f t="shared" si="403"/>
        <v>1216</v>
      </c>
    </row>
    <row r="1592" spans="1:29" x14ac:dyDescent="0.2">
      <c r="A1592">
        <v>856</v>
      </c>
      <c r="D1592">
        <f t="shared" si="404"/>
        <v>2</v>
      </c>
      <c r="E1592">
        <v>1</v>
      </c>
      <c r="F1592" s="6" t="s">
        <v>442</v>
      </c>
      <c r="I1592" t="s">
        <v>179</v>
      </c>
      <c r="J1592">
        <v>9</v>
      </c>
      <c r="K1592" t="s">
        <v>489</v>
      </c>
      <c r="L1592" t="s">
        <v>8</v>
      </c>
      <c r="M1592" t="s">
        <v>216</v>
      </c>
      <c r="N1592" t="s">
        <v>70</v>
      </c>
      <c r="Q1592">
        <f t="shared" ref="Q1592:S1592" si="460">Q1591</f>
        <v>18977</v>
      </c>
      <c r="R1592" t="str">
        <f t="shared" si="460"/>
        <v>Velodrome</v>
      </c>
      <c r="S1592" t="str">
        <f t="shared" si="460"/>
        <v>HollowBrook</v>
      </c>
      <c r="T1592" s="20">
        <f t="shared" si="408"/>
        <v>0</v>
      </c>
      <c r="U1592">
        <f t="shared" si="409"/>
        <v>89</v>
      </c>
      <c r="V1592">
        <f t="shared" si="410"/>
        <v>89</v>
      </c>
      <c r="W1592" cm="1">
        <f t="array" ref="W1592">_xlfn._xlws.FILTER(shifts!A:A,(shifts!B:B=events!D1592)*(shifts!AH:AH&gt;=events!U1592)*(shifts!AI:AI&lt;=events!V1592))</f>
        <v>56</v>
      </c>
      <c r="X1592" t="str">
        <f t="shared" si="411"/>
        <v>opp_team_player_1</v>
      </c>
      <c r="Y1592">
        <f>COUNTIFS(A$3:A1592,"="&amp;A1592,K$3:K1592,"="&amp;K1592)</f>
        <v>1</v>
      </c>
      <c r="Z1592" s="20">
        <f>SUMIFS(T$3:T1592,L$3:L1592,"=Intermission")+SUMIFS(T$3:T1592,L$3:L1592,"=Timeout")+SUMIFS(T$3:T1592,L$3:L1592,"=Clockstop")</f>
        <v>68</v>
      </c>
      <c r="AA1592">
        <f t="shared" si="402"/>
        <v>1148</v>
      </c>
      <c r="AC1592">
        <f t="shared" si="403"/>
        <v>1216</v>
      </c>
    </row>
    <row r="1593" spans="1:29" x14ac:dyDescent="0.2">
      <c r="A1593">
        <v>857</v>
      </c>
      <c r="D1593">
        <f t="shared" si="404"/>
        <v>2</v>
      </c>
      <c r="E1593">
        <v>1</v>
      </c>
      <c r="F1593" s="6" t="s">
        <v>442</v>
      </c>
      <c r="I1593" t="s">
        <v>178</v>
      </c>
      <c r="J1593">
        <v>9</v>
      </c>
      <c r="K1593" t="s">
        <v>488</v>
      </c>
      <c r="L1593" t="s">
        <v>10</v>
      </c>
      <c r="M1593" t="s">
        <v>200</v>
      </c>
      <c r="N1593" t="s">
        <v>83</v>
      </c>
      <c r="Q1593">
        <f t="shared" ref="Q1593:S1593" si="461">Q1592</f>
        <v>18977</v>
      </c>
      <c r="R1593" t="str">
        <f t="shared" si="461"/>
        <v>Velodrome</v>
      </c>
      <c r="S1593" t="str">
        <f t="shared" si="461"/>
        <v>HollowBrook</v>
      </c>
      <c r="T1593" s="20">
        <f t="shared" si="408"/>
        <v>0</v>
      </c>
      <c r="U1593">
        <f t="shared" si="409"/>
        <v>89</v>
      </c>
      <c r="V1593">
        <f t="shared" si="410"/>
        <v>89</v>
      </c>
      <c r="W1593" cm="1">
        <f t="array" ref="W1593">_xlfn._xlws.FILTER(shifts!A:A,(shifts!B:B=events!D1593)*(shifts!AH:AH&gt;=events!U1593)*(shifts!AI:AI&lt;=events!V1593))</f>
        <v>56</v>
      </c>
      <c r="X1593" t="str">
        <f t="shared" si="411"/>
        <v>event_team_player_1</v>
      </c>
      <c r="Y1593">
        <f>COUNTIFS(A$3:A1593,"="&amp;A1593,K$3:K1593,"="&amp;K1593)</f>
        <v>1</v>
      </c>
      <c r="Z1593" s="20">
        <f>SUMIFS(T$3:T1593,L$3:L1593,"=Intermission")+SUMIFS(T$3:T1593,L$3:L1593,"=Timeout")+SUMIFS(T$3:T1593,L$3:L1593,"=Clockstop")</f>
        <v>68</v>
      </c>
      <c r="AA1593">
        <f t="shared" si="402"/>
        <v>1148</v>
      </c>
      <c r="AC1593">
        <f t="shared" si="403"/>
        <v>1216</v>
      </c>
    </row>
    <row r="1594" spans="1:29" x14ac:dyDescent="0.2">
      <c r="A1594">
        <v>857</v>
      </c>
      <c r="D1594">
        <f t="shared" si="404"/>
        <v>2</v>
      </c>
      <c r="E1594">
        <v>1</v>
      </c>
      <c r="F1594" s="6" t="s">
        <v>442</v>
      </c>
      <c r="I1594" t="s">
        <v>178</v>
      </c>
      <c r="J1594">
        <v>2</v>
      </c>
      <c r="K1594" t="s">
        <v>489</v>
      </c>
      <c r="L1594" t="s">
        <v>10</v>
      </c>
      <c r="M1594" t="s">
        <v>200</v>
      </c>
      <c r="N1594" t="s">
        <v>83</v>
      </c>
      <c r="Q1594">
        <f t="shared" ref="Q1594:S1594" si="462">Q1593</f>
        <v>18977</v>
      </c>
      <c r="R1594" t="str">
        <f t="shared" si="462"/>
        <v>Velodrome</v>
      </c>
      <c r="S1594" t="str">
        <f t="shared" si="462"/>
        <v>HollowBrook</v>
      </c>
      <c r="T1594" s="20">
        <f t="shared" si="408"/>
        <v>0</v>
      </c>
      <c r="U1594">
        <f t="shared" si="409"/>
        <v>89</v>
      </c>
      <c r="V1594">
        <f t="shared" si="410"/>
        <v>89</v>
      </c>
      <c r="W1594" cm="1">
        <f t="array" ref="W1594">_xlfn._xlws.FILTER(shifts!A:A,(shifts!B:B=events!D1594)*(shifts!AH:AH&gt;=events!U1594)*(shifts!AI:AI&lt;=events!V1594))</f>
        <v>56</v>
      </c>
      <c r="X1594" t="str">
        <f t="shared" si="411"/>
        <v>opp_team_player_1</v>
      </c>
      <c r="Y1594">
        <f>COUNTIFS(A$3:A1594,"="&amp;A1594,K$3:K1594,"="&amp;K1594)</f>
        <v>1</v>
      </c>
      <c r="Z1594" s="20">
        <f>SUMIFS(T$3:T1594,L$3:L1594,"=Intermission")+SUMIFS(T$3:T1594,L$3:L1594,"=Timeout")+SUMIFS(T$3:T1594,L$3:L1594,"=Clockstop")</f>
        <v>68</v>
      </c>
      <c r="AA1594">
        <f t="shared" si="402"/>
        <v>1148</v>
      </c>
      <c r="AC1594">
        <f t="shared" si="403"/>
        <v>1216</v>
      </c>
    </row>
    <row r="1595" spans="1:29" x14ac:dyDescent="0.2">
      <c r="A1595">
        <v>858</v>
      </c>
      <c r="D1595">
        <f t="shared" si="404"/>
        <v>2</v>
      </c>
      <c r="E1595">
        <v>1</v>
      </c>
      <c r="F1595" s="6" t="s">
        <v>442</v>
      </c>
      <c r="I1595" t="s">
        <v>178</v>
      </c>
      <c r="J1595">
        <v>9</v>
      </c>
      <c r="K1595" t="s">
        <v>488</v>
      </c>
      <c r="L1595" t="s">
        <v>8</v>
      </c>
      <c r="M1595" t="s">
        <v>189</v>
      </c>
      <c r="N1595" t="s">
        <v>72</v>
      </c>
      <c r="Q1595">
        <f t="shared" ref="Q1595:S1595" si="463">Q1594</f>
        <v>18977</v>
      </c>
      <c r="R1595" t="str">
        <f t="shared" si="463"/>
        <v>Velodrome</v>
      </c>
      <c r="S1595" t="str">
        <f t="shared" si="463"/>
        <v>HollowBrook</v>
      </c>
      <c r="T1595" s="20">
        <f t="shared" si="408"/>
        <v>0</v>
      </c>
      <c r="U1595">
        <f t="shared" si="409"/>
        <v>89</v>
      </c>
      <c r="V1595">
        <f t="shared" si="410"/>
        <v>89</v>
      </c>
      <c r="W1595" cm="1">
        <f t="array" ref="W1595">_xlfn._xlws.FILTER(shifts!A:A,(shifts!B:B=events!D1595)*(shifts!AH:AH&gt;=events!U1595)*(shifts!AI:AI&lt;=events!V1595))</f>
        <v>56</v>
      </c>
      <c r="X1595" t="str">
        <f t="shared" si="411"/>
        <v>event_team_player_1</v>
      </c>
      <c r="Y1595">
        <f>COUNTIFS(A$3:A1595,"="&amp;A1595,K$3:K1595,"="&amp;K1595)</f>
        <v>1</v>
      </c>
      <c r="Z1595" s="20">
        <f>SUMIFS(T$3:T1595,L$3:L1595,"=Intermission")+SUMIFS(T$3:T1595,L$3:L1595,"=Timeout")+SUMIFS(T$3:T1595,L$3:L1595,"=Clockstop")</f>
        <v>68</v>
      </c>
      <c r="AA1595">
        <f t="shared" si="402"/>
        <v>1148</v>
      </c>
      <c r="AC1595">
        <f t="shared" si="403"/>
        <v>1216</v>
      </c>
    </row>
    <row r="1596" spans="1:29" x14ac:dyDescent="0.2">
      <c r="A1596">
        <v>858</v>
      </c>
      <c r="D1596">
        <f t="shared" si="404"/>
        <v>2</v>
      </c>
      <c r="E1596">
        <v>1</v>
      </c>
      <c r="F1596" s="6" t="s">
        <v>442</v>
      </c>
      <c r="I1596" t="s">
        <v>178</v>
      </c>
      <c r="J1596">
        <v>91</v>
      </c>
      <c r="K1596" t="s">
        <v>488</v>
      </c>
      <c r="L1596" t="s">
        <v>8</v>
      </c>
      <c r="M1596" t="s">
        <v>189</v>
      </c>
      <c r="N1596" t="s">
        <v>72</v>
      </c>
      <c r="Q1596">
        <f t="shared" ref="Q1596:S1596" si="464">Q1595</f>
        <v>18977</v>
      </c>
      <c r="R1596" t="str">
        <f t="shared" si="464"/>
        <v>Velodrome</v>
      </c>
      <c r="S1596" t="str">
        <f t="shared" si="464"/>
        <v>HollowBrook</v>
      </c>
      <c r="T1596" s="20">
        <f t="shared" si="408"/>
        <v>0</v>
      </c>
      <c r="U1596">
        <f t="shared" si="409"/>
        <v>89</v>
      </c>
      <c r="V1596">
        <f t="shared" si="410"/>
        <v>89</v>
      </c>
      <c r="W1596" cm="1">
        <f t="array" ref="W1596">_xlfn._xlws.FILTER(shifts!A:A,(shifts!B:B=events!D1596)*(shifts!AH:AH&gt;=events!U1596)*(shifts!AI:AI&lt;=events!V1596))</f>
        <v>56</v>
      </c>
      <c r="X1596" t="str">
        <f t="shared" si="411"/>
        <v>event_team_player_2</v>
      </c>
      <c r="Y1596">
        <f>COUNTIFS(A$3:A1596,"="&amp;A1596,K$3:K1596,"="&amp;K1596)</f>
        <v>2</v>
      </c>
      <c r="Z1596" s="20">
        <f>SUMIFS(T$3:T1596,L$3:L1596,"=Intermission")+SUMIFS(T$3:T1596,L$3:L1596,"=Timeout")+SUMIFS(T$3:T1596,L$3:L1596,"=Clockstop")</f>
        <v>68</v>
      </c>
      <c r="AA1596">
        <f t="shared" si="402"/>
        <v>1148</v>
      </c>
      <c r="AC1596">
        <f t="shared" si="403"/>
        <v>1216</v>
      </c>
    </row>
    <row r="1597" spans="1:29" x14ac:dyDescent="0.2">
      <c r="A1597">
        <v>859</v>
      </c>
      <c r="D1597">
        <f t="shared" si="404"/>
        <v>2</v>
      </c>
      <c r="E1597">
        <v>1</v>
      </c>
      <c r="F1597" s="6" t="s">
        <v>442</v>
      </c>
      <c r="G1597">
        <v>1</v>
      </c>
      <c r="H1597" s="8" t="s">
        <v>483</v>
      </c>
      <c r="I1597" t="s">
        <v>178</v>
      </c>
      <c r="J1597">
        <v>91</v>
      </c>
      <c r="K1597" t="s">
        <v>488</v>
      </c>
      <c r="L1597" t="s">
        <v>15</v>
      </c>
      <c r="Q1597">
        <f t="shared" ref="Q1597:S1597" si="465">Q1596</f>
        <v>18977</v>
      </c>
      <c r="R1597" t="str">
        <f t="shared" si="465"/>
        <v>Velodrome</v>
      </c>
      <c r="S1597" t="str">
        <f t="shared" si="465"/>
        <v>HollowBrook</v>
      </c>
      <c r="T1597" s="20">
        <f t="shared" si="408"/>
        <v>2</v>
      </c>
      <c r="U1597">
        <f t="shared" si="409"/>
        <v>89</v>
      </c>
      <c r="V1597">
        <f t="shared" si="410"/>
        <v>87</v>
      </c>
      <c r="W1597" cm="1">
        <f t="array" ref="W1597">_xlfn._xlws.FILTER(shifts!A:A,(shifts!B:B=events!D1597)*(shifts!AH:AH&gt;=events!U1597)*(shifts!AI:AI&lt;=events!V1597))</f>
        <v>56</v>
      </c>
      <c r="X1597" t="str">
        <f t="shared" si="411"/>
        <v>event_team_player_1</v>
      </c>
      <c r="Y1597">
        <f>COUNTIFS(A$3:A1597,"="&amp;A1597,K$3:K1597,"="&amp;K1597)</f>
        <v>1</v>
      </c>
      <c r="Z1597" s="20">
        <f>SUMIFS(T$3:T1597,L$3:L1597,"=Intermission")+SUMIFS(T$3:T1597,L$3:L1597,"=Timeout")+SUMIFS(T$3:T1597,L$3:L1597,"=Clockstop")</f>
        <v>68</v>
      </c>
      <c r="AA1597">
        <f t="shared" si="402"/>
        <v>1148</v>
      </c>
      <c r="AC1597">
        <f t="shared" si="403"/>
        <v>1216</v>
      </c>
    </row>
    <row r="1598" spans="1:29" x14ac:dyDescent="0.2">
      <c r="A1598">
        <v>860</v>
      </c>
      <c r="D1598">
        <f t="shared" si="404"/>
        <v>2</v>
      </c>
      <c r="E1598">
        <v>1</v>
      </c>
      <c r="F1598" s="6" t="s">
        <v>483</v>
      </c>
      <c r="G1598">
        <v>1</v>
      </c>
      <c r="H1598" s="8" t="s">
        <v>444</v>
      </c>
      <c r="I1598" t="s">
        <v>178</v>
      </c>
      <c r="J1598">
        <v>91</v>
      </c>
      <c r="K1598" t="s">
        <v>488</v>
      </c>
      <c r="L1598" t="s">
        <v>277</v>
      </c>
      <c r="M1598" t="s">
        <v>191</v>
      </c>
      <c r="N1598" t="s">
        <v>87</v>
      </c>
      <c r="Q1598">
        <f t="shared" ref="Q1598:S1598" si="466">Q1597</f>
        <v>18977</v>
      </c>
      <c r="R1598" t="str">
        <f t="shared" si="466"/>
        <v>Velodrome</v>
      </c>
      <c r="S1598" t="str">
        <f t="shared" si="466"/>
        <v>HollowBrook</v>
      </c>
      <c r="T1598" s="20">
        <f t="shared" si="408"/>
        <v>3</v>
      </c>
      <c r="U1598">
        <f t="shared" si="409"/>
        <v>87</v>
      </c>
      <c r="V1598">
        <f t="shared" si="410"/>
        <v>84</v>
      </c>
      <c r="W1598" cm="1">
        <f t="array" ref="W1598">_xlfn._xlws.FILTER(shifts!A:A,(shifts!B:B=events!D1598)*(shifts!AH:AH&gt;=events!U1598)*(shifts!AI:AI&lt;=events!V1598))</f>
        <v>56</v>
      </c>
      <c r="X1598" t="str">
        <f t="shared" si="411"/>
        <v>event_team_player_1</v>
      </c>
      <c r="Y1598">
        <f>COUNTIFS(A$3:A1598,"="&amp;A1598,K$3:K1598,"="&amp;K1598)</f>
        <v>1</v>
      </c>
      <c r="Z1598" s="20">
        <f>SUMIFS(T$3:T1598,L$3:L1598,"=Intermission")+SUMIFS(T$3:T1598,L$3:L1598,"=Timeout")+SUMIFS(T$3:T1598,L$3:L1598,"=Clockstop")</f>
        <v>68</v>
      </c>
      <c r="AA1598">
        <f t="shared" si="402"/>
        <v>1148</v>
      </c>
      <c r="AC1598">
        <f t="shared" si="403"/>
        <v>1216</v>
      </c>
    </row>
    <row r="1599" spans="1:29" x14ac:dyDescent="0.2">
      <c r="A1599">
        <v>860</v>
      </c>
      <c r="D1599">
        <f t="shared" si="404"/>
        <v>2</v>
      </c>
      <c r="E1599">
        <v>1</v>
      </c>
      <c r="F1599" s="6" t="s">
        <v>483</v>
      </c>
      <c r="G1599">
        <v>1</v>
      </c>
      <c r="H1599" s="8" t="s">
        <v>444</v>
      </c>
      <c r="I1599" t="s">
        <v>178</v>
      </c>
      <c r="J1599">
        <v>2</v>
      </c>
      <c r="K1599" t="s">
        <v>489</v>
      </c>
      <c r="L1599" t="s">
        <v>277</v>
      </c>
      <c r="M1599" t="s">
        <v>191</v>
      </c>
      <c r="N1599" t="s">
        <v>87</v>
      </c>
      <c r="Q1599">
        <f t="shared" ref="Q1599:S1599" si="467">Q1598</f>
        <v>18977</v>
      </c>
      <c r="R1599" t="str">
        <f t="shared" si="467"/>
        <v>Velodrome</v>
      </c>
      <c r="S1599" t="str">
        <f t="shared" si="467"/>
        <v>HollowBrook</v>
      </c>
      <c r="T1599" s="20">
        <f t="shared" si="408"/>
        <v>3</v>
      </c>
      <c r="U1599">
        <f t="shared" si="409"/>
        <v>87</v>
      </c>
      <c r="V1599">
        <f t="shared" si="410"/>
        <v>84</v>
      </c>
      <c r="W1599" cm="1">
        <f t="array" ref="W1599">_xlfn._xlws.FILTER(shifts!A:A,(shifts!B:B=events!D1599)*(shifts!AH:AH&gt;=events!U1599)*(shifts!AI:AI&lt;=events!V1599))</f>
        <v>56</v>
      </c>
      <c r="X1599" t="str">
        <f t="shared" si="411"/>
        <v>opp_team_player_1</v>
      </c>
      <c r="Y1599">
        <f>COUNTIFS(A$3:A1599,"="&amp;A1599,K$3:K1599,"="&amp;K1599)</f>
        <v>1</v>
      </c>
      <c r="Z1599" s="20">
        <f>SUMIFS(T$3:T1599,L$3:L1599,"=Intermission")+SUMIFS(T$3:T1599,L$3:L1599,"=Timeout")+SUMIFS(T$3:T1599,L$3:L1599,"=Clockstop")</f>
        <v>68</v>
      </c>
      <c r="AA1599">
        <f t="shared" si="402"/>
        <v>1148</v>
      </c>
      <c r="AC1599">
        <f t="shared" si="403"/>
        <v>1216</v>
      </c>
    </row>
    <row r="1600" spans="1:29" x14ac:dyDescent="0.2">
      <c r="A1600">
        <v>861</v>
      </c>
      <c r="D1600">
        <f t="shared" si="404"/>
        <v>2</v>
      </c>
      <c r="E1600">
        <v>1</v>
      </c>
      <c r="F1600" s="6" t="s">
        <v>444</v>
      </c>
      <c r="I1600" t="s">
        <v>178</v>
      </c>
      <c r="J1600">
        <v>91</v>
      </c>
      <c r="K1600" t="s">
        <v>488</v>
      </c>
      <c r="L1600" t="s">
        <v>7</v>
      </c>
      <c r="M1600" t="s">
        <v>222</v>
      </c>
      <c r="N1600" t="s">
        <v>53</v>
      </c>
      <c r="Q1600">
        <f t="shared" ref="Q1600:S1600" si="468">Q1599</f>
        <v>18977</v>
      </c>
      <c r="R1600" t="str">
        <f t="shared" si="468"/>
        <v>Velodrome</v>
      </c>
      <c r="S1600" t="str">
        <f t="shared" si="468"/>
        <v>HollowBrook</v>
      </c>
      <c r="T1600" s="20">
        <f t="shared" si="408"/>
        <v>0</v>
      </c>
      <c r="U1600">
        <f t="shared" si="409"/>
        <v>84</v>
      </c>
      <c r="V1600">
        <f t="shared" si="410"/>
        <v>84</v>
      </c>
      <c r="W1600" cm="1">
        <f t="array" ref="W1600">_xlfn._xlws.FILTER(shifts!A:A,(shifts!B:B=events!D1600)*(shifts!AH:AH&gt;=events!U1600)*(shifts!AI:AI&lt;=events!V1600))</f>
        <v>56</v>
      </c>
      <c r="X1600" t="str">
        <f t="shared" si="411"/>
        <v>event_team_player_1</v>
      </c>
      <c r="Y1600">
        <f>COUNTIFS(A$3:A1600,"="&amp;A1600,K$3:K1600,"="&amp;K1600)</f>
        <v>1</v>
      </c>
      <c r="Z1600" s="20">
        <f>SUMIFS(T$3:T1600,L$3:L1600,"=Intermission")+SUMIFS(T$3:T1600,L$3:L1600,"=Timeout")+SUMIFS(T$3:T1600,L$3:L1600,"=Clockstop")</f>
        <v>68</v>
      </c>
      <c r="AA1600">
        <f t="shared" si="402"/>
        <v>1148</v>
      </c>
      <c r="AC1600">
        <f t="shared" si="403"/>
        <v>1216</v>
      </c>
    </row>
    <row r="1601" spans="1:29" x14ac:dyDescent="0.2">
      <c r="A1601">
        <v>861</v>
      </c>
      <c r="D1601">
        <f t="shared" si="404"/>
        <v>2</v>
      </c>
      <c r="E1601">
        <v>1</v>
      </c>
      <c r="F1601" s="6" t="s">
        <v>444</v>
      </c>
      <c r="I1601" t="s">
        <v>178</v>
      </c>
      <c r="J1601">
        <v>99</v>
      </c>
      <c r="K1601" t="s">
        <v>489</v>
      </c>
      <c r="L1601" t="s">
        <v>7</v>
      </c>
      <c r="M1601" t="s">
        <v>222</v>
      </c>
      <c r="N1601" t="s">
        <v>53</v>
      </c>
      <c r="Q1601">
        <f t="shared" ref="Q1601:S1601" si="469">Q1600</f>
        <v>18977</v>
      </c>
      <c r="R1601" t="str">
        <f t="shared" si="469"/>
        <v>Velodrome</v>
      </c>
      <c r="S1601" t="str">
        <f t="shared" si="469"/>
        <v>HollowBrook</v>
      </c>
      <c r="T1601" s="20">
        <f t="shared" si="408"/>
        <v>0</v>
      </c>
      <c r="U1601">
        <f t="shared" si="409"/>
        <v>84</v>
      </c>
      <c r="V1601">
        <f t="shared" si="410"/>
        <v>84</v>
      </c>
      <c r="W1601" cm="1">
        <f t="array" ref="W1601">_xlfn._xlws.FILTER(shifts!A:A,(shifts!B:B=events!D1601)*(shifts!AH:AH&gt;=events!U1601)*(shifts!AI:AI&lt;=events!V1601))</f>
        <v>56</v>
      </c>
      <c r="X1601" t="str">
        <f t="shared" si="411"/>
        <v>opp_team_player_1</v>
      </c>
      <c r="Y1601">
        <f>COUNTIFS(A$3:A1601,"="&amp;A1601,K$3:K1601,"="&amp;K1601)</f>
        <v>1</v>
      </c>
      <c r="Z1601" s="20">
        <f>SUMIFS(T$3:T1601,L$3:L1601,"=Intermission")+SUMIFS(T$3:T1601,L$3:L1601,"=Timeout")+SUMIFS(T$3:T1601,L$3:L1601,"=Clockstop")</f>
        <v>68</v>
      </c>
      <c r="AA1601">
        <f t="shared" si="402"/>
        <v>1148</v>
      </c>
      <c r="AC1601">
        <f t="shared" si="403"/>
        <v>1216</v>
      </c>
    </row>
    <row r="1602" spans="1:29" x14ac:dyDescent="0.2">
      <c r="A1602">
        <v>862</v>
      </c>
      <c r="D1602">
        <f t="shared" si="404"/>
        <v>2</v>
      </c>
      <c r="E1602">
        <v>1</v>
      </c>
      <c r="F1602" s="6" t="s">
        <v>444</v>
      </c>
      <c r="I1602" t="s">
        <v>179</v>
      </c>
      <c r="J1602">
        <v>99</v>
      </c>
      <c r="K1602" t="s">
        <v>488</v>
      </c>
      <c r="L1602" t="s">
        <v>17</v>
      </c>
      <c r="M1602" t="s">
        <v>196</v>
      </c>
      <c r="N1602" t="s">
        <v>97</v>
      </c>
      <c r="Q1602">
        <f t="shared" ref="Q1602:S1602" si="470">Q1601</f>
        <v>18977</v>
      </c>
      <c r="R1602" t="str">
        <f t="shared" si="470"/>
        <v>Velodrome</v>
      </c>
      <c r="S1602" t="str">
        <f t="shared" si="470"/>
        <v>HollowBrook</v>
      </c>
      <c r="T1602" s="20">
        <f t="shared" si="408"/>
        <v>0</v>
      </c>
      <c r="U1602">
        <f t="shared" si="409"/>
        <v>84</v>
      </c>
      <c r="V1602">
        <f t="shared" si="410"/>
        <v>84</v>
      </c>
      <c r="W1602" cm="1">
        <f t="array" ref="W1602">_xlfn._xlws.FILTER(shifts!A:A,(shifts!B:B=events!D1602)*(shifts!AH:AH&gt;=events!U1602)*(shifts!AI:AI&lt;=events!V1602))</f>
        <v>56</v>
      </c>
      <c r="X1602" t="str">
        <f t="shared" si="411"/>
        <v>event_team_player_1</v>
      </c>
      <c r="Y1602">
        <f>COUNTIFS(A$3:A1602,"="&amp;A1602,K$3:K1602,"="&amp;K1602)</f>
        <v>1</v>
      </c>
      <c r="Z1602" s="20">
        <f>SUMIFS(T$3:T1602,L$3:L1602,"=Intermission")+SUMIFS(T$3:T1602,L$3:L1602,"=Timeout")+SUMIFS(T$3:T1602,L$3:L1602,"=Clockstop")</f>
        <v>68</v>
      </c>
      <c r="AA1602">
        <f t="shared" si="402"/>
        <v>1148</v>
      </c>
      <c r="AC1602">
        <f t="shared" si="403"/>
        <v>1216</v>
      </c>
    </row>
    <row r="1603" spans="1:29" x14ac:dyDescent="0.2">
      <c r="A1603">
        <v>862</v>
      </c>
      <c r="D1603">
        <f t="shared" si="404"/>
        <v>2</v>
      </c>
      <c r="E1603">
        <v>1</v>
      </c>
      <c r="F1603" s="6" t="s">
        <v>444</v>
      </c>
      <c r="I1603" t="s">
        <v>179</v>
      </c>
      <c r="J1603">
        <v>91</v>
      </c>
      <c r="K1603" t="s">
        <v>489</v>
      </c>
      <c r="L1603" t="s">
        <v>17</v>
      </c>
      <c r="M1603" t="s">
        <v>196</v>
      </c>
      <c r="N1603" t="s">
        <v>97</v>
      </c>
      <c r="Q1603">
        <f t="shared" ref="Q1603:S1603" si="471">Q1602</f>
        <v>18977</v>
      </c>
      <c r="R1603" t="str">
        <f t="shared" si="471"/>
        <v>Velodrome</v>
      </c>
      <c r="S1603" t="str">
        <f t="shared" si="471"/>
        <v>HollowBrook</v>
      </c>
      <c r="T1603" s="20">
        <f t="shared" si="408"/>
        <v>0</v>
      </c>
      <c r="U1603">
        <f t="shared" si="409"/>
        <v>84</v>
      </c>
      <c r="V1603">
        <f t="shared" si="410"/>
        <v>84</v>
      </c>
      <c r="W1603" cm="1">
        <f t="array" ref="W1603">_xlfn._xlws.FILTER(shifts!A:A,(shifts!B:B=events!D1603)*(shifts!AH:AH&gt;=events!U1603)*(shifts!AI:AI&lt;=events!V1603))</f>
        <v>56</v>
      </c>
      <c r="X1603" t="str">
        <f t="shared" si="411"/>
        <v>opp_team_player_1</v>
      </c>
      <c r="Y1603">
        <f>COUNTIFS(A$3:A1603,"="&amp;A1603,K$3:K1603,"="&amp;K1603)</f>
        <v>1</v>
      </c>
      <c r="Z1603" s="20">
        <f>SUMIFS(T$3:T1603,L$3:L1603,"=Intermission")+SUMIFS(T$3:T1603,L$3:L1603,"=Timeout")+SUMIFS(T$3:T1603,L$3:L1603,"=Clockstop")</f>
        <v>68</v>
      </c>
      <c r="AA1603">
        <f t="shared" si="402"/>
        <v>1148</v>
      </c>
      <c r="AC1603">
        <f t="shared" si="403"/>
        <v>1216</v>
      </c>
    </row>
    <row r="1604" spans="1:29" x14ac:dyDescent="0.2">
      <c r="A1604">
        <v>863</v>
      </c>
      <c r="D1604">
        <f t="shared" si="404"/>
        <v>2</v>
      </c>
      <c r="E1604">
        <v>1</v>
      </c>
      <c r="F1604" s="6" t="s">
        <v>444</v>
      </c>
      <c r="I1604" t="s">
        <v>179</v>
      </c>
      <c r="J1604">
        <v>99</v>
      </c>
      <c r="K1604" t="s">
        <v>488</v>
      </c>
      <c r="L1604" t="s">
        <v>270</v>
      </c>
      <c r="M1604" t="s">
        <v>271</v>
      </c>
      <c r="Q1604">
        <f t="shared" ref="Q1604:S1604" si="472">Q1603</f>
        <v>18977</v>
      </c>
      <c r="R1604" t="str">
        <f t="shared" si="472"/>
        <v>Velodrome</v>
      </c>
      <c r="S1604" t="str">
        <f t="shared" si="472"/>
        <v>HollowBrook</v>
      </c>
      <c r="T1604" s="20">
        <f t="shared" si="408"/>
        <v>0</v>
      </c>
      <c r="U1604">
        <f t="shared" si="409"/>
        <v>84</v>
      </c>
      <c r="V1604">
        <f t="shared" si="410"/>
        <v>84</v>
      </c>
      <c r="W1604" cm="1">
        <f t="array" ref="W1604">_xlfn._xlws.FILTER(shifts!A:A,(shifts!B:B=events!D1604)*(shifts!AH:AH&gt;=events!U1604)*(shifts!AI:AI&lt;=events!V1604))</f>
        <v>56</v>
      </c>
      <c r="X1604" t="str">
        <f t="shared" si="411"/>
        <v>event_team_player_1</v>
      </c>
      <c r="Y1604">
        <f>COUNTIFS(A$3:A1604,"="&amp;A1604,K$3:K1604,"="&amp;K1604)</f>
        <v>1</v>
      </c>
      <c r="Z1604" s="20">
        <f>SUMIFS(T$3:T1604,L$3:L1604,"=Intermission")+SUMIFS(T$3:T1604,L$3:L1604,"=Timeout")+SUMIFS(T$3:T1604,L$3:L1604,"=Clockstop")</f>
        <v>68</v>
      </c>
      <c r="AA1604">
        <f t="shared" ref="AA1604:AA1667" si="473">IF(D1604=1,0,IF(D1604=2,1080+Z1604,IF(D1604=3,(1080*2)+Z1604,0)))</f>
        <v>1148</v>
      </c>
      <c r="AC1604">
        <f t="shared" ref="AC1604:AC1667" si="474">IF(L1603="GameStart",0,AA1604+Z1604)</f>
        <v>1216</v>
      </c>
    </row>
    <row r="1605" spans="1:29" x14ac:dyDescent="0.2">
      <c r="A1605">
        <v>864</v>
      </c>
      <c r="D1605">
        <f t="shared" ref="D1605:D1668" si="475">IF(L1605="Intermission",D1604+1,D1604)</f>
        <v>2</v>
      </c>
      <c r="E1605">
        <v>1</v>
      </c>
      <c r="F1605" s="6" t="s">
        <v>444</v>
      </c>
      <c r="G1605">
        <v>1</v>
      </c>
      <c r="H1605" s="8" t="s">
        <v>484</v>
      </c>
      <c r="I1605" t="s">
        <v>179</v>
      </c>
      <c r="J1605">
        <v>2</v>
      </c>
      <c r="K1605" t="s">
        <v>488</v>
      </c>
      <c r="L1605" t="s">
        <v>15</v>
      </c>
      <c r="Q1605">
        <f t="shared" ref="Q1605:S1605" si="476">Q1604</f>
        <v>18977</v>
      </c>
      <c r="R1605" t="str">
        <f t="shared" si="476"/>
        <v>Velodrome</v>
      </c>
      <c r="S1605" t="str">
        <f t="shared" si="476"/>
        <v>HollowBrook</v>
      </c>
      <c r="T1605" s="20">
        <f t="shared" si="408"/>
        <v>2</v>
      </c>
      <c r="U1605">
        <f t="shared" si="409"/>
        <v>84</v>
      </c>
      <c r="V1605">
        <f t="shared" si="410"/>
        <v>82</v>
      </c>
      <c r="W1605" cm="1">
        <f t="array" ref="W1605">_xlfn._xlws.FILTER(shifts!A:A,(shifts!B:B=events!D1605)*(shifts!AH:AH&gt;=events!U1605)*(shifts!AI:AI&lt;=events!V1605))</f>
        <v>56</v>
      </c>
      <c r="X1605" t="str">
        <f t="shared" si="411"/>
        <v>event_team_player_1</v>
      </c>
      <c r="Y1605">
        <f>COUNTIFS(A$3:A1605,"="&amp;A1605,K$3:K1605,"="&amp;K1605)</f>
        <v>1</v>
      </c>
      <c r="Z1605" s="20">
        <f>SUMIFS(T$3:T1605,L$3:L1605,"=Intermission")+SUMIFS(T$3:T1605,L$3:L1605,"=Timeout")+SUMIFS(T$3:T1605,L$3:L1605,"=Clockstop")</f>
        <v>68</v>
      </c>
      <c r="AA1605">
        <f t="shared" si="473"/>
        <v>1148</v>
      </c>
      <c r="AC1605">
        <f t="shared" si="474"/>
        <v>1216</v>
      </c>
    </row>
    <row r="1606" spans="1:29" x14ac:dyDescent="0.2">
      <c r="A1606">
        <v>865</v>
      </c>
      <c r="D1606">
        <f t="shared" si="475"/>
        <v>2</v>
      </c>
      <c r="E1606">
        <v>1</v>
      </c>
      <c r="F1606" s="6" t="s">
        <v>423</v>
      </c>
      <c r="I1606" t="s">
        <v>179</v>
      </c>
      <c r="J1606">
        <v>2</v>
      </c>
      <c r="K1606" t="s">
        <v>488</v>
      </c>
      <c r="L1606" t="s">
        <v>10</v>
      </c>
      <c r="M1606" t="s">
        <v>190</v>
      </c>
      <c r="N1606" t="s">
        <v>479</v>
      </c>
      <c r="Q1606">
        <f t="shared" ref="Q1606:S1606" si="477">Q1605</f>
        <v>18977</v>
      </c>
      <c r="R1606" t="str">
        <f t="shared" si="477"/>
        <v>Velodrome</v>
      </c>
      <c r="S1606" t="str">
        <f t="shared" si="477"/>
        <v>HollowBrook</v>
      </c>
      <c r="T1606" s="20">
        <f t="shared" si="408"/>
        <v>0</v>
      </c>
      <c r="U1606">
        <f t="shared" si="409"/>
        <v>74</v>
      </c>
      <c r="V1606">
        <f t="shared" si="410"/>
        <v>74</v>
      </c>
      <c r="W1606" cm="1">
        <f t="array" ref="W1606">_xlfn._xlws.FILTER(shifts!A:A,(shifts!B:B=events!D1606)*(shifts!AH:AH&gt;=events!U1606)*(shifts!AI:AI&lt;=events!V1606))</f>
        <v>58</v>
      </c>
      <c r="X1606" t="str">
        <f t="shared" si="411"/>
        <v>event_team_player_1</v>
      </c>
      <c r="Y1606">
        <f>COUNTIFS(A$3:A1606,"="&amp;A1606,K$3:K1606,"="&amp;K1606)</f>
        <v>1</v>
      </c>
      <c r="Z1606" s="20">
        <f>SUMIFS(T$3:T1606,L$3:L1606,"=Intermission")+SUMIFS(T$3:T1606,L$3:L1606,"=Timeout")+SUMIFS(T$3:T1606,L$3:L1606,"=Clockstop")</f>
        <v>68</v>
      </c>
      <c r="AA1606">
        <f t="shared" si="473"/>
        <v>1148</v>
      </c>
      <c r="AC1606">
        <f t="shared" si="474"/>
        <v>1216</v>
      </c>
    </row>
    <row r="1607" spans="1:29" x14ac:dyDescent="0.2">
      <c r="A1607">
        <v>866</v>
      </c>
      <c r="D1607">
        <f t="shared" si="475"/>
        <v>2</v>
      </c>
      <c r="E1607">
        <v>1</v>
      </c>
      <c r="F1607" s="6" t="s">
        <v>423</v>
      </c>
      <c r="I1607" t="s">
        <v>179</v>
      </c>
      <c r="J1607">
        <v>70</v>
      </c>
      <c r="K1607" t="s">
        <v>489</v>
      </c>
      <c r="L1607" t="s">
        <v>10</v>
      </c>
      <c r="M1607" t="s">
        <v>190</v>
      </c>
      <c r="N1607" t="s">
        <v>479</v>
      </c>
      <c r="Q1607">
        <f t="shared" ref="Q1607:S1607" si="478">Q1606</f>
        <v>18977</v>
      </c>
      <c r="R1607" t="str">
        <f t="shared" si="478"/>
        <v>Velodrome</v>
      </c>
      <c r="S1607" t="str">
        <f t="shared" si="478"/>
        <v>HollowBrook</v>
      </c>
      <c r="T1607" s="20">
        <f t="shared" ref="T1607:T1670" si="479">IF(AND(G1607="",H1607=""),0,((E1607*60)+F1607)-((G1607*60)+H1607))</f>
        <v>0</v>
      </c>
      <c r="U1607">
        <f t="shared" ref="U1607:U1670" si="480">(E1607*60)+F1607</f>
        <v>74</v>
      </c>
      <c r="V1607">
        <f t="shared" ref="V1607:V1670" si="481">IF(AND(G1607="",H1607=""),U1607,((G1607*60)+H1607))</f>
        <v>74</v>
      </c>
      <c r="W1607" cm="1">
        <f t="array" ref="W1607">_xlfn._xlws.FILTER(shifts!A:A,(shifts!B:B=events!D1607)*(shifts!AH:AH&gt;=events!U1607)*(shifts!AI:AI&lt;=events!V1607))</f>
        <v>58</v>
      </c>
      <c r="X1607" t="str">
        <f t="shared" ref="X1607:X1670" si="482">IF(K1607="e","event_team_player_"&amp;Y1607,IF(K1607="o","opp_team_player_"&amp;Y1607,""))</f>
        <v>opp_team_player_1</v>
      </c>
      <c r="Y1607">
        <f>COUNTIFS(A$3:A1607,"="&amp;A1607,K$3:K1607,"="&amp;K1607)</f>
        <v>1</v>
      </c>
      <c r="Z1607" s="20">
        <f>SUMIFS(T$3:T1607,L$3:L1607,"=Intermission")+SUMIFS(T$3:T1607,L$3:L1607,"=Timeout")+SUMIFS(T$3:T1607,L$3:L1607,"=Clockstop")</f>
        <v>68</v>
      </c>
      <c r="AA1607">
        <f t="shared" si="473"/>
        <v>1148</v>
      </c>
      <c r="AC1607">
        <f t="shared" si="474"/>
        <v>1216</v>
      </c>
    </row>
    <row r="1608" spans="1:29" x14ac:dyDescent="0.2">
      <c r="A1608">
        <v>867</v>
      </c>
      <c r="D1608">
        <f t="shared" si="475"/>
        <v>2</v>
      </c>
      <c r="E1608">
        <v>1</v>
      </c>
      <c r="F1608" s="6" t="s">
        <v>423</v>
      </c>
      <c r="I1608" t="s">
        <v>178</v>
      </c>
      <c r="J1608">
        <v>70</v>
      </c>
      <c r="K1608" t="s">
        <v>488</v>
      </c>
      <c r="L1608" t="s">
        <v>277</v>
      </c>
      <c r="M1608" t="s">
        <v>210</v>
      </c>
      <c r="N1608" t="s">
        <v>93</v>
      </c>
      <c r="Q1608">
        <f t="shared" ref="Q1608:S1608" si="483">Q1607</f>
        <v>18977</v>
      </c>
      <c r="R1608" t="str">
        <f t="shared" si="483"/>
        <v>Velodrome</v>
      </c>
      <c r="S1608" t="str">
        <f t="shared" si="483"/>
        <v>HollowBrook</v>
      </c>
      <c r="T1608" s="20">
        <f t="shared" si="479"/>
        <v>0</v>
      </c>
      <c r="U1608">
        <f t="shared" si="480"/>
        <v>74</v>
      </c>
      <c r="V1608">
        <f t="shared" si="481"/>
        <v>74</v>
      </c>
      <c r="W1608" cm="1">
        <f t="array" ref="W1608">_xlfn._xlws.FILTER(shifts!A:A,(shifts!B:B=events!D1608)*(shifts!AH:AH&gt;=events!U1608)*(shifts!AI:AI&lt;=events!V1608))</f>
        <v>58</v>
      </c>
      <c r="X1608" t="str">
        <f t="shared" si="482"/>
        <v>event_team_player_1</v>
      </c>
      <c r="Y1608">
        <f>COUNTIFS(A$3:A1608,"="&amp;A1608,K$3:K1608,"="&amp;K1608)</f>
        <v>1</v>
      </c>
      <c r="Z1608" s="20">
        <f>SUMIFS(T$3:T1608,L$3:L1608,"=Intermission")+SUMIFS(T$3:T1608,L$3:L1608,"=Timeout")+SUMIFS(T$3:T1608,L$3:L1608,"=Clockstop")</f>
        <v>68</v>
      </c>
      <c r="AA1608">
        <f t="shared" si="473"/>
        <v>1148</v>
      </c>
      <c r="AC1608">
        <f t="shared" si="474"/>
        <v>1216</v>
      </c>
    </row>
    <row r="1609" spans="1:29" x14ac:dyDescent="0.2">
      <c r="A1609">
        <v>868</v>
      </c>
      <c r="D1609">
        <f t="shared" si="475"/>
        <v>2</v>
      </c>
      <c r="E1609">
        <v>1</v>
      </c>
      <c r="F1609" s="6" t="s">
        <v>423</v>
      </c>
      <c r="G1609">
        <v>1</v>
      </c>
      <c r="H1609" s="8" t="s">
        <v>449</v>
      </c>
      <c r="I1609" t="s">
        <v>178</v>
      </c>
      <c r="J1609">
        <v>70</v>
      </c>
      <c r="K1609" t="s">
        <v>488</v>
      </c>
      <c r="L1609" t="s">
        <v>15</v>
      </c>
      <c r="Q1609">
        <f t="shared" ref="Q1609:S1609" si="484">Q1608</f>
        <v>18977</v>
      </c>
      <c r="R1609" t="str">
        <f t="shared" si="484"/>
        <v>Velodrome</v>
      </c>
      <c r="S1609" t="str">
        <f t="shared" si="484"/>
        <v>HollowBrook</v>
      </c>
      <c r="T1609" s="20">
        <f t="shared" si="479"/>
        <v>2</v>
      </c>
      <c r="U1609">
        <f t="shared" si="480"/>
        <v>74</v>
      </c>
      <c r="V1609">
        <f t="shared" si="481"/>
        <v>72</v>
      </c>
      <c r="W1609" cm="1">
        <f t="array" ref="W1609">_xlfn._xlws.FILTER(shifts!A:A,(shifts!B:B=events!D1609)*(shifts!AH:AH&gt;=events!U1609)*(shifts!AI:AI&lt;=events!V1609))</f>
        <v>58</v>
      </c>
      <c r="X1609" t="str">
        <f t="shared" si="482"/>
        <v>event_team_player_1</v>
      </c>
      <c r="Y1609">
        <f>COUNTIFS(A$3:A1609,"="&amp;A1609,K$3:K1609,"="&amp;K1609)</f>
        <v>1</v>
      </c>
      <c r="Z1609" s="20">
        <f>SUMIFS(T$3:T1609,L$3:L1609,"=Intermission")+SUMIFS(T$3:T1609,L$3:L1609,"=Timeout")+SUMIFS(T$3:T1609,L$3:L1609,"=Clockstop")</f>
        <v>68</v>
      </c>
      <c r="AA1609">
        <f t="shared" si="473"/>
        <v>1148</v>
      </c>
      <c r="AC1609">
        <f t="shared" si="474"/>
        <v>1216</v>
      </c>
    </row>
    <row r="1610" spans="1:29" x14ac:dyDescent="0.2">
      <c r="A1610">
        <v>869</v>
      </c>
      <c r="D1610">
        <f t="shared" si="475"/>
        <v>2</v>
      </c>
      <c r="E1610">
        <v>1</v>
      </c>
      <c r="F1610" s="6" t="s">
        <v>449</v>
      </c>
      <c r="I1610" t="s">
        <v>178</v>
      </c>
      <c r="J1610">
        <v>70</v>
      </c>
      <c r="K1610" t="s">
        <v>488</v>
      </c>
      <c r="L1610" t="s">
        <v>8</v>
      </c>
      <c r="M1610" t="s">
        <v>189</v>
      </c>
      <c r="N1610" t="s">
        <v>70</v>
      </c>
      <c r="Q1610">
        <f t="shared" ref="Q1610:S1610" si="485">Q1609</f>
        <v>18977</v>
      </c>
      <c r="R1610" t="str">
        <f t="shared" si="485"/>
        <v>Velodrome</v>
      </c>
      <c r="S1610" t="str">
        <f t="shared" si="485"/>
        <v>HollowBrook</v>
      </c>
      <c r="T1610" s="20">
        <f t="shared" si="479"/>
        <v>0</v>
      </c>
      <c r="U1610">
        <f t="shared" si="480"/>
        <v>72</v>
      </c>
      <c r="V1610">
        <f t="shared" si="481"/>
        <v>72</v>
      </c>
      <c r="W1610" cm="1">
        <f t="array" ref="W1610">_xlfn._xlws.FILTER(shifts!A:A,(shifts!B:B=events!D1610)*(shifts!AH:AH&gt;=events!U1610)*(shifts!AI:AI&lt;=events!V1610))</f>
        <v>58</v>
      </c>
      <c r="X1610" t="str">
        <f t="shared" si="482"/>
        <v>event_team_player_1</v>
      </c>
      <c r="Y1610">
        <f>COUNTIFS(A$3:A1610,"="&amp;A1610,K$3:K1610,"="&amp;K1610)</f>
        <v>1</v>
      </c>
      <c r="Z1610" s="20">
        <f>SUMIFS(T$3:T1610,L$3:L1610,"=Intermission")+SUMIFS(T$3:T1610,L$3:L1610,"=Timeout")+SUMIFS(T$3:T1610,L$3:L1610,"=Clockstop")</f>
        <v>68</v>
      </c>
      <c r="AA1610">
        <f t="shared" si="473"/>
        <v>1148</v>
      </c>
      <c r="AC1610">
        <f t="shared" si="474"/>
        <v>1216</v>
      </c>
    </row>
    <row r="1611" spans="1:29" x14ac:dyDescent="0.2">
      <c r="A1611">
        <v>870</v>
      </c>
      <c r="D1611">
        <f t="shared" si="475"/>
        <v>2</v>
      </c>
      <c r="E1611">
        <v>1</v>
      </c>
      <c r="F1611" s="6" t="s">
        <v>449</v>
      </c>
      <c r="I1611" t="s">
        <v>178</v>
      </c>
      <c r="J1611">
        <v>91</v>
      </c>
      <c r="K1611" t="s">
        <v>488</v>
      </c>
      <c r="L1611" t="s">
        <v>7</v>
      </c>
      <c r="M1611" t="s">
        <v>228</v>
      </c>
      <c r="Q1611">
        <f t="shared" ref="Q1611:S1611" si="486">Q1610</f>
        <v>18977</v>
      </c>
      <c r="R1611" t="str">
        <f t="shared" si="486"/>
        <v>Velodrome</v>
      </c>
      <c r="S1611" t="str">
        <f t="shared" si="486"/>
        <v>HollowBrook</v>
      </c>
      <c r="T1611" s="20">
        <f t="shared" si="479"/>
        <v>0</v>
      </c>
      <c r="U1611">
        <f t="shared" si="480"/>
        <v>72</v>
      </c>
      <c r="V1611">
        <f t="shared" si="481"/>
        <v>72</v>
      </c>
      <c r="W1611" cm="1">
        <f t="array" ref="W1611">_xlfn._xlws.FILTER(shifts!A:A,(shifts!B:B=events!D1611)*(shifts!AH:AH&gt;=events!U1611)*(shifts!AI:AI&lt;=events!V1611))</f>
        <v>58</v>
      </c>
      <c r="X1611" t="str">
        <f t="shared" si="482"/>
        <v>event_team_player_1</v>
      </c>
      <c r="Y1611">
        <f>COUNTIFS(A$3:A1611,"="&amp;A1611,K$3:K1611,"="&amp;K1611)</f>
        <v>1</v>
      </c>
      <c r="Z1611" s="20">
        <f>SUMIFS(T$3:T1611,L$3:L1611,"=Intermission")+SUMIFS(T$3:T1611,L$3:L1611,"=Timeout")+SUMIFS(T$3:T1611,L$3:L1611,"=Clockstop")</f>
        <v>68</v>
      </c>
      <c r="AA1611">
        <f t="shared" si="473"/>
        <v>1148</v>
      </c>
      <c r="AC1611">
        <f t="shared" si="474"/>
        <v>1216</v>
      </c>
    </row>
    <row r="1612" spans="1:29" x14ac:dyDescent="0.2">
      <c r="A1612">
        <v>871</v>
      </c>
      <c r="D1612">
        <f t="shared" si="475"/>
        <v>2</v>
      </c>
      <c r="E1612">
        <v>1</v>
      </c>
      <c r="F1612" s="6" t="s">
        <v>449</v>
      </c>
      <c r="I1612" t="s">
        <v>178</v>
      </c>
      <c r="J1612">
        <v>91</v>
      </c>
      <c r="K1612" t="s">
        <v>488</v>
      </c>
      <c r="L1612" t="s">
        <v>9</v>
      </c>
      <c r="M1612" t="s">
        <v>230</v>
      </c>
      <c r="N1612" t="s">
        <v>236</v>
      </c>
      <c r="Q1612">
        <f t="shared" ref="Q1612:S1612" si="487">Q1611</f>
        <v>18977</v>
      </c>
      <c r="R1612" t="str">
        <f t="shared" si="487"/>
        <v>Velodrome</v>
      </c>
      <c r="S1612" t="str">
        <f t="shared" si="487"/>
        <v>HollowBrook</v>
      </c>
      <c r="T1612" s="20">
        <f t="shared" si="479"/>
        <v>0</v>
      </c>
      <c r="U1612">
        <f t="shared" si="480"/>
        <v>72</v>
      </c>
      <c r="V1612">
        <f t="shared" si="481"/>
        <v>72</v>
      </c>
      <c r="W1612" cm="1">
        <f t="array" ref="W1612">_xlfn._xlws.FILTER(shifts!A:A,(shifts!B:B=events!D1612)*(shifts!AH:AH&gt;=events!U1612)*(shifts!AI:AI&lt;=events!V1612))</f>
        <v>58</v>
      </c>
      <c r="X1612" t="str">
        <f t="shared" si="482"/>
        <v>event_team_player_1</v>
      </c>
      <c r="Y1612">
        <f>COUNTIFS(A$3:A1612,"="&amp;A1612,K$3:K1612,"="&amp;K1612)</f>
        <v>1</v>
      </c>
      <c r="Z1612" s="20">
        <f>SUMIFS(T$3:T1612,L$3:L1612,"=Intermission")+SUMIFS(T$3:T1612,L$3:L1612,"=Timeout")+SUMIFS(T$3:T1612,L$3:L1612,"=Clockstop")</f>
        <v>68</v>
      </c>
      <c r="AA1612">
        <f t="shared" si="473"/>
        <v>1148</v>
      </c>
      <c r="AC1612">
        <f t="shared" si="474"/>
        <v>1216</v>
      </c>
    </row>
    <row r="1613" spans="1:29" x14ac:dyDescent="0.2">
      <c r="A1613">
        <v>871</v>
      </c>
      <c r="D1613">
        <f t="shared" si="475"/>
        <v>2</v>
      </c>
      <c r="E1613">
        <v>1</v>
      </c>
      <c r="F1613" s="6" t="s">
        <v>449</v>
      </c>
      <c r="I1613" t="s">
        <v>178</v>
      </c>
      <c r="J1613">
        <v>99</v>
      </c>
      <c r="K1613" t="s">
        <v>489</v>
      </c>
      <c r="L1613" t="s">
        <v>9</v>
      </c>
      <c r="M1613" t="s">
        <v>230</v>
      </c>
      <c r="N1613" t="s">
        <v>236</v>
      </c>
      <c r="Q1613">
        <f t="shared" ref="Q1613:S1613" si="488">Q1612</f>
        <v>18977</v>
      </c>
      <c r="R1613" t="str">
        <f t="shared" si="488"/>
        <v>Velodrome</v>
      </c>
      <c r="S1613" t="str">
        <f t="shared" si="488"/>
        <v>HollowBrook</v>
      </c>
      <c r="T1613" s="20">
        <f t="shared" si="479"/>
        <v>0</v>
      </c>
      <c r="U1613">
        <f t="shared" si="480"/>
        <v>72</v>
      </c>
      <c r="V1613">
        <f t="shared" si="481"/>
        <v>72</v>
      </c>
      <c r="W1613" cm="1">
        <f t="array" ref="W1613">_xlfn._xlws.FILTER(shifts!A:A,(shifts!B:B=events!D1613)*(shifts!AH:AH&gt;=events!U1613)*(shifts!AI:AI&lt;=events!V1613))</f>
        <v>58</v>
      </c>
      <c r="X1613" t="str">
        <f t="shared" si="482"/>
        <v>opp_team_player_1</v>
      </c>
      <c r="Y1613">
        <f>COUNTIFS(A$3:A1613,"="&amp;A1613,K$3:K1613,"="&amp;K1613)</f>
        <v>1</v>
      </c>
      <c r="Z1613" s="20">
        <f>SUMIFS(T$3:T1613,L$3:L1613,"=Intermission")+SUMIFS(T$3:T1613,L$3:L1613,"=Timeout")+SUMIFS(T$3:T1613,L$3:L1613,"=Clockstop")</f>
        <v>68</v>
      </c>
      <c r="AA1613">
        <f t="shared" si="473"/>
        <v>1148</v>
      </c>
      <c r="AC1613">
        <f t="shared" si="474"/>
        <v>1216</v>
      </c>
    </row>
    <row r="1614" spans="1:29" x14ac:dyDescent="0.2">
      <c r="A1614">
        <v>872</v>
      </c>
      <c r="D1614">
        <f t="shared" si="475"/>
        <v>2</v>
      </c>
      <c r="E1614">
        <v>1</v>
      </c>
      <c r="F1614" s="6" t="s">
        <v>449</v>
      </c>
      <c r="G1614">
        <v>0</v>
      </c>
      <c r="H1614" s="8" t="s">
        <v>431</v>
      </c>
      <c r="I1614" t="s">
        <v>178</v>
      </c>
      <c r="J1614">
        <v>91</v>
      </c>
      <c r="K1614" t="s">
        <v>488</v>
      </c>
      <c r="L1614" t="s">
        <v>282</v>
      </c>
      <c r="Q1614">
        <f t="shared" ref="Q1614:S1614" si="489">Q1613</f>
        <v>18977</v>
      </c>
      <c r="R1614" t="str">
        <f t="shared" si="489"/>
        <v>Velodrome</v>
      </c>
      <c r="S1614" t="str">
        <f t="shared" si="489"/>
        <v>HollowBrook</v>
      </c>
      <c r="T1614" s="20">
        <f t="shared" si="479"/>
        <v>31</v>
      </c>
      <c r="U1614">
        <f t="shared" si="480"/>
        <v>72</v>
      </c>
      <c r="V1614">
        <f t="shared" si="481"/>
        <v>41</v>
      </c>
      <c r="W1614">
        <v>59</v>
      </c>
      <c r="X1614" t="str">
        <f t="shared" si="482"/>
        <v>event_team_player_1</v>
      </c>
      <c r="Y1614">
        <f>COUNTIFS(A$3:A1614,"="&amp;A1614,K$3:K1614,"="&amp;K1614)</f>
        <v>1</v>
      </c>
      <c r="Z1614" s="20">
        <f>SUMIFS(T$3:T1614,L$3:L1614,"=Intermission")+SUMIFS(T$3:T1614,L$3:L1614,"=Timeout")+SUMIFS(T$3:T1614,L$3:L1614,"=Clockstop")</f>
        <v>68</v>
      </c>
      <c r="AA1614">
        <f t="shared" si="473"/>
        <v>1148</v>
      </c>
      <c r="AC1614">
        <f t="shared" si="474"/>
        <v>1216</v>
      </c>
    </row>
    <row r="1615" spans="1:29" x14ac:dyDescent="0.2">
      <c r="A1615">
        <v>873</v>
      </c>
      <c r="D1615">
        <f t="shared" si="475"/>
        <v>2</v>
      </c>
      <c r="E1615">
        <v>0</v>
      </c>
      <c r="F1615" s="6" t="s">
        <v>431</v>
      </c>
      <c r="I1615" t="s">
        <v>178</v>
      </c>
      <c r="J1615">
        <v>42</v>
      </c>
      <c r="K1615" t="s">
        <v>488</v>
      </c>
      <c r="L1615" t="s">
        <v>6</v>
      </c>
      <c r="M1615" t="s">
        <v>207</v>
      </c>
      <c r="Q1615">
        <f t="shared" ref="Q1615:S1615" si="490">Q1614</f>
        <v>18977</v>
      </c>
      <c r="R1615" t="str">
        <f t="shared" si="490"/>
        <v>Velodrome</v>
      </c>
      <c r="S1615" t="str">
        <f t="shared" si="490"/>
        <v>HollowBrook</v>
      </c>
      <c r="T1615" s="20">
        <f t="shared" si="479"/>
        <v>0</v>
      </c>
      <c r="U1615">
        <f t="shared" si="480"/>
        <v>41</v>
      </c>
      <c r="V1615">
        <f t="shared" si="481"/>
        <v>41</v>
      </c>
      <c r="W1615" cm="1">
        <f t="array" ref="W1615">_xlfn._xlws.FILTER(shifts!A:A,(shifts!B:B=events!D1615)*(shifts!AH:AH&gt;=events!U1615)*(shifts!AI:AI&lt;=events!V1615))</f>
        <v>59</v>
      </c>
      <c r="X1615" t="str">
        <f t="shared" si="482"/>
        <v>event_team_player_1</v>
      </c>
      <c r="Y1615">
        <f>COUNTIFS(A$3:A1615,"="&amp;A1615,K$3:K1615,"="&amp;K1615)</f>
        <v>1</v>
      </c>
      <c r="Z1615" s="20">
        <f>SUMIFS(T$3:T1615,L$3:L1615,"=Intermission")+SUMIFS(T$3:T1615,L$3:L1615,"=Timeout")+SUMIFS(T$3:T1615,L$3:L1615,"=Clockstop")</f>
        <v>68</v>
      </c>
      <c r="AA1615">
        <f t="shared" si="473"/>
        <v>1148</v>
      </c>
      <c r="AC1615">
        <f t="shared" si="474"/>
        <v>1216</v>
      </c>
    </row>
    <row r="1616" spans="1:29" x14ac:dyDescent="0.2">
      <c r="A1616">
        <v>873</v>
      </c>
      <c r="D1616">
        <f t="shared" si="475"/>
        <v>2</v>
      </c>
      <c r="E1616">
        <v>0</v>
      </c>
      <c r="F1616" s="6" t="s">
        <v>431</v>
      </c>
      <c r="I1616" t="s">
        <v>178</v>
      </c>
      <c r="J1616">
        <v>87</v>
      </c>
      <c r="K1616" t="s">
        <v>488</v>
      </c>
      <c r="L1616" t="s">
        <v>6</v>
      </c>
      <c r="M1616" t="s">
        <v>207</v>
      </c>
      <c r="Q1616">
        <f t="shared" ref="Q1616:S1616" si="491">Q1615</f>
        <v>18977</v>
      </c>
      <c r="R1616" t="str">
        <f t="shared" si="491"/>
        <v>Velodrome</v>
      </c>
      <c r="S1616" t="str">
        <f t="shared" si="491"/>
        <v>HollowBrook</v>
      </c>
      <c r="T1616" s="20">
        <f t="shared" si="479"/>
        <v>0</v>
      </c>
      <c r="U1616">
        <f t="shared" si="480"/>
        <v>41</v>
      </c>
      <c r="V1616">
        <f t="shared" si="481"/>
        <v>41</v>
      </c>
      <c r="W1616" cm="1">
        <f t="array" ref="W1616">_xlfn._xlws.FILTER(shifts!A:A,(shifts!B:B=events!D1616)*(shifts!AH:AH&gt;=events!U1616)*(shifts!AI:AI&lt;=events!V1616))</f>
        <v>59</v>
      </c>
      <c r="X1616" t="str">
        <f t="shared" si="482"/>
        <v>event_team_player_2</v>
      </c>
      <c r="Y1616">
        <f>COUNTIFS(A$3:A1616,"="&amp;A1616,K$3:K1616,"="&amp;K1616)</f>
        <v>2</v>
      </c>
      <c r="Z1616" s="20">
        <f>SUMIFS(T$3:T1616,L$3:L1616,"=Intermission")+SUMIFS(T$3:T1616,L$3:L1616,"=Timeout")+SUMIFS(T$3:T1616,L$3:L1616,"=Clockstop")</f>
        <v>68</v>
      </c>
      <c r="AA1616">
        <f t="shared" si="473"/>
        <v>1148</v>
      </c>
      <c r="AC1616">
        <f t="shared" si="474"/>
        <v>1216</v>
      </c>
    </row>
    <row r="1617" spans="1:29" x14ac:dyDescent="0.2">
      <c r="A1617">
        <v>873</v>
      </c>
      <c r="D1617">
        <f t="shared" si="475"/>
        <v>2</v>
      </c>
      <c r="E1617">
        <v>0</v>
      </c>
      <c r="F1617" s="6" t="s">
        <v>431</v>
      </c>
      <c r="I1617" t="s">
        <v>178</v>
      </c>
      <c r="J1617">
        <v>11</v>
      </c>
      <c r="K1617" t="s">
        <v>489</v>
      </c>
      <c r="L1617" t="s">
        <v>6</v>
      </c>
      <c r="M1617" t="s">
        <v>207</v>
      </c>
      <c r="Q1617">
        <f t="shared" ref="Q1617:S1617" si="492">Q1616</f>
        <v>18977</v>
      </c>
      <c r="R1617" t="str">
        <f t="shared" si="492"/>
        <v>Velodrome</v>
      </c>
      <c r="S1617" t="str">
        <f t="shared" si="492"/>
        <v>HollowBrook</v>
      </c>
      <c r="T1617" s="20">
        <f t="shared" si="479"/>
        <v>0</v>
      </c>
      <c r="U1617">
        <f t="shared" si="480"/>
        <v>41</v>
      </c>
      <c r="V1617">
        <f t="shared" si="481"/>
        <v>41</v>
      </c>
      <c r="W1617" cm="1">
        <f t="array" ref="W1617">_xlfn._xlws.FILTER(shifts!A:A,(shifts!B:B=events!D1617)*(shifts!AH:AH&gt;=events!U1617)*(shifts!AI:AI&lt;=events!V1617))</f>
        <v>59</v>
      </c>
      <c r="X1617" t="str">
        <f t="shared" si="482"/>
        <v>opp_team_player_1</v>
      </c>
      <c r="Y1617">
        <f>COUNTIFS(A$3:A1617,"="&amp;A1617,K$3:K1617,"="&amp;K1617)</f>
        <v>1</v>
      </c>
      <c r="Z1617" s="20">
        <f>SUMIFS(T$3:T1617,L$3:L1617,"=Intermission")+SUMIFS(T$3:T1617,L$3:L1617,"=Timeout")+SUMIFS(T$3:T1617,L$3:L1617,"=Clockstop")</f>
        <v>68</v>
      </c>
      <c r="AA1617">
        <f t="shared" si="473"/>
        <v>1148</v>
      </c>
      <c r="AC1617">
        <f t="shared" si="474"/>
        <v>1216</v>
      </c>
    </row>
    <row r="1618" spans="1:29" x14ac:dyDescent="0.2">
      <c r="A1618">
        <v>874</v>
      </c>
      <c r="D1618">
        <f t="shared" si="475"/>
        <v>2</v>
      </c>
      <c r="E1618">
        <v>0</v>
      </c>
      <c r="F1618" s="6" t="s">
        <v>437</v>
      </c>
      <c r="I1618" t="s">
        <v>178</v>
      </c>
      <c r="J1618">
        <v>87</v>
      </c>
      <c r="K1618" t="s">
        <v>488</v>
      </c>
      <c r="L1618" t="s">
        <v>8</v>
      </c>
      <c r="M1618" t="s">
        <v>199</v>
      </c>
      <c r="N1618" t="s">
        <v>70</v>
      </c>
      <c r="Q1618">
        <f t="shared" ref="Q1618:S1618" si="493">Q1617</f>
        <v>18977</v>
      </c>
      <c r="R1618" t="str">
        <f t="shared" si="493"/>
        <v>Velodrome</v>
      </c>
      <c r="S1618" t="str">
        <f t="shared" si="493"/>
        <v>HollowBrook</v>
      </c>
      <c r="T1618" s="20">
        <f t="shared" si="479"/>
        <v>0</v>
      </c>
      <c r="U1618">
        <f t="shared" si="480"/>
        <v>40</v>
      </c>
      <c r="V1618">
        <f t="shared" si="481"/>
        <v>40</v>
      </c>
      <c r="W1618" cm="1">
        <f t="array" ref="W1618">_xlfn._xlws.FILTER(shifts!A:A,(shifts!B:B=events!D1618)*(shifts!AH:AH&gt;=events!U1618)*(shifts!AI:AI&lt;=events!V1618))</f>
        <v>59</v>
      </c>
      <c r="X1618" t="str">
        <f t="shared" si="482"/>
        <v>event_team_player_1</v>
      </c>
      <c r="Y1618">
        <f>COUNTIFS(A$3:A1618,"="&amp;A1618,K$3:K1618,"="&amp;K1618)</f>
        <v>1</v>
      </c>
      <c r="Z1618" s="20">
        <f>SUMIFS(T$3:T1618,L$3:L1618,"=Intermission")+SUMIFS(T$3:T1618,L$3:L1618,"=Timeout")+SUMIFS(T$3:T1618,L$3:L1618,"=Clockstop")</f>
        <v>68</v>
      </c>
      <c r="AA1618">
        <f t="shared" si="473"/>
        <v>1148</v>
      </c>
      <c r="AC1618">
        <f t="shared" si="474"/>
        <v>1216</v>
      </c>
    </row>
    <row r="1619" spans="1:29" x14ac:dyDescent="0.2">
      <c r="A1619">
        <v>874</v>
      </c>
      <c r="D1619">
        <f t="shared" si="475"/>
        <v>2</v>
      </c>
      <c r="E1619">
        <v>0</v>
      </c>
      <c r="F1619" s="6" t="s">
        <v>437</v>
      </c>
      <c r="I1619" t="s">
        <v>178</v>
      </c>
      <c r="J1619">
        <v>14</v>
      </c>
      <c r="K1619" t="s">
        <v>488</v>
      </c>
      <c r="L1619" t="s">
        <v>8</v>
      </c>
      <c r="M1619" t="s">
        <v>199</v>
      </c>
      <c r="N1619" t="s">
        <v>70</v>
      </c>
      <c r="Q1619">
        <f t="shared" ref="Q1619:S1619" si="494">Q1618</f>
        <v>18977</v>
      </c>
      <c r="R1619" t="str">
        <f t="shared" si="494"/>
        <v>Velodrome</v>
      </c>
      <c r="S1619" t="str">
        <f t="shared" si="494"/>
        <v>HollowBrook</v>
      </c>
      <c r="T1619" s="20">
        <f t="shared" si="479"/>
        <v>0</v>
      </c>
      <c r="U1619">
        <f t="shared" si="480"/>
        <v>40</v>
      </c>
      <c r="V1619">
        <f t="shared" si="481"/>
        <v>40</v>
      </c>
      <c r="W1619" cm="1">
        <f t="array" ref="W1619">_xlfn._xlws.FILTER(shifts!A:A,(shifts!B:B=events!D1619)*(shifts!AH:AH&gt;=events!U1619)*(shifts!AI:AI&lt;=events!V1619))</f>
        <v>59</v>
      </c>
      <c r="X1619" t="str">
        <f t="shared" si="482"/>
        <v>event_team_player_2</v>
      </c>
      <c r="Y1619">
        <f>COUNTIFS(A$3:A1619,"="&amp;A1619,K$3:K1619,"="&amp;K1619)</f>
        <v>2</v>
      </c>
      <c r="Z1619" s="20">
        <f>SUMIFS(T$3:T1619,L$3:L1619,"=Intermission")+SUMIFS(T$3:T1619,L$3:L1619,"=Timeout")+SUMIFS(T$3:T1619,L$3:L1619,"=Clockstop")</f>
        <v>68</v>
      </c>
      <c r="AA1619">
        <f t="shared" si="473"/>
        <v>1148</v>
      </c>
      <c r="AC1619">
        <f t="shared" si="474"/>
        <v>1216</v>
      </c>
    </row>
    <row r="1620" spans="1:29" x14ac:dyDescent="0.2">
      <c r="A1620">
        <v>875</v>
      </c>
      <c r="D1620">
        <f t="shared" si="475"/>
        <v>2</v>
      </c>
      <c r="E1620">
        <v>0</v>
      </c>
      <c r="F1620" s="6" t="s">
        <v>481</v>
      </c>
      <c r="I1620" t="s">
        <v>178</v>
      </c>
      <c r="J1620">
        <v>87</v>
      </c>
      <c r="K1620" t="s">
        <v>488</v>
      </c>
      <c r="L1620" t="s">
        <v>277</v>
      </c>
      <c r="M1620" t="s">
        <v>191</v>
      </c>
      <c r="N1620" t="s">
        <v>515</v>
      </c>
      <c r="Q1620">
        <f t="shared" ref="Q1620:S1620" si="495">Q1619</f>
        <v>18977</v>
      </c>
      <c r="R1620" t="str">
        <f t="shared" si="495"/>
        <v>Velodrome</v>
      </c>
      <c r="S1620" t="str">
        <f t="shared" si="495"/>
        <v>HollowBrook</v>
      </c>
      <c r="T1620" s="20">
        <f t="shared" si="479"/>
        <v>0</v>
      </c>
      <c r="U1620">
        <f t="shared" si="480"/>
        <v>39</v>
      </c>
      <c r="V1620">
        <f t="shared" si="481"/>
        <v>39</v>
      </c>
      <c r="W1620" cm="1">
        <f t="array" ref="W1620">_xlfn._xlws.FILTER(shifts!A:A,(shifts!B:B=events!D1620)*(shifts!AH:AH&gt;=events!U1620)*(shifts!AI:AI&lt;=events!V1620))</f>
        <v>59</v>
      </c>
      <c r="X1620" t="str">
        <f t="shared" si="482"/>
        <v>event_team_player_1</v>
      </c>
      <c r="Y1620">
        <f>COUNTIFS(A$3:A1620,"="&amp;A1620,K$3:K1620,"="&amp;K1620)</f>
        <v>1</v>
      </c>
      <c r="Z1620" s="20">
        <f>SUMIFS(T$3:T1620,L$3:L1620,"=Intermission")+SUMIFS(T$3:T1620,L$3:L1620,"=Timeout")+SUMIFS(T$3:T1620,L$3:L1620,"=Clockstop")</f>
        <v>68</v>
      </c>
      <c r="AA1620">
        <f t="shared" si="473"/>
        <v>1148</v>
      </c>
      <c r="AC1620">
        <f t="shared" si="474"/>
        <v>1216</v>
      </c>
    </row>
    <row r="1621" spans="1:29" x14ac:dyDescent="0.2">
      <c r="A1621">
        <v>875</v>
      </c>
      <c r="D1621">
        <f t="shared" si="475"/>
        <v>2</v>
      </c>
      <c r="E1621">
        <v>0</v>
      </c>
      <c r="F1621" s="6" t="s">
        <v>481</v>
      </c>
      <c r="I1621" t="s">
        <v>178</v>
      </c>
      <c r="J1621">
        <v>14</v>
      </c>
      <c r="K1621" t="s">
        <v>488</v>
      </c>
      <c r="L1621" t="s">
        <v>277</v>
      </c>
      <c r="M1621" t="s">
        <v>191</v>
      </c>
      <c r="N1621" t="s">
        <v>515</v>
      </c>
      <c r="Q1621">
        <f t="shared" ref="Q1621:S1621" si="496">Q1620</f>
        <v>18977</v>
      </c>
      <c r="R1621" t="str">
        <f t="shared" si="496"/>
        <v>Velodrome</v>
      </c>
      <c r="S1621" t="str">
        <f t="shared" si="496"/>
        <v>HollowBrook</v>
      </c>
      <c r="T1621" s="20">
        <f t="shared" si="479"/>
        <v>0</v>
      </c>
      <c r="U1621">
        <f t="shared" si="480"/>
        <v>39</v>
      </c>
      <c r="V1621">
        <f t="shared" si="481"/>
        <v>39</v>
      </c>
      <c r="W1621" cm="1">
        <f t="array" ref="W1621">_xlfn._xlws.FILTER(shifts!A:A,(shifts!B:B=events!D1621)*(shifts!AH:AH&gt;=events!U1621)*(shifts!AI:AI&lt;=events!V1621))</f>
        <v>59</v>
      </c>
      <c r="X1621" t="str">
        <f t="shared" si="482"/>
        <v>event_team_player_2</v>
      </c>
      <c r="Y1621">
        <f>COUNTIFS(A$3:A1621,"="&amp;A1621,K$3:K1621,"="&amp;K1621)</f>
        <v>2</v>
      </c>
      <c r="Z1621" s="20">
        <f>SUMIFS(T$3:T1621,L$3:L1621,"=Intermission")+SUMIFS(T$3:T1621,L$3:L1621,"=Timeout")+SUMIFS(T$3:T1621,L$3:L1621,"=Clockstop")</f>
        <v>68</v>
      </c>
      <c r="AA1621">
        <f t="shared" si="473"/>
        <v>1148</v>
      </c>
      <c r="AC1621">
        <f t="shared" si="474"/>
        <v>1216</v>
      </c>
    </row>
    <row r="1622" spans="1:29" x14ac:dyDescent="0.2">
      <c r="A1622">
        <v>876</v>
      </c>
      <c r="D1622">
        <f t="shared" si="475"/>
        <v>2</v>
      </c>
      <c r="E1622">
        <v>0</v>
      </c>
      <c r="F1622" s="6" t="s">
        <v>481</v>
      </c>
      <c r="I1622" t="s">
        <v>178</v>
      </c>
      <c r="J1622">
        <v>87</v>
      </c>
      <c r="K1622" t="s">
        <v>488</v>
      </c>
      <c r="L1622" t="s">
        <v>10</v>
      </c>
      <c r="M1622" t="s">
        <v>190</v>
      </c>
      <c r="N1622" t="s">
        <v>460</v>
      </c>
      <c r="Q1622">
        <f t="shared" ref="Q1622:S1622" si="497">Q1621</f>
        <v>18977</v>
      </c>
      <c r="R1622" t="str">
        <f t="shared" si="497"/>
        <v>Velodrome</v>
      </c>
      <c r="S1622" t="str">
        <f t="shared" si="497"/>
        <v>HollowBrook</v>
      </c>
      <c r="T1622" s="20">
        <f t="shared" si="479"/>
        <v>0</v>
      </c>
      <c r="U1622">
        <f t="shared" si="480"/>
        <v>39</v>
      </c>
      <c r="V1622">
        <f t="shared" si="481"/>
        <v>39</v>
      </c>
      <c r="W1622" cm="1">
        <f t="array" ref="W1622">_xlfn._xlws.FILTER(shifts!A:A,(shifts!B:B=events!D1622)*(shifts!AH:AH&gt;=events!U1622)*(shifts!AI:AI&lt;=events!V1622))</f>
        <v>59</v>
      </c>
      <c r="X1622" t="str">
        <f t="shared" si="482"/>
        <v>event_team_player_1</v>
      </c>
      <c r="Y1622">
        <f>COUNTIFS(A$3:A1622,"="&amp;A1622,K$3:K1622,"="&amp;K1622)</f>
        <v>1</v>
      </c>
      <c r="Z1622" s="20">
        <f>SUMIFS(T$3:T1622,L$3:L1622,"=Intermission")+SUMIFS(T$3:T1622,L$3:L1622,"=Timeout")+SUMIFS(T$3:T1622,L$3:L1622,"=Clockstop")</f>
        <v>68</v>
      </c>
      <c r="AA1622">
        <f t="shared" si="473"/>
        <v>1148</v>
      </c>
      <c r="AC1622">
        <f t="shared" si="474"/>
        <v>1216</v>
      </c>
    </row>
    <row r="1623" spans="1:29" x14ac:dyDescent="0.2">
      <c r="A1623">
        <v>877</v>
      </c>
      <c r="D1623">
        <f t="shared" si="475"/>
        <v>2</v>
      </c>
      <c r="E1623">
        <v>0</v>
      </c>
      <c r="F1623" s="6" t="s">
        <v>494</v>
      </c>
      <c r="I1623" t="s">
        <v>179</v>
      </c>
      <c r="J1623">
        <v>27</v>
      </c>
      <c r="K1623" t="s">
        <v>488</v>
      </c>
      <c r="L1623" t="s">
        <v>13</v>
      </c>
      <c r="M1623" t="s">
        <v>204</v>
      </c>
      <c r="N1623" t="s">
        <v>107</v>
      </c>
      <c r="Q1623">
        <f t="shared" ref="Q1623:S1623" si="498">Q1622</f>
        <v>18977</v>
      </c>
      <c r="R1623" t="str">
        <f t="shared" si="498"/>
        <v>Velodrome</v>
      </c>
      <c r="S1623" t="str">
        <f t="shared" si="498"/>
        <v>HollowBrook</v>
      </c>
      <c r="T1623" s="20">
        <f t="shared" si="479"/>
        <v>0</v>
      </c>
      <c r="U1623">
        <f t="shared" si="480"/>
        <v>32</v>
      </c>
      <c r="V1623">
        <f t="shared" si="481"/>
        <v>32</v>
      </c>
      <c r="W1623" cm="1">
        <f t="array" ref="W1623">_xlfn._xlws.FILTER(shifts!A:A,(shifts!B:B=events!D1623)*(shifts!AH:AH&gt;=events!U1623)*(shifts!AI:AI&lt;=events!V1623))</f>
        <v>59</v>
      </c>
      <c r="X1623" t="str">
        <f t="shared" si="482"/>
        <v>event_team_player_1</v>
      </c>
      <c r="Y1623">
        <f>COUNTIFS(A$3:A1623,"="&amp;A1623,K$3:K1623,"="&amp;K1623)</f>
        <v>1</v>
      </c>
      <c r="Z1623" s="20">
        <f>SUMIFS(T$3:T1623,L$3:L1623,"=Intermission")+SUMIFS(T$3:T1623,L$3:L1623,"=Timeout")+SUMIFS(T$3:T1623,L$3:L1623,"=Clockstop")</f>
        <v>68</v>
      </c>
      <c r="AA1623">
        <f t="shared" si="473"/>
        <v>1148</v>
      </c>
      <c r="AC1623">
        <f t="shared" si="474"/>
        <v>1216</v>
      </c>
    </row>
    <row r="1624" spans="1:29" x14ac:dyDescent="0.2">
      <c r="A1624">
        <v>878</v>
      </c>
      <c r="D1624">
        <f t="shared" si="475"/>
        <v>2</v>
      </c>
      <c r="E1624">
        <v>0</v>
      </c>
      <c r="F1624" s="6" t="s">
        <v>493</v>
      </c>
      <c r="I1624" t="s">
        <v>179</v>
      </c>
      <c r="J1624">
        <v>27</v>
      </c>
      <c r="K1624" t="s">
        <v>488</v>
      </c>
      <c r="L1624" t="s">
        <v>282</v>
      </c>
      <c r="Q1624">
        <f t="shared" ref="Q1624:S1624" si="499">Q1623</f>
        <v>18977</v>
      </c>
      <c r="R1624" t="str">
        <f t="shared" si="499"/>
        <v>Velodrome</v>
      </c>
      <c r="S1624" t="str">
        <f t="shared" si="499"/>
        <v>HollowBrook</v>
      </c>
      <c r="T1624" s="20">
        <f t="shared" si="479"/>
        <v>0</v>
      </c>
      <c r="U1624">
        <f t="shared" si="480"/>
        <v>31</v>
      </c>
      <c r="V1624">
        <f t="shared" si="481"/>
        <v>31</v>
      </c>
      <c r="W1624" cm="1">
        <f t="array" ref="W1624">_xlfn._xlws.FILTER(shifts!A:A,(shifts!B:B=events!D1624)*(shifts!AH:AH&gt;=events!U1624)*(shifts!AI:AI&lt;=events!V1624))</f>
        <v>59</v>
      </c>
      <c r="X1624" t="str">
        <f t="shared" si="482"/>
        <v>event_team_player_1</v>
      </c>
      <c r="Y1624">
        <f>COUNTIFS(A$3:A1624,"="&amp;A1624,K$3:K1624,"="&amp;K1624)</f>
        <v>1</v>
      </c>
      <c r="Z1624" s="20">
        <f>SUMIFS(T$3:T1624,L$3:L1624,"=Intermission")+SUMIFS(T$3:T1624,L$3:L1624,"=Timeout")+SUMIFS(T$3:T1624,L$3:L1624,"=Clockstop")</f>
        <v>68</v>
      </c>
      <c r="AA1624">
        <f t="shared" si="473"/>
        <v>1148</v>
      </c>
      <c r="AC1624">
        <f t="shared" si="474"/>
        <v>1216</v>
      </c>
    </row>
    <row r="1625" spans="1:29" x14ac:dyDescent="0.2">
      <c r="A1625">
        <v>879</v>
      </c>
      <c r="D1625">
        <f t="shared" si="475"/>
        <v>2</v>
      </c>
      <c r="E1625">
        <v>0</v>
      </c>
      <c r="F1625" s="6" t="s">
        <v>317</v>
      </c>
      <c r="I1625" t="s">
        <v>179</v>
      </c>
      <c r="J1625">
        <v>11</v>
      </c>
      <c r="K1625" t="s">
        <v>488</v>
      </c>
      <c r="L1625" t="s">
        <v>6</v>
      </c>
      <c r="M1625" t="s">
        <v>275</v>
      </c>
      <c r="Q1625">
        <f t="shared" ref="Q1625:S1625" si="500">Q1624</f>
        <v>18977</v>
      </c>
      <c r="R1625" t="str">
        <f t="shared" si="500"/>
        <v>Velodrome</v>
      </c>
      <c r="S1625" t="str">
        <f t="shared" si="500"/>
        <v>HollowBrook</v>
      </c>
      <c r="T1625" s="20">
        <f t="shared" si="479"/>
        <v>0</v>
      </c>
      <c r="U1625">
        <f t="shared" si="480"/>
        <v>13</v>
      </c>
      <c r="V1625">
        <f t="shared" si="481"/>
        <v>13</v>
      </c>
      <c r="W1625" cm="1">
        <f t="array" ref="W1625">_xlfn._xlws.FILTER(shifts!A:A,(shifts!B:B=events!D1625)*(shifts!AH:AH&gt;=events!U1625)*(shifts!AI:AI&lt;=events!V1625))</f>
        <v>59</v>
      </c>
      <c r="X1625" t="str">
        <f t="shared" si="482"/>
        <v>event_team_player_1</v>
      </c>
      <c r="Y1625">
        <f>COUNTIFS(A$3:A1625,"="&amp;A1625,K$3:K1625,"="&amp;K1625)</f>
        <v>1</v>
      </c>
      <c r="Z1625" s="20">
        <f>SUMIFS(T$3:T1625,L$3:L1625,"=Intermission")+SUMIFS(T$3:T1625,L$3:L1625,"=Timeout")+SUMIFS(T$3:T1625,L$3:L1625,"=Clockstop")</f>
        <v>68</v>
      </c>
      <c r="AA1625">
        <f t="shared" si="473"/>
        <v>1148</v>
      </c>
      <c r="AC1625">
        <f t="shared" si="474"/>
        <v>1216</v>
      </c>
    </row>
    <row r="1626" spans="1:29" x14ac:dyDescent="0.2">
      <c r="A1626">
        <v>879</v>
      </c>
      <c r="D1626">
        <f t="shared" si="475"/>
        <v>2</v>
      </c>
      <c r="E1626">
        <v>0</v>
      </c>
      <c r="F1626" s="6" t="s">
        <v>317</v>
      </c>
      <c r="I1626" t="s">
        <v>179</v>
      </c>
      <c r="J1626">
        <v>42</v>
      </c>
      <c r="K1626" t="s">
        <v>489</v>
      </c>
      <c r="L1626" t="s">
        <v>6</v>
      </c>
      <c r="M1626" t="s">
        <v>275</v>
      </c>
      <c r="Q1626">
        <f t="shared" ref="Q1626:S1626" si="501">Q1625</f>
        <v>18977</v>
      </c>
      <c r="R1626" t="str">
        <f t="shared" si="501"/>
        <v>Velodrome</v>
      </c>
      <c r="S1626" t="str">
        <f t="shared" si="501"/>
        <v>HollowBrook</v>
      </c>
      <c r="T1626" s="20">
        <f t="shared" si="479"/>
        <v>0</v>
      </c>
      <c r="U1626">
        <f t="shared" si="480"/>
        <v>13</v>
      </c>
      <c r="V1626">
        <f t="shared" si="481"/>
        <v>13</v>
      </c>
      <c r="W1626" cm="1">
        <f t="array" ref="W1626">_xlfn._xlws.FILTER(shifts!A:A,(shifts!B:B=events!D1626)*(shifts!AH:AH&gt;=events!U1626)*(shifts!AI:AI&lt;=events!V1626))</f>
        <v>59</v>
      </c>
      <c r="X1626" t="str">
        <f t="shared" si="482"/>
        <v>opp_team_player_1</v>
      </c>
      <c r="Y1626">
        <f>COUNTIFS(A$3:A1626,"="&amp;A1626,K$3:K1626,"="&amp;K1626)</f>
        <v>1</v>
      </c>
      <c r="Z1626" s="20">
        <f>SUMIFS(T$3:T1626,L$3:L1626,"=Intermission")+SUMIFS(T$3:T1626,L$3:L1626,"=Timeout")+SUMIFS(T$3:T1626,L$3:L1626,"=Clockstop")</f>
        <v>68</v>
      </c>
      <c r="AA1626">
        <f t="shared" si="473"/>
        <v>1148</v>
      </c>
      <c r="AC1626">
        <f t="shared" si="474"/>
        <v>1216</v>
      </c>
    </row>
    <row r="1627" spans="1:29" x14ac:dyDescent="0.2">
      <c r="A1627">
        <v>880</v>
      </c>
      <c r="D1627">
        <f t="shared" si="475"/>
        <v>2</v>
      </c>
      <c r="E1627">
        <v>0</v>
      </c>
      <c r="F1627" s="6" t="s">
        <v>486</v>
      </c>
      <c r="G1627">
        <v>0</v>
      </c>
      <c r="H1627" s="8" t="s">
        <v>424</v>
      </c>
      <c r="I1627" t="s">
        <v>179</v>
      </c>
      <c r="J1627">
        <v>5</v>
      </c>
      <c r="K1627" t="s">
        <v>488</v>
      </c>
      <c r="L1627" t="s">
        <v>15</v>
      </c>
      <c r="Q1627">
        <f t="shared" ref="Q1627:S1627" si="502">Q1626</f>
        <v>18977</v>
      </c>
      <c r="R1627" t="str">
        <f t="shared" si="502"/>
        <v>Velodrome</v>
      </c>
      <c r="S1627" t="str">
        <f t="shared" si="502"/>
        <v>HollowBrook</v>
      </c>
      <c r="T1627" s="20">
        <f t="shared" si="479"/>
        <v>2</v>
      </c>
      <c r="U1627">
        <f t="shared" si="480"/>
        <v>11</v>
      </c>
      <c r="V1627">
        <f t="shared" si="481"/>
        <v>9</v>
      </c>
      <c r="W1627" cm="1">
        <f t="array" ref="W1627">_xlfn._xlws.FILTER(shifts!A:A,(shifts!B:B=events!D1627)*(shifts!AH:AH&gt;=events!U1627)*(shifts!AI:AI&lt;=events!V1627))</f>
        <v>59</v>
      </c>
      <c r="X1627" t="str">
        <f t="shared" si="482"/>
        <v>event_team_player_1</v>
      </c>
      <c r="Y1627">
        <f>COUNTIFS(A$3:A1627,"="&amp;A1627,K$3:K1627,"="&amp;K1627)</f>
        <v>1</v>
      </c>
      <c r="Z1627" s="20">
        <f>SUMIFS(T$3:T1627,L$3:L1627,"=Intermission")+SUMIFS(T$3:T1627,L$3:L1627,"=Timeout")+SUMIFS(T$3:T1627,L$3:L1627,"=Clockstop")</f>
        <v>68</v>
      </c>
      <c r="AA1627">
        <f t="shared" si="473"/>
        <v>1148</v>
      </c>
      <c r="AC1627">
        <f t="shared" si="474"/>
        <v>1216</v>
      </c>
    </row>
    <row r="1628" spans="1:29" x14ac:dyDescent="0.2">
      <c r="A1628">
        <v>881</v>
      </c>
      <c r="D1628">
        <f t="shared" si="475"/>
        <v>2</v>
      </c>
      <c r="E1628">
        <v>0</v>
      </c>
      <c r="F1628" s="6" t="s">
        <v>424</v>
      </c>
      <c r="I1628" t="s">
        <v>179</v>
      </c>
      <c r="J1628">
        <v>5</v>
      </c>
      <c r="K1628" t="s">
        <v>488</v>
      </c>
      <c r="L1628" t="s">
        <v>8</v>
      </c>
      <c r="M1628" t="s">
        <v>189</v>
      </c>
      <c r="N1628" t="s">
        <v>506</v>
      </c>
      <c r="Q1628">
        <f t="shared" ref="Q1628:S1628" si="503">Q1627</f>
        <v>18977</v>
      </c>
      <c r="R1628" t="str">
        <f t="shared" si="503"/>
        <v>Velodrome</v>
      </c>
      <c r="S1628" t="str">
        <f t="shared" si="503"/>
        <v>HollowBrook</v>
      </c>
      <c r="T1628" s="20">
        <f t="shared" si="479"/>
        <v>0</v>
      </c>
      <c r="U1628">
        <f t="shared" si="480"/>
        <v>9</v>
      </c>
      <c r="V1628">
        <f t="shared" si="481"/>
        <v>9</v>
      </c>
      <c r="W1628" cm="1">
        <f t="array" ref="W1628">_xlfn._xlws.FILTER(shifts!A:A,(shifts!B:B=events!D1628)*(shifts!AH:AH&gt;=events!U1628)*(shifts!AI:AI&lt;=events!V1628))</f>
        <v>59</v>
      </c>
      <c r="X1628" t="str">
        <f t="shared" si="482"/>
        <v>event_team_player_1</v>
      </c>
      <c r="Y1628">
        <f>COUNTIFS(A$3:A1628,"="&amp;A1628,K$3:K1628,"="&amp;K1628)</f>
        <v>1</v>
      </c>
      <c r="Z1628" s="20">
        <f>SUMIFS(T$3:T1628,L$3:L1628,"=Intermission")+SUMIFS(T$3:T1628,L$3:L1628,"=Timeout")+SUMIFS(T$3:T1628,L$3:L1628,"=Clockstop")</f>
        <v>68</v>
      </c>
      <c r="AA1628">
        <f t="shared" si="473"/>
        <v>1148</v>
      </c>
      <c r="AC1628">
        <f t="shared" si="474"/>
        <v>1216</v>
      </c>
    </row>
    <row r="1629" spans="1:29" x14ac:dyDescent="0.2">
      <c r="A1629">
        <v>881</v>
      </c>
      <c r="D1629">
        <f t="shared" si="475"/>
        <v>2</v>
      </c>
      <c r="E1629">
        <v>0</v>
      </c>
      <c r="F1629" s="6" t="s">
        <v>424</v>
      </c>
      <c r="I1629" t="s">
        <v>179</v>
      </c>
      <c r="J1629">
        <v>19</v>
      </c>
      <c r="K1629" t="s">
        <v>488</v>
      </c>
      <c r="L1629" t="s">
        <v>8</v>
      </c>
      <c r="M1629" t="s">
        <v>189</v>
      </c>
      <c r="N1629" t="s">
        <v>506</v>
      </c>
      <c r="Q1629">
        <f t="shared" ref="Q1629:S1629" si="504">Q1628</f>
        <v>18977</v>
      </c>
      <c r="R1629" t="str">
        <f t="shared" si="504"/>
        <v>Velodrome</v>
      </c>
      <c r="S1629" t="str">
        <f t="shared" si="504"/>
        <v>HollowBrook</v>
      </c>
      <c r="T1629" s="20">
        <f t="shared" si="479"/>
        <v>0</v>
      </c>
      <c r="U1629">
        <f t="shared" si="480"/>
        <v>9</v>
      </c>
      <c r="V1629">
        <f t="shared" si="481"/>
        <v>9</v>
      </c>
      <c r="W1629" cm="1">
        <f t="array" ref="W1629">_xlfn._xlws.FILTER(shifts!A:A,(shifts!B:B=events!D1629)*(shifts!AH:AH&gt;=events!U1629)*(shifts!AI:AI&lt;=events!V1629))</f>
        <v>59</v>
      </c>
      <c r="X1629" t="str">
        <f t="shared" si="482"/>
        <v>event_team_player_2</v>
      </c>
      <c r="Y1629">
        <f>COUNTIFS(A$3:A1629,"="&amp;A1629,K$3:K1629,"="&amp;K1629)</f>
        <v>2</v>
      </c>
      <c r="Z1629" s="20">
        <f>SUMIFS(T$3:T1629,L$3:L1629,"=Intermission")+SUMIFS(T$3:T1629,L$3:L1629,"=Timeout")+SUMIFS(T$3:T1629,L$3:L1629,"=Clockstop")</f>
        <v>68</v>
      </c>
      <c r="AA1629">
        <f t="shared" si="473"/>
        <v>1148</v>
      </c>
      <c r="AC1629">
        <f t="shared" si="474"/>
        <v>1216</v>
      </c>
    </row>
    <row r="1630" spans="1:29" x14ac:dyDescent="0.2">
      <c r="A1630">
        <v>882</v>
      </c>
      <c r="D1630">
        <f t="shared" si="475"/>
        <v>2</v>
      </c>
      <c r="E1630">
        <v>0</v>
      </c>
      <c r="F1630" s="6" t="s">
        <v>424</v>
      </c>
      <c r="I1630" t="s">
        <v>179</v>
      </c>
      <c r="J1630">
        <v>5</v>
      </c>
      <c r="K1630" t="s">
        <v>488</v>
      </c>
      <c r="L1630" t="s">
        <v>277</v>
      </c>
      <c r="M1630" t="s">
        <v>201</v>
      </c>
      <c r="N1630" t="s">
        <v>505</v>
      </c>
      <c r="Q1630">
        <f t="shared" ref="Q1630:S1630" si="505">Q1629</f>
        <v>18977</v>
      </c>
      <c r="R1630" t="str">
        <f t="shared" si="505"/>
        <v>Velodrome</v>
      </c>
      <c r="S1630" t="str">
        <f t="shared" si="505"/>
        <v>HollowBrook</v>
      </c>
      <c r="T1630" s="20">
        <f t="shared" si="479"/>
        <v>0</v>
      </c>
      <c r="U1630">
        <f t="shared" si="480"/>
        <v>9</v>
      </c>
      <c r="V1630">
        <f t="shared" si="481"/>
        <v>9</v>
      </c>
      <c r="W1630" cm="1">
        <f t="array" ref="W1630">_xlfn._xlws.FILTER(shifts!A:A,(shifts!B:B=events!D1630)*(shifts!AH:AH&gt;=events!U1630)*(shifts!AI:AI&lt;=events!V1630))</f>
        <v>59</v>
      </c>
      <c r="X1630" t="str">
        <f t="shared" si="482"/>
        <v>event_team_player_1</v>
      </c>
      <c r="Y1630">
        <f>COUNTIFS(A$3:A1630,"="&amp;A1630,K$3:K1630,"="&amp;K1630)</f>
        <v>1</v>
      </c>
      <c r="Z1630" s="20">
        <f>SUMIFS(T$3:T1630,L$3:L1630,"=Intermission")+SUMIFS(T$3:T1630,L$3:L1630,"=Timeout")+SUMIFS(T$3:T1630,L$3:L1630,"=Clockstop")</f>
        <v>68</v>
      </c>
      <c r="AA1630">
        <f t="shared" si="473"/>
        <v>1148</v>
      </c>
      <c r="AC1630">
        <f t="shared" si="474"/>
        <v>1216</v>
      </c>
    </row>
    <row r="1631" spans="1:29" x14ac:dyDescent="0.2">
      <c r="A1631">
        <v>882</v>
      </c>
      <c r="D1631">
        <f t="shared" si="475"/>
        <v>2</v>
      </c>
      <c r="E1631">
        <v>0</v>
      </c>
      <c r="F1631" s="6" t="s">
        <v>424</v>
      </c>
      <c r="I1631" t="s">
        <v>179</v>
      </c>
      <c r="J1631">
        <v>5</v>
      </c>
      <c r="K1631" t="s">
        <v>488</v>
      </c>
      <c r="L1631" t="s">
        <v>277</v>
      </c>
      <c r="M1631" t="s">
        <v>201</v>
      </c>
      <c r="N1631" t="s">
        <v>505</v>
      </c>
      <c r="Q1631">
        <f t="shared" ref="Q1631:S1631" si="506">Q1630</f>
        <v>18977</v>
      </c>
      <c r="R1631" t="str">
        <f t="shared" si="506"/>
        <v>Velodrome</v>
      </c>
      <c r="S1631" t="str">
        <f t="shared" si="506"/>
        <v>HollowBrook</v>
      </c>
      <c r="T1631" s="20">
        <f t="shared" si="479"/>
        <v>0</v>
      </c>
      <c r="U1631">
        <f t="shared" si="480"/>
        <v>9</v>
      </c>
      <c r="V1631">
        <f t="shared" si="481"/>
        <v>9</v>
      </c>
      <c r="W1631" cm="1">
        <f t="array" ref="W1631">_xlfn._xlws.FILTER(shifts!A:A,(shifts!B:B=events!D1631)*(shifts!AH:AH&gt;=events!U1631)*(shifts!AI:AI&lt;=events!V1631))</f>
        <v>59</v>
      </c>
      <c r="X1631" t="str">
        <f t="shared" si="482"/>
        <v>event_team_player_2</v>
      </c>
      <c r="Y1631">
        <f>COUNTIFS(A$3:A1631,"="&amp;A1631,K$3:K1631,"="&amp;K1631)</f>
        <v>2</v>
      </c>
      <c r="Z1631" s="20">
        <f>SUMIFS(T$3:T1631,L$3:L1631,"=Intermission")+SUMIFS(T$3:T1631,L$3:L1631,"=Timeout")+SUMIFS(T$3:T1631,L$3:L1631,"=Clockstop")</f>
        <v>68</v>
      </c>
      <c r="AA1631">
        <f t="shared" si="473"/>
        <v>1148</v>
      </c>
      <c r="AC1631">
        <f t="shared" si="474"/>
        <v>1216</v>
      </c>
    </row>
    <row r="1632" spans="1:29" x14ac:dyDescent="0.2">
      <c r="A1632">
        <v>883</v>
      </c>
      <c r="D1632">
        <f t="shared" si="475"/>
        <v>2</v>
      </c>
      <c r="E1632">
        <v>0</v>
      </c>
      <c r="F1632" s="6" t="s">
        <v>313</v>
      </c>
      <c r="G1632">
        <v>0</v>
      </c>
      <c r="H1632" s="8" t="s">
        <v>309</v>
      </c>
      <c r="I1632" t="s">
        <v>179</v>
      </c>
      <c r="J1632">
        <v>19</v>
      </c>
      <c r="K1632" t="s">
        <v>488</v>
      </c>
      <c r="L1632" t="s">
        <v>15</v>
      </c>
      <c r="Q1632">
        <f t="shared" ref="Q1632:S1632" si="507">Q1631</f>
        <v>18977</v>
      </c>
      <c r="R1632" t="str">
        <f t="shared" si="507"/>
        <v>Velodrome</v>
      </c>
      <c r="S1632" t="str">
        <f t="shared" si="507"/>
        <v>HollowBrook</v>
      </c>
      <c r="T1632" s="20">
        <f t="shared" si="479"/>
        <v>1</v>
      </c>
      <c r="U1632">
        <f t="shared" si="480"/>
        <v>8</v>
      </c>
      <c r="V1632">
        <f t="shared" si="481"/>
        <v>7</v>
      </c>
      <c r="W1632" cm="1">
        <f t="array" ref="W1632">_xlfn._xlws.FILTER(shifts!A:A,(shifts!B:B=events!D1632)*(shifts!AH:AH&gt;=events!U1632)*(shifts!AI:AI&lt;=events!V1632))</f>
        <v>59</v>
      </c>
      <c r="X1632" t="str">
        <f t="shared" si="482"/>
        <v>event_team_player_1</v>
      </c>
      <c r="Y1632">
        <f>COUNTIFS(A$3:A1632,"="&amp;A1632,K$3:K1632,"="&amp;K1632)</f>
        <v>1</v>
      </c>
      <c r="Z1632" s="20">
        <f>SUMIFS(T$3:T1632,L$3:L1632,"=Intermission")+SUMIFS(T$3:T1632,L$3:L1632,"=Timeout")+SUMIFS(T$3:T1632,L$3:L1632,"=Clockstop")</f>
        <v>68</v>
      </c>
      <c r="AA1632">
        <f t="shared" si="473"/>
        <v>1148</v>
      </c>
      <c r="AC1632">
        <f t="shared" si="474"/>
        <v>1216</v>
      </c>
    </row>
    <row r="1633" spans="1:29" x14ac:dyDescent="0.2">
      <c r="A1633">
        <v>884</v>
      </c>
      <c r="D1633">
        <f t="shared" si="475"/>
        <v>2</v>
      </c>
      <c r="E1633">
        <v>0</v>
      </c>
      <c r="F1633" s="6" t="s">
        <v>309</v>
      </c>
      <c r="G1633">
        <v>0</v>
      </c>
      <c r="H1633" s="8" t="s">
        <v>315</v>
      </c>
      <c r="I1633" t="s">
        <v>179</v>
      </c>
      <c r="J1633">
        <v>19</v>
      </c>
      <c r="K1633" t="s">
        <v>488</v>
      </c>
      <c r="L1633" t="s">
        <v>277</v>
      </c>
      <c r="M1633" t="s">
        <v>191</v>
      </c>
      <c r="N1633" t="s">
        <v>507</v>
      </c>
      <c r="Q1633">
        <f t="shared" ref="Q1633:S1633" si="508">Q1632</f>
        <v>18977</v>
      </c>
      <c r="R1633" t="str">
        <f t="shared" si="508"/>
        <v>Velodrome</v>
      </c>
      <c r="S1633" t="str">
        <f t="shared" si="508"/>
        <v>HollowBrook</v>
      </c>
      <c r="T1633" s="20">
        <f t="shared" si="479"/>
        <v>2</v>
      </c>
      <c r="U1633">
        <f t="shared" si="480"/>
        <v>7</v>
      </c>
      <c r="V1633">
        <f t="shared" si="481"/>
        <v>5</v>
      </c>
      <c r="W1633" cm="1">
        <f t="array" ref="W1633">_xlfn._xlws.FILTER(shifts!A:A,(shifts!B:B=events!D1633)*(shifts!AH:AH&gt;=events!U1633)*(shifts!AI:AI&lt;=events!V1633))</f>
        <v>59</v>
      </c>
      <c r="X1633" t="str">
        <f t="shared" si="482"/>
        <v>event_team_player_1</v>
      </c>
      <c r="Y1633">
        <f>COUNTIFS(A$3:A1633,"="&amp;A1633,K$3:K1633,"="&amp;K1633)</f>
        <v>1</v>
      </c>
      <c r="Z1633" s="20">
        <f>SUMIFS(T$3:T1633,L$3:L1633,"=Intermission")+SUMIFS(T$3:T1633,L$3:L1633,"=Timeout")+SUMIFS(T$3:T1633,L$3:L1633,"=Clockstop")</f>
        <v>68</v>
      </c>
      <c r="AA1633">
        <f t="shared" si="473"/>
        <v>1148</v>
      </c>
      <c r="AC1633">
        <f t="shared" si="474"/>
        <v>1216</v>
      </c>
    </row>
    <row r="1634" spans="1:29" x14ac:dyDescent="0.2">
      <c r="A1634">
        <v>885</v>
      </c>
      <c r="D1634">
        <f t="shared" si="475"/>
        <v>2</v>
      </c>
      <c r="E1634">
        <v>0</v>
      </c>
      <c r="F1634" s="6" t="s">
        <v>315</v>
      </c>
      <c r="I1634" t="s">
        <v>179</v>
      </c>
      <c r="J1634">
        <v>19</v>
      </c>
      <c r="K1634" t="s">
        <v>488</v>
      </c>
      <c r="L1634" t="s">
        <v>7</v>
      </c>
      <c r="M1634" t="s">
        <v>222</v>
      </c>
      <c r="N1634" t="s">
        <v>53</v>
      </c>
      <c r="Q1634">
        <f t="shared" ref="Q1634:S1634" si="509">Q1633</f>
        <v>18977</v>
      </c>
      <c r="R1634" t="str">
        <f t="shared" si="509"/>
        <v>Velodrome</v>
      </c>
      <c r="S1634" t="str">
        <f t="shared" si="509"/>
        <v>HollowBrook</v>
      </c>
      <c r="T1634" s="20">
        <f t="shared" si="479"/>
        <v>0</v>
      </c>
      <c r="U1634">
        <f t="shared" si="480"/>
        <v>5</v>
      </c>
      <c r="V1634">
        <f t="shared" si="481"/>
        <v>5</v>
      </c>
      <c r="W1634" cm="1">
        <f t="array" ref="W1634">_xlfn._xlws.FILTER(shifts!A:A,(shifts!B:B=events!D1634)*(shifts!AH:AH&gt;=events!U1634)*(shifts!AI:AI&lt;=events!V1634))</f>
        <v>59</v>
      </c>
      <c r="X1634" t="str">
        <f t="shared" si="482"/>
        <v>event_team_player_1</v>
      </c>
      <c r="Y1634">
        <f>COUNTIFS(A$3:A1634,"="&amp;A1634,K$3:K1634,"="&amp;K1634)</f>
        <v>1</v>
      </c>
      <c r="Z1634" s="20">
        <f>SUMIFS(T$3:T1634,L$3:L1634,"=Intermission")+SUMIFS(T$3:T1634,L$3:L1634,"=Timeout")+SUMIFS(T$3:T1634,L$3:L1634,"=Clockstop")</f>
        <v>68</v>
      </c>
      <c r="AA1634">
        <f t="shared" si="473"/>
        <v>1148</v>
      </c>
      <c r="AC1634">
        <f t="shared" si="474"/>
        <v>1216</v>
      </c>
    </row>
    <row r="1635" spans="1:29" x14ac:dyDescent="0.2">
      <c r="A1635">
        <v>885</v>
      </c>
      <c r="D1635">
        <f t="shared" si="475"/>
        <v>2</v>
      </c>
      <c r="E1635">
        <v>0</v>
      </c>
      <c r="F1635" s="6" t="s">
        <v>315</v>
      </c>
      <c r="I1635" t="s">
        <v>179</v>
      </c>
      <c r="J1635">
        <v>39</v>
      </c>
      <c r="K1635" t="s">
        <v>489</v>
      </c>
      <c r="L1635" t="s">
        <v>7</v>
      </c>
      <c r="M1635" t="s">
        <v>222</v>
      </c>
      <c r="N1635" t="s">
        <v>53</v>
      </c>
      <c r="Q1635">
        <f t="shared" ref="Q1635:S1635" si="510">Q1634</f>
        <v>18977</v>
      </c>
      <c r="R1635" t="str">
        <f t="shared" si="510"/>
        <v>Velodrome</v>
      </c>
      <c r="S1635" t="str">
        <f t="shared" si="510"/>
        <v>HollowBrook</v>
      </c>
      <c r="T1635" s="20">
        <f t="shared" si="479"/>
        <v>0</v>
      </c>
      <c r="U1635">
        <f t="shared" si="480"/>
        <v>5</v>
      </c>
      <c r="V1635">
        <f t="shared" si="481"/>
        <v>5</v>
      </c>
      <c r="W1635" cm="1">
        <f t="array" ref="W1635">_xlfn._xlws.FILTER(shifts!A:A,(shifts!B:B=events!D1635)*(shifts!AH:AH&gt;=events!U1635)*(shifts!AI:AI&lt;=events!V1635))</f>
        <v>59</v>
      </c>
      <c r="X1635" t="str">
        <f t="shared" si="482"/>
        <v>opp_team_player_1</v>
      </c>
      <c r="Y1635">
        <f>COUNTIFS(A$3:A1635,"="&amp;A1635,K$3:K1635,"="&amp;K1635)</f>
        <v>1</v>
      </c>
      <c r="Z1635" s="20">
        <f>SUMIFS(T$3:T1635,L$3:L1635,"=Intermission")+SUMIFS(T$3:T1635,L$3:L1635,"=Timeout")+SUMIFS(T$3:T1635,L$3:L1635,"=Clockstop")</f>
        <v>68</v>
      </c>
      <c r="AA1635">
        <f t="shared" si="473"/>
        <v>1148</v>
      </c>
      <c r="AC1635">
        <f t="shared" si="474"/>
        <v>1216</v>
      </c>
    </row>
    <row r="1636" spans="1:29" x14ac:dyDescent="0.2">
      <c r="A1636">
        <v>886</v>
      </c>
      <c r="D1636">
        <f t="shared" si="475"/>
        <v>2</v>
      </c>
      <c r="E1636">
        <v>0</v>
      </c>
      <c r="F1636" s="6" t="s">
        <v>315</v>
      </c>
      <c r="I1636" t="s">
        <v>178</v>
      </c>
      <c r="J1636">
        <v>39</v>
      </c>
      <c r="K1636" t="s">
        <v>488</v>
      </c>
      <c r="L1636" t="s">
        <v>17</v>
      </c>
      <c r="M1636" t="s">
        <v>196</v>
      </c>
      <c r="N1636" t="s">
        <v>97</v>
      </c>
      <c r="Q1636">
        <f t="shared" ref="Q1636:S1636" si="511">Q1635</f>
        <v>18977</v>
      </c>
      <c r="R1636" t="str">
        <f t="shared" si="511"/>
        <v>Velodrome</v>
      </c>
      <c r="S1636" t="str">
        <f t="shared" si="511"/>
        <v>HollowBrook</v>
      </c>
      <c r="T1636" s="20">
        <f t="shared" si="479"/>
        <v>0</v>
      </c>
      <c r="U1636">
        <f t="shared" si="480"/>
        <v>5</v>
      </c>
      <c r="V1636">
        <f t="shared" si="481"/>
        <v>5</v>
      </c>
      <c r="W1636" cm="1">
        <f t="array" ref="W1636">_xlfn._xlws.FILTER(shifts!A:A,(shifts!B:B=events!D1636)*(shifts!AH:AH&gt;=events!U1636)*(shifts!AI:AI&lt;=events!V1636))</f>
        <v>59</v>
      </c>
      <c r="X1636" t="str">
        <f t="shared" si="482"/>
        <v>event_team_player_1</v>
      </c>
      <c r="Y1636">
        <f>COUNTIFS(A$3:A1636,"="&amp;A1636,K$3:K1636,"="&amp;K1636)</f>
        <v>1</v>
      </c>
      <c r="Z1636" s="20">
        <f>SUMIFS(T$3:T1636,L$3:L1636,"=Intermission")+SUMIFS(T$3:T1636,L$3:L1636,"=Timeout")+SUMIFS(T$3:T1636,L$3:L1636,"=Clockstop")</f>
        <v>68</v>
      </c>
      <c r="AA1636">
        <f t="shared" si="473"/>
        <v>1148</v>
      </c>
      <c r="AC1636">
        <f t="shared" si="474"/>
        <v>1216</v>
      </c>
    </row>
    <row r="1637" spans="1:29" x14ac:dyDescent="0.2">
      <c r="A1637">
        <v>886</v>
      </c>
      <c r="D1637">
        <f t="shared" si="475"/>
        <v>2</v>
      </c>
      <c r="E1637">
        <v>0</v>
      </c>
      <c r="F1637" s="6" t="s">
        <v>315</v>
      </c>
      <c r="I1637" t="s">
        <v>178</v>
      </c>
      <c r="J1637">
        <v>19</v>
      </c>
      <c r="K1637" t="s">
        <v>489</v>
      </c>
      <c r="L1637" t="s">
        <v>17</v>
      </c>
      <c r="M1637" t="s">
        <v>196</v>
      </c>
      <c r="N1637" t="s">
        <v>97</v>
      </c>
      <c r="Q1637">
        <f t="shared" ref="Q1637:S1637" si="512">Q1636</f>
        <v>18977</v>
      </c>
      <c r="R1637" t="str">
        <f t="shared" si="512"/>
        <v>Velodrome</v>
      </c>
      <c r="S1637" t="str">
        <f t="shared" si="512"/>
        <v>HollowBrook</v>
      </c>
      <c r="T1637" s="20">
        <f t="shared" si="479"/>
        <v>0</v>
      </c>
      <c r="U1637">
        <f t="shared" si="480"/>
        <v>5</v>
      </c>
      <c r="V1637">
        <f t="shared" si="481"/>
        <v>5</v>
      </c>
      <c r="W1637" cm="1">
        <f t="array" ref="W1637">_xlfn._xlws.FILTER(shifts!A:A,(shifts!B:B=events!D1637)*(shifts!AH:AH&gt;=events!U1637)*(shifts!AI:AI&lt;=events!V1637))</f>
        <v>59</v>
      </c>
      <c r="X1637" t="str">
        <f t="shared" si="482"/>
        <v>opp_team_player_1</v>
      </c>
      <c r="Y1637">
        <f>COUNTIFS(A$3:A1637,"="&amp;A1637,K$3:K1637,"="&amp;K1637)</f>
        <v>1</v>
      </c>
      <c r="Z1637" s="20">
        <f>SUMIFS(T$3:T1637,L$3:L1637,"=Intermission")+SUMIFS(T$3:T1637,L$3:L1637,"=Timeout")+SUMIFS(T$3:T1637,L$3:L1637,"=Clockstop")</f>
        <v>68</v>
      </c>
      <c r="AA1637">
        <f t="shared" si="473"/>
        <v>1148</v>
      </c>
      <c r="AC1637">
        <f t="shared" si="474"/>
        <v>1216</v>
      </c>
    </row>
    <row r="1638" spans="1:29" x14ac:dyDescent="0.2">
      <c r="A1638">
        <v>887</v>
      </c>
      <c r="D1638">
        <f t="shared" si="475"/>
        <v>2</v>
      </c>
      <c r="E1638">
        <v>0</v>
      </c>
      <c r="F1638" s="6" t="s">
        <v>315</v>
      </c>
      <c r="I1638" t="s">
        <v>178</v>
      </c>
      <c r="J1638">
        <v>39</v>
      </c>
      <c r="K1638" t="s">
        <v>488</v>
      </c>
      <c r="L1638" t="s">
        <v>270</v>
      </c>
      <c r="M1638" t="s">
        <v>272</v>
      </c>
      <c r="Q1638">
        <f t="shared" ref="Q1638:S1638" si="513">Q1637</f>
        <v>18977</v>
      </c>
      <c r="R1638" t="str">
        <f t="shared" si="513"/>
        <v>Velodrome</v>
      </c>
      <c r="S1638" t="str">
        <f t="shared" si="513"/>
        <v>HollowBrook</v>
      </c>
      <c r="T1638" s="20">
        <f t="shared" si="479"/>
        <v>0</v>
      </c>
      <c r="U1638">
        <f t="shared" si="480"/>
        <v>5</v>
      </c>
      <c r="V1638">
        <f t="shared" si="481"/>
        <v>5</v>
      </c>
      <c r="W1638" cm="1">
        <f t="array" ref="W1638">_xlfn._xlws.FILTER(shifts!A:A,(shifts!B:B=events!D1638)*(shifts!AH:AH&gt;=events!U1638)*(shifts!AI:AI&lt;=events!V1638))</f>
        <v>59</v>
      </c>
      <c r="X1638" t="str">
        <f t="shared" si="482"/>
        <v>event_team_player_1</v>
      </c>
      <c r="Y1638">
        <f>COUNTIFS(A$3:A1638,"="&amp;A1638,K$3:K1638,"="&amp;K1638)</f>
        <v>1</v>
      </c>
      <c r="Z1638" s="20">
        <f>SUMIFS(T$3:T1638,L$3:L1638,"=Intermission")+SUMIFS(T$3:T1638,L$3:L1638,"=Timeout")+SUMIFS(T$3:T1638,L$3:L1638,"=Clockstop")</f>
        <v>68</v>
      </c>
      <c r="AA1638">
        <f t="shared" si="473"/>
        <v>1148</v>
      </c>
      <c r="AC1638">
        <f t="shared" si="474"/>
        <v>1216</v>
      </c>
    </row>
    <row r="1639" spans="1:29" x14ac:dyDescent="0.2">
      <c r="A1639">
        <v>888</v>
      </c>
      <c r="D1639">
        <f t="shared" si="475"/>
        <v>2</v>
      </c>
      <c r="E1639">
        <v>0</v>
      </c>
      <c r="F1639" s="6" t="s">
        <v>311</v>
      </c>
      <c r="G1639">
        <v>0</v>
      </c>
      <c r="H1639" s="8" t="s">
        <v>312</v>
      </c>
      <c r="I1639" t="s">
        <v>179</v>
      </c>
      <c r="J1639">
        <v>13</v>
      </c>
      <c r="K1639" t="s">
        <v>488</v>
      </c>
      <c r="L1639" t="s">
        <v>15</v>
      </c>
      <c r="Q1639">
        <f t="shared" ref="Q1639:S1639" si="514">Q1638</f>
        <v>18977</v>
      </c>
      <c r="R1639" t="str">
        <f t="shared" si="514"/>
        <v>Velodrome</v>
      </c>
      <c r="S1639" t="str">
        <f t="shared" si="514"/>
        <v>HollowBrook</v>
      </c>
      <c r="T1639" s="20">
        <f t="shared" si="479"/>
        <v>2</v>
      </c>
      <c r="U1639">
        <f t="shared" si="480"/>
        <v>3</v>
      </c>
      <c r="V1639">
        <f t="shared" si="481"/>
        <v>1</v>
      </c>
      <c r="W1639" cm="1">
        <f t="array" ref="W1639">_xlfn._xlws.FILTER(shifts!A:A,(shifts!B:B=events!D1639)*(shifts!AH:AH&gt;=events!U1639)*(shifts!AI:AI&lt;=events!V1639))</f>
        <v>59</v>
      </c>
      <c r="X1639" t="str">
        <f t="shared" si="482"/>
        <v>event_team_player_1</v>
      </c>
      <c r="Y1639">
        <f>COUNTIFS(A$3:A1639,"="&amp;A1639,K$3:K1639,"="&amp;K1639)</f>
        <v>1</v>
      </c>
      <c r="Z1639" s="20">
        <f>SUMIFS(T$3:T1639,L$3:L1639,"=Intermission")+SUMIFS(T$3:T1639,L$3:L1639,"=Timeout")+SUMIFS(T$3:T1639,L$3:L1639,"=Clockstop")</f>
        <v>68</v>
      </c>
      <c r="AA1639">
        <f t="shared" si="473"/>
        <v>1148</v>
      </c>
      <c r="AC1639">
        <f t="shared" si="474"/>
        <v>1216</v>
      </c>
    </row>
    <row r="1640" spans="1:29" x14ac:dyDescent="0.2">
      <c r="A1640">
        <v>889</v>
      </c>
      <c r="D1640">
        <f t="shared" si="475"/>
        <v>2</v>
      </c>
      <c r="E1640">
        <v>0</v>
      </c>
      <c r="F1640" s="6" t="s">
        <v>312</v>
      </c>
      <c r="I1640" t="s">
        <v>179</v>
      </c>
      <c r="J1640">
        <v>13</v>
      </c>
      <c r="K1640" t="s">
        <v>488</v>
      </c>
      <c r="L1640" t="s">
        <v>7</v>
      </c>
      <c r="M1640" t="s">
        <v>198</v>
      </c>
      <c r="N1640" t="s">
        <v>53</v>
      </c>
      <c r="Q1640">
        <f t="shared" ref="Q1640:S1640" si="515">Q1639</f>
        <v>18977</v>
      </c>
      <c r="R1640" t="str">
        <f t="shared" si="515"/>
        <v>Velodrome</v>
      </c>
      <c r="S1640" t="str">
        <f t="shared" si="515"/>
        <v>HollowBrook</v>
      </c>
      <c r="T1640" s="20">
        <f t="shared" si="479"/>
        <v>0</v>
      </c>
      <c r="U1640">
        <f t="shared" si="480"/>
        <v>1</v>
      </c>
      <c r="V1640">
        <f t="shared" si="481"/>
        <v>1</v>
      </c>
      <c r="W1640" cm="1">
        <f t="array" ref="W1640">_xlfn._xlws.FILTER(shifts!A:A,(shifts!B:B=events!D1640)*(shifts!AH:AH&gt;=events!U1640)*(shifts!AI:AI&lt;=events!V1640))</f>
        <v>59</v>
      </c>
      <c r="X1640" t="str">
        <f t="shared" si="482"/>
        <v>event_team_player_1</v>
      </c>
      <c r="Y1640">
        <f>COUNTIFS(A$3:A1640,"="&amp;A1640,K$3:K1640,"="&amp;K1640)</f>
        <v>1</v>
      </c>
      <c r="Z1640" s="20">
        <f>SUMIFS(T$3:T1640,L$3:L1640,"=Intermission")+SUMIFS(T$3:T1640,L$3:L1640,"=Timeout")+SUMIFS(T$3:T1640,L$3:L1640,"=Clockstop")</f>
        <v>68</v>
      </c>
      <c r="AA1640">
        <f t="shared" si="473"/>
        <v>1148</v>
      </c>
      <c r="AC1640">
        <f t="shared" si="474"/>
        <v>1216</v>
      </c>
    </row>
    <row r="1641" spans="1:29" x14ac:dyDescent="0.2">
      <c r="A1641">
        <v>890</v>
      </c>
      <c r="D1641">
        <f t="shared" si="475"/>
        <v>2</v>
      </c>
      <c r="E1641">
        <v>0</v>
      </c>
      <c r="F1641" s="6" t="s">
        <v>312</v>
      </c>
      <c r="G1641">
        <v>0</v>
      </c>
      <c r="H1641" s="8" t="s">
        <v>426</v>
      </c>
      <c r="L1641" t="s">
        <v>13</v>
      </c>
      <c r="M1641" t="s">
        <v>194</v>
      </c>
      <c r="N1641" t="s">
        <v>41</v>
      </c>
      <c r="Q1641">
        <f t="shared" ref="Q1641:S1641" si="516">Q1640</f>
        <v>18977</v>
      </c>
      <c r="R1641" t="str">
        <f t="shared" si="516"/>
        <v>Velodrome</v>
      </c>
      <c r="S1641" t="str">
        <f t="shared" si="516"/>
        <v>HollowBrook</v>
      </c>
      <c r="T1641" s="20">
        <f t="shared" si="479"/>
        <v>1</v>
      </c>
      <c r="U1641" s="6">
        <f>(E1641*60)+F1641</f>
        <v>1</v>
      </c>
      <c r="V1641">
        <f t="shared" si="481"/>
        <v>0</v>
      </c>
      <c r="W1641">
        <v>59</v>
      </c>
      <c r="X1641" t="str">
        <f t="shared" si="482"/>
        <v/>
      </c>
      <c r="Y1641">
        <f>COUNTIFS(A$3:A1641,"="&amp;A1641,K$3:K1641,"="&amp;K1641)</f>
        <v>1</v>
      </c>
      <c r="Z1641" s="20">
        <f>SUMIFS(T$3:T1641,L$3:L1641,"=Intermission")+SUMIFS(T$3:T1641,L$3:L1641,"=Timeout")+SUMIFS(T$3:T1641,L$3:L1641,"=Clockstop")</f>
        <v>68</v>
      </c>
      <c r="AA1641">
        <f t="shared" si="473"/>
        <v>1148</v>
      </c>
      <c r="AC1641">
        <f t="shared" si="474"/>
        <v>1216</v>
      </c>
    </row>
    <row r="1642" spans="1:29" x14ac:dyDescent="0.2">
      <c r="A1642">
        <v>891</v>
      </c>
      <c r="D1642">
        <f t="shared" si="475"/>
        <v>3</v>
      </c>
      <c r="E1642">
        <v>38</v>
      </c>
      <c r="F1642" s="6" t="s">
        <v>443</v>
      </c>
      <c r="G1642">
        <v>37</v>
      </c>
      <c r="H1642" s="8" t="s">
        <v>448</v>
      </c>
      <c r="L1642" t="s">
        <v>518</v>
      </c>
      <c r="Q1642">
        <f t="shared" ref="Q1642:S1642" si="517">Q1641</f>
        <v>18977</v>
      </c>
      <c r="R1642" t="str">
        <f t="shared" si="517"/>
        <v>Velodrome</v>
      </c>
      <c r="S1642" t="str">
        <f t="shared" si="517"/>
        <v>HollowBrook</v>
      </c>
      <c r="T1642" s="20">
        <f t="shared" si="479"/>
        <v>70</v>
      </c>
      <c r="U1642">
        <f t="shared" si="480"/>
        <v>2306</v>
      </c>
      <c r="V1642">
        <f t="shared" si="481"/>
        <v>2236</v>
      </c>
      <c r="W1642">
        <v>60</v>
      </c>
      <c r="X1642" t="str">
        <f t="shared" si="482"/>
        <v/>
      </c>
      <c r="Y1642">
        <f>COUNTIFS(A$3:A1642,"="&amp;A1642,K$3:K1642,"="&amp;K1642)</f>
        <v>1</v>
      </c>
      <c r="Z1642" s="20">
        <f>SUMIFS(T$3:T1642,L$3:L1642,"=Intermission")+SUMIFS(T$3:T1642,L$3:L1642,"=Timeout")+SUMIFS(T$3:T1642,L$3:L1642,"=Clockstop")</f>
        <v>138</v>
      </c>
      <c r="AA1642">
        <f t="shared" si="473"/>
        <v>2298</v>
      </c>
      <c r="AC1642">
        <f t="shared" si="474"/>
        <v>2436</v>
      </c>
    </row>
    <row r="1643" spans="1:29" x14ac:dyDescent="0.2">
      <c r="A1643">
        <v>892</v>
      </c>
      <c r="D1643">
        <f t="shared" si="475"/>
        <v>3</v>
      </c>
      <c r="E1643">
        <v>18</v>
      </c>
      <c r="F1643" s="6" t="s">
        <v>426</v>
      </c>
      <c r="I1643" t="s">
        <v>179</v>
      </c>
      <c r="J1643">
        <v>26</v>
      </c>
      <c r="K1643" t="s">
        <v>488</v>
      </c>
      <c r="L1643" t="s">
        <v>6</v>
      </c>
      <c r="M1643" t="s">
        <v>214</v>
      </c>
      <c r="Q1643">
        <f t="shared" ref="Q1643:S1643" si="518">Q1642</f>
        <v>18977</v>
      </c>
      <c r="R1643" t="str">
        <f t="shared" si="518"/>
        <v>Velodrome</v>
      </c>
      <c r="S1643" t="str">
        <f t="shared" si="518"/>
        <v>HollowBrook</v>
      </c>
      <c r="T1643" s="20">
        <f t="shared" si="479"/>
        <v>0</v>
      </c>
      <c r="U1643">
        <f t="shared" si="480"/>
        <v>1080</v>
      </c>
      <c r="V1643">
        <f t="shared" si="481"/>
        <v>1080</v>
      </c>
      <c r="W1643" cm="1">
        <f t="array" ref="W1643">_xlfn._xlws.FILTER(shifts!A:A,(shifts!B:B=events!D1643)*(shifts!AH:AH&gt;=events!U1643)*(shifts!AI:AI&lt;=events!V1643))</f>
        <v>61</v>
      </c>
      <c r="X1643" t="str">
        <f t="shared" si="482"/>
        <v>event_team_player_1</v>
      </c>
      <c r="Y1643">
        <f>COUNTIFS(A$3:A1643,"="&amp;A1643,K$3:K1643,"="&amp;K1643)</f>
        <v>1</v>
      </c>
      <c r="Z1643" s="20">
        <f>SUMIFS(T$3:T1643,L$3:L1643,"=Intermission")+SUMIFS(T$3:T1643,L$3:L1643,"=Timeout")+SUMIFS(T$3:T1643,L$3:L1643,"=Clockstop")</f>
        <v>138</v>
      </c>
      <c r="AA1643">
        <f t="shared" si="473"/>
        <v>2298</v>
      </c>
      <c r="AC1643">
        <f t="shared" si="474"/>
        <v>2436</v>
      </c>
    </row>
    <row r="1644" spans="1:29" x14ac:dyDescent="0.2">
      <c r="A1644">
        <v>892</v>
      </c>
      <c r="D1644">
        <f t="shared" si="475"/>
        <v>3</v>
      </c>
      <c r="E1644">
        <v>18</v>
      </c>
      <c r="F1644" s="6" t="s">
        <v>426</v>
      </c>
      <c r="I1644" t="s">
        <v>179</v>
      </c>
      <c r="J1644">
        <v>27</v>
      </c>
      <c r="K1644" t="s">
        <v>488</v>
      </c>
      <c r="L1644" t="s">
        <v>6</v>
      </c>
      <c r="M1644" t="s">
        <v>214</v>
      </c>
      <c r="Q1644">
        <f t="shared" ref="Q1644:S1644" si="519">Q1643</f>
        <v>18977</v>
      </c>
      <c r="R1644" t="str">
        <f t="shared" si="519"/>
        <v>Velodrome</v>
      </c>
      <c r="S1644" t="str">
        <f t="shared" si="519"/>
        <v>HollowBrook</v>
      </c>
      <c r="T1644" s="20">
        <f t="shared" si="479"/>
        <v>0</v>
      </c>
      <c r="U1644">
        <f t="shared" si="480"/>
        <v>1080</v>
      </c>
      <c r="V1644">
        <f t="shared" si="481"/>
        <v>1080</v>
      </c>
      <c r="W1644" cm="1">
        <f t="array" ref="W1644">_xlfn._xlws.FILTER(shifts!A:A,(shifts!B:B=events!D1644)*(shifts!AH:AH&gt;=events!U1644)*(shifts!AI:AI&lt;=events!V1644))</f>
        <v>61</v>
      </c>
      <c r="X1644" t="str">
        <f t="shared" si="482"/>
        <v>event_team_player_2</v>
      </c>
      <c r="Y1644">
        <f>COUNTIFS(A$3:A1644,"="&amp;A1644,K$3:K1644,"="&amp;K1644)</f>
        <v>2</v>
      </c>
      <c r="Z1644" s="20">
        <f>SUMIFS(T$3:T1644,L$3:L1644,"=Intermission")+SUMIFS(T$3:T1644,L$3:L1644,"=Timeout")+SUMIFS(T$3:T1644,L$3:L1644,"=Clockstop")</f>
        <v>138</v>
      </c>
      <c r="AA1644">
        <f t="shared" si="473"/>
        <v>2298</v>
      </c>
      <c r="AC1644">
        <f t="shared" si="474"/>
        <v>2436</v>
      </c>
    </row>
    <row r="1645" spans="1:29" x14ac:dyDescent="0.2">
      <c r="A1645">
        <v>892</v>
      </c>
      <c r="D1645">
        <f t="shared" si="475"/>
        <v>3</v>
      </c>
      <c r="E1645">
        <v>18</v>
      </c>
      <c r="F1645" s="6" t="s">
        <v>426</v>
      </c>
      <c r="I1645" t="s">
        <v>179</v>
      </c>
      <c r="J1645">
        <v>42</v>
      </c>
      <c r="K1645" t="s">
        <v>489</v>
      </c>
      <c r="L1645" t="s">
        <v>6</v>
      </c>
      <c r="M1645" t="s">
        <v>214</v>
      </c>
      <c r="Q1645">
        <f t="shared" ref="Q1645:S1645" si="520">Q1644</f>
        <v>18977</v>
      </c>
      <c r="R1645" t="str">
        <f t="shared" si="520"/>
        <v>Velodrome</v>
      </c>
      <c r="S1645" t="str">
        <f t="shared" si="520"/>
        <v>HollowBrook</v>
      </c>
      <c r="T1645" s="20">
        <f t="shared" si="479"/>
        <v>0</v>
      </c>
      <c r="U1645">
        <f t="shared" si="480"/>
        <v>1080</v>
      </c>
      <c r="V1645">
        <f t="shared" si="481"/>
        <v>1080</v>
      </c>
      <c r="W1645" cm="1">
        <f t="array" ref="W1645">_xlfn._xlws.FILTER(shifts!A:A,(shifts!B:B=events!D1645)*(shifts!AH:AH&gt;=events!U1645)*(shifts!AI:AI&lt;=events!V1645))</f>
        <v>61</v>
      </c>
      <c r="X1645" t="str">
        <f t="shared" si="482"/>
        <v>opp_team_player_1</v>
      </c>
      <c r="Y1645">
        <f>COUNTIFS(A$3:A1645,"="&amp;A1645,K$3:K1645,"="&amp;K1645)</f>
        <v>1</v>
      </c>
      <c r="Z1645" s="20">
        <f>SUMIFS(T$3:T1645,L$3:L1645,"=Intermission")+SUMIFS(T$3:T1645,L$3:L1645,"=Timeout")+SUMIFS(T$3:T1645,L$3:L1645,"=Clockstop")</f>
        <v>138</v>
      </c>
      <c r="AA1645">
        <f t="shared" si="473"/>
        <v>2298</v>
      </c>
      <c r="AC1645">
        <f t="shared" si="474"/>
        <v>2436</v>
      </c>
    </row>
    <row r="1646" spans="1:29" x14ac:dyDescent="0.2">
      <c r="A1646">
        <v>893</v>
      </c>
      <c r="D1646">
        <f t="shared" si="475"/>
        <v>3</v>
      </c>
      <c r="E1646">
        <v>17</v>
      </c>
      <c r="F1646" s="6" t="s">
        <v>487</v>
      </c>
      <c r="G1646">
        <v>17</v>
      </c>
      <c r="H1646" s="8" t="s">
        <v>421</v>
      </c>
      <c r="I1646" t="s">
        <v>179</v>
      </c>
      <c r="J1646">
        <v>27</v>
      </c>
      <c r="K1646" t="s">
        <v>488</v>
      </c>
      <c r="L1646" t="s">
        <v>15</v>
      </c>
      <c r="Q1646">
        <f t="shared" ref="Q1646:S1646" si="521">Q1645</f>
        <v>18977</v>
      </c>
      <c r="R1646" t="str">
        <f t="shared" si="521"/>
        <v>Velodrome</v>
      </c>
      <c r="S1646" t="str">
        <f t="shared" si="521"/>
        <v>HollowBrook</v>
      </c>
      <c r="T1646" s="20">
        <f t="shared" si="479"/>
        <v>3</v>
      </c>
      <c r="U1646">
        <f t="shared" si="480"/>
        <v>1079</v>
      </c>
      <c r="V1646">
        <f t="shared" si="481"/>
        <v>1076</v>
      </c>
      <c r="W1646" cm="1">
        <f t="array" ref="W1646">_xlfn._xlws.FILTER(shifts!A:A,(shifts!B:B=events!D1646)*(shifts!AH:AH&gt;=events!U1646)*(shifts!AI:AI&lt;=events!V1646))</f>
        <v>61</v>
      </c>
      <c r="X1646" t="str">
        <f t="shared" si="482"/>
        <v>event_team_player_1</v>
      </c>
      <c r="Y1646">
        <f>COUNTIFS(A$3:A1646,"="&amp;A1646,K$3:K1646,"="&amp;K1646)</f>
        <v>1</v>
      </c>
      <c r="Z1646" s="20">
        <f>SUMIFS(T$3:T1646,L$3:L1646,"=Intermission")+SUMIFS(T$3:T1646,L$3:L1646,"=Timeout")+SUMIFS(T$3:T1646,L$3:L1646,"=Clockstop")</f>
        <v>138</v>
      </c>
      <c r="AA1646">
        <f t="shared" si="473"/>
        <v>2298</v>
      </c>
      <c r="AC1646">
        <f t="shared" si="474"/>
        <v>2436</v>
      </c>
    </row>
    <row r="1647" spans="1:29" x14ac:dyDescent="0.2">
      <c r="A1647">
        <v>894</v>
      </c>
      <c r="D1647">
        <f t="shared" si="475"/>
        <v>3</v>
      </c>
      <c r="E1647">
        <v>17</v>
      </c>
      <c r="F1647" s="6" t="s">
        <v>421</v>
      </c>
      <c r="I1647" t="s">
        <v>179</v>
      </c>
      <c r="J1647">
        <v>27</v>
      </c>
      <c r="K1647" t="s">
        <v>488</v>
      </c>
      <c r="L1647" t="s">
        <v>10</v>
      </c>
      <c r="M1647" t="s">
        <v>190</v>
      </c>
      <c r="N1647" t="s">
        <v>75</v>
      </c>
      <c r="Q1647">
        <f t="shared" ref="Q1647:S1647" si="522">Q1646</f>
        <v>18977</v>
      </c>
      <c r="R1647" t="str">
        <f t="shared" si="522"/>
        <v>Velodrome</v>
      </c>
      <c r="S1647" t="str">
        <f t="shared" si="522"/>
        <v>HollowBrook</v>
      </c>
      <c r="T1647" s="20">
        <f t="shared" si="479"/>
        <v>0</v>
      </c>
      <c r="U1647">
        <f t="shared" si="480"/>
        <v>1076</v>
      </c>
      <c r="V1647">
        <f t="shared" si="481"/>
        <v>1076</v>
      </c>
      <c r="W1647" cm="1">
        <f t="array" ref="W1647">_xlfn._xlws.FILTER(shifts!A:A,(shifts!B:B=events!D1647)*(shifts!AH:AH&gt;=events!U1647)*(shifts!AI:AI&lt;=events!V1647))</f>
        <v>61</v>
      </c>
      <c r="X1647" t="str">
        <f t="shared" si="482"/>
        <v>event_team_player_1</v>
      </c>
      <c r="Y1647">
        <f>COUNTIFS(A$3:A1647,"="&amp;A1647,K$3:K1647,"="&amp;K1647)</f>
        <v>1</v>
      </c>
      <c r="Z1647" s="20">
        <f>SUMIFS(T$3:T1647,L$3:L1647,"=Intermission")+SUMIFS(T$3:T1647,L$3:L1647,"=Timeout")+SUMIFS(T$3:T1647,L$3:L1647,"=Clockstop")</f>
        <v>138</v>
      </c>
      <c r="AA1647">
        <f t="shared" si="473"/>
        <v>2298</v>
      </c>
      <c r="AC1647">
        <f t="shared" si="474"/>
        <v>2436</v>
      </c>
    </row>
    <row r="1648" spans="1:29" x14ac:dyDescent="0.2">
      <c r="A1648">
        <v>894</v>
      </c>
      <c r="D1648">
        <f t="shared" si="475"/>
        <v>3</v>
      </c>
      <c r="E1648">
        <v>17</v>
      </c>
      <c r="F1648" s="6" t="s">
        <v>421</v>
      </c>
      <c r="I1648" t="s">
        <v>179</v>
      </c>
      <c r="J1648">
        <v>61</v>
      </c>
      <c r="K1648" t="s">
        <v>489</v>
      </c>
      <c r="L1648" t="s">
        <v>10</v>
      </c>
      <c r="M1648" t="s">
        <v>190</v>
      </c>
      <c r="N1648" t="s">
        <v>75</v>
      </c>
      <c r="Q1648">
        <f t="shared" ref="Q1648:S1648" si="523">Q1647</f>
        <v>18977</v>
      </c>
      <c r="R1648" t="str">
        <f t="shared" si="523"/>
        <v>Velodrome</v>
      </c>
      <c r="S1648" t="str">
        <f t="shared" si="523"/>
        <v>HollowBrook</v>
      </c>
      <c r="T1648" s="20">
        <f t="shared" si="479"/>
        <v>0</v>
      </c>
      <c r="U1648">
        <f t="shared" si="480"/>
        <v>1076</v>
      </c>
      <c r="V1648">
        <f t="shared" si="481"/>
        <v>1076</v>
      </c>
      <c r="W1648" cm="1">
        <f t="array" ref="W1648">_xlfn._xlws.FILTER(shifts!A:A,(shifts!B:B=events!D1648)*(shifts!AH:AH&gt;=events!U1648)*(shifts!AI:AI&lt;=events!V1648))</f>
        <v>61</v>
      </c>
      <c r="X1648" t="str">
        <f t="shared" si="482"/>
        <v>opp_team_player_1</v>
      </c>
      <c r="Y1648">
        <f>COUNTIFS(A$3:A1648,"="&amp;A1648,K$3:K1648,"="&amp;K1648)</f>
        <v>1</v>
      </c>
      <c r="Z1648" s="20">
        <f>SUMIFS(T$3:T1648,L$3:L1648,"=Intermission")+SUMIFS(T$3:T1648,L$3:L1648,"=Timeout")+SUMIFS(T$3:T1648,L$3:L1648,"=Clockstop")</f>
        <v>138</v>
      </c>
      <c r="AA1648">
        <f t="shared" si="473"/>
        <v>2298</v>
      </c>
      <c r="AC1648">
        <f t="shared" si="474"/>
        <v>2436</v>
      </c>
    </row>
    <row r="1649" spans="1:29" x14ac:dyDescent="0.2">
      <c r="A1649">
        <v>895</v>
      </c>
      <c r="D1649">
        <f t="shared" si="475"/>
        <v>3</v>
      </c>
      <c r="E1649">
        <v>17</v>
      </c>
      <c r="F1649" s="6" t="s">
        <v>429</v>
      </c>
      <c r="G1649">
        <v>17</v>
      </c>
      <c r="H1649" s="8" t="s">
        <v>492</v>
      </c>
      <c r="I1649" t="s">
        <v>178</v>
      </c>
      <c r="J1649">
        <v>61</v>
      </c>
      <c r="K1649" t="s">
        <v>488</v>
      </c>
      <c r="L1649" t="s">
        <v>277</v>
      </c>
      <c r="M1649" t="s">
        <v>191</v>
      </c>
      <c r="N1649" t="s">
        <v>87</v>
      </c>
      <c r="Q1649">
        <f t="shared" ref="Q1649:S1649" si="524">Q1648</f>
        <v>18977</v>
      </c>
      <c r="R1649" t="str">
        <f t="shared" si="524"/>
        <v>Velodrome</v>
      </c>
      <c r="S1649" t="str">
        <f t="shared" si="524"/>
        <v>HollowBrook</v>
      </c>
      <c r="T1649" s="20">
        <f t="shared" si="479"/>
        <v>2</v>
      </c>
      <c r="U1649">
        <f t="shared" si="480"/>
        <v>1075</v>
      </c>
      <c r="V1649">
        <f t="shared" si="481"/>
        <v>1073</v>
      </c>
      <c r="W1649" cm="1">
        <f t="array" ref="W1649">_xlfn._xlws.FILTER(shifts!A:A,(shifts!B:B=events!D1649)*(shifts!AH:AH&gt;=events!U1649)*(shifts!AI:AI&lt;=events!V1649))</f>
        <v>61</v>
      </c>
      <c r="X1649" t="str">
        <f t="shared" si="482"/>
        <v>event_team_player_1</v>
      </c>
      <c r="Y1649">
        <f>COUNTIFS(A$3:A1649,"="&amp;A1649,K$3:K1649,"="&amp;K1649)</f>
        <v>1</v>
      </c>
      <c r="Z1649" s="20">
        <f>SUMIFS(T$3:T1649,L$3:L1649,"=Intermission")+SUMIFS(T$3:T1649,L$3:L1649,"=Timeout")+SUMIFS(T$3:T1649,L$3:L1649,"=Clockstop")</f>
        <v>138</v>
      </c>
      <c r="AA1649">
        <f t="shared" si="473"/>
        <v>2298</v>
      </c>
      <c r="AC1649">
        <f t="shared" si="474"/>
        <v>2436</v>
      </c>
    </row>
    <row r="1650" spans="1:29" x14ac:dyDescent="0.2">
      <c r="A1650">
        <v>895</v>
      </c>
      <c r="D1650">
        <f t="shared" si="475"/>
        <v>3</v>
      </c>
      <c r="E1650">
        <v>17</v>
      </c>
      <c r="F1650" s="6" t="s">
        <v>429</v>
      </c>
      <c r="G1650">
        <v>17</v>
      </c>
      <c r="H1650" s="8" t="s">
        <v>492</v>
      </c>
      <c r="I1650" t="s">
        <v>178</v>
      </c>
      <c r="J1650">
        <v>42</v>
      </c>
      <c r="K1650" t="s">
        <v>488</v>
      </c>
      <c r="L1650" t="s">
        <v>277</v>
      </c>
      <c r="M1650" t="s">
        <v>191</v>
      </c>
      <c r="N1650" t="s">
        <v>87</v>
      </c>
      <c r="Q1650">
        <f t="shared" ref="Q1650:S1650" si="525">Q1649</f>
        <v>18977</v>
      </c>
      <c r="R1650" t="str">
        <f t="shared" si="525"/>
        <v>Velodrome</v>
      </c>
      <c r="S1650" t="str">
        <f t="shared" si="525"/>
        <v>HollowBrook</v>
      </c>
      <c r="T1650" s="20">
        <f t="shared" si="479"/>
        <v>2</v>
      </c>
      <c r="U1650">
        <f t="shared" si="480"/>
        <v>1075</v>
      </c>
      <c r="V1650">
        <f t="shared" si="481"/>
        <v>1073</v>
      </c>
      <c r="W1650" cm="1">
        <f t="array" ref="W1650">_xlfn._xlws.FILTER(shifts!A:A,(shifts!B:B=events!D1650)*(shifts!AH:AH&gt;=events!U1650)*(shifts!AI:AI&lt;=events!V1650))</f>
        <v>61</v>
      </c>
      <c r="X1650" t="str">
        <f t="shared" si="482"/>
        <v>event_team_player_2</v>
      </c>
      <c r="Y1650">
        <f>COUNTIFS(A$3:A1650,"="&amp;A1650,K$3:K1650,"="&amp;K1650)</f>
        <v>2</v>
      </c>
      <c r="Z1650" s="20">
        <f>SUMIFS(T$3:T1650,L$3:L1650,"=Intermission")+SUMIFS(T$3:T1650,L$3:L1650,"=Timeout")+SUMIFS(T$3:T1650,L$3:L1650,"=Clockstop")</f>
        <v>138</v>
      </c>
      <c r="AA1650">
        <f t="shared" si="473"/>
        <v>2298</v>
      </c>
      <c r="AC1650">
        <f t="shared" si="474"/>
        <v>2436</v>
      </c>
    </row>
    <row r="1651" spans="1:29" x14ac:dyDescent="0.2">
      <c r="A1651">
        <v>895</v>
      </c>
      <c r="D1651">
        <f t="shared" si="475"/>
        <v>3</v>
      </c>
      <c r="E1651">
        <v>17</v>
      </c>
      <c r="F1651" s="6" t="s">
        <v>429</v>
      </c>
      <c r="G1651">
        <v>17</v>
      </c>
      <c r="H1651" s="8" t="s">
        <v>492</v>
      </c>
      <c r="I1651" t="s">
        <v>178</v>
      </c>
      <c r="J1651">
        <v>27</v>
      </c>
      <c r="K1651" t="s">
        <v>489</v>
      </c>
      <c r="L1651" t="s">
        <v>277</v>
      </c>
      <c r="M1651" t="s">
        <v>191</v>
      </c>
      <c r="N1651" t="s">
        <v>87</v>
      </c>
      <c r="Q1651">
        <f t="shared" ref="Q1651:S1651" si="526">Q1650</f>
        <v>18977</v>
      </c>
      <c r="R1651" t="str">
        <f t="shared" si="526"/>
        <v>Velodrome</v>
      </c>
      <c r="S1651" t="str">
        <f t="shared" si="526"/>
        <v>HollowBrook</v>
      </c>
      <c r="T1651" s="20">
        <f t="shared" si="479"/>
        <v>2</v>
      </c>
      <c r="U1651">
        <f t="shared" si="480"/>
        <v>1075</v>
      </c>
      <c r="V1651">
        <f t="shared" si="481"/>
        <v>1073</v>
      </c>
      <c r="W1651" cm="1">
        <f t="array" ref="W1651">_xlfn._xlws.FILTER(shifts!A:A,(shifts!B:B=events!D1651)*(shifts!AH:AH&gt;=events!U1651)*(shifts!AI:AI&lt;=events!V1651))</f>
        <v>61</v>
      </c>
      <c r="X1651" t="str">
        <f t="shared" si="482"/>
        <v>opp_team_player_1</v>
      </c>
      <c r="Y1651">
        <f>COUNTIFS(A$3:A1651,"="&amp;A1651,K$3:K1651,"="&amp;K1651)</f>
        <v>1</v>
      </c>
      <c r="Z1651" s="20">
        <f>SUMIFS(T$3:T1651,L$3:L1651,"=Intermission")+SUMIFS(T$3:T1651,L$3:L1651,"=Timeout")+SUMIFS(T$3:T1651,L$3:L1651,"=Clockstop")</f>
        <v>138</v>
      </c>
      <c r="AA1651">
        <f t="shared" si="473"/>
        <v>2298</v>
      </c>
      <c r="AC1651">
        <f t="shared" si="474"/>
        <v>2436</v>
      </c>
    </row>
    <row r="1652" spans="1:29" x14ac:dyDescent="0.2">
      <c r="A1652">
        <v>896</v>
      </c>
      <c r="D1652">
        <f t="shared" si="475"/>
        <v>3</v>
      </c>
      <c r="E1652">
        <v>17</v>
      </c>
      <c r="F1652" s="6" t="s">
        <v>492</v>
      </c>
      <c r="I1652" t="s">
        <v>178</v>
      </c>
      <c r="J1652">
        <v>61</v>
      </c>
      <c r="K1652" t="s">
        <v>488</v>
      </c>
      <c r="L1652" t="s">
        <v>8</v>
      </c>
      <c r="M1652" t="s">
        <v>189</v>
      </c>
      <c r="N1652" t="s">
        <v>70</v>
      </c>
      <c r="Q1652">
        <f t="shared" ref="Q1652:S1652" si="527">Q1651</f>
        <v>18977</v>
      </c>
      <c r="R1652" t="str">
        <f t="shared" si="527"/>
        <v>Velodrome</v>
      </c>
      <c r="S1652" t="str">
        <f t="shared" si="527"/>
        <v>HollowBrook</v>
      </c>
      <c r="T1652" s="20">
        <f t="shared" si="479"/>
        <v>0</v>
      </c>
      <c r="U1652">
        <f t="shared" si="480"/>
        <v>1073</v>
      </c>
      <c r="V1652">
        <f t="shared" si="481"/>
        <v>1073</v>
      </c>
      <c r="W1652" cm="1">
        <f t="array" ref="W1652">_xlfn._xlws.FILTER(shifts!A:A,(shifts!B:B=events!D1652)*(shifts!AH:AH&gt;=events!U1652)*(shifts!AI:AI&lt;=events!V1652))</f>
        <v>61</v>
      </c>
      <c r="X1652" t="str">
        <f t="shared" si="482"/>
        <v>event_team_player_1</v>
      </c>
      <c r="Y1652">
        <f>COUNTIFS(A$3:A1652,"="&amp;A1652,K$3:K1652,"="&amp;K1652)</f>
        <v>1</v>
      </c>
      <c r="Z1652" s="20">
        <f>SUMIFS(T$3:T1652,L$3:L1652,"=Intermission")+SUMIFS(T$3:T1652,L$3:L1652,"=Timeout")+SUMIFS(T$3:T1652,L$3:L1652,"=Clockstop")</f>
        <v>138</v>
      </c>
      <c r="AA1652">
        <f t="shared" si="473"/>
        <v>2298</v>
      </c>
      <c r="AC1652">
        <f t="shared" si="474"/>
        <v>2436</v>
      </c>
    </row>
    <row r="1653" spans="1:29" x14ac:dyDescent="0.2">
      <c r="A1653">
        <v>896</v>
      </c>
      <c r="D1653">
        <f t="shared" si="475"/>
        <v>3</v>
      </c>
      <c r="E1653">
        <v>17</v>
      </c>
      <c r="F1653" s="6" t="s">
        <v>492</v>
      </c>
      <c r="I1653" t="s">
        <v>178</v>
      </c>
      <c r="J1653">
        <v>42</v>
      </c>
      <c r="K1653" t="s">
        <v>488</v>
      </c>
      <c r="L1653" t="s">
        <v>8</v>
      </c>
      <c r="M1653" t="s">
        <v>189</v>
      </c>
      <c r="N1653" t="s">
        <v>70</v>
      </c>
      <c r="Q1653">
        <f t="shared" ref="Q1653:S1653" si="528">Q1652</f>
        <v>18977</v>
      </c>
      <c r="R1653" t="str">
        <f t="shared" si="528"/>
        <v>Velodrome</v>
      </c>
      <c r="S1653" t="str">
        <f t="shared" si="528"/>
        <v>HollowBrook</v>
      </c>
      <c r="T1653" s="20">
        <f t="shared" si="479"/>
        <v>0</v>
      </c>
      <c r="U1653">
        <f t="shared" si="480"/>
        <v>1073</v>
      </c>
      <c r="V1653">
        <f t="shared" si="481"/>
        <v>1073</v>
      </c>
      <c r="W1653" cm="1">
        <f t="array" ref="W1653">_xlfn._xlws.FILTER(shifts!A:A,(shifts!B:B=events!D1653)*(shifts!AH:AH&gt;=events!U1653)*(shifts!AI:AI&lt;=events!V1653))</f>
        <v>61</v>
      </c>
      <c r="X1653" t="str">
        <f t="shared" si="482"/>
        <v>event_team_player_2</v>
      </c>
      <c r="Y1653">
        <f>COUNTIFS(A$3:A1653,"="&amp;A1653,K$3:K1653,"="&amp;K1653)</f>
        <v>2</v>
      </c>
      <c r="Z1653" s="20">
        <f>SUMIFS(T$3:T1653,L$3:L1653,"=Intermission")+SUMIFS(T$3:T1653,L$3:L1653,"=Timeout")+SUMIFS(T$3:T1653,L$3:L1653,"=Clockstop")</f>
        <v>138</v>
      </c>
      <c r="AA1653">
        <f t="shared" si="473"/>
        <v>2298</v>
      </c>
      <c r="AC1653">
        <f t="shared" si="474"/>
        <v>2436</v>
      </c>
    </row>
    <row r="1654" spans="1:29" x14ac:dyDescent="0.2">
      <c r="A1654">
        <v>897</v>
      </c>
      <c r="D1654">
        <f t="shared" si="475"/>
        <v>3</v>
      </c>
      <c r="E1654">
        <v>17</v>
      </c>
      <c r="F1654" s="6" t="s">
        <v>492</v>
      </c>
      <c r="G1654">
        <v>17</v>
      </c>
      <c r="H1654" s="8" t="s">
        <v>477</v>
      </c>
      <c r="I1654" t="s">
        <v>178</v>
      </c>
      <c r="J1654">
        <v>42</v>
      </c>
      <c r="K1654" t="s">
        <v>488</v>
      </c>
      <c r="L1654" t="s">
        <v>15</v>
      </c>
      <c r="Q1654">
        <f t="shared" ref="Q1654:S1654" si="529">Q1653</f>
        <v>18977</v>
      </c>
      <c r="R1654" t="str">
        <f t="shared" si="529"/>
        <v>Velodrome</v>
      </c>
      <c r="S1654" t="str">
        <f t="shared" si="529"/>
        <v>HollowBrook</v>
      </c>
      <c r="T1654" s="20">
        <f t="shared" si="479"/>
        <v>2</v>
      </c>
      <c r="U1654">
        <f t="shared" si="480"/>
        <v>1073</v>
      </c>
      <c r="V1654">
        <f t="shared" si="481"/>
        <v>1071</v>
      </c>
      <c r="W1654" cm="1">
        <f t="array" ref="W1654">_xlfn._xlws.FILTER(shifts!A:A,(shifts!B:B=events!D1654)*(shifts!AH:AH&gt;=events!U1654)*(shifts!AI:AI&lt;=events!V1654))</f>
        <v>61</v>
      </c>
      <c r="X1654" t="str">
        <f t="shared" si="482"/>
        <v>event_team_player_1</v>
      </c>
      <c r="Y1654">
        <f>COUNTIFS(A$3:A1654,"="&amp;A1654,K$3:K1654,"="&amp;K1654)</f>
        <v>1</v>
      </c>
      <c r="Z1654" s="20">
        <f>SUMIFS(T$3:T1654,L$3:L1654,"=Intermission")+SUMIFS(T$3:T1654,L$3:L1654,"=Timeout")+SUMIFS(T$3:T1654,L$3:L1654,"=Clockstop")</f>
        <v>138</v>
      </c>
      <c r="AA1654">
        <f t="shared" si="473"/>
        <v>2298</v>
      </c>
      <c r="AC1654">
        <f t="shared" si="474"/>
        <v>2436</v>
      </c>
    </row>
    <row r="1655" spans="1:29" x14ac:dyDescent="0.2">
      <c r="A1655">
        <v>898</v>
      </c>
      <c r="D1655">
        <f t="shared" si="475"/>
        <v>3</v>
      </c>
      <c r="E1655">
        <v>17</v>
      </c>
      <c r="F1655" s="6" t="s">
        <v>477</v>
      </c>
      <c r="I1655" t="s">
        <v>178</v>
      </c>
      <c r="J1655">
        <v>42</v>
      </c>
      <c r="K1655" t="s">
        <v>488</v>
      </c>
      <c r="L1655" t="s">
        <v>7</v>
      </c>
      <c r="M1655" t="s">
        <v>208</v>
      </c>
      <c r="N1655" t="s">
        <v>53</v>
      </c>
      <c r="Q1655">
        <f t="shared" ref="Q1655:S1655" si="530">Q1654</f>
        <v>18977</v>
      </c>
      <c r="R1655" t="str">
        <f t="shared" si="530"/>
        <v>Velodrome</v>
      </c>
      <c r="S1655" t="str">
        <f t="shared" si="530"/>
        <v>HollowBrook</v>
      </c>
      <c r="T1655" s="20">
        <f t="shared" si="479"/>
        <v>0</v>
      </c>
      <c r="U1655">
        <f t="shared" si="480"/>
        <v>1071</v>
      </c>
      <c r="V1655">
        <f t="shared" si="481"/>
        <v>1071</v>
      </c>
      <c r="W1655" cm="1">
        <f t="array" ref="W1655">_xlfn._xlws.FILTER(shifts!A:A,(shifts!B:B=events!D1655)*(shifts!AH:AH&gt;=events!U1655)*(shifts!AI:AI&lt;=events!V1655))</f>
        <v>61</v>
      </c>
      <c r="X1655" t="str">
        <f t="shared" si="482"/>
        <v>event_team_player_1</v>
      </c>
      <c r="Y1655">
        <f>COUNTIFS(A$3:A1655,"="&amp;A1655,K$3:K1655,"="&amp;K1655)</f>
        <v>1</v>
      </c>
      <c r="Z1655" s="20">
        <f>SUMIFS(T$3:T1655,L$3:L1655,"=Intermission")+SUMIFS(T$3:T1655,L$3:L1655,"=Timeout")+SUMIFS(T$3:T1655,L$3:L1655,"=Clockstop")</f>
        <v>138</v>
      </c>
      <c r="AA1655">
        <f t="shared" si="473"/>
        <v>2298</v>
      </c>
      <c r="AC1655">
        <f t="shared" si="474"/>
        <v>2436</v>
      </c>
    </row>
    <row r="1656" spans="1:29" x14ac:dyDescent="0.2">
      <c r="A1656">
        <v>898</v>
      </c>
      <c r="D1656">
        <f t="shared" si="475"/>
        <v>3</v>
      </c>
      <c r="E1656">
        <v>17</v>
      </c>
      <c r="F1656" s="6" t="s">
        <v>477</v>
      </c>
      <c r="I1656" t="s">
        <v>178</v>
      </c>
      <c r="J1656">
        <v>26</v>
      </c>
      <c r="K1656" t="s">
        <v>489</v>
      </c>
      <c r="L1656" t="s">
        <v>7</v>
      </c>
      <c r="M1656" t="s">
        <v>208</v>
      </c>
      <c r="N1656" t="s">
        <v>53</v>
      </c>
      <c r="Q1656">
        <f t="shared" ref="Q1656:S1656" si="531">Q1655</f>
        <v>18977</v>
      </c>
      <c r="R1656" t="str">
        <f t="shared" si="531"/>
        <v>Velodrome</v>
      </c>
      <c r="S1656" t="str">
        <f t="shared" si="531"/>
        <v>HollowBrook</v>
      </c>
      <c r="T1656" s="20">
        <f t="shared" si="479"/>
        <v>0</v>
      </c>
      <c r="U1656">
        <f t="shared" si="480"/>
        <v>1071</v>
      </c>
      <c r="V1656">
        <f t="shared" si="481"/>
        <v>1071</v>
      </c>
      <c r="W1656" cm="1">
        <f t="array" ref="W1656">_xlfn._xlws.FILTER(shifts!A:A,(shifts!B:B=events!D1656)*(shifts!AH:AH&gt;=events!U1656)*(shifts!AI:AI&lt;=events!V1656))</f>
        <v>61</v>
      </c>
      <c r="X1656" t="str">
        <f t="shared" si="482"/>
        <v>opp_team_player_1</v>
      </c>
      <c r="Y1656">
        <f>COUNTIFS(A$3:A1656,"="&amp;A1656,K$3:K1656,"="&amp;K1656)</f>
        <v>1</v>
      </c>
      <c r="Z1656" s="20">
        <f>SUMIFS(T$3:T1656,L$3:L1656,"=Intermission")+SUMIFS(T$3:T1656,L$3:L1656,"=Timeout")+SUMIFS(T$3:T1656,L$3:L1656,"=Clockstop")</f>
        <v>138</v>
      </c>
      <c r="AA1656">
        <f t="shared" si="473"/>
        <v>2298</v>
      </c>
      <c r="AC1656">
        <f t="shared" si="474"/>
        <v>2436</v>
      </c>
    </row>
    <row r="1657" spans="1:29" x14ac:dyDescent="0.2">
      <c r="A1657">
        <v>899</v>
      </c>
      <c r="D1657">
        <f t="shared" si="475"/>
        <v>3</v>
      </c>
      <c r="E1657">
        <v>17</v>
      </c>
      <c r="F1657" s="6" t="s">
        <v>428</v>
      </c>
      <c r="I1657" t="s">
        <v>178</v>
      </c>
      <c r="J1657">
        <v>42</v>
      </c>
      <c r="K1657" t="s">
        <v>488</v>
      </c>
      <c r="L1657" t="s">
        <v>10</v>
      </c>
      <c r="M1657" t="s">
        <v>190</v>
      </c>
      <c r="N1657" t="s">
        <v>78</v>
      </c>
      <c r="Q1657">
        <f t="shared" ref="Q1657:S1657" si="532">Q1656</f>
        <v>18977</v>
      </c>
      <c r="R1657" t="str">
        <f t="shared" si="532"/>
        <v>Velodrome</v>
      </c>
      <c r="S1657" t="str">
        <f t="shared" si="532"/>
        <v>HollowBrook</v>
      </c>
      <c r="T1657" s="20">
        <f t="shared" si="479"/>
        <v>0</v>
      </c>
      <c r="U1657">
        <f t="shared" si="480"/>
        <v>1072</v>
      </c>
      <c r="V1657">
        <f t="shared" si="481"/>
        <v>1072</v>
      </c>
      <c r="W1657" cm="1">
        <f t="array" ref="W1657">_xlfn._xlws.FILTER(shifts!A:A,(shifts!B:B=events!D1657)*(shifts!AH:AH&gt;=events!U1657)*(shifts!AI:AI&lt;=events!V1657))</f>
        <v>61</v>
      </c>
      <c r="X1657" t="str">
        <f t="shared" si="482"/>
        <v>event_team_player_1</v>
      </c>
      <c r="Y1657">
        <f>COUNTIFS(A$3:A1657,"="&amp;A1657,K$3:K1657,"="&amp;K1657)</f>
        <v>1</v>
      </c>
      <c r="Z1657" s="20">
        <f>SUMIFS(T$3:T1657,L$3:L1657,"=Intermission")+SUMIFS(T$3:T1657,L$3:L1657,"=Timeout")+SUMIFS(T$3:T1657,L$3:L1657,"=Clockstop")</f>
        <v>138</v>
      </c>
      <c r="AA1657">
        <f t="shared" si="473"/>
        <v>2298</v>
      </c>
      <c r="AC1657">
        <f t="shared" si="474"/>
        <v>2436</v>
      </c>
    </row>
    <row r="1658" spans="1:29" x14ac:dyDescent="0.2">
      <c r="A1658">
        <v>899</v>
      </c>
      <c r="D1658">
        <f t="shared" si="475"/>
        <v>3</v>
      </c>
      <c r="E1658">
        <v>17</v>
      </c>
      <c r="F1658" s="6" t="s">
        <v>428</v>
      </c>
      <c r="I1658" t="s">
        <v>178</v>
      </c>
      <c r="J1658">
        <v>26</v>
      </c>
      <c r="K1658" t="s">
        <v>489</v>
      </c>
      <c r="L1658" t="s">
        <v>10</v>
      </c>
      <c r="M1658" t="s">
        <v>190</v>
      </c>
      <c r="N1658" t="s">
        <v>78</v>
      </c>
      <c r="Q1658">
        <f t="shared" ref="Q1658:S1658" si="533">Q1657</f>
        <v>18977</v>
      </c>
      <c r="R1658" t="str">
        <f t="shared" si="533"/>
        <v>Velodrome</v>
      </c>
      <c r="S1658" t="str">
        <f t="shared" si="533"/>
        <v>HollowBrook</v>
      </c>
      <c r="T1658" s="20">
        <f t="shared" si="479"/>
        <v>0</v>
      </c>
      <c r="U1658">
        <f t="shared" si="480"/>
        <v>1072</v>
      </c>
      <c r="V1658">
        <f t="shared" si="481"/>
        <v>1072</v>
      </c>
      <c r="W1658" cm="1">
        <f t="array" ref="W1658">_xlfn._xlws.FILTER(shifts!A:A,(shifts!B:B=events!D1658)*(shifts!AH:AH&gt;=events!U1658)*(shifts!AI:AI&lt;=events!V1658))</f>
        <v>61</v>
      </c>
      <c r="X1658" t="str">
        <f t="shared" si="482"/>
        <v>opp_team_player_1</v>
      </c>
      <c r="Y1658">
        <f>COUNTIFS(A$3:A1658,"="&amp;A1658,K$3:K1658,"="&amp;K1658)</f>
        <v>1</v>
      </c>
      <c r="Z1658" s="20">
        <f>SUMIFS(T$3:T1658,L$3:L1658,"=Intermission")+SUMIFS(T$3:T1658,L$3:L1658,"=Timeout")+SUMIFS(T$3:T1658,L$3:L1658,"=Clockstop")</f>
        <v>138</v>
      </c>
      <c r="AA1658">
        <f t="shared" si="473"/>
        <v>2298</v>
      </c>
      <c r="AC1658">
        <f t="shared" si="474"/>
        <v>2436</v>
      </c>
    </row>
    <row r="1659" spans="1:29" x14ac:dyDescent="0.2">
      <c r="A1659">
        <v>900</v>
      </c>
      <c r="D1659">
        <f t="shared" si="475"/>
        <v>3</v>
      </c>
      <c r="E1659">
        <v>17</v>
      </c>
      <c r="F1659" s="6" t="s">
        <v>432</v>
      </c>
      <c r="I1659" t="s">
        <v>179</v>
      </c>
      <c r="J1659">
        <v>26</v>
      </c>
      <c r="K1659" t="s">
        <v>488</v>
      </c>
      <c r="L1659" t="s">
        <v>10</v>
      </c>
      <c r="M1659" t="s">
        <v>190</v>
      </c>
      <c r="N1659" t="s">
        <v>479</v>
      </c>
      <c r="Q1659">
        <f t="shared" ref="Q1659:S1659" si="534">Q1658</f>
        <v>18977</v>
      </c>
      <c r="R1659" t="str">
        <f t="shared" si="534"/>
        <v>Velodrome</v>
      </c>
      <c r="S1659" t="str">
        <f t="shared" si="534"/>
        <v>HollowBrook</v>
      </c>
      <c r="T1659" s="20">
        <f t="shared" si="479"/>
        <v>0</v>
      </c>
      <c r="U1659">
        <f t="shared" si="480"/>
        <v>1070</v>
      </c>
      <c r="V1659">
        <f t="shared" si="481"/>
        <v>1070</v>
      </c>
      <c r="W1659" cm="1">
        <f t="array" ref="W1659">_xlfn._xlws.FILTER(shifts!A:A,(shifts!B:B=events!D1659)*(shifts!AH:AH&gt;=events!U1659)*(shifts!AI:AI&lt;=events!V1659))</f>
        <v>61</v>
      </c>
      <c r="X1659" t="str">
        <f t="shared" si="482"/>
        <v>event_team_player_1</v>
      </c>
      <c r="Y1659">
        <f>COUNTIFS(A$3:A1659,"="&amp;A1659,K$3:K1659,"="&amp;K1659)</f>
        <v>1</v>
      </c>
      <c r="Z1659" s="20">
        <f>SUMIFS(T$3:T1659,L$3:L1659,"=Intermission")+SUMIFS(T$3:T1659,L$3:L1659,"=Timeout")+SUMIFS(T$3:T1659,L$3:L1659,"=Clockstop")</f>
        <v>138</v>
      </c>
      <c r="AA1659">
        <f t="shared" si="473"/>
        <v>2298</v>
      </c>
      <c r="AC1659">
        <f t="shared" si="474"/>
        <v>2436</v>
      </c>
    </row>
    <row r="1660" spans="1:29" x14ac:dyDescent="0.2">
      <c r="A1660">
        <v>901</v>
      </c>
      <c r="D1660">
        <f t="shared" si="475"/>
        <v>3</v>
      </c>
      <c r="E1660">
        <v>17</v>
      </c>
      <c r="F1660" s="6" t="s">
        <v>451</v>
      </c>
      <c r="I1660" t="s">
        <v>178</v>
      </c>
      <c r="J1660">
        <v>84</v>
      </c>
      <c r="K1660" t="s">
        <v>488</v>
      </c>
      <c r="L1660" t="s">
        <v>277</v>
      </c>
      <c r="M1660" t="s">
        <v>210</v>
      </c>
      <c r="N1660" t="s">
        <v>93</v>
      </c>
      <c r="Q1660">
        <f t="shared" ref="Q1660:S1660" si="535">Q1659</f>
        <v>18977</v>
      </c>
      <c r="R1660" t="str">
        <f t="shared" si="535"/>
        <v>Velodrome</v>
      </c>
      <c r="S1660" t="str">
        <f t="shared" si="535"/>
        <v>HollowBrook</v>
      </c>
      <c r="T1660" s="20">
        <f t="shared" si="479"/>
        <v>0</v>
      </c>
      <c r="U1660">
        <f t="shared" si="480"/>
        <v>1068</v>
      </c>
      <c r="V1660">
        <f t="shared" si="481"/>
        <v>1068</v>
      </c>
      <c r="W1660" cm="1">
        <f t="array" ref="W1660">_xlfn._xlws.FILTER(shifts!A:A,(shifts!B:B=events!D1660)*(shifts!AH:AH&gt;=events!U1660)*(shifts!AI:AI&lt;=events!V1660))</f>
        <v>61</v>
      </c>
      <c r="X1660" t="str">
        <f t="shared" si="482"/>
        <v>event_team_player_1</v>
      </c>
      <c r="Y1660">
        <f>COUNTIFS(A$3:A1660,"="&amp;A1660,K$3:K1660,"="&amp;K1660)</f>
        <v>1</v>
      </c>
      <c r="Z1660" s="20">
        <f>SUMIFS(T$3:T1660,L$3:L1660,"=Intermission")+SUMIFS(T$3:T1660,L$3:L1660,"=Timeout")+SUMIFS(T$3:T1660,L$3:L1660,"=Clockstop")</f>
        <v>138</v>
      </c>
      <c r="AA1660">
        <f t="shared" si="473"/>
        <v>2298</v>
      </c>
      <c r="AC1660">
        <f t="shared" si="474"/>
        <v>2436</v>
      </c>
    </row>
    <row r="1661" spans="1:29" x14ac:dyDescent="0.2">
      <c r="A1661">
        <v>901</v>
      </c>
      <c r="D1661">
        <f t="shared" si="475"/>
        <v>3</v>
      </c>
      <c r="E1661">
        <v>17</v>
      </c>
      <c r="F1661" s="6" t="s">
        <v>451</v>
      </c>
      <c r="I1661" t="s">
        <v>178</v>
      </c>
      <c r="J1661">
        <v>22</v>
      </c>
      <c r="K1661" t="s">
        <v>489</v>
      </c>
      <c r="L1661" t="s">
        <v>277</v>
      </c>
      <c r="M1661" t="s">
        <v>210</v>
      </c>
      <c r="N1661" t="s">
        <v>93</v>
      </c>
      <c r="Q1661">
        <f t="shared" ref="Q1661:S1661" si="536">Q1660</f>
        <v>18977</v>
      </c>
      <c r="R1661" t="str">
        <f t="shared" si="536"/>
        <v>Velodrome</v>
      </c>
      <c r="S1661" t="str">
        <f t="shared" si="536"/>
        <v>HollowBrook</v>
      </c>
      <c r="T1661" s="20">
        <f t="shared" si="479"/>
        <v>0</v>
      </c>
      <c r="U1661">
        <f t="shared" si="480"/>
        <v>1068</v>
      </c>
      <c r="V1661">
        <f t="shared" si="481"/>
        <v>1068</v>
      </c>
      <c r="W1661" cm="1">
        <f t="array" ref="W1661">_xlfn._xlws.FILTER(shifts!A:A,(shifts!B:B=events!D1661)*(shifts!AH:AH&gt;=events!U1661)*(shifts!AI:AI&lt;=events!V1661))</f>
        <v>61</v>
      </c>
      <c r="X1661" t="str">
        <f t="shared" si="482"/>
        <v>opp_team_player_1</v>
      </c>
      <c r="Y1661">
        <f>COUNTIFS(A$3:A1661,"="&amp;A1661,K$3:K1661,"="&amp;K1661)</f>
        <v>1</v>
      </c>
      <c r="Z1661" s="20">
        <f>SUMIFS(T$3:T1661,L$3:L1661,"=Intermission")+SUMIFS(T$3:T1661,L$3:L1661,"=Timeout")+SUMIFS(T$3:T1661,L$3:L1661,"=Clockstop")</f>
        <v>138</v>
      </c>
      <c r="AA1661">
        <f t="shared" si="473"/>
        <v>2298</v>
      </c>
      <c r="AC1661">
        <f t="shared" si="474"/>
        <v>2436</v>
      </c>
    </row>
    <row r="1662" spans="1:29" x14ac:dyDescent="0.2">
      <c r="A1662">
        <v>902</v>
      </c>
      <c r="D1662">
        <f t="shared" si="475"/>
        <v>3</v>
      </c>
      <c r="E1662">
        <v>17</v>
      </c>
      <c r="F1662" s="6" t="s">
        <v>478</v>
      </c>
      <c r="G1662">
        <v>17</v>
      </c>
      <c r="H1662" s="8" t="s">
        <v>435</v>
      </c>
      <c r="I1662" t="s">
        <v>178</v>
      </c>
      <c r="J1662">
        <v>42</v>
      </c>
      <c r="K1662" t="s">
        <v>488</v>
      </c>
      <c r="L1662" t="s">
        <v>15</v>
      </c>
      <c r="Q1662">
        <f t="shared" ref="Q1662:S1662" si="537">Q1661</f>
        <v>18977</v>
      </c>
      <c r="R1662" t="str">
        <f t="shared" si="537"/>
        <v>Velodrome</v>
      </c>
      <c r="S1662" t="str">
        <f t="shared" si="537"/>
        <v>HollowBrook</v>
      </c>
      <c r="T1662" s="20">
        <f t="shared" si="479"/>
        <v>2</v>
      </c>
      <c r="U1662">
        <f t="shared" si="480"/>
        <v>1066</v>
      </c>
      <c r="V1662">
        <f t="shared" si="481"/>
        <v>1064</v>
      </c>
      <c r="W1662" cm="1">
        <f t="array" ref="W1662">_xlfn._xlws.FILTER(shifts!A:A,(shifts!B:B=events!D1662)*(shifts!AH:AH&gt;=events!U1662)*(shifts!AI:AI&lt;=events!V1662))</f>
        <v>61</v>
      </c>
      <c r="X1662" t="str">
        <f t="shared" si="482"/>
        <v>event_team_player_1</v>
      </c>
      <c r="Y1662">
        <f>COUNTIFS(A$3:A1662,"="&amp;A1662,K$3:K1662,"="&amp;K1662)</f>
        <v>1</v>
      </c>
      <c r="Z1662" s="20">
        <f>SUMIFS(T$3:T1662,L$3:L1662,"=Intermission")+SUMIFS(T$3:T1662,L$3:L1662,"=Timeout")+SUMIFS(T$3:T1662,L$3:L1662,"=Clockstop")</f>
        <v>138</v>
      </c>
      <c r="AA1662">
        <f t="shared" si="473"/>
        <v>2298</v>
      </c>
      <c r="AC1662">
        <f t="shared" si="474"/>
        <v>2436</v>
      </c>
    </row>
    <row r="1663" spans="1:29" x14ac:dyDescent="0.2">
      <c r="A1663">
        <v>903</v>
      </c>
      <c r="D1663">
        <f t="shared" si="475"/>
        <v>3</v>
      </c>
      <c r="E1663">
        <v>17</v>
      </c>
      <c r="F1663" s="6" t="s">
        <v>435</v>
      </c>
      <c r="I1663" t="s">
        <v>178</v>
      </c>
      <c r="J1663">
        <v>42</v>
      </c>
      <c r="K1663" t="s">
        <v>488</v>
      </c>
      <c r="L1663" t="s">
        <v>8</v>
      </c>
      <c r="M1663" t="s">
        <v>189</v>
      </c>
      <c r="N1663" t="s">
        <v>70</v>
      </c>
      <c r="Q1663">
        <f t="shared" ref="Q1663:S1663" si="538">Q1662</f>
        <v>18977</v>
      </c>
      <c r="R1663" t="str">
        <f t="shared" si="538"/>
        <v>Velodrome</v>
      </c>
      <c r="S1663" t="str">
        <f t="shared" si="538"/>
        <v>HollowBrook</v>
      </c>
      <c r="T1663" s="20">
        <f t="shared" si="479"/>
        <v>0</v>
      </c>
      <c r="U1663">
        <f t="shared" si="480"/>
        <v>1064</v>
      </c>
      <c r="V1663">
        <f t="shared" si="481"/>
        <v>1064</v>
      </c>
      <c r="W1663" cm="1">
        <f t="array" ref="W1663">_xlfn._xlws.FILTER(shifts!A:A,(shifts!B:B=events!D1663)*(shifts!AH:AH&gt;=events!U1663)*(shifts!AI:AI&lt;=events!V1663))</f>
        <v>61</v>
      </c>
      <c r="X1663" t="str">
        <f t="shared" si="482"/>
        <v>event_team_player_1</v>
      </c>
      <c r="Y1663">
        <f>COUNTIFS(A$3:A1663,"="&amp;A1663,K$3:K1663,"="&amp;K1663)</f>
        <v>1</v>
      </c>
      <c r="Z1663" s="20">
        <f>SUMIFS(T$3:T1663,L$3:L1663,"=Intermission")+SUMIFS(T$3:T1663,L$3:L1663,"=Timeout")+SUMIFS(T$3:T1663,L$3:L1663,"=Clockstop")</f>
        <v>138</v>
      </c>
      <c r="AA1663">
        <f t="shared" si="473"/>
        <v>2298</v>
      </c>
      <c r="AC1663">
        <f t="shared" si="474"/>
        <v>2436</v>
      </c>
    </row>
    <row r="1664" spans="1:29" x14ac:dyDescent="0.2">
      <c r="A1664">
        <v>903</v>
      </c>
      <c r="D1664">
        <f t="shared" si="475"/>
        <v>3</v>
      </c>
      <c r="E1664">
        <v>17</v>
      </c>
      <c r="F1664" s="6" t="s">
        <v>435</v>
      </c>
      <c r="I1664" t="s">
        <v>178</v>
      </c>
      <c r="J1664">
        <v>87</v>
      </c>
      <c r="K1664" t="s">
        <v>488</v>
      </c>
      <c r="L1664" t="s">
        <v>8</v>
      </c>
      <c r="M1664" t="s">
        <v>189</v>
      </c>
      <c r="N1664" t="s">
        <v>70</v>
      </c>
      <c r="Q1664">
        <f t="shared" ref="Q1664:S1664" si="539">Q1663</f>
        <v>18977</v>
      </c>
      <c r="R1664" t="str">
        <f t="shared" si="539"/>
        <v>Velodrome</v>
      </c>
      <c r="S1664" t="str">
        <f t="shared" si="539"/>
        <v>HollowBrook</v>
      </c>
      <c r="T1664" s="20">
        <f t="shared" si="479"/>
        <v>0</v>
      </c>
      <c r="U1664">
        <f t="shared" si="480"/>
        <v>1064</v>
      </c>
      <c r="V1664">
        <f t="shared" si="481"/>
        <v>1064</v>
      </c>
      <c r="W1664" cm="1">
        <f t="array" ref="W1664">_xlfn._xlws.FILTER(shifts!A:A,(shifts!B:B=events!D1664)*(shifts!AH:AH&gt;=events!U1664)*(shifts!AI:AI&lt;=events!V1664))</f>
        <v>61</v>
      </c>
      <c r="X1664" t="str">
        <f t="shared" si="482"/>
        <v>event_team_player_2</v>
      </c>
      <c r="Y1664">
        <f>COUNTIFS(A$3:A1664,"="&amp;A1664,K$3:K1664,"="&amp;K1664)</f>
        <v>2</v>
      </c>
      <c r="Z1664" s="20">
        <f>SUMIFS(T$3:T1664,L$3:L1664,"=Intermission")+SUMIFS(T$3:T1664,L$3:L1664,"=Timeout")+SUMIFS(T$3:T1664,L$3:L1664,"=Clockstop")</f>
        <v>138</v>
      </c>
      <c r="AA1664">
        <f t="shared" si="473"/>
        <v>2298</v>
      </c>
      <c r="AC1664">
        <f t="shared" si="474"/>
        <v>2436</v>
      </c>
    </row>
    <row r="1665" spans="1:29" x14ac:dyDescent="0.2">
      <c r="A1665">
        <v>904</v>
      </c>
      <c r="D1665">
        <f t="shared" si="475"/>
        <v>3</v>
      </c>
      <c r="E1665">
        <v>17</v>
      </c>
      <c r="F1665" s="6" t="s">
        <v>454</v>
      </c>
      <c r="I1665" t="s">
        <v>178</v>
      </c>
      <c r="J1665">
        <v>87</v>
      </c>
      <c r="K1665" t="s">
        <v>488</v>
      </c>
      <c r="L1665" t="s">
        <v>7</v>
      </c>
      <c r="M1665" t="s">
        <v>208</v>
      </c>
      <c r="N1665" t="s">
        <v>53</v>
      </c>
      <c r="Q1665">
        <f t="shared" ref="Q1665:S1665" si="540">Q1664</f>
        <v>18977</v>
      </c>
      <c r="R1665" t="str">
        <f t="shared" si="540"/>
        <v>Velodrome</v>
      </c>
      <c r="S1665" t="str">
        <f t="shared" si="540"/>
        <v>HollowBrook</v>
      </c>
      <c r="T1665" s="20">
        <f t="shared" si="479"/>
        <v>0</v>
      </c>
      <c r="U1665">
        <f t="shared" si="480"/>
        <v>1063</v>
      </c>
      <c r="V1665">
        <f t="shared" si="481"/>
        <v>1063</v>
      </c>
      <c r="W1665" cm="1">
        <f t="array" ref="W1665">_xlfn._xlws.FILTER(shifts!A:A,(shifts!B:B=events!D1665)*(shifts!AH:AH&gt;=events!U1665)*(shifts!AI:AI&lt;=events!V1665))</f>
        <v>61</v>
      </c>
      <c r="X1665" t="str">
        <f t="shared" si="482"/>
        <v>event_team_player_1</v>
      </c>
      <c r="Y1665">
        <f>COUNTIFS(A$3:A1665,"="&amp;A1665,K$3:K1665,"="&amp;K1665)</f>
        <v>1</v>
      </c>
      <c r="Z1665" s="20">
        <f>SUMIFS(T$3:T1665,L$3:L1665,"=Intermission")+SUMIFS(T$3:T1665,L$3:L1665,"=Timeout")+SUMIFS(T$3:T1665,L$3:L1665,"=Clockstop")</f>
        <v>138</v>
      </c>
      <c r="AA1665">
        <f t="shared" si="473"/>
        <v>2298</v>
      </c>
      <c r="AC1665">
        <f t="shared" si="474"/>
        <v>2436</v>
      </c>
    </row>
    <row r="1666" spans="1:29" x14ac:dyDescent="0.2">
      <c r="A1666">
        <v>904</v>
      </c>
      <c r="D1666">
        <f t="shared" si="475"/>
        <v>3</v>
      </c>
      <c r="E1666">
        <v>17</v>
      </c>
      <c r="F1666" s="6" t="s">
        <v>454</v>
      </c>
      <c r="I1666" t="s">
        <v>178</v>
      </c>
      <c r="J1666">
        <v>27</v>
      </c>
      <c r="K1666" t="s">
        <v>489</v>
      </c>
      <c r="L1666" t="s">
        <v>7</v>
      </c>
      <c r="M1666" t="s">
        <v>208</v>
      </c>
      <c r="N1666" t="s">
        <v>53</v>
      </c>
      <c r="Q1666">
        <f t="shared" ref="Q1666:S1666" si="541">Q1665</f>
        <v>18977</v>
      </c>
      <c r="R1666" t="str">
        <f t="shared" si="541"/>
        <v>Velodrome</v>
      </c>
      <c r="S1666" t="str">
        <f t="shared" si="541"/>
        <v>HollowBrook</v>
      </c>
      <c r="T1666" s="20">
        <f t="shared" si="479"/>
        <v>0</v>
      </c>
      <c r="U1666">
        <f t="shared" si="480"/>
        <v>1063</v>
      </c>
      <c r="V1666">
        <f t="shared" si="481"/>
        <v>1063</v>
      </c>
      <c r="W1666" cm="1">
        <f t="array" ref="W1666">_xlfn._xlws.FILTER(shifts!A:A,(shifts!B:B=events!D1666)*(shifts!AH:AH&gt;=events!U1666)*(shifts!AI:AI&lt;=events!V1666))</f>
        <v>61</v>
      </c>
      <c r="X1666" t="str">
        <f t="shared" si="482"/>
        <v>opp_team_player_1</v>
      </c>
      <c r="Y1666">
        <f>COUNTIFS(A$3:A1666,"="&amp;A1666,K$3:K1666,"="&amp;K1666)</f>
        <v>1</v>
      </c>
      <c r="Z1666" s="20">
        <f>SUMIFS(T$3:T1666,L$3:L1666,"=Intermission")+SUMIFS(T$3:T1666,L$3:L1666,"=Timeout")+SUMIFS(T$3:T1666,L$3:L1666,"=Clockstop")</f>
        <v>138</v>
      </c>
      <c r="AA1666">
        <f t="shared" si="473"/>
        <v>2298</v>
      </c>
      <c r="AC1666">
        <f t="shared" si="474"/>
        <v>2436</v>
      </c>
    </row>
    <row r="1667" spans="1:29" x14ac:dyDescent="0.2">
      <c r="A1667">
        <v>905</v>
      </c>
      <c r="D1667">
        <f t="shared" si="475"/>
        <v>3</v>
      </c>
      <c r="E1667">
        <v>17</v>
      </c>
      <c r="F1667" s="6" t="s">
        <v>454</v>
      </c>
      <c r="I1667" t="s">
        <v>178</v>
      </c>
      <c r="J1667">
        <v>87</v>
      </c>
      <c r="K1667" t="s">
        <v>488</v>
      </c>
      <c r="L1667" t="s">
        <v>10</v>
      </c>
      <c r="M1667" t="s">
        <v>190</v>
      </c>
      <c r="N1667" t="s">
        <v>78</v>
      </c>
      <c r="Q1667">
        <f t="shared" ref="Q1667:S1667" si="542">Q1666</f>
        <v>18977</v>
      </c>
      <c r="R1667" t="str">
        <f t="shared" si="542"/>
        <v>Velodrome</v>
      </c>
      <c r="S1667" t="str">
        <f t="shared" si="542"/>
        <v>HollowBrook</v>
      </c>
      <c r="T1667" s="20">
        <f t="shared" si="479"/>
        <v>0</v>
      </c>
      <c r="U1667">
        <f t="shared" si="480"/>
        <v>1063</v>
      </c>
      <c r="V1667">
        <f t="shared" si="481"/>
        <v>1063</v>
      </c>
      <c r="W1667" cm="1">
        <f t="array" ref="W1667">_xlfn._xlws.FILTER(shifts!A:A,(shifts!B:B=events!D1667)*(shifts!AH:AH&gt;=events!U1667)*(shifts!AI:AI&lt;=events!V1667))</f>
        <v>61</v>
      </c>
      <c r="X1667" t="str">
        <f t="shared" si="482"/>
        <v>event_team_player_1</v>
      </c>
      <c r="Y1667">
        <f>COUNTIFS(A$3:A1667,"="&amp;A1667,K$3:K1667,"="&amp;K1667)</f>
        <v>1</v>
      </c>
      <c r="Z1667" s="20">
        <f>SUMIFS(T$3:T1667,L$3:L1667,"=Intermission")+SUMIFS(T$3:T1667,L$3:L1667,"=Timeout")+SUMIFS(T$3:T1667,L$3:L1667,"=Clockstop")</f>
        <v>138</v>
      </c>
      <c r="AA1667">
        <f t="shared" si="473"/>
        <v>2298</v>
      </c>
      <c r="AC1667">
        <f t="shared" si="474"/>
        <v>2436</v>
      </c>
    </row>
    <row r="1668" spans="1:29" x14ac:dyDescent="0.2">
      <c r="A1668">
        <v>905</v>
      </c>
      <c r="D1668">
        <f t="shared" si="475"/>
        <v>3</v>
      </c>
      <c r="E1668">
        <v>17</v>
      </c>
      <c r="F1668" s="6" t="s">
        <v>454</v>
      </c>
      <c r="I1668" t="s">
        <v>178</v>
      </c>
      <c r="J1668">
        <v>27</v>
      </c>
      <c r="K1668" t="s">
        <v>489</v>
      </c>
      <c r="L1668" t="s">
        <v>10</v>
      </c>
      <c r="M1668" t="s">
        <v>190</v>
      </c>
      <c r="N1668" t="s">
        <v>78</v>
      </c>
      <c r="Q1668">
        <f t="shared" ref="Q1668:S1668" si="543">Q1667</f>
        <v>18977</v>
      </c>
      <c r="R1668" t="str">
        <f t="shared" si="543"/>
        <v>Velodrome</v>
      </c>
      <c r="S1668" t="str">
        <f t="shared" si="543"/>
        <v>HollowBrook</v>
      </c>
      <c r="T1668" s="20">
        <f t="shared" si="479"/>
        <v>0</v>
      </c>
      <c r="U1668">
        <f t="shared" si="480"/>
        <v>1063</v>
      </c>
      <c r="V1668">
        <f t="shared" si="481"/>
        <v>1063</v>
      </c>
      <c r="W1668" cm="1">
        <f t="array" ref="W1668">_xlfn._xlws.FILTER(shifts!A:A,(shifts!B:B=events!D1668)*(shifts!AH:AH&gt;=events!U1668)*(shifts!AI:AI&lt;=events!V1668))</f>
        <v>61</v>
      </c>
      <c r="X1668" t="str">
        <f t="shared" si="482"/>
        <v>opp_team_player_1</v>
      </c>
      <c r="Y1668">
        <f>COUNTIFS(A$3:A1668,"="&amp;A1668,K$3:K1668,"="&amp;K1668)</f>
        <v>1</v>
      </c>
      <c r="Z1668" s="20">
        <f>SUMIFS(T$3:T1668,L$3:L1668,"=Intermission")+SUMIFS(T$3:T1668,L$3:L1668,"=Timeout")+SUMIFS(T$3:T1668,L$3:L1668,"=Clockstop")</f>
        <v>138</v>
      </c>
      <c r="AA1668">
        <f t="shared" ref="AA1668:AA1731" si="544">IF(D1668=1,0,IF(D1668=2,1080+Z1668,IF(D1668=3,(1080*2)+Z1668,0)))</f>
        <v>2298</v>
      </c>
      <c r="AC1668">
        <f t="shared" ref="AC1668:AC1731" si="545">IF(L1667="GameStart",0,AA1668+Z1668)</f>
        <v>2436</v>
      </c>
    </row>
    <row r="1669" spans="1:29" x14ac:dyDescent="0.2">
      <c r="A1669">
        <v>906</v>
      </c>
      <c r="D1669">
        <f t="shared" ref="D1669:D1732" si="546">IF(L1669="Intermission",D1668+1,D1668)</f>
        <v>3</v>
      </c>
      <c r="E1669">
        <v>17</v>
      </c>
      <c r="F1669" s="6" t="s">
        <v>437</v>
      </c>
      <c r="G1669">
        <v>17</v>
      </c>
      <c r="H1669" s="8" t="s">
        <v>453</v>
      </c>
      <c r="I1669" t="s">
        <v>179</v>
      </c>
      <c r="J1669">
        <v>26</v>
      </c>
      <c r="K1669" t="s">
        <v>488</v>
      </c>
      <c r="L1669" t="s">
        <v>277</v>
      </c>
      <c r="M1669" t="s">
        <v>201</v>
      </c>
      <c r="N1669" t="s">
        <v>90</v>
      </c>
      <c r="Q1669">
        <f t="shared" ref="Q1669:S1669" si="547">Q1668</f>
        <v>18977</v>
      </c>
      <c r="R1669" t="str">
        <f t="shared" si="547"/>
        <v>Velodrome</v>
      </c>
      <c r="S1669" t="str">
        <f t="shared" si="547"/>
        <v>HollowBrook</v>
      </c>
      <c r="T1669" s="20">
        <f t="shared" si="479"/>
        <v>3</v>
      </c>
      <c r="U1669">
        <f t="shared" si="480"/>
        <v>1060</v>
      </c>
      <c r="V1669">
        <f t="shared" si="481"/>
        <v>1057</v>
      </c>
      <c r="W1669" cm="1">
        <f t="array" ref="W1669">_xlfn._xlws.FILTER(shifts!A:A,(shifts!B:B=events!D1669)*(shifts!AH:AH&gt;=events!U1669)*(shifts!AI:AI&lt;=events!V1669))</f>
        <v>61</v>
      </c>
      <c r="X1669" t="str">
        <f t="shared" si="482"/>
        <v>event_team_player_1</v>
      </c>
      <c r="Y1669">
        <f>COUNTIFS(A$3:A1669,"="&amp;A1669,K$3:K1669,"="&amp;K1669)</f>
        <v>1</v>
      </c>
      <c r="Z1669" s="20">
        <f>SUMIFS(T$3:T1669,L$3:L1669,"=Intermission")+SUMIFS(T$3:T1669,L$3:L1669,"=Timeout")+SUMIFS(T$3:T1669,L$3:L1669,"=Clockstop")</f>
        <v>138</v>
      </c>
      <c r="AA1669">
        <f t="shared" si="544"/>
        <v>2298</v>
      </c>
      <c r="AC1669">
        <f t="shared" si="545"/>
        <v>2436</v>
      </c>
    </row>
    <row r="1670" spans="1:29" x14ac:dyDescent="0.2">
      <c r="A1670">
        <v>906</v>
      </c>
      <c r="D1670">
        <f t="shared" si="546"/>
        <v>3</v>
      </c>
      <c r="E1670">
        <v>17</v>
      </c>
      <c r="F1670" s="6" t="s">
        <v>437</v>
      </c>
      <c r="G1670">
        <v>17</v>
      </c>
      <c r="H1670" s="8" t="s">
        <v>453</v>
      </c>
      <c r="I1670" t="s">
        <v>179</v>
      </c>
      <c r="J1670">
        <v>14</v>
      </c>
      <c r="K1670" t="s">
        <v>489</v>
      </c>
      <c r="L1670" t="s">
        <v>277</v>
      </c>
      <c r="M1670" t="s">
        <v>201</v>
      </c>
      <c r="N1670" t="s">
        <v>90</v>
      </c>
      <c r="Q1670">
        <f t="shared" ref="Q1670:S1670" si="548">Q1669</f>
        <v>18977</v>
      </c>
      <c r="R1670" t="str">
        <f t="shared" si="548"/>
        <v>Velodrome</v>
      </c>
      <c r="S1670" t="str">
        <f t="shared" si="548"/>
        <v>HollowBrook</v>
      </c>
      <c r="T1670" s="20">
        <f t="shared" si="479"/>
        <v>3</v>
      </c>
      <c r="U1670">
        <f t="shared" si="480"/>
        <v>1060</v>
      </c>
      <c r="V1670">
        <f t="shared" si="481"/>
        <v>1057</v>
      </c>
      <c r="W1670" cm="1">
        <f t="array" ref="W1670">_xlfn._xlws.FILTER(shifts!A:A,(shifts!B:B=events!D1670)*(shifts!AH:AH&gt;=events!U1670)*(shifts!AI:AI&lt;=events!V1670))</f>
        <v>61</v>
      </c>
      <c r="X1670" t="str">
        <f t="shared" si="482"/>
        <v>opp_team_player_1</v>
      </c>
      <c r="Y1670">
        <f>COUNTIFS(A$3:A1670,"="&amp;A1670,K$3:K1670,"="&amp;K1670)</f>
        <v>1</v>
      </c>
      <c r="Z1670" s="20">
        <f>SUMIFS(T$3:T1670,L$3:L1670,"=Intermission")+SUMIFS(T$3:T1670,L$3:L1670,"=Timeout")+SUMIFS(T$3:T1670,L$3:L1670,"=Clockstop")</f>
        <v>138</v>
      </c>
      <c r="AA1670">
        <f t="shared" si="544"/>
        <v>2298</v>
      </c>
      <c r="AC1670">
        <f t="shared" si="545"/>
        <v>2436</v>
      </c>
    </row>
    <row r="1671" spans="1:29" x14ac:dyDescent="0.2">
      <c r="A1671">
        <v>907</v>
      </c>
      <c r="D1671">
        <f t="shared" si="546"/>
        <v>3</v>
      </c>
      <c r="E1671">
        <v>17</v>
      </c>
      <c r="F1671" s="6" t="s">
        <v>453</v>
      </c>
      <c r="I1671" t="s">
        <v>178</v>
      </c>
      <c r="J1671">
        <v>14</v>
      </c>
      <c r="K1671" t="s">
        <v>488</v>
      </c>
      <c r="L1671" t="s">
        <v>10</v>
      </c>
      <c r="M1671" t="s">
        <v>200</v>
      </c>
      <c r="N1671" t="s">
        <v>82</v>
      </c>
      <c r="Q1671">
        <f t="shared" ref="Q1671:S1671" si="549">Q1670</f>
        <v>18977</v>
      </c>
      <c r="R1671" t="str">
        <f t="shared" si="549"/>
        <v>Velodrome</v>
      </c>
      <c r="S1671" t="str">
        <f t="shared" si="549"/>
        <v>HollowBrook</v>
      </c>
      <c r="T1671" s="20">
        <f t="shared" ref="T1671:T1734" si="550">IF(AND(G1671="",H1671=""),0,((E1671*60)+F1671)-((G1671*60)+H1671))</f>
        <v>0</v>
      </c>
      <c r="U1671">
        <f t="shared" ref="U1671:U1734" si="551">(E1671*60)+F1671</f>
        <v>1057</v>
      </c>
      <c r="V1671">
        <f t="shared" ref="V1671:V1734" si="552">IF(AND(G1671="",H1671=""),U1671,((G1671*60)+H1671))</f>
        <v>1057</v>
      </c>
      <c r="W1671" cm="1">
        <f t="array" ref="W1671">_xlfn._xlws.FILTER(shifts!A:A,(shifts!B:B=events!D1671)*(shifts!AH:AH&gt;=events!U1671)*(shifts!AI:AI&lt;=events!V1671))</f>
        <v>61</v>
      </c>
      <c r="X1671" t="str">
        <f t="shared" ref="X1671:X1734" si="553">IF(K1671="e","event_team_player_"&amp;Y1671,IF(K1671="o","opp_team_player_"&amp;Y1671,""))</f>
        <v>event_team_player_1</v>
      </c>
      <c r="Y1671">
        <f>COUNTIFS(A$3:A1671,"="&amp;A1671,K$3:K1671,"="&amp;K1671)</f>
        <v>1</v>
      </c>
      <c r="Z1671" s="20">
        <f>SUMIFS(T$3:T1671,L$3:L1671,"=Intermission")+SUMIFS(T$3:T1671,L$3:L1671,"=Timeout")+SUMIFS(T$3:T1671,L$3:L1671,"=Clockstop")</f>
        <v>138</v>
      </c>
      <c r="AA1671">
        <f t="shared" si="544"/>
        <v>2298</v>
      </c>
      <c r="AC1671">
        <f t="shared" si="545"/>
        <v>2436</v>
      </c>
    </row>
    <row r="1672" spans="1:29" x14ac:dyDescent="0.2">
      <c r="A1672">
        <v>907</v>
      </c>
      <c r="D1672">
        <f t="shared" si="546"/>
        <v>3</v>
      </c>
      <c r="E1672">
        <v>17</v>
      </c>
      <c r="F1672" s="6" t="s">
        <v>453</v>
      </c>
      <c r="I1672" t="s">
        <v>178</v>
      </c>
      <c r="J1672">
        <v>26</v>
      </c>
      <c r="K1672" t="s">
        <v>489</v>
      </c>
      <c r="L1672" t="s">
        <v>10</v>
      </c>
      <c r="M1672" t="s">
        <v>200</v>
      </c>
      <c r="N1672" t="s">
        <v>82</v>
      </c>
      <c r="Q1672">
        <f t="shared" ref="Q1672:S1672" si="554">Q1671</f>
        <v>18977</v>
      </c>
      <c r="R1672" t="str">
        <f t="shared" si="554"/>
        <v>Velodrome</v>
      </c>
      <c r="S1672" t="str">
        <f t="shared" si="554"/>
        <v>HollowBrook</v>
      </c>
      <c r="T1672" s="20">
        <f t="shared" si="550"/>
        <v>0</v>
      </c>
      <c r="U1672">
        <f t="shared" si="551"/>
        <v>1057</v>
      </c>
      <c r="V1672">
        <f t="shared" si="552"/>
        <v>1057</v>
      </c>
      <c r="W1672" cm="1">
        <f t="array" ref="W1672">_xlfn._xlws.FILTER(shifts!A:A,(shifts!B:B=events!D1672)*(shifts!AH:AH&gt;=events!U1672)*(shifts!AI:AI&lt;=events!V1672))</f>
        <v>61</v>
      </c>
      <c r="X1672" t="str">
        <f t="shared" si="553"/>
        <v>opp_team_player_1</v>
      </c>
      <c r="Y1672">
        <f>COUNTIFS(A$3:A1672,"="&amp;A1672,K$3:K1672,"="&amp;K1672)</f>
        <v>1</v>
      </c>
      <c r="Z1672" s="20">
        <f>SUMIFS(T$3:T1672,L$3:L1672,"=Intermission")+SUMIFS(T$3:T1672,L$3:L1672,"=Timeout")+SUMIFS(T$3:T1672,L$3:L1672,"=Clockstop")</f>
        <v>138</v>
      </c>
      <c r="AA1672">
        <f t="shared" si="544"/>
        <v>2298</v>
      </c>
      <c r="AC1672">
        <f t="shared" si="545"/>
        <v>2436</v>
      </c>
    </row>
    <row r="1673" spans="1:29" x14ac:dyDescent="0.2">
      <c r="A1673">
        <v>908</v>
      </c>
      <c r="D1673">
        <f t="shared" si="546"/>
        <v>3</v>
      </c>
      <c r="E1673">
        <v>17</v>
      </c>
      <c r="F1673" s="6" t="s">
        <v>482</v>
      </c>
      <c r="I1673" t="s">
        <v>178</v>
      </c>
      <c r="J1673">
        <v>84</v>
      </c>
      <c r="K1673" t="s">
        <v>488</v>
      </c>
      <c r="L1673" t="s">
        <v>8</v>
      </c>
      <c r="M1673" t="s">
        <v>189</v>
      </c>
      <c r="N1673" t="s">
        <v>71</v>
      </c>
      <c r="Q1673">
        <f t="shared" ref="Q1673:S1673" si="555">Q1672</f>
        <v>18977</v>
      </c>
      <c r="R1673" t="str">
        <f t="shared" si="555"/>
        <v>Velodrome</v>
      </c>
      <c r="S1673" t="str">
        <f t="shared" si="555"/>
        <v>HollowBrook</v>
      </c>
      <c r="T1673" s="20">
        <f t="shared" si="550"/>
        <v>0</v>
      </c>
      <c r="U1673">
        <f t="shared" si="551"/>
        <v>1053</v>
      </c>
      <c r="V1673">
        <f t="shared" si="552"/>
        <v>1053</v>
      </c>
      <c r="W1673" cm="1">
        <f t="array" ref="W1673">_xlfn._xlws.FILTER(shifts!A:A,(shifts!B:B=events!D1673)*(shifts!AH:AH&gt;=events!U1673)*(shifts!AI:AI&lt;=events!V1673))</f>
        <v>61</v>
      </c>
      <c r="X1673" t="str">
        <f t="shared" si="553"/>
        <v>event_team_player_1</v>
      </c>
      <c r="Y1673">
        <f>COUNTIFS(A$3:A1673,"="&amp;A1673,K$3:K1673,"="&amp;K1673)</f>
        <v>1</v>
      </c>
      <c r="Z1673" s="20">
        <f>SUMIFS(T$3:T1673,L$3:L1673,"=Intermission")+SUMIFS(T$3:T1673,L$3:L1673,"=Timeout")+SUMIFS(T$3:T1673,L$3:L1673,"=Clockstop")</f>
        <v>138</v>
      </c>
      <c r="AA1673">
        <f t="shared" si="544"/>
        <v>2298</v>
      </c>
      <c r="AC1673">
        <f t="shared" si="545"/>
        <v>2436</v>
      </c>
    </row>
    <row r="1674" spans="1:29" x14ac:dyDescent="0.2">
      <c r="A1674">
        <v>908</v>
      </c>
      <c r="D1674">
        <f t="shared" si="546"/>
        <v>3</v>
      </c>
      <c r="E1674">
        <v>17</v>
      </c>
      <c r="F1674" s="6" t="s">
        <v>482</v>
      </c>
      <c r="I1674" t="s">
        <v>178</v>
      </c>
      <c r="J1674">
        <v>42</v>
      </c>
      <c r="K1674" t="s">
        <v>488</v>
      </c>
      <c r="L1674" t="s">
        <v>8</v>
      </c>
      <c r="M1674" t="s">
        <v>189</v>
      </c>
      <c r="N1674" t="s">
        <v>71</v>
      </c>
      <c r="Q1674">
        <f t="shared" ref="Q1674:S1674" si="556">Q1673</f>
        <v>18977</v>
      </c>
      <c r="R1674" t="str">
        <f t="shared" si="556"/>
        <v>Velodrome</v>
      </c>
      <c r="S1674" t="str">
        <f t="shared" si="556"/>
        <v>HollowBrook</v>
      </c>
      <c r="T1674" s="20">
        <f t="shared" si="550"/>
        <v>0</v>
      </c>
      <c r="U1674">
        <f t="shared" si="551"/>
        <v>1053</v>
      </c>
      <c r="V1674">
        <f t="shared" si="552"/>
        <v>1053</v>
      </c>
      <c r="W1674" cm="1">
        <f t="array" ref="W1674">_xlfn._xlws.FILTER(shifts!A:A,(shifts!B:B=events!D1674)*(shifts!AH:AH&gt;=events!U1674)*(shifts!AI:AI&lt;=events!V1674))</f>
        <v>61</v>
      </c>
      <c r="X1674" t="str">
        <f t="shared" si="553"/>
        <v>event_team_player_2</v>
      </c>
      <c r="Y1674">
        <f>COUNTIFS(A$3:A1674,"="&amp;A1674,K$3:K1674,"="&amp;K1674)</f>
        <v>2</v>
      </c>
      <c r="Z1674" s="20">
        <f>SUMIFS(T$3:T1674,L$3:L1674,"=Intermission")+SUMIFS(T$3:T1674,L$3:L1674,"=Timeout")+SUMIFS(T$3:T1674,L$3:L1674,"=Clockstop")</f>
        <v>138</v>
      </c>
      <c r="AA1674">
        <f t="shared" si="544"/>
        <v>2298</v>
      </c>
      <c r="AC1674">
        <f t="shared" si="545"/>
        <v>2436</v>
      </c>
    </row>
    <row r="1675" spans="1:29" x14ac:dyDescent="0.2">
      <c r="A1675">
        <v>908</v>
      </c>
      <c r="D1675">
        <f t="shared" si="546"/>
        <v>3</v>
      </c>
      <c r="E1675">
        <v>17</v>
      </c>
      <c r="F1675" s="6" t="s">
        <v>482</v>
      </c>
      <c r="I1675" t="s">
        <v>178</v>
      </c>
      <c r="J1675">
        <v>8</v>
      </c>
      <c r="K1675" t="s">
        <v>489</v>
      </c>
      <c r="L1675" t="s">
        <v>8</v>
      </c>
      <c r="M1675" t="s">
        <v>189</v>
      </c>
      <c r="N1675" t="s">
        <v>71</v>
      </c>
      <c r="Q1675">
        <f t="shared" ref="Q1675:S1675" si="557">Q1674</f>
        <v>18977</v>
      </c>
      <c r="R1675" t="str">
        <f t="shared" si="557"/>
        <v>Velodrome</v>
      </c>
      <c r="S1675" t="str">
        <f t="shared" si="557"/>
        <v>HollowBrook</v>
      </c>
      <c r="T1675" s="20">
        <f t="shared" si="550"/>
        <v>0</v>
      </c>
      <c r="U1675">
        <f t="shared" si="551"/>
        <v>1053</v>
      </c>
      <c r="V1675">
        <f t="shared" si="552"/>
        <v>1053</v>
      </c>
      <c r="W1675" cm="1">
        <f t="array" ref="W1675">_xlfn._xlws.FILTER(shifts!A:A,(shifts!B:B=events!D1675)*(shifts!AH:AH&gt;=events!U1675)*(shifts!AI:AI&lt;=events!V1675))</f>
        <v>61</v>
      </c>
      <c r="X1675" t="str">
        <f t="shared" si="553"/>
        <v>opp_team_player_1</v>
      </c>
      <c r="Y1675">
        <f>COUNTIFS(A$3:A1675,"="&amp;A1675,K$3:K1675,"="&amp;K1675)</f>
        <v>1</v>
      </c>
      <c r="Z1675" s="20">
        <f>SUMIFS(T$3:T1675,L$3:L1675,"=Intermission")+SUMIFS(T$3:T1675,L$3:L1675,"=Timeout")+SUMIFS(T$3:T1675,L$3:L1675,"=Clockstop")</f>
        <v>138</v>
      </c>
      <c r="AA1675">
        <f t="shared" si="544"/>
        <v>2298</v>
      </c>
      <c r="AC1675">
        <f t="shared" si="545"/>
        <v>2436</v>
      </c>
    </row>
    <row r="1676" spans="1:29" x14ac:dyDescent="0.2">
      <c r="A1676">
        <v>909</v>
      </c>
      <c r="D1676">
        <f t="shared" si="546"/>
        <v>3</v>
      </c>
      <c r="E1676">
        <v>17</v>
      </c>
      <c r="F1676" s="6" t="s">
        <v>482</v>
      </c>
      <c r="G1676">
        <v>17</v>
      </c>
      <c r="H1676" s="8" t="s">
        <v>472</v>
      </c>
      <c r="I1676" t="s">
        <v>178</v>
      </c>
      <c r="J1676">
        <v>42</v>
      </c>
      <c r="K1676" t="s">
        <v>488</v>
      </c>
      <c r="L1676" t="s">
        <v>15</v>
      </c>
      <c r="Q1676">
        <f t="shared" ref="Q1676:S1676" si="558">Q1675</f>
        <v>18977</v>
      </c>
      <c r="R1676" t="str">
        <f t="shared" si="558"/>
        <v>Velodrome</v>
      </c>
      <c r="S1676" t="str">
        <f t="shared" si="558"/>
        <v>HollowBrook</v>
      </c>
      <c r="T1676" s="20">
        <f t="shared" si="550"/>
        <v>3</v>
      </c>
      <c r="U1676">
        <f t="shared" si="551"/>
        <v>1053</v>
      </c>
      <c r="V1676">
        <f t="shared" si="552"/>
        <v>1050</v>
      </c>
      <c r="W1676" cm="1">
        <f t="array" ref="W1676">_xlfn._xlws.FILTER(shifts!A:A,(shifts!B:B=events!D1676)*(shifts!AH:AH&gt;=events!U1676)*(shifts!AI:AI&lt;=events!V1676))</f>
        <v>61</v>
      </c>
      <c r="X1676" t="str">
        <f t="shared" si="553"/>
        <v>event_team_player_1</v>
      </c>
      <c r="Y1676">
        <f>COUNTIFS(A$3:A1676,"="&amp;A1676,K$3:K1676,"="&amp;K1676)</f>
        <v>1</v>
      </c>
      <c r="Z1676" s="20">
        <f>SUMIFS(T$3:T1676,L$3:L1676,"=Intermission")+SUMIFS(T$3:T1676,L$3:L1676,"=Timeout")+SUMIFS(T$3:T1676,L$3:L1676,"=Clockstop")</f>
        <v>138</v>
      </c>
      <c r="AA1676">
        <f t="shared" si="544"/>
        <v>2298</v>
      </c>
      <c r="AC1676">
        <f t="shared" si="545"/>
        <v>2436</v>
      </c>
    </row>
    <row r="1677" spans="1:29" x14ac:dyDescent="0.2">
      <c r="A1677">
        <v>910</v>
      </c>
      <c r="D1677">
        <f t="shared" si="546"/>
        <v>3</v>
      </c>
      <c r="E1677">
        <v>17</v>
      </c>
      <c r="F1677" s="6" t="s">
        <v>472</v>
      </c>
      <c r="G1677">
        <v>17</v>
      </c>
      <c r="H1677" s="8" t="s">
        <v>483</v>
      </c>
      <c r="I1677" t="s">
        <v>178</v>
      </c>
      <c r="J1677">
        <v>42</v>
      </c>
      <c r="K1677" t="s">
        <v>488</v>
      </c>
      <c r="L1677" t="s">
        <v>277</v>
      </c>
      <c r="M1677" t="s">
        <v>191</v>
      </c>
      <c r="N1677" t="s">
        <v>87</v>
      </c>
      <c r="Q1677">
        <f t="shared" ref="Q1677:S1677" si="559">Q1676</f>
        <v>18977</v>
      </c>
      <c r="R1677" t="str">
        <f t="shared" si="559"/>
        <v>Velodrome</v>
      </c>
      <c r="S1677" t="str">
        <f t="shared" si="559"/>
        <v>HollowBrook</v>
      </c>
      <c r="T1677" s="20">
        <f t="shared" si="550"/>
        <v>3</v>
      </c>
      <c r="U1677">
        <f t="shared" si="551"/>
        <v>1050</v>
      </c>
      <c r="V1677">
        <f t="shared" si="552"/>
        <v>1047</v>
      </c>
      <c r="W1677" cm="1">
        <f t="array" ref="W1677">_xlfn._xlws.FILTER(shifts!A:A,(shifts!B:B=events!D1677)*(shifts!AH:AH&gt;=events!U1677)*(shifts!AI:AI&lt;=events!V1677))</f>
        <v>61</v>
      </c>
      <c r="X1677" t="str">
        <f t="shared" si="553"/>
        <v>event_team_player_1</v>
      </c>
      <c r="Y1677">
        <f>COUNTIFS(A$3:A1677,"="&amp;A1677,K$3:K1677,"="&amp;K1677)</f>
        <v>1</v>
      </c>
      <c r="Z1677" s="20">
        <f>SUMIFS(T$3:T1677,L$3:L1677,"=Intermission")+SUMIFS(T$3:T1677,L$3:L1677,"=Timeout")+SUMIFS(T$3:T1677,L$3:L1677,"=Clockstop")</f>
        <v>138</v>
      </c>
      <c r="AA1677">
        <f t="shared" si="544"/>
        <v>2298</v>
      </c>
      <c r="AC1677">
        <f t="shared" si="545"/>
        <v>2436</v>
      </c>
    </row>
    <row r="1678" spans="1:29" x14ac:dyDescent="0.2">
      <c r="A1678">
        <v>910</v>
      </c>
      <c r="D1678">
        <f t="shared" si="546"/>
        <v>3</v>
      </c>
      <c r="E1678">
        <v>17</v>
      </c>
      <c r="F1678" s="6" t="s">
        <v>472</v>
      </c>
      <c r="G1678">
        <v>17</v>
      </c>
      <c r="H1678" s="8" t="s">
        <v>483</v>
      </c>
      <c r="I1678" t="s">
        <v>178</v>
      </c>
      <c r="J1678">
        <v>27</v>
      </c>
      <c r="K1678" t="s">
        <v>489</v>
      </c>
      <c r="L1678" t="s">
        <v>277</v>
      </c>
      <c r="M1678" t="s">
        <v>191</v>
      </c>
      <c r="N1678" t="s">
        <v>87</v>
      </c>
      <c r="Q1678">
        <f t="shared" ref="Q1678:S1678" si="560">Q1677</f>
        <v>18977</v>
      </c>
      <c r="R1678" t="str">
        <f t="shared" si="560"/>
        <v>Velodrome</v>
      </c>
      <c r="S1678" t="str">
        <f t="shared" si="560"/>
        <v>HollowBrook</v>
      </c>
      <c r="T1678" s="20">
        <f t="shared" si="550"/>
        <v>3</v>
      </c>
      <c r="U1678">
        <f t="shared" si="551"/>
        <v>1050</v>
      </c>
      <c r="V1678">
        <f t="shared" si="552"/>
        <v>1047</v>
      </c>
      <c r="W1678" cm="1">
        <f t="array" ref="W1678">_xlfn._xlws.FILTER(shifts!A:A,(shifts!B:B=events!D1678)*(shifts!AH:AH&gt;=events!U1678)*(shifts!AI:AI&lt;=events!V1678))</f>
        <v>61</v>
      </c>
      <c r="X1678" t="str">
        <f t="shared" si="553"/>
        <v>opp_team_player_1</v>
      </c>
      <c r="Y1678">
        <f>COUNTIFS(A$3:A1678,"="&amp;A1678,K$3:K1678,"="&amp;K1678)</f>
        <v>1</v>
      </c>
      <c r="Z1678" s="20">
        <f>SUMIFS(T$3:T1678,L$3:L1678,"=Intermission")+SUMIFS(T$3:T1678,L$3:L1678,"=Timeout")+SUMIFS(T$3:T1678,L$3:L1678,"=Clockstop")</f>
        <v>138</v>
      </c>
      <c r="AA1678">
        <f t="shared" si="544"/>
        <v>2298</v>
      </c>
      <c r="AC1678">
        <f t="shared" si="545"/>
        <v>2436</v>
      </c>
    </row>
    <row r="1679" spans="1:29" x14ac:dyDescent="0.2">
      <c r="A1679">
        <v>910</v>
      </c>
      <c r="D1679">
        <f t="shared" si="546"/>
        <v>3</v>
      </c>
      <c r="E1679">
        <v>17</v>
      </c>
      <c r="F1679" s="6" t="s">
        <v>472</v>
      </c>
      <c r="G1679">
        <v>17</v>
      </c>
      <c r="H1679" s="8" t="s">
        <v>483</v>
      </c>
      <c r="I1679" t="s">
        <v>178</v>
      </c>
      <c r="J1679">
        <v>5</v>
      </c>
      <c r="K1679" t="s">
        <v>489</v>
      </c>
      <c r="L1679" t="s">
        <v>277</v>
      </c>
      <c r="M1679" t="s">
        <v>191</v>
      </c>
      <c r="N1679" t="s">
        <v>87</v>
      </c>
      <c r="Q1679">
        <f t="shared" ref="Q1679:S1679" si="561">Q1678</f>
        <v>18977</v>
      </c>
      <c r="R1679" t="str">
        <f t="shared" si="561"/>
        <v>Velodrome</v>
      </c>
      <c r="S1679" t="str">
        <f t="shared" si="561"/>
        <v>HollowBrook</v>
      </c>
      <c r="T1679" s="20">
        <f t="shared" si="550"/>
        <v>3</v>
      </c>
      <c r="U1679">
        <f t="shared" si="551"/>
        <v>1050</v>
      </c>
      <c r="V1679">
        <f t="shared" si="552"/>
        <v>1047</v>
      </c>
      <c r="W1679" cm="1">
        <f t="array" ref="W1679">_xlfn._xlws.FILTER(shifts!A:A,(shifts!B:B=events!D1679)*(shifts!AH:AH&gt;=events!U1679)*(shifts!AI:AI&lt;=events!V1679))</f>
        <v>61</v>
      </c>
      <c r="X1679" t="str">
        <f t="shared" si="553"/>
        <v>opp_team_player_2</v>
      </c>
      <c r="Y1679">
        <f>COUNTIFS(A$3:A1679,"="&amp;A1679,K$3:K1679,"="&amp;K1679)</f>
        <v>2</v>
      </c>
      <c r="Z1679" s="20">
        <f>SUMIFS(T$3:T1679,L$3:L1679,"=Intermission")+SUMIFS(T$3:T1679,L$3:L1679,"=Timeout")+SUMIFS(T$3:T1679,L$3:L1679,"=Clockstop")</f>
        <v>138</v>
      </c>
      <c r="AA1679">
        <f t="shared" si="544"/>
        <v>2298</v>
      </c>
      <c r="AC1679">
        <f t="shared" si="545"/>
        <v>2436</v>
      </c>
    </row>
    <row r="1680" spans="1:29" x14ac:dyDescent="0.2">
      <c r="A1680">
        <v>911</v>
      </c>
      <c r="D1680">
        <f t="shared" si="546"/>
        <v>3</v>
      </c>
      <c r="E1680">
        <v>17</v>
      </c>
      <c r="F1680" s="6" t="s">
        <v>483</v>
      </c>
      <c r="G1680">
        <v>17</v>
      </c>
      <c r="H1680" s="8" t="s">
        <v>444</v>
      </c>
      <c r="I1680" t="s">
        <v>178</v>
      </c>
      <c r="J1680">
        <v>42</v>
      </c>
      <c r="K1680" t="s">
        <v>488</v>
      </c>
      <c r="L1680" t="s">
        <v>15</v>
      </c>
      <c r="Q1680">
        <f t="shared" ref="Q1680:S1680" si="562">Q1679</f>
        <v>18977</v>
      </c>
      <c r="R1680" t="str">
        <f t="shared" si="562"/>
        <v>Velodrome</v>
      </c>
      <c r="S1680" t="str">
        <f t="shared" si="562"/>
        <v>HollowBrook</v>
      </c>
      <c r="T1680" s="20">
        <f t="shared" si="550"/>
        <v>3</v>
      </c>
      <c r="U1680">
        <f t="shared" si="551"/>
        <v>1047</v>
      </c>
      <c r="V1680">
        <f t="shared" si="552"/>
        <v>1044</v>
      </c>
      <c r="W1680" cm="1">
        <f t="array" ref="W1680">_xlfn._xlws.FILTER(shifts!A:A,(shifts!B:B=events!D1680)*(shifts!AH:AH&gt;=events!U1680)*(shifts!AI:AI&lt;=events!V1680))</f>
        <v>61</v>
      </c>
      <c r="X1680" t="str">
        <f t="shared" si="553"/>
        <v>event_team_player_1</v>
      </c>
      <c r="Y1680">
        <f>COUNTIFS(A$3:A1680,"="&amp;A1680,K$3:K1680,"="&amp;K1680)</f>
        <v>1</v>
      </c>
      <c r="Z1680" s="20">
        <f>SUMIFS(T$3:T1680,L$3:L1680,"=Intermission")+SUMIFS(T$3:T1680,L$3:L1680,"=Timeout")+SUMIFS(T$3:T1680,L$3:L1680,"=Clockstop")</f>
        <v>138</v>
      </c>
      <c r="AA1680">
        <f t="shared" si="544"/>
        <v>2298</v>
      </c>
      <c r="AC1680">
        <f t="shared" si="545"/>
        <v>2436</v>
      </c>
    </row>
    <row r="1681" spans="1:29" x14ac:dyDescent="0.2">
      <c r="A1681">
        <v>911</v>
      </c>
      <c r="D1681">
        <f t="shared" si="546"/>
        <v>3</v>
      </c>
      <c r="E1681">
        <v>17</v>
      </c>
      <c r="F1681" s="6" t="s">
        <v>483</v>
      </c>
      <c r="G1681">
        <v>17</v>
      </c>
      <c r="H1681" s="8" t="s">
        <v>444</v>
      </c>
      <c r="I1681" t="s">
        <v>178</v>
      </c>
      <c r="J1681">
        <v>27</v>
      </c>
      <c r="K1681" t="s">
        <v>489</v>
      </c>
      <c r="L1681" t="s">
        <v>15</v>
      </c>
      <c r="Q1681">
        <f t="shared" ref="Q1681:S1681" si="563">Q1680</f>
        <v>18977</v>
      </c>
      <c r="R1681" t="str">
        <f t="shared" si="563"/>
        <v>Velodrome</v>
      </c>
      <c r="S1681" t="str">
        <f t="shared" si="563"/>
        <v>HollowBrook</v>
      </c>
      <c r="T1681" s="20">
        <f t="shared" si="550"/>
        <v>3</v>
      </c>
      <c r="U1681">
        <f t="shared" si="551"/>
        <v>1047</v>
      </c>
      <c r="V1681">
        <f t="shared" si="552"/>
        <v>1044</v>
      </c>
      <c r="W1681" cm="1">
        <f t="array" ref="W1681">_xlfn._xlws.FILTER(shifts!A:A,(shifts!B:B=events!D1681)*(shifts!AH:AH&gt;=events!U1681)*(shifts!AI:AI&lt;=events!V1681))</f>
        <v>61</v>
      </c>
      <c r="X1681" t="str">
        <f t="shared" si="553"/>
        <v>opp_team_player_1</v>
      </c>
      <c r="Y1681">
        <f>COUNTIFS(A$3:A1681,"="&amp;A1681,K$3:K1681,"="&amp;K1681)</f>
        <v>1</v>
      </c>
      <c r="Z1681" s="20">
        <f>SUMIFS(T$3:T1681,L$3:L1681,"=Intermission")+SUMIFS(T$3:T1681,L$3:L1681,"=Timeout")+SUMIFS(T$3:T1681,L$3:L1681,"=Clockstop")</f>
        <v>138</v>
      </c>
      <c r="AA1681">
        <f t="shared" si="544"/>
        <v>2298</v>
      </c>
      <c r="AC1681">
        <f t="shared" si="545"/>
        <v>2436</v>
      </c>
    </row>
    <row r="1682" spans="1:29" x14ac:dyDescent="0.2">
      <c r="A1682">
        <v>912</v>
      </c>
      <c r="D1682">
        <f t="shared" si="546"/>
        <v>3</v>
      </c>
      <c r="E1682">
        <v>17</v>
      </c>
      <c r="F1682" s="6" t="s">
        <v>444</v>
      </c>
      <c r="I1682" t="s">
        <v>178</v>
      </c>
      <c r="J1682">
        <v>42</v>
      </c>
      <c r="K1682" t="s">
        <v>488</v>
      </c>
      <c r="L1682" t="s">
        <v>8</v>
      </c>
      <c r="M1682" t="s">
        <v>189</v>
      </c>
      <c r="N1682" t="s">
        <v>70</v>
      </c>
      <c r="Q1682">
        <f t="shared" ref="Q1682:S1682" si="564">Q1681</f>
        <v>18977</v>
      </c>
      <c r="R1682" t="str">
        <f t="shared" si="564"/>
        <v>Velodrome</v>
      </c>
      <c r="S1682" t="str">
        <f t="shared" si="564"/>
        <v>HollowBrook</v>
      </c>
      <c r="T1682" s="20">
        <f t="shared" si="550"/>
        <v>0</v>
      </c>
      <c r="U1682">
        <f t="shared" si="551"/>
        <v>1044</v>
      </c>
      <c r="V1682">
        <f t="shared" si="552"/>
        <v>1044</v>
      </c>
      <c r="W1682" cm="1">
        <f t="array" ref="W1682">_xlfn._xlws.FILTER(shifts!A:A,(shifts!B:B=events!D1682)*(shifts!AH:AH&gt;=events!U1682)*(shifts!AI:AI&lt;=events!V1682))</f>
        <v>61</v>
      </c>
      <c r="X1682" t="str">
        <f t="shared" si="553"/>
        <v>event_team_player_1</v>
      </c>
      <c r="Y1682">
        <f>COUNTIFS(A$3:A1682,"="&amp;A1682,K$3:K1682,"="&amp;K1682)</f>
        <v>1</v>
      </c>
      <c r="Z1682" s="20">
        <f>SUMIFS(T$3:T1682,L$3:L1682,"=Intermission")+SUMIFS(T$3:T1682,L$3:L1682,"=Timeout")+SUMIFS(T$3:T1682,L$3:L1682,"=Clockstop")</f>
        <v>138</v>
      </c>
      <c r="AA1682">
        <f t="shared" si="544"/>
        <v>2298</v>
      </c>
      <c r="AC1682">
        <f t="shared" si="545"/>
        <v>2436</v>
      </c>
    </row>
    <row r="1683" spans="1:29" x14ac:dyDescent="0.2">
      <c r="A1683">
        <v>912</v>
      </c>
      <c r="D1683">
        <f t="shared" si="546"/>
        <v>3</v>
      </c>
      <c r="E1683">
        <v>17</v>
      </c>
      <c r="F1683" s="6" t="s">
        <v>444</v>
      </c>
      <c r="I1683" t="s">
        <v>178</v>
      </c>
      <c r="J1683">
        <v>61</v>
      </c>
      <c r="K1683" t="s">
        <v>488</v>
      </c>
      <c r="L1683" t="s">
        <v>8</v>
      </c>
      <c r="M1683" t="s">
        <v>189</v>
      </c>
      <c r="N1683" t="s">
        <v>70</v>
      </c>
      <c r="Q1683">
        <f t="shared" ref="Q1683:S1683" si="565">Q1682</f>
        <v>18977</v>
      </c>
      <c r="R1683" t="str">
        <f t="shared" si="565"/>
        <v>Velodrome</v>
      </c>
      <c r="S1683" t="str">
        <f t="shared" si="565"/>
        <v>HollowBrook</v>
      </c>
      <c r="T1683" s="20">
        <f t="shared" si="550"/>
        <v>0</v>
      </c>
      <c r="U1683">
        <f t="shared" si="551"/>
        <v>1044</v>
      </c>
      <c r="V1683">
        <f t="shared" si="552"/>
        <v>1044</v>
      </c>
      <c r="W1683" cm="1">
        <f t="array" ref="W1683">_xlfn._xlws.FILTER(shifts!A:A,(shifts!B:B=events!D1683)*(shifts!AH:AH&gt;=events!U1683)*(shifts!AI:AI&lt;=events!V1683))</f>
        <v>61</v>
      </c>
      <c r="X1683" t="str">
        <f t="shared" si="553"/>
        <v>event_team_player_2</v>
      </c>
      <c r="Y1683">
        <f>COUNTIFS(A$3:A1683,"="&amp;A1683,K$3:K1683,"="&amp;K1683)</f>
        <v>2</v>
      </c>
      <c r="Z1683" s="20">
        <f>SUMIFS(T$3:T1683,L$3:L1683,"=Intermission")+SUMIFS(T$3:T1683,L$3:L1683,"=Timeout")+SUMIFS(T$3:T1683,L$3:L1683,"=Clockstop")</f>
        <v>138</v>
      </c>
      <c r="AA1683">
        <f t="shared" si="544"/>
        <v>2298</v>
      </c>
      <c r="AC1683">
        <f t="shared" si="545"/>
        <v>2436</v>
      </c>
    </row>
    <row r="1684" spans="1:29" x14ac:dyDescent="0.2">
      <c r="A1684">
        <v>912</v>
      </c>
      <c r="D1684">
        <f t="shared" si="546"/>
        <v>3</v>
      </c>
      <c r="E1684">
        <v>17</v>
      </c>
      <c r="F1684" s="6" t="s">
        <v>444</v>
      </c>
      <c r="I1684" t="s">
        <v>178</v>
      </c>
      <c r="J1684">
        <v>22</v>
      </c>
      <c r="K1684" t="s">
        <v>489</v>
      </c>
      <c r="L1684" t="s">
        <v>8</v>
      </c>
      <c r="M1684" t="s">
        <v>189</v>
      </c>
      <c r="N1684" t="s">
        <v>70</v>
      </c>
      <c r="Q1684">
        <f t="shared" ref="Q1684:S1684" si="566">Q1683</f>
        <v>18977</v>
      </c>
      <c r="R1684" t="str">
        <f t="shared" si="566"/>
        <v>Velodrome</v>
      </c>
      <c r="S1684" t="str">
        <f t="shared" si="566"/>
        <v>HollowBrook</v>
      </c>
      <c r="T1684" s="20">
        <f t="shared" si="550"/>
        <v>0</v>
      </c>
      <c r="U1684">
        <f t="shared" si="551"/>
        <v>1044</v>
      </c>
      <c r="V1684">
        <f t="shared" si="552"/>
        <v>1044</v>
      </c>
      <c r="W1684" cm="1">
        <f t="array" ref="W1684">_xlfn._xlws.FILTER(shifts!A:A,(shifts!B:B=events!D1684)*(shifts!AH:AH&gt;=events!U1684)*(shifts!AI:AI&lt;=events!V1684))</f>
        <v>61</v>
      </c>
      <c r="X1684" t="str">
        <f t="shared" si="553"/>
        <v>opp_team_player_1</v>
      </c>
      <c r="Y1684">
        <f>COUNTIFS(A$3:A1684,"="&amp;A1684,K$3:K1684,"="&amp;K1684)</f>
        <v>1</v>
      </c>
      <c r="Z1684" s="20">
        <f>SUMIFS(T$3:T1684,L$3:L1684,"=Intermission")+SUMIFS(T$3:T1684,L$3:L1684,"=Timeout")+SUMIFS(T$3:T1684,L$3:L1684,"=Clockstop")</f>
        <v>138</v>
      </c>
      <c r="AA1684">
        <f t="shared" si="544"/>
        <v>2298</v>
      </c>
      <c r="AC1684">
        <f t="shared" si="545"/>
        <v>2436</v>
      </c>
    </row>
    <row r="1685" spans="1:29" x14ac:dyDescent="0.2">
      <c r="A1685">
        <v>912</v>
      </c>
      <c r="D1685">
        <f t="shared" si="546"/>
        <v>3</v>
      </c>
      <c r="E1685">
        <v>17</v>
      </c>
      <c r="F1685" s="6" t="s">
        <v>444</v>
      </c>
      <c r="I1685" t="s">
        <v>178</v>
      </c>
      <c r="J1685">
        <v>28</v>
      </c>
      <c r="K1685" t="s">
        <v>489</v>
      </c>
      <c r="L1685" t="s">
        <v>8</v>
      </c>
      <c r="M1685" t="s">
        <v>189</v>
      </c>
      <c r="N1685" t="s">
        <v>70</v>
      </c>
      <c r="Q1685">
        <f t="shared" ref="Q1685:S1685" si="567">Q1684</f>
        <v>18977</v>
      </c>
      <c r="R1685" t="str">
        <f t="shared" si="567"/>
        <v>Velodrome</v>
      </c>
      <c r="S1685" t="str">
        <f t="shared" si="567"/>
        <v>HollowBrook</v>
      </c>
      <c r="T1685" s="20">
        <f t="shared" si="550"/>
        <v>0</v>
      </c>
      <c r="U1685">
        <f t="shared" si="551"/>
        <v>1044</v>
      </c>
      <c r="V1685">
        <f t="shared" si="552"/>
        <v>1044</v>
      </c>
      <c r="W1685" cm="1">
        <f t="array" ref="W1685">_xlfn._xlws.FILTER(shifts!A:A,(shifts!B:B=events!D1685)*(shifts!AH:AH&gt;=events!U1685)*(shifts!AI:AI&lt;=events!V1685))</f>
        <v>61</v>
      </c>
      <c r="X1685" t="str">
        <f t="shared" si="553"/>
        <v>opp_team_player_2</v>
      </c>
      <c r="Y1685">
        <f>COUNTIFS(A$3:A1685,"="&amp;A1685,K$3:K1685,"="&amp;K1685)</f>
        <v>2</v>
      </c>
      <c r="Z1685" s="20">
        <f>SUMIFS(T$3:T1685,L$3:L1685,"=Intermission")+SUMIFS(T$3:T1685,L$3:L1685,"=Timeout")+SUMIFS(T$3:T1685,L$3:L1685,"=Clockstop")</f>
        <v>138</v>
      </c>
      <c r="AA1685">
        <f t="shared" si="544"/>
        <v>2298</v>
      </c>
      <c r="AC1685">
        <f t="shared" si="545"/>
        <v>2436</v>
      </c>
    </row>
    <row r="1686" spans="1:29" x14ac:dyDescent="0.2">
      <c r="A1686">
        <v>913</v>
      </c>
      <c r="D1686">
        <f t="shared" si="546"/>
        <v>3</v>
      </c>
      <c r="E1686">
        <v>17</v>
      </c>
      <c r="F1686" s="6" t="s">
        <v>456</v>
      </c>
      <c r="I1686" t="s">
        <v>178</v>
      </c>
      <c r="J1686">
        <v>61</v>
      </c>
      <c r="K1686" t="s">
        <v>488</v>
      </c>
      <c r="L1686" t="s">
        <v>7</v>
      </c>
      <c r="M1686" t="s">
        <v>208</v>
      </c>
      <c r="N1686" t="s">
        <v>53</v>
      </c>
      <c r="Q1686">
        <f t="shared" ref="Q1686:S1686" si="568">Q1685</f>
        <v>18977</v>
      </c>
      <c r="R1686" t="str">
        <f t="shared" si="568"/>
        <v>Velodrome</v>
      </c>
      <c r="S1686" t="str">
        <f t="shared" si="568"/>
        <v>HollowBrook</v>
      </c>
      <c r="T1686" s="20">
        <f t="shared" si="550"/>
        <v>0</v>
      </c>
      <c r="U1686">
        <f t="shared" si="551"/>
        <v>1043</v>
      </c>
      <c r="V1686">
        <f t="shared" si="552"/>
        <v>1043</v>
      </c>
      <c r="W1686" cm="1">
        <f t="array" ref="W1686">_xlfn._xlws.FILTER(shifts!A:A,(shifts!B:B=events!D1686)*(shifts!AH:AH&gt;=events!U1686)*(shifts!AI:AI&lt;=events!V1686))</f>
        <v>61</v>
      </c>
      <c r="X1686" t="str">
        <f t="shared" si="553"/>
        <v>event_team_player_1</v>
      </c>
      <c r="Y1686">
        <f>COUNTIFS(A$3:A1686,"="&amp;A1686,K$3:K1686,"="&amp;K1686)</f>
        <v>1</v>
      </c>
      <c r="Z1686" s="20">
        <f>SUMIFS(T$3:T1686,L$3:L1686,"=Intermission")+SUMIFS(T$3:T1686,L$3:L1686,"=Timeout")+SUMIFS(T$3:T1686,L$3:L1686,"=Clockstop")</f>
        <v>138</v>
      </c>
      <c r="AA1686">
        <f t="shared" si="544"/>
        <v>2298</v>
      </c>
      <c r="AC1686">
        <f t="shared" si="545"/>
        <v>2436</v>
      </c>
    </row>
    <row r="1687" spans="1:29" x14ac:dyDescent="0.2">
      <c r="A1687">
        <v>913</v>
      </c>
      <c r="D1687">
        <f t="shared" si="546"/>
        <v>3</v>
      </c>
      <c r="E1687">
        <v>17</v>
      </c>
      <c r="F1687" s="6" t="s">
        <v>456</v>
      </c>
      <c r="I1687" t="s">
        <v>178</v>
      </c>
      <c r="J1687">
        <v>27</v>
      </c>
      <c r="K1687" t="s">
        <v>489</v>
      </c>
      <c r="L1687" t="s">
        <v>7</v>
      </c>
      <c r="M1687" t="s">
        <v>208</v>
      </c>
      <c r="N1687" t="s">
        <v>53</v>
      </c>
      <c r="Q1687">
        <f t="shared" ref="Q1687:S1687" si="569">Q1686</f>
        <v>18977</v>
      </c>
      <c r="R1687" t="str">
        <f t="shared" si="569"/>
        <v>Velodrome</v>
      </c>
      <c r="S1687" t="str">
        <f t="shared" si="569"/>
        <v>HollowBrook</v>
      </c>
      <c r="T1687" s="20">
        <f t="shared" si="550"/>
        <v>0</v>
      </c>
      <c r="U1687">
        <f t="shared" si="551"/>
        <v>1043</v>
      </c>
      <c r="V1687">
        <f t="shared" si="552"/>
        <v>1043</v>
      </c>
      <c r="W1687" cm="1">
        <f t="array" ref="W1687">_xlfn._xlws.FILTER(shifts!A:A,(shifts!B:B=events!D1687)*(shifts!AH:AH&gt;=events!U1687)*(shifts!AI:AI&lt;=events!V1687))</f>
        <v>61</v>
      </c>
      <c r="X1687" t="str">
        <f t="shared" si="553"/>
        <v>opp_team_player_1</v>
      </c>
      <c r="Y1687">
        <f>COUNTIFS(A$3:A1687,"="&amp;A1687,K$3:K1687,"="&amp;K1687)</f>
        <v>1</v>
      </c>
      <c r="Z1687" s="20">
        <f>SUMIFS(T$3:T1687,L$3:L1687,"=Intermission")+SUMIFS(T$3:T1687,L$3:L1687,"=Timeout")+SUMIFS(T$3:T1687,L$3:L1687,"=Clockstop")</f>
        <v>138</v>
      </c>
      <c r="AA1687">
        <f t="shared" si="544"/>
        <v>2298</v>
      </c>
      <c r="AC1687">
        <f t="shared" si="545"/>
        <v>2436</v>
      </c>
    </row>
    <row r="1688" spans="1:29" x14ac:dyDescent="0.2">
      <c r="A1688">
        <v>914</v>
      </c>
      <c r="D1688">
        <f t="shared" si="546"/>
        <v>3</v>
      </c>
      <c r="E1688">
        <v>17</v>
      </c>
      <c r="F1688" s="6" t="s">
        <v>446</v>
      </c>
      <c r="I1688" t="s">
        <v>178</v>
      </c>
      <c r="J1688">
        <v>61</v>
      </c>
      <c r="K1688" t="s">
        <v>488</v>
      </c>
      <c r="L1688" t="s">
        <v>13</v>
      </c>
      <c r="M1688" t="s">
        <v>204</v>
      </c>
      <c r="N1688" t="s">
        <v>107</v>
      </c>
      <c r="Q1688">
        <f t="shared" ref="Q1688:S1688" si="570">Q1687</f>
        <v>18977</v>
      </c>
      <c r="R1688" t="str">
        <f t="shared" si="570"/>
        <v>Velodrome</v>
      </c>
      <c r="S1688" t="str">
        <f t="shared" si="570"/>
        <v>HollowBrook</v>
      </c>
      <c r="T1688" s="20">
        <f t="shared" si="550"/>
        <v>0</v>
      </c>
      <c r="U1688">
        <f t="shared" si="551"/>
        <v>1037</v>
      </c>
      <c r="V1688">
        <f t="shared" si="552"/>
        <v>1037</v>
      </c>
      <c r="W1688" cm="1">
        <f t="array" ref="W1688">_xlfn._xlws.FILTER(shifts!A:A,(shifts!B:B=events!D1688)*(shifts!AH:AH&gt;=events!U1688)*(shifts!AI:AI&lt;=events!V1688))</f>
        <v>61</v>
      </c>
      <c r="X1688" t="str">
        <f t="shared" si="553"/>
        <v>event_team_player_1</v>
      </c>
      <c r="Y1688">
        <f>COUNTIFS(A$3:A1688,"="&amp;A1688,K$3:K1688,"="&amp;K1688)</f>
        <v>1</v>
      </c>
      <c r="Z1688" s="20">
        <f>SUMIFS(T$3:T1688,L$3:L1688,"=Intermission")+SUMIFS(T$3:T1688,L$3:L1688,"=Timeout")+SUMIFS(T$3:T1688,L$3:L1688,"=Clockstop")</f>
        <v>138</v>
      </c>
      <c r="AA1688">
        <f t="shared" si="544"/>
        <v>2298</v>
      </c>
      <c r="AC1688">
        <f t="shared" si="545"/>
        <v>2436</v>
      </c>
    </row>
    <row r="1689" spans="1:29" x14ac:dyDescent="0.2">
      <c r="A1689">
        <v>915</v>
      </c>
      <c r="D1689">
        <f t="shared" si="546"/>
        <v>3</v>
      </c>
      <c r="E1689">
        <v>17</v>
      </c>
      <c r="F1689" s="6" t="s">
        <v>446</v>
      </c>
      <c r="G1689">
        <v>16</v>
      </c>
      <c r="H1689" s="8" t="s">
        <v>428</v>
      </c>
      <c r="I1689" t="s">
        <v>178</v>
      </c>
      <c r="J1689">
        <v>61</v>
      </c>
      <c r="K1689" t="s">
        <v>488</v>
      </c>
      <c r="L1689" t="s">
        <v>282</v>
      </c>
      <c r="Q1689">
        <f t="shared" ref="Q1689:S1689" si="571">Q1688</f>
        <v>18977</v>
      </c>
      <c r="R1689" t="str">
        <f t="shared" si="571"/>
        <v>Velodrome</v>
      </c>
      <c r="S1689" t="str">
        <f t="shared" si="571"/>
        <v>HollowBrook</v>
      </c>
      <c r="T1689" s="20">
        <f t="shared" si="550"/>
        <v>25</v>
      </c>
      <c r="U1689">
        <f t="shared" si="551"/>
        <v>1037</v>
      </c>
      <c r="V1689">
        <f t="shared" si="552"/>
        <v>1012</v>
      </c>
      <c r="W1689">
        <v>62</v>
      </c>
      <c r="X1689" t="str">
        <f t="shared" si="553"/>
        <v>event_team_player_1</v>
      </c>
      <c r="Y1689">
        <f>COUNTIFS(A$3:A1689,"="&amp;A1689,K$3:K1689,"="&amp;K1689)</f>
        <v>1</v>
      </c>
      <c r="Z1689" s="20">
        <f>SUMIFS(T$3:T1689,L$3:L1689,"=Intermission")+SUMIFS(T$3:T1689,L$3:L1689,"=Timeout")+SUMIFS(T$3:T1689,L$3:L1689,"=Clockstop")</f>
        <v>138</v>
      </c>
      <c r="AA1689">
        <f t="shared" si="544"/>
        <v>2298</v>
      </c>
      <c r="AC1689">
        <f t="shared" si="545"/>
        <v>2436</v>
      </c>
    </row>
    <row r="1690" spans="1:29" x14ac:dyDescent="0.2">
      <c r="A1690">
        <v>916</v>
      </c>
      <c r="D1690">
        <f t="shared" si="546"/>
        <v>3</v>
      </c>
      <c r="E1690">
        <v>16</v>
      </c>
      <c r="F1690" s="6" t="s">
        <v>428</v>
      </c>
      <c r="I1690" t="s">
        <v>178</v>
      </c>
      <c r="J1690">
        <v>70</v>
      </c>
      <c r="K1690" t="s">
        <v>488</v>
      </c>
      <c r="L1690" t="s">
        <v>6</v>
      </c>
      <c r="M1690" t="s">
        <v>275</v>
      </c>
      <c r="Q1690">
        <f t="shared" ref="Q1690:S1690" si="572">Q1689</f>
        <v>18977</v>
      </c>
      <c r="R1690" t="str">
        <f t="shared" si="572"/>
        <v>Velodrome</v>
      </c>
      <c r="S1690" t="str">
        <f t="shared" si="572"/>
        <v>HollowBrook</v>
      </c>
      <c r="T1690" s="20">
        <f t="shared" si="550"/>
        <v>0</v>
      </c>
      <c r="U1690">
        <f t="shared" si="551"/>
        <v>1012</v>
      </c>
      <c r="V1690">
        <f t="shared" si="552"/>
        <v>1012</v>
      </c>
      <c r="W1690" cm="1">
        <f t="array" ref="W1690">_xlfn._xlws.FILTER(shifts!A:A,(shifts!B:B=events!D1690)*(shifts!AH:AH&gt;=events!U1690)*(shifts!AI:AI&lt;=events!V1690))</f>
        <v>62</v>
      </c>
      <c r="X1690" t="str">
        <f t="shared" si="553"/>
        <v>event_team_player_1</v>
      </c>
      <c r="Y1690">
        <f>COUNTIFS(A$3:A1690,"="&amp;A1690,K$3:K1690,"="&amp;K1690)</f>
        <v>1</v>
      </c>
      <c r="Z1690" s="20">
        <f>SUMIFS(T$3:T1690,L$3:L1690,"=Intermission")+SUMIFS(T$3:T1690,L$3:L1690,"=Timeout")+SUMIFS(T$3:T1690,L$3:L1690,"=Clockstop")</f>
        <v>138</v>
      </c>
      <c r="AA1690">
        <f t="shared" si="544"/>
        <v>2298</v>
      </c>
      <c r="AC1690">
        <f t="shared" si="545"/>
        <v>2436</v>
      </c>
    </row>
    <row r="1691" spans="1:29" x14ac:dyDescent="0.2">
      <c r="A1691">
        <v>916</v>
      </c>
      <c r="D1691">
        <f t="shared" si="546"/>
        <v>3</v>
      </c>
      <c r="E1691">
        <v>16</v>
      </c>
      <c r="F1691" s="6" t="s">
        <v>428</v>
      </c>
      <c r="I1691" t="s">
        <v>178</v>
      </c>
      <c r="J1691">
        <v>87</v>
      </c>
      <c r="K1691" t="s">
        <v>488</v>
      </c>
      <c r="L1691" t="s">
        <v>6</v>
      </c>
      <c r="M1691" t="s">
        <v>275</v>
      </c>
      <c r="Q1691">
        <f t="shared" ref="Q1691:S1691" si="573">Q1690</f>
        <v>18977</v>
      </c>
      <c r="R1691" t="str">
        <f t="shared" si="573"/>
        <v>Velodrome</v>
      </c>
      <c r="S1691" t="str">
        <f t="shared" si="573"/>
        <v>HollowBrook</v>
      </c>
      <c r="T1691" s="20">
        <f t="shared" si="550"/>
        <v>0</v>
      </c>
      <c r="U1691">
        <f t="shared" si="551"/>
        <v>1012</v>
      </c>
      <c r="V1691">
        <f t="shared" si="552"/>
        <v>1012</v>
      </c>
      <c r="W1691" cm="1">
        <f t="array" ref="W1691">_xlfn._xlws.FILTER(shifts!A:A,(shifts!B:B=events!D1691)*(shifts!AH:AH&gt;=events!U1691)*(shifts!AI:AI&lt;=events!V1691))</f>
        <v>62</v>
      </c>
      <c r="X1691" t="str">
        <f t="shared" si="553"/>
        <v>event_team_player_2</v>
      </c>
      <c r="Y1691">
        <f>COUNTIFS(A$3:A1691,"="&amp;A1691,K$3:K1691,"="&amp;K1691)</f>
        <v>2</v>
      </c>
      <c r="Z1691" s="20">
        <f>SUMIFS(T$3:T1691,L$3:L1691,"=Intermission")+SUMIFS(T$3:T1691,L$3:L1691,"=Timeout")+SUMIFS(T$3:T1691,L$3:L1691,"=Clockstop")</f>
        <v>138</v>
      </c>
      <c r="AA1691">
        <f t="shared" si="544"/>
        <v>2298</v>
      </c>
      <c r="AC1691">
        <f t="shared" si="545"/>
        <v>2436</v>
      </c>
    </row>
    <row r="1692" spans="1:29" x14ac:dyDescent="0.2">
      <c r="A1692">
        <v>916</v>
      </c>
      <c r="D1692">
        <f t="shared" si="546"/>
        <v>3</v>
      </c>
      <c r="E1692">
        <v>16</v>
      </c>
      <c r="F1692" s="6" t="s">
        <v>428</v>
      </c>
      <c r="I1692" t="s">
        <v>178</v>
      </c>
      <c r="J1692">
        <v>11</v>
      </c>
      <c r="K1692" t="s">
        <v>489</v>
      </c>
      <c r="L1692" t="s">
        <v>6</v>
      </c>
      <c r="M1692" t="s">
        <v>275</v>
      </c>
      <c r="Q1692">
        <f t="shared" ref="Q1692:S1692" si="574">Q1691</f>
        <v>18977</v>
      </c>
      <c r="R1692" t="str">
        <f t="shared" si="574"/>
        <v>Velodrome</v>
      </c>
      <c r="S1692" t="str">
        <f t="shared" si="574"/>
        <v>HollowBrook</v>
      </c>
      <c r="T1692" s="20">
        <f t="shared" si="550"/>
        <v>0</v>
      </c>
      <c r="U1692">
        <f t="shared" si="551"/>
        <v>1012</v>
      </c>
      <c r="V1692">
        <f t="shared" si="552"/>
        <v>1012</v>
      </c>
      <c r="W1692" cm="1">
        <f t="array" ref="W1692">_xlfn._xlws.FILTER(shifts!A:A,(shifts!B:B=events!D1692)*(shifts!AH:AH&gt;=events!U1692)*(shifts!AI:AI&lt;=events!V1692))</f>
        <v>62</v>
      </c>
      <c r="X1692" t="str">
        <f t="shared" si="553"/>
        <v>opp_team_player_1</v>
      </c>
      <c r="Y1692">
        <f>COUNTIFS(A$3:A1692,"="&amp;A1692,K$3:K1692,"="&amp;K1692)</f>
        <v>1</v>
      </c>
      <c r="Z1692" s="20">
        <f>SUMIFS(T$3:T1692,L$3:L1692,"=Intermission")+SUMIFS(T$3:T1692,L$3:L1692,"=Timeout")+SUMIFS(T$3:T1692,L$3:L1692,"=Clockstop")</f>
        <v>138</v>
      </c>
      <c r="AA1692">
        <f t="shared" si="544"/>
        <v>2298</v>
      </c>
      <c r="AC1692">
        <f t="shared" si="545"/>
        <v>2436</v>
      </c>
    </row>
    <row r="1693" spans="1:29" x14ac:dyDescent="0.2">
      <c r="A1693">
        <v>917</v>
      </c>
      <c r="D1693">
        <f t="shared" si="546"/>
        <v>3</v>
      </c>
      <c r="E1693">
        <v>16</v>
      </c>
      <c r="F1693" s="6" t="s">
        <v>477</v>
      </c>
      <c r="G1693">
        <v>16</v>
      </c>
      <c r="H1693" s="8" t="s">
        <v>432</v>
      </c>
      <c r="I1693" t="s">
        <v>178</v>
      </c>
      <c r="J1693">
        <v>87</v>
      </c>
      <c r="K1693" t="s">
        <v>488</v>
      </c>
      <c r="L1693" t="s">
        <v>15</v>
      </c>
      <c r="Q1693">
        <f t="shared" ref="Q1693:S1693" si="575">Q1692</f>
        <v>18977</v>
      </c>
      <c r="R1693" t="str">
        <f t="shared" si="575"/>
        <v>Velodrome</v>
      </c>
      <c r="S1693" t="str">
        <f t="shared" si="575"/>
        <v>HollowBrook</v>
      </c>
      <c r="T1693" s="20">
        <f t="shared" si="550"/>
        <v>1</v>
      </c>
      <c r="U1693">
        <f t="shared" si="551"/>
        <v>1011</v>
      </c>
      <c r="V1693">
        <f t="shared" si="552"/>
        <v>1010</v>
      </c>
      <c r="W1693" cm="1">
        <f t="array" ref="W1693">_xlfn._xlws.FILTER(shifts!A:A,(shifts!B:B=events!D1693)*(shifts!AH:AH&gt;=events!U1693)*(shifts!AI:AI&lt;=events!V1693))</f>
        <v>62</v>
      </c>
      <c r="X1693" t="str">
        <f t="shared" si="553"/>
        <v>event_team_player_1</v>
      </c>
      <c r="Y1693">
        <f>COUNTIFS(A$3:A1693,"="&amp;A1693,K$3:K1693,"="&amp;K1693)</f>
        <v>1</v>
      </c>
      <c r="Z1693" s="20">
        <f>SUMIFS(T$3:T1693,L$3:L1693,"=Intermission")+SUMIFS(T$3:T1693,L$3:L1693,"=Timeout")+SUMIFS(T$3:T1693,L$3:L1693,"=Clockstop")</f>
        <v>138</v>
      </c>
      <c r="AA1693">
        <f t="shared" si="544"/>
        <v>2298</v>
      </c>
      <c r="AC1693">
        <f t="shared" si="545"/>
        <v>2436</v>
      </c>
    </row>
    <row r="1694" spans="1:29" x14ac:dyDescent="0.2">
      <c r="A1694">
        <v>918</v>
      </c>
      <c r="D1694">
        <f t="shared" si="546"/>
        <v>3</v>
      </c>
      <c r="E1694">
        <v>16</v>
      </c>
      <c r="F1694" s="6" t="s">
        <v>432</v>
      </c>
      <c r="I1694" t="s">
        <v>178</v>
      </c>
      <c r="J1694">
        <v>87</v>
      </c>
      <c r="K1694" t="s">
        <v>488</v>
      </c>
      <c r="L1694" t="s">
        <v>7</v>
      </c>
      <c r="M1694" t="s">
        <v>208</v>
      </c>
      <c r="N1694" t="s">
        <v>53</v>
      </c>
      <c r="Q1694">
        <f t="shared" ref="Q1694:S1694" si="576">Q1693</f>
        <v>18977</v>
      </c>
      <c r="R1694" t="str">
        <f t="shared" si="576"/>
        <v>Velodrome</v>
      </c>
      <c r="S1694" t="str">
        <f t="shared" si="576"/>
        <v>HollowBrook</v>
      </c>
      <c r="T1694" s="20">
        <f t="shared" si="550"/>
        <v>0</v>
      </c>
      <c r="U1694">
        <f t="shared" si="551"/>
        <v>1010</v>
      </c>
      <c r="V1694">
        <f t="shared" si="552"/>
        <v>1010</v>
      </c>
      <c r="W1694" cm="1">
        <f t="array" ref="W1694">_xlfn._xlws.FILTER(shifts!A:A,(shifts!B:B=events!D1694)*(shifts!AH:AH&gt;=events!U1694)*(shifts!AI:AI&lt;=events!V1694))</f>
        <v>62</v>
      </c>
      <c r="X1694" t="str">
        <f t="shared" si="553"/>
        <v>event_team_player_1</v>
      </c>
      <c r="Y1694">
        <f>COUNTIFS(A$3:A1694,"="&amp;A1694,K$3:K1694,"="&amp;K1694)</f>
        <v>1</v>
      </c>
      <c r="Z1694" s="20">
        <f>SUMIFS(T$3:T1694,L$3:L1694,"=Intermission")+SUMIFS(T$3:T1694,L$3:L1694,"=Timeout")+SUMIFS(T$3:T1694,L$3:L1694,"=Clockstop")</f>
        <v>138</v>
      </c>
      <c r="AA1694">
        <f t="shared" si="544"/>
        <v>2298</v>
      </c>
      <c r="AC1694">
        <f t="shared" si="545"/>
        <v>2436</v>
      </c>
    </row>
    <row r="1695" spans="1:29" x14ac:dyDescent="0.2">
      <c r="A1695">
        <v>918</v>
      </c>
      <c r="D1695">
        <f t="shared" si="546"/>
        <v>3</v>
      </c>
      <c r="E1695">
        <v>16</v>
      </c>
      <c r="F1695" s="6" t="s">
        <v>432</v>
      </c>
      <c r="I1695" t="s">
        <v>178</v>
      </c>
      <c r="J1695">
        <v>19</v>
      </c>
      <c r="K1695" t="s">
        <v>489</v>
      </c>
      <c r="L1695" t="s">
        <v>7</v>
      </c>
      <c r="M1695" t="s">
        <v>208</v>
      </c>
      <c r="N1695" t="s">
        <v>53</v>
      </c>
      <c r="Q1695">
        <f t="shared" ref="Q1695:S1695" si="577">Q1694</f>
        <v>18977</v>
      </c>
      <c r="R1695" t="str">
        <f t="shared" si="577"/>
        <v>Velodrome</v>
      </c>
      <c r="S1695" t="str">
        <f t="shared" si="577"/>
        <v>HollowBrook</v>
      </c>
      <c r="T1695" s="20">
        <f t="shared" si="550"/>
        <v>0</v>
      </c>
      <c r="U1695">
        <f t="shared" si="551"/>
        <v>1010</v>
      </c>
      <c r="V1695">
        <f t="shared" si="552"/>
        <v>1010</v>
      </c>
      <c r="W1695" cm="1">
        <f t="array" ref="W1695">_xlfn._xlws.FILTER(shifts!A:A,(shifts!B:B=events!D1695)*(shifts!AH:AH&gt;=events!U1695)*(shifts!AI:AI&lt;=events!V1695))</f>
        <v>62</v>
      </c>
      <c r="X1695" t="str">
        <f t="shared" si="553"/>
        <v>opp_team_player_1</v>
      </c>
      <c r="Y1695">
        <f>COUNTIFS(A$3:A1695,"="&amp;A1695,K$3:K1695,"="&amp;K1695)</f>
        <v>1</v>
      </c>
      <c r="Z1695" s="20">
        <f>SUMIFS(T$3:T1695,L$3:L1695,"=Intermission")+SUMIFS(T$3:T1695,L$3:L1695,"=Timeout")+SUMIFS(T$3:T1695,L$3:L1695,"=Clockstop")</f>
        <v>138</v>
      </c>
      <c r="AA1695">
        <f t="shared" si="544"/>
        <v>2298</v>
      </c>
      <c r="AC1695">
        <f t="shared" si="545"/>
        <v>2436</v>
      </c>
    </row>
    <row r="1696" spans="1:29" x14ac:dyDescent="0.2">
      <c r="A1696">
        <v>919</v>
      </c>
      <c r="D1696">
        <f t="shared" si="546"/>
        <v>3</v>
      </c>
      <c r="E1696">
        <v>16</v>
      </c>
      <c r="F1696" s="6" t="s">
        <v>450</v>
      </c>
      <c r="I1696" t="s">
        <v>178</v>
      </c>
      <c r="J1696">
        <v>87</v>
      </c>
      <c r="K1696" t="s">
        <v>488</v>
      </c>
      <c r="L1696" t="s">
        <v>10</v>
      </c>
      <c r="M1696" t="s">
        <v>190</v>
      </c>
      <c r="N1696" t="s">
        <v>78</v>
      </c>
      <c r="Q1696">
        <f t="shared" ref="Q1696:S1696" si="578">Q1695</f>
        <v>18977</v>
      </c>
      <c r="R1696" t="str">
        <f t="shared" si="578"/>
        <v>Velodrome</v>
      </c>
      <c r="S1696" t="str">
        <f t="shared" si="578"/>
        <v>HollowBrook</v>
      </c>
      <c r="T1696" s="20">
        <f t="shared" si="550"/>
        <v>0</v>
      </c>
      <c r="U1696">
        <f t="shared" si="551"/>
        <v>1009</v>
      </c>
      <c r="V1696">
        <f t="shared" si="552"/>
        <v>1009</v>
      </c>
      <c r="W1696" cm="1">
        <f t="array" ref="W1696">_xlfn._xlws.FILTER(shifts!A:A,(shifts!B:B=events!D1696)*(shifts!AH:AH&gt;=events!U1696)*(shifts!AI:AI&lt;=events!V1696))</f>
        <v>62</v>
      </c>
      <c r="X1696" t="str">
        <f t="shared" si="553"/>
        <v>event_team_player_1</v>
      </c>
      <c r="Y1696">
        <f>COUNTIFS(A$3:A1696,"="&amp;A1696,K$3:K1696,"="&amp;K1696)</f>
        <v>1</v>
      </c>
      <c r="Z1696" s="20">
        <f>SUMIFS(T$3:T1696,L$3:L1696,"=Intermission")+SUMIFS(T$3:T1696,L$3:L1696,"=Timeout")+SUMIFS(T$3:T1696,L$3:L1696,"=Clockstop")</f>
        <v>138</v>
      </c>
      <c r="AA1696">
        <f t="shared" si="544"/>
        <v>2298</v>
      </c>
      <c r="AC1696">
        <f t="shared" si="545"/>
        <v>2436</v>
      </c>
    </row>
    <row r="1697" spans="1:29" x14ac:dyDescent="0.2">
      <c r="A1697">
        <v>919</v>
      </c>
      <c r="D1697">
        <f t="shared" si="546"/>
        <v>3</v>
      </c>
      <c r="E1697">
        <v>16</v>
      </c>
      <c r="F1697" s="6" t="s">
        <v>450</v>
      </c>
      <c r="I1697" t="s">
        <v>178</v>
      </c>
      <c r="J1697">
        <v>19</v>
      </c>
      <c r="K1697" t="s">
        <v>489</v>
      </c>
      <c r="L1697" t="s">
        <v>10</v>
      </c>
      <c r="M1697" t="s">
        <v>190</v>
      </c>
      <c r="N1697" t="s">
        <v>78</v>
      </c>
      <c r="Q1697">
        <f t="shared" ref="Q1697:S1697" si="579">Q1696</f>
        <v>18977</v>
      </c>
      <c r="R1697" t="str">
        <f t="shared" si="579"/>
        <v>Velodrome</v>
      </c>
      <c r="S1697" t="str">
        <f t="shared" si="579"/>
        <v>HollowBrook</v>
      </c>
      <c r="T1697" s="20">
        <f t="shared" si="550"/>
        <v>0</v>
      </c>
      <c r="U1697">
        <f t="shared" si="551"/>
        <v>1009</v>
      </c>
      <c r="V1697">
        <f t="shared" si="552"/>
        <v>1009</v>
      </c>
      <c r="W1697" cm="1">
        <f t="array" ref="W1697">_xlfn._xlws.FILTER(shifts!A:A,(shifts!B:B=events!D1697)*(shifts!AH:AH&gt;=events!U1697)*(shifts!AI:AI&lt;=events!V1697))</f>
        <v>62</v>
      </c>
      <c r="X1697" t="str">
        <f t="shared" si="553"/>
        <v>opp_team_player_1</v>
      </c>
      <c r="Y1697">
        <f>COUNTIFS(A$3:A1697,"="&amp;A1697,K$3:K1697,"="&amp;K1697)</f>
        <v>1</v>
      </c>
      <c r="Z1697" s="20">
        <f>SUMIFS(T$3:T1697,L$3:L1697,"=Intermission")+SUMIFS(T$3:T1697,L$3:L1697,"=Timeout")+SUMIFS(T$3:T1697,L$3:L1697,"=Clockstop")</f>
        <v>138</v>
      </c>
      <c r="AA1697">
        <f t="shared" si="544"/>
        <v>2298</v>
      </c>
      <c r="AC1697">
        <f t="shared" si="545"/>
        <v>2436</v>
      </c>
    </row>
    <row r="1698" spans="1:29" x14ac:dyDescent="0.2">
      <c r="A1698">
        <v>920</v>
      </c>
      <c r="D1698">
        <f t="shared" si="546"/>
        <v>3</v>
      </c>
      <c r="E1698">
        <v>16</v>
      </c>
      <c r="F1698" s="6" t="s">
        <v>434</v>
      </c>
      <c r="I1698" t="s">
        <v>179</v>
      </c>
      <c r="J1698">
        <v>19</v>
      </c>
      <c r="K1698" t="s">
        <v>488</v>
      </c>
      <c r="L1698" t="s">
        <v>277</v>
      </c>
      <c r="M1698" t="s">
        <v>201</v>
      </c>
      <c r="N1698" t="s">
        <v>499</v>
      </c>
      <c r="Q1698">
        <f t="shared" ref="Q1698:S1698" si="580">Q1697</f>
        <v>18977</v>
      </c>
      <c r="R1698" t="str">
        <f t="shared" si="580"/>
        <v>Velodrome</v>
      </c>
      <c r="S1698" t="str">
        <f t="shared" si="580"/>
        <v>HollowBrook</v>
      </c>
      <c r="T1698" s="20">
        <f t="shared" si="550"/>
        <v>0</v>
      </c>
      <c r="U1698">
        <f t="shared" si="551"/>
        <v>1007</v>
      </c>
      <c r="V1698">
        <f t="shared" si="552"/>
        <v>1007</v>
      </c>
      <c r="W1698" cm="1">
        <f t="array" ref="W1698">_xlfn._xlws.FILTER(shifts!A:A,(shifts!B:B=events!D1698)*(shifts!AH:AH&gt;=events!U1698)*(shifts!AI:AI&lt;=events!V1698))</f>
        <v>62</v>
      </c>
      <c r="X1698" t="str">
        <f t="shared" si="553"/>
        <v>event_team_player_1</v>
      </c>
      <c r="Y1698">
        <f>COUNTIFS(A$3:A1698,"="&amp;A1698,K$3:K1698,"="&amp;K1698)</f>
        <v>1</v>
      </c>
      <c r="Z1698" s="20">
        <f>SUMIFS(T$3:T1698,L$3:L1698,"=Intermission")+SUMIFS(T$3:T1698,L$3:L1698,"=Timeout")+SUMIFS(T$3:T1698,L$3:L1698,"=Clockstop")</f>
        <v>138</v>
      </c>
      <c r="AA1698">
        <f t="shared" si="544"/>
        <v>2298</v>
      </c>
      <c r="AC1698">
        <f t="shared" si="545"/>
        <v>2436</v>
      </c>
    </row>
    <row r="1699" spans="1:29" x14ac:dyDescent="0.2">
      <c r="A1699">
        <v>920</v>
      </c>
      <c r="D1699">
        <f t="shared" si="546"/>
        <v>3</v>
      </c>
      <c r="E1699">
        <v>16</v>
      </c>
      <c r="F1699" s="6" t="s">
        <v>434</v>
      </c>
      <c r="I1699" t="s">
        <v>179</v>
      </c>
      <c r="J1699">
        <v>87</v>
      </c>
      <c r="K1699" t="s">
        <v>489</v>
      </c>
      <c r="L1699" t="s">
        <v>277</v>
      </c>
      <c r="M1699" t="s">
        <v>201</v>
      </c>
      <c r="N1699" t="s">
        <v>499</v>
      </c>
      <c r="Q1699">
        <f t="shared" ref="Q1699:S1699" si="581">Q1698</f>
        <v>18977</v>
      </c>
      <c r="R1699" t="str">
        <f t="shared" si="581"/>
        <v>Velodrome</v>
      </c>
      <c r="S1699" t="str">
        <f t="shared" si="581"/>
        <v>HollowBrook</v>
      </c>
      <c r="T1699" s="20">
        <f t="shared" si="550"/>
        <v>0</v>
      </c>
      <c r="U1699">
        <f t="shared" si="551"/>
        <v>1007</v>
      </c>
      <c r="V1699">
        <f t="shared" si="552"/>
        <v>1007</v>
      </c>
      <c r="W1699" cm="1">
        <f t="array" ref="W1699">_xlfn._xlws.FILTER(shifts!A:A,(shifts!B:B=events!D1699)*(shifts!AH:AH&gt;=events!U1699)*(shifts!AI:AI&lt;=events!V1699))</f>
        <v>62</v>
      </c>
      <c r="X1699" t="str">
        <f t="shared" si="553"/>
        <v>opp_team_player_1</v>
      </c>
      <c r="Y1699">
        <f>COUNTIFS(A$3:A1699,"="&amp;A1699,K$3:K1699,"="&amp;K1699)</f>
        <v>1</v>
      </c>
      <c r="Z1699" s="20">
        <f>SUMIFS(T$3:T1699,L$3:L1699,"=Intermission")+SUMIFS(T$3:T1699,L$3:L1699,"=Timeout")+SUMIFS(T$3:T1699,L$3:L1699,"=Clockstop")</f>
        <v>138</v>
      </c>
      <c r="AA1699">
        <f t="shared" si="544"/>
        <v>2298</v>
      </c>
      <c r="AC1699">
        <f t="shared" si="545"/>
        <v>2436</v>
      </c>
    </row>
    <row r="1700" spans="1:29" x14ac:dyDescent="0.2">
      <c r="A1700">
        <v>921</v>
      </c>
      <c r="D1700">
        <f t="shared" si="546"/>
        <v>3</v>
      </c>
      <c r="E1700">
        <v>16</v>
      </c>
      <c r="F1700" s="6" t="s">
        <v>435</v>
      </c>
      <c r="I1700" t="s">
        <v>179</v>
      </c>
      <c r="J1700">
        <v>19</v>
      </c>
      <c r="K1700" t="s">
        <v>488</v>
      </c>
      <c r="L1700" t="s">
        <v>277</v>
      </c>
      <c r="M1700" t="s">
        <v>191</v>
      </c>
      <c r="N1700" t="s">
        <v>515</v>
      </c>
      <c r="Q1700">
        <f t="shared" ref="Q1700:S1700" si="582">Q1699</f>
        <v>18977</v>
      </c>
      <c r="R1700" t="str">
        <f t="shared" si="582"/>
        <v>Velodrome</v>
      </c>
      <c r="S1700" t="str">
        <f t="shared" si="582"/>
        <v>HollowBrook</v>
      </c>
      <c r="T1700" s="20">
        <f t="shared" si="550"/>
        <v>0</v>
      </c>
      <c r="U1700">
        <f t="shared" si="551"/>
        <v>1004</v>
      </c>
      <c r="V1700">
        <f t="shared" si="552"/>
        <v>1004</v>
      </c>
      <c r="W1700" cm="1">
        <f t="array" ref="W1700">_xlfn._xlws.FILTER(shifts!A:A,(shifts!B:B=events!D1700)*(shifts!AH:AH&gt;=events!U1700)*(shifts!AI:AI&lt;=events!V1700))</f>
        <v>62</v>
      </c>
      <c r="X1700" t="str">
        <f t="shared" si="553"/>
        <v>event_team_player_1</v>
      </c>
      <c r="Y1700">
        <f>COUNTIFS(A$3:A1700,"="&amp;A1700,K$3:K1700,"="&amp;K1700)</f>
        <v>1</v>
      </c>
      <c r="Z1700" s="20">
        <f>SUMIFS(T$3:T1700,L$3:L1700,"=Intermission")+SUMIFS(T$3:T1700,L$3:L1700,"=Timeout")+SUMIFS(T$3:T1700,L$3:L1700,"=Clockstop")</f>
        <v>138</v>
      </c>
      <c r="AA1700">
        <f t="shared" si="544"/>
        <v>2298</v>
      </c>
      <c r="AC1700">
        <f t="shared" si="545"/>
        <v>2436</v>
      </c>
    </row>
    <row r="1701" spans="1:29" x14ac:dyDescent="0.2">
      <c r="A1701">
        <v>921</v>
      </c>
      <c r="D1701">
        <f t="shared" si="546"/>
        <v>3</v>
      </c>
      <c r="E1701">
        <v>16</v>
      </c>
      <c r="F1701" s="6" t="s">
        <v>435</v>
      </c>
      <c r="I1701" t="s">
        <v>179</v>
      </c>
      <c r="J1701">
        <v>87</v>
      </c>
      <c r="K1701" t="s">
        <v>489</v>
      </c>
      <c r="L1701" t="s">
        <v>277</v>
      </c>
      <c r="M1701" t="s">
        <v>191</v>
      </c>
      <c r="N1701" t="s">
        <v>515</v>
      </c>
      <c r="Q1701">
        <f t="shared" ref="Q1701:S1701" si="583">Q1700</f>
        <v>18977</v>
      </c>
      <c r="R1701" t="str">
        <f t="shared" si="583"/>
        <v>Velodrome</v>
      </c>
      <c r="S1701" t="str">
        <f t="shared" si="583"/>
        <v>HollowBrook</v>
      </c>
      <c r="T1701" s="20">
        <f t="shared" si="550"/>
        <v>0</v>
      </c>
      <c r="U1701">
        <f t="shared" si="551"/>
        <v>1004</v>
      </c>
      <c r="V1701">
        <f t="shared" si="552"/>
        <v>1004</v>
      </c>
      <c r="W1701" cm="1">
        <f t="array" ref="W1701">_xlfn._xlws.FILTER(shifts!A:A,(shifts!B:B=events!D1701)*(shifts!AH:AH&gt;=events!U1701)*(shifts!AI:AI&lt;=events!V1701))</f>
        <v>62</v>
      </c>
      <c r="X1701" t="str">
        <f t="shared" si="553"/>
        <v>opp_team_player_1</v>
      </c>
      <c r="Y1701">
        <f>COUNTIFS(A$3:A1701,"="&amp;A1701,K$3:K1701,"="&amp;K1701)</f>
        <v>1</v>
      </c>
      <c r="Z1701" s="20">
        <f>SUMIFS(T$3:T1701,L$3:L1701,"=Intermission")+SUMIFS(T$3:T1701,L$3:L1701,"=Timeout")+SUMIFS(T$3:T1701,L$3:L1701,"=Clockstop")</f>
        <v>138</v>
      </c>
      <c r="AA1701">
        <f t="shared" si="544"/>
        <v>2298</v>
      </c>
      <c r="AC1701">
        <f t="shared" si="545"/>
        <v>2436</v>
      </c>
    </row>
    <row r="1702" spans="1:29" x14ac:dyDescent="0.2">
      <c r="A1702">
        <v>921</v>
      </c>
      <c r="D1702">
        <f t="shared" si="546"/>
        <v>3</v>
      </c>
      <c r="E1702">
        <v>16</v>
      </c>
      <c r="F1702" s="6" t="s">
        <v>435</v>
      </c>
      <c r="I1702" t="s">
        <v>179</v>
      </c>
      <c r="J1702">
        <v>52</v>
      </c>
      <c r="K1702" t="s">
        <v>489</v>
      </c>
      <c r="L1702" t="s">
        <v>277</v>
      </c>
      <c r="M1702" t="s">
        <v>191</v>
      </c>
      <c r="N1702" t="s">
        <v>515</v>
      </c>
      <c r="Q1702">
        <f t="shared" ref="Q1702:S1702" si="584">Q1701</f>
        <v>18977</v>
      </c>
      <c r="R1702" t="str">
        <f t="shared" si="584"/>
        <v>Velodrome</v>
      </c>
      <c r="S1702" t="str">
        <f t="shared" si="584"/>
        <v>HollowBrook</v>
      </c>
      <c r="T1702" s="20">
        <f t="shared" si="550"/>
        <v>0</v>
      </c>
      <c r="U1702">
        <f t="shared" si="551"/>
        <v>1004</v>
      </c>
      <c r="V1702">
        <f t="shared" si="552"/>
        <v>1004</v>
      </c>
      <c r="W1702" cm="1">
        <f t="array" ref="W1702">_xlfn._xlws.FILTER(shifts!A:A,(shifts!B:B=events!D1702)*(shifts!AH:AH&gt;=events!U1702)*(shifts!AI:AI&lt;=events!V1702))</f>
        <v>62</v>
      </c>
      <c r="X1702" t="str">
        <f t="shared" si="553"/>
        <v>opp_team_player_2</v>
      </c>
      <c r="Y1702">
        <f>COUNTIFS(A$3:A1702,"="&amp;A1702,K$3:K1702,"="&amp;K1702)</f>
        <v>2</v>
      </c>
      <c r="Z1702" s="20">
        <f>SUMIFS(T$3:T1702,L$3:L1702,"=Intermission")+SUMIFS(T$3:T1702,L$3:L1702,"=Timeout")+SUMIFS(T$3:T1702,L$3:L1702,"=Clockstop")</f>
        <v>138</v>
      </c>
      <c r="AA1702">
        <f t="shared" si="544"/>
        <v>2298</v>
      </c>
      <c r="AC1702">
        <f t="shared" si="545"/>
        <v>2436</v>
      </c>
    </row>
    <row r="1703" spans="1:29" x14ac:dyDescent="0.2">
      <c r="A1703">
        <v>922</v>
      </c>
      <c r="D1703">
        <f t="shared" si="546"/>
        <v>3</v>
      </c>
      <c r="E1703">
        <v>16</v>
      </c>
      <c r="F1703" s="6" t="s">
        <v>435</v>
      </c>
      <c r="I1703" t="s">
        <v>178</v>
      </c>
      <c r="J1703">
        <v>87</v>
      </c>
      <c r="K1703" t="s">
        <v>488</v>
      </c>
      <c r="L1703" t="s">
        <v>10</v>
      </c>
      <c r="M1703" t="s">
        <v>200</v>
      </c>
      <c r="N1703" t="s">
        <v>81</v>
      </c>
      <c r="Q1703">
        <f t="shared" ref="Q1703:S1703" si="585">Q1702</f>
        <v>18977</v>
      </c>
      <c r="R1703" t="str">
        <f t="shared" si="585"/>
        <v>Velodrome</v>
      </c>
      <c r="S1703" t="str">
        <f t="shared" si="585"/>
        <v>HollowBrook</v>
      </c>
      <c r="T1703" s="20">
        <f t="shared" si="550"/>
        <v>0</v>
      </c>
      <c r="U1703">
        <f t="shared" si="551"/>
        <v>1004</v>
      </c>
      <c r="V1703">
        <f t="shared" si="552"/>
        <v>1004</v>
      </c>
      <c r="W1703" cm="1">
        <f t="array" ref="W1703">_xlfn._xlws.FILTER(shifts!A:A,(shifts!B:B=events!D1703)*(shifts!AH:AH&gt;=events!U1703)*(shifts!AI:AI&lt;=events!V1703))</f>
        <v>62</v>
      </c>
      <c r="X1703" t="str">
        <f t="shared" si="553"/>
        <v>event_team_player_1</v>
      </c>
      <c r="Y1703">
        <f>COUNTIFS(A$3:A1703,"="&amp;A1703,K$3:K1703,"="&amp;K1703)</f>
        <v>1</v>
      </c>
      <c r="Z1703" s="20">
        <f>SUMIFS(T$3:T1703,L$3:L1703,"=Intermission")+SUMIFS(T$3:T1703,L$3:L1703,"=Timeout")+SUMIFS(T$3:T1703,L$3:L1703,"=Clockstop")</f>
        <v>138</v>
      </c>
      <c r="AA1703">
        <f t="shared" si="544"/>
        <v>2298</v>
      </c>
      <c r="AC1703">
        <f t="shared" si="545"/>
        <v>2436</v>
      </c>
    </row>
    <row r="1704" spans="1:29" x14ac:dyDescent="0.2">
      <c r="A1704">
        <v>922</v>
      </c>
      <c r="D1704">
        <f t="shared" si="546"/>
        <v>3</v>
      </c>
      <c r="E1704">
        <v>16</v>
      </c>
      <c r="F1704" s="6" t="s">
        <v>435</v>
      </c>
      <c r="I1704" t="s">
        <v>178</v>
      </c>
      <c r="J1704">
        <v>19</v>
      </c>
      <c r="K1704" t="s">
        <v>489</v>
      </c>
      <c r="L1704" t="s">
        <v>10</v>
      </c>
      <c r="M1704" t="s">
        <v>200</v>
      </c>
      <c r="N1704" t="s">
        <v>81</v>
      </c>
      <c r="Q1704">
        <f t="shared" ref="Q1704:S1704" si="586">Q1703</f>
        <v>18977</v>
      </c>
      <c r="R1704" t="str">
        <f t="shared" si="586"/>
        <v>Velodrome</v>
      </c>
      <c r="S1704" t="str">
        <f t="shared" si="586"/>
        <v>HollowBrook</v>
      </c>
      <c r="T1704" s="20">
        <f t="shared" si="550"/>
        <v>0</v>
      </c>
      <c r="U1704">
        <f t="shared" si="551"/>
        <v>1004</v>
      </c>
      <c r="V1704">
        <f t="shared" si="552"/>
        <v>1004</v>
      </c>
      <c r="W1704" cm="1">
        <f t="array" ref="W1704">_xlfn._xlws.FILTER(shifts!A:A,(shifts!B:B=events!D1704)*(shifts!AH:AH&gt;=events!U1704)*(shifts!AI:AI&lt;=events!V1704))</f>
        <v>62</v>
      </c>
      <c r="X1704" t="str">
        <f t="shared" si="553"/>
        <v>opp_team_player_1</v>
      </c>
      <c r="Y1704">
        <f>COUNTIFS(A$3:A1704,"="&amp;A1704,K$3:K1704,"="&amp;K1704)</f>
        <v>1</v>
      </c>
      <c r="Z1704" s="20">
        <f>SUMIFS(T$3:T1704,L$3:L1704,"=Intermission")+SUMIFS(T$3:T1704,L$3:L1704,"=Timeout")+SUMIFS(T$3:T1704,L$3:L1704,"=Clockstop")</f>
        <v>138</v>
      </c>
      <c r="AA1704">
        <f t="shared" si="544"/>
        <v>2298</v>
      </c>
      <c r="AC1704">
        <f t="shared" si="545"/>
        <v>2436</v>
      </c>
    </row>
    <row r="1705" spans="1:29" x14ac:dyDescent="0.2">
      <c r="A1705">
        <v>923</v>
      </c>
      <c r="D1705">
        <f t="shared" si="546"/>
        <v>3</v>
      </c>
      <c r="E1705">
        <v>16</v>
      </c>
      <c r="F1705" s="6" t="s">
        <v>431</v>
      </c>
      <c r="I1705" t="s">
        <v>178</v>
      </c>
      <c r="J1705">
        <v>52</v>
      </c>
      <c r="K1705" t="s">
        <v>488</v>
      </c>
      <c r="L1705" t="s">
        <v>8</v>
      </c>
      <c r="M1705" t="s">
        <v>189</v>
      </c>
      <c r="N1705" t="s">
        <v>69</v>
      </c>
      <c r="Q1705">
        <f t="shared" ref="Q1705:S1705" si="587">Q1704</f>
        <v>18977</v>
      </c>
      <c r="R1705" t="str">
        <f t="shared" si="587"/>
        <v>Velodrome</v>
      </c>
      <c r="S1705" t="str">
        <f t="shared" si="587"/>
        <v>HollowBrook</v>
      </c>
      <c r="T1705" s="20">
        <f t="shared" si="550"/>
        <v>0</v>
      </c>
      <c r="U1705">
        <f t="shared" si="551"/>
        <v>1001</v>
      </c>
      <c r="V1705">
        <f t="shared" si="552"/>
        <v>1001</v>
      </c>
      <c r="W1705" cm="1">
        <f t="array" ref="W1705">_xlfn._xlws.FILTER(shifts!A:A,(shifts!B:B=events!D1705)*(shifts!AH:AH&gt;=events!U1705)*(shifts!AI:AI&lt;=events!V1705))</f>
        <v>62</v>
      </c>
      <c r="X1705" t="str">
        <f t="shared" si="553"/>
        <v>event_team_player_1</v>
      </c>
      <c r="Y1705">
        <f>COUNTIFS(A$3:A1705,"="&amp;A1705,K$3:K1705,"="&amp;K1705)</f>
        <v>1</v>
      </c>
      <c r="Z1705" s="20">
        <f>SUMIFS(T$3:T1705,L$3:L1705,"=Intermission")+SUMIFS(T$3:T1705,L$3:L1705,"=Timeout")+SUMIFS(T$3:T1705,L$3:L1705,"=Clockstop")</f>
        <v>138</v>
      </c>
      <c r="AA1705">
        <f t="shared" si="544"/>
        <v>2298</v>
      </c>
      <c r="AC1705">
        <f t="shared" si="545"/>
        <v>2436</v>
      </c>
    </row>
    <row r="1706" spans="1:29" x14ac:dyDescent="0.2">
      <c r="A1706">
        <v>923</v>
      </c>
      <c r="D1706">
        <f t="shared" si="546"/>
        <v>3</v>
      </c>
      <c r="E1706">
        <v>16</v>
      </c>
      <c r="F1706" s="6" t="s">
        <v>431</v>
      </c>
      <c r="I1706" t="s">
        <v>178</v>
      </c>
      <c r="J1706">
        <v>70</v>
      </c>
      <c r="K1706" t="s">
        <v>488</v>
      </c>
      <c r="L1706" t="s">
        <v>8</v>
      </c>
      <c r="M1706" t="s">
        <v>189</v>
      </c>
      <c r="N1706" t="s">
        <v>69</v>
      </c>
      <c r="Q1706">
        <f t="shared" ref="Q1706:S1706" si="588">Q1705</f>
        <v>18977</v>
      </c>
      <c r="R1706" t="str">
        <f t="shared" si="588"/>
        <v>Velodrome</v>
      </c>
      <c r="S1706" t="str">
        <f t="shared" si="588"/>
        <v>HollowBrook</v>
      </c>
      <c r="T1706" s="20">
        <f t="shared" si="550"/>
        <v>0</v>
      </c>
      <c r="U1706">
        <f t="shared" si="551"/>
        <v>1001</v>
      </c>
      <c r="V1706">
        <f t="shared" si="552"/>
        <v>1001</v>
      </c>
      <c r="W1706" cm="1">
        <f t="array" ref="W1706">_xlfn._xlws.FILTER(shifts!A:A,(shifts!B:B=events!D1706)*(shifts!AH:AH&gt;=events!U1706)*(shifts!AI:AI&lt;=events!V1706))</f>
        <v>62</v>
      </c>
      <c r="X1706" t="str">
        <f t="shared" si="553"/>
        <v>event_team_player_2</v>
      </c>
      <c r="Y1706">
        <f>COUNTIFS(A$3:A1706,"="&amp;A1706,K$3:K1706,"="&amp;K1706)</f>
        <v>2</v>
      </c>
      <c r="Z1706" s="20">
        <f>SUMIFS(T$3:T1706,L$3:L1706,"=Intermission")+SUMIFS(T$3:T1706,L$3:L1706,"=Timeout")+SUMIFS(T$3:T1706,L$3:L1706,"=Clockstop")</f>
        <v>138</v>
      </c>
      <c r="AA1706">
        <f t="shared" si="544"/>
        <v>2298</v>
      </c>
      <c r="AC1706">
        <f t="shared" si="545"/>
        <v>2436</v>
      </c>
    </row>
    <row r="1707" spans="1:29" x14ac:dyDescent="0.2">
      <c r="A1707">
        <v>923</v>
      </c>
      <c r="D1707">
        <f t="shared" si="546"/>
        <v>3</v>
      </c>
      <c r="E1707">
        <v>16</v>
      </c>
      <c r="F1707" s="6" t="s">
        <v>431</v>
      </c>
      <c r="I1707" t="s">
        <v>178</v>
      </c>
      <c r="J1707">
        <v>19</v>
      </c>
      <c r="K1707" t="s">
        <v>489</v>
      </c>
      <c r="L1707" t="s">
        <v>8</v>
      </c>
      <c r="M1707" t="s">
        <v>189</v>
      </c>
      <c r="N1707" t="s">
        <v>69</v>
      </c>
      <c r="Q1707">
        <f t="shared" ref="Q1707:S1707" si="589">Q1706</f>
        <v>18977</v>
      </c>
      <c r="R1707" t="str">
        <f t="shared" si="589"/>
        <v>Velodrome</v>
      </c>
      <c r="S1707" t="str">
        <f t="shared" si="589"/>
        <v>HollowBrook</v>
      </c>
      <c r="T1707" s="20">
        <f t="shared" si="550"/>
        <v>0</v>
      </c>
      <c r="U1707">
        <f t="shared" si="551"/>
        <v>1001</v>
      </c>
      <c r="V1707">
        <f t="shared" si="552"/>
        <v>1001</v>
      </c>
      <c r="W1707" cm="1">
        <f t="array" ref="W1707">_xlfn._xlws.FILTER(shifts!A:A,(shifts!B:B=events!D1707)*(shifts!AH:AH&gt;=events!U1707)*(shifts!AI:AI&lt;=events!V1707))</f>
        <v>62</v>
      </c>
      <c r="X1707" t="str">
        <f t="shared" si="553"/>
        <v>opp_team_player_1</v>
      </c>
      <c r="Y1707">
        <f>COUNTIFS(A$3:A1707,"="&amp;A1707,K$3:K1707,"="&amp;K1707)</f>
        <v>1</v>
      </c>
      <c r="Z1707" s="20">
        <f>SUMIFS(T$3:T1707,L$3:L1707,"=Intermission")+SUMIFS(T$3:T1707,L$3:L1707,"=Timeout")+SUMIFS(T$3:T1707,L$3:L1707,"=Clockstop")</f>
        <v>138</v>
      </c>
      <c r="AA1707">
        <f t="shared" si="544"/>
        <v>2298</v>
      </c>
      <c r="AC1707">
        <f t="shared" si="545"/>
        <v>2436</v>
      </c>
    </row>
    <row r="1708" spans="1:29" x14ac:dyDescent="0.2">
      <c r="A1708">
        <v>924</v>
      </c>
      <c r="D1708">
        <f t="shared" si="546"/>
        <v>3</v>
      </c>
      <c r="E1708">
        <v>16</v>
      </c>
      <c r="F1708" s="6" t="s">
        <v>437</v>
      </c>
      <c r="G1708">
        <v>16</v>
      </c>
      <c r="H1708" s="8" t="s">
        <v>438</v>
      </c>
      <c r="I1708" t="s">
        <v>178</v>
      </c>
      <c r="J1708">
        <v>70</v>
      </c>
      <c r="K1708" t="s">
        <v>488</v>
      </c>
      <c r="L1708" t="s">
        <v>15</v>
      </c>
      <c r="Q1708">
        <f t="shared" ref="Q1708:S1708" si="590">Q1707</f>
        <v>18977</v>
      </c>
      <c r="R1708" t="str">
        <f t="shared" si="590"/>
        <v>Velodrome</v>
      </c>
      <c r="S1708" t="str">
        <f t="shared" si="590"/>
        <v>HollowBrook</v>
      </c>
      <c r="T1708" s="20">
        <f t="shared" si="550"/>
        <v>2</v>
      </c>
      <c r="U1708">
        <f t="shared" si="551"/>
        <v>1000</v>
      </c>
      <c r="V1708">
        <f t="shared" si="552"/>
        <v>998</v>
      </c>
      <c r="W1708" cm="1">
        <f t="array" ref="W1708">_xlfn._xlws.FILTER(shifts!A:A,(shifts!B:B=events!D1708)*(shifts!AH:AH&gt;=events!U1708)*(shifts!AI:AI&lt;=events!V1708))</f>
        <v>62</v>
      </c>
      <c r="X1708" t="str">
        <f t="shared" si="553"/>
        <v>event_team_player_1</v>
      </c>
      <c r="Y1708">
        <f>COUNTIFS(A$3:A1708,"="&amp;A1708,K$3:K1708,"="&amp;K1708)</f>
        <v>1</v>
      </c>
      <c r="Z1708" s="20">
        <f>SUMIFS(T$3:T1708,L$3:L1708,"=Intermission")+SUMIFS(T$3:T1708,L$3:L1708,"=Timeout")+SUMIFS(T$3:T1708,L$3:L1708,"=Clockstop")</f>
        <v>138</v>
      </c>
      <c r="AA1708">
        <f t="shared" si="544"/>
        <v>2298</v>
      </c>
      <c r="AC1708">
        <f t="shared" si="545"/>
        <v>2436</v>
      </c>
    </row>
    <row r="1709" spans="1:29" x14ac:dyDescent="0.2">
      <c r="A1709">
        <v>925</v>
      </c>
      <c r="D1709">
        <f t="shared" si="546"/>
        <v>3</v>
      </c>
      <c r="E1709">
        <v>16</v>
      </c>
      <c r="F1709" s="6" t="s">
        <v>438</v>
      </c>
      <c r="I1709" t="s">
        <v>178</v>
      </c>
      <c r="J1709">
        <v>70</v>
      </c>
      <c r="K1709" t="s">
        <v>488</v>
      </c>
      <c r="L1709" t="s">
        <v>8</v>
      </c>
      <c r="M1709" t="s">
        <v>189</v>
      </c>
      <c r="N1709" t="s">
        <v>70</v>
      </c>
      <c r="Q1709">
        <f t="shared" ref="Q1709:S1709" si="591">Q1708</f>
        <v>18977</v>
      </c>
      <c r="R1709" t="str">
        <f t="shared" si="591"/>
        <v>Velodrome</v>
      </c>
      <c r="S1709" t="str">
        <f t="shared" si="591"/>
        <v>HollowBrook</v>
      </c>
      <c r="T1709" s="20">
        <f t="shared" si="550"/>
        <v>0</v>
      </c>
      <c r="U1709">
        <f t="shared" si="551"/>
        <v>998</v>
      </c>
      <c r="V1709">
        <f t="shared" si="552"/>
        <v>998</v>
      </c>
      <c r="W1709" cm="1">
        <f t="array" ref="W1709">_xlfn._xlws.FILTER(shifts!A:A,(shifts!B:B=events!D1709)*(shifts!AH:AH&gt;=events!U1709)*(shifts!AI:AI&lt;=events!V1709))</f>
        <v>62</v>
      </c>
      <c r="X1709" t="str">
        <f t="shared" si="553"/>
        <v>event_team_player_1</v>
      </c>
      <c r="Y1709">
        <f>COUNTIFS(A$3:A1709,"="&amp;A1709,K$3:K1709,"="&amp;K1709)</f>
        <v>1</v>
      </c>
      <c r="Z1709" s="20">
        <f>SUMIFS(T$3:T1709,L$3:L1709,"=Intermission")+SUMIFS(T$3:T1709,L$3:L1709,"=Timeout")+SUMIFS(T$3:T1709,L$3:L1709,"=Clockstop")</f>
        <v>138</v>
      </c>
      <c r="AA1709">
        <f t="shared" si="544"/>
        <v>2298</v>
      </c>
      <c r="AC1709">
        <f t="shared" si="545"/>
        <v>2436</v>
      </c>
    </row>
    <row r="1710" spans="1:29" x14ac:dyDescent="0.2">
      <c r="A1710">
        <v>925</v>
      </c>
      <c r="D1710">
        <f t="shared" si="546"/>
        <v>3</v>
      </c>
      <c r="E1710">
        <v>16</v>
      </c>
      <c r="F1710" s="6" t="s">
        <v>438</v>
      </c>
      <c r="I1710" t="s">
        <v>178</v>
      </c>
      <c r="J1710">
        <v>49</v>
      </c>
      <c r="K1710" t="s">
        <v>488</v>
      </c>
      <c r="L1710" t="s">
        <v>8</v>
      </c>
      <c r="M1710" t="s">
        <v>189</v>
      </c>
      <c r="N1710" t="s">
        <v>70</v>
      </c>
      <c r="Q1710">
        <f t="shared" ref="Q1710:S1710" si="592">Q1709</f>
        <v>18977</v>
      </c>
      <c r="R1710" t="str">
        <f t="shared" si="592"/>
        <v>Velodrome</v>
      </c>
      <c r="S1710" t="str">
        <f t="shared" si="592"/>
        <v>HollowBrook</v>
      </c>
      <c r="T1710" s="20">
        <f t="shared" si="550"/>
        <v>0</v>
      </c>
      <c r="U1710">
        <f t="shared" si="551"/>
        <v>998</v>
      </c>
      <c r="V1710">
        <f t="shared" si="552"/>
        <v>998</v>
      </c>
      <c r="W1710" cm="1">
        <f t="array" ref="W1710">_xlfn._xlws.FILTER(shifts!A:A,(shifts!B:B=events!D1710)*(shifts!AH:AH&gt;=events!U1710)*(shifts!AI:AI&lt;=events!V1710))</f>
        <v>62</v>
      </c>
      <c r="X1710" t="str">
        <f t="shared" si="553"/>
        <v>event_team_player_2</v>
      </c>
      <c r="Y1710">
        <f>COUNTIFS(A$3:A1710,"="&amp;A1710,K$3:K1710,"="&amp;K1710)</f>
        <v>2</v>
      </c>
      <c r="Z1710" s="20">
        <f>SUMIFS(T$3:T1710,L$3:L1710,"=Intermission")+SUMIFS(T$3:T1710,L$3:L1710,"=Timeout")+SUMIFS(T$3:T1710,L$3:L1710,"=Clockstop")</f>
        <v>138</v>
      </c>
      <c r="AA1710">
        <f t="shared" si="544"/>
        <v>2298</v>
      </c>
      <c r="AC1710">
        <f t="shared" si="545"/>
        <v>2436</v>
      </c>
    </row>
    <row r="1711" spans="1:29" x14ac:dyDescent="0.2">
      <c r="A1711">
        <v>926</v>
      </c>
      <c r="D1711">
        <f t="shared" si="546"/>
        <v>3</v>
      </c>
      <c r="E1711">
        <v>16</v>
      </c>
      <c r="F1711" s="6" t="s">
        <v>438</v>
      </c>
      <c r="G1711">
        <v>16</v>
      </c>
      <c r="H1711" s="8" t="s">
        <v>453</v>
      </c>
      <c r="I1711" t="s">
        <v>178</v>
      </c>
      <c r="J1711">
        <v>49</v>
      </c>
      <c r="K1711" t="s">
        <v>488</v>
      </c>
      <c r="L1711" t="s">
        <v>15</v>
      </c>
      <c r="Q1711">
        <f t="shared" ref="Q1711:S1711" si="593">Q1710</f>
        <v>18977</v>
      </c>
      <c r="R1711" t="str">
        <f t="shared" si="593"/>
        <v>Velodrome</v>
      </c>
      <c r="S1711" t="str">
        <f t="shared" si="593"/>
        <v>HollowBrook</v>
      </c>
      <c r="T1711" s="20">
        <f t="shared" si="550"/>
        <v>1</v>
      </c>
      <c r="U1711">
        <f t="shared" si="551"/>
        <v>998</v>
      </c>
      <c r="V1711">
        <f t="shared" si="552"/>
        <v>997</v>
      </c>
      <c r="W1711" cm="1">
        <f t="array" ref="W1711">_xlfn._xlws.FILTER(shifts!A:A,(shifts!B:B=events!D1711)*(shifts!AH:AH&gt;=events!U1711)*(shifts!AI:AI&lt;=events!V1711))</f>
        <v>62</v>
      </c>
      <c r="X1711" t="str">
        <f t="shared" si="553"/>
        <v>event_team_player_1</v>
      </c>
      <c r="Y1711">
        <f>COUNTIFS(A$3:A1711,"="&amp;A1711,K$3:K1711,"="&amp;K1711)</f>
        <v>1</v>
      </c>
      <c r="Z1711" s="20">
        <f>SUMIFS(T$3:T1711,L$3:L1711,"=Intermission")+SUMIFS(T$3:T1711,L$3:L1711,"=Timeout")+SUMIFS(T$3:T1711,L$3:L1711,"=Clockstop")</f>
        <v>138</v>
      </c>
      <c r="AA1711">
        <f t="shared" si="544"/>
        <v>2298</v>
      </c>
      <c r="AC1711">
        <f t="shared" si="545"/>
        <v>2436</v>
      </c>
    </row>
    <row r="1712" spans="1:29" x14ac:dyDescent="0.2">
      <c r="A1712">
        <v>927</v>
      </c>
      <c r="D1712">
        <f t="shared" si="546"/>
        <v>3</v>
      </c>
      <c r="E1712">
        <v>16</v>
      </c>
      <c r="F1712" s="6" t="s">
        <v>453</v>
      </c>
      <c r="G1712">
        <v>16</v>
      </c>
      <c r="H1712" s="8" t="s">
        <v>439</v>
      </c>
      <c r="I1712" t="s">
        <v>178</v>
      </c>
      <c r="J1712">
        <v>49</v>
      </c>
      <c r="K1712" t="s">
        <v>488</v>
      </c>
      <c r="L1712" t="s">
        <v>277</v>
      </c>
      <c r="M1712" t="s">
        <v>191</v>
      </c>
      <c r="N1712" t="s">
        <v>87</v>
      </c>
      <c r="Q1712">
        <f t="shared" ref="Q1712:S1712" si="594">Q1711</f>
        <v>18977</v>
      </c>
      <c r="R1712" t="str">
        <f t="shared" si="594"/>
        <v>Velodrome</v>
      </c>
      <c r="S1712" t="str">
        <f t="shared" si="594"/>
        <v>HollowBrook</v>
      </c>
      <c r="T1712" s="20">
        <f t="shared" si="550"/>
        <v>3</v>
      </c>
      <c r="U1712">
        <f t="shared" si="551"/>
        <v>997</v>
      </c>
      <c r="V1712">
        <f t="shared" si="552"/>
        <v>994</v>
      </c>
      <c r="W1712">
        <v>63</v>
      </c>
      <c r="X1712" t="str">
        <f t="shared" si="553"/>
        <v>event_team_player_1</v>
      </c>
      <c r="Y1712">
        <f>COUNTIFS(A$3:A1712,"="&amp;A1712,K$3:K1712,"="&amp;K1712)</f>
        <v>1</v>
      </c>
      <c r="Z1712" s="20">
        <f>SUMIFS(T$3:T1712,L$3:L1712,"=Intermission")+SUMIFS(T$3:T1712,L$3:L1712,"=Timeout")+SUMIFS(T$3:T1712,L$3:L1712,"=Clockstop")</f>
        <v>138</v>
      </c>
      <c r="AA1712">
        <f t="shared" si="544"/>
        <v>2298</v>
      </c>
      <c r="AC1712">
        <f t="shared" si="545"/>
        <v>2436</v>
      </c>
    </row>
    <row r="1713" spans="1:29" x14ac:dyDescent="0.2">
      <c r="A1713">
        <v>927</v>
      </c>
      <c r="D1713">
        <f t="shared" si="546"/>
        <v>3</v>
      </c>
      <c r="E1713">
        <v>16</v>
      </c>
      <c r="F1713" s="6" t="s">
        <v>453</v>
      </c>
      <c r="G1713">
        <v>16</v>
      </c>
      <c r="H1713" s="8" t="s">
        <v>439</v>
      </c>
      <c r="I1713" t="s">
        <v>178</v>
      </c>
      <c r="J1713">
        <v>5</v>
      </c>
      <c r="K1713" t="s">
        <v>489</v>
      </c>
      <c r="L1713" t="s">
        <v>277</v>
      </c>
      <c r="M1713" t="s">
        <v>191</v>
      </c>
      <c r="N1713" t="s">
        <v>87</v>
      </c>
      <c r="Q1713">
        <f t="shared" ref="Q1713:S1713" si="595">Q1712</f>
        <v>18977</v>
      </c>
      <c r="R1713" t="str">
        <f t="shared" si="595"/>
        <v>Velodrome</v>
      </c>
      <c r="S1713" t="str">
        <f t="shared" si="595"/>
        <v>HollowBrook</v>
      </c>
      <c r="T1713" s="20">
        <f t="shared" si="550"/>
        <v>3</v>
      </c>
      <c r="U1713">
        <f t="shared" si="551"/>
        <v>997</v>
      </c>
      <c r="V1713">
        <f t="shared" si="552"/>
        <v>994</v>
      </c>
      <c r="W1713">
        <v>63</v>
      </c>
      <c r="X1713" t="str">
        <f t="shared" si="553"/>
        <v>opp_team_player_1</v>
      </c>
      <c r="Y1713">
        <f>COUNTIFS(A$3:A1713,"="&amp;A1713,K$3:K1713,"="&amp;K1713)</f>
        <v>1</v>
      </c>
      <c r="Z1713" s="20">
        <f>SUMIFS(T$3:T1713,L$3:L1713,"=Intermission")+SUMIFS(T$3:T1713,L$3:L1713,"=Timeout")+SUMIFS(T$3:T1713,L$3:L1713,"=Clockstop")</f>
        <v>138</v>
      </c>
      <c r="AA1713">
        <f t="shared" si="544"/>
        <v>2298</v>
      </c>
      <c r="AC1713">
        <f t="shared" si="545"/>
        <v>2436</v>
      </c>
    </row>
    <row r="1714" spans="1:29" x14ac:dyDescent="0.2">
      <c r="A1714">
        <v>927</v>
      </c>
      <c r="D1714">
        <f t="shared" si="546"/>
        <v>3</v>
      </c>
      <c r="E1714">
        <v>16</v>
      </c>
      <c r="F1714" s="6" t="s">
        <v>453</v>
      </c>
      <c r="G1714">
        <v>16</v>
      </c>
      <c r="H1714" s="8" t="s">
        <v>439</v>
      </c>
      <c r="I1714" t="s">
        <v>178</v>
      </c>
      <c r="J1714">
        <v>18</v>
      </c>
      <c r="K1714" t="s">
        <v>489</v>
      </c>
      <c r="L1714" t="s">
        <v>277</v>
      </c>
      <c r="M1714" t="s">
        <v>191</v>
      </c>
      <c r="N1714" t="s">
        <v>87</v>
      </c>
      <c r="Q1714">
        <f t="shared" ref="Q1714:S1714" si="596">Q1713</f>
        <v>18977</v>
      </c>
      <c r="R1714" t="str">
        <f t="shared" si="596"/>
        <v>Velodrome</v>
      </c>
      <c r="S1714" t="str">
        <f t="shared" si="596"/>
        <v>HollowBrook</v>
      </c>
      <c r="T1714" s="20">
        <f t="shared" si="550"/>
        <v>3</v>
      </c>
      <c r="U1714">
        <f t="shared" si="551"/>
        <v>997</v>
      </c>
      <c r="V1714">
        <f t="shared" si="552"/>
        <v>994</v>
      </c>
      <c r="W1714">
        <v>63</v>
      </c>
      <c r="X1714" t="str">
        <f t="shared" si="553"/>
        <v>opp_team_player_2</v>
      </c>
      <c r="Y1714">
        <f>COUNTIFS(A$3:A1714,"="&amp;A1714,K$3:K1714,"="&amp;K1714)</f>
        <v>2</v>
      </c>
      <c r="Z1714" s="20">
        <f>SUMIFS(T$3:T1714,L$3:L1714,"=Intermission")+SUMIFS(T$3:T1714,L$3:L1714,"=Timeout")+SUMIFS(T$3:T1714,L$3:L1714,"=Clockstop")</f>
        <v>138</v>
      </c>
      <c r="AA1714">
        <f t="shared" si="544"/>
        <v>2298</v>
      </c>
      <c r="AC1714">
        <f t="shared" si="545"/>
        <v>2436</v>
      </c>
    </row>
    <row r="1715" spans="1:29" x14ac:dyDescent="0.2">
      <c r="A1715">
        <v>928</v>
      </c>
      <c r="D1715">
        <f t="shared" si="546"/>
        <v>3</v>
      </c>
      <c r="E1715">
        <v>16</v>
      </c>
      <c r="F1715" s="6" t="s">
        <v>482</v>
      </c>
      <c r="I1715" t="s">
        <v>178</v>
      </c>
      <c r="J1715">
        <v>49</v>
      </c>
      <c r="K1715" t="s">
        <v>488</v>
      </c>
      <c r="L1715" t="s">
        <v>8</v>
      </c>
      <c r="M1715" t="s">
        <v>209</v>
      </c>
      <c r="N1715" t="s">
        <v>70</v>
      </c>
      <c r="Q1715">
        <f t="shared" ref="Q1715:S1715" si="597">Q1714</f>
        <v>18977</v>
      </c>
      <c r="R1715" t="str">
        <f t="shared" si="597"/>
        <v>Velodrome</v>
      </c>
      <c r="S1715" t="str">
        <f t="shared" si="597"/>
        <v>HollowBrook</v>
      </c>
      <c r="T1715" s="20">
        <f t="shared" si="550"/>
        <v>0</v>
      </c>
      <c r="U1715">
        <f t="shared" si="551"/>
        <v>993</v>
      </c>
      <c r="V1715">
        <f t="shared" si="552"/>
        <v>993</v>
      </c>
      <c r="W1715" cm="1">
        <f t="array" ref="W1715">_xlfn._xlws.FILTER(shifts!A:A,(shifts!B:B=events!D1715)*(shifts!AH:AH&gt;=events!U1715)*(shifts!AI:AI&lt;=events!V1715))</f>
        <v>63</v>
      </c>
      <c r="X1715" t="str">
        <f t="shared" si="553"/>
        <v>event_team_player_1</v>
      </c>
      <c r="Y1715">
        <f>COUNTIFS(A$3:A1715,"="&amp;A1715,K$3:K1715,"="&amp;K1715)</f>
        <v>1</v>
      </c>
      <c r="Z1715" s="20">
        <f>SUMIFS(T$3:T1715,L$3:L1715,"=Intermission")+SUMIFS(T$3:T1715,L$3:L1715,"=Timeout")+SUMIFS(T$3:T1715,L$3:L1715,"=Clockstop")</f>
        <v>138</v>
      </c>
      <c r="AA1715">
        <f t="shared" si="544"/>
        <v>2298</v>
      </c>
      <c r="AC1715">
        <f t="shared" si="545"/>
        <v>2436</v>
      </c>
    </row>
    <row r="1716" spans="1:29" x14ac:dyDescent="0.2">
      <c r="A1716">
        <v>928</v>
      </c>
      <c r="D1716">
        <f t="shared" si="546"/>
        <v>3</v>
      </c>
      <c r="E1716">
        <v>16</v>
      </c>
      <c r="F1716" s="6" t="s">
        <v>482</v>
      </c>
      <c r="I1716" t="s">
        <v>178</v>
      </c>
      <c r="J1716">
        <v>52</v>
      </c>
      <c r="K1716" t="s">
        <v>488</v>
      </c>
      <c r="L1716" t="s">
        <v>8</v>
      </c>
      <c r="M1716" t="s">
        <v>209</v>
      </c>
      <c r="N1716" t="s">
        <v>70</v>
      </c>
      <c r="Q1716">
        <f t="shared" ref="Q1716:S1716" si="598">Q1715</f>
        <v>18977</v>
      </c>
      <c r="R1716" t="str">
        <f t="shared" si="598"/>
        <v>Velodrome</v>
      </c>
      <c r="S1716" t="str">
        <f t="shared" si="598"/>
        <v>HollowBrook</v>
      </c>
      <c r="T1716" s="20">
        <f t="shared" si="550"/>
        <v>0</v>
      </c>
      <c r="U1716">
        <f t="shared" si="551"/>
        <v>993</v>
      </c>
      <c r="V1716">
        <f t="shared" si="552"/>
        <v>993</v>
      </c>
      <c r="W1716" cm="1">
        <f t="array" ref="W1716">_xlfn._xlws.FILTER(shifts!A:A,(shifts!B:B=events!D1716)*(shifts!AH:AH&gt;=events!U1716)*(shifts!AI:AI&lt;=events!V1716))</f>
        <v>63</v>
      </c>
      <c r="X1716" t="str">
        <f t="shared" si="553"/>
        <v>event_team_player_2</v>
      </c>
      <c r="Y1716">
        <f>COUNTIFS(A$3:A1716,"="&amp;A1716,K$3:K1716,"="&amp;K1716)</f>
        <v>2</v>
      </c>
      <c r="Z1716" s="20">
        <f>SUMIFS(T$3:T1716,L$3:L1716,"=Intermission")+SUMIFS(T$3:T1716,L$3:L1716,"=Timeout")+SUMIFS(T$3:T1716,L$3:L1716,"=Clockstop")</f>
        <v>138</v>
      </c>
      <c r="AA1716">
        <f t="shared" si="544"/>
        <v>2298</v>
      </c>
      <c r="AC1716">
        <f t="shared" si="545"/>
        <v>2436</v>
      </c>
    </row>
    <row r="1717" spans="1:29" x14ac:dyDescent="0.2">
      <c r="A1717">
        <v>928</v>
      </c>
      <c r="D1717">
        <f t="shared" si="546"/>
        <v>3</v>
      </c>
      <c r="E1717">
        <v>16</v>
      </c>
      <c r="F1717" s="6" t="s">
        <v>482</v>
      </c>
      <c r="I1717" t="s">
        <v>178</v>
      </c>
      <c r="J1717">
        <v>11</v>
      </c>
      <c r="K1717" t="s">
        <v>489</v>
      </c>
      <c r="L1717" t="s">
        <v>8</v>
      </c>
      <c r="M1717" t="s">
        <v>209</v>
      </c>
      <c r="N1717" t="s">
        <v>70</v>
      </c>
      <c r="Q1717">
        <f t="shared" ref="Q1717:S1717" si="599">Q1716</f>
        <v>18977</v>
      </c>
      <c r="R1717" t="str">
        <f t="shared" si="599"/>
        <v>Velodrome</v>
      </c>
      <c r="S1717" t="str">
        <f t="shared" si="599"/>
        <v>HollowBrook</v>
      </c>
      <c r="T1717" s="20">
        <f t="shared" si="550"/>
        <v>0</v>
      </c>
      <c r="U1717">
        <f t="shared" si="551"/>
        <v>993</v>
      </c>
      <c r="V1717">
        <f t="shared" si="552"/>
        <v>993</v>
      </c>
      <c r="W1717" cm="1">
        <f t="array" ref="W1717">_xlfn._xlws.FILTER(shifts!A:A,(shifts!B:B=events!D1717)*(shifts!AH:AH&gt;=events!U1717)*(shifts!AI:AI&lt;=events!V1717))</f>
        <v>63</v>
      </c>
      <c r="X1717" t="str">
        <f t="shared" si="553"/>
        <v>opp_team_player_1</v>
      </c>
      <c r="Y1717">
        <f>COUNTIFS(A$3:A1717,"="&amp;A1717,K$3:K1717,"="&amp;K1717)</f>
        <v>1</v>
      </c>
      <c r="Z1717" s="20">
        <f>SUMIFS(T$3:T1717,L$3:L1717,"=Intermission")+SUMIFS(T$3:T1717,L$3:L1717,"=Timeout")+SUMIFS(T$3:T1717,L$3:L1717,"=Clockstop")</f>
        <v>138</v>
      </c>
      <c r="AA1717">
        <f t="shared" si="544"/>
        <v>2298</v>
      </c>
      <c r="AC1717">
        <f t="shared" si="545"/>
        <v>2436</v>
      </c>
    </row>
    <row r="1718" spans="1:29" x14ac:dyDescent="0.2">
      <c r="A1718">
        <v>929</v>
      </c>
      <c r="D1718">
        <f t="shared" si="546"/>
        <v>3</v>
      </c>
      <c r="E1718">
        <v>16</v>
      </c>
      <c r="F1718" s="6" t="s">
        <v>482</v>
      </c>
      <c r="I1718" t="s">
        <v>178</v>
      </c>
      <c r="J1718">
        <v>49</v>
      </c>
      <c r="K1718" t="s">
        <v>488</v>
      </c>
      <c r="L1718" t="s">
        <v>10</v>
      </c>
      <c r="M1718" t="s">
        <v>190</v>
      </c>
      <c r="N1718" t="s">
        <v>77</v>
      </c>
      <c r="Q1718">
        <f t="shared" ref="Q1718:S1718" si="600">Q1717</f>
        <v>18977</v>
      </c>
      <c r="R1718" t="str">
        <f t="shared" si="600"/>
        <v>Velodrome</v>
      </c>
      <c r="S1718" t="str">
        <f t="shared" si="600"/>
        <v>HollowBrook</v>
      </c>
      <c r="T1718" s="20">
        <f t="shared" si="550"/>
        <v>0</v>
      </c>
      <c r="U1718">
        <f t="shared" si="551"/>
        <v>993</v>
      </c>
      <c r="V1718">
        <f t="shared" si="552"/>
        <v>993</v>
      </c>
      <c r="W1718" cm="1">
        <f t="array" ref="W1718">_xlfn._xlws.FILTER(shifts!A:A,(shifts!B:B=events!D1718)*(shifts!AH:AH&gt;=events!U1718)*(shifts!AI:AI&lt;=events!V1718))</f>
        <v>63</v>
      </c>
      <c r="X1718" t="str">
        <f t="shared" si="553"/>
        <v>event_team_player_1</v>
      </c>
      <c r="Y1718">
        <f>COUNTIFS(A$3:A1718,"="&amp;A1718,K$3:K1718,"="&amp;K1718)</f>
        <v>1</v>
      </c>
      <c r="Z1718" s="20">
        <f>SUMIFS(T$3:T1718,L$3:L1718,"=Intermission")+SUMIFS(T$3:T1718,L$3:L1718,"=Timeout")+SUMIFS(T$3:T1718,L$3:L1718,"=Clockstop")</f>
        <v>138</v>
      </c>
      <c r="AA1718">
        <f t="shared" si="544"/>
        <v>2298</v>
      </c>
      <c r="AC1718">
        <f t="shared" si="545"/>
        <v>2436</v>
      </c>
    </row>
    <row r="1719" spans="1:29" x14ac:dyDescent="0.2">
      <c r="A1719">
        <v>929</v>
      </c>
      <c r="D1719">
        <f t="shared" si="546"/>
        <v>3</v>
      </c>
      <c r="E1719">
        <v>16</v>
      </c>
      <c r="F1719" s="6" t="s">
        <v>482</v>
      </c>
      <c r="I1719" t="s">
        <v>178</v>
      </c>
      <c r="J1719">
        <v>52</v>
      </c>
      <c r="K1719" t="s">
        <v>488</v>
      </c>
      <c r="L1719" t="s">
        <v>10</v>
      </c>
      <c r="M1719" t="s">
        <v>190</v>
      </c>
      <c r="N1719" t="s">
        <v>77</v>
      </c>
      <c r="Q1719">
        <f t="shared" ref="Q1719:S1719" si="601">Q1718</f>
        <v>18977</v>
      </c>
      <c r="R1719" t="str">
        <f t="shared" si="601"/>
        <v>Velodrome</v>
      </c>
      <c r="S1719" t="str">
        <f t="shared" si="601"/>
        <v>HollowBrook</v>
      </c>
      <c r="T1719" s="20">
        <f t="shared" si="550"/>
        <v>0</v>
      </c>
      <c r="U1719">
        <f t="shared" si="551"/>
        <v>993</v>
      </c>
      <c r="V1719">
        <f t="shared" si="552"/>
        <v>993</v>
      </c>
      <c r="W1719" cm="1">
        <f t="array" ref="W1719">_xlfn._xlws.FILTER(shifts!A:A,(shifts!B:B=events!D1719)*(shifts!AH:AH&gt;=events!U1719)*(shifts!AI:AI&lt;=events!V1719))</f>
        <v>63</v>
      </c>
      <c r="X1719" t="str">
        <f t="shared" si="553"/>
        <v>event_team_player_2</v>
      </c>
      <c r="Y1719">
        <f>COUNTIFS(A$3:A1719,"="&amp;A1719,K$3:K1719,"="&amp;K1719)</f>
        <v>2</v>
      </c>
      <c r="Z1719" s="20">
        <f>SUMIFS(T$3:T1719,L$3:L1719,"=Intermission")+SUMIFS(T$3:T1719,L$3:L1719,"=Timeout")+SUMIFS(T$3:T1719,L$3:L1719,"=Clockstop")</f>
        <v>138</v>
      </c>
      <c r="AA1719">
        <f t="shared" si="544"/>
        <v>2298</v>
      </c>
      <c r="AC1719">
        <f t="shared" si="545"/>
        <v>2436</v>
      </c>
    </row>
    <row r="1720" spans="1:29" x14ac:dyDescent="0.2">
      <c r="A1720">
        <v>929</v>
      </c>
      <c r="D1720">
        <f t="shared" si="546"/>
        <v>3</v>
      </c>
      <c r="E1720">
        <v>16</v>
      </c>
      <c r="F1720" s="6" t="s">
        <v>482</v>
      </c>
      <c r="I1720" t="s">
        <v>178</v>
      </c>
      <c r="J1720">
        <v>11</v>
      </c>
      <c r="K1720" t="s">
        <v>489</v>
      </c>
      <c r="L1720" t="s">
        <v>10</v>
      </c>
      <c r="M1720" t="s">
        <v>190</v>
      </c>
      <c r="N1720" t="s">
        <v>77</v>
      </c>
      <c r="Q1720">
        <f t="shared" ref="Q1720:S1720" si="602">Q1719</f>
        <v>18977</v>
      </c>
      <c r="R1720" t="str">
        <f t="shared" si="602"/>
        <v>Velodrome</v>
      </c>
      <c r="S1720" t="str">
        <f t="shared" si="602"/>
        <v>HollowBrook</v>
      </c>
      <c r="T1720" s="20">
        <f t="shared" si="550"/>
        <v>0</v>
      </c>
      <c r="U1720">
        <f t="shared" si="551"/>
        <v>993</v>
      </c>
      <c r="V1720">
        <f t="shared" si="552"/>
        <v>993</v>
      </c>
      <c r="W1720" cm="1">
        <f t="array" ref="W1720">_xlfn._xlws.FILTER(shifts!A:A,(shifts!B:B=events!D1720)*(shifts!AH:AH&gt;=events!U1720)*(shifts!AI:AI&lt;=events!V1720))</f>
        <v>63</v>
      </c>
      <c r="X1720" t="str">
        <f t="shared" si="553"/>
        <v>opp_team_player_1</v>
      </c>
      <c r="Y1720">
        <f>COUNTIFS(A$3:A1720,"="&amp;A1720,K$3:K1720,"="&amp;K1720)</f>
        <v>1</v>
      </c>
      <c r="Z1720" s="20">
        <f>SUMIFS(T$3:T1720,L$3:L1720,"=Intermission")+SUMIFS(T$3:T1720,L$3:L1720,"=Timeout")+SUMIFS(T$3:T1720,L$3:L1720,"=Clockstop")</f>
        <v>138</v>
      </c>
      <c r="AA1720">
        <f t="shared" si="544"/>
        <v>2298</v>
      </c>
      <c r="AC1720">
        <f t="shared" si="545"/>
        <v>2436</v>
      </c>
    </row>
    <row r="1721" spans="1:29" x14ac:dyDescent="0.2">
      <c r="A1721">
        <v>930</v>
      </c>
      <c r="D1721">
        <f t="shared" si="546"/>
        <v>3</v>
      </c>
      <c r="E1721">
        <v>16</v>
      </c>
      <c r="F1721" s="6" t="s">
        <v>494</v>
      </c>
      <c r="I1721" t="s">
        <v>179</v>
      </c>
      <c r="J1721">
        <v>11</v>
      </c>
      <c r="K1721" t="s">
        <v>488</v>
      </c>
      <c r="L1721" t="s">
        <v>277</v>
      </c>
      <c r="M1721" t="s">
        <v>201</v>
      </c>
      <c r="N1721" t="s">
        <v>499</v>
      </c>
      <c r="Q1721">
        <f t="shared" ref="Q1721:S1721" si="603">Q1720</f>
        <v>18977</v>
      </c>
      <c r="R1721" t="str">
        <f t="shared" si="603"/>
        <v>Velodrome</v>
      </c>
      <c r="S1721" t="str">
        <f t="shared" si="603"/>
        <v>HollowBrook</v>
      </c>
      <c r="T1721" s="20">
        <f t="shared" si="550"/>
        <v>0</v>
      </c>
      <c r="U1721">
        <f t="shared" si="551"/>
        <v>992</v>
      </c>
      <c r="V1721">
        <f t="shared" si="552"/>
        <v>992</v>
      </c>
      <c r="W1721" cm="1">
        <f t="array" ref="W1721">_xlfn._xlws.FILTER(shifts!A:A,(shifts!B:B=events!D1721)*(shifts!AH:AH&gt;=events!U1721)*(shifts!AI:AI&lt;=events!V1721))</f>
        <v>63</v>
      </c>
      <c r="X1721" t="str">
        <f t="shared" si="553"/>
        <v>event_team_player_1</v>
      </c>
      <c r="Y1721">
        <f>COUNTIFS(A$3:A1721,"="&amp;A1721,K$3:K1721,"="&amp;K1721)</f>
        <v>1</v>
      </c>
      <c r="Z1721" s="20">
        <f>SUMIFS(T$3:T1721,L$3:L1721,"=Intermission")+SUMIFS(T$3:T1721,L$3:L1721,"=Timeout")+SUMIFS(T$3:T1721,L$3:L1721,"=Clockstop")</f>
        <v>138</v>
      </c>
      <c r="AA1721">
        <f t="shared" si="544"/>
        <v>2298</v>
      </c>
      <c r="AC1721">
        <f t="shared" si="545"/>
        <v>2436</v>
      </c>
    </row>
    <row r="1722" spans="1:29" x14ac:dyDescent="0.2">
      <c r="A1722">
        <v>930</v>
      </c>
      <c r="D1722">
        <f t="shared" si="546"/>
        <v>3</v>
      </c>
      <c r="E1722">
        <v>16</v>
      </c>
      <c r="F1722" s="6" t="s">
        <v>494</v>
      </c>
      <c r="I1722" t="s">
        <v>179</v>
      </c>
      <c r="J1722">
        <v>52</v>
      </c>
      <c r="K1722" t="s">
        <v>489</v>
      </c>
      <c r="L1722" t="s">
        <v>277</v>
      </c>
      <c r="M1722" t="s">
        <v>201</v>
      </c>
      <c r="N1722" t="s">
        <v>499</v>
      </c>
      <c r="Q1722">
        <f t="shared" ref="Q1722:S1722" si="604">Q1721</f>
        <v>18977</v>
      </c>
      <c r="R1722" t="str">
        <f t="shared" si="604"/>
        <v>Velodrome</v>
      </c>
      <c r="S1722" t="str">
        <f t="shared" si="604"/>
        <v>HollowBrook</v>
      </c>
      <c r="T1722" s="20">
        <f t="shared" si="550"/>
        <v>0</v>
      </c>
      <c r="U1722">
        <f t="shared" si="551"/>
        <v>992</v>
      </c>
      <c r="V1722">
        <f t="shared" si="552"/>
        <v>992</v>
      </c>
      <c r="W1722" cm="1">
        <f t="array" ref="W1722">_xlfn._xlws.FILTER(shifts!A:A,(shifts!B:B=events!D1722)*(shifts!AH:AH&gt;=events!U1722)*(shifts!AI:AI&lt;=events!V1722))</f>
        <v>63</v>
      </c>
      <c r="X1722" t="str">
        <f t="shared" si="553"/>
        <v>opp_team_player_1</v>
      </c>
      <c r="Y1722">
        <f>COUNTIFS(A$3:A1722,"="&amp;A1722,K$3:K1722,"="&amp;K1722)</f>
        <v>1</v>
      </c>
      <c r="Z1722" s="20">
        <f>SUMIFS(T$3:T1722,L$3:L1722,"=Intermission")+SUMIFS(T$3:T1722,L$3:L1722,"=Timeout")+SUMIFS(T$3:T1722,L$3:L1722,"=Clockstop")</f>
        <v>138</v>
      </c>
      <c r="AA1722">
        <f t="shared" si="544"/>
        <v>2298</v>
      </c>
      <c r="AC1722">
        <f t="shared" si="545"/>
        <v>2436</v>
      </c>
    </row>
    <row r="1723" spans="1:29" x14ac:dyDescent="0.2">
      <c r="A1723">
        <v>931</v>
      </c>
      <c r="D1723">
        <f t="shared" si="546"/>
        <v>3</v>
      </c>
      <c r="E1723">
        <v>16</v>
      </c>
      <c r="F1723" s="6" t="s">
        <v>494</v>
      </c>
      <c r="G1723">
        <v>16</v>
      </c>
      <c r="H1723" s="8" t="s">
        <v>440</v>
      </c>
      <c r="I1723" t="s">
        <v>179</v>
      </c>
      <c r="J1723">
        <v>11</v>
      </c>
      <c r="K1723" t="s">
        <v>488</v>
      </c>
      <c r="L1723" t="s">
        <v>15</v>
      </c>
      <c r="Q1723">
        <f t="shared" ref="Q1723:S1723" si="605">Q1722</f>
        <v>18977</v>
      </c>
      <c r="R1723" t="str">
        <f t="shared" si="605"/>
        <v>Velodrome</v>
      </c>
      <c r="S1723" t="str">
        <f t="shared" si="605"/>
        <v>HollowBrook</v>
      </c>
      <c r="T1723" s="20">
        <f t="shared" si="550"/>
        <v>4</v>
      </c>
      <c r="U1723">
        <f t="shared" si="551"/>
        <v>992</v>
      </c>
      <c r="V1723">
        <f t="shared" si="552"/>
        <v>988</v>
      </c>
      <c r="W1723" cm="1">
        <f t="array" ref="W1723">_xlfn._xlws.FILTER(shifts!A:A,(shifts!B:B=events!D1723)*(shifts!AH:AH&gt;=events!U1723)*(shifts!AI:AI&lt;=events!V1723))</f>
        <v>63</v>
      </c>
      <c r="X1723" t="str">
        <f t="shared" si="553"/>
        <v>event_team_player_1</v>
      </c>
      <c r="Y1723">
        <f>COUNTIFS(A$3:A1723,"="&amp;A1723,K$3:K1723,"="&amp;K1723)</f>
        <v>1</v>
      </c>
      <c r="Z1723" s="20">
        <f>SUMIFS(T$3:T1723,L$3:L1723,"=Intermission")+SUMIFS(T$3:T1723,L$3:L1723,"=Timeout")+SUMIFS(T$3:T1723,L$3:L1723,"=Clockstop")</f>
        <v>138</v>
      </c>
      <c r="AA1723">
        <f t="shared" si="544"/>
        <v>2298</v>
      </c>
      <c r="AC1723">
        <f t="shared" si="545"/>
        <v>2436</v>
      </c>
    </row>
    <row r="1724" spans="1:29" x14ac:dyDescent="0.2">
      <c r="A1724">
        <v>931</v>
      </c>
      <c r="D1724">
        <f t="shared" si="546"/>
        <v>3</v>
      </c>
      <c r="E1724">
        <v>16</v>
      </c>
      <c r="F1724" s="6" t="s">
        <v>494</v>
      </c>
      <c r="G1724">
        <v>16</v>
      </c>
      <c r="H1724" s="8" t="s">
        <v>440</v>
      </c>
      <c r="I1724" t="s">
        <v>179</v>
      </c>
      <c r="J1724">
        <v>52</v>
      </c>
      <c r="K1724" t="s">
        <v>489</v>
      </c>
      <c r="L1724" t="s">
        <v>15</v>
      </c>
      <c r="Q1724">
        <f t="shared" ref="Q1724:S1724" si="606">Q1723</f>
        <v>18977</v>
      </c>
      <c r="R1724" t="str">
        <f t="shared" si="606"/>
        <v>Velodrome</v>
      </c>
      <c r="S1724" t="str">
        <f t="shared" si="606"/>
        <v>HollowBrook</v>
      </c>
      <c r="T1724" s="20">
        <f t="shared" si="550"/>
        <v>4</v>
      </c>
      <c r="U1724">
        <f t="shared" si="551"/>
        <v>992</v>
      </c>
      <c r="V1724">
        <f t="shared" si="552"/>
        <v>988</v>
      </c>
      <c r="W1724" cm="1">
        <f t="array" ref="W1724">_xlfn._xlws.FILTER(shifts!A:A,(shifts!B:B=events!D1724)*(shifts!AH:AH&gt;=events!U1724)*(shifts!AI:AI&lt;=events!V1724))</f>
        <v>63</v>
      </c>
      <c r="X1724" t="str">
        <f t="shared" si="553"/>
        <v>opp_team_player_1</v>
      </c>
      <c r="Y1724">
        <f>COUNTIFS(A$3:A1724,"="&amp;A1724,K$3:K1724,"="&amp;K1724)</f>
        <v>1</v>
      </c>
      <c r="Z1724" s="20">
        <f>SUMIFS(T$3:T1724,L$3:L1724,"=Intermission")+SUMIFS(T$3:T1724,L$3:L1724,"=Timeout")+SUMIFS(T$3:T1724,L$3:L1724,"=Clockstop")</f>
        <v>138</v>
      </c>
      <c r="AA1724">
        <f t="shared" si="544"/>
        <v>2298</v>
      </c>
      <c r="AC1724">
        <f t="shared" si="545"/>
        <v>2436</v>
      </c>
    </row>
    <row r="1725" spans="1:29" x14ac:dyDescent="0.2">
      <c r="A1725">
        <v>932</v>
      </c>
      <c r="D1725">
        <f t="shared" si="546"/>
        <v>3</v>
      </c>
      <c r="E1725">
        <v>16</v>
      </c>
      <c r="F1725" s="6" t="s">
        <v>440</v>
      </c>
      <c r="G1725">
        <v>16</v>
      </c>
      <c r="H1725" s="8" t="s">
        <v>444</v>
      </c>
      <c r="I1725" t="s">
        <v>179</v>
      </c>
      <c r="J1725">
        <v>11</v>
      </c>
      <c r="K1725" t="s">
        <v>488</v>
      </c>
      <c r="L1725" t="s">
        <v>277</v>
      </c>
      <c r="M1725" t="s">
        <v>191</v>
      </c>
      <c r="N1725" t="s">
        <v>87</v>
      </c>
      <c r="Q1725">
        <f t="shared" ref="Q1725:S1725" si="607">Q1724</f>
        <v>18977</v>
      </c>
      <c r="R1725" t="str">
        <f t="shared" si="607"/>
        <v>Velodrome</v>
      </c>
      <c r="S1725" t="str">
        <f t="shared" si="607"/>
        <v>HollowBrook</v>
      </c>
      <c r="T1725" s="20">
        <f t="shared" si="550"/>
        <v>4</v>
      </c>
      <c r="U1725">
        <f t="shared" si="551"/>
        <v>988</v>
      </c>
      <c r="V1725">
        <f t="shared" si="552"/>
        <v>984</v>
      </c>
      <c r="W1725" cm="1">
        <f t="array" ref="W1725">_xlfn._xlws.FILTER(shifts!A:A,(shifts!B:B=events!D1725)*(shifts!AH:AH&gt;=events!U1725)*(shifts!AI:AI&lt;=events!V1725))</f>
        <v>63</v>
      </c>
      <c r="X1725" t="str">
        <f t="shared" si="553"/>
        <v>event_team_player_1</v>
      </c>
      <c r="Y1725">
        <f>COUNTIFS(A$3:A1725,"="&amp;A1725,K$3:K1725,"="&amp;K1725)</f>
        <v>1</v>
      </c>
      <c r="Z1725" s="20">
        <f>SUMIFS(T$3:T1725,L$3:L1725,"=Intermission")+SUMIFS(T$3:T1725,L$3:L1725,"=Timeout")+SUMIFS(T$3:T1725,L$3:L1725,"=Clockstop")</f>
        <v>138</v>
      </c>
      <c r="AA1725">
        <f t="shared" si="544"/>
        <v>2298</v>
      </c>
      <c r="AC1725">
        <f t="shared" si="545"/>
        <v>2436</v>
      </c>
    </row>
    <row r="1726" spans="1:29" x14ac:dyDescent="0.2">
      <c r="A1726">
        <v>932</v>
      </c>
      <c r="D1726">
        <f t="shared" si="546"/>
        <v>3</v>
      </c>
      <c r="E1726">
        <v>16</v>
      </c>
      <c r="F1726" s="6" t="s">
        <v>440</v>
      </c>
      <c r="G1726">
        <v>16</v>
      </c>
      <c r="H1726" s="8" t="s">
        <v>444</v>
      </c>
      <c r="I1726" t="s">
        <v>179</v>
      </c>
      <c r="J1726">
        <v>52</v>
      </c>
      <c r="K1726" t="s">
        <v>489</v>
      </c>
      <c r="L1726" t="s">
        <v>277</v>
      </c>
      <c r="M1726" t="s">
        <v>191</v>
      </c>
      <c r="N1726" t="s">
        <v>87</v>
      </c>
      <c r="Q1726">
        <f t="shared" ref="Q1726:S1726" si="608">Q1725</f>
        <v>18977</v>
      </c>
      <c r="R1726" t="str">
        <f t="shared" si="608"/>
        <v>Velodrome</v>
      </c>
      <c r="S1726" t="str">
        <f t="shared" si="608"/>
        <v>HollowBrook</v>
      </c>
      <c r="T1726" s="20">
        <f t="shared" si="550"/>
        <v>4</v>
      </c>
      <c r="U1726">
        <f t="shared" si="551"/>
        <v>988</v>
      </c>
      <c r="V1726">
        <f t="shared" si="552"/>
        <v>984</v>
      </c>
      <c r="W1726" cm="1">
        <f t="array" ref="W1726">_xlfn._xlws.FILTER(shifts!A:A,(shifts!B:B=events!D1726)*(shifts!AH:AH&gt;=events!U1726)*(shifts!AI:AI&lt;=events!V1726))</f>
        <v>63</v>
      </c>
      <c r="X1726" t="str">
        <f t="shared" si="553"/>
        <v>opp_team_player_1</v>
      </c>
      <c r="Y1726">
        <f>COUNTIFS(A$3:A1726,"="&amp;A1726,K$3:K1726,"="&amp;K1726)</f>
        <v>1</v>
      </c>
      <c r="Z1726" s="20">
        <f>SUMIFS(T$3:T1726,L$3:L1726,"=Intermission")+SUMIFS(T$3:T1726,L$3:L1726,"=Timeout")+SUMIFS(T$3:T1726,L$3:L1726,"=Clockstop")</f>
        <v>138</v>
      </c>
      <c r="AA1726">
        <f t="shared" si="544"/>
        <v>2298</v>
      </c>
      <c r="AC1726">
        <f t="shared" si="545"/>
        <v>2436</v>
      </c>
    </row>
    <row r="1727" spans="1:29" x14ac:dyDescent="0.2">
      <c r="A1727">
        <v>932</v>
      </c>
      <c r="D1727">
        <f t="shared" si="546"/>
        <v>3</v>
      </c>
      <c r="E1727">
        <v>16</v>
      </c>
      <c r="F1727" s="6" t="s">
        <v>440</v>
      </c>
      <c r="G1727">
        <v>16</v>
      </c>
      <c r="H1727" s="8" t="s">
        <v>444</v>
      </c>
      <c r="I1727" t="s">
        <v>179</v>
      </c>
      <c r="J1727">
        <v>9</v>
      </c>
      <c r="K1727" t="s">
        <v>489</v>
      </c>
      <c r="L1727" t="s">
        <v>277</v>
      </c>
      <c r="M1727" t="s">
        <v>191</v>
      </c>
      <c r="N1727" t="s">
        <v>87</v>
      </c>
      <c r="Q1727">
        <f t="shared" ref="Q1727:S1727" si="609">Q1726</f>
        <v>18977</v>
      </c>
      <c r="R1727" t="str">
        <f t="shared" si="609"/>
        <v>Velodrome</v>
      </c>
      <c r="S1727" t="str">
        <f t="shared" si="609"/>
        <v>HollowBrook</v>
      </c>
      <c r="T1727" s="20">
        <f t="shared" si="550"/>
        <v>4</v>
      </c>
      <c r="U1727">
        <f t="shared" si="551"/>
        <v>988</v>
      </c>
      <c r="V1727">
        <f t="shared" si="552"/>
        <v>984</v>
      </c>
      <c r="W1727" cm="1">
        <f t="array" ref="W1727">_xlfn._xlws.FILTER(shifts!A:A,(shifts!B:B=events!D1727)*(shifts!AH:AH&gt;=events!U1727)*(shifts!AI:AI&lt;=events!V1727))</f>
        <v>63</v>
      </c>
      <c r="X1727" t="str">
        <f t="shared" si="553"/>
        <v>opp_team_player_2</v>
      </c>
      <c r="Y1727">
        <f>COUNTIFS(A$3:A1727,"="&amp;A1727,K$3:K1727,"="&amp;K1727)</f>
        <v>2</v>
      </c>
      <c r="Z1727" s="20">
        <f>SUMIFS(T$3:T1727,L$3:L1727,"=Intermission")+SUMIFS(T$3:T1727,L$3:L1727,"=Timeout")+SUMIFS(T$3:T1727,L$3:L1727,"=Clockstop")</f>
        <v>138</v>
      </c>
      <c r="AA1727">
        <f t="shared" si="544"/>
        <v>2298</v>
      </c>
      <c r="AC1727">
        <f t="shared" si="545"/>
        <v>2436</v>
      </c>
    </row>
    <row r="1728" spans="1:29" x14ac:dyDescent="0.2">
      <c r="A1728">
        <v>933</v>
      </c>
      <c r="D1728">
        <f t="shared" si="546"/>
        <v>3</v>
      </c>
      <c r="E1728">
        <v>16</v>
      </c>
      <c r="F1728" s="6" t="s">
        <v>444</v>
      </c>
      <c r="I1728" t="s">
        <v>179</v>
      </c>
      <c r="J1728">
        <v>11</v>
      </c>
      <c r="K1728" t="s">
        <v>488</v>
      </c>
      <c r="L1728" t="s">
        <v>7</v>
      </c>
      <c r="M1728" t="s">
        <v>222</v>
      </c>
      <c r="N1728" t="s">
        <v>53</v>
      </c>
      <c r="Q1728">
        <f t="shared" ref="Q1728:S1728" si="610">Q1727</f>
        <v>18977</v>
      </c>
      <c r="R1728" t="str">
        <f t="shared" si="610"/>
        <v>Velodrome</v>
      </c>
      <c r="S1728" t="str">
        <f t="shared" si="610"/>
        <v>HollowBrook</v>
      </c>
      <c r="T1728" s="20">
        <f t="shared" si="550"/>
        <v>0</v>
      </c>
      <c r="U1728">
        <f t="shared" si="551"/>
        <v>984</v>
      </c>
      <c r="V1728">
        <f t="shared" si="552"/>
        <v>984</v>
      </c>
      <c r="W1728">
        <v>64</v>
      </c>
      <c r="X1728" t="str">
        <f t="shared" si="553"/>
        <v>event_team_player_1</v>
      </c>
      <c r="Y1728">
        <f>COUNTIFS(A$3:A1728,"="&amp;A1728,K$3:K1728,"="&amp;K1728)</f>
        <v>1</v>
      </c>
      <c r="Z1728" s="20">
        <f>SUMIFS(T$3:T1728,L$3:L1728,"=Intermission")+SUMIFS(T$3:T1728,L$3:L1728,"=Timeout")+SUMIFS(T$3:T1728,L$3:L1728,"=Clockstop")</f>
        <v>138</v>
      </c>
      <c r="AA1728">
        <f t="shared" si="544"/>
        <v>2298</v>
      </c>
      <c r="AC1728">
        <f t="shared" si="545"/>
        <v>2436</v>
      </c>
    </row>
    <row r="1729" spans="1:29" x14ac:dyDescent="0.2">
      <c r="A1729">
        <v>933</v>
      </c>
      <c r="D1729">
        <f t="shared" si="546"/>
        <v>3</v>
      </c>
      <c r="E1729">
        <v>16</v>
      </c>
      <c r="F1729" s="6" t="s">
        <v>444</v>
      </c>
      <c r="I1729" t="s">
        <v>179</v>
      </c>
      <c r="J1729">
        <v>39</v>
      </c>
      <c r="K1729" t="s">
        <v>489</v>
      </c>
      <c r="L1729" t="s">
        <v>7</v>
      </c>
      <c r="M1729" t="s">
        <v>222</v>
      </c>
      <c r="N1729" t="s">
        <v>53</v>
      </c>
      <c r="Q1729">
        <f t="shared" ref="Q1729:S1729" si="611">Q1728</f>
        <v>18977</v>
      </c>
      <c r="R1729" t="str">
        <f t="shared" si="611"/>
        <v>Velodrome</v>
      </c>
      <c r="S1729" t="str">
        <f t="shared" si="611"/>
        <v>HollowBrook</v>
      </c>
      <c r="T1729" s="20">
        <f t="shared" si="550"/>
        <v>0</v>
      </c>
      <c r="U1729">
        <f t="shared" si="551"/>
        <v>984</v>
      </c>
      <c r="V1729">
        <f t="shared" si="552"/>
        <v>984</v>
      </c>
      <c r="W1729">
        <v>64</v>
      </c>
      <c r="X1729" t="str">
        <f t="shared" si="553"/>
        <v>opp_team_player_1</v>
      </c>
      <c r="Y1729">
        <f>COUNTIFS(A$3:A1729,"="&amp;A1729,K$3:K1729,"="&amp;K1729)</f>
        <v>1</v>
      </c>
      <c r="Z1729" s="20">
        <f>SUMIFS(T$3:T1729,L$3:L1729,"=Intermission")+SUMIFS(T$3:T1729,L$3:L1729,"=Timeout")+SUMIFS(T$3:T1729,L$3:L1729,"=Clockstop")</f>
        <v>138</v>
      </c>
      <c r="AA1729">
        <f t="shared" si="544"/>
        <v>2298</v>
      </c>
      <c r="AC1729">
        <f t="shared" si="545"/>
        <v>2436</v>
      </c>
    </row>
    <row r="1730" spans="1:29" x14ac:dyDescent="0.2">
      <c r="A1730">
        <v>934</v>
      </c>
      <c r="D1730">
        <f t="shared" si="546"/>
        <v>3</v>
      </c>
      <c r="E1730">
        <v>16</v>
      </c>
      <c r="F1730" s="6" t="s">
        <v>444</v>
      </c>
      <c r="I1730" t="s">
        <v>178</v>
      </c>
      <c r="J1730">
        <v>39</v>
      </c>
      <c r="K1730" t="s">
        <v>488</v>
      </c>
      <c r="L1730" t="s">
        <v>17</v>
      </c>
      <c r="M1730" t="s">
        <v>206</v>
      </c>
      <c r="N1730" t="s">
        <v>103</v>
      </c>
      <c r="Q1730">
        <f t="shared" ref="Q1730:S1730" si="612">Q1729</f>
        <v>18977</v>
      </c>
      <c r="R1730" t="str">
        <f t="shared" si="612"/>
        <v>Velodrome</v>
      </c>
      <c r="S1730" t="str">
        <f t="shared" si="612"/>
        <v>HollowBrook</v>
      </c>
      <c r="T1730" s="20">
        <f t="shared" si="550"/>
        <v>0</v>
      </c>
      <c r="U1730">
        <f t="shared" si="551"/>
        <v>984</v>
      </c>
      <c r="V1730">
        <f t="shared" si="552"/>
        <v>984</v>
      </c>
      <c r="W1730">
        <v>64</v>
      </c>
      <c r="X1730" t="str">
        <f t="shared" si="553"/>
        <v>event_team_player_1</v>
      </c>
      <c r="Y1730">
        <f>COUNTIFS(A$3:A1730,"="&amp;A1730,K$3:K1730,"="&amp;K1730)</f>
        <v>1</v>
      </c>
      <c r="Z1730" s="20">
        <f>SUMIFS(T$3:T1730,L$3:L1730,"=Intermission")+SUMIFS(T$3:T1730,L$3:L1730,"=Timeout")+SUMIFS(T$3:T1730,L$3:L1730,"=Clockstop")</f>
        <v>138</v>
      </c>
      <c r="AA1730">
        <f t="shared" si="544"/>
        <v>2298</v>
      </c>
      <c r="AC1730">
        <f t="shared" si="545"/>
        <v>2436</v>
      </c>
    </row>
    <row r="1731" spans="1:29" x14ac:dyDescent="0.2">
      <c r="A1731">
        <v>934</v>
      </c>
      <c r="D1731">
        <f t="shared" si="546"/>
        <v>3</v>
      </c>
      <c r="E1731">
        <v>16</v>
      </c>
      <c r="F1731" s="6" t="s">
        <v>444</v>
      </c>
      <c r="I1731" t="s">
        <v>178</v>
      </c>
      <c r="J1731">
        <v>11</v>
      </c>
      <c r="K1731" t="s">
        <v>489</v>
      </c>
      <c r="L1731" t="s">
        <v>17</v>
      </c>
      <c r="M1731" t="s">
        <v>206</v>
      </c>
      <c r="N1731" t="s">
        <v>103</v>
      </c>
      <c r="Q1731">
        <f t="shared" ref="Q1731:S1731" si="613">Q1730</f>
        <v>18977</v>
      </c>
      <c r="R1731" t="str">
        <f t="shared" si="613"/>
        <v>Velodrome</v>
      </c>
      <c r="S1731" t="str">
        <f t="shared" si="613"/>
        <v>HollowBrook</v>
      </c>
      <c r="T1731" s="20">
        <f t="shared" si="550"/>
        <v>0</v>
      </c>
      <c r="U1731">
        <f t="shared" si="551"/>
        <v>984</v>
      </c>
      <c r="V1731">
        <f t="shared" si="552"/>
        <v>984</v>
      </c>
      <c r="W1731">
        <v>64</v>
      </c>
      <c r="X1731" t="str">
        <f t="shared" si="553"/>
        <v>opp_team_player_1</v>
      </c>
      <c r="Y1731">
        <f>COUNTIFS(A$3:A1731,"="&amp;A1731,K$3:K1731,"="&amp;K1731)</f>
        <v>1</v>
      </c>
      <c r="Z1731" s="20">
        <f>SUMIFS(T$3:T1731,L$3:L1731,"=Intermission")+SUMIFS(T$3:T1731,L$3:L1731,"=Timeout")+SUMIFS(T$3:T1731,L$3:L1731,"=Clockstop")</f>
        <v>138</v>
      </c>
      <c r="AA1731">
        <f t="shared" si="544"/>
        <v>2298</v>
      </c>
      <c r="AC1731">
        <f t="shared" si="545"/>
        <v>2436</v>
      </c>
    </row>
    <row r="1732" spans="1:29" x14ac:dyDescent="0.2">
      <c r="A1732">
        <v>935</v>
      </c>
      <c r="D1732">
        <f t="shared" si="546"/>
        <v>3</v>
      </c>
      <c r="E1732">
        <v>16</v>
      </c>
      <c r="F1732" s="6" t="s">
        <v>444</v>
      </c>
      <c r="I1732" t="s">
        <v>178</v>
      </c>
      <c r="J1732">
        <v>39</v>
      </c>
      <c r="K1732" t="s">
        <v>488</v>
      </c>
      <c r="L1732" t="s">
        <v>13</v>
      </c>
      <c r="M1732" t="s">
        <v>204</v>
      </c>
      <c r="N1732" t="s">
        <v>110</v>
      </c>
      <c r="Q1732">
        <f t="shared" ref="Q1732:S1732" si="614">Q1731</f>
        <v>18977</v>
      </c>
      <c r="R1732" t="str">
        <f t="shared" si="614"/>
        <v>Velodrome</v>
      </c>
      <c r="S1732" t="str">
        <f t="shared" si="614"/>
        <v>HollowBrook</v>
      </c>
      <c r="T1732" s="20">
        <f t="shared" si="550"/>
        <v>0</v>
      </c>
      <c r="U1732">
        <f t="shared" si="551"/>
        <v>984</v>
      </c>
      <c r="V1732">
        <f t="shared" si="552"/>
        <v>984</v>
      </c>
      <c r="W1732">
        <v>64</v>
      </c>
      <c r="X1732" t="str">
        <f t="shared" si="553"/>
        <v>event_team_player_1</v>
      </c>
      <c r="Y1732">
        <f>COUNTIFS(A$3:A1732,"="&amp;A1732,K$3:K1732,"="&amp;K1732)</f>
        <v>1</v>
      </c>
      <c r="Z1732" s="20">
        <f>SUMIFS(T$3:T1732,L$3:L1732,"=Intermission")+SUMIFS(T$3:T1732,L$3:L1732,"=Timeout")+SUMIFS(T$3:T1732,L$3:L1732,"=Clockstop")</f>
        <v>138</v>
      </c>
      <c r="AA1732">
        <f t="shared" ref="AA1732:AA1795" si="615">IF(D1732=1,0,IF(D1732=2,1080+Z1732,IF(D1732=3,(1080*2)+Z1732,0)))</f>
        <v>2298</v>
      </c>
      <c r="AC1732">
        <f t="shared" ref="AC1732:AC1795" si="616">IF(L1731="GameStart",0,AA1732+Z1732)</f>
        <v>2436</v>
      </c>
    </row>
    <row r="1733" spans="1:29" x14ac:dyDescent="0.2">
      <c r="A1733">
        <v>936</v>
      </c>
      <c r="D1733">
        <f t="shared" ref="D1733:D1796" si="617">IF(L1733="Intermission",D1732+1,D1732)</f>
        <v>3</v>
      </c>
      <c r="E1733">
        <v>16</v>
      </c>
      <c r="F1733" s="6" t="s">
        <v>444</v>
      </c>
      <c r="G1733">
        <v>16</v>
      </c>
      <c r="H1733" s="8" t="s">
        <v>309</v>
      </c>
      <c r="I1733" t="s">
        <v>178</v>
      </c>
      <c r="J1733">
        <v>39</v>
      </c>
      <c r="K1733" t="s">
        <v>488</v>
      </c>
      <c r="L1733" t="s">
        <v>282</v>
      </c>
      <c r="Q1733">
        <f t="shared" ref="Q1733:S1733" si="618">Q1732</f>
        <v>18977</v>
      </c>
      <c r="R1733" t="str">
        <f t="shared" si="618"/>
        <v>Velodrome</v>
      </c>
      <c r="S1733" t="str">
        <f t="shared" si="618"/>
        <v>HollowBrook</v>
      </c>
      <c r="T1733" s="20">
        <f t="shared" si="550"/>
        <v>17</v>
      </c>
      <c r="U1733">
        <f t="shared" si="551"/>
        <v>984</v>
      </c>
      <c r="V1733">
        <f t="shared" si="552"/>
        <v>967</v>
      </c>
      <c r="W1733" cm="1">
        <f t="array" ref="W1733">_xlfn._xlws.FILTER(shifts!A:A,(shifts!B:B=events!D1733)*(shifts!AH:AH&gt;=events!U1733)*(shifts!AI:AI&lt;=events!V1733))</f>
        <v>64</v>
      </c>
      <c r="X1733" t="str">
        <f t="shared" si="553"/>
        <v>event_team_player_1</v>
      </c>
      <c r="Y1733">
        <f>COUNTIFS(A$3:A1733,"="&amp;A1733,K$3:K1733,"="&amp;K1733)</f>
        <v>1</v>
      </c>
      <c r="Z1733" s="20">
        <f>SUMIFS(T$3:T1733,L$3:L1733,"=Intermission")+SUMIFS(T$3:T1733,L$3:L1733,"=Timeout")+SUMIFS(T$3:T1733,L$3:L1733,"=Clockstop")</f>
        <v>138</v>
      </c>
      <c r="AA1733">
        <f t="shared" si="615"/>
        <v>2298</v>
      </c>
      <c r="AC1733">
        <f t="shared" si="616"/>
        <v>2436</v>
      </c>
    </row>
    <row r="1734" spans="1:29" x14ac:dyDescent="0.2">
      <c r="A1734">
        <v>937</v>
      </c>
      <c r="D1734">
        <f t="shared" si="617"/>
        <v>3</v>
      </c>
      <c r="E1734">
        <v>16</v>
      </c>
      <c r="F1734" s="6" t="s">
        <v>309</v>
      </c>
      <c r="I1734" t="s">
        <v>179</v>
      </c>
      <c r="J1734">
        <v>11</v>
      </c>
      <c r="K1734" t="s">
        <v>488</v>
      </c>
      <c r="L1734" t="s">
        <v>6</v>
      </c>
      <c r="M1734" t="s">
        <v>275</v>
      </c>
      <c r="Q1734">
        <f t="shared" ref="Q1734:S1734" si="619">Q1733</f>
        <v>18977</v>
      </c>
      <c r="R1734" t="str">
        <f t="shared" si="619"/>
        <v>Velodrome</v>
      </c>
      <c r="S1734" t="str">
        <f t="shared" si="619"/>
        <v>HollowBrook</v>
      </c>
      <c r="T1734" s="20">
        <f t="shared" si="550"/>
        <v>0</v>
      </c>
      <c r="U1734">
        <f t="shared" si="551"/>
        <v>967</v>
      </c>
      <c r="V1734">
        <f t="shared" si="552"/>
        <v>967</v>
      </c>
      <c r="W1734" cm="1">
        <f t="array" ref="W1734">_xlfn._xlws.FILTER(shifts!A:A,(shifts!B:B=events!D1734)*(shifts!AH:AH&gt;=events!U1734)*(shifts!AI:AI&lt;=events!V1734))</f>
        <v>64</v>
      </c>
      <c r="X1734" t="str">
        <f t="shared" si="553"/>
        <v>event_team_player_1</v>
      </c>
      <c r="Y1734">
        <f>COUNTIFS(A$3:A1734,"="&amp;A1734,K$3:K1734,"="&amp;K1734)</f>
        <v>1</v>
      </c>
      <c r="Z1734" s="20">
        <f>SUMIFS(T$3:T1734,L$3:L1734,"=Intermission")+SUMIFS(T$3:T1734,L$3:L1734,"=Timeout")+SUMIFS(T$3:T1734,L$3:L1734,"=Clockstop")</f>
        <v>138</v>
      </c>
      <c r="AA1734">
        <f t="shared" si="615"/>
        <v>2298</v>
      </c>
      <c r="AC1734">
        <f t="shared" si="616"/>
        <v>2436</v>
      </c>
    </row>
    <row r="1735" spans="1:29" x14ac:dyDescent="0.2">
      <c r="A1735">
        <v>937</v>
      </c>
      <c r="D1735">
        <f t="shared" si="617"/>
        <v>3</v>
      </c>
      <c r="E1735">
        <v>16</v>
      </c>
      <c r="F1735" s="6" t="s">
        <v>309</v>
      </c>
      <c r="I1735" t="s">
        <v>179</v>
      </c>
      <c r="J1735">
        <v>19</v>
      </c>
      <c r="K1735" t="s">
        <v>488</v>
      </c>
      <c r="L1735" t="s">
        <v>6</v>
      </c>
      <c r="M1735" t="s">
        <v>275</v>
      </c>
      <c r="Q1735">
        <f t="shared" ref="Q1735:S1735" si="620">Q1734</f>
        <v>18977</v>
      </c>
      <c r="R1735" t="str">
        <f t="shared" si="620"/>
        <v>Velodrome</v>
      </c>
      <c r="S1735" t="str">
        <f t="shared" si="620"/>
        <v>HollowBrook</v>
      </c>
      <c r="T1735" s="20">
        <f t="shared" ref="T1735:T1798" si="621">IF(AND(G1735="",H1735=""),0,((E1735*60)+F1735)-((G1735*60)+H1735))</f>
        <v>0</v>
      </c>
      <c r="U1735">
        <f t="shared" ref="U1735:U1798" si="622">(E1735*60)+F1735</f>
        <v>967</v>
      </c>
      <c r="V1735">
        <f t="shared" ref="V1735:V1798" si="623">IF(AND(G1735="",H1735=""),U1735,((G1735*60)+H1735))</f>
        <v>967</v>
      </c>
      <c r="W1735" cm="1">
        <f t="array" ref="W1735">_xlfn._xlws.FILTER(shifts!A:A,(shifts!B:B=events!D1735)*(shifts!AH:AH&gt;=events!U1735)*(shifts!AI:AI&lt;=events!V1735))</f>
        <v>64</v>
      </c>
      <c r="X1735" t="str">
        <f t="shared" ref="X1735:X1798" si="624">IF(K1735="e","event_team_player_"&amp;Y1735,IF(K1735="o","opp_team_player_"&amp;Y1735,""))</f>
        <v>event_team_player_2</v>
      </c>
      <c r="Y1735">
        <f>COUNTIFS(A$3:A1735,"="&amp;A1735,K$3:K1735,"="&amp;K1735)</f>
        <v>2</v>
      </c>
      <c r="Z1735" s="20">
        <f>SUMIFS(T$3:T1735,L$3:L1735,"=Intermission")+SUMIFS(T$3:T1735,L$3:L1735,"=Timeout")+SUMIFS(T$3:T1735,L$3:L1735,"=Clockstop")</f>
        <v>138</v>
      </c>
      <c r="AA1735">
        <f t="shared" si="615"/>
        <v>2298</v>
      </c>
      <c r="AC1735">
        <f t="shared" si="616"/>
        <v>2436</v>
      </c>
    </row>
    <row r="1736" spans="1:29" x14ac:dyDescent="0.2">
      <c r="A1736">
        <v>937</v>
      </c>
      <c r="D1736">
        <f t="shared" si="617"/>
        <v>3</v>
      </c>
      <c r="E1736">
        <v>16</v>
      </c>
      <c r="F1736" s="6" t="s">
        <v>309</v>
      </c>
      <c r="I1736" t="s">
        <v>179</v>
      </c>
      <c r="J1736">
        <v>70</v>
      </c>
      <c r="K1736" t="s">
        <v>489</v>
      </c>
      <c r="L1736" t="s">
        <v>6</v>
      </c>
      <c r="M1736" t="s">
        <v>275</v>
      </c>
      <c r="Q1736">
        <f t="shared" ref="Q1736:S1736" si="625">Q1735</f>
        <v>18977</v>
      </c>
      <c r="R1736" t="str">
        <f t="shared" si="625"/>
        <v>Velodrome</v>
      </c>
      <c r="S1736" t="str">
        <f t="shared" si="625"/>
        <v>HollowBrook</v>
      </c>
      <c r="T1736" s="20">
        <f t="shared" si="621"/>
        <v>0</v>
      </c>
      <c r="U1736">
        <f t="shared" si="622"/>
        <v>967</v>
      </c>
      <c r="V1736">
        <f t="shared" si="623"/>
        <v>967</v>
      </c>
      <c r="W1736" cm="1">
        <f t="array" ref="W1736">_xlfn._xlws.FILTER(shifts!A:A,(shifts!B:B=events!D1736)*(shifts!AH:AH&gt;=events!U1736)*(shifts!AI:AI&lt;=events!V1736))</f>
        <v>64</v>
      </c>
      <c r="X1736" t="str">
        <f t="shared" si="624"/>
        <v>opp_team_player_1</v>
      </c>
      <c r="Y1736">
        <f>COUNTIFS(A$3:A1736,"="&amp;A1736,K$3:K1736,"="&amp;K1736)</f>
        <v>1</v>
      </c>
      <c r="Z1736" s="20">
        <f>SUMIFS(T$3:T1736,L$3:L1736,"=Intermission")+SUMIFS(T$3:T1736,L$3:L1736,"=Timeout")+SUMIFS(T$3:T1736,L$3:L1736,"=Clockstop")</f>
        <v>138</v>
      </c>
      <c r="AA1736">
        <f t="shared" si="615"/>
        <v>2298</v>
      </c>
      <c r="AC1736">
        <f t="shared" si="616"/>
        <v>2436</v>
      </c>
    </row>
    <row r="1737" spans="1:29" x14ac:dyDescent="0.2">
      <c r="A1737">
        <v>938</v>
      </c>
      <c r="D1737">
        <f t="shared" si="617"/>
        <v>3</v>
      </c>
      <c r="E1737">
        <v>16</v>
      </c>
      <c r="F1737" s="6" t="s">
        <v>314</v>
      </c>
      <c r="I1737" t="s">
        <v>179</v>
      </c>
      <c r="J1737">
        <v>19</v>
      </c>
      <c r="K1737" t="s">
        <v>488</v>
      </c>
      <c r="L1737" t="s">
        <v>7</v>
      </c>
      <c r="M1737" t="s">
        <v>222</v>
      </c>
      <c r="N1737" t="s">
        <v>53</v>
      </c>
      <c r="Q1737">
        <f t="shared" ref="Q1737:S1737" si="626">Q1736</f>
        <v>18977</v>
      </c>
      <c r="R1737" t="str">
        <f t="shared" si="626"/>
        <v>Velodrome</v>
      </c>
      <c r="S1737" t="str">
        <f t="shared" si="626"/>
        <v>HollowBrook</v>
      </c>
      <c r="T1737" s="20">
        <f t="shared" si="621"/>
        <v>0</v>
      </c>
      <c r="U1737">
        <f t="shared" si="622"/>
        <v>966</v>
      </c>
      <c r="V1737">
        <f t="shared" si="623"/>
        <v>966</v>
      </c>
      <c r="W1737" cm="1">
        <f t="array" ref="W1737">_xlfn._xlws.FILTER(shifts!A:A,(shifts!B:B=events!D1737)*(shifts!AH:AH&gt;=events!U1737)*(shifts!AI:AI&lt;=events!V1737))</f>
        <v>64</v>
      </c>
      <c r="X1737" t="str">
        <f t="shared" si="624"/>
        <v>event_team_player_1</v>
      </c>
      <c r="Y1737">
        <f>COUNTIFS(A$3:A1737,"="&amp;A1737,K$3:K1737,"="&amp;K1737)</f>
        <v>1</v>
      </c>
      <c r="Z1737" s="20">
        <f>SUMIFS(T$3:T1737,L$3:L1737,"=Intermission")+SUMIFS(T$3:T1737,L$3:L1737,"=Timeout")+SUMIFS(T$3:T1737,L$3:L1737,"=Clockstop")</f>
        <v>138</v>
      </c>
      <c r="AA1737">
        <f t="shared" si="615"/>
        <v>2298</v>
      </c>
      <c r="AC1737">
        <f t="shared" si="616"/>
        <v>2436</v>
      </c>
    </row>
    <row r="1738" spans="1:29" x14ac:dyDescent="0.2">
      <c r="A1738">
        <v>938</v>
      </c>
      <c r="D1738">
        <f t="shared" si="617"/>
        <v>3</v>
      </c>
      <c r="E1738">
        <v>16</v>
      </c>
      <c r="F1738" s="6" t="s">
        <v>314</v>
      </c>
      <c r="I1738" t="s">
        <v>179</v>
      </c>
      <c r="J1738">
        <v>39</v>
      </c>
      <c r="K1738" t="s">
        <v>489</v>
      </c>
      <c r="L1738" t="s">
        <v>7</v>
      </c>
      <c r="M1738" t="s">
        <v>222</v>
      </c>
      <c r="N1738" t="s">
        <v>53</v>
      </c>
      <c r="Q1738">
        <f t="shared" ref="Q1738:S1738" si="627">Q1737</f>
        <v>18977</v>
      </c>
      <c r="R1738" t="str">
        <f t="shared" si="627"/>
        <v>Velodrome</v>
      </c>
      <c r="S1738" t="str">
        <f t="shared" si="627"/>
        <v>HollowBrook</v>
      </c>
      <c r="T1738" s="20">
        <f t="shared" si="621"/>
        <v>0</v>
      </c>
      <c r="U1738">
        <f t="shared" si="622"/>
        <v>966</v>
      </c>
      <c r="V1738">
        <f t="shared" si="623"/>
        <v>966</v>
      </c>
      <c r="W1738" cm="1">
        <f t="array" ref="W1738">_xlfn._xlws.FILTER(shifts!A:A,(shifts!B:B=events!D1738)*(shifts!AH:AH&gt;=events!U1738)*(shifts!AI:AI&lt;=events!V1738))</f>
        <v>64</v>
      </c>
      <c r="X1738" t="str">
        <f t="shared" si="624"/>
        <v>opp_team_player_1</v>
      </c>
      <c r="Y1738">
        <f>COUNTIFS(A$3:A1738,"="&amp;A1738,K$3:K1738,"="&amp;K1738)</f>
        <v>1</v>
      </c>
      <c r="Z1738" s="20">
        <f>SUMIFS(T$3:T1738,L$3:L1738,"=Intermission")+SUMIFS(T$3:T1738,L$3:L1738,"=Timeout")+SUMIFS(T$3:T1738,L$3:L1738,"=Clockstop")</f>
        <v>138</v>
      </c>
      <c r="AA1738">
        <f t="shared" si="615"/>
        <v>2298</v>
      </c>
      <c r="AC1738">
        <f t="shared" si="616"/>
        <v>2436</v>
      </c>
    </row>
    <row r="1739" spans="1:29" x14ac:dyDescent="0.2">
      <c r="A1739">
        <v>939</v>
      </c>
      <c r="D1739">
        <f t="shared" si="617"/>
        <v>3</v>
      </c>
      <c r="E1739">
        <v>16</v>
      </c>
      <c r="F1739" s="6" t="s">
        <v>314</v>
      </c>
      <c r="I1739" t="s">
        <v>178</v>
      </c>
      <c r="J1739">
        <v>39</v>
      </c>
      <c r="K1739" t="s">
        <v>488</v>
      </c>
      <c r="L1739" t="s">
        <v>17</v>
      </c>
      <c r="M1739" t="s">
        <v>206</v>
      </c>
      <c r="N1739" t="s">
        <v>96</v>
      </c>
      <c r="Q1739">
        <f t="shared" ref="Q1739:S1739" si="628">Q1738</f>
        <v>18977</v>
      </c>
      <c r="R1739" t="str">
        <f t="shared" si="628"/>
        <v>Velodrome</v>
      </c>
      <c r="S1739" t="str">
        <f t="shared" si="628"/>
        <v>HollowBrook</v>
      </c>
      <c r="T1739" s="20">
        <f t="shared" si="621"/>
        <v>0</v>
      </c>
      <c r="U1739">
        <f t="shared" si="622"/>
        <v>966</v>
      </c>
      <c r="V1739">
        <f t="shared" si="623"/>
        <v>966</v>
      </c>
      <c r="W1739" cm="1">
        <f t="array" ref="W1739">_xlfn._xlws.FILTER(shifts!A:A,(shifts!B:B=events!D1739)*(shifts!AH:AH&gt;=events!U1739)*(shifts!AI:AI&lt;=events!V1739))</f>
        <v>64</v>
      </c>
      <c r="X1739" t="str">
        <f t="shared" si="624"/>
        <v>event_team_player_1</v>
      </c>
      <c r="Y1739">
        <f>COUNTIFS(A$3:A1739,"="&amp;A1739,K$3:K1739,"="&amp;K1739)</f>
        <v>1</v>
      </c>
      <c r="Z1739" s="20">
        <f>SUMIFS(T$3:T1739,L$3:L1739,"=Intermission")+SUMIFS(T$3:T1739,L$3:L1739,"=Timeout")+SUMIFS(T$3:T1739,L$3:L1739,"=Clockstop")</f>
        <v>138</v>
      </c>
      <c r="AA1739">
        <f t="shared" si="615"/>
        <v>2298</v>
      </c>
      <c r="AC1739">
        <f t="shared" si="616"/>
        <v>2436</v>
      </c>
    </row>
    <row r="1740" spans="1:29" x14ac:dyDescent="0.2">
      <c r="A1740">
        <v>939</v>
      </c>
      <c r="D1740">
        <f t="shared" si="617"/>
        <v>3</v>
      </c>
      <c r="E1740">
        <v>16</v>
      </c>
      <c r="F1740" s="6" t="s">
        <v>314</v>
      </c>
      <c r="I1740" t="s">
        <v>178</v>
      </c>
      <c r="J1740">
        <v>19</v>
      </c>
      <c r="K1740" t="s">
        <v>489</v>
      </c>
      <c r="L1740" t="s">
        <v>17</v>
      </c>
      <c r="M1740" t="s">
        <v>206</v>
      </c>
      <c r="N1740" t="s">
        <v>96</v>
      </c>
      <c r="Q1740">
        <f t="shared" ref="Q1740:S1740" si="629">Q1739</f>
        <v>18977</v>
      </c>
      <c r="R1740" t="str">
        <f t="shared" si="629"/>
        <v>Velodrome</v>
      </c>
      <c r="S1740" t="str">
        <f t="shared" si="629"/>
        <v>HollowBrook</v>
      </c>
      <c r="T1740" s="20">
        <f t="shared" si="621"/>
        <v>0</v>
      </c>
      <c r="U1740">
        <f t="shared" si="622"/>
        <v>966</v>
      </c>
      <c r="V1740">
        <f t="shared" si="623"/>
        <v>966</v>
      </c>
      <c r="W1740" cm="1">
        <f t="array" ref="W1740">_xlfn._xlws.FILTER(shifts!A:A,(shifts!B:B=events!D1740)*(shifts!AH:AH&gt;=events!U1740)*(shifts!AI:AI&lt;=events!V1740))</f>
        <v>64</v>
      </c>
      <c r="X1740" t="str">
        <f t="shared" si="624"/>
        <v>opp_team_player_1</v>
      </c>
      <c r="Y1740">
        <f>COUNTIFS(A$3:A1740,"="&amp;A1740,K$3:K1740,"="&amp;K1740)</f>
        <v>1</v>
      </c>
      <c r="Z1740" s="20">
        <f>SUMIFS(T$3:T1740,L$3:L1740,"=Intermission")+SUMIFS(T$3:T1740,L$3:L1740,"=Timeout")+SUMIFS(T$3:T1740,L$3:L1740,"=Clockstop")</f>
        <v>138</v>
      </c>
      <c r="AA1740">
        <f t="shared" si="615"/>
        <v>2298</v>
      </c>
      <c r="AC1740">
        <f t="shared" si="616"/>
        <v>2436</v>
      </c>
    </row>
    <row r="1741" spans="1:29" x14ac:dyDescent="0.2">
      <c r="A1741">
        <v>940</v>
      </c>
      <c r="D1741">
        <f t="shared" si="617"/>
        <v>3</v>
      </c>
      <c r="E1741">
        <v>16</v>
      </c>
      <c r="F1741" s="6" t="s">
        <v>314</v>
      </c>
      <c r="I1741" t="s">
        <v>178</v>
      </c>
      <c r="J1741">
        <v>39</v>
      </c>
      <c r="K1741" t="s">
        <v>488</v>
      </c>
      <c r="L1741" t="s">
        <v>13</v>
      </c>
      <c r="M1741" t="s">
        <v>204</v>
      </c>
      <c r="N1741" t="s">
        <v>110</v>
      </c>
      <c r="Q1741">
        <f t="shared" ref="Q1741:S1741" si="630">Q1740</f>
        <v>18977</v>
      </c>
      <c r="R1741" t="str">
        <f t="shared" si="630"/>
        <v>Velodrome</v>
      </c>
      <c r="S1741" t="str">
        <f t="shared" si="630"/>
        <v>HollowBrook</v>
      </c>
      <c r="T1741" s="20">
        <f t="shared" si="621"/>
        <v>0</v>
      </c>
      <c r="U1741">
        <f t="shared" si="622"/>
        <v>966</v>
      </c>
      <c r="V1741">
        <f t="shared" si="623"/>
        <v>966</v>
      </c>
      <c r="W1741" cm="1">
        <f t="array" ref="W1741">_xlfn._xlws.FILTER(shifts!A:A,(shifts!B:B=events!D1741)*(shifts!AH:AH&gt;=events!U1741)*(shifts!AI:AI&lt;=events!V1741))</f>
        <v>64</v>
      </c>
      <c r="X1741" t="str">
        <f t="shared" si="624"/>
        <v>event_team_player_1</v>
      </c>
      <c r="Y1741">
        <f>COUNTIFS(A$3:A1741,"="&amp;A1741,K$3:K1741,"="&amp;K1741)</f>
        <v>1</v>
      </c>
      <c r="Z1741" s="20">
        <f>SUMIFS(T$3:T1741,L$3:L1741,"=Intermission")+SUMIFS(T$3:T1741,L$3:L1741,"=Timeout")+SUMIFS(T$3:T1741,L$3:L1741,"=Clockstop")</f>
        <v>138</v>
      </c>
      <c r="AA1741">
        <f t="shared" si="615"/>
        <v>2298</v>
      </c>
      <c r="AC1741">
        <f t="shared" si="616"/>
        <v>2436</v>
      </c>
    </row>
    <row r="1742" spans="1:29" x14ac:dyDescent="0.2">
      <c r="A1742">
        <v>941</v>
      </c>
      <c r="D1742">
        <f t="shared" si="617"/>
        <v>3</v>
      </c>
      <c r="E1742">
        <v>16</v>
      </c>
      <c r="F1742" s="6" t="s">
        <v>314</v>
      </c>
      <c r="G1742">
        <v>15</v>
      </c>
      <c r="H1742" s="8" t="s">
        <v>477</v>
      </c>
      <c r="I1742" t="s">
        <v>178</v>
      </c>
      <c r="J1742">
        <v>39</v>
      </c>
      <c r="K1742" t="s">
        <v>488</v>
      </c>
      <c r="L1742" t="s">
        <v>282</v>
      </c>
      <c r="Q1742">
        <f t="shared" ref="Q1742:S1742" si="631">Q1741</f>
        <v>18977</v>
      </c>
      <c r="R1742" t="str">
        <f t="shared" si="631"/>
        <v>Velodrome</v>
      </c>
      <c r="S1742" t="str">
        <f t="shared" si="631"/>
        <v>HollowBrook</v>
      </c>
      <c r="T1742" s="20">
        <f t="shared" si="621"/>
        <v>15</v>
      </c>
      <c r="U1742">
        <f t="shared" si="622"/>
        <v>966</v>
      </c>
      <c r="V1742">
        <f t="shared" si="623"/>
        <v>951</v>
      </c>
      <c r="W1742" cm="1">
        <f t="array" ref="W1742">_xlfn._xlws.FILTER(shifts!A:A,(shifts!B:B=events!D1742)*(shifts!AH:AH&gt;=events!U1742)*(shifts!AI:AI&lt;=events!V1742))</f>
        <v>64</v>
      </c>
      <c r="X1742" t="str">
        <f t="shared" si="624"/>
        <v>event_team_player_1</v>
      </c>
      <c r="Y1742">
        <f>COUNTIFS(A$3:A1742,"="&amp;A1742,K$3:K1742,"="&amp;K1742)</f>
        <v>1</v>
      </c>
      <c r="Z1742" s="20">
        <f>SUMIFS(T$3:T1742,L$3:L1742,"=Intermission")+SUMIFS(T$3:T1742,L$3:L1742,"=Timeout")+SUMIFS(T$3:T1742,L$3:L1742,"=Clockstop")</f>
        <v>138</v>
      </c>
      <c r="AA1742">
        <f t="shared" si="615"/>
        <v>2298</v>
      </c>
      <c r="AC1742">
        <f t="shared" si="616"/>
        <v>2436</v>
      </c>
    </row>
    <row r="1743" spans="1:29" x14ac:dyDescent="0.2">
      <c r="A1743">
        <v>942</v>
      </c>
      <c r="D1743">
        <f t="shared" si="617"/>
        <v>3</v>
      </c>
      <c r="E1743">
        <v>15</v>
      </c>
      <c r="F1743" s="6" t="s">
        <v>477</v>
      </c>
      <c r="I1743" t="s">
        <v>179</v>
      </c>
      <c r="J1743">
        <v>11</v>
      </c>
      <c r="K1743" t="s">
        <v>488</v>
      </c>
      <c r="L1743" t="s">
        <v>6</v>
      </c>
      <c r="M1743" t="s">
        <v>275</v>
      </c>
      <c r="Q1743">
        <f t="shared" ref="Q1743:S1743" si="632">Q1742</f>
        <v>18977</v>
      </c>
      <c r="R1743" t="str">
        <f t="shared" si="632"/>
        <v>Velodrome</v>
      </c>
      <c r="S1743" t="str">
        <f t="shared" si="632"/>
        <v>HollowBrook</v>
      </c>
      <c r="T1743" s="20">
        <f t="shared" si="621"/>
        <v>0</v>
      </c>
      <c r="U1743">
        <f t="shared" si="622"/>
        <v>951</v>
      </c>
      <c r="V1743">
        <f t="shared" si="623"/>
        <v>951</v>
      </c>
      <c r="W1743" cm="1">
        <f t="array" ref="W1743">_xlfn._xlws.FILTER(shifts!A:A,(shifts!B:B=events!D1743)*(shifts!AH:AH&gt;=events!U1743)*(shifts!AI:AI&lt;=events!V1743))</f>
        <v>64</v>
      </c>
      <c r="X1743" t="str">
        <f t="shared" si="624"/>
        <v>event_team_player_1</v>
      </c>
      <c r="Y1743">
        <f>COUNTIFS(A$3:A1743,"="&amp;A1743,K$3:K1743,"="&amp;K1743)</f>
        <v>1</v>
      </c>
      <c r="Z1743" s="20">
        <f>SUMIFS(T$3:T1743,L$3:L1743,"=Intermission")+SUMIFS(T$3:T1743,L$3:L1743,"=Timeout")+SUMIFS(T$3:T1743,L$3:L1743,"=Clockstop")</f>
        <v>138</v>
      </c>
      <c r="AA1743">
        <f t="shared" si="615"/>
        <v>2298</v>
      </c>
      <c r="AC1743">
        <f t="shared" si="616"/>
        <v>2436</v>
      </c>
    </row>
    <row r="1744" spans="1:29" x14ac:dyDescent="0.2">
      <c r="A1744">
        <v>942</v>
      </c>
      <c r="D1744">
        <f t="shared" si="617"/>
        <v>3</v>
      </c>
      <c r="E1744">
        <v>15</v>
      </c>
      <c r="F1744" s="6" t="s">
        <v>477</v>
      </c>
      <c r="I1744" t="s">
        <v>179</v>
      </c>
      <c r="J1744">
        <v>19</v>
      </c>
      <c r="K1744" t="s">
        <v>488</v>
      </c>
      <c r="L1744" t="s">
        <v>6</v>
      </c>
      <c r="M1744" t="s">
        <v>275</v>
      </c>
      <c r="Q1744">
        <f t="shared" ref="Q1744:S1744" si="633">Q1743</f>
        <v>18977</v>
      </c>
      <c r="R1744" t="str">
        <f t="shared" si="633"/>
        <v>Velodrome</v>
      </c>
      <c r="S1744" t="str">
        <f t="shared" si="633"/>
        <v>HollowBrook</v>
      </c>
      <c r="T1744" s="20">
        <f t="shared" si="621"/>
        <v>0</v>
      </c>
      <c r="U1744">
        <f t="shared" si="622"/>
        <v>951</v>
      </c>
      <c r="V1744">
        <f t="shared" si="623"/>
        <v>951</v>
      </c>
      <c r="W1744" cm="1">
        <f t="array" ref="W1744">_xlfn._xlws.FILTER(shifts!A:A,(shifts!B:B=events!D1744)*(shifts!AH:AH&gt;=events!U1744)*(shifts!AI:AI&lt;=events!V1744))</f>
        <v>64</v>
      </c>
      <c r="X1744" t="str">
        <f t="shared" si="624"/>
        <v>event_team_player_2</v>
      </c>
      <c r="Y1744">
        <f>COUNTIFS(A$3:A1744,"="&amp;A1744,K$3:K1744,"="&amp;K1744)</f>
        <v>2</v>
      </c>
      <c r="Z1744" s="20">
        <f>SUMIFS(T$3:T1744,L$3:L1744,"=Intermission")+SUMIFS(T$3:T1744,L$3:L1744,"=Timeout")+SUMIFS(T$3:T1744,L$3:L1744,"=Clockstop")</f>
        <v>138</v>
      </c>
      <c r="AA1744">
        <f t="shared" si="615"/>
        <v>2298</v>
      </c>
      <c r="AC1744">
        <f t="shared" si="616"/>
        <v>2436</v>
      </c>
    </row>
    <row r="1745" spans="1:29" x14ac:dyDescent="0.2">
      <c r="A1745">
        <v>942</v>
      </c>
      <c r="D1745">
        <f t="shared" si="617"/>
        <v>3</v>
      </c>
      <c r="E1745">
        <v>15</v>
      </c>
      <c r="F1745" s="6" t="s">
        <v>477</v>
      </c>
      <c r="I1745" t="s">
        <v>179</v>
      </c>
      <c r="J1745">
        <v>70</v>
      </c>
      <c r="K1745" t="s">
        <v>489</v>
      </c>
      <c r="L1745" t="s">
        <v>6</v>
      </c>
      <c r="M1745" t="s">
        <v>275</v>
      </c>
      <c r="Q1745">
        <f t="shared" ref="Q1745:S1745" si="634">Q1744</f>
        <v>18977</v>
      </c>
      <c r="R1745" t="str">
        <f t="shared" si="634"/>
        <v>Velodrome</v>
      </c>
      <c r="S1745" t="str">
        <f t="shared" si="634"/>
        <v>HollowBrook</v>
      </c>
      <c r="T1745" s="20">
        <f t="shared" si="621"/>
        <v>0</v>
      </c>
      <c r="U1745">
        <f t="shared" si="622"/>
        <v>951</v>
      </c>
      <c r="V1745">
        <f t="shared" si="623"/>
        <v>951</v>
      </c>
      <c r="W1745" cm="1">
        <f t="array" ref="W1745">_xlfn._xlws.FILTER(shifts!A:A,(shifts!B:B=events!D1745)*(shifts!AH:AH&gt;=events!U1745)*(shifts!AI:AI&lt;=events!V1745))</f>
        <v>64</v>
      </c>
      <c r="X1745" t="str">
        <f t="shared" si="624"/>
        <v>opp_team_player_1</v>
      </c>
      <c r="Y1745">
        <f>COUNTIFS(A$3:A1745,"="&amp;A1745,K$3:K1745,"="&amp;K1745)</f>
        <v>1</v>
      </c>
      <c r="Z1745" s="20">
        <f>SUMIFS(T$3:T1745,L$3:L1745,"=Intermission")+SUMIFS(T$3:T1745,L$3:L1745,"=Timeout")+SUMIFS(T$3:T1745,L$3:L1745,"=Clockstop")</f>
        <v>138</v>
      </c>
      <c r="AA1745">
        <f t="shared" si="615"/>
        <v>2298</v>
      </c>
      <c r="AC1745">
        <f t="shared" si="616"/>
        <v>2436</v>
      </c>
    </row>
    <row r="1746" spans="1:29" x14ac:dyDescent="0.2">
      <c r="A1746">
        <v>943</v>
      </c>
      <c r="D1746">
        <f t="shared" si="617"/>
        <v>3</v>
      </c>
      <c r="E1746">
        <v>15</v>
      </c>
      <c r="F1746" s="6" t="s">
        <v>432</v>
      </c>
      <c r="I1746" t="s">
        <v>179</v>
      </c>
      <c r="J1746">
        <v>19</v>
      </c>
      <c r="K1746" t="s">
        <v>488</v>
      </c>
      <c r="L1746" t="s">
        <v>7</v>
      </c>
      <c r="M1746" t="s">
        <v>222</v>
      </c>
      <c r="N1746" t="s">
        <v>53</v>
      </c>
      <c r="Q1746">
        <f t="shared" ref="Q1746:S1746" si="635">Q1745</f>
        <v>18977</v>
      </c>
      <c r="R1746" t="str">
        <f t="shared" si="635"/>
        <v>Velodrome</v>
      </c>
      <c r="S1746" t="str">
        <f t="shared" si="635"/>
        <v>HollowBrook</v>
      </c>
      <c r="T1746" s="20">
        <f t="shared" si="621"/>
        <v>0</v>
      </c>
      <c r="U1746">
        <f t="shared" si="622"/>
        <v>950</v>
      </c>
      <c r="V1746">
        <f t="shared" si="623"/>
        <v>950</v>
      </c>
      <c r="W1746" cm="1">
        <f t="array" ref="W1746">_xlfn._xlws.FILTER(shifts!A:A,(shifts!B:B=events!D1746)*(shifts!AH:AH&gt;=events!U1746)*(shifts!AI:AI&lt;=events!V1746))</f>
        <v>64</v>
      </c>
      <c r="X1746" t="str">
        <f t="shared" si="624"/>
        <v>event_team_player_1</v>
      </c>
      <c r="Y1746">
        <f>COUNTIFS(A$3:A1746,"="&amp;A1746,K$3:K1746,"="&amp;K1746)</f>
        <v>1</v>
      </c>
      <c r="Z1746" s="20">
        <f>SUMIFS(T$3:T1746,L$3:L1746,"=Intermission")+SUMIFS(T$3:T1746,L$3:L1746,"=Timeout")+SUMIFS(T$3:T1746,L$3:L1746,"=Clockstop")</f>
        <v>138</v>
      </c>
      <c r="AA1746">
        <f t="shared" si="615"/>
        <v>2298</v>
      </c>
      <c r="AC1746">
        <f t="shared" si="616"/>
        <v>2436</v>
      </c>
    </row>
    <row r="1747" spans="1:29" x14ac:dyDescent="0.2">
      <c r="A1747">
        <v>943</v>
      </c>
      <c r="D1747">
        <f t="shared" si="617"/>
        <v>3</v>
      </c>
      <c r="E1747">
        <v>15</v>
      </c>
      <c r="F1747" s="6" t="s">
        <v>432</v>
      </c>
      <c r="I1747" t="s">
        <v>179</v>
      </c>
      <c r="J1747">
        <v>39</v>
      </c>
      <c r="K1747" t="s">
        <v>489</v>
      </c>
      <c r="L1747" t="s">
        <v>7</v>
      </c>
      <c r="M1747" t="s">
        <v>222</v>
      </c>
      <c r="N1747" t="s">
        <v>53</v>
      </c>
      <c r="Q1747">
        <f t="shared" ref="Q1747:S1747" si="636">Q1746</f>
        <v>18977</v>
      </c>
      <c r="R1747" t="str">
        <f t="shared" si="636"/>
        <v>Velodrome</v>
      </c>
      <c r="S1747" t="str">
        <f t="shared" si="636"/>
        <v>HollowBrook</v>
      </c>
      <c r="T1747" s="20">
        <f t="shared" si="621"/>
        <v>0</v>
      </c>
      <c r="U1747">
        <f t="shared" si="622"/>
        <v>950</v>
      </c>
      <c r="V1747">
        <f t="shared" si="623"/>
        <v>950</v>
      </c>
      <c r="W1747" cm="1">
        <f t="array" ref="W1747">_xlfn._xlws.FILTER(shifts!A:A,(shifts!B:B=events!D1747)*(shifts!AH:AH&gt;=events!U1747)*(shifts!AI:AI&lt;=events!V1747))</f>
        <v>64</v>
      </c>
      <c r="X1747" t="str">
        <f t="shared" si="624"/>
        <v>opp_team_player_1</v>
      </c>
      <c r="Y1747">
        <f>COUNTIFS(A$3:A1747,"="&amp;A1747,K$3:K1747,"="&amp;K1747)</f>
        <v>1</v>
      </c>
      <c r="Z1747" s="20">
        <f>SUMIFS(T$3:T1747,L$3:L1747,"=Intermission")+SUMIFS(T$3:T1747,L$3:L1747,"=Timeout")+SUMIFS(T$3:T1747,L$3:L1747,"=Clockstop")</f>
        <v>138</v>
      </c>
      <c r="AA1747">
        <f t="shared" si="615"/>
        <v>2298</v>
      </c>
      <c r="AC1747">
        <f t="shared" si="616"/>
        <v>2436</v>
      </c>
    </row>
    <row r="1748" spans="1:29" x14ac:dyDescent="0.2">
      <c r="A1748">
        <v>944</v>
      </c>
      <c r="D1748">
        <f t="shared" si="617"/>
        <v>3</v>
      </c>
      <c r="E1748">
        <v>15</v>
      </c>
      <c r="F1748" s="6" t="s">
        <v>432</v>
      </c>
      <c r="I1748" t="s">
        <v>178</v>
      </c>
      <c r="J1748">
        <v>39</v>
      </c>
      <c r="K1748" t="s">
        <v>488</v>
      </c>
      <c r="L1748" t="s">
        <v>17</v>
      </c>
      <c r="M1748" t="s">
        <v>196</v>
      </c>
      <c r="N1748" t="s">
        <v>99</v>
      </c>
      <c r="Q1748">
        <f t="shared" ref="Q1748:S1748" si="637">Q1747</f>
        <v>18977</v>
      </c>
      <c r="R1748" t="str">
        <f t="shared" si="637"/>
        <v>Velodrome</v>
      </c>
      <c r="S1748" t="str">
        <f t="shared" si="637"/>
        <v>HollowBrook</v>
      </c>
      <c r="T1748" s="20">
        <f t="shared" si="621"/>
        <v>0</v>
      </c>
      <c r="U1748">
        <f t="shared" si="622"/>
        <v>950</v>
      </c>
      <c r="V1748">
        <f t="shared" si="623"/>
        <v>950</v>
      </c>
      <c r="W1748" cm="1">
        <f t="array" ref="W1748">_xlfn._xlws.FILTER(shifts!A:A,(shifts!B:B=events!D1748)*(shifts!AH:AH&gt;=events!U1748)*(shifts!AI:AI&lt;=events!V1748))</f>
        <v>64</v>
      </c>
      <c r="X1748" t="str">
        <f t="shared" si="624"/>
        <v>event_team_player_1</v>
      </c>
      <c r="Y1748">
        <f>COUNTIFS(A$3:A1748,"="&amp;A1748,K$3:K1748,"="&amp;K1748)</f>
        <v>1</v>
      </c>
      <c r="Z1748" s="20">
        <f>SUMIFS(T$3:T1748,L$3:L1748,"=Intermission")+SUMIFS(T$3:T1748,L$3:L1748,"=Timeout")+SUMIFS(T$3:T1748,L$3:L1748,"=Clockstop")</f>
        <v>138</v>
      </c>
      <c r="AA1748">
        <f t="shared" si="615"/>
        <v>2298</v>
      </c>
      <c r="AC1748">
        <f t="shared" si="616"/>
        <v>2436</v>
      </c>
    </row>
    <row r="1749" spans="1:29" x14ac:dyDescent="0.2">
      <c r="A1749">
        <v>944</v>
      </c>
      <c r="D1749">
        <f t="shared" si="617"/>
        <v>3</v>
      </c>
      <c r="E1749">
        <v>15</v>
      </c>
      <c r="F1749" s="6" t="s">
        <v>432</v>
      </c>
      <c r="I1749" t="s">
        <v>178</v>
      </c>
      <c r="J1749">
        <v>19</v>
      </c>
      <c r="K1749" t="s">
        <v>489</v>
      </c>
      <c r="L1749" t="s">
        <v>17</v>
      </c>
      <c r="M1749" t="s">
        <v>196</v>
      </c>
      <c r="N1749" t="s">
        <v>99</v>
      </c>
      <c r="Q1749">
        <f t="shared" ref="Q1749:S1749" si="638">Q1748</f>
        <v>18977</v>
      </c>
      <c r="R1749" t="str">
        <f t="shared" si="638"/>
        <v>Velodrome</v>
      </c>
      <c r="S1749" t="str">
        <f t="shared" si="638"/>
        <v>HollowBrook</v>
      </c>
      <c r="T1749" s="20">
        <f t="shared" si="621"/>
        <v>0</v>
      </c>
      <c r="U1749">
        <f t="shared" si="622"/>
        <v>950</v>
      </c>
      <c r="V1749">
        <f t="shared" si="623"/>
        <v>950</v>
      </c>
      <c r="W1749" cm="1">
        <f t="array" ref="W1749">_xlfn._xlws.FILTER(shifts!A:A,(shifts!B:B=events!D1749)*(shifts!AH:AH&gt;=events!U1749)*(shifts!AI:AI&lt;=events!V1749))</f>
        <v>64</v>
      </c>
      <c r="X1749" t="str">
        <f t="shared" si="624"/>
        <v>opp_team_player_1</v>
      </c>
      <c r="Y1749">
        <f>COUNTIFS(A$3:A1749,"="&amp;A1749,K$3:K1749,"="&amp;K1749)</f>
        <v>1</v>
      </c>
      <c r="Z1749" s="20">
        <f>SUMIFS(T$3:T1749,L$3:L1749,"=Intermission")+SUMIFS(T$3:T1749,L$3:L1749,"=Timeout")+SUMIFS(T$3:T1749,L$3:L1749,"=Clockstop")</f>
        <v>138</v>
      </c>
      <c r="AA1749">
        <f t="shared" si="615"/>
        <v>2298</v>
      </c>
      <c r="AC1749">
        <f t="shared" si="616"/>
        <v>2436</v>
      </c>
    </row>
    <row r="1750" spans="1:29" x14ac:dyDescent="0.2">
      <c r="A1750">
        <v>945</v>
      </c>
      <c r="D1750">
        <f t="shared" si="617"/>
        <v>3</v>
      </c>
      <c r="E1750">
        <v>15</v>
      </c>
      <c r="F1750" s="6" t="s">
        <v>432</v>
      </c>
      <c r="I1750" t="s">
        <v>178</v>
      </c>
      <c r="J1750">
        <v>39</v>
      </c>
      <c r="K1750" t="s">
        <v>488</v>
      </c>
      <c r="L1750" t="s">
        <v>270</v>
      </c>
      <c r="M1750" t="s">
        <v>272</v>
      </c>
      <c r="Q1750">
        <f t="shared" ref="Q1750:S1750" si="639">Q1749</f>
        <v>18977</v>
      </c>
      <c r="R1750" t="str">
        <f t="shared" si="639"/>
        <v>Velodrome</v>
      </c>
      <c r="S1750" t="str">
        <f t="shared" si="639"/>
        <v>HollowBrook</v>
      </c>
      <c r="T1750" s="20">
        <f t="shared" si="621"/>
        <v>0</v>
      </c>
      <c r="U1750">
        <f t="shared" si="622"/>
        <v>950</v>
      </c>
      <c r="V1750">
        <f t="shared" si="623"/>
        <v>950</v>
      </c>
      <c r="W1750" cm="1">
        <f t="array" ref="W1750">_xlfn._xlws.FILTER(shifts!A:A,(shifts!B:B=events!D1750)*(shifts!AH:AH&gt;=events!U1750)*(shifts!AI:AI&lt;=events!V1750))</f>
        <v>64</v>
      </c>
      <c r="X1750" t="str">
        <f t="shared" si="624"/>
        <v>event_team_player_1</v>
      </c>
      <c r="Y1750">
        <f>COUNTIFS(A$3:A1750,"="&amp;A1750,K$3:K1750,"="&amp;K1750)</f>
        <v>1</v>
      </c>
      <c r="Z1750" s="20">
        <f>SUMIFS(T$3:T1750,L$3:L1750,"=Intermission")+SUMIFS(T$3:T1750,L$3:L1750,"=Timeout")+SUMIFS(T$3:T1750,L$3:L1750,"=Clockstop")</f>
        <v>138</v>
      </c>
      <c r="AA1750">
        <f t="shared" si="615"/>
        <v>2298</v>
      </c>
      <c r="AC1750">
        <f t="shared" si="616"/>
        <v>2436</v>
      </c>
    </row>
    <row r="1751" spans="1:29" x14ac:dyDescent="0.2">
      <c r="A1751">
        <v>946</v>
      </c>
      <c r="D1751">
        <f t="shared" si="617"/>
        <v>3</v>
      </c>
      <c r="E1751">
        <v>15</v>
      </c>
      <c r="F1751" s="6" t="s">
        <v>434</v>
      </c>
      <c r="G1751">
        <v>15</v>
      </c>
      <c r="H1751" s="8" t="s">
        <v>435</v>
      </c>
      <c r="I1751" t="s">
        <v>179</v>
      </c>
      <c r="J1751">
        <v>11</v>
      </c>
      <c r="K1751" t="s">
        <v>488</v>
      </c>
      <c r="L1751" t="s">
        <v>15</v>
      </c>
      <c r="Q1751">
        <f t="shared" ref="Q1751:S1751" si="640">Q1750</f>
        <v>18977</v>
      </c>
      <c r="R1751" t="str">
        <f t="shared" si="640"/>
        <v>Velodrome</v>
      </c>
      <c r="S1751" t="str">
        <f t="shared" si="640"/>
        <v>HollowBrook</v>
      </c>
      <c r="T1751" s="20">
        <f t="shared" si="621"/>
        <v>3</v>
      </c>
      <c r="U1751">
        <f t="shared" si="622"/>
        <v>947</v>
      </c>
      <c r="V1751">
        <f t="shared" si="623"/>
        <v>944</v>
      </c>
      <c r="W1751" cm="1">
        <f t="array" ref="W1751">_xlfn._xlws.FILTER(shifts!A:A,(shifts!B:B=events!D1751)*(shifts!AH:AH&gt;=events!U1751)*(shifts!AI:AI&lt;=events!V1751))</f>
        <v>64</v>
      </c>
      <c r="X1751" t="str">
        <f t="shared" si="624"/>
        <v>event_team_player_1</v>
      </c>
      <c r="Y1751">
        <f>COUNTIFS(A$3:A1751,"="&amp;A1751,K$3:K1751,"="&amp;K1751)</f>
        <v>1</v>
      </c>
      <c r="Z1751" s="20">
        <f>SUMIFS(T$3:T1751,L$3:L1751,"=Intermission")+SUMIFS(T$3:T1751,L$3:L1751,"=Timeout")+SUMIFS(T$3:T1751,L$3:L1751,"=Clockstop")</f>
        <v>138</v>
      </c>
      <c r="AA1751">
        <f t="shared" si="615"/>
        <v>2298</v>
      </c>
      <c r="AC1751">
        <f t="shared" si="616"/>
        <v>2436</v>
      </c>
    </row>
    <row r="1752" spans="1:29" x14ac:dyDescent="0.2">
      <c r="A1752">
        <v>946</v>
      </c>
      <c r="D1752">
        <f t="shared" si="617"/>
        <v>3</v>
      </c>
      <c r="E1752">
        <v>15</v>
      </c>
      <c r="F1752" s="6" t="s">
        <v>434</v>
      </c>
      <c r="G1752">
        <v>15</v>
      </c>
      <c r="H1752" s="8" t="s">
        <v>435</v>
      </c>
      <c r="I1752" t="s">
        <v>179</v>
      </c>
      <c r="J1752">
        <v>9</v>
      </c>
      <c r="K1752" t="s">
        <v>489</v>
      </c>
      <c r="L1752" t="s">
        <v>15</v>
      </c>
      <c r="Q1752">
        <f t="shared" ref="Q1752:S1752" si="641">Q1751</f>
        <v>18977</v>
      </c>
      <c r="R1752" t="str">
        <f t="shared" si="641"/>
        <v>Velodrome</v>
      </c>
      <c r="S1752" t="str">
        <f t="shared" si="641"/>
        <v>HollowBrook</v>
      </c>
      <c r="T1752" s="20">
        <f t="shared" si="621"/>
        <v>3</v>
      </c>
      <c r="U1752">
        <f t="shared" si="622"/>
        <v>947</v>
      </c>
      <c r="V1752">
        <f t="shared" si="623"/>
        <v>944</v>
      </c>
      <c r="W1752" cm="1">
        <f t="array" ref="W1752">_xlfn._xlws.FILTER(shifts!A:A,(shifts!B:B=events!D1752)*(shifts!AH:AH&gt;=events!U1752)*(shifts!AI:AI&lt;=events!V1752))</f>
        <v>64</v>
      </c>
      <c r="X1752" t="str">
        <f t="shared" si="624"/>
        <v>opp_team_player_1</v>
      </c>
      <c r="Y1752">
        <f>COUNTIFS(A$3:A1752,"="&amp;A1752,K$3:K1752,"="&amp;K1752)</f>
        <v>1</v>
      </c>
      <c r="Z1752" s="20">
        <f>SUMIFS(T$3:T1752,L$3:L1752,"=Intermission")+SUMIFS(T$3:T1752,L$3:L1752,"=Timeout")+SUMIFS(T$3:T1752,L$3:L1752,"=Clockstop")</f>
        <v>138</v>
      </c>
      <c r="AA1752">
        <f t="shared" si="615"/>
        <v>2298</v>
      </c>
      <c r="AC1752">
        <f t="shared" si="616"/>
        <v>2436</v>
      </c>
    </row>
    <row r="1753" spans="1:29" x14ac:dyDescent="0.2">
      <c r="A1753">
        <v>947</v>
      </c>
      <c r="D1753">
        <f t="shared" si="617"/>
        <v>3</v>
      </c>
      <c r="E1753">
        <v>15</v>
      </c>
      <c r="F1753" s="6" t="s">
        <v>435</v>
      </c>
      <c r="G1753">
        <v>15</v>
      </c>
      <c r="H1753" s="8" t="s">
        <v>430</v>
      </c>
      <c r="I1753" t="s">
        <v>179</v>
      </c>
      <c r="J1753">
        <v>11</v>
      </c>
      <c r="K1753" t="s">
        <v>488</v>
      </c>
      <c r="L1753" t="s">
        <v>15</v>
      </c>
      <c r="Q1753">
        <f t="shared" ref="Q1753:S1753" si="642">Q1752</f>
        <v>18977</v>
      </c>
      <c r="R1753" t="str">
        <f t="shared" si="642"/>
        <v>Velodrome</v>
      </c>
      <c r="S1753" t="str">
        <f t="shared" si="642"/>
        <v>HollowBrook</v>
      </c>
      <c r="T1753" s="20">
        <f t="shared" si="621"/>
        <v>2</v>
      </c>
      <c r="U1753">
        <f t="shared" si="622"/>
        <v>944</v>
      </c>
      <c r="V1753">
        <f t="shared" si="623"/>
        <v>942</v>
      </c>
      <c r="W1753" cm="1">
        <f t="array" ref="W1753">_xlfn._xlws.FILTER(shifts!A:A,(shifts!B:B=events!D1753)*(shifts!AH:AH&gt;=events!U1753)*(shifts!AI:AI&lt;=events!V1753))</f>
        <v>64</v>
      </c>
      <c r="X1753" t="str">
        <f t="shared" si="624"/>
        <v>event_team_player_1</v>
      </c>
      <c r="Y1753">
        <f>COUNTIFS(A$3:A1753,"="&amp;A1753,K$3:K1753,"="&amp;K1753)</f>
        <v>1</v>
      </c>
      <c r="Z1753" s="20">
        <f>SUMIFS(T$3:T1753,L$3:L1753,"=Intermission")+SUMIFS(T$3:T1753,L$3:L1753,"=Timeout")+SUMIFS(T$3:T1753,L$3:L1753,"=Clockstop")</f>
        <v>138</v>
      </c>
      <c r="AA1753">
        <f t="shared" si="615"/>
        <v>2298</v>
      </c>
      <c r="AC1753">
        <f t="shared" si="616"/>
        <v>2436</v>
      </c>
    </row>
    <row r="1754" spans="1:29" x14ac:dyDescent="0.2">
      <c r="A1754">
        <v>947</v>
      </c>
      <c r="D1754">
        <f t="shared" si="617"/>
        <v>3</v>
      </c>
      <c r="E1754">
        <v>15</v>
      </c>
      <c r="F1754" s="6" t="s">
        <v>435</v>
      </c>
      <c r="G1754">
        <v>15</v>
      </c>
      <c r="H1754" s="8" t="s">
        <v>430</v>
      </c>
      <c r="I1754" t="s">
        <v>179</v>
      </c>
      <c r="J1754">
        <v>9</v>
      </c>
      <c r="K1754" t="s">
        <v>489</v>
      </c>
      <c r="L1754" t="s">
        <v>15</v>
      </c>
      <c r="Q1754">
        <f t="shared" ref="Q1754:S1754" si="643">Q1753</f>
        <v>18977</v>
      </c>
      <c r="R1754" t="str">
        <f t="shared" si="643"/>
        <v>Velodrome</v>
      </c>
      <c r="S1754" t="str">
        <f t="shared" si="643"/>
        <v>HollowBrook</v>
      </c>
      <c r="T1754" s="20">
        <f t="shared" si="621"/>
        <v>2</v>
      </c>
      <c r="U1754">
        <f t="shared" si="622"/>
        <v>944</v>
      </c>
      <c r="V1754">
        <f t="shared" si="623"/>
        <v>942</v>
      </c>
      <c r="W1754" cm="1">
        <f t="array" ref="W1754">_xlfn._xlws.FILTER(shifts!A:A,(shifts!B:B=events!D1754)*(shifts!AH:AH&gt;=events!U1754)*(shifts!AI:AI&lt;=events!V1754))</f>
        <v>64</v>
      </c>
      <c r="X1754" t="str">
        <f t="shared" si="624"/>
        <v>opp_team_player_1</v>
      </c>
      <c r="Y1754">
        <f>COUNTIFS(A$3:A1754,"="&amp;A1754,K$3:K1754,"="&amp;K1754)</f>
        <v>1</v>
      </c>
      <c r="Z1754" s="20">
        <f>SUMIFS(T$3:T1754,L$3:L1754,"=Intermission")+SUMIFS(T$3:T1754,L$3:L1754,"=Timeout")+SUMIFS(T$3:T1754,L$3:L1754,"=Clockstop")</f>
        <v>138</v>
      </c>
      <c r="AA1754">
        <f t="shared" si="615"/>
        <v>2298</v>
      </c>
      <c r="AC1754">
        <f t="shared" si="616"/>
        <v>2436</v>
      </c>
    </row>
    <row r="1755" spans="1:29" x14ac:dyDescent="0.2">
      <c r="A1755">
        <v>948</v>
      </c>
      <c r="D1755">
        <f t="shared" si="617"/>
        <v>3</v>
      </c>
      <c r="E1755">
        <v>15</v>
      </c>
      <c r="F1755" s="6" t="s">
        <v>430</v>
      </c>
      <c r="I1755" t="s">
        <v>179</v>
      </c>
      <c r="J1755">
        <v>11</v>
      </c>
      <c r="K1755" t="s">
        <v>488</v>
      </c>
      <c r="L1755" t="s">
        <v>8</v>
      </c>
      <c r="M1755" t="s">
        <v>199</v>
      </c>
      <c r="N1755" t="s">
        <v>70</v>
      </c>
      <c r="Q1755">
        <f t="shared" ref="Q1755:S1755" si="644">Q1754</f>
        <v>18977</v>
      </c>
      <c r="R1755" t="str">
        <f t="shared" si="644"/>
        <v>Velodrome</v>
      </c>
      <c r="S1755" t="str">
        <f t="shared" si="644"/>
        <v>HollowBrook</v>
      </c>
      <c r="T1755" s="20">
        <f t="shared" si="621"/>
        <v>0</v>
      </c>
      <c r="U1755">
        <f t="shared" si="622"/>
        <v>942</v>
      </c>
      <c r="V1755">
        <f t="shared" si="623"/>
        <v>942</v>
      </c>
      <c r="W1755" cm="1">
        <f t="array" ref="W1755">_xlfn._xlws.FILTER(shifts!A:A,(shifts!B:B=events!D1755)*(shifts!AH:AH&gt;=events!U1755)*(shifts!AI:AI&lt;=events!V1755))</f>
        <v>64</v>
      </c>
      <c r="X1755" t="str">
        <f t="shared" si="624"/>
        <v>event_team_player_1</v>
      </c>
      <c r="Y1755">
        <f>COUNTIFS(A$3:A1755,"="&amp;A1755,K$3:K1755,"="&amp;K1755)</f>
        <v>1</v>
      </c>
      <c r="Z1755" s="20">
        <f>SUMIFS(T$3:T1755,L$3:L1755,"=Intermission")+SUMIFS(T$3:T1755,L$3:L1755,"=Timeout")+SUMIFS(T$3:T1755,L$3:L1755,"=Clockstop")</f>
        <v>138</v>
      </c>
      <c r="AA1755">
        <f t="shared" si="615"/>
        <v>2298</v>
      </c>
      <c r="AC1755">
        <f t="shared" si="616"/>
        <v>2436</v>
      </c>
    </row>
    <row r="1756" spans="1:29" x14ac:dyDescent="0.2">
      <c r="A1756">
        <v>948</v>
      </c>
      <c r="D1756">
        <f t="shared" si="617"/>
        <v>3</v>
      </c>
      <c r="E1756">
        <v>15</v>
      </c>
      <c r="F1756" s="6" t="s">
        <v>430</v>
      </c>
      <c r="I1756" t="s">
        <v>179</v>
      </c>
      <c r="J1756">
        <v>19</v>
      </c>
      <c r="K1756" t="s">
        <v>488</v>
      </c>
      <c r="L1756" t="s">
        <v>8</v>
      </c>
      <c r="M1756" t="s">
        <v>199</v>
      </c>
      <c r="N1756" t="s">
        <v>70</v>
      </c>
      <c r="Q1756">
        <f t="shared" ref="Q1756:S1756" si="645">Q1755</f>
        <v>18977</v>
      </c>
      <c r="R1756" t="str">
        <f t="shared" si="645"/>
        <v>Velodrome</v>
      </c>
      <c r="S1756" t="str">
        <f t="shared" si="645"/>
        <v>HollowBrook</v>
      </c>
      <c r="T1756" s="20">
        <f t="shared" si="621"/>
        <v>0</v>
      </c>
      <c r="U1756">
        <f t="shared" si="622"/>
        <v>942</v>
      </c>
      <c r="V1756">
        <f t="shared" si="623"/>
        <v>942</v>
      </c>
      <c r="W1756" cm="1">
        <f t="array" ref="W1756">_xlfn._xlws.FILTER(shifts!A:A,(shifts!B:B=events!D1756)*(shifts!AH:AH&gt;=events!U1756)*(shifts!AI:AI&lt;=events!V1756))</f>
        <v>64</v>
      </c>
      <c r="X1756" t="str">
        <f t="shared" si="624"/>
        <v>event_team_player_2</v>
      </c>
      <c r="Y1756">
        <f>COUNTIFS(A$3:A1756,"="&amp;A1756,K$3:K1756,"="&amp;K1756)</f>
        <v>2</v>
      </c>
      <c r="Z1756" s="20">
        <f>SUMIFS(T$3:T1756,L$3:L1756,"=Intermission")+SUMIFS(T$3:T1756,L$3:L1756,"=Timeout")+SUMIFS(T$3:T1756,L$3:L1756,"=Clockstop")</f>
        <v>138</v>
      </c>
      <c r="AA1756">
        <f t="shared" si="615"/>
        <v>2298</v>
      </c>
      <c r="AC1756">
        <f t="shared" si="616"/>
        <v>2436</v>
      </c>
    </row>
    <row r="1757" spans="1:29" x14ac:dyDescent="0.2">
      <c r="A1757">
        <v>948</v>
      </c>
      <c r="D1757">
        <f t="shared" si="617"/>
        <v>3</v>
      </c>
      <c r="E1757">
        <v>15</v>
      </c>
      <c r="F1757" s="6" t="s">
        <v>430</v>
      </c>
      <c r="I1757" t="s">
        <v>179</v>
      </c>
      <c r="J1757">
        <v>70</v>
      </c>
      <c r="K1757" t="s">
        <v>489</v>
      </c>
      <c r="L1757" t="s">
        <v>8</v>
      </c>
      <c r="M1757" t="s">
        <v>199</v>
      </c>
      <c r="N1757" t="s">
        <v>70</v>
      </c>
      <c r="Q1757">
        <f t="shared" ref="Q1757:S1757" si="646">Q1756</f>
        <v>18977</v>
      </c>
      <c r="R1757" t="str">
        <f t="shared" si="646"/>
        <v>Velodrome</v>
      </c>
      <c r="S1757" t="str">
        <f t="shared" si="646"/>
        <v>HollowBrook</v>
      </c>
      <c r="T1757" s="20">
        <f t="shared" si="621"/>
        <v>0</v>
      </c>
      <c r="U1757">
        <f t="shared" si="622"/>
        <v>942</v>
      </c>
      <c r="V1757">
        <f t="shared" si="623"/>
        <v>942</v>
      </c>
      <c r="W1757" cm="1">
        <f t="array" ref="W1757">_xlfn._xlws.FILTER(shifts!A:A,(shifts!B:B=events!D1757)*(shifts!AH:AH&gt;=events!U1757)*(shifts!AI:AI&lt;=events!V1757))</f>
        <v>64</v>
      </c>
      <c r="X1757" t="str">
        <f t="shared" si="624"/>
        <v>opp_team_player_1</v>
      </c>
      <c r="Y1757">
        <f>COUNTIFS(A$3:A1757,"="&amp;A1757,K$3:K1757,"="&amp;K1757)</f>
        <v>1</v>
      </c>
      <c r="Z1757" s="20">
        <f>SUMIFS(T$3:T1757,L$3:L1757,"=Intermission")+SUMIFS(T$3:T1757,L$3:L1757,"=Timeout")+SUMIFS(T$3:T1757,L$3:L1757,"=Clockstop")</f>
        <v>138</v>
      </c>
      <c r="AA1757">
        <f t="shared" si="615"/>
        <v>2298</v>
      </c>
      <c r="AC1757">
        <f t="shared" si="616"/>
        <v>2436</v>
      </c>
    </row>
    <row r="1758" spans="1:29" x14ac:dyDescent="0.2">
      <c r="A1758">
        <v>948</v>
      </c>
      <c r="D1758">
        <f t="shared" si="617"/>
        <v>3</v>
      </c>
      <c r="E1758">
        <v>15</v>
      </c>
      <c r="F1758" s="6" t="s">
        <v>430</v>
      </c>
      <c r="I1758" t="s">
        <v>179</v>
      </c>
      <c r="J1758">
        <v>9</v>
      </c>
      <c r="K1758" t="s">
        <v>489</v>
      </c>
      <c r="L1758" t="s">
        <v>8</v>
      </c>
      <c r="M1758" t="s">
        <v>199</v>
      </c>
      <c r="N1758" t="s">
        <v>70</v>
      </c>
      <c r="Q1758">
        <f t="shared" ref="Q1758:S1758" si="647">Q1757</f>
        <v>18977</v>
      </c>
      <c r="R1758" t="str">
        <f t="shared" si="647"/>
        <v>Velodrome</v>
      </c>
      <c r="S1758" t="str">
        <f t="shared" si="647"/>
        <v>HollowBrook</v>
      </c>
      <c r="T1758" s="20">
        <f t="shared" si="621"/>
        <v>0</v>
      </c>
      <c r="U1758">
        <f t="shared" si="622"/>
        <v>942</v>
      </c>
      <c r="V1758">
        <f t="shared" si="623"/>
        <v>942</v>
      </c>
      <c r="W1758" cm="1">
        <f t="array" ref="W1758">_xlfn._xlws.FILTER(shifts!A:A,(shifts!B:B=events!D1758)*(shifts!AH:AH&gt;=events!U1758)*(shifts!AI:AI&lt;=events!V1758))</f>
        <v>64</v>
      </c>
      <c r="X1758" t="str">
        <f t="shared" si="624"/>
        <v>opp_team_player_2</v>
      </c>
      <c r="Y1758">
        <f>COUNTIFS(A$3:A1758,"="&amp;A1758,K$3:K1758,"="&amp;K1758)</f>
        <v>2</v>
      </c>
      <c r="Z1758" s="20">
        <f>SUMIFS(T$3:T1758,L$3:L1758,"=Intermission")+SUMIFS(T$3:T1758,L$3:L1758,"=Timeout")+SUMIFS(T$3:T1758,L$3:L1758,"=Clockstop")</f>
        <v>138</v>
      </c>
      <c r="AA1758">
        <f t="shared" si="615"/>
        <v>2298</v>
      </c>
      <c r="AC1758">
        <f t="shared" si="616"/>
        <v>2436</v>
      </c>
    </row>
    <row r="1759" spans="1:29" x14ac:dyDescent="0.2">
      <c r="A1759">
        <v>949</v>
      </c>
      <c r="D1759">
        <f t="shared" si="617"/>
        <v>3</v>
      </c>
      <c r="E1759">
        <v>15</v>
      </c>
      <c r="F1759" s="6" t="s">
        <v>455</v>
      </c>
      <c r="G1759">
        <v>15</v>
      </c>
      <c r="H1759" s="8" t="s">
        <v>482</v>
      </c>
      <c r="I1759" t="s">
        <v>179</v>
      </c>
      <c r="J1759">
        <v>13</v>
      </c>
      <c r="K1759" t="s">
        <v>488</v>
      </c>
      <c r="L1759" t="s">
        <v>15</v>
      </c>
      <c r="Q1759">
        <f t="shared" ref="Q1759:S1759" si="648">Q1758</f>
        <v>18977</v>
      </c>
      <c r="R1759" t="str">
        <f t="shared" si="648"/>
        <v>Velodrome</v>
      </c>
      <c r="S1759" t="str">
        <f t="shared" si="648"/>
        <v>HollowBrook</v>
      </c>
      <c r="T1759" s="20">
        <f t="shared" si="621"/>
        <v>2</v>
      </c>
      <c r="U1759">
        <f t="shared" si="622"/>
        <v>935</v>
      </c>
      <c r="V1759">
        <f t="shared" si="623"/>
        <v>933</v>
      </c>
      <c r="W1759" cm="1">
        <f t="array" ref="W1759">_xlfn._xlws.FILTER(shifts!A:A,(shifts!B:B=events!D1759)*(shifts!AH:AH&gt;=events!U1759)*(shifts!AI:AI&lt;=events!V1759))</f>
        <v>64</v>
      </c>
      <c r="X1759" t="str">
        <f t="shared" si="624"/>
        <v>event_team_player_1</v>
      </c>
      <c r="Y1759">
        <f>COUNTIFS(A$3:A1759,"="&amp;A1759,K$3:K1759,"="&amp;K1759)</f>
        <v>1</v>
      </c>
      <c r="Z1759" s="20">
        <f>SUMIFS(T$3:T1759,L$3:L1759,"=Intermission")+SUMIFS(T$3:T1759,L$3:L1759,"=Timeout")+SUMIFS(T$3:T1759,L$3:L1759,"=Clockstop")</f>
        <v>138</v>
      </c>
      <c r="AA1759">
        <f t="shared" si="615"/>
        <v>2298</v>
      </c>
      <c r="AC1759">
        <f t="shared" si="616"/>
        <v>2436</v>
      </c>
    </row>
    <row r="1760" spans="1:29" x14ac:dyDescent="0.2">
      <c r="A1760">
        <v>950</v>
      </c>
      <c r="D1760">
        <f t="shared" si="617"/>
        <v>3</v>
      </c>
      <c r="E1760">
        <v>15</v>
      </c>
      <c r="F1760" s="6" t="s">
        <v>482</v>
      </c>
      <c r="I1760" t="s">
        <v>179</v>
      </c>
      <c r="J1760">
        <v>13</v>
      </c>
      <c r="K1760" t="s">
        <v>488</v>
      </c>
      <c r="L1760" t="s">
        <v>8</v>
      </c>
      <c r="M1760" t="s">
        <v>216</v>
      </c>
      <c r="N1760" t="s">
        <v>70</v>
      </c>
      <c r="Q1760">
        <f t="shared" ref="Q1760:S1760" si="649">Q1759</f>
        <v>18977</v>
      </c>
      <c r="R1760" t="str">
        <f t="shared" si="649"/>
        <v>Velodrome</v>
      </c>
      <c r="S1760" t="str">
        <f t="shared" si="649"/>
        <v>HollowBrook</v>
      </c>
      <c r="T1760" s="20">
        <f t="shared" si="621"/>
        <v>0</v>
      </c>
      <c r="U1760">
        <f t="shared" si="622"/>
        <v>933</v>
      </c>
      <c r="V1760">
        <f t="shared" si="623"/>
        <v>933</v>
      </c>
      <c r="W1760" cm="1">
        <f t="array" ref="W1760">_xlfn._xlws.FILTER(shifts!A:A,(shifts!B:B=events!D1760)*(shifts!AH:AH&gt;=events!U1760)*(shifts!AI:AI&lt;=events!V1760))</f>
        <v>64</v>
      </c>
      <c r="X1760" t="str">
        <f t="shared" si="624"/>
        <v>event_team_player_1</v>
      </c>
      <c r="Y1760">
        <f>COUNTIFS(A$3:A1760,"="&amp;A1760,K$3:K1760,"="&amp;K1760)</f>
        <v>1</v>
      </c>
      <c r="Z1760" s="20">
        <f>SUMIFS(T$3:T1760,L$3:L1760,"=Intermission")+SUMIFS(T$3:T1760,L$3:L1760,"=Timeout")+SUMIFS(T$3:T1760,L$3:L1760,"=Clockstop")</f>
        <v>138</v>
      </c>
      <c r="AA1760">
        <f t="shared" si="615"/>
        <v>2298</v>
      </c>
      <c r="AC1760">
        <f t="shared" si="616"/>
        <v>2436</v>
      </c>
    </row>
    <row r="1761" spans="1:29" x14ac:dyDescent="0.2">
      <c r="A1761">
        <v>950</v>
      </c>
      <c r="D1761">
        <f t="shared" si="617"/>
        <v>3</v>
      </c>
      <c r="E1761">
        <v>15</v>
      </c>
      <c r="F1761" s="6" t="s">
        <v>482</v>
      </c>
      <c r="I1761" t="s">
        <v>179</v>
      </c>
      <c r="J1761">
        <v>11</v>
      </c>
      <c r="K1761" t="s">
        <v>488</v>
      </c>
      <c r="L1761" t="s">
        <v>8</v>
      </c>
      <c r="M1761" t="s">
        <v>216</v>
      </c>
      <c r="N1761" t="s">
        <v>70</v>
      </c>
      <c r="Q1761">
        <f t="shared" ref="Q1761:S1761" si="650">Q1760</f>
        <v>18977</v>
      </c>
      <c r="R1761" t="str">
        <f t="shared" si="650"/>
        <v>Velodrome</v>
      </c>
      <c r="S1761" t="str">
        <f t="shared" si="650"/>
        <v>HollowBrook</v>
      </c>
      <c r="T1761" s="20">
        <f t="shared" si="621"/>
        <v>0</v>
      </c>
      <c r="U1761">
        <f t="shared" si="622"/>
        <v>933</v>
      </c>
      <c r="V1761">
        <f t="shared" si="623"/>
        <v>933</v>
      </c>
      <c r="W1761" cm="1">
        <f t="array" ref="W1761">_xlfn._xlws.FILTER(shifts!A:A,(shifts!B:B=events!D1761)*(shifts!AH:AH&gt;=events!U1761)*(shifts!AI:AI&lt;=events!V1761))</f>
        <v>64</v>
      </c>
      <c r="X1761" t="str">
        <f t="shared" si="624"/>
        <v>event_team_player_2</v>
      </c>
      <c r="Y1761">
        <f>COUNTIFS(A$3:A1761,"="&amp;A1761,K$3:K1761,"="&amp;K1761)</f>
        <v>2</v>
      </c>
      <c r="Z1761" s="20">
        <f>SUMIFS(T$3:T1761,L$3:L1761,"=Intermission")+SUMIFS(T$3:T1761,L$3:L1761,"=Timeout")+SUMIFS(T$3:T1761,L$3:L1761,"=Clockstop")</f>
        <v>138</v>
      </c>
      <c r="AA1761">
        <f t="shared" si="615"/>
        <v>2298</v>
      </c>
      <c r="AC1761">
        <f t="shared" si="616"/>
        <v>2436</v>
      </c>
    </row>
    <row r="1762" spans="1:29" x14ac:dyDescent="0.2">
      <c r="A1762">
        <v>950</v>
      </c>
      <c r="D1762">
        <f t="shared" si="617"/>
        <v>3</v>
      </c>
      <c r="E1762">
        <v>15</v>
      </c>
      <c r="F1762" s="6" t="s">
        <v>482</v>
      </c>
      <c r="I1762" t="s">
        <v>179</v>
      </c>
      <c r="J1762">
        <v>70</v>
      </c>
      <c r="K1762" t="s">
        <v>489</v>
      </c>
      <c r="L1762" t="s">
        <v>8</v>
      </c>
      <c r="M1762" t="s">
        <v>216</v>
      </c>
      <c r="N1762" t="s">
        <v>70</v>
      </c>
      <c r="Q1762">
        <f t="shared" ref="Q1762:S1762" si="651">Q1761</f>
        <v>18977</v>
      </c>
      <c r="R1762" t="str">
        <f t="shared" si="651"/>
        <v>Velodrome</v>
      </c>
      <c r="S1762" t="str">
        <f t="shared" si="651"/>
        <v>HollowBrook</v>
      </c>
      <c r="T1762" s="20">
        <f t="shared" si="621"/>
        <v>0</v>
      </c>
      <c r="U1762">
        <f t="shared" si="622"/>
        <v>933</v>
      </c>
      <c r="V1762">
        <f t="shared" si="623"/>
        <v>933</v>
      </c>
      <c r="W1762" cm="1">
        <f t="array" ref="W1762">_xlfn._xlws.FILTER(shifts!A:A,(shifts!B:B=events!D1762)*(shifts!AH:AH&gt;=events!U1762)*(shifts!AI:AI&lt;=events!V1762))</f>
        <v>64</v>
      </c>
      <c r="X1762" t="str">
        <f t="shared" si="624"/>
        <v>opp_team_player_1</v>
      </c>
      <c r="Y1762">
        <f>COUNTIFS(A$3:A1762,"="&amp;A1762,K$3:K1762,"="&amp;K1762)</f>
        <v>1</v>
      </c>
      <c r="Z1762" s="20">
        <f>SUMIFS(T$3:T1762,L$3:L1762,"=Intermission")+SUMIFS(T$3:T1762,L$3:L1762,"=Timeout")+SUMIFS(T$3:T1762,L$3:L1762,"=Clockstop")</f>
        <v>138</v>
      </c>
      <c r="AA1762">
        <f t="shared" si="615"/>
        <v>2298</v>
      </c>
      <c r="AC1762">
        <f t="shared" si="616"/>
        <v>2436</v>
      </c>
    </row>
    <row r="1763" spans="1:29" x14ac:dyDescent="0.2">
      <c r="A1763">
        <v>951</v>
      </c>
      <c r="D1763">
        <f t="shared" si="617"/>
        <v>3</v>
      </c>
      <c r="E1763">
        <v>15</v>
      </c>
      <c r="F1763" s="6" t="s">
        <v>482</v>
      </c>
      <c r="I1763" t="s">
        <v>179</v>
      </c>
      <c r="J1763">
        <v>13</v>
      </c>
      <c r="K1763" t="s">
        <v>488</v>
      </c>
      <c r="L1763" t="s">
        <v>10</v>
      </c>
      <c r="M1763" t="s">
        <v>190</v>
      </c>
      <c r="N1763" t="s">
        <v>75</v>
      </c>
      <c r="Q1763">
        <f t="shared" ref="Q1763:S1763" si="652">Q1762</f>
        <v>18977</v>
      </c>
      <c r="R1763" t="str">
        <f t="shared" si="652"/>
        <v>Velodrome</v>
      </c>
      <c r="S1763" t="str">
        <f t="shared" si="652"/>
        <v>HollowBrook</v>
      </c>
      <c r="T1763" s="20">
        <f t="shared" si="621"/>
        <v>0</v>
      </c>
      <c r="U1763">
        <f t="shared" si="622"/>
        <v>933</v>
      </c>
      <c r="V1763">
        <f t="shared" si="623"/>
        <v>933</v>
      </c>
      <c r="W1763" cm="1">
        <f t="array" ref="W1763">_xlfn._xlws.FILTER(shifts!A:A,(shifts!B:B=events!D1763)*(shifts!AH:AH&gt;=events!U1763)*(shifts!AI:AI&lt;=events!V1763))</f>
        <v>64</v>
      </c>
      <c r="X1763" t="str">
        <f t="shared" si="624"/>
        <v>event_team_player_1</v>
      </c>
      <c r="Y1763">
        <f>COUNTIFS(A$3:A1763,"="&amp;A1763,K$3:K1763,"="&amp;K1763)</f>
        <v>1</v>
      </c>
      <c r="Z1763" s="20">
        <f>SUMIFS(T$3:T1763,L$3:L1763,"=Intermission")+SUMIFS(T$3:T1763,L$3:L1763,"=Timeout")+SUMIFS(T$3:T1763,L$3:L1763,"=Clockstop")</f>
        <v>138</v>
      </c>
      <c r="AA1763">
        <f t="shared" si="615"/>
        <v>2298</v>
      </c>
      <c r="AC1763">
        <f t="shared" si="616"/>
        <v>2436</v>
      </c>
    </row>
    <row r="1764" spans="1:29" x14ac:dyDescent="0.2">
      <c r="A1764">
        <v>951</v>
      </c>
      <c r="D1764">
        <f t="shared" si="617"/>
        <v>3</v>
      </c>
      <c r="E1764">
        <v>15</v>
      </c>
      <c r="F1764" s="6" t="s">
        <v>482</v>
      </c>
      <c r="I1764" t="s">
        <v>179</v>
      </c>
      <c r="J1764">
        <v>11</v>
      </c>
      <c r="K1764" t="s">
        <v>488</v>
      </c>
      <c r="L1764" t="s">
        <v>10</v>
      </c>
      <c r="M1764" t="s">
        <v>190</v>
      </c>
      <c r="N1764" t="s">
        <v>75</v>
      </c>
      <c r="Q1764">
        <f t="shared" ref="Q1764:S1764" si="653">Q1763</f>
        <v>18977</v>
      </c>
      <c r="R1764" t="str">
        <f t="shared" si="653"/>
        <v>Velodrome</v>
      </c>
      <c r="S1764" t="str">
        <f t="shared" si="653"/>
        <v>HollowBrook</v>
      </c>
      <c r="T1764" s="20">
        <f t="shared" si="621"/>
        <v>0</v>
      </c>
      <c r="U1764">
        <f t="shared" si="622"/>
        <v>933</v>
      </c>
      <c r="V1764">
        <f t="shared" si="623"/>
        <v>933</v>
      </c>
      <c r="W1764" cm="1">
        <f t="array" ref="W1764">_xlfn._xlws.FILTER(shifts!A:A,(shifts!B:B=events!D1764)*(shifts!AH:AH&gt;=events!U1764)*(shifts!AI:AI&lt;=events!V1764))</f>
        <v>64</v>
      </c>
      <c r="X1764" t="str">
        <f t="shared" si="624"/>
        <v>event_team_player_2</v>
      </c>
      <c r="Y1764">
        <f>COUNTIFS(A$3:A1764,"="&amp;A1764,K$3:K1764,"="&amp;K1764)</f>
        <v>2</v>
      </c>
      <c r="Z1764" s="20">
        <f>SUMIFS(T$3:T1764,L$3:L1764,"=Intermission")+SUMIFS(T$3:T1764,L$3:L1764,"=Timeout")+SUMIFS(T$3:T1764,L$3:L1764,"=Clockstop")</f>
        <v>138</v>
      </c>
      <c r="AA1764">
        <f t="shared" si="615"/>
        <v>2298</v>
      </c>
      <c r="AC1764">
        <f t="shared" si="616"/>
        <v>2436</v>
      </c>
    </row>
    <row r="1765" spans="1:29" x14ac:dyDescent="0.2">
      <c r="A1765">
        <v>951</v>
      </c>
      <c r="D1765">
        <f t="shared" si="617"/>
        <v>3</v>
      </c>
      <c r="E1765">
        <v>15</v>
      </c>
      <c r="F1765" s="6" t="s">
        <v>482</v>
      </c>
      <c r="I1765" t="s">
        <v>179</v>
      </c>
      <c r="J1765">
        <v>70</v>
      </c>
      <c r="K1765" t="s">
        <v>489</v>
      </c>
      <c r="L1765" t="s">
        <v>10</v>
      </c>
      <c r="M1765" t="s">
        <v>190</v>
      </c>
      <c r="N1765" t="s">
        <v>75</v>
      </c>
      <c r="Q1765">
        <f t="shared" ref="Q1765:S1765" si="654">Q1764</f>
        <v>18977</v>
      </c>
      <c r="R1765" t="str">
        <f t="shared" si="654"/>
        <v>Velodrome</v>
      </c>
      <c r="S1765" t="str">
        <f t="shared" si="654"/>
        <v>HollowBrook</v>
      </c>
      <c r="T1765" s="20">
        <f t="shared" si="621"/>
        <v>0</v>
      </c>
      <c r="U1765">
        <f t="shared" si="622"/>
        <v>933</v>
      </c>
      <c r="V1765">
        <f t="shared" si="623"/>
        <v>933</v>
      </c>
      <c r="W1765" cm="1">
        <f t="array" ref="W1765">_xlfn._xlws.FILTER(shifts!A:A,(shifts!B:B=events!D1765)*(shifts!AH:AH&gt;=events!U1765)*(shifts!AI:AI&lt;=events!V1765))</f>
        <v>64</v>
      </c>
      <c r="X1765" t="str">
        <f t="shared" si="624"/>
        <v>opp_team_player_1</v>
      </c>
      <c r="Y1765">
        <f>COUNTIFS(A$3:A1765,"="&amp;A1765,K$3:K1765,"="&amp;K1765)</f>
        <v>1</v>
      </c>
      <c r="Z1765" s="20">
        <f>SUMIFS(T$3:T1765,L$3:L1765,"=Intermission")+SUMIFS(T$3:T1765,L$3:L1765,"=Timeout")+SUMIFS(T$3:T1765,L$3:L1765,"=Clockstop")</f>
        <v>138</v>
      </c>
      <c r="AA1765">
        <f t="shared" si="615"/>
        <v>2298</v>
      </c>
      <c r="AC1765">
        <f t="shared" si="616"/>
        <v>2436</v>
      </c>
    </row>
    <row r="1766" spans="1:29" x14ac:dyDescent="0.2">
      <c r="A1766">
        <v>952</v>
      </c>
      <c r="D1766">
        <f t="shared" si="617"/>
        <v>3</v>
      </c>
      <c r="E1766">
        <v>15</v>
      </c>
      <c r="F1766" s="6" t="s">
        <v>494</v>
      </c>
      <c r="G1766">
        <v>15</v>
      </c>
      <c r="H1766" s="8" t="s">
        <v>472</v>
      </c>
      <c r="I1766" t="s">
        <v>178</v>
      </c>
      <c r="J1766">
        <v>70</v>
      </c>
      <c r="K1766" t="s">
        <v>488</v>
      </c>
      <c r="L1766" t="s">
        <v>15</v>
      </c>
      <c r="Q1766">
        <f t="shared" ref="Q1766:S1766" si="655">Q1765</f>
        <v>18977</v>
      </c>
      <c r="R1766" t="str">
        <f t="shared" si="655"/>
        <v>Velodrome</v>
      </c>
      <c r="S1766" t="str">
        <f t="shared" si="655"/>
        <v>HollowBrook</v>
      </c>
      <c r="T1766" s="20">
        <f t="shared" si="621"/>
        <v>2</v>
      </c>
      <c r="U1766">
        <f t="shared" si="622"/>
        <v>932</v>
      </c>
      <c r="V1766">
        <f t="shared" si="623"/>
        <v>930</v>
      </c>
      <c r="W1766" cm="1">
        <f t="array" ref="W1766">_xlfn._xlws.FILTER(shifts!A:A,(shifts!B:B=events!D1766)*(shifts!AH:AH&gt;=events!U1766)*(shifts!AI:AI&lt;=events!V1766))</f>
        <v>64</v>
      </c>
      <c r="X1766" t="str">
        <f t="shared" si="624"/>
        <v>event_team_player_1</v>
      </c>
      <c r="Y1766">
        <f>COUNTIFS(A$3:A1766,"="&amp;A1766,K$3:K1766,"="&amp;K1766)</f>
        <v>1</v>
      </c>
      <c r="Z1766" s="20">
        <f>SUMIFS(T$3:T1766,L$3:L1766,"=Intermission")+SUMIFS(T$3:T1766,L$3:L1766,"=Timeout")+SUMIFS(T$3:T1766,L$3:L1766,"=Clockstop")</f>
        <v>138</v>
      </c>
      <c r="AA1766">
        <f t="shared" si="615"/>
        <v>2298</v>
      </c>
      <c r="AC1766">
        <f t="shared" si="616"/>
        <v>2436</v>
      </c>
    </row>
    <row r="1767" spans="1:29" x14ac:dyDescent="0.2">
      <c r="A1767">
        <v>952</v>
      </c>
      <c r="D1767">
        <f t="shared" si="617"/>
        <v>3</v>
      </c>
      <c r="E1767">
        <v>15</v>
      </c>
      <c r="F1767" s="6" t="s">
        <v>494</v>
      </c>
      <c r="G1767">
        <v>15</v>
      </c>
      <c r="H1767" s="8" t="s">
        <v>472</v>
      </c>
      <c r="I1767" t="s">
        <v>178</v>
      </c>
      <c r="J1767">
        <v>18</v>
      </c>
      <c r="K1767" t="s">
        <v>489</v>
      </c>
      <c r="L1767" t="s">
        <v>15</v>
      </c>
      <c r="Q1767">
        <f t="shared" ref="Q1767:S1767" si="656">Q1766</f>
        <v>18977</v>
      </c>
      <c r="R1767" t="str">
        <f t="shared" si="656"/>
        <v>Velodrome</v>
      </c>
      <c r="S1767" t="str">
        <f t="shared" si="656"/>
        <v>HollowBrook</v>
      </c>
      <c r="T1767" s="20">
        <f t="shared" si="621"/>
        <v>2</v>
      </c>
      <c r="U1767">
        <f t="shared" si="622"/>
        <v>932</v>
      </c>
      <c r="V1767">
        <f t="shared" si="623"/>
        <v>930</v>
      </c>
      <c r="W1767" cm="1">
        <f t="array" ref="W1767">_xlfn._xlws.FILTER(shifts!A:A,(shifts!B:B=events!D1767)*(shifts!AH:AH&gt;=events!U1767)*(shifts!AI:AI&lt;=events!V1767))</f>
        <v>64</v>
      </c>
      <c r="X1767" t="str">
        <f t="shared" si="624"/>
        <v>opp_team_player_1</v>
      </c>
      <c r="Y1767">
        <f>COUNTIFS(A$3:A1767,"="&amp;A1767,K$3:K1767,"="&amp;K1767)</f>
        <v>1</v>
      </c>
      <c r="Z1767" s="20">
        <f>SUMIFS(T$3:T1767,L$3:L1767,"=Intermission")+SUMIFS(T$3:T1767,L$3:L1767,"=Timeout")+SUMIFS(T$3:T1767,L$3:L1767,"=Clockstop")</f>
        <v>138</v>
      </c>
      <c r="AA1767">
        <f t="shared" si="615"/>
        <v>2298</v>
      </c>
      <c r="AC1767">
        <f t="shared" si="616"/>
        <v>2436</v>
      </c>
    </row>
    <row r="1768" spans="1:29" x14ac:dyDescent="0.2">
      <c r="A1768">
        <v>953</v>
      </c>
      <c r="D1768">
        <f t="shared" si="617"/>
        <v>3</v>
      </c>
      <c r="E1768">
        <v>15</v>
      </c>
      <c r="F1768" s="6" t="s">
        <v>472</v>
      </c>
      <c r="I1768" t="s">
        <v>179</v>
      </c>
      <c r="J1768">
        <v>18</v>
      </c>
      <c r="K1768" t="s">
        <v>488</v>
      </c>
      <c r="L1768" t="s">
        <v>247</v>
      </c>
      <c r="M1768" t="s">
        <v>514</v>
      </c>
      <c r="N1768" t="s">
        <v>158</v>
      </c>
      <c r="Q1768">
        <f t="shared" ref="Q1768:S1768" si="657">Q1767</f>
        <v>18977</v>
      </c>
      <c r="R1768" t="str">
        <f t="shared" si="657"/>
        <v>Velodrome</v>
      </c>
      <c r="S1768" t="str">
        <f t="shared" si="657"/>
        <v>HollowBrook</v>
      </c>
      <c r="T1768" s="20">
        <f t="shared" si="621"/>
        <v>0</v>
      </c>
      <c r="U1768">
        <f t="shared" si="622"/>
        <v>930</v>
      </c>
      <c r="V1768">
        <f t="shared" si="623"/>
        <v>930</v>
      </c>
      <c r="W1768" cm="1">
        <f t="array" ref="W1768">_xlfn._xlws.FILTER(shifts!A:A,(shifts!B:B=events!D1768)*(shifts!AH:AH&gt;=events!U1768)*(shifts!AI:AI&lt;=events!V1768))</f>
        <v>64</v>
      </c>
      <c r="X1768" t="str">
        <f t="shared" si="624"/>
        <v>event_team_player_1</v>
      </c>
      <c r="Y1768">
        <f>COUNTIFS(A$3:A1768,"="&amp;A1768,K$3:K1768,"="&amp;K1768)</f>
        <v>1</v>
      </c>
      <c r="Z1768" s="20">
        <f>SUMIFS(T$3:T1768,L$3:L1768,"=Intermission")+SUMIFS(T$3:T1768,L$3:L1768,"=Timeout")+SUMIFS(T$3:T1768,L$3:L1768,"=Clockstop")</f>
        <v>138</v>
      </c>
      <c r="AA1768">
        <f t="shared" si="615"/>
        <v>2298</v>
      </c>
      <c r="AC1768">
        <f t="shared" si="616"/>
        <v>2436</v>
      </c>
    </row>
    <row r="1769" spans="1:29" x14ac:dyDescent="0.2">
      <c r="A1769">
        <v>953</v>
      </c>
      <c r="D1769">
        <f t="shared" si="617"/>
        <v>3</v>
      </c>
      <c r="E1769">
        <v>15</v>
      </c>
      <c r="F1769" s="6" t="s">
        <v>472</v>
      </c>
      <c r="I1769" t="s">
        <v>179</v>
      </c>
      <c r="J1769">
        <v>70</v>
      </c>
      <c r="K1769" t="s">
        <v>489</v>
      </c>
      <c r="L1769" t="s">
        <v>247</v>
      </c>
      <c r="M1769" t="s">
        <v>514</v>
      </c>
      <c r="N1769" t="s">
        <v>158</v>
      </c>
      <c r="Q1769">
        <f t="shared" ref="Q1769:S1769" si="658">Q1768</f>
        <v>18977</v>
      </c>
      <c r="R1769" t="str">
        <f t="shared" si="658"/>
        <v>Velodrome</v>
      </c>
      <c r="S1769" t="str">
        <f t="shared" si="658"/>
        <v>HollowBrook</v>
      </c>
      <c r="T1769" s="20">
        <f t="shared" si="621"/>
        <v>0</v>
      </c>
      <c r="U1769">
        <f t="shared" si="622"/>
        <v>930</v>
      </c>
      <c r="V1769">
        <f t="shared" si="623"/>
        <v>930</v>
      </c>
      <c r="W1769" cm="1">
        <f t="array" ref="W1769">_xlfn._xlws.FILTER(shifts!A:A,(shifts!B:B=events!D1769)*(shifts!AH:AH&gt;=events!U1769)*(shifts!AI:AI&lt;=events!V1769))</f>
        <v>64</v>
      </c>
      <c r="X1769" t="str">
        <f t="shared" si="624"/>
        <v>opp_team_player_1</v>
      </c>
      <c r="Y1769">
        <f>COUNTIFS(A$3:A1769,"="&amp;A1769,K$3:K1769,"="&amp;K1769)</f>
        <v>1</v>
      </c>
      <c r="Z1769" s="20">
        <f>SUMIFS(T$3:T1769,L$3:L1769,"=Intermission")+SUMIFS(T$3:T1769,L$3:L1769,"=Timeout")+SUMIFS(T$3:T1769,L$3:L1769,"=Clockstop")</f>
        <v>138</v>
      </c>
      <c r="AA1769">
        <f t="shared" si="615"/>
        <v>2298</v>
      </c>
      <c r="AC1769">
        <f t="shared" si="616"/>
        <v>2436</v>
      </c>
    </row>
    <row r="1770" spans="1:29" x14ac:dyDescent="0.2">
      <c r="A1770">
        <v>954</v>
      </c>
      <c r="D1770">
        <f t="shared" si="617"/>
        <v>3</v>
      </c>
      <c r="E1770">
        <v>15</v>
      </c>
      <c r="F1770" s="6" t="s">
        <v>472</v>
      </c>
      <c r="I1770" t="s">
        <v>179</v>
      </c>
      <c r="J1770">
        <v>18</v>
      </c>
      <c r="K1770" t="s">
        <v>488</v>
      </c>
      <c r="L1770" t="s">
        <v>277</v>
      </c>
      <c r="M1770" t="s">
        <v>210</v>
      </c>
      <c r="N1770" t="s">
        <v>93</v>
      </c>
      <c r="Q1770">
        <f t="shared" ref="Q1770:S1770" si="659">Q1769</f>
        <v>18977</v>
      </c>
      <c r="R1770" t="str">
        <f t="shared" si="659"/>
        <v>Velodrome</v>
      </c>
      <c r="S1770" t="str">
        <f t="shared" si="659"/>
        <v>HollowBrook</v>
      </c>
      <c r="T1770" s="20">
        <f t="shared" si="621"/>
        <v>0</v>
      </c>
      <c r="U1770">
        <f t="shared" si="622"/>
        <v>930</v>
      </c>
      <c r="V1770">
        <f t="shared" si="623"/>
        <v>930</v>
      </c>
      <c r="W1770" cm="1">
        <f t="array" ref="W1770">_xlfn._xlws.FILTER(shifts!A:A,(shifts!B:B=events!D1770)*(shifts!AH:AH&gt;=events!U1770)*(shifts!AI:AI&lt;=events!V1770))</f>
        <v>64</v>
      </c>
      <c r="X1770" t="str">
        <f t="shared" si="624"/>
        <v>event_team_player_1</v>
      </c>
      <c r="Y1770">
        <f>COUNTIFS(A$3:A1770,"="&amp;A1770,K$3:K1770,"="&amp;K1770)</f>
        <v>1</v>
      </c>
      <c r="Z1770" s="20">
        <f>SUMIFS(T$3:T1770,L$3:L1770,"=Intermission")+SUMIFS(T$3:T1770,L$3:L1770,"=Timeout")+SUMIFS(T$3:T1770,L$3:L1770,"=Clockstop")</f>
        <v>138</v>
      </c>
      <c r="AA1770">
        <f t="shared" si="615"/>
        <v>2298</v>
      </c>
      <c r="AC1770">
        <f t="shared" si="616"/>
        <v>2436</v>
      </c>
    </row>
    <row r="1771" spans="1:29" x14ac:dyDescent="0.2">
      <c r="A1771">
        <v>955</v>
      </c>
      <c r="D1771">
        <f t="shared" si="617"/>
        <v>3</v>
      </c>
      <c r="E1771">
        <v>15</v>
      </c>
      <c r="F1771" s="6" t="s">
        <v>440</v>
      </c>
      <c r="I1771" t="s">
        <v>178</v>
      </c>
      <c r="J1771">
        <v>9</v>
      </c>
      <c r="K1771" t="s">
        <v>488</v>
      </c>
      <c r="L1771" t="s">
        <v>277</v>
      </c>
      <c r="M1771" t="s">
        <v>201</v>
      </c>
      <c r="N1771" t="s">
        <v>499</v>
      </c>
      <c r="Q1771">
        <f t="shared" ref="Q1771:S1771" si="660">Q1770</f>
        <v>18977</v>
      </c>
      <c r="R1771" t="str">
        <f t="shared" si="660"/>
        <v>Velodrome</v>
      </c>
      <c r="S1771" t="str">
        <f t="shared" si="660"/>
        <v>HollowBrook</v>
      </c>
      <c r="T1771" s="20">
        <f t="shared" si="621"/>
        <v>0</v>
      </c>
      <c r="U1771">
        <f t="shared" si="622"/>
        <v>928</v>
      </c>
      <c r="V1771">
        <f t="shared" si="623"/>
        <v>928</v>
      </c>
      <c r="W1771" cm="1">
        <f t="array" ref="W1771">_xlfn._xlws.FILTER(shifts!A:A,(shifts!B:B=events!D1771)*(shifts!AH:AH&gt;=events!U1771)*(shifts!AI:AI&lt;=events!V1771))</f>
        <v>64</v>
      </c>
      <c r="X1771" t="str">
        <f t="shared" si="624"/>
        <v>event_team_player_1</v>
      </c>
      <c r="Y1771">
        <f>COUNTIFS(A$3:A1771,"="&amp;A1771,K$3:K1771,"="&amp;K1771)</f>
        <v>1</v>
      </c>
      <c r="Z1771" s="20">
        <f>SUMIFS(T$3:T1771,L$3:L1771,"=Intermission")+SUMIFS(T$3:T1771,L$3:L1771,"=Timeout")+SUMIFS(T$3:T1771,L$3:L1771,"=Clockstop")</f>
        <v>138</v>
      </c>
      <c r="AA1771">
        <f t="shared" si="615"/>
        <v>2298</v>
      </c>
      <c r="AC1771">
        <f t="shared" si="616"/>
        <v>2436</v>
      </c>
    </row>
    <row r="1772" spans="1:29" x14ac:dyDescent="0.2">
      <c r="A1772">
        <v>956</v>
      </c>
      <c r="D1772">
        <f t="shared" si="617"/>
        <v>3</v>
      </c>
      <c r="E1772">
        <v>15</v>
      </c>
      <c r="F1772" s="6" t="s">
        <v>483</v>
      </c>
      <c r="G1772">
        <v>15</v>
      </c>
      <c r="H1772" s="8" t="s">
        <v>441</v>
      </c>
      <c r="I1772" t="s">
        <v>178</v>
      </c>
      <c r="J1772">
        <v>9</v>
      </c>
      <c r="K1772" t="s">
        <v>488</v>
      </c>
      <c r="L1772" t="s">
        <v>15</v>
      </c>
      <c r="Q1772">
        <f t="shared" ref="Q1772:S1772" si="661">Q1771</f>
        <v>18977</v>
      </c>
      <c r="R1772" t="str">
        <f t="shared" si="661"/>
        <v>Velodrome</v>
      </c>
      <c r="S1772" t="str">
        <f t="shared" si="661"/>
        <v>HollowBrook</v>
      </c>
      <c r="T1772" s="20">
        <f t="shared" si="621"/>
        <v>2</v>
      </c>
      <c r="U1772">
        <f t="shared" si="622"/>
        <v>927</v>
      </c>
      <c r="V1772">
        <f t="shared" si="623"/>
        <v>925</v>
      </c>
      <c r="W1772" cm="1">
        <f t="array" ref="W1772">_xlfn._xlws.FILTER(shifts!A:A,(shifts!B:B=events!D1772)*(shifts!AH:AH&gt;=events!U1772)*(shifts!AI:AI&lt;=events!V1772))</f>
        <v>64</v>
      </c>
      <c r="X1772" t="str">
        <f t="shared" si="624"/>
        <v>event_team_player_1</v>
      </c>
      <c r="Y1772">
        <f>COUNTIFS(A$3:A1772,"="&amp;A1772,K$3:K1772,"="&amp;K1772)</f>
        <v>1</v>
      </c>
      <c r="Z1772" s="20">
        <f>SUMIFS(T$3:T1772,L$3:L1772,"=Intermission")+SUMIFS(T$3:T1772,L$3:L1772,"=Timeout")+SUMIFS(T$3:T1772,L$3:L1772,"=Clockstop")</f>
        <v>138</v>
      </c>
      <c r="AA1772">
        <f t="shared" si="615"/>
        <v>2298</v>
      </c>
      <c r="AC1772">
        <f t="shared" si="616"/>
        <v>2436</v>
      </c>
    </row>
    <row r="1773" spans="1:29" x14ac:dyDescent="0.2">
      <c r="A1773">
        <v>956</v>
      </c>
      <c r="D1773">
        <f t="shared" si="617"/>
        <v>3</v>
      </c>
      <c r="E1773">
        <v>15</v>
      </c>
      <c r="F1773" s="6" t="s">
        <v>483</v>
      </c>
      <c r="G1773">
        <v>15</v>
      </c>
      <c r="H1773" s="8" t="s">
        <v>441</v>
      </c>
      <c r="I1773" t="s">
        <v>178</v>
      </c>
      <c r="J1773">
        <v>11</v>
      </c>
      <c r="K1773" t="s">
        <v>489</v>
      </c>
      <c r="L1773" t="s">
        <v>15</v>
      </c>
      <c r="Q1773">
        <f t="shared" ref="Q1773:S1773" si="662">Q1772</f>
        <v>18977</v>
      </c>
      <c r="R1773" t="str">
        <f t="shared" si="662"/>
        <v>Velodrome</v>
      </c>
      <c r="S1773" t="str">
        <f t="shared" si="662"/>
        <v>HollowBrook</v>
      </c>
      <c r="T1773" s="20">
        <f t="shared" si="621"/>
        <v>2</v>
      </c>
      <c r="U1773">
        <f t="shared" si="622"/>
        <v>927</v>
      </c>
      <c r="V1773">
        <f t="shared" si="623"/>
        <v>925</v>
      </c>
      <c r="W1773" cm="1">
        <f t="array" ref="W1773">_xlfn._xlws.FILTER(shifts!A:A,(shifts!B:B=events!D1773)*(shifts!AH:AH&gt;=events!U1773)*(shifts!AI:AI&lt;=events!V1773))</f>
        <v>64</v>
      </c>
      <c r="X1773" t="str">
        <f t="shared" si="624"/>
        <v>opp_team_player_1</v>
      </c>
      <c r="Y1773">
        <f>COUNTIFS(A$3:A1773,"="&amp;A1773,K$3:K1773,"="&amp;K1773)</f>
        <v>1</v>
      </c>
      <c r="Z1773" s="20">
        <f>SUMIFS(T$3:T1773,L$3:L1773,"=Intermission")+SUMIFS(T$3:T1773,L$3:L1773,"=Timeout")+SUMIFS(T$3:T1773,L$3:L1773,"=Clockstop")</f>
        <v>138</v>
      </c>
      <c r="AA1773">
        <f t="shared" si="615"/>
        <v>2298</v>
      </c>
      <c r="AC1773">
        <f t="shared" si="616"/>
        <v>2436</v>
      </c>
    </row>
    <row r="1774" spans="1:29" x14ac:dyDescent="0.2">
      <c r="A1774">
        <v>957</v>
      </c>
      <c r="D1774">
        <f t="shared" si="617"/>
        <v>3</v>
      </c>
      <c r="E1774">
        <v>15</v>
      </c>
      <c r="F1774" s="6" t="s">
        <v>441</v>
      </c>
      <c r="I1774" t="s">
        <v>178</v>
      </c>
      <c r="J1774">
        <v>9</v>
      </c>
      <c r="K1774" t="s">
        <v>488</v>
      </c>
      <c r="L1774" t="s">
        <v>277</v>
      </c>
      <c r="M1774" t="s">
        <v>191</v>
      </c>
      <c r="N1774" t="s">
        <v>498</v>
      </c>
      <c r="Q1774">
        <f t="shared" ref="Q1774:S1774" si="663">Q1773</f>
        <v>18977</v>
      </c>
      <c r="R1774" t="str">
        <f t="shared" si="663"/>
        <v>Velodrome</v>
      </c>
      <c r="S1774" t="str">
        <f t="shared" si="663"/>
        <v>HollowBrook</v>
      </c>
      <c r="T1774" s="20">
        <f t="shared" si="621"/>
        <v>0</v>
      </c>
      <c r="U1774">
        <f t="shared" si="622"/>
        <v>925</v>
      </c>
      <c r="V1774">
        <f t="shared" si="623"/>
        <v>925</v>
      </c>
      <c r="W1774" cm="1">
        <f t="array" ref="W1774">_xlfn._xlws.FILTER(shifts!A:A,(shifts!B:B=events!D1774)*(shifts!AH:AH&gt;=events!U1774)*(shifts!AI:AI&lt;=events!V1774))</f>
        <v>64</v>
      </c>
      <c r="X1774" t="str">
        <f t="shared" si="624"/>
        <v>event_team_player_1</v>
      </c>
      <c r="Y1774">
        <f>COUNTIFS(A$3:A1774,"="&amp;A1774,K$3:K1774,"="&amp;K1774)</f>
        <v>1</v>
      </c>
      <c r="Z1774" s="20">
        <f>SUMIFS(T$3:T1774,L$3:L1774,"=Intermission")+SUMIFS(T$3:T1774,L$3:L1774,"=Timeout")+SUMIFS(T$3:T1774,L$3:L1774,"=Clockstop")</f>
        <v>138</v>
      </c>
      <c r="AA1774">
        <f t="shared" si="615"/>
        <v>2298</v>
      </c>
      <c r="AC1774">
        <f t="shared" si="616"/>
        <v>2436</v>
      </c>
    </row>
    <row r="1775" spans="1:29" x14ac:dyDescent="0.2">
      <c r="A1775">
        <v>957</v>
      </c>
      <c r="D1775">
        <f t="shared" si="617"/>
        <v>3</v>
      </c>
      <c r="E1775">
        <v>15</v>
      </c>
      <c r="F1775" s="6" t="s">
        <v>441</v>
      </c>
      <c r="I1775" t="s">
        <v>178</v>
      </c>
      <c r="J1775">
        <v>11</v>
      </c>
      <c r="K1775" t="s">
        <v>489</v>
      </c>
      <c r="L1775" t="s">
        <v>277</v>
      </c>
      <c r="M1775" t="s">
        <v>191</v>
      </c>
      <c r="N1775" t="s">
        <v>498</v>
      </c>
      <c r="Q1775">
        <f t="shared" ref="Q1775:S1775" si="664">Q1774</f>
        <v>18977</v>
      </c>
      <c r="R1775" t="str">
        <f t="shared" si="664"/>
        <v>Velodrome</v>
      </c>
      <c r="S1775" t="str">
        <f t="shared" si="664"/>
        <v>HollowBrook</v>
      </c>
      <c r="T1775" s="20">
        <f t="shared" si="621"/>
        <v>0</v>
      </c>
      <c r="U1775">
        <f t="shared" si="622"/>
        <v>925</v>
      </c>
      <c r="V1775">
        <f t="shared" si="623"/>
        <v>925</v>
      </c>
      <c r="W1775" cm="1">
        <f t="array" ref="W1775">_xlfn._xlws.FILTER(shifts!A:A,(shifts!B:B=events!D1775)*(shifts!AH:AH&gt;=events!U1775)*(shifts!AI:AI&lt;=events!V1775))</f>
        <v>64</v>
      </c>
      <c r="X1775" t="str">
        <f t="shared" si="624"/>
        <v>opp_team_player_1</v>
      </c>
      <c r="Y1775">
        <f>COUNTIFS(A$3:A1775,"="&amp;A1775,K$3:K1775,"="&amp;K1775)</f>
        <v>1</v>
      </c>
      <c r="Z1775" s="20">
        <f>SUMIFS(T$3:T1775,L$3:L1775,"=Intermission")+SUMIFS(T$3:T1775,L$3:L1775,"=Timeout")+SUMIFS(T$3:T1775,L$3:L1775,"=Clockstop")</f>
        <v>138</v>
      </c>
      <c r="AA1775">
        <f t="shared" si="615"/>
        <v>2298</v>
      </c>
      <c r="AC1775">
        <f t="shared" si="616"/>
        <v>2436</v>
      </c>
    </row>
    <row r="1776" spans="1:29" x14ac:dyDescent="0.2">
      <c r="A1776">
        <v>957</v>
      </c>
      <c r="D1776">
        <f t="shared" si="617"/>
        <v>3</v>
      </c>
      <c r="E1776">
        <v>15</v>
      </c>
      <c r="F1776" s="6" t="s">
        <v>441</v>
      </c>
      <c r="I1776" t="s">
        <v>178</v>
      </c>
      <c r="J1776">
        <v>33</v>
      </c>
      <c r="K1776" t="s">
        <v>489</v>
      </c>
      <c r="L1776" t="s">
        <v>277</v>
      </c>
      <c r="M1776" t="s">
        <v>191</v>
      </c>
      <c r="N1776" t="s">
        <v>498</v>
      </c>
      <c r="Q1776">
        <f t="shared" ref="Q1776:S1776" si="665">Q1775</f>
        <v>18977</v>
      </c>
      <c r="R1776" t="str">
        <f t="shared" si="665"/>
        <v>Velodrome</v>
      </c>
      <c r="S1776" t="str">
        <f t="shared" si="665"/>
        <v>HollowBrook</v>
      </c>
      <c r="T1776" s="20">
        <f t="shared" si="621"/>
        <v>0</v>
      </c>
      <c r="U1776">
        <f t="shared" si="622"/>
        <v>925</v>
      </c>
      <c r="V1776">
        <f t="shared" si="623"/>
        <v>925</v>
      </c>
      <c r="W1776" cm="1">
        <f t="array" ref="W1776">_xlfn._xlws.FILTER(shifts!A:A,(shifts!B:B=events!D1776)*(shifts!AH:AH&gt;=events!U1776)*(shifts!AI:AI&lt;=events!V1776))</f>
        <v>64</v>
      </c>
      <c r="X1776" t="str">
        <f t="shared" si="624"/>
        <v>opp_team_player_2</v>
      </c>
      <c r="Y1776">
        <f>COUNTIFS(A$3:A1776,"="&amp;A1776,K$3:K1776,"="&amp;K1776)</f>
        <v>2</v>
      </c>
      <c r="Z1776" s="20">
        <f>SUMIFS(T$3:T1776,L$3:L1776,"=Intermission")+SUMIFS(T$3:T1776,L$3:L1776,"=Timeout")+SUMIFS(T$3:T1776,L$3:L1776,"=Clockstop")</f>
        <v>138</v>
      </c>
      <c r="AA1776">
        <f t="shared" si="615"/>
        <v>2298</v>
      </c>
      <c r="AC1776">
        <f t="shared" si="616"/>
        <v>2436</v>
      </c>
    </row>
    <row r="1777" spans="1:29" x14ac:dyDescent="0.2">
      <c r="A1777">
        <v>958</v>
      </c>
      <c r="D1777">
        <f t="shared" si="617"/>
        <v>3</v>
      </c>
      <c r="E1777">
        <v>15</v>
      </c>
      <c r="F1777" s="6" t="s">
        <v>441</v>
      </c>
      <c r="I1777" t="s">
        <v>178</v>
      </c>
      <c r="J1777">
        <v>9</v>
      </c>
      <c r="K1777" t="s">
        <v>488</v>
      </c>
      <c r="L1777" t="s">
        <v>10</v>
      </c>
      <c r="M1777" t="s">
        <v>190</v>
      </c>
      <c r="N1777" t="s">
        <v>460</v>
      </c>
      <c r="Q1777">
        <f t="shared" ref="Q1777:S1777" si="666">Q1776</f>
        <v>18977</v>
      </c>
      <c r="R1777" t="str">
        <f t="shared" si="666"/>
        <v>Velodrome</v>
      </c>
      <c r="S1777" t="str">
        <f t="shared" si="666"/>
        <v>HollowBrook</v>
      </c>
      <c r="T1777" s="20">
        <f t="shared" si="621"/>
        <v>0</v>
      </c>
      <c r="U1777">
        <f t="shared" si="622"/>
        <v>925</v>
      </c>
      <c r="V1777">
        <f t="shared" si="623"/>
        <v>925</v>
      </c>
      <c r="W1777" cm="1">
        <f t="array" ref="W1777">_xlfn._xlws.FILTER(shifts!A:A,(shifts!B:B=events!D1777)*(shifts!AH:AH&gt;=events!U1777)*(shifts!AI:AI&lt;=events!V1777))</f>
        <v>64</v>
      </c>
      <c r="X1777" t="str">
        <f t="shared" si="624"/>
        <v>event_team_player_1</v>
      </c>
      <c r="Y1777">
        <f>COUNTIFS(A$3:A1777,"="&amp;A1777,K$3:K1777,"="&amp;K1777)</f>
        <v>1</v>
      </c>
      <c r="Z1777" s="20">
        <f>SUMIFS(T$3:T1777,L$3:L1777,"=Intermission")+SUMIFS(T$3:T1777,L$3:L1777,"=Timeout")+SUMIFS(T$3:T1777,L$3:L1777,"=Clockstop")</f>
        <v>138</v>
      </c>
      <c r="AA1777">
        <f t="shared" si="615"/>
        <v>2298</v>
      </c>
      <c r="AC1777">
        <f t="shared" si="616"/>
        <v>2436</v>
      </c>
    </row>
    <row r="1778" spans="1:29" x14ac:dyDescent="0.2">
      <c r="A1778">
        <v>958</v>
      </c>
      <c r="D1778">
        <f t="shared" si="617"/>
        <v>3</v>
      </c>
      <c r="E1778">
        <v>15</v>
      </c>
      <c r="F1778" s="6" t="s">
        <v>441</v>
      </c>
      <c r="I1778" t="s">
        <v>178</v>
      </c>
      <c r="J1778">
        <v>33</v>
      </c>
      <c r="K1778" t="s">
        <v>489</v>
      </c>
      <c r="L1778" t="s">
        <v>10</v>
      </c>
      <c r="M1778" t="s">
        <v>190</v>
      </c>
      <c r="N1778" t="s">
        <v>460</v>
      </c>
      <c r="Q1778">
        <f t="shared" ref="Q1778:S1778" si="667">Q1777</f>
        <v>18977</v>
      </c>
      <c r="R1778" t="str">
        <f t="shared" si="667"/>
        <v>Velodrome</v>
      </c>
      <c r="S1778" t="str">
        <f t="shared" si="667"/>
        <v>HollowBrook</v>
      </c>
      <c r="T1778" s="20">
        <f t="shared" si="621"/>
        <v>0</v>
      </c>
      <c r="U1778">
        <f t="shared" si="622"/>
        <v>925</v>
      </c>
      <c r="V1778">
        <f t="shared" si="623"/>
        <v>925</v>
      </c>
      <c r="W1778" cm="1">
        <f t="array" ref="W1778">_xlfn._xlws.FILTER(shifts!A:A,(shifts!B:B=events!D1778)*(shifts!AH:AH&gt;=events!U1778)*(shifts!AI:AI&lt;=events!V1778))</f>
        <v>64</v>
      </c>
      <c r="X1778" t="str">
        <f t="shared" si="624"/>
        <v>opp_team_player_1</v>
      </c>
      <c r="Y1778">
        <f>COUNTIFS(A$3:A1778,"="&amp;A1778,K$3:K1778,"="&amp;K1778)</f>
        <v>1</v>
      </c>
      <c r="Z1778" s="20">
        <f>SUMIFS(T$3:T1778,L$3:L1778,"=Intermission")+SUMIFS(T$3:T1778,L$3:L1778,"=Timeout")+SUMIFS(T$3:T1778,L$3:L1778,"=Clockstop")</f>
        <v>138</v>
      </c>
      <c r="AA1778">
        <f t="shared" si="615"/>
        <v>2298</v>
      </c>
      <c r="AC1778">
        <f t="shared" si="616"/>
        <v>2436</v>
      </c>
    </row>
    <row r="1779" spans="1:29" x14ac:dyDescent="0.2">
      <c r="A1779">
        <v>959</v>
      </c>
      <c r="D1779">
        <f t="shared" si="617"/>
        <v>3</v>
      </c>
      <c r="E1779">
        <v>15</v>
      </c>
      <c r="F1779" s="6" t="s">
        <v>422</v>
      </c>
      <c r="I1779" t="s">
        <v>179</v>
      </c>
      <c r="J1779">
        <v>33</v>
      </c>
      <c r="K1779" t="s">
        <v>488</v>
      </c>
      <c r="L1779" t="s">
        <v>10</v>
      </c>
      <c r="M1779" t="s">
        <v>190</v>
      </c>
      <c r="N1779" t="s">
        <v>479</v>
      </c>
      <c r="Q1779">
        <f t="shared" ref="Q1779:S1779" si="668">Q1778</f>
        <v>18977</v>
      </c>
      <c r="R1779" t="str">
        <f t="shared" si="668"/>
        <v>Velodrome</v>
      </c>
      <c r="S1779" t="str">
        <f t="shared" si="668"/>
        <v>HollowBrook</v>
      </c>
      <c r="T1779" s="20">
        <f t="shared" si="621"/>
        <v>0</v>
      </c>
      <c r="U1779">
        <f t="shared" si="622"/>
        <v>920</v>
      </c>
      <c r="V1779">
        <f t="shared" si="623"/>
        <v>920</v>
      </c>
      <c r="W1779" cm="1">
        <f t="array" ref="W1779">_xlfn._xlws.FILTER(shifts!A:A,(shifts!B:B=events!D1779)*(shifts!AH:AH&gt;=events!U1779)*(shifts!AI:AI&lt;=events!V1779))</f>
        <v>64</v>
      </c>
      <c r="X1779" t="str">
        <f t="shared" si="624"/>
        <v>event_team_player_1</v>
      </c>
      <c r="Y1779">
        <f>COUNTIFS(A$3:A1779,"="&amp;A1779,K$3:K1779,"="&amp;K1779)</f>
        <v>1</v>
      </c>
      <c r="Z1779" s="20">
        <f>SUMIFS(T$3:T1779,L$3:L1779,"=Intermission")+SUMIFS(T$3:T1779,L$3:L1779,"=Timeout")+SUMIFS(T$3:T1779,L$3:L1779,"=Clockstop")</f>
        <v>138</v>
      </c>
      <c r="AA1779">
        <f t="shared" si="615"/>
        <v>2298</v>
      </c>
      <c r="AC1779">
        <f t="shared" si="616"/>
        <v>2436</v>
      </c>
    </row>
    <row r="1780" spans="1:29" x14ac:dyDescent="0.2">
      <c r="A1780">
        <v>959</v>
      </c>
      <c r="D1780">
        <f t="shared" si="617"/>
        <v>3</v>
      </c>
      <c r="E1780">
        <v>15</v>
      </c>
      <c r="F1780" s="6" t="s">
        <v>422</v>
      </c>
      <c r="I1780" t="s">
        <v>179</v>
      </c>
      <c r="J1780">
        <v>70</v>
      </c>
      <c r="K1780" t="s">
        <v>489</v>
      </c>
      <c r="L1780" t="s">
        <v>10</v>
      </c>
      <c r="M1780" t="s">
        <v>190</v>
      </c>
      <c r="N1780" t="s">
        <v>479</v>
      </c>
      <c r="Q1780">
        <f t="shared" ref="Q1780:S1780" si="669">Q1779</f>
        <v>18977</v>
      </c>
      <c r="R1780" t="str">
        <f t="shared" si="669"/>
        <v>Velodrome</v>
      </c>
      <c r="S1780" t="str">
        <f t="shared" si="669"/>
        <v>HollowBrook</v>
      </c>
      <c r="T1780" s="20">
        <f t="shared" si="621"/>
        <v>0</v>
      </c>
      <c r="U1780">
        <f t="shared" si="622"/>
        <v>920</v>
      </c>
      <c r="V1780">
        <f t="shared" si="623"/>
        <v>920</v>
      </c>
      <c r="W1780" cm="1">
        <f t="array" ref="W1780">_xlfn._xlws.FILTER(shifts!A:A,(shifts!B:B=events!D1780)*(shifts!AH:AH&gt;=events!U1780)*(shifts!AI:AI&lt;=events!V1780))</f>
        <v>64</v>
      </c>
      <c r="X1780" t="str">
        <f t="shared" si="624"/>
        <v>opp_team_player_1</v>
      </c>
      <c r="Y1780">
        <f>COUNTIFS(A$3:A1780,"="&amp;A1780,K$3:K1780,"="&amp;K1780)</f>
        <v>1</v>
      </c>
      <c r="Z1780" s="20">
        <f>SUMIFS(T$3:T1780,L$3:L1780,"=Intermission")+SUMIFS(T$3:T1780,L$3:L1780,"=Timeout")+SUMIFS(T$3:T1780,L$3:L1780,"=Clockstop")</f>
        <v>138</v>
      </c>
      <c r="AA1780">
        <f t="shared" si="615"/>
        <v>2298</v>
      </c>
      <c r="AC1780">
        <f t="shared" si="616"/>
        <v>2436</v>
      </c>
    </row>
    <row r="1781" spans="1:29" x14ac:dyDescent="0.2">
      <c r="A1781">
        <v>960</v>
      </c>
      <c r="D1781">
        <f t="shared" si="617"/>
        <v>3</v>
      </c>
      <c r="E1781">
        <v>15</v>
      </c>
      <c r="F1781" s="6" t="s">
        <v>422</v>
      </c>
      <c r="G1781">
        <v>15</v>
      </c>
      <c r="H1781" s="8" t="s">
        <v>445</v>
      </c>
      <c r="I1781" t="s">
        <v>178</v>
      </c>
      <c r="J1781">
        <v>70</v>
      </c>
      <c r="K1781" t="s">
        <v>488</v>
      </c>
      <c r="L1781" t="s">
        <v>15</v>
      </c>
      <c r="Q1781">
        <f t="shared" ref="Q1781:S1781" si="670">Q1780</f>
        <v>18977</v>
      </c>
      <c r="R1781" t="str">
        <f t="shared" si="670"/>
        <v>Velodrome</v>
      </c>
      <c r="S1781" t="str">
        <f t="shared" si="670"/>
        <v>HollowBrook</v>
      </c>
      <c r="T1781" s="20">
        <f t="shared" si="621"/>
        <v>1</v>
      </c>
      <c r="U1781">
        <f t="shared" si="622"/>
        <v>920</v>
      </c>
      <c r="V1781">
        <f t="shared" si="623"/>
        <v>919</v>
      </c>
      <c r="W1781" cm="1">
        <f t="array" ref="W1781">_xlfn._xlws.FILTER(shifts!A:A,(shifts!B:B=events!D1781)*(shifts!AH:AH&gt;=events!U1781)*(shifts!AI:AI&lt;=events!V1781))</f>
        <v>64</v>
      </c>
      <c r="X1781" t="str">
        <f t="shared" si="624"/>
        <v>event_team_player_1</v>
      </c>
      <c r="Y1781">
        <f>COUNTIFS(A$3:A1781,"="&amp;A1781,K$3:K1781,"="&amp;K1781)</f>
        <v>1</v>
      </c>
      <c r="Z1781" s="20">
        <f>SUMIFS(T$3:T1781,L$3:L1781,"=Intermission")+SUMIFS(T$3:T1781,L$3:L1781,"=Timeout")+SUMIFS(T$3:T1781,L$3:L1781,"=Clockstop")</f>
        <v>138</v>
      </c>
      <c r="AA1781">
        <f t="shared" si="615"/>
        <v>2298</v>
      </c>
      <c r="AC1781">
        <f t="shared" si="616"/>
        <v>2436</v>
      </c>
    </row>
    <row r="1782" spans="1:29" x14ac:dyDescent="0.2">
      <c r="A1782">
        <v>961</v>
      </c>
      <c r="D1782">
        <f t="shared" si="617"/>
        <v>3</v>
      </c>
      <c r="E1782">
        <v>15</v>
      </c>
      <c r="F1782" s="6" t="s">
        <v>445</v>
      </c>
      <c r="I1782" t="s">
        <v>178</v>
      </c>
      <c r="J1782">
        <v>70</v>
      </c>
      <c r="K1782" t="s">
        <v>488</v>
      </c>
      <c r="L1782" t="s">
        <v>8</v>
      </c>
      <c r="M1782" t="s">
        <v>199</v>
      </c>
      <c r="N1782" t="s">
        <v>70</v>
      </c>
      <c r="Q1782">
        <f t="shared" ref="Q1782:S1782" si="671">Q1781</f>
        <v>18977</v>
      </c>
      <c r="R1782" t="str">
        <f t="shared" si="671"/>
        <v>Velodrome</v>
      </c>
      <c r="S1782" t="str">
        <f t="shared" si="671"/>
        <v>HollowBrook</v>
      </c>
      <c r="T1782" s="20">
        <f t="shared" si="621"/>
        <v>0</v>
      </c>
      <c r="U1782">
        <f t="shared" si="622"/>
        <v>919</v>
      </c>
      <c r="V1782">
        <f t="shared" si="623"/>
        <v>919</v>
      </c>
      <c r="W1782" cm="1">
        <f t="array" ref="W1782">_xlfn._xlws.FILTER(shifts!A:A,(shifts!B:B=events!D1782)*(shifts!AH:AH&gt;=events!U1782)*(shifts!AI:AI&lt;=events!V1782))</f>
        <v>64</v>
      </c>
      <c r="X1782" t="str">
        <f t="shared" si="624"/>
        <v>event_team_player_1</v>
      </c>
      <c r="Y1782">
        <f>COUNTIFS(A$3:A1782,"="&amp;A1782,K$3:K1782,"="&amp;K1782)</f>
        <v>1</v>
      </c>
      <c r="Z1782" s="20">
        <f>SUMIFS(T$3:T1782,L$3:L1782,"=Intermission")+SUMIFS(T$3:T1782,L$3:L1782,"=Timeout")+SUMIFS(T$3:T1782,L$3:L1782,"=Clockstop")</f>
        <v>138</v>
      </c>
      <c r="AA1782">
        <f t="shared" si="615"/>
        <v>2298</v>
      </c>
      <c r="AC1782">
        <f t="shared" si="616"/>
        <v>2436</v>
      </c>
    </row>
    <row r="1783" spans="1:29" x14ac:dyDescent="0.2">
      <c r="A1783">
        <v>961</v>
      </c>
      <c r="D1783">
        <f t="shared" si="617"/>
        <v>3</v>
      </c>
      <c r="E1783">
        <v>15</v>
      </c>
      <c r="F1783" s="6" t="s">
        <v>445</v>
      </c>
      <c r="I1783" t="s">
        <v>178</v>
      </c>
      <c r="J1783">
        <v>75</v>
      </c>
      <c r="K1783" t="s">
        <v>488</v>
      </c>
      <c r="L1783" t="s">
        <v>8</v>
      </c>
      <c r="M1783" t="s">
        <v>199</v>
      </c>
      <c r="N1783" t="s">
        <v>70</v>
      </c>
      <c r="Q1783">
        <f t="shared" ref="Q1783:S1783" si="672">Q1782</f>
        <v>18977</v>
      </c>
      <c r="R1783" t="str">
        <f t="shared" si="672"/>
        <v>Velodrome</v>
      </c>
      <c r="S1783" t="str">
        <f t="shared" si="672"/>
        <v>HollowBrook</v>
      </c>
      <c r="T1783" s="20">
        <f t="shared" si="621"/>
        <v>0</v>
      </c>
      <c r="U1783">
        <f t="shared" si="622"/>
        <v>919</v>
      </c>
      <c r="V1783">
        <f t="shared" si="623"/>
        <v>919</v>
      </c>
      <c r="W1783" cm="1">
        <f t="array" ref="W1783">_xlfn._xlws.FILTER(shifts!A:A,(shifts!B:B=events!D1783)*(shifts!AH:AH&gt;=events!U1783)*(shifts!AI:AI&lt;=events!V1783))</f>
        <v>64</v>
      </c>
      <c r="X1783" t="str">
        <f t="shared" si="624"/>
        <v>event_team_player_2</v>
      </c>
      <c r="Y1783">
        <f>COUNTIFS(A$3:A1783,"="&amp;A1783,K$3:K1783,"="&amp;K1783)</f>
        <v>2</v>
      </c>
      <c r="Z1783" s="20">
        <f>SUMIFS(T$3:T1783,L$3:L1783,"=Intermission")+SUMIFS(T$3:T1783,L$3:L1783,"=Timeout")+SUMIFS(T$3:T1783,L$3:L1783,"=Clockstop")</f>
        <v>138</v>
      </c>
      <c r="AA1783">
        <f t="shared" si="615"/>
        <v>2298</v>
      </c>
      <c r="AC1783">
        <f t="shared" si="616"/>
        <v>2436</v>
      </c>
    </row>
    <row r="1784" spans="1:29" x14ac:dyDescent="0.2">
      <c r="A1784">
        <v>962</v>
      </c>
      <c r="D1784">
        <f t="shared" si="617"/>
        <v>3</v>
      </c>
      <c r="E1784">
        <v>15</v>
      </c>
      <c r="F1784" s="6" t="s">
        <v>423</v>
      </c>
      <c r="I1784" t="s">
        <v>178</v>
      </c>
      <c r="J1784">
        <v>49</v>
      </c>
      <c r="K1784" t="s">
        <v>488</v>
      </c>
      <c r="L1784" t="s">
        <v>277</v>
      </c>
      <c r="M1784" t="s">
        <v>210</v>
      </c>
      <c r="N1784" t="s">
        <v>93</v>
      </c>
      <c r="Q1784">
        <f t="shared" ref="Q1784:S1784" si="673">Q1783</f>
        <v>18977</v>
      </c>
      <c r="R1784" t="str">
        <f t="shared" si="673"/>
        <v>Velodrome</v>
      </c>
      <c r="S1784" t="str">
        <f t="shared" si="673"/>
        <v>HollowBrook</v>
      </c>
      <c r="T1784" s="20">
        <f t="shared" si="621"/>
        <v>0</v>
      </c>
      <c r="U1784">
        <f t="shared" si="622"/>
        <v>914</v>
      </c>
      <c r="V1784">
        <f t="shared" si="623"/>
        <v>914</v>
      </c>
      <c r="W1784" cm="1">
        <f t="array" ref="W1784">_xlfn._xlws.FILTER(shifts!A:A,(shifts!B:B=events!D1784)*(shifts!AH:AH&gt;=events!U1784)*(shifts!AI:AI&lt;=events!V1784))</f>
        <v>64</v>
      </c>
      <c r="X1784" t="str">
        <f t="shared" si="624"/>
        <v>event_team_player_1</v>
      </c>
      <c r="Y1784">
        <f>COUNTIFS(A$3:A1784,"="&amp;A1784,K$3:K1784,"="&amp;K1784)</f>
        <v>1</v>
      </c>
      <c r="Z1784" s="20">
        <f>SUMIFS(T$3:T1784,L$3:L1784,"=Intermission")+SUMIFS(T$3:T1784,L$3:L1784,"=Timeout")+SUMIFS(T$3:T1784,L$3:L1784,"=Clockstop")</f>
        <v>138</v>
      </c>
      <c r="AA1784">
        <f t="shared" si="615"/>
        <v>2298</v>
      </c>
      <c r="AC1784">
        <f t="shared" si="616"/>
        <v>2436</v>
      </c>
    </row>
    <row r="1785" spans="1:29" x14ac:dyDescent="0.2">
      <c r="A1785">
        <v>963</v>
      </c>
      <c r="D1785">
        <f t="shared" si="617"/>
        <v>3</v>
      </c>
      <c r="E1785">
        <v>15</v>
      </c>
      <c r="F1785" s="6" t="s">
        <v>423</v>
      </c>
      <c r="G1785">
        <v>15</v>
      </c>
      <c r="H1785" s="8" t="s">
        <v>449</v>
      </c>
      <c r="I1785" t="s">
        <v>178</v>
      </c>
      <c r="J1785">
        <v>49</v>
      </c>
      <c r="K1785" t="s">
        <v>488</v>
      </c>
      <c r="L1785" t="s">
        <v>15</v>
      </c>
      <c r="Q1785">
        <f t="shared" ref="Q1785:S1785" si="674">Q1784</f>
        <v>18977</v>
      </c>
      <c r="R1785" t="str">
        <f t="shared" si="674"/>
        <v>Velodrome</v>
      </c>
      <c r="S1785" t="str">
        <f t="shared" si="674"/>
        <v>HollowBrook</v>
      </c>
      <c r="T1785" s="20">
        <f t="shared" si="621"/>
        <v>2</v>
      </c>
      <c r="U1785">
        <f t="shared" si="622"/>
        <v>914</v>
      </c>
      <c r="V1785">
        <f t="shared" si="623"/>
        <v>912</v>
      </c>
      <c r="W1785" cm="1">
        <f t="array" ref="W1785">_xlfn._xlws.FILTER(shifts!A:A,(shifts!B:B=events!D1785)*(shifts!AH:AH&gt;=events!U1785)*(shifts!AI:AI&lt;=events!V1785))</f>
        <v>64</v>
      </c>
      <c r="X1785" t="str">
        <f t="shared" si="624"/>
        <v>event_team_player_1</v>
      </c>
      <c r="Y1785">
        <f>COUNTIFS(A$3:A1785,"="&amp;A1785,K$3:K1785,"="&amp;K1785)</f>
        <v>1</v>
      </c>
      <c r="Z1785" s="20">
        <f>SUMIFS(T$3:T1785,L$3:L1785,"=Intermission")+SUMIFS(T$3:T1785,L$3:L1785,"=Timeout")+SUMIFS(T$3:T1785,L$3:L1785,"=Clockstop")</f>
        <v>138</v>
      </c>
      <c r="AA1785">
        <f t="shared" si="615"/>
        <v>2298</v>
      </c>
      <c r="AC1785">
        <f t="shared" si="616"/>
        <v>2436</v>
      </c>
    </row>
    <row r="1786" spans="1:29" x14ac:dyDescent="0.2">
      <c r="A1786">
        <v>964</v>
      </c>
      <c r="D1786">
        <f t="shared" si="617"/>
        <v>3</v>
      </c>
      <c r="E1786">
        <v>15</v>
      </c>
      <c r="F1786" s="6" t="s">
        <v>449</v>
      </c>
      <c r="I1786" t="s">
        <v>178</v>
      </c>
      <c r="J1786">
        <v>49</v>
      </c>
      <c r="K1786" t="s">
        <v>488</v>
      </c>
      <c r="L1786" t="s">
        <v>7</v>
      </c>
      <c r="M1786" t="s">
        <v>208</v>
      </c>
      <c r="N1786" t="s">
        <v>53</v>
      </c>
      <c r="Q1786">
        <f t="shared" ref="Q1786:S1786" si="675">Q1785</f>
        <v>18977</v>
      </c>
      <c r="R1786" t="str">
        <f t="shared" si="675"/>
        <v>Velodrome</v>
      </c>
      <c r="S1786" t="str">
        <f t="shared" si="675"/>
        <v>HollowBrook</v>
      </c>
      <c r="T1786" s="20">
        <f t="shared" si="621"/>
        <v>0</v>
      </c>
      <c r="U1786">
        <f t="shared" si="622"/>
        <v>912</v>
      </c>
      <c r="V1786">
        <f t="shared" si="623"/>
        <v>912</v>
      </c>
      <c r="W1786" cm="1">
        <f t="array" ref="W1786">_xlfn._xlws.FILTER(shifts!A:A,(shifts!B:B=events!D1786)*(shifts!AH:AH&gt;=events!U1786)*(shifts!AI:AI&lt;=events!V1786))</f>
        <v>64</v>
      </c>
      <c r="X1786" t="str">
        <f t="shared" si="624"/>
        <v>event_team_player_1</v>
      </c>
      <c r="Y1786">
        <f>COUNTIFS(A$3:A1786,"="&amp;A1786,K$3:K1786,"="&amp;K1786)</f>
        <v>1</v>
      </c>
      <c r="Z1786" s="20">
        <f>SUMIFS(T$3:T1786,L$3:L1786,"=Intermission")+SUMIFS(T$3:T1786,L$3:L1786,"=Timeout")+SUMIFS(T$3:T1786,L$3:L1786,"=Clockstop")</f>
        <v>138</v>
      </c>
      <c r="AA1786">
        <f t="shared" si="615"/>
        <v>2298</v>
      </c>
      <c r="AC1786">
        <f t="shared" si="616"/>
        <v>2436</v>
      </c>
    </row>
    <row r="1787" spans="1:29" x14ac:dyDescent="0.2">
      <c r="A1787">
        <v>964</v>
      </c>
      <c r="D1787">
        <f t="shared" si="617"/>
        <v>3</v>
      </c>
      <c r="E1787">
        <v>15</v>
      </c>
      <c r="F1787" s="6" t="s">
        <v>449</v>
      </c>
      <c r="I1787" t="s">
        <v>178</v>
      </c>
      <c r="J1787">
        <v>19</v>
      </c>
      <c r="K1787" t="s">
        <v>489</v>
      </c>
      <c r="L1787" t="s">
        <v>7</v>
      </c>
      <c r="M1787" t="s">
        <v>208</v>
      </c>
      <c r="N1787" t="s">
        <v>53</v>
      </c>
      <c r="Q1787">
        <f t="shared" ref="Q1787:S1787" si="676">Q1786</f>
        <v>18977</v>
      </c>
      <c r="R1787" t="str">
        <f t="shared" si="676"/>
        <v>Velodrome</v>
      </c>
      <c r="S1787" t="str">
        <f t="shared" si="676"/>
        <v>HollowBrook</v>
      </c>
      <c r="T1787" s="20">
        <f t="shared" si="621"/>
        <v>0</v>
      </c>
      <c r="U1787">
        <f t="shared" si="622"/>
        <v>912</v>
      </c>
      <c r="V1787">
        <f t="shared" si="623"/>
        <v>912</v>
      </c>
      <c r="W1787" cm="1">
        <f t="array" ref="W1787">_xlfn._xlws.FILTER(shifts!A:A,(shifts!B:B=events!D1787)*(shifts!AH:AH&gt;=events!U1787)*(shifts!AI:AI&lt;=events!V1787))</f>
        <v>64</v>
      </c>
      <c r="X1787" t="str">
        <f t="shared" si="624"/>
        <v>opp_team_player_1</v>
      </c>
      <c r="Y1787">
        <f>COUNTIFS(A$3:A1787,"="&amp;A1787,K$3:K1787,"="&amp;K1787)</f>
        <v>1</v>
      </c>
      <c r="Z1787" s="20">
        <f>SUMIFS(T$3:T1787,L$3:L1787,"=Intermission")+SUMIFS(T$3:T1787,L$3:L1787,"=Timeout")+SUMIFS(T$3:T1787,L$3:L1787,"=Clockstop")</f>
        <v>138</v>
      </c>
      <c r="AA1787">
        <f t="shared" si="615"/>
        <v>2298</v>
      </c>
      <c r="AC1787">
        <f t="shared" si="616"/>
        <v>2436</v>
      </c>
    </row>
    <row r="1788" spans="1:29" x14ac:dyDescent="0.2">
      <c r="A1788">
        <v>965</v>
      </c>
      <c r="D1788">
        <f t="shared" si="617"/>
        <v>3</v>
      </c>
      <c r="E1788">
        <v>15</v>
      </c>
      <c r="F1788" s="6" t="s">
        <v>424</v>
      </c>
      <c r="G1788">
        <v>15</v>
      </c>
      <c r="H1788" s="8" t="s">
        <v>309</v>
      </c>
      <c r="I1788" t="s">
        <v>179</v>
      </c>
      <c r="J1788">
        <v>11</v>
      </c>
      <c r="K1788" t="s">
        <v>488</v>
      </c>
      <c r="L1788" t="s">
        <v>277</v>
      </c>
      <c r="M1788" t="s">
        <v>201</v>
      </c>
      <c r="N1788" t="s">
        <v>90</v>
      </c>
      <c r="Q1788">
        <f t="shared" ref="Q1788:S1788" si="677">Q1787</f>
        <v>18977</v>
      </c>
      <c r="R1788" t="str">
        <f t="shared" si="677"/>
        <v>Velodrome</v>
      </c>
      <c r="S1788" t="str">
        <f t="shared" si="677"/>
        <v>HollowBrook</v>
      </c>
      <c r="T1788" s="20">
        <f t="shared" si="621"/>
        <v>2</v>
      </c>
      <c r="U1788">
        <f t="shared" si="622"/>
        <v>909</v>
      </c>
      <c r="V1788">
        <f t="shared" si="623"/>
        <v>907</v>
      </c>
      <c r="W1788" cm="1">
        <f t="array" ref="W1788">_xlfn._xlws.FILTER(shifts!A:A,(shifts!B:B=events!D1788)*(shifts!AH:AH&gt;=events!U1788)*(shifts!AI:AI&lt;=events!V1788))</f>
        <v>64</v>
      </c>
      <c r="X1788" t="str">
        <f t="shared" si="624"/>
        <v>event_team_player_1</v>
      </c>
      <c r="Y1788">
        <f>COUNTIFS(A$3:A1788,"="&amp;A1788,K$3:K1788,"="&amp;K1788)</f>
        <v>1</v>
      </c>
      <c r="Z1788" s="20">
        <f>SUMIFS(T$3:T1788,L$3:L1788,"=Intermission")+SUMIFS(T$3:T1788,L$3:L1788,"=Timeout")+SUMIFS(T$3:T1788,L$3:L1788,"=Clockstop")</f>
        <v>138</v>
      </c>
      <c r="AA1788">
        <f t="shared" si="615"/>
        <v>2298</v>
      </c>
      <c r="AC1788">
        <f t="shared" si="616"/>
        <v>2436</v>
      </c>
    </row>
    <row r="1789" spans="1:29" x14ac:dyDescent="0.2">
      <c r="A1789">
        <v>966</v>
      </c>
      <c r="D1789">
        <f t="shared" si="617"/>
        <v>3</v>
      </c>
      <c r="E1789">
        <v>15</v>
      </c>
      <c r="F1789" s="6" t="s">
        <v>309</v>
      </c>
      <c r="G1789">
        <v>15</v>
      </c>
      <c r="H1789" s="8" t="s">
        <v>314</v>
      </c>
      <c r="I1789" t="s">
        <v>179</v>
      </c>
      <c r="J1789">
        <v>11</v>
      </c>
      <c r="K1789" t="s">
        <v>488</v>
      </c>
      <c r="L1789" t="s">
        <v>15</v>
      </c>
      <c r="Q1789">
        <f t="shared" ref="Q1789:S1789" si="678">Q1788</f>
        <v>18977</v>
      </c>
      <c r="R1789" t="str">
        <f t="shared" si="678"/>
        <v>Velodrome</v>
      </c>
      <c r="S1789" t="str">
        <f t="shared" si="678"/>
        <v>HollowBrook</v>
      </c>
      <c r="T1789" s="20">
        <f t="shared" si="621"/>
        <v>1</v>
      </c>
      <c r="U1789">
        <f t="shared" si="622"/>
        <v>907</v>
      </c>
      <c r="V1789">
        <f t="shared" si="623"/>
        <v>906</v>
      </c>
      <c r="W1789" cm="1">
        <f t="array" ref="W1789">_xlfn._xlws.FILTER(shifts!A:A,(shifts!B:B=events!D1789)*(shifts!AH:AH&gt;=events!U1789)*(shifts!AI:AI&lt;=events!V1789))</f>
        <v>64</v>
      </c>
      <c r="X1789" t="str">
        <f t="shared" si="624"/>
        <v>event_team_player_1</v>
      </c>
      <c r="Y1789">
        <f>COUNTIFS(A$3:A1789,"="&amp;A1789,K$3:K1789,"="&amp;K1789)</f>
        <v>1</v>
      </c>
      <c r="Z1789" s="20">
        <f>SUMIFS(T$3:T1789,L$3:L1789,"=Intermission")+SUMIFS(T$3:T1789,L$3:L1789,"=Timeout")+SUMIFS(T$3:T1789,L$3:L1789,"=Clockstop")</f>
        <v>138</v>
      </c>
      <c r="AA1789">
        <f t="shared" si="615"/>
        <v>2298</v>
      </c>
      <c r="AC1789">
        <f t="shared" si="616"/>
        <v>2436</v>
      </c>
    </row>
    <row r="1790" spans="1:29" x14ac:dyDescent="0.2">
      <c r="A1790">
        <v>967</v>
      </c>
      <c r="D1790">
        <f t="shared" si="617"/>
        <v>3</v>
      </c>
      <c r="E1790">
        <v>15</v>
      </c>
      <c r="F1790" s="6" t="s">
        <v>314</v>
      </c>
      <c r="I1790" t="s">
        <v>179</v>
      </c>
      <c r="J1790">
        <v>11</v>
      </c>
      <c r="K1790" t="s">
        <v>488</v>
      </c>
      <c r="L1790" t="s">
        <v>8</v>
      </c>
      <c r="M1790" t="s">
        <v>189</v>
      </c>
      <c r="N1790" t="s">
        <v>71</v>
      </c>
      <c r="Q1790">
        <f t="shared" ref="Q1790:S1790" si="679">Q1789</f>
        <v>18977</v>
      </c>
      <c r="R1790" t="str">
        <f t="shared" si="679"/>
        <v>Velodrome</v>
      </c>
      <c r="S1790" t="str">
        <f t="shared" si="679"/>
        <v>HollowBrook</v>
      </c>
      <c r="T1790" s="20">
        <f t="shared" si="621"/>
        <v>0</v>
      </c>
      <c r="U1790">
        <f t="shared" si="622"/>
        <v>906</v>
      </c>
      <c r="V1790">
        <f t="shared" si="623"/>
        <v>906</v>
      </c>
      <c r="W1790" cm="1">
        <f t="array" ref="W1790">_xlfn._xlws.FILTER(shifts!A:A,(shifts!B:B=events!D1790)*(shifts!AH:AH&gt;=events!U1790)*(shifts!AI:AI&lt;=events!V1790))</f>
        <v>64</v>
      </c>
      <c r="X1790" t="str">
        <f t="shared" si="624"/>
        <v>event_team_player_1</v>
      </c>
      <c r="Y1790">
        <f>COUNTIFS(A$3:A1790,"="&amp;A1790,K$3:K1790,"="&amp;K1790)</f>
        <v>1</v>
      </c>
      <c r="Z1790" s="20">
        <f>SUMIFS(T$3:T1790,L$3:L1790,"=Intermission")+SUMIFS(T$3:T1790,L$3:L1790,"=Timeout")+SUMIFS(T$3:T1790,L$3:L1790,"=Clockstop")</f>
        <v>138</v>
      </c>
      <c r="AA1790">
        <f t="shared" si="615"/>
        <v>2298</v>
      </c>
      <c r="AC1790">
        <f t="shared" si="616"/>
        <v>2436</v>
      </c>
    </row>
    <row r="1791" spans="1:29" x14ac:dyDescent="0.2">
      <c r="A1791">
        <v>967</v>
      </c>
      <c r="D1791">
        <f t="shared" si="617"/>
        <v>3</v>
      </c>
      <c r="E1791">
        <v>15</v>
      </c>
      <c r="F1791" s="6" t="s">
        <v>314</v>
      </c>
      <c r="I1791" t="s">
        <v>179</v>
      </c>
      <c r="J1791">
        <v>13</v>
      </c>
      <c r="K1791" t="s">
        <v>488</v>
      </c>
      <c r="L1791" t="s">
        <v>8</v>
      </c>
      <c r="M1791" t="s">
        <v>189</v>
      </c>
      <c r="N1791" t="s">
        <v>71</v>
      </c>
      <c r="Q1791">
        <f t="shared" ref="Q1791:S1791" si="680">Q1790</f>
        <v>18977</v>
      </c>
      <c r="R1791" t="str">
        <f t="shared" si="680"/>
        <v>Velodrome</v>
      </c>
      <c r="S1791" t="str">
        <f t="shared" si="680"/>
        <v>HollowBrook</v>
      </c>
      <c r="T1791" s="20">
        <f t="shared" si="621"/>
        <v>0</v>
      </c>
      <c r="U1791">
        <f t="shared" si="622"/>
        <v>906</v>
      </c>
      <c r="V1791">
        <f t="shared" si="623"/>
        <v>906</v>
      </c>
      <c r="W1791" cm="1">
        <f t="array" ref="W1791">_xlfn._xlws.FILTER(shifts!A:A,(shifts!B:B=events!D1791)*(shifts!AH:AH&gt;=events!U1791)*(shifts!AI:AI&lt;=events!V1791))</f>
        <v>64</v>
      </c>
      <c r="X1791" t="str">
        <f t="shared" si="624"/>
        <v>event_team_player_2</v>
      </c>
      <c r="Y1791">
        <f>COUNTIFS(A$3:A1791,"="&amp;A1791,K$3:K1791,"="&amp;K1791)</f>
        <v>2</v>
      </c>
      <c r="Z1791" s="20">
        <f>SUMIFS(T$3:T1791,L$3:L1791,"=Intermission")+SUMIFS(T$3:T1791,L$3:L1791,"=Timeout")+SUMIFS(T$3:T1791,L$3:L1791,"=Clockstop")</f>
        <v>138</v>
      </c>
      <c r="AA1791">
        <f t="shared" si="615"/>
        <v>2298</v>
      </c>
      <c r="AC1791">
        <f t="shared" si="616"/>
        <v>2436</v>
      </c>
    </row>
    <row r="1792" spans="1:29" x14ac:dyDescent="0.2">
      <c r="A1792">
        <v>968</v>
      </c>
      <c r="D1792">
        <f t="shared" si="617"/>
        <v>3</v>
      </c>
      <c r="E1792">
        <v>15</v>
      </c>
      <c r="F1792" s="6" t="s">
        <v>315</v>
      </c>
      <c r="G1792">
        <v>15</v>
      </c>
      <c r="H1792" s="8" t="s">
        <v>315</v>
      </c>
      <c r="I1792" t="s">
        <v>179</v>
      </c>
      <c r="J1792">
        <v>13</v>
      </c>
      <c r="K1792" t="s">
        <v>488</v>
      </c>
      <c r="L1792" t="s">
        <v>15</v>
      </c>
      <c r="Q1792">
        <f t="shared" ref="Q1792:S1792" si="681">Q1791</f>
        <v>18977</v>
      </c>
      <c r="R1792" t="str">
        <f t="shared" si="681"/>
        <v>Velodrome</v>
      </c>
      <c r="S1792" t="str">
        <f t="shared" si="681"/>
        <v>HollowBrook</v>
      </c>
      <c r="T1792" s="20">
        <f t="shared" si="621"/>
        <v>0</v>
      </c>
      <c r="U1792">
        <f t="shared" si="622"/>
        <v>905</v>
      </c>
      <c r="V1792">
        <f t="shared" si="623"/>
        <v>905</v>
      </c>
      <c r="W1792" cm="1">
        <f t="array" ref="W1792">_xlfn._xlws.FILTER(shifts!A:A,(shifts!B:B=events!D1792)*(shifts!AH:AH&gt;=events!U1792)*(shifts!AI:AI&lt;=events!V1792))</f>
        <v>64</v>
      </c>
      <c r="X1792" t="str">
        <f t="shared" si="624"/>
        <v>event_team_player_1</v>
      </c>
      <c r="Y1792">
        <f>COUNTIFS(A$3:A1792,"="&amp;A1792,K$3:K1792,"="&amp;K1792)</f>
        <v>1</v>
      </c>
      <c r="Z1792" s="20">
        <f>SUMIFS(T$3:T1792,L$3:L1792,"=Intermission")+SUMIFS(T$3:T1792,L$3:L1792,"=Timeout")+SUMIFS(T$3:T1792,L$3:L1792,"=Clockstop")</f>
        <v>138</v>
      </c>
      <c r="AA1792">
        <f t="shared" si="615"/>
        <v>2298</v>
      </c>
      <c r="AC1792">
        <f t="shared" si="616"/>
        <v>2436</v>
      </c>
    </row>
    <row r="1793" spans="1:29" x14ac:dyDescent="0.2">
      <c r="A1793">
        <v>969</v>
      </c>
      <c r="D1793">
        <f t="shared" si="617"/>
        <v>3</v>
      </c>
      <c r="E1793">
        <v>15</v>
      </c>
      <c r="F1793" s="6" t="s">
        <v>315</v>
      </c>
      <c r="G1793">
        <v>15</v>
      </c>
      <c r="H1793" s="8" t="s">
        <v>312</v>
      </c>
      <c r="I1793" t="s">
        <v>179</v>
      </c>
      <c r="J1793">
        <v>13</v>
      </c>
      <c r="K1793" t="s">
        <v>488</v>
      </c>
      <c r="L1793" t="s">
        <v>277</v>
      </c>
      <c r="M1793" t="s">
        <v>191</v>
      </c>
      <c r="N1793" t="s">
        <v>87</v>
      </c>
      <c r="Q1793">
        <f t="shared" ref="Q1793:S1793" si="682">Q1792</f>
        <v>18977</v>
      </c>
      <c r="R1793" t="str">
        <f t="shared" si="682"/>
        <v>Velodrome</v>
      </c>
      <c r="S1793" t="str">
        <f t="shared" si="682"/>
        <v>HollowBrook</v>
      </c>
      <c r="T1793" s="20">
        <f t="shared" si="621"/>
        <v>4</v>
      </c>
      <c r="U1793">
        <f t="shared" si="622"/>
        <v>905</v>
      </c>
      <c r="V1793">
        <f t="shared" si="623"/>
        <v>901</v>
      </c>
      <c r="W1793" cm="1">
        <f t="array" ref="W1793">_xlfn._xlws.FILTER(shifts!A:A,(shifts!B:B=events!D1793)*(shifts!AH:AH&gt;=events!U1793)*(shifts!AI:AI&lt;=events!V1793))</f>
        <v>64</v>
      </c>
      <c r="X1793" t="str">
        <f t="shared" si="624"/>
        <v>event_team_player_1</v>
      </c>
      <c r="Y1793">
        <f>COUNTIFS(A$3:A1793,"="&amp;A1793,K$3:K1793,"="&amp;K1793)</f>
        <v>1</v>
      </c>
      <c r="Z1793" s="20">
        <f>SUMIFS(T$3:T1793,L$3:L1793,"=Intermission")+SUMIFS(T$3:T1793,L$3:L1793,"=Timeout")+SUMIFS(T$3:T1793,L$3:L1793,"=Clockstop")</f>
        <v>138</v>
      </c>
      <c r="AA1793">
        <f t="shared" si="615"/>
        <v>2298</v>
      </c>
      <c r="AC1793">
        <f t="shared" si="616"/>
        <v>2436</v>
      </c>
    </row>
    <row r="1794" spans="1:29" x14ac:dyDescent="0.2">
      <c r="A1794">
        <v>969</v>
      </c>
      <c r="D1794">
        <f t="shared" si="617"/>
        <v>3</v>
      </c>
      <c r="E1794">
        <v>15</v>
      </c>
      <c r="F1794" s="6" t="s">
        <v>315</v>
      </c>
      <c r="G1794">
        <v>15</v>
      </c>
      <c r="H1794" s="8" t="s">
        <v>312</v>
      </c>
      <c r="I1794" t="s">
        <v>179</v>
      </c>
      <c r="J1794">
        <v>19</v>
      </c>
      <c r="K1794" t="s">
        <v>488</v>
      </c>
      <c r="L1794" t="s">
        <v>277</v>
      </c>
      <c r="M1794" t="s">
        <v>191</v>
      </c>
      <c r="N1794" t="s">
        <v>87</v>
      </c>
      <c r="Q1794">
        <f t="shared" ref="Q1794:S1794" si="683">Q1793</f>
        <v>18977</v>
      </c>
      <c r="R1794" t="str">
        <f t="shared" si="683"/>
        <v>Velodrome</v>
      </c>
      <c r="S1794" t="str">
        <f t="shared" si="683"/>
        <v>HollowBrook</v>
      </c>
      <c r="T1794" s="20">
        <f t="shared" si="621"/>
        <v>4</v>
      </c>
      <c r="U1794">
        <f t="shared" si="622"/>
        <v>905</v>
      </c>
      <c r="V1794">
        <f t="shared" si="623"/>
        <v>901</v>
      </c>
      <c r="W1794" cm="1">
        <f t="array" ref="W1794">_xlfn._xlws.FILTER(shifts!A:A,(shifts!B:B=events!D1794)*(shifts!AH:AH&gt;=events!U1794)*(shifts!AI:AI&lt;=events!V1794))</f>
        <v>64</v>
      </c>
      <c r="X1794" t="str">
        <f t="shared" si="624"/>
        <v>event_team_player_2</v>
      </c>
      <c r="Y1794">
        <f>COUNTIFS(A$3:A1794,"="&amp;A1794,K$3:K1794,"="&amp;K1794)</f>
        <v>2</v>
      </c>
      <c r="Z1794" s="20">
        <f>SUMIFS(T$3:T1794,L$3:L1794,"=Intermission")+SUMIFS(T$3:T1794,L$3:L1794,"=Timeout")+SUMIFS(T$3:T1794,L$3:L1794,"=Clockstop")</f>
        <v>138</v>
      </c>
      <c r="AA1794">
        <f t="shared" si="615"/>
        <v>2298</v>
      </c>
      <c r="AC1794">
        <f t="shared" si="616"/>
        <v>2436</v>
      </c>
    </row>
    <row r="1795" spans="1:29" x14ac:dyDescent="0.2">
      <c r="A1795">
        <v>969</v>
      </c>
      <c r="D1795">
        <f t="shared" si="617"/>
        <v>3</v>
      </c>
      <c r="E1795">
        <v>15</v>
      </c>
      <c r="F1795" s="6" t="s">
        <v>315</v>
      </c>
      <c r="G1795">
        <v>15</v>
      </c>
      <c r="H1795" s="8" t="s">
        <v>312</v>
      </c>
      <c r="I1795" t="s">
        <v>179</v>
      </c>
      <c r="J1795">
        <v>11</v>
      </c>
      <c r="K1795" t="s">
        <v>488</v>
      </c>
      <c r="L1795" t="s">
        <v>277</v>
      </c>
      <c r="M1795" t="s">
        <v>191</v>
      </c>
      <c r="N1795" t="s">
        <v>87</v>
      </c>
      <c r="Q1795">
        <f t="shared" ref="Q1795:S1795" si="684">Q1794</f>
        <v>18977</v>
      </c>
      <c r="R1795" t="str">
        <f t="shared" si="684"/>
        <v>Velodrome</v>
      </c>
      <c r="S1795" t="str">
        <f t="shared" si="684"/>
        <v>HollowBrook</v>
      </c>
      <c r="T1795" s="20">
        <f t="shared" si="621"/>
        <v>4</v>
      </c>
      <c r="U1795">
        <f t="shared" si="622"/>
        <v>905</v>
      </c>
      <c r="V1795">
        <f t="shared" si="623"/>
        <v>901</v>
      </c>
      <c r="W1795" cm="1">
        <f t="array" ref="W1795">_xlfn._xlws.FILTER(shifts!A:A,(shifts!B:B=events!D1795)*(shifts!AH:AH&gt;=events!U1795)*(shifts!AI:AI&lt;=events!V1795))</f>
        <v>64</v>
      </c>
      <c r="X1795" t="str">
        <f t="shared" si="624"/>
        <v>event_team_player_3</v>
      </c>
      <c r="Y1795">
        <f>COUNTIFS(A$3:A1795,"="&amp;A1795,K$3:K1795,"="&amp;K1795)</f>
        <v>3</v>
      </c>
      <c r="Z1795" s="20">
        <f>SUMIFS(T$3:T1795,L$3:L1795,"=Intermission")+SUMIFS(T$3:T1795,L$3:L1795,"=Timeout")+SUMIFS(T$3:T1795,L$3:L1795,"=Clockstop")</f>
        <v>138</v>
      </c>
      <c r="AA1795">
        <f t="shared" si="615"/>
        <v>2298</v>
      </c>
      <c r="AC1795">
        <f t="shared" si="616"/>
        <v>2436</v>
      </c>
    </row>
    <row r="1796" spans="1:29" x14ac:dyDescent="0.2">
      <c r="A1796">
        <v>969</v>
      </c>
      <c r="D1796">
        <f t="shared" si="617"/>
        <v>3</v>
      </c>
      <c r="E1796">
        <v>15</v>
      </c>
      <c r="F1796" s="6" t="s">
        <v>315</v>
      </c>
      <c r="G1796">
        <v>15</v>
      </c>
      <c r="H1796" s="8" t="s">
        <v>312</v>
      </c>
      <c r="I1796" t="s">
        <v>179</v>
      </c>
      <c r="J1796">
        <v>52</v>
      </c>
      <c r="K1796" t="s">
        <v>489</v>
      </c>
      <c r="L1796" t="s">
        <v>277</v>
      </c>
      <c r="M1796" t="s">
        <v>191</v>
      </c>
      <c r="N1796" t="s">
        <v>87</v>
      </c>
      <c r="Q1796">
        <f t="shared" ref="Q1796:S1796" si="685">Q1795</f>
        <v>18977</v>
      </c>
      <c r="R1796" t="str">
        <f t="shared" si="685"/>
        <v>Velodrome</v>
      </c>
      <c r="S1796" t="str">
        <f t="shared" si="685"/>
        <v>HollowBrook</v>
      </c>
      <c r="T1796" s="20">
        <f t="shared" si="621"/>
        <v>4</v>
      </c>
      <c r="U1796">
        <f t="shared" si="622"/>
        <v>905</v>
      </c>
      <c r="V1796">
        <f t="shared" si="623"/>
        <v>901</v>
      </c>
      <c r="W1796" cm="1">
        <f t="array" ref="W1796">_xlfn._xlws.FILTER(shifts!A:A,(shifts!B:B=events!D1796)*(shifts!AH:AH&gt;=events!U1796)*(shifts!AI:AI&lt;=events!V1796))</f>
        <v>64</v>
      </c>
      <c r="X1796" t="str">
        <f t="shared" si="624"/>
        <v>opp_team_player_1</v>
      </c>
      <c r="Y1796">
        <f>COUNTIFS(A$3:A1796,"="&amp;A1796,K$3:K1796,"="&amp;K1796)</f>
        <v>1</v>
      </c>
      <c r="Z1796" s="20">
        <f>SUMIFS(T$3:T1796,L$3:L1796,"=Intermission")+SUMIFS(T$3:T1796,L$3:L1796,"=Timeout")+SUMIFS(T$3:T1796,L$3:L1796,"=Clockstop")</f>
        <v>138</v>
      </c>
      <c r="AA1796">
        <f t="shared" ref="AA1796:AA1859" si="686">IF(D1796=1,0,IF(D1796=2,1080+Z1796,IF(D1796=3,(1080*2)+Z1796,0)))</f>
        <v>2298</v>
      </c>
      <c r="AC1796">
        <f t="shared" ref="AC1796:AC1859" si="687">IF(L1795="GameStart",0,AA1796+Z1796)</f>
        <v>2436</v>
      </c>
    </row>
    <row r="1797" spans="1:29" x14ac:dyDescent="0.2">
      <c r="A1797">
        <v>969</v>
      </c>
      <c r="D1797">
        <f t="shared" ref="D1797:D1860" si="688">IF(L1797="Intermission",D1796+1,D1796)</f>
        <v>3</v>
      </c>
      <c r="E1797">
        <v>15</v>
      </c>
      <c r="F1797" s="6" t="s">
        <v>315</v>
      </c>
      <c r="G1797">
        <v>15</v>
      </c>
      <c r="H1797" s="8" t="s">
        <v>312</v>
      </c>
      <c r="I1797" t="s">
        <v>179</v>
      </c>
      <c r="J1797">
        <v>9</v>
      </c>
      <c r="K1797" t="s">
        <v>489</v>
      </c>
      <c r="L1797" t="s">
        <v>277</v>
      </c>
      <c r="M1797" t="s">
        <v>191</v>
      </c>
      <c r="N1797" t="s">
        <v>87</v>
      </c>
      <c r="Q1797">
        <f t="shared" ref="Q1797:S1797" si="689">Q1796</f>
        <v>18977</v>
      </c>
      <c r="R1797" t="str">
        <f t="shared" si="689"/>
        <v>Velodrome</v>
      </c>
      <c r="S1797" t="str">
        <f t="shared" si="689"/>
        <v>HollowBrook</v>
      </c>
      <c r="T1797" s="20">
        <f t="shared" si="621"/>
        <v>4</v>
      </c>
      <c r="U1797">
        <f t="shared" si="622"/>
        <v>905</v>
      </c>
      <c r="V1797">
        <f t="shared" si="623"/>
        <v>901</v>
      </c>
      <c r="W1797" cm="1">
        <f t="array" ref="W1797">_xlfn._xlws.FILTER(shifts!A:A,(shifts!B:B=events!D1797)*(shifts!AH:AH&gt;=events!U1797)*(shifts!AI:AI&lt;=events!V1797))</f>
        <v>64</v>
      </c>
      <c r="X1797" t="str">
        <f t="shared" si="624"/>
        <v>opp_team_player_2</v>
      </c>
      <c r="Y1797">
        <f>COUNTIFS(A$3:A1797,"="&amp;A1797,K$3:K1797,"="&amp;K1797)</f>
        <v>2</v>
      </c>
      <c r="Z1797" s="20">
        <f>SUMIFS(T$3:T1797,L$3:L1797,"=Intermission")+SUMIFS(T$3:T1797,L$3:L1797,"=Timeout")+SUMIFS(T$3:T1797,L$3:L1797,"=Clockstop")</f>
        <v>138</v>
      </c>
      <c r="AA1797">
        <f t="shared" si="686"/>
        <v>2298</v>
      </c>
      <c r="AC1797">
        <f t="shared" si="687"/>
        <v>2436</v>
      </c>
    </row>
    <row r="1798" spans="1:29" x14ac:dyDescent="0.2">
      <c r="A1798">
        <v>969</v>
      </c>
      <c r="D1798">
        <f t="shared" si="688"/>
        <v>3</v>
      </c>
      <c r="E1798">
        <v>15</v>
      </c>
      <c r="F1798" s="6" t="s">
        <v>315</v>
      </c>
      <c r="G1798">
        <v>15</v>
      </c>
      <c r="H1798" s="8" t="s">
        <v>312</v>
      </c>
      <c r="I1798" t="s">
        <v>179</v>
      </c>
      <c r="J1798">
        <v>49</v>
      </c>
      <c r="K1798" t="s">
        <v>489</v>
      </c>
      <c r="L1798" t="s">
        <v>277</v>
      </c>
      <c r="M1798" t="s">
        <v>191</v>
      </c>
      <c r="N1798" t="s">
        <v>87</v>
      </c>
      <c r="Q1798">
        <f t="shared" ref="Q1798:S1798" si="690">Q1797</f>
        <v>18977</v>
      </c>
      <c r="R1798" t="str">
        <f t="shared" si="690"/>
        <v>Velodrome</v>
      </c>
      <c r="S1798" t="str">
        <f t="shared" si="690"/>
        <v>HollowBrook</v>
      </c>
      <c r="T1798" s="20">
        <f t="shared" si="621"/>
        <v>4</v>
      </c>
      <c r="U1798">
        <f t="shared" si="622"/>
        <v>905</v>
      </c>
      <c r="V1798">
        <f t="shared" si="623"/>
        <v>901</v>
      </c>
      <c r="W1798" cm="1">
        <f t="array" ref="W1798">_xlfn._xlws.FILTER(shifts!A:A,(shifts!B:B=events!D1798)*(shifts!AH:AH&gt;=events!U1798)*(shifts!AI:AI&lt;=events!V1798))</f>
        <v>64</v>
      </c>
      <c r="X1798" t="str">
        <f t="shared" si="624"/>
        <v>opp_team_player_3</v>
      </c>
      <c r="Y1798">
        <f>COUNTIFS(A$3:A1798,"="&amp;A1798,K$3:K1798,"="&amp;K1798)</f>
        <v>3</v>
      </c>
      <c r="Z1798" s="20">
        <f>SUMIFS(T$3:T1798,L$3:L1798,"=Intermission")+SUMIFS(T$3:T1798,L$3:L1798,"=Timeout")+SUMIFS(T$3:T1798,L$3:L1798,"=Clockstop")</f>
        <v>138</v>
      </c>
      <c r="AA1798">
        <f t="shared" si="686"/>
        <v>2298</v>
      </c>
      <c r="AC1798">
        <f t="shared" si="687"/>
        <v>2436</v>
      </c>
    </row>
    <row r="1799" spans="1:29" x14ac:dyDescent="0.2">
      <c r="A1799">
        <v>970</v>
      </c>
      <c r="D1799">
        <f t="shared" si="688"/>
        <v>3</v>
      </c>
      <c r="E1799">
        <v>15</v>
      </c>
      <c r="F1799" s="6" t="s">
        <v>312</v>
      </c>
      <c r="I1799" t="s">
        <v>179</v>
      </c>
      <c r="J1799">
        <v>13</v>
      </c>
      <c r="K1799" t="s">
        <v>488</v>
      </c>
      <c r="L1799" t="s">
        <v>8</v>
      </c>
      <c r="M1799" t="s">
        <v>209</v>
      </c>
      <c r="N1799" t="s">
        <v>69</v>
      </c>
      <c r="Q1799">
        <f t="shared" ref="Q1799:S1799" si="691">Q1798</f>
        <v>18977</v>
      </c>
      <c r="R1799" t="str">
        <f t="shared" si="691"/>
        <v>Velodrome</v>
      </c>
      <c r="S1799" t="str">
        <f t="shared" si="691"/>
        <v>HollowBrook</v>
      </c>
      <c r="T1799" s="20">
        <f t="shared" ref="T1799:T1862" si="692">IF(AND(G1799="",H1799=""),0,((E1799*60)+F1799)-((G1799*60)+H1799))</f>
        <v>0</v>
      </c>
      <c r="U1799">
        <f t="shared" ref="U1799:U1862" si="693">(E1799*60)+F1799</f>
        <v>901</v>
      </c>
      <c r="V1799">
        <f t="shared" ref="V1799:V1862" si="694">IF(AND(G1799="",H1799=""),U1799,((G1799*60)+H1799))</f>
        <v>901</v>
      </c>
      <c r="W1799" cm="1">
        <f t="array" ref="W1799">_xlfn._xlws.FILTER(shifts!A:A,(shifts!B:B=events!D1799)*(shifts!AH:AH&gt;=events!U1799)*(shifts!AI:AI&lt;=events!V1799))</f>
        <v>64</v>
      </c>
      <c r="X1799" t="str">
        <f t="shared" ref="X1799:X1862" si="695">IF(K1799="e","event_team_player_"&amp;Y1799,IF(K1799="o","opp_team_player_"&amp;Y1799,""))</f>
        <v>event_team_player_1</v>
      </c>
      <c r="Y1799">
        <f>COUNTIFS(A$3:A1799,"="&amp;A1799,K$3:K1799,"="&amp;K1799)</f>
        <v>1</v>
      </c>
      <c r="Z1799" s="20">
        <f>SUMIFS(T$3:T1799,L$3:L1799,"=Intermission")+SUMIFS(T$3:T1799,L$3:L1799,"=Timeout")+SUMIFS(T$3:T1799,L$3:L1799,"=Clockstop")</f>
        <v>138</v>
      </c>
      <c r="AA1799">
        <f t="shared" si="686"/>
        <v>2298</v>
      </c>
      <c r="AC1799">
        <f t="shared" si="687"/>
        <v>2436</v>
      </c>
    </row>
    <row r="1800" spans="1:29" x14ac:dyDescent="0.2">
      <c r="A1800">
        <v>970</v>
      </c>
      <c r="D1800">
        <f t="shared" si="688"/>
        <v>3</v>
      </c>
      <c r="E1800">
        <v>15</v>
      </c>
      <c r="F1800" s="6" t="s">
        <v>312</v>
      </c>
      <c r="I1800" t="s">
        <v>179</v>
      </c>
      <c r="J1800">
        <v>11</v>
      </c>
      <c r="K1800" t="s">
        <v>488</v>
      </c>
      <c r="L1800" t="s">
        <v>8</v>
      </c>
      <c r="M1800" t="s">
        <v>209</v>
      </c>
      <c r="N1800" t="s">
        <v>69</v>
      </c>
      <c r="Q1800">
        <f t="shared" ref="Q1800:S1800" si="696">Q1799</f>
        <v>18977</v>
      </c>
      <c r="R1800" t="str">
        <f t="shared" si="696"/>
        <v>Velodrome</v>
      </c>
      <c r="S1800" t="str">
        <f t="shared" si="696"/>
        <v>HollowBrook</v>
      </c>
      <c r="T1800" s="20">
        <f t="shared" si="692"/>
        <v>0</v>
      </c>
      <c r="U1800">
        <f t="shared" si="693"/>
        <v>901</v>
      </c>
      <c r="V1800">
        <f t="shared" si="694"/>
        <v>901</v>
      </c>
      <c r="W1800" cm="1">
        <f t="array" ref="W1800">_xlfn._xlws.FILTER(shifts!A:A,(shifts!B:B=events!D1800)*(shifts!AH:AH&gt;=events!U1800)*(shifts!AI:AI&lt;=events!V1800))</f>
        <v>64</v>
      </c>
      <c r="X1800" t="str">
        <f t="shared" si="695"/>
        <v>event_team_player_2</v>
      </c>
      <c r="Y1800">
        <f>COUNTIFS(A$3:A1800,"="&amp;A1800,K$3:K1800,"="&amp;K1800)</f>
        <v>2</v>
      </c>
      <c r="Z1800" s="20">
        <f>SUMIFS(T$3:T1800,L$3:L1800,"=Intermission")+SUMIFS(T$3:T1800,L$3:L1800,"=Timeout")+SUMIFS(T$3:T1800,L$3:L1800,"=Clockstop")</f>
        <v>138</v>
      </c>
      <c r="AA1800">
        <f t="shared" si="686"/>
        <v>2298</v>
      </c>
      <c r="AC1800">
        <f t="shared" si="687"/>
        <v>2436</v>
      </c>
    </row>
    <row r="1801" spans="1:29" x14ac:dyDescent="0.2">
      <c r="A1801">
        <v>970</v>
      </c>
      <c r="D1801">
        <f t="shared" si="688"/>
        <v>3</v>
      </c>
      <c r="E1801">
        <v>15</v>
      </c>
      <c r="F1801" s="6" t="s">
        <v>312</v>
      </c>
      <c r="I1801" t="s">
        <v>179</v>
      </c>
      <c r="J1801">
        <v>52</v>
      </c>
      <c r="K1801" t="s">
        <v>489</v>
      </c>
      <c r="L1801" t="s">
        <v>8</v>
      </c>
      <c r="M1801" t="s">
        <v>209</v>
      </c>
      <c r="N1801" t="s">
        <v>69</v>
      </c>
      <c r="Q1801">
        <f t="shared" ref="Q1801:S1801" si="697">Q1800</f>
        <v>18977</v>
      </c>
      <c r="R1801" t="str">
        <f t="shared" si="697"/>
        <v>Velodrome</v>
      </c>
      <c r="S1801" t="str">
        <f t="shared" si="697"/>
        <v>HollowBrook</v>
      </c>
      <c r="T1801" s="20">
        <f t="shared" si="692"/>
        <v>0</v>
      </c>
      <c r="U1801">
        <f t="shared" si="693"/>
        <v>901</v>
      </c>
      <c r="V1801">
        <f t="shared" si="694"/>
        <v>901</v>
      </c>
      <c r="W1801" cm="1">
        <f t="array" ref="W1801">_xlfn._xlws.FILTER(shifts!A:A,(shifts!B:B=events!D1801)*(shifts!AH:AH&gt;=events!U1801)*(shifts!AI:AI&lt;=events!V1801))</f>
        <v>64</v>
      </c>
      <c r="X1801" t="str">
        <f t="shared" si="695"/>
        <v>opp_team_player_1</v>
      </c>
      <c r="Y1801">
        <f>COUNTIFS(A$3:A1801,"="&amp;A1801,K$3:K1801,"="&amp;K1801)</f>
        <v>1</v>
      </c>
      <c r="Z1801" s="20">
        <f>SUMIFS(T$3:T1801,L$3:L1801,"=Intermission")+SUMIFS(T$3:T1801,L$3:L1801,"=Timeout")+SUMIFS(T$3:T1801,L$3:L1801,"=Clockstop")</f>
        <v>138</v>
      </c>
      <c r="AA1801">
        <f t="shared" si="686"/>
        <v>2298</v>
      </c>
      <c r="AC1801">
        <f t="shared" si="687"/>
        <v>2436</v>
      </c>
    </row>
    <row r="1802" spans="1:29" x14ac:dyDescent="0.2">
      <c r="A1802">
        <v>971</v>
      </c>
      <c r="D1802">
        <f t="shared" si="688"/>
        <v>3</v>
      </c>
      <c r="E1802">
        <v>14</v>
      </c>
      <c r="F1802" s="6" t="s">
        <v>427</v>
      </c>
      <c r="I1802" t="s">
        <v>179</v>
      </c>
      <c r="J1802">
        <v>11</v>
      </c>
      <c r="K1802" t="s">
        <v>488</v>
      </c>
      <c r="L1802" t="s">
        <v>8</v>
      </c>
      <c r="M1802" t="s">
        <v>189</v>
      </c>
      <c r="N1802" t="s">
        <v>70</v>
      </c>
      <c r="Q1802">
        <f t="shared" ref="Q1802:S1802" si="698">Q1801</f>
        <v>18977</v>
      </c>
      <c r="R1802" t="str">
        <f t="shared" si="698"/>
        <v>Velodrome</v>
      </c>
      <c r="S1802" t="str">
        <f t="shared" si="698"/>
        <v>HollowBrook</v>
      </c>
      <c r="T1802" s="20">
        <f t="shared" si="692"/>
        <v>0</v>
      </c>
      <c r="U1802">
        <f t="shared" si="693"/>
        <v>894</v>
      </c>
      <c r="V1802">
        <f t="shared" si="694"/>
        <v>894</v>
      </c>
      <c r="W1802" cm="1">
        <f t="array" ref="W1802">_xlfn._xlws.FILTER(shifts!A:A,(shifts!B:B=events!D1802)*(shifts!AH:AH&gt;=events!U1802)*(shifts!AI:AI&lt;=events!V1802))</f>
        <v>64</v>
      </c>
      <c r="X1802" t="str">
        <f t="shared" si="695"/>
        <v>event_team_player_1</v>
      </c>
      <c r="Y1802">
        <f>COUNTIFS(A$3:A1802,"="&amp;A1802,K$3:K1802,"="&amp;K1802)</f>
        <v>1</v>
      </c>
      <c r="Z1802" s="20">
        <f>SUMIFS(T$3:T1802,L$3:L1802,"=Intermission")+SUMIFS(T$3:T1802,L$3:L1802,"=Timeout")+SUMIFS(T$3:T1802,L$3:L1802,"=Clockstop")</f>
        <v>138</v>
      </c>
      <c r="AA1802">
        <f t="shared" si="686"/>
        <v>2298</v>
      </c>
      <c r="AC1802">
        <f t="shared" si="687"/>
        <v>2436</v>
      </c>
    </row>
    <row r="1803" spans="1:29" x14ac:dyDescent="0.2">
      <c r="A1803">
        <v>971</v>
      </c>
      <c r="D1803">
        <f t="shared" si="688"/>
        <v>3</v>
      </c>
      <c r="E1803">
        <v>14</v>
      </c>
      <c r="F1803" s="6" t="s">
        <v>427</v>
      </c>
      <c r="I1803" t="s">
        <v>179</v>
      </c>
      <c r="J1803">
        <v>18</v>
      </c>
      <c r="K1803" t="s">
        <v>488</v>
      </c>
      <c r="L1803" t="s">
        <v>8</v>
      </c>
      <c r="M1803" t="s">
        <v>189</v>
      </c>
      <c r="N1803" t="s">
        <v>70</v>
      </c>
      <c r="Q1803">
        <f t="shared" ref="Q1803:S1803" si="699">Q1802</f>
        <v>18977</v>
      </c>
      <c r="R1803" t="str">
        <f t="shared" si="699"/>
        <v>Velodrome</v>
      </c>
      <c r="S1803" t="str">
        <f t="shared" si="699"/>
        <v>HollowBrook</v>
      </c>
      <c r="T1803" s="20">
        <f t="shared" si="692"/>
        <v>0</v>
      </c>
      <c r="U1803">
        <f t="shared" si="693"/>
        <v>894</v>
      </c>
      <c r="V1803">
        <f t="shared" si="694"/>
        <v>894</v>
      </c>
      <c r="W1803" cm="1">
        <f t="array" ref="W1803">_xlfn._xlws.FILTER(shifts!A:A,(shifts!B:B=events!D1803)*(shifts!AH:AH&gt;=events!U1803)*(shifts!AI:AI&lt;=events!V1803))</f>
        <v>64</v>
      </c>
      <c r="X1803" t="str">
        <f t="shared" si="695"/>
        <v>event_team_player_2</v>
      </c>
      <c r="Y1803">
        <f>COUNTIFS(A$3:A1803,"="&amp;A1803,K$3:K1803,"="&amp;K1803)</f>
        <v>2</v>
      </c>
      <c r="Z1803" s="20">
        <f>SUMIFS(T$3:T1803,L$3:L1803,"=Intermission")+SUMIFS(T$3:T1803,L$3:L1803,"=Timeout")+SUMIFS(T$3:T1803,L$3:L1803,"=Clockstop")</f>
        <v>138</v>
      </c>
      <c r="AA1803">
        <f t="shared" si="686"/>
        <v>2298</v>
      </c>
      <c r="AC1803">
        <f t="shared" si="687"/>
        <v>2436</v>
      </c>
    </row>
    <row r="1804" spans="1:29" x14ac:dyDescent="0.2">
      <c r="A1804">
        <v>972</v>
      </c>
      <c r="D1804">
        <f t="shared" si="688"/>
        <v>3</v>
      </c>
      <c r="E1804">
        <v>14</v>
      </c>
      <c r="F1804" s="6" t="s">
        <v>492</v>
      </c>
      <c r="I1804" t="s">
        <v>179</v>
      </c>
      <c r="J1804">
        <v>18</v>
      </c>
      <c r="K1804" t="s">
        <v>488</v>
      </c>
      <c r="L1804" t="s">
        <v>7</v>
      </c>
      <c r="M1804" t="s">
        <v>208</v>
      </c>
      <c r="N1804" t="s">
        <v>54</v>
      </c>
      <c r="Q1804">
        <f t="shared" ref="Q1804:S1804" si="700">Q1803</f>
        <v>18977</v>
      </c>
      <c r="R1804" t="str">
        <f t="shared" si="700"/>
        <v>Velodrome</v>
      </c>
      <c r="S1804" t="str">
        <f t="shared" si="700"/>
        <v>HollowBrook</v>
      </c>
      <c r="T1804" s="20">
        <f t="shared" si="692"/>
        <v>0</v>
      </c>
      <c r="U1804">
        <f t="shared" si="693"/>
        <v>893</v>
      </c>
      <c r="V1804">
        <f t="shared" si="694"/>
        <v>893</v>
      </c>
      <c r="W1804" cm="1">
        <f t="array" ref="W1804">_xlfn._xlws.FILTER(shifts!A:A,(shifts!B:B=events!D1804)*(shifts!AH:AH&gt;=events!U1804)*(shifts!AI:AI&lt;=events!V1804))</f>
        <v>64</v>
      </c>
      <c r="X1804" t="str">
        <f t="shared" si="695"/>
        <v>event_team_player_1</v>
      </c>
      <c r="Y1804">
        <f>COUNTIFS(A$3:A1804,"="&amp;A1804,K$3:K1804,"="&amp;K1804)</f>
        <v>1</v>
      </c>
      <c r="Z1804" s="20">
        <f>SUMIFS(T$3:T1804,L$3:L1804,"=Intermission")+SUMIFS(T$3:T1804,L$3:L1804,"=Timeout")+SUMIFS(T$3:T1804,L$3:L1804,"=Clockstop")</f>
        <v>138</v>
      </c>
      <c r="AA1804">
        <f t="shared" si="686"/>
        <v>2298</v>
      </c>
      <c r="AC1804">
        <f t="shared" si="687"/>
        <v>2436</v>
      </c>
    </row>
    <row r="1805" spans="1:29" x14ac:dyDescent="0.2">
      <c r="A1805">
        <v>972</v>
      </c>
      <c r="D1805">
        <f t="shared" si="688"/>
        <v>3</v>
      </c>
      <c r="E1805">
        <v>14</v>
      </c>
      <c r="F1805" s="6" t="s">
        <v>492</v>
      </c>
      <c r="I1805" t="s">
        <v>179</v>
      </c>
      <c r="J1805">
        <v>9</v>
      </c>
      <c r="K1805" t="s">
        <v>489</v>
      </c>
      <c r="L1805" t="s">
        <v>7</v>
      </c>
      <c r="M1805" t="s">
        <v>208</v>
      </c>
      <c r="N1805" t="s">
        <v>54</v>
      </c>
      <c r="Q1805">
        <f t="shared" ref="Q1805:S1805" si="701">Q1804</f>
        <v>18977</v>
      </c>
      <c r="R1805" t="str">
        <f t="shared" si="701"/>
        <v>Velodrome</v>
      </c>
      <c r="S1805" t="str">
        <f t="shared" si="701"/>
        <v>HollowBrook</v>
      </c>
      <c r="T1805" s="20">
        <f t="shared" si="692"/>
        <v>0</v>
      </c>
      <c r="U1805">
        <f t="shared" si="693"/>
        <v>893</v>
      </c>
      <c r="V1805">
        <f t="shared" si="694"/>
        <v>893</v>
      </c>
      <c r="W1805" cm="1">
        <f t="array" ref="W1805">_xlfn._xlws.FILTER(shifts!A:A,(shifts!B:B=events!D1805)*(shifts!AH:AH&gt;=events!U1805)*(shifts!AI:AI&lt;=events!V1805))</f>
        <v>64</v>
      </c>
      <c r="X1805" t="str">
        <f t="shared" si="695"/>
        <v>opp_team_player_1</v>
      </c>
      <c r="Y1805">
        <f>COUNTIFS(A$3:A1805,"="&amp;A1805,K$3:K1805,"="&amp;K1805)</f>
        <v>1</v>
      </c>
      <c r="Z1805" s="20">
        <f>SUMIFS(T$3:T1805,L$3:L1805,"=Intermission")+SUMIFS(T$3:T1805,L$3:L1805,"=Timeout")+SUMIFS(T$3:T1805,L$3:L1805,"=Clockstop")</f>
        <v>138</v>
      </c>
      <c r="AA1805">
        <f t="shared" si="686"/>
        <v>2298</v>
      </c>
      <c r="AC1805">
        <f t="shared" si="687"/>
        <v>2436</v>
      </c>
    </row>
    <row r="1806" spans="1:29" x14ac:dyDescent="0.2">
      <c r="A1806">
        <v>973</v>
      </c>
      <c r="D1806">
        <f t="shared" si="688"/>
        <v>3</v>
      </c>
      <c r="E1806">
        <v>14</v>
      </c>
      <c r="F1806" s="6" t="s">
        <v>432</v>
      </c>
      <c r="G1806">
        <v>14</v>
      </c>
      <c r="H1806" s="8" t="s">
        <v>436</v>
      </c>
      <c r="I1806" t="s">
        <v>179</v>
      </c>
      <c r="J1806">
        <v>11</v>
      </c>
      <c r="K1806" t="s">
        <v>488</v>
      </c>
      <c r="L1806" t="s">
        <v>15</v>
      </c>
      <c r="Q1806">
        <f t="shared" ref="Q1806:S1806" si="702">Q1805</f>
        <v>18977</v>
      </c>
      <c r="R1806" t="str">
        <f t="shared" si="702"/>
        <v>Velodrome</v>
      </c>
      <c r="S1806" t="str">
        <f t="shared" si="702"/>
        <v>HollowBrook</v>
      </c>
      <c r="T1806" s="20">
        <f t="shared" si="692"/>
        <v>5</v>
      </c>
      <c r="U1806">
        <f t="shared" si="693"/>
        <v>890</v>
      </c>
      <c r="V1806">
        <f t="shared" si="694"/>
        <v>885</v>
      </c>
      <c r="W1806" cm="1">
        <f t="array" ref="W1806">_xlfn._xlws.FILTER(shifts!A:A,(shifts!B:B=events!D1806)*(shifts!AH:AH&gt;=events!U1806)*(shifts!AI:AI&lt;=events!V1806))</f>
        <v>64</v>
      </c>
      <c r="X1806" t="str">
        <f t="shared" si="695"/>
        <v>event_team_player_1</v>
      </c>
      <c r="Y1806">
        <f>COUNTIFS(A$3:A1806,"="&amp;A1806,K$3:K1806,"="&amp;K1806)</f>
        <v>1</v>
      </c>
      <c r="Z1806" s="20">
        <f>SUMIFS(T$3:T1806,L$3:L1806,"=Intermission")+SUMIFS(T$3:T1806,L$3:L1806,"=Timeout")+SUMIFS(T$3:T1806,L$3:L1806,"=Clockstop")</f>
        <v>138</v>
      </c>
      <c r="AA1806">
        <f t="shared" si="686"/>
        <v>2298</v>
      </c>
      <c r="AC1806">
        <f t="shared" si="687"/>
        <v>2436</v>
      </c>
    </row>
    <row r="1807" spans="1:29" x14ac:dyDescent="0.2">
      <c r="A1807">
        <v>973</v>
      </c>
      <c r="D1807">
        <f t="shared" si="688"/>
        <v>3</v>
      </c>
      <c r="E1807">
        <v>14</v>
      </c>
      <c r="F1807" s="6" t="s">
        <v>432</v>
      </c>
      <c r="G1807">
        <v>14</v>
      </c>
      <c r="H1807" s="8" t="s">
        <v>436</v>
      </c>
      <c r="I1807" t="s">
        <v>179</v>
      </c>
      <c r="J1807">
        <v>9</v>
      </c>
      <c r="K1807" t="s">
        <v>489</v>
      </c>
      <c r="L1807" t="s">
        <v>15</v>
      </c>
      <c r="Q1807">
        <f t="shared" ref="Q1807:S1807" si="703">Q1806</f>
        <v>18977</v>
      </c>
      <c r="R1807" t="str">
        <f t="shared" si="703"/>
        <v>Velodrome</v>
      </c>
      <c r="S1807" t="str">
        <f t="shared" si="703"/>
        <v>HollowBrook</v>
      </c>
      <c r="T1807" s="20">
        <f t="shared" si="692"/>
        <v>5</v>
      </c>
      <c r="U1807">
        <f t="shared" si="693"/>
        <v>890</v>
      </c>
      <c r="V1807">
        <f t="shared" si="694"/>
        <v>885</v>
      </c>
      <c r="W1807" cm="1">
        <f t="array" ref="W1807">_xlfn._xlws.FILTER(shifts!A:A,(shifts!B:B=events!D1807)*(shifts!AH:AH&gt;=events!U1807)*(shifts!AI:AI&lt;=events!V1807))</f>
        <v>64</v>
      </c>
      <c r="X1807" t="str">
        <f t="shared" si="695"/>
        <v>opp_team_player_1</v>
      </c>
      <c r="Y1807">
        <f>COUNTIFS(A$3:A1807,"="&amp;A1807,K$3:K1807,"="&amp;K1807)</f>
        <v>1</v>
      </c>
      <c r="Z1807" s="20">
        <f>SUMIFS(T$3:T1807,L$3:L1807,"=Intermission")+SUMIFS(T$3:T1807,L$3:L1807,"=Timeout")+SUMIFS(T$3:T1807,L$3:L1807,"=Clockstop")</f>
        <v>138</v>
      </c>
      <c r="AA1807">
        <f t="shared" si="686"/>
        <v>2298</v>
      </c>
      <c r="AC1807">
        <f t="shared" si="687"/>
        <v>2436</v>
      </c>
    </row>
    <row r="1808" spans="1:29" x14ac:dyDescent="0.2">
      <c r="A1808">
        <v>974</v>
      </c>
      <c r="D1808">
        <f t="shared" si="688"/>
        <v>3</v>
      </c>
      <c r="E1808">
        <v>14</v>
      </c>
      <c r="F1808" s="6" t="s">
        <v>436</v>
      </c>
      <c r="I1808" t="s">
        <v>179</v>
      </c>
      <c r="J1808">
        <v>11</v>
      </c>
      <c r="K1808" t="s">
        <v>488</v>
      </c>
      <c r="L1808" t="s">
        <v>7</v>
      </c>
      <c r="M1808" t="s">
        <v>208</v>
      </c>
      <c r="N1808" t="s">
        <v>53</v>
      </c>
      <c r="Q1808">
        <f t="shared" ref="Q1808:S1808" si="704">Q1807</f>
        <v>18977</v>
      </c>
      <c r="R1808" t="str">
        <f t="shared" si="704"/>
        <v>Velodrome</v>
      </c>
      <c r="S1808" t="str">
        <f t="shared" si="704"/>
        <v>HollowBrook</v>
      </c>
      <c r="T1808" s="20">
        <f t="shared" si="692"/>
        <v>0</v>
      </c>
      <c r="U1808">
        <f t="shared" si="693"/>
        <v>885</v>
      </c>
      <c r="V1808">
        <f t="shared" si="694"/>
        <v>885</v>
      </c>
      <c r="W1808" cm="1">
        <f t="array" ref="W1808">_xlfn._xlws.FILTER(shifts!A:A,(shifts!B:B=events!D1808)*(shifts!AH:AH&gt;=events!U1808)*(shifts!AI:AI&lt;=events!V1808))</f>
        <v>64</v>
      </c>
      <c r="X1808" t="str">
        <f t="shared" si="695"/>
        <v>event_team_player_1</v>
      </c>
      <c r="Y1808">
        <f>COUNTIFS(A$3:A1808,"="&amp;A1808,K$3:K1808,"="&amp;K1808)</f>
        <v>1</v>
      </c>
      <c r="Z1808" s="20">
        <f>SUMIFS(T$3:T1808,L$3:L1808,"=Intermission")+SUMIFS(T$3:T1808,L$3:L1808,"=Timeout")+SUMIFS(T$3:T1808,L$3:L1808,"=Clockstop")</f>
        <v>138</v>
      </c>
      <c r="AA1808">
        <f t="shared" si="686"/>
        <v>2298</v>
      </c>
      <c r="AC1808">
        <f t="shared" si="687"/>
        <v>2436</v>
      </c>
    </row>
    <row r="1809" spans="1:29" x14ac:dyDescent="0.2">
      <c r="A1809">
        <v>974</v>
      </c>
      <c r="D1809">
        <f t="shared" si="688"/>
        <v>3</v>
      </c>
      <c r="E1809">
        <v>14</v>
      </c>
      <c r="F1809" s="6" t="s">
        <v>436</v>
      </c>
      <c r="I1809" t="s">
        <v>179</v>
      </c>
      <c r="J1809">
        <v>52</v>
      </c>
      <c r="K1809" t="s">
        <v>489</v>
      </c>
      <c r="L1809" t="s">
        <v>7</v>
      </c>
      <c r="M1809" t="s">
        <v>208</v>
      </c>
      <c r="N1809" t="s">
        <v>53</v>
      </c>
      <c r="Q1809">
        <f t="shared" ref="Q1809:S1809" si="705">Q1808</f>
        <v>18977</v>
      </c>
      <c r="R1809" t="str">
        <f t="shared" si="705"/>
        <v>Velodrome</v>
      </c>
      <c r="S1809" t="str">
        <f t="shared" si="705"/>
        <v>HollowBrook</v>
      </c>
      <c r="T1809" s="20">
        <f t="shared" si="692"/>
        <v>0</v>
      </c>
      <c r="U1809">
        <f t="shared" si="693"/>
        <v>885</v>
      </c>
      <c r="V1809">
        <f t="shared" si="694"/>
        <v>885</v>
      </c>
      <c r="W1809" cm="1">
        <f t="array" ref="W1809">_xlfn._xlws.FILTER(shifts!A:A,(shifts!B:B=events!D1809)*(shifts!AH:AH&gt;=events!U1809)*(shifts!AI:AI&lt;=events!V1809))</f>
        <v>64</v>
      </c>
      <c r="X1809" t="str">
        <f t="shared" si="695"/>
        <v>opp_team_player_1</v>
      </c>
      <c r="Y1809">
        <f>COUNTIFS(A$3:A1809,"="&amp;A1809,K$3:K1809,"="&amp;K1809)</f>
        <v>1</v>
      </c>
      <c r="Z1809" s="20">
        <f>SUMIFS(T$3:T1809,L$3:L1809,"=Intermission")+SUMIFS(T$3:T1809,L$3:L1809,"=Timeout")+SUMIFS(T$3:T1809,L$3:L1809,"=Clockstop")</f>
        <v>138</v>
      </c>
      <c r="AA1809">
        <f t="shared" si="686"/>
        <v>2298</v>
      </c>
      <c r="AC1809">
        <f t="shared" si="687"/>
        <v>2436</v>
      </c>
    </row>
    <row r="1810" spans="1:29" x14ac:dyDescent="0.2">
      <c r="A1810">
        <v>975</v>
      </c>
      <c r="D1810">
        <f t="shared" si="688"/>
        <v>3</v>
      </c>
      <c r="E1810">
        <v>14</v>
      </c>
      <c r="F1810" s="6" t="s">
        <v>436</v>
      </c>
      <c r="I1810" t="s">
        <v>178</v>
      </c>
      <c r="J1810">
        <v>52</v>
      </c>
      <c r="K1810" t="s">
        <v>488</v>
      </c>
      <c r="L1810" t="s">
        <v>13</v>
      </c>
      <c r="M1810" t="s">
        <v>204</v>
      </c>
      <c r="N1810" t="s">
        <v>107</v>
      </c>
      <c r="Q1810">
        <f t="shared" ref="Q1810:S1810" si="706">Q1809</f>
        <v>18977</v>
      </c>
      <c r="R1810" t="str">
        <f t="shared" si="706"/>
        <v>Velodrome</v>
      </c>
      <c r="S1810" t="str">
        <f t="shared" si="706"/>
        <v>HollowBrook</v>
      </c>
      <c r="T1810" s="20">
        <f t="shared" si="692"/>
        <v>0</v>
      </c>
      <c r="U1810">
        <f t="shared" si="693"/>
        <v>885</v>
      </c>
      <c r="V1810">
        <f t="shared" si="694"/>
        <v>885</v>
      </c>
      <c r="W1810" cm="1">
        <f t="array" ref="W1810">_xlfn._xlws.FILTER(shifts!A:A,(shifts!B:B=events!D1810)*(shifts!AH:AH&gt;=events!U1810)*(shifts!AI:AI&lt;=events!V1810))</f>
        <v>64</v>
      </c>
      <c r="X1810" t="str">
        <f t="shared" si="695"/>
        <v>event_team_player_1</v>
      </c>
      <c r="Y1810">
        <f>COUNTIFS(A$3:A1810,"="&amp;A1810,K$3:K1810,"="&amp;K1810)</f>
        <v>1</v>
      </c>
      <c r="Z1810" s="20">
        <f>SUMIFS(T$3:T1810,L$3:L1810,"=Intermission")+SUMIFS(T$3:T1810,L$3:L1810,"=Timeout")+SUMIFS(T$3:T1810,L$3:L1810,"=Clockstop")</f>
        <v>138</v>
      </c>
      <c r="AA1810">
        <f t="shared" si="686"/>
        <v>2298</v>
      </c>
      <c r="AC1810">
        <f t="shared" si="687"/>
        <v>2436</v>
      </c>
    </row>
    <row r="1811" spans="1:29" x14ac:dyDescent="0.2">
      <c r="A1811">
        <v>976</v>
      </c>
      <c r="D1811">
        <f t="shared" si="688"/>
        <v>3</v>
      </c>
      <c r="E1811">
        <v>14</v>
      </c>
      <c r="F1811" s="6" t="s">
        <v>436</v>
      </c>
      <c r="G1811">
        <v>14</v>
      </c>
      <c r="H1811" s="8" t="s">
        <v>448</v>
      </c>
      <c r="I1811" t="s">
        <v>178</v>
      </c>
      <c r="J1811">
        <v>52</v>
      </c>
      <c r="K1811" t="s">
        <v>488</v>
      </c>
      <c r="L1811" t="s">
        <v>282</v>
      </c>
      <c r="Q1811">
        <f t="shared" ref="Q1811:S1811" si="707">Q1810</f>
        <v>18977</v>
      </c>
      <c r="R1811" t="str">
        <f t="shared" si="707"/>
        <v>Velodrome</v>
      </c>
      <c r="S1811" t="str">
        <f t="shared" si="707"/>
        <v>HollowBrook</v>
      </c>
      <c r="T1811" s="20">
        <f t="shared" si="692"/>
        <v>29</v>
      </c>
      <c r="U1811">
        <f t="shared" si="693"/>
        <v>885</v>
      </c>
      <c r="V1811">
        <f t="shared" si="694"/>
        <v>856</v>
      </c>
      <c r="W1811">
        <v>65</v>
      </c>
      <c r="X1811" t="str">
        <f t="shared" si="695"/>
        <v>event_team_player_1</v>
      </c>
      <c r="Y1811">
        <f>COUNTIFS(A$3:A1811,"="&amp;A1811,K$3:K1811,"="&amp;K1811)</f>
        <v>1</v>
      </c>
      <c r="Z1811" s="20">
        <f>SUMIFS(T$3:T1811,L$3:L1811,"=Intermission")+SUMIFS(T$3:T1811,L$3:L1811,"=Timeout")+SUMIFS(T$3:T1811,L$3:L1811,"=Clockstop")</f>
        <v>138</v>
      </c>
      <c r="AA1811">
        <f t="shared" si="686"/>
        <v>2298</v>
      </c>
      <c r="AC1811">
        <f t="shared" si="687"/>
        <v>2436</v>
      </c>
    </row>
    <row r="1812" spans="1:29" x14ac:dyDescent="0.2">
      <c r="A1812">
        <v>977</v>
      </c>
      <c r="D1812">
        <f t="shared" si="688"/>
        <v>3</v>
      </c>
      <c r="E1812">
        <v>14</v>
      </c>
      <c r="F1812" s="6" t="s">
        <v>448</v>
      </c>
      <c r="I1812" t="s">
        <v>178</v>
      </c>
      <c r="J1812">
        <v>42</v>
      </c>
      <c r="K1812" t="s">
        <v>488</v>
      </c>
      <c r="L1812" t="s">
        <v>6</v>
      </c>
      <c r="M1812" t="s">
        <v>275</v>
      </c>
      <c r="Q1812">
        <f t="shared" ref="Q1812:S1812" si="708">Q1811</f>
        <v>18977</v>
      </c>
      <c r="R1812" t="str">
        <f t="shared" si="708"/>
        <v>Velodrome</v>
      </c>
      <c r="S1812" t="str">
        <f t="shared" si="708"/>
        <v>HollowBrook</v>
      </c>
      <c r="T1812" s="20">
        <f t="shared" si="692"/>
        <v>0</v>
      </c>
      <c r="U1812">
        <f t="shared" si="693"/>
        <v>856</v>
      </c>
      <c r="V1812">
        <f t="shared" si="694"/>
        <v>856</v>
      </c>
      <c r="W1812" cm="1">
        <f t="array" ref="W1812">_xlfn._xlws.FILTER(shifts!A:A,(shifts!B:B=events!D1812)*(shifts!AH:AH&gt;=events!U1812)*(shifts!AI:AI&lt;=events!V1812))</f>
        <v>65</v>
      </c>
      <c r="X1812" t="str">
        <f t="shared" si="695"/>
        <v>event_team_player_1</v>
      </c>
      <c r="Y1812">
        <f>COUNTIFS(A$3:A1812,"="&amp;A1812,K$3:K1812,"="&amp;K1812)</f>
        <v>1</v>
      </c>
      <c r="Z1812" s="20">
        <f>SUMIFS(T$3:T1812,L$3:L1812,"=Intermission")+SUMIFS(T$3:T1812,L$3:L1812,"=Timeout")+SUMIFS(T$3:T1812,L$3:L1812,"=Clockstop")</f>
        <v>138</v>
      </c>
      <c r="AA1812">
        <f t="shared" si="686"/>
        <v>2298</v>
      </c>
      <c r="AC1812">
        <f t="shared" si="687"/>
        <v>2436</v>
      </c>
    </row>
    <row r="1813" spans="1:29" x14ac:dyDescent="0.2">
      <c r="A1813">
        <v>977</v>
      </c>
      <c r="D1813">
        <f t="shared" si="688"/>
        <v>3</v>
      </c>
      <c r="E1813">
        <v>14</v>
      </c>
      <c r="F1813" s="6" t="s">
        <v>448</v>
      </c>
      <c r="I1813" t="s">
        <v>178</v>
      </c>
      <c r="J1813">
        <v>26</v>
      </c>
      <c r="K1813" t="s">
        <v>489</v>
      </c>
      <c r="L1813" t="s">
        <v>6</v>
      </c>
      <c r="M1813" t="s">
        <v>275</v>
      </c>
      <c r="Q1813">
        <f t="shared" ref="Q1813:S1813" si="709">Q1812</f>
        <v>18977</v>
      </c>
      <c r="R1813" t="str">
        <f t="shared" si="709"/>
        <v>Velodrome</v>
      </c>
      <c r="S1813" t="str">
        <f t="shared" si="709"/>
        <v>HollowBrook</v>
      </c>
      <c r="T1813" s="20">
        <f t="shared" si="692"/>
        <v>0</v>
      </c>
      <c r="U1813">
        <f t="shared" si="693"/>
        <v>856</v>
      </c>
      <c r="V1813">
        <f t="shared" si="694"/>
        <v>856</v>
      </c>
      <c r="W1813" cm="1">
        <f t="array" ref="W1813">_xlfn._xlws.FILTER(shifts!A:A,(shifts!B:B=events!D1813)*(shifts!AH:AH&gt;=events!U1813)*(shifts!AI:AI&lt;=events!V1813))</f>
        <v>65</v>
      </c>
      <c r="X1813" t="str">
        <f t="shared" si="695"/>
        <v>opp_team_player_1</v>
      </c>
      <c r="Y1813">
        <f>COUNTIFS(A$3:A1813,"="&amp;A1813,K$3:K1813,"="&amp;K1813)</f>
        <v>1</v>
      </c>
      <c r="Z1813" s="20">
        <f>SUMIFS(T$3:T1813,L$3:L1813,"=Intermission")+SUMIFS(T$3:T1813,L$3:L1813,"=Timeout")+SUMIFS(T$3:T1813,L$3:L1813,"=Clockstop")</f>
        <v>138</v>
      </c>
      <c r="AA1813">
        <f t="shared" si="686"/>
        <v>2298</v>
      </c>
      <c r="AC1813">
        <f t="shared" si="687"/>
        <v>2436</v>
      </c>
    </row>
    <row r="1814" spans="1:29" x14ac:dyDescent="0.2">
      <c r="A1814">
        <v>978</v>
      </c>
      <c r="D1814">
        <f t="shared" si="688"/>
        <v>3</v>
      </c>
      <c r="E1814">
        <v>14</v>
      </c>
      <c r="F1814" s="6" t="s">
        <v>423</v>
      </c>
      <c r="I1814" t="s">
        <v>178</v>
      </c>
      <c r="J1814">
        <v>91</v>
      </c>
      <c r="K1814" t="s">
        <v>488</v>
      </c>
      <c r="L1814" t="s">
        <v>13</v>
      </c>
      <c r="M1814" t="s">
        <v>204</v>
      </c>
      <c r="N1814" t="s">
        <v>108</v>
      </c>
      <c r="Q1814">
        <f t="shared" ref="Q1814:S1814" si="710">Q1813</f>
        <v>18977</v>
      </c>
      <c r="R1814" t="str">
        <f t="shared" si="710"/>
        <v>Velodrome</v>
      </c>
      <c r="S1814" t="str">
        <f t="shared" si="710"/>
        <v>HollowBrook</v>
      </c>
      <c r="T1814" s="20">
        <f t="shared" si="692"/>
        <v>0</v>
      </c>
      <c r="U1814">
        <f t="shared" si="693"/>
        <v>854</v>
      </c>
      <c r="V1814">
        <f t="shared" si="694"/>
        <v>854</v>
      </c>
      <c r="W1814" cm="1">
        <f t="array" ref="W1814">_xlfn._xlws.FILTER(shifts!A:A,(shifts!B:B=events!D1814)*(shifts!AH:AH&gt;=events!U1814)*(shifts!AI:AI&lt;=events!V1814))</f>
        <v>65</v>
      </c>
      <c r="X1814" t="str">
        <f t="shared" si="695"/>
        <v>event_team_player_1</v>
      </c>
      <c r="Y1814">
        <f>COUNTIFS(A$3:A1814,"="&amp;A1814,K$3:K1814,"="&amp;K1814)</f>
        <v>1</v>
      </c>
      <c r="Z1814" s="20">
        <f>SUMIFS(T$3:T1814,L$3:L1814,"=Intermission")+SUMIFS(T$3:T1814,L$3:L1814,"=Timeout")+SUMIFS(T$3:T1814,L$3:L1814,"=Clockstop")</f>
        <v>138</v>
      </c>
      <c r="AA1814">
        <f t="shared" si="686"/>
        <v>2298</v>
      </c>
      <c r="AC1814">
        <f t="shared" si="687"/>
        <v>2436</v>
      </c>
    </row>
    <row r="1815" spans="1:29" x14ac:dyDescent="0.2">
      <c r="A1815">
        <v>979</v>
      </c>
      <c r="D1815">
        <f t="shared" si="688"/>
        <v>3</v>
      </c>
      <c r="E1815">
        <v>14</v>
      </c>
      <c r="F1815" s="6" t="s">
        <v>424</v>
      </c>
      <c r="G1815">
        <v>13</v>
      </c>
      <c r="H1815" s="8" t="s">
        <v>450</v>
      </c>
      <c r="I1815" t="s">
        <v>178</v>
      </c>
      <c r="J1815">
        <v>91</v>
      </c>
      <c r="K1815" t="s">
        <v>488</v>
      </c>
      <c r="L1815" t="s">
        <v>282</v>
      </c>
      <c r="Q1815">
        <f t="shared" ref="Q1815:S1815" si="711">Q1814</f>
        <v>18977</v>
      </c>
      <c r="R1815" t="str">
        <f t="shared" si="711"/>
        <v>Velodrome</v>
      </c>
      <c r="S1815" t="str">
        <f t="shared" si="711"/>
        <v>HollowBrook</v>
      </c>
      <c r="T1815" s="20">
        <f t="shared" si="692"/>
        <v>20</v>
      </c>
      <c r="U1815">
        <f t="shared" si="693"/>
        <v>849</v>
      </c>
      <c r="V1815">
        <f t="shared" si="694"/>
        <v>829</v>
      </c>
      <c r="W1815" cm="1">
        <f t="array" ref="W1815">_xlfn._xlws.FILTER(shifts!A:A,(shifts!B:B=events!D1815)*(shifts!AH:AH&gt;=events!U1815)*(shifts!AI:AI&lt;=events!V1815))</f>
        <v>65</v>
      </c>
      <c r="X1815" t="str">
        <f t="shared" si="695"/>
        <v>event_team_player_1</v>
      </c>
      <c r="Y1815">
        <f>COUNTIFS(A$3:A1815,"="&amp;A1815,K$3:K1815,"="&amp;K1815)</f>
        <v>1</v>
      </c>
      <c r="Z1815" s="20">
        <f>SUMIFS(T$3:T1815,L$3:L1815,"=Intermission")+SUMIFS(T$3:T1815,L$3:L1815,"=Timeout")+SUMIFS(T$3:T1815,L$3:L1815,"=Clockstop")</f>
        <v>138</v>
      </c>
      <c r="AA1815">
        <f t="shared" si="686"/>
        <v>2298</v>
      </c>
      <c r="AC1815">
        <f t="shared" si="687"/>
        <v>2436</v>
      </c>
    </row>
    <row r="1816" spans="1:29" x14ac:dyDescent="0.2">
      <c r="A1816">
        <v>980</v>
      </c>
      <c r="D1816">
        <f t="shared" si="688"/>
        <v>3</v>
      </c>
      <c r="E1816">
        <v>13</v>
      </c>
      <c r="F1816" s="6" t="s">
        <v>450</v>
      </c>
      <c r="I1816" t="s">
        <v>178</v>
      </c>
      <c r="J1816">
        <v>42</v>
      </c>
      <c r="K1816" t="s">
        <v>488</v>
      </c>
      <c r="L1816" t="s">
        <v>6</v>
      </c>
      <c r="M1816" t="s">
        <v>275</v>
      </c>
      <c r="Q1816">
        <f t="shared" ref="Q1816:S1816" si="712">Q1815</f>
        <v>18977</v>
      </c>
      <c r="R1816" t="str">
        <f t="shared" si="712"/>
        <v>Velodrome</v>
      </c>
      <c r="S1816" t="str">
        <f t="shared" si="712"/>
        <v>HollowBrook</v>
      </c>
      <c r="T1816" s="20">
        <f t="shared" si="692"/>
        <v>0</v>
      </c>
      <c r="U1816">
        <f t="shared" si="693"/>
        <v>829</v>
      </c>
      <c r="V1816">
        <f t="shared" si="694"/>
        <v>829</v>
      </c>
      <c r="W1816" cm="1">
        <f t="array" ref="W1816">_xlfn._xlws.FILTER(shifts!A:A,(shifts!B:B=events!D1816)*(shifts!AH:AH&gt;=events!U1816)*(shifts!AI:AI&lt;=events!V1816))</f>
        <v>65</v>
      </c>
      <c r="X1816" t="str">
        <f t="shared" si="695"/>
        <v>event_team_player_1</v>
      </c>
      <c r="Y1816">
        <f>COUNTIFS(A$3:A1816,"="&amp;A1816,K$3:K1816,"="&amp;K1816)</f>
        <v>1</v>
      </c>
      <c r="Z1816" s="20">
        <f>SUMIFS(T$3:T1816,L$3:L1816,"=Intermission")+SUMIFS(T$3:T1816,L$3:L1816,"=Timeout")+SUMIFS(T$3:T1816,L$3:L1816,"=Clockstop")</f>
        <v>138</v>
      </c>
      <c r="AA1816">
        <f t="shared" si="686"/>
        <v>2298</v>
      </c>
      <c r="AC1816">
        <f t="shared" si="687"/>
        <v>2436</v>
      </c>
    </row>
    <row r="1817" spans="1:29" x14ac:dyDescent="0.2">
      <c r="A1817">
        <v>980</v>
      </c>
      <c r="D1817">
        <f t="shared" si="688"/>
        <v>3</v>
      </c>
      <c r="E1817">
        <v>13</v>
      </c>
      <c r="F1817" s="6" t="s">
        <v>450</v>
      </c>
      <c r="I1817" t="s">
        <v>178</v>
      </c>
      <c r="J1817">
        <v>26</v>
      </c>
      <c r="K1817" t="s">
        <v>488</v>
      </c>
      <c r="L1817" t="s">
        <v>6</v>
      </c>
      <c r="M1817" t="s">
        <v>275</v>
      </c>
      <c r="Q1817">
        <f t="shared" ref="Q1817:S1817" si="713">Q1816</f>
        <v>18977</v>
      </c>
      <c r="R1817" t="str">
        <f t="shared" si="713"/>
        <v>Velodrome</v>
      </c>
      <c r="S1817" t="str">
        <f t="shared" si="713"/>
        <v>HollowBrook</v>
      </c>
      <c r="T1817" s="20">
        <f t="shared" si="692"/>
        <v>0</v>
      </c>
      <c r="U1817">
        <f t="shared" si="693"/>
        <v>829</v>
      </c>
      <c r="V1817">
        <f t="shared" si="694"/>
        <v>829</v>
      </c>
      <c r="W1817" cm="1">
        <f t="array" ref="W1817">_xlfn._xlws.FILTER(shifts!A:A,(shifts!B:B=events!D1817)*(shifts!AH:AH&gt;=events!U1817)*(shifts!AI:AI&lt;=events!V1817))</f>
        <v>65</v>
      </c>
      <c r="X1817" t="str">
        <f t="shared" si="695"/>
        <v>event_team_player_2</v>
      </c>
      <c r="Y1817">
        <f>COUNTIFS(A$3:A1817,"="&amp;A1817,K$3:K1817,"="&amp;K1817)</f>
        <v>2</v>
      </c>
      <c r="Z1817" s="20">
        <f>SUMIFS(T$3:T1817,L$3:L1817,"=Intermission")+SUMIFS(T$3:T1817,L$3:L1817,"=Timeout")+SUMIFS(T$3:T1817,L$3:L1817,"=Clockstop")</f>
        <v>138</v>
      </c>
      <c r="AA1817">
        <f t="shared" si="686"/>
        <v>2298</v>
      </c>
      <c r="AC1817">
        <f t="shared" si="687"/>
        <v>2436</v>
      </c>
    </row>
    <row r="1818" spans="1:29" x14ac:dyDescent="0.2">
      <c r="A1818">
        <v>981</v>
      </c>
      <c r="D1818">
        <f t="shared" si="688"/>
        <v>3</v>
      </c>
      <c r="E1818">
        <v>13</v>
      </c>
      <c r="F1818" s="6" t="s">
        <v>478</v>
      </c>
      <c r="I1818" t="s">
        <v>178</v>
      </c>
      <c r="J1818">
        <v>22</v>
      </c>
      <c r="K1818" t="s">
        <v>488</v>
      </c>
      <c r="L1818" t="s">
        <v>8</v>
      </c>
      <c r="M1818" t="s">
        <v>199</v>
      </c>
      <c r="N1818" t="s">
        <v>68</v>
      </c>
      <c r="Q1818">
        <f t="shared" ref="Q1818:S1818" si="714">Q1817</f>
        <v>18977</v>
      </c>
      <c r="R1818" t="str">
        <f t="shared" si="714"/>
        <v>Velodrome</v>
      </c>
      <c r="S1818" t="str">
        <f t="shared" si="714"/>
        <v>HollowBrook</v>
      </c>
      <c r="T1818" s="20">
        <f t="shared" si="692"/>
        <v>0</v>
      </c>
      <c r="U1818">
        <f t="shared" si="693"/>
        <v>826</v>
      </c>
      <c r="V1818">
        <f t="shared" si="694"/>
        <v>826</v>
      </c>
      <c r="W1818" cm="1">
        <f t="array" ref="W1818">_xlfn._xlws.FILTER(shifts!A:A,(shifts!B:B=events!D1818)*(shifts!AH:AH&gt;=events!U1818)*(shifts!AI:AI&lt;=events!V1818))</f>
        <v>65</v>
      </c>
      <c r="X1818" t="str">
        <f t="shared" si="695"/>
        <v>event_team_player_1</v>
      </c>
      <c r="Y1818">
        <f>COUNTIFS(A$3:A1818,"="&amp;A1818,K$3:K1818,"="&amp;K1818)</f>
        <v>1</v>
      </c>
      <c r="Z1818" s="20">
        <f>SUMIFS(T$3:T1818,L$3:L1818,"=Intermission")+SUMIFS(T$3:T1818,L$3:L1818,"=Timeout")+SUMIFS(T$3:T1818,L$3:L1818,"=Clockstop")</f>
        <v>138</v>
      </c>
      <c r="AA1818">
        <f t="shared" si="686"/>
        <v>2298</v>
      </c>
      <c r="AC1818">
        <f t="shared" si="687"/>
        <v>2436</v>
      </c>
    </row>
    <row r="1819" spans="1:29" x14ac:dyDescent="0.2">
      <c r="A1819">
        <v>981</v>
      </c>
      <c r="D1819">
        <f t="shared" si="688"/>
        <v>3</v>
      </c>
      <c r="E1819">
        <v>13</v>
      </c>
      <c r="F1819" s="6" t="s">
        <v>478</v>
      </c>
      <c r="I1819" t="s">
        <v>178</v>
      </c>
      <c r="J1819">
        <v>91</v>
      </c>
      <c r="K1819" t="s">
        <v>488</v>
      </c>
      <c r="L1819" t="s">
        <v>8</v>
      </c>
      <c r="M1819" t="s">
        <v>199</v>
      </c>
      <c r="N1819" t="s">
        <v>68</v>
      </c>
      <c r="Q1819">
        <f t="shared" ref="Q1819:S1819" si="715">Q1818</f>
        <v>18977</v>
      </c>
      <c r="R1819" t="str">
        <f t="shared" si="715"/>
        <v>Velodrome</v>
      </c>
      <c r="S1819" t="str">
        <f t="shared" si="715"/>
        <v>HollowBrook</v>
      </c>
      <c r="T1819" s="20">
        <f t="shared" si="692"/>
        <v>0</v>
      </c>
      <c r="U1819">
        <f t="shared" si="693"/>
        <v>826</v>
      </c>
      <c r="V1819">
        <f t="shared" si="694"/>
        <v>826</v>
      </c>
      <c r="W1819" cm="1">
        <f t="array" ref="W1819">_xlfn._xlws.FILTER(shifts!A:A,(shifts!B:B=events!D1819)*(shifts!AH:AH&gt;=events!U1819)*(shifts!AI:AI&lt;=events!V1819))</f>
        <v>65</v>
      </c>
      <c r="X1819" t="str">
        <f t="shared" si="695"/>
        <v>event_team_player_2</v>
      </c>
      <c r="Y1819">
        <f>COUNTIFS(A$3:A1819,"="&amp;A1819,K$3:K1819,"="&amp;K1819)</f>
        <v>2</v>
      </c>
      <c r="Z1819" s="20">
        <f>SUMIFS(T$3:T1819,L$3:L1819,"=Intermission")+SUMIFS(T$3:T1819,L$3:L1819,"=Timeout")+SUMIFS(T$3:T1819,L$3:L1819,"=Clockstop")</f>
        <v>138</v>
      </c>
      <c r="AA1819">
        <f t="shared" si="686"/>
        <v>2298</v>
      </c>
      <c r="AC1819">
        <f t="shared" si="687"/>
        <v>2436</v>
      </c>
    </row>
    <row r="1820" spans="1:29" x14ac:dyDescent="0.2">
      <c r="A1820">
        <v>982</v>
      </c>
      <c r="D1820">
        <f t="shared" si="688"/>
        <v>3</v>
      </c>
      <c r="E1820">
        <v>13</v>
      </c>
      <c r="F1820" s="6" t="s">
        <v>435</v>
      </c>
      <c r="G1820">
        <v>13</v>
      </c>
      <c r="H1820" s="8" t="s">
        <v>430</v>
      </c>
      <c r="I1820" t="s">
        <v>178</v>
      </c>
      <c r="J1820">
        <v>24</v>
      </c>
      <c r="K1820" t="s">
        <v>488</v>
      </c>
      <c r="L1820" t="s">
        <v>277</v>
      </c>
      <c r="M1820" t="s">
        <v>201</v>
      </c>
      <c r="N1820" t="s">
        <v>501</v>
      </c>
      <c r="Q1820">
        <f t="shared" ref="Q1820:S1820" si="716">Q1819</f>
        <v>18977</v>
      </c>
      <c r="R1820" t="str">
        <f t="shared" si="716"/>
        <v>Velodrome</v>
      </c>
      <c r="S1820" t="str">
        <f t="shared" si="716"/>
        <v>HollowBrook</v>
      </c>
      <c r="T1820" s="20">
        <f t="shared" si="692"/>
        <v>2</v>
      </c>
      <c r="U1820">
        <f t="shared" si="693"/>
        <v>824</v>
      </c>
      <c r="V1820">
        <f t="shared" si="694"/>
        <v>822</v>
      </c>
      <c r="W1820" cm="1">
        <f t="array" ref="W1820">_xlfn._xlws.FILTER(shifts!A:A,(shifts!B:B=events!D1820)*(shifts!AH:AH&gt;=events!U1820)*(shifts!AI:AI&lt;=events!V1820))</f>
        <v>65</v>
      </c>
      <c r="X1820" t="str">
        <f t="shared" si="695"/>
        <v>event_team_player_1</v>
      </c>
      <c r="Y1820">
        <f>COUNTIFS(A$3:A1820,"="&amp;A1820,K$3:K1820,"="&amp;K1820)</f>
        <v>1</v>
      </c>
      <c r="Z1820" s="20">
        <f>SUMIFS(T$3:T1820,L$3:L1820,"=Intermission")+SUMIFS(T$3:T1820,L$3:L1820,"=Timeout")+SUMIFS(T$3:T1820,L$3:L1820,"=Clockstop")</f>
        <v>138</v>
      </c>
      <c r="AA1820">
        <f t="shared" si="686"/>
        <v>2298</v>
      </c>
      <c r="AC1820">
        <f t="shared" si="687"/>
        <v>2436</v>
      </c>
    </row>
    <row r="1821" spans="1:29" x14ac:dyDescent="0.2">
      <c r="A1821">
        <v>982</v>
      </c>
      <c r="D1821">
        <f t="shared" si="688"/>
        <v>3</v>
      </c>
      <c r="E1821">
        <v>13</v>
      </c>
      <c r="F1821" s="6" t="s">
        <v>435</v>
      </c>
      <c r="G1821">
        <v>13</v>
      </c>
      <c r="H1821" s="8" t="s">
        <v>430</v>
      </c>
      <c r="I1821" t="s">
        <v>178</v>
      </c>
      <c r="J1821">
        <v>26</v>
      </c>
      <c r="K1821" t="s">
        <v>489</v>
      </c>
      <c r="L1821" t="s">
        <v>277</v>
      </c>
      <c r="M1821" t="s">
        <v>201</v>
      </c>
      <c r="N1821" t="s">
        <v>501</v>
      </c>
      <c r="Q1821">
        <f t="shared" ref="Q1821:S1821" si="717">Q1820</f>
        <v>18977</v>
      </c>
      <c r="R1821" t="str">
        <f t="shared" si="717"/>
        <v>Velodrome</v>
      </c>
      <c r="S1821" t="str">
        <f t="shared" si="717"/>
        <v>HollowBrook</v>
      </c>
      <c r="T1821" s="20">
        <f t="shared" si="692"/>
        <v>2</v>
      </c>
      <c r="U1821">
        <f t="shared" si="693"/>
        <v>824</v>
      </c>
      <c r="V1821">
        <f t="shared" si="694"/>
        <v>822</v>
      </c>
      <c r="W1821" cm="1">
        <f t="array" ref="W1821">_xlfn._xlws.FILTER(shifts!A:A,(shifts!B:B=events!D1821)*(shifts!AH:AH&gt;=events!U1821)*(shifts!AI:AI&lt;=events!V1821))</f>
        <v>65</v>
      </c>
      <c r="X1821" t="str">
        <f t="shared" si="695"/>
        <v>opp_team_player_1</v>
      </c>
      <c r="Y1821">
        <f>COUNTIFS(A$3:A1821,"="&amp;A1821,K$3:K1821,"="&amp;K1821)</f>
        <v>1</v>
      </c>
      <c r="Z1821" s="20">
        <f>SUMIFS(T$3:T1821,L$3:L1821,"=Intermission")+SUMIFS(T$3:T1821,L$3:L1821,"=Timeout")+SUMIFS(T$3:T1821,L$3:L1821,"=Clockstop")</f>
        <v>138</v>
      </c>
      <c r="AA1821">
        <f t="shared" si="686"/>
        <v>2298</v>
      </c>
      <c r="AC1821">
        <f t="shared" si="687"/>
        <v>2436</v>
      </c>
    </row>
    <row r="1822" spans="1:29" x14ac:dyDescent="0.2">
      <c r="A1822">
        <v>983</v>
      </c>
      <c r="D1822">
        <f t="shared" si="688"/>
        <v>3</v>
      </c>
      <c r="E1822">
        <v>13</v>
      </c>
      <c r="F1822" s="6" t="s">
        <v>438</v>
      </c>
      <c r="I1822" t="s">
        <v>178</v>
      </c>
      <c r="J1822">
        <v>24</v>
      </c>
      <c r="K1822" t="s">
        <v>488</v>
      </c>
      <c r="L1822" t="s">
        <v>277</v>
      </c>
      <c r="M1822" t="s">
        <v>191</v>
      </c>
      <c r="N1822" t="s">
        <v>500</v>
      </c>
      <c r="Q1822">
        <f t="shared" ref="Q1822:S1822" si="718">Q1821</f>
        <v>18977</v>
      </c>
      <c r="R1822" t="str">
        <f t="shared" si="718"/>
        <v>Velodrome</v>
      </c>
      <c r="S1822" t="str">
        <f t="shared" si="718"/>
        <v>HollowBrook</v>
      </c>
      <c r="T1822" s="20">
        <f t="shared" si="692"/>
        <v>0</v>
      </c>
      <c r="U1822">
        <f t="shared" si="693"/>
        <v>818</v>
      </c>
      <c r="V1822">
        <f t="shared" si="694"/>
        <v>818</v>
      </c>
      <c r="W1822" cm="1">
        <f t="array" ref="W1822">_xlfn._xlws.FILTER(shifts!A:A,(shifts!B:B=events!D1822)*(shifts!AH:AH&gt;=events!U1822)*(shifts!AI:AI&lt;=events!V1822))</f>
        <v>65</v>
      </c>
      <c r="X1822" t="str">
        <f t="shared" si="695"/>
        <v>event_team_player_1</v>
      </c>
      <c r="Y1822">
        <f>COUNTIFS(A$3:A1822,"="&amp;A1822,K$3:K1822,"="&amp;K1822)</f>
        <v>1</v>
      </c>
      <c r="Z1822" s="20">
        <f>SUMIFS(T$3:T1822,L$3:L1822,"=Intermission")+SUMIFS(T$3:T1822,L$3:L1822,"=Timeout")+SUMIFS(T$3:T1822,L$3:L1822,"=Clockstop")</f>
        <v>138</v>
      </c>
      <c r="AA1822">
        <f t="shared" si="686"/>
        <v>2298</v>
      </c>
      <c r="AC1822">
        <f t="shared" si="687"/>
        <v>2436</v>
      </c>
    </row>
    <row r="1823" spans="1:29" x14ac:dyDescent="0.2">
      <c r="A1823">
        <v>984</v>
      </c>
      <c r="D1823">
        <f t="shared" si="688"/>
        <v>3</v>
      </c>
      <c r="E1823">
        <v>13</v>
      </c>
      <c r="F1823" s="6" t="s">
        <v>438</v>
      </c>
      <c r="G1823">
        <v>13</v>
      </c>
      <c r="H1823" s="8" t="s">
        <v>452</v>
      </c>
      <c r="I1823" t="s">
        <v>179</v>
      </c>
      <c r="J1823">
        <v>27</v>
      </c>
      <c r="K1823" t="s">
        <v>488</v>
      </c>
      <c r="L1823" t="s">
        <v>15</v>
      </c>
      <c r="Q1823">
        <f t="shared" ref="Q1823:S1823" si="719">Q1822</f>
        <v>18977</v>
      </c>
      <c r="R1823" t="str">
        <f t="shared" si="719"/>
        <v>Velodrome</v>
      </c>
      <c r="S1823" t="str">
        <f t="shared" si="719"/>
        <v>HollowBrook</v>
      </c>
      <c r="T1823" s="20">
        <f t="shared" si="692"/>
        <v>2</v>
      </c>
      <c r="U1823">
        <f t="shared" si="693"/>
        <v>818</v>
      </c>
      <c r="V1823">
        <f t="shared" si="694"/>
        <v>816</v>
      </c>
      <c r="W1823" cm="1">
        <f t="array" ref="W1823">_xlfn._xlws.FILTER(shifts!A:A,(shifts!B:B=events!D1823)*(shifts!AH:AH&gt;=events!U1823)*(shifts!AI:AI&lt;=events!V1823))</f>
        <v>65</v>
      </c>
      <c r="X1823" t="str">
        <f t="shared" si="695"/>
        <v>event_team_player_1</v>
      </c>
      <c r="Y1823">
        <f>COUNTIFS(A$3:A1823,"="&amp;A1823,K$3:K1823,"="&amp;K1823)</f>
        <v>1</v>
      </c>
      <c r="Z1823" s="20">
        <f>SUMIFS(T$3:T1823,L$3:L1823,"=Intermission")+SUMIFS(T$3:T1823,L$3:L1823,"=Timeout")+SUMIFS(T$3:T1823,L$3:L1823,"=Clockstop")</f>
        <v>138</v>
      </c>
      <c r="AA1823">
        <f t="shared" si="686"/>
        <v>2298</v>
      </c>
      <c r="AC1823">
        <f t="shared" si="687"/>
        <v>2436</v>
      </c>
    </row>
    <row r="1824" spans="1:29" x14ac:dyDescent="0.2">
      <c r="A1824">
        <v>985</v>
      </c>
      <c r="D1824">
        <f t="shared" si="688"/>
        <v>3</v>
      </c>
      <c r="E1824">
        <v>13</v>
      </c>
      <c r="F1824" s="6" t="s">
        <v>452</v>
      </c>
      <c r="I1824" t="s">
        <v>179</v>
      </c>
      <c r="J1824">
        <v>27</v>
      </c>
      <c r="K1824" t="s">
        <v>488</v>
      </c>
      <c r="L1824" t="s">
        <v>8</v>
      </c>
      <c r="M1824" t="s">
        <v>189</v>
      </c>
      <c r="N1824" t="s">
        <v>67</v>
      </c>
      <c r="Q1824">
        <f t="shared" ref="Q1824:S1824" si="720">Q1823</f>
        <v>18977</v>
      </c>
      <c r="R1824" t="str">
        <f t="shared" si="720"/>
        <v>Velodrome</v>
      </c>
      <c r="S1824" t="str">
        <f t="shared" si="720"/>
        <v>HollowBrook</v>
      </c>
      <c r="T1824" s="20">
        <f t="shared" si="692"/>
        <v>0</v>
      </c>
      <c r="U1824">
        <f t="shared" si="693"/>
        <v>816</v>
      </c>
      <c r="V1824">
        <f t="shared" si="694"/>
        <v>816</v>
      </c>
      <c r="W1824" cm="1">
        <f t="array" ref="W1824">_xlfn._xlws.FILTER(shifts!A:A,(shifts!B:B=events!D1824)*(shifts!AH:AH&gt;=events!U1824)*(shifts!AI:AI&lt;=events!V1824))</f>
        <v>65</v>
      </c>
      <c r="X1824" t="str">
        <f t="shared" si="695"/>
        <v>event_team_player_1</v>
      </c>
      <c r="Y1824">
        <f>COUNTIFS(A$3:A1824,"="&amp;A1824,K$3:K1824,"="&amp;K1824)</f>
        <v>1</v>
      </c>
      <c r="Z1824" s="20">
        <f>SUMIFS(T$3:T1824,L$3:L1824,"=Intermission")+SUMIFS(T$3:T1824,L$3:L1824,"=Timeout")+SUMIFS(T$3:T1824,L$3:L1824,"=Clockstop")</f>
        <v>138</v>
      </c>
      <c r="AA1824">
        <f t="shared" si="686"/>
        <v>2298</v>
      </c>
      <c r="AC1824">
        <f t="shared" si="687"/>
        <v>2436</v>
      </c>
    </row>
    <row r="1825" spans="1:29" x14ac:dyDescent="0.2">
      <c r="A1825">
        <v>985</v>
      </c>
      <c r="D1825">
        <f t="shared" si="688"/>
        <v>3</v>
      </c>
      <c r="E1825">
        <v>13</v>
      </c>
      <c r="F1825" s="6" t="s">
        <v>452</v>
      </c>
      <c r="I1825" t="s">
        <v>179</v>
      </c>
      <c r="J1825">
        <v>22</v>
      </c>
      <c r="K1825" t="s">
        <v>488</v>
      </c>
      <c r="L1825" t="s">
        <v>8</v>
      </c>
      <c r="M1825" t="s">
        <v>189</v>
      </c>
      <c r="N1825" t="s">
        <v>67</v>
      </c>
      <c r="Q1825">
        <f t="shared" ref="Q1825:S1825" si="721">Q1824</f>
        <v>18977</v>
      </c>
      <c r="R1825" t="str">
        <f t="shared" si="721"/>
        <v>Velodrome</v>
      </c>
      <c r="S1825" t="str">
        <f t="shared" si="721"/>
        <v>HollowBrook</v>
      </c>
      <c r="T1825" s="20">
        <f t="shared" si="692"/>
        <v>0</v>
      </c>
      <c r="U1825">
        <f t="shared" si="693"/>
        <v>816</v>
      </c>
      <c r="V1825">
        <f t="shared" si="694"/>
        <v>816</v>
      </c>
      <c r="W1825" cm="1">
        <f t="array" ref="W1825">_xlfn._xlws.FILTER(shifts!A:A,(shifts!B:B=events!D1825)*(shifts!AH:AH&gt;=events!U1825)*(shifts!AI:AI&lt;=events!V1825))</f>
        <v>65</v>
      </c>
      <c r="X1825" t="str">
        <f t="shared" si="695"/>
        <v>event_team_player_2</v>
      </c>
      <c r="Y1825">
        <f>COUNTIFS(A$3:A1825,"="&amp;A1825,K$3:K1825,"="&amp;K1825)</f>
        <v>2</v>
      </c>
      <c r="Z1825" s="20">
        <f>SUMIFS(T$3:T1825,L$3:L1825,"=Intermission")+SUMIFS(T$3:T1825,L$3:L1825,"=Timeout")+SUMIFS(T$3:T1825,L$3:L1825,"=Clockstop")</f>
        <v>138</v>
      </c>
      <c r="AA1825">
        <f t="shared" si="686"/>
        <v>2298</v>
      </c>
      <c r="AC1825">
        <f t="shared" si="687"/>
        <v>2436</v>
      </c>
    </row>
    <row r="1826" spans="1:29" x14ac:dyDescent="0.2">
      <c r="A1826">
        <v>986</v>
      </c>
      <c r="D1826">
        <f t="shared" si="688"/>
        <v>3</v>
      </c>
      <c r="E1826">
        <v>13</v>
      </c>
      <c r="F1826" s="6" t="s">
        <v>452</v>
      </c>
      <c r="I1826" t="s">
        <v>179</v>
      </c>
      <c r="J1826">
        <v>27</v>
      </c>
      <c r="K1826" t="s">
        <v>488</v>
      </c>
      <c r="L1826" t="s">
        <v>277</v>
      </c>
      <c r="M1826" t="s">
        <v>201</v>
      </c>
      <c r="N1826" t="s">
        <v>91</v>
      </c>
      <c r="Q1826">
        <f t="shared" ref="Q1826:S1826" si="722">Q1825</f>
        <v>18977</v>
      </c>
      <c r="R1826" t="str">
        <f t="shared" si="722"/>
        <v>Velodrome</v>
      </c>
      <c r="S1826" t="str">
        <f t="shared" si="722"/>
        <v>HollowBrook</v>
      </c>
      <c r="T1826" s="20">
        <f t="shared" si="692"/>
        <v>0</v>
      </c>
      <c r="U1826">
        <f t="shared" si="693"/>
        <v>816</v>
      </c>
      <c r="V1826">
        <f t="shared" si="694"/>
        <v>816</v>
      </c>
      <c r="W1826" cm="1">
        <f t="array" ref="W1826">_xlfn._xlws.FILTER(shifts!A:A,(shifts!B:B=events!D1826)*(shifts!AH:AH&gt;=events!U1826)*(shifts!AI:AI&lt;=events!V1826))</f>
        <v>65</v>
      </c>
      <c r="X1826" t="str">
        <f t="shared" si="695"/>
        <v>event_team_player_1</v>
      </c>
      <c r="Y1826">
        <f>COUNTIFS(A$3:A1826,"="&amp;A1826,K$3:K1826,"="&amp;K1826)</f>
        <v>1</v>
      </c>
      <c r="Z1826" s="20">
        <f>SUMIFS(T$3:T1826,L$3:L1826,"=Intermission")+SUMIFS(T$3:T1826,L$3:L1826,"=Timeout")+SUMIFS(T$3:T1826,L$3:L1826,"=Clockstop")</f>
        <v>138</v>
      </c>
      <c r="AA1826">
        <f t="shared" si="686"/>
        <v>2298</v>
      </c>
      <c r="AC1826">
        <f t="shared" si="687"/>
        <v>2436</v>
      </c>
    </row>
    <row r="1827" spans="1:29" x14ac:dyDescent="0.2">
      <c r="A1827">
        <v>986</v>
      </c>
      <c r="D1827">
        <f t="shared" si="688"/>
        <v>3</v>
      </c>
      <c r="E1827">
        <v>13</v>
      </c>
      <c r="F1827" s="6" t="s">
        <v>452</v>
      </c>
      <c r="I1827" t="s">
        <v>179</v>
      </c>
      <c r="J1827">
        <v>22</v>
      </c>
      <c r="K1827" t="s">
        <v>488</v>
      </c>
      <c r="L1827" t="s">
        <v>277</v>
      </c>
      <c r="M1827" t="s">
        <v>201</v>
      </c>
      <c r="N1827" t="s">
        <v>91</v>
      </c>
      <c r="Q1827">
        <f t="shared" ref="Q1827:S1827" si="723">Q1826</f>
        <v>18977</v>
      </c>
      <c r="R1827" t="str">
        <f t="shared" si="723"/>
        <v>Velodrome</v>
      </c>
      <c r="S1827" t="str">
        <f t="shared" si="723"/>
        <v>HollowBrook</v>
      </c>
      <c r="T1827" s="20">
        <f t="shared" si="692"/>
        <v>0</v>
      </c>
      <c r="U1827">
        <f t="shared" si="693"/>
        <v>816</v>
      </c>
      <c r="V1827">
        <f t="shared" si="694"/>
        <v>816</v>
      </c>
      <c r="W1827" cm="1">
        <f t="array" ref="W1827">_xlfn._xlws.FILTER(shifts!A:A,(shifts!B:B=events!D1827)*(shifts!AH:AH&gt;=events!U1827)*(shifts!AI:AI&lt;=events!V1827))</f>
        <v>65</v>
      </c>
      <c r="X1827" t="str">
        <f t="shared" si="695"/>
        <v>event_team_player_2</v>
      </c>
      <c r="Y1827">
        <f>COUNTIFS(A$3:A1827,"="&amp;A1827,K$3:K1827,"="&amp;K1827)</f>
        <v>2</v>
      </c>
      <c r="Z1827" s="20">
        <f>SUMIFS(T$3:T1827,L$3:L1827,"=Intermission")+SUMIFS(T$3:T1827,L$3:L1827,"=Timeout")+SUMIFS(T$3:T1827,L$3:L1827,"=Clockstop")</f>
        <v>138</v>
      </c>
      <c r="AA1827">
        <f t="shared" si="686"/>
        <v>2298</v>
      </c>
      <c r="AC1827">
        <f t="shared" si="687"/>
        <v>2436</v>
      </c>
    </row>
    <row r="1828" spans="1:29" x14ac:dyDescent="0.2">
      <c r="A1828">
        <v>987</v>
      </c>
      <c r="D1828">
        <f t="shared" si="688"/>
        <v>3</v>
      </c>
      <c r="E1828">
        <v>13</v>
      </c>
      <c r="F1828" s="6" t="s">
        <v>482</v>
      </c>
      <c r="I1828" t="s">
        <v>179</v>
      </c>
      <c r="J1828">
        <v>22</v>
      </c>
      <c r="K1828" t="s">
        <v>488</v>
      </c>
      <c r="L1828" t="s">
        <v>8</v>
      </c>
      <c r="M1828" t="s">
        <v>189</v>
      </c>
      <c r="N1828" t="s">
        <v>71</v>
      </c>
      <c r="Q1828">
        <f t="shared" ref="Q1828:S1828" si="724">Q1827</f>
        <v>18977</v>
      </c>
      <c r="R1828" t="str">
        <f t="shared" si="724"/>
        <v>Velodrome</v>
      </c>
      <c r="S1828" t="str">
        <f t="shared" si="724"/>
        <v>HollowBrook</v>
      </c>
      <c r="T1828" s="20">
        <f t="shared" si="692"/>
        <v>0</v>
      </c>
      <c r="U1828">
        <f t="shared" si="693"/>
        <v>813</v>
      </c>
      <c r="V1828">
        <f t="shared" si="694"/>
        <v>813</v>
      </c>
      <c r="W1828" cm="1">
        <f t="array" ref="W1828">_xlfn._xlws.FILTER(shifts!A:A,(shifts!B:B=events!D1828)*(shifts!AH:AH&gt;=events!U1828)*(shifts!AI:AI&lt;=events!V1828))</f>
        <v>65</v>
      </c>
      <c r="X1828" t="str">
        <f t="shared" si="695"/>
        <v>event_team_player_1</v>
      </c>
      <c r="Y1828">
        <f>COUNTIFS(A$3:A1828,"="&amp;A1828,K$3:K1828,"="&amp;K1828)</f>
        <v>1</v>
      </c>
      <c r="Z1828" s="20">
        <f>SUMIFS(T$3:T1828,L$3:L1828,"=Intermission")+SUMIFS(T$3:T1828,L$3:L1828,"=Timeout")+SUMIFS(T$3:T1828,L$3:L1828,"=Clockstop")</f>
        <v>138</v>
      </c>
      <c r="AA1828">
        <f t="shared" si="686"/>
        <v>2298</v>
      </c>
      <c r="AC1828">
        <f t="shared" si="687"/>
        <v>2436</v>
      </c>
    </row>
    <row r="1829" spans="1:29" x14ac:dyDescent="0.2">
      <c r="A1829">
        <v>987</v>
      </c>
      <c r="D1829">
        <f t="shared" si="688"/>
        <v>3</v>
      </c>
      <c r="E1829">
        <v>13</v>
      </c>
      <c r="F1829" s="6" t="s">
        <v>482</v>
      </c>
      <c r="I1829" t="s">
        <v>179</v>
      </c>
      <c r="J1829">
        <v>40</v>
      </c>
      <c r="K1829" t="s">
        <v>488</v>
      </c>
      <c r="L1829" t="s">
        <v>8</v>
      </c>
      <c r="M1829" t="s">
        <v>189</v>
      </c>
      <c r="N1829" t="s">
        <v>71</v>
      </c>
      <c r="Q1829">
        <f t="shared" ref="Q1829:S1829" si="725">Q1828</f>
        <v>18977</v>
      </c>
      <c r="R1829" t="str">
        <f t="shared" si="725"/>
        <v>Velodrome</v>
      </c>
      <c r="S1829" t="str">
        <f t="shared" si="725"/>
        <v>HollowBrook</v>
      </c>
      <c r="T1829" s="20">
        <f t="shared" si="692"/>
        <v>0</v>
      </c>
      <c r="U1829">
        <f t="shared" si="693"/>
        <v>813</v>
      </c>
      <c r="V1829">
        <f t="shared" si="694"/>
        <v>813</v>
      </c>
      <c r="W1829" cm="1">
        <f t="array" ref="W1829">_xlfn._xlws.FILTER(shifts!A:A,(shifts!B:B=events!D1829)*(shifts!AH:AH&gt;=events!U1829)*(shifts!AI:AI&lt;=events!V1829))</f>
        <v>65</v>
      </c>
      <c r="X1829" t="str">
        <f t="shared" si="695"/>
        <v>event_team_player_2</v>
      </c>
      <c r="Y1829">
        <f>COUNTIFS(A$3:A1829,"="&amp;A1829,K$3:K1829,"="&amp;K1829)</f>
        <v>2</v>
      </c>
      <c r="Z1829" s="20">
        <f>SUMIFS(T$3:T1829,L$3:L1829,"=Intermission")+SUMIFS(T$3:T1829,L$3:L1829,"=Timeout")+SUMIFS(T$3:T1829,L$3:L1829,"=Clockstop")</f>
        <v>138</v>
      </c>
      <c r="AA1829">
        <f t="shared" si="686"/>
        <v>2298</v>
      </c>
      <c r="AC1829">
        <f t="shared" si="687"/>
        <v>2436</v>
      </c>
    </row>
    <row r="1830" spans="1:29" x14ac:dyDescent="0.2">
      <c r="A1830">
        <v>988</v>
      </c>
      <c r="D1830">
        <f t="shared" si="688"/>
        <v>3</v>
      </c>
      <c r="E1830">
        <v>13</v>
      </c>
      <c r="F1830" s="6" t="s">
        <v>472</v>
      </c>
      <c r="I1830" t="s">
        <v>179</v>
      </c>
      <c r="J1830">
        <v>40</v>
      </c>
      <c r="K1830" t="s">
        <v>488</v>
      </c>
      <c r="L1830" t="s">
        <v>8</v>
      </c>
      <c r="M1830" t="s">
        <v>189</v>
      </c>
      <c r="N1830" t="s">
        <v>70</v>
      </c>
      <c r="Q1830">
        <f t="shared" ref="Q1830:S1830" si="726">Q1829</f>
        <v>18977</v>
      </c>
      <c r="R1830" t="str">
        <f t="shared" si="726"/>
        <v>Velodrome</v>
      </c>
      <c r="S1830" t="str">
        <f t="shared" si="726"/>
        <v>HollowBrook</v>
      </c>
      <c r="T1830" s="20">
        <f t="shared" si="692"/>
        <v>0</v>
      </c>
      <c r="U1830">
        <f t="shared" si="693"/>
        <v>810</v>
      </c>
      <c r="V1830">
        <f t="shared" si="694"/>
        <v>810</v>
      </c>
      <c r="W1830" cm="1">
        <f t="array" ref="W1830">_xlfn._xlws.FILTER(shifts!A:A,(shifts!B:B=events!D1830)*(shifts!AH:AH&gt;=events!U1830)*(shifts!AI:AI&lt;=events!V1830))</f>
        <v>65</v>
      </c>
      <c r="X1830" t="str">
        <f t="shared" si="695"/>
        <v>event_team_player_1</v>
      </c>
      <c r="Y1830">
        <f>COUNTIFS(A$3:A1830,"="&amp;A1830,K$3:K1830,"="&amp;K1830)</f>
        <v>1</v>
      </c>
      <c r="Z1830" s="20">
        <f>SUMIFS(T$3:T1830,L$3:L1830,"=Intermission")+SUMIFS(T$3:T1830,L$3:L1830,"=Timeout")+SUMIFS(T$3:T1830,L$3:L1830,"=Clockstop")</f>
        <v>138</v>
      </c>
      <c r="AA1830">
        <f t="shared" si="686"/>
        <v>2298</v>
      </c>
      <c r="AC1830">
        <f t="shared" si="687"/>
        <v>2436</v>
      </c>
    </row>
    <row r="1831" spans="1:29" x14ac:dyDescent="0.2">
      <c r="A1831">
        <v>988</v>
      </c>
      <c r="D1831">
        <f t="shared" si="688"/>
        <v>3</v>
      </c>
      <c r="E1831">
        <v>13</v>
      </c>
      <c r="F1831" s="6" t="s">
        <v>472</v>
      </c>
      <c r="I1831" t="s">
        <v>179</v>
      </c>
      <c r="J1831">
        <v>27</v>
      </c>
      <c r="K1831" t="s">
        <v>488</v>
      </c>
      <c r="L1831" t="s">
        <v>8</v>
      </c>
      <c r="M1831" t="s">
        <v>189</v>
      </c>
      <c r="N1831" t="s">
        <v>70</v>
      </c>
      <c r="Q1831">
        <f t="shared" ref="Q1831:S1831" si="727">Q1830</f>
        <v>18977</v>
      </c>
      <c r="R1831" t="str">
        <f t="shared" si="727"/>
        <v>Velodrome</v>
      </c>
      <c r="S1831" t="str">
        <f t="shared" si="727"/>
        <v>HollowBrook</v>
      </c>
      <c r="T1831" s="20">
        <f t="shared" si="692"/>
        <v>0</v>
      </c>
      <c r="U1831">
        <f t="shared" si="693"/>
        <v>810</v>
      </c>
      <c r="V1831">
        <f t="shared" si="694"/>
        <v>810</v>
      </c>
      <c r="W1831" cm="1">
        <f t="array" ref="W1831">_xlfn._xlws.FILTER(shifts!A:A,(shifts!B:B=events!D1831)*(shifts!AH:AH&gt;=events!U1831)*(shifts!AI:AI&lt;=events!V1831))</f>
        <v>65</v>
      </c>
      <c r="X1831" t="str">
        <f t="shared" si="695"/>
        <v>event_team_player_2</v>
      </c>
      <c r="Y1831">
        <f>COUNTIFS(A$3:A1831,"="&amp;A1831,K$3:K1831,"="&amp;K1831)</f>
        <v>2</v>
      </c>
      <c r="Z1831" s="20">
        <f>SUMIFS(T$3:T1831,L$3:L1831,"=Intermission")+SUMIFS(T$3:T1831,L$3:L1831,"=Timeout")+SUMIFS(T$3:T1831,L$3:L1831,"=Clockstop")</f>
        <v>138</v>
      </c>
      <c r="AA1831">
        <f t="shared" si="686"/>
        <v>2298</v>
      </c>
      <c r="AC1831">
        <f t="shared" si="687"/>
        <v>2436</v>
      </c>
    </row>
    <row r="1832" spans="1:29" x14ac:dyDescent="0.2">
      <c r="A1832">
        <v>989</v>
      </c>
      <c r="D1832">
        <f t="shared" si="688"/>
        <v>3</v>
      </c>
      <c r="E1832">
        <v>13</v>
      </c>
      <c r="F1832" s="6" t="s">
        <v>472</v>
      </c>
      <c r="G1832">
        <v>13</v>
      </c>
      <c r="H1832" s="8" t="s">
        <v>443</v>
      </c>
      <c r="I1832" t="s">
        <v>179</v>
      </c>
      <c r="J1832">
        <v>27</v>
      </c>
      <c r="K1832" t="s">
        <v>488</v>
      </c>
      <c r="L1832" t="s">
        <v>277</v>
      </c>
      <c r="M1832" t="s">
        <v>191</v>
      </c>
      <c r="N1832" t="s">
        <v>87</v>
      </c>
      <c r="Q1832">
        <f t="shared" ref="Q1832:S1832" si="728">Q1831</f>
        <v>18977</v>
      </c>
      <c r="R1832" t="str">
        <f t="shared" si="728"/>
        <v>Velodrome</v>
      </c>
      <c r="S1832" t="str">
        <f t="shared" si="728"/>
        <v>HollowBrook</v>
      </c>
      <c r="T1832" s="20">
        <f t="shared" si="692"/>
        <v>4</v>
      </c>
      <c r="U1832">
        <f t="shared" si="693"/>
        <v>810</v>
      </c>
      <c r="V1832">
        <f t="shared" si="694"/>
        <v>806</v>
      </c>
      <c r="W1832" cm="1">
        <f t="array" ref="W1832">_xlfn._xlws.FILTER(shifts!A:A,(shifts!B:B=events!D1832)*(shifts!AH:AH&gt;=events!U1832)*(shifts!AI:AI&lt;=events!V1832))</f>
        <v>65</v>
      </c>
      <c r="X1832" t="str">
        <f t="shared" si="695"/>
        <v>event_team_player_1</v>
      </c>
      <c r="Y1832">
        <f>COUNTIFS(A$3:A1832,"="&amp;A1832,K$3:K1832,"="&amp;K1832)</f>
        <v>1</v>
      </c>
      <c r="Z1832" s="20">
        <f>SUMIFS(T$3:T1832,L$3:L1832,"=Intermission")+SUMIFS(T$3:T1832,L$3:L1832,"=Timeout")+SUMIFS(T$3:T1832,L$3:L1832,"=Clockstop")</f>
        <v>138</v>
      </c>
      <c r="AA1832">
        <f t="shared" si="686"/>
        <v>2298</v>
      </c>
      <c r="AC1832">
        <f t="shared" si="687"/>
        <v>2436</v>
      </c>
    </row>
    <row r="1833" spans="1:29" x14ac:dyDescent="0.2">
      <c r="A1833">
        <v>989</v>
      </c>
      <c r="D1833">
        <f t="shared" si="688"/>
        <v>3</v>
      </c>
      <c r="E1833">
        <v>13</v>
      </c>
      <c r="F1833" s="6" t="s">
        <v>472</v>
      </c>
      <c r="G1833">
        <v>13</v>
      </c>
      <c r="H1833" s="8" t="s">
        <v>443</v>
      </c>
      <c r="I1833" t="s">
        <v>179</v>
      </c>
      <c r="J1833">
        <v>26</v>
      </c>
      <c r="K1833" t="s">
        <v>488</v>
      </c>
      <c r="L1833" t="s">
        <v>277</v>
      </c>
      <c r="M1833" t="s">
        <v>191</v>
      </c>
      <c r="N1833" t="s">
        <v>87</v>
      </c>
      <c r="Q1833">
        <f t="shared" ref="Q1833:S1833" si="729">Q1832</f>
        <v>18977</v>
      </c>
      <c r="R1833" t="str">
        <f t="shared" si="729"/>
        <v>Velodrome</v>
      </c>
      <c r="S1833" t="str">
        <f t="shared" si="729"/>
        <v>HollowBrook</v>
      </c>
      <c r="T1833" s="20">
        <f t="shared" si="692"/>
        <v>4</v>
      </c>
      <c r="U1833">
        <f t="shared" si="693"/>
        <v>810</v>
      </c>
      <c r="V1833">
        <f t="shared" si="694"/>
        <v>806</v>
      </c>
      <c r="W1833" cm="1">
        <f t="array" ref="W1833">_xlfn._xlws.FILTER(shifts!A:A,(shifts!B:B=events!D1833)*(shifts!AH:AH&gt;=events!U1833)*(shifts!AI:AI&lt;=events!V1833))</f>
        <v>65</v>
      </c>
      <c r="X1833" t="str">
        <f t="shared" si="695"/>
        <v>event_team_player_2</v>
      </c>
      <c r="Y1833">
        <f>COUNTIFS(A$3:A1833,"="&amp;A1833,K$3:K1833,"="&amp;K1833)</f>
        <v>2</v>
      </c>
      <c r="Z1833" s="20">
        <f>SUMIFS(T$3:T1833,L$3:L1833,"=Intermission")+SUMIFS(T$3:T1833,L$3:L1833,"=Timeout")+SUMIFS(T$3:T1833,L$3:L1833,"=Clockstop")</f>
        <v>138</v>
      </c>
      <c r="AA1833">
        <f t="shared" si="686"/>
        <v>2298</v>
      </c>
      <c r="AC1833">
        <f t="shared" si="687"/>
        <v>2436</v>
      </c>
    </row>
    <row r="1834" spans="1:29" x14ac:dyDescent="0.2">
      <c r="A1834">
        <v>989</v>
      </c>
      <c r="D1834">
        <f t="shared" si="688"/>
        <v>3</v>
      </c>
      <c r="E1834">
        <v>13</v>
      </c>
      <c r="F1834" s="6" t="s">
        <v>472</v>
      </c>
      <c r="G1834">
        <v>13</v>
      </c>
      <c r="H1834" s="8" t="s">
        <v>443</v>
      </c>
      <c r="I1834" t="s">
        <v>179</v>
      </c>
      <c r="J1834">
        <v>40</v>
      </c>
      <c r="K1834" t="s">
        <v>488</v>
      </c>
      <c r="L1834" t="s">
        <v>277</v>
      </c>
      <c r="M1834" t="s">
        <v>191</v>
      </c>
      <c r="N1834" t="s">
        <v>87</v>
      </c>
      <c r="Q1834">
        <f t="shared" ref="Q1834:S1834" si="730">Q1833</f>
        <v>18977</v>
      </c>
      <c r="R1834" t="str">
        <f t="shared" si="730"/>
        <v>Velodrome</v>
      </c>
      <c r="S1834" t="str">
        <f t="shared" si="730"/>
        <v>HollowBrook</v>
      </c>
      <c r="T1834" s="20">
        <f t="shared" si="692"/>
        <v>4</v>
      </c>
      <c r="U1834">
        <f t="shared" si="693"/>
        <v>810</v>
      </c>
      <c r="V1834">
        <f t="shared" si="694"/>
        <v>806</v>
      </c>
      <c r="W1834" cm="1">
        <f t="array" ref="W1834">_xlfn._xlws.FILTER(shifts!A:A,(shifts!B:B=events!D1834)*(shifts!AH:AH&gt;=events!U1834)*(shifts!AI:AI&lt;=events!V1834))</f>
        <v>65</v>
      </c>
      <c r="X1834" t="str">
        <f t="shared" si="695"/>
        <v>event_team_player_3</v>
      </c>
      <c r="Y1834">
        <f>COUNTIFS(A$3:A1834,"="&amp;A1834,K$3:K1834,"="&amp;K1834)</f>
        <v>3</v>
      </c>
      <c r="Z1834" s="20">
        <f>SUMIFS(T$3:T1834,L$3:L1834,"=Intermission")+SUMIFS(T$3:T1834,L$3:L1834,"=Timeout")+SUMIFS(T$3:T1834,L$3:L1834,"=Clockstop")</f>
        <v>138</v>
      </c>
      <c r="AA1834">
        <f t="shared" si="686"/>
        <v>2298</v>
      </c>
      <c r="AC1834">
        <f t="shared" si="687"/>
        <v>2436</v>
      </c>
    </row>
    <row r="1835" spans="1:29" x14ac:dyDescent="0.2">
      <c r="A1835">
        <v>989</v>
      </c>
      <c r="D1835">
        <f t="shared" si="688"/>
        <v>3</v>
      </c>
      <c r="E1835">
        <v>13</v>
      </c>
      <c r="F1835" s="6" t="s">
        <v>472</v>
      </c>
      <c r="G1835">
        <v>13</v>
      </c>
      <c r="H1835" s="8" t="s">
        <v>443</v>
      </c>
      <c r="I1835" t="s">
        <v>179</v>
      </c>
      <c r="J1835">
        <v>42</v>
      </c>
      <c r="K1835" t="s">
        <v>489</v>
      </c>
      <c r="L1835" t="s">
        <v>277</v>
      </c>
      <c r="M1835" t="s">
        <v>191</v>
      </c>
      <c r="N1835" t="s">
        <v>87</v>
      </c>
      <c r="Q1835">
        <f t="shared" ref="Q1835:S1835" si="731">Q1834</f>
        <v>18977</v>
      </c>
      <c r="R1835" t="str">
        <f t="shared" si="731"/>
        <v>Velodrome</v>
      </c>
      <c r="S1835" t="str">
        <f t="shared" si="731"/>
        <v>HollowBrook</v>
      </c>
      <c r="T1835" s="20">
        <f t="shared" si="692"/>
        <v>4</v>
      </c>
      <c r="U1835">
        <f t="shared" si="693"/>
        <v>810</v>
      </c>
      <c r="V1835">
        <f t="shared" si="694"/>
        <v>806</v>
      </c>
      <c r="W1835" cm="1">
        <f t="array" ref="W1835">_xlfn._xlws.FILTER(shifts!A:A,(shifts!B:B=events!D1835)*(shifts!AH:AH&gt;=events!U1835)*(shifts!AI:AI&lt;=events!V1835))</f>
        <v>65</v>
      </c>
      <c r="X1835" t="str">
        <f t="shared" si="695"/>
        <v>opp_team_player_1</v>
      </c>
      <c r="Y1835">
        <f>COUNTIFS(A$3:A1835,"="&amp;A1835,K$3:K1835,"="&amp;K1835)</f>
        <v>1</v>
      </c>
      <c r="Z1835" s="20">
        <f>SUMIFS(T$3:T1835,L$3:L1835,"=Intermission")+SUMIFS(T$3:T1835,L$3:L1835,"=Timeout")+SUMIFS(T$3:T1835,L$3:L1835,"=Clockstop")</f>
        <v>138</v>
      </c>
      <c r="AA1835">
        <f t="shared" si="686"/>
        <v>2298</v>
      </c>
      <c r="AC1835">
        <f t="shared" si="687"/>
        <v>2436</v>
      </c>
    </row>
    <row r="1836" spans="1:29" x14ac:dyDescent="0.2">
      <c r="A1836">
        <v>989</v>
      </c>
      <c r="D1836">
        <f t="shared" si="688"/>
        <v>3</v>
      </c>
      <c r="E1836">
        <v>13</v>
      </c>
      <c r="F1836" s="6" t="s">
        <v>472</v>
      </c>
      <c r="G1836">
        <v>13</v>
      </c>
      <c r="H1836" s="8" t="s">
        <v>443</v>
      </c>
      <c r="I1836" t="s">
        <v>179</v>
      </c>
      <c r="J1836">
        <v>84</v>
      </c>
      <c r="K1836" t="s">
        <v>489</v>
      </c>
      <c r="L1836" t="s">
        <v>277</v>
      </c>
      <c r="M1836" t="s">
        <v>191</v>
      </c>
      <c r="N1836" t="s">
        <v>87</v>
      </c>
      <c r="Q1836">
        <f t="shared" ref="Q1836:S1836" si="732">Q1835</f>
        <v>18977</v>
      </c>
      <c r="R1836" t="str">
        <f t="shared" si="732"/>
        <v>Velodrome</v>
      </c>
      <c r="S1836" t="str">
        <f t="shared" si="732"/>
        <v>HollowBrook</v>
      </c>
      <c r="T1836" s="20">
        <f t="shared" si="692"/>
        <v>4</v>
      </c>
      <c r="U1836">
        <f t="shared" si="693"/>
        <v>810</v>
      </c>
      <c r="V1836">
        <f t="shared" si="694"/>
        <v>806</v>
      </c>
      <c r="W1836" cm="1">
        <f t="array" ref="W1836">_xlfn._xlws.FILTER(shifts!A:A,(shifts!B:B=events!D1836)*(shifts!AH:AH&gt;=events!U1836)*(shifts!AI:AI&lt;=events!V1836))</f>
        <v>65</v>
      </c>
      <c r="X1836" t="str">
        <f t="shared" si="695"/>
        <v>opp_team_player_2</v>
      </c>
      <c r="Y1836">
        <f>COUNTIFS(A$3:A1836,"="&amp;A1836,K$3:K1836,"="&amp;K1836)</f>
        <v>2</v>
      </c>
      <c r="Z1836" s="20">
        <f>SUMIFS(T$3:T1836,L$3:L1836,"=Intermission")+SUMIFS(T$3:T1836,L$3:L1836,"=Timeout")+SUMIFS(T$3:T1836,L$3:L1836,"=Clockstop")</f>
        <v>138</v>
      </c>
      <c r="AA1836">
        <f t="shared" si="686"/>
        <v>2298</v>
      </c>
      <c r="AC1836">
        <f t="shared" si="687"/>
        <v>2436</v>
      </c>
    </row>
    <row r="1837" spans="1:29" x14ac:dyDescent="0.2">
      <c r="A1837">
        <v>989</v>
      </c>
      <c r="D1837">
        <f t="shared" si="688"/>
        <v>3</v>
      </c>
      <c r="E1837">
        <v>13</v>
      </c>
      <c r="F1837" s="6" t="s">
        <v>472</v>
      </c>
      <c r="G1837">
        <v>13</v>
      </c>
      <c r="H1837" s="8" t="s">
        <v>443</v>
      </c>
      <c r="I1837" t="s">
        <v>179</v>
      </c>
      <c r="J1837">
        <v>22</v>
      </c>
      <c r="K1837" t="s">
        <v>489</v>
      </c>
      <c r="L1837" t="s">
        <v>277</v>
      </c>
      <c r="M1837" t="s">
        <v>191</v>
      </c>
      <c r="N1837" t="s">
        <v>87</v>
      </c>
      <c r="Q1837">
        <f t="shared" ref="Q1837:S1837" si="733">Q1836</f>
        <v>18977</v>
      </c>
      <c r="R1837" t="str">
        <f t="shared" si="733"/>
        <v>Velodrome</v>
      </c>
      <c r="S1837" t="str">
        <f t="shared" si="733"/>
        <v>HollowBrook</v>
      </c>
      <c r="T1837" s="20">
        <f t="shared" si="692"/>
        <v>4</v>
      </c>
      <c r="U1837">
        <f t="shared" si="693"/>
        <v>810</v>
      </c>
      <c r="V1837">
        <f t="shared" si="694"/>
        <v>806</v>
      </c>
      <c r="W1837" cm="1">
        <f t="array" ref="W1837">_xlfn._xlws.FILTER(shifts!A:A,(shifts!B:B=events!D1837)*(shifts!AH:AH&gt;=events!U1837)*(shifts!AI:AI&lt;=events!V1837))</f>
        <v>65</v>
      </c>
      <c r="X1837" t="str">
        <f t="shared" si="695"/>
        <v>opp_team_player_3</v>
      </c>
      <c r="Y1837">
        <f>COUNTIFS(A$3:A1837,"="&amp;A1837,K$3:K1837,"="&amp;K1837)</f>
        <v>3</v>
      </c>
      <c r="Z1837" s="20">
        <f>SUMIFS(T$3:T1837,L$3:L1837,"=Intermission")+SUMIFS(T$3:T1837,L$3:L1837,"=Timeout")+SUMIFS(T$3:T1837,L$3:L1837,"=Clockstop")</f>
        <v>138</v>
      </c>
      <c r="AA1837">
        <f t="shared" si="686"/>
        <v>2298</v>
      </c>
      <c r="AC1837">
        <f t="shared" si="687"/>
        <v>2436</v>
      </c>
    </row>
    <row r="1838" spans="1:29" x14ac:dyDescent="0.2">
      <c r="A1838">
        <v>990</v>
      </c>
      <c r="D1838">
        <f t="shared" si="688"/>
        <v>3</v>
      </c>
      <c r="E1838">
        <v>13</v>
      </c>
      <c r="F1838" s="6" t="s">
        <v>443</v>
      </c>
      <c r="I1838" t="s">
        <v>179</v>
      </c>
      <c r="J1838">
        <v>27</v>
      </c>
      <c r="K1838" t="s">
        <v>488</v>
      </c>
      <c r="L1838" t="s">
        <v>8</v>
      </c>
      <c r="M1838" t="s">
        <v>189</v>
      </c>
      <c r="N1838" t="s">
        <v>70</v>
      </c>
      <c r="Q1838">
        <f t="shared" ref="Q1838:S1838" si="734">Q1837</f>
        <v>18977</v>
      </c>
      <c r="R1838" t="str">
        <f t="shared" si="734"/>
        <v>Velodrome</v>
      </c>
      <c r="S1838" t="str">
        <f t="shared" si="734"/>
        <v>HollowBrook</v>
      </c>
      <c r="T1838" s="20">
        <f t="shared" si="692"/>
        <v>0</v>
      </c>
      <c r="U1838">
        <f t="shared" si="693"/>
        <v>806</v>
      </c>
      <c r="V1838">
        <f t="shared" si="694"/>
        <v>806</v>
      </c>
      <c r="W1838" cm="1">
        <f t="array" ref="W1838">_xlfn._xlws.FILTER(shifts!A:A,(shifts!B:B=events!D1838)*(shifts!AH:AH&gt;=events!U1838)*(shifts!AI:AI&lt;=events!V1838))</f>
        <v>65</v>
      </c>
      <c r="X1838" t="str">
        <f t="shared" si="695"/>
        <v>event_team_player_1</v>
      </c>
      <c r="Y1838">
        <f>COUNTIFS(A$3:A1838,"="&amp;A1838,K$3:K1838,"="&amp;K1838)</f>
        <v>1</v>
      </c>
      <c r="Z1838" s="20">
        <f>SUMIFS(T$3:T1838,L$3:L1838,"=Intermission")+SUMIFS(T$3:T1838,L$3:L1838,"=Timeout")+SUMIFS(T$3:T1838,L$3:L1838,"=Clockstop")</f>
        <v>138</v>
      </c>
      <c r="AA1838">
        <f t="shared" si="686"/>
        <v>2298</v>
      </c>
      <c r="AC1838">
        <f t="shared" si="687"/>
        <v>2436</v>
      </c>
    </row>
    <row r="1839" spans="1:29" x14ac:dyDescent="0.2">
      <c r="A1839">
        <v>990</v>
      </c>
      <c r="D1839">
        <f t="shared" si="688"/>
        <v>3</v>
      </c>
      <c r="E1839">
        <v>13</v>
      </c>
      <c r="F1839" s="6" t="s">
        <v>443</v>
      </c>
      <c r="I1839" t="s">
        <v>179</v>
      </c>
      <c r="J1839">
        <v>22</v>
      </c>
      <c r="K1839" t="s">
        <v>488</v>
      </c>
      <c r="L1839" t="s">
        <v>8</v>
      </c>
      <c r="M1839" t="s">
        <v>189</v>
      </c>
      <c r="N1839" t="s">
        <v>70</v>
      </c>
      <c r="Q1839">
        <f t="shared" ref="Q1839:S1839" si="735">Q1838</f>
        <v>18977</v>
      </c>
      <c r="R1839" t="str">
        <f t="shared" si="735"/>
        <v>Velodrome</v>
      </c>
      <c r="S1839" t="str">
        <f t="shared" si="735"/>
        <v>HollowBrook</v>
      </c>
      <c r="T1839" s="20">
        <f t="shared" si="692"/>
        <v>0</v>
      </c>
      <c r="U1839">
        <f t="shared" si="693"/>
        <v>806</v>
      </c>
      <c r="V1839">
        <f t="shared" si="694"/>
        <v>806</v>
      </c>
      <c r="W1839" cm="1">
        <f t="array" ref="W1839">_xlfn._xlws.FILTER(shifts!A:A,(shifts!B:B=events!D1839)*(shifts!AH:AH&gt;=events!U1839)*(shifts!AI:AI&lt;=events!V1839))</f>
        <v>65</v>
      </c>
      <c r="X1839" t="str">
        <f t="shared" si="695"/>
        <v>event_team_player_2</v>
      </c>
      <c r="Y1839">
        <f>COUNTIFS(A$3:A1839,"="&amp;A1839,K$3:K1839,"="&amp;K1839)</f>
        <v>2</v>
      </c>
      <c r="Z1839" s="20">
        <f>SUMIFS(T$3:T1839,L$3:L1839,"=Intermission")+SUMIFS(T$3:T1839,L$3:L1839,"=Timeout")+SUMIFS(T$3:T1839,L$3:L1839,"=Clockstop")</f>
        <v>138</v>
      </c>
      <c r="AA1839">
        <f t="shared" si="686"/>
        <v>2298</v>
      </c>
      <c r="AC1839">
        <f t="shared" si="687"/>
        <v>2436</v>
      </c>
    </row>
    <row r="1840" spans="1:29" x14ac:dyDescent="0.2">
      <c r="A1840">
        <v>990</v>
      </c>
      <c r="D1840">
        <f t="shared" si="688"/>
        <v>3</v>
      </c>
      <c r="E1840">
        <v>13</v>
      </c>
      <c r="F1840" s="6" t="s">
        <v>443</v>
      </c>
      <c r="I1840" t="s">
        <v>179</v>
      </c>
      <c r="J1840">
        <v>91</v>
      </c>
      <c r="K1840" t="s">
        <v>489</v>
      </c>
      <c r="L1840" t="s">
        <v>8</v>
      </c>
      <c r="M1840" t="s">
        <v>189</v>
      </c>
      <c r="N1840" t="s">
        <v>70</v>
      </c>
      <c r="Q1840">
        <f t="shared" ref="Q1840:S1840" si="736">Q1839</f>
        <v>18977</v>
      </c>
      <c r="R1840" t="str">
        <f t="shared" si="736"/>
        <v>Velodrome</v>
      </c>
      <c r="S1840" t="str">
        <f t="shared" si="736"/>
        <v>HollowBrook</v>
      </c>
      <c r="T1840" s="20">
        <f t="shared" si="692"/>
        <v>0</v>
      </c>
      <c r="U1840">
        <f t="shared" si="693"/>
        <v>806</v>
      </c>
      <c r="V1840">
        <f t="shared" si="694"/>
        <v>806</v>
      </c>
      <c r="W1840" cm="1">
        <f t="array" ref="W1840">_xlfn._xlws.FILTER(shifts!A:A,(shifts!B:B=events!D1840)*(shifts!AH:AH&gt;=events!U1840)*(shifts!AI:AI&lt;=events!V1840))</f>
        <v>65</v>
      </c>
      <c r="X1840" t="str">
        <f t="shared" si="695"/>
        <v>opp_team_player_1</v>
      </c>
      <c r="Y1840">
        <f>COUNTIFS(A$3:A1840,"="&amp;A1840,K$3:K1840,"="&amp;K1840)</f>
        <v>1</v>
      </c>
      <c r="Z1840" s="20">
        <f>SUMIFS(T$3:T1840,L$3:L1840,"=Intermission")+SUMIFS(T$3:T1840,L$3:L1840,"=Timeout")+SUMIFS(T$3:T1840,L$3:L1840,"=Clockstop")</f>
        <v>138</v>
      </c>
      <c r="AA1840">
        <f t="shared" si="686"/>
        <v>2298</v>
      </c>
      <c r="AC1840">
        <f t="shared" si="687"/>
        <v>2436</v>
      </c>
    </row>
    <row r="1841" spans="1:29" x14ac:dyDescent="0.2">
      <c r="A1841">
        <v>991</v>
      </c>
      <c r="D1841">
        <f t="shared" si="688"/>
        <v>3</v>
      </c>
      <c r="E1841">
        <v>13</v>
      </c>
      <c r="F1841" s="6" t="s">
        <v>443</v>
      </c>
      <c r="I1841" t="s">
        <v>179</v>
      </c>
      <c r="J1841">
        <v>22</v>
      </c>
      <c r="K1841" t="s">
        <v>488</v>
      </c>
      <c r="L1841" t="s">
        <v>7</v>
      </c>
      <c r="M1841" t="s">
        <v>224</v>
      </c>
      <c r="N1841" t="s">
        <v>56</v>
      </c>
      <c r="Q1841">
        <f t="shared" ref="Q1841:S1841" si="737">Q1840</f>
        <v>18977</v>
      </c>
      <c r="R1841" t="str">
        <f t="shared" si="737"/>
        <v>Velodrome</v>
      </c>
      <c r="S1841" t="str">
        <f t="shared" si="737"/>
        <v>HollowBrook</v>
      </c>
      <c r="T1841" s="20">
        <f t="shared" si="692"/>
        <v>0</v>
      </c>
      <c r="U1841">
        <f t="shared" si="693"/>
        <v>806</v>
      </c>
      <c r="V1841">
        <f t="shared" si="694"/>
        <v>806</v>
      </c>
      <c r="W1841" cm="1">
        <f t="array" ref="W1841">_xlfn._xlws.FILTER(shifts!A:A,(shifts!B:B=events!D1841)*(shifts!AH:AH&gt;=events!U1841)*(shifts!AI:AI&lt;=events!V1841))</f>
        <v>65</v>
      </c>
      <c r="X1841" t="str">
        <f t="shared" si="695"/>
        <v>event_team_player_1</v>
      </c>
      <c r="Y1841">
        <f>COUNTIFS(A$3:A1841,"="&amp;A1841,K$3:K1841,"="&amp;K1841)</f>
        <v>1</v>
      </c>
      <c r="Z1841" s="20">
        <f>SUMIFS(T$3:T1841,L$3:L1841,"=Intermission")+SUMIFS(T$3:T1841,L$3:L1841,"=Timeout")+SUMIFS(T$3:T1841,L$3:L1841,"=Clockstop")</f>
        <v>138</v>
      </c>
      <c r="AA1841">
        <f t="shared" si="686"/>
        <v>2298</v>
      </c>
      <c r="AC1841">
        <f t="shared" si="687"/>
        <v>2436</v>
      </c>
    </row>
    <row r="1842" spans="1:29" x14ac:dyDescent="0.2">
      <c r="A1842">
        <v>991</v>
      </c>
      <c r="D1842">
        <f t="shared" si="688"/>
        <v>3</v>
      </c>
      <c r="E1842">
        <v>13</v>
      </c>
      <c r="F1842" s="6" t="s">
        <v>443</v>
      </c>
      <c r="I1842" t="s">
        <v>179</v>
      </c>
      <c r="J1842">
        <v>39</v>
      </c>
      <c r="K1842" t="s">
        <v>489</v>
      </c>
      <c r="L1842" t="s">
        <v>7</v>
      </c>
      <c r="M1842" t="s">
        <v>224</v>
      </c>
      <c r="N1842" t="s">
        <v>56</v>
      </c>
      <c r="Q1842">
        <f t="shared" ref="Q1842:S1842" si="738">Q1841</f>
        <v>18977</v>
      </c>
      <c r="R1842" t="str">
        <f t="shared" si="738"/>
        <v>Velodrome</v>
      </c>
      <c r="S1842" t="str">
        <f t="shared" si="738"/>
        <v>HollowBrook</v>
      </c>
      <c r="T1842" s="20">
        <f t="shared" si="692"/>
        <v>0</v>
      </c>
      <c r="U1842">
        <f t="shared" si="693"/>
        <v>806</v>
      </c>
      <c r="V1842">
        <f t="shared" si="694"/>
        <v>806</v>
      </c>
      <c r="W1842" cm="1">
        <f t="array" ref="W1842">_xlfn._xlws.FILTER(shifts!A:A,(shifts!B:B=events!D1842)*(shifts!AH:AH&gt;=events!U1842)*(shifts!AI:AI&lt;=events!V1842))</f>
        <v>65</v>
      </c>
      <c r="X1842" t="str">
        <f t="shared" si="695"/>
        <v>opp_team_player_1</v>
      </c>
      <c r="Y1842">
        <f>COUNTIFS(A$3:A1842,"="&amp;A1842,K$3:K1842,"="&amp;K1842)</f>
        <v>1</v>
      </c>
      <c r="Z1842" s="20">
        <f>SUMIFS(T$3:T1842,L$3:L1842,"=Intermission")+SUMIFS(T$3:T1842,L$3:L1842,"=Timeout")+SUMIFS(T$3:T1842,L$3:L1842,"=Clockstop")</f>
        <v>138</v>
      </c>
      <c r="AA1842">
        <f t="shared" si="686"/>
        <v>2298</v>
      </c>
      <c r="AC1842">
        <f t="shared" si="687"/>
        <v>2436</v>
      </c>
    </row>
    <row r="1843" spans="1:29" x14ac:dyDescent="0.2">
      <c r="A1843">
        <v>992</v>
      </c>
      <c r="D1843">
        <f t="shared" si="688"/>
        <v>3</v>
      </c>
      <c r="E1843">
        <v>13</v>
      </c>
      <c r="F1843" s="6" t="s">
        <v>443</v>
      </c>
      <c r="I1843" t="s">
        <v>178</v>
      </c>
      <c r="J1843">
        <v>39</v>
      </c>
      <c r="K1843" t="s">
        <v>488</v>
      </c>
      <c r="L1843" t="s">
        <v>17</v>
      </c>
      <c r="M1843" t="s">
        <v>206</v>
      </c>
      <c r="N1843" t="s">
        <v>102</v>
      </c>
      <c r="Q1843">
        <f t="shared" ref="Q1843:S1843" si="739">Q1842</f>
        <v>18977</v>
      </c>
      <c r="R1843" t="str">
        <f t="shared" si="739"/>
        <v>Velodrome</v>
      </c>
      <c r="S1843" t="str">
        <f t="shared" si="739"/>
        <v>HollowBrook</v>
      </c>
      <c r="T1843" s="20">
        <f t="shared" si="692"/>
        <v>0</v>
      </c>
      <c r="U1843">
        <f t="shared" si="693"/>
        <v>806</v>
      </c>
      <c r="V1843">
        <f t="shared" si="694"/>
        <v>806</v>
      </c>
      <c r="W1843" cm="1">
        <f t="array" ref="W1843">_xlfn._xlws.FILTER(shifts!A:A,(shifts!B:B=events!D1843)*(shifts!AH:AH&gt;=events!U1843)*(shifts!AI:AI&lt;=events!V1843))</f>
        <v>65</v>
      </c>
      <c r="X1843" t="str">
        <f t="shared" si="695"/>
        <v>event_team_player_1</v>
      </c>
      <c r="Y1843">
        <f>COUNTIFS(A$3:A1843,"="&amp;A1843,K$3:K1843,"="&amp;K1843)</f>
        <v>1</v>
      </c>
      <c r="Z1843" s="20">
        <f>SUMIFS(T$3:T1843,L$3:L1843,"=Intermission")+SUMIFS(T$3:T1843,L$3:L1843,"=Timeout")+SUMIFS(T$3:T1843,L$3:L1843,"=Clockstop")</f>
        <v>138</v>
      </c>
      <c r="AA1843">
        <f t="shared" si="686"/>
        <v>2298</v>
      </c>
      <c r="AC1843">
        <f t="shared" si="687"/>
        <v>2436</v>
      </c>
    </row>
    <row r="1844" spans="1:29" x14ac:dyDescent="0.2">
      <c r="A1844">
        <v>992</v>
      </c>
      <c r="D1844">
        <f t="shared" si="688"/>
        <v>3</v>
      </c>
      <c r="E1844">
        <v>13</v>
      </c>
      <c r="F1844" s="6" t="s">
        <v>443</v>
      </c>
      <c r="I1844" t="s">
        <v>178</v>
      </c>
      <c r="J1844">
        <v>22</v>
      </c>
      <c r="K1844" t="s">
        <v>489</v>
      </c>
      <c r="L1844" t="s">
        <v>17</v>
      </c>
      <c r="M1844" t="s">
        <v>206</v>
      </c>
      <c r="N1844" t="s">
        <v>102</v>
      </c>
      <c r="Q1844">
        <f t="shared" ref="Q1844:S1844" si="740">Q1843</f>
        <v>18977</v>
      </c>
      <c r="R1844" t="str">
        <f t="shared" si="740"/>
        <v>Velodrome</v>
      </c>
      <c r="S1844" t="str">
        <f t="shared" si="740"/>
        <v>HollowBrook</v>
      </c>
      <c r="T1844" s="20">
        <f t="shared" si="692"/>
        <v>0</v>
      </c>
      <c r="U1844">
        <f t="shared" si="693"/>
        <v>806</v>
      </c>
      <c r="V1844">
        <f t="shared" si="694"/>
        <v>806</v>
      </c>
      <c r="W1844" cm="1">
        <f t="array" ref="W1844">_xlfn._xlws.FILTER(shifts!A:A,(shifts!B:B=events!D1844)*(shifts!AH:AH&gt;=events!U1844)*(shifts!AI:AI&lt;=events!V1844))</f>
        <v>65</v>
      </c>
      <c r="X1844" t="str">
        <f t="shared" si="695"/>
        <v>opp_team_player_1</v>
      </c>
      <c r="Y1844">
        <f>COUNTIFS(A$3:A1844,"="&amp;A1844,K$3:K1844,"="&amp;K1844)</f>
        <v>1</v>
      </c>
      <c r="Z1844" s="20">
        <f>SUMIFS(T$3:T1844,L$3:L1844,"=Intermission")+SUMIFS(T$3:T1844,L$3:L1844,"=Timeout")+SUMIFS(T$3:T1844,L$3:L1844,"=Clockstop")</f>
        <v>138</v>
      </c>
      <c r="AA1844">
        <f t="shared" si="686"/>
        <v>2298</v>
      </c>
      <c r="AC1844">
        <f t="shared" si="687"/>
        <v>2436</v>
      </c>
    </row>
    <row r="1845" spans="1:29" x14ac:dyDescent="0.2">
      <c r="A1845">
        <v>993</v>
      </c>
      <c r="D1845">
        <f t="shared" si="688"/>
        <v>3</v>
      </c>
      <c r="E1845">
        <v>13</v>
      </c>
      <c r="F1845" s="6" t="s">
        <v>443</v>
      </c>
      <c r="I1845" t="s">
        <v>178</v>
      </c>
      <c r="J1845">
        <v>39</v>
      </c>
      <c r="K1845" t="s">
        <v>488</v>
      </c>
      <c r="L1845" t="s">
        <v>13</v>
      </c>
      <c r="M1845" t="s">
        <v>204</v>
      </c>
      <c r="N1845" t="s">
        <v>110</v>
      </c>
      <c r="Q1845">
        <f t="shared" ref="Q1845:S1845" si="741">Q1844</f>
        <v>18977</v>
      </c>
      <c r="R1845" t="str">
        <f t="shared" si="741"/>
        <v>Velodrome</v>
      </c>
      <c r="S1845" t="str">
        <f t="shared" si="741"/>
        <v>HollowBrook</v>
      </c>
      <c r="T1845" s="20">
        <f t="shared" si="692"/>
        <v>0</v>
      </c>
      <c r="U1845">
        <f t="shared" si="693"/>
        <v>806</v>
      </c>
      <c r="V1845">
        <f t="shared" si="694"/>
        <v>806</v>
      </c>
      <c r="W1845" cm="1">
        <f t="array" ref="W1845">_xlfn._xlws.FILTER(shifts!A:A,(shifts!B:B=events!D1845)*(shifts!AH:AH&gt;=events!U1845)*(shifts!AI:AI&lt;=events!V1845))</f>
        <v>65</v>
      </c>
      <c r="X1845" t="str">
        <f t="shared" si="695"/>
        <v>event_team_player_1</v>
      </c>
      <c r="Y1845">
        <f>COUNTIFS(A$3:A1845,"="&amp;A1845,K$3:K1845,"="&amp;K1845)</f>
        <v>1</v>
      </c>
      <c r="Z1845" s="20">
        <f>SUMIFS(T$3:T1845,L$3:L1845,"=Intermission")+SUMIFS(T$3:T1845,L$3:L1845,"=Timeout")+SUMIFS(T$3:T1845,L$3:L1845,"=Clockstop")</f>
        <v>138</v>
      </c>
      <c r="AA1845">
        <f t="shared" si="686"/>
        <v>2298</v>
      </c>
      <c r="AC1845">
        <f t="shared" si="687"/>
        <v>2436</v>
      </c>
    </row>
    <row r="1846" spans="1:29" x14ac:dyDescent="0.2">
      <c r="A1846">
        <v>994</v>
      </c>
      <c r="D1846">
        <f t="shared" si="688"/>
        <v>3</v>
      </c>
      <c r="E1846">
        <v>13</v>
      </c>
      <c r="F1846" s="6" t="s">
        <v>443</v>
      </c>
      <c r="I1846" t="s">
        <v>178</v>
      </c>
      <c r="J1846">
        <v>39</v>
      </c>
      <c r="K1846" t="s">
        <v>488</v>
      </c>
      <c r="L1846" t="s">
        <v>282</v>
      </c>
      <c r="Q1846">
        <f t="shared" ref="Q1846:S1846" si="742">Q1845</f>
        <v>18977</v>
      </c>
      <c r="R1846" t="str">
        <f t="shared" si="742"/>
        <v>Velodrome</v>
      </c>
      <c r="S1846" t="str">
        <f t="shared" si="742"/>
        <v>HollowBrook</v>
      </c>
      <c r="T1846" s="20">
        <f t="shared" si="692"/>
        <v>0</v>
      </c>
      <c r="U1846">
        <f t="shared" si="693"/>
        <v>806</v>
      </c>
      <c r="V1846">
        <f t="shared" si="694"/>
        <v>806</v>
      </c>
      <c r="W1846" cm="1">
        <f t="array" ref="W1846">_xlfn._xlws.FILTER(shifts!A:A,(shifts!B:B=events!D1846)*(shifts!AH:AH&gt;=events!U1846)*(shifts!AI:AI&lt;=events!V1846))</f>
        <v>65</v>
      </c>
      <c r="X1846" t="str">
        <f t="shared" si="695"/>
        <v>event_team_player_1</v>
      </c>
      <c r="Y1846">
        <f>COUNTIFS(A$3:A1846,"="&amp;A1846,K$3:K1846,"="&amp;K1846)</f>
        <v>1</v>
      </c>
      <c r="Z1846" s="20">
        <f>SUMIFS(T$3:T1846,L$3:L1846,"=Intermission")+SUMIFS(T$3:T1846,L$3:L1846,"=Timeout")+SUMIFS(T$3:T1846,L$3:L1846,"=Clockstop")</f>
        <v>138</v>
      </c>
      <c r="AA1846">
        <f t="shared" si="686"/>
        <v>2298</v>
      </c>
      <c r="AC1846">
        <f t="shared" si="687"/>
        <v>2436</v>
      </c>
    </row>
    <row r="1847" spans="1:29" x14ac:dyDescent="0.2">
      <c r="A1847">
        <v>995</v>
      </c>
      <c r="D1847">
        <f t="shared" si="688"/>
        <v>3</v>
      </c>
      <c r="E1847">
        <v>13</v>
      </c>
      <c r="F1847" s="6" t="s">
        <v>311</v>
      </c>
      <c r="I1847" t="s">
        <v>179</v>
      </c>
      <c r="J1847">
        <v>26</v>
      </c>
      <c r="K1847" t="s">
        <v>488</v>
      </c>
      <c r="L1847" t="s">
        <v>6</v>
      </c>
      <c r="M1847" t="s">
        <v>275</v>
      </c>
      <c r="Q1847">
        <f t="shared" ref="Q1847:S1847" si="743">Q1846</f>
        <v>18977</v>
      </c>
      <c r="R1847" t="str">
        <f t="shared" si="743"/>
        <v>Velodrome</v>
      </c>
      <c r="S1847" t="str">
        <f t="shared" si="743"/>
        <v>HollowBrook</v>
      </c>
      <c r="T1847" s="20">
        <f t="shared" si="692"/>
        <v>0</v>
      </c>
      <c r="U1847">
        <f t="shared" si="693"/>
        <v>783</v>
      </c>
      <c r="V1847">
        <f t="shared" si="694"/>
        <v>783</v>
      </c>
      <c r="W1847" cm="1">
        <f t="array" ref="W1847">_xlfn._xlws.FILTER(shifts!A:A,(shifts!B:B=events!D1847)*(shifts!AH:AH&gt;=events!U1847)*(shifts!AI:AI&lt;=events!V1847))</f>
        <v>65</v>
      </c>
      <c r="X1847" t="str">
        <f t="shared" si="695"/>
        <v>event_team_player_1</v>
      </c>
      <c r="Y1847">
        <f>COUNTIFS(A$3:A1847,"="&amp;A1847,K$3:K1847,"="&amp;K1847)</f>
        <v>1</v>
      </c>
      <c r="Z1847" s="20">
        <f>SUMIFS(T$3:T1847,L$3:L1847,"=Intermission")+SUMIFS(T$3:T1847,L$3:L1847,"=Timeout")+SUMIFS(T$3:T1847,L$3:L1847,"=Clockstop")</f>
        <v>138</v>
      </c>
      <c r="AA1847">
        <f t="shared" si="686"/>
        <v>2298</v>
      </c>
      <c r="AC1847">
        <f t="shared" si="687"/>
        <v>2436</v>
      </c>
    </row>
    <row r="1848" spans="1:29" x14ac:dyDescent="0.2">
      <c r="A1848">
        <v>995</v>
      </c>
      <c r="D1848">
        <f t="shared" si="688"/>
        <v>3</v>
      </c>
      <c r="E1848">
        <v>13</v>
      </c>
      <c r="F1848" s="6" t="s">
        <v>311</v>
      </c>
      <c r="I1848" t="s">
        <v>179</v>
      </c>
      <c r="J1848">
        <v>40</v>
      </c>
      <c r="K1848" t="s">
        <v>488</v>
      </c>
      <c r="L1848" t="s">
        <v>6</v>
      </c>
      <c r="M1848" t="s">
        <v>275</v>
      </c>
      <c r="Q1848">
        <f t="shared" ref="Q1848:S1848" si="744">Q1847</f>
        <v>18977</v>
      </c>
      <c r="R1848" t="str">
        <f t="shared" si="744"/>
        <v>Velodrome</v>
      </c>
      <c r="S1848" t="str">
        <f t="shared" si="744"/>
        <v>HollowBrook</v>
      </c>
      <c r="T1848" s="20">
        <f t="shared" si="692"/>
        <v>0</v>
      </c>
      <c r="U1848">
        <f t="shared" si="693"/>
        <v>783</v>
      </c>
      <c r="V1848">
        <f t="shared" si="694"/>
        <v>783</v>
      </c>
      <c r="W1848" cm="1">
        <f t="array" ref="W1848">_xlfn._xlws.FILTER(shifts!A:A,(shifts!B:B=events!D1848)*(shifts!AH:AH&gt;=events!U1848)*(shifts!AI:AI&lt;=events!V1848))</f>
        <v>65</v>
      </c>
      <c r="X1848" t="str">
        <f t="shared" si="695"/>
        <v>event_team_player_2</v>
      </c>
      <c r="Y1848">
        <f>COUNTIFS(A$3:A1848,"="&amp;A1848,K$3:K1848,"="&amp;K1848)</f>
        <v>2</v>
      </c>
      <c r="Z1848" s="20">
        <f>SUMIFS(T$3:T1848,L$3:L1848,"=Intermission")+SUMIFS(T$3:T1848,L$3:L1848,"=Timeout")+SUMIFS(T$3:T1848,L$3:L1848,"=Clockstop")</f>
        <v>138</v>
      </c>
      <c r="AA1848">
        <f t="shared" si="686"/>
        <v>2298</v>
      </c>
      <c r="AC1848">
        <f t="shared" si="687"/>
        <v>2436</v>
      </c>
    </row>
    <row r="1849" spans="1:29" x14ac:dyDescent="0.2">
      <c r="A1849">
        <v>995</v>
      </c>
      <c r="D1849">
        <f t="shared" si="688"/>
        <v>3</v>
      </c>
      <c r="E1849">
        <v>13</v>
      </c>
      <c r="F1849" s="6" t="s">
        <v>311</v>
      </c>
      <c r="I1849" t="s">
        <v>179</v>
      </c>
      <c r="J1849">
        <v>42</v>
      </c>
      <c r="K1849" t="s">
        <v>489</v>
      </c>
      <c r="L1849" t="s">
        <v>6</v>
      </c>
      <c r="M1849" t="s">
        <v>275</v>
      </c>
      <c r="Q1849">
        <f t="shared" ref="Q1849:S1849" si="745">Q1848</f>
        <v>18977</v>
      </c>
      <c r="R1849" t="str">
        <f t="shared" si="745"/>
        <v>Velodrome</v>
      </c>
      <c r="S1849" t="str">
        <f t="shared" si="745"/>
        <v>HollowBrook</v>
      </c>
      <c r="T1849" s="20">
        <f t="shared" si="692"/>
        <v>0</v>
      </c>
      <c r="U1849">
        <f t="shared" si="693"/>
        <v>783</v>
      </c>
      <c r="V1849">
        <f t="shared" si="694"/>
        <v>783</v>
      </c>
      <c r="W1849" cm="1">
        <f t="array" ref="W1849">_xlfn._xlws.FILTER(shifts!A:A,(shifts!B:B=events!D1849)*(shifts!AH:AH&gt;=events!U1849)*(shifts!AI:AI&lt;=events!V1849))</f>
        <v>65</v>
      </c>
      <c r="X1849" t="str">
        <f t="shared" si="695"/>
        <v>opp_team_player_1</v>
      </c>
      <c r="Y1849">
        <f>COUNTIFS(A$3:A1849,"="&amp;A1849,K$3:K1849,"="&amp;K1849)</f>
        <v>1</v>
      </c>
      <c r="Z1849" s="20">
        <f>SUMIFS(T$3:T1849,L$3:L1849,"=Intermission")+SUMIFS(T$3:T1849,L$3:L1849,"=Timeout")+SUMIFS(T$3:T1849,L$3:L1849,"=Clockstop")</f>
        <v>138</v>
      </c>
      <c r="AA1849">
        <f t="shared" si="686"/>
        <v>2298</v>
      </c>
      <c r="AC1849">
        <f t="shared" si="687"/>
        <v>2436</v>
      </c>
    </row>
    <row r="1850" spans="1:29" x14ac:dyDescent="0.2">
      <c r="A1850">
        <v>996</v>
      </c>
      <c r="D1850">
        <f t="shared" si="688"/>
        <v>3</v>
      </c>
      <c r="E1850">
        <v>13</v>
      </c>
      <c r="F1850" s="6" t="s">
        <v>316</v>
      </c>
      <c r="I1850" t="s">
        <v>179</v>
      </c>
      <c r="J1850">
        <v>40</v>
      </c>
      <c r="K1850" t="s">
        <v>488</v>
      </c>
      <c r="L1850" t="s">
        <v>7</v>
      </c>
      <c r="M1850" t="s">
        <v>198</v>
      </c>
      <c r="N1850" t="s">
        <v>53</v>
      </c>
      <c r="Q1850">
        <f t="shared" ref="Q1850:S1850" si="746">Q1849</f>
        <v>18977</v>
      </c>
      <c r="R1850" t="str">
        <f t="shared" si="746"/>
        <v>Velodrome</v>
      </c>
      <c r="S1850" t="str">
        <f t="shared" si="746"/>
        <v>HollowBrook</v>
      </c>
      <c r="T1850" s="20">
        <f t="shared" si="692"/>
        <v>0</v>
      </c>
      <c r="U1850">
        <f t="shared" si="693"/>
        <v>782</v>
      </c>
      <c r="V1850">
        <f t="shared" si="694"/>
        <v>782</v>
      </c>
      <c r="W1850" cm="1">
        <f t="array" ref="W1850">_xlfn._xlws.FILTER(shifts!A:A,(shifts!B:B=events!D1850)*(shifts!AH:AH&gt;=events!U1850)*(shifts!AI:AI&lt;=events!V1850))</f>
        <v>65</v>
      </c>
      <c r="X1850" t="str">
        <f t="shared" si="695"/>
        <v>event_team_player_1</v>
      </c>
      <c r="Y1850">
        <f>COUNTIFS(A$3:A1850,"="&amp;A1850,K$3:K1850,"="&amp;K1850)</f>
        <v>1</v>
      </c>
      <c r="Z1850" s="20">
        <f>SUMIFS(T$3:T1850,L$3:L1850,"=Intermission")+SUMIFS(T$3:T1850,L$3:L1850,"=Timeout")+SUMIFS(T$3:T1850,L$3:L1850,"=Clockstop")</f>
        <v>138</v>
      </c>
      <c r="AA1850">
        <f t="shared" si="686"/>
        <v>2298</v>
      </c>
      <c r="AC1850">
        <f t="shared" si="687"/>
        <v>2436</v>
      </c>
    </row>
    <row r="1851" spans="1:29" x14ac:dyDescent="0.2">
      <c r="A1851">
        <v>996</v>
      </c>
      <c r="D1851">
        <f t="shared" si="688"/>
        <v>3</v>
      </c>
      <c r="E1851">
        <v>13</v>
      </c>
      <c r="F1851" s="6" t="s">
        <v>316</v>
      </c>
      <c r="I1851" t="s">
        <v>179</v>
      </c>
      <c r="J1851">
        <v>84</v>
      </c>
      <c r="K1851" t="s">
        <v>489</v>
      </c>
      <c r="L1851" t="s">
        <v>7</v>
      </c>
      <c r="M1851" t="s">
        <v>198</v>
      </c>
      <c r="N1851" t="s">
        <v>53</v>
      </c>
      <c r="Q1851">
        <f t="shared" ref="Q1851:S1851" si="747">Q1850</f>
        <v>18977</v>
      </c>
      <c r="R1851" t="str">
        <f t="shared" si="747"/>
        <v>Velodrome</v>
      </c>
      <c r="S1851" t="str">
        <f t="shared" si="747"/>
        <v>HollowBrook</v>
      </c>
      <c r="T1851" s="20">
        <f t="shared" si="692"/>
        <v>0</v>
      </c>
      <c r="U1851">
        <f t="shared" si="693"/>
        <v>782</v>
      </c>
      <c r="V1851">
        <f t="shared" si="694"/>
        <v>782</v>
      </c>
      <c r="W1851" cm="1">
        <f t="array" ref="W1851">_xlfn._xlws.FILTER(shifts!A:A,(shifts!B:B=events!D1851)*(shifts!AH:AH&gt;=events!U1851)*(shifts!AI:AI&lt;=events!V1851))</f>
        <v>65</v>
      </c>
      <c r="X1851" t="str">
        <f t="shared" si="695"/>
        <v>opp_team_player_1</v>
      </c>
      <c r="Y1851">
        <f>COUNTIFS(A$3:A1851,"="&amp;A1851,K$3:K1851,"="&amp;K1851)</f>
        <v>1</v>
      </c>
      <c r="Z1851" s="20">
        <f>SUMIFS(T$3:T1851,L$3:L1851,"=Intermission")+SUMIFS(T$3:T1851,L$3:L1851,"=Timeout")+SUMIFS(T$3:T1851,L$3:L1851,"=Clockstop")</f>
        <v>138</v>
      </c>
      <c r="AA1851">
        <f t="shared" si="686"/>
        <v>2298</v>
      </c>
      <c r="AC1851">
        <f t="shared" si="687"/>
        <v>2436</v>
      </c>
    </row>
    <row r="1852" spans="1:29" x14ac:dyDescent="0.2">
      <c r="A1852">
        <v>997</v>
      </c>
      <c r="D1852">
        <f t="shared" si="688"/>
        <v>3</v>
      </c>
      <c r="E1852">
        <v>13</v>
      </c>
      <c r="F1852" s="6" t="s">
        <v>316</v>
      </c>
      <c r="I1852" t="s">
        <v>179</v>
      </c>
      <c r="J1852">
        <v>40</v>
      </c>
      <c r="K1852" t="s">
        <v>488</v>
      </c>
      <c r="L1852" t="s">
        <v>10</v>
      </c>
      <c r="M1852" t="s">
        <v>190</v>
      </c>
      <c r="N1852" t="s">
        <v>79</v>
      </c>
      <c r="Q1852">
        <f t="shared" ref="Q1852:S1852" si="748">Q1851</f>
        <v>18977</v>
      </c>
      <c r="R1852" t="str">
        <f t="shared" si="748"/>
        <v>Velodrome</v>
      </c>
      <c r="S1852" t="str">
        <f t="shared" si="748"/>
        <v>HollowBrook</v>
      </c>
      <c r="T1852" s="20">
        <f t="shared" si="692"/>
        <v>0</v>
      </c>
      <c r="U1852">
        <f t="shared" si="693"/>
        <v>782</v>
      </c>
      <c r="V1852">
        <f t="shared" si="694"/>
        <v>782</v>
      </c>
      <c r="W1852" cm="1">
        <f t="array" ref="W1852">_xlfn._xlws.FILTER(shifts!A:A,(shifts!B:B=events!D1852)*(shifts!AH:AH&gt;=events!U1852)*(shifts!AI:AI&lt;=events!V1852))</f>
        <v>65</v>
      </c>
      <c r="X1852" t="str">
        <f t="shared" si="695"/>
        <v>event_team_player_1</v>
      </c>
      <c r="Y1852">
        <f>COUNTIFS(A$3:A1852,"="&amp;A1852,K$3:K1852,"="&amp;K1852)</f>
        <v>1</v>
      </c>
      <c r="Z1852" s="20">
        <f>SUMIFS(T$3:T1852,L$3:L1852,"=Intermission")+SUMIFS(T$3:T1852,L$3:L1852,"=Timeout")+SUMIFS(T$3:T1852,L$3:L1852,"=Clockstop")</f>
        <v>138</v>
      </c>
      <c r="AA1852">
        <f t="shared" si="686"/>
        <v>2298</v>
      </c>
      <c r="AC1852">
        <f t="shared" si="687"/>
        <v>2436</v>
      </c>
    </row>
    <row r="1853" spans="1:29" x14ac:dyDescent="0.2">
      <c r="A1853">
        <v>997</v>
      </c>
      <c r="D1853">
        <f t="shared" si="688"/>
        <v>3</v>
      </c>
      <c r="E1853">
        <v>13</v>
      </c>
      <c r="F1853" s="6" t="s">
        <v>316</v>
      </c>
      <c r="I1853" t="s">
        <v>179</v>
      </c>
      <c r="J1853">
        <v>84</v>
      </c>
      <c r="K1853" t="s">
        <v>489</v>
      </c>
      <c r="L1853" t="s">
        <v>10</v>
      </c>
      <c r="M1853" t="s">
        <v>190</v>
      </c>
      <c r="N1853" t="s">
        <v>79</v>
      </c>
      <c r="Q1853">
        <f t="shared" ref="Q1853:S1853" si="749">Q1852</f>
        <v>18977</v>
      </c>
      <c r="R1853" t="str">
        <f t="shared" si="749"/>
        <v>Velodrome</v>
      </c>
      <c r="S1853" t="str">
        <f t="shared" si="749"/>
        <v>HollowBrook</v>
      </c>
      <c r="T1853" s="20">
        <f t="shared" si="692"/>
        <v>0</v>
      </c>
      <c r="U1853">
        <f t="shared" si="693"/>
        <v>782</v>
      </c>
      <c r="V1853">
        <f t="shared" si="694"/>
        <v>782</v>
      </c>
      <c r="W1853" cm="1">
        <f t="array" ref="W1853">_xlfn._xlws.FILTER(shifts!A:A,(shifts!B:B=events!D1853)*(shifts!AH:AH&gt;=events!U1853)*(shifts!AI:AI&lt;=events!V1853))</f>
        <v>65</v>
      </c>
      <c r="X1853" t="str">
        <f t="shared" si="695"/>
        <v>opp_team_player_1</v>
      </c>
      <c r="Y1853">
        <f>COUNTIFS(A$3:A1853,"="&amp;A1853,K$3:K1853,"="&amp;K1853)</f>
        <v>1</v>
      </c>
      <c r="Z1853" s="20">
        <f>SUMIFS(T$3:T1853,L$3:L1853,"=Intermission")+SUMIFS(T$3:T1853,L$3:L1853,"=Timeout")+SUMIFS(T$3:T1853,L$3:L1853,"=Clockstop")</f>
        <v>138</v>
      </c>
      <c r="AA1853">
        <f t="shared" si="686"/>
        <v>2298</v>
      </c>
      <c r="AC1853">
        <f t="shared" si="687"/>
        <v>2436</v>
      </c>
    </row>
    <row r="1854" spans="1:29" x14ac:dyDescent="0.2">
      <c r="A1854">
        <v>998</v>
      </c>
      <c r="D1854">
        <f t="shared" si="688"/>
        <v>3</v>
      </c>
      <c r="E1854">
        <v>13</v>
      </c>
      <c r="F1854" s="6" t="s">
        <v>312</v>
      </c>
      <c r="G1854">
        <v>12</v>
      </c>
      <c r="H1854" s="8" t="s">
        <v>433</v>
      </c>
      <c r="I1854" t="s">
        <v>178</v>
      </c>
      <c r="J1854">
        <v>22</v>
      </c>
      <c r="K1854" t="s">
        <v>488</v>
      </c>
      <c r="L1854" t="s">
        <v>15</v>
      </c>
      <c r="Q1854">
        <f t="shared" ref="Q1854:S1854" si="750">Q1853</f>
        <v>18977</v>
      </c>
      <c r="R1854" t="str">
        <f t="shared" si="750"/>
        <v>Velodrome</v>
      </c>
      <c r="S1854" t="str">
        <f t="shared" si="750"/>
        <v>HollowBrook</v>
      </c>
      <c r="T1854" s="20">
        <f t="shared" si="692"/>
        <v>4</v>
      </c>
      <c r="U1854">
        <f t="shared" si="693"/>
        <v>781</v>
      </c>
      <c r="V1854">
        <f t="shared" si="694"/>
        <v>777</v>
      </c>
      <c r="W1854" cm="1">
        <f t="array" ref="W1854">_xlfn._xlws.FILTER(shifts!A:A,(shifts!B:B=events!D1854)*(shifts!AH:AH&gt;=events!U1854)*(shifts!AI:AI&lt;=events!V1854))</f>
        <v>65</v>
      </c>
      <c r="X1854" t="str">
        <f t="shared" si="695"/>
        <v>event_team_player_1</v>
      </c>
      <c r="Y1854">
        <f>COUNTIFS(A$3:A1854,"="&amp;A1854,K$3:K1854,"="&amp;K1854)</f>
        <v>1</v>
      </c>
      <c r="Z1854" s="20">
        <f>SUMIFS(T$3:T1854,L$3:L1854,"=Intermission")+SUMIFS(T$3:T1854,L$3:L1854,"=Timeout")+SUMIFS(T$3:T1854,L$3:L1854,"=Clockstop")</f>
        <v>138</v>
      </c>
      <c r="AA1854">
        <f t="shared" si="686"/>
        <v>2298</v>
      </c>
      <c r="AC1854">
        <f t="shared" si="687"/>
        <v>2436</v>
      </c>
    </row>
    <row r="1855" spans="1:29" x14ac:dyDescent="0.2">
      <c r="A1855">
        <v>999</v>
      </c>
      <c r="D1855">
        <f t="shared" si="688"/>
        <v>3</v>
      </c>
      <c r="E1855">
        <v>12</v>
      </c>
      <c r="F1855" s="6" t="s">
        <v>433</v>
      </c>
      <c r="I1855" t="s">
        <v>178</v>
      </c>
      <c r="J1855">
        <v>22</v>
      </c>
      <c r="K1855" t="s">
        <v>488</v>
      </c>
      <c r="L1855" t="s">
        <v>8</v>
      </c>
      <c r="M1855" t="s">
        <v>189</v>
      </c>
      <c r="N1855" t="s">
        <v>70</v>
      </c>
      <c r="Q1855">
        <f t="shared" ref="Q1855:S1855" si="751">Q1854</f>
        <v>18977</v>
      </c>
      <c r="R1855" t="str">
        <f t="shared" si="751"/>
        <v>Velodrome</v>
      </c>
      <c r="S1855" t="str">
        <f t="shared" si="751"/>
        <v>HollowBrook</v>
      </c>
      <c r="T1855" s="20">
        <f t="shared" si="692"/>
        <v>0</v>
      </c>
      <c r="U1855">
        <f t="shared" si="693"/>
        <v>777</v>
      </c>
      <c r="V1855">
        <f t="shared" si="694"/>
        <v>777</v>
      </c>
      <c r="W1855" cm="1">
        <f t="array" ref="W1855">_xlfn._xlws.FILTER(shifts!A:A,(shifts!B:B=events!D1855)*(shifts!AH:AH&gt;=events!U1855)*(shifts!AI:AI&lt;=events!V1855))</f>
        <v>65</v>
      </c>
      <c r="X1855" t="str">
        <f t="shared" si="695"/>
        <v>event_team_player_1</v>
      </c>
      <c r="Y1855">
        <f>COUNTIFS(A$3:A1855,"="&amp;A1855,K$3:K1855,"="&amp;K1855)</f>
        <v>1</v>
      </c>
      <c r="Z1855" s="20">
        <f>SUMIFS(T$3:T1855,L$3:L1855,"=Intermission")+SUMIFS(T$3:T1855,L$3:L1855,"=Timeout")+SUMIFS(T$3:T1855,L$3:L1855,"=Clockstop")</f>
        <v>138</v>
      </c>
      <c r="AA1855">
        <f t="shared" si="686"/>
        <v>2298</v>
      </c>
      <c r="AC1855">
        <f t="shared" si="687"/>
        <v>2436</v>
      </c>
    </row>
    <row r="1856" spans="1:29" x14ac:dyDescent="0.2">
      <c r="A1856">
        <v>999</v>
      </c>
      <c r="D1856">
        <f t="shared" si="688"/>
        <v>3</v>
      </c>
      <c r="E1856">
        <v>12</v>
      </c>
      <c r="F1856" s="6" t="s">
        <v>433</v>
      </c>
      <c r="I1856" t="s">
        <v>178</v>
      </c>
      <c r="J1856">
        <v>91</v>
      </c>
      <c r="K1856" t="s">
        <v>488</v>
      </c>
      <c r="L1856" t="s">
        <v>8</v>
      </c>
      <c r="M1856" t="s">
        <v>189</v>
      </c>
      <c r="N1856" t="s">
        <v>70</v>
      </c>
      <c r="Q1856">
        <f t="shared" ref="Q1856:S1856" si="752">Q1855</f>
        <v>18977</v>
      </c>
      <c r="R1856" t="str">
        <f t="shared" si="752"/>
        <v>Velodrome</v>
      </c>
      <c r="S1856" t="str">
        <f t="shared" si="752"/>
        <v>HollowBrook</v>
      </c>
      <c r="T1856" s="20">
        <f t="shared" si="692"/>
        <v>0</v>
      </c>
      <c r="U1856">
        <f t="shared" si="693"/>
        <v>777</v>
      </c>
      <c r="V1856">
        <f t="shared" si="694"/>
        <v>777</v>
      </c>
      <c r="W1856" cm="1">
        <f t="array" ref="W1856">_xlfn._xlws.FILTER(shifts!A:A,(shifts!B:B=events!D1856)*(shifts!AH:AH&gt;=events!U1856)*(shifts!AI:AI&lt;=events!V1856))</f>
        <v>65</v>
      </c>
      <c r="X1856" t="str">
        <f t="shared" si="695"/>
        <v>event_team_player_2</v>
      </c>
      <c r="Y1856">
        <f>COUNTIFS(A$3:A1856,"="&amp;A1856,K$3:K1856,"="&amp;K1856)</f>
        <v>2</v>
      </c>
      <c r="Z1856" s="20">
        <f>SUMIFS(T$3:T1856,L$3:L1856,"=Intermission")+SUMIFS(T$3:T1856,L$3:L1856,"=Timeout")+SUMIFS(T$3:T1856,L$3:L1856,"=Clockstop")</f>
        <v>138</v>
      </c>
      <c r="AA1856">
        <f t="shared" si="686"/>
        <v>2298</v>
      </c>
      <c r="AC1856">
        <f t="shared" si="687"/>
        <v>2436</v>
      </c>
    </row>
    <row r="1857" spans="1:29" x14ac:dyDescent="0.2">
      <c r="A1857">
        <v>999</v>
      </c>
      <c r="D1857">
        <f t="shared" si="688"/>
        <v>3</v>
      </c>
      <c r="E1857">
        <v>12</v>
      </c>
      <c r="F1857" s="6" t="s">
        <v>433</v>
      </c>
      <c r="I1857" t="s">
        <v>178</v>
      </c>
      <c r="J1857">
        <v>26</v>
      </c>
      <c r="K1857" t="s">
        <v>489</v>
      </c>
      <c r="L1857" t="s">
        <v>8</v>
      </c>
      <c r="M1857" t="s">
        <v>189</v>
      </c>
      <c r="N1857" t="s">
        <v>70</v>
      </c>
      <c r="Q1857">
        <f t="shared" ref="Q1857:S1857" si="753">Q1856</f>
        <v>18977</v>
      </c>
      <c r="R1857" t="str">
        <f t="shared" si="753"/>
        <v>Velodrome</v>
      </c>
      <c r="S1857" t="str">
        <f t="shared" si="753"/>
        <v>HollowBrook</v>
      </c>
      <c r="T1857" s="20">
        <f t="shared" si="692"/>
        <v>0</v>
      </c>
      <c r="U1857">
        <f t="shared" si="693"/>
        <v>777</v>
      </c>
      <c r="V1857">
        <f t="shared" si="694"/>
        <v>777</v>
      </c>
      <c r="W1857" cm="1">
        <f t="array" ref="W1857">_xlfn._xlws.FILTER(shifts!A:A,(shifts!B:B=events!D1857)*(shifts!AH:AH&gt;=events!U1857)*(shifts!AI:AI&lt;=events!V1857))</f>
        <v>65</v>
      </c>
      <c r="X1857" t="str">
        <f t="shared" si="695"/>
        <v>opp_team_player_1</v>
      </c>
      <c r="Y1857">
        <f>COUNTIFS(A$3:A1857,"="&amp;A1857,K$3:K1857,"="&amp;K1857)</f>
        <v>1</v>
      </c>
      <c r="Z1857" s="20">
        <f>SUMIFS(T$3:T1857,L$3:L1857,"=Intermission")+SUMIFS(T$3:T1857,L$3:L1857,"=Timeout")+SUMIFS(T$3:T1857,L$3:L1857,"=Clockstop")</f>
        <v>138</v>
      </c>
      <c r="AA1857">
        <f t="shared" si="686"/>
        <v>2298</v>
      </c>
      <c r="AC1857">
        <f t="shared" si="687"/>
        <v>2436</v>
      </c>
    </row>
    <row r="1858" spans="1:29" x14ac:dyDescent="0.2">
      <c r="A1858">
        <v>1000</v>
      </c>
      <c r="D1858">
        <f t="shared" si="688"/>
        <v>3</v>
      </c>
      <c r="E1858">
        <v>12</v>
      </c>
      <c r="F1858" s="6" t="s">
        <v>421</v>
      </c>
      <c r="I1858" t="s">
        <v>178</v>
      </c>
      <c r="J1858">
        <v>91</v>
      </c>
      <c r="K1858" t="s">
        <v>488</v>
      </c>
      <c r="L1858" t="s">
        <v>8</v>
      </c>
      <c r="M1858" t="s">
        <v>189</v>
      </c>
      <c r="N1858" t="s">
        <v>69</v>
      </c>
      <c r="Q1858">
        <f t="shared" ref="Q1858:S1858" si="754">Q1857</f>
        <v>18977</v>
      </c>
      <c r="R1858" t="str">
        <f t="shared" si="754"/>
        <v>Velodrome</v>
      </c>
      <c r="S1858" t="str">
        <f t="shared" si="754"/>
        <v>HollowBrook</v>
      </c>
      <c r="T1858" s="20">
        <f t="shared" si="692"/>
        <v>0</v>
      </c>
      <c r="U1858">
        <f t="shared" si="693"/>
        <v>776</v>
      </c>
      <c r="V1858">
        <f t="shared" si="694"/>
        <v>776</v>
      </c>
      <c r="W1858" cm="1">
        <f t="array" ref="W1858">_xlfn._xlws.FILTER(shifts!A:A,(shifts!B:B=events!D1858)*(shifts!AH:AH&gt;=events!U1858)*(shifts!AI:AI&lt;=events!V1858))</f>
        <v>65</v>
      </c>
      <c r="X1858" t="str">
        <f t="shared" si="695"/>
        <v>event_team_player_1</v>
      </c>
      <c r="Y1858">
        <f>COUNTIFS(A$3:A1858,"="&amp;A1858,K$3:K1858,"="&amp;K1858)</f>
        <v>1</v>
      </c>
      <c r="Z1858" s="20">
        <f>SUMIFS(T$3:T1858,L$3:L1858,"=Intermission")+SUMIFS(T$3:T1858,L$3:L1858,"=Timeout")+SUMIFS(T$3:T1858,L$3:L1858,"=Clockstop")</f>
        <v>138</v>
      </c>
      <c r="AA1858">
        <f t="shared" si="686"/>
        <v>2298</v>
      </c>
      <c r="AC1858">
        <f t="shared" si="687"/>
        <v>2436</v>
      </c>
    </row>
    <row r="1859" spans="1:29" x14ac:dyDescent="0.2">
      <c r="A1859">
        <v>1000</v>
      </c>
      <c r="D1859">
        <f t="shared" si="688"/>
        <v>3</v>
      </c>
      <c r="E1859">
        <v>12</v>
      </c>
      <c r="F1859" s="6" t="s">
        <v>421</v>
      </c>
      <c r="I1859" t="s">
        <v>178</v>
      </c>
      <c r="J1859">
        <v>24</v>
      </c>
      <c r="K1859" t="s">
        <v>488</v>
      </c>
      <c r="L1859" t="s">
        <v>8</v>
      </c>
      <c r="M1859" t="s">
        <v>189</v>
      </c>
      <c r="N1859" t="s">
        <v>69</v>
      </c>
      <c r="Q1859">
        <f t="shared" ref="Q1859:S1859" si="755">Q1858</f>
        <v>18977</v>
      </c>
      <c r="R1859" t="str">
        <f t="shared" si="755"/>
        <v>Velodrome</v>
      </c>
      <c r="S1859" t="str">
        <f t="shared" si="755"/>
        <v>HollowBrook</v>
      </c>
      <c r="T1859" s="20">
        <f t="shared" si="692"/>
        <v>0</v>
      </c>
      <c r="U1859">
        <f t="shared" si="693"/>
        <v>776</v>
      </c>
      <c r="V1859">
        <f t="shared" si="694"/>
        <v>776</v>
      </c>
      <c r="W1859" cm="1">
        <f t="array" ref="W1859">_xlfn._xlws.FILTER(shifts!A:A,(shifts!B:B=events!D1859)*(shifts!AH:AH&gt;=events!U1859)*(shifts!AI:AI&lt;=events!V1859))</f>
        <v>65</v>
      </c>
      <c r="X1859" t="str">
        <f t="shared" si="695"/>
        <v>event_team_player_2</v>
      </c>
      <c r="Y1859">
        <f>COUNTIFS(A$3:A1859,"="&amp;A1859,K$3:K1859,"="&amp;K1859)</f>
        <v>2</v>
      </c>
      <c r="Z1859" s="20">
        <f>SUMIFS(T$3:T1859,L$3:L1859,"=Intermission")+SUMIFS(T$3:T1859,L$3:L1859,"=Timeout")+SUMIFS(T$3:T1859,L$3:L1859,"=Clockstop")</f>
        <v>138</v>
      </c>
      <c r="AA1859">
        <f t="shared" si="686"/>
        <v>2298</v>
      </c>
      <c r="AC1859">
        <f t="shared" si="687"/>
        <v>2436</v>
      </c>
    </row>
    <row r="1860" spans="1:29" x14ac:dyDescent="0.2">
      <c r="A1860">
        <v>1000</v>
      </c>
      <c r="D1860">
        <f t="shared" si="688"/>
        <v>3</v>
      </c>
      <c r="E1860">
        <v>12</v>
      </c>
      <c r="F1860" s="6" t="s">
        <v>421</v>
      </c>
      <c r="I1860" t="s">
        <v>178</v>
      </c>
      <c r="J1860">
        <v>2</v>
      </c>
      <c r="K1860" t="s">
        <v>489</v>
      </c>
      <c r="L1860" t="s">
        <v>8</v>
      </c>
      <c r="M1860" t="s">
        <v>189</v>
      </c>
      <c r="N1860" t="s">
        <v>69</v>
      </c>
      <c r="Q1860">
        <f t="shared" ref="Q1860:S1860" si="756">Q1859</f>
        <v>18977</v>
      </c>
      <c r="R1860" t="str">
        <f t="shared" si="756"/>
        <v>Velodrome</v>
      </c>
      <c r="S1860" t="str">
        <f t="shared" si="756"/>
        <v>HollowBrook</v>
      </c>
      <c r="T1860" s="20">
        <f t="shared" si="692"/>
        <v>0</v>
      </c>
      <c r="U1860">
        <f t="shared" si="693"/>
        <v>776</v>
      </c>
      <c r="V1860">
        <f t="shared" si="694"/>
        <v>776</v>
      </c>
      <c r="W1860" cm="1">
        <f t="array" ref="W1860">_xlfn._xlws.FILTER(shifts!A:A,(shifts!B:B=events!D1860)*(shifts!AH:AH&gt;=events!U1860)*(shifts!AI:AI&lt;=events!V1860))</f>
        <v>65</v>
      </c>
      <c r="X1860" t="str">
        <f t="shared" si="695"/>
        <v>opp_team_player_1</v>
      </c>
      <c r="Y1860">
        <f>COUNTIFS(A$3:A1860,"="&amp;A1860,K$3:K1860,"="&amp;K1860)</f>
        <v>1</v>
      </c>
      <c r="Z1860" s="20">
        <f>SUMIFS(T$3:T1860,L$3:L1860,"=Intermission")+SUMIFS(T$3:T1860,L$3:L1860,"=Timeout")+SUMIFS(T$3:T1860,L$3:L1860,"=Clockstop")</f>
        <v>138</v>
      </c>
      <c r="AA1860">
        <f t="shared" ref="AA1860:AA1923" si="757">IF(D1860=1,0,IF(D1860=2,1080+Z1860,IF(D1860=3,(1080*2)+Z1860,0)))</f>
        <v>2298</v>
      </c>
      <c r="AC1860">
        <f t="shared" ref="AC1860:AC1923" si="758">IF(L1859="GameStart",0,AA1860+Z1860)</f>
        <v>2436</v>
      </c>
    </row>
    <row r="1861" spans="1:29" x14ac:dyDescent="0.2">
      <c r="A1861">
        <v>1001</v>
      </c>
      <c r="D1861">
        <f t="shared" ref="D1861:D1924" si="759">IF(L1861="Intermission",D1860+1,D1860)</f>
        <v>3</v>
      </c>
      <c r="E1861">
        <v>12</v>
      </c>
      <c r="F1861" s="6" t="s">
        <v>421</v>
      </c>
      <c r="I1861" t="s">
        <v>178</v>
      </c>
      <c r="J1861">
        <v>91</v>
      </c>
      <c r="K1861" t="s">
        <v>488</v>
      </c>
      <c r="L1861" t="s">
        <v>277</v>
      </c>
      <c r="M1861" t="s">
        <v>201</v>
      </c>
      <c r="N1861" t="s">
        <v>91</v>
      </c>
      <c r="Q1861">
        <f t="shared" ref="Q1861:S1861" si="760">Q1860</f>
        <v>18977</v>
      </c>
      <c r="R1861" t="str">
        <f t="shared" si="760"/>
        <v>Velodrome</v>
      </c>
      <c r="S1861" t="str">
        <f t="shared" si="760"/>
        <v>HollowBrook</v>
      </c>
      <c r="T1861" s="20">
        <f t="shared" si="692"/>
        <v>0</v>
      </c>
      <c r="U1861">
        <f t="shared" si="693"/>
        <v>776</v>
      </c>
      <c r="V1861">
        <f t="shared" si="694"/>
        <v>776</v>
      </c>
      <c r="W1861" cm="1">
        <f t="array" ref="W1861">_xlfn._xlws.FILTER(shifts!A:A,(shifts!B:B=events!D1861)*(shifts!AH:AH&gt;=events!U1861)*(shifts!AI:AI&lt;=events!V1861))</f>
        <v>65</v>
      </c>
      <c r="X1861" t="str">
        <f t="shared" si="695"/>
        <v>event_team_player_1</v>
      </c>
      <c r="Y1861">
        <f>COUNTIFS(A$3:A1861,"="&amp;A1861,K$3:K1861,"="&amp;K1861)</f>
        <v>1</v>
      </c>
      <c r="Z1861" s="20">
        <f>SUMIFS(T$3:T1861,L$3:L1861,"=Intermission")+SUMIFS(T$3:T1861,L$3:L1861,"=Timeout")+SUMIFS(T$3:T1861,L$3:L1861,"=Clockstop")</f>
        <v>138</v>
      </c>
      <c r="AA1861">
        <f t="shared" si="757"/>
        <v>2298</v>
      </c>
      <c r="AC1861">
        <f t="shared" si="758"/>
        <v>2436</v>
      </c>
    </row>
    <row r="1862" spans="1:29" x14ac:dyDescent="0.2">
      <c r="A1862">
        <v>1001</v>
      </c>
      <c r="D1862">
        <f t="shared" si="759"/>
        <v>3</v>
      </c>
      <c r="E1862">
        <v>12</v>
      </c>
      <c r="F1862" s="6" t="s">
        <v>421</v>
      </c>
      <c r="I1862" t="s">
        <v>178</v>
      </c>
      <c r="J1862">
        <v>24</v>
      </c>
      <c r="K1862" t="s">
        <v>488</v>
      </c>
      <c r="L1862" t="s">
        <v>277</v>
      </c>
      <c r="M1862" t="s">
        <v>201</v>
      </c>
      <c r="N1862" t="s">
        <v>91</v>
      </c>
      <c r="Q1862">
        <f t="shared" ref="Q1862:S1862" si="761">Q1861</f>
        <v>18977</v>
      </c>
      <c r="R1862" t="str">
        <f t="shared" si="761"/>
        <v>Velodrome</v>
      </c>
      <c r="S1862" t="str">
        <f t="shared" si="761"/>
        <v>HollowBrook</v>
      </c>
      <c r="T1862" s="20">
        <f t="shared" si="692"/>
        <v>0</v>
      </c>
      <c r="U1862">
        <f t="shared" si="693"/>
        <v>776</v>
      </c>
      <c r="V1862">
        <f t="shared" si="694"/>
        <v>776</v>
      </c>
      <c r="W1862" cm="1">
        <f t="array" ref="W1862">_xlfn._xlws.FILTER(shifts!A:A,(shifts!B:B=events!D1862)*(shifts!AH:AH&gt;=events!U1862)*(shifts!AI:AI&lt;=events!V1862))</f>
        <v>65</v>
      </c>
      <c r="X1862" t="str">
        <f t="shared" si="695"/>
        <v>event_team_player_2</v>
      </c>
      <c r="Y1862">
        <f>COUNTIFS(A$3:A1862,"="&amp;A1862,K$3:K1862,"="&amp;K1862)</f>
        <v>2</v>
      </c>
      <c r="Z1862" s="20">
        <f>SUMIFS(T$3:T1862,L$3:L1862,"=Intermission")+SUMIFS(T$3:T1862,L$3:L1862,"=Timeout")+SUMIFS(T$3:T1862,L$3:L1862,"=Clockstop")</f>
        <v>138</v>
      </c>
      <c r="AA1862">
        <f t="shared" si="757"/>
        <v>2298</v>
      </c>
      <c r="AC1862">
        <f t="shared" si="758"/>
        <v>2436</v>
      </c>
    </row>
    <row r="1863" spans="1:29" x14ac:dyDescent="0.2">
      <c r="A1863">
        <v>1001</v>
      </c>
      <c r="D1863">
        <f t="shared" si="759"/>
        <v>3</v>
      </c>
      <c r="E1863">
        <v>12</v>
      </c>
      <c r="F1863" s="6" t="s">
        <v>421</v>
      </c>
      <c r="I1863" t="s">
        <v>178</v>
      </c>
      <c r="J1863">
        <v>2</v>
      </c>
      <c r="K1863" t="s">
        <v>489</v>
      </c>
      <c r="L1863" t="s">
        <v>277</v>
      </c>
      <c r="M1863" t="s">
        <v>201</v>
      </c>
      <c r="N1863" t="s">
        <v>91</v>
      </c>
      <c r="Q1863">
        <f t="shared" ref="Q1863:S1863" si="762">Q1862</f>
        <v>18977</v>
      </c>
      <c r="R1863" t="str">
        <f t="shared" si="762"/>
        <v>Velodrome</v>
      </c>
      <c r="S1863" t="str">
        <f t="shared" si="762"/>
        <v>HollowBrook</v>
      </c>
      <c r="T1863" s="20">
        <f t="shared" ref="T1863:T1926" si="763">IF(AND(G1863="",H1863=""),0,((E1863*60)+F1863)-((G1863*60)+H1863))</f>
        <v>0</v>
      </c>
      <c r="U1863">
        <f t="shared" ref="U1863:U1926" si="764">(E1863*60)+F1863</f>
        <v>776</v>
      </c>
      <c r="V1863">
        <f t="shared" ref="V1863:V1926" si="765">IF(AND(G1863="",H1863=""),U1863,((G1863*60)+H1863))</f>
        <v>776</v>
      </c>
      <c r="W1863" cm="1">
        <f t="array" ref="W1863">_xlfn._xlws.FILTER(shifts!A:A,(shifts!B:B=events!D1863)*(shifts!AH:AH&gt;=events!U1863)*(shifts!AI:AI&lt;=events!V1863))</f>
        <v>65</v>
      </c>
      <c r="X1863" t="str">
        <f t="shared" ref="X1863:X1926" si="766">IF(K1863="e","event_team_player_"&amp;Y1863,IF(K1863="o","opp_team_player_"&amp;Y1863,""))</f>
        <v>opp_team_player_1</v>
      </c>
      <c r="Y1863">
        <f>COUNTIFS(A$3:A1863,"="&amp;A1863,K$3:K1863,"="&amp;K1863)</f>
        <v>1</v>
      </c>
      <c r="Z1863" s="20">
        <f>SUMIFS(T$3:T1863,L$3:L1863,"=Intermission")+SUMIFS(T$3:T1863,L$3:L1863,"=Timeout")+SUMIFS(T$3:T1863,L$3:L1863,"=Clockstop")</f>
        <v>138</v>
      </c>
      <c r="AA1863">
        <f t="shared" si="757"/>
        <v>2298</v>
      </c>
      <c r="AC1863">
        <f t="shared" si="758"/>
        <v>2436</v>
      </c>
    </row>
    <row r="1864" spans="1:29" x14ac:dyDescent="0.2">
      <c r="A1864">
        <v>1002</v>
      </c>
      <c r="D1864">
        <f t="shared" si="759"/>
        <v>3</v>
      </c>
      <c r="E1864">
        <v>12</v>
      </c>
      <c r="F1864" s="6" t="s">
        <v>427</v>
      </c>
      <c r="I1864" t="s">
        <v>178</v>
      </c>
      <c r="J1864">
        <v>24</v>
      </c>
      <c r="K1864" t="s">
        <v>488</v>
      </c>
      <c r="L1864" t="s">
        <v>10</v>
      </c>
      <c r="M1864" t="s">
        <v>190</v>
      </c>
      <c r="N1864" t="s">
        <v>73</v>
      </c>
      <c r="Q1864">
        <f t="shared" ref="Q1864:S1864" si="767">Q1863</f>
        <v>18977</v>
      </c>
      <c r="R1864" t="str">
        <f t="shared" si="767"/>
        <v>Velodrome</v>
      </c>
      <c r="S1864" t="str">
        <f t="shared" si="767"/>
        <v>HollowBrook</v>
      </c>
      <c r="T1864" s="20">
        <f t="shared" si="763"/>
        <v>0</v>
      </c>
      <c r="U1864">
        <f t="shared" si="764"/>
        <v>774</v>
      </c>
      <c r="V1864">
        <f t="shared" si="765"/>
        <v>774</v>
      </c>
      <c r="W1864" cm="1">
        <f t="array" ref="W1864">_xlfn._xlws.FILTER(shifts!A:A,(shifts!B:B=events!D1864)*(shifts!AH:AH&gt;=events!U1864)*(shifts!AI:AI&lt;=events!V1864))</f>
        <v>65</v>
      </c>
      <c r="X1864" t="str">
        <f t="shared" si="766"/>
        <v>event_team_player_1</v>
      </c>
      <c r="Y1864">
        <f>COUNTIFS(A$3:A1864,"="&amp;A1864,K$3:K1864,"="&amp;K1864)</f>
        <v>1</v>
      </c>
      <c r="Z1864" s="20">
        <f>SUMIFS(T$3:T1864,L$3:L1864,"=Intermission")+SUMIFS(T$3:T1864,L$3:L1864,"=Timeout")+SUMIFS(T$3:T1864,L$3:L1864,"=Clockstop")</f>
        <v>138</v>
      </c>
      <c r="AA1864">
        <f t="shared" si="757"/>
        <v>2298</v>
      </c>
      <c r="AC1864">
        <f t="shared" si="758"/>
        <v>2436</v>
      </c>
    </row>
    <row r="1865" spans="1:29" x14ac:dyDescent="0.2">
      <c r="A1865">
        <v>1002</v>
      </c>
      <c r="D1865">
        <f t="shared" si="759"/>
        <v>3</v>
      </c>
      <c r="E1865">
        <v>12</v>
      </c>
      <c r="F1865" s="6" t="s">
        <v>427</v>
      </c>
      <c r="I1865" t="s">
        <v>178</v>
      </c>
      <c r="J1865">
        <v>27</v>
      </c>
      <c r="K1865" t="s">
        <v>489</v>
      </c>
      <c r="L1865" t="s">
        <v>10</v>
      </c>
      <c r="M1865" t="s">
        <v>190</v>
      </c>
      <c r="N1865" t="s">
        <v>73</v>
      </c>
      <c r="Q1865">
        <f t="shared" ref="Q1865:S1865" si="768">Q1864</f>
        <v>18977</v>
      </c>
      <c r="R1865" t="str">
        <f t="shared" si="768"/>
        <v>Velodrome</v>
      </c>
      <c r="S1865" t="str">
        <f t="shared" si="768"/>
        <v>HollowBrook</v>
      </c>
      <c r="T1865" s="20">
        <f t="shared" si="763"/>
        <v>0</v>
      </c>
      <c r="U1865">
        <f t="shared" si="764"/>
        <v>774</v>
      </c>
      <c r="V1865">
        <f t="shared" si="765"/>
        <v>774</v>
      </c>
      <c r="W1865" cm="1">
        <f t="array" ref="W1865">_xlfn._xlws.FILTER(shifts!A:A,(shifts!B:B=events!D1865)*(shifts!AH:AH&gt;=events!U1865)*(shifts!AI:AI&lt;=events!V1865))</f>
        <v>65</v>
      </c>
      <c r="X1865" t="str">
        <f t="shared" si="766"/>
        <v>opp_team_player_1</v>
      </c>
      <c r="Y1865">
        <f>COUNTIFS(A$3:A1865,"="&amp;A1865,K$3:K1865,"="&amp;K1865)</f>
        <v>1</v>
      </c>
      <c r="Z1865" s="20">
        <f>SUMIFS(T$3:T1865,L$3:L1865,"=Intermission")+SUMIFS(T$3:T1865,L$3:L1865,"=Timeout")+SUMIFS(T$3:T1865,L$3:L1865,"=Clockstop")</f>
        <v>138</v>
      </c>
      <c r="AA1865">
        <f t="shared" si="757"/>
        <v>2298</v>
      </c>
      <c r="AC1865">
        <f t="shared" si="758"/>
        <v>2436</v>
      </c>
    </row>
    <row r="1866" spans="1:29" x14ac:dyDescent="0.2">
      <c r="A1866">
        <v>1003</v>
      </c>
      <c r="D1866">
        <f t="shared" si="759"/>
        <v>3</v>
      </c>
      <c r="E1866">
        <v>12</v>
      </c>
      <c r="F1866" s="6" t="s">
        <v>492</v>
      </c>
      <c r="G1866">
        <v>12</v>
      </c>
      <c r="H1866" s="8" t="s">
        <v>477</v>
      </c>
      <c r="I1866" t="s">
        <v>179</v>
      </c>
      <c r="J1866">
        <v>27</v>
      </c>
      <c r="K1866" t="s">
        <v>488</v>
      </c>
      <c r="L1866" t="s">
        <v>15</v>
      </c>
      <c r="Q1866">
        <f t="shared" ref="Q1866:S1866" si="769">Q1865</f>
        <v>18977</v>
      </c>
      <c r="R1866" t="str">
        <f t="shared" si="769"/>
        <v>Velodrome</v>
      </c>
      <c r="S1866" t="str">
        <f t="shared" si="769"/>
        <v>HollowBrook</v>
      </c>
      <c r="T1866" s="20">
        <f t="shared" si="763"/>
        <v>2</v>
      </c>
      <c r="U1866">
        <f t="shared" si="764"/>
        <v>773</v>
      </c>
      <c r="V1866">
        <f t="shared" si="765"/>
        <v>771</v>
      </c>
      <c r="W1866" cm="1">
        <f t="array" ref="W1866">_xlfn._xlws.FILTER(shifts!A:A,(shifts!B:B=events!D1866)*(shifts!AH:AH&gt;=events!U1866)*(shifts!AI:AI&lt;=events!V1866))</f>
        <v>65</v>
      </c>
      <c r="X1866" t="str">
        <f t="shared" si="766"/>
        <v>event_team_player_1</v>
      </c>
      <c r="Y1866">
        <f>COUNTIFS(A$3:A1866,"="&amp;A1866,K$3:K1866,"="&amp;K1866)</f>
        <v>1</v>
      </c>
      <c r="Z1866" s="20">
        <f>SUMIFS(T$3:T1866,L$3:L1866,"=Intermission")+SUMIFS(T$3:T1866,L$3:L1866,"=Timeout")+SUMIFS(T$3:T1866,L$3:L1866,"=Clockstop")</f>
        <v>138</v>
      </c>
      <c r="AA1866">
        <f t="shared" si="757"/>
        <v>2298</v>
      </c>
      <c r="AC1866">
        <f t="shared" si="758"/>
        <v>2436</v>
      </c>
    </row>
    <row r="1867" spans="1:29" x14ac:dyDescent="0.2">
      <c r="A1867">
        <v>1004</v>
      </c>
      <c r="D1867">
        <f t="shared" si="759"/>
        <v>3</v>
      </c>
      <c r="E1867">
        <v>12</v>
      </c>
      <c r="F1867" s="6" t="s">
        <v>477</v>
      </c>
      <c r="I1867" t="s">
        <v>179</v>
      </c>
      <c r="J1867">
        <v>27</v>
      </c>
      <c r="K1867" t="s">
        <v>488</v>
      </c>
      <c r="L1867" t="s">
        <v>8</v>
      </c>
      <c r="M1867" t="s">
        <v>189</v>
      </c>
      <c r="N1867" t="s">
        <v>70</v>
      </c>
      <c r="Q1867">
        <f t="shared" ref="Q1867:S1867" si="770">Q1866</f>
        <v>18977</v>
      </c>
      <c r="R1867" t="str">
        <f t="shared" si="770"/>
        <v>Velodrome</v>
      </c>
      <c r="S1867" t="str">
        <f t="shared" si="770"/>
        <v>HollowBrook</v>
      </c>
      <c r="T1867" s="20">
        <f t="shared" si="763"/>
        <v>0</v>
      </c>
      <c r="U1867">
        <f t="shared" si="764"/>
        <v>771</v>
      </c>
      <c r="V1867">
        <f t="shared" si="765"/>
        <v>771</v>
      </c>
      <c r="W1867" cm="1">
        <f t="array" ref="W1867">_xlfn._xlws.FILTER(shifts!A:A,(shifts!B:B=events!D1867)*(shifts!AH:AH&gt;=events!U1867)*(shifts!AI:AI&lt;=events!V1867))</f>
        <v>65</v>
      </c>
      <c r="X1867" t="str">
        <f t="shared" si="766"/>
        <v>event_team_player_1</v>
      </c>
      <c r="Y1867">
        <f>COUNTIFS(A$3:A1867,"="&amp;A1867,K$3:K1867,"="&amp;K1867)</f>
        <v>1</v>
      </c>
      <c r="Z1867" s="20">
        <f>SUMIFS(T$3:T1867,L$3:L1867,"=Intermission")+SUMIFS(T$3:T1867,L$3:L1867,"=Timeout")+SUMIFS(T$3:T1867,L$3:L1867,"=Clockstop")</f>
        <v>138</v>
      </c>
      <c r="AA1867">
        <f t="shared" si="757"/>
        <v>2298</v>
      </c>
      <c r="AC1867">
        <f t="shared" si="758"/>
        <v>2436</v>
      </c>
    </row>
    <row r="1868" spans="1:29" x14ac:dyDescent="0.2">
      <c r="A1868">
        <v>1004</v>
      </c>
      <c r="D1868">
        <f t="shared" si="759"/>
        <v>3</v>
      </c>
      <c r="E1868">
        <v>12</v>
      </c>
      <c r="F1868" s="6" t="s">
        <v>477</v>
      </c>
      <c r="I1868" t="s">
        <v>179</v>
      </c>
      <c r="J1868">
        <v>40</v>
      </c>
      <c r="K1868" t="s">
        <v>488</v>
      </c>
      <c r="L1868" t="s">
        <v>8</v>
      </c>
      <c r="M1868" t="s">
        <v>189</v>
      </c>
      <c r="N1868" t="s">
        <v>70</v>
      </c>
      <c r="Q1868">
        <f t="shared" ref="Q1868:S1868" si="771">Q1867</f>
        <v>18977</v>
      </c>
      <c r="R1868" t="str">
        <f t="shared" si="771"/>
        <v>Velodrome</v>
      </c>
      <c r="S1868" t="str">
        <f t="shared" si="771"/>
        <v>HollowBrook</v>
      </c>
      <c r="T1868" s="20">
        <f t="shared" si="763"/>
        <v>0</v>
      </c>
      <c r="U1868">
        <f t="shared" si="764"/>
        <v>771</v>
      </c>
      <c r="V1868">
        <f t="shared" si="765"/>
        <v>771</v>
      </c>
      <c r="W1868" cm="1">
        <f t="array" ref="W1868">_xlfn._xlws.FILTER(shifts!A:A,(shifts!B:B=events!D1868)*(shifts!AH:AH&gt;=events!U1868)*(shifts!AI:AI&lt;=events!V1868))</f>
        <v>65</v>
      </c>
      <c r="X1868" t="str">
        <f t="shared" si="766"/>
        <v>event_team_player_2</v>
      </c>
      <c r="Y1868">
        <f>COUNTIFS(A$3:A1868,"="&amp;A1868,K$3:K1868,"="&amp;K1868)</f>
        <v>2</v>
      </c>
      <c r="Z1868" s="20">
        <f>SUMIFS(T$3:T1868,L$3:L1868,"=Intermission")+SUMIFS(T$3:T1868,L$3:L1868,"=Timeout")+SUMIFS(T$3:T1868,L$3:L1868,"=Clockstop")</f>
        <v>138</v>
      </c>
      <c r="AA1868">
        <f t="shared" si="757"/>
        <v>2298</v>
      </c>
      <c r="AC1868">
        <f t="shared" si="758"/>
        <v>2436</v>
      </c>
    </row>
    <row r="1869" spans="1:29" x14ac:dyDescent="0.2">
      <c r="A1869">
        <v>1005</v>
      </c>
      <c r="D1869">
        <f t="shared" si="759"/>
        <v>3</v>
      </c>
      <c r="E1869">
        <v>12</v>
      </c>
      <c r="F1869" s="6" t="s">
        <v>477</v>
      </c>
      <c r="I1869" t="s">
        <v>179</v>
      </c>
      <c r="J1869">
        <v>40</v>
      </c>
      <c r="K1869" t="s">
        <v>488</v>
      </c>
      <c r="L1869" t="s">
        <v>8</v>
      </c>
      <c r="M1869" t="s">
        <v>209</v>
      </c>
      <c r="N1869" t="s">
        <v>70</v>
      </c>
      <c r="Q1869">
        <f t="shared" ref="Q1869:S1869" si="772">Q1868</f>
        <v>18977</v>
      </c>
      <c r="R1869" t="str">
        <f t="shared" si="772"/>
        <v>Velodrome</v>
      </c>
      <c r="S1869" t="str">
        <f t="shared" si="772"/>
        <v>HollowBrook</v>
      </c>
      <c r="T1869" s="20">
        <f t="shared" si="763"/>
        <v>0</v>
      </c>
      <c r="U1869">
        <f t="shared" si="764"/>
        <v>771</v>
      </c>
      <c r="V1869">
        <f t="shared" si="765"/>
        <v>771</v>
      </c>
      <c r="W1869" cm="1">
        <f t="array" ref="W1869">_xlfn._xlws.FILTER(shifts!A:A,(shifts!B:B=events!D1869)*(shifts!AH:AH&gt;=events!U1869)*(shifts!AI:AI&lt;=events!V1869))</f>
        <v>65</v>
      </c>
      <c r="X1869" t="str">
        <f t="shared" si="766"/>
        <v>event_team_player_1</v>
      </c>
      <c r="Y1869">
        <f>COUNTIFS(A$3:A1869,"="&amp;A1869,K$3:K1869,"="&amp;K1869)</f>
        <v>1</v>
      </c>
      <c r="Z1869" s="20">
        <f>SUMIFS(T$3:T1869,L$3:L1869,"=Intermission")+SUMIFS(T$3:T1869,L$3:L1869,"=Timeout")+SUMIFS(T$3:T1869,L$3:L1869,"=Clockstop")</f>
        <v>138</v>
      </c>
      <c r="AA1869">
        <f t="shared" si="757"/>
        <v>2298</v>
      </c>
      <c r="AC1869">
        <f t="shared" si="758"/>
        <v>2436</v>
      </c>
    </row>
    <row r="1870" spans="1:29" x14ac:dyDescent="0.2">
      <c r="A1870">
        <v>1005</v>
      </c>
      <c r="D1870">
        <f t="shared" si="759"/>
        <v>3</v>
      </c>
      <c r="E1870">
        <v>12</v>
      </c>
      <c r="F1870" s="6" t="s">
        <v>477</v>
      </c>
      <c r="I1870" t="s">
        <v>179</v>
      </c>
      <c r="J1870">
        <v>26</v>
      </c>
      <c r="K1870" t="s">
        <v>488</v>
      </c>
      <c r="L1870" t="s">
        <v>8</v>
      </c>
      <c r="M1870" t="s">
        <v>209</v>
      </c>
      <c r="N1870" t="s">
        <v>70</v>
      </c>
      <c r="Q1870">
        <f t="shared" ref="Q1870:S1870" si="773">Q1869</f>
        <v>18977</v>
      </c>
      <c r="R1870" t="str">
        <f t="shared" si="773"/>
        <v>Velodrome</v>
      </c>
      <c r="S1870" t="str">
        <f t="shared" si="773"/>
        <v>HollowBrook</v>
      </c>
      <c r="T1870" s="20">
        <f t="shared" si="763"/>
        <v>0</v>
      </c>
      <c r="U1870">
        <f t="shared" si="764"/>
        <v>771</v>
      </c>
      <c r="V1870">
        <f t="shared" si="765"/>
        <v>771</v>
      </c>
      <c r="W1870" cm="1">
        <f t="array" ref="W1870">_xlfn._xlws.FILTER(shifts!A:A,(shifts!B:B=events!D1870)*(shifts!AH:AH&gt;=events!U1870)*(shifts!AI:AI&lt;=events!V1870))</f>
        <v>65</v>
      </c>
      <c r="X1870" t="str">
        <f t="shared" si="766"/>
        <v>event_team_player_2</v>
      </c>
      <c r="Y1870">
        <f>COUNTIFS(A$3:A1870,"="&amp;A1870,K$3:K1870,"="&amp;K1870)</f>
        <v>2</v>
      </c>
      <c r="Z1870" s="20">
        <f>SUMIFS(T$3:T1870,L$3:L1870,"=Intermission")+SUMIFS(T$3:T1870,L$3:L1870,"=Timeout")+SUMIFS(T$3:T1870,L$3:L1870,"=Clockstop")</f>
        <v>138</v>
      </c>
      <c r="AA1870">
        <f t="shared" si="757"/>
        <v>2298</v>
      </c>
      <c r="AC1870">
        <f t="shared" si="758"/>
        <v>2436</v>
      </c>
    </row>
    <row r="1871" spans="1:29" x14ac:dyDescent="0.2">
      <c r="A1871">
        <v>1006</v>
      </c>
      <c r="D1871">
        <f t="shared" si="759"/>
        <v>3</v>
      </c>
      <c r="E1871">
        <v>12</v>
      </c>
      <c r="F1871" s="6" t="s">
        <v>477</v>
      </c>
      <c r="I1871" t="s">
        <v>179</v>
      </c>
      <c r="J1871">
        <v>40</v>
      </c>
      <c r="K1871" t="s">
        <v>488</v>
      </c>
      <c r="L1871" t="s">
        <v>277</v>
      </c>
      <c r="M1871" t="s">
        <v>191</v>
      </c>
      <c r="N1871" t="s">
        <v>515</v>
      </c>
      <c r="Q1871">
        <f t="shared" ref="Q1871:S1871" si="774">Q1870</f>
        <v>18977</v>
      </c>
      <c r="R1871" t="str">
        <f t="shared" si="774"/>
        <v>Velodrome</v>
      </c>
      <c r="S1871" t="str">
        <f t="shared" si="774"/>
        <v>HollowBrook</v>
      </c>
      <c r="T1871" s="20">
        <f t="shared" si="763"/>
        <v>0</v>
      </c>
      <c r="U1871">
        <f t="shared" si="764"/>
        <v>771</v>
      </c>
      <c r="V1871">
        <f t="shared" si="765"/>
        <v>771</v>
      </c>
      <c r="W1871" cm="1">
        <f t="array" ref="W1871">_xlfn._xlws.FILTER(shifts!A:A,(shifts!B:B=events!D1871)*(shifts!AH:AH&gt;=events!U1871)*(shifts!AI:AI&lt;=events!V1871))</f>
        <v>65</v>
      </c>
      <c r="X1871" t="str">
        <f t="shared" si="766"/>
        <v>event_team_player_1</v>
      </c>
      <c r="Y1871">
        <f>COUNTIFS(A$3:A1871,"="&amp;A1871,K$3:K1871,"="&amp;K1871)</f>
        <v>1</v>
      </c>
      <c r="Z1871" s="20">
        <f>SUMIFS(T$3:T1871,L$3:L1871,"=Intermission")+SUMIFS(T$3:T1871,L$3:L1871,"=Timeout")+SUMIFS(T$3:T1871,L$3:L1871,"=Clockstop")</f>
        <v>138</v>
      </c>
      <c r="AA1871">
        <f t="shared" si="757"/>
        <v>2298</v>
      </c>
      <c r="AC1871">
        <f t="shared" si="758"/>
        <v>2436</v>
      </c>
    </row>
    <row r="1872" spans="1:29" x14ac:dyDescent="0.2">
      <c r="A1872">
        <v>1006</v>
      </c>
      <c r="D1872">
        <f t="shared" si="759"/>
        <v>3</v>
      </c>
      <c r="E1872">
        <v>12</v>
      </c>
      <c r="F1872" s="6" t="s">
        <v>477</v>
      </c>
      <c r="I1872" t="s">
        <v>179</v>
      </c>
      <c r="J1872">
        <v>26</v>
      </c>
      <c r="K1872" t="s">
        <v>488</v>
      </c>
      <c r="L1872" t="s">
        <v>277</v>
      </c>
      <c r="M1872" t="s">
        <v>191</v>
      </c>
      <c r="N1872" t="s">
        <v>515</v>
      </c>
      <c r="Q1872">
        <f t="shared" ref="Q1872:S1872" si="775">Q1871</f>
        <v>18977</v>
      </c>
      <c r="R1872" t="str">
        <f t="shared" si="775"/>
        <v>Velodrome</v>
      </c>
      <c r="S1872" t="str">
        <f t="shared" si="775"/>
        <v>HollowBrook</v>
      </c>
      <c r="T1872" s="20">
        <f t="shared" si="763"/>
        <v>0</v>
      </c>
      <c r="U1872">
        <f t="shared" si="764"/>
        <v>771</v>
      </c>
      <c r="V1872">
        <f t="shared" si="765"/>
        <v>771</v>
      </c>
      <c r="W1872" cm="1">
        <f t="array" ref="W1872">_xlfn._xlws.FILTER(shifts!A:A,(shifts!B:B=events!D1872)*(shifts!AH:AH&gt;=events!U1872)*(shifts!AI:AI&lt;=events!V1872))</f>
        <v>65</v>
      </c>
      <c r="X1872" t="str">
        <f t="shared" si="766"/>
        <v>event_team_player_2</v>
      </c>
      <c r="Y1872">
        <f>COUNTIFS(A$3:A1872,"="&amp;A1872,K$3:K1872,"="&amp;K1872)</f>
        <v>2</v>
      </c>
      <c r="Z1872" s="20">
        <f>SUMIFS(T$3:T1872,L$3:L1872,"=Intermission")+SUMIFS(T$3:T1872,L$3:L1872,"=Timeout")+SUMIFS(T$3:T1872,L$3:L1872,"=Clockstop")</f>
        <v>138</v>
      </c>
      <c r="AA1872">
        <f t="shared" si="757"/>
        <v>2298</v>
      </c>
      <c r="AC1872">
        <f t="shared" si="758"/>
        <v>2436</v>
      </c>
    </row>
    <row r="1873" spans="1:29" x14ac:dyDescent="0.2">
      <c r="A1873">
        <v>1007</v>
      </c>
      <c r="D1873">
        <f t="shared" si="759"/>
        <v>3</v>
      </c>
      <c r="E1873">
        <v>12</v>
      </c>
      <c r="F1873" s="6" t="s">
        <v>477</v>
      </c>
      <c r="I1873" t="s">
        <v>179</v>
      </c>
      <c r="J1873">
        <v>40</v>
      </c>
      <c r="K1873" t="s">
        <v>488</v>
      </c>
      <c r="L1873" t="s">
        <v>10</v>
      </c>
      <c r="M1873" t="s">
        <v>190</v>
      </c>
      <c r="N1873" t="s">
        <v>76</v>
      </c>
      <c r="Q1873">
        <f t="shared" ref="Q1873:S1873" si="776">Q1872</f>
        <v>18977</v>
      </c>
      <c r="R1873" t="str">
        <f t="shared" si="776"/>
        <v>Velodrome</v>
      </c>
      <c r="S1873" t="str">
        <f t="shared" si="776"/>
        <v>HollowBrook</v>
      </c>
      <c r="T1873" s="20">
        <f t="shared" si="763"/>
        <v>0</v>
      </c>
      <c r="U1873">
        <f t="shared" si="764"/>
        <v>771</v>
      </c>
      <c r="V1873">
        <f t="shared" si="765"/>
        <v>771</v>
      </c>
      <c r="W1873" cm="1">
        <f t="array" ref="W1873">_xlfn._xlws.FILTER(shifts!A:A,(shifts!B:B=events!D1873)*(shifts!AH:AH&gt;=events!U1873)*(shifts!AI:AI&lt;=events!V1873))</f>
        <v>65</v>
      </c>
      <c r="X1873" t="str">
        <f t="shared" si="766"/>
        <v>event_team_player_1</v>
      </c>
      <c r="Y1873">
        <f>COUNTIFS(A$3:A1873,"="&amp;A1873,K$3:K1873,"="&amp;K1873)</f>
        <v>1</v>
      </c>
      <c r="Z1873" s="20">
        <f>SUMIFS(T$3:T1873,L$3:L1873,"=Intermission")+SUMIFS(T$3:T1873,L$3:L1873,"=Timeout")+SUMIFS(T$3:T1873,L$3:L1873,"=Clockstop")</f>
        <v>138</v>
      </c>
      <c r="AA1873">
        <f t="shared" si="757"/>
        <v>2298</v>
      </c>
      <c r="AC1873">
        <f t="shared" si="758"/>
        <v>2436</v>
      </c>
    </row>
    <row r="1874" spans="1:29" x14ac:dyDescent="0.2">
      <c r="A1874">
        <v>1008</v>
      </c>
      <c r="D1874">
        <f t="shared" si="759"/>
        <v>3</v>
      </c>
      <c r="E1874">
        <v>12</v>
      </c>
      <c r="F1874" s="6" t="s">
        <v>435</v>
      </c>
      <c r="I1874" t="s">
        <v>178</v>
      </c>
      <c r="J1874">
        <v>22</v>
      </c>
      <c r="K1874" t="s">
        <v>488</v>
      </c>
      <c r="L1874" t="s">
        <v>8</v>
      </c>
      <c r="M1874" t="s">
        <v>189</v>
      </c>
      <c r="N1874" t="s">
        <v>70</v>
      </c>
      <c r="Q1874">
        <f t="shared" ref="Q1874:S1874" si="777">Q1873</f>
        <v>18977</v>
      </c>
      <c r="R1874" t="str">
        <f t="shared" si="777"/>
        <v>Velodrome</v>
      </c>
      <c r="S1874" t="str">
        <f t="shared" si="777"/>
        <v>HollowBrook</v>
      </c>
      <c r="T1874" s="20">
        <f t="shared" si="763"/>
        <v>0</v>
      </c>
      <c r="U1874">
        <f t="shared" si="764"/>
        <v>764</v>
      </c>
      <c r="V1874">
        <f t="shared" si="765"/>
        <v>764</v>
      </c>
      <c r="W1874" cm="1">
        <f t="array" ref="W1874">_xlfn._xlws.FILTER(shifts!A:A,(shifts!B:B=events!D1874)*(shifts!AH:AH&gt;=events!U1874)*(shifts!AI:AI&lt;=events!V1874))</f>
        <v>65</v>
      </c>
      <c r="X1874" t="str">
        <f t="shared" si="766"/>
        <v>event_team_player_1</v>
      </c>
      <c r="Y1874">
        <f>COUNTIFS(A$3:A1874,"="&amp;A1874,K$3:K1874,"="&amp;K1874)</f>
        <v>1</v>
      </c>
      <c r="Z1874" s="20">
        <f>SUMIFS(T$3:T1874,L$3:L1874,"=Intermission")+SUMIFS(T$3:T1874,L$3:L1874,"=Timeout")+SUMIFS(T$3:T1874,L$3:L1874,"=Clockstop")</f>
        <v>138</v>
      </c>
      <c r="AA1874">
        <f t="shared" si="757"/>
        <v>2298</v>
      </c>
      <c r="AC1874">
        <f t="shared" si="758"/>
        <v>2436</v>
      </c>
    </row>
    <row r="1875" spans="1:29" x14ac:dyDescent="0.2">
      <c r="A1875">
        <v>1008</v>
      </c>
      <c r="D1875">
        <f t="shared" si="759"/>
        <v>3</v>
      </c>
      <c r="E1875">
        <v>12</v>
      </c>
      <c r="F1875" s="6" t="s">
        <v>435</v>
      </c>
      <c r="I1875" t="s">
        <v>178</v>
      </c>
      <c r="J1875">
        <v>91</v>
      </c>
      <c r="K1875" t="s">
        <v>488</v>
      </c>
      <c r="L1875" t="s">
        <v>8</v>
      </c>
      <c r="M1875" t="s">
        <v>189</v>
      </c>
      <c r="N1875" t="s">
        <v>70</v>
      </c>
      <c r="Q1875">
        <f t="shared" ref="Q1875:S1875" si="778">Q1874</f>
        <v>18977</v>
      </c>
      <c r="R1875" t="str">
        <f t="shared" si="778"/>
        <v>Velodrome</v>
      </c>
      <c r="S1875" t="str">
        <f t="shared" si="778"/>
        <v>HollowBrook</v>
      </c>
      <c r="T1875" s="20">
        <f t="shared" si="763"/>
        <v>0</v>
      </c>
      <c r="U1875">
        <f t="shared" si="764"/>
        <v>764</v>
      </c>
      <c r="V1875">
        <f t="shared" si="765"/>
        <v>764</v>
      </c>
      <c r="W1875" cm="1">
        <f t="array" ref="W1875">_xlfn._xlws.FILTER(shifts!A:A,(shifts!B:B=events!D1875)*(shifts!AH:AH&gt;=events!U1875)*(shifts!AI:AI&lt;=events!V1875))</f>
        <v>65</v>
      </c>
      <c r="X1875" t="str">
        <f t="shared" si="766"/>
        <v>event_team_player_2</v>
      </c>
      <c r="Y1875">
        <f>COUNTIFS(A$3:A1875,"="&amp;A1875,K$3:K1875,"="&amp;K1875)</f>
        <v>2</v>
      </c>
      <c r="Z1875" s="20">
        <f>SUMIFS(T$3:T1875,L$3:L1875,"=Intermission")+SUMIFS(T$3:T1875,L$3:L1875,"=Timeout")+SUMIFS(T$3:T1875,L$3:L1875,"=Clockstop")</f>
        <v>138</v>
      </c>
      <c r="AA1875">
        <f t="shared" si="757"/>
        <v>2298</v>
      </c>
      <c r="AC1875">
        <f t="shared" si="758"/>
        <v>2436</v>
      </c>
    </row>
    <row r="1876" spans="1:29" x14ac:dyDescent="0.2">
      <c r="A1876">
        <v>1009</v>
      </c>
      <c r="D1876">
        <f t="shared" si="759"/>
        <v>3</v>
      </c>
      <c r="E1876">
        <v>12</v>
      </c>
      <c r="F1876" s="6" t="s">
        <v>430</v>
      </c>
      <c r="I1876" t="s">
        <v>178</v>
      </c>
      <c r="J1876">
        <v>91</v>
      </c>
      <c r="K1876" t="s">
        <v>488</v>
      </c>
      <c r="L1876" t="s">
        <v>8</v>
      </c>
      <c r="M1876" t="s">
        <v>189</v>
      </c>
      <c r="N1876" t="s">
        <v>69</v>
      </c>
      <c r="Q1876">
        <f t="shared" ref="Q1876:S1876" si="779">Q1875</f>
        <v>18977</v>
      </c>
      <c r="R1876" t="str">
        <f t="shared" si="779"/>
        <v>Velodrome</v>
      </c>
      <c r="S1876" t="str">
        <f t="shared" si="779"/>
        <v>HollowBrook</v>
      </c>
      <c r="T1876" s="20">
        <f t="shared" si="763"/>
        <v>0</v>
      </c>
      <c r="U1876">
        <f t="shared" si="764"/>
        <v>762</v>
      </c>
      <c r="V1876">
        <f t="shared" si="765"/>
        <v>762</v>
      </c>
      <c r="W1876">
        <v>66</v>
      </c>
      <c r="X1876" t="str">
        <f t="shared" si="766"/>
        <v>event_team_player_1</v>
      </c>
      <c r="Y1876">
        <f>COUNTIFS(A$3:A1876,"="&amp;A1876,K$3:K1876,"="&amp;K1876)</f>
        <v>1</v>
      </c>
      <c r="Z1876" s="20">
        <f>SUMIFS(T$3:T1876,L$3:L1876,"=Intermission")+SUMIFS(T$3:T1876,L$3:L1876,"=Timeout")+SUMIFS(T$3:T1876,L$3:L1876,"=Clockstop")</f>
        <v>138</v>
      </c>
      <c r="AA1876">
        <f t="shared" si="757"/>
        <v>2298</v>
      </c>
      <c r="AC1876">
        <f t="shared" si="758"/>
        <v>2436</v>
      </c>
    </row>
    <row r="1877" spans="1:29" x14ac:dyDescent="0.2">
      <c r="A1877">
        <v>1009</v>
      </c>
      <c r="D1877">
        <f t="shared" si="759"/>
        <v>3</v>
      </c>
      <c r="E1877">
        <v>12</v>
      </c>
      <c r="F1877" s="6" t="s">
        <v>430</v>
      </c>
      <c r="I1877" t="s">
        <v>178</v>
      </c>
      <c r="J1877">
        <v>42</v>
      </c>
      <c r="K1877" t="s">
        <v>488</v>
      </c>
      <c r="L1877" t="s">
        <v>8</v>
      </c>
      <c r="M1877" t="s">
        <v>189</v>
      </c>
      <c r="N1877" t="s">
        <v>69</v>
      </c>
      <c r="Q1877">
        <f t="shared" ref="Q1877:S1877" si="780">Q1876</f>
        <v>18977</v>
      </c>
      <c r="R1877" t="str">
        <f t="shared" si="780"/>
        <v>Velodrome</v>
      </c>
      <c r="S1877" t="str">
        <f t="shared" si="780"/>
        <v>HollowBrook</v>
      </c>
      <c r="T1877" s="20">
        <f t="shared" si="763"/>
        <v>0</v>
      </c>
      <c r="U1877">
        <f t="shared" si="764"/>
        <v>762</v>
      </c>
      <c r="V1877">
        <f t="shared" si="765"/>
        <v>762</v>
      </c>
      <c r="W1877">
        <v>66</v>
      </c>
      <c r="X1877" t="str">
        <f t="shared" si="766"/>
        <v>event_team_player_2</v>
      </c>
      <c r="Y1877">
        <f>COUNTIFS(A$3:A1877,"="&amp;A1877,K$3:K1877,"="&amp;K1877)</f>
        <v>2</v>
      </c>
      <c r="Z1877" s="20">
        <f>SUMIFS(T$3:T1877,L$3:L1877,"=Intermission")+SUMIFS(T$3:T1877,L$3:L1877,"=Timeout")+SUMIFS(T$3:T1877,L$3:L1877,"=Clockstop")</f>
        <v>138</v>
      </c>
      <c r="AA1877">
        <f t="shared" si="757"/>
        <v>2298</v>
      </c>
      <c r="AC1877">
        <f t="shared" si="758"/>
        <v>2436</v>
      </c>
    </row>
    <row r="1878" spans="1:29" x14ac:dyDescent="0.2">
      <c r="A1878">
        <v>1010</v>
      </c>
      <c r="D1878">
        <f t="shared" si="759"/>
        <v>3</v>
      </c>
      <c r="E1878">
        <v>12</v>
      </c>
      <c r="F1878" s="6" t="s">
        <v>430</v>
      </c>
      <c r="I1878" t="s">
        <v>178</v>
      </c>
      <c r="J1878">
        <v>91</v>
      </c>
      <c r="K1878" t="s">
        <v>488</v>
      </c>
      <c r="L1878" t="s">
        <v>277</v>
      </c>
      <c r="M1878" t="s">
        <v>201</v>
      </c>
      <c r="N1878" t="s">
        <v>499</v>
      </c>
      <c r="Q1878">
        <f t="shared" ref="Q1878:S1878" si="781">Q1877</f>
        <v>18977</v>
      </c>
      <c r="R1878" t="str">
        <f t="shared" si="781"/>
        <v>Velodrome</v>
      </c>
      <c r="S1878" t="str">
        <f t="shared" si="781"/>
        <v>HollowBrook</v>
      </c>
      <c r="T1878" s="20">
        <f t="shared" si="763"/>
        <v>0</v>
      </c>
      <c r="U1878">
        <f t="shared" si="764"/>
        <v>762</v>
      </c>
      <c r="V1878">
        <f t="shared" si="765"/>
        <v>762</v>
      </c>
      <c r="W1878">
        <v>66</v>
      </c>
      <c r="X1878" t="str">
        <f t="shared" si="766"/>
        <v>event_team_player_1</v>
      </c>
      <c r="Y1878">
        <f>COUNTIFS(A$3:A1878,"="&amp;A1878,K$3:K1878,"="&amp;K1878)</f>
        <v>1</v>
      </c>
      <c r="Z1878" s="20">
        <f>SUMIFS(T$3:T1878,L$3:L1878,"=Intermission")+SUMIFS(T$3:T1878,L$3:L1878,"=Timeout")+SUMIFS(T$3:T1878,L$3:L1878,"=Clockstop")</f>
        <v>138</v>
      </c>
      <c r="AA1878">
        <f t="shared" si="757"/>
        <v>2298</v>
      </c>
      <c r="AC1878">
        <f t="shared" si="758"/>
        <v>2436</v>
      </c>
    </row>
    <row r="1879" spans="1:29" x14ac:dyDescent="0.2">
      <c r="A1879">
        <v>1010</v>
      </c>
      <c r="D1879">
        <f t="shared" si="759"/>
        <v>3</v>
      </c>
      <c r="E1879">
        <v>12</v>
      </c>
      <c r="F1879" s="6" t="s">
        <v>430</v>
      </c>
      <c r="I1879" t="s">
        <v>178</v>
      </c>
      <c r="J1879">
        <v>42</v>
      </c>
      <c r="K1879" t="s">
        <v>488</v>
      </c>
      <c r="L1879" t="s">
        <v>277</v>
      </c>
      <c r="M1879" t="s">
        <v>201</v>
      </c>
      <c r="N1879" t="s">
        <v>499</v>
      </c>
      <c r="Q1879">
        <f t="shared" ref="Q1879:S1879" si="782">Q1878</f>
        <v>18977</v>
      </c>
      <c r="R1879" t="str">
        <f t="shared" si="782"/>
        <v>Velodrome</v>
      </c>
      <c r="S1879" t="str">
        <f t="shared" si="782"/>
        <v>HollowBrook</v>
      </c>
      <c r="T1879" s="20">
        <f t="shared" si="763"/>
        <v>0</v>
      </c>
      <c r="U1879">
        <f t="shared" si="764"/>
        <v>762</v>
      </c>
      <c r="V1879">
        <f t="shared" si="765"/>
        <v>762</v>
      </c>
      <c r="W1879">
        <v>66</v>
      </c>
      <c r="X1879" t="str">
        <f t="shared" si="766"/>
        <v>event_team_player_2</v>
      </c>
      <c r="Y1879">
        <f>COUNTIFS(A$3:A1879,"="&amp;A1879,K$3:K1879,"="&amp;K1879)</f>
        <v>2</v>
      </c>
      <c r="Z1879" s="20">
        <f>SUMIFS(T$3:T1879,L$3:L1879,"=Intermission")+SUMIFS(T$3:T1879,L$3:L1879,"=Timeout")+SUMIFS(T$3:T1879,L$3:L1879,"=Clockstop")</f>
        <v>138</v>
      </c>
      <c r="AA1879">
        <f t="shared" si="757"/>
        <v>2298</v>
      </c>
      <c r="AC1879">
        <f t="shared" si="758"/>
        <v>2436</v>
      </c>
    </row>
    <row r="1880" spans="1:29" x14ac:dyDescent="0.2">
      <c r="A1880">
        <v>1011</v>
      </c>
      <c r="D1880">
        <f t="shared" si="759"/>
        <v>3</v>
      </c>
      <c r="E1880">
        <v>12</v>
      </c>
      <c r="F1880" s="6" t="s">
        <v>431</v>
      </c>
      <c r="G1880">
        <v>12</v>
      </c>
      <c r="H1880" s="8" t="s">
        <v>438</v>
      </c>
      <c r="I1880" t="s">
        <v>178</v>
      </c>
      <c r="J1880">
        <v>42</v>
      </c>
      <c r="K1880" t="s">
        <v>488</v>
      </c>
      <c r="L1880" t="s">
        <v>15</v>
      </c>
      <c r="Q1880">
        <f t="shared" ref="Q1880:S1880" si="783">Q1879</f>
        <v>18977</v>
      </c>
      <c r="R1880" t="str">
        <f t="shared" si="783"/>
        <v>Velodrome</v>
      </c>
      <c r="S1880" t="str">
        <f t="shared" si="783"/>
        <v>HollowBrook</v>
      </c>
      <c r="T1880" s="20">
        <f t="shared" si="763"/>
        <v>3</v>
      </c>
      <c r="U1880">
        <f t="shared" si="764"/>
        <v>761</v>
      </c>
      <c r="V1880">
        <f t="shared" si="765"/>
        <v>758</v>
      </c>
      <c r="W1880" cm="1">
        <f t="array" ref="W1880">_xlfn._xlws.FILTER(shifts!A:A,(shifts!B:B=events!D1880)*(shifts!AH:AH&gt;=events!U1880)*(shifts!AI:AI&lt;=events!V1880))</f>
        <v>66</v>
      </c>
      <c r="X1880" t="str">
        <f t="shared" si="766"/>
        <v>event_team_player_1</v>
      </c>
      <c r="Y1880">
        <f>COUNTIFS(A$3:A1880,"="&amp;A1880,K$3:K1880,"="&amp;K1880)</f>
        <v>1</v>
      </c>
      <c r="Z1880" s="20">
        <f>SUMIFS(T$3:T1880,L$3:L1880,"=Intermission")+SUMIFS(T$3:T1880,L$3:L1880,"=Timeout")+SUMIFS(T$3:T1880,L$3:L1880,"=Clockstop")</f>
        <v>138</v>
      </c>
      <c r="AA1880">
        <f t="shared" si="757"/>
        <v>2298</v>
      </c>
      <c r="AC1880">
        <f t="shared" si="758"/>
        <v>2436</v>
      </c>
    </row>
    <row r="1881" spans="1:29" x14ac:dyDescent="0.2">
      <c r="A1881">
        <v>1012</v>
      </c>
      <c r="D1881">
        <f t="shared" si="759"/>
        <v>3</v>
      </c>
      <c r="E1881">
        <v>12</v>
      </c>
      <c r="F1881" s="6" t="s">
        <v>438</v>
      </c>
      <c r="G1881">
        <v>12</v>
      </c>
      <c r="H1881" s="8" t="s">
        <v>452</v>
      </c>
      <c r="I1881" t="s">
        <v>178</v>
      </c>
      <c r="J1881">
        <v>42</v>
      </c>
      <c r="K1881" t="s">
        <v>488</v>
      </c>
      <c r="L1881" t="s">
        <v>277</v>
      </c>
      <c r="M1881" t="s">
        <v>191</v>
      </c>
      <c r="N1881" t="s">
        <v>87</v>
      </c>
      <c r="Q1881">
        <f t="shared" ref="Q1881:S1881" si="784">Q1880</f>
        <v>18977</v>
      </c>
      <c r="R1881" t="str">
        <f t="shared" si="784"/>
        <v>Velodrome</v>
      </c>
      <c r="S1881" t="str">
        <f t="shared" si="784"/>
        <v>HollowBrook</v>
      </c>
      <c r="T1881" s="20">
        <f t="shared" si="763"/>
        <v>2</v>
      </c>
      <c r="U1881">
        <f t="shared" si="764"/>
        <v>758</v>
      </c>
      <c r="V1881">
        <f t="shared" si="765"/>
        <v>756</v>
      </c>
      <c r="W1881" cm="1">
        <f t="array" ref="W1881">_xlfn._xlws.FILTER(shifts!A:A,(shifts!B:B=events!D1881)*(shifts!AH:AH&gt;=events!U1881)*(shifts!AI:AI&lt;=events!V1881))</f>
        <v>66</v>
      </c>
      <c r="X1881" t="str">
        <f t="shared" si="766"/>
        <v>event_team_player_1</v>
      </c>
      <c r="Y1881">
        <f>COUNTIFS(A$3:A1881,"="&amp;A1881,K$3:K1881,"="&amp;K1881)</f>
        <v>1</v>
      </c>
      <c r="Z1881" s="20">
        <f>SUMIFS(T$3:T1881,L$3:L1881,"=Intermission")+SUMIFS(T$3:T1881,L$3:L1881,"=Timeout")+SUMIFS(T$3:T1881,L$3:L1881,"=Clockstop")</f>
        <v>138</v>
      </c>
      <c r="AA1881">
        <f t="shared" si="757"/>
        <v>2298</v>
      </c>
      <c r="AC1881">
        <f t="shared" si="758"/>
        <v>2436</v>
      </c>
    </row>
    <row r="1882" spans="1:29" x14ac:dyDescent="0.2">
      <c r="A1882">
        <v>1012</v>
      </c>
      <c r="D1882">
        <f t="shared" si="759"/>
        <v>3</v>
      </c>
      <c r="E1882">
        <v>12</v>
      </c>
      <c r="F1882" s="6" t="s">
        <v>438</v>
      </c>
      <c r="G1882">
        <v>12</v>
      </c>
      <c r="H1882" s="8" t="s">
        <v>452</v>
      </c>
      <c r="I1882" t="s">
        <v>178</v>
      </c>
      <c r="J1882">
        <v>24</v>
      </c>
      <c r="K1882" t="s">
        <v>488</v>
      </c>
      <c r="L1882" t="s">
        <v>277</v>
      </c>
      <c r="M1882" t="s">
        <v>191</v>
      </c>
      <c r="N1882" t="s">
        <v>87</v>
      </c>
      <c r="Q1882">
        <f t="shared" ref="Q1882:S1882" si="785">Q1881</f>
        <v>18977</v>
      </c>
      <c r="R1882" t="str">
        <f t="shared" si="785"/>
        <v>Velodrome</v>
      </c>
      <c r="S1882" t="str">
        <f t="shared" si="785"/>
        <v>HollowBrook</v>
      </c>
      <c r="T1882" s="20">
        <f t="shared" si="763"/>
        <v>2</v>
      </c>
      <c r="U1882">
        <f t="shared" si="764"/>
        <v>758</v>
      </c>
      <c r="V1882">
        <f t="shared" si="765"/>
        <v>756</v>
      </c>
      <c r="W1882" cm="1">
        <f t="array" ref="W1882">_xlfn._xlws.FILTER(shifts!A:A,(shifts!B:B=events!D1882)*(shifts!AH:AH&gt;=events!U1882)*(shifts!AI:AI&lt;=events!V1882))</f>
        <v>66</v>
      </c>
      <c r="X1882" t="str">
        <f t="shared" si="766"/>
        <v>event_team_player_2</v>
      </c>
      <c r="Y1882">
        <f>COUNTIFS(A$3:A1882,"="&amp;A1882,K$3:K1882,"="&amp;K1882)</f>
        <v>2</v>
      </c>
      <c r="Z1882" s="20">
        <f>SUMIFS(T$3:T1882,L$3:L1882,"=Intermission")+SUMIFS(T$3:T1882,L$3:L1882,"=Timeout")+SUMIFS(T$3:T1882,L$3:L1882,"=Clockstop")</f>
        <v>138</v>
      </c>
      <c r="AA1882">
        <f t="shared" si="757"/>
        <v>2298</v>
      </c>
      <c r="AC1882">
        <f t="shared" si="758"/>
        <v>2436</v>
      </c>
    </row>
    <row r="1883" spans="1:29" x14ac:dyDescent="0.2">
      <c r="A1883">
        <v>1012</v>
      </c>
      <c r="D1883">
        <f t="shared" si="759"/>
        <v>3</v>
      </c>
      <c r="E1883">
        <v>12</v>
      </c>
      <c r="F1883" s="6" t="s">
        <v>438</v>
      </c>
      <c r="G1883">
        <v>12</v>
      </c>
      <c r="H1883" s="8" t="s">
        <v>452</v>
      </c>
      <c r="I1883" t="s">
        <v>178</v>
      </c>
      <c r="J1883">
        <v>27</v>
      </c>
      <c r="K1883" t="s">
        <v>489</v>
      </c>
      <c r="L1883" t="s">
        <v>277</v>
      </c>
      <c r="M1883" t="s">
        <v>191</v>
      </c>
      <c r="N1883" t="s">
        <v>87</v>
      </c>
      <c r="Q1883">
        <f t="shared" ref="Q1883:S1883" si="786">Q1882</f>
        <v>18977</v>
      </c>
      <c r="R1883" t="str">
        <f t="shared" si="786"/>
        <v>Velodrome</v>
      </c>
      <c r="S1883" t="str">
        <f t="shared" si="786"/>
        <v>HollowBrook</v>
      </c>
      <c r="T1883" s="20">
        <f t="shared" si="763"/>
        <v>2</v>
      </c>
      <c r="U1883">
        <f t="shared" si="764"/>
        <v>758</v>
      </c>
      <c r="V1883">
        <f t="shared" si="765"/>
        <v>756</v>
      </c>
      <c r="W1883" cm="1">
        <f t="array" ref="W1883">_xlfn._xlws.FILTER(shifts!A:A,(shifts!B:B=events!D1883)*(shifts!AH:AH&gt;=events!U1883)*(shifts!AI:AI&lt;=events!V1883))</f>
        <v>66</v>
      </c>
      <c r="X1883" t="str">
        <f t="shared" si="766"/>
        <v>opp_team_player_1</v>
      </c>
      <c r="Y1883">
        <f>COUNTIFS(A$3:A1883,"="&amp;A1883,K$3:K1883,"="&amp;K1883)</f>
        <v>1</v>
      </c>
      <c r="Z1883" s="20">
        <f>SUMIFS(T$3:T1883,L$3:L1883,"=Intermission")+SUMIFS(T$3:T1883,L$3:L1883,"=Timeout")+SUMIFS(T$3:T1883,L$3:L1883,"=Clockstop")</f>
        <v>138</v>
      </c>
      <c r="AA1883">
        <f t="shared" si="757"/>
        <v>2298</v>
      </c>
      <c r="AC1883">
        <f t="shared" si="758"/>
        <v>2436</v>
      </c>
    </row>
    <row r="1884" spans="1:29" x14ac:dyDescent="0.2">
      <c r="A1884">
        <v>1012</v>
      </c>
      <c r="D1884">
        <f t="shared" si="759"/>
        <v>3</v>
      </c>
      <c r="E1884">
        <v>12</v>
      </c>
      <c r="F1884" s="6" t="s">
        <v>438</v>
      </c>
      <c r="G1884">
        <v>12</v>
      </c>
      <c r="H1884" s="8" t="s">
        <v>452</v>
      </c>
      <c r="I1884" t="s">
        <v>178</v>
      </c>
      <c r="J1884">
        <v>11</v>
      </c>
      <c r="K1884" t="s">
        <v>489</v>
      </c>
      <c r="L1884" t="s">
        <v>277</v>
      </c>
      <c r="M1884" t="s">
        <v>191</v>
      </c>
      <c r="N1884" t="s">
        <v>87</v>
      </c>
      <c r="Q1884">
        <f t="shared" ref="Q1884:S1884" si="787">Q1883</f>
        <v>18977</v>
      </c>
      <c r="R1884" t="str">
        <f t="shared" si="787"/>
        <v>Velodrome</v>
      </c>
      <c r="S1884" t="str">
        <f t="shared" si="787"/>
        <v>HollowBrook</v>
      </c>
      <c r="T1884" s="20">
        <f t="shared" si="763"/>
        <v>2</v>
      </c>
      <c r="U1884">
        <f t="shared" si="764"/>
        <v>758</v>
      </c>
      <c r="V1884">
        <f t="shared" si="765"/>
        <v>756</v>
      </c>
      <c r="W1884" cm="1">
        <f t="array" ref="W1884">_xlfn._xlws.FILTER(shifts!A:A,(shifts!B:B=events!D1884)*(shifts!AH:AH&gt;=events!U1884)*(shifts!AI:AI&lt;=events!V1884))</f>
        <v>66</v>
      </c>
      <c r="X1884" t="str">
        <f t="shared" si="766"/>
        <v>opp_team_player_2</v>
      </c>
      <c r="Y1884">
        <f>COUNTIFS(A$3:A1884,"="&amp;A1884,K$3:K1884,"="&amp;K1884)</f>
        <v>2</v>
      </c>
      <c r="Z1884" s="20">
        <f>SUMIFS(T$3:T1884,L$3:L1884,"=Intermission")+SUMIFS(T$3:T1884,L$3:L1884,"=Timeout")+SUMIFS(T$3:T1884,L$3:L1884,"=Clockstop")</f>
        <v>138</v>
      </c>
      <c r="AA1884">
        <f t="shared" si="757"/>
        <v>2298</v>
      </c>
      <c r="AC1884">
        <f t="shared" si="758"/>
        <v>2436</v>
      </c>
    </row>
    <row r="1885" spans="1:29" x14ac:dyDescent="0.2">
      <c r="A1885">
        <v>1013</v>
      </c>
      <c r="D1885">
        <f t="shared" si="759"/>
        <v>3</v>
      </c>
      <c r="E1885">
        <v>12</v>
      </c>
      <c r="F1885" s="6" t="s">
        <v>452</v>
      </c>
      <c r="G1885">
        <v>12</v>
      </c>
      <c r="H1885" s="8" t="s">
        <v>439</v>
      </c>
      <c r="I1885" t="s">
        <v>178</v>
      </c>
      <c r="J1885">
        <v>42</v>
      </c>
      <c r="K1885" t="s">
        <v>488</v>
      </c>
      <c r="L1885" t="s">
        <v>15</v>
      </c>
      <c r="Q1885">
        <f t="shared" ref="Q1885:S1885" si="788">Q1884</f>
        <v>18977</v>
      </c>
      <c r="R1885" t="str">
        <f t="shared" si="788"/>
        <v>Velodrome</v>
      </c>
      <c r="S1885" t="str">
        <f t="shared" si="788"/>
        <v>HollowBrook</v>
      </c>
      <c r="T1885" s="20">
        <f t="shared" si="763"/>
        <v>2</v>
      </c>
      <c r="U1885">
        <f t="shared" si="764"/>
        <v>756</v>
      </c>
      <c r="V1885">
        <f t="shared" si="765"/>
        <v>754</v>
      </c>
      <c r="W1885" cm="1">
        <f t="array" ref="W1885">_xlfn._xlws.FILTER(shifts!A:A,(shifts!B:B=events!D1885)*(shifts!AH:AH&gt;=events!U1885)*(shifts!AI:AI&lt;=events!V1885))</f>
        <v>66</v>
      </c>
      <c r="X1885" t="str">
        <f t="shared" si="766"/>
        <v>event_team_player_1</v>
      </c>
      <c r="Y1885">
        <f>COUNTIFS(A$3:A1885,"="&amp;A1885,K$3:K1885,"="&amp;K1885)</f>
        <v>1</v>
      </c>
      <c r="Z1885" s="20">
        <f>SUMIFS(T$3:T1885,L$3:L1885,"=Intermission")+SUMIFS(T$3:T1885,L$3:L1885,"=Timeout")+SUMIFS(T$3:T1885,L$3:L1885,"=Clockstop")</f>
        <v>138</v>
      </c>
      <c r="AA1885">
        <f t="shared" si="757"/>
        <v>2298</v>
      </c>
      <c r="AC1885">
        <f t="shared" si="758"/>
        <v>2436</v>
      </c>
    </row>
    <row r="1886" spans="1:29" x14ac:dyDescent="0.2">
      <c r="A1886">
        <v>1014</v>
      </c>
      <c r="D1886">
        <f t="shared" si="759"/>
        <v>3</v>
      </c>
      <c r="E1886">
        <v>12</v>
      </c>
      <c r="F1886" s="6" t="s">
        <v>439</v>
      </c>
      <c r="I1886" t="s">
        <v>178</v>
      </c>
      <c r="J1886">
        <v>42</v>
      </c>
      <c r="K1886" t="s">
        <v>488</v>
      </c>
      <c r="L1886" t="s">
        <v>8</v>
      </c>
      <c r="M1886" t="s">
        <v>189</v>
      </c>
      <c r="N1886" t="s">
        <v>70</v>
      </c>
      <c r="Q1886">
        <f t="shared" ref="Q1886:S1886" si="789">Q1885</f>
        <v>18977</v>
      </c>
      <c r="R1886" t="str">
        <f t="shared" si="789"/>
        <v>Velodrome</v>
      </c>
      <c r="S1886" t="str">
        <f t="shared" si="789"/>
        <v>HollowBrook</v>
      </c>
      <c r="T1886" s="20">
        <f t="shared" si="763"/>
        <v>0</v>
      </c>
      <c r="U1886">
        <f t="shared" si="764"/>
        <v>754</v>
      </c>
      <c r="V1886">
        <f t="shared" si="765"/>
        <v>754</v>
      </c>
      <c r="W1886" cm="1">
        <f t="array" ref="W1886">_xlfn._xlws.FILTER(shifts!A:A,(shifts!B:B=events!D1886)*(shifts!AH:AH&gt;=events!U1886)*(shifts!AI:AI&lt;=events!V1886))</f>
        <v>66</v>
      </c>
      <c r="X1886" t="str">
        <f t="shared" si="766"/>
        <v>event_team_player_1</v>
      </c>
      <c r="Y1886">
        <f>COUNTIFS(A$3:A1886,"="&amp;A1886,K$3:K1886,"="&amp;K1886)</f>
        <v>1</v>
      </c>
      <c r="Z1886" s="20">
        <f>SUMIFS(T$3:T1886,L$3:L1886,"=Intermission")+SUMIFS(T$3:T1886,L$3:L1886,"=Timeout")+SUMIFS(T$3:T1886,L$3:L1886,"=Clockstop")</f>
        <v>138</v>
      </c>
      <c r="AA1886">
        <f t="shared" si="757"/>
        <v>2298</v>
      </c>
      <c r="AC1886">
        <f t="shared" si="758"/>
        <v>2436</v>
      </c>
    </row>
    <row r="1887" spans="1:29" x14ac:dyDescent="0.2">
      <c r="A1887">
        <v>1014</v>
      </c>
      <c r="D1887">
        <f t="shared" si="759"/>
        <v>3</v>
      </c>
      <c r="E1887">
        <v>12</v>
      </c>
      <c r="F1887" s="6" t="s">
        <v>439</v>
      </c>
      <c r="I1887" t="s">
        <v>178</v>
      </c>
      <c r="J1887">
        <v>24</v>
      </c>
      <c r="K1887" t="s">
        <v>488</v>
      </c>
      <c r="L1887" t="s">
        <v>8</v>
      </c>
      <c r="M1887" t="s">
        <v>189</v>
      </c>
      <c r="N1887" t="s">
        <v>70</v>
      </c>
      <c r="Q1887">
        <f t="shared" ref="Q1887:S1887" si="790">Q1886</f>
        <v>18977</v>
      </c>
      <c r="R1887" t="str">
        <f t="shared" si="790"/>
        <v>Velodrome</v>
      </c>
      <c r="S1887" t="str">
        <f t="shared" si="790"/>
        <v>HollowBrook</v>
      </c>
      <c r="T1887" s="20">
        <f t="shared" si="763"/>
        <v>0</v>
      </c>
      <c r="U1887">
        <f t="shared" si="764"/>
        <v>754</v>
      </c>
      <c r="V1887">
        <f t="shared" si="765"/>
        <v>754</v>
      </c>
      <c r="W1887" cm="1">
        <f t="array" ref="W1887">_xlfn._xlws.FILTER(shifts!A:A,(shifts!B:B=events!D1887)*(shifts!AH:AH&gt;=events!U1887)*(shifts!AI:AI&lt;=events!V1887))</f>
        <v>66</v>
      </c>
      <c r="X1887" t="str">
        <f t="shared" si="766"/>
        <v>event_team_player_2</v>
      </c>
      <c r="Y1887">
        <f>COUNTIFS(A$3:A1887,"="&amp;A1887,K$3:K1887,"="&amp;K1887)</f>
        <v>2</v>
      </c>
      <c r="Z1887" s="20">
        <f>SUMIFS(T$3:T1887,L$3:L1887,"=Intermission")+SUMIFS(T$3:T1887,L$3:L1887,"=Timeout")+SUMIFS(T$3:T1887,L$3:L1887,"=Clockstop")</f>
        <v>138</v>
      </c>
      <c r="AA1887">
        <f t="shared" si="757"/>
        <v>2298</v>
      </c>
      <c r="AC1887">
        <f t="shared" si="758"/>
        <v>2436</v>
      </c>
    </row>
    <row r="1888" spans="1:29" x14ac:dyDescent="0.2">
      <c r="A1888">
        <v>1015</v>
      </c>
      <c r="D1888">
        <f t="shared" si="759"/>
        <v>3</v>
      </c>
      <c r="E1888">
        <v>12</v>
      </c>
      <c r="F1888" s="6" t="s">
        <v>472</v>
      </c>
      <c r="I1888" t="s">
        <v>178</v>
      </c>
      <c r="J1888">
        <v>24</v>
      </c>
      <c r="K1888" t="s">
        <v>488</v>
      </c>
      <c r="L1888" t="s">
        <v>10</v>
      </c>
      <c r="M1888" t="s">
        <v>190</v>
      </c>
      <c r="N1888" t="s">
        <v>479</v>
      </c>
      <c r="Q1888">
        <f t="shared" ref="Q1888:S1888" si="791">Q1887</f>
        <v>18977</v>
      </c>
      <c r="R1888" t="str">
        <f t="shared" si="791"/>
        <v>Velodrome</v>
      </c>
      <c r="S1888" t="str">
        <f t="shared" si="791"/>
        <v>HollowBrook</v>
      </c>
      <c r="T1888" s="20">
        <f t="shared" si="763"/>
        <v>0</v>
      </c>
      <c r="U1888">
        <f t="shared" si="764"/>
        <v>750</v>
      </c>
      <c r="V1888">
        <f t="shared" si="765"/>
        <v>750</v>
      </c>
      <c r="W1888" cm="1">
        <f t="array" ref="W1888">_xlfn._xlws.FILTER(shifts!A:A,(shifts!B:B=events!D1888)*(shifts!AH:AH&gt;=events!U1888)*(shifts!AI:AI&lt;=events!V1888))</f>
        <v>66</v>
      </c>
      <c r="X1888" t="str">
        <f t="shared" si="766"/>
        <v>event_team_player_1</v>
      </c>
      <c r="Y1888">
        <f>COUNTIFS(A$3:A1888,"="&amp;A1888,K$3:K1888,"="&amp;K1888)</f>
        <v>1</v>
      </c>
      <c r="Z1888" s="20">
        <f>SUMIFS(T$3:T1888,L$3:L1888,"=Intermission")+SUMIFS(T$3:T1888,L$3:L1888,"=Timeout")+SUMIFS(T$3:T1888,L$3:L1888,"=Clockstop")</f>
        <v>138</v>
      </c>
      <c r="AA1888">
        <f t="shared" si="757"/>
        <v>2298</v>
      </c>
      <c r="AC1888">
        <f t="shared" si="758"/>
        <v>2436</v>
      </c>
    </row>
    <row r="1889" spans="1:29" x14ac:dyDescent="0.2">
      <c r="A1889">
        <v>1016</v>
      </c>
      <c r="D1889">
        <f t="shared" si="759"/>
        <v>3</v>
      </c>
      <c r="E1889">
        <v>12</v>
      </c>
      <c r="F1889" s="6" t="s">
        <v>472</v>
      </c>
      <c r="G1889">
        <v>12</v>
      </c>
      <c r="H1889" s="8" t="s">
        <v>483</v>
      </c>
      <c r="I1889" t="s">
        <v>179</v>
      </c>
      <c r="J1889">
        <v>11</v>
      </c>
      <c r="K1889" t="s">
        <v>488</v>
      </c>
      <c r="L1889" t="s">
        <v>15</v>
      </c>
      <c r="Q1889">
        <f t="shared" ref="Q1889:S1889" si="792">Q1888</f>
        <v>18977</v>
      </c>
      <c r="R1889" t="str">
        <f t="shared" si="792"/>
        <v>Velodrome</v>
      </c>
      <c r="S1889" t="str">
        <f t="shared" si="792"/>
        <v>HollowBrook</v>
      </c>
      <c r="T1889" s="20">
        <f t="shared" si="763"/>
        <v>3</v>
      </c>
      <c r="U1889">
        <f t="shared" si="764"/>
        <v>750</v>
      </c>
      <c r="V1889">
        <f t="shared" si="765"/>
        <v>747</v>
      </c>
      <c r="W1889" cm="1">
        <f t="array" ref="W1889">_xlfn._xlws.FILTER(shifts!A:A,(shifts!B:B=events!D1889)*(shifts!AH:AH&gt;=events!U1889)*(shifts!AI:AI&lt;=events!V1889))</f>
        <v>66</v>
      </c>
      <c r="X1889" t="str">
        <f t="shared" si="766"/>
        <v>event_team_player_1</v>
      </c>
      <c r="Y1889">
        <f>COUNTIFS(A$3:A1889,"="&amp;A1889,K$3:K1889,"="&amp;K1889)</f>
        <v>1</v>
      </c>
      <c r="Z1889" s="20">
        <f>SUMIFS(T$3:T1889,L$3:L1889,"=Intermission")+SUMIFS(T$3:T1889,L$3:L1889,"=Timeout")+SUMIFS(T$3:T1889,L$3:L1889,"=Clockstop")</f>
        <v>138</v>
      </c>
      <c r="AA1889">
        <f t="shared" si="757"/>
        <v>2298</v>
      </c>
      <c r="AC1889">
        <f t="shared" si="758"/>
        <v>2436</v>
      </c>
    </row>
    <row r="1890" spans="1:29" x14ac:dyDescent="0.2">
      <c r="A1890">
        <v>1017</v>
      </c>
      <c r="D1890">
        <f t="shared" si="759"/>
        <v>3</v>
      </c>
      <c r="E1890">
        <v>12</v>
      </c>
      <c r="F1890" s="6" t="s">
        <v>483</v>
      </c>
      <c r="I1890" t="s">
        <v>179</v>
      </c>
      <c r="J1890">
        <v>11</v>
      </c>
      <c r="K1890" t="s">
        <v>488</v>
      </c>
      <c r="L1890" t="s">
        <v>277</v>
      </c>
      <c r="M1890" t="s">
        <v>201</v>
      </c>
      <c r="N1890" t="s">
        <v>92</v>
      </c>
      <c r="Q1890">
        <f t="shared" ref="Q1890:S1890" si="793">Q1889</f>
        <v>18977</v>
      </c>
      <c r="R1890" t="str">
        <f t="shared" si="793"/>
        <v>Velodrome</v>
      </c>
      <c r="S1890" t="str">
        <f t="shared" si="793"/>
        <v>HollowBrook</v>
      </c>
      <c r="T1890" s="20">
        <f t="shared" si="763"/>
        <v>0</v>
      </c>
      <c r="U1890">
        <f t="shared" si="764"/>
        <v>747</v>
      </c>
      <c r="V1890">
        <f t="shared" si="765"/>
        <v>747</v>
      </c>
      <c r="W1890" cm="1">
        <f t="array" ref="W1890">_xlfn._xlws.FILTER(shifts!A:A,(shifts!B:B=events!D1890)*(shifts!AH:AH&gt;=events!U1890)*(shifts!AI:AI&lt;=events!V1890))</f>
        <v>66</v>
      </c>
      <c r="X1890" t="str">
        <f t="shared" si="766"/>
        <v>event_team_player_1</v>
      </c>
      <c r="Y1890">
        <f>COUNTIFS(A$3:A1890,"="&amp;A1890,K$3:K1890,"="&amp;K1890)</f>
        <v>1</v>
      </c>
      <c r="Z1890" s="20">
        <f>SUMIFS(T$3:T1890,L$3:L1890,"=Intermission")+SUMIFS(T$3:T1890,L$3:L1890,"=Timeout")+SUMIFS(T$3:T1890,L$3:L1890,"=Clockstop")</f>
        <v>138</v>
      </c>
      <c r="AA1890">
        <f t="shared" si="757"/>
        <v>2298</v>
      </c>
      <c r="AC1890">
        <f t="shared" si="758"/>
        <v>2436</v>
      </c>
    </row>
    <row r="1891" spans="1:29" x14ac:dyDescent="0.2">
      <c r="A1891">
        <v>1018</v>
      </c>
      <c r="D1891">
        <f t="shared" si="759"/>
        <v>3</v>
      </c>
      <c r="E1891">
        <v>12</v>
      </c>
      <c r="F1891" s="6" t="s">
        <v>483</v>
      </c>
      <c r="I1891" t="s">
        <v>179</v>
      </c>
      <c r="J1891">
        <v>11</v>
      </c>
      <c r="K1891" t="s">
        <v>488</v>
      </c>
      <c r="L1891" t="s">
        <v>10</v>
      </c>
      <c r="M1891" t="s">
        <v>190</v>
      </c>
      <c r="N1891" t="s">
        <v>460</v>
      </c>
      <c r="Q1891">
        <f t="shared" ref="Q1891:S1891" si="794">Q1890</f>
        <v>18977</v>
      </c>
      <c r="R1891" t="str">
        <f t="shared" si="794"/>
        <v>Velodrome</v>
      </c>
      <c r="S1891" t="str">
        <f t="shared" si="794"/>
        <v>HollowBrook</v>
      </c>
      <c r="T1891" s="20">
        <f t="shared" si="763"/>
        <v>0</v>
      </c>
      <c r="U1891">
        <f t="shared" si="764"/>
        <v>747</v>
      </c>
      <c r="V1891">
        <f t="shared" si="765"/>
        <v>747</v>
      </c>
      <c r="W1891" cm="1">
        <f t="array" ref="W1891">_xlfn._xlws.FILTER(shifts!A:A,(shifts!B:B=events!D1891)*(shifts!AH:AH&gt;=events!U1891)*(shifts!AI:AI&lt;=events!V1891))</f>
        <v>66</v>
      </c>
      <c r="X1891" t="str">
        <f t="shared" si="766"/>
        <v>event_team_player_1</v>
      </c>
      <c r="Y1891">
        <f>COUNTIFS(A$3:A1891,"="&amp;A1891,K$3:K1891,"="&amp;K1891)</f>
        <v>1</v>
      </c>
      <c r="Z1891" s="20">
        <f>SUMIFS(T$3:T1891,L$3:L1891,"=Intermission")+SUMIFS(T$3:T1891,L$3:L1891,"=Timeout")+SUMIFS(T$3:T1891,L$3:L1891,"=Clockstop")</f>
        <v>138</v>
      </c>
      <c r="AA1891">
        <f t="shared" si="757"/>
        <v>2298</v>
      </c>
      <c r="AC1891">
        <f t="shared" si="758"/>
        <v>2436</v>
      </c>
    </row>
    <row r="1892" spans="1:29" x14ac:dyDescent="0.2">
      <c r="A1892">
        <v>1019</v>
      </c>
      <c r="D1892">
        <f t="shared" si="759"/>
        <v>3</v>
      </c>
      <c r="E1892">
        <v>12</v>
      </c>
      <c r="F1892" s="6" t="s">
        <v>444</v>
      </c>
      <c r="I1892" t="s">
        <v>178</v>
      </c>
      <c r="J1892">
        <v>22</v>
      </c>
      <c r="K1892" t="s">
        <v>488</v>
      </c>
      <c r="L1892" t="s">
        <v>8</v>
      </c>
      <c r="M1892" t="s">
        <v>189</v>
      </c>
      <c r="N1892" t="s">
        <v>70</v>
      </c>
      <c r="Q1892">
        <f t="shared" ref="Q1892:S1892" si="795">Q1891</f>
        <v>18977</v>
      </c>
      <c r="R1892" t="str">
        <f t="shared" si="795"/>
        <v>Velodrome</v>
      </c>
      <c r="S1892" t="str">
        <f t="shared" si="795"/>
        <v>HollowBrook</v>
      </c>
      <c r="T1892" s="20">
        <f t="shared" si="763"/>
        <v>0</v>
      </c>
      <c r="U1892">
        <f t="shared" si="764"/>
        <v>744</v>
      </c>
      <c r="V1892">
        <f t="shared" si="765"/>
        <v>744</v>
      </c>
      <c r="W1892" cm="1">
        <f t="array" ref="W1892">_xlfn._xlws.FILTER(shifts!A:A,(shifts!B:B=events!D1892)*(shifts!AH:AH&gt;=events!U1892)*(shifts!AI:AI&lt;=events!V1892))</f>
        <v>66</v>
      </c>
      <c r="X1892" t="str">
        <f t="shared" si="766"/>
        <v>event_team_player_1</v>
      </c>
      <c r="Y1892">
        <f>COUNTIFS(A$3:A1892,"="&amp;A1892,K$3:K1892,"="&amp;K1892)</f>
        <v>1</v>
      </c>
      <c r="Z1892" s="20">
        <f>SUMIFS(T$3:T1892,L$3:L1892,"=Intermission")+SUMIFS(T$3:T1892,L$3:L1892,"=Timeout")+SUMIFS(T$3:T1892,L$3:L1892,"=Clockstop")</f>
        <v>138</v>
      </c>
      <c r="AA1892">
        <f t="shared" si="757"/>
        <v>2298</v>
      </c>
      <c r="AC1892">
        <f t="shared" si="758"/>
        <v>2436</v>
      </c>
    </row>
    <row r="1893" spans="1:29" x14ac:dyDescent="0.2">
      <c r="A1893">
        <v>1019</v>
      </c>
      <c r="D1893">
        <f t="shared" si="759"/>
        <v>3</v>
      </c>
      <c r="E1893">
        <v>12</v>
      </c>
      <c r="F1893" s="6" t="s">
        <v>444</v>
      </c>
      <c r="I1893" t="s">
        <v>178</v>
      </c>
      <c r="J1893">
        <v>84</v>
      </c>
      <c r="K1893" t="s">
        <v>488</v>
      </c>
      <c r="L1893" t="s">
        <v>8</v>
      </c>
      <c r="M1893" t="s">
        <v>189</v>
      </c>
      <c r="N1893" t="s">
        <v>70</v>
      </c>
      <c r="Q1893">
        <f t="shared" ref="Q1893:S1893" si="796">Q1892</f>
        <v>18977</v>
      </c>
      <c r="R1893" t="str">
        <f t="shared" si="796"/>
        <v>Velodrome</v>
      </c>
      <c r="S1893" t="str">
        <f t="shared" si="796"/>
        <v>HollowBrook</v>
      </c>
      <c r="T1893" s="20">
        <f t="shared" si="763"/>
        <v>0</v>
      </c>
      <c r="U1893">
        <f t="shared" si="764"/>
        <v>744</v>
      </c>
      <c r="V1893">
        <f t="shared" si="765"/>
        <v>744</v>
      </c>
      <c r="W1893" cm="1">
        <f t="array" ref="W1893">_xlfn._xlws.FILTER(shifts!A:A,(shifts!B:B=events!D1893)*(shifts!AH:AH&gt;=events!U1893)*(shifts!AI:AI&lt;=events!V1893))</f>
        <v>66</v>
      </c>
      <c r="X1893" t="str">
        <f t="shared" si="766"/>
        <v>event_team_player_2</v>
      </c>
      <c r="Y1893">
        <f>COUNTIFS(A$3:A1893,"="&amp;A1893,K$3:K1893,"="&amp;K1893)</f>
        <v>2</v>
      </c>
      <c r="Z1893" s="20">
        <f>SUMIFS(T$3:T1893,L$3:L1893,"=Intermission")+SUMIFS(T$3:T1893,L$3:L1893,"=Timeout")+SUMIFS(T$3:T1893,L$3:L1893,"=Clockstop")</f>
        <v>138</v>
      </c>
      <c r="AA1893">
        <f t="shared" si="757"/>
        <v>2298</v>
      </c>
      <c r="AC1893">
        <f t="shared" si="758"/>
        <v>2436</v>
      </c>
    </row>
    <row r="1894" spans="1:29" x14ac:dyDescent="0.2">
      <c r="A1894">
        <v>1020</v>
      </c>
      <c r="D1894">
        <f t="shared" si="759"/>
        <v>3</v>
      </c>
      <c r="E1894">
        <v>12</v>
      </c>
      <c r="F1894" s="6" t="s">
        <v>456</v>
      </c>
      <c r="G1894">
        <v>12</v>
      </c>
      <c r="H1894" s="8" t="s">
        <v>484</v>
      </c>
      <c r="I1894" t="s">
        <v>178</v>
      </c>
      <c r="J1894">
        <v>84</v>
      </c>
      <c r="K1894" t="s">
        <v>488</v>
      </c>
      <c r="L1894" t="s">
        <v>15</v>
      </c>
      <c r="Q1894">
        <f t="shared" ref="Q1894:S1894" si="797">Q1893</f>
        <v>18977</v>
      </c>
      <c r="R1894" t="str">
        <f t="shared" si="797"/>
        <v>Velodrome</v>
      </c>
      <c r="S1894" t="str">
        <f t="shared" si="797"/>
        <v>HollowBrook</v>
      </c>
      <c r="T1894" s="20">
        <f t="shared" si="763"/>
        <v>1</v>
      </c>
      <c r="U1894">
        <f t="shared" si="764"/>
        <v>743</v>
      </c>
      <c r="V1894">
        <f t="shared" si="765"/>
        <v>742</v>
      </c>
      <c r="W1894" cm="1">
        <f t="array" ref="W1894">_xlfn._xlws.FILTER(shifts!A:A,(shifts!B:B=events!D1894)*(shifts!AH:AH&gt;=events!U1894)*(shifts!AI:AI&lt;=events!V1894))</f>
        <v>66</v>
      </c>
      <c r="X1894" t="str">
        <f t="shared" si="766"/>
        <v>event_team_player_1</v>
      </c>
      <c r="Y1894">
        <f>COUNTIFS(A$3:A1894,"="&amp;A1894,K$3:K1894,"="&amp;K1894)</f>
        <v>1</v>
      </c>
      <c r="Z1894" s="20">
        <f>SUMIFS(T$3:T1894,L$3:L1894,"=Intermission")+SUMIFS(T$3:T1894,L$3:L1894,"=Timeout")+SUMIFS(T$3:T1894,L$3:L1894,"=Clockstop")</f>
        <v>138</v>
      </c>
      <c r="AA1894">
        <f t="shared" si="757"/>
        <v>2298</v>
      </c>
      <c r="AC1894">
        <f t="shared" si="758"/>
        <v>2436</v>
      </c>
    </row>
    <row r="1895" spans="1:29" x14ac:dyDescent="0.2">
      <c r="A1895">
        <v>1021</v>
      </c>
      <c r="D1895">
        <f t="shared" si="759"/>
        <v>3</v>
      </c>
      <c r="E1895">
        <v>12</v>
      </c>
      <c r="F1895" s="6" t="s">
        <v>473</v>
      </c>
      <c r="I1895" t="s">
        <v>178</v>
      </c>
      <c r="J1895">
        <v>84</v>
      </c>
      <c r="K1895" t="s">
        <v>488</v>
      </c>
      <c r="L1895" t="s">
        <v>10</v>
      </c>
      <c r="M1895" t="s">
        <v>190</v>
      </c>
      <c r="N1895" t="s">
        <v>73</v>
      </c>
      <c r="Q1895">
        <f t="shared" ref="Q1895:S1895" si="798">Q1894</f>
        <v>18977</v>
      </c>
      <c r="R1895" t="str">
        <f t="shared" si="798"/>
        <v>Velodrome</v>
      </c>
      <c r="S1895" t="str">
        <f t="shared" si="798"/>
        <v>HollowBrook</v>
      </c>
      <c r="T1895" s="20">
        <f t="shared" si="763"/>
        <v>0</v>
      </c>
      <c r="U1895">
        <f t="shared" si="764"/>
        <v>741</v>
      </c>
      <c r="V1895">
        <f t="shared" si="765"/>
        <v>741</v>
      </c>
      <c r="W1895" cm="1">
        <f t="array" ref="W1895">_xlfn._xlws.FILTER(shifts!A:A,(shifts!B:B=events!D1895)*(shifts!AH:AH&gt;=events!U1895)*(shifts!AI:AI&lt;=events!V1895))</f>
        <v>67</v>
      </c>
      <c r="X1895" t="str">
        <f t="shared" si="766"/>
        <v>event_team_player_1</v>
      </c>
      <c r="Y1895">
        <f>COUNTIFS(A$3:A1895,"="&amp;A1895,K$3:K1895,"="&amp;K1895)</f>
        <v>1</v>
      </c>
      <c r="Z1895" s="20">
        <f>SUMIFS(T$3:T1895,L$3:L1895,"=Intermission")+SUMIFS(T$3:T1895,L$3:L1895,"=Timeout")+SUMIFS(T$3:T1895,L$3:L1895,"=Clockstop")</f>
        <v>138</v>
      </c>
      <c r="AA1895">
        <f t="shared" si="757"/>
        <v>2298</v>
      </c>
      <c r="AC1895">
        <f t="shared" si="758"/>
        <v>2436</v>
      </c>
    </row>
    <row r="1896" spans="1:29" x14ac:dyDescent="0.2">
      <c r="A1896">
        <v>1021</v>
      </c>
      <c r="D1896">
        <f t="shared" si="759"/>
        <v>3</v>
      </c>
      <c r="E1896">
        <v>12</v>
      </c>
      <c r="F1896" s="6" t="s">
        <v>473</v>
      </c>
      <c r="I1896" t="s">
        <v>178</v>
      </c>
      <c r="J1896">
        <v>22</v>
      </c>
      <c r="K1896" t="s">
        <v>488</v>
      </c>
      <c r="L1896" t="s">
        <v>10</v>
      </c>
      <c r="M1896" t="s">
        <v>190</v>
      </c>
      <c r="N1896" t="s">
        <v>73</v>
      </c>
      <c r="Q1896">
        <f t="shared" ref="Q1896:S1896" si="799">Q1895</f>
        <v>18977</v>
      </c>
      <c r="R1896" t="str">
        <f t="shared" si="799"/>
        <v>Velodrome</v>
      </c>
      <c r="S1896" t="str">
        <f t="shared" si="799"/>
        <v>HollowBrook</v>
      </c>
      <c r="T1896" s="20">
        <f t="shared" si="763"/>
        <v>0</v>
      </c>
      <c r="U1896">
        <f t="shared" si="764"/>
        <v>741</v>
      </c>
      <c r="V1896">
        <f t="shared" si="765"/>
        <v>741</v>
      </c>
      <c r="W1896" cm="1">
        <f t="array" ref="W1896">_xlfn._xlws.FILTER(shifts!A:A,(shifts!B:B=events!D1896)*(shifts!AH:AH&gt;=events!U1896)*(shifts!AI:AI&lt;=events!V1896))</f>
        <v>67</v>
      </c>
      <c r="X1896" t="str">
        <f t="shared" si="766"/>
        <v>event_team_player_2</v>
      </c>
      <c r="Y1896">
        <f>COUNTIFS(A$3:A1896,"="&amp;A1896,K$3:K1896,"="&amp;K1896)</f>
        <v>2</v>
      </c>
      <c r="Z1896" s="20">
        <f>SUMIFS(T$3:T1896,L$3:L1896,"=Intermission")+SUMIFS(T$3:T1896,L$3:L1896,"=Timeout")+SUMIFS(T$3:T1896,L$3:L1896,"=Clockstop")</f>
        <v>138</v>
      </c>
      <c r="AA1896">
        <f t="shared" si="757"/>
        <v>2298</v>
      </c>
      <c r="AC1896">
        <f t="shared" si="758"/>
        <v>2436</v>
      </c>
    </row>
    <row r="1897" spans="1:29" x14ac:dyDescent="0.2">
      <c r="A1897">
        <v>1022</v>
      </c>
      <c r="D1897">
        <f t="shared" si="759"/>
        <v>3</v>
      </c>
      <c r="E1897">
        <v>12</v>
      </c>
      <c r="F1897" s="6" t="s">
        <v>473</v>
      </c>
      <c r="I1897" t="s">
        <v>179</v>
      </c>
      <c r="J1897">
        <v>22</v>
      </c>
      <c r="K1897" t="s">
        <v>488</v>
      </c>
      <c r="L1897" t="s">
        <v>277</v>
      </c>
      <c r="M1897" t="s">
        <v>191</v>
      </c>
      <c r="N1897" t="s">
        <v>498</v>
      </c>
      <c r="Q1897">
        <f t="shared" ref="Q1897:S1897" si="800">Q1896</f>
        <v>18977</v>
      </c>
      <c r="R1897" t="str">
        <f t="shared" si="800"/>
        <v>Velodrome</v>
      </c>
      <c r="S1897" t="str">
        <f t="shared" si="800"/>
        <v>HollowBrook</v>
      </c>
      <c r="T1897" s="20">
        <f t="shared" si="763"/>
        <v>0</v>
      </c>
      <c r="U1897">
        <f t="shared" si="764"/>
        <v>741</v>
      </c>
      <c r="V1897">
        <f t="shared" si="765"/>
        <v>741</v>
      </c>
      <c r="W1897" cm="1">
        <f t="array" ref="W1897">_xlfn._xlws.FILTER(shifts!A:A,(shifts!B:B=events!D1897)*(shifts!AH:AH&gt;=events!U1897)*(shifts!AI:AI&lt;=events!V1897))</f>
        <v>67</v>
      </c>
      <c r="X1897" t="str">
        <f t="shared" si="766"/>
        <v>event_team_player_1</v>
      </c>
      <c r="Y1897">
        <f>COUNTIFS(A$3:A1897,"="&amp;A1897,K$3:K1897,"="&amp;K1897)</f>
        <v>1</v>
      </c>
      <c r="Z1897" s="20">
        <f>SUMIFS(T$3:T1897,L$3:L1897,"=Intermission")+SUMIFS(T$3:T1897,L$3:L1897,"=Timeout")+SUMIFS(T$3:T1897,L$3:L1897,"=Clockstop")</f>
        <v>138</v>
      </c>
      <c r="AA1897">
        <f t="shared" si="757"/>
        <v>2298</v>
      </c>
      <c r="AC1897">
        <f t="shared" si="758"/>
        <v>2436</v>
      </c>
    </row>
    <row r="1898" spans="1:29" x14ac:dyDescent="0.2">
      <c r="A1898">
        <v>1022</v>
      </c>
      <c r="D1898">
        <f t="shared" si="759"/>
        <v>3</v>
      </c>
      <c r="E1898">
        <v>12</v>
      </c>
      <c r="F1898" s="6" t="s">
        <v>473</v>
      </c>
      <c r="I1898" t="s">
        <v>179</v>
      </c>
      <c r="J1898">
        <v>84</v>
      </c>
      <c r="K1898" t="s">
        <v>489</v>
      </c>
      <c r="L1898" t="s">
        <v>277</v>
      </c>
      <c r="M1898" t="s">
        <v>191</v>
      </c>
      <c r="N1898" t="s">
        <v>498</v>
      </c>
      <c r="Q1898">
        <f t="shared" ref="Q1898:S1898" si="801">Q1897</f>
        <v>18977</v>
      </c>
      <c r="R1898" t="str">
        <f t="shared" si="801"/>
        <v>Velodrome</v>
      </c>
      <c r="S1898" t="str">
        <f t="shared" si="801"/>
        <v>HollowBrook</v>
      </c>
      <c r="T1898" s="20">
        <f t="shared" si="763"/>
        <v>0</v>
      </c>
      <c r="U1898">
        <f t="shared" si="764"/>
        <v>741</v>
      </c>
      <c r="V1898">
        <f t="shared" si="765"/>
        <v>741</v>
      </c>
      <c r="W1898" cm="1">
        <f t="array" ref="W1898">_xlfn._xlws.FILTER(shifts!A:A,(shifts!B:B=events!D1898)*(shifts!AH:AH&gt;=events!U1898)*(shifts!AI:AI&lt;=events!V1898))</f>
        <v>67</v>
      </c>
      <c r="X1898" t="str">
        <f t="shared" si="766"/>
        <v>opp_team_player_1</v>
      </c>
      <c r="Y1898">
        <f>COUNTIFS(A$3:A1898,"="&amp;A1898,K$3:K1898,"="&amp;K1898)</f>
        <v>1</v>
      </c>
      <c r="Z1898" s="20">
        <f>SUMIFS(T$3:T1898,L$3:L1898,"=Intermission")+SUMIFS(T$3:T1898,L$3:L1898,"=Timeout")+SUMIFS(T$3:T1898,L$3:L1898,"=Clockstop")</f>
        <v>138</v>
      </c>
      <c r="AA1898">
        <f t="shared" si="757"/>
        <v>2298</v>
      </c>
      <c r="AC1898">
        <f t="shared" si="758"/>
        <v>2436</v>
      </c>
    </row>
    <row r="1899" spans="1:29" x14ac:dyDescent="0.2">
      <c r="A1899">
        <v>1023</v>
      </c>
      <c r="D1899">
        <f t="shared" si="759"/>
        <v>3</v>
      </c>
      <c r="E1899">
        <v>12</v>
      </c>
      <c r="F1899" s="6" t="s">
        <v>445</v>
      </c>
      <c r="I1899" t="s">
        <v>179</v>
      </c>
      <c r="J1899">
        <v>22</v>
      </c>
      <c r="K1899" t="s">
        <v>488</v>
      </c>
      <c r="L1899" t="s">
        <v>10</v>
      </c>
      <c r="M1899" t="s">
        <v>190</v>
      </c>
      <c r="N1899" t="s">
        <v>73</v>
      </c>
      <c r="Q1899">
        <f t="shared" ref="Q1899:S1899" si="802">Q1898</f>
        <v>18977</v>
      </c>
      <c r="R1899" t="str">
        <f t="shared" si="802"/>
        <v>Velodrome</v>
      </c>
      <c r="S1899" t="str">
        <f t="shared" si="802"/>
        <v>HollowBrook</v>
      </c>
      <c r="T1899" s="20">
        <f t="shared" si="763"/>
        <v>0</v>
      </c>
      <c r="U1899">
        <f t="shared" si="764"/>
        <v>739</v>
      </c>
      <c r="V1899">
        <f t="shared" si="765"/>
        <v>739</v>
      </c>
      <c r="W1899" cm="1">
        <f t="array" ref="W1899">_xlfn._xlws.FILTER(shifts!A:A,(shifts!B:B=events!D1899)*(shifts!AH:AH&gt;=events!U1899)*(shifts!AI:AI&lt;=events!V1899))</f>
        <v>67</v>
      </c>
      <c r="X1899" t="str">
        <f t="shared" si="766"/>
        <v>event_team_player_1</v>
      </c>
      <c r="Y1899">
        <f>COUNTIFS(A$3:A1899,"="&amp;A1899,K$3:K1899,"="&amp;K1899)</f>
        <v>1</v>
      </c>
      <c r="Z1899" s="20">
        <f>SUMIFS(T$3:T1899,L$3:L1899,"=Intermission")+SUMIFS(T$3:T1899,L$3:L1899,"=Timeout")+SUMIFS(T$3:T1899,L$3:L1899,"=Clockstop")</f>
        <v>138</v>
      </c>
      <c r="AA1899">
        <f t="shared" si="757"/>
        <v>2298</v>
      </c>
      <c r="AC1899">
        <f t="shared" si="758"/>
        <v>2436</v>
      </c>
    </row>
    <row r="1900" spans="1:29" x14ac:dyDescent="0.2">
      <c r="A1900">
        <v>1023</v>
      </c>
      <c r="D1900">
        <f t="shared" si="759"/>
        <v>3</v>
      </c>
      <c r="E1900">
        <v>12</v>
      </c>
      <c r="F1900" s="6" t="s">
        <v>445</v>
      </c>
      <c r="I1900" t="s">
        <v>179</v>
      </c>
      <c r="J1900">
        <v>84</v>
      </c>
      <c r="K1900" t="s">
        <v>489</v>
      </c>
      <c r="L1900" t="s">
        <v>10</v>
      </c>
      <c r="M1900" t="s">
        <v>190</v>
      </c>
      <c r="N1900" t="s">
        <v>73</v>
      </c>
      <c r="Q1900">
        <f t="shared" ref="Q1900:S1900" si="803">Q1899</f>
        <v>18977</v>
      </c>
      <c r="R1900" t="str">
        <f t="shared" si="803"/>
        <v>Velodrome</v>
      </c>
      <c r="S1900" t="str">
        <f t="shared" si="803"/>
        <v>HollowBrook</v>
      </c>
      <c r="T1900" s="20">
        <f t="shared" si="763"/>
        <v>0</v>
      </c>
      <c r="U1900">
        <f t="shared" si="764"/>
        <v>739</v>
      </c>
      <c r="V1900">
        <f t="shared" si="765"/>
        <v>739</v>
      </c>
      <c r="W1900" cm="1">
        <f t="array" ref="W1900">_xlfn._xlws.FILTER(shifts!A:A,(shifts!B:B=events!D1900)*(shifts!AH:AH&gt;=events!U1900)*(shifts!AI:AI&lt;=events!V1900))</f>
        <v>67</v>
      </c>
      <c r="X1900" t="str">
        <f t="shared" si="766"/>
        <v>opp_team_player_1</v>
      </c>
      <c r="Y1900">
        <f>COUNTIFS(A$3:A1900,"="&amp;A1900,K$3:K1900,"="&amp;K1900)</f>
        <v>1</v>
      </c>
      <c r="Z1900" s="20">
        <f>SUMIFS(T$3:T1900,L$3:L1900,"=Intermission")+SUMIFS(T$3:T1900,L$3:L1900,"=Timeout")+SUMIFS(T$3:T1900,L$3:L1900,"=Clockstop")</f>
        <v>138</v>
      </c>
      <c r="AA1900">
        <f t="shared" si="757"/>
        <v>2298</v>
      </c>
      <c r="AC1900">
        <f t="shared" si="758"/>
        <v>2436</v>
      </c>
    </row>
    <row r="1901" spans="1:29" x14ac:dyDescent="0.2">
      <c r="A1901">
        <v>1024</v>
      </c>
      <c r="D1901">
        <f t="shared" si="759"/>
        <v>3</v>
      </c>
      <c r="E1901">
        <v>12</v>
      </c>
      <c r="F1901" s="6" t="s">
        <v>485</v>
      </c>
      <c r="G1901">
        <v>12</v>
      </c>
      <c r="H1901" s="8" t="s">
        <v>446</v>
      </c>
      <c r="I1901" t="s">
        <v>178</v>
      </c>
      <c r="J1901">
        <v>84</v>
      </c>
      <c r="K1901" t="s">
        <v>488</v>
      </c>
      <c r="L1901" t="s">
        <v>277</v>
      </c>
      <c r="M1901" t="s">
        <v>201</v>
      </c>
      <c r="N1901" t="s">
        <v>90</v>
      </c>
      <c r="Q1901">
        <f t="shared" ref="Q1901:S1901" si="804">Q1900</f>
        <v>18977</v>
      </c>
      <c r="R1901" t="str">
        <f t="shared" si="804"/>
        <v>Velodrome</v>
      </c>
      <c r="S1901" t="str">
        <f t="shared" si="804"/>
        <v>HollowBrook</v>
      </c>
      <c r="T1901" s="20">
        <f t="shared" si="763"/>
        <v>1</v>
      </c>
      <c r="U1901">
        <f t="shared" si="764"/>
        <v>738</v>
      </c>
      <c r="V1901">
        <f t="shared" si="765"/>
        <v>737</v>
      </c>
      <c r="W1901" cm="1">
        <f t="array" ref="W1901">_xlfn._xlws.FILTER(shifts!A:A,(shifts!B:B=events!D1901)*(shifts!AH:AH&gt;=events!U1901)*(shifts!AI:AI&lt;=events!V1901))</f>
        <v>67</v>
      </c>
      <c r="X1901" t="str">
        <f t="shared" si="766"/>
        <v>event_team_player_1</v>
      </c>
      <c r="Y1901">
        <f>COUNTIFS(A$3:A1901,"="&amp;A1901,K$3:K1901,"="&amp;K1901)</f>
        <v>1</v>
      </c>
      <c r="Z1901" s="20">
        <f>SUMIFS(T$3:T1901,L$3:L1901,"=Intermission")+SUMIFS(T$3:T1901,L$3:L1901,"=Timeout")+SUMIFS(T$3:T1901,L$3:L1901,"=Clockstop")</f>
        <v>138</v>
      </c>
      <c r="AA1901">
        <f t="shared" si="757"/>
        <v>2298</v>
      </c>
      <c r="AC1901">
        <f t="shared" si="758"/>
        <v>2436</v>
      </c>
    </row>
    <row r="1902" spans="1:29" x14ac:dyDescent="0.2">
      <c r="A1902">
        <v>1024</v>
      </c>
      <c r="D1902">
        <f t="shared" si="759"/>
        <v>3</v>
      </c>
      <c r="E1902">
        <v>12</v>
      </c>
      <c r="F1902" s="6" t="s">
        <v>485</v>
      </c>
      <c r="G1902">
        <v>12</v>
      </c>
      <c r="H1902" s="8" t="s">
        <v>446</v>
      </c>
      <c r="I1902" t="s">
        <v>178</v>
      </c>
      <c r="J1902">
        <v>19</v>
      </c>
      <c r="K1902" t="s">
        <v>489</v>
      </c>
      <c r="L1902" t="s">
        <v>277</v>
      </c>
      <c r="M1902" t="s">
        <v>201</v>
      </c>
      <c r="N1902" t="s">
        <v>90</v>
      </c>
      <c r="Q1902">
        <f t="shared" ref="Q1902:S1902" si="805">Q1901</f>
        <v>18977</v>
      </c>
      <c r="R1902" t="str">
        <f t="shared" si="805"/>
        <v>Velodrome</v>
      </c>
      <c r="S1902" t="str">
        <f t="shared" si="805"/>
        <v>HollowBrook</v>
      </c>
      <c r="T1902" s="20">
        <f t="shared" si="763"/>
        <v>1</v>
      </c>
      <c r="U1902">
        <f t="shared" si="764"/>
        <v>738</v>
      </c>
      <c r="V1902">
        <f t="shared" si="765"/>
        <v>737</v>
      </c>
      <c r="W1902" cm="1">
        <f t="array" ref="W1902">_xlfn._xlws.FILTER(shifts!A:A,(shifts!B:B=events!D1902)*(shifts!AH:AH&gt;=events!U1902)*(shifts!AI:AI&lt;=events!V1902))</f>
        <v>67</v>
      </c>
      <c r="X1902" t="str">
        <f t="shared" si="766"/>
        <v>opp_team_player_1</v>
      </c>
      <c r="Y1902">
        <f>COUNTIFS(A$3:A1902,"="&amp;A1902,K$3:K1902,"="&amp;K1902)</f>
        <v>1</v>
      </c>
      <c r="Z1902" s="20">
        <f>SUMIFS(T$3:T1902,L$3:L1902,"=Intermission")+SUMIFS(T$3:T1902,L$3:L1902,"=Timeout")+SUMIFS(T$3:T1902,L$3:L1902,"=Clockstop")</f>
        <v>138</v>
      </c>
      <c r="AA1902">
        <f t="shared" si="757"/>
        <v>2298</v>
      </c>
      <c r="AC1902">
        <f t="shared" si="758"/>
        <v>2436</v>
      </c>
    </row>
    <row r="1903" spans="1:29" x14ac:dyDescent="0.2">
      <c r="A1903">
        <v>1025</v>
      </c>
      <c r="D1903">
        <f t="shared" si="759"/>
        <v>3</v>
      </c>
      <c r="E1903">
        <v>12</v>
      </c>
      <c r="F1903" s="6" t="s">
        <v>446</v>
      </c>
      <c r="G1903">
        <v>12</v>
      </c>
      <c r="H1903" s="8" t="s">
        <v>447</v>
      </c>
      <c r="I1903" t="s">
        <v>178</v>
      </c>
      <c r="J1903">
        <v>84</v>
      </c>
      <c r="K1903" t="s">
        <v>488</v>
      </c>
      <c r="L1903" t="s">
        <v>15</v>
      </c>
      <c r="Q1903">
        <f t="shared" ref="Q1903:S1903" si="806">Q1902</f>
        <v>18977</v>
      </c>
      <c r="R1903" t="str">
        <f t="shared" si="806"/>
        <v>Velodrome</v>
      </c>
      <c r="S1903" t="str">
        <f t="shared" si="806"/>
        <v>HollowBrook</v>
      </c>
      <c r="T1903" s="20">
        <f t="shared" si="763"/>
        <v>2</v>
      </c>
      <c r="U1903">
        <f t="shared" si="764"/>
        <v>737</v>
      </c>
      <c r="V1903">
        <f t="shared" si="765"/>
        <v>735</v>
      </c>
      <c r="W1903" cm="1">
        <f t="array" ref="W1903">_xlfn._xlws.FILTER(shifts!A:A,(shifts!B:B=events!D1903)*(shifts!AH:AH&gt;=events!U1903)*(shifts!AI:AI&lt;=events!V1903))</f>
        <v>67</v>
      </c>
      <c r="X1903" t="str">
        <f t="shared" si="766"/>
        <v>event_team_player_1</v>
      </c>
      <c r="Y1903">
        <f>COUNTIFS(A$3:A1903,"="&amp;A1903,K$3:K1903,"="&amp;K1903)</f>
        <v>1</v>
      </c>
      <c r="Z1903" s="20">
        <f>SUMIFS(T$3:T1903,L$3:L1903,"=Intermission")+SUMIFS(T$3:T1903,L$3:L1903,"=Timeout")+SUMIFS(T$3:T1903,L$3:L1903,"=Clockstop")</f>
        <v>138</v>
      </c>
      <c r="AA1903">
        <f t="shared" si="757"/>
        <v>2298</v>
      </c>
      <c r="AC1903">
        <f t="shared" si="758"/>
        <v>2436</v>
      </c>
    </row>
    <row r="1904" spans="1:29" x14ac:dyDescent="0.2">
      <c r="A1904">
        <v>1025</v>
      </c>
      <c r="D1904">
        <f t="shared" si="759"/>
        <v>3</v>
      </c>
      <c r="E1904">
        <v>12</v>
      </c>
      <c r="F1904" s="6" t="s">
        <v>446</v>
      </c>
      <c r="G1904">
        <v>12</v>
      </c>
      <c r="H1904" s="8" t="s">
        <v>447</v>
      </c>
      <c r="I1904" t="s">
        <v>178</v>
      </c>
      <c r="J1904">
        <v>19</v>
      </c>
      <c r="K1904" t="s">
        <v>489</v>
      </c>
      <c r="L1904" t="s">
        <v>15</v>
      </c>
      <c r="Q1904">
        <f t="shared" ref="Q1904:S1904" si="807">Q1903</f>
        <v>18977</v>
      </c>
      <c r="R1904" t="str">
        <f t="shared" si="807"/>
        <v>Velodrome</v>
      </c>
      <c r="S1904" t="str">
        <f t="shared" si="807"/>
        <v>HollowBrook</v>
      </c>
      <c r="T1904" s="20">
        <f t="shared" si="763"/>
        <v>2</v>
      </c>
      <c r="U1904">
        <f t="shared" si="764"/>
        <v>737</v>
      </c>
      <c r="V1904">
        <f t="shared" si="765"/>
        <v>735</v>
      </c>
      <c r="W1904" cm="1">
        <f t="array" ref="W1904">_xlfn._xlws.FILTER(shifts!A:A,(shifts!B:B=events!D1904)*(shifts!AH:AH&gt;=events!U1904)*(shifts!AI:AI&lt;=events!V1904))</f>
        <v>67</v>
      </c>
      <c r="X1904" t="str">
        <f t="shared" si="766"/>
        <v>opp_team_player_1</v>
      </c>
      <c r="Y1904">
        <f>COUNTIFS(A$3:A1904,"="&amp;A1904,K$3:K1904,"="&amp;K1904)</f>
        <v>1</v>
      </c>
      <c r="Z1904" s="20">
        <f>SUMIFS(T$3:T1904,L$3:L1904,"=Intermission")+SUMIFS(T$3:T1904,L$3:L1904,"=Timeout")+SUMIFS(T$3:T1904,L$3:L1904,"=Clockstop")</f>
        <v>138</v>
      </c>
      <c r="AA1904">
        <f t="shared" si="757"/>
        <v>2298</v>
      </c>
      <c r="AC1904">
        <f t="shared" si="758"/>
        <v>2436</v>
      </c>
    </row>
    <row r="1905" spans="1:29" x14ac:dyDescent="0.2">
      <c r="A1905">
        <v>1026</v>
      </c>
      <c r="D1905">
        <f t="shared" si="759"/>
        <v>3</v>
      </c>
      <c r="E1905">
        <v>12</v>
      </c>
      <c r="F1905" s="6" t="s">
        <v>447</v>
      </c>
      <c r="I1905" t="s">
        <v>178</v>
      </c>
      <c r="J1905">
        <v>24</v>
      </c>
      <c r="K1905" t="s">
        <v>488</v>
      </c>
      <c r="L1905" t="s">
        <v>10</v>
      </c>
      <c r="M1905" t="s">
        <v>190</v>
      </c>
      <c r="N1905" t="s">
        <v>75</v>
      </c>
      <c r="Q1905">
        <f t="shared" ref="Q1905:S1905" si="808">Q1904</f>
        <v>18977</v>
      </c>
      <c r="R1905" t="str">
        <f t="shared" si="808"/>
        <v>Velodrome</v>
      </c>
      <c r="S1905" t="str">
        <f t="shared" si="808"/>
        <v>HollowBrook</v>
      </c>
      <c r="T1905" s="20">
        <f t="shared" si="763"/>
        <v>0</v>
      </c>
      <c r="U1905">
        <f t="shared" si="764"/>
        <v>735</v>
      </c>
      <c r="V1905">
        <f t="shared" si="765"/>
        <v>735</v>
      </c>
      <c r="W1905" cm="1">
        <f t="array" ref="W1905">_xlfn._xlws.FILTER(shifts!A:A,(shifts!B:B=events!D1905)*(shifts!AH:AH&gt;=events!U1905)*(shifts!AI:AI&lt;=events!V1905))</f>
        <v>67</v>
      </c>
      <c r="X1905" t="str">
        <f t="shared" si="766"/>
        <v>event_team_player_1</v>
      </c>
      <c r="Y1905">
        <f>COUNTIFS(A$3:A1905,"="&amp;A1905,K$3:K1905,"="&amp;K1905)</f>
        <v>1</v>
      </c>
      <c r="Z1905" s="20">
        <f>SUMIFS(T$3:T1905,L$3:L1905,"=Intermission")+SUMIFS(T$3:T1905,L$3:L1905,"=Timeout")+SUMIFS(T$3:T1905,L$3:L1905,"=Clockstop")</f>
        <v>138</v>
      </c>
      <c r="AA1905">
        <f t="shared" si="757"/>
        <v>2298</v>
      </c>
      <c r="AC1905">
        <f t="shared" si="758"/>
        <v>2436</v>
      </c>
    </row>
    <row r="1906" spans="1:29" x14ac:dyDescent="0.2">
      <c r="A1906">
        <v>1026</v>
      </c>
      <c r="D1906">
        <f t="shared" si="759"/>
        <v>3</v>
      </c>
      <c r="E1906">
        <v>12</v>
      </c>
      <c r="F1906" s="6" t="s">
        <v>447</v>
      </c>
      <c r="I1906" t="s">
        <v>178</v>
      </c>
      <c r="J1906">
        <v>11</v>
      </c>
      <c r="K1906" t="s">
        <v>488</v>
      </c>
      <c r="L1906" t="s">
        <v>10</v>
      </c>
      <c r="M1906" t="s">
        <v>190</v>
      </c>
      <c r="N1906" t="s">
        <v>75</v>
      </c>
      <c r="Q1906">
        <f t="shared" ref="Q1906:S1906" si="809">Q1905</f>
        <v>18977</v>
      </c>
      <c r="R1906" t="str">
        <f t="shared" si="809"/>
        <v>Velodrome</v>
      </c>
      <c r="S1906" t="str">
        <f t="shared" si="809"/>
        <v>HollowBrook</v>
      </c>
      <c r="T1906" s="20">
        <f t="shared" si="763"/>
        <v>0</v>
      </c>
      <c r="U1906">
        <f t="shared" si="764"/>
        <v>735</v>
      </c>
      <c r="V1906">
        <f t="shared" si="765"/>
        <v>735</v>
      </c>
      <c r="W1906" cm="1">
        <f t="array" ref="W1906">_xlfn._xlws.FILTER(shifts!A:A,(shifts!B:B=events!D1906)*(shifts!AH:AH&gt;=events!U1906)*(shifts!AI:AI&lt;=events!V1906))</f>
        <v>67</v>
      </c>
      <c r="X1906" t="str">
        <f t="shared" si="766"/>
        <v>event_team_player_2</v>
      </c>
      <c r="Y1906">
        <f>COUNTIFS(A$3:A1906,"="&amp;A1906,K$3:K1906,"="&amp;K1906)</f>
        <v>2</v>
      </c>
      <c r="Z1906" s="20">
        <f>SUMIFS(T$3:T1906,L$3:L1906,"=Intermission")+SUMIFS(T$3:T1906,L$3:L1906,"=Timeout")+SUMIFS(T$3:T1906,L$3:L1906,"=Clockstop")</f>
        <v>138</v>
      </c>
      <c r="AA1906">
        <f t="shared" si="757"/>
        <v>2298</v>
      </c>
      <c r="AC1906">
        <f t="shared" si="758"/>
        <v>2436</v>
      </c>
    </row>
    <row r="1907" spans="1:29" x14ac:dyDescent="0.2">
      <c r="A1907">
        <v>1027</v>
      </c>
      <c r="D1907">
        <f t="shared" si="759"/>
        <v>3</v>
      </c>
      <c r="E1907">
        <v>12</v>
      </c>
      <c r="F1907" s="6" t="s">
        <v>423</v>
      </c>
      <c r="G1907">
        <v>12</v>
      </c>
      <c r="H1907" s="8" t="s">
        <v>449</v>
      </c>
      <c r="I1907" t="s">
        <v>179</v>
      </c>
      <c r="J1907">
        <v>11</v>
      </c>
      <c r="K1907" t="s">
        <v>488</v>
      </c>
      <c r="L1907" t="s">
        <v>15</v>
      </c>
      <c r="Q1907">
        <f t="shared" ref="Q1907:S1907" si="810">Q1906</f>
        <v>18977</v>
      </c>
      <c r="R1907" t="str">
        <f t="shared" si="810"/>
        <v>Velodrome</v>
      </c>
      <c r="S1907" t="str">
        <f t="shared" si="810"/>
        <v>HollowBrook</v>
      </c>
      <c r="T1907" s="20">
        <f t="shared" si="763"/>
        <v>2</v>
      </c>
      <c r="U1907">
        <f t="shared" si="764"/>
        <v>734</v>
      </c>
      <c r="V1907">
        <f t="shared" si="765"/>
        <v>732</v>
      </c>
      <c r="W1907" cm="1">
        <f t="array" ref="W1907">_xlfn._xlws.FILTER(shifts!A:A,(shifts!B:B=events!D1907)*(shifts!AH:AH&gt;=events!U1907)*(shifts!AI:AI&lt;=events!V1907))</f>
        <v>67</v>
      </c>
      <c r="X1907" t="str">
        <f t="shared" si="766"/>
        <v>event_team_player_1</v>
      </c>
      <c r="Y1907">
        <f>COUNTIFS(A$3:A1907,"="&amp;A1907,K$3:K1907,"="&amp;K1907)</f>
        <v>1</v>
      </c>
      <c r="Z1907" s="20">
        <f>SUMIFS(T$3:T1907,L$3:L1907,"=Intermission")+SUMIFS(T$3:T1907,L$3:L1907,"=Timeout")+SUMIFS(T$3:T1907,L$3:L1907,"=Clockstop")</f>
        <v>138</v>
      </c>
      <c r="AA1907">
        <f t="shared" si="757"/>
        <v>2298</v>
      </c>
      <c r="AC1907">
        <f t="shared" si="758"/>
        <v>2436</v>
      </c>
    </row>
    <row r="1908" spans="1:29" x14ac:dyDescent="0.2">
      <c r="A1908">
        <v>1028</v>
      </c>
      <c r="D1908">
        <f t="shared" si="759"/>
        <v>3</v>
      </c>
      <c r="E1908">
        <v>12</v>
      </c>
      <c r="F1908" s="6" t="s">
        <v>449</v>
      </c>
      <c r="I1908" t="s">
        <v>179</v>
      </c>
      <c r="J1908">
        <v>11</v>
      </c>
      <c r="K1908" t="s">
        <v>488</v>
      </c>
      <c r="L1908" t="s">
        <v>8</v>
      </c>
      <c r="M1908" t="s">
        <v>189</v>
      </c>
      <c r="N1908" t="s">
        <v>70</v>
      </c>
      <c r="Q1908">
        <f t="shared" ref="Q1908:S1908" si="811">Q1907</f>
        <v>18977</v>
      </c>
      <c r="R1908" t="str">
        <f t="shared" si="811"/>
        <v>Velodrome</v>
      </c>
      <c r="S1908" t="str">
        <f t="shared" si="811"/>
        <v>HollowBrook</v>
      </c>
      <c r="T1908" s="20">
        <f t="shared" si="763"/>
        <v>0</v>
      </c>
      <c r="U1908">
        <f t="shared" si="764"/>
        <v>732</v>
      </c>
      <c r="V1908">
        <f t="shared" si="765"/>
        <v>732</v>
      </c>
      <c r="W1908" cm="1">
        <f t="array" ref="W1908">_xlfn._xlws.FILTER(shifts!A:A,(shifts!B:B=events!D1908)*(shifts!AH:AH&gt;=events!U1908)*(shifts!AI:AI&lt;=events!V1908))</f>
        <v>67</v>
      </c>
      <c r="X1908" t="str">
        <f t="shared" si="766"/>
        <v>event_team_player_1</v>
      </c>
      <c r="Y1908">
        <f>COUNTIFS(A$3:A1908,"="&amp;A1908,K$3:K1908,"="&amp;K1908)</f>
        <v>1</v>
      </c>
      <c r="Z1908" s="20">
        <f>SUMIFS(T$3:T1908,L$3:L1908,"=Intermission")+SUMIFS(T$3:T1908,L$3:L1908,"=Timeout")+SUMIFS(T$3:T1908,L$3:L1908,"=Clockstop")</f>
        <v>138</v>
      </c>
      <c r="AA1908">
        <f t="shared" si="757"/>
        <v>2298</v>
      </c>
      <c r="AC1908">
        <f t="shared" si="758"/>
        <v>2436</v>
      </c>
    </row>
    <row r="1909" spans="1:29" x14ac:dyDescent="0.2">
      <c r="A1909">
        <v>1028</v>
      </c>
      <c r="D1909">
        <f t="shared" si="759"/>
        <v>3</v>
      </c>
      <c r="E1909">
        <v>12</v>
      </c>
      <c r="F1909" s="6" t="s">
        <v>449</v>
      </c>
      <c r="I1909" t="s">
        <v>179</v>
      </c>
      <c r="J1909">
        <v>19</v>
      </c>
      <c r="K1909" t="s">
        <v>488</v>
      </c>
      <c r="L1909" t="s">
        <v>8</v>
      </c>
      <c r="M1909" t="s">
        <v>189</v>
      </c>
      <c r="N1909" t="s">
        <v>70</v>
      </c>
      <c r="Q1909">
        <f t="shared" ref="Q1909:S1909" si="812">Q1908</f>
        <v>18977</v>
      </c>
      <c r="R1909" t="str">
        <f t="shared" si="812"/>
        <v>Velodrome</v>
      </c>
      <c r="S1909" t="str">
        <f t="shared" si="812"/>
        <v>HollowBrook</v>
      </c>
      <c r="T1909" s="20">
        <f t="shared" si="763"/>
        <v>0</v>
      </c>
      <c r="U1909">
        <f t="shared" si="764"/>
        <v>732</v>
      </c>
      <c r="V1909">
        <f t="shared" si="765"/>
        <v>732</v>
      </c>
      <c r="W1909" cm="1">
        <f t="array" ref="W1909">_xlfn._xlws.FILTER(shifts!A:A,(shifts!B:B=events!D1909)*(shifts!AH:AH&gt;=events!U1909)*(shifts!AI:AI&lt;=events!V1909))</f>
        <v>67</v>
      </c>
      <c r="X1909" t="str">
        <f t="shared" si="766"/>
        <v>event_team_player_2</v>
      </c>
      <c r="Y1909">
        <f>COUNTIFS(A$3:A1909,"="&amp;A1909,K$3:K1909,"="&amp;K1909)</f>
        <v>2</v>
      </c>
      <c r="Z1909" s="20">
        <f>SUMIFS(T$3:T1909,L$3:L1909,"=Intermission")+SUMIFS(T$3:T1909,L$3:L1909,"=Timeout")+SUMIFS(T$3:T1909,L$3:L1909,"=Clockstop")</f>
        <v>138</v>
      </c>
      <c r="AA1909">
        <f t="shared" si="757"/>
        <v>2298</v>
      </c>
      <c r="AC1909">
        <f t="shared" si="758"/>
        <v>2436</v>
      </c>
    </row>
    <row r="1910" spans="1:29" x14ac:dyDescent="0.2">
      <c r="A1910">
        <v>1029</v>
      </c>
      <c r="D1910">
        <f t="shared" si="759"/>
        <v>3</v>
      </c>
      <c r="E1910">
        <v>12</v>
      </c>
      <c r="F1910" s="6" t="s">
        <v>449</v>
      </c>
      <c r="G1910">
        <v>12</v>
      </c>
      <c r="H1910" s="8" t="s">
        <v>425</v>
      </c>
      <c r="I1910" t="s">
        <v>179</v>
      </c>
      <c r="J1910">
        <v>19</v>
      </c>
      <c r="K1910" t="s">
        <v>488</v>
      </c>
      <c r="L1910" t="s">
        <v>15</v>
      </c>
      <c r="Q1910">
        <f t="shared" ref="Q1910:S1910" si="813">Q1909</f>
        <v>18977</v>
      </c>
      <c r="R1910" t="str">
        <f t="shared" si="813"/>
        <v>Velodrome</v>
      </c>
      <c r="S1910" t="str">
        <f t="shared" si="813"/>
        <v>HollowBrook</v>
      </c>
      <c r="T1910" s="20">
        <f t="shared" si="763"/>
        <v>2</v>
      </c>
      <c r="U1910">
        <f t="shared" si="764"/>
        <v>732</v>
      </c>
      <c r="V1910">
        <f t="shared" si="765"/>
        <v>730</v>
      </c>
      <c r="W1910" cm="1">
        <f t="array" ref="W1910">_xlfn._xlws.FILTER(shifts!A:A,(shifts!B:B=events!D1910)*(shifts!AH:AH&gt;=events!U1910)*(shifts!AI:AI&lt;=events!V1910))</f>
        <v>67</v>
      </c>
      <c r="X1910" t="str">
        <f t="shared" si="766"/>
        <v>event_team_player_1</v>
      </c>
      <c r="Y1910">
        <f>COUNTIFS(A$3:A1910,"="&amp;A1910,K$3:K1910,"="&amp;K1910)</f>
        <v>1</v>
      </c>
      <c r="Z1910" s="20">
        <f>SUMIFS(T$3:T1910,L$3:L1910,"=Intermission")+SUMIFS(T$3:T1910,L$3:L1910,"=Timeout")+SUMIFS(T$3:T1910,L$3:L1910,"=Clockstop")</f>
        <v>138</v>
      </c>
      <c r="AA1910">
        <f t="shared" si="757"/>
        <v>2298</v>
      </c>
      <c r="AC1910">
        <f t="shared" si="758"/>
        <v>2436</v>
      </c>
    </row>
    <row r="1911" spans="1:29" x14ac:dyDescent="0.2">
      <c r="A1911">
        <v>1030</v>
      </c>
      <c r="D1911">
        <f t="shared" si="759"/>
        <v>3</v>
      </c>
      <c r="E1911">
        <v>12</v>
      </c>
      <c r="F1911" s="6" t="s">
        <v>425</v>
      </c>
      <c r="G1911">
        <v>12</v>
      </c>
      <c r="H1911" s="8" t="s">
        <v>313</v>
      </c>
      <c r="I1911" t="s">
        <v>179</v>
      </c>
      <c r="J1911">
        <v>19</v>
      </c>
      <c r="K1911" t="s">
        <v>488</v>
      </c>
      <c r="L1911" t="s">
        <v>277</v>
      </c>
      <c r="M1911" t="s">
        <v>191</v>
      </c>
      <c r="N1911" t="s">
        <v>87</v>
      </c>
      <c r="Q1911">
        <f t="shared" ref="Q1911:S1911" si="814">Q1910</f>
        <v>18977</v>
      </c>
      <c r="R1911" t="str">
        <f t="shared" si="814"/>
        <v>Velodrome</v>
      </c>
      <c r="S1911" t="str">
        <f t="shared" si="814"/>
        <v>HollowBrook</v>
      </c>
      <c r="T1911" s="20">
        <f t="shared" si="763"/>
        <v>2</v>
      </c>
      <c r="U1911">
        <f t="shared" si="764"/>
        <v>730</v>
      </c>
      <c r="V1911">
        <f t="shared" si="765"/>
        <v>728</v>
      </c>
      <c r="W1911" cm="1">
        <f t="array" ref="W1911">_xlfn._xlws.FILTER(shifts!A:A,(shifts!B:B=events!D1911)*(shifts!AH:AH&gt;=events!U1911)*(shifts!AI:AI&lt;=events!V1911))</f>
        <v>67</v>
      </c>
      <c r="X1911" t="str">
        <f t="shared" si="766"/>
        <v>event_team_player_1</v>
      </c>
      <c r="Y1911">
        <f>COUNTIFS(A$3:A1911,"="&amp;A1911,K$3:K1911,"="&amp;K1911)</f>
        <v>1</v>
      </c>
      <c r="Z1911" s="20">
        <f>SUMIFS(T$3:T1911,L$3:L1911,"=Intermission")+SUMIFS(T$3:T1911,L$3:L1911,"=Timeout")+SUMIFS(T$3:T1911,L$3:L1911,"=Clockstop")</f>
        <v>138</v>
      </c>
      <c r="AA1911">
        <f t="shared" si="757"/>
        <v>2298</v>
      </c>
      <c r="AC1911">
        <f t="shared" si="758"/>
        <v>2436</v>
      </c>
    </row>
    <row r="1912" spans="1:29" x14ac:dyDescent="0.2">
      <c r="A1912">
        <v>1030</v>
      </c>
      <c r="D1912">
        <f t="shared" si="759"/>
        <v>3</v>
      </c>
      <c r="E1912">
        <v>12</v>
      </c>
      <c r="F1912" s="6" t="s">
        <v>425</v>
      </c>
      <c r="G1912">
        <v>12</v>
      </c>
      <c r="H1912" s="8" t="s">
        <v>313</v>
      </c>
      <c r="I1912" t="s">
        <v>179</v>
      </c>
      <c r="J1912">
        <v>22</v>
      </c>
      <c r="K1912" t="s">
        <v>488</v>
      </c>
      <c r="L1912" t="s">
        <v>277</v>
      </c>
      <c r="M1912" t="s">
        <v>191</v>
      </c>
      <c r="N1912" t="s">
        <v>87</v>
      </c>
      <c r="Q1912">
        <f t="shared" ref="Q1912:S1912" si="815">Q1911</f>
        <v>18977</v>
      </c>
      <c r="R1912" t="str">
        <f t="shared" si="815"/>
        <v>Velodrome</v>
      </c>
      <c r="S1912" t="str">
        <f t="shared" si="815"/>
        <v>HollowBrook</v>
      </c>
      <c r="T1912" s="20">
        <f t="shared" si="763"/>
        <v>2</v>
      </c>
      <c r="U1912">
        <f t="shared" si="764"/>
        <v>730</v>
      </c>
      <c r="V1912">
        <f t="shared" si="765"/>
        <v>728</v>
      </c>
      <c r="W1912" cm="1">
        <f t="array" ref="W1912">_xlfn._xlws.FILTER(shifts!A:A,(shifts!B:B=events!D1912)*(shifts!AH:AH&gt;=events!U1912)*(shifts!AI:AI&lt;=events!V1912))</f>
        <v>67</v>
      </c>
      <c r="X1912" t="str">
        <f t="shared" si="766"/>
        <v>event_team_player_2</v>
      </c>
      <c r="Y1912">
        <f>COUNTIFS(A$3:A1912,"="&amp;A1912,K$3:K1912,"="&amp;K1912)</f>
        <v>2</v>
      </c>
      <c r="Z1912" s="20">
        <f>SUMIFS(T$3:T1912,L$3:L1912,"=Intermission")+SUMIFS(T$3:T1912,L$3:L1912,"=Timeout")+SUMIFS(T$3:T1912,L$3:L1912,"=Clockstop")</f>
        <v>138</v>
      </c>
      <c r="AA1912">
        <f t="shared" si="757"/>
        <v>2298</v>
      </c>
      <c r="AC1912">
        <f t="shared" si="758"/>
        <v>2436</v>
      </c>
    </row>
    <row r="1913" spans="1:29" x14ac:dyDescent="0.2">
      <c r="A1913">
        <v>1030</v>
      </c>
      <c r="D1913">
        <f t="shared" si="759"/>
        <v>3</v>
      </c>
      <c r="E1913">
        <v>12</v>
      </c>
      <c r="F1913" s="6" t="s">
        <v>425</v>
      </c>
      <c r="G1913">
        <v>12</v>
      </c>
      <c r="H1913" s="8" t="s">
        <v>313</v>
      </c>
      <c r="I1913" t="s">
        <v>179</v>
      </c>
      <c r="J1913">
        <v>84</v>
      </c>
      <c r="K1913" t="s">
        <v>489</v>
      </c>
      <c r="L1913" t="s">
        <v>277</v>
      </c>
      <c r="M1913" t="s">
        <v>191</v>
      </c>
      <c r="N1913" t="s">
        <v>87</v>
      </c>
      <c r="Q1913">
        <f t="shared" ref="Q1913:S1913" si="816">Q1912</f>
        <v>18977</v>
      </c>
      <c r="R1913" t="str">
        <f t="shared" si="816"/>
        <v>Velodrome</v>
      </c>
      <c r="S1913" t="str">
        <f t="shared" si="816"/>
        <v>HollowBrook</v>
      </c>
      <c r="T1913" s="20">
        <f t="shared" si="763"/>
        <v>2</v>
      </c>
      <c r="U1913">
        <f t="shared" si="764"/>
        <v>730</v>
      </c>
      <c r="V1913">
        <f t="shared" si="765"/>
        <v>728</v>
      </c>
      <c r="W1913" cm="1">
        <f t="array" ref="W1913">_xlfn._xlws.FILTER(shifts!A:A,(shifts!B:B=events!D1913)*(shifts!AH:AH&gt;=events!U1913)*(shifts!AI:AI&lt;=events!V1913))</f>
        <v>67</v>
      </c>
      <c r="X1913" t="str">
        <f t="shared" si="766"/>
        <v>opp_team_player_1</v>
      </c>
      <c r="Y1913">
        <f>COUNTIFS(A$3:A1913,"="&amp;A1913,K$3:K1913,"="&amp;K1913)</f>
        <v>1</v>
      </c>
      <c r="Z1913" s="20">
        <f>SUMIFS(T$3:T1913,L$3:L1913,"=Intermission")+SUMIFS(T$3:T1913,L$3:L1913,"=Timeout")+SUMIFS(T$3:T1913,L$3:L1913,"=Clockstop")</f>
        <v>138</v>
      </c>
      <c r="AA1913">
        <f t="shared" si="757"/>
        <v>2298</v>
      </c>
      <c r="AC1913">
        <f t="shared" si="758"/>
        <v>2436</v>
      </c>
    </row>
    <row r="1914" spans="1:29" x14ac:dyDescent="0.2">
      <c r="A1914">
        <v>1030</v>
      </c>
      <c r="D1914">
        <f t="shared" si="759"/>
        <v>3</v>
      </c>
      <c r="E1914">
        <v>12</v>
      </c>
      <c r="F1914" s="6" t="s">
        <v>425</v>
      </c>
      <c r="G1914">
        <v>12</v>
      </c>
      <c r="H1914" s="8" t="s">
        <v>313</v>
      </c>
      <c r="I1914" t="s">
        <v>179</v>
      </c>
      <c r="J1914">
        <v>22</v>
      </c>
      <c r="K1914" t="s">
        <v>489</v>
      </c>
      <c r="L1914" t="s">
        <v>277</v>
      </c>
      <c r="M1914" t="s">
        <v>191</v>
      </c>
      <c r="N1914" t="s">
        <v>87</v>
      </c>
      <c r="Q1914">
        <f t="shared" ref="Q1914:S1914" si="817">Q1913</f>
        <v>18977</v>
      </c>
      <c r="R1914" t="str">
        <f t="shared" si="817"/>
        <v>Velodrome</v>
      </c>
      <c r="S1914" t="str">
        <f t="shared" si="817"/>
        <v>HollowBrook</v>
      </c>
      <c r="T1914" s="20">
        <f t="shared" si="763"/>
        <v>2</v>
      </c>
      <c r="U1914">
        <f t="shared" si="764"/>
        <v>730</v>
      </c>
      <c r="V1914">
        <f t="shared" si="765"/>
        <v>728</v>
      </c>
      <c r="W1914" cm="1">
        <f t="array" ref="W1914">_xlfn._xlws.FILTER(shifts!A:A,(shifts!B:B=events!D1914)*(shifts!AH:AH&gt;=events!U1914)*(shifts!AI:AI&lt;=events!V1914))</f>
        <v>67</v>
      </c>
      <c r="X1914" t="str">
        <f t="shared" si="766"/>
        <v>opp_team_player_2</v>
      </c>
      <c r="Y1914">
        <f>COUNTIFS(A$3:A1914,"="&amp;A1914,K$3:K1914,"="&amp;K1914)</f>
        <v>2</v>
      </c>
      <c r="Z1914" s="20">
        <f>SUMIFS(T$3:T1914,L$3:L1914,"=Intermission")+SUMIFS(T$3:T1914,L$3:L1914,"=Timeout")+SUMIFS(T$3:T1914,L$3:L1914,"=Clockstop")</f>
        <v>138</v>
      </c>
      <c r="AA1914">
        <f t="shared" si="757"/>
        <v>2298</v>
      </c>
      <c r="AC1914">
        <f t="shared" si="758"/>
        <v>2436</v>
      </c>
    </row>
    <row r="1915" spans="1:29" x14ac:dyDescent="0.2">
      <c r="A1915">
        <v>1031</v>
      </c>
      <c r="D1915">
        <f t="shared" si="759"/>
        <v>3</v>
      </c>
      <c r="E1915">
        <v>12</v>
      </c>
      <c r="F1915" s="6" t="s">
        <v>313</v>
      </c>
      <c r="G1915">
        <v>12</v>
      </c>
      <c r="H1915" s="8" t="s">
        <v>315</v>
      </c>
      <c r="I1915" t="s">
        <v>179</v>
      </c>
      <c r="J1915">
        <v>19</v>
      </c>
      <c r="K1915" t="s">
        <v>488</v>
      </c>
      <c r="L1915" t="s">
        <v>15</v>
      </c>
      <c r="Q1915">
        <f t="shared" ref="Q1915:S1915" si="818">Q1914</f>
        <v>18977</v>
      </c>
      <c r="R1915" t="str">
        <f t="shared" si="818"/>
        <v>Velodrome</v>
      </c>
      <c r="S1915" t="str">
        <f t="shared" si="818"/>
        <v>HollowBrook</v>
      </c>
      <c r="T1915" s="20">
        <f t="shared" si="763"/>
        <v>3</v>
      </c>
      <c r="U1915">
        <f t="shared" si="764"/>
        <v>728</v>
      </c>
      <c r="V1915">
        <f t="shared" si="765"/>
        <v>725</v>
      </c>
      <c r="W1915" cm="1">
        <f t="array" ref="W1915">_xlfn._xlws.FILTER(shifts!A:A,(shifts!B:B=events!D1915)*(shifts!AH:AH&gt;=events!U1915)*(shifts!AI:AI&lt;=events!V1915))</f>
        <v>67</v>
      </c>
      <c r="X1915" t="str">
        <f t="shared" si="766"/>
        <v>event_team_player_1</v>
      </c>
      <c r="Y1915">
        <f>COUNTIFS(A$3:A1915,"="&amp;A1915,K$3:K1915,"="&amp;K1915)</f>
        <v>1</v>
      </c>
      <c r="Z1915" s="20">
        <f>SUMIFS(T$3:T1915,L$3:L1915,"=Intermission")+SUMIFS(T$3:T1915,L$3:L1915,"=Timeout")+SUMIFS(T$3:T1915,L$3:L1915,"=Clockstop")</f>
        <v>138</v>
      </c>
      <c r="AA1915">
        <f t="shared" si="757"/>
        <v>2298</v>
      </c>
      <c r="AC1915">
        <f t="shared" si="758"/>
        <v>2436</v>
      </c>
    </row>
    <row r="1916" spans="1:29" x14ac:dyDescent="0.2">
      <c r="A1916">
        <v>1031</v>
      </c>
      <c r="D1916">
        <f t="shared" si="759"/>
        <v>3</v>
      </c>
      <c r="E1916">
        <v>12</v>
      </c>
      <c r="F1916" s="6" t="s">
        <v>313</v>
      </c>
      <c r="G1916">
        <v>12</v>
      </c>
      <c r="H1916" s="8" t="s">
        <v>315</v>
      </c>
      <c r="I1916" t="s">
        <v>179</v>
      </c>
      <c r="J1916">
        <v>84</v>
      </c>
      <c r="K1916" t="s">
        <v>489</v>
      </c>
      <c r="L1916" t="s">
        <v>15</v>
      </c>
      <c r="Q1916">
        <f t="shared" ref="Q1916:S1916" si="819">Q1915</f>
        <v>18977</v>
      </c>
      <c r="R1916" t="str">
        <f t="shared" si="819"/>
        <v>Velodrome</v>
      </c>
      <c r="S1916" t="str">
        <f t="shared" si="819"/>
        <v>HollowBrook</v>
      </c>
      <c r="T1916" s="20">
        <f t="shared" si="763"/>
        <v>3</v>
      </c>
      <c r="U1916">
        <f t="shared" si="764"/>
        <v>728</v>
      </c>
      <c r="V1916">
        <f t="shared" si="765"/>
        <v>725</v>
      </c>
      <c r="W1916" cm="1">
        <f t="array" ref="W1916">_xlfn._xlws.FILTER(shifts!A:A,(shifts!B:B=events!D1916)*(shifts!AH:AH&gt;=events!U1916)*(shifts!AI:AI&lt;=events!V1916))</f>
        <v>67</v>
      </c>
      <c r="X1916" t="str">
        <f t="shared" si="766"/>
        <v>opp_team_player_1</v>
      </c>
      <c r="Y1916">
        <f>COUNTIFS(A$3:A1916,"="&amp;A1916,K$3:K1916,"="&amp;K1916)</f>
        <v>1</v>
      </c>
      <c r="Z1916" s="20">
        <f>SUMIFS(T$3:T1916,L$3:L1916,"=Intermission")+SUMIFS(T$3:T1916,L$3:L1916,"=Timeout")+SUMIFS(T$3:T1916,L$3:L1916,"=Clockstop")</f>
        <v>138</v>
      </c>
      <c r="AA1916">
        <f t="shared" si="757"/>
        <v>2298</v>
      </c>
      <c r="AC1916">
        <f t="shared" si="758"/>
        <v>2436</v>
      </c>
    </row>
    <row r="1917" spans="1:29" x14ac:dyDescent="0.2">
      <c r="A1917">
        <v>1032</v>
      </c>
      <c r="D1917">
        <f t="shared" si="759"/>
        <v>3</v>
      </c>
      <c r="E1917">
        <v>12</v>
      </c>
      <c r="F1917" s="6" t="s">
        <v>315</v>
      </c>
      <c r="G1917">
        <v>12</v>
      </c>
      <c r="H1917" s="8" t="s">
        <v>312</v>
      </c>
      <c r="I1917" t="s">
        <v>179</v>
      </c>
      <c r="J1917">
        <v>19</v>
      </c>
      <c r="K1917" t="s">
        <v>488</v>
      </c>
      <c r="L1917" t="s">
        <v>15</v>
      </c>
      <c r="Q1917">
        <f t="shared" ref="Q1917:S1917" si="820">Q1916</f>
        <v>18977</v>
      </c>
      <c r="R1917" t="str">
        <f t="shared" si="820"/>
        <v>Velodrome</v>
      </c>
      <c r="S1917" t="str">
        <f t="shared" si="820"/>
        <v>HollowBrook</v>
      </c>
      <c r="T1917" s="20">
        <f t="shared" si="763"/>
        <v>4</v>
      </c>
      <c r="U1917">
        <f t="shared" si="764"/>
        <v>725</v>
      </c>
      <c r="V1917">
        <f t="shared" si="765"/>
        <v>721</v>
      </c>
      <c r="W1917" cm="1">
        <f t="array" ref="W1917">_xlfn._xlws.FILTER(shifts!A:A,(shifts!B:B=events!D1917)*(shifts!AH:AH&gt;=events!U1917)*(shifts!AI:AI&lt;=events!V1917))</f>
        <v>67</v>
      </c>
      <c r="X1917" t="str">
        <f t="shared" si="766"/>
        <v>event_team_player_1</v>
      </c>
      <c r="Y1917">
        <f>COUNTIFS(A$3:A1917,"="&amp;A1917,K$3:K1917,"="&amp;K1917)</f>
        <v>1</v>
      </c>
      <c r="Z1917" s="20">
        <f>SUMIFS(T$3:T1917,L$3:L1917,"=Intermission")+SUMIFS(T$3:T1917,L$3:L1917,"=Timeout")+SUMIFS(T$3:T1917,L$3:L1917,"=Clockstop")</f>
        <v>138</v>
      </c>
      <c r="AA1917">
        <f t="shared" si="757"/>
        <v>2298</v>
      </c>
      <c r="AC1917">
        <f t="shared" si="758"/>
        <v>2436</v>
      </c>
    </row>
    <row r="1918" spans="1:29" x14ac:dyDescent="0.2">
      <c r="A1918">
        <v>1032</v>
      </c>
      <c r="D1918">
        <f t="shared" si="759"/>
        <v>3</v>
      </c>
      <c r="E1918">
        <v>12</v>
      </c>
      <c r="F1918" s="6" t="s">
        <v>315</v>
      </c>
      <c r="G1918">
        <v>12</v>
      </c>
      <c r="H1918" s="8" t="s">
        <v>312</v>
      </c>
      <c r="I1918" t="s">
        <v>179</v>
      </c>
      <c r="J1918">
        <v>24</v>
      </c>
      <c r="K1918" t="s">
        <v>489</v>
      </c>
      <c r="L1918" t="s">
        <v>15</v>
      </c>
      <c r="Q1918">
        <f t="shared" ref="Q1918:S1918" si="821">Q1917</f>
        <v>18977</v>
      </c>
      <c r="R1918" t="str">
        <f t="shared" si="821"/>
        <v>Velodrome</v>
      </c>
      <c r="S1918" t="str">
        <f t="shared" si="821"/>
        <v>HollowBrook</v>
      </c>
      <c r="T1918" s="20">
        <f t="shared" si="763"/>
        <v>4</v>
      </c>
      <c r="U1918">
        <f t="shared" si="764"/>
        <v>725</v>
      </c>
      <c r="V1918">
        <f t="shared" si="765"/>
        <v>721</v>
      </c>
      <c r="W1918" cm="1">
        <f t="array" ref="W1918">_xlfn._xlws.FILTER(shifts!A:A,(shifts!B:B=events!D1918)*(shifts!AH:AH&gt;=events!U1918)*(shifts!AI:AI&lt;=events!V1918))</f>
        <v>67</v>
      </c>
      <c r="X1918" t="str">
        <f t="shared" si="766"/>
        <v>opp_team_player_1</v>
      </c>
      <c r="Y1918">
        <f>COUNTIFS(A$3:A1918,"="&amp;A1918,K$3:K1918,"="&amp;K1918)</f>
        <v>1</v>
      </c>
      <c r="Z1918" s="20">
        <f>SUMIFS(T$3:T1918,L$3:L1918,"=Intermission")+SUMIFS(T$3:T1918,L$3:L1918,"=Timeout")+SUMIFS(T$3:T1918,L$3:L1918,"=Clockstop")</f>
        <v>138</v>
      </c>
      <c r="AA1918">
        <f t="shared" si="757"/>
        <v>2298</v>
      </c>
      <c r="AC1918">
        <f t="shared" si="758"/>
        <v>2436</v>
      </c>
    </row>
    <row r="1919" spans="1:29" x14ac:dyDescent="0.2">
      <c r="A1919">
        <v>1033</v>
      </c>
      <c r="D1919">
        <f t="shared" si="759"/>
        <v>3</v>
      </c>
      <c r="E1919">
        <v>12</v>
      </c>
      <c r="F1919" s="6" t="s">
        <v>312</v>
      </c>
      <c r="I1919" t="s">
        <v>179</v>
      </c>
      <c r="J1919">
        <v>19</v>
      </c>
      <c r="K1919" t="s">
        <v>488</v>
      </c>
      <c r="L1919" t="s">
        <v>8</v>
      </c>
      <c r="M1919" t="s">
        <v>189</v>
      </c>
      <c r="N1919" t="s">
        <v>69</v>
      </c>
      <c r="Q1919">
        <f t="shared" ref="Q1919:S1919" si="822">Q1918</f>
        <v>18977</v>
      </c>
      <c r="R1919" t="str">
        <f t="shared" si="822"/>
        <v>Velodrome</v>
      </c>
      <c r="S1919" t="str">
        <f t="shared" si="822"/>
        <v>HollowBrook</v>
      </c>
      <c r="T1919" s="20">
        <f t="shared" si="763"/>
        <v>0</v>
      </c>
      <c r="U1919">
        <f t="shared" si="764"/>
        <v>721</v>
      </c>
      <c r="V1919">
        <f t="shared" si="765"/>
        <v>721</v>
      </c>
      <c r="W1919" cm="1">
        <f t="array" ref="W1919">_xlfn._xlws.FILTER(shifts!A:A,(shifts!B:B=events!D1919)*(shifts!AH:AH&gt;=events!U1919)*(shifts!AI:AI&lt;=events!V1919))</f>
        <v>67</v>
      </c>
      <c r="X1919" t="str">
        <f t="shared" si="766"/>
        <v>event_team_player_1</v>
      </c>
      <c r="Y1919">
        <f>COUNTIFS(A$3:A1919,"="&amp;A1919,K$3:K1919,"="&amp;K1919)</f>
        <v>1</v>
      </c>
      <c r="Z1919" s="20">
        <f>SUMIFS(T$3:T1919,L$3:L1919,"=Intermission")+SUMIFS(T$3:T1919,L$3:L1919,"=Timeout")+SUMIFS(T$3:T1919,L$3:L1919,"=Clockstop")</f>
        <v>138</v>
      </c>
      <c r="AA1919">
        <f t="shared" si="757"/>
        <v>2298</v>
      </c>
      <c r="AC1919">
        <f t="shared" si="758"/>
        <v>2436</v>
      </c>
    </row>
    <row r="1920" spans="1:29" x14ac:dyDescent="0.2">
      <c r="A1920">
        <v>1033</v>
      </c>
      <c r="D1920">
        <f t="shared" si="759"/>
        <v>3</v>
      </c>
      <c r="E1920">
        <v>12</v>
      </c>
      <c r="F1920" s="6" t="s">
        <v>312</v>
      </c>
      <c r="I1920" t="s">
        <v>179</v>
      </c>
      <c r="J1920">
        <v>11</v>
      </c>
      <c r="K1920" t="s">
        <v>488</v>
      </c>
      <c r="L1920" t="s">
        <v>8</v>
      </c>
      <c r="M1920" t="s">
        <v>189</v>
      </c>
      <c r="N1920" t="s">
        <v>69</v>
      </c>
      <c r="Q1920">
        <f t="shared" ref="Q1920:S1920" si="823">Q1919</f>
        <v>18977</v>
      </c>
      <c r="R1920" t="str">
        <f t="shared" si="823"/>
        <v>Velodrome</v>
      </c>
      <c r="S1920" t="str">
        <f t="shared" si="823"/>
        <v>HollowBrook</v>
      </c>
      <c r="T1920" s="20">
        <f t="shared" si="763"/>
        <v>0</v>
      </c>
      <c r="U1920">
        <f t="shared" si="764"/>
        <v>721</v>
      </c>
      <c r="V1920">
        <f t="shared" si="765"/>
        <v>721</v>
      </c>
      <c r="W1920" cm="1">
        <f t="array" ref="W1920">_xlfn._xlws.FILTER(shifts!A:A,(shifts!B:B=events!D1920)*(shifts!AH:AH&gt;=events!U1920)*(shifts!AI:AI&lt;=events!V1920))</f>
        <v>67</v>
      </c>
      <c r="X1920" t="str">
        <f t="shared" si="766"/>
        <v>event_team_player_2</v>
      </c>
      <c r="Y1920">
        <f>COUNTIFS(A$3:A1920,"="&amp;A1920,K$3:K1920,"="&amp;K1920)</f>
        <v>2</v>
      </c>
      <c r="Z1920" s="20">
        <f>SUMIFS(T$3:T1920,L$3:L1920,"=Intermission")+SUMIFS(T$3:T1920,L$3:L1920,"=Timeout")+SUMIFS(T$3:T1920,L$3:L1920,"=Clockstop")</f>
        <v>138</v>
      </c>
      <c r="AA1920">
        <f t="shared" si="757"/>
        <v>2298</v>
      </c>
      <c r="AC1920">
        <f t="shared" si="758"/>
        <v>2436</v>
      </c>
    </row>
    <row r="1921" spans="1:29" x14ac:dyDescent="0.2">
      <c r="A1921">
        <v>1034</v>
      </c>
      <c r="D1921">
        <f t="shared" si="759"/>
        <v>3</v>
      </c>
      <c r="E1921">
        <v>12</v>
      </c>
      <c r="F1921" s="6" t="s">
        <v>426</v>
      </c>
      <c r="G1921">
        <v>11</v>
      </c>
      <c r="H1921" s="8" t="s">
        <v>462</v>
      </c>
      <c r="I1921" t="s">
        <v>179</v>
      </c>
      <c r="J1921">
        <v>11</v>
      </c>
      <c r="K1921" t="s">
        <v>488</v>
      </c>
      <c r="L1921" t="s">
        <v>15</v>
      </c>
      <c r="Q1921">
        <f t="shared" ref="Q1921:S1921" si="824">Q1920</f>
        <v>18977</v>
      </c>
      <c r="R1921" t="str">
        <f t="shared" si="824"/>
        <v>Velodrome</v>
      </c>
      <c r="S1921" t="str">
        <f t="shared" si="824"/>
        <v>HollowBrook</v>
      </c>
      <c r="T1921" s="20">
        <f t="shared" si="763"/>
        <v>2</v>
      </c>
      <c r="U1921">
        <f t="shared" si="764"/>
        <v>720</v>
      </c>
      <c r="V1921">
        <f t="shared" si="765"/>
        <v>718</v>
      </c>
      <c r="W1921" cm="1">
        <f t="array" ref="W1921">_xlfn._xlws.FILTER(shifts!A:A,(shifts!B:B=events!D1921)*(shifts!AH:AH&gt;=events!U1921)*(shifts!AI:AI&lt;=events!V1921))</f>
        <v>67</v>
      </c>
      <c r="X1921" t="str">
        <f t="shared" si="766"/>
        <v>event_team_player_1</v>
      </c>
      <c r="Y1921">
        <f>COUNTIFS(A$3:A1921,"="&amp;A1921,K$3:K1921,"="&amp;K1921)</f>
        <v>1</v>
      </c>
      <c r="Z1921" s="20">
        <f>SUMIFS(T$3:T1921,L$3:L1921,"=Intermission")+SUMIFS(T$3:T1921,L$3:L1921,"=Timeout")+SUMIFS(T$3:T1921,L$3:L1921,"=Clockstop")</f>
        <v>138</v>
      </c>
      <c r="AA1921">
        <f t="shared" si="757"/>
        <v>2298</v>
      </c>
      <c r="AC1921">
        <f t="shared" si="758"/>
        <v>2436</v>
      </c>
    </row>
    <row r="1922" spans="1:29" x14ac:dyDescent="0.2">
      <c r="A1922">
        <v>1035</v>
      </c>
      <c r="D1922">
        <f t="shared" si="759"/>
        <v>3</v>
      </c>
      <c r="E1922">
        <v>11</v>
      </c>
      <c r="F1922" s="6" t="s">
        <v>462</v>
      </c>
      <c r="I1922" t="s">
        <v>179</v>
      </c>
      <c r="J1922">
        <v>11</v>
      </c>
      <c r="K1922" t="s">
        <v>488</v>
      </c>
      <c r="L1922" t="s">
        <v>8</v>
      </c>
      <c r="M1922" t="s">
        <v>189</v>
      </c>
      <c r="N1922" t="s">
        <v>70</v>
      </c>
      <c r="Q1922">
        <f t="shared" ref="Q1922:S1922" si="825">Q1921</f>
        <v>18977</v>
      </c>
      <c r="R1922" t="str">
        <f t="shared" si="825"/>
        <v>Velodrome</v>
      </c>
      <c r="S1922" t="str">
        <f t="shared" si="825"/>
        <v>HollowBrook</v>
      </c>
      <c r="T1922" s="20">
        <f t="shared" si="763"/>
        <v>0</v>
      </c>
      <c r="U1922">
        <f t="shared" si="764"/>
        <v>718</v>
      </c>
      <c r="V1922">
        <f t="shared" si="765"/>
        <v>718</v>
      </c>
      <c r="W1922" cm="1">
        <f t="array" ref="W1922">_xlfn._xlws.FILTER(shifts!A:A,(shifts!B:B=events!D1922)*(shifts!AH:AH&gt;=events!U1922)*(shifts!AI:AI&lt;=events!V1922))</f>
        <v>67</v>
      </c>
      <c r="X1922" t="str">
        <f t="shared" si="766"/>
        <v>event_team_player_1</v>
      </c>
      <c r="Y1922">
        <f>COUNTIFS(A$3:A1922,"="&amp;A1922,K$3:K1922,"="&amp;K1922)</f>
        <v>1</v>
      </c>
      <c r="Z1922" s="20">
        <f>SUMIFS(T$3:T1922,L$3:L1922,"=Intermission")+SUMIFS(T$3:T1922,L$3:L1922,"=Timeout")+SUMIFS(T$3:T1922,L$3:L1922,"=Clockstop")</f>
        <v>138</v>
      </c>
      <c r="AA1922">
        <f t="shared" si="757"/>
        <v>2298</v>
      </c>
      <c r="AC1922">
        <f t="shared" si="758"/>
        <v>2436</v>
      </c>
    </row>
    <row r="1923" spans="1:29" x14ac:dyDescent="0.2">
      <c r="A1923">
        <v>1035</v>
      </c>
      <c r="D1923">
        <f t="shared" si="759"/>
        <v>3</v>
      </c>
      <c r="E1923">
        <v>11</v>
      </c>
      <c r="F1923" s="6" t="s">
        <v>462</v>
      </c>
      <c r="I1923" t="s">
        <v>179</v>
      </c>
      <c r="J1923">
        <v>2</v>
      </c>
      <c r="K1923" t="s">
        <v>488</v>
      </c>
      <c r="L1923" t="s">
        <v>8</v>
      </c>
      <c r="M1923" t="s">
        <v>189</v>
      </c>
      <c r="N1923" t="s">
        <v>70</v>
      </c>
      <c r="Q1923">
        <f t="shared" ref="Q1923:S1923" si="826">Q1922</f>
        <v>18977</v>
      </c>
      <c r="R1923" t="str">
        <f t="shared" si="826"/>
        <v>Velodrome</v>
      </c>
      <c r="S1923" t="str">
        <f t="shared" si="826"/>
        <v>HollowBrook</v>
      </c>
      <c r="T1923" s="20">
        <f t="shared" si="763"/>
        <v>0</v>
      </c>
      <c r="U1923">
        <f t="shared" si="764"/>
        <v>718</v>
      </c>
      <c r="V1923">
        <f t="shared" si="765"/>
        <v>718</v>
      </c>
      <c r="W1923" cm="1">
        <f t="array" ref="W1923">_xlfn._xlws.FILTER(shifts!A:A,(shifts!B:B=events!D1923)*(shifts!AH:AH&gt;=events!U1923)*(shifts!AI:AI&lt;=events!V1923))</f>
        <v>67</v>
      </c>
      <c r="X1923" t="str">
        <f t="shared" si="766"/>
        <v>event_team_player_2</v>
      </c>
      <c r="Y1923">
        <f>COUNTIFS(A$3:A1923,"="&amp;A1923,K$3:K1923,"="&amp;K1923)</f>
        <v>2</v>
      </c>
      <c r="Z1923" s="20">
        <f>SUMIFS(T$3:T1923,L$3:L1923,"=Intermission")+SUMIFS(T$3:T1923,L$3:L1923,"=Timeout")+SUMIFS(T$3:T1923,L$3:L1923,"=Clockstop")</f>
        <v>138</v>
      </c>
      <c r="AA1923">
        <f t="shared" si="757"/>
        <v>2298</v>
      </c>
      <c r="AC1923">
        <f t="shared" si="758"/>
        <v>2436</v>
      </c>
    </row>
    <row r="1924" spans="1:29" x14ac:dyDescent="0.2">
      <c r="A1924">
        <v>1036</v>
      </c>
      <c r="D1924">
        <f t="shared" si="759"/>
        <v>3</v>
      </c>
      <c r="E1924">
        <v>11</v>
      </c>
      <c r="F1924" s="6" t="s">
        <v>433</v>
      </c>
      <c r="I1924" t="s">
        <v>179</v>
      </c>
      <c r="J1924">
        <v>2</v>
      </c>
      <c r="K1924" t="s">
        <v>488</v>
      </c>
      <c r="L1924" t="s">
        <v>7</v>
      </c>
      <c r="M1924" t="s">
        <v>222</v>
      </c>
      <c r="N1924" t="s">
        <v>53</v>
      </c>
      <c r="Q1924">
        <f t="shared" ref="Q1924:S1924" si="827">Q1923</f>
        <v>18977</v>
      </c>
      <c r="R1924" t="str">
        <f t="shared" si="827"/>
        <v>Velodrome</v>
      </c>
      <c r="S1924" t="str">
        <f t="shared" si="827"/>
        <v>HollowBrook</v>
      </c>
      <c r="T1924" s="20">
        <f t="shared" si="763"/>
        <v>0</v>
      </c>
      <c r="U1924">
        <f t="shared" si="764"/>
        <v>717</v>
      </c>
      <c r="V1924">
        <f t="shared" si="765"/>
        <v>717</v>
      </c>
      <c r="W1924" cm="1">
        <f t="array" ref="W1924">_xlfn._xlws.FILTER(shifts!A:A,(shifts!B:B=events!D1924)*(shifts!AH:AH&gt;=events!U1924)*(shifts!AI:AI&lt;=events!V1924))</f>
        <v>67</v>
      </c>
      <c r="X1924" t="str">
        <f t="shared" si="766"/>
        <v>event_team_player_1</v>
      </c>
      <c r="Y1924">
        <f>COUNTIFS(A$3:A1924,"="&amp;A1924,K$3:K1924,"="&amp;K1924)</f>
        <v>1</v>
      </c>
      <c r="Z1924" s="20">
        <f>SUMIFS(T$3:T1924,L$3:L1924,"=Intermission")+SUMIFS(T$3:T1924,L$3:L1924,"=Timeout")+SUMIFS(T$3:T1924,L$3:L1924,"=Clockstop")</f>
        <v>138</v>
      </c>
      <c r="AA1924">
        <f t="shared" ref="AA1924:AA1987" si="828">IF(D1924=1,0,IF(D1924=2,1080+Z1924,IF(D1924=3,(1080*2)+Z1924,0)))</f>
        <v>2298</v>
      </c>
      <c r="AC1924">
        <f t="shared" ref="AC1924:AC1987" si="829">IF(L1923="GameStart",0,AA1924+Z1924)</f>
        <v>2436</v>
      </c>
    </row>
    <row r="1925" spans="1:29" x14ac:dyDescent="0.2">
      <c r="A1925">
        <v>1036</v>
      </c>
      <c r="D1925">
        <f t="shared" ref="D1925:D1988" si="830">IF(L1925="Intermission",D1924+1,D1924)</f>
        <v>3</v>
      </c>
      <c r="E1925">
        <v>11</v>
      </c>
      <c r="F1925" s="6" t="s">
        <v>433</v>
      </c>
      <c r="I1925" t="s">
        <v>179</v>
      </c>
      <c r="J1925">
        <v>39</v>
      </c>
      <c r="K1925" t="s">
        <v>489</v>
      </c>
      <c r="L1925" t="s">
        <v>7</v>
      </c>
      <c r="M1925" t="s">
        <v>222</v>
      </c>
      <c r="N1925" t="s">
        <v>53</v>
      </c>
      <c r="Q1925">
        <f t="shared" ref="Q1925:S1925" si="831">Q1924</f>
        <v>18977</v>
      </c>
      <c r="R1925" t="str">
        <f t="shared" si="831"/>
        <v>Velodrome</v>
      </c>
      <c r="S1925" t="str">
        <f t="shared" si="831"/>
        <v>HollowBrook</v>
      </c>
      <c r="T1925" s="20">
        <f t="shared" si="763"/>
        <v>0</v>
      </c>
      <c r="U1925">
        <f t="shared" si="764"/>
        <v>717</v>
      </c>
      <c r="V1925">
        <f t="shared" si="765"/>
        <v>717</v>
      </c>
      <c r="W1925" cm="1">
        <f t="array" ref="W1925">_xlfn._xlws.FILTER(shifts!A:A,(shifts!B:B=events!D1925)*(shifts!AH:AH&gt;=events!U1925)*(shifts!AI:AI&lt;=events!V1925))</f>
        <v>67</v>
      </c>
      <c r="X1925" t="str">
        <f t="shared" si="766"/>
        <v>opp_team_player_1</v>
      </c>
      <c r="Y1925">
        <f>COUNTIFS(A$3:A1925,"="&amp;A1925,K$3:K1925,"="&amp;K1925)</f>
        <v>1</v>
      </c>
      <c r="Z1925" s="20">
        <f>SUMIFS(T$3:T1925,L$3:L1925,"=Intermission")+SUMIFS(T$3:T1925,L$3:L1925,"=Timeout")+SUMIFS(T$3:T1925,L$3:L1925,"=Clockstop")</f>
        <v>138</v>
      </c>
      <c r="AA1925">
        <f t="shared" si="828"/>
        <v>2298</v>
      </c>
      <c r="AC1925">
        <f t="shared" si="829"/>
        <v>2436</v>
      </c>
    </row>
    <row r="1926" spans="1:29" x14ac:dyDescent="0.2">
      <c r="A1926">
        <v>1037</v>
      </c>
      <c r="D1926">
        <f t="shared" si="830"/>
        <v>3</v>
      </c>
      <c r="E1926">
        <v>11</v>
      </c>
      <c r="F1926" s="6" t="s">
        <v>433</v>
      </c>
      <c r="I1926" t="s">
        <v>178</v>
      </c>
      <c r="J1926">
        <v>39</v>
      </c>
      <c r="K1926" t="s">
        <v>488</v>
      </c>
      <c r="L1926" t="s">
        <v>17</v>
      </c>
      <c r="M1926" t="s">
        <v>196</v>
      </c>
      <c r="N1926" t="s">
        <v>102</v>
      </c>
      <c r="Q1926">
        <f t="shared" ref="Q1926:S1926" si="832">Q1925</f>
        <v>18977</v>
      </c>
      <c r="R1926" t="str">
        <f t="shared" si="832"/>
        <v>Velodrome</v>
      </c>
      <c r="S1926" t="str">
        <f t="shared" si="832"/>
        <v>HollowBrook</v>
      </c>
      <c r="T1926" s="20">
        <f t="shared" si="763"/>
        <v>0</v>
      </c>
      <c r="U1926">
        <f t="shared" si="764"/>
        <v>717</v>
      </c>
      <c r="V1926">
        <f t="shared" si="765"/>
        <v>717</v>
      </c>
      <c r="W1926" cm="1">
        <f t="array" ref="W1926">_xlfn._xlws.FILTER(shifts!A:A,(shifts!B:B=events!D1926)*(shifts!AH:AH&gt;=events!U1926)*(shifts!AI:AI&lt;=events!V1926))</f>
        <v>67</v>
      </c>
      <c r="X1926" t="str">
        <f t="shared" si="766"/>
        <v>event_team_player_1</v>
      </c>
      <c r="Y1926">
        <f>COUNTIFS(A$3:A1926,"="&amp;A1926,K$3:K1926,"="&amp;K1926)</f>
        <v>1</v>
      </c>
      <c r="Z1926" s="20">
        <f>SUMIFS(T$3:T1926,L$3:L1926,"=Intermission")+SUMIFS(T$3:T1926,L$3:L1926,"=Timeout")+SUMIFS(T$3:T1926,L$3:L1926,"=Clockstop")</f>
        <v>138</v>
      </c>
      <c r="AA1926">
        <f t="shared" si="828"/>
        <v>2298</v>
      </c>
      <c r="AC1926">
        <f t="shared" si="829"/>
        <v>2436</v>
      </c>
    </row>
    <row r="1927" spans="1:29" x14ac:dyDescent="0.2">
      <c r="A1927">
        <v>1037</v>
      </c>
      <c r="D1927">
        <f t="shared" si="830"/>
        <v>3</v>
      </c>
      <c r="E1927">
        <v>11</v>
      </c>
      <c r="F1927" s="6" t="s">
        <v>433</v>
      </c>
      <c r="I1927" t="s">
        <v>178</v>
      </c>
      <c r="J1927">
        <v>2</v>
      </c>
      <c r="K1927" t="s">
        <v>489</v>
      </c>
      <c r="L1927" t="s">
        <v>17</v>
      </c>
      <c r="M1927" t="s">
        <v>196</v>
      </c>
      <c r="N1927" t="s">
        <v>102</v>
      </c>
      <c r="Q1927">
        <f t="shared" ref="Q1927:S1927" si="833">Q1926</f>
        <v>18977</v>
      </c>
      <c r="R1927" t="str">
        <f t="shared" si="833"/>
        <v>Velodrome</v>
      </c>
      <c r="S1927" t="str">
        <f t="shared" si="833"/>
        <v>HollowBrook</v>
      </c>
      <c r="T1927" s="20">
        <f t="shared" ref="T1927:T1990" si="834">IF(AND(G1927="",H1927=""),0,((E1927*60)+F1927)-((G1927*60)+H1927))</f>
        <v>0</v>
      </c>
      <c r="U1927">
        <f t="shared" ref="U1927:U1990" si="835">(E1927*60)+F1927</f>
        <v>717</v>
      </c>
      <c r="V1927">
        <f t="shared" ref="V1927:V1990" si="836">IF(AND(G1927="",H1927=""),U1927,((G1927*60)+H1927))</f>
        <v>717</v>
      </c>
      <c r="W1927" cm="1">
        <f t="array" ref="W1927">_xlfn._xlws.FILTER(shifts!A:A,(shifts!B:B=events!D1927)*(shifts!AH:AH&gt;=events!U1927)*(shifts!AI:AI&lt;=events!V1927))</f>
        <v>67</v>
      </c>
      <c r="X1927" t="str">
        <f t="shared" ref="X1927:X1990" si="837">IF(K1927="e","event_team_player_"&amp;Y1927,IF(K1927="o","opp_team_player_"&amp;Y1927,""))</f>
        <v>opp_team_player_1</v>
      </c>
      <c r="Y1927">
        <f>COUNTIFS(A$3:A1927,"="&amp;A1927,K$3:K1927,"="&amp;K1927)</f>
        <v>1</v>
      </c>
      <c r="Z1927" s="20">
        <f>SUMIFS(T$3:T1927,L$3:L1927,"=Intermission")+SUMIFS(T$3:T1927,L$3:L1927,"=Timeout")+SUMIFS(T$3:T1927,L$3:L1927,"=Clockstop")</f>
        <v>138</v>
      </c>
      <c r="AA1927">
        <f t="shared" si="828"/>
        <v>2298</v>
      </c>
      <c r="AC1927">
        <f t="shared" si="829"/>
        <v>2436</v>
      </c>
    </row>
    <row r="1928" spans="1:29" x14ac:dyDescent="0.2">
      <c r="A1928">
        <v>1038</v>
      </c>
      <c r="D1928">
        <f t="shared" si="830"/>
        <v>3</v>
      </c>
      <c r="E1928">
        <v>11</v>
      </c>
      <c r="F1928" s="6" t="s">
        <v>421</v>
      </c>
      <c r="I1928" t="s">
        <v>178</v>
      </c>
      <c r="J1928">
        <v>39</v>
      </c>
      <c r="K1928" t="s">
        <v>488</v>
      </c>
      <c r="L1928" t="s">
        <v>270</v>
      </c>
      <c r="M1928" t="s">
        <v>272</v>
      </c>
      <c r="Q1928">
        <f t="shared" ref="Q1928:S1928" si="838">Q1927</f>
        <v>18977</v>
      </c>
      <c r="R1928" t="str">
        <f t="shared" si="838"/>
        <v>Velodrome</v>
      </c>
      <c r="S1928" t="str">
        <f t="shared" si="838"/>
        <v>HollowBrook</v>
      </c>
      <c r="T1928" s="20">
        <f t="shared" si="834"/>
        <v>0</v>
      </c>
      <c r="U1928">
        <f t="shared" si="835"/>
        <v>716</v>
      </c>
      <c r="V1928">
        <f t="shared" si="836"/>
        <v>716</v>
      </c>
      <c r="W1928" cm="1">
        <f t="array" ref="W1928">_xlfn._xlws.FILTER(shifts!A:A,(shifts!B:B=events!D1928)*(shifts!AH:AH&gt;=events!U1928)*(shifts!AI:AI&lt;=events!V1928))</f>
        <v>67</v>
      </c>
      <c r="X1928" t="str">
        <f t="shared" si="837"/>
        <v>event_team_player_1</v>
      </c>
      <c r="Y1928">
        <f>COUNTIFS(A$3:A1928,"="&amp;A1928,K$3:K1928,"="&amp;K1928)</f>
        <v>1</v>
      </c>
      <c r="Z1928" s="20">
        <f>SUMIFS(T$3:T1928,L$3:L1928,"=Intermission")+SUMIFS(T$3:T1928,L$3:L1928,"=Timeout")+SUMIFS(T$3:T1928,L$3:L1928,"=Clockstop")</f>
        <v>138</v>
      </c>
      <c r="AA1928">
        <f t="shared" si="828"/>
        <v>2298</v>
      </c>
      <c r="AC1928">
        <f t="shared" si="829"/>
        <v>2436</v>
      </c>
    </row>
    <row r="1929" spans="1:29" x14ac:dyDescent="0.2">
      <c r="A1929">
        <v>1039</v>
      </c>
      <c r="D1929">
        <f t="shared" si="830"/>
        <v>3</v>
      </c>
      <c r="E1929">
        <v>11</v>
      </c>
      <c r="F1929" s="6" t="s">
        <v>432</v>
      </c>
      <c r="I1929" t="s">
        <v>178</v>
      </c>
      <c r="J1929">
        <v>91</v>
      </c>
      <c r="K1929" t="s">
        <v>488</v>
      </c>
      <c r="L1929" t="s">
        <v>8</v>
      </c>
      <c r="M1929" t="s">
        <v>216</v>
      </c>
      <c r="N1929" t="s">
        <v>70</v>
      </c>
      <c r="Q1929">
        <f t="shared" ref="Q1929:S1929" si="839">Q1928</f>
        <v>18977</v>
      </c>
      <c r="R1929" t="str">
        <f t="shared" si="839"/>
        <v>Velodrome</v>
      </c>
      <c r="S1929" t="str">
        <f t="shared" si="839"/>
        <v>HollowBrook</v>
      </c>
      <c r="T1929" s="20">
        <f t="shared" si="834"/>
        <v>0</v>
      </c>
      <c r="U1929">
        <f t="shared" si="835"/>
        <v>710</v>
      </c>
      <c r="V1929">
        <f t="shared" si="836"/>
        <v>710</v>
      </c>
      <c r="W1929" cm="1">
        <f t="array" ref="W1929">_xlfn._xlws.FILTER(shifts!A:A,(shifts!B:B=events!D1929)*(shifts!AH:AH&gt;=events!U1929)*(shifts!AI:AI&lt;=events!V1929))</f>
        <v>67</v>
      </c>
      <c r="X1929" t="str">
        <f t="shared" si="837"/>
        <v>event_team_player_1</v>
      </c>
      <c r="Y1929">
        <f>COUNTIFS(A$3:A1929,"="&amp;A1929,K$3:K1929,"="&amp;K1929)</f>
        <v>1</v>
      </c>
      <c r="Z1929" s="20">
        <f>SUMIFS(T$3:T1929,L$3:L1929,"=Intermission")+SUMIFS(T$3:T1929,L$3:L1929,"=Timeout")+SUMIFS(T$3:T1929,L$3:L1929,"=Clockstop")</f>
        <v>138</v>
      </c>
      <c r="AA1929">
        <f t="shared" si="828"/>
        <v>2298</v>
      </c>
      <c r="AC1929">
        <f t="shared" si="829"/>
        <v>2436</v>
      </c>
    </row>
    <row r="1930" spans="1:29" x14ac:dyDescent="0.2">
      <c r="A1930">
        <v>1039</v>
      </c>
      <c r="D1930">
        <f t="shared" si="830"/>
        <v>3</v>
      </c>
      <c r="E1930">
        <v>11</v>
      </c>
      <c r="F1930" s="6" t="s">
        <v>432</v>
      </c>
      <c r="I1930" t="s">
        <v>178</v>
      </c>
      <c r="J1930">
        <v>24</v>
      </c>
      <c r="K1930" t="s">
        <v>488</v>
      </c>
      <c r="L1930" t="s">
        <v>8</v>
      </c>
      <c r="M1930" t="s">
        <v>216</v>
      </c>
      <c r="N1930" t="s">
        <v>70</v>
      </c>
      <c r="Q1930">
        <f t="shared" ref="Q1930:S1930" si="840">Q1929</f>
        <v>18977</v>
      </c>
      <c r="R1930" t="str">
        <f t="shared" si="840"/>
        <v>Velodrome</v>
      </c>
      <c r="S1930" t="str">
        <f t="shared" si="840"/>
        <v>HollowBrook</v>
      </c>
      <c r="T1930" s="20">
        <f t="shared" si="834"/>
        <v>0</v>
      </c>
      <c r="U1930">
        <f t="shared" si="835"/>
        <v>710</v>
      </c>
      <c r="V1930">
        <f t="shared" si="836"/>
        <v>710</v>
      </c>
      <c r="W1930" cm="1">
        <f t="array" ref="W1930">_xlfn._xlws.FILTER(shifts!A:A,(shifts!B:B=events!D1930)*(shifts!AH:AH&gt;=events!U1930)*(shifts!AI:AI&lt;=events!V1930))</f>
        <v>67</v>
      </c>
      <c r="X1930" t="str">
        <f t="shared" si="837"/>
        <v>event_team_player_2</v>
      </c>
      <c r="Y1930">
        <f>COUNTIFS(A$3:A1930,"="&amp;A1930,K$3:K1930,"="&amp;K1930)</f>
        <v>2</v>
      </c>
      <c r="Z1930" s="20">
        <f>SUMIFS(T$3:T1930,L$3:L1930,"=Intermission")+SUMIFS(T$3:T1930,L$3:L1930,"=Timeout")+SUMIFS(T$3:T1930,L$3:L1930,"=Clockstop")</f>
        <v>138</v>
      </c>
      <c r="AA1930">
        <f t="shared" si="828"/>
        <v>2298</v>
      </c>
      <c r="AC1930">
        <f t="shared" si="829"/>
        <v>2436</v>
      </c>
    </row>
    <row r="1931" spans="1:29" x14ac:dyDescent="0.2">
      <c r="A1931">
        <v>1039</v>
      </c>
      <c r="D1931">
        <f t="shared" si="830"/>
        <v>3</v>
      </c>
      <c r="E1931">
        <v>11</v>
      </c>
      <c r="F1931" s="6" t="s">
        <v>432</v>
      </c>
      <c r="I1931" t="s">
        <v>178</v>
      </c>
      <c r="J1931">
        <v>19</v>
      </c>
      <c r="K1931" t="s">
        <v>489</v>
      </c>
      <c r="L1931" t="s">
        <v>8</v>
      </c>
      <c r="M1931" t="s">
        <v>216</v>
      </c>
      <c r="N1931" t="s">
        <v>70</v>
      </c>
      <c r="Q1931">
        <f t="shared" ref="Q1931:S1931" si="841">Q1930</f>
        <v>18977</v>
      </c>
      <c r="R1931" t="str">
        <f t="shared" si="841"/>
        <v>Velodrome</v>
      </c>
      <c r="S1931" t="str">
        <f t="shared" si="841"/>
        <v>HollowBrook</v>
      </c>
      <c r="T1931" s="20">
        <f t="shared" si="834"/>
        <v>0</v>
      </c>
      <c r="U1931">
        <f t="shared" si="835"/>
        <v>710</v>
      </c>
      <c r="V1931">
        <f t="shared" si="836"/>
        <v>710</v>
      </c>
      <c r="W1931" cm="1">
        <f t="array" ref="W1931">_xlfn._xlws.FILTER(shifts!A:A,(shifts!B:B=events!D1931)*(shifts!AH:AH&gt;=events!U1931)*(shifts!AI:AI&lt;=events!V1931))</f>
        <v>67</v>
      </c>
      <c r="X1931" t="str">
        <f t="shared" si="837"/>
        <v>opp_team_player_1</v>
      </c>
      <c r="Y1931">
        <f>COUNTIFS(A$3:A1931,"="&amp;A1931,K$3:K1931,"="&amp;K1931)</f>
        <v>1</v>
      </c>
      <c r="Z1931" s="20">
        <f>SUMIFS(T$3:T1931,L$3:L1931,"=Intermission")+SUMIFS(T$3:T1931,L$3:L1931,"=Timeout")+SUMIFS(T$3:T1931,L$3:L1931,"=Clockstop")</f>
        <v>138</v>
      </c>
      <c r="AA1931">
        <f t="shared" si="828"/>
        <v>2298</v>
      </c>
      <c r="AC1931">
        <f t="shared" si="829"/>
        <v>2436</v>
      </c>
    </row>
    <row r="1932" spans="1:29" x14ac:dyDescent="0.2">
      <c r="A1932">
        <v>1040</v>
      </c>
      <c r="D1932">
        <f t="shared" si="830"/>
        <v>3</v>
      </c>
      <c r="E1932">
        <v>11</v>
      </c>
      <c r="F1932" s="6" t="s">
        <v>432</v>
      </c>
      <c r="I1932" t="s">
        <v>178</v>
      </c>
      <c r="J1932">
        <v>91</v>
      </c>
      <c r="K1932" t="s">
        <v>488</v>
      </c>
      <c r="L1932" t="s">
        <v>10</v>
      </c>
      <c r="M1932" t="s">
        <v>190</v>
      </c>
      <c r="N1932" t="s">
        <v>75</v>
      </c>
      <c r="Q1932">
        <f t="shared" ref="Q1932:S1932" si="842">Q1931</f>
        <v>18977</v>
      </c>
      <c r="R1932" t="str">
        <f t="shared" si="842"/>
        <v>Velodrome</v>
      </c>
      <c r="S1932" t="str">
        <f t="shared" si="842"/>
        <v>HollowBrook</v>
      </c>
      <c r="T1932" s="20">
        <f t="shared" si="834"/>
        <v>0</v>
      </c>
      <c r="U1932">
        <f t="shared" si="835"/>
        <v>710</v>
      </c>
      <c r="V1932">
        <f t="shared" si="836"/>
        <v>710</v>
      </c>
      <c r="W1932" cm="1">
        <f t="array" ref="W1932">_xlfn._xlws.FILTER(shifts!A:A,(shifts!B:B=events!D1932)*(shifts!AH:AH&gt;=events!U1932)*(shifts!AI:AI&lt;=events!V1932))</f>
        <v>67</v>
      </c>
      <c r="X1932" t="str">
        <f t="shared" si="837"/>
        <v>event_team_player_1</v>
      </c>
      <c r="Y1932">
        <f>COUNTIFS(A$3:A1932,"="&amp;A1932,K$3:K1932,"="&amp;K1932)</f>
        <v>1</v>
      </c>
      <c r="Z1932" s="20">
        <f>SUMIFS(T$3:T1932,L$3:L1932,"=Intermission")+SUMIFS(T$3:T1932,L$3:L1932,"=Timeout")+SUMIFS(T$3:T1932,L$3:L1932,"=Clockstop")</f>
        <v>138</v>
      </c>
      <c r="AA1932">
        <f t="shared" si="828"/>
        <v>2298</v>
      </c>
      <c r="AC1932">
        <f t="shared" si="829"/>
        <v>2436</v>
      </c>
    </row>
    <row r="1933" spans="1:29" x14ac:dyDescent="0.2">
      <c r="A1933">
        <v>1040</v>
      </c>
      <c r="D1933">
        <f t="shared" si="830"/>
        <v>3</v>
      </c>
      <c r="E1933">
        <v>11</v>
      </c>
      <c r="F1933" s="6" t="s">
        <v>432</v>
      </c>
      <c r="I1933" t="s">
        <v>178</v>
      </c>
      <c r="J1933">
        <v>24</v>
      </c>
      <c r="K1933" t="s">
        <v>488</v>
      </c>
      <c r="L1933" t="s">
        <v>10</v>
      </c>
      <c r="M1933" t="s">
        <v>190</v>
      </c>
      <c r="N1933" t="s">
        <v>75</v>
      </c>
      <c r="Q1933">
        <f t="shared" ref="Q1933:S1933" si="843">Q1932</f>
        <v>18977</v>
      </c>
      <c r="R1933" t="str">
        <f t="shared" si="843"/>
        <v>Velodrome</v>
      </c>
      <c r="S1933" t="str">
        <f t="shared" si="843"/>
        <v>HollowBrook</v>
      </c>
      <c r="T1933" s="20">
        <f t="shared" si="834"/>
        <v>0</v>
      </c>
      <c r="U1933">
        <f t="shared" si="835"/>
        <v>710</v>
      </c>
      <c r="V1933">
        <f t="shared" si="836"/>
        <v>710</v>
      </c>
      <c r="W1933" cm="1">
        <f t="array" ref="W1933">_xlfn._xlws.FILTER(shifts!A:A,(shifts!B:B=events!D1933)*(shifts!AH:AH&gt;=events!U1933)*(shifts!AI:AI&lt;=events!V1933))</f>
        <v>67</v>
      </c>
      <c r="X1933" t="str">
        <f t="shared" si="837"/>
        <v>event_team_player_2</v>
      </c>
      <c r="Y1933">
        <f>COUNTIFS(A$3:A1933,"="&amp;A1933,K$3:K1933,"="&amp;K1933)</f>
        <v>2</v>
      </c>
      <c r="Z1933" s="20">
        <f>SUMIFS(T$3:T1933,L$3:L1933,"=Intermission")+SUMIFS(T$3:T1933,L$3:L1933,"=Timeout")+SUMIFS(T$3:T1933,L$3:L1933,"=Clockstop")</f>
        <v>138</v>
      </c>
      <c r="AA1933">
        <f t="shared" si="828"/>
        <v>2298</v>
      </c>
      <c r="AC1933">
        <f t="shared" si="829"/>
        <v>2436</v>
      </c>
    </row>
    <row r="1934" spans="1:29" x14ac:dyDescent="0.2">
      <c r="A1934">
        <v>1040</v>
      </c>
      <c r="D1934">
        <f t="shared" si="830"/>
        <v>3</v>
      </c>
      <c r="E1934">
        <v>11</v>
      </c>
      <c r="F1934" s="6" t="s">
        <v>432</v>
      </c>
      <c r="I1934" t="s">
        <v>178</v>
      </c>
      <c r="J1934">
        <v>19</v>
      </c>
      <c r="K1934" t="s">
        <v>489</v>
      </c>
      <c r="L1934" t="s">
        <v>10</v>
      </c>
      <c r="M1934" t="s">
        <v>190</v>
      </c>
      <c r="N1934" t="s">
        <v>75</v>
      </c>
      <c r="Q1934">
        <f t="shared" ref="Q1934:S1934" si="844">Q1933</f>
        <v>18977</v>
      </c>
      <c r="R1934" t="str">
        <f t="shared" si="844"/>
        <v>Velodrome</v>
      </c>
      <c r="S1934" t="str">
        <f t="shared" si="844"/>
        <v>HollowBrook</v>
      </c>
      <c r="T1934" s="20">
        <f t="shared" si="834"/>
        <v>0</v>
      </c>
      <c r="U1934">
        <f t="shared" si="835"/>
        <v>710</v>
      </c>
      <c r="V1934">
        <f t="shared" si="836"/>
        <v>710</v>
      </c>
      <c r="W1934" cm="1">
        <f t="array" ref="W1934">_xlfn._xlws.FILTER(shifts!A:A,(shifts!B:B=events!D1934)*(shifts!AH:AH&gt;=events!U1934)*(shifts!AI:AI&lt;=events!V1934))</f>
        <v>67</v>
      </c>
      <c r="X1934" t="str">
        <f t="shared" si="837"/>
        <v>opp_team_player_1</v>
      </c>
      <c r="Y1934">
        <f>COUNTIFS(A$3:A1934,"="&amp;A1934,K$3:K1934,"="&amp;K1934)</f>
        <v>1</v>
      </c>
      <c r="Z1934" s="20">
        <f>SUMIFS(T$3:T1934,L$3:L1934,"=Intermission")+SUMIFS(T$3:T1934,L$3:L1934,"=Timeout")+SUMIFS(T$3:T1934,L$3:L1934,"=Clockstop")</f>
        <v>138</v>
      </c>
      <c r="AA1934">
        <f t="shared" si="828"/>
        <v>2298</v>
      </c>
      <c r="AC1934">
        <f t="shared" si="829"/>
        <v>2436</v>
      </c>
    </row>
    <row r="1935" spans="1:29" x14ac:dyDescent="0.2">
      <c r="A1935">
        <v>1041</v>
      </c>
      <c r="D1935">
        <f t="shared" si="830"/>
        <v>3</v>
      </c>
      <c r="E1935">
        <v>11</v>
      </c>
      <c r="F1935" s="6" t="s">
        <v>432</v>
      </c>
      <c r="I1935" t="s">
        <v>179</v>
      </c>
      <c r="J1935">
        <v>19</v>
      </c>
      <c r="K1935" t="s">
        <v>488</v>
      </c>
      <c r="L1935" t="s">
        <v>277</v>
      </c>
      <c r="M1935" t="s">
        <v>210</v>
      </c>
      <c r="N1935" t="s">
        <v>93</v>
      </c>
      <c r="Q1935">
        <f t="shared" ref="Q1935:S1935" si="845">Q1934</f>
        <v>18977</v>
      </c>
      <c r="R1935" t="str">
        <f t="shared" si="845"/>
        <v>Velodrome</v>
      </c>
      <c r="S1935" t="str">
        <f t="shared" si="845"/>
        <v>HollowBrook</v>
      </c>
      <c r="T1935" s="20">
        <f t="shared" si="834"/>
        <v>0</v>
      </c>
      <c r="U1935">
        <f t="shared" si="835"/>
        <v>710</v>
      </c>
      <c r="V1935">
        <f t="shared" si="836"/>
        <v>710</v>
      </c>
      <c r="W1935" cm="1">
        <f t="array" ref="W1935">_xlfn._xlws.FILTER(shifts!A:A,(shifts!B:B=events!D1935)*(shifts!AH:AH&gt;=events!U1935)*(shifts!AI:AI&lt;=events!V1935))</f>
        <v>67</v>
      </c>
      <c r="X1935" t="str">
        <f t="shared" si="837"/>
        <v>event_team_player_1</v>
      </c>
      <c r="Y1935">
        <f>COUNTIFS(A$3:A1935,"="&amp;A1935,K$3:K1935,"="&amp;K1935)</f>
        <v>1</v>
      </c>
      <c r="Z1935" s="20">
        <f>SUMIFS(T$3:T1935,L$3:L1935,"=Intermission")+SUMIFS(T$3:T1935,L$3:L1935,"=Timeout")+SUMIFS(T$3:T1935,L$3:L1935,"=Clockstop")</f>
        <v>138</v>
      </c>
      <c r="AA1935">
        <f t="shared" si="828"/>
        <v>2298</v>
      </c>
      <c r="AC1935">
        <f t="shared" si="829"/>
        <v>2436</v>
      </c>
    </row>
    <row r="1936" spans="1:29" x14ac:dyDescent="0.2">
      <c r="A1936">
        <v>1042</v>
      </c>
      <c r="D1936">
        <f t="shared" si="830"/>
        <v>3</v>
      </c>
      <c r="E1936">
        <v>11</v>
      </c>
      <c r="F1936" s="6" t="s">
        <v>432</v>
      </c>
      <c r="G1936">
        <v>11</v>
      </c>
      <c r="H1936" s="8" t="s">
        <v>450</v>
      </c>
      <c r="I1936" t="s">
        <v>179</v>
      </c>
      <c r="J1936">
        <v>19</v>
      </c>
      <c r="K1936" t="s">
        <v>488</v>
      </c>
      <c r="L1936" t="s">
        <v>15</v>
      </c>
      <c r="Q1936">
        <f t="shared" ref="Q1936:S1936" si="846">Q1935</f>
        <v>18977</v>
      </c>
      <c r="R1936" t="str">
        <f t="shared" si="846"/>
        <v>Velodrome</v>
      </c>
      <c r="S1936" t="str">
        <f t="shared" si="846"/>
        <v>HollowBrook</v>
      </c>
      <c r="T1936" s="20">
        <f t="shared" si="834"/>
        <v>1</v>
      </c>
      <c r="U1936">
        <f t="shared" si="835"/>
        <v>710</v>
      </c>
      <c r="V1936">
        <f t="shared" si="836"/>
        <v>709</v>
      </c>
      <c r="W1936" cm="1">
        <f t="array" ref="W1936">_xlfn._xlws.FILTER(shifts!A:A,(shifts!B:B=events!D1936)*(shifts!AH:AH&gt;=events!U1936)*(shifts!AI:AI&lt;=events!V1936))</f>
        <v>67</v>
      </c>
      <c r="X1936" t="str">
        <f t="shared" si="837"/>
        <v>event_team_player_1</v>
      </c>
      <c r="Y1936">
        <f>COUNTIFS(A$3:A1936,"="&amp;A1936,K$3:K1936,"="&amp;K1936)</f>
        <v>1</v>
      </c>
      <c r="Z1936" s="20">
        <f>SUMIFS(T$3:T1936,L$3:L1936,"=Intermission")+SUMIFS(T$3:T1936,L$3:L1936,"=Timeout")+SUMIFS(T$3:T1936,L$3:L1936,"=Clockstop")</f>
        <v>138</v>
      </c>
      <c r="AA1936">
        <f t="shared" si="828"/>
        <v>2298</v>
      </c>
      <c r="AC1936">
        <f t="shared" si="829"/>
        <v>2436</v>
      </c>
    </row>
    <row r="1937" spans="1:29" x14ac:dyDescent="0.2">
      <c r="A1937">
        <v>1043</v>
      </c>
      <c r="D1937">
        <f t="shared" si="830"/>
        <v>3</v>
      </c>
      <c r="E1937">
        <v>11</v>
      </c>
      <c r="F1937" s="6" t="s">
        <v>450</v>
      </c>
      <c r="I1937" t="s">
        <v>179</v>
      </c>
      <c r="J1937">
        <v>19</v>
      </c>
      <c r="K1937" t="s">
        <v>488</v>
      </c>
      <c r="L1937" t="s">
        <v>7</v>
      </c>
      <c r="M1937" t="s">
        <v>222</v>
      </c>
      <c r="N1937" t="s">
        <v>53</v>
      </c>
      <c r="Q1937">
        <f t="shared" ref="Q1937:S1937" si="847">Q1936</f>
        <v>18977</v>
      </c>
      <c r="R1937" t="str">
        <f t="shared" si="847"/>
        <v>Velodrome</v>
      </c>
      <c r="S1937" t="str">
        <f t="shared" si="847"/>
        <v>HollowBrook</v>
      </c>
      <c r="T1937" s="20">
        <f t="shared" si="834"/>
        <v>0</v>
      </c>
      <c r="U1937">
        <f t="shared" si="835"/>
        <v>709</v>
      </c>
      <c r="V1937">
        <f t="shared" si="836"/>
        <v>709</v>
      </c>
      <c r="W1937" cm="1">
        <f t="array" ref="W1937">_xlfn._xlws.FILTER(shifts!A:A,(shifts!B:B=events!D1937)*(shifts!AH:AH&gt;=events!U1937)*(shifts!AI:AI&lt;=events!V1937))</f>
        <v>67</v>
      </c>
      <c r="X1937" t="str">
        <f t="shared" si="837"/>
        <v>event_team_player_1</v>
      </c>
      <c r="Y1937">
        <f>COUNTIFS(A$3:A1937,"="&amp;A1937,K$3:K1937,"="&amp;K1937)</f>
        <v>1</v>
      </c>
      <c r="Z1937" s="20">
        <f>SUMIFS(T$3:T1937,L$3:L1937,"=Intermission")+SUMIFS(T$3:T1937,L$3:L1937,"=Timeout")+SUMIFS(T$3:T1937,L$3:L1937,"=Clockstop")</f>
        <v>138</v>
      </c>
      <c r="AA1937">
        <f t="shared" si="828"/>
        <v>2298</v>
      </c>
      <c r="AC1937">
        <f t="shared" si="829"/>
        <v>2436</v>
      </c>
    </row>
    <row r="1938" spans="1:29" x14ac:dyDescent="0.2">
      <c r="A1938">
        <v>1043</v>
      </c>
      <c r="D1938">
        <f t="shared" si="830"/>
        <v>3</v>
      </c>
      <c r="E1938">
        <v>11</v>
      </c>
      <c r="F1938" s="6" t="s">
        <v>450</v>
      </c>
      <c r="I1938" t="s">
        <v>179</v>
      </c>
      <c r="J1938">
        <v>39</v>
      </c>
      <c r="K1938" t="s">
        <v>489</v>
      </c>
      <c r="L1938" t="s">
        <v>7</v>
      </c>
      <c r="M1938" t="s">
        <v>222</v>
      </c>
      <c r="N1938" t="s">
        <v>53</v>
      </c>
      <c r="Q1938">
        <f t="shared" ref="Q1938:S1938" si="848">Q1937</f>
        <v>18977</v>
      </c>
      <c r="R1938" t="str">
        <f t="shared" si="848"/>
        <v>Velodrome</v>
      </c>
      <c r="S1938" t="str">
        <f t="shared" si="848"/>
        <v>HollowBrook</v>
      </c>
      <c r="T1938" s="20">
        <f t="shared" si="834"/>
        <v>0</v>
      </c>
      <c r="U1938">
        <f t="shared" si="835"/>
        <v>709</v>
      </c>
      <c r="V1938">
        <f t="shared" si="836"/>
        <v>709</v>
      </c>
      <c r="W1938" cm="1">
        <f t="array" ref="W1938">_xlfn._xlws.FILTER(shifts!A:A,(shifts!B:B=events!D1938)*(shifts!AH:AH&gt;=events!U1938)*(shifts!AI:AI&lt;=events!V1938))</f>
        <v>67</v>
      </c>
      <c r="X1938" t="str">
        <f t="shared" si="837"/>
        <v>opp_team_player_1</v>
      </c>
      <c r="Y1938">
        <f>COUNTIFS(A$3:A1938,"="&amp;A1938,K$3:K1938,"="&amp;K1938)</f>
        <v>1</v>
      </c>
      <c r="Z1938" s="20">
        <f>SUMIFS(T$3:T1938,L$3:L1938,"=Intermission")+SUMIFS(T$3:T1938,L$3:L1938,"=Timeout")+SUMIFS(T$3:T1938,L$3:L1938,"=Clockstop")</f>
        <v>138</v>
      </c>
      <c r="AA1938">
        <f t="shared" si="828"/>
        <v>2298</v>
      </c>
      <c r="AC1938">
        <f t="shared" si="829"/>
        <v>2436</v>
      </c>
    </row>
    <row r="1939" spans="1:29" x14ac:dyDescent="0.2">
      <c r="A1939">
        <v>1043</v>
      </c>
      <c r="D1939">
        <f t="shared" si="830"/>
        <v>3</v>
      </c>
      <c r="E1939">
        <v>11</v>
      </c>
      <c r="F1939" s="6" t="s">
        <v>450</v>
      </c>
      <c r="I1939" t="s">
        <v>179</v>
      </c>
      <c r="J1939">
        <v>91</v>
      </c>
      <c r="K1939" t="s">
        <v>489</v>
      </c>
      <c r="L1939" t="s">
        <v>7</v>
      </c>
      <c r="M1939" t="s">
        <v>222</v>
      </c>
      <c r="N1939" t="s">
        <v>53</v>
      </c>
      <c r="Q1939">
        <f t="shared" ref="Q1939:S1939" si="849">Q1938</f>
        <v>18977</v>
      </c>
      <c r="R1939" t="str">
        <f t="shared" si="849"/>
        <v>Velodrome</v>
      </c>
      <c r="S1939" t="str">
        <f t="shared" si="849"/>
        <v>HollowBrook</v>
      </c>
      <c r="T1939" s="20">
        <f t="shared" si="834"/>
        <v>0</v>
      </c>
      <c r="U1939">
        <f t="shared" si="835"/>
        <v>709</v>
      </c>
      <c r="V1939">
        <f t="shared" si="836"/>
        <v>709</v>
      </c>
      <c r="W1939" cm="1">
        <f t="array" ref="W1939">_xlfn._xlws.FILTER(shifts!A:A,(shifts!B:B=events!D1939)*(shifts!AH:AH&gt;=events!U1939)*(shifts!AI:AI&lt;=events!V1939))</f>
        <v>67</v>
      </c>
      <c r="X1939" t="str">
        <f t="shared" si="837"/>
        <v>opp_team_player_2</v>
      </c>
      <c r="Y1939">
        <f>COUNTIFS(A$3:A1939,"="&amp;A1939,K$3:K1939,"="&amp;K1939)</f>
        <v>2</v>
      </c>
      <c r="Z1939" s="20">
        <f>SUMIFS(T$3:T1939,L$3:L1939,"=Intermission")+SUMIFS(T$3:T1939,L$3:L1939,"=Timeout")+SUMIFS(T$3:T1939,L$3:L1939,"=Clockstop")</f>
        <v>138</v>
      </c>
      <c r="AA1939">
        <f t="shared" si="828"/>
        <v>2298</v>
      </c>
      <c r="AC1939">
        <f t="shared" si="829"/>
        <v>2436</v>
      </c>
    </row>
    <row r="1940" spans="1:29" x14ac:dyDescent="0.2">
      <c r="A1940">
        <v>1044</v>
      </c>
      <c r="D1940">
        <f t="shared" si="830"/>
        <v>3</v>
      </c>
      <c r="E1940">
        <v>11</v>
      </c>
      <c r="F1940" s="6" t="s">
        <v>450</v>
      </c>
      <c r="I1940" t="s">
        <v>178</v>
      </c>
      <c r="J1940">
        <v>39</v>
      </c>
      <c r="K1940" t="s">
        <v>488</v>
      </c>
      <c r="L1940" t="s">
        <v>17</v>
      </c>
      <c r="M1940" t="s">
        <v>196</v>
      </c>
      <c r="N1940" t="s">
        <v>99</v>
      </c>
      <c r="Q1940">
        <f t="shared" ref="Q1940:S1940" si="850">Q1939</f>
        <v>18977</v>
      </c>
      <c r="R1940" t="str">
        <f t="shared" si="850"/>
        <v>Velodrome</v>
      </c>
      <c r="S1940" t="str">
        <f t="shared" si="850"/>
        <v>HollowBrook</v>
      </c>
      <c r="T1940" s="20">
        <f t="shared" si="834"/>
        <v>0</v>
      </c>
      <c r="U1940">
        <f t="shared" si="835"/>
        <v>709</v>
      </c>
      <c r="V1940">
        <f t="shared" si="836"/>
        <v>709</v>
      </c>
      <c r="W1940" cm="1">
        <f t="array" ref="W1940">_xlfn._xlws.FILTER(shifts!A:A,(shifts!B:B=events!D1940)*(shifts!AH:AH&gt;=events!U1940)*(shifts!AI:AI&lt;=events!V1940))</f>
        <v>67</v>
      </c>
      <c r="X1940" t="str">
        <f t="shared" si="837"/>
        <v>event_team_player_1</v>
      </c>
      <c r="Y1940">
        <f>COUNTIFS(A$3:A1940,"="&amp;A1940,K$3:K1940,"="&amp;K1940)</f>
        <v>1</v>
      </c>
      <c r="Z1940" s="20">
        <f>SUMIFS(T$3:T1940,L$3:L1940,"=Intermission")+SUMIFS(T$3:T1940,L$3:L1940,"=Timeout")+SUMIFS(T$3:T1940,L$3:L1940,"=Clockstop")</f>
        <v>138</v>
      </c>
      <c r="AA1940">
        <f t="shared" si="828"/>
        <v>2298</v>
      </c>
      <c r="AC1940">
        <f t="shared" si="829"/>
        <v>2436</v>
      </c>
    </row>
    <row r="1941" spans="1:29" x14ac:dyDescent="0.2">
      <c r="A1941">
        <v>1044</v>
      </c>
      <c r="D1941">
        <f t="shared" si="830"/>
        <v>3</v>
      </c>
      <c r="E1941">
        <v>11</v>
      </c>
      <c r="F1941" s="6" t="s">
        <v>450</v>
      </c>
      <c r="I1941" t="s">
        <v>178</v>
      </c>
      <c r="J1941">
        <v>91</v>
      </c>
      <c r="K1941" t="s">
        <v>488</v>
      </c>
      <c r="L1941" t="s">
        <v>17</v>
      </c>
      <c r="M1941" t="s">
        <v>196</v>
      </c>
      <c r="N1941" t="s">
        <v>99</v>
      </c>
      <c r="Q1941">
        <f t="shared" ref="Q1941:S1941" si="851">Q1940</f>
        <v>18977</v>
      </c>
      <c r="R1941" t="str">
        <f t="shared" si="851"/>
        <v>Velodrome</v>
      </c>
      <c r="S1941" t="str">
        <f t="shared" si="851"/>
        <v>HollowBrook</v>
      </c>
      <c r="T1941" s="20">
        <f t="shared" si="834"/>
        <v>0</v>
      </c>
      <c r="U1941">
        <f t="shared" si="835"/>
        <v>709</v>
      </c>
      <c r="V1941">
        <f t="shared" si="836"/>
        <v>709</v>
      </c>
      <c r="W1941" cm="1">
        <f t="array" ref="W1941">_xlfn._xlws.FILTER(shifts!A:A,(shifts!B:B=events!D1941)*(shifts!AH:AH&gt;=events!U1941)*(shifts!AI:AI&lt;=events!V1941))</f>
        <v>67</v>
      </c>
      <c r="X1941" t="str">
        <f t="shared" si="837"/>
        <v>event_team_player_2</v>
      </c>
      <c r="Y1941">
        <f>COUNTIFS(A$3:A1941,"="&amp;A1941,K$3:K1941,"="&amp;K1941)</f>
        <v>2</v>
      </c>
      <c r="Z1941" s="20">
        <f>SUMIFS(T$3:T1941,L$3:L1941,"=Intermission")+SUMIFS(T$3:T1941,L$3:L1941,"=Timeout")+SUMIFS(T$3:T1941,L$3:L1941,"=Clockstop")</f>
        <v>138</v>
      </c>
      <c r="AA1941">
        <f t="shared" si="828"/>
        <v>2298</v>
      </c>
      <c r="AC1941">
        <f t="shared" si="829"/>
        <v>2436</v>
      </c>
    </row>
    <row r="1942" spans="1:29" x14ac:dyDescent="0.2">
      <c r="A1942">
        <v>1044</v>
      </c>
      <c r="D1942">
        <f t="shared" si="830"/>
        <v>3</v>
      </c>
      <c r="E1942">
        <v>11</v>
      </c>
      <c r="F1942" s="6" t="s">
        <v>450</v>
      </c>
      <c r="I1942" t="s">
        <v>178</v>
      </c>
      <c r="J1942">
        <v>19</v>
      </c>
      <c r="K1942" t="s">
        <v>489</v>
      </c>
      <c r="L1942" t="s">
        <v>17</v>
      </c>
      <c r="M1942" t="s">
        <v>196</v>
      </c>
      <c r="N1942" t="s">
        <v>99</v>
      </c>
      <c r="Q1942">
        <f t="shared" ref="Q1942:S1942" si="852">Q1941</f>
        <v>18977</v>
      </c>
      <c r="R1942" t="str">
        <f t="shared" si="852"/>
        <v>Velodrome</v>
      </c>
      <c r="S1942" t="str">
        <f t="shared" si="852"/>
        <v>HollowBrook</v>
      </c>
      <c r="T1942" s="20">
        <f t="shared" si="834"/>
        <v>0</v>
      </c>
      <c r="U1942">
        <f t="shared" si="835"/>
        <v>709</v>
      </c>
      <c r="V1942">
        <f t="shared" si="836"/>
        <v>709</v>
      </c>
      <c r="W1942" cm="1">
        <f t="array" ref="W1942">_xlfn._xlws.FILTER(shifts!A:A,(shifts!B:B=events!D1942)*(shifts!AH:AH&gt;=events!U1942)*(shifts!AI:AI&lt;=events!V1942))</f>
        <v>67</v>
      </c>
      <c r="X1942" t="str">
        <f t="shared" si="837"/>
        <v>opp_team_player_1</v>
      </c>
      <c r="Y1942">
        <f>COUNTIFS(A$3:A1942,"="&amp;A1942,K$3:K1942,"="&amp;K1942)</f>
        <v>1</v>
      </c>
      <c r="Z1942" s="20">
        <f>SUMIFS(T$3:T1942,L$3:L1942,"=Intermission")+SUMIFS(T$3:T1942,L$3:L1942,"=Timeout")+SUMIFS(T$3:T1942,L$3:L1942,"=Clockstop")</f>
        <v>138</v>
      </c>
      <c r="AA1942">
        <f t="shared" si="828"/>
        <v>2298</v>
      </c>
      <c r="AC1942">
        <f t="shared" si="829"/>
        <v>2436</v>
      </c>
    </row>
    <row r="1943" spans="1:29" x14ac:dyDescent="0.2">
      <c r="A1943">
        <v>1045</v>
      </c>
      <c r="D1943">
        <f t="shared" si="830"/>
        <v>3</v>
      </c>
      <c r="E1943">
        <v>11</v>
      </c>
      <c r="F1943" s="6" t="s">
        <v>450</v>
      </c>
      <c r="I1943" t="s">
        <v>178</v>
      </c>
      <c r="J1943">
        <v>39</v>
      </c>
      <c r="K1943" t="s">
        <v>488</v>
      </c>
      <c r="L1943" t="s">
        <v>270</v>
      </c>
      <c r="M1943" t="s">
        <v>271</v>
      </c>
      <c r="Q1943">
        <f t="shared" ref="Q1943:S1943" si="853">Q1942</f>
        <v>18977</v>
      </c>
      <c r="R1943" t="str">
        <f t="shared" si="853"/>
        <v>Velodrome</v>
      </c>
      <c r="S1943" t="str">
        <f t="shared" si="853"/>
        <v>HollowBrook</v>
      </c>
      <c r="T1943" s="20">
        <f t="shared" si="834"/>
        <v>0</v>
      </c>
      <c r="U1943">
        <f t="shared" si="835"/>
        <v>709</v>
      </c>
      <c r="V1943">
        <f t="shared" si="836"/>
        <v>709</v>
      </c>
      <c r="W1943" cm="1">
        <f t="array" ref="W1943">_xlfn._xlws.FILTER(shifts!A:A,(shifts!B:B=events!D1943)*(shifts!AH:AH&gt;=events!U1943)*(shifts!AI:AI&lt;=events!V1943))</f>
        <v>67</v>
      </c>
      <c r="X1943" t="str">
        <f t="shared" si="837"/>
        <v>event_team_player_1</v>
      </c>
      <c r="Y1943">
        <f>COUNTIFS(A$3:A1943,"="&amp;A1943,K$3:K1943,"="&amp;K1943)</f>
        <v>1</v>
      </c>
      <c r="Z1943" s="20">
        <f>SUMIFS(T$3:T1943,L$3:L1943,"=Intermission")+SUMIFS(T$3:T1943,L$3:L1943,"=Timeout")+SUMIFS(T$3:T1943,L$3:L1943,"=Clockstop")</f>
        <v>138</v>
      </c>
      <c r="AA1943">
        <f t="shared" si="828"/>
        <v>2298</v>
      </c>
      <c r="AC1943">
        <f t="shared" si="829"/>
        <v>2436</v>
      </c>
    </row>
    <row r="1944" spans="1:29" x14ac:dyDescent="0.2">
      <c r="A1944">
        <v>1046</v>
      </c>
      <c r="D1944">
        <f t="shared" si="830"/>
        <v>3</v>
      </c>
      <c r="E1944">
        <v>11</v>
      </c>
      <c r="F1944" s="6" t="s">
        <v>436</v>
      </c>
      <c r="I1944" t="s">
        <v>178</v>
      </c>
      <c r="J1944">
        <v>42</v>
      </c>
      <c r="K1944" t="s">
        <v>488</v>
      </c>
      <c r="L1944" t="s">
        <v>277</v>
      </c>
      <c r="M1944" t="s">
        <v>201</v>
      </c>
      <c r="N1944" t="s">
        <v>92</v>
      </c>
      <c r="Q1944">
        <f t="shared" ref="Q1944:S1944" si="854">Q1943</f>
        <v>18977</v>
      </c>
      <c r="R1944" t="str">
        <f t="shared" si="854"/>
        <v>Velodrome</v>
      </c>
      <c r="S1944" t="str">
        <f t="shared" si="854"/>
        <v>HollowBrook</v>
      </c>
      <c r="T1944" s="20">
        <f t="shared" si="834"/>
        <v>0</v>
      </c>
      <c r="U1944">
        <f t="shared" si="835"/>
        <v>705</v>
      </c>
      <c r="V1944">
        <f t="shared" si="836"/>
        <v>705</v>
      </c>
      <c r="W1944" cm="1">
        <f t="array" ref="W1944">_xlfn._xlws.FILTER(shifts!A:A,(shifts!B:B=events!D1944)*(shifts!AH:AH&gt;=events!U1944)*(shifts!AI:AI&lt;=events!V1944))</f>
        <v>67</v>
      </c>
      <c r="X1944" t="str">
        <f t="shared" si="837"/>
        <v>event_team_player_1</v>
      </c>
      <c r="Y1944">
        <f>COUNTIFS(A$3:A1944,"="&amp;A1944,K$3:K1944,"="&amp;K1944)</f>
        <v>1</v>
      </c>
      <c r="Z1944" s="20">
        <f>SUMIFS(T$3:T1944,L$3:L1944,"=Intermission")+SUMIFS(T$3:T1944,L$3:L1944,"=Timeout")+SUMIFS(T$3:T1944,L$3:L1944,"=Clockstop")</f>
        <v>138</v>
      </c>
      <c r="AA1944">
        <f t="shared" si="828"/>
        <v>2298</v>
      </c>
      <c r="AC1944">
        <f t="shared" si="829"/>
        <v>2436</v>
      </c>
    </row>
    <row r="1945" spans="1:29" x14ac:dyDescent="0.2">
      <c r="A1945">
        <v>1047</v>
      </c>
      <c r="D1945">
        <f t="shared" si="830"/>
        <v>3</v>
      </c>
      <c r="E1945">
        <v>11</v>
      </c>
      <c r="F1945" s="6" t="s">
        <v>436</v>
      </c>
      <c r="I1945" t="s">
        <v>178</v>
      </c>
      <c r="J1945">
        <v>42</v>
      </c>
      <c r="K1945" t="s">
        <v>488</v>
      </c>
      <c r="L1945" t="s">
        <v>10</v>
      </c>
      <c r="M1945" t="s">
        <v>190</v>
      </c>
      <c r="N1945" t="s">
        <v>460</v>
      </c>
      <c r="Q1945">
        <f t="shared" ref="Q1945:S1945" si="855">Q1944</f>
        <v>18977</v>
      </c>
      <c r="R1945" t="str">
        <f t="shared" si="855"/>
        <v>Velodrome</v>
      </c>
      <c r="S1945" t="str">
        <f t="shared" si="855"/>
        <v>HollowBrook</v>
      </c>
      <c r="T1945" s="20">
        <f t="shared" si="834"/>
        <v>0</v>
      </c>
      <c r="U1945">
        <f t="shared" si="835"/>
        <v>705</v>
      </c>
      <c r="V1945">
        <f t="shared" si="836"/>
        <v>705</v>
      </c>
      <c r="W1945" cm="1">
        <f t="array" ref="W1945">_xlfn._xlws.FILTER(shifts!A:A,(shifts!B:B=events!D1945)*(shifts!AH:AH&gt;=events!U1945)*(shifts!AI:AI&lt;=events!V1945))</f>
        <v>67</v>
      </c>
      <c r="X1945" t="str">
        <f t="shared" si="837"/>
        <v>event_team_player_1</v>
      </c>
      <c r="Y1945">
        <f>COUNTIFS(A$3:A1945,"="&amp;A1945,K$3:K1945,"="&amp;K1945)</f>
        <v>1</v>
      </c>
      <c r="Z1945" s="20">
        <f>SUMIFS(T$3:T1945,L$3:L1945,"=Intermission")+SUMIFS(T$3:T1945,L$3:L1945,"=Timeout")+SUMIFS(T$3:T1945,L$3:L1945,"=Clockstop")</f>
        <v>138</v>
      </c>
      <c r="AA1945">
        <f t="shared" si="828"/>
        <v>2298</v>
      </c>
      <c r="AC1945">
        <f t="shared" si="829"/>
        <v>2436</v>
      </c>
    </row>
    <row r="1946" spans="1:29" x14ac:dyDescent="0.2">
      <c r="A1946">
        <v>1048</v>
      </c>
      <c r="D1946">
        <f t="shared" si="830"/>
        <v>3</v>
      </c>
      <c r="E1946">
        <v>11</v>
      </c>
      <c r="F1946" s="6" t="s">
        <v>431</v>
      </c>
      <c r="G1946">
        <v>11</v>
      </c>
      <c r="H1946" s="8" t="s">
        <v>481</v>
      </c>
      <c r="I1946" t="s">
        <v>179</v>
      </c>
      <c r="J1946">
        <v>18</v>
      </c>
      <c r="K1946" t="s">
        <v>488</v>
      </c>
      <c r="L1946" t="s">
        <v>15</v>
      </c>
      <c r="Q1946">
        <f t="shared" ref="Q1946:S1946" si="856">Q1945</f>
        <v>18977</v>
      </c>
      <c r="R1946" t="str">
        <f t="shared" si="856"/>
        <v>Velodrome</v>
      </c>
      <c r="S1946" t="str">
        <f t="shared" si="856"/>
        <v>HollowBrook</v>
      </c>
      <c r="T1946" s="20">
        <f t="shared" si="834"/>
        <v>2</v>
      </c>
      <c r="U1946">
        <f t="shared" si="835"/>
        <v>701</v>
      </c>
      <c r="V1946">
        <f t="shared" si="836"/>
        <v>699</v>
      </c>
      <c r="W1946" cm="1">
        <f t="array" ref="W1946">_xlfn._xlws.FILTER(shifts!A:A,(shifts!B:B=events!D1946)*(shifts!AH:AH&gt;=events!U1946)*(shifts!AI:AI&lt;=events!V1946))</f>
        <v>68</v>
      </c>
      <c r="X1946" t="str">
        <f t="shared" si="837"/>
        <v>event_team_player_1</v>
      </c>
      <c r="Y1946">
        <f>COUNTIFS(A$3:A1946,"="&amp;A1946,K$3:K1946,"="&amp;K1946)</f>
        <v>1</v>
      </c>
      <c r="Z1946" s="20">
        <f>SUMIFS(T$3:T1946,L$3:L1946,"=Intermission")+SUMIFS(T$3:T1946,L$3:L1946,"=Timeout")+SUMIFS(T$3:T1946,L$3:L1946,"=Clockstop")</f>
        <v>138</v>
      </c>
      <c r="AA1946">
        <f t="shared" si="828"/>
        <v>2298</v>
      </c>
      <c r="AC1946">
        <f t="shared" si="829"/>
        <v>2436</v>
      </c>
    </row>
    <row r="1947" spans="1:29" x14ac:dyDescent="0.2">
      <c r="A1947">
        <v>1049</v>
      </c>
      <c r="D1947">
        <f t="shared" si="830"/>
        <v>3</v>
      </c>
      <c r="E1947">
        <v>11</v>
      </c>
      <c r="F1947" s="6" t="s">
        <v>481</v>
      </c>
      <c r="I1947" t="s">
        <v>179</v>
      </c>
      <c r="J1947">
        <v>18</v>
      </c>
      <c r="K1947" t="s">
        <v>488</v>
      </c>
      <c r="L1947" t="s">
        <v>8</v>
      </c>
      <c r="M1947" t="s">
        <v>189</v>
      </c>
      <c r="N1947" t="s">
        <v>70</v>
      </c>
      <c r="Q1947">
        <f t="shared" ref="Q1947:S1947" si="857">Q1946</f>
        <v>18977</v>
      </c>
      <c r="R1947" t="str">
        <f t="shared" si="857"/>
        <v>Velodrome</v>
      </c>
      <c r="S1947" t="str">
        <f t="shared" si="857"/>
        <v>HollowBrook</v>
      </c>
      <c r="T1947" s="20">
        <f t="shared" si="834"/>
        <v>0</v>
      </c>
      <c r="U1947">
        <f t="shared" si="835"/>
        <v>699</v>
      </c>
      <c r="V1947">
        <f t="shared" si="836"/>
        <v>699</v>
      </c>
      <c r="W1947" cm="1">
        <f t="array" ref="W1947">_xlfn._xlws.FILTER(shifts!A:A,(shifts!B:B=events!D1947)*(shifts!AH:AH&gt;=events!U1947)*(shifts!AI:AI&lt;=events!V1947))</f>
        <v>68</v>
      </c>
      <c r="X1947" t="str">
        <f t="shared" si="837"/>
        <v>event_team_player_1</v>
      </c>
      <c r="Y1947">
        <f>COUNTIFS(A$3:A1947,"="&amp;A1947,K$3:K1947,"="&amp;K1947)</f>
        <v>1</v>
      </c>
      <c r="Z1947" s="20">
        <f>SUMIFS(T$3:T1947,L$3:L1947,"=Intermission")+SUMIFS(T$3:T1947,L$3:L1947,"=Timeout")+SUMIFS(T$3:T1947,L$3:L1947,"=Clockstop")</f>
        <v>138</v>
      </c>
      <c r="AA1947">
        <f t="shared" si="828"/>
        <v>2298</v>
      </c>
      <c r="AC1947">
        <f t="shared" si="829"/>
        <v>2436</v>
      </c>
    </row>
    <row r="1948" spans="1:29" x14ac:dyDescent="0.2">
      <c r="A1948">
        <v>1049</v>
      </c>
      <c r="D1948">
        <f t="shared" si="830"/>
        <v>3</v>
      </c>
      <c r="E1948">
        <v>11</v>
      </c>
      <c r="F1948" s="6" t="s">
        <v>481</v>
      </c>
      <c r="I1948" t="s">
        <v>179</v>
      </c>
      <c r="J1948">
        <v>19</v>
      </c>
      <c r="K1948" t="s">
        <v>488</v>
      </c>
      <c r="L1948" t="s">
        <v>8</v>
      </c>
      <c r="M1948" t="s">
        <v>189</v>
      </c>
      <c r="N1948" t="s">
        <v>70</v>
      </c>
      <c r="Q1948">
        <f t="shared" ref="Q1948:S1948" si="858">Q1947</f>
        <v>18977</v>
      </c>
      <c r="R1948" t="str">
        <f t="shared" si="858"/>
        <v>Velodrome</v>
      </c>
      <c r="S1948" t="str">
        <f t="shared" si="858"/>
        <v>HollowBrook</v>
      </c>
      <c r="T1948" s="20">
        <f t="shared" si="834"/>
        <v>0</v>
      </c>
      <c r="U1948">
        <f t="shared" si="835"/>
        <v>699</v>
      </c>
      <c r="V1948">
        <f t="shared" si="836"/>
        <v>699</v>
      </c>
      <c r="W1948" cm="1">
        <f t="array" ref="W1948">_xlfn._xlws.FILTER(shifts!A:A,(shifts!B:B=events!D1948)*(shifts!AH:AH&gt;=events!U1948)*(shifts!AI:AI&lt;=events!V1948))</f>
        <v>68</v>
      </c>
      <c r="X1948" t="str">
        <f t="shared" si="837"/>
        <v>event_team_player_2</v>
      </c>
      <c r="Y1948">
        <f>COUNTIFS(A$3:A1948,"="&amp;A1948,K$3:K1948,"="&amp;K1948)</f>
        <v>2</v>
      </c>
      <c r="Z1948" s="20">
        <f>SUMIFS(T$3:T1948,L$3:L1948,"=Intermission")+SUMIFS(T$3:T1948,L$3:L1948,"=Timeout")+SUMIFS(T$3:T1948,L$3:L1948,"=Clockstop")</f>
        <v>138</v>
      </c>
      <c r="AA1948">
        <f t="shared" si="828"/>
        <v>2298</v>
      </c>
      <c r="AC1948">
        <f t="shared" si="829"/>
        <v>2436</v>
      </c>
    </row>
    <row r="1949" spans="1:29" x14ac:dyDescent="0.2">
      <c r="A1949">
        <v>1050</v>
      </c>
      <c r="D1949">
        <f t="shared" si="830"/>
        <v>3</v>
      </c>
      <c r="E1949">
        <v>11</v>
      </c>
      <c r="F1949" s="6" t="s">
        <v>481</v>
      </c>
      <c r="I1949" t="s">
        <v>179</v>
      </c>
      <c r="J1949">
        <v>18</v>
      </c>
      <c r="K1949" t="s">
        <v>488</v>
      </c>
      <c r="L1949" t="s">
        <v>277</v>
      </c>
      <c r="M1949" t="s">
        <v>191</v>
      </c>
      <c r="N1949" t="s">
        <v>88</v>
      </c>
      <c r="Q1949">
        <f t="shared" ref="Q1949:S1949" si="859">Q1948</f>
        <v>18977</v>
      </c>
      <c r="R1949" t="str">
        <f t="shared" si="859"/>
        <v>Velodrome</v>
      </c>
      <c r="S1949" t="str">
        <f t="shared" si="859"/>
        <v>HollowBrook</v>
      </c>
      <c r="T1949" s="20">
        <f t="shared" si="834"/>
        <v>0</v>
      </c>
      <c r="U1949">
        <f t="shared" si="835"/>
        <v>699</v>
      </c>
      <c r="V1949">
        <f t="shared" si="836"/>
        <v>699</v>
      </c>
      <c r="W1949" cm="1">
        <f t="array" ref="W1949">_xlfn._xlws.FILTER(shifts!A:A,(shifts!B:B=events!D1949)*(shifts!AH:AH&gt;=events!U1949)*(shifts!AI:AI&lt;=events!V1949))</f>
        <v>68</v>
      </c>
      <c r="X1949" t="str">
        <f t="shared" si="837"/>
        <v>event_team_player_1</v>
      </c>
      <c r="Y1949">
        <f>COUNTIFS(A$3:A1949,"="&amp;A1949,K$3:K1949,"="&amp;K1949)</f>
        <v>1</v>
      </c>
      <c r="Z1949" s="20">
        <f>SUMIFS(T$3:T1949,L$3:L1949,"=Intermission")+SUMIFS(T$3:T1949,L$3:L1949,"=Timeout")+SUMIFS(T$3:T1949,L$3:L1949,"=Clockstop")</f>
        <v>138</v>
      </c>
      <c r="AA1949">
        <f t="shared" si="828"/>
        <v>2298</v>
      </c>
      <c r="AC1949">
        <f t="shared" si="829"/>
        <v>2436</v>
      </c>
    </row>
    <row r="1950" spans="1:29" x14ac:dyDescent="0.2">
      <c r="A1950">
        <v>1050</v>
      </c>
      <c r="D1950">
        <f t="shared" si="830"/>
        <v>3</v>
      </c>
      <c r="E1950">
        <v>11</v>
      </c>
      <c r="F1950" s="6" t="s">
        <v>481</v>
      </c>
      <c r="I1950" t="s">
        <v>179</v>
      </c>
      <c r="J1950">
        <v>19</v>
      </c>
      <c r="K1950" t="s">
        <v>488</v>
      </c>
      <c r="L1950" t="s">
        <v>277</v>
      </c>
      <c r="M1950" t="s">
        <v>191</v>
      </c>
      <c r="N1950" t="s">
        <v>88</v>
      </c>
      <c r="Q1950">
        <f t="shared" ref="Q1950:S1950" si="860">Q1949</f>
        <v>18977</v>
      </c>
      <c r="R1950" t="str">
        <f t="shared" si="860"/>
        <v>Velodrome</v>
      </c>
      <c r="S1950" t="str">
        <f t="shared" si="860"/>
        <v>HollowBrook</v>
      </c>
      <c r="T1950" s="20">
        <f t="shared" si="834"/>
        <v>0</v>
      </c>
      <c r="U1950">
        <f t="shared" si="835"/>
        <v>699</v>
      </c>
      <c r="V1950">
        <f t="shared" si="836"/>
        <v>699</v>
      </c>
      <c r="W1950" cm="1">
        <f t="array" ref="W1950">_xlfn._xlws.FILTER(shifts!A:A,(shifts!B:B=events!D1950)*(shifts!AH:AH&gt;=events!U1950)*(shifts!AI:AI&lt;=events!V1950))</f>
        <v>68</v>
      </c>
      <c r="X1950" t="str">
        <f t="shared" si="837"/>
        <v>event_team_player_2</v>
      </c>
      <c r="Y1950">
        <f>COUNTIFS(A$3:A1950,"="&amp;A1950,K$3:K1950,"="&amp;K1950)</f>
        <v>2</v>
      </c>
      <c r="Z1950" s="20">
        <f>SUMIFS(T$3:T1950,L$3:L1950,"=Intermission")+SUMIFS(T$3:T1950,L$3:L1950,"=Timeout")+SUMIFS(T$3:T1950,L$3:L1950,"=Clockstop")</f>
        <v>138</v>
      </c>
      <c r="AA1950">
        <f t="shared" si="828"/>
        <v>2298</v>
      </c>
      <c r="AC1950">
        <f t="shared" si="829"/>
        <v>2436</v>
      </c>
    </row>
    <row r="1951" spans="1:29" x14ac:dyDescent="0.2">
      <c r="A1951">
        <v>1050</v>
      </c>
      <c r="D1951">
        <f t="shared" si="830"/>
        <v>3</v>
      </c>
      <c r="E1951">
        <v>11</v>
      </c>
      <c r="F1951" s="6" t="s">
        <v>481</v>
      </c>
      <c r="I1951" t="s">
        <v>179</v>
      </c>
      <c r="J1951">
        <v>22</v>
      </c>
      <c r="K1951" t="s">
        <v>489</v>
      </c>
      <c r="L1951" t="s">
        <v>277</v>
      </c>
      <c r="M1951" t="s">
        <v>191</v>
      </c>
      <c r="N1951" t="s">
        <v>88</v>
      </c>
      <c r="Q1951">
        <f t="shared" ref="Q1951:S1951" si="861">Q1950</f>
        <v>18977</v>
      </c>
      <c r="R1951" t="str">
        <f t="shared" si="861"/>
        <v>Velodrome</v>
      </c>
      <c r="S1951" t="str">
        <f t="shared" si="861"/>
        <v>HollowBrook</v>
      </c>
      <c r="T1951" s="20">
        <f t="shared" si="834"/>
        <v>0</v>
      </c>
      <c r="U1951">
        <f t="shared" si="835"/>
        <v>699</v>
      </c>
      <c r="V1951">
        <f t="shared" si="836"/>
        <v>699</v>
      </c>
      <c r="W1951" cm="1">
        <f t="array" ref="W1951">_xlfn._xlws.FILTER(shifts!A:A,(shifts!B:B=events!D1951)*(shifts!AH:AH&gt;=events!U1951)*(shifts!AI:AI&lt;=events!V1951))</f>
        <v>68</v>
      </c>
      <c r="X1951" t="str">
        <f t="shared" si="837"/>
        <v>opp_team_player_1</v>
      </c>
      <c r="Y1951">
        <f>COUNTIFS(A$3:A1951,"="&amp;A1951,K$3:K1951,"="&amp;K1951)</f>
        <v>1</v>
      </c>
      <c r="Z1951" s="20">
        <f>SUMIFS(T$3:T1951,L$3:L1951,"=Intermission")+SUMIFS(T$3:T1951,L$3:L1951,"=Timeout")+SUMIFS(T$3:T1951,L$3:L1951,"=Clockstop")</f>
        <v>138</v>
      </c>
      <c r="AA1951">
        <f t="shared" si="828"/>
        <v>2298</v>
      </c>
      <c r="AC1951">
        <f t="shared" si="829"/>
        <v>2436</v>
      </c>
    </row>
    <row r="1952" spans="1:29" x14ac:dyDescent="0.2">
      <c r="A1952">
        <v>1051</v>
      </c>
      <c r="D1952">
        <f t="shared" si="830"/>
        <v>3</v>
      </c>
      <c r="E1952">
        <v>11</v>
      </c>
      <c r="F1952" s="6" t="s">
        <v>481</v>
      </c>
      <c r="G1952">
        <v>11</v>
      </c>
      <c r="H1952" s="8" t="s">
        <v>452</v>
      </c>
      <c r="I1952" t="s">
        <v>179</v>
      </c>
      <c r="J1952">
        <v>19</v>
      </c>
      <c r="K1952" t="s">
        <v>488</v>
      </c>
      <c r="L1952" t="s">
        <v>15</v>
      </c>
      <c r="Q1952">
        <f t="shared" ref="Q1952:S1952" si="862">Q1951</f>
        <v>18977</v>
      </c>
      <c r="R1952" t="str">
        <f t="shared" si="862"/>
        <v>Velodrome</v>
      </c>
      <c r="S1952" t="str">
        <f t="shared" si="862"/>
        <v>HollowBrook</v>
      </c>
      <c r="T1952" s="20">
        <f t="shared" si="834"/>
        <v>3</v>
      </c>
      <c r="U1952">
        <f t="shared" si="835"/>
        <v>699</v>
      </c>
      <c r="V1952">
        <f t="shared" si="836"/>
        <v>696</v>
      </c>
      <c r="W1952" cm="1">
        <f t="array" ref="W1952">_xlfn._xlws.FILTER(shifts!A:A,(shifts!B:B=events!D1952)*(shifts!AH:AH&gt;=events!U1952)*(shifts!AI:AI&lt;=events!V1952))</f>
        <v>68</v>
      </c>
      <c r="X1952" t="str">
        <f t="shared" si="837"/>
        <v>event_team_player_1</v>
      </c>
      <c r="Y1952">
        <f>COUNTIFS(A$3:A1952,"="&amp;A1952,K$3:K1952,"="&amp;K1952)</f>
        <v>1</v>
      </c>
      <c r="Z1952" s="20">
        <f>SUMIFS(T$3:T1952,L$3:L1952,"=Intermission")+SUMIFS(T$3:T1952,L$3:L1952,"=Timeout")+SUMIFS(T$3:T1952,L$3:L1952,"=Clockstop")</f>
        <v>138</v>
      </c>
      <c r="AA1952">
        <f t="shared" si="828"/>
        <v>2298</v>
      </c>
      <c r="AC1952">
        <f t="shared" si="829"/>
        <v>2436</v>
      </c>
    </row>
    <row r="1953" spans="1:29" x14ac:dyDescent="0.2">
      <c r="A1953">
        <v>1051</v>
      </c>
      <c r="D1953">
        <f t="shared" si="830"/>
        <v>3</v>
      </c>
      <c r="E1953">
        <v>11</v>
      </c>
      <c r="F1953" s="6" t="s">
        <v>481</v>
      </c>
      <c r="G1953">
        <v>11</v>
      </c>
      <c r="H1953" s="8" t="s">
        <v>452</v>
      </c>
      <c r="I1953" t="s">
        <v>179</v>
      </c>
      <c r="J1953">
        <v>22</v>
      </c>
      <c r="K1953" t="s">
        <v>489</v>
      </c>
      <c r="L1953" t="s">
        <v>15</v>
      </c>
      <c r="Q1953">
        <f t="shared" ref="Q1953:S1953" si="863">Q1952</f>
        <v>18977</v>
      </c>
      <c r="R1953" t="str">
        <f t="shared" si="863"/>
        <v>Velodrome</v>
      </c>
      <c r="S1953" t="str">
        <f t="shared" si="863"/>
        <v>HollowBrook</v>
      </c>
      <c r="T1953" s="20">
        <f t="shared" si="834"/>
        <v>3</v>
      </c>
      <c r="U1953">
        <f t="shared" si="835"/>
        <v>699</v>
      </c>
      <c r="V1953">
        <f t="shared" si="836"/>
        <v>696</v>
      </c>
      <c r="W1953" cm="1">
        <f t="array" ref="W1953">_xlfn._xlws.FILTER(shifts!A:A,(shifts!B:B=events!D1953)*(shifts!AH:AH&gt;=events!U1953)*(shifts!AI:AI&lt;=events!V1953))</f>
        <v>68</v>
      </c>
      <c r="X1953" t="str">
        <f t="shared" si="837"/>
        <v>opp_team_player_1</v>
      </c>
      <c r="Y1953">
        <f>COUNTIFS(A$3:A1953,"="&amp;A1953,K$3:K1953,"="&amp;K1953)</f>
        <v>1</v>
      </c>
      <c r="Z1953" s="20">
        <f>SUMIFS(T$3:T1953,L$3:L1953,"=Intermission")+SUMIFS(T$3:T1953,L$3:L1953,"=Timeout")+SUMIFS(T$3:T1953,L$3:L1953,"=Clockstop")</f>
        <v>138</v>
      </c>
      <c r="AA1953">
        <f t="shared" si="828"/>
        <v>2298</v>
      </c>
      <c r="AC1953">
        <f t="shared" si="829"/>
        <v>2436</v>
      </c>
    </row>
    <row r="1954" spans="1:29" x14ac:dyDescent="0.2">
      <c r="A1954">
        <v>1052</v>
      </c>
      <c r="D1954">
        <f t="shared" si="830"/>
        <v>3</v>
      </c>
      <c r="E1954">
        <v>11</v>
      </c>
      <c r="F1954" s="6" t="s">
        <v>452</v>
      </c>
      <c r="I1954" t="s">
        <v>179</v>
      </c>
      <c r="J1954">
        <v>19</v>
      </c>
      <c r="K1954" t="s">
        <v>488</v>
      </c>
      <c r="L1954" t="s">
        <v>7</v>
      </c>
      <c r="M1954" t="s">
        <v>208</v>
      </c>
      <c r="N1954" t="s">
        <v>53</v>
      </c>
      <c r="Q1954">
        <f t="shared" ref="Q1954:S1954" si="864">Q1953</f>
        <v>18977</v>
      </c>
      <c r="R1954" t="str">
        <f t="shared" si="864"/>
        <v>Velodrome</v>
      </c>
      <c r="S1954" t="str">
        <f t="shared" si="864"/>
        <v>HollowBrook</v>
      </c>
      <c r="T1954" s="20">
        <f t="shared" si="834"/>
        <v>0</v>
      </c>
      <c r="U1954">
        <f t="shared" si="835"/>
        <v>696</v>
      </c>
      <c r="V1954">
        <f t="shared" si="836"/>
        <v>696</v>
      </c>
      <c r="W1954" cm="1">
        <f t="array" ref="W1954">_xlfn._xlws.FILTER(shifts!A:A,(shifts!B:B=events!D1954)*(shifts!AH:AH&gt;=events!U1954)*(shifts!AI:AI&lt;=events!V1954))</f>
        <v>68</v>
      </c>
      <c r="X1954" t="str">
        <f t="shared" si="837"/>
        <v>event_team_player_1</v>
      </c>
      <c r="Y1954">
        <f>COUNTIFS(A$3:A1954,"="&amp;A1954,K$3:K1954,"="&amp;K1954)</f>
        <v>1</v>
      </c>
      <c r="Z1954" s="20">
        <f>SUMIFS(T$3:T1954,L$3:L1954,"=Intermission")+SUMIFS(T$3:T1954,L$3:L1954,"=Timeout")+SUMIFS(T$3:T1954,L$3:L1954,"=Clockstop")</f>
        <v>138</v>
      </c>
      <c r="AA1954">
        <f t="shared" si="828"/>
        <v>2298</v>
      </c>
      <c r="AC1954">
        <f t="shared" si="829"/>
        <v>2436</v>
      </c>
    </row>
    <row r="1955" spans="1:29" x14ac:dyDescent="0.2">
      <c r="A1955">
        <v>1052</v>
      </c>
      <c r="D1955">
        <f t="shared" si="830"/>
        <v>3</v>
      </c>
      <c r="E1955">
        <v>11</v>
      </c>
      <c r="F1955" s="6" t="s">
        <v>452</v>
      </c>
      <c r="I1955" t="s">
        <v>179</v>
      </c>
      <c r="J1955">
        <v>22</v>
      </c>
      <c r="K1955" t="s">
        <v>489</v>
      </c>
      <c r="L1955" t="s">
        <v>7</v>
      </c>
      <c r="M1955" t="s">
        <v>208</v>
      </c>
      <c r="N1955" t="s">
        <v>53</v>
      </c>
      <c r="Q1955">
        <f t="shared" ref="Q1955:S1955" si="865">Q1954</f>
        <v>18977</v>
      </c>
      <c r="R1955" t="str">
        <f t="shared" si="865"/>
        <v>Velodrome</v>
      </c>
      <c r="S1955" t="str">
        <f t="shared" si="865"/>
        <v>HollowBrook</v>
      </c>
      <c r="T1955" s="20">
        <f t="shared" si="834"/>
        <v>0</v>
      </c>
      <c r="U1955">
        <f t="shared" si="835"/>
        <v>696</v>
      </c>
      <c r="V1955">
        <f t="shared" si="836"/>
        <v>696</v>
      </c>
      <c r="W1955" cm="1">
        <f t="array" ref="W1955">_xlfn._xlws.FILTER(shifts!A:A,(shifts!B:B=events!D1955)*(shifts!AH:AH&gt;=events!U1955)*(shifts!AI:AI&lt;=events!V1955))</f>
        <v>68</v>
      </c>
      <c r="X1955" t="str">
        <f t="shared" si="837"/>
        <v>opp_team_player_1</v>
      </c>
      <c r="Y1955">
        <f>COUNTIFS(A$3:A1955,"="&amp;A1955,K$3:K1955,"="&amp;K1955)</f>
        <v>1</v>
      </c>
      <c r="Z1955" s="20">
        <f>SUMIFS(T$3:T1955,L$3:L1955,"=Intermission")+SUMIFS(T$3:T1955,L$3:L1955,"=Timeout")+SUMIFS(T$3:T1955,L$3:L1955,"=Clockstop")</f>
        <v>138</v>
      </c>
      <c r="AA1955">
        <f t="shared" si="828"/>
        <v>2298</v>
      </c>
      <c r="AC1955">
        <f t="shared" si="829"/>
        <v>2436</v>
      </c>
    </row>
    <row r="1956" spans="1:29" x14ac:dyDescent="0.2">
      <c r="A1956">
        <v>1053</v>
      </c>
      <c r="D1956">
        <f t="shared" si="830"/>
        <v>3</v>
      </c>
      <c r="E1956">
        <v>11</v>
      </c>
      <c r="F1956" s="6" t="s">
        <v>452</v>
      </c>
      <c r="I1956" t="s">
        <v>179</v>
      </c>
      <c r="J1956">
        <v>19</v>
      </c>
      <c r="K1956" t="s">
        <v>488</v>
      </c>
      <c r="L1956" t="s">
        <v>10</v>
      </c>
      <c r="M1956" t="s">
        <v>190</v>
      </c>
      <c r="N1956" t="s">
        <v>78</v>
      </c>
      <c r="Q1956">
        <f t="shared" ref="Q1956:S1956" si="866">Q1955</f>
        <v>18977</v>
      </c>
      <c r="R1956" t="str">
        <f t="shared" si="866"/>
        <v>Velodrome</v>
      </c>
      <c r="S1956" t="str">
        <f t="shared" si="866"/>
        <v>HollowBrook</v>
      </c>
      <c r="T1956" s="20">
        <f t="shared" si="834"/>
        <v>0</v>
      </c>
      <c r="U1956">
        <f t="shared" si="835"/>
        <v>696</v>
      </c>
      <c r="V1956">
        <f t="shared" si="836"/>
        <v>696</v>
      </c>
      <c r="W1956" cm="1">
        <f t="array" ref="W1956">_xlfn._xlws.FILTER(shifts!A:A,(shifts!B:B=events!D1956)*(shifts!AH:AH&gt;=events!U1956)*(shifts!AI:AI&lt;=events!V1956))</f>
        <v>68</v>
      </c>
      <c r="X1956" t="str">
        <f t="shared" si="837"/>
        <v>event_team_player_1</v>
      </c>
      <c r="Y1956">
        <f>COUNTIFS(A$3:A1956,"="&amp;A1956,K$3:K1956,"="&amp;K1956)</f>
        <v>1</v>
      </c>
      <c r="Z1956" s="20">
        <f>SUMIFS(T$3:T1956,L$3:L1956,"=Intermission")+SUMIFS(T$3:T1956,L$3:L1956,"=Timeout")+SUMIFS(T$3:T1956,L$3:L1956,"=Clockstop")</f>
        <v>138</v>
      </c>
      <c r="AA1956">
        <f t="shared" si="828"/>
        <v>2298</v>
      </c>
      <c r="AC1956">
        <f t="shared" si="829"/>
        <v>2436</v>
      </c>
    </row>
    <row r="1957" spans="1:29" x14ac:dyDescent="0.2">
      <c r="A1957">
        <v>1053</v>
      </c>
      <c r="D1957">
        <f t="shared" si="830"/>
        <v>3</v>
      </c>
      <c r="E1957">
        <v>11</v>
      </c>
      <c r="F1957" s="6" t="s">
        <v>452</v>
      </c>
      <c r="I1957" t="s">
        <v>179</v>
      </c>
      <c r="J1957">
        <v>22</v>
      </c>
      <c r="K1957" t="s">
        <v>489</v>
      </c>
      <c r="L1957" t="s">
        <v>10</v>
      </c>
      <c r="M1957" t="s">
        <v>190</v>
      </c>
      <c r="N1957" t="s">
        <v>78</v>
      </c>
      <c r="Q1957">
        <f t="shared" ref="Q1957:S1957" si="867">Q1956</f>
        <v>18977</v>
      </c>
      <c r="R1957" t="str">
        <f t="shared" si="867"/>
        <v>Velodrome</v>
      </c>
      <c r="S1957" t="str">
        <f t="shared" si="867"/>
        <v>HollowBrook</v>
      </c>
      <c r="T1957" s="20">
        <f t="shared" si="834"/>
        <v>0</v>
      </c>
      <c r="U1957">
        <f t="shared" si="835"/>
        <v>696</v>
      </c>
      <c r="V1957">
        <f t="shared" si="836"/>
        <v>696</v>
      </c>
      <c r="W1957" cm="1">
        <f t="array" ref="W1957">_xlfn._xlws.FILTER(shifts!A:A,(shifts!B:B=events!D1957)*(shifts!AH:AH&gt;=events!U1957)*(shifts!AI:AI&lt;=events!V1957))</f>
        <v>68</v>
      </c>
      <c r="X1957" t="str">
        <f t="shared" si="837"/>
        <v>opp_team_player_1</v>
      </c>
      <c r="Y1957">
        <f>COUNTIFS(A$3:A1957,"="&amp;A1957,K$3:K1957,"="&amp;K1957)</f>
        <v>1</v>
      </c>
      <c r="Z1957" s="20">
        <f>SUMIFS(T$3:T1957,L$3:L1957,"=Intermission")+SUMIFS(T$3:T1957,L$3:L1957,"=Timeout")+SUMIFS(T$3:T1957,L$3:L1957,"=Clockstop")</f>
        <v>138</v>
      </c>
      <c r="AA1957">
        <f t="shared" si="828"/>
        <v>2298</v>
      </c>
      <c r="AC1957">
        <f t="shared" si="829"/>
        <v>2436</v>
      </c>
    </row>
    <row r="1958" spans="1:29" x14ac:dyDescent="0.2">
      <c r="A1958">
        <v>1054</v>
      </c>
      <c r="D1958">
        <f t="shared" si="830"/>
        <v>3</v>
      </c>
      <c r="E1958">
        <v>11</v>
      </c>
      <c r="F1958" s="6" t="s">
        <v>472</v>
      </c>
      <c r="I1958" t="s">
        <v>178</v>
      </c>
      <c r="J1958">
        <v>14</v>
      </c>
      <c r="K1958" t="s">
        <v>488</v>
      </c>
      <c r="L1958" t="s">
        <v>277</v>
      </c>
      <c r="M1958" t="s">
        <v>201</v>
      </c>
      <c r="N1958" t="s">
        <v>183</v>
      </c>
      <c r="Q1958">
        <f t="shared" ref="Q1958:S1958" si="868">Q1957</f>
        <v>18977</v>
      </c>
      <c r="R1958" t="str">
        <f t="shared" si="868"/>
        <v>Velodrome</v>
      </c>
      <c r="S1958" t="str">
        <f t="shared" si="868"/>
        <v>HollowBrook</v>
      </c>
      <c r="T1958" s="20">
        <f t="shared" si="834"/>
        <v>0</v>
      </c>
      <c r="U1958">
        <f t="shared" si="835"/>
        <v>690</v>
      </c>
      <c r="V1958">
        <f t="shared" si="836"/>
        <v>690</v>
      </c>
      <c r="W1958" cm="1">
        <f t="array" ref="W1958">_xlfn._xlws.FILTER(shifts!A:A,(shifts!B:B=events!D1958)*(shifts!AH:AH&gt;=events!U1958)*(shifts!AI:AI&lt;=events!V1958))</f>
        <v>69</v>
      </c>
      <c r="X1958" t="str">
        <f t="shared" si="837"/>
        <v>event_team_player_1</v>
      </c>
      <c r="Y1958">
        <f>COUNTIFS(A$3:A1958,"="&amp;A1958,K$3:K1958,"="&amp;K1958)</f>
        <v>1</v>
      </c>
      <c r="Z1958" s="20">
        <f>SUMIFS(T$3:T1958,L$3:L1958,"=Intermission")+SUMIFS(T$3:T1958,L$3:L1958,"=Timeout")+SUMIFS(T$3:T1958,L$3:L1958,"=Clockstop")</f>
        <v>138</v>
      </c>
      <c r="AA1958">
        <f t="shared" si="828"/>
        <v>2298</v>
      </c>
      <c r="AC1958">
        <f t="shared" si="829"/>
        <v>2436</v>
      </c>
    </row>
    <row r="1959" spans="1:29" x14ac:dyDescent="0.2">
      <c r="A1959">
        <v>1054</v>
      </c>
      <c r="D1959">
        <f t="shared" si="830"/>
        <v>3</v>
      </c>
      <c r="E1959">
        <v>11</v>
      </c>
      <c r="F1959" s="6" t="s">
        <v>472</v>
      </c>
      <c r="I1959" t="s">
        <v>178</v>
      </c>
      <c r="J1959">
        <v>2</v>
      </c>
      <c r="K1959" t="s">
        <v>489</v>
      </c>
      <c r="L1959" s="24" t="s">
        <v>277</v>
      </c>
      <c r="M1959" s="24" t="s">
        <v>201</v>
      </c>
      <c r="N1959" s="24" t="s">
        <v>183</v>
      </c>
      <c r="Q1959">
        <f t="shared" ref="Q1959:S1959" si="869">Q1958</f>
        <v>18977</v>
      </c>
      <c r="R1959" t="str">
        <f t="shared" si="869"/>
        <v>Velodrome</v>
      </c>
      <c r="S1959" t="str">
        <f t="shared" si="869"/>
        <v>HollowBrook</v>
      </c>
      <c r="T1959" s="20">
        <f t="shared" si="834"/>
        <v>0</v>
      </c>
      <c r="U1959">
        <f t="shared" si="835"/>
        <v>690</v>
      </c>
      <c r="V1959">
        <f t="shared" si="836"/>
        <v>690</v>
      </c>
      <c r="W1959" cm="1">
        <f t="array" ref="W1959">_xlfn._xlws.FILTER(shifts!A:A,(shifts!B:B=events!D1959)*(shifts!AH:AH&gt;=events!U1959)*(shifts!AI:AI&lt;=events!V1959))</f>
        <v>69</v>
      </c>
      <c r="X1959" t="str">
        <f t="shared" si="837"/>
        <v>opp_team_player_1</v>
      </c>
      <c r="Y1959">
        <f>COUNTIFS(A$3:A1959,"="&amp;A1959,K$3:K1959,"="&amp;K1959)</f>
        <v>1</v>
      </c>
      <c r="Z1959" s="20">
        <f>SUMIFS(T$3:T1959,L$3:L1959,"=Intermission")+SUMIFS(T$3:T1959,L$3:L1959,"=Timeout")+SUMIFS(T$3:T1959,L$3:L1959,"=Clockstop")</f>
        <v>138</v>
      </c>
      <c r="AA1959">
        <f t="shared" si="828"/>
        <v>2298</v>
      </c>
      <c r="AC1959">
        <f t="shared" si="829"/>
        <v>2436</v>
      </c>
    </row>
    <row r="1960" spans="1:29" x14ac:dyDescent="0.2">
      <c r="A1960">
        <v>1055</v>
      </c>
      <c r="D1960">
        <f t="shared" si="830"/>
        <v>3</v>
      </c>
      <c r="E1960">
        <v>11</v>
      </c>
      <c r="F1960" s="6" t="s">
        <v>442</v>
      </c>
      <c r="I1960" t="s">
        <v>178</v>
      </c>
      <c r="J1960">
        <v>14</v>
      </c>
      <c r="K1960" t="s">
        <v>488</v>
      </c>
      <c r="L1960" t="s">
        <v>8</v>
      </c>
      <c r="M1960" t="s">
        <v>189</v>
      </c>
      <c r="N1960" t="s">
        <v>68</v>
      </c>
      <c r="Q1960">
        <f t="shared" ref="Q1960:S1960" si="870">Q1959</f>
        <v>18977</v>
      </c>
      <c r="R1960" t="str">
        <f t="shared" si="870"/>
        <v>Velodrome</v>
      </c>
      <c r="S1960" t="str">
        <f t="shared" si="870"/>
        <v>HollowBrook</v>
      </c>
      <c r="T1960" s="20">
        <f t="shared" si="834"/>
        <v>0</v>
      </c>
      <c r="U1960">
        <f t="shared" si="835"/>
        <v>689</v>
      </c>
      <c r="V1960">
        <f t="shared" si="836"/>
        <v>689</v>
      </c>
      <c r="W1960" cm="1">
        <f t="array" ref="W1960">_xlfn._xlws.FILTER(shifts!A:A,(shifts!B:B=events!D1960)*(shifts!AH:AH&gt;=events!U1960)*(shifts!AI:AI&lt;=events!V1960))</f>
        <v>69</v>
      </c>
      <c r="X1960" t="str">
        <f t="shared" si="837"/>
        <v>event_team_player_1</v>
      </c>
      <c r="Y1960">
        <f>COUNTIFS(A$3:A1960,"="&amp;A1960,K$3:K1960,"="&amp;K1960)</f>
        <v>1</v>
      </c>
      <c r="Z1960" s="20">
        <f>SUMIFS(T$3:T1960,L$3:L1960,"=Intermission")+SUMIFS(T$3:T1960,L$3:L1960,"=Timeout")+SUMIFS(T$3:T1960,L$3:L1960,"=Clockstop")</f>
        <v>138</v>
      </c>
      <c r="AA1960">
        <f t="shared" si="828"/>
        <v>2298</v>
      </c>
      <c r="AC1960">
        <f t="shared" si="829"/>
        <v>2436</v>
      </c>
    </row>
    <row r="1961" spans="1:29" x14ac:dyDescent="0.2">
      <c r="A1961">
        <v>1055</v>
      </c>
      <c r="D1961">
        <f t="shared" si="830"/>
        <v>3</v>
      </c>
      <c r="E1961">
        <v>11</v>
      </c>
      <c r="F1961" s="6" t="s">
        <v>442</v>
      </c>
      <c r="I1961" t="s">
        <v>178</v>
      </c>
      <c r="J1961">
        <v>70</v>
      </c>
      <c r="K1961" t="s">
        <v>488</v>
      </c>
      <c r="L1961" t="s">
        <v>8</v>
      </c>
      <c r="M1961" t="s">
        <v>189</v>
      </c>
      <c r="N1961" t="s">
        <v>68</v>
      </c>
      <c r="Q1961">
        <f t="shared" ref="Q1961:S1961" si="871">Q1960</f>
        <v>18977</v>
      </c>
      <c r="R1961" t="str">
        <f t="shared" si="871"/>
        <v>Velodrome</v>
      </c>
      <c r="S1961" t="str">
        <f t="shared" si="871"/>
        <v>HollowBrook</v>
      </c>
      <c r="T1961" s="20">
        <f t="shared" si="834"/>
        <v>0</v>
      </c>
      <c r="U1961">
        <f t="shared" si="835"/>
        <v>689</v>
      </c>
      <c r="V1961">
        <f t="shared" si="836"/>
        <v>689</v>
      </c>
      <c r="W1961" cm="1">
        <f t="array" ref="W1961">_xlfn._xlws.FILTER(shifts!A:A,(shifts!B:B=events!D1961)*(shifts!AH:AH&gt;=events!U1961)*(shifts!AI:AI&lt;=events!V1961))</f>
        <v>69</v>
      </c>
      <c r="X1961" t="str">
        <f t="shared" si="837"/>
        <v>event_team_player_2</v>
      </c>
      <c r="Y1961">
        <f>COUNTIFS(A$3:A1961,"="&amp;A1961,K$3:K1961,"="&amp;K1961)</f>
        <v>2</v>
      </c>
      <c r="Z1961" s="20">
        <f>SUMIFS(T$3:T1961,L$3:L1961,"=Intermission")+SUMIFS(T$3:T1961,L$3:L1961,"=Timeout")+SUMIFS(T$3:T1961,L$3:L1961,"=Clockstop")</f>
        <v>138</v>
      </c>
      <c r="AA1961">
        <f t="shared" si="828"/>
        <v>2298</v>
      </c>
      <c r="AC1961">
        <f t="shared" si="829"/>
        <v>2436</v>
      </c>
    </row>
    <row r="1962" spans="1:29" x14ac:dyDescent="0.2">
      <c r="A1962">
        <v>1056</v>
      </c>
      <c r="D1962">
        <f t="shared" si="830"/>
        <v>3</v>
      </c>
      <c r="E1962">
        <v>11</v>
      </c>
      <c r="F1962" s="6" t="s">
        <v>442</v>
      </c>
      <c r="I1962" t="s">
        <v>178</v>
      </c>
      <c r="J1962">
        <v>14</v>
      </c>
      <c r="K1962" t="s">
        <v>488</v>
      </c>
      <c r="L1962" t="s">
        <v>277</v>
      </c>
      <c r="M1962" t="s">
        <v>191</v>
      </c>
      <c r="N1962" t="s">
        <v>88</v>
      </c>
      <c r="Q1962">
        <f t="shared" ref="Q1962:S1962" si="872">Q1961</f>
        <v>18977</v>
      </c>
      <c r="R1962" t="str">
        <f t="shared" si="872"/>
        <v>Velodrome</v>
      </c>
      <c r="S1962" t="str">
        <f t="shared" si="872"/>
        <v>HollowBrook</v>
      </c>
      <c r="T1962" s="20">
        <f t="shared" si="834"/>
        <v>0</v>
      </c>
      <c r="U1962">
        <f t="shared" si="835"/>
        <v>689</v>
      </c>
      <c r="V1962">
        <f t="shared" si="836"/>
        <v>689</v>
      </c>
      <c r="W1962" cm="1">
        <f t="array" ref="W1962">_xlfn._xlws.FILTER(shifts!A:A,(shifts!B:B=events!D1962)*(shifts!AH:AH&gt;=events!U1962)*(shifts!AI:AI&lt;=events!V1962))</f>
        <v>69</v>
      </c>
      <c r="X1962" t="str">
        <f t="shared" si="837"/>
        <v>event_team_player_1</v>
      </c>
      <c r="Y1962">
        <f>COUNTIFS(A$3:A1962,"="&amp;A1962,K$3:K1962,"="&amp;K1962)</f>
        <v>1</v>
      </c>
      <c r="Z1962" s="20">
        <f>SUMIFS(T$3:T1962,L$3:L1962,"=Intermission")+SUMIFS(T$3:T1962,L$3:L1962,"=Timeout")+SUMIFS(T$3:T1962,L$3:L1962,"=Clockstop")</f>
        <v>138</v>
      </c>
      <c r="AA1962">
        <f t="shared" si="828"/>
        <v>2298</v>
      </c>
      <c r="AC1962">
        <f t="shared" si="829"/>
        <v>2436</v>
      </c>
    </row>
    <row r="1963" spans="1:29" x14ac:dyDescent="0.2">
      <c r="A1963">
        <v>1056</v>
      </c>
      <c r="D1963">
        <f t="shared" si="830"/>
        <v>3</v>
      </c>
      <c r="E1963">
        <v>11</v>
      </c>
      <c r="F1963" s="6" t="s">
        <v>442</v>
      </c>
      <c r="I1963" t="s">
        <v>178</v>
      </c>
      <c r="J1963">
        <v>70</v>
      </c>
      <c r="K1963" t="s">
        <v>488</v>
      </c>
      <c r="L1963" t="s">
        <v>277</v>
      </c>
      <c r="M1963" t="s">
        <v>191</v>
      </c>
      <c r="N1963" t="s">
        <v>88</v>
      </c>
      <c r="Q1963">
        <f t="shared" ref="Q1963:S1963" si="873">Q1962</f>
        <v>18977</v>
      </c>
      <c r="R1963" t="str">
        <f t="shared" si="873"/>
        <v>Velodrome</v>
      </c>
      <c r="S1963" t="str">
        <f t="shared" si="873"/>
        <v>HollowBrook</v>
      </c>
      <c r="T1963" s="20">
        <f t="shared" si="834"/>
        <v>0</v>
      </c>
      <c r="U1963">
        <f t="shared" si="835"/>
        <v>689</v>
      </c>
      <c r="V1963">
        <f t="shared" si="836"/>
        <v>689</v>
      </c>
      <c r="W1963" cm="1">
        <f t="array" ref="W1963">_xlfn._xlws.FILTER(shifts!A:A,(shifts!B:B=events!D1963)*(shifts!AH:AH&gt;=events!U1963)*(shifts!AI:AI&lt;=events!V1963))</f>
        <v>69</v>
      </c>
      <c r="X1963" t="str">
        <f t="shared" si="837"/>
        <v>event_team_player_2</v>
      </c>
      <c r="Y1963">
        <f>COUNTIFS(A$3:A1963,"="&amp;A1963,K$3:K1963,"="&amp;K1963)</f>
        <v>2</v>
      </c>
      <c r="Z1963" s="20">
        <f>SUMIFS(T$3:T1963,L$3:L1963,"=Intermission")+SUMIFS(T$3:T1963,L$3:L1963,"=Timeout")+SUMIFS(T$3:T1963,L$3:L1963,"=Clockstop")</f>
        <v>138</v>
      </c>
      <c r="AA1963">
        <f t="shared" si="828"/>
        <v>2298</v>
      </c>
      <c r="AC1963">
        <f t="shared" si="829"/>
        <v>2436</v>
      </c>
    </row>
    <row r="1964" spans="1:29" x14ac:dyDescent="0.2">
      <c r="A1964">
        <v>1057</v>
      </c>
      <c r="D1964">
        <f t="shared" si="830"/>
        <v>3</v>
      </c>
      <c r="E1964">
        <v>11</v>
      </c>
      <c r="F1964" s="6" t="s">
        <v>440</v>
      </c>
      <c r="G1964">
        <v>11</v>
      </c>
      <c r="H1964" s="8" t="s">
        <v>483</v>
      </c>
      <c r="I1964" t="s">
        <v>178</v>
      </c>
      <c r="J1964">
        <v>70</v>
      </c>
      <c r="K1964" t="s">
        <v>488</v>
      </c>
      <c r="L1964" t="s">
        <v>15</v>
      </c>
      <c r="Q1964">
        <f t="shared" ref="Q1964:S1964" si="874">Q1963</f>
        <v>18977</v>
      </c>
      <c r="R1964" t="str">
        <f t="shared" si="874"/>
        <v>Velodrome</v>
      </c>
      <c r="S1964" t="str">
        <f t="shared" si="874"/>
        <v>HollowBrook</v>
      </c>
      <c r="T1964" s="20">
        <f t="shared" si="834"/>
        <v>1</v>
      </c>
      <c r="U1964">
        <f t="shared" si="835"/>
        <v>688</v>
      </c>
      <c r="V1964">
        <f t="shared" si="836"/>
        <v>687</v>
      </c>
      <c r="W1964" cm="1">
        <f t="array" ref="W1964">_xlfn._xlws.FILTER(shifts!A:A,(shifts!B:B=events!D1964)*(shifts!AH:AH&gt;=events!U1964)*(shifts!AI:AI&lt;=events!V1964))</f>
        <v>69</v>
      </c>
      <c r="X1964" t="str">
        <f t="shared" si="837"/>
        <v>event_team_player_1</v>
      </c>
      <c r="Y1964">
        <f>COUNTIFS(A$3:A1964,"="&amp;A1964,K$3:K1964,"="&amp;K1964)</f>
        <v>1</v>
      </c>
      <c r="Z1964" s="20">
        <f>SUMIFS(T$3:T1964,L$3:L1964,"=Intermission")+SUMIFS(T$3:T1964,L$3:L1964,"=Timeout")+SUMIFS(T$3:T1964,L$3:L1964,"=Clockstop")</f>
        <v>138</v>
      </c>
      <c r="AA1964">
        <f t="shared" si="828"/>
        <v>2298</v>
      </c>
      <c r="AC1964">
        <f t="shared" si="829"/>
        <v>2436</v>
      </c>
    </row>
    <row r="1965" spans="1:29" x14ac:dyDescent="0.2">
      <c r="A1965">
        <v>1058</v>
      </c>
      <c r="D1965">
        <f t="shared" si="830"/>
        <v>3</v>
      </c>
      <c r="E1965">
        <v>11</v>
      </c>
      <c r="F1965" s="6" t="s">
        <v>483</v>
      </c>
      <c r="G1965">
        <v>11</v>
      </c>
      <c r="H1965" s="8" t="s">
        <v>441</v>
      </c>
      <c r="I1965" t="s">
        <v>178</v>
      </c>
      <c r="J1965">
        <v>70</v>
      </c>
      <c r="K1965" t="s">
        <v>488</v>
      </c>
      <c r="L1965" t="s">
        <v>15</v>
      </c>
      <c r="Q1965">
        <f t="shared" ref="Q1965:S1965" si="875">Q1964</f>
        <v>18977</v>
      </c>
      <c r="R1965" t="str">
        <f t="shared" si="875"/>
        <v>Velodrome</v>
      </c>
      <c r="S1965" t="str">
        <f t="shared" si="875"/>
        <v>HollowBrook</v>
      </c>
      <c r="T1965" s="20">
        <f t="shared" si="834"/>
        <v>2</v>
      </c>
      <c r="U1965">
        <f t="shared" si="835"/>
        <v>687</v>
      </c>
      <c r="V1965">
        <f t="shared" si="836"/>
        <v>685</v>
      </c>
      <c r="W1965" cm="1">
        <f t="array" ref="W1965">_xlfn._xlws.FILTER(shifts!A:A,(shifts!B:B=events!D1965)*(shifts!AH:AH&gt;=events!U1965)*(shifts!AI:AI&lt;=events!V1965))</f>
        <v>69</v>
      </c>
      <c r="X1965" t="str">
        <f t="shared" si="837"/>
        <v>event_team_player_1</v>
      </c>
      <c r="Y1965">
        <f>COUNTIFS(A$3:A1965,"="&amp;A1965,K$3:K1965,"="&amp;K1965)</f>
        <v>1</v>
      </c>
      <c r="Z1965" s="20">
        <f>SUMIFS(T$3:T1965,L$3:L1965,"=Intermission")+SUMIFS(T$3:T1965,L$3:L1965,"=Timeout")+SUMIFS(T$3:T1965,L$3:L1965,"=Clockstop")</f>
        <v>138</v>
      </c>
      <c r="AA1965">
        <f t="shared" si="828"/>
        <v>2298</v>
      </c>
      <c r="AC1965">
        <f t="shared" si="829"/>
        <v>2436</v>
      </c>
    </row>
    <row r="1966" spans="1:29" x14ac:dyDescent="0.2">
      <c r="A1966">
        <v>1058</v>
      </c>
      <c r="D1966">
        <f t="shared" si="830"/>
        <v>3</v>
      </c>
      <c r="E1966">
        <v>11</v>
      </c>
      <c r="F1966" s="6" t="s">
        <v>483</v>
      </c>
      <c r="G1966">
        <v>11</v>
      </c>
      <c r="H1966" s="8" t="s">
        <v>441</v>
      </c>
      <c r="I1966" t="s">
        <v>178</v>
      </c>
      <c r="J1966">
        <v>13</v>
      </c>
      <c r="K1966" t="s">
        <v>489</v>
      </c>
      <c r="L1966" t="s">
        <v>15</v>
      </c>
      <c r="Q1966">
        <f t="shared" ref="Q1966:S1966" si="876">Q1965</f>
        <v>18977</v>
      </c>
      <c r="R1966" t="str">
        <f t="shared" si="876"/>
        <v>Velodrome</v>
      </c>
      <c r="S1966" t="str">
        <f t="shared" si="876"/>
        <v>HollowBrook</v>
      </c>
      <c r="T1966" s="20">
        <f t="shared" si="834"/>
        <v>2</v>
      </c>
      <c r="U1966">
        <f t="shared" si="835"/>
        <v>687</v>
      </c>
      <c r="V1966">
        <f t="shared" si="836"/>
        <v>685</v>
      </c>
      <c r="W1966" cm="1">
        <f t="array" ref="W1966">_xlfn._xlws.FILTER(shifts!A:A,(shifts!B:B=events!D1966)*(shifts!AH:AH&gt;=events!U1966)*(shifts!AI:AI&lt;=events!V1966))</f>
        <v>69</v>
      </c>
      <c r="X1966" t="str">
        <f t="shared" si="837"/>
        <v>opp_team_player_1</v>
      </c>
      <c r="Y1966">
        <f>COUNTIFS(A$3:A1966,"="&amp;A1966,K$3:K1966,"="&amp;K1966)</f>
        <v>1</v>
      </c>
      <c r="Z1966" s="20">
        <f>SUMIFS(T$3:T1966,L$3:L1966,"=Intermission")+SUMIFS(T$3:T1966,L$3:L1966,"=Timeout")+SUMIFS(T$3:T1966,L$3:L1966,"=Clockstop")</f>
        <v>138</v>
      </c>
      <c r="AA1966">
        <f t="shared" si="828"/>
        <v>2298</v>
      </c>
      <c r="AC1966">
        <f t="shared" si="829"/>
        <v>2436</v>
      </c>
    </row>
    <row r="1967" spans="1:29" x14ac:dyDescent="0.2">
      <c r="A1967">
        <v>1059</v>
      </c>
      <c r="D1967">
        <f t="shared" si="830"/>
        <v>3</v>
      </c>
      <c r="E1967">
        <v>11</v>
      </c>
      <c r="F1967" s="6" t="s">
        <v>441</v>
      </c>
      <c r="I1967" t="s">
        <v>178</v>
      </c>
      <c r="J1967">
        <v>70</v>
      </c>
      <c r="K1967" t="s">
        <v>488</v>
      </c>
      <c r="L1967" t="s">
        <v>7</v>
      </c>
      <c r="M1967" t="s">
        <v>222</v>
      </c>
      <c r="N1967" t="s">
        <v>53</v>
      </c>
      <c r="Q1967">
        <f t="shared" ref="Q1967:S1967" si="877">Q1966</f>
        <v>18977</v>
      </c>
      <c r="R1967" t="str">
        <f t="shared" si="877"/>
        <v>Velodrome</v>
      </c>
      <c r="S1967" t="str">
        <f t="shared" si="877"/>
        <v>HollowBrook</v>
      </c>
      <c r="T1967" s="20">
        <f t="shared" si="834"/>
        <v>0</v>
      </c>
      <c r="U1967">
        <f t="shared" si="835"/>
        <v>685</v>
      </c>
      <c r="V1967">
        <f t="shared" si="836"/>
        <v>685</v>
      </c>
      <c r="W1967">
        <v>70</v>
      </c>
      <c r="X1967" t="str">
        <f t="shared" si="837"/>
        <v>event_team_player_1</v>
      </c>
      <c r="Y1967">
        <f>COUNTIFS(A$3:A1967,"="&amp;A1967,K$3:K1967,"="&amp;K1967)</f>
        <v>1</v>
      </c>
      <c r="Z1967" s="20">
        <f>SUMIFS(T$3:T1967,L$3:L1967,"=Intermission")+SUMIFS(T$3:T1967,L$3:L1967,"=Timeout")+SUMIFS(T$3:T1967,L$3:L1967,"=Clockstop")</f>
        <v>138</v>
      </c>
      <c r="AA1967">
        <f t="shared" si="828"/>
        <v>2298</v>
      </c>
      <c r="AC1967">
        <f t="shared" si="829"/>
        <v>2436</v>
      </c>
    </row>
    <row r="1968" spans="1:29" x14ac:dyDescent="0.2">
      <c r="A1968">
        <v>1059</v>
      </c>
      <c r="D1968">
        <f t="shared" si="830"/>
        <v>3</v>
      </c>
      <c r="E1968">
        <v>11</v>
      </c>
      <c r="F1968" s="6" t="s">
        <v>441</v>
      </c>
      <c r="I1968" t="s">
        <v>178</v>
      </c>
      <c r="J1968">
        <v>99</v>
      </c>
      <c r="K1968" t="s">
        <v>489</v>
      </c>
      <c r="L1968" t="s">
        <v>7</v>
      </c>
      <c r="M1968" t="s">
        <v>222</v>
      </c>
      <c r="N1968" t="s">
        <v>53</v>
      </c>
      <c r="Q1968">
        <f t="shared" ref="Q1968:S1968" si="878">Q1967</f>
        <v>18977</v>
      </c>
      <c r="R1968" t="str">
        <f t="shared" si="878"/>
        <v>Velodrome</v>
      </c>
      <c r="S1968" t="str">
        <f t="shared" si="878"/>
        <v>HollowBrook</v>
      </c>
      <c r="T1968" s="20">
        <f t="shared" si="834"/>
        <v>0</v>
      </c>
      <c r="U1968">
        <f t="shared" si="835"/>
        <v>685</v>
      </c>
      <c r="V1968">
        <f t="shared" si="836"/>
        <v>685</v>
      </c>
      <c r="W1968">
        <v>70</v>
      </c>
      <c r="X1968" t="str">
        <f t="shared" si="837"/>
        <v>opp_team_player_1</v>
      </c>
      <c r="Y1968">
        <f>COUNTIFS(A$3:A1968,"="&amp;A1968,K$3:K1968,"="&amp;K1968)</f>
        <v>1</v>
      </c>
      <c r="Z1968" s="20">
        <f>SUMIFS(T$3:T1968,L$3:L1968,"=Intermission")+SUMIFS(T$3:T1968,L$3:L1968,"=Timeout")+SUMIFS(T$3:T1968,L$3:L1968,"=Clockstop")</f>
        <v>138</v>
      </c>
      <c r="AA1968">
        <f t="shared" si="828"/>
        <v>2298</v>
      </c>
      <c r="AC1968">
        <f t="shared" si="829"/>
        <v>2436</v>
      </c>
    </row>
    <row r="1969" spans="1:29" x14ac:dyDescent="0.2">
      <c r="A1969">
        <v>1060</v>
      </c>
      <c r="D1969">
        <f t="shared" si="830"/>
        <v>3</v>
      </c>
      <c r="E1969">
        <v>11</v>
      </c>
      <c r="F1969" s="6" t="s">
        <v>441</v>
      </c>
      <c r="I1969" t="s">
        <v>179</v>
      </c>
      <c r="J1969">
        <v>99</v>
      </c>
      <c r="K1969" t="s">
        <v>488</v>
      </c>
      <c r="L1969" t="s">
        <v>17</v>
      </c>
      <c r="M1969" t="s">
        <v>196</v>
      </c>
      <c r="N1969" t="s">
        <v>103</v>
      </c>
      <c r="Q1969">
        <f t="shared" ref="Q1969:S1969" si="879">Q1968</f>
        <v>18977</v>
      </c>
      <c r="R1969" t="str">
        <f t="shared" si="879"/>
        <v>Velodrome</v>
      </c>
      <c r="S1969" t="str">
        <f t="shared" si="879"/>
        <v>HollowBrook</v>
      </c>
      <c r="T1969" s="20">
        <f t="shared" si="834"/>
        <v>0</v>
      </c>
      <c r="U1969">
        <f t="shared" si="835"/>
        <v>685</v>
      </c>
      <c r="V1969">
        <f t="shared" si="836"/>
        <v>685</v>
      </c>
      <c r="W1969">
        <v>70</v>
      </c>
      <c r="X1969" t="str">
        <f t="shared" si="837"/>
        <v>event_team_player_1</v>
      </c>
      <c r="Y1969">
        <f>COUNTIFS(A$3:A1969,"="&amp;A1969,K$3:K1969,"="&amp;K1969)</f>
        <v>1</v>
      </c>
      <c r="Z1969" s="20">
        <f>SUMIFS(T$3:T1969,L$3:L1969,"=Intermission")+SUMIFS(T$3:T1969,L$3:L1969,"=Timeout")+SUMIFS(T$3:T1969,L$3:L1969,"=Clockstop")</f>
        <v>138</v>
      </c>
      <c r="AA1969">
        <f t="shared" si="828"/>
        <v>2298</v>
      </c>
      <c r="AC1969">
        <f t="shared" si="829"/>
        <v>2436</v>
      </c>
    </row>
    <row r="1970" spans="1:29" x14ac:dyDescent="0.2">
      <c r="A1970">
        <v>1060</v>
      </c>
      <c r="D1970">
        <f t="shared" si="830"/>
        <v>3</v>
      </c>
      <c r="E1970">
        <v>11</v>
      </c>
      <c r="F1970" s="6" t="s">
        <v>441</v>
      </c>
      <c r="I1970" t="s">
        <v>179</v>
      </c>
      <c r="J1970">
        <v>70</v>
      </c>
      <c r="K1970" t="s">
        <v>489</v>
      </c>
      <c r="L1970" t="s">
        <v>17</v>
      </c>
      <c r="M1970" t="s">
        <v>196</v>
      </c>
      <c r="N1970" t="s">
        <v>103</v>
      </c>
      <c r="Q1970">
        <f t="shared" ref="Q1970:S1970" si="880">Q1969</f>
        <v>18977</v>
      </c>
      <c r="R1970" t="str">
        <f t="shared" si="880"/>
        <v>Velodrome</v>
      </c>
      <c r="S1970" t="str">
        <f t="shared" si="880"/>
        <v>HollowBrook</v>
      </c>
      <c r="T1970" s="20">
        <f t="shared" si="834"/>
        <v>0</v>
      </c>
      <c r="U1970">
        <f t="shared" si="835"/>
        <v>685</v>
      </c>
      <c r="V1970">
        <f t="shared" si="836"/>
        <v>685</v>
      </c>
      <c r="W1970">
        <v>70</v>
      </c>
      <c r="X1970" t="str">
        <f t="shared" si="837"/>
        <v>opp_team_player_1</v>
      </c>
      <c r="Y1970">
        <f>COUNTIFS(A$3:A1970,"="&amp;A1970,K$3:K1970,"="&amp;K1970)</f>
        <v>1</v>
      </c>
      <c r="Z1970" s="20">
        <f>SUMIFS(T$3:T1970,L$3:L1970,"=Intermission")+SUMIFS(T$3:T1970,L$3:L1970,"=Timeout")+SUMIFS(T$3:T1970,L$3:L1970,"=Clockstop")</f>
        <v>138</v>
      </c>
      <c r="AA1970">
        <f t="shared" si="828"/>
        <v>2298</v>
      </c>
      <c r="AC1970">
        <f t="shared" si="829"/>
        <v>2436</v>
      </c>
    </row>
    <row r="1971" spans="1:29" x14ac:dyDescent="0.2">
      <c r="A1971">
        <v>1061</v>
      </c>
      <c r="D1971">
        <f t="shared" si="830"/>
        <v>3</v>
      </c>
      <c r="E1971">
        <v>11</v>
      </c>
      <c r="F1971" s="6" t="s">
        <v>441</v>
      </c>
      <c r="I1971" t="s">
        <v>179</v>
      </c>
      <c r="J1971">
        <v>99</v>
      </c>
      <c r="K1971" t="s">
        <v>488</v>
      </c>
      <c r="L1971" t="s">
        <v>270</v>
      </c>
      <c r="M1971" t="s">
        <v>272</v>
      </c>
      <c r="Q1971">
        <f t="shared" ref="Q1971:S1971" si="881">Q1970</f>
        <v>18977</v>
      </c>
      <c r="R1971" t="str">
        <f t="shared" si="881"/>
        <v>Velodrome</v>
      </c>
      <c r="S1971" t="str">
        <f t="shared" si="881"/>
        <v>HollowBrook</v>
      </c>
      <c r="T1971" s="20">
        <f t="shared" si="834"/>
        <v>0</v>
      </c>
      <c r="U1971">
        <f t="shared" si="835"/>
        <v>685</v>
      </c>
      <c r="V1971">
        <f t="shared" si="836"/>
        <v>685</v>
      </c>
      <c r="W1971">
        <v>70</v>
      </c>
      <c r="X1971" t="str">
        <f t="shared" si="837"/>
        <v>event_team_player_1</v>
      </c>
      <c r="Y1971">
        <f>COUNTIFS(A$3:A1971,"="&amp;A1971,K$3:K1971,"="&amp;K1971)</f>
        <v>1</v>
      </c>
      <c r="Z1971" s="20">
        <f>SUMIFS(T$3:T1971,L$3:L1971,"=Intermission")+SUMIFS(T$3:T1971,L$3:L1971,"=Timeout")+SUMIFS(T$3:T1971,L$3:L1971,"=Clockstop")</f>
        <v>138</v>
      </c>
      <c r="AA1971">
        <f t="shared" si="828"/>
        <v>2298</v>
      </c>
      <c r="AC1971">
        <f t="shared" si="829"/>
        <v>2436</v>
      </c>
    </row>
    <row r="1972" spans="1:29" x14ac:dyDescent="0.2">
      <c r="A1972">
        <v>1062</v>
      </c>
      <c r="D1972">
        <f t="shared" si="830"/>
        <v>3</v>
      </c>
      <c r="E1972">
        <v>11</v>
      </c>
      <c r="F1972" s="6" t="s">
        <v>456</v>
      </c>
      <c r="I1972" t="s">
        <v>178</v>
      </c>
      <c r="J1972">
        <v>14</v>
      </c>
      <c r="K1972" t="s">
        <v>488</v>
      </c>
      <c r="L1972" t="s">
        <v>8</v>
      </c>
      <c r="M1972" t="s">
        <v>189</v>
      </c>
      <c r="N1972" t="s">
        <v>70</v>
      </c>
      <c r="Q1972">
        <f t="shared" ref="Q1972:S1972" si="882">Q1971</f>
        <v>18977</v>
      </c>
      <c r="R1972" t="str">
        <f t="shared" si="882"/>
        <v>Velodrome</v>
      </c>
      <c r="S1972" t="str">
        <f t="shared" si="882"/>
        <v>HollowBrook</v>
      </c>
      <c r="T1972" s="20">
        <f t="shared" si="834"/>
        <v>0</v>
      </c>
      <c r="U1972">
        <f t="shared" si="835"/>
        <v>683</v>
      </c>
      <c r="V1972">
        <f t="shared" si="836"/>
        <v>683</v>
      </c>
      <c r="W1972" cm="1">
        <f t="array" ref="W1972">_xlfn._xlws.FILTER(shifts!A:A,(shifts!B:B=events!D1972)*(shifts!AH:AH&gt;=events!U1972)*(shifts!AI:AI&lt;=events!V1972))</f>
        <v>70</v>
      </c>
      <c r="X1972" t="str">
        <f t="shared" si="837"/>
        <v>event_team_player_1</v>
      </c>
      <c r="Y1972">
        <f>COUNTIFS(A$3:A1972,"="&amp;A1972,K$3:K1972,"="&amp;K1972)</f>
        <v>1</v>
      </c>
      <c r="Z1972" s="20">
        <f>SUMIFS(T$3:T1972,L$3:L1972,"=Intermission")+SUMIFS(T$3:T1972,L$3:L1972,"=Timeout")+SUMIFS(T$3:T1972,L$3:L1972,"=Clockstop")</f>
        <v>138</v>
      </c>
      <c r="AA1972">
        <f t="shared" si="828"/>
        <v>2298</v>
      </c>
      <c r="AC1972">
        <f t="shared" si="829"/>
        <v>2436</v>
      </c>
    </row>
    <row r="1973" spans="1:29" x14ac:dyDescent="0.2">
      <c r="A1973">
        <v>1062</v>
      </c>
      <c r="D1973">
        <f t="shared" si="830"/>
        <v>3</v>
      </c>
      <c r="E1973">
        <v>11</v>
      </c>
      <c r="F1973" s="6" t="s">
        <v>456</v>
      </c>
      <c r="I1973" t="s">
        <v>178</v>
      </c>
      <c r="J1973">
        <v>61</v>
      </c>
      <c r="K1973" t="s">
        <v>488</v>
      </c>
      <c r="L1973" t="s">
        <v>8</v>
      </c>
      <c r="M1973" t="s">
        <v>189</v>
      </c>
      <c r="N1973" t="s">
        <v>70</v>
      </c>
      <c r="Q1973">
        <f t="shared" ref="Q1973:S1973" si="883">Q1972</f>
        <v>18977</v>
      </c>
      <c r="R1973" t="str">
        <f t="shared" si="883"/>
        <v>Velodrome</v>
      </c>
      <c r="S1973" t="str">
        <f t="shared" si="883"/>
        <v>HollowBrook</v>
      </c>
      <c r="T1973" s="20">
        <f t="shared" si="834"/>
        <v>0</v>
      </c>
      <c r="U1973">
        <f t="shared" si="835"/>
        <v>683</v>
      </c>
      <c r="V1973">
        <f t="shared" si="836"/>
        <v>683</v>
      </c>
      <c r="W1973" cm="1">
        <f t="array" ref="W1973">_xlfn._xlws.FILTER(shifts!A:A,(shifts!B:B=events!D1973)*(shifts!AH:AH&gt;=events!U1973)*(shifts!AI:AI&lt;=events!V1973))</f>
        <v>70</v>
      </c>
      <c r="X1973" t="str">
        <f t="shared" si="837"/>
        <v>event_team_player_2</v>
      </c>
      <c r="Y1973">
        <f>COUNTIFS(A$3:A1973,"="&amp;A1973,K$3:K1973,"="&amp;K1973)</f>
        <v>2</v>
      </c>
      <c r="Z1973" s="20">
        <f>SUMIFS(T$3:T1973,L$3:L1973,"=Intermission")+SUMIFS(T$3:T1973,L$3:L1973,"=Timeout")+SUMIFS(T$3:T1973,L$3:L1973,"=Clockstop")</f>
        <v>138</v>
      </c>
      <c r="AA1973">
        <f t="shared" si="828"/>
        <v>2298</v>
      </c>
      <c r="AC1973">
        <f t="shared" si="829"/>
        <v>2436</v>
      </c>
    </row>
    <row r="1974" spans="1:29" x14ac:dyDescent="0.2">
      <c r="A1974">
        <v>1062</v>
      </c>
      <c r="D1974">
        <f t="shared" si="830"/>
        <v>3</v>
      </c>
      <c r="E1974">
        <v>11</v>
      </c>
      <c r="F1974" s="6" t="s">
        <v>456</v>
      </c>
      <c r="I1974" t="s">
        <v>178</v>
      </c>
      <c r="J1974">
        <v>2</v>
      </c>
      <c r="K1974" t="s">
        <v>489</v>
      </c>
      <c r="L1974" t="s">
        <v>8</v>
      </c>
      <c r="M1974" t="s">
        <v>189</v>
      </c>
      <c r="N1974" t="s">
        <v>70</v>
      </c>
      <c r="Q1974">
        <f t="shared" ref="Q1974:S1974" si="884">Q1973</f>
        <v>18977</v>
      </c>
      <c r="R1974" t="str">
        <f t="shared" si="884"/>
        <v>Velodrome</v>
      </c>
      <c r="S1974" t="str">
        <f t="shared" si="884"/>
        <v>HollowBrook</v>
      </c>
      <c r="T1974" s="20">
        <f t="shared" si="834"/>
        <v>0</v>
      </c>
      <c r="U1974">
        <f t="shared" si="835"/>
        <v>683</v>
      </c>
      <c r="V1974">
        <f t="shared" si="836"/>
        <v>683</v>
      </c>
      <c r="W1974" cm="1">
        <f t="array" ref="W1974">_xlfn._xlws.FILTER(shifts!A:A,(shifts!B:B=events!D1974)*(shifts!AH:AH&gt;=events!U1974)*(shifts!AI:AI&lt;=events!V1974))</f>
        <v>70</v>
      </c>
      <c r="X1974" t="str">
        <f t="shared" si="837"/>
        <v>opp_team_player_1</v>
      </c>
      <c r="Y1974">
        <f>COUNTIFS(A$3:A1974,"="&amp;A1974,K$3:K1974,"="&amp;K1974)</f>
        <v>1</v>
      </c>
      <c r="Z1974" s="20">
        <f>SUMIFS(T$3:T1974,L$3:L1974,"=Intermission")+SUMIFS(T$3:T1974,L$3:L1974,"=Timeout")+SUMIFS(T$3:T1974,L$3:L1974,"=Clockstop")</f>
        <v>138</v>
      </c>
      <c r="AA1974">
        <f t="shared" si="828"/>
        <v>2298</v>
      </c>
      <c r="AC1974">
        <f t="shared" si="829"/>
        <v>2436</v>
      </c>
    </row>
    <row r="1975" spans="1:29" x14ac:dyDescent="0.2">
      <c r="A1975">
        <v>1063</v>
      </c>
      <c r="D1975">
        <f t="shared" si="830"/>
        <v>3</v>
      </c>
      <c r="E1975">
        <v>11</v>
      </c>
      <c r="F1975" s="6" t="s">
        <v>456</v>
      </c>
      <c r="G1975">
        <v>11</v>
      </c>
      <c r="H1975" s="8" t="s">
        <v>473</v>
      </c>
      <c r="I1975" t="s">
        <v>178</v>
      </c>
      <c r="J1975">
        <v>61</v>
      </c>
      <c r="K1975" t="s">
        <v>488</v>
      </c>
      <c r="L1975" t="s">
        <v>15</v>
      </c>
      <c r="Q1975">
        <f t="shared" ref="Q1975:S1975" si="885">Q1974</f>
        <v>18977</v>
      </c>
      <c r="R1975" t="str">
        <f t="shared" si="885"/>
        <v>Velodrome</v>
      </c>
      <c r="S1975" t="str">
        <f t="shared" si="885"/>
        <v>HollowBrook</v>
      </c>
      <c r="T1975" s="20">
        <f t="shared" si="834"/>
        <v>2</v>
      </c>
      <c r="U1975">
        <f t="shared" si="835"/>
        <v>683</v>
      </c>
      <c r="V1975">
        <f t="shared" si="836"/>
        <v>681</v>
      </c>
      <c r="W1975" cm="1">
        <f t="array" ref="W1975">_xlfn._xlws.FILTER(shifts!A:A,(shifts!B:B=events!D1975)*(shifts!AH:AH&gt;=events!U1975)*(shifts!AI:AI&lt;=events!V1975))</f>
        <v>70</v>
      </c>
      <c r="X1975" t="str">
        <f t="shared" si="837"/>
        <v>event_team_player_1</v>
      </c>
      <c r="Y1975">
        <f>COUNTIFS(A$3:A1975,"="&amp;A1975,K$3:K1975,"="&amp;K1975)</f>
        <v>1</v>
      </c>
      <c r="Z1975" s="20">
        <f>SUMIFS(T$3:T1975,L$3:L1975,"=Intermission")+SUMIFS(T$3:T1975,L$3:L1975,"=Timeout")+SUMIFS(T$3:T1975,L$3:L1975,"=Clockstop")</f>
        <v>138</v>
      </c>
      <c r="AA1975">
        <f t="shared" si="828"/>
        <v>2298</v>
      </c>
      <c r="AC1975">
        <f t="shared" si="829"/>
        <v>2436</v>
      </c>
    </row>
    <row r="1976" spans="1:29" x14ac:dyDescent="0.2">
      <c r="A1976">
        <v>1064</v>
      </c>
      <c r="D1976">
        <f t="shared" si="830"/>
        <v>3</v>
      </c>
      <c r="E1976">
        <v>11</v>
      </c>
      <c r="F1976" s="6" t="s">
        <v>473</v>
      </c>
      <c r="I1976" t="s">
        <v>178</v>
      </c>
      <c r="J1976">
        <v>61</v>
      </c>
      <c r="K1976" t="s">
        <v>488</v>
      </c>
      <c r="L1976" t="s">
        <v>7</v>
      </c>
      <c r="M1976" t="s">
        <v>222</v>
      </c>
      <c r="N1976" t="s">
        <v>55</v>
      </c>
      <c r="Q1976">
        <f t="shared" ref="Q1976:S1976" si="886">Q1975</f>
        <v>18977</v>
      </c>
      <c r="R1976" t="str">
        <f t="shared" si="886"/>
        <v>Velodrome</v>
      </c>
      <c r="S1976" t="str">
        <f t="shared" si="886"/>
        <v>HollowBrook</v>
      </c>
      <c r="T1976" s="20">
        <f t="shared" si="834"/>
        <v>0</v>
      </c>
      <c r="U1976">
        <f t="shared" si="835"/>
        <v>681</v>
      </c>
      <c r="V1976">
        <f t="shared" si="836"/>
        <v>681</v>
      </c>
      <c r="W1976" cm="1">
        <f t="array" ref="W1976">_xlfn._xlws.FILTER(shifts!A:A,(shifts!B:B=events!D1976)*(shifts!AH:AH&gt;=events!U1976)*(shifts!AI:AI&lt;=events!V1976))</f>
        <v>70</v>
      </c>
      <c r="X1976" t="str">
        <f t="shared" si="837"/>
        <v>event_team_player_1</v>
      </c>
      <c r="Y1976">
        <f>COUNTIFS(A$3:A1976,"="&amp;A1976,K$3:K1976,"="&amp;K1976)</f>
        <v>1</v>
      </c>
      <c r="Z1976" s="20">
        <f>SUMIFS(T$3:T1976,L$3:L1976,"=Intermission")+SUMIFS(T$3:T1976,L$3:L1976,"=Timeout")+SUMIFS(T$3:T1976,L$3:L1976,"=Clockstop")</f>
        <v>138</v>
      </c>
      <c r="AA1976">
        <f t="shared" si="828"/>
        <v>2298</v>
      </c>
      <c r="AC1976">
        <f t="shared" si="829"/>
        <v>2436</v>
      </c>
    </row>
    <row r="1977" spans="1:29" x14ac:dyDescent="0.2">
      <c r="A1977">
        <v>1064</v>
      </c>
      <c r="D1977">
        <f t="shared" si="830"/>
        <v>3</v>
      </c>
      <c r="E1977">
        <v>11</v>
      </c>
      <c r="F1977" s="6" t="s">
        <v>473</v>
      </c>
      <c r="I1977" t="s">
        <v>178</v>
      </c>
      <c r="J1977">
        <v>99</v>
      </c>
      <c r="K1977" t="s">
        <v>489</v>
      </c>
      <c r="L1977" t="s">
        <v>7</v>
      </c>
      <c r="M1977" t="s">
        <v>222</v>
      </c>
      <c r="N1977" t="s">
        <v>55</v>
      </c>
      <c r="Q1977">
        <f t="shared" ref="Q1977:S1977" si="887">Q1976</f>
        <v>18977</v>
      </c>
      <c r="R1977" t="str">
        <f t="shared" si="887"/>
        <v>Velodrome</v>
      </c>
      <c r="S1977" t="str">
        <f t="shared" si="887"/>
        <v>HollowBrook</v>
      </c>
      <c r="T1977" s="20">
        <f t="shared" si="834"/>
        <v>0</v>
      </c>
      <c r="U1977">
        <f t="shared" si="835"/>
        <v>681</v>
      </c>
      <c r="V1977">
        <f t="shared" si="836"/>
        <v>681</v>
      </c>
      <c r="W1977" cm="1">
        <f t="array" ref="W1977">_xlfn._xlws.FILTER(shifts!A:A,(shifts!B:B=events!D1977)*(shifts!AH:AH&gt;=events!U1977)*(shifts!AI:AI&lt;=events!V1977))</f>
        <v>70</v>
      </c>
      <c r="X1977" t="str">
        <f t="shared" si="837"/>
        <v>opp_team_player_1</v>
      </c>
      <c r="Y1977">
        <f>COUNTIFS(A$3:A1977,"="&amp;A1977,K$3:K1977,"="&amp;K1977)</f>
        <v>1</v>
      </c>
      <c r="Z1977" s="20">
        <f>SUMIFS(T$3:T1977,L$3:L1977,"=Intermission")+SUMIFS(T$3:T1977,L$3:L1977,"=Timeout")+SUMIFS(T$3:T1977,L$3:L1977,"=Clockstop")</f>
        <v>138</v>
      </c>
      <c r="AA1977">
        <f t="shared" si="828"/>
        <v>2298</v>
      </c>
      <c r="AC1977">
        <f t="shared" si="829"/>
        <v>2436</v>
      </c>
    </row>
    <row r="1978" spans="1:29" x14ac:dyDescent="0.2">
      <c r="A1978">
        <v>1064</v>
      </c>
      <c r="D1978">
        <f t="shared" si="830"/>
        <v>3</v>
      </c>
      <c r="E1978">
        <v>11</v>
      </c>
      <c r="F1978" s="6" t="s">
        <v>473</v>
      </c>
      <c r="I1978" t="s">
        <v>178</v>
      </c>
      <c r="J1978">
        <v>19</v>
      </c>
      <c r="K1978" t="s">
        <v>489</v>
      </c>
      <c r="L1978" t="s">
        <v>7</v>
      </c>
      <c r="M1978" t="s">
        <v>222</v>
      </c>
      <c r="N1978" t="s">
        <v>55</v>
      </c>
      <c r="Q1978">
        <f t="shared" ref="Q1978:S1978" si="888">Q1977</f>
        <v>18977</v>
      </c>
      <c r="R1978" t="str">
        <f t="shared" si="888"/>
        <v>Velodrome</v>
      </c>
      <c r="S1978" t="str">
        <f t="shared" si="888"/>
        <v>HollowBrook</v>
      </c>
      <c r="T1978" s="20">
        <f t="shared" si="834"/>
        <v>0</v>
      </c>
      <c r="U1978">
        <f t="shared" si="835"/>
        <v>681</v>
      </c>
      <c r="V1978">
        <f t="shared" si="836"/>
        <v>681</v>
      </c>
      <c r="W1978" cm="1">
        <f t="array" ref="W1978">_xlfn._xlws.FILTER(shifts!A:A,(shifts!B:B=events!D1978)*(shifts!AH:AH&gt;=events!U1978)*(shifts!AI:AI&lt;=events!V1978))</f>
        <v>70</v>
      </c>
      <c r="X1978" t="str">
        <f t="shared" si="837"/>
        <v>opp_team_player_2</v>
      </c>
      <c r="Y1978">
        <f>COUNTIFS(A$3:A1978,"="&amp;A1978,K$3:K1978,"="&amp;K1978)</f>
        <v>2</v>
      </c>
      <c r="Z1978" s="20">
        <f>SUMIFS(T$3:T1978,L$3:L1978,"=Intermission")+SUMIFS(T$3:T1978,L$3:L1978,"=Timeout")+SUMIFS(T$3:T1978,L$3:L1978,"=Clockstop")</f>
        <v>138</v>
      </c>
      <c r="AA1978">
        <f t="shared" si="828"/>
        <v>2298</v>
      </c>
      <c r="AC1978">
        <f t="shared" si="829"/>
        <v>2436</v>
      </c>
    </row>
    <row r="1979" spans="1:29" x14ac:dyDescent="0.2">
      <c r="A1979">
        <v>1065</v>
      </c>
      <c r="D1979">
        <f t="shared" si="830"/>
        <v>3</v>
      </c>
      <c r="E1979">
        <v>11</v>
      </c>
      <c r="F1979" s="6" t="s">
        <v>473</v>
      </c>
      <c r="I1979" t="s">
        <v>179</v>
      </c>
      <c r="J1979">
        <v>99</v>
      </c>
      <c r="K1979" t="s">
        <v>488</v>
      </c>
      <c r="L1979" t="s">
        <v>17</v>
      </c>
      <c r="M1979" t="s">
        <v>196</v>
      </c>
      <c r="N1979" t="s">
        <v>102</v>
      </c>
      <c r="Q1979">
        <f t="shared" ref="Q1979:S1979" si="889">Q1978</f>
        <v>18977</v>
      </c>
      <c r="R1979" t="str">
        <f t="shared" si="889"/>
        <v>Velodrome</v>
      </c>
      <c r="S1979" t="str">
        <f t="shared" si="889"/>
        <v>HollowBrook</v>
      </c>
      <c r="T1979" s="20">
        <f t="shared" si="834"/>
        <v>0</v>
      </c>
      <c r="U1979">
        <f t="shared" si="835"/>
        <v>681</v>
      </c>
      <c r="V1979">
        <f t="shared" si="836"/>
        <v>681</v>
      </c>
      <c r="W1979" cm="1">
        <f t="array" ref="W1979">_xlfn._xlws.FILTER(shifts!A:A,(shifts!B:B=events!D1979)*(shifts!AH:AH&gt;=events!U1979)*(shifts!AI:AI&lt;=events!V1979))</f>
        <v>70</v>
      </c>
      <c r="X1979" t="str">
        <f t="shared" si="837"/>
        <v>event_team_player_1</v>
      </c>
      <c r="Y1979">
        <f>COUNTIFS(A$3:A1979,"="&amp;A1979,K$3:K1979,"="&amp;K1979)</f>
        <v>1</v>
      </c>
      <c r="Z1979" s="20">
        <f>SUMIFS(T$3:T1979,L$3:L1979,"=Intermission")+SUMIFS(T$3:T1979,L$3:L1979,"=Timeout")+SUMIFS(T$3:T1979,L$3:L1979,"=Clockstop")</f>
        <v>138</v>
      </c>
      <c r="AA1979">
        <f t="shared" si="828"/>
        <v>2298</v>
      </c>
      <c r="AC1979">
        <f t="shared" si="829"/>
        <v>2436</v>
      </c>
    </row>
    <row r="1980" spans="1:29" x14ac:dyDescent="0.2">
      <c r="A1980">
        <v>1065</v>
      </c>
      <c r="D1980">
        <f t="shared" si="830"/>
        <v>3</v>
      </c>
      <c r="E1980">
        <v>11</v>
      </c>
      <c r="F1980" s="6" t="s">
        <v>473</v>
      </c>
      <c r="I1980" t="s">
        <v>179</v>
      </c>
      <c r="J1980">
        <v>19</v>
      </c>
      <c r="K1980" t="s">
        <v>488</v>
      </c>
      <c r="L1980" t="s">
        <v>17</v>
      </c>
      <c r="M1980" t="s">
        <v>196</v>
      </c>
      <c r="N1980" t="s">
        <v>102</v>
      </c>
      <c r="Q1980">
        <f t="shared" ref="Q1980:S1980" si="890">Q1979</f>
        <v>18977</v>
      </c>
      <c r="R1980" t="str">
        <f t="shared" si="890"/>
        <v>Velodrome</v>
      </c>
      <c r="S1980" t="str">
        <f t="shared" si="890"/>
        <v>HollowBrook</v>
      </c>
      <c r="T1980" s="20">
        <f t="shared" si="834"/>
        <v>0</v>
      </c>
      <c r="U1980">
        <f t="shared" si="835"/>
        <v>681</v>
      </c>
      <c r="V1980">
        <f t="shared" si="836"/>
        <v>681</v>
      </c>
      <c r="W1980" cm="1">
        <f t="array" ref="W1980">_xlfn._xlws.FILTER(shifts!A:A,(shifts!B:B=events!D1980)*(shifts!AH:AH&gt;=events!U1980)*(shifts!AI:AI&lt;=events!V1980))</f>
        <v>70</v>
      </c>
      <c r="X1980" t="str">
        <f t="shared" si="837"/>
        <v>event_team_player_2</v>
      </c>
      <c r="Y1980">
        <f>COUNTIFS(A$3:A1980,"="&amp;A1980,K$3:K1980,"="&amp;K1980)</f>
        <v>2</v>
      </c>
      <c r="Z1980" s="20">
        <f>SUMIFS(T$3:T1980,L$3:L1980,"=Intermission")+SUMIFS(T$3:T1980,L$3:L1980,"=Timeout")+SUMIFS(T$3:T1980,L$3:L1980,"=Clockstop")</f>
        <v>138</v>
      </c>
      <c r="AA1980">
        <f t="shared" si="828"/>
        <v>2298</v>
      </c>
      <c r="AC1980">
        <f t="shared" si="829"/>
        <v>2436</v>
      </c>
    </row>
    <row r="1981" spans="1:29" x14ac:dyDescent="0.2">
      <c r="A1981">
        <v>1065</v>
      </c>
      <c r="D1981">
        <f t="shared" si="830"/>
        <v>3</v>
      </c>
      <c r="E1981">
        <v>11</v>
      </c>
      <c r="F1981" s="6" t="s">
        <v>473</v>
      </c>
      <c r="I1981" t="s">
        <v>179</v>
      </c>
      <c r="J1981">
        <v>61</v>
      </c>
      <c r="K1981" t="s">
        <v>489</v>
      </c>
      <c r="L1981" t="s">
        <v>17</v>
      </c>
      <c r="M1981" t="s">
        <v>196</v>
      </c>
      <c r="N1981" t="s">
        <v>102</v>
      </c>
      <c r="Q1981">
        <f t="shared" ref="Q1981:S1981" si="891">Q1980</f>
        <v>18977</v>
      </c>
      <c r="R1981" t="str">
        <f t="shared" si="891"/>
        <v>Velodrome</v>
      </c>
      <c r="S1981" t="str">
        <f t="shared" si="891"/>
        <v>HollowBrook</v>
      </c>
      <c r="T1981" s="20">
        <f t="shared" si="834"/>
        <v>0</v>
      </c>
      <c r="U1981">
        <f t="shared" si="835"/>
        <v>681</v>
      </c>
      <c r="V1981">
        <f t="shared" si="836"/>
        <v>681</v>
      </c>
      <c r="W1981" cm="1">
        <f t="array" ref="W1981">_xlfn._xlws.FILTER(shifts!A:A,(shifts!B:B=events!D1981)*(shifts!AH:AH&gt;=events!U1981)*(shifts!AI:AI&lt;=events!V1981))</f>
        <v>70</v>
      </c>
      <c r="X1981" t="str">
        <f t="shared" si="837"/>
        <v>opp_team_player_1</v>
      </c>
      <c r="Y1981">
        <f>COUNTIFS(A$3:A1981,"="&amp;A1981,K$3:K1981,"="&amp;K1981)</f>
        <v>1</v>
      </c>
      <c r="Z1981" s="20">
        <f>SUMIFS(T$3:T1981,L$3:L1981,"=Intermission")+SUMIFS(T$3:T1981,L$3:L1981,"=Timeout")+SUMIFS(T$3:T1981,L$3:L1981,"=Clockstop")</f>
        <v>138</v>
      </c>
      <c r="AA1981">
        <f t="shared" si="828"/>
        <v>2298</v>
      </c>
      <c r="AC1981">
        <f t="shared" si="829"/>
        <v>2436</v>
      </c>
    </row>
    <row r="1982" spans="1:29" x14ac:dyDescent="0.2">
      <c r="A1982">
        <v>1066</v>
      </c>
      <c r="D1982">
        <f t="shared" si="830"/>
        <v>3</v>
      </c>
      <c r="E1982">
        <v>11</v>
      </c>
      <c r="F1982" s="6" t="s">
        <v>473</v>
      </c>
      <c r="I1982" t="s">
        <v>179</v>
      </c>
      <c r="J1982">
        <v>99</v>
      </c>
      <c r="K1982" t="s">
        <v>488</v>
      </c>
      <c r="L1982" t="s">
        <v>270</v>
      </c>
      <c r="M1982" t="s">
        <v>271</v>
      </c>
      <c r="Q1982">
        <f t="shared" ref="Q1982:S1982" si="892">Q1981</f>
        <v>18977</v>
      </c>
      <c r="R1982" t="str">
        <f t="shared" si="892"/>
        <v>Velodrome</v>
      </c>
      <c r="S1982" t="str">
        <f t="shared" si="892"/>
        <v>HollowBrook</v>
      </c>
      <c r="T1982" s="20">
        <f t="shared" si="834"/>
        <v>0</v>
      </c>
      <c r="U1982">
        <f t="shared" si="835"/>
        <v>681</v>
      </c>
      <c r="V1982">
        <f t="shared" si="836"/>
        <v>681</v>
      </c>
      <c r="W1982" cm="1">
        <f t="array" ref="W1982">_xlfn._xlws.FILTER(shifts!A:A,(shifts!B:B=events!D1982)*(shifts!AH:AH&gt;=events!U1982)*(shifts!AI:AI&lt;=events!V1982))</f>
        <v>70</v>
      </c>
      <c r="X1982" t="str">
        <f t="shared" si="837"/>
        <v>event_team_player_1</v>
      </c>
      <c r="Y1982">
        <f>COUNTIFS(A$3:A1982,"="&amp;A1982,K$3:K1982,"="&amp;K1982)</f>
        <v>1</v>
      </c>
      <c r="Z1982" s="20">
        <f>SUMIFS(T$3:T1982,L$3:L1982,"=Intermission")+SUMIFS(T$3:T1982,L$3:L1982,"=Timeout")+SUMIFS(T$3:T1982,L$3:L1982,"=Clockstop")</f>
        <v>138</v>
      </c>
      <c r="AA1982">
        <f t="shared" si="828"/>
        <v>2298</v>
      </c>
      <c r="AC1982">
        <f t="shared" si="829"/>
        <v>2436</v>
      </c>
    </row>
    <row r="1983" spans="1:29" x14ac:dyDescent="0.2">
      <c r="A1983">
        <v>1067</v>
      </c>
      <c r="D1983">
        <f t="shared" si="830"/>
        <v>3</v>
      </c>
      <c r="E1983">
        <v>11</v>
      </c>
      <c r="F1983" s="6" t="s">
        <v>485</v>
      </c>
      <c r="G1983">
        <v>11</v>
      </c>
      <c r="H1983" s="8" t="s">
        <v>447</v>
      </c>
      <c r="I1983" t="s">
        <v>179</v>
      </c>
      <c r="J1983">
        <v>11</v>
      </c>
      <c r="K1983" t="s">
        <v>488</v>
      </c>
      <c r="L1983" t="s">
        <v>277</v>
      </c>
      <c r="M1983" t="s">
        <v>201</v>
      </c>
      <c r="N1983" t="s">
        <v>90</v>
      </c>
      <c r="Q1983">
        <f t="shared" ref="Q1983:S1983" si="893">Q1982</f>
        <v>18977</v>
      </c>
      <c r="R1983" t="str">
        <f t="shared" si="893"/>
        <v>Velodrome</v>
      </c>
      <c r="S1983" t="str">
        <f t="shared" si="893"/>
        <v>HollowBrook</v>
      </c>
      <c r="T1983" s="20">
        <f t="shared" si="834"/>
        <v>3</v>
      </c>
      <c r="U1983">
        <f t="shared" si="835"/>
        <v>678</v>
      </c>
      <c r="V1983">
        <f t="shared" si="836"/>
        <v>675</v>
      </c>
      <c r="W1983" cm="1">
        <f t="array" ref="W1983">_xlfn._xlws.FILTER(shifts!A:A,(shifts!B:B=events!D1983)*(shifts!AH:AH&gt;=events!U1983)*(shifts!AI:AI&lt;=events!V1983))</f>
        <v>70</v>
      </c>
      <c r="X1983" t="str">
        <f t="shared" si="837"/>
        <v>event_team_player_1</v>
      </c>
      <c r="Y1983">
        <f>COUNTIFS(A$3:A1983,"="&amp;A1983,K$3:K1983,"="&amp;K1983)</f>
        <v>1</v>
      </c>
      <c r="Z1983" s="20">
        <f>SUMIFS(T$3:T1983,L$3:L1983,"=Intermission")+SUMIFS(T$3:T1983,L$3:L1983,"=Timeout")+SUMIFS(T$3:T1983,L$3:L1983,"=Clockstop")</f>
        <v>138</v>
      </c>
      <c r="AA1983">
        <f t="shared" si="828"/>
        <v>2298</v>
      </c>
      <c r="AC1983">
        <f t="shared" si="829"/>
        <v>2436</v>
      </c>
    </row>
    <row r="1984" spans="1:29" x14ac:dyDescent="0.2">
      <c r="A1984">
        <v>1067</v>
      </c>
      <c r="D1984">
        <f t="shared" si="830"/>
        <v>3</v>
      </c>
      <c r="E1984">
        <v>11</v>
      </c>
      <c r="F1984" s="6" t="s">
        <v>485</v>
      </c>
      <c r="G1984">
        <v>11</v>
      </c>
      <c r="H1984" s="8" t="s">
        <v>447</v>
      </c>
      <c r="I1984" t="s">
        <v>179</v>
      </c>
      <c r="J1984">
        <v>14</v>
      </c>
      <c r="K1984" t="s">
        <v>488</v>
      </c>
      <c r="L1984" t="s">
        <v>277</v>
      </c>
      <c r="M1984" t="s">
        <v>201</v>
      </c>
      <c r="N1984" t="s">
        <v>90</v>
      </c>
      <c r="Q1984">
        <f t="shared" ref="Q1984:S1984" si="894">Q1983</f>
        <v>18977</v>
      </c>
      <c r="R1984" t="str">
        <f t="shared" si="894"/>
        <v>Velodrome</v>
      </c>
      <c r="S1984" t="str">
        <f t="shared" si="894"/>
        <v>HollowBrook</v>
      </c>
      <c r="T1984" s="20">
        <f t="shared" si="834"/>
        <v>3</v>
      </c>
      <c r="U1984">
        <f t="shared" si="835"/>
        <v>678</v>
      </c>
      <c r="V1984">
        <f t="shared" si="836"/>
        <v>675</v>
      </c>
      <c r="W1984" cm="1">
        <f t="array" ref="W1984">_xlfn._xlws.FILTER(shifts!A:A,(shifts!B:B=events!D1984)*(shifts!AH:AH&gt;=events!U1984)*(shifts!AI:AI&lt;=events!V1984))</f>
        <v>70</v>
      </c>
      <c r="X1984" t="str">
        <f t="shared" si="837"/>
        <v>event_team_player_2</v>
      </c>
      <c r="Y1984">
        <f>COUNTIFS(A$3:A1984,"="&amp;A1984,K$3:K1984,"="&amp;K1984)</f>
        <v>2</v>
      </c>
      <c r="Z1984" s="20">
        <f>SUMIFS(T$3:T1984,L$3:L1984,"=Intermission")+SUMIFS(T$3:T1984,L$3:L1984,"=Timeout")+SUMIFS(T$3:T1984,L$3:L1984,"=Clockstop")</f>
        <v>138</v>
      </c>
      <c r="AA1984">
        <f t="shared" si="828"/>
        <v>2298</v>
      </c>
      <c r="AC1984">
        <f t="shared" si="829"/>
        <v>2436</v>
      </c>
    </row>
    <row r="1985" spans="1:29" x14ac:dyDescent="0.2">
      <c r="A1985">
        <v>1068</v>
      </c>
      <c r="D1985">
        <f t="shared" si="830"/>
        <v>3</v>
      </c>
      <c r="E1985">
        <v>11</v>
      </c>
      <c r="F1985" s="6" t="s">
        <v>447</v>
      </c>
      <c r="G1985">
        <v>11</v>
      </c>
      <c r="H1985" s="8" t="s">
        <v>423</v>
      </c>
      <c r="I1985" t="s">
        <v>179</v>
      </c>
      <c r="J1985">
        <v>11</v>
      </c>
      <c r="K1985" t="s">
        <v>488</v>
      </c>
      <c r="L1985" t="s">
        <v>15</v>
      </c>
      <c r="Q1985">
        <f t="shared" ref="Q1985:S1985" si="895">Q1984</f>
        <v>18977</v>
      </c>
      <c r="R1985" t="str">
        <f t="shared" si="895"/>
        <v>Velodrome</v>
      </c>
      <c r="S1985" t="str">
        <f t="shared" si="895"/>
        <v>HollowBrook</v>
      </c>
      <c r="T1985" s="20">
        <f t="shared" si="834"/>
        <v>1</v>
      </c>
      <c r="U1985">
        <f t="shared" si="835"/>
        <v>675</v>
      </c>
      <c r="V1985">
        <f t="shared" si="836"/>
        <v>674</v>
      </c>
      <c r="W1985" cm="1">
        <f t="array" ref="W1985">_xlfn._xlws.FILTER(shifts!A:A,(shifts!B:B=events!D1985)*(shifts!AH:AH&gt;=events!U1985)*(shifts!AI:AI&lt;=events!V1985))</f>
        <v>70</v>
      </c>
      <c r="X1985" t="str">
        <f t="shared" si="837"/>
        <v>event_team_player_1</v>
      </c>
      <c r="Y1985">
        <f>COUNTIFS(A$3:A1985,"="&amp;A1985,K$3:K1985,"="&amp;K1985)</f>
        <v>1</v>
      </c>
      <c r="Z1985" s="20">
        <f>SUMIFS(T$3:T1985,L$3:L1985,"=Intermission")+SUMIFS(T$3:T1985,L$3:L1985,"=Timeout")+SUMIFS(T$3:T1985,L$3:L1985,"=Clockstop")</f>
        <v>138</v>
      </c>
      <c r="AA1985">
        <f t="shared" si="828"/>
        <v>2298</v>
      </c>
      <c r="AC1985">
        <f t="shared" si="829"/>
        <v>2436</v>
      </c>
    </row>
    <row r="1986" spans="1:29" x14ac:dyDescent="0.2">
      <c r="A1986">
        <v>1068</v>
      </c>
      <c r="D1986">
        <f t="shared" si="830"/>
        <v>3</v>
      </c>
      <c r="E1986">
        <v>11</v>
      </c>
      <c r="F1986" s="6" t="s">
        <v>447</v>
      </c>
      <c r="G1986">
        <v>11</v>
      </c>
      <c r="H1986" s="8" t="s">
        <v>423</v>
      </c>
      <c r="I1986" t="s">
        <v>179</v>
      </c>
      <c r="J1986">
        <v>14</v>
      </c>
      <c r="K1986" t="s">
        <v>489</v>
      </c>
      <c r="L1986" t="s">
        <v>15</v>
      </c>
      <c r="Q1986">
        <f t="shared" ref="Q1986:S1986" si="896">Q1985</f>
        <v>18977</v>
      </c>
      <c r="R1986" t="str">
        <f t="shared" si="896"/>
        <v>Velodrome</v>
      </c>
      <c r="S1986" t="str">
        <f t="shared" si="896"/>
        <v>HollowBrook</v>
      </c>
      <c r="T1986" s="20">
        <f t="shared" si="834"/>
        <v>1</v>
      </c>
      <c r="U1986">
        <f t="shared" si="835"/>
        <v>675</v>
      </c>
      <c r="V1986">
        <f t="shared" si="836"/>
        <v>674</v>
      </c>
      <c r="W1986" cm="1">
        <f t="array" ref="W1986">_xlfn._xlws.FILTER(shifts!A:A,(shifts!B:B=events!D1986)*(shifts!AH:AH&gt;=events!U1986)*(shifts!AI:AI&lt;=events!V1986))</f>
        <v>70</v>
      </c>
      <c r="X1986" t="str">
        <f t="shared" si="837"/>
        <v>opp_team_player_1</v>
      </c>
      <c r="Y1986">
        <f>COUNTIFS(A$3:A1986,"="&amp;A1986,K$3:K1986,"="&amp;K1986)</f>
        <v>1</v>
      </c>
      <c r="Z1986" s="20">
        <f>SUMIFS(T$3:T1986,L$3:L1986,"=Intermission")+SUMIFS(T$3:T1986,L$3:L1986,"=Timeout")+SUMIFS(T$3:T1986,L$3:L1986,"=Clockstop")</f>
        <v>138</v>
      </c>
      <c r="AA1986">
        <f t="shared" si="828"/>
        <v>2298</v>
      </c>
      <c r="AC1986">
        <f t="shared" si="829"/>
        <v>2436</v>
      </c>
    </row>
    <row r="1987" spans="1:29" x14ac:dyDescent="0.2">
      <c r="A1987">
        <v>1068</v>
      </c>
      <c r="D1987">
        <f t="shared" si="830"/>
        <v>3</v>
      </c>
      <c r="E1987">
        <v>11</v>
      </c>
      <c r="F1987" s="6" t="s">
        <v>447</v>
      </c>
      <c r="G1987">
        <v>11</v>
      </c>
      <c r="H1987" s="8" t="s">
        <v>423</v>
      </c>
      <c r="I1987" t="s">
        <v>179</v>
      </c>
      <c r="J1987">
        <v>87</v>
      </c>
      <c r="K1987" t="s">
        <v>489</v>
      </c>
      <c r="L1987" t="s">
        <v>15</v>
      </c>
      <c r="Q1987">
        <f t="shared" ref="Q1987:S1987" si="897">Q1986</f>
        <v>18977</v>
      </c>
      <c r="R1987" t="str">
        <f t="shared" si="897"/>
        <v>Velodrome</v>
      </c>
      <c r="S1987" t="str">
        <f t="shared" si="897"/>
        <v>HollowBrook</v>
      </c>
      <c r="T1987" s="20">
        <f t="shared" si="834"/>
        <v>1</v>
      </c>
      <c r="U1987">
        <f t="shared" si="835"/>
        <v>675</v>
      </c>
      <c r="V1987">
        <f t="shared" si="836"/>
        <v>674</v>
      </c>
      <c r="W1987" cm="1">
        <f t="array" ref="W1987">_xlfn._xlws.FILTER(shifts!A:A,(shifts!B:B=events!D1987)*(shifts!AH:AH&gt;=events!U1987)*(shifts!AI:AI&lt;=events!V1987))</f>
        <v>70</v>
      </c>
      <c r="X1987" t="str">
        <f t="shared" si="837"/>
        <v>opp_team_player_2</v>
      </c>
      <c r="Y1987">
        <f>COUNTIFS(A$3:A1987,"="&amp;A1987,K$3:K1987,"="&amp;K1987)</f>
        <v>2</v>
      </c>
      <c r="Z1987" s="20">
        <f>SUMIFS(T$3:T1987,L$3:L1987,"=Intermission")+SUMIFS(T$3:T1987,L$3:L1987,"=Timeout")+SUMIFS(T$3:T1987,L$3:L1987,"=Clockstop")</f>
        <v>138</v>
      </c>
      <c r="AA1987">
        <f t="shared" si="828"/>
        <v>2298</v>
      </c>
      <c r="AC1987">
        <f t="shared" si="829"/>
        <v>2436</v>
      </c>
    </row>
    <row r="1988" spans="1:29" x14ac:dyDescent="0.2">
      <c r="A1988">
        <v>1069</v>
      </c>
      <c r="D1988">
        <f t="shared" si="830"/>
        <v>3</v>
      </c>
      <c r="E1988">
        <v>11</v>
      </c>
      <c r="F1988" s="6" t="s">
        <v>423</v>
      </c>
      <c r="I1988" t="s">
        <v>179</v>
      </c>
      <c r="J1988">
        <v>11</v>
      </c>
      <c r="K1988" t="s">
        <v>488</v>
      </c>
      <c r="L1988" t="s">
        <v>8</v>
      </c>
      <c r="M1988" t="s">
        <v>189</v>
      </c>
      <c r="N1988" t="s">
        <v>68</v>
      </c>
      <c r="Q1988">
        <f t="shared" ref="Q1988:S1988" si="898">Q1987</f>
        <v>18977</v>
      </c>
      <c r="R1988" t="str">
        <f t="shared" si="898"/>
        <v>Velodrome</v>
      </c>
      <c r="S1988" t="str">
        <f t="shared" si="898"/>
        <v>HollowBrook</v>
      </c>
      <c r="T1988" s="20">
        <f t="shared" si="834"/>
        <v>0</v>
      </c>
      <c r="U1988">
        <f t="shared" si="835"/>
        <v>674</v>
      </c>
      <c r="V1988">
        <f t="shared" si="836"/>
        <v>674</v>
      </c>
      <c r="W1988" cm="1">
        <f t="array" ref="W1988">_xlfn._xlws.FILTER(shifts!A:A,(shifts!B:B=events!D1988)*(shifts!AH:AH&gt;=events!U1988)*(shifts!AI:AI&lt;=events!V1988))</f>
        <v>70</v>
      </c>
      <c r="X1988" t="str">
        <f t="shared" si="837"/>
        <v>event_team_player_1</v>
      </c>
      <c r="Y1988">
        <f>COUNTIFS(A$3:A1988,"="&amp;A1988,K$3:K1988,"="&amp;K1988)</f>
        <v>1</v>
      </c>
      <c r="Z1988" s="20">
        <f>SUMIFS(T$3:T1988,L$3:L1988,"=Intermission")+SUMIFS(T$3:T1988,L$3:L1988,"=Timeout")+SUMIFS(T$3:T1988,L$3:L1988,"=Clockstop")</f>
        <v>138</v>
      </c>
      <c r="AA1988">
        <f t="shared" ref="AA1988:AA2051" si="899">IF(D1988=1,0,IF(D1988=2,1080+Z1988,IF(D1988=3,(1080*2)+Z1988,0)))</f>
        <v>2298</v>
      </c>
      <c r="AC1988">
        <f t="shared" ref="AC1988:AC2051" si="900">IF(L1987="GameStart",0,AA1988+Z1988)</f>
        <v>2436</v>
      </c>
    </row>
    <row r="1989" spans="1:29" x14ac:dyDescent="0.2">
      <c r="A1989">
        <v>1069</v>
      </c>
      <c r="D1989">
        <f t="shared" ref="D1989:D2052" si="901">IF(L1989="Intermission",D1988+1,D1988)</f>
        <v>3</v>
      </c>
      <c r="E1989">
        <v>11</v>
      </c>
      <c r="F1989" s="6" t="s">
        <v>423</v>
      </c>
      <c r="I1989" t="s">
        <v>179</v>
      </c>
      <c r="J1989">
        <v>13</v>
      </c>
      <c r="K1989" t="s">
        <v>488</v>
      </c>
      <c r="L1989" t="s">
        <v>8</v>
      </c>
      <c r="M1989" t="s">
        <v>189</v>
      </c>
      <c r="N1989" t="s">
        <v>68</v>
      </c>
      <c r="Q1989">
        <f t="shared" ref="Q1989:S1989" si="902">Q1988</f>
        <v>18977</v>
      </c>
      <c r="R1989" t="str">
        <f t="shared" si="902"/>
        <v>Velodrome</v>
      </c>
      <c r="S1989" t="str">
        <f t="shared" si="902"/>
        <v>HollowBrook</v>
      </c>
      <c r="T1989" s="20">
        <f t="shared" si="834"/>
        <v>0</v>
      </c>
      <c r="U1989">
        <f t="shared" si="835"/>
        <v>674</v>
      </c>
      <c r="V1989">
        <f t="shared" si="836"/>
        <v>674</v>
      </c>
      <c r="W1989" cm="1">
        <f t="array" ref="W1989">_xlfn._xlws.FILTER(shifts!A:A,(shifts!B:B=events!D1989)*(shifts!AH:AH&gt;=events!U1989)*(shifts!AI:AI&lt;=events!V1989))</f>
        <v>70</v>
      </c>
      <c r="X1989" t="str">
        <f t="shared" si="837"/>
        <v>event_team_player_2</v>
      </c>
      <c r="Y1989">
        <f>COUNTIFS(A$3:A1989,"="&amp;A1989,K$3:K1989,"="&amp;K1989)</f>
        <v>2</v>
      </c>
      <c r="Z1989" s="20">
        <f>SUMIFS(T$3:T1989,L$3:L1989,"=Intermission")+SUMIFS(T$3:T1989,L$3:L1989,"=Timeout")+SUMIFS(T$3:T1989,L$3:L1989,"=Clockstop")</f>
        <v>138</v>
      </c>
      <c r="AA1989">
        <f t="shared" si="899"/>
        <v>2298</v>
      </c>
      <c r="AC1989">
        <f t="shared" si="900"/>
        <v>2436</v>
      </c>
    </row>
    <row r="1990" spans="1:29" x14ac:dyDescent="0.2">
      <c r="A1990">
        <v>1069</v>
      </c>
      <c r="D1990">
        <f t="shared" si="901"/>
        <v>3</v>
      </c>
      <c r="E1990">
        <v>11</v>
      </c>
      <c r="F1990" s="6" t="s">
        <v>423</v>
      </c>
      <c r="I1990" t="s">
        <v>179</v>
      </c>
      <c r="J1990">
        <v>87</v>
      </c>
      <c r="K1990" t="s">
        <v>489</v>
      </c>
      <c r="L1990" t="s">
        <v>8</v>
      </c>
      <c r="M1990" t="s">
        <v>189</v>
      </c>
      <c r="N1990" t="s">
        <v>68</v>
      </c>
      <c r="Q1990">
        <f t="shared" ref="Q1990:S1990" si="903">Q1989</f>
        <v>18977</v>
      </c>
      <c r="R1990" t="str">
        <f t="shared" si="903"/>
        <v>Velodrome</v>
      </c>
      <c r="S1990" t="str">
        <f t="shared" si="903"/>
        <v>HollowBrook</v>
      </c>
      <c r="T1990" s="20">
        <f t="shared" si="834"/>
        <v>0</v>
      </c>
      <c r="U1990">
        <f t="shared" si="835"/>
        <v>674</v>
      </c>
      <c r="V1990">
        <f t="shared" si="836"/>
        <v>674</v>
      </c>
      <c r="W1990" cm="1">
        <f t="array" ref="W1990">_xlfn._xlws.FILTER(shifts!A:A,(shifts!B:B=events!D1990)*(shifts!AH:AH&gt;=events!U1990)*(shifts!AI:AI&lt;=events!V1990))</f>
        <v>70</v>
      </c>
      <c r="X1990" t="str">
        <f t="shared" si="837"/>
        <v>opp_team_player_1</v>
      </c>
      <c r="Y1990">
        <f>COUNTIFS(A$3:A1990,"="&amp;A1990,K$3:K1990,"="&amp;K1990)</f>
        <v>1</v>
      </c>
      <c r="Z1990" s="20">
        <f>SUMIFS(T$3:T1990,L$3:L1990,"=Intermission")+SUMIFS(T$3:T1990,L$3:L1990,"=Timeout")+SUMIFS(T$3:T1990,L$3:L1990,"=Clockstop")</f>
        <v>138</v>
      </c>
      <c r="AA1990">
        <f t="shared" si="899"/>
        <v>2298</v>
      </c>
      <c r="AC1990">
        <f t="shared" si="900"/>
        <v>2436</v>
      </c>
    </row>
    <row r="1991" spans="1:29" x14ac:dyDescent="0.2">
      <c r="A1991">
        <v>1070</v>
      </c>
      <c r="D1991">
        <f t="shared" si="901"/>
        <v>3</v>
      </c>
      <c r="E1991">
        <v>11</v>
      </c>
      <c r="F1991" s="6" t="s">
        <v>423</v>
      </c>
      <c r="I1991" t="s">
        <v>179</v>
      </c>
      <c r="J1991">
        <v>11</v>
      </c>
      <c r="K1991" t="s">
        <v>488</v>
      </c>
      <c r="L1991" t="s">
        <v>277</v>
      </c>
      <c r="M1991" t="s">
        <v>191</v>
      </c>
      <c r="N1991" t="s">
        <v>88</v>
      </c>
      <c r="Q1991">
        <f t="shared" ref="Q1991:S1991" si="904">Q1990</f>
        <v>18977</v>
      </c>
      <c r="R1991" t="str">
        <f t="shared" si="904"/>
        <v>Velodrome</v>
      </c>
      <c r="S1991" t="str">
        <f t="shared" si="904"/>
        <v>HollowBrook</v>
      </c>
      <c r="T1991" s="20">
        <f t="shared" ref="T1991:T2054" si="905">IF(AND(G1991="",H1991=""),0,((E1991*60)+F1991)-((G1991*60)+H1991))</f>
        <v>0</v>
      </c>
      <c r="U1991">
        <f t="shared" ref="U1991:U2054" si="906">(E1991*60)+F1991</f>
        <v>674</v>
      </c>
      <c r="V1991">
        <f t="shared" ref="V1991:V2054" si="907">IF(AND(G1991="",H1991=""),U1991,((G1991*60)+H1991))</f>
        <v>674</v>
      </c>
      <c r="W1991" cm="1">
        <f t="array" ref="W1991">_xlfn._xlws.FILTER(shifts!A:A,(shifts!B:B=events!D1991)*(shifts!AH:AH&gt;=events!U1991)*(shifts!AI:AI&lt;=events!V1991))</f>
        <v>70</v>
      </c>
      <c r="X1991" t="str">
        <f t="shared" ref="X1991:X2054" si="908">IF(K1991="e","event_team_player_"&amp;Y1991,IF(K1991="o","opp_team_player_"&amp;Y1991,""))</f>
        <v>event_team_player_1</v>
      </c>
      <c r="Y1991">
        <f>COUNTIFS(A$3:A1991,"="&amp;A1991,K$3:K1991,"="&amp;K1991)</f>
        <v>1</v>
      </c>
      <c r="Z1991" s="20">
        <f>SUMIFS(T$3:T1991,L$3:L1991,"=Intermission")+SUMIFS(T$3:T1991,L$3:L1991,"=Timeout")+SUMIFS(T$3:T1991,L$3:L1991,"=Clockstop")</f>
        <v>138</v>
      </c>
      <c r="AA1991">
        <f t="shared" si="899"/>
        <v>2298</v>
      </c>
      <c r="AC1991">
        <f t="shared" si="900"/>
        <v>2436</v>
      </c>
    </row>
    <row r="1992" spans="1:29" x14ac:dyDescent="0.2">
      <c r="A1992">
        <v>1070</v>
      </c>
      <c r="D1992">
        <f t="shared" si="901"/>
        <v>3</v>
      </c>
      <c r="E1992">
        <v>11</v>
      </c>
      <c r="F1992" s="6" t="s">
        <v>423</v>
      </c>
      <c r="I1992" t="s">
        <v>179</v>
      </c>
      <c r="J1992">
        <v>13</v>
      </c>
      <c r="K1992" t="s">
        <v>488</v>
      </c>
      <c r="L1992" t="s">
        <v>277</v>
      </c>
      <c r="M1992" t="s">
        <v>191</v>
      </c>
      <c r="N1992" t="s">
        <v>88</v>
      </c>
      <c r="Q1992">
        <f t="shared" ref="Q1992:S1992" si="909">Q1991</f>
        <v>18977</v>
      </c>
      <c r="R1992" t="str">
        <f t="shared" si="909"/>
        <v>Velodrome</v>
      </c>
      <c r="S1992" t="str">
        <f t="shared" si="909"/>
        <v>HollowBrook</v>
      </c>
      <c r="T1992" s="20">
        <f t="shared" si="905"/>
        <v>0</v>
      </c>
      <c r="U1992">
        <f t="shared" si="906"/>
        <v>674</v>
      </c>
      <c r="V1992">
        <f t="shared" si="907"/>
        <v>674</v>
      </c>
      <c r="W1992" cm="1">
        <f t="array" ref="W1992">_xlfn._xlws.FILTER(shifts!A:A,(shifts!B:B=events!D1992)*(shifts!AH:AH&gt;=events!U1992)*(shifts!AI:AI&lt;=events!V1992))</f>
        <v>70</v>
      </c>
      <c r="X1992" t="str">
        <f t="shared" si="908"/>
        <v>event_team_player_2</v>
      </c>
      <c r="Y1992">
        <f>COUNTIFS(A$3:A1992,"="&amp;A1992,K$3:K1992,"="&amp;K1992)</f>
        <v>2</v>
      </c>
      <c r="Z1992" s="20">
        <f>SUMIFS(T$3:T1992,L$3:L1992,"=Intermission")+SUMIFS(T$3:T1992,L$3:L1992,"=Timeout")+SUMIFS(T$3:T1992,L$3:L1992,"=Clockstop")</f>
        <v>138</v>
      </c>
      <c r="AA1992">
        <f t="shared" si="899"/>
        <v>2298</v>
      </c>
      <c r="AC1992">
        <f t="shared" si="900"/>
        <v>2436</v>
      </c>
    </row>
    <row r="1993" spans="1:29" x14ac:dyDescent="0.2">
      <c r="A1993">
        <v>1070</v>
      </c>
      <c r="D1993">
        <f t="shared" si="901"/>
        <v>3</v>
      </c>
      <c r="E1993">
        <v>11</v>
      </c>
      <c r="F1993" s="6" t="s">
        <v>423</v>
      </c>
      <c r="I1993" t="s">
        <v>179</v>
      </c>
      <c r="J1993">
        <v>52</v>
      </c>
      <c r="K1993" t="s">
        <v>489</v>
      </c>
      <c r="L1993" t="s">
        <v>277</v>
      </c>
      <c r="M1993" t="s">
        <v>191</v>
      </c>
      <c r="N1993" t="s">
        <v>88</v>
      </c>
      <c r="Q1993">
        <f t="shared" ref="Q1993:S1993" si="910">Q1992</f>
        <v>18977</v>
      </c>
      <c r="R1993" t="str">
        <f t="shared" si="910"/>
        <v>Velodrome</v>
      </c>
      <c r="S1993" t="str">
        <f t="shared" si="910"/>
        <v>HollowBrook</v>
      </c>
      <c r="T1993" s="20">
        <f t="shared" si="905"/>
        <v>0</v>
      </c>
      <c r="U1993">
        <f t="shared" si="906"/>
        <v>674</v>
      </c>
      <c r="V1993">
        <f t="shared" si="907"/>
        <v>674</v>
      </c>
      <c r="W1993" cm="1">
        <f t="array" ref="W1993">_xlfn._xlws.FILTER(shifts!A:A,(shifts!B:B=events!D1993)*(shifts!AH:AH&gt;=events!U1993)*(shifts!AI:AI&lt;=events!V1993))</f>
        <v>70</v>
      </c>
      <c r="X1993" t="str">
        <f t="shared" si="908"/>
        <v>opp_team_player_1</v>
      </c>
      <c r="Y1993">
        <f>COUNTIFS(A$3:A1993,"="&amp;A1993,K$3:K1993,"="&amp;K1993)</f>
        <v>1</v>
      </c>
      <c r="Z1993" s="20">
        <f>SUMIFS(T$3:T1993,L$3:L1993,"=Intermission")+SUMIFS(T$3:T1993,L$3:L1993,"=Timeout")+SUMIFS(T$3:T1993,L$3:L1993,"=Clockstop")</f>
        <v>138</v>
      </c>
      <c r="AA1993">
        <f t="shared" si="899"/>
        <v>2298</v>
      </c>
      <c r="AC1993">
        <f t="shared" si="900"/>
        <v>2436</v>
      </c>
    </row>
    <row r="1994" spans="1:29" x14ac:dyDescent="0.2">
      <c r="A1994">
        <v>1071</v>
      </c>
      <c r="D1994">
        <f t="shared" si="901"/>
        <v>3</v>
      </c>
      <c r="E1994">
        <v>11</v>
      </c>
      <c r="F1994" s="6" t="s">
        <v>423</v>
      </c>
      <c r="G1994">
        <v>11</v>
      </c>
      <c r="H1994" s="8" t="s">
        <v>486</v>
      </c>
      <c r="I1994" t="s">
        <v>179</v>
      </c>
      <c r="J1994">
        <v>13</v>
      </c>
      <c r="K1994" t="s">
        <v>488</v>
      </c>
      <c r="L1994" t="s">
        <v>15</v>
      </c>
      <c r="Q1994">
        <f t="shared" ref="Q1994:S1994" si="911">Q1993</f>
        <v>18977</v>
      </c>
      <c r="R1994" t="str">
        <f t="shared" si="911"/>
        <v>Velodrome</v>
      </c>
      <c r="S1994" t="str">
        <f t="shared" si="911"/>
        <v>HollowBrook</v>
      </c>
      <c r="T1994" s="20">
        <f t="shared" si="905"/>
        <v>3</v>
      </c>
      <c r="U1994">
        <f t="shared" si="906"/>
        <v>674</v>
      </c>
      <c r="V1994">
        <f t="shared" si="907"/>
        <v>671</v>
      </c>
      <c r="W1994">
        <v>71</v>
      </c>
      <c r="X1994" t="str">
        <f t="shared" si="908"/>
        <v>event_team_player_1</v>
      </c>
      <c r="Y1994">
        <f>COUNTIFS(A$3:A1994,"="&amp;A1994,K$3:K1994,"="&amp;K1994)</f>
        <v>1</v>
      </c>
      <c r="Z1994" s="20">
        <f>SUMIFS(T$3:T1994,L$3:L1994,"=Intermission")+SUMIFS(T$3:T1994,L$3:L1994,"=Timeout")+SUMIFS(T$3:T1994,L$3:L1994,"=Clockstop")</f>
        <v>138</v>
      </c>
      <c r="AA1994">
        <f t="shared" si="899"/>
        <v>2298</v>
      </c>
      <c r="AC1994">
        <f t="shared" si="900"/>
        <v>2436</v>
      </c>
    </row>
    <row r="1995" spans="1:29" x14ac:dyDescent="0.2">
      <c r="A1995">
        <v>1072</v>
      </c>
      <c r="D1995">
        <f t="shared" si="901"/>
        <v>3</v>
      </c>
      <c r="E1995">
        <v>11</v>
      </c>
      <c r="F1995" s="6" t="s">
        <v>425</v>
      </c>
      <c r="I1995" t="s">
        <v>179</v>
      </c>
      <c r="J1995">
        <v>13</v>
      </c>
      <c r="K1995" t="s">
        <v>488</v>
      </c>
      <c r="L1995" t="s">
        <v>8</v>
      </c>
      <c r="M1995" t="s">
        <v>189</v>
      </c>
      <c r="N1995" t="s">
        <v>70</v>
      </c>
      <c r="Q1995">
        <f t="shared" ref="Q1995:S1995" si="912">Q1994</f>
        <v>18977</v>
      </c>
      <c r="R1995" t="str">
        <f t="shared" si="912"/>
        <v>Velodrome</v>
      </c>
      <c r="S1995" t="str">
        <f t="shared" si="912"/>
        <v>HollowBrook</v>
      </c>
      <c r="T1995" s="20">
        <f t="shared" si="905"/>
        <v>0</v>
      </c>
      <c r="U1995">
        <f t="shared" si="906"/>
        <v>670</v>
      </c>
      <c r="V1995">
        <f t="shared" si="907"/>
        <v>670</v>
      </c>
      <c r="W1995" cm="1">
        <f t="array" ref="W1995">_xlfn._xlws.FILTER(shifts!A:A,(shifts!B:B=events!D1995)*(shifts!AH:AH&gt;=events!U1995)*(shifts!AI:AI&lt;=events!V1995))</f>
        <v>71</v>
      </c>
      <c r="X1995" t="str">
        <f t="shared" si="908"/>
        <v>event_team_player_1</v>
      </c>
      <c r="Y1995">
        <f>COUNTIFS(A$3:A1995,"="&amp;A1995,K$3:K1995,"="&amp;K1995)</f>
        <v>1</v>
      </c>
      <c r="Z1995" s="20">
        <f>SUMIFS(T$3:T1995,L$3:L1995,"=Intermission")+SUMIFS(T$3:T1995,L$3:L1995,"=Timeout")+SUMIFS(T$3:T1995,L$3:L1995,"=Clockstop")</f>
        <v>138</v>
      </c>
      <c r="AA1995">
        <f t="shared" si="899"/>
        <v>2298</v>
      </c>
      <c r="AC1995">
        <f t="shared" si="900"/>
        <v>2436</v>
      </c>
    </row>
    <row r="1996" spans="1:29" x14ac:dyDescent="0.2">
      <c r="A1996">
        <v>1072</v>
      </c>
      <c r="D1996">
        <f t="shared" si="901"/>
        <v>3</v>
      </c>
      <c r="E1996">
        <v>11</v>
      </c>
      <c r="F1996" s="6" t="s">
        <v>425</v>
      </c>
      <c r="I1996" t="s">
        <v>179</v>
      </c>
      <c r="J1996">
        <v>19</v>
      </c>
      <c r="K1996" t="s">
        <v>488</v>
      </c>
      <c r="L1996" t="s">
        <v>8</v>
      </c>
      <c r="M1996" t="s">
        <v>189</v>
      </c>
      <c r="N1996" t="s">
        <v>70</v>
      </c>
      <c r="Q1996">
        <f t="shared" ref="Q1996:S1996" si="913">Q1995</f>
        <v>18977</v>
      </c>
      <c r="R1996" t="str">
        <f t="shared" si="913"/>
        <v>Velodrome</v>
      </c>
      <c r="S1996" t="str">
        <f t="shared" si="913"/>
        <v>HollowBrook</v>
      </c>
      <c r="T1996" s="20">
        <f t="shared" si="905"/>
        <v>0</v>
      </c>
      <c r="U1996">
        <f t="shared" si="906"/>
        <v>670</v>
      </c>
      <c r="V1996">
        <f t="shared" si="907"/>
        <v>670</v>
      </c>
      <c r="W1996" cm="1">
        <f t="array" ref="W1996">_xlfn._xlws.FILTER(shifts!A:A,(shifts!B:B=events!D1996)*(shifts!AH:AH&gt;=events!U1996)*(shifts!AI:AI&lt;=events!V1996))</f>
        <v>71</v>
      </c>
      <c r="X1996" t="str">
        <f t="shared" si="908"/>
        <v>event_team_player_2</v>
      </c>
      <c r="Y1996">
        <f>COUNTIFS(A$3:A1996,"="&amp;A1996,K$3:K1996,"="&amp;K1996)</f>
        <v>2</v>
      </c>
      <c r="Z1996" s="20">
        <f>SUMIFS(T$3:T1996,L$3:L1996,"=Intermission")+SUMIFS(T$3:T1996,L$3:L1996,"=Timeout")+SUMIFS(T$3:T1996,L$3:L1996,"=Clockstop")</f>
        <v>138</v>
      </c>
      <c r="AA1996">
        <f t="shared" si="899"/>
        <v>2298</v>
      </c>
      <c r="AC1996">
        <f t="shared" si="900"/>
        <v>2436</v>
      </c>
    </row>
    <row r="1997" spans="1:29" x14ac:dyDescent="0.2">
      <c r="A1997">
        <v>1072</v>
      </c>
      <c r="D1997">
        <f t="shared" si="901"/>
        <v>3</v>
      </c>
      <c r="E1997">
        <v>11</v>
      </c>
      <c r="F1997" s="6" t="s">
        <v>425</v>
      </c>
      <c r="I1997" t="s">
        <v>179</v>
      </c>
      <c r="J1997">
        <v>14</v>
      </c>
      <c r="K1997" t="s">
        <v>489</v>
      </c>
      <c r="L1997" t="s">
        <v>8</v>
      </c>
      <c r="M1997" t="s">
        <v>189</v>
      </c>
      <c r="N1997" t="s">
        <v>70</v>
      </c>
      <c r="Q1997">
        <f t="shared" ref="Q1997:S1997" si="914">Q1996</f>
        <v>18977</v>
      </c>
      <c r="R1997" t="str">
        <f t="shared" si="914"/>
        <v>Velodrome</v>
      </c>
      <c r="S1997" t="str">
        <f t="shared" si="914"/>
        <v>HollowBrook</v>
      </c>
      <c r="T1997" s="20">
        <f t="shared" si="905"/>
        <v>0</v>
      </c>
      <c r="U1997">
        <f t="shared" si="906"/>
        <v>670</v>
      </c>
      <c r="V1997">
        <f t="shared" si="907"/>
        <v>670</v>
      </c>
      <c r="W1997" cm="1">
        <f t="array" ref="W1997">_xlfn._xlws.FILTER(shifts!A:A,(shifts!B:B=events!D1997)*(shifts!AH:AH&gt;=events!U1997)*(shifts!AI:AI&lt;=events!V1997))</f>
        <v>71</v>
      </c>
      <c r="X1997" t="str">
        <f t="shared" si="908"/>
        <v>opp_team_player_1</v>
      </c>
      <c r="Y1997">
        <f>COUNTIFS(A$3:A1997,"="&amp;A1997,K$3:K1997,"="&amp;K1997)</f>
        <v>1</v>
      </c>
      <c r="Z1997" s="20">
        <f>SUMIFS(T$3:T1997,L$3:L1997,"=Intermission")+SUMIFS(T$3:T1997,L$3:L1997,"=Timeout")+SUMIFS(T$3:T1997,L$3:L1997,"=Clockstop")</f>
        <v>138</v>
      </c>
      <c r="AA1997">
        <f t="shared" si="899"/>
        <v>2298</v>
      </c>
      <c r="AC1997">
        <f t="shared" si="900"/>
        <v>2436</v>
      </c>
    </row>
    <row r="1998" spans="1:29" x14ac:dyDescent="0.2">
      <c r="A1998">
        <v>1073</v>
      </c>
      <c r="D1998">
        <f t="shared" si="901"/>
        <v>3</v>
      </c>
      <c r="E1998">
        <v>11</v>
      </c>
      <c r="F1998" s="6" t="s">
        <v>424</v>
      </c>
      <c r="I1998" t="s">
        <v>179</v>
      </c>
      <c r="J1998">
        <v>19</v>
      </c>
      <c r="K1998" t="s">
        <v>488</v>
      </c>
      <c r="L1998" t="s">
        <v>7</v>
      </c>
      <c r="M1998" t="s">
        <v>222</v>
      </c>
      <c r="N1998" t="s">
        <v>53</v>
      </c>
      <c r="Q1998">
        <f t="shared" ref="Q1998:S1998" si="915">Q1997</f>
        <v>18977</v>
      </c>
      <c r="R1998" t="str">
        <f t="shared" si="915"/>
        <v>Velodrome</v>
      </c>
      <c r="S1998" t="str">
        <f t="shared" si="915"/>
        <v>HollowBrook</v>
      </c>
      <c r="T1998" s="20">
        <f t="shared" si="905"/>
        <v>0</v>
      </c>
      <c r="U1998">
        <f t="shared" si="906"/>
        <v>669</v>
      </c>
      <c r="V1998">
        <f t="shared" si="907"/>
        <v>669</v>
      </c>
      <c r="W1998" cm="1">
        <f t="array" ref="W1998">_xlfn._xlws.FILTER(shifts!A:A,(shifts!B:B=events!D1998)*(shifts!AH:AH&gt;=events!U1998)*(shifts!AI:AI&lt;=events!V1998))</f>
        <v>71</v>
      </c>
      <c r="X1998" t="str">
        <f t="shared" si="908"/>
        <v>event_team_player_1</v>
      </c>
      <c r="Y1998">
        <f>COUNTIFS(A$3:A1998,"="&amp;A1998,K$3:K1998,"="&amp;K1998)</f>
        <v>1</v>
      </c>
      <c r="Z1998" s="20">
        <f>SUMIFS(T$3:T1998,L$3:L1998,"=Intermission")+SUMIFS(T$3:T1998,L$3:L1998,"=Timeout")+SUMIFS(T$3:T1998,L$3:L1998,"=Clockstop")</f>
        <v>138</v>
      </c>
      <c r="AA1998">
        <f t="shared" si="899"/>
        <v>2298</v>
      </c>
      <c r="AC1998">
        <f t="shared" si="900"/>
        <v>2436</v>
      </c>
    </row>
    <row r="1999" spans="1:29" x14ac:dyDescent="0.2">
      <c r="A1999">
        <v>1073</v>
      </c>
      <c r="D1999">
        <f t="shared" si="901"/>
        <v>3</v>
      </c>
      <c r="E1999">
        <v>11</v>
      </c>
      <c r="F1999" s="6" t="s">
        <v>424</v>
      </c>
      <c r="I1999" t="s">
        <v>179</v>
      </c>
      <c r="J1999">
        <v>39</v>
      </c>
      <c r="K1999" t="s">
        <v>489</v>
      </c>
      <c r="L1999" t="s">
        <v>7</v>
      </c>
      <c r="M1999" t="s">
        <v>222</v>
      </c>
      <c r="N1999" t="s">
        <v>53</v>
      </c>
      <c r="Q1999">
        <f t="shared" ref="Q1999:S1999" si="916">Q1998</f>
        <v>18977</v>
      </c>
      <c r="R1999" t="str">
        <f t="shared" si="916"/>
        <v>Velodrome</v>
      </c>
      <c r="S1999" t="str">
        <f t="shared" si="916"/>
        <v>HollowBrook</v>
      </c>
      <c r="T1999" s="20">
        <f t="shared" si="905"/>
        <v>0</v>
      </c>
      <c r="U1999">
        <f t="shared" si="906"/>
        <v>669</v>
      </c>
      <c r="V1999">
        <f t="shared" si="907"/>
        <v>669</v>
      </c>
      <c r="W1999" cm="1">
        <f t="array" ref="W1999">_xlfn._xlws.FILTER(shifts!A:A,(shifts!B:B=events!D1999)*(shifts!AH:AH&gt;=events!U1999)*(shifts!AI:AI&lt;=events!V1999))</f>
        <v>71</v>
      </c>
      <c r="X1999" t="str">
        <f t="shared" si="908"/>
        <v>opp_team_player_1</v>
      </c>
      <c r="Y1999">
        <f>COUNTIFS(A$3:A1999,"="&amp;A1999,K$3:K1999,"="&amp;K1999)</f>
        <v>1</v>
      </c>
      <c r="Z1999" s="20">
        <f>SUMIFS(T$3:T1999,L$3:L1999,"=Intermission")+SUMIFS(T$3:T1999,L$3:L1999,"=Timeout")+SUMIFS(T$3:T1999,L$3:L1999,"=Clockstop")</f>
        <v>138</v>
      </c>
      <c r="AA1999">
        <f t="shared" si="899"/>
        <v>2298</v>
      </c>
      <c r="AC1999">
        <f t="shared" si="900"/>
        <v>2436</v>
      </c>
    </row>
    <row r="2000" spans="1:29" x14ac:dyDescent="0.2">
      <c r="A2000">
        <v>1074</v>
      </c>
      <c r="D2000">
        <f t="shared" si="901"/>
        <v>3</v>
      </c>
      <c r="E2000">
        <v>11</v>
      </c>
      <c r="F2000" s="6" t="s">
        <v>424</v>
      </c>
      <c r="I2000" t="s">
        <v>178</v>
      </c>
      <c r="J2000">
        <v>39</v>
      </c>
      <c r="K2000" t="s">
        <v>488</v>
      </c>
      <c r="L2000" t="s">
        <v>17</v>
      </c>
      <c r="M2000" t="s">
        <v>196</v>
      </c>
      <c r="N2000" t="s">
        <v>98</v>
      </c>
      <c r="Q2000">
        <f t="shared" ref="Q2000:S2000" si="917">Q1999</f>
        <v>18977</v>
      </c>
      <c r="R2000" t="str">
        <f t="shared" si="917"/>
        <v>Velodrome</v>
      </c>
      <c r="S2000" t="str">
        <f t="shared" si="917"/>
        <v>HollowBrook</v>
      </c>
      <c r="T2000" s="20">
        <f t="shared" si="905"/>
        <v>0</v>
      </c>
      <c r="U2000">
        <f t="shared" si="906"/>
        <v>669</v>
      </c>
      <c r="V2000">
        <f t="shared" si="907"/>
        <v>669</v>
      </c>
      <c r="W2000" cm="1">
        <f t="array" ref="W2000">_xlfn._xlws.FILTER(shifts!A:A,(shifts!B:B=events!D2000)*(shifts!AH:AH&gt;=events!U2000)*(shifts!AI:AI&lt;=events!V2000))</f>
        <v>71</v>
      </c>
      <c r="X2000" t="str">
        <f t="shared" si="908"/>
        <v>event_team_player_1</v>
      </c>
      <c r="Y2000">
        <f>COUNTIFS(A$3:A2000,"="&amp;A2000,K$3:K2000,"="&amp;K2000)</f>
        <v>1</v>
      </c>
      <c r="Z2000" s="20">
        <f>SUMIFS(T$3:T2000,L$3:L2000,"=Intermission")+SUMIFS(T$3:T2000,L$3:L2000,"=Timeout")+SUMIFS(T$3:T2000,L$3:L2000,"=Clockstop")</f>
        <v>138</v>
      </c>
      <c r="AA2000">
        <f t="shared" si="899"/>
        <v>2298</v>
      </c>
      <c r="AC2000">
        <f t="shared" si="900"/>
        <v>2436</v>
      </c>
    </row>
    <row r="2001" spans="1:29" x14ac:dyDescent="0.2">
      <c r="A2001">
        <v>1074</v>
      </c>
      <c r="D2001">
        <f t="shared" si="901"/>
        <v>3</v>
      </c>
      <c r="E2001">
        <v>11</v>
      </c>
      <c r="F2001" s="6" t="s">
        <v>424</v>
      </c>
      <c r="I2001" t="s">
        <v>178</v>
      </c>
      <c r="J2001">
        <v>19</v>
      </c>
      <c r="K2001" t="s">
        <v>489</v>
      </c>
      <c r="L2001" t="s">
        <v>17</v>
      </c>
      <c r="M2001" t="s">
        <v>196</v>
      </c>
      <c r="N2001" t="s">
        <v>98</v>
      </c>
      <c r="Q2001">
        <f t="shared" ref="Q2001:S2001" si="918">Q2000</f>
        <v>18977</v>
      </c>
      <c r="R2001" t="str">
        <f t="shared" si="918"/>
        <v>Velodrome</v>
      </c>
      <c r="S2001" t="str">
        <f t="shared" si="918"/>
        <v>HollowBrook</v>
      </c>
      <c r="T2001" s="20">
        <f t="shared" si="905"/>
        <v>0</v>
      </c>
      <c r="U2001">
        <f t="shared" si="906"/>
        <v>669</v>
      </c>
      <c r="V2001">
        <f t="shared" si="907"/>
        <v>669</v>
      </c>
      <c r="W2001" cm="1">
        <f t="array" ref="W2001">_xlfn._xlws.FILTER(shifts!A:A,(shifts!B:B=events!D2001)*(shifts!AH:AH&gt;=events!U2001)*(shifts!AI:AI&lt;=events!V2001))</f>
        <v>71</v>
      </c>
      <c r="X2001" t="str">
        <f t="shared" si="908"/>
        <v>opp_team_player_1</v>
      </c>
      <c r="Y2001">
        <f>COUNTIFS(A$3:A2001,"="&amp;A2001,K$3:K2001,"="&amp;K2001)</f>
        <v>1</v>
      </c>
      <c r="Z2001" s="20">
        <f>SUMIFS(T$3:T2001,L$3:L2001,"=Intermission")+SUMIFS(T$3:T2001,L$3:L2001,"=Timeout")+SUMIFS(T$3:T2001,L$3:L2001,"=Clockstop")</f>
        <v>138</v>
      </c>
      <c r="AA2001">
        <f t="shared" si="899"/>
        <v>2298</v>
      </c>
      <c r="AC2001">
        <f t="shared" si="900"/>
        <v>2436</v>
      </c>
    </row>
    <row r="2002" spans="1:29" x14ac:dyDescent="0.2">
      <c r="A2002">
        <v>1075</v>
      </c>
      <c r="D2002">
        <f t="shared" si="901"/>
        <v>3</v>
      </c>
      <c r="E2002">
        <v>11</v>
      </c>
      <c r="F2002" s="6" t="s">
        <v>424</v>
      </c>
      <c r="I2002" t="s">
        <v>178</v>
      </c>
      <c r="J2002">
        <v>39</v>
      </c>
      <c r="K2002" t="s">
        <v>488</v>
      </c>
      <c r="L2002" t="s">
        <v>270</v>
      </c>
      <c r="M2002" t="s">
        <v>271</v>
      </c>
      <c r="Q2002">
        <f t="shared" ref="Q2002:S2002" si="919">Q2001</f>
        <v>18977</v>
      </c>
      <c r="R2002" t="str">
        <f t="shared" si="919"/>
        <v>Velodrome</v>
      </c>
      <c r="S2002" t="str">
        <f t="shared" si="919"/>
        <v>HollowBrook</v>
      </c>
      <c r="T2002" s="20">
        <f t="shared" si="905"/>
        <v>0</v>
      </c>
      <c r="U2002">
        <f t="shared" si="906"/>
        <v>669</v>
      </c>
      <c r="V2002">
        <f t="shared" si="907"/>
        <v>669</v>
      </c>
      <c r="W2002" cm="1">
        <f t="array" ref="W2002">_xlfn._xlws.FILTER(shifts!A:A,(shifts!B:B=events!D2002)*(shifts!AH:AH&gt;=events!U2002)*(shifts!AI:AI&lt;=events!V2002))</f>
        <v>71</v>
      </c>
      <c r="X2002" t="str">
        <f t="shared" si="908"/>
        <v>event_team_player_1</v>
      </c>
      <c r="Y2002">
        <f>COUNTIFS(A$3:A2002,"="&amp;A2002,K$3:K2002,"="&amp;K2002)</f>
        <v>1</v>
      </c>
      <c r="Z2002" s="20">
        <f>SUMIFS(T$3:T2002,L$3:L2002,"=Intermission")+SUMIFS(T$3:T2002,L$3:L2002,"=Timeout")+SUMIFS(T$3:T2002,L$3:L2002,"=Clockstop")</f>
        <v>138</v>
      </c>
      <c r="AA2002">
        <f t="shared" si="899"/>
        <v>2298</v>
      </c>
      <c r="AC2002">
        <f t="shared" si="900"/>
        <v>2436</v>
      </c>
    </row>
    <row r="2003" spans="1:29" x14ac:dyDescent="0.2">
      <c r="A2003">
        <v>1076</v>
      </c>
      <c r="D2003">
        <f t="shared" si="901"/>
        <v>3</v>
      </c>
      <c r="E2003">
        <v>11</v>
      </c>
      <c r="F2003" s="6" t="s">
        <v>424</v>
      </c>
      <c r="G2003">
        <v>11</v>
      </c>
      <c r="H2003" s="8" t="s">
        <v>315</v>
      </c>
      <c r="I2003" t="s">
        <v>178</v>
      </c>
      <c r="J2003">
        <v>87</v>
      </c>
      <c r="K2003" t="s">
        <v>488</v>
      </c>
      <c r="L2003" t="s">
        <v>15</v>
      </c>
      <c r="Q2003">
        <f t="shared" ref="Q2003:S2003" si="920">Q2002</f>
        <v>18977</v>
      </c>
      <c r="R2003" t="str">
        <f t="shared" si="920"/>
        <v>Velodrome</v>
      </c>
      <c r="S2003" t="str">
        <f t="shared" si="920"/>
        <v>HollowBrook</v>
      </c>
      <c r="T2003" s="20">
        <f t="shared" si="905"/>
        <v>4</v>
      </c>
      <c r="U2003">
        <f t="shared" si="906"/>
        <v>669</v>
      </c>
      <c r="V2003">
        <f t="shared" si="907"/>
        <v>665</v>
      </c>
      <c r="W2003" cm="1">
        <f t="array" ref="W2003">_xlfn._xlws.FILTER(shifts!A:A,(shifts!B:B=events!D2003)*(shifts!AH:AH&gt;=events!U2003)*(shifts!AI:AI&lt;=events!V2003))</f>
        <v>71</v>
      </c>
      <c r="X2003" t="str">
        <f t="shared" si="908"/>
        <v>event_team_player_1</v>
      </c>
      <c r="Y2003">
        <f>COUNTIFS(A$3:A2003,"="&amp;A2003,K$3:K2003,"="&amp;K2003)</f>
        <v>1</v>
      </c>
      <c r="Z2003" s="20">
        <f>SUMIFS(T$3:T2003,L$3:L2003,"=Intermission")+SUMIFS(T$3:T2003,L$3:L2003,"=Timeout")+SUMIFS(T$3:T2003,L$3:L2003,"=Clockstop")</f>
        <v>138</v>
      </c>
      <c r="AA2003">
        <f t="shared" si="899"/>
        <v>2298</v>
      </c>
      <c r="AC2003">
        <f t="shared" si="900"/>
        <v>2436</v>
      </c>
    </row>
    <row r="2004" spans="1:29" x14ac:dyDescent="0.2">
      <c r="A2004">
        <v>1077</v>
      </c>
      <c r="D2004">
        <f t="shared" si="901"/>
        <v>3</v>
      </c>
      <c r="E2004">
        <v>11</v>
      </c>
      <c r="F2004" s="6" t="s">
        <v>315</v>
      </c>
      <c r="G2004">
        <v>11</v>
      </c>
      <c r="H2004" s="8" t="s">
        <v>311</v>
      </c>
      <c r="I2004" t="s">
        <v>178</v>
      </c>
      <c r="J2004">
        <v>87</v>
      </c>
      <c r="K2004" t="s">
        <v>488</v>
      </c>
      <c r="L2004" t="s">
        <v>15</v>
      </c>
      <c r="Q2004">
        <f t="shared" ref="Q2004:S2004" si="921">Q2003</f>
        <v>18977</v>
      </c>
      <c r="R2004" t="str">
        <f t="shared" si="921"/>
        <v>Velodrome</v>
      </c>
      <c r="S2004" t="str">
        <f t="shared" si="921"/>
        <v>HollowBrook</v>
      </c>
      <c r="T2004" s="20">
        <f t="shared" si="905"/>
        <v>2</v>
      </c>
      <c r="U2004">
        <f t="shared" si="906"/>
        <v>665</v>
      </c>
      <c r="V2004">
        <f t="shared" si="907"/>
        <v>663</v>
      </c>
      <c r="W2004" cm="1">
        <f t="array" ref="W2004">_xlfn._xlws.FILTER(shifts!A:A,(shifts!B:B=events!D2004)*(shifts!AH:AH&gt;=events!U2004)*(shifts!AI:AI&lt;=events!V2004))</f>
        <v>71</v>
      </c>
      <c r="X2004" t="str">
        <f t="shared" si="908"/>
        <v>event_team_player_1</v>
      </c>
      <c r="Y2004">
        <f>COUNTIFS(A$3:A2004,"="&amp;A2004,K$3:K2004,"="&amp;K2004)</f>
        <v>1</v>
      </c>
      <c r="Z2004" s="20">
        <f>SUMIFS(T$3:T2004,L$3:L2004,"=Intermission")+SUMIFS(T$3:T2004,L$3:L2004,"=Timeout")+SUMIFS(T$3:T2004,L$3:L2004,"=Clockstop")</f>
        <v>138</v>
      </c>
      <c r="AA2004">
        <f t="shared" si="899"/>
        <v>2298</v>
      </c>
      <c r="AC2004">
        <f t="shared" si="900"/>
        <v>2436</v>
      </c>
    </row>
    <row r="2005" spans="1:29" x14ac:dyDescent="0.2">
      <c r="A2005">
        <v>1078</v>
      </c>
      <c r="D2005">
        <f t="shared" si="901"/>
        <v>3</v>
      </c>
      <c r="E2005">
        <v>11</v>
      </c>
      <c r="F2005" s="6" t="s">
        <v>311</v>
      </c>
      <c r="I2005" t="s">
        <v>178</v>
      </c>
      <c r="J2005">
        <v>87</v>
      </c>
      <c r="K2005" t="s">
        <v>488</v>
      </c>
      <c r="L2005" t="s">
        <v>10</v>
      </c>
      <c r="M2005" t="s">
        <v>190</v>
      </c>
      <c r="N2005" t="s">
        <v>73</v>
      </c>
      <c r="Q2005">
        <f t="shared" ref="Q2005:S2005" si="922">Q2004</f>
        <v>18977</v>
      </c>
      <c r="R2005" t="str">
        <f t="shared" si="922"/>
        <v>Velodrome</v>
      </c>
      <c r="S2005" t="str">
        <f t="shared" si="922"/>
        <v>HollowBrook</v>
      </c>
      <c r="T2005" s="20">
        <f t="shared" si="905"/>
        <v>0</v>
      </c>
      <c r="U2005">
        <f t="shared" si="906"/>
        <v>663</v>
      </c>
      <c r="V2005">
        <f t="shared" si="907"/>
        <v>663</v>
      </c>
      <c r="W2005" cm="1">
        <f t="array" ref="W2005">_xlfn._xlws.FILTER(shifts!A:A,(shifts!B:B=events!D2005)*(shifts!AH:AH&gt;=events!U2005)*(shifts!AI:AI&lt;=events!V2005))</f>
        <v>71</v>
      </c>
      <c r="X2005" t="str">
        <f t="shared" si="908"/>
        <v>event_team_player_1</v>
      </c>
      <c r="Y2005">
        <f>COUNTIFS(A$3:A2005,"="&amp;A2005,K$3:K2005,"="&amp;K2005)</f>
        <v>1</v>
      </c>
      <c r="Z2005" s="20">
        <f>SUMIFS(T$3:T2005,L$3:L2005,"=Intermission")+SUMIFS(T$3:T2005,L$3:L2005,"=Timeout")+SUMIFS(T$3:T2005,L$3:L2005,"=Clockstop")</f>
        <v>138</v>
      </c>
      <c r="AA2005">
        <f t="shared" si="899"/>
        <v>2298</v>
      </c>
      <c r="AC2005">
        <f t="shared" si="900"/>
        <v>2436</v>
      </c>
    </row>
    <row r="2006" spans="1:29" x14ac:dyDescent="0.2">
      <c r="A2006">
        <v>1078</v>
      </c>
      <c r="D2006">
        <f t="shared" si="901"/>
        <v>3</v>
      </c>
      <c r="E2006">
        <v>11</v>
      </c>
      <c r="F2006" s="6" t="s">
        <v>311</v>
      </c>
      <c r="I2006" t="s">
        <v>178</v>
      </c>
      <c r="J2006">
        <v>19</v>
      </c>
      <c r="K2006" t="s">
        <v>489</v>
      </c>
      <c r="L2006" t="s">
        <v>10</v>
      </c>
      <c r="M2006" t="s">
        <v>190</v>
      </c>
      <c r="N2006" t="s">
        <v>73</v>
      </c>
      <c r="Q2006">
        <f t="shared" ref="Q2006:S2006" si="923">Q2005</f>
        <v>18977</v>
      </c>
      <c r="R2006" t="str">
        <f t="shared" si="923"/>
        <v>Velodrome</v>
      </c>
      <c r="S2006" t="str">
        <f t="shared" si="923"/>
        <v>HollowBrook</v>
      </c>
      <c r="T2006" s="20">
        <f t="shared" si="905"/>
        <v>0</v>
      </c>
      <c r="U2006">
        <f t="shared" si="906"/>
        <v>663</v>
      </c>
      <c r="V2006">
        <f t="shared" si="907"/>
        <v>663</v>
      </c>
      <c r="W2006" cm="1">
        <f t="array" ref="W2006">_xlfn._xlws.FILTER(shifts!A:A,(shifts!B:B=events!D2006)*(shifts!AH:AH&gt;=events!U2006)*(shifts!AI:AI&lt;=events!V2006))</f>
        <v>71</v>
      </c>
      <c r="X2006" t="str">
        <f t="shared" si="908"/>
        <v>opp_team_player_1</v>
      </c>
      <c r="Y2006">
        <f>COUNTIFS(A$3:A2006,"="&amp;A2006,K$3:K2006,"="&amp;K2006)</f>
        <v>1</v>
      </c>
      <c r="Z2006" s="20">
        <f>SUMIFS(T$3:T2006,L$3:L2006,"=Intermission")+SUMIFS(T$3:T2006,L$3:L2006,"=Timeout")+SUMIFS(T$3:T2006,L$3:L2006,"=Clockstop")</f>
        <v>138</v>
      </c>
      <c r="AA2006">
        <f t="shared" si="899"/>
        <v>2298</v>
      </c>
      <c r="AC2006">
        <f t="shared" si="900"/>
        <v>2436</v>
      </c>
    </row>
    <row r="2007" spans="1:29" x14ac:dyDescent="0.2">
      <c r="A2007">
        <v>1079</v>
      </c>
      <c r="D2007">
        <f t="shared" si="901"/>
        <v>3</v>
      </c>
      <c r="E2007">
        <v>11</v>
      </c>
      <c r="F2007" s="6" t="s">
        <v>311</v>
      </c>
      <c r="G2007">
        <v>10</v>
      </c>
      <c r="H2007" s="8" t="s">
        <v>487</v>
      </c>
      <c r="I2007" t="s">
        <v>179</v>
      </c>
      <c r="J2007">
        <v>19</v>
      </c>
      <c r="K2007" t="s">
        <v>488</v>
      </c>
      <c r="L2007" t="s">
        <v>15</v>
      </c>
      <c r="Q2007">
        <f t="shared" ref="Q2007:S2007" si="924">Q2006</f>
        <v>18977</v>
      </c>
      <c r="R2007" t="str">
        <f t="shared" si="924"/>
        <v>Velodrome</v>
      </c>
      <c r="S2007" t="str">
        <f t="shared" si="924"/>
        <v>HollowBrook</v>
      </c>
      <c r="T2007" s="20">
        <f t="shared" si="905"/>
        <v>4</v>
      </c>
      <c r="U2007">
        <f t="shared" si="906"/>
        <v>663</v>
      </c>
      <c r="V2007">
        <f t="shared" si="907"/>
        <v>659</v>
      </c>
      <c r="W2007" cm="1">
        <f t="array" ref="W2007">_xlfn._xlws.FILTER(shifts!A:A,(shifts!B:B=events!D2007)*(shifts!AH:AH&gt;=events!U2007)*(shifts!AI:AI&lt;=events!V2007))</f>
        <v>71</v>
      </c>
      <c r="X2007" t="str">
        <f t="shared" si="908"/>
        <v>event_team_player_1</v>
      </c>
      <c r="Y2007">
        <f>COUNTIFS(A$3:A2007,"="&amp;A2007,K$3:K2007,"="&amp;K2007)</f>
        <v>1</v>
      </c>
      <c r="Z2007" s="20">
        <f>SUMIFS(T$3:T2007,L$3:L2007,"=Intermission")+SUMIFS(T$3:T2007,L$3:L2007,"=Timeout")+SUMIFS(T$3:T2007,L$3:L2007,"=Clockstop")</f>
        <v>138</v>
      </c>
      <c r="AA2007">
        <f t="shared" si="899"/>
        <v>2298</v>
      </c>
      <c r="AC2007">
        <f t="shared" si="900"/>
        <v>2436</v>
      </c>
    </row>
    <row r="2008" spans="1:29" x14ac:dyDescent="0.2">
      <c r="A2008">
        <v>1080</v>
      </c>
      <c r="D2008">
        <f t="shared" si="901"/>
        <v>3</v>
      </c>
      <c r="E2008">
        <v>10</v>
      </c>
      <c r="F2008" s="6" t="s">
        <v>487</v>
      </c>
      <c r="I2008" t="s">
        <v>179</v>
      </c>
      <c r="J2008">
        <v>19</v>
      </c>
      <c r="K2008" t="s">
        <v>488</v>
      </c>
      <c r="L2008" t="s">
        <v>8</v>
      </c>
      <c r="M2008" t="s">
        <v>189</v>
      </c>
      <c r="N2008" t="s">
        <v>70</v>
      </c>
      <c r="Q2008">
        <f t="shared" ref="Q2008:S2008" si="925">Q2007</f>
        <v>18977</v>
      </c>
      <c r="R2008" t="str">
        <f t="shared" si="925"/>
        <v>Velodrome</v>
      </c>
      <c r="S2008" t="str">
        <f t="shared" si="925"/>
        <v>HollowBrook</v>
      </c>
      <c r="T2008" s="20">
        <f t="shared" si="905"/>
        <v>0</v>
      </c>
      <c r="U2008">
        <f t="shared" si="906"/>
        <v>659</v>
      </c>
      <c r="V2008">
        <f t="shared" si="907"/>
        <v>659</v>
      </c>
      <c r="W2008" cm="1">
        <f t="array" ref="W2008">_xlfn._xlws.FILTER(shifts!A:A,(shifts!B:B=events!D2008)*(shifts!AH:AH&gt;=events!U2008)*(shifts!AI:AI&lt;=events!V2008))</f>
        <v>71</v>
      </c>
      <c r="X2008" t="str">
        <f t="shared" si="908"/>
        <v>event_team_player_1</v>
      </c>
      <c r="Y2008">
        <f>COUNTIFS(A$3:A2008,"="&amp;A2008,K$3:K2008,"="&amp;K2008)</f>
        <v>1</v>
      </c>
      <c r="Z2008" s="20">
        <f>SUMIFS(T$3:T2008,L$3:L2008,"=Intermission")+SUMIFS(T$3:T2008,L$3:L2008,"=Timeout")+SUMIFS(T$3:T2008,L$3:L2008,"=Clockstop")</f>
        <v>138</v>
      </c>
      <c r="AA2008">
        <f t="shared" si="899"/>
        <v>2298</v>
      </c>
      <c r="AC2008">
        <f t="shared" si="900"/>
        <v>2436</v>
      </c>
    </row>
    <row r="2009" spans="1:29" x14ac:dyDescent="0.2">
      <c r="A2009">
        <v>1080</v>
      </c>
      <c r="D2009">
        <f t="shared" si="901"/>
        <v>3</v>
      </c>
      <c r="E2009">
        <v>10</v>
      </c>
      <c r="F2009" s="6" t="s">
        <v>487</v>
      </c>
      <c r="I2009" t="s">
        <v>179</v>
      </c>
      <c r="J2009">
        <v>11</v>
      </c>
      <c r="K2009" t="s">
        <v>488</v>
      </c>
      <c r="L2009" t="s">
        <v>8</v>
      </c>
      <c r="M2009" t="s">
        <v>189</v>
      </c>
      <c r="N2009" t="s">
        <v>70</v>
      </c>
      <c r="Q2009">
        <f t="shared" ref="Q2009:S2009" si="926">Q2008</f>
        <v>18977</v>
      </c>
      <c r="R2009" t="str">
        <f t="shared" si="926"/>
        <v>Velodrome</v>
      </c>
      <c r="S2009" t="str">
        <f t="shared" si="926"/>
        <v>HollowBrook</v>
      </c>
      <c r="T2009" s="20">
        <f t="shared" si="905"/>
        <v>0</v>
      </c>
      <c r="U2009">
        <f t="shared" si="906"/>
        <v>659</v>
      </c>
      <c r="V2009">
        <f t="shared" si="907"/>
        <v>659</v>
      </c>
      <c r="W2009" cm="1">
        <f t="array" ref="W2009">_xlfn._xlws.FILTER(shifts!A:A,(shifts!B:B=events!D2009)*(shifts!AH:AH&gt;=events!U2009)*(shifts!AI:AI&lt;=events!V2009))</f>
        <v>71</v>
      </c>
      <c r="X2009" t="str">
        <f t="shared" si="908"/>
        <v>event_team_player_2</v>
      </c>
      <c r="Y2009">
        <f>COUNTIFS(A$3:A2009,"="&amp;A2009,K$3:K2009,"="&amp;K2009)</f>
        <v>2</v>
      </c>
      <c r="Z2009" s="20">
        <f>SUMIFS(T$3:T2009,L$3:L2009,"=Intermission")+SUMIFS(T$3:T2009,L$3:L2009,"=Timeout")+SUMIFS(T$3:T2009,L$3:L2009,"=Clockstop")</f>
        <v>138</v>
      </c>
      <c r="AA2009">
        <f t="shared" si="899"/>
        <v>2298</v>
      </c>
      <c r="AC2009">
        <f t="shared" si="900"/>
        <v>2436</v>
      </c>
    </row>
    <row r="2010" spans="1:29" x14ac:dyDescent="0.2">
      <c r="A2010">
        <v>1080</v>
      </c>
      <c r="D2010">
        <f t="shared" si="901"/>
        <v>3</v>
      </c>
      <c r="E2010">
        <v>10</v>
      </c>
      <c r="F2010" s="6" t="s">
        <v>487</v>
      </c>
      <c r="I2010" t="s">
        <v>179</v>
      </c>
      <c r="J2010">
        <v>70</v>
      </c>
      <c r="K2010" t="s">
        <v>489</v>
      </c>
      <c r="L2010" t="s">
        <v>8</v>
      </c>
      <c r="M2010" t="s">
        <v>189</v>
      </c>
      <c r="N2010" t="s">
        <v>70</v>
      </c>
      <c r="Q2010">
        <f t="shared" ref="Q2010:S2010" si="927">Q2009</f>
        <v>18977</v>
      </c>
      <c r="R2010" t="str">
        <f t="shared" si="927"/>
        <v>Velodrome</v>
      </c>
      <c r="S2010" t="str">
        <f t="shared" si="927"/>
        <v>HollowBrook</v>
      </c>
      <c r="T2010" s="20">
        <f t="shared" si="905"/>
        <v>0</v>
      </c>
      <c r="U2010">
        <f t="shared" si="906"/>
        <v>659</v>
      </c>
      <c r="V2010">
        <f t="shared" si="907"/>
        <v>659</v>
      </c>
      <c r="W2010" cm="1">
        <f t="array" ref="W2010">_xlfn._xlws.FILTER(shifts!A:A,(shifts!B:B=events!D2010)*(shifts!AH:AH&gt;=events!U2010)*(shifts!AI:AI&lt;=events!V2010))</f>
        <v>71</v>
      </c>
      <c r="X2010" t="str">
        <f t="shared" si="908"/>
        <v>opp_team_player_1</v>
      </c>
      <c r="Y2010">
        <f>COUNTIFS(A$3:A2010,"="&amp;A2010,K$3:K2010,"="&amp;K2010)</f>
        <v>1</v>
      </c>
      <c r="Z2010" s="20">
        <f>SUMIFS(T$3:T2010,L$3:L2010,"=Intermission")+SUMIFS(T$3:T2010,L$3:L2010,"=Timeout")+SUMIFS(T$3:T2010,L$3:L2010,"=Clockstop")</f>
        <v>138</v>
      </c>
      <c r="AA2010">
        <f t="shared" si="899"/>
        <v>2298</v>
      </c>
      <c r="AC2010">
        <f t="shared" si="900"/>
        <v>2436</v>
      </c>
    </row>
    <row r="2011" spans="1:29" x14ac:dyDescent="0.2">
      <c r="A2011">
        <v>1081</v>
      </c>
      <c r="D2011">
        <f t="shared" si="901"/>
        <v>3</v>
      </c>
      <c r="E2011">
        <v>10</v>
      </c>
      <c r="F2011" s="6" t="s">
        <v>462</v>
      </c>
      <c r="G2011">
        <v>10</v>
      </c>
      <c r="H2011" s="8" t="s">
        <v>429</v>
      </c>
      <c r="I2011" t="s">
        <v>179</v>
      </c>
      <c r="J2011">
        <v>11</v>
      </c>
      <c r="K2011" t="s">
        <v>488</v>
      </c>
      <c r="L2011" t="s">
        <v>15</v>
      </c>
      <c r="Q2011">
        <f t="shared" ref="Q2011:S2011" si="928">Q2010</f>
        <v>18977</v>
      </c>
      <c r="R2011" t="str">
        <f t="shared" si="928"/>
        <v>Velodrome</v>
      </c>
      <c r="S2011" t="str">
        <f t="shared" si="928"/>
        <v>HollowBrook</v>
      </c>
      <c r="T2011" s="20">
        <f t="shared" si="905"/>
        <v>3</v>
      </c>
      <c r="U2011">
        <f t="shared" si="906"/>
        <v>658</v>
      </c>
      <c r="V2011">
        <f t="shared" si="907"/>
        <v>655</v>
      </c>
      <c r="W2011" cm="1">
        <f t="array" ref="W2011">_xlfn._xlws.FILTER(shifts!A:A,(shifts!B:B=events!D2011)*(shifts!AH:AH&gt;=events!U2011)*(shifts!AI:AI&lt;=events!V2011))</f>
        <v>71</v>
      </c>
      <c r="X2011" t="str">
        <f t="shared" si="908"/>
        <v>event_team_player_1</v>
      </c>
      <c r="Y2011">
        <f>COUNTIFS(A$3:A2011,"="&amp;A2011,K$3:K2011,"="&amp;K2011)</f>
        <v>1</v>
      </c>
      <c r="Z2011" s="20">
        <f>SUMIFS(T$3:T2011,L$3:L2011,"=Intermission")+SUMIFS(T$3:T2011,L$3:L2011,"=Timeout")+SUMIFS(T$3:T2011,L$3:L2011,"=Clockstop")</f>
        <v>138</v>
      </c>
      <c r="AA2011">
        <f t="shared" si="899"/>
        <v>2298</v>
      </c>
      <c r="AC2011">
        <f t="shared" si="900"/>
        <v>2436</v>
      </c>
    </row>
    <row r="2012" spans="1:29" x14ac:dyDescent="0.2">
      <c r="A2012">
        <v>1082</v>
      </c>
      <c r="D2012">
        <f t="shared" si="901"/>
        <v>3</v>
      </c>
      <c r="E2012">
        <v>10</v>
      </c>
      <c r="F2012" s="6" t="s">
        <v>429</v>
      </c>
      <c r="G2012">
        <v>10</v>
      </c>
      <c r="H2012" s="8" t="s">
        <v>428</v>
      </c>
      <c r="I2012" t="s">
        <v>179</v>
      </c>
      <c r="J2012">
        <v>11</v>
      </c>
      <c r="K2012" t="s">
        <v>488</v>
      </c>
      <c r="L2012" t="s">
        <v>15</v>
      </c>
      <c r="Q2012">
        <f t="shared" ref="Q2012:S2012" si="929">Q2011</f>
        <v>18977</v>
      </c>
      <c r="R2012" t="str">
        <f t="shared" si="929"/>
        <v>Velodrome</v>
      </c>
      <c r="S2012" t="str">
        <f t="shared" si="929"/>
        <v>HollowBrook</v>
      </c>
      <c r="T2012" s="20">
        <f t="shared" si="905"/>
        <v>3</v>
      </c>
      <c r="U2012">
        <f t="shared" si="906"/>
        <v>655</v>
      </c>
      <c r="V2012">
        <f t="shared" si="907"/>
        <v>652</v>
      </c>
      <c r="W2012" cm="1">
        <f t="array" ref="W2012">_xlfn._xlws.FILTER(shifts!A:A,(shifts!B:B=events!D2012)*(shifts!AH:AH&gt;=events!U2012)*(shifts!AI:AI&lt;=events!V2012))</f>
        <v>71</v>
      </c>
      <c r="X2012" t="str">
        <f t="shared" si="908"/>
        <v>event_team_player_1</v>
      </c>
      <c r="Y2012">
        <f>COUNTIFS(A$3:A2012,"="&amp;A2012,K$3:K2012,"="&amp;K2012)</f>
        <v>1</v>
      </c>
      <c r="Z2012" s="20">
        <f>SUMIFS(T$3:T2012,L$3:L2012,"=Intermission")+SUMIFS(T$3:T2012,L$3:L2012,"=Timeout")+SUMIFS(T$3:T2012,L$3:L2012,"=Clockstop")</f>
        <v>138</v>
      </c>
      <c r="AA2012">
        <f t="shared" si="899"/>
        <v>2298</v>
      </c>
      <c r="AC2012">
        <f t="shared" si="900"/>
        <v>2436</v>
      </c>
    </row>
    <row r="2013" spans="1:29" x14ac:dyDescent="0.2">
      <c r="A2013">
        <v>1082</v>
      </c>
      <c r="D2013">
        <f t="shared" si="901"/>
        <v>3</v>
      </c>
      <c r="E2013">
        <v>10</v>
      </c>
      <c r="F2013" s="6" t="s">
        <v>428</v>
      </c>
      <c r="G2013">
        <v>10</v>
      </c>
      <c r="H2013" s="8" t="s">
        <v>432</v>
      </c>
      <c r="I2013" t="s">
        <v>179</v>
      </c>
      <c r="J2013">
        <v>11</v>
      </c>
      <c r="K2013" t="s">
        <v>488</v>
      </c>
      <c r="L2013" t="s">
        <v>15</v>
      </c>
      <c r="Q2013">
        <f t="shared" ref="Q2013:S2013" si="930">Q2012</f>
        <v>18977</v>
      </c>
      <c r="R2013" t="str">
        <f t="shared" si="930"/>
        <v>Velodrome</v>
      </c>
      <c r="S2013" t="str">
        <f t="shared" si="930"/>
        <v>HollowBrook</v>
      </c>
      <c r="T2013" s="20">
        <f t="shared" si="905"/>
        <v>2</v>
      </c>
      <c r="U2013">
        <f t="shared" si="906"/>
        <v>652</v>
      </c>
      <c r="V2013">
        <f t="shared" si="907"/>
        <v>650</v>
      </c>
      <c r="W2013" cm="1">
        <f t="array" ref="W2013">_xlfn._xlws.FILTER(shifts!A:A,(shifts!B:B=events!D2013)*(shifts!AH:AH&gt;=events!U2013)*(shifts!AI:AI&lt;=events!V2013))</f>
        <v>71</v>
      </c>
      <c r="X2013" t="str">
        <f t="shared" si="908"/>
        <v>event_team_player_2</v>
      </c>
      <c r="Y2013">
        <f>COUNTIFS(A$3:A2013,"="&amp;A2013,K$3:K2013,"="&amp;K2013)</f>
        <v>2</v>
      </c>
      <c r="Z2013" s="20">
        <f>SUMIFS(T$3:T2013,L$3:L2013,"=Intermission")+SUMIFS(T$3:T2013,L$3:L2013,"=Timeout")+SUMIFS(T$3:T2013,L$3:L2013,"=Clockstop")</f>
        <v>138</v>
      </c>
      <c r="AA2013">
        <f t="shared" si="899"/>
        <v>2298</v>
      </c>
      <c r="AC2013">
        <f t="shared" si="900"/>
        <v>2436</v>
      </c>
    </row>
    <row r="2014" spans="1:29" x14ac:dyDescent="0.2">
      <c r="A2014">
        <v>1082</v>
      </c>
      <c r="D2014">
        <f t="shared" si="901"/>
        <v>3</v>
      </c>
      <c r="E2014">
        <v>10</v>
      </c>
      <c r="F2014" s="6" t="s">
        <v>428</v>
      </c>
      <c r="G2014">
        <v>10</v>
      </c>
      <c r="H2014" s="8" t="s">
        <v>432</v>
      </c>
      <c r="I2014" t="s">
        <v>179</v>
      </c>
      <c r="J2014">
        <v>61</v>
      </c>
      <c r="K2014" t="s">
        <v>489</v>
      </c>
      <c r="L2014" t="s">
        <v>15</v>
      </c>
      <c r="Q2014">
        <f t="shared" ref="Q2014:S2014" si="931">Q2013</f>
        <v>18977</v>
      </c>
      <c r="R2014" t="str">
        <f t="shared" si="931"/>
        <v>Velodrome</v>
      </c>
      <c r="S2014" t="str">
        <f t="shared" si="931"/>
        <v>HollowBrook</v>
      </c>
      <c r="T2014" s="20">
        <f t="shared" si="905"/>
        <v>2</v>
      </c>
      <c r="U2014">
        <f t="shared" si="906"/>
        <v>652</v>
      </c>
      <c r="V2014">
        <f t="shared" si="907"/>
        <v>650</v>
      </c>
      <c r="W2014" cm="1">
        <f t="array" ref="W2014">_xlfn._xlws.FILTER(shifts!A:A,(shifts!B:B=events!D2014)*(shifts!AH:AH&gt;=events!U2014)*(shifts!AI:AI&lt;=events!V2014))</f>
        <v>71</v>
      </c>
      <c r="X2014" t="str">
        <f t="shared" si="908"/>
        <v>opp_team_player_1</v>
      </c>
      <c r="Y2014">
        <f>COUNTIFS(A$3:A2014,"="&amp;A2014,K$3:K2014,"="&amp;K2014)</f>
        <v>1</v>
      </c>
      <c r="Z2014" s="20">
        <f>SUMIFS(T$3:T2014,L$3:L2014,"=Intermission")+SUMIFS(T$3:T2014,L$3:L2014,"=Timeout")+SUMIFS(T$3:T2014,L$3:L2014,"=Clockstop")</f>
        <v>138</v>
      </c>
      <c r="AA2014">
        <f t="shared" si="899"/>
        <v>2298</v>
      </c>
      <c r="AC2014">
        <f t="shared" si="900"/>
        <v>2436</v>
      </c>
    </row>
    <row r="2015" spans="1:29" x14ac:dyDescent="0.2">
      <c r="A2015">
        <v>1083</v>
      </c>
      <c r="D2015">
        <f t="shared" si="901"/>
        <v>3</v>
      </c>
      <c r="E2015">
        <v>10</v>
      </c>
      <c r="F2015" s="6" t="s">
        <v>428</v>
      </c>
      <c r="G2015">
        <v>10</v>
      </c>
      <c r="H2015" s="8" t="s">
        <v>432</v>
      </c>
      <c r="I2015" t="s">
        <v>179</v>
      </c>
      <c r="J2015">
        <v>70</v>
      </c>
      <c r="K2015" t="s">
        <v>489</v>
      </c>
      <c r="L2015" t="s">
        <v>15</v>
      </c>
      <c r="Q2015">
        <f t="shared" ref="Q2015:S2015" si="932">Q2014</f>
        <v>18977</v>
      </c>
      <c r="R2015" t="str">
        <f t="shared" si="932"/>
        <v>Velodrome</v>
      </c>
      <c r="S2015" t="str">
        <f t="shared" si="932"/>
        <v>HollowBrook</v>
      </c>
      <c r="T2015" s="20">
        <f t="shared" si="905"/>
        <v>2</v>
      </c>
      <c r="U2015">
        <f t="shared" si="906"/>
        <v>652</v>
      </c>
      <c r="V2015">
        <f t="shared" si="907"/>
        <v>650</v>
      </c>
      <c r="W2015" cm="1">
        <f t="array" ref="W2015">_xlfn._xlws.FILTER(shifts!A:A,(shifts!B:B=events!D2015)*(shifts!AH:AH&gt;=events!U2015)*(shifts!AI:AI&lt;=events!V2015))</f>
        <v>71</v>
      </c>
      <c r="X2015" t="str">
        <f t="shared" si="908"/>
        <v>opp_team_player_1</v>
      </c>
      <c r="Y2015">
        <f>COUNTIFS(A$3:A2015,"="&amp;A2015,K$3:K2015,"="&amp;K2015)</f>
        <v>1</v>
      </c>
      <c r="Z2015" s="20">
        <f>SUMIFS(T$3:T2015,L$3:L2015,"=Intermission")+SUMIFS(T$3:T2015,L$3:L2015,"=Timeout")+SUMIFS(T$3:T2015,L$3:L2015,"=Clockstop")</f>
        <v>138</v>
      </c>
      <c r="AA2015">
        <f t="shared" si="899"/>
        <v>2298</v>
      </c>
      <c r="AC2015">
        <f t="shared" si="900"/>
        <v>2436</v>
      </c>
    </row>
    <row r="2016" spans="1:29" x14ac:dyDescent="0.2">
      <c r="A2016">
        <v>1083</v>
      </c>
      <c r="D2016">
        <f t="shared" si="901"/>
        <v>3</v>
      </c>
      <c r="E2016">
        <v>10</v>
      </c>
      <c r="F2016" s="6" t="s">
        <v>432</v>
      </c>
      <c r="I2016" t="s">
        <v>179</v>
      </c>
      <c r="J2016">
        <v>11</v>
      </c>
      <c r="K2016" t="s">
        <v>488</v>
      </c>
      <c r="L2016" t="s">
        <v>7</v>
      </c>
      <c r="M2016" t="s">
        <v>208</v>
      </c>
      <c r="N2016" t="s">
        <v>53</v>
      </c>
      <c r="Q2016">
        <f t="shared" ref="Q2016:S2016" si="933">Q2015</f>
        <v>18977</v>
      </c>
      <c r="R2016" t="str">
        <f t="shared" si="933"/>
        <v>Velodrome</v>
      </c>
      <c r="S2016" t="str">
        <f t="shared" si="933"/>
        <v>HollowBrook</v>
      </c>
      <c r="T2016" s="20">
        <f t="shared" si="905"/>
        <v>0</v>
      </c>
      <c r="U2016">
        <f t="shared" si="906"/>
        <v>650</v>
      </c>
      <c r="V2016">
        <f t="shared" si="907"/>
        <v>650</v>
      </c>
      <c r="W2016" cm="1">
        <f t="array" ref="W2016">_xlfn._xlws.FILTER(shifts!A:A,(shifts!B:B=events!D2016)*(shifts!AH:AH&gt;=events!U2016)*(shifts!AI:AI&lt;=events!V2016))</f>
        <v>71</v>
      </c>
      <c r="X2016" t="str">
        <f t="shared" si="908"/>
        <v>event_team_player_1</v>
      </c>
      <c r="Y2016">
        <f>COUNTIFS(A$3:A2016,"="&amp;A2016,K$3:K2016,"="&amp;K2016)</f>
        <v>1</v>
      </c>
      <c r="Z2016" s="20">
        <f>SUMIFS(T$3:T2016,L$3:L2016,"=Intermission")+SUMIFS(T$3:T2016,L$3:L2016,"=Timeout")+SUMIFS(T$3:T2016,L$3:L2016,"=Clockstop")</f>
        <v>138</v>
      </c>
      <c r="AA2016">
        <f t="shared" si="899"/>
        <v>2298</v>
      </c>
      <c r="AC2016">
        <f t="shared" si="900"/>
        <v>2436</v>
      </c>
    </row>
    <row r="2017" spans="1:29" x14ac:dyDescent="0.2">
      <c r="A2017">
        <v>1083</v>
      </c>
      <c r="D2017">
        <f t="shared" si="901"/>
        <v>3</v>
      </c>
      <c r="E2017">
        <v>10</v>
      </c>
      <c r="F2017" s="6" t="s">
        <v>432</v>
      </c>
      <c r="I2017" t="s">
        <v>179</v>
      </c>
      <c r="J2017">
        <v>70</v>
      </c>
      <c r="K2017" t="s">
        <v>489</v>
      </c>
      <c r="L2017" t="s">
        <v>7</v>
      </c>
      <c r="M2017" t="s">
        <v>208</v>
      </c>
      <c r="N2017" t="s">
        <v>53</v>
      </c>
      <c r="Q2017">
        <f t="shared" ref="Q2017:S2017" si="934">Q2016</f>
        <v>18977</v>
      </c>
      <c r="R2017" t="str">
        <f t="shared" si="934"/>
        <v>Velodrome</v>
      </c>
      <c r="S2017" t="str">
        <f t="shared" si="934"/>
        <v>HollowBrook</v>
      </c>
      <c r="T2017" s="20">
        <f t="shared" si="905"/>
        <v>0</v>
      </c>
      <c r="U2017">
        <f t="shared" si="906"/>
        <v>650</v>
      </c>
      <c r="V2017">
        <f t="shared" si="907"/>
        <v>650</v>
      </c>
      <c r="W2017" cm="1">
        <f t="array" ref="W2017">_xlfn._xlws.FILTER(shifts!A:A,(shifts!B:B=events!D2017)*(shifts!AH:AH&gt;=events!U2017)*(shifts!AI:AI&lt;=events!V2017))</f>
        <v>71</v>
      </c>
      <c r="X2017" t="str">
        <f t="shared" si="908"/>
        <v>opp_team_player_2</v>
      </c>
      <c r="Y2017">
        <f>COUNTIFS(A$3:A2017,"="&amp;A2017,K$3:K2017,"="&amp;K2017)</f>
        <v>2</v>
      </c>
      <c r="Z2017" s="20">
        <f>SUMIFS(T$3:T2017,L$3:L2017,"=Intermission")+SUMIFS(T$3:T2017,L$3:L2017,"=Timeout")+SUMIFS(T$3:T2017,L$3:L2017,"=Clockstop")</f>
        <v>138</v>
      </c>
      <c r="AA2017">
        <f t="shared" si="899"/>
        <v>2298</v>
      </c>
      <c r="AC2017">
        <f t="shared" si="900"/>
        <v>2436</v>
      </c>
    </row>
    <row r="2018" spans="1:29" x14ac:dyDescent="0.2">
      <c r="A2018">
        <v>1083</v>
      </c>
      <c r="D2018">
        <f t="shared" si="901"/>
        <v>3</v>
      </c>
      <c r="E2018">
        <v>10</v>
      </c>
      <c r="F2018" s="6" t="s">
        <v>432</v>
      </c>
      <c r="I2018" t="s">
        <v>179</v>
      </c>
      <c r="J2018">
        <v>87</v>
      </c>
      <c r="K2018" t="s">
        <v>489</v>
      </c>
      <c r="L2018" t="s">
        <v>7</v>
      </c>
      <c r="M2018" t="s">
        <v>208</v>
      </c>
      <c r="N2018" t="s">
        <v>53</v>
      </c>
      <c r="Q2018">
        <f t="shared" ref="Q2018:S2018" si="935">Q2017</f>
        <v>18977</v>
      </c>
      <c r="R2018" t="str">
        <f t="shared" si="935"/>
        <v>Velodrome</v>
      </c>
      <c r="S2018" t="str">
        <f t="shared" si="935"/>
        <v>HollowBrook</v>
      </c>
      <c r="T2018" s="20">
        <f t="shared" si="905"/>
        <v>0</v>
      </c>
      <c r="U2018">
        <f t="shared" si="906"/>
        <v>650</v>
      </c>
      <c r="V2018">
        <f t="shared" si="907"/>
        <v>650</v>
      </c>
      <c r="W2018" cm="1">
        <f t="array" ref="W2018">_xlfn._xlws.FILTER(shifts!A:A,(shifts!B:B=events!D2018)*(shifts!AH:AH&gt;=events!U2018)*(shifts!AI:AI&lt;=events!V2018))</f>
        <v>71</v>
      </c>
      <c r="X2018" t="str">
        <f t="shared" si="908"/>
        <v>opp_team_player_3</v>
      </c>
      <c r="Y2018">
        <f>COUNTIFS(A$3:A2018,"="&amp;A2018,K$3:K2018,"="&amp;K2018)</f>
        <v>3</v>
      </c>
      <c r="Z2018" s="20">
        <f>SUMIFS(T$3:T2018,L$3:L2018,"=Intermission")+SUMIFS(T$3:T2018,L$3:L2018,"=Timeout")+SUMIFS(T$3:T2018,L$3:L2018,"=Clockstop")</f>
        <v>138</v>
      </c>
      <c r="AA2018">
        <f t="shared" si="899"/>
        <v>2298</v>
      </c>
      <c r="AC2018">
        <f t="shared" si="900"/>
        <v>2436</v>
      </c>
    </row>
    <row r="2019" spans="1:29" x14ac:dyDescent="0.2">
      <c r="A2019">
        <v>1084</v>
      </c>
      <c r="D2019">
        <f t="shared" si="901"/>
        <v>3</v>
      </c>
      <c r="E2019">
        <v>10</v>
      </c>
      <c r="F2019" s="6" t="s">
        <v>451</v>
      </c>
      <c r="G2019">
        <v>10</v>
      </c>
      <c r="H2019" s="8" t="s">
        <v>435</v>
      </c>
      <c r="I2019" t="s">
        <v>179</v>
      </c>
      <c r="J2019">
        <v>19</v>
      </c>
      <c r="K2019" t="s">
        <v>488</v>
      </c>
      <c r="L2019" t="s">
        <v>15</v>
      </c>
      <c r="Q2019">
        <f t="shared" ref="Q2019:S2019" si="936">Q2018</f>
        <v>18977</v>
      </c>
      <c r="R2019" t="str">
        <f t="shared" si="936"/>
        <v>Velodrome</v>
      </c>
      <c r="S2019" t="str">
        <f t="shared" si="936"/>
        <v>HollowBrook</v>
      </c>
      <c r="T2019" s="20">
        <f t="shared" si="905"/>
        <v>4</v>
      </c>
      <c r="U2019">
        <f t="shared" si="906"/>
        <v>648</v>
      </c>
      <c r="V2019">
        <f t="shared" si="907"/>
        <v>644</v>
      </c>
      <c r="W2019" cm="1">
        <f t="array" ref="W2019">_xlfn._xlws.FILTER(shifts!A:A,(shifts!B:B=events!D2019)*(shifts!AH:AH&gt;=events!U2019)*(shifts!AI:AI&lt;=events!V2019))</f>
        <v>71</v>
      </c>
      <c r="X2019" t="str">
        <f t="shared" si="908"/>
        <v>event_team_player_1</v>
      </c>
      <c r="Y2019">
        <f>COUNTIFS(A$3:A2019,"="&amp;A2019,K$3:K2019,"="&amp;K2019)</f>
        <v>1</v>
      </c>
      <c r="Z2019" s="20">
        <f>SUMIFS(T$3:T2019,L$3:L2019,"=Intermission")+SUMIFS(T$3:T2019,L$3:L2019,"=Timeout")+SUMIFS(T$3:T2019,L$3:L2019,"=Clockstop")</f>
        <v>138</v>
      </c>
      <c r="AA2019">
        <f t="shared" si="899"/>
        <v>2298</v>
      </c>
      <c r="AC2019">
        <f t="shared" si="900"/>
        <v>2436</v>
      </c>
    </row>
    <row r="2020" spans="1:29" x14ac:dyDescent="0.2">
      <c r="A2020">
        <v>1084</v>
      </c>
      <c r="D2020">
        <f t="shared" si="901"/>
        <v>3</v>
      </c>
      <c r="E2020">
        <v>10</v>
      </c>
      <c r="F2020" s="6" t="s">
        <v>451</v>
      </c>
      <c r="G2020">
        <v>10</v>
      </c>
      <c r="H2020" s="8" t="s">
        <v>435</v>
      </c>
      <c r="I2020" t="s">
        <v>179</v>
      </c>
      <c r="J2020">
        <v>52</v>
      </c>
      <c r="K2020" t="s">
        <v>489</v>
      </c>
      <c r="L2020" t="s">
        <v>15</v>
      </c>
      <c r="Q2020">
        <f t="shared" ref="Q2020:S2020" si="937">Q2019</f>
        <v>18977</v>
      </c>
      <c r="R2020" t="str">
        <f t="shared" si="937"/>
        <v>Velodrome</v>
      </c>
      <c r="S2020" t="str">
        <f t="shared" si="937"/>
        <v>HollowBrook</v>
      </c>
      <c r="T2020" s="20">
        <f t="shared" si="905"/>
        <v>4</v>
      </c>
      <c r="U2020">
        <f t="shared" si="906"/>
        <v>648</v>
      </c>
      <c r="V2020">
        <f t="shared" si="907"/>
        <v>644</v>
      </c>
      <c r="W2020" cm="1">
        <f t="array" ref="W2020">_xlfn._xlws.FILTER(shifts!A:A,(shifts!B:B=events!D2020)*(shifts!AH:AH&gt;=events!U2020)*(shifts!AI:AI&lt;=events!V2020))</f>
        <v>71</v>
      </c>
      <c r="X2020" t="str">
        <f t="shared" si="908"/>
        <v>opp_team_player_1</v>
      </c>
      <c r="Y2020">
        <f>COUNTIFS(A$3:A2020,"="&amp;A2020,K$3:K2020,"="&amp;K2020)</f>
        <v>1</v>
      </c>
      <c r="Z2020" s="20">
        <f>SUMIFS(T$3:T2020,L$3:L2020,"=Intermission")+SUMIFS(T$3:T2020,L$3:L2020,"=Timeout")+SUMIFS(T$3:T2020,L$3:L2020,"=Clockstop")</f>
        <v>138</v>
      </c>
      <c r="AA2020">
        <f t="shared" si="899"/>
        <v>2298</v>
      </c>
      <c r="AC2020">
        <f t="shared" si="900"/>
        <v>2436</v>
      </c>
    </row>
    <row r="2021" spans="1:29" x14ac:dyDescent="0.2">
      <c r="A2021">
        <v>1085</v>
      </c>
      <c r="D2021">
        <f t="shared" si="901"/>
        <v>3</v>
      </c>
      <c r="E2021">
        <v>10</v>
      </c>
      <c r="F2021" s="6" t="s">
        <v>435</v>
      </c>
      <c r="I2021" t="s">
        <v>179</v>
      </c>
      <c r="J2021">
        <v>19</v>
      </c>
      <c r="K2021" t="s">
        <v>488</v>
      </c>
      <c r="L2021" t="s">
        <v>8</v>
      </c>
      <c r="M2021" t="s">
        <v>189</v>
      </c>
      <c r="N2021" t="s">
        <v>71</v>
      </c>
      <c r="Q2021">
        <f t="shared" ref="Q2021:S2021" si="938">Q2020</f>
        <v>18977</v>
      </c>
      <c r="R2021" t="str">
        <f t="shared" si="938"/>
        <v>Velodrome</v>
      </c>
      <c r="S2021" t="str">
        <f t="shared" si="938"/>
        <v>HollowBrook</v>
      </c>
      <c r="T2021" s="20">
        <f t="shared" si="905"/>
        <v>0</v>
      </c>
      <c r="U2021">
        <f t="shared" si="906"/>
        <v>644</v>
      </c>
      <c r="V2021">
        <f t="shared" si="907"/>
        <v>644</v>
      </c>
      <c r="W2021" cm="1">
        <f t="array" ref="W2021">_xlfn._xlws.FILTER(shifts!A:A,(shifts!B:B=events!D2021)*(shifts!AH:AH&gt;=events!U2021)*(shifts!AI:AI&lt;=events!V2021))</f>
        <v>71</v>
      </c>
      <c r="X2021" t="str">
        <f t="shared" si="908"/>
        <v>event_team_player_1</v>
      </c>
      <c r="Y2021">
        <f>COUNTIFS(A$3:A2021,"="&amp;A2021,K$3:K2021,"="&amp;K2021)</f>
        <v>1</v>
      </c>
      <c r="Z2021" s="20">
        <f>SUMIFS(T$3:T2021,L$3:L2021,"=Intermission")+SUMIFS(T$3:T2021,L$3:L2021,"=Timeout")+SUMIFS(T$3:T2021,L$3:L2021,"=Clockstop")</f>
        <v>138</v>
      </c>
      <c r="AA2021">
        <f t="shared" si="899"/>
        <v>2298</v>
      </c>
      <c r="AC2021">
        <f t="shared" si="900"/>
        <v>2436</v>
      </c>
    </row>
    <row r="2022" spans="1:29" x14ac:dyDescent="0.2">
      <c r="A2022">
        <v>1085</v>
      </c>
      <c r="D2022">
        <f t="shared" si="901"/>
        <v>3</v>
      </c>
      <c r="E2022">
        <v>10</v>
      </c>
      <c r="F2022" s="6" t="s">
        <v>435</v>
      </c>
      <c r="I2022" t="s">
        <v>179</v>
      </c>
      <c r="J2022">
        <v>18</v>
      </c>
      <c r="K2022" t="s">
        <v>488</v>
      </c>
      <c r="L2022" t="s">
        <v>8</v>
      </c>
      <c r="M2022" t="s">
        <v>189</v>
      </c>
      <c r="N2022" t="s">
        <v>71</v>
      </c>
      <c r="Q2022">
        <f t="shared" ref="Q2022:S2022" si="939">Q2021</f>
        <v>18977</v>
      </c>
      <c r="R2022" t="str">
        <f t="shared" si="939"/>
        <v>Velodrome</v>
      </c>
      <c r="S2022" t="str">
        <f t="shared" si="939"/>
        <v>HollowBrook</v>
      </c>
      <c r="T2022" s="20">
        <f t="shared" si="905"/>
        <v>0</v>
      </c>
      <c r="U2022">
        <f t="shared" si="906"/>
        <v>644</v>
      </c>
      <c r="V2022">
        <f t="shared" si="907"/>
        <v>644</v>
      </c>
      <c r="W2022" cm="1">
        <f t="array" ref="W2022">_xlfn._xlws.FILTER(shifts!A:A,(shifts!B:B=events!D2022)*(shifts!AH:AH&gt;=events!U2022)*(shifts!AI:AI&lt;=events!V2022))</f>
        <v>71</v>
      </c>
      <c r="X2022" t="str">
        <f t="shared" si="908"/>
        <v>event_team_player_2</v>
      </c>
      <c r="Y2022">
        <f>COUNTIFS(A$3:A2022,"="&amp;A2022,K$3:K2022,"="&amp;K2022)</f>
        <v>2</v>
      </c>
      <c r="Z2022" s="20">
        <f>SUMIFS(T$3:T2022,L$3:L2022,"=Intermission")+SUMIFS(T$3:T2022,L$3:L2022,"=Timeout")+SUMIFS(T$3:T2022,L$3:L2022,"=Clockstop")</f>
        <v>138</v>
      </c>
      <c r="AA2022">
        <f t="shared" si="899"/>
        <v>2298</v>
      </c>
      <c r="AC2022">
        <f t="shared" si="900"/>
        <v>2436</v>
      </c>
    </row>
    <row r="2023" spans="1:29" x14ac:dyDescent="0.2">
      <c r="A2023">
        <v>1085</v>
      </c>
      <c r="D2023">
        <f t="shared" si="901"/>
        <v>3</v>
      </c>
      <c r="E2023">
        <v>10</v>
      </c>
      <c r="F2023" s="6" t="s">
        <v>435</v>
      </c>
      <c r="I2023" t="s">
        <v>179</v>
      </c>
      <c r="J2023">
        <v>70</v>
      </c>
      <c r="K2023" t="s">
        <v>489</v>
      </c>
      <c r="L2023" t="s">
        <v>8</v>
      </c>
      <c r="M2023" t="s">
        <v>189</v>
      </c>
      <c r="N2023" t="s">
        <v>71</v>
      </c>
      <c r="Q2023">
        <f t="shared" ref="Q2023:S2023" si="940">Q2022</f>
        <v>18977</v>
      </c>
      <c r="R2023" t="str">
        <f t="shared" si="940"/>
        <v>Velodrome</v>
      </c>
      <c r="S2023" t="str">
        <f t="shared" si="940"/>
        <v>HollowBrook</v>
      </c>
      <c r="T2023" s="20">
        <f t="shared" si="905"/>
        <v>0</v>
      </c>
      <c r="U2023">
        <f t="shared" si="906"/>
        <v>644</v>
      </c>
      <c r="V2023">
        <f t="shared" si="907"/>
        <v>644</v>
      </c>
      <c r="W2023" cm="1">
        <f t="array" ref="W2023">_xlfn._xlws.FILTER(shifts!A:A,(shifts!B:B=events!D2023)*(shifts!AH:AH&gt;=events!U2023)*(shifts!AI:AI&lt;=events!V2023))</f>
        <v>71</v>
      </c>
      <c r="X2023" t="str">
        <f t="shared" si="908"/>
        <v>opp_team_player_1</v>
      </c>
      <c r="Y2023">
        <f>COUNTIFS(A$3:A2023,"="&amp;A2023,K$3:K2023,"="&amp;K2023)</f>
        <v>1</v>
      </c>
      <c r="Z2023" s="20">
        <f>SUMIFS(T$3:T2023,L$3:L2023,"=Intermission")+SUMIFS(T$3:T2023,L$3:L2023,"=Timeout")+SUMIFS(T$3:T2023,L$3:L2023,"=Clockstop")</f>
        <v>138</v>
      </c>
      <c r="AA2023">
        <f t="shared" si="899"/>
        <v>2298</v>
      </c>
      <c r="AC2023">
        <f t="shared" si="900"/>
        <v>2436</v>
      </c>
    </row>
    <row r="2024" spans="1:29" x14ac:dyDescent="0.2">
      <c r="A2024">
        <v>1086</v>
      </c>
      <c r="D2024">
        <f t="shared" si="901"/>
        <v>3</v>
      </c>
      <c r="E2024">
        <v>10</v>
      </c>
      <c r="F2024" s="6" t="s">
        <v>481</v>
      </c>
      <c r="I2024" t="s">
        <v>179</v>
      </c>
      <c r="J2024">
        <v>18</v>
      </c>
      <c r="K2024" t="s">
        <v>488</v>
      </c>
      <c r="L2024" t="s">
        <v>7</v>
      </c>
      <c r="M2024" t="s">
        <v>198</v>
      </c>
      <c r="N2024" t="s">
        <v>53</v>
      </c>
      <c r="Q2024">
        <f t="shared" ref="Q2024:S2024" si="941">Q2023</f>
        <v>18977</v>
      </c>
      <c r="R2024" t="str">
        <f t="shared" si="941"/>
        <v>Velodrome</v>
      </c>
      <c r="S2024" t="str">
        <f t="shared" si="941"/>
        <v>HollowBrook</v>
      </c>
      <c r="T2024" s="20">
        <f t="shared" si="905"/>
        <v>0</v>
      </c>
      <c r="U2024">
        <f t="shared" si="906"/>
        <v>639</v>
      </c>
      <c r="V2024">
        <f t="shared" si="907"/>
        <v>639</v>
      </c>
      <c r="W2024" cm="1">
        <f t="array" ref="W2024">_xlfn._xlws.FILTER(shifts!A:A,(shifts!B:B=events!D2024)*(shifts!AH:AH&gt;=events!U2024)*(shifts!AI:AI&lt;=events!V2024))</f>
        <v>71</v>
      </c>
      <c r="X2024" t="str">
        <f t="shared" si="908"/>
        <v>event_team_player_1</v>
      </c>
      <c r="Y2024">
        <f>COUNTIFS(A$3:A2024,"="&amp;A2024,K$3:K2024,"="&amp;K2024)</f>
        <v>1</v>
      </c>
      <c r="Z2024" s="20">
        <f>SUMIFS(T$3:T2024,L$3:L2024,"=Intermission")+SUMIFS(T$3:T2024,L$3:L2024,"=Timeout")+SUMIFS(T$3:T2024,L$3:L2024,"=Clockstop")</f>
        <v>138</v>
      </c>
      <c r="AA2024">
        <f t="shared" si="899"/>
        <v>2298</v>
      </c>
      <c r="AC2024">
        <f t="shared" si="900"/>
        <v>2436</v>
      </c>
    </row>
    <row r="2025" spans="1:29" x14ac:dyDescent="0.2">
      <c r="A2025">
        <v>1086</v>
      </c>
      <c r="D2025">
        <f t="shared" si="901"/>
        <v>3</v>
      </c>
      <c r="E2025">
        <v>10</v>
      </c>
      <c r="F2025" s="6" t="s">
        <v>481</v>
      </c>
      <c r="I2025" t="s">
        <v>179</v>
      </c>
      <c r="J2025">
        <v>13</v>
      </c>
      <c r="K2025" t="s">
        <v>488</v>
      </c>
      <c r="L2025" t="s">
        <v>7</v>
      </c>
      <c r="M2025" t="s">
        <v>198</v>
      </c>
      <c r="N2025" t="s">
        <v>53</v>
      </c>
      <c r="Q2025">
        <f t="shared" ref="Q2025:S2025" si="942">Q2024</f>
        <v>18977</v>
      </c>
      <c r="R2025" t="str">
        <f t="shared" si="942"/>
        <v>Velodrome</v>
      </c>
      <c r="S2025" t="str">
        <f t="shared" si="942"/>
        <v>HollowBrook</v>
      </c>
      <c r="T2025" s="20">
        <f t="shared" si="905"/>
        <v>0</v>
      </c>
      <c r="U2025">
        <f t="shared" si="906"/>
        <v>639</v>
      </c>
      <c r="V2025">
        <f t="shared" si="907"/>
        <v>639</v>
      </c>
      <c r="W2025" cm="1">
        <f t="array" ref="W2025">_xlfn._xlws.FILTER(shifts!A:A,(shifts!B:B=events!D2025)*(shifts!AH:AH&gt;=events!U2025)*(shifts!AI:AI&lt;=events!V2025))</f>
        <v>71</v>
      </c>
      <c r="X2025" t="str">
        <f t="shared" si="908"/>
        <v>event_team_player_2</v>
      </c>
      <c r="Y2025">
        <f>COUNTIFS(A$3:A2025,"="&amp;A2025,K$3:K2025,"="&amp;K2025)</f>
        <v>2</v>
      </c>
      <c r="Z2025" s="20">
        <f>SUMIFS(T$3:T2025,L$3:L2025,"=Intermission")+SUMIFS(T$3:T2025,L$3:L2025,"=Timeout")+SUMIFS(T$3:T2025,L$3:L2025,"=Clockstop")</f>
        <v>138</v>
      </c>
      <c r="AA2025">
        <f t="shared" si="899"/>
        <v>2298</v>
      </c>
      <c r="AC2025">
        <f t="shared" si="900"/>
        <v>2436</v>
      </c>
    </row>
    <row r="2026" spans="1:29" x14ac:dyDescent="0.2">
      <c r="A2026">
        <v>1086</v>
      </c>
      <c r="D2026">
        <f t="shared" si="901"/>
        <v>3</v>
      </c>
      <c r="E2026">
        <v>10</v>
      </c>
      <c r="F2026" s="6" t="s">
        <v>481</v>
      </c>
      <c r="I2026" t="s">
        <v>179</v>
      </c>
      <c r="J2026">
        <v>52</v>
      </c>
      <c r="K2026" t="s">
        <v>489</v>
      </c>
      <c r="L2026" t="s">
        <v>7</v>
      </c>
      <c r="M2026" t="s">
        <v>198</v>
      </c>
      <c r="N2026" t="s">
        <v>53</v>
      </c>
      <c r="Q2026">
        <f t="shared" ref="Q2026:S2026" si="943">Q2025</f>
        <v>18977</v>
      </c>
      <c r="R2026" t="str">
        <f t="shared" si="943"/>
        <v>Velodrome</v>
      </c>
      <c r="S2026" t="str">
        <f t="shared" si="943"/>
        <v>HollowBrook</v>
      </c>
      <c r="T2026" s="20">
        <f t="shared" si="905"/>
        <v>0</v>
      </c>
      <c r="U2026">
        <f t="shared" si="906"/>
        <v>639</v>
      </c>
      <c r="V2026">
        <f t="shared" si="907"/>
        <v>639</v>
      </c>
      <c r="W2026" cm="1">
        <f t="array" ref="W2026">_xlfn._xlws.FILTER(shifts!A:A,(shifts!B:B=events!D2026)*(shifts!AH:AH&gt;=events!U2026)*(shifts!AI:AI&lt;=events!V2026))</f>
        <v>71</v>
      </c>
      <c r="X2026" t="str">
        <f t="shared" si="908"/>
        <v>opp_team_player_1</v>
      </c>
      <c r="Y2026">
        <f>COUNTIFS(A$3:A2026,"="&amp;A2026,K$3:K2026,"="&amp;K2026)</f>
        <v>1</v>
      </c>
      <c r="Z2026" s="20">
        <f>SUMIFS(T$3:T2026,L$3:L2026,"=Intermission")+SUMIFS(T$3:T2026,L$3:L2026,"=Timeout")+SUMIFS(T$3:T2026,L$3:L2026,"=Clockstop")</f>
        <v>138</v>
      </c>
      <c r="AA2026">
        <f t="shared" si="899"/>
        <v>2298</v>
      </c>
      <c r="AC2026">
        <f t="shared" si="900"/>
        <v>2436</v>
      </c>
    </row>
    <row r="2027" spans="1:29" x14ac:dyDescent="0.2">
      <c r="A2027">
        <v>1087</v>
      </c>
      <c r="D2027">
        <f t="shared" si="901"/>
        <v>3</v>
      </c>
      <c r="E2027">
        <v>10</v>
      </c>
      <c r="F2027" s="6" t="s">
        <v>481</v>
      </c>
      <c r="I2027" t="s">
        <v>179</v>
      </c>
      <c r="J2027">
        <v>18</v>
      </c>
      <c r="K2027" t="s">
        <v>488</v>
      </c>
      <c r="L2027" t="s">
        <v>10</v>
      </c>
      <c r="M2027" t="s">
        <v>190</v>
      </c>
      <c r="N2027" t="s">
        <v>79</v>
      </c>
      <c r="Q2027">
        <f t="shared" ref="Q2027:S2027" si="944">Q2026</f>
        <v>18977</v>
      </c>
      <c r="R2027" t="str">
        <f t="shared" si="944"/>
        <v>Velodrome</v>
      </c>
      <c r="S2027" t="str">
        <f t="shared" si="944"/>
        <v>HollowBrook</v>
      </c>
      <c r="T2027" s="20">
        <f t="shared" si="905"/>
        <v>0</v>
      </c>
      <c r="U2027">
        <f t="shared" si="906"/>
        <v>639</v>
      </c>
      <c r="V2027">
        <f t="shared" si="907"/>
        <v>639</v>
      </c>
      <c r="W2027" cm="1">
        <f t="array" ref="W2027">_xlfn._xlws.FILTER(shifts!A:A,(shifts!B:B=events!D2027)*(shifts!AH:AH&gt;=events!U2027)*(shifts!AI:AI&lt;=events!V2027))</f>
        <v>71</v>
      </c>
      <c r="X2027" t="str">
        <f t="shared" si="908"/>
        <v>event_team_player_1</v>
      </c>
      <c r="Y2027">
        <f>COUNTIFS(A$3:A2027,"="&amp;A2027,K$3:K2027,"="&amp;K2027)</f>
        <v>1</v>
      </c>
      <c r="Z2027" s="20">
        <f>SUMIFS(T$3:T2027,L$3:L2027,"=Intermission")+SUMIFS(T$3:T2027,L$3:L2027,"=Timeout")+SUMIFS(T$3:T2027,L$3:L2027,"=Clockstop")</f>
        <v>138</v>
      </c>
      <c r="AA2027">
        <f t="shared" si="899"/>
        <v>2298</v>
      </c>
      <c r="AC2027">
        <f t="shared" si="900"/>
        <v>2436</v>
      </c>
    </row>
    <row r="2028" spans="1:29" x14ac:dyDescent="0.2">
      <c r="A2028">
        <v>1088</v>
      </c>
      <c r="D2028">
        <f t="shared" si="901"/>
        <v>3</v>
      </c>
      <c r="E2028">
        <v>10</v>
      </c>
      <c r="F2028" s="6" t="s">
        <v>439</v>
      </c>
      <c r="G2028">
        <v>10</v>
      </c>
      <c r="H2028" s="8" t="s">
        <v>472</v>
      </c>
      <c r="I2028" t="s">
        <v>178</v>
      </c>
      <c r="J2028">
        <v>87</v>
      </c>
      <c r="K2028" t="s">
        <v>488</v>
      </c>
      <c r="L2028" t="s">
        <v>277</v>
      </c>
      <c r="M2028" t="s">
        <v>201</v>
      </c>
      <c r="N2028" t="s">
        <v>90</v>
      </c>
      <c r="Q2028">
        <f t="shared" ref="Q2028:S2028" si="945">Q2027</f>
        <v>18977</v>
      </c>
      <c r="R2028" t="str">
        <f t="shared" si="945"/>
        <v>Velodrome</v>
      </c>
      <c r="S2028" t="str">
        <f t="shared" si="945"/>
        <v>HollowBrook</v>
      </c>
      <c r="T2028" s="20">
        <f t="shared" si="905"/>
        <v>4</v>
      </c>
      <c r="U2028">
        <f t="shared" si="906"/>
        <v>634</v>
      </c>
      <c r="V2028">
        <f t="shared" si="907"/>
        <v>630</v>
      </c>
      <c r="W2028" cm="1">
        <f t="array" ref="W2028">_xlfn._xlws.FILTER(shifts!A:A,(shifts!B:B=events!D2028)*(shifts!AH:AH&gt;=events!U2028)*(shifts!AI:AI&lt;=events!V2028))</f>
        <v>71</v>
      </c>
      <c r="X2028" t="str">
        <f t="shared" si="908"/>
        <v>event_team_player_1</v>
      </c>
      <c r="Y2028">
        <f>COUNTIFS(A$3:A2028,"="&amp;A2028,K$3:K2028,"="&amp;K2028)</f>
        <v>1</v>
      </c>
      <c r="Z2028" s="20">
        <f>SUMIFS(T$3:T2028,L$3:L2028,"=Intermission")+SUMIFS(T$3:T2028,L$3:L2028,"=Timeout")+SUMIFS(T$3:T2028,L$3:L2028,"=Clockstop")</f>
        <v>138</v>
      </c>
      <c r="AA2028">
        <f t="shared" si="899"/>
        <v>2298</v>
      </c>
      <c r="AC2028">
        <f t="shared" si="900"/>
        <v>2436</v>
      </c>
    </row>
    <row r="2029" spans="1:29" x14ac:dyDescent="0.2">
      <c r="A2029">
        <v>1089</v>
      </c>
      <c r="D2029">
        <f t="shared" si="901"/>
        <v>3</v>
      </c>
      <c r="E2029">
        <v>10</v>
      </c>
      <c r="F2029" s="6" t="s">
        <v>472</v>
      </c>
      <c r="G2029">
        <v>10</v>
      </c>
      <c r="H2029" s="8" t="s">
        <v>483</v>
      </c>
      <c r="I2029" t="s">
        <v>178</v>
      </c>
      <c r="J2029">
        <v>87</v>
      </c>
      <c r="K2029" t="s">
        <v>488</v>
      </c>
      <c r="L2029" t="s">
        <v>15</v>
      </c>
      <c r="Q2029">
        <f t="shared" ref="Q2029:S2029" si="946">Q2028</f>
        <v>18977</v>
      </c>
      <c r="R2029" t="str">
        <f t="shared" si="946"/>
        <v>Velodrome</v>
      </c>
      <c r="S2029" t="str">
        <f t="shared" si="946"/>
        <v>HollowBrook</v>
      </c>
      <c r="T2029" s="20">
        <f t="shared" si="905"/>
        <v>3</v>
      </c>
      <c r="U2029">
        <f t="shared" si="906"/>
        <v>630</v>
      </c>
      <c r="V2029">
        <f t="shared" si="907"/>
        <v>627</v>
      </c>
      <c r="W2029" cm="1">
        <f t="array" ref="W2029">_xlfn._xlws.FILTER(shifts!A:A,(shifts!B:B=events!D2029)*(shifts!AH:AH&gt;=events!U2029)*(shifts!AI:AI&lt;=events!V2029))</f>
        <v>71</v>
      </c>
      <c r="X2029" t="str">
        <f t="shared" si="908"/>
        <v>event_team_player_1</v>
      </c>
      <c r="Y2029">
        <f>COUNTIFS(A$3:A2029,"="&amp;A2029,K$3:K2029,"="&amp;K2029)</f>
        <v>1</v>
      </c>
      <c r="Z2029" s="20">
        <f>SUMIFS(T$3:T2029,L$3:L2029,"=Intermission")+SUMIFS(T$3:T2029,L$3:L2029,"=Timeout")+SUMIFS(T$3:T2029,L$3:L2029,"=Clockstop")</f>
        <v>138</v>
      </c>
      <c r="AA2029">
        <f t="shared" si="899"/>
        <v>2298</v>
      </c>
      <c r="AC2029">
        <f t="shared" si="900"/>
        <v>2436</v>
      </c>
    </row>
    <row r="2030" spans="1:29" x14ac:dyDescent="0.2">
      <c r="A2030">
        <v>1090</v>
      </c>
      <c r="D2030">
        <f t="shared" si="901"/>
        <v>3</v>
      </c>
      <c r="E2030">
        <v>10</v>
      </c>
      <c r="F2030" s="6" t="s">
        <v>483</v>
      </c>
      <c r="G2030">
        <v>10</v>
      </c>
      <c r="H2030" s="8" t="s">
        <v>443</v>
      </c>
      <c r="I2030" t="s">
        <v>178</v>
      </c>
      <c r="J2030">
        <v>87</v>
      </c>
      <c r="K2030" t="s">
        <v>488</v>
      </c>
      <c r="L2030" t="s">
        <v>277</v>
      </c>
      <c r="M2030" t="s">
        <v>191</v>
      </c>
      <c r="N2030" t="s">
        <v>87</v>
      </c>
      <c r="Q2030">
        <f t="shared" ref="Q2030:S2030" si="947">Q2029</f>
        <v>18977</v>
      </c>
      <c r="R2030" t="str">
        <f t="shared" si="947"/>
        <v>Velodrome</v>
      </c>
      <c r="S2030" t="str">
        <f t="shared" si="947"/>
        <v>HollowBrook</v>
      </c>
      <c r="T2030" s="20">
        <f t="shared" si="905"/>
        <v>1</v>
      </c>
      <c r="U2030">
        <f t="shared" si="906"/>
        <v>627</v>
      </c>
      <c r="V2030">
        <f t="shared" si="907"/>
        <v>626</v>
      </c>
      <c r="W2030" cm="1">
        <f t="array" ref="W2030">_xlfn._xlws.FILTER(shifts!A:A,(shifts!B:B=events!D2030)*(shifts!AH:AH&gt;=events!U2030)*(shifts!AI:AI&lt;=events!V2030))</f>
        <v>71</v>
      </c>
      <c r="X2030" t="str">
        <f t="shared" si="908"/>
        <v>event_team_player_1</v>
      </c>
      <c r="Y2030">
        <f>COUNTIFS(A$3:A2030,"="&amp;A2030,K$3:K2030,"="&amp;K2030)</f>
        <v>1</v>
      </c>
      <c r="Z2030" s="20">
        <f>SUMIFS(T$3:T2030,L$3:L2030,"=Intermission")+SUMIFS(T$3:T2030,L$3:L2030,"=Timeout")+SUMIFS(T$3:T2030,L$3:L2030,"=Clockstop")</f>
        <v>138</v>
      </c>
      <c r="AA2030">
        <f t="shared" si="899"/>
        <v>2298</v>
      </c>
      <c r="AC2030">
        <f t="shared" si="900"/>
        <v>2436</v>
      </c>
    </row>
    <row r="2031" spans="1:29" x14ac:dyDescent="0.2">
      <c r="A2031">
        <v>1090</v>
      </c>
      <c r="D2031">
        <f t="shared" si="901"/>
        <v>3</v>
      </c>
      <c r="E2031">
        <v>10</v>
      </c>
      <c r="F2031" s="6" t="s">
        <v>483</v>
      </c>
      <c r="G2031">
        <v>10</v>
      </c>
      <c r="H2031" s="8" t="s">
        <v>443</v>
      </c>
      <c r="I2031" t="s">
        <v>178</v>
      </c>
      <c r="J2031">
        <v>61</v>
      </c>
      <c r="K2031" t="s">
        <v>488</v>
      </c>
      <c r="L2031" t="s">
        <v>277</v>
      </c>
      <c r="M2031" t="s">
        <v>191</v>
      </c>
      <c r="N2031" t="s">
        <v>87</v>
      </c>
      <c r="Q2031">
        <f t="shared" ref="Q2031:S2031" si="948">Q2030</f>
        <v>18977</v>
      </c>
      <c r="R2031" t="str">
        <f t="shared" si="948"/>
        <v>Velodrome</v>
      </c>
      <c r="S2031" t="str">
        <f t="shared" si="948"/>
        <v>HollowBrook</v>
      </c>
      <c r="T2031" s="20">
        <f t="shared" si="905"/>
        <v>1</v>
      </c>
      <c r="U2031">
        <f t="shared" si="906"/>
        <v>627</v>
      </c>
      <c r="V2031">
        <f t="shared" si="907"/>
        <v>626</v>
      </c>
      <c r="W2031" cm="1">
        <f t="array" ref="W2031">_xlfn._xlws.FILTER(shifts!A:A,(shifts!B:B=events!D2031)*(shifts!AH:AH&gt;=events!U2031)*(shifts!AI:AI&lt;=events!V2031))</f>
        <v>71</v>
      </c>
      <c r="X2031" t="str">
        <f t="shared" si="908"/>
        <v>event_team_player_2</v>
      </c>
      <c r="Y2031">
        <f>COUNTIFS(A$3:A2031,"="&amp;A2031,K$3:K2031,"="&amp;K2031)</f>
        <v>2</v>
      </c>
      <c r="Z2031" s="20">
        <f>SUMIFS(T$3:T2031,L$3:L2031,"=Intermission")+SUMIFS(T$3:T2031,L$3:L2031,"=Timeout")+SUMIFS(T$3:T2031,L$3:L2031,"=Clockstop")</f>
        <v>138</v>
      </c>
      <c r="AA2031">
        <f t="shared" si="899"/>
        <v>2298</v>
      </c>
      <c r="AC2031">
        <f t="shared" si="900"/>
        <v>2436</v>
      </c>
    </row>
    <row r="2032" spans="1:29" x14ac:dyDescent="0.2">
      <c r="A2032">
        <v>1090</v>
      </c>
      <c r="D2032">
        <f t="shared" si="901"/>
        <v>3</v>
      </c>
      <c r="E2032">
        <v>10</v>
      </c>
      <c r="F2032" s="6" t="s">
        <v>483</v>
      </c>
      <c r="G2032">
        <v>10</v>
      </c>
      <c r="H2032" s="8" t="s">
        <v>443</v>
      </c>
      <c r="I2032" t="s">
        <v>178</v>
      </c>
      <c r="J2032">
        <v>18</v>
      </c>
      <c r="K2032" t="s">
        <v>489</v>
      </c>
      <c r="L2032" t="s">
        <v>277</v>
      </c>
      <c r="M2032" t="s">
        <v>191</v>
      </c>
      <c r="N2032" t="s">
        <v>87</v>
      </c>
      <c r="Q2032">
        <f t="shared" ref="Q2032:S2032" si="949">Q2031</f>
        <v>18977</v>
      </c>
      <c r="R2032" t="str">
        <f t="shared" si="949"/>
        <v>Velodrome</v>
      </c>
      <c r="S2032" t="str">
        <f t="shared" si="949"/>
        <v>HollowBrook</v>
      </c>
      <c r="T2032" s="20">
        <f t="shared" si="905"/>
        <v>1</v>
      </c>
      <c r="U2032">
        <f t="shared" si="906"/>
        <v>627</v>
      </c>
      <c r="V2032">
        <f t="shared" si="907"/>
        <v>626</v>
      </c>
      <c r="W2032" cm="1">
        <f t="array" ref="W2032">_xlfn._xlws.FILTER(shifts!A:A,(shifts!B:B=events!D2032)*(shifts!AH:AH&gt;=events!U2032)*(shifts!AI:AI&lt;=events!V2032))</f>
        <v>71</v>
      </c>
      <c r="X2032" t="str">
        <f t="shared" si="908"/>
        <v>opp_team_player_1</v>
      </c>
      <c r="Y2032">
        <f>COUNTIFS(A$3:A2032,"="&amp;A2032,K$3:K2032,"="&amp;K2032)</f>
        <v>1</v>
      </c>
      <c r="Z2032" s="20">
        <f>SUMIFS(T$3:T2032,L$3:L2032,"=Intermission")+SUMIFS(T$3:T2032,L$3:L2032,"=Timeout")+SUMIFS(T$3:T2032,L$3:L2032,"=Clockstop")</f>
        <v>138</v>
      </c>
      <c r="AA2032">
        <f t="shared" si="899"/>
        <v>2298</v>
      </c>
      <c r="AC2032">
        <f t="shared" si="900"/>
        <v>2436</v>
      </c>
    </row>
    <row r="2033" spans="1:29" x14ac:dyDescent="0.2">
      <c r="A2033">
        <v>1091</v>
      </c>
      <c r="D2033">
        <f t="shared" si="901"/>
        <v>3</v>
      </c>
      <c r="E2033">
        <v>10</v>
      </c>
      <c r="F2033" s="6" t="s">
        <v>443</v>
      </c>
      <c r="I2033" t="s">
        <v>178</v>
      </c>
      <c r="J2033">
        <v>87</v>
      </c>
      <c r="K2033" t="s">
        <v>488</v>
      </c>
      <c r="L2033" t="s">
        <v>8</v>
      </c>
      <c r="M2033" t="s">
        <v>189</v>
      </c>
      <c r="N2033" t="s">
        <v>510</v>
      </c>
      <c r="Q2033">
        <f t="shared" ref="Q2033:S2033" si="950">Q2032</f>
        <v>18977</v>
      </c>
      <c r="R2033" t="str">
        <f t="shared" si="950"/>
        <v>Velodrome</v>
      </c>
      <c r="S2033" t="str">
        <f t="shared" si="950"/>
        <v>HollowBrook</v>
      </c>
      <c r="T2033" s="20">
        <f t="shared" si="905"/>
        <v>0</v>
      </c>
      <c r="U2033">
        <f t="shared" si="906"/>
        <v>626</v>
      </c>
      <c r="V2033">
        <f t="shared" si="907"/>
        <v>626</v>
      </c>
      <c r="W2033" cm="1">
        <f t="array" ref="W2033">_xlfn._xlws.FILTER(shifts!A:A,(shifts!B:B=events!D2033)*(shifts!AH:AH&gt;=events!U2033)*(shifts!AI:AI&lt;=events!V2033))</f>
        <v>71</v>
      </c>
      <c r="X2033" t="str">
        <f t="shared" si="908"/>
        <v>event_team_player_1</v>
      </c>
      <c r="Y2033">
        <f>COUNTIFS(A$3:A2033,"="&amp;A2033,K$3:K2033,"="&amp;K2033)</f>
        <v>1</v>
      </c>
      <c r="Z2033" s="20">
        <f>SUMIFS(T$3:T2033,L$3:L2033,"=Intermission")+SUMIFS(T$3:T2033,L$3:L2033,"=Timeout")+SUMIFS(T$3:T2033,L$3:L2033,"=Clockstop")</f>
        <v>138</v>
      </c>
      <c r="AA2033">
        <f t="shared" si="899"/>
        <v>2298</v>
      </c>
      <c r="AC2033">
        <f t="shared" si="900"/>
        <v>2436</v>
      </c>
    </row>
    <row r="2034" spans="1:29" x14ac:dyDescent="0.2">
      <c r="A2034">
        <v>1091</v>
      </c>
      <c r="D2034">
        <f t="shared" si="901"/>
        <v>3</v>
      </c>
      <c r="E2034">
        <v>10</v>
      </c>
      <c r="F2034" s="6" t="s">
        <v>443</v>
      </c>
      <c r="I2034" t="s">
        <v>178</v>
      </c>
      <c r="J2034">
        <v>61</v>
      </c>
      <c r="K2034" t="s">
        <v>488</v>
      </c>
      <c r="L2034" t="s">
        <v>8</v>
      </c>
      <c r="M2034" t="s">
        <v>189</v>
      </c>
      <c r="N2034" t="s">
        <v>510</v>
      </c>
      <c r="Q2034">
        <f t="shared" ref="Q2034:S2034" si="951">Q2033</f>
        <v>18977</v>
      </c>
      <c r="R2034" t="str">
        <f t="shared" si="951"/>
        <v>Velodrome</v>
      </c>
      <c r="S2034" t="str">
        <f t="shared" si="951"/>
        <v>HollowBrook</v>
      </c>
      <c r="T2034" s="20">
        <f t="shared" si="905"/>
        <v>0</v>
      </c>
      <c r="U2034">
        <f t="shared" si="906"/>
        <v>626</v>
      </c>
      <c r="V2034">
        <f t="shared" si="907"/>
        <v>626</v>
      </c>
      <c r="W2034" cm="1">
        <f t="array" ref="W2034">_xlfn._xlws.FILTER(shifts!A:A,(shifts!B:B=events!D2034)*(shifts!AH:AH&gt;=events!U2034)*(shifts!AI:AI&lt;=events!V2034))</f>
        <v>71</v>
      </c>
      <c r="X2034" t="str">
        <f t="shared" si="908"/>
        <v>event_team_player_2</v>
      </c>
      <c r="Y2034">
        <f>COUNTIFS(A$3:A2034,"="&amp;A2034,K$3:K2034,"="&amp;K2034)</f>
        <v>2</v>
      </c>
      <c r="Z2034" s="20">
        <f>SUMIFS(T$3:T2034,L$3:L2034,"=Intermission")+SUMIFS(T$3:T2034,L$3:L2034,"=Timeout")+SUMIFS(T$3:T2034,L$3:L2034,"=Clockstop")</f>
        <v>138</v>
      </c>
      <c r="AA2034">
        <f t="shared" si="899"/>
        <v>2298</v>
      </c>
      <c r="AC2034">
        <f t="shared" si="900"/>
        <v>2436</v>
      </c>
    </row>
    <row r="2035" spans="1:29" x14ac:dyDescent="0.2">
      <c r="A2035">
        <v>1092</v>
      </c>
      <c r="D2035">
        <f t="shared" si="901"/>
        <v>3</v>
      </c>
      <c r="E2035">
        <v>10</v>
      </c>
      <c r="F2035" s="6" t="s">
        <v>443</v>
      </c>
      <c r="G2035">
        <v>10</v>
      </c>
      <c r="H2035" s="8" t="s">
        <v>441</v>
      </c>
      <c r="I2035" t="s">
        <v>178</v>
      </c>
      <c r="J2035">
        <v>61</v>
      </c>
      <c r="K2035" t="s">
        <v>488</v>
      </c>
      <c r="L2035" t="s">
        <v>15</v>
      </c>
      <c r="Q2035">
        <f t="shared" ref="Q2035:S2035" si="952">Q2034</f>
        <v>18977</v>
      </c>
      <c r="R2035" t="str">
        <f t="shared" si="952"/>
        <v>Velodrome</v>
      </c>
      <c r="S2035" t="str">
        <f t="shared" si="952"/>
        <v>HollowBrook</v>
      </c>
      <c r="T2035" s="20">
        <f t="shared" si="905"/>
        <v>1</v>
      </c>
      <c r="U2035">
        <f t="shared" si="906"/>
        <v>626</v>
      </c>
      <c r="V2035">
        <f t="shared" si="907"/>
        <v>625</v>
      </c>
      <c r="W2035" cm="1">
        <f t="array" ref="W2035">_xlfn._xlws.FILTER(shifts!A:A,(shifts!B:B=events!D2035)*(shifts!AH:AH&gt;=events!U2035)*(shifts!AI:AI&lt;=events!V2035))</f>
        <v>71</v>
      </c>
      <c r="X2035" t="str">
        <f t="shared" si="908"/>
        <v>event_team_player_1</v>
      </c>
      <c r="Y2035">
        <f>COUNTIFS(A$3:A2035,"="&amp;A2035,K$3:K2035,"="&amp;K2035)</f>
        <v>1</v>
      </c>
      <c r="Z2035" s="20">
        <f>SUMIFS(T$3:T2035,L$3:L2035,"=Intermission")+SUMIFS(T$3:T2035,L$3:L2035,"=Timeout")+SUMIFS(T$3:T2035,L$3:L2035,"=Clockstop")</f>
        <v>138</v>
      </c>
      <c r="AA2035">
        <f t="shared" si="899"/>
        <v>2298</v>
      </c>
      <c r="AC2035">
        <f t="shared" si="900"/>
        <v>2436</v>
      </c>
    </row>
    <row r="2036" spans="1:29" x14ac:dyDescent="0.2">
      <c r="A2036">
        <v>1093</v>
      </c>
      <c r="D2036">
        <f t="shared" si="901"/>
        <v>3</v>
      </c>
      <c r="E2036">
        <v>10</v>
      </c>
      <c r="F2036" s="6" t="s">
        <v>441</v>
      </c>
      <c r="I2036" t="s">
        <v>178</v>
      </c>
      <c r="J2036">
        <v>61</v>
      </c>
      <c r="K2036" t="s">
        <v>488</v>
      </c>
      <c r="L2036" t="s">
        <v>7</v>
      </c>
      <c r="M2036" t="s">
        <v>208</v>
      </c>
      <c r="N2036" t="s">
        <v>53</v>
      </c>
      <c r="Q2036">
        <f t="shared" ref="Q2036:S2036" si="953">Q2035</f>
        <v>18977</v>
      </c>
      <c r="R2036" t="str">
        <f t="shared" si="953"/>
        <v>Velodrome</v>
      </c>
      <c r="S2036" t="str">
        <f t="shared" si="953"/>
        <v>HollowBrook</v>
      </c>
      <c r="T2036" s="20">
        <f t="shared" si="905"/>
        <v>0</v>
      </c>
      <c r="U2036">
        <f t="shared" si="906"/>
        <v>625</v>
      </c>
      <c r="V2036">
        <f t="shared" si="907"/>
        <v>625</v>
      </c>
      <c r="W2036" cm="1">
        <f t="array" ref="W2036">_xlfn._xlws.FILTER(shifts!A:A,(shifts!B:B=events!D2036)*(shifts!AH:AH&gt;=events!U2036)*(shifts!AI:AI&lt;=events!V2036))</f>
        <v>71</v>
      </c>
      <c r="X2036" t="str">
        <f t="shared" si="908"/>
        <v>event_team_player_1</v>
      </c>
      <c r="Y2036">
        <f>COUNTIFS(A$3:A2036,"="&amp;A2036,K$3:K2036,"="&amp;K2036)</f>
        <v>1</v>
      </c>
      <c r="Z2036" s="20">
        <f>SUMIFS(T$3:T2036,L$3:L2036,"=Intermission")+SUMIFS(T$3:T2036,L$3:L2036,"=Timeout")+SUMIFS(T$3:T2036,L$3:L2036,"=Clockstop")</f>
        <v>138</v>
      </c>
      <c r="AA2036">
        <f t="shared" si="899"/>
        <v>2298</v>
      </c>
      <c r="AC2036">
        <f t="shared" si="900"/>
        <v>2436</v>
      </c>
    </row>
    <row r="2037" spans="1:29" x14ac:dyDescent="0.2">
      <c r="A2037">
        <v>1093</v>
      </c>
      <c r="D2037">
        <f t="shared" si="901"/>
        <v>3</v>
      </c>
      <c r="E2037">
        <v>10</v>
      </c>
      <c r="F2037" s="6" t="s">
        <v>441</v>
      </c>
      <c r="I2037" t="s">
        <v>178</v>
      </c>
      <c r="J2037">
        <v>13</v>
      </c>
      <c r="K2037" t="s">
        <v>489</v>
      </c>
      <c r="L2037" t="s">
        <v>7</v>
      </c>
      <c r="M2037" t="s">
        <v>208</v>
      </c>
      <c r="N2037" t="s">
        <v>53</v>
      </c>
      <c r="Q2037">
        <f t="shared" ref="Q2037:S2037" si="954">Q2036</f>
        <v>18977</v>
      </c>
      <c r="R2037" t="str">
        <f t="shared" si="954"/>
        <v>Velodrome</v>
      </c>
      <c r="S2037" t="str">
        <f t="shared" si="954"/>
        <v>HollowBrook</v>
      </c>
      <c r="T2037" s="20">
        <f t="shared" si="905"/>
        <v>0</v>
      </c>
      <c r="U2037">
        <f t="shared" si="906"/>
        <v>625</v>
      </c>
      <c r="V2037">
        <f t="shared" si="907"/>
        <v>625</v>
      </c>
      <c r="W2037" cm="1">
        <f t="array" ref="W2037">_xlfn._xlws.FILTER(shifts!A:A,(shifts!B:B=events!D2037)*(shifts!AH:AH&gt;=events!U2037)*(shifts!AI:AI&lt;=events!V2037))</f>
        <v>71</v>
      </c>
      <c r="X2037" t="str">
        <f t="shared" si="908"/>
        <v>opp_team_player_1</v>
      </c>
      <c r="Y2037">
        <f>COUNTIFS(A$3:A2037,"="&amp;A2037,K$3:K2037,"="&amp;K2037)</f>
        <v>1</v>
      </c>
      <c r="Z2037" s="20">
        <f>SUMIFS(T$3:T2037,L$3:L2037,"=Intermission")+SUMIFS(T$3:T2037,L$3:L2037,"=Timeout")+SUMIFS(T$3:T2037,L$3:L2037,"=Clockstop")</f>
        <v>138</v>
      </c>
      <c r="AA2037">
        <f t="shared" si="899"/>
        <v>2298</v>
      </c>
      <c r="AC2037">
        <f t="shared" si="900"/>
        <v>2436</v>
      </c>
    </row>
    <row r="2038" spans="1:29" x14ac:dyDescent="0.2">
      <c r="A2038">
        <v>1094</v>
      </c>
      <c r="D2038">
        <f t="shared" si="901"/>
        <v>3</v>
      </c>
      <c r="E2038">
        <v>10</v>
      </c>
      <c r="F2038" s="6" t="s">
        <v>456</v>
      </c>
      <c r="G2038">
        <v>10</v>
      </c>
      <c r="H2038" s="8" t="s">
        <v>473</v>
      </c>
      <c r="I2038" t="s">
        <v>178</v>
      </c>
      <c r="J2038">
        <v>87</v>
      </c>
      <c r="K2038" t="s">
        <v>488</v>
      </c>
      <c r="L2038" t="s">
        <v>15</v>
      </c>
      <c r="Q2038">
        <f t="shared" ref="Q2038:S2038" si="955">Q2037</f>
        <v>18977</v>
      </c>
      <c r="R2038" t="str">
        <f t="shared" si="955"/>
        <v>Velodrome</v>
      </c>
      <c r="S2038" t="str">
        <f t="shared" si="955"/>
        <v>HollowBrook</v>
      </c>
      <c r="T2038" s="20">
        <f t="shared" si="905"/>
        <v>2</v>
      </c>
      <c r="U2038">
        <f t="shared" si="906"/>
        <v>623</v>
      </c>
      <c r="V2038">
        <f t="shared" si="907"/>
        <v>621</v>
      </c>
      <c r="W2038" cm="1">
        <f t="array" ref="W2038">_xlfn._xlws.FILTER(shifts!A:A,(shifts!B:B=events!D2038)*(shifts!AH:AH&gt;=events!U2038)*(shifts!AI:AI&lt;=events!V2038))</f>
        <v>72</v>
      </c>
      <c r="X2038" t="str">
        <f t="shared" si="908"/>
        <v>event_team_player_1</v>
      </c>
      <c r="Y2038">
        <f>COUNTIFS(A$3:A2038,"="&amp;A2038,K$3:K2038,"="&amp;K2038)</f>
        <v>1</v>
      </c>
      <c r="Z2038" s="20">
        <f>SUMIFS(T$3:T2038,L$3:L2038,"=Intermission")+SUMIFS(T$3:T2038,L$3:L2038,"=Timeout")+SUMIFS(T$3:T2038,L$3:L2038,"=Clockstop")</f>
        <v>138</v>
      </c>
      <c r="AA2038">
        <f t="shared" si="899"/>
        <v>2298</v>
      </c>
      <c r="AC2038">
        <f t="shared" si="900"/>
        <v>2436</v>
      </c>
    </row>
    <row r="2039" spans="1:29" x14ac:dyDescent="0.2">
      <c r="A2039">
        <v>1095</v>
      </c>
      <c r="D2039">
        <f t="shared" si="901"/>
        <v>3</v>
      </c>
      <c r="E2039">
        <v>10</v>
      </c>
      <c r="F2039" s="6" t="s">
        <v>473</v>
      </c>
      <c r="I2039" t="s">
        <v>178</v>
      </c>
      <c r="J2039">
        <v>87</v>
      </c>
      <c r="K2039" t="s">
        <v>488</v>
      </c>
      <c r="L2039" t="s">
        <v>8</v>
      </c>
      <c r="M2039" t="s">
        <v>199</v>
      </c>
      <c r="N2039" t="s">
        <v>70</v>
      </c>
      <c r="Q2039">
        <f t="shared" ref="Q2039:S2039" si="956">Q2038</f>
        <v>18977</v>
      </c>
      <c r="R2039" t="str">
        <f t="shared" si="956"/>
        <v>Velodrome</v>
      </c>
      <c r="S2039" t="str">
        <f t="shared" si="956"/>
        <v>HollowBrook</v>
      </c>
      <c r="T2039" s="20">
        <f t="shared" si="905"/>
        <v>0</v>
      </c>
      <c r="U2039">
        <f t="shared" si="906"/>
        <v>621</v>
      </c>
      <c r="V2039">
        <f t="shared" si="907"/>
        <v>621</v>
      </c>
      <c r="W2039" cm="1">
        <f t="array" ref="W2039">_xlfn._xlws.FILTER(shifts!A:A,(shifts!B:B=events!D2039)*(shifts!AH:AH&gt;=events!U2039)*(shifts!AI:AI&lt;=events!V2039))</f>
        <v>72</v>
      </c>
      <c r="X2039" t="str">
        <f t="shared" si="908"/>
        <v>event_team_player_1</v>
      </c>
      <c r="Y2039">
        <f>COUNTIFS(A$3:A2039,"="&amp;A2039,K$3:K2039,"="&amp;K2039)</f>
        <v>1</v>
      </c>
      <c r="Z2039" s="20">
        <f>SUMIFS(T$3:T2039,L$3:L2039,"=Intermission")+SUMIFS(T$3:T2039,L$3:L2039,"=Timeout")+SUMIFS(T$3:T2039,L$3:L2039,"=Clockstop")</f>
        <v>138</v>
      </c>
      <c r="AA2039">
        <f t="shared" si="899"/>
        <v>2298</v>
      </c>
      <c r="AC2039">
        <f t="shared" si="900"/>
        <v>2436</v>
      </c>
    </row>
    <row r="2040" spans="1:29" x14ac:dyDescent="0.2">
      <c r="A2040">
        <v>1095</v>
      </c>
      <c r="D2040">
        <f t="shared" si="901"/>
        <v>3</v>
      </c>
      <c r="E2040">
        <v>10</v>
      </c>
      <c r="F2040" s="6" t="s">
        <v>473</v>
      </c>
      <c r="I2040" t="s">
        <v>178</v>
      </c>
      <c r="J2040">
        <v>61</v>
      </c>
      <c r="K2040" t="s">
        <v>488</v>
      </c>
      <c r="L2040" t="s">
        <v>8</v>
      </c>
      <c r="M2040" t="s">
        <v>199</v>
      </c>
      <c r="N2040" t="s">
        <v>70</v>
      </c>
      <c r="Q2040">
        <f t="shared" ref="Q2040:S2040" si="957">Q2039</f>
        <v>18977</v>
      </c>
      <c r="R2040" t="str">
        <f t="shared" si="957"/>
        <v>Velodrome</v>
      </c>
      <c r="S2040" t="str">
        <f t="shared" si="957"/>
        <v>HollowBrook</v>
      </c>
      <c r="T2040" s="20">
        <f t="shared" si="905"/>
        <v>0</v>
      </c>
      <c r="U2040">
        <f t="shared" si="906"/>
        <v>621</v>
      </c>
      <c r="V2040">
        <f t="shared" si="907"/>
        <v>621</v>
      </c>
      <c r="W2040" cm="1">
        <f t="array" ref="W2040">_xlfn._xlws.FILTER(shifts!A:A,(shifts!B:B=events!D2040)*(shifts!AH:AH&gt;=events!U2040)*(shifts!AI:AI&lt;=events!V2040))</f>
        <v>72</v>
      </c>
      <c r="X2040" t="str">
        <f t="shared" si="908"/>
        <v>event_team_player_2</v>
      </c>
      <c r="Y2040">
        <f>COUNTIFS(A$3:A2040,"="&amp;A2040,K$3:K2040,"="&amp;K2040)</f>
        <v>2</v>
      </c>
      <c r="Z2040" s="20">
        <f>SUMIFS(T$3:T2040,L$3:L2040,"=Intermission")+SUMIFS(T$3:T2040,L$3:L2040,"=Timeout")+SUMIFS(T$3:T2040,L$3:L2040,"=Clockstop")</f>
        <v>138</v>
      </c>
      <c r="AA2040">
        <f t="shared" si="899"/>
        <v>2298</v>
      </c>
      <c r="AC2040">
        <f t="shared" si="900"/>
        <v>2436</v>
      </c>
    </row>
    <row r="2041" spans="1:29" x14ac:dyDescent="0.2">
      <c r="A2041">
        <v>1095</v>
      </c>
      <c r="D2041">
        <f t="shared" si="901"/>
        <v>3</v>
      </c>
      <c r="E2041">
        <v>10</v>
      </c>
      <c r="F2041" s="6" t="s">
        <v>473</v>
      </c>
      <c r="I2041" t="s">
        <v>178</v>
      </c>
      <c r="J2041">
        <v>5</v>
      </c>
      <c r="K2041" t="s">
        <v>489</v>
      </c>
      <c r="L2041" t="s">
        <v>8</v>
      </c>
      <c r="M2041" t="s">
        <v>199</v>
      </c>
      <c r="N2041" t="s">
        <v>70</v>
      </c>
      <c r="Q2041">
        <f t="shared" ref="Q2041:S2041" si="958">Q2040</f>
        <v>18977</v>
      </c>
      <c r="R2041" t="str">
        <f t="shared" si="958"/>
        <v>Velodrome</v>
      </c>
      <c r="S2041" t="str">
        <f t="shared" si="958"/>
        <v>HollowBrook</v>
      </c>
      <c r="T2041" s="20">
        <f t="shared" si="905"/>
        <v>0</v>
      </c>
      <c r="U2041">
        <f t="shared" si="906"/>
        <v>621</v>
      </c>
      <c r="V2041">
        <f t="shared" si="907"/>
        <v>621</v>
      </c>
      <c r="W2041" cm="1">
        <f t="array" ref="W2041">_xlfn._xlws.FILTER(shifts!A:A,(shifts!B:B=events!D2041)*(shifts!AH:AH&gt;=events!U2041)*(shifts!AI:AI&lt;=events!V2041))</f>
        <v>72</v>
      </c>
      <c r="X2041" t="str">
        <f t="shared" si="908"/>
        <v>opp_team_player_1</v>
      </c>
      <c r="Y2041">
        <f>COUNTIFS(A$3:A2041,"="&amp;A2041,K$3:K2041,"="&amp;K2041)</f>
        <v>1</v>
      </c>
      <c r="Z2041" s="20">
        <f>SUMIFS(T$3:T2041,L$3:L2041,"=Intermission")+SUMIFS(T$3:T2041,L$3:L2041,"=Timeout")+SUMIFS(T$3:T2041,L$3:L2041,"=Clockstop")</f>
        <v>138</v>
      </c>
      <c r="AA2041">
        <f t="shared" si="899"/>
        <v>2298</v>
      </c>
      <c r="AC2041">
        <f t="shared" si="900"/>
        <v>2436</v>
      </c>
    </row>
    <row r="2042" spans="1:29" x14ac:dyDescent="0.2">
      <c r="A2042">
        <v>1096</v>
      </c>
      <c r="D2042">
        <f t="shared" si="901"/>
        <v>3</v>
      </c>
      <c r="E2042">
        <v>10</v>
      </c>
      <c r="F2042" s="6" t="s">
        <v>473</v>
      </c>
      <c r="I2042" t="s">
        <v>178</v>
      </c>
      <c r="J2042">
        <v>87</v>
      </c>
      <c r="K2042" t="s">
        <v>488</v>
      </c>
      <c r="L2042" t="s">
        <v>10</v>
      </c>
      <c r="M2042" t="s">
        <v>190</v>
      </c>
      <c r="N2042" t="s">
        <v>76</v>
      </c>
      <c r="Q2042">
        <f t="shared" ref="Q2042:S2042" si="959">Q2041</f>
        <v>18977</v>
      </c>
      <c r="R2042" t="str">
        <f t="shared" si="959"/>
        <v>Velodrome</v>
      </c>
      <c r="S2042" t="str">
        <f t="shared" si="959"/>
        <v>HollowBrook</v>
      </c>
      <c r="T2042" s="20">
        <f t="shared" si="905"/>
        <v>0</v>
      </c>
      <c r="U2042">
        <f t="shared" si="906"/>
        <v>621</v>
      </c>
      <c r="V2042">
        <f t="shared" si="907"/>
        <v>621</v>
      </c>
      <c r="W2042" cm="1">
        <f t="array" ref="W2042">_xlfn._xlws.FILTER(shifts!A:A,(shifts!B:B=events!D2042)*(shifts!AH:AH&gt;=events!U2042)*(shifts!AI:AI&lt;=events!V2042))</f>
        <v>72</v>
      </c>
      <c r="X2042" t="str">
        <f t="shared" si="908"/>
        <v>event_team_player_1</v>
      </c>
      <c r="Y2042">
        <f>COUNTIFS(A$3:A2042,"="&amp;A2042,K$3:K2042,"="&amp;K2042)</f>
        <v>1</v>
      </c>
      <c r="Z2042" s="20">
        <f>SUMIFS(T$3:T2042,L$3:L2042,"=Intermission")+SUMIFS(T$3:T2042,L$3:L2042,"=Timeout")+SUMIFS(T$3:T2042,L$3:L2042,"=Clockstop")</f>
        <v>138</v>
      </c>
      <c r="AA2042">
        <f t="shared" si="899"/>
        <v>2298</v>
      </c>
      <c r="AC2042">
        <f t="shared" si="900"/>
        <v>2436</v>
      </c>
    </row>
    <row r="2043" spans="1:29" x14ac:dyDescent="0.2">
      <c r="A2043">
        <v>1097</v>
      </c>
      <c r="D2043">
        <f t="shared" si="901"/>
        <v>3</v>
      </c>
      <c r="E2043">
        <v>10</v>
      </c>
      <c r="F2043" s="6" t="s">
        <v>446</v>
      </c>
      <c r="I2043" t="s">
        <v>179</v>
      </c>
      <c r="J2043">
        <v>26</v>
      </c>
      <c r="K2043" t="s">
        <v>488</v>
      </c>
      <c r="L2043" t="s">
        <v>8</v>
      </c>
      <c r="M2043" t="s">
        <v>189</v>
      </c>
      <c r="N2043" t="s">
        <v>70</v>
      </c>
      <c r="Q2043">
        <f t="shared" ref="Q2043:S2043" si="960">Q2042</f>
        <v>18977</v>
      </c>
      <c r="R2043" t="str">
        <f t="shared" si="960"/>
        <v>Velodrome</v>
      </c>
      <c r="S2043" t="str">
        <f t="shared" si="960"/>
        <v>HollowBrook</v>
      </c>
      <c r="T2043" s="20">
        <f t="shared" si="905"/>
        <v>0</v>
      </c>
      <c r="U2043">
        <f t="shared" si="906"/>
        <v>617</v>
      </c>
      <c r="V2043">
        <f t="shared" si="907"/>
        <v>617</v>
      </c>
      <c r="W2043" cm="1">
        <f t="array" ref="W2043">_xlfn._xlws.FILTER(shifts!A:A,(shifts!B:B=events!D2043)*(shifts!AH:AH&gt;=events!U2043)*(shifts!AI:AI&lt;=events!V2043))</f>
        <v>72</v>
      </c>
      <c r="X2043" t="str">
        <f t="shared" si="908"/>
        <v>event_team_player_1</v>
      </c>
      <c r="Y2043">
        <f>COUNTIFS(A$3:A2043,"="&amp;A2043,K$3:K2043,"="&amp;K2043)</f>
        <v>1</v>
      </c>
      <c r="Z2043" s="20">
        <f>SUMIFS(T$3:T2043,L$3:L2043,"=Intermission")+SUMIFS(T$3:T2043,L$3:L2043,"=Timeout")+SUMIFS(T$3:T2043,L$3:L2043,"=Clockstop")</f>
        <v>138</v>
      </c>
      <c r="AA2043">
        <f t="shared" si="899"/>
        <v>2298</v>
      </c>
      <c r="AC2043">
        <f t="shared" si="900"/>
        <v>2436</v>
      </c>
    </row>
    <row r="2044" spans="1:29" x14ac:dyDescent="0.2">
      <c r="A2044">
        <v>1097</v>
      </c>
      <c r="D2044">
        <f t="shared" si="901"/>
        <v>3</v>
      </c>
      <c r="E2044">
        <v>10</v>
      </c>
      <c r="F2044" s="6" t="s">
        <v>446</v>
      </c>
      <c r="I2044" t="s">
        <v>179</v>
      </c>
      <c r="J2044">
        <v>13</v>
      </c>
      <c r="K2044" t="s">
        <v>488</v>
      </c>
      <c r="L2044" t="s">
        <v>8</v>
      </c>
      <c r="M2044" t="s">
        <v>189</v>
      </c>
      <c r="N2044" t="s">
        <v>70</v>
      </c>
      <c r="Q2044">
        <f t="shared" ref="Q2044:S2044" si="961">Q2043</f>
        <v>18977</v>
      </c>
      <c r="R2044" t="str">
        <f t="shared" si="961"/>
        <v>Velodrome</v>
      </c>
      <c r="S2044" t="str">
        <f t="shared" si="961"/>
        <v>HollowBrook</v>
      </c>
      <c r="T2044" s="20">
        <f t="shared" si="905"/>
        <v>0</v>
      </c>
      <c r="U2044">
        <f t="shared" si="906"/>
        <v>617</v>
      </c>
      <c r="V2044">
        <f t="shared" si="907"/>
        <v>617</v>
      </c>
      <c r="W2044" cm="1">
        <f t="array" ref="W2044">_xlfn._xlws.FILTER(shifts!A:A,(shifts!B:B=events!D2044)*(shifts!AH:AH&gt;=events!U2044)*(shifts!AI:AI&lt;=events!V2044))</f>
        <v>72</v>
      </c>
      <c r="X2044" t="str">
        <f t="shared" si="908"/>
        <v>event_team_player_2</v>
      </c>
      <c r="Y2044">
        <f>COUNTIFS(A$3:A2044,"="&amp;A2044,K$3:K2044,"="&amp;K2044)</f>
        <v>2</v>
      </c>
      <c r="Z2044" s="20">
        <f>SUMIFS(T$3:T2044,L$3:L2044,"=Intermission")+SUMIFS(T$3:T2044,L$3:L2044,"=Timeout")+SUMIFS(T$3:T2044,L$3:L2044,"=Clockstop")</f>
        <v>138</v>
      </c>
      <c r="AA2044">
        <f t="shared" si="899"/>
        <v>2298</v>
      </c>
      <c r="AC2044">
        <f t="shared" si="900"/>
        <v>2436</v>
      </c>
    </row>
    <row r="2045" spans="1:29" x14ac:dyDescent="0.2">
      <c r="A2045">
        <v>1098</v>
      </c>
      <c r="D2045">
        <f t="shared" si="901"/>
        <v>3</v>
      </c>
      <c r="E2045">
        <v>10</v>
      </c>
      <c r="F2045" s="6" t="s">
        <v>447</v>
      </c>
      <c r="I2045" t="s">
        <v>179</v>
      </c>
      <c r="J2045">
        <v>13</v>
      </c>
      <c r="K2045" t="s">
        <v>488</v>
      </c>
      <c r="L2045" t="s">
        <v>8</v>
      </c>
      <c r="M2045" t="s">
        <v>189</v>
      </c>
      <c r="N2045" t="s">
        <v>510</v>
      </c>
      <c r="Q2045">
        <f t="shared" ref="Q2045:S2045" si="962">Q2044</f>
        <v>18977</v>
      </c>
      <c r="R2045" t="str">
        <f t="shared" si="962"/>
        <v>Velodrome</v>
      </c>
      <c r="S2045" t="str">
        <f t="shared" si="962"/>
        <v>HollowBrook</v>
      </c>
      <c r="T2045" s="20">
        <f t="shared" si="905"/>
        <v>0</v>
      </c>
      <c r="U2045">
        <f t="shared" si="906"/>
        <v>615</v>
      </c>
      <c r="V2045">
        <f t="shared" si="907"/>
        <v>615</v>
      </c>
      <c r="W2045" cm="1">
        <f t="array" ref="W2045">_xlfn._xlws.FILTER(shifts!A:A,(shifts!B:B=events!D2045)*(shifts!AH:AH&gt;=events!U2045)*(shifts!AI:AI&lt;=events!V2045))</f>
        <v>72</v>
      </c>
      <c r="X2045" t="str">
        <f t="shared" si="908"/>
        <v>event_team_player_1</v>
      </c>
      <c r="Y2045">
        <f>COUNTIFS(A$3:A2045,"="&amp;A2045,K$3:K2045,"="&amp;K2045)</f>
        <v>1</v>
      </c>
      <c r="Z2045" s="20">
        <f>SUMIFS(T$3:T2045,L$3:L2045,"=Intermission")+SUMIFS(T$3:T2045,L$3:L2045,"=Timeout")+SUMIFS(T$3:T2045,L$3:L2045,"=Clockstop")</f>
        <v>138</v>
      </c>
      <c r="AA2045">
        <f t="shared" si="899"/>
        <v>2298</v>
      </c>
      <c r="AC2045">
        <f t="shared" si="900"/>
        <v>2436</v>
      </c>
    </row>
    <row r="2046" spans="1:29" x14ac:dyDescent="0.2">
      <c r="A2046">
        <v>1098</v>
      </c>
      <c r="D2046">
        <f t="shared" si="901"/>
        <v>3</v>
      </c>
      <c r="E2046">
        <v>10</v>
      </c>
      <c r="F2046" s="6" t="s">
        <v>447</v>
      </c>
      <c r="I2046" t="s">
        <v>179</v>
      </c>
      <c r="J2046">
        <v>19</v>
      </c>
      <c r="K2046" t="s">
        <v>488</v>
      </c>
      <c r="L2046" t="s">
        <v>8</v>
      </c>
      <c r="M2046" t="s">
        <v>189</v>
      </c>
      <c r="N2046" t="s">
        <v>510</v>
      </c>
      <c r="Q2046">
        <f t="shared" ref="Q2046:S2046" si="963">Q2045</f>
        <v>18977</v>
      </c>
      <c r="R2046" t="str">
        <f t="shared" si="963"/>
        <v>Velodrome</v>
      </c>
      <c r="S2046" t="str">
        <f t="shared" si="963"/>
        <v>HollowBrook</v>
      </c>
      <c r="T2046" s="20">
        <f t="shared" si="905"/>
        <v>0</v>
      </c>
      <c r="U2046">
        <f t="shared" si="906"/>
        <v>615</v>
      </c>
      <c r="V2046">
        <f t="shared" si="907"/>
        <v>615</v>
      </c>
      <c r="W2046" cm="1">
        <f t="array" ref="W2046">_xlfn._xlws.FILTER(shifts!A:A,(shifts!B:B=events!D2046)*(shifts!AH:AH&gt;=events!U2046)*(shifts!AI:AI&lt;=events!V2046))</f>
        <v>72</v>
      </c>
      <c r="X2046" t="str">
        <f t="shared" si="908"/>
        <v>event_team_player_2</v>
      </c>
      <c r="Y2046">
        <f>COUNTIFS(A$3:A2046,"="&amp;A2046,K$3:K2046,"="&amp;K2046)</f>
        <v>2</v>
      </c>
      <c r="Z2046" s="20">
        <f>SUMIFS(T$3:T2046,L$3:L2046,"=Intermission")+SUMIFS(T$3:T2046,L$3:L2046,"=Timeout")+SUMIFS(T$3:T2046,L$3:L2046,"=Clockstop")</f>
        <v>138</v>
      </c>
      <c r="AA2046">
        <f t="shared" si="899"/>
        <v>2298</v>
      </c>
      <c r="AC2046">
        <f t="shared" si="900"/>
        <v>2436</v>
      </c>
    </row>
    <row r="2047" spans="1:29" x14ac:dyDescent="0.2">
      <c r="A2047">
        <v>1099</v>
      </c>
      <c r="D2047">
        <f t="shared" si="901"/>
        <v>3</v>
      </c>
      <c r="E2047">
        <v>10</v>
      </c>
      <c r="F2047" s="6" t="s">
        <v>423</v>
      </c>
      <c r="I2047" t="s">
        <v>179</v>
      </c>
      <c r="J2047">
        <v>19</v>
      </c>
      <c r="K2047" t="s">
        <v>488</v>
      </c>
      <c r="L2047" t="s">
        <v>277</v>
      </c>
      <c r="M2047" t="s">
        <v>201</v>
      </c>
      <c r="N2047" t="s">
        <v>90</v>
      </c>
      <c r="Q2047">
        <f t="shared" ref="Q2047:S2047" si="964">Q2046</f>
        <v>18977</v>
      </c>
      <c r="R2047" t="str">
        <f t="shared" si="964"/>
        <v>Velodrome</v>
      </c>
      <c r="S2047" t="str">
        <f t="shared" si="964"/>
        <v>HollowBrook</v>
      </c>
      <c r="T2047" s="20">
        <f t="shared" si="905"/>
        <v>0</v>
      </c>
      <c r="U2047">
        <f t="shared" si="906"/>
        <v>614</v>
      </c>
      <c r="V2047">
        <f t="shared" si="907"/>
        <v>614</v>
      </c>
      <c r="W2047" cm="1">
        <f t="array" ref="W2047">_xlfn._xlws.FILTER(shifts!A:A,(shifts!B:B=events!D2047)*(shifts!AH:AH&gt;=events!U2047)*(shifts!AI:AI&lt;=events!V2047))</f>
        <v>72</v>
      </c>
      <c r="X2047" t="str">
        <f t="shared" si="908"/>
        <v>event_team_player_1</v>
      </c>
      <c r="Y2047">
        <f>COUNTIFS(A$3:A2047,"="&amp;A2047,K$3:K2047,"="&amp;K2047)</f>
        <v>1</v>
      </c>
      <c r="Z2047" s="20">
        <f>SUMIFS(T$3:T2047,L$3:L2047,"=Intermission")+SUMIFS(T$3:T2047,L$3:L2047,"=Timeout")+SUMIFS(T$3:T2047,L$3:L2047,"=Clockstop")</f>
        <v>138</v>
      </c>
      <c r="AA2047">
        <f t="shared" si="899"/>
        <v>2298</v>
      </c>
      <c r="AC2047">
        <f t="shared" si="900"/>
        <v>2436</v>
      </c>
    </row>
    <row r="2048" spans="1:29" x14ac:dyDescent="0.2">
      <c r="A2048">
        <v>1100</v>
      </c>
      <c r="D2048">
        <f t="shared" si="901"/>
        <v>3</v>
      </c>
      <c r="E2048">
        <v>10</v>
      </c>
      <c r="F2048" s="6" t="s">
        <v>423</v>
      </c>
      <c r="G2048">
        <v>10</v>
      </c>
      <c r="H2048" s="8" t="s">
        <v>449</v>
      </c>
      <c r="I2048" t="s">
        <v>179</v>
      </c>
      <c r="J2048">
        <v>19</v>
      </c>
      <c r="K2048" t="s">
        <v>488</v>
      </c>
      <c r="L2048" t="s">
        <v>15</v>
      </c>
      <c r="Q2048">
        <f t="shared" ref="Q2048:S2048" si="965">Q2047</f>
        <v>18977</v>
      </c>
      <c r="R2048" t="str">
        <f t="shared" si="965"/>
        <v>Velodrome</v>
      </c>
      <c r="S2048" t="str">
        <f t="shared" si="965"/>
        <v>HollowBrook</v>
      </c>
      <c r="T2048" s="20">
        <f t="shared" si="905"/>
        <v>2</v>
      </c>
      <c r="U2048">
        <f t="shared" si="906"/>
        <v>614</v>
      </c>
      <c r="V2048">
        <f t="shared" si="907"/>
        <v>612</v>
      </c>
      <c r="W2048" cm="1">
        <f t="array" ref="W2048">_xlfn._xlws.FILTER(shifts!A:A,(shifts!B:B=events!D2048)*(shifts!AH:AH&gt;=events!U2048)*(shifts!AI:AI&lt;=events!V2048))</f>
        <v>72</v>
      </c>
      <c r="X2048" t="str">
        <f t="shared" si="908"/>
        <v>event_team_player_1</v>
      </c>
      <c r="Y2048">
        <f>COUNTIFS(A$3:A2048,"="&amp;A2048,K$3:K2048,"="&amp;K2048)</f>
        <v>1</v>
      </c>
      <c r="Z2048" s="20">
        <f>SUMIFS(T$3:T2048,L$3:L2048,"=Intermission")+SUMIFS(T$3:T2048,L$3:L2048,"=Timeout")+SUMIFS(T$3:T2048,L$3:L2048,"=Clockstop")</f>
        <v>138</v>
      </c>
      <c r="AA2048">
        <f t="shared" si="899"/>
        <v>2298</v>
      </c>
      <c r="AC2048">
        <f t="shared" si="900"/>
        <v>2436</v>
      </c>
    </row>
    <row r="2049" spans="1:29" x14ac:dyDescent="0.2">
      <c r="A2049">
        <v>1101</v>
      </c>
      <c r="D2049">
        <f t="shared" si="901"/>
        <v>3</v>
      </c>
      <c r="E2049">
        <v>10</v>
      </c>
      <c r="F2049" s="6" t="s">
        <v>449</v>
      </c>
      <c r="G2049">
        <v>10</v>
      </c>
      <c r="H2049" s="8" t="s">
        <v>486</v>
      </c>
      <c r="I2049" t="s">
        <v>179</v>
      </c>
      <c r="J2049">
        <v>19</v>
      </c>
      <c r="K2049" t="s">
        <v>488</v>
      </c>
      <c r="L2049" t="s">
        <v>277</v>
      </c>
      <c r="M2049" t="s">
        <v>191</v>
      </c>
      <c r="N2049" t="s">
        <v>87</v>
      </c>
      <c r="Q2049">
        <f t="shared" ref="Q2049:S2049" si="966">Q2048</f>
        <v>18977</v>
      </c>
      <c r="R2049" t="str">
        <f t="shared" si="966"/>
        <v>Velodrome</v>
      </c>
      <c r="S2049" t="str">
        <f t="shared" si="966"/>
        <v>HollowBrook</v>
      </c>
      <c r="T2049" s="20">
        <f t="shared" si="905"/>
        <v>1</v>
      </c>
      <c r="U2049">
        <f t="shared" si="906"/>
        <v>612</v>
      </c>
      <c r="V2049">
        <f t="shared" si="907"/>
        <v>611</v>
      </c>
      <c r="W2049" cm="1">
        <f t="array" ref="W2049">_xlfn._xlws.FILTER(shifts!A:A,(shifts!B:B=events!D2049)*(shifts!AH:AH&gt;=events!U2049)*(shifts!AI:AI&lt;=events!V2049))</f>
        <v>72</v>
      </c>
      <c r="X2049" t="str">
        <f t="shared" si="908"/>
        <v>event_team_player_1</v>
      </c>
      <c r="Y2049">
        <f>COUNTIFS(A$3:A2049,"="&amp;A2049,K$3:K2049,"="&amp;K2049)</f>
        <v>1</v>
      </c>
      <c r="Z2049" s="20">
        <f>SUMIFS(T$3:T2049,L$3:L2049,"=Intermission")+SUMIFS(T$3:T2049,L$3:L2049,"=Timeout")+SUMIFS(T$3:T2049,L$3:L2049,"=Clockstop")</f>
        <v>138</v>
      </c>
      <c r="AA2049">
        <f t="shared" si="899"/>
        <v>2298</v>
      </c>
      <c r="AC2049">
        <f t="shared" si="900"/>
        <v>2436</v>
      </c>
    </row>
    <row r="2050" spans="1:29" x14ac:dyDescent="0.2">
      <c r="A2050">
        <v>1101</v>
      </c>
      <c r="D2050">
        <f t="shared" si="901"/>
        <v>3</v>
      </c>
      <c r="E2050">
        <v>10</v>
      </c>
      <c r="F2050" s="6" t="s">
        <v>449</v>
      </c>
      <c r="G2050">
        <v>10</v>
      </c>
      <c r="H2050" s="8" t="s">
        <v>486</v>
      </c>
      <c r="I2050" t="s">
        <v>179</v>
      </c>
      <c r="J2050">
        <v>87</v>
      </c>
      <c r="K2050" t="s">
        <v>489</v>
      </c>
      <c r="L2050" t="s">
        <v>277</v>
      </c>
      <c r="M2050" t="s">
        <v>191</v>
      </c>
      <c r="N2050" t="s">
        <v>87</v>
      </c>
      <c r="Q2050">
        <f t="shared" ref="Q2050:S2050" si="967">Q2049</f>
        <v>18977</v>
      </c>
      <c r="R2050" t="str">
        <f t="shared" si="967"/>
        <v>Velodrome</v>
      </c>
      <c r="S2050" t="str">
        <f t="shared" si="967"/>
        <v>HollowBrook</v>
      </c>
      <c r="T2050" s="20">
        <f t="shared" si="905"/>
        <v>1</v>
      </c>
      <c r="U2050">
        <f t="shared" si="906"/>
        <v>612</v>
      </c>
      <c r="V2050">
        <f t="shared" si="907"/>
        <v>611</v>
      </c>
      <c r="W2050" cm="1">
        <f t="array" ref="W2050">_xlfn._xlws.FILTER(shifts!A:A,(shifts!B:B=events!D2050)*(shifts!AH:AH&gt;=events!U2050)*(shifts!AI:AI&lt;=events!V2050))</f>
        <v>72</v>
      </c>
      <c r="X2050" t="str">
        <f t="shared" si="908"/>
        <v>opp_team_player_1</v>
      </c>
      <c r="Y2050">
        <f>COUNTIFS(A$3:A2050,"="&amp;A2050,K$3:K2050,"="&amp;K2050)</f>
        <v>1</v>
      </c>
      <c r="Z2050" s="20">
        <f>SUMIFS(T$3:T2050,L$3:L2050,"=Intermission")+SUMIFS(T$3:T2050,L$3:L2050,"=Timeout")+SUMIFS(T$3:T2050,L$3:L2050,"=Clockstop")</f>
        <v>138</v>
      </c>
      <c r="AA2050">
        <f t="shared" si="899"/>
        <v>2298</v>
      </c>
      <c r="AC2050">
        <f t="shared" si="900"/>
        <v>2436</v>
      </c>
    </row>
    <row r="2051" spans="1:29" x14ac:dyDescent="0.2">
      <c r="A2051">
        <v>1101</v>
      </c>
      <c r="D2051">
        <f t="shared" si="901"/>
        <v>3</v>
      </c>
      <c r="E2051">
        <v>10</v>
      </c>
      <c r="F2051" s="6" t="s">
        <v>449</v>
      </c>
      <c r="G2051">
        <v>10</v>
      </c>
      <c r="H2051" s="8" t="s">
        <v>486</v>
      </c>
      <c r="I2051" t="s">
        <v>179</v>
      </c>
      <c r="J2051">
        <v>52</v>
      </c>
      <c r="K2051" t="s">
        <v>489</v>
      </c>
      <c r="L2051" t="s">
        <v>277</v>
      </c>
      <c r="M2051" t="s">
        <v>191</v>
      </c>
      <c r="N2051" t="s">
        <v>87</v>
      </c>
      <c r="Q2051">
        <f t="shared" ref="Q2051:S2051" si="968">Q2050</f>
        <v>18977</v>
      </c>
      <c r="R2051" t="str">
        <f t="shared" si="968"/>
        <v>Velodrome</v>
      </c>
      <c r="S2051" t="str">
        <f t="shared" si="968"/>
        <v>HollowBrook</v>
      </c>
      <c r="T2051" s="20">
        <f t="shared" si="905"/>
        <v>1</v>
      </c>
      <c r="U2051">
        <f t="shared" si="906"/>
        <v>612</v>
      </c>
      <c r="V2051">
        <f t="shared" si="907"/>
        <v>611</v>
      </c>
      <c r="W2051" cm="1">
        <f t="array" ref="W2051">_xlfn._xlws.FILTER(shifts!A:A,(shifts!B:B=events!D2051)*(shifts!AH:AH&gt;=events!U2051)*(shifts!AI:AI&lt;=events!V2051))</f>
        <v>72</v>
      </c>
      <c r="X2051" t="str">
        <f t="shared" si="908"/>
        <v>opp_team_player_2</v>
      </c>
      <c r="Y2051">
        <f>COUNTIFS(A$3:A2051,"="&amp;A2051,K$3:K2051,"="&amp;K2051)</f>
        <v>2</v>
      </c>
      <c r="Z2051" s="20">
        <f>SUMIFS(T$3:T2051,L$3:L2051,"=Intermission")+SUMIFS(T$3:T2051,L$3:L2051,"=Timeout")+SUMIFS(T$3:T2051,L$3:L2051,"=Clockstop")</f>
        <v>138</v>
      </c>
      <c r="AA2051">
        <f t="shared" si="899"/>
        <v>2298</v>
      </c>
      <c r="AC2051">
        <f t="shared" si="900"/>
        <v>2436</v>
      </c>
    </row>
    <row r="2052" spans="1:29" x14ac:dyDescent="0.2">
      <c r="A2052">
        <v>1102</v>
      </c>
      <c r="D2052">
        <f t="shared" si="901"/>
        <v>3</v>
      </c>
      <c r="E2052">
        <v>10</v>
      </c>
      <c r="F2052" s="6" t="s">
        <v>486</v>
      </c>
      <c r="G2052">
        <v>10</v>
      </c>
      <c r="H2052" s="8" t="s">
        <v>424</v>
      </c>
      <c r="I2052" t="s">
        <v>179</v>
      </c>
      <c r="J2052">
        <v>19</v>
      </c>
      <c r="K2052" t="s">
        <v>488</v>
      </c>
      <c r="L2052" t="s">
        <v>15</v>
      </c>
      <c r="Q2052">
        <f t="shared" ref="Q2052:S2052" si="969">Q2051</f>
        <v>18977</v>
      </c>
      <c r="R2052" t="str">
        <f t="shared" si="969"/>
        <v>Velodrome</v>
      </c>
      <c r="S2052" t="str">
        <f t="shared" si="969"/>
        <v>HollowBrook</v>
      </c>
      <c r="T2052" s="20">
        <f t="shared" si="905"/>
        <v>2</v>
      </c>
      <c r="U2052">
        <f t="shared" si="906"/>
        <v>611</v>
      </c>
      <c r="V2052">
        <f t="shared" si="907"/>
        <v>609</v>
      </c>
      <c r="W2052" cm="1">
        <f t="array" ref="W2052">_xlfn._xlws.FILTER(shifts!A:A,(shifts!B:B=events!D2052)*(shifts!AH:AH&gt;=events!U2052)*(shifts!AI:AI&lt;=events!V2052))</f>
        <v>73</v>
      </c>
      <c r="X2052" t="str">
        <f t="shared" si="908"/>
        <v>event_team_player_1</v>
      </c>
      <c r="Y2052">
        <f>COUNTIFS(A$3:A2052,"="&amp;A2052,K$3:K2052,"="&amp;K2052)</f>
        <v>1</v>
      </c>
      <c r="Z2052" s="20">
        <f>SUMIFS(T$3:T2052,L$3:L2052,"=Intermission")+SUMIFS(T$3:T2052,L$3:L2052,"=Timeout")+SUMIFS(T$3:T2052,L$3:L2052,"=Clockstop")</f>
        <v>138</v>
      </c>
      <c r="AA2052">
        <f t="shared" ref="AA2052:AA2115" si="970">IF(D2052=1,0,IF(D2052=2,1080+Z2052,IF(D2052=3,(1080*2)+Z2052,0)))</f>
        <v>2298</v>
      </c>
      <c r="AC2052">
        <f t="shared" ref="AC2052:AC2115" si="971">IF(L2051="GameStart",0,AA2052+Z2052)</f>
        <v>2436</v>
      </c>
    </row>
    <row r="2053" spans="1:29" x14ac:dyDescent="0.2">
      <c r="A2053">
        <v>1102</v>
      </c>
      <c r="D2053">
        <f t="shared" ref="D2053:D2116" si="972">IF(L2053="Intermission",D2052+1,D2052)</f>
        <v>3</v>
      </c>
      <c r="E2053">
        <v>10</v>
      </c>
      <c r="F2053" s="6" t="s">
        <v>486</v>
      </c>
      <c r="G2053">
        <v>10</v>
      </c>
      <c r="H2053" s="8" t="s">
        <v>424</v>
      </c>
      <c r="I2053" t="s">
        <v>179</v>
      </c>
      <c r="J2053">
        <v>52</v>
      </c>
      <c r="K2053" t="s">
        <v>489</v>
      </c>
      <c r="L2053" t="s">
        <v>15</v>
      </c>
      <c r="Q2053">
        <f t="shared" ref="Q2053:S2053" si="973">Q2052</f>
        <v>18977</v>
      </c>
      <c r="R2053" t="str">
        <f t="shared" si="973"/>
        <v>Velodrome</v>
      </c>
      <c r="S2053" t="str">
        <f t="shared" si="973"/>
        <v>HollowBrook</v>
      </c>
      <c r="T2053" s="20">
        <f t="shared" si="905"/>
        <v>2</v>
      </c>
      <c r="U2053">
        <f t="shared" si="906"/>
        <v>611</v>
      </c>
      <c r="V2053">
        <f t="shared" si="907"/>
        <v>609</v>
      </c>
      <c r="W2053" cm="1">
        <f t="array" ref="W2053">_xlfn._xlws.FILTER(shifts!A:A,(shifts!B:B=events!D2053)*(shifts!AH:AH&gt;=events!U2053)*(shifts!AI:AI&lt;=events!V2053))</f>
        <v>73</v>
      </c>
      <c r="X2053" t="str">
        <f t="shared" si="908"/>
        <v>opp_team_player_1</v>
      </c>
      <c r="Y2053">
        <f>COUNTIFS(A$3:A2053,"="&amp;A2053,K$3:K2053,"="&amp;K2053)</f>
        <v>1</v>
      </c>
      <c r="Z2053" s="20">
        <f>SUMIFS(T$3:T2053,L$3:L2053,"=Intermission")+SUMIFS(T$3:T2053,L$3:L2053,"=Timeout")+SUMIFS(T$3:T2053,L$3:L2053,"=Clockstop")</f>
        <v>138</v>
      </c>
      <c r="AA2053">
        <f t="shared" si="970"/>
        <v>2298</v>
      </c>
      <c r="AC2053">
        <f t="shared" si="971"/>
        <v>2436</v>
      </c>
    </row>
    <row r="2054" spans="1:29" x14ac:dyDescent="0.2">
      <c r="A2054">
        <v>1102</v>
      </c>
      <c r="D2054">
        <f t="shared" si="972"/>
        <v>3</v>
      </c>
      <c r="E2054">
        <v>10</v>
      </c>
      <c r="F2054" s="6" t="s">
        <v>486</v>
      </c>
      <c r="G2054">
        <v>10</v>
      </c>
      <c r="H2054" s="8" t="s">
        <v>424</v>
      </c>
      <c r="I2054" t="s">
        <v>179</v>
      </c>
      <c r="J2054">
        <v>87</v>
      </c>
      <c r="K2054" t="s">
        <v>489</v>
      </c>
      <c r="L2054" t="s">
        <v>15</v>
      </c>
      <c r="Q2054">
        <f t="shared" ref="Q2054:S2054" si="974">Q2053</f>
        <v>18977</v>
      </c>
      <c r="R2054" t="str">
        <f t="shared" si="974"/>
        <v>Velodrome</v>
      </c>
      <c r="S2054" t="str">
        <f t="shared" si="974"/>
        <v>HollowBrook</v>
      </c>
      <c r="T2054" s="20">
        <f t="shared" si="905"/>
        <v>2</v>
      </c>
      <c r="U2054">
        <f t="shared" si="906"/>
        <v>611</v>
      </c>
      <c r="V2054">
        <f t="shared" si="907"/>
        <v>609</v>
      </c>
      <c r="W2054" cm="1">
        <f t="array" ref="W2054">_xlfn._xlws.FILTER(shifts!A:A,(shifts!B:B=events!D2054)*(shifts!AH:AH&gt;=events!U2054)*(shifts!AI:AI&lt;=events!V2054))</f>
        <v>73</v>
      </c>
      <c r="X2054" t="str">
        <f t="shared" si="908"/>
        <v>opp_team_player_2</v>
      </c>
      <c r="Y2054">
        <f>COUNTIFS(A$3:A2054,"="&amp;A2054,K$3:K2054,"="&amp;K2054)</f>
        <v>2</v>
      </c>
      <c r="Z2054" s="20">
        <f>SUMIFS(T$3:T2054,L$3:L2054,"=Intermission")+SUMIFS(T$3:T2054,L$3:L2054,"=Timeout")+SUMIFS(T$3:T2054,L$3:L2054,"=Clockstop")</f>
        <v>138</v>
      </c>
      <c r="AA2054">
        <f t="shared" si="970"/>
        <v>2298</v>
      </c>
      <c r="AC2054">
        <f t="shared" si="971"/>
        <v>2436</v>
      </c>
    </row>
    <row r="2055" spans="1:29" x14ac:dyDescent="0.2">
      <c r="A2055">
        <v>1103</v>
      </c>
      <c r="D2055">
        <f t="shared" si="972"/>
        <v>3</v>
      </c>
      <c r="E2055">
        <v>10</v>
      </c>
      <c r="F2055" s="6" t="s">
        <v>313</v>
      </c>
      <c r="G2055">
        <v>10</v>
      </c>
      <c r="H2055" s="8" t="s">
        <v>310</v>
      </c>
      <c r="I2055" t="s">
        <v>179</v>
      </c>
      <c r="J2055">
        <v>19</v>
      </c>
      <c r="K2055" t="s">
        <v>488</v>
      </c>
      <c r="L2055" t="s">
        <v>15</v>
      </c>
      <c r="Q2055">
        <f t="shared" ref="Q2055:S2055" si="975">Q2054</f>
        <v>18977</v>
      </c>
      <c r="R2055" t="str">
        <f t="shared" si="975"/>
        <v>Velodrome</v>
      </c>
      <c r="S2055" t="str">
        <f t="shared" si="975"/>
        <v>HollowBrook</v>
      </c>
      <c r="T2055" s="20">
        <f t="shared" ref="T2055:T2118" si="976">IF(AND(G2055="",H2055=""),0,((E2055*60)+F2055)-((G2055*60)+H2055))</f>
        <v>4</v>
      </c>
      <c r="U2055">
        <f t="shared" ref="U2055:U2118" si="977">(E2055*60)+F2055</f>
        <v>608</v>
      </c>
      <c r="V2055">
        <f t="shared" ref="V2055:V2118" si="978">IF(AND(G2055="",H2055=""),U2055,((G2055*60)+H2055))</f>
        <v>604</v>
      </c>
      <c r="W2055" cm="1">
        <f t="array" ref="W2055">_xlfn._xlws.FILTER(shifts!A:A,(shifts!B:B=events!D2055)*(shifts!AH:AH&gt;=events!U2055)*(shifts!AI:AI&lt;=events!V2055))</f>
        <v>73</v>
      </c>
      <c r="X2055" t="str">
        <f t="shared" ref="X2055:X2118" si="979">IF(K2055="e","event_team_player_"&amp;Y2055,IF(K2055="o","opp_team_player_"&amp;Y2055,""))</f>
        <v>event_team_player_1</v>
      </c>
      <c r="Y2055">
        <f>COUNTIFS(A$3:A2055,"="&amp;A2055,K$3:K2055,"="&amp;K2055)</f>
        <v>1</v>
      </c>
      <c r="Z2055" s="20">
        <f>SUMIFS(T$3:T2055,L$3:L2055,"=Intermission")+SUMIFS(T$3:T2055,L$3:L2055,"=Timeout")+SUMIFS(T$3:T2055,L$3:L2055,"=Clockstop")</f>
        <v>138</v>
      </c>
      <c r="AA2055">
        <f t="shared" si="970"/>
        <v>2298</v>
      </c>
      <c r="AC2055">
        <f t="shared" si="971"/>
        <v>2436</v>
      </c>
    </row>
    <row r="2056" spans="1:29" x14ac:dyDescent="0.2">
      <c r="A2056">
        <v>1104</v>
      </c>
      <c r="D2056">
        <f t="shared" si="972"/>
        <v>3</v>
      </c>
      <c r="E2056">
        <v>10</v>
      </c>
      <c r="F2056" s="6" t="s">
        <v>310</v>
      </c>
      <c r="I2056" t="s">
        <v>179</v>
      </c>
      <c r="J2056">
        <v>19</v>
      </c>
      <c r="K2056" t="s">
        <v>488</v>
      </c>
      <c r="L2056" t="s">
        <v>8</v>
      </c>
      <c r="M2056" t="s">
        <v>189</v>
      </c>
      <c r="N2056" t="s">
        <v>70</v>
      </c>
      <c r="Q2056">
        <f t="shared" ref="Q2056:S2056" si="980">Q2055</f>
        <v>18977</v>
      </c>
      <c r="R2056" t="str">
        <f t="shared" si="980"/>
        <v>Velodrome</v>
      </c>
      <c r="S2056" t="str">
        <f t="shared" si="980"/>
        <v>HollowBrook</v>
      </c>
      <c r="T2056" s="20">
        <f t="shared" si="976"/>
        <v>0</v>
      </c>
      <c r="U2056">
        <f t="shared" si="977"/>
        <v>604</v>
      </c>
      <c r="V2056">
        <f t="shared" si="978"/>
        <v>604</v>
      </c>
      <c r="W2056" cm="1">
        <f t="array" ref="W2056">_xlfn._xlws.FILTER(shifts!A:A,(shifts!B:B=events!D2056)*(shifts!AH:AH&gt;=events!U2056)*(shifts!AI:AI&lt;=events!V2056))</f>
        <v>73</v>
      </c>
      <c r="X2056" t="str">
        <f t="shared" si="979"/>
        <v>event_team_player_1</v>
      </c>
      <c r="Y2056">
        <f>COUNTIFS(A$3:A2056,"="&amp;A2056,K$3:K2056,"="&amp;K2056)</f>
        <v>1</v>
      </c>
      <c r="Z2056" s="20">
        <f>SUMIFS(T$3:T2056,L$3:L2056,"=Intermission")+SUMIFS(T$3:T2056,L$3:L2056,"=Timeout")+SUMIFS(T$3:T2056,L$3:L2056,"=Clockstop")</f>
        <v>138</v>
      </c>
      <c r="AA2056">
        <f t="shared" si="970"/>
        <v>2298</v>
      </c>
      <c r="AC2056">
        <f t="shared" si="971"/>
        <v>2436</v>
      </c>
    </row>
    <row r="2057" spans="1:29" x14ac:dyDescent="0.2">
      <c r="A2057">
        <v>1104</v>
      </c>
      <c r="D2057">
        <f t="shared" si="972"/>
        <v>3</v>
      </c>
      <c r="E2057">
        <v>10</v>
      </c>
      <c r="F2057" s="6" t="s">
        <v>310</v>
      </c>
      <c r="I2057" t="s">
        <v>179</v>
      </c>
      <c r="J2057">
        <v>5</v>
      </c>
      <c r="K2057" t="s">
        <v>488</v>
      </c>
      <c r="L2057" t="s">
        <v>8</v>
      </c>
      <c r="M2057" t="s">
        <v>189</v>
      </c>
      <c r="N2057" t="s">
        <v>70</v>
      </c>
      <c r="Q2057">
        <f t="shared" ref="Q2057:S2057" si="981">Q2056</f>
        <v>18977</v>
      </c>
      <c r="R2057" t="str">
        <f t="shared" si="981"/>
        <v>Velodrome</v>
      </c>
      <c r="S2057" t="str">
        <f t="shared" si="981"/>
        <v>HollowBrook</v>
      </c>
      <c r="T2057" s="20">
        <f t="shared" si="976"/>
        <v>0</v>
      </c>
      <c r="U2057">
        <f t="shared" si="977"/>
        <v>604</v>
      </c>
      <c r="V2057">
        <f t="shared" si="978"/>
        <v>604</v>
      </c>
      <c r="W2057" cm="1">
        <f t="array" ref="W2057">_xlfn._xlws.FILTER(shifts!A:A,(shifts!B:B=events!D2057)*(shifts!AH:AH&gt;=events!U2057)*(shifts!AI:AI&lt;=events!V2057))</f>
        <v>73</v>
      </c>
      <c r="X2057" t="str">
        <f t="shared" si="979"/>
        <v>event_team_player_2</v>
      </c>
      <c r="Y2057">
        <f>COUNTIFS(A$3:A2057,"="&amp;A2057,K$3:K2057,"="&amp;K2057)</f>
        <v>2</v>
      </c>
      <c r="Z2057" s="20">
        <f>SUMIFS(T$3:T2057,L$3:L2057,"=Intermission")+SUMIFS(T$3:T2057,L$3:L2057,"=Timeout")+SUMIFS(T$3:T2057,L$3:L2057,"=Clockstop")</f>
        <v>138</v>
      </c>
      <c r="AA2057">
        <f t="shared" si="970"/>
        <v>2298</v>
      </c>
      <c r="AC2057">
        <f t="shared" si="971"/>
        <v>2436</v>
      </c>
    </row>
    <row r="2058" spans="1:29" x14ac:dyDescent="0.2">
      <c r="A2058">
        <v>1105</v>
      </c>
      <c r="D2058">
        <f t="shared" si="972"/>
        <v>3</v>
      </c>
      <c r="E2058">
        <v>10</v>
      </c>
      <c r="F2058" s="6" t="s">
        <v>310</v>
      </c>
      <c r="G2058">
        <v>10</v>
      </c>
      <c r="H2058" s="8" t="s">
        <v>316</v>
      </c>
      <c r="I2058" t="s">
        <v>179</v>
      </c>
      <c r="J2058">
        <v>5</v>
      </c>
      <c r="K2058" t="s">
        <v>488</v>
      </c>
      <c r="L2058" t="s">
        <v>15</v>
      </c>
      <c r="Q2058">
        <f t="shared" ref="Q2058:S2058" si="982">Q2057</f>
        <v>18977</v>
      </c>
      <c r="R2058" t="str">
        <f t="shared" si="982"/>
        <v>Velodrome</v>
      </c>
      <c r="S2058" t="str">
        <f t="shared" si="982"/>
        <v>HollowBrook</v>
      </c>
      <c r="T2058" s="20">
        <f t="shared" si="976"/>
        <v>2</v>
      </c>
      <c r="U2058">
        <f t="shared" si="977"/>
        <v>604</v>
      </c>
      <c r="V2058">
        <f t="shared" si="978"/>
        <v>602</v>
      </c>
      <c r="W2058" cm="1">
        <f t="array" ref="W2058">_xlfn._xlws.FILTER(shifts!A:A,(shifts!B:B=events!D2058)*(shifts!AH:AH&gt;=events!U2058)*(shifts!AI:AI&lt;=events!V2058))</f>
        <v>73</v>
      </c>
      <c r="X2058" t="str">
        <f t="shared" si="979"/>
        <v>event_team_player_1</v>
      </c>
      <c r="Y2058">
        <f>COUNTIFS(A$3:A2058,"="&amp;A2058,K$3:K2058,"="&amp;K2058)</f>
        <v>1</v>
      </c>
      <c r="Z2058" s="20">
        <f>SUMIFS(T$3:T2058,L$3:L2058,"=Intermission")+SUMIFS(T$3:T2058,L$3:L2058,"=Timeout")+SUMIFS(T$3:T2058,L$3:L2058,"=Clockstop")</f>
        <v>138</v>
      </c>
      <c r="AA2058">
        <f t="shared" si="970"/>
        <v>2298</v>
      </c>
      <c r="AC2058">
        <f t="shared" si="971"/>
        <v>2436</v>
      </c>
    </row>
    <row r="2059" spans="1:29" x14ac:dyDescent="0.2">
      <c r="A2059">
        <v>1106</v>
      </c>
      <c r="D2059">
        <f t="shared" si="972"/>
        <v>3</v>
      </c>
      <c r="E2059">
        <v>10</v>
      </c>
      <c r="F2059" s="6" t="s">
        <v>316</v>
      </c>
      <c r="I2059" t="s">
        <v>179</v>
      </c>
      <c r="J2059">
        <v>5</v>
      </c>
      <c r="K2059" t="s">
        <v>488</v>
      </c>
      <c r="L2059" t="s">
        <v>7</v>
      </c>
      <c r="M2059" t="s">
        <v>222</v>
      </c>
      <c r="N2059" t="s">
        <v>53</v>
      </c>
      <c r="Q2059">
        <f t="shared" ref="Q2059:S2059" si="983">Q2058</f>
        <v>18977</v>
      </c>
      <c r="R2059" t="str">
        <f t="shared" si="983"/>
        <v>Velodrome</v>
      </c>
      <c r="S2059" t="str">
        <f t="shared" si="983"/>
        <v>HollowBrook</v>
      </c>
      <c r="T2059" s="20">
        <f t="shared" si="976"/>
        <v>0</v>
      </c>
      <c r="U2059">
        <f t="shared" si="977"/>
        <v>602</v>
      </c>
      <c r="V2059">
        <f t="shared" si="978"/>
        <v>602</v>
      </c>
      <c r="W2059" cm="1">
        <f t="array" ref="W2059">_xlfn._xlws.FILTER(shifts!A:A,(shifts!B:B=events!D2059)*(shifts!AH:AH&gt;=events!U2059)*(shifts!AI:AI&lt;=events!V2059))</f>
        <v>73</v>
      </c>
      <c r="X2059" t="str">
        <f t="shared" si="979"/>
        <v>event_team_player_1</v>
      </c>
      <c r="Y2059">
        <f>COUNTIFS(A$3:A2059,"="&amp;A2059,K$3:K2059,"="&amp;K2059)</f>
        <v>1</v>
      </c>
      <c r="Z2059" s="20">
        <f>SUMIFS(T$3:T2059,L$3:L2059,"=Intermission")+SUMIFS(T$3:T2059,L$3:L2059,"=Timeout")+SUMIFS(T$3:T2059,L$3:L2059,"=Clockstop")</f>
        <v>138</v>
      </c>
      <c r="AA2059">
        <f t="shared" si="970"/>
        <v>2298</v>
      </c>
      <c r="AC2059">
        <f t="shared" si="971"/>
        <v>2436</v>
      </c>
    </row>
    <row r="2060" spans="1:29" x14ac:dyDescent="0.2">
      <c r="A2060">
        <v>1106</v>
      </c>
      <c r="D2060">
        <f t="shared" si="972"/>
        <v>3</v>
      </c>
      <c r="E2060">
        <v>10</v>
      </c>
      <c r="F2060" s="6" t="s">
        <v>316</v>
      </c>
      <c r="I2060" t="s">
        <v>179</v>
      </c>
      <c r="J2060">
        <v>26</v>
      </c>
      <c r="K2060" t="s">
        <v>488</v>
      </c>
      <c r="L2060" t="s">
        <v>7</v>
      </c>
      <c r="M2060" t="s">
        <v>222</v>
      </c>
      <c r="N2060" t="s">
        <v>53</v>
      </c>
      <c r="Q2060">
        <f t="shared" ref="Q2060:S2060" si="984">Q2059</f>
        <v>18977</v>
      </c>
      <c r="R2060" t="str">
        <f t="shared" si="984"/>
        <v>Velodrome</v>
      </c>
      <c r="S2060" t="str">
        <f t="shared" si="984"/>
        <v>HollowBrook</v>
      </c>
      <c r="T2060" s="20">
        <f t="shared" si="976"/>
        <v>0</v>
      </c>
      <c r="U2060">
        <f t="shared" si="977"/>
        <v>602</v>
      </c>
      <c r="V2060">
        <f t="shared" si="978"/>
        <v>602</v>
      </c>
      <c r="W2060" cm="1">
        <f t="array" ref="W2060">_xlfn._xlws.FILTER(shifts!A:A,(shifts!B:B=events!D2060)*(shifts!AH:AH&gt;=events!U2060)*(shifts!AI:AI&lt;=events!V2060))</f>
        <v>73</v>
      </c>
      <c r="X2060" t="str">
        <f t="shared" si="979"/>
        <v>event_team_player_2</v>
      </c>
      <c r="Y2060">
        <f>COUNTIFS(A$3:A2060,"="&amp;A2060,K$3:K2060,"="&amp;K2060)</f>
        <v>2</v>
      </c>
      <c r="Z2060" s="20">
        <f>SUMIFS(T$3:T2060,L$3:L2060,"=Intermission")+SUMIFS(T$3:T2060,L$3:L2060,"=Timeout")+SUMIFS(T$3:T2060,L$3:L2060,"=Clockstop")</f>
        <v>138</v>
      </c>
      <c r="AA2060">
        <f t="shared" si="970"/>
        <v>2298</v>
      </c>
      <c r="AC2060">
        <f t="shared" si="971"/>
        <v>2436</v>
      </c>
    </row>
    <row r="2061" spans="1:29" x14ac:dyDescent="0.2">
      <c r="A2061">
        <v>1106</v>
      </c>
      <c r="D2061">
        <f t="shared" si="972"/>
        <v>3</v>
      </c>
      <c r="E2061">
        <v>10</v>
      </c>
      <c r="F2061" s="6" t="s">
        <v>316</v>
      </c>
      <c r="I2061" t="s">
        <v>179</v>
      </c>
      <c r="J2061">
        <v>39</v>
      </c>
      <c r="K2061" t="s">
        <v>489</v>
      </c>
      <c r="L2061" t="s">
        <v>7</v>
      </c>
      <c r="M2061" t="s">
        <v>222</v>
      </c>
      <c r="N2061" t="s">
        <v>53</v>
      </c>
      <c r="Q2061">
        <f t="shared" ref="Q2061:S2061" si="985">Q2060</f>
        <v>18977</v>
      </c>
      <c r="R2061" t="str">
        <f t="shared" si="985"/>
        <v>Velodrome</v>
      </c>
      <c r="S2061" t="str">
        <f t="shared" si="985"/>
        <v>HollowBrook</v>
      </c>
      <c r="T2061" s="20">
        <f t="shared" si="976"/>
        <v>0</v>
      </c>
      <c r="U2061">
        <f t="shared" si="977"/>
        <v>602</v>
      </c>
      <c r="V2061">
        <f t="shared" si="978"/>
        <v>602</v>
      </c>
      <c r="W2061" cm="1">
        <f t="array" ref="W2061">_xlfn._xlws.FILTER(shifts!A:A,(shifts!B:B=events!D2061)*(shifts!AH:AH&gt;=events!U2061)*(shifts!AI:AI&lt;=events!V2061))</f>
        <v>73</v>
      </c>
      <c r="X2061" t="str">
        <f t="shared" si="979"/>
        <v>opp_team_player_1</v>
      </c>
      <c r="Y2061">
        <f>COUNTIFS(A$3:A2061,"="&amp;A2061,K$3:K2061,"="&amp;K2061)</f>
        <v>1</v>
      </c>
      <c r="Z2061" s="20">
        <f>SUMIFS(T$3:T2061,L$3:L2061,"=Intermission")+SUMIFS(T$3:T2061,L$3:L2061,"=Timeout")+SUMIFS(T$3:T2061,L$3:L2061,"=Clockstop")</f>
        <v>138</v>
      </c>
      <c r="AA2061">
        <f t="shared" si="970"/>
        <v>2298</v>
      </c>
      <c r="AC2061">
        <f t="shared" si="971"/>
        <v>2436</v>
      </c>
    </row>
    <row r="2062" spans="1:29" x14ac:dyDescent="0.2">
      <c r="A2062">
        <v>1107</v>
      </c>
      <c r="D2062">
        <f t="shared" si="972"/>
        <v>3</v>
      </c>
      <c r="E2062">
        <v>10</v>
      </c>
      <c r="F2062" s="6" t="s">
        <v>316</v>
      </c>
      <c r="I2062" t="s">
        <v>178</v>
      </c>
      <c r="J2062">
        <v>39</v>
      </c>
      <c r="K2062" t="s">
        <v>488</v>
      </c>
      <c r="L2062" t="s">
        <v>17</v>
      </c>
      <c r="M2062" t="s">
        <v>206</v>
      </c>
      <c r="N2062" t="s">
        <v>103</v>
      </c>
      <c r="Q2062">
        <f t="shared" ref="Q2062:S2062" si="986">Q2061</f>
        <v>18977</v>
      </c>
      <c r="R2062" t="str">
        <f t="shared" si="986"/>
        <v>Velodrome</v>
      </c>
      <c r="S2062" t="str">
        <f t="shared" si="986"/>
        <v>HollowBrook</v>
      </c>
      <c r="T2062" s="20">
        <f t="shared" si="976"/>
        <v>0</v>
      </c>
      <c r="U2062">
        <f t="shared" si="977"/>
        <v>602</v>
      </c>
      <c r="V2062">
        <f t="shared" si="978"/>
        <v>602</v>
      </c>
      <c r="W2062" cm="1">
        <f t="array" ref="W2062">_xlfn._xlws.FILTER(shifts!A:A,(shifts!B:B=events!D2062)*(shifts!AH:AH&gt;=events!U2062)*(shifts!AI:AI&lt;=events!V2062))</f>
        <v>73</v>
      </c>
      <c r="X2062" t="str">
        <f t="shared" si="979"/>
        <v>event_team_player_1</v>
      </c>
      <c r="Y2062">
        <f>COUNTIFS(A$3:A2062,"="&amp;A2062,K$3:K2062,"="&amp;K2062)</f>
        <v>1</v>
      </c>
      <c r="Z2062" s="20">
        <f>SUMIFS(T$3:T2062,L$3:L2062,"=Intermission")+SUMIFS(T$3:T2062,L$3:L2062,"=Timeout")+SUMIFS(T$3:T2062,L$3:L2062,"=Clockstop")</f>
        <v>138</v>
      </c>
      <c r="AA2062">
        <f t="shared" si="970"/>
        <v>2298</v>
      </c>
      <c r="AC2062">
        <f t="shared" si="971"/>
        <v>2436</v>
      </c>
    </row>
    <row r="2063" spans="1:29" x14ac:dyDescent="0.2">
      <c r="A2063">
        <v>1107</v>
      </c>
      <c r="D2063">
        <f t="shared" si="972"/>
        <v>3</v>
      </c>
      <c r="E2063">
        <v>10</v>
      </c>
      <c r="F2063" s="6" t="s">
        <v>316</v>
      </c>
      <c r="I2063" t="s">
        <v>178</v>
      </c>
      <c r="J2063">
        <v>5</v>
      </c>
      <c r="K2063" t="s">
        <v>489</v>
      </c>
      <c r="L2063" t="s">
        <v>17</v>
      </c>
      <c r="M2063" t="s">
        <v>206</v>
      </c>
      <c r="N2063" t="s">
        <v>103</v>
      </c>
      <c r="Q2063">
        <f t="shared" ref="Q2063:S2063" si="987">Q2062</f>
        <v>18977</v>
      </c>
      <c r="R2063" t="str">
        <f t="shared" si="987"/>
        <v>Velodrome</v>
      </c>
      <c r="S2063" t="str">
        <f t="shared" si="987"/>
        <v>HollowBrook</v>
      </c>
      <c r="T2063" s="20">
        <f t="shared" si="976"/>
        <v>0</v>
      </c>
      <c r="U2063">
        <f t="shared" si="977"/>
        <v>602</v>
      </c>
      <c r="V2063">
        <f t="shared" si="978"/>
        <v>602</v>
      </c>
      <c r="W2063" cm="1">
        <f t="array" ref="W2063">_xlfn._xlws.FILTER(shifts!A:A,(shifts!B:B=events!D2063)*(shifts!AH:AH&gt;=events!U2063)*(shifts!AI:AI&lt;=events!V2063))</f>
        <v>73</v>
      </c>
      <c r="X2063" t="str">
        <f t="shared" si="979"/>
        <v>opp_team_player_1</v>
      </c>
      <c r="Y2063">
        <f>COUNTIFS(A$3:A2063,"="&amp;A2063,K$3:K2063,"="&amp;K2063)</f>
        <v>1</v>
      </c>
      <c r="Z2063" s="20">
        <f>SUMIFS(T$3:T2063,L$3:L2063,"=Intermission")+SUMIFS(T$3:T2063,L$3:L2063,"=Timeout")+SUMIFS(T$3:T2063,L$3:L2063,"=Clockstop")</f>
        <v>138</v>
      </c>
      <c r="AA2063">
        <f t="shared" si="970"/>
        <v>2298</v>
      </c>
      <c r="AC2063">
        <f t="shared" si="971"/>
        <v>2436</v>
      </c>
    </row>
    <row r="2064" spans="1:29" x14ac:dyDescent="0.2">
      <c r="A2064">
        <v>1107</v>
      </c>
      <c r="D2064">
        <f t="shared" si="972"/>
        <v>3</v>
      </c>
      <c r="E2064">
        <v>10</v>
      </c>
      <c r="F2064" s="6" t="s">
        <v>316</v>
      </c>
      <c r="I2064" t="s">
        <v>178</v>
      </c>
      <c r="J2064">
        <v>26</v>
      </c>
      <c r="K2064" t="s">
        <v>489</v>
      </c>
      <c r="L2064" t="s">
        <v>17</v>
      </c>
      <c r="M2064" t="s">
        <v>206</v>
      </c>
      <c r="N2064" t="s">
        <v>103</v>
      </c>
      <c r="Q2064">
        <f t="shared" ref="Q2064:S2064" si="988">Q2063</f>
        <v>18977</v>
      </c>
      <c r="R2064" t="str">
        <f t="shared" si="988"/>
        <v>Velodrome</v>
      </c>
      <c r="S2064" t="str">
        <f t="shared" si="988"/>
        <v>HollowBrook</v>
      </c>
      <c r="T2064" s="20">
        <f t="shared" si="976"/>
        <v>0</v>
      </c>
      <c r="U2064">
        <f t="shared" si="977"/>
        <v>602</v>
      </c>
      <c r="V2064">
        <f t="shared" si="978"/>
        <v>602</v>
      </c>
      <c r="W2064" cm="1">
        <f t="array" ref="W2064">_xlfn._xlws.FILTER(shifts!A:A,(shifts!B:B=events!D2064)*(shifts!AH:AH&gt;=events!U2064)*(shifts!AI:AI&lt;=events!V2064))</f>
        <v>73</v>
      </c>
      <c r="X2064" t="str">
        <f t="shared" si="979"/>
        <v>opp_team_player_2</v>
      </c>
      <c r="Y2064">
        <f>COUNTIFS(A$3:A2064,"="&amp;A2064,K$3:K2064,"="&amp;K2064)</f>
        <v>2</v>
      </c>
      <c r="Z2064" s="20">
        <f>SUMIFS(T$3:T2064,L$3:L2064,"=Intermission")+SUMIFS(T$3:T2064,L$3:L2064,"=Timeout")+SUMIFS(T$3:T2064,L$3:L2064,"=Clockstop")</f>
        <v>138</v>
      </c>
      <c r="AA2064">
        <f t="shared" si="970"/>
        <v>2298</v>
      </c>
      <c r="AC2064">
        <f t="shared" si="971"/>
        <v>2436</v>
      </c>
    </row>
    <row r="2065" spans="1:29" x14ac:dyDescent="0.2">
      <c r="A2065">
        <v>1108</v>
      </c>
      <c r="D2065">
        <f t="shared" si="972"/>
        <v>3</v>
      </c>
      <c r="E2065">
        <v>10</v>
      </c>
      <c r="F2065" s="6" t="s">
        <v>316</v>
      </c>
      <c r="I2065" t="s">
        <v>178</v>
      </c>
      <c r="J2065">
        <v>39</v>
      </c>
      <c r="K2065" t="s">
        <v>488</v>
      </c>
      <c r="L2065" t="s">
        <v>13</v>
      </c>
      <c r="M2065" t="s">
        <v>204</v>
      </c>
      <c r="N2065" t="s">
        <v>110</v>
      </c>
      <c r="Q2065">
        <f t="shared" ref="Q2065:S2065" si="989">Q2064</f>
        <v>18977</v>
      </c>
      <c r="R2065" t="str">
        <f t="shared" si="989"/>
        <v>Velodrome</v>
      </c>
      <c r="S2065" t="str">
        <f t="shared" si="989"/>
        <v>HollowBrook</v>
      </c>
      <c r="T2065" s="20">
        <f t="shared" si="976"/>
        <v>0</v>
      </c>
      <c r="U2065">
        <f t="shared" si="977"/>
        <v>602</v>
      </c>
      <c r="V2065">
        <f t="shared" si="978"/>
        <v>602</v>
      </c>
      <c r="W2065" cm="1">
        <f t="array" ref="W2065">_xlfn._xlws.FILTER(shifts!A:A,(shifts!B:B=events!D2065)*(shifts!AH:AH&gt;=events!U2065)*(shifts!AI:AI&lt;=events!V2065))</f>
        <v>73</v>
      </c>
      <c r="X2065" t="str">
        <f t="shared" si="979"/>
        <v>event_team_player_1</v>
      </c>
      <c r="Y2065">
        <f>COUNTIFS(A$3:A2065,"="&amp;A2065,K$3:K2065,"="&amp;K2065)</f>
        <v>1</v>
      </c>
      <c r="Z2065" s="20">
        <f>SUMIFS(T$3:T2065,L$3:L2065,"=Intermission")+SUMIFS(T$3:T2065,L$3:L2065,"=Timeout")+SUMIFS(T$3:T2065,L$3:L2065,"=Clockstop")</f>
        <v>138</v>
      </c>
      <c r="AA2065">
        <f t="shared" si="970"/>
        <v>2298</v>
      </c>
      <c r="AC2065">
        <f t="shared" si="971"/>
        <v>2436</v>
      </c>
    </row>
    <row r="2066" spans="1:29" x14ac:dyDescent="0.2">
      <c r="A2066">
        <v>1109</v>
      </c>
      <c r="D2066">
        <f t="shared" si="972"/>
        <v>3</v>
      </c>
      <c r="E2066">
        <v>10</v>
      </c>
      <c r="F2066" s="6" t="s">
        <v>316</v>
      </c>
      <c r="G2066">
        <v>9</v>
      </c>
      <c r="H2066" s="8" t="s">
        <v>482</v>
      </c>
      <c r="I2066" t="s">
        <v>178</v>
      </c>
      <c r="J2066">
        <v>39</v>
      </c>
      <c r="K2066" t="s">
        <v>488</v>
      </c>
      <c r="L2066" t="s">
        <v>282</v>
      </c>
      <c r="Q2066">
        <f t="shared" ref="Q2066:S2066" si="990">Q2065</f>
        <v>18977</v>
      </c>
      <c r="R2066" t="str">
        <f t="shared" si="990"/>
        <v>Velodrome</v>
      </c>
      <c r="S2066" t="str">
        <f t="shared" si="990"/>
        <v>HollowBrook</v>
      </c>
      <c r="T2066" s="20">
        <f t="shared" si="976"/>
        <v>29</v>
      </c>
      <c r="U2066">
        <f t="shared" si="977"/>
        <v>602</v>
      </c>
      <c r="V2066">
        <f t="shared" si="978"/>
        <v>573</v>
      </c>
      <c r="W2066">
        <v>74</v>
      </c>
      <c r="X2066" t="str">
        <f t="shared" si="979"/>
        <v>event_team_player_1</v>
      </c>
      <c r="Y2066">
        <f>COUNTIFS(A$3:A2066,"="&amp;A2066,K$3:K2066,"="&amp;K2066)</f>
        <v>1</v>
      </c>
      <c r="Z2066" s="20">
        <f>SUMIFS(T$3:T2066,L$3:L2066,"=Intermission")+SUMIFS(T$3:T2066,L$3:L2066,"=Timeout")+SUMIFS(T$3:T2066,L$3:L2066,"=Clockstop")</f>
        <v>138</v>
      </c>
      <c r="AA2066">
        <f t="shared" si="970"/>
        <v>2298</v>
      </c>
      <c r="AC2066">
        <f t="shared" si="971"/>
        <v>2436</v>
      </c>
    </row>
    <row r="2067" spans="1:29" x14ac:dyDescent="0.2">
      <c r="A2067">
        <v>1110</v>
      </c>
      <c r="D2067">
        <f t="shared" si="972"/>
        <v>3</v>
      </c>
      <c r="E2067">
        <v>9</v>
      </c>
      <c r="F2067" s="6" t="s">
        <v>482</v>
      </c>
      <c r="I2067" t="s">
        <v>178</v>
      </c>
      <c r="J2067">
        <v>70</v>
      </c>
      <c r="K2067" t="s">
        <v>488</v>
      </c>
      <c r="L2067" t="s">
        <v>6</v>
      </c>
      <c r="M2067" t="s">
        <v>275</v>
      </c>
      <c r="Q2067">
        <f t="shared" ref="Q2067:S2067" si="991">Q2066</f>
        <v>18977</v>
      </c>
      <c r="R2067" t="str">
        <f t="shared" si="991"/>
        <v>Velodrome</v>
      </c>
      <c r="S2067" t="str">
        <f t="shared" si="991"/>
        <v>HollowBrook</v>
      </c>
      <c r="T2067" s="20">
        <f t="shared" si="976"/>
        <v>0</v>
      </c>
      <c r="U2067">
        <f t="shared" si="977"/>
        <v>573</v>
      </c>
      <c r="V2067">
        <f t="shared" si="978"/>
        <v>573</v>
      </c>
      <c r="W2067" cm="1">
        <f t="array" ref="W2067">_xlfn._xlws.FILTER(shifts!A:A,(shifts!B:B=events!D2067)*(shifts!AH:AH&gt;=events!U2067)*(shifts!AI:AI&lt;=events!V2067))</f>
        <v>74</v>
      </c>
      <c r="X2067" t="str">
        <f t="shared" si="979"/>
        <v>event_team_player_1</v>
      </c>
      <c r="Y2067">
        <f>COUNTIFS(A$3:A2067,"="&amp;A2067,K$3:K2067,"="&amp;K2067)</f>
        <v>1</v>
      </c>
      <c r="Z2067" s="20">
        <f>SUMIFS(T$3:T2067,L$3:L2067,"=Intermission")+SUMIFS(T$3:T2067,L$3:L2067,"=Timeout")+SUMIFS(T$3:T2067,L$3:L2067,"=Clockstop")</f>
        <v>138</v>
      </c>
      <c r="AA2067">
        <f t="shared" si="970"/>
        <v>2298</v>
      </c>
      <c r="AC2067">
        <f t="shared" si="971"/>
        <v>2436</v>
      </c>
    </row>
    <row r="2068" spans="1:29" x14ac:dyDescent="0.2">
      <c r="A2068">
        <v>1110</v>
      </c>
      <c r="D2068">
        <f t="shared" si="972"/>
        <v>3</v>
      </c>
      <c r="E2068">
        <v>9</v>
      </c>
      <c r="F2068" s="6" t="s">
        <v>482</v>
      </c>
      <c r="I2068" t="s">
        <v>178</v>
      </c>
      <c r="J2068">
        <v>26</v>
      </c>
      <c r="K2068" t="s">
        <v>489</v>
      </c>
      <c r="L2068" t="s">
        <v>6</v>
      </c>
      <c r="M2068" t="s">
        <v>275</v>
      </c>
      <c r="Q2068">
        <f t="shared" ref="Q2068:S2068" si="992">Q2067</f>
        <v>18977</v>
      </c>
      <c r="R2068" t="str">
        <f t="shared" si="992"/>
        <v>Velodrome</v>
      </c>
      <c r="S2068" t="str">
        <f t="shared" si="992"/>
        <v>HollowBrook</v>
      </c>
      <c r="T2068" s="20">
        <f t="shared" si="976"/>
        <v>0</v>
      </c>
      <c r="U2068">
        <f t="shared" si="977"/>
        <v>573</v>
      </c>
      <c r="V2068">
        <f t="shared" si="978"/>
        <v>573</v>
      </c>
      <c r="W2068" cm="1">
        <f t="array" ref="W2068">_xlfn._xlws.FILTER(shifts!A:A,(shifts!B:B=events!D2068)*(shifts!AH:AH&gt;=events!U2068)*(shifts!AI:AI&lt;=events!V2068))</f>
        <v>74</v>
      </c>
      <c r="X2068" t="str">
        <f t="shared" si="979"/>
        <v>opp_team_player_1</v>
      </c>
      <c r="Y2068">
        <f>COUNTIFS(A$3:A2068,"="&amp;A2068,K$3:K2068,"="&amp;K2068)</f>
        <v>1</v>
      </c>
      <c r="Z2068" s="20">
        <f>SUMIFS(T$3:T2068,L$3:L2068,"=Intermission")+SUMIFS(T$3:T2068,L$3:L2068,"=Timeout")+SUMIFS(T$3:T2068,L$3:L2068,"=Clockstop")</f>
        <v>138</v>
      </c>
      <c r="AA2068">
        <f t="shared" si="970"/>
        <v>2298</v>
      </c>
      <c r="AC2068">
        <f t="shared" si="971"/>
        <v>2436</v>
      </c>
    </row>
    <row r="2069" spans="1:29" x14ac:dyDescent="0.2">
      <c r="A2069">
        <v>1111</v>
      </c>
      <c r="D2069">
        <f t="shared" si="972"/>
        <v>3</v>
      </c>
      <c r="E2069">
        <v>9</v>
      </c>
      <c r="F2069" s="6" t="s">
        <v>482</v>
      </c>
      <c r="I2069" t="s">
        <v>178</v>
      </c>
      <c r="J2069">
        <v>70</v>
      </c>
      <c r="K2069" t="s">
        <v>488</v>
      </c>
      <c r="L2069" t="s">
        <v>277</v>
      </c>
      <c r="M2069" t="s">
        <v>201</v>
      </c>
      <c r="N2069" t="s">
        <v>92</v>
      </c>
      <c r="Q2069">
        <f t="shared" ref="Q2069:S2069" si="993">Q2068</f>
        <v>18977</v>
      </c>
      <c r="R2069" t="str">
        <f t="shared" si="993"/>
        <v>Velodrome</v>
      </c>
      <c r="S2069" t="str">
        <f t="shared" si="993"/>
        <v>HollowBrook</v>
      </c>
      <c r="T2069" s="20">
        <f t="shared" si="976"/>
        <v>0</v>
      </c>
      <c r="U2069">
        <f t="shared" si="977"/>
        <v>573</v>
      </c>
      <c r="V2069">
        <f t="shared" si="978"/>
        <v>573</v>
      </c>
      <c r="W2069" cm="1">
        <f t="array" ref="W2069">_xlfn._xlws.FILTER(shifts!A:A,(shifts!B:B=events!D2069)*(shifts!AH:AH&gt;=events!U2069)*(shifts!AI:AI&lt;=events!V2069))</f>
        <v>74</v>
      </c>
      <c r="X2069" t="str">
        <f t="shared" si="979"/>
        <v>event_team_player_1</v>
      </c>
      <c r="Y2069">
        <f>COUNTIFS(A$3:A2069,"="&amp;A2069,K$3:K2069,"="&amp;K2069)</f>
        <v>1</v>
      </c>
      <c r="Z2069" s="20">
        <f>SUMIFS(T$3:T2069,L$3:L2069,"=Intermission")+SUMIFS(T$3:T2069,L$3:L2069,"=Timeout")+SUMIFS(T$3:T2069,L$3:L2069,"=Clockstop")</f>
        <v>138</v>
      </c>
      <c r="AA2069">
        <f t="shared" si="970"/>
        <v>2298</v>
      </c>
      <c r="AC2069">
        <f t="shared" si="971"/>
        <v>2436</v>
      </c>
    </row>
    <row r="2070" spans="1:29" x14ac:dyDescent="0.2">
      <c r="A2070">
        <v>1112</v>
      </c>
      <c r="D2070">
        <f t="shared" si="972"/>
        <v>3</v>
      </c>
      <c r="E2070">
        <v>9</v>
      </c>
      <c r="F2070" s="6" t="s">
        <v>482</v>
      </c>
      <c r="I2070" t="s">
        <v>178</v>
      </c>
      <c r="J2070">
        <v>70</v>
      </c>
      <c r="K2070" t="s">
        <v>488</v>
      </c>
      <c r="L2070" t="s">
        <v>10</v>
      </c>
      <c r="M2070" t="s">
        <v>190</v>
      </c>
      <c r="N2070" t="s">
        <v>460</v>
      </c>
      <c r="Q2070">
        <f t="shared" ref="Q2070:S2070" si="994">Q2069</f>
        <v>18977</v>
      </c>
      <c r="R2070" t="str">
        <f t="shared" si="994"/>
        <v>Velodrome</v>
      </c>
      <c r="S2070" t="str">
        <f t="shared" si="994"/>
        <v>HollowBrook</v>
      </c>
      <c r="T2070" s="20">
        <f t="shared" si="976"/>
        <v>0</v>
      </c>
      <c r="U2070">
        <f t="shared" si="977"/>
        <v>573</v>
      </c>
      <c r="V2070">
        <f t="shared" si="978"/>
        <v>573</v>
      </c>
      <c r="W2070" cm="1">
        <f t="array" ref="W2070">_xlfn._xlws.FILTER(shifts!A:A,(shifts!B:B=events!D2070)*(shifts!AH:AH&gt;=events!U2070)*(shifts!AI:AI&lt;=events!V2070))</f>
        <v>74</v>
      </c>
      <c r="X2070" t="str">
        <f t="shared" si="979"/>
        <v>event_team_player_1</v>
      </c>
      <c r="Y2070">
        <f>COUNTIFS(A$3:A2070,"="&amp;A2070,K$3:K2070,"="&amp;K2070)</f>
        <v>1</v>
      </c>
      <c r="Z2070" s="20">
        <f>SUMIFS(T$3:T2070,L$3:L2070,"=Intermission")+SUMIFS(T$3:T2070,L$3:L2070,"=Timeout")+SUMIFS(T$3:T2070,L$3:L2070,"=Clockstop")</f>
        <v>138</v>
      </c>
      <c r="AA2070">
        <f t="shared" si="970"/>
        <v>2298</v>
      </c>
      <c r="AC2070">
        <f t="shared" si="971"/>
        <v>2436</v>
      </c>
    </row>
    <row r="2071" spans="1:29" x14ac:dyDescent="0.2">
      <c r="A2071">
        <v>1113</v>
      </c>
      <c r="D2071">
        <f t="shared" si="972"/>
        <v>3</v>
      </c>
      <c r="E2071">
        <v>9</v>
      </c>
      <c r="F2071" s="6" t="s">
        <v>472</v>
      </c>
      <c r="G2071">
        <v>9</v>
      </c>
      <c r="H2071" s="8" t="s">
        <v>440</v>
      </c>
      <c r="I2071" t="s">
        <v>179</v>
      </c>
      <c r="J2071">
        <v>27</v>
      </c>
      <c r="K2071" t="s">
        <v>488</v>
      </c>
      <c r="L2071" t="s">
        <v>15</v>
      </c>
      <c r="Q2071">
        <f t="shared" ref="Q2071:S2071" si="995">Q2070</f>
        <v>18977</v>
      </c>
      <c r="R2071" t="str">
        <f t="shared" si="995"/>
        <v>Velodrome</v>
      </c>
      <c r="S2071" t="str">
        <f t="shared" si="995"/>
        <v>HollowBrook</v>
      </c>
      <c r="T2071" s="20">
        <f t="shared" si="976"/>
        <v>2</v>
      </c>
      <c r="U2071">
        <f t="shared" si="977"/>
        <v>570</v>
      </c>
      <c r="V2071">
        <f t="shared" si="978"/>
        <v>568</v>
      </c>
      <c r="W2071" cm="1">
        <f t="array" ref="W2071">_xlfn._xlws.FILTER(shifts!A:A,(shifts!B:B=events!D2071)*(shifts!AH:AH&gt;=events!U2071)*(shifts!AI:AI&lt;=events!V2071))</f>
        <v>74</v>
      </c>
      <c r="X2071" t="str">
        <f t="shared" si="979"/>
        <v>event_team_player_1</v>
      </c>
      <c r="Y2071">
        <f>COUNTIFS(A$3:A2071,"="&amp;A2071,K$3:K2071,"="&amp;K2071)</f>
        <v>1</v>
      </c>
      <c r="Z2071" s="20">
        <f>SUMIFS(T$3:T2071,L$3:L2071,"=Intermission")+SUMIFS(T$3:T2071,L$3:L2071,"=Timeout")+SUMIFS(T$3:T2071,L$3:L2071,"=Clockstop")</f>
        <v>138</v>
      </c>
      <c r="AA2071">
        <f t="shared" si="970"/>
        <v>2298</v>
      </c>
      <c r="AC2071">
        <f t="shared" si="971"/>
        <v>2436</v>
      </c>
    </row>
    <row r="2072" spans="1:29" x14ac:dyDescent="0.2">
      <c r="A2072">
        <v>1114</v>
      </c>
      <c r="D2072">
        <f t="shared" si="972"/>
        <v>3</v>
      </c>
      <c r="E2072">
        <v>9</v>
      </c>
      <c r="F2072" s="6" t="s">
        <v>483</v>
      </c>
      <c r="I2072" t="s">
        <v>179</v>
      </c>
      <c r="J2072">
        <v>27</v>
      </c>
      <c r="K2072" t="s">
        <v>488</v>
      </c>
      <c r="L2072" t="s">
        <v>8</v>
      </c>
      <c r="M2072" t="s">
        <v>189</v>
      </c>
      <c r="N2072" t="s">
        <v>71</v>
      </c>
      <c r="Q2072">
        <f t="shared" ref="Q2072:S2072" si="996">Q2071</f>
        <v>18977</v>
      </c>
      <c r="R2072" t="str">
        <f t="shared" si="996"/>
        <v>Velodrome</v>
      </c>
      <c r="S2072" t="str">
        <f t="shared" si="996"/>
        <v>HollowBrook</v>
      </c>
      <c r="T2072" s="20">
        <f t="shared" si="976"/>
        <v>0</v>
      </c>
      <c r="U2072">
        <f t="shared" si="977"/>
        <v>567</v>
      </c>
      <c r="V2072">
        <f t="shared" si="978"/>
        <v>567</v>
      </c>
      <c r="W2072" cm="1">
        <f t="array" ref="W2072">_xlfn._xlws.FILTER(shifts!A:A,(shifts!B:B=events!D2072)*(shifts!AH:AH&gt;=events!U2072)*(shifts!AI:AI&lt;=events!V2072))</f>
        <v>74</v>
      </c>
      <c r="X2072" t="str">
        <f t="shared" si="979"/>
        <v>event_team_player_1</v>
      </c>
      <c r="Y2072">
        <f>COUNTIFS(A$3:A2072,"="&amp;A2072,K$3:K2072,"="&amp;K2072)</f>
        <v>1</v>
      </c>
      <c r="Z2072" s="20">
        <f>SUMIFS(T$3:T2072,L$3:L2072,"=Intermission")+SUMIFS(T$3:T2072,L$3:L2072,"=Timeout")+SUMIFS(T$3:T2072,L$3:L2072,"=Clockstop")</f>
        <v>138</v>
      </c>
      <c r="AA2072">
        <f t="shared" si="970"/>
        <v>2298</v>
      </c>
      <c r="AC2072">
        <f t="shared" si="971"/>
        <v>2436</v>
      </c>
    </row>
    <row r="2073" spans="1:29" x14ac:dyDescent="0.2">
      <c r="A2073">
        <v>1114</v>
      </c>
      <c r="D2073">
        <f t="shared" si="972"/>
        <v>3</v>
      </c>
      <c r="E2073">
        <v>9</v>
      </c>
      <c r="F2073" s="6" t="s">
        <v>483</v>
      </c>
      <c r="I2073" t="s">
        <v>179</v>
      </c>
      <c r="J2073">
        <v>40</v>
      </c>
      <c r="K2073" t="s">
        <v>488</v>
      </c>
      <c r="L2073" t="s">
        <v>8</v>
      </c>
      <c r="M2073" t="s">
        <v>189</v>
      </c>
      <c r="N2073" t="s">
        <v>71</v>
      </c>
      <c r="Q2073">
        <f t="shared" ref="Q2073:S2073" si="997">Q2072</f>
        <v>18977</v>
      </c>
      <c r="R2073" t="str">
        <f t="shared" si="997"/>
        <v>Velodrome</v>
      </c>
      <c r="S2073" t="str">
        <f t="shared" si="997"/>
        <v>HollowBrook</v>
      </c>
      <c r="T2073" s="20">
        <f t="shared" si="976"/>
        <v>0</v>
      </c>
      <c r="U2073">
        <f t="shared" si="977"/>
        <v>567</v>
      </c>
      <c r="V2073">
        <f t="shared" si="978"/>
        <v>567</v>
      </c>
      <c r="W2073" cm="1">
        <f t="array" ref="W2073">_xlfn._xlws.FILTER(shifts!A:A,(shifts!B:B=events!D2073)*(shifts!AH:AH&gt;=events!U2073)*(shifts!AI:AI&lt;=events!V2073))</f>
        <v>74</v>
      </c>
      <c r="X2073" t="str">
        <f t="shared" si="979"/>
        <v>event_team_player_2</v>
      </c>
      <c r="Y2073">
        <f>COUNTIFS(A$3:A2073,"="&amp;A2073,K$3:K2073,"="&amp;K2073)</f>
        <v>2</v>
      </c>
      <c r="Z2073" s="20">
        <f>SUMIFS(T$3:T2073,L$3:L2073,"=Intermission")+SUMIFS(T$3:T2073,L$3:L2073,"=Timeout")+SUMIFS(T$3:T2073,L$3:L2073,"=Clockstop")</f>
        <v>138</v>
      </c>
      <c r="AA2073">
        <f t="shared" si="970"/>
        <v>2298</v>
      </c>
      <c r="AC2073">
        <f t="shared" si="971"/>
        <v>2436</v>
      </c>
    </row>
    <row r="2074" spans="1:29" x14ac:dyDescent="0.2">
      <c r="A2074">
        <v>1114</v>
      </c>
      <c r="D2074">
        <f t="shared" si="972"/>
        <v>3</v>
      </c>
      <c r="E2074">
        <v>9</v>
      </c>
      <c r="F2074" s="6" t="s">
        <v>483</v>
      </c>
      <c r="I2074" t="s">
        <v>179</v>
      </c>
      <c r="J2074">
        <v>49</v>
      </c>
      <c r="K2074" t="s">
        <v>489</v>
      </c>
      <c r="L2074" t="s">
        <v>8</v>
      </c>
      <c r="M2074" t="s">
        <v>189</v>
      </c>
      <c r="N2074" t="s">
        <v>71</v>
      </c>
      <c r="Q2074">
        <f t="shared" ref="Q2074:S2074" si="998">Q2073</f>
        <v>18977</v>
      </c>
      <c r="R2074" t="str">
        <f t="shared" si="998"/>
        <v>Velodrome</v>
      </c>
      <c r="S2074" t="str">
        <f t="shared" si="998"/>
        <v>HollowBrook</v>
      </c>
      <c r="T2074" s="20">
        <f t="shared" si="976"/>
        <v>0</v>
      </c>
      <c r="U2074">
        <f t="shared" si="977"/>
        <v>567</v>
      </c>
      <c r="V2074">
        <f t="shared" si="978"/>
        <v>567</v>
      </c>
      <c r="W2074" cm="1">
        <f t="array" ref="W2074">_xlfn._xlws.FILTER(shifts!A:A,(shifts!B:B=events!D2074)*(shifts!AH:AH&gt;=events!U2074)*(shifts!AI:AI&lt;=events!V2074))</f>
        <v>74</v>
      </c>
      <c r="X2074" t="str">
        <f t="shared" si="979"/>
        <v>opp_team_player_1</v>
      </c>
      <c r="Y2074">
        <f>COUNTIFS(A$3:A2074,"="&amp;A2074,K$3:K2074,"="&amp;K2074)</f>
        <v>1</v>
      </c>
      <c r="Z2074" s="20">
        <f>SUMIFS(T$3:T2074,L$3:L2074,"=Intermission")+SUMIFS(T$3:T2074,L$3:L2074,"=Timeout")+SUMIFS(T$3:T2074,L$3:L2074,"=Clockstop")</f>
        <v>138</v>
      </c>
      <c r="AA2074">
        <f t="shared" si="970"/>
        <v>2298</v>
      </c>
      <c r="AC2074">
        <f t="shared" si="971"/>
        <v>2436</v>
      </c>
    </row>
    <row r="2075" spans="1:29" x14ac:dyDescent="0.2">
      <c r="A2075">
        <v>1115</v>
      </c>
      <c r="D2075">
        <f t="shared" si="972"/>
        <v>3</v>
      </c>
      <c r="E2075">
        <v>9</v>
      </c>
      <c r="F2075" s="6" t="s">
        <v>441</v>
      </c>
      <c r="I2075" t="s">
        <v>179</v>
      </c>
      <c r="J2075">
        <v>40</v>
      </c>
      <c r="K2075" t="s">
        <v>488</v>
      </c>
      <c r="L2075" t="s">
        <v>8</v>
      </c>
      <c r="M2075" t="s">
        <v>189</v>
      </c>
      <c r="N2075" t="s">
        <v>70</v>
      </c>
      <c r="Q2075">
        <f t="shared" ref="Q2075:S2075" si="999">Q2074</f>
        <v>18977</v>
      </c>
      <c r="R2075" t="str">
        <f t="shared" si="999"/>
        <v>Velodrome</v>
      </c>
      <c r="S2075" t="str">
        <f t="shared" si="999"/>
        <v>HollowBrook</v>
      </c>
      <c r="T2075" s="20">
        <f t="shared" si="976"/>
        <v>0</v>
      </c>
      <c r="U2075">
        <f t="shared" si="977"/>
        <v>565</v>
      </c>
      <c r="V2075">
        <f t="shared" si="978"/>
        <v>565</v>
      </c>
      <c r="W2075" cm="1">
        <f t="array" ref="W2075">_xlfn._xlws.FILTER(shifts!A:A,(shifts!B:B=events!D2075)*(shifts!AH:AH&gt;=events!U2075)*(shifts!AI:AI&lt;=events!V2075))</f>
        <v>74</v>
      </c>
      <c r="X2075" t="str">
        <f t="shared" si="979"/>
        <v>event_team_player_1</v>
      </c>
      <c r="Y2075">
        <f>COUNTIFS(A$3:A2075,"="&amp;A2075,K$3:K2075,"="&amp;K2075)</f>
        <v>1</v>
      </c>
      <c r="Z2075" s="20">
        <f>SUMIFS(T$3:T2075,L$3:L2075,"=Intermission")+SUMIFS(T$3:T2075,L$3:L2075,"=Timeout")+SUMIFS(T$3:T2075,L$3:L2075,"=Clockstop")</f>
        <v>138</v>
      </c>
      <c r="AA2075">
        <f t="shared" si="970"/>
        <v>2298</v>
      </c>
      <c r="AC2075">
        <f t="shared" si="971"/>
        <v>2436</v>
      </c>
    </row>
    <row r="2076" spans="1:29" x14ac:dyDescent="0.2">
      <c r="A2076">
        <v>1115</v>
      </c>
      <c r="D2076">
        <f t="shared" si="972"/>
        <v>3</v>
      </c>
      <c r="E2076">
        <v>9</v>
      </c>
      <c r="F2076" s="6" t="s">
        <v>441</v>
      </c>
      <c r="I2076" t="s">
        <v>179</v>
      </c>
      <c r="J2076">
        <v>8</v>
      </c>
      <c r="K2076" t="s">
        <v>488</v>
      </c>
      <c r="L2076" t="s">
        <v>8</v>
      </c>
      <c r="M2076" t="s">
        <v>189</v>
      </c>
      <c r="N2076" t="s">
        <v>70</v>
      </c>
      <c r="Q2076">
        <f t="shared" ref="Q2076:S2076" si="1000">Q2075</f>
        <v>18977</v>
      </c>
      <c r="R2076" t="str">
        <f t="shared" si="1000"/>
        <v>Velodrome</v>
      </c>
      <c r="S2076" t="str">
        <f t="shared" si="1000"/>
        <v>HollowBrook</v>
      </c>
      <c r="T2076" s="20">
        <f t="shared" si="976"/>
        <v>0</v>
      </c>
      <c r="U2076">
        <f t="shared" si="977"/>
        <v>565</v>
      </c>
      <c r="V2076">
        <f t="shared" si="978"/>
        <v>565</v>
      </c>
      <c r="W2076" cm="1">
        <f t="array" ref="W2076">_xlfn._xlws.FILTER(shifts!A:A,(shifts!B:B=events!D2076)*(shifts!AH:AH&gt;=events!U2076)*(shifts!AI:AI&lt;=events!V2076))</f>
        <v>74</v>
      </c>
      <c r="X2076" t="str">
        <f t="shared" si="979"/>
        <v>event_team_player_2</v>
      </c>
      <c r="Y2076">
        <f>COUNTIFS(A$3:A2076,"="&amp;A2076,K$3:K2076,"="&amp;K2076)</f>
        <v>2</v>
      </c>
      <c r="Z2076" s="20">
        <f>SUMIFS(T$3:T2076,L$3:L2076,"=Intermission")+SUMIFS(T$3:T2076,L$3:L2076,"=Timeout")+SUMIFS(T$3:T2076,L$3:L2076,"=Clockstop")</f>
        <v>138</v>
      </c>
      <c r="AA2076">
        <f t="shared" si="970"/>
        <v>2298</v>
      </c>
      <c r="AC2076">
        <f t="shared" si="971"/>
        <v>2436</v>
      </c>
    </row>
    <row r="2077" spans="1:29" x14ac:dyDescent="0.2">
      <c r="A2077">
        <v>1116</v>
      </c>
      <c r="D2077">
        <f t="shared" si="972"/>
        <v>3</v>
      </c>
      <c r="E2077">
        <v>9</v>
      </c>
      <c r="F2077" s="6" t="s">
        <v>456</v>
      </c>
      <c r="G2077">
        <v>9</v>
      </c>
      <c r="H2077" s="8" t="s">
        <v>422</v>
      </c>
      <c r="I2077" t="s">
        <v>179</v>
      </c>
      <c r="J2077">
        <v>8</v>
      </c>
      <c r="K2077" t="s">
        <v>488</v>
      </c>
      <c r="L2077" t="s">
        <v>277</v>
      </c>
      <c r="M2077" t="s">
        <v>191</v>
      </c>
      <c r="N2077" t="s">
        <v>87</v>
      </c>
      <c r="Q2077">
        <f t="shared" ref="Q2077:S2077" si="1001">Q2076</f>
        <v>18977</v>
      </c>
      <c r="R2077" t="str">
        <f t="shared" si="1001"/>
        <v>Velodrome</v>
      </c>
      <c r="S2077" t="str">
        <f t="shared" si="1001"/>
        <v>HollowBrook</v>
      </c>
      <c r="T2077" s="20">
        <f t="shared" si="976"/>
        <v>3</v>
      </c>
      <c r="U2077">
        <f t="shared" si="977"/>
        <v>563</v>
      </c>
      <c r="V2077">
        <f t="shared" si="978"/>
        <v>560</v>
      </c>
      <c r="W2077" cm="1">
        <f t="array" ref="W2077">_xlfn._xlws.FILTER(shifts!A:A,(shifts!B:B=events!D2077)*(shifts!AH:AH&gt;=events!U2077)*(shifts!AI:AI&lt;=events!V2077))</f>
        <v>74</v>
      </c>
      <c r="X2077" t="str">
        <f t="shared" si="979"/>
        <v>event_team_player_1</v>
      </c>
      <c r="Y2077">
        <f>COUNTIFS(A$3:A2077,"="&amp;A2077,K$3:K2077,"="&amp;K2077)</f>
        <v>1</v>
      </c>
      <c r="Z2077" s="20">
        <f>SUMIFS(T$3:T2077,L$3:L2077,"=Intermission")+SUMIFS(T$3:T2077,L$3:L2077,"=Timeout")+SUMIFS(T$3:T2077,L$3:L2077,"=Clockstop")</f>
        <v>138</v>
      </c>
      <c r="AA2077">
        <f t="shared" si="970"/>
        <v>2298</v>
      </c>
      <c r="AC2077">
        <f t="shared" si="971"/>
        <v>2436</v>
      </c>
    </row>
    <row r="2078" spans="1:29" x14ac:dyDescent="0.2">
      <c r="A2078">
        <v>1116</v>
      </c>
      <c r="D2078">
        <f t="shared" si="972"/>
        <v>3</v>
      </c>
      <c r="E2078">
        <v>9</v>
      </c>
      <c r="F2078" s="6" t="s">
        <v>456</v>
      </c>
      <c r="G2078">
        <v>9</v>
      </c>
      <c r="H2078" s="8" t="s">
        <v>422</v>
      </c>
      <c r="I2078" t="s">
        <v>179</v>
      </c>
      <c r="J2078">
        <v>84</v>
      </c>
      <c r="K2078" t="s">
        <v>489</v>
      </c>
      <c r="L2078" t="s">
        <v>277</v>
      </c>
      <c r="M2078" t="s">
        <v>191</v>
      </c>
      <c r="N2078" t="s">
        <v>87</v>
      </c>
      <c r="Q2078">
        <f t="shared" ref="Q2078:S2078" si="1002">Q2077</f>
        <v>18977</v>
      </c>
      <c r="R2078" t="str">
        <f t="shared" si="1002"/>
        <v>Velodrome</v>
      </c>
      <c r="S2078" t="str">
        <f t="shared" si="1002"/>
        <v>HollowBrook</v>
      </c>
      <c r="T2078" s="20">
        <f t="shared" si="976"/>
        <v>3</v>
      </c>
      <c r="U2078">
        <f t="shared" si="977"/>
        <v>563</v>
      </c>
      <c r="V2078">
        <f t="shared" si="978"/>
        <v>560</v>
      </c>
      <c r="W2078" cm="1">
        <f t="array" ref="W2078">_xlfn._xlws.FILTER(shifts!A:A,(shifts!B:B=events!D2078)*(shifts!AH:AH&gt;=events!U2078)*(shifts!AI:AI&lt;=events!V2078))</f>
        <v>74</v>
      </c>
      <c r="X2078" t="str">
        <f t="shared" si="979"/>
        <v>opp_team_player_1</v>
      </c>
      <c r="Y2078">
        <f>COUNTIFS(A$3:A2078,"="&amp;A2078,K$3:K2078,"="&amp;K2078)</f>
        <v>1</v>
      </c>
      <c r="Z2078" s="20">
        <f>SUMIFS(T$3:T2078,L$3:L2078,"=Intermission")+SUMIFS(T$3:T2078,L$3:L2078,"=Timeout")+SUMIFS(T$3:T2078,L$3:L2078,"=Clockstop")</f>
        <v>138</v>
      </c>
      <c r="AA2078">
        <f t="shared" si="970"/>
        <v>2298</v>
      </c>
      <c r="AC2078">
        <f t="shared" si="971"/>
        <v>2436</v>
      </c>
    </row>
    <row r="2079" spans="1:29" x14ac:dyDescent="0.2">
      <c r="A2079">
        <v>1117</v>
      </c>
      <c r="D2079">
        <f t="shared" si="972"/>
        <v>3</v>
      </c>
      <c r="E2079">
        <v>9</v>
      </c>
      <c r="F2079" s="6" t="s">
        <v>422</v>
      </c>
      <c r="I2079" t="s">
        <v>179</v>
      </c>
      <c r="J2079">
        <v>8</v>
      </c>
      <c r="K2079" t="s">
        <v>488</v>
      </c>
      <c r="L2079" t="s">
        <v>7</v>
      </c>
      <c r="M2079" t="s">
        <v>198</v>
      </c>
      <c r="N2079" t="s">
        <v>53</v>
      </c>
      <c r="Q2079">
        <f t="shared" ref="Q2079:S2079" si="1003">Q2078</f>
        <v>18977</v>
      </c>
      <c r="R2079" t="str">
        <f t="shared" si="1003"/>
        <v>Velodrome</v>
      </c>
      <c r="S2079" t="str">
        <f t="shared" si="1003"/>
        <v>HollowBrook</v>
      </c>
      <c r="T2079" s="20">
        <f t="shared" si="976"/>
        <v>0</v>
      </c>
      <c r="U2079">
        <f t="shared" si="977"/>
        <v>560</v>
      </c>
      <c r="V2079">
        <f t="shared" si="978"/>
        <v>560</v>
      </c>
      <c r="W2079" cm="1">
        <f t="array" ref="W2079">_xlfn._xlws.FILTER(shifts!A:A,(shifts!B:B=events!D2079)*(shifts!AH:AH&gt;=events!U2079)*(shifts!AI:AI&lt;=events!V2079))</f>
        <v>74</v>
      </c>
      <c r="X2079" t="str">
        <f t="shared" si="979"/>
        <v>event_team_player_1</v>
      </c>
      <c r="Y2079">
        <f>COUNTIFS(A$3:A2079,"="&amp;A2079,K$3:K2079,"="&amp;K2079)</f>
        <v>1</v>
      </c>
      <c r="Z2079" s="20">
        <f>SUMIFS(T$3:T2079,L$3:L2079,"=Intermission")+SUMIFS(T$3:T2079,L$3:L2079,"=Timeout")+SUMIFS(T$3:T2079,L$3:L2079,"=Clockstop")</f>
        <v>138</v>
      </c>
      <c r="AA2079">
        <f t="shared" si="970"/>
        <v>2298</v>
      </c>
      <c r="AC2079">
        <f t="shared" si="971"/>
        <v>2436</v>
      </c>
    </row>
    <row r="2080" spans="1:29" x14ac:dyDescent="0.2">
      <c r="A2080">
        <v>1117</v>
      </c>
      <c r="D2080">
        <f t="shared" si="972"/>
        <v>3</v>
      </c>
      <c r="E2080">
        <v>9</v>
      </c>
      <c r="F2080" s="6" t="s">
        <v>422</v>
      </c>
      <c r="I2080" t="s">
        <v>179</v>
      </c>
      <c r="J2080">
        <v>84</v>
      </c>
      <c r="K2080" t="s">
        <v>489</v>
      </c>
      <c r="L2080" t="s">
        <v>7</v>
      </c>
      <c r="M2080" t="s">
        <v>198</v>
      </c>
      <c r="N2080" t="s">
        <v>53</v>
      </c>
      <c r="Q2080">
        <f t="shared" ref="Q2080:S2080" si="1004">Q2079</f>
        <v>18977</v>
      </c>
      <c r="R2080" t="str">
        <f t="shared" si="1004"/>
        <v>Velodrome</v>
      </c>
      <c r="S2080" t="str">
        <f t="shared" si="1004"/>
        <v>HollowBrook</v>
      </c>
      <c r="T2080" s="20">
        <f t="shared" si="976"/>
        <v>0</v>
      </c>
      <c r="U2080">
        <f t="shared" si="977"/>
        <v>560</v>
      </c>
      <c r="V2080">
        <f t="shared" si="978"/>
        <v>560</v>
      </c>
      <c r="W2080" cm="1">
        <f t="array" ref="W2080">_xlfn._xlws.FILTER(shifts!A:A,(shifts!B:B=events!D2080)*(shifts!AH:AH&gt;=events!U2080)*(shifts!AI:AI&lt;=events!V2080))</f>
        <v>74</v>
      </c>
      <c r="X2080" t="str">
        <f t="shared" si="979"/>
        <v>opp_team_player_1</v>
      </c>
      <c r="Y2080">
        <f>COUNTIFS(A$3:A2080,"="&amp;A2080,K$3:K2080,"="&amp;K2080)</f>
        <v>1</v>
      </c>
      <c r="Z2080" s="20">
        <f>SUMIFS(T$3:T2080,L$3:L2080,"=Intermission")+SUMIFS(T$3:T2080,L$3:L2080,"=Timeout")+SUMIFS(T$3:T2080,L$3:L2080,"=Clockstop")</f>
        <v>138</v>
      </c>
      <c r="AA2080">
        <f t="shared" si="970"/>
        <v>2298</v>
      </c>
      <c r="AC2080">
        <f t="shared" si="971"/>
        <v>2436</v>
      </c>
    </row>
    <row r="2081" spans="1:29" x14ac:dyDescent="0.2">
      <c r="A2081">
        <v>1118</v>
      </c>
      <c r="D2081">
        <f t="shared" si="972"/>
        <v>3</v>
      </c>
      <c r="E2081">
        <v>9</v>
      </c>
      <c r="F2081" s="6" t="s">
        <v>422</v>
      </c>
      <c r="I2081" t="s">
        <v>179</v>
      </c>
      <c r="J2081">
        <v>8</v>
      </c>
      <c r="K2081" t="s">
        <v>488</v>
      </c>
      <c r="L2081" t="s">
        <v>10</v>
      </c>
      <c r="M2081" t="s">
        <v>190</v>
      </c>
      <c r="N2081" t="s">
        <v>79</v>
      </c>
      <c r="Q2081">
        <f t="shared" ref="Q2081:S2081" si="1005">Q2080</f>
        <v>18977</v>
      </c>
      <c r="R2081" t="str">
        <f t="shared" si="1005"/>
        <v>Velodrome</v>
      </c>
      <c r="S2081" t="str">
        <f t="shared" si="1005"/>
        <v>HollowBrook</v>
      </c>
      <c r="T2081" s="20">
        <f t="shared" si="976"/>
        <v>0</v>
      </c>
      <c r="U2081">
        <f t="shared" si="977"/>
        <v>560</v>
      </c>
      <c r="V2081">
        <f t="shared" si="978"/>
        <v>560</v>
      </c>
      <c r="W2081" cm="1">
        <f t="array" ref="W2081">_xlfn._xlws.FILTER(shifts!A:A,(shifts!B:B=events!D2081)*(shifts!AH:AH&gt;=events!U2081)*(shifts!AI:AI&lt;=events!V2081))</f>
        <v>74</v>
      </c>
      <c r="X2081" t="str">
        <f t="shared" si="979"/>
        <v>event_team_player_1</v>
      </c>
      <c r="Y2081">
        <f>COUNTIFS(A$3:A2081,"="&amp;A2081,K$3:K2081,"="&amp;K2081)</f>
        <v>1</v>
      </c>
      <c r="Z2081" s="20">
        <f>SUMIFS(T$3:T2081,L$3:L2081,"=Intermission")+SUMIFS(T$3:T2081,L$3:L2081,"=Timeout")+SUMIFS(T$3:T2081,L$3:L2081,"=Clockstop")</f>
        <v>138</v>
      </c>
      <c r="AA2081">
        <f t="shared" si="970"/>
        <v>2298</v>
      </c>
      <c r="AC2081">
        <f t="shared" si="971"/>
        <v>2436</v>
      </c>
    </row>
    <row r="2082" spans="1:29" x14ac:dyDescent="0.2">
      <c r="A2082">
        <v>1119</v>
      </c>
      <c r="D2082">
        <f t="shared" si="972"/>
        <v>3</v>
      </c>
      <c r="E2082">
        <v>9</v>
      </c>
      <c r="F2082" s="6" t="s">
        <v>447</v>
      </c>
      <c r="I2082" t="s">
        <v>178</v>
      </c>
      <c r="J2082">
        <v>9</v>
      </c>
      <c r="K2082" t="s">
        <v>488</v>
      </c>
      <c r="L2082" t="s">
        <v>277</v>
      </c>
      <c r="M2082" t="s">
        <v>201</v>
      </c>
      <c r="N2082" t="s">
        <v>92</v>
      </c>
      <c r="Q2082">
        <f t="shared" ref="Q2082:S2082" si="1006">Q2081</f>
        <v>18977</v>
      </c>
      <c r="R2082" t="str">
        <f t="shared" si="1006"/>
        <v>Velodrome</v>
      </c>
      <c r="S2082" t="str">
        <f t="shared" si="1006"/>
        <v>HollowBrook</v>
      </c>
      <c r="T2082" s="20">
        <f t="shared" si="976"/>
        <v>0</v>
      </c>
      <c r="U2082">
        <f t="shared" si="977"/>
        <v>555</v>
      </c>
      <c r="V2082">
        <f t="shared" si="978"/>
        <v>555</v>
      </c>
      <c r="W2082" cm="1">
        <f t="array" ref="W2082">_xlfn._xlws.FILTER(shifts!A:A,(shifts!B:B=events!D2082)*(shifts!AH:AH&gt;=events!U2082)*(shifts!AI:AI&lt;=events!V2082))</f>
        <v>74</v>
      </c>
      <c r="X2082" t="str">
        <f t="shared" si="979"/>
        <v>event_team_player_1</v>
      </c>
      <c r="Y2082">
        <f>COUNTIFS(A$3:A2082,"="&amp;A2082,K$3:K2082,"="&amp;K2082)</f>
        <v>1</v>
      </c>
      <c r="Z2082" s="20">
        <f>SUMIFS(T$3:T2082,L$3:L2082,"=Intermission")+SUMIFS(T$3:T2082,L$3:L2082,"=Timeout")+SUMIFS(T$3:T2082,L$3:L2082,"=Clockstop")</f>
        <v>138</v>
      </c>
      <c r="AA2082">
        <f t="shared" si="970"/>
        <v>2298</v>
      </c>
      <c r="AC2082">
        <f t="shared" si="971"/>
        <v>2436</v>
      </c>
    </row>
    <row r="2083" spans="1:29" x14ac:dyDescent="0.2">
      <c r="A2083">
        <v>1120</v>
      </c>
      <c r="D2083">
        <f t="shared" si="972"/>
        <v>3</v>
      </c>
      <c r="E2083">
        <v>9</v>
      </c>
      <c r="F2083" s="6" t="s">
        <v>447</v>
      </c>
      <c r="I2083" t="s">
        <v>178</v>
      </c>
      <c r="J2083">
        <v>9</v>
      </c>
      <c r="K2083" t="s">
        <v>488</v>
      </c>
      <c r="L2083" t="s">
        <v>10</v>
      </c>
      <c r="M2083" t="s">
        <v>190</v>
      </c>
      <c r="N2083" t="s">
        <v>460</v>
      </c>
      <c r="Q2083">
        <f t="shared" ref="Q2083:S2083" si="1007">Q2082</f>
        <v>18977</v>
      </c>
      <c r="R2083" t="str">
        <f t="shared" si="1007"/>
        <v>Velodrome</v>
      </c>
      <c r="S2083" t="str">
        <f t="shared" si="1007"/>
        <v>HollowBrook</v>
      </c>
      <c r="T2083" s="20">
        <f t="shared" si="976"/>
        <v>0</v>
      </c>
      <c r="U2083">
        <f t="shared" si="977"/>
        <v>555</v>
      </c>
      <c r="V2083">
        <f t="shared" si="978"/>
        <v>555</v>
      </c>
      <c r="W2083" cm="1">
        <f t="array" ref="W2083">_xlfn._xlws.FILTER(shifts!A:A,(shifts!B:B=events!D2083)*(shifts!AH:AH&gt;=events!U2083)*(shifts!AI:AI&lt;=events!V2083))</f>
        <v>74</v>
      </c>
      <c r="X2083" t="str">
        <f t="shared" si="979"/>
        <v>event_team_player_1</v>
      </c>
      <c r="Y2083">
        <f>COUNTIFS(A$3:A2083,"="&amp;A2083,K$3:K2083,"="&amp;K2083)</f>
        <v>1</v>
      </c>
      <c r="Z2083" s="20">
        <f>SUMIFS(T$3:T2083,L$3:L2083,"=Intermission")+SUMIFS(T$3:T2083,L$3:L2083,"=Timeout")+SUMIFS(T$3:T2083,L$3:L2083,"=Clockstop")</f>
        <v>138</v>
      </c>
      <c r="AA2083">
        <f t="shared" si="970"/>
        <v>2298</v>
      </c>
      <c r="AC2083">
        <f t="shared" si="971"/>
        <v>2436</v>
      </c>
    </row>
    <row r="2084" spans="1:29" x14ac:dyDescent="0.2">
      <c r="A2084">
        <v>1121</v>
      </c>
      <c r="D2084">
        <f t="shared" si="972"/>
        <v>3</v>
      </c>
      <c r="E2084">
        <v>9</v>
      </c>
      <c r="F2084" s="6" t="s">
        <v>423</v>
      </c>
      <c r="I2084" t="s">
        <v>179</v>
      </c>
      <c r="J2084">
        <v>27</v>
      </c>
      <c r="K2084" t="s">
        <v>488</v>
      </c>
      <c r="L2084" t="s">
        <v>277</v>
      </c>
      <c r="M2084" t="s">
        <v>191</v>
      </c>
      <c r="N2084" t="s">
        <v>89</v>
      </c>
      <c r="Q2084">
        <f t="shared" ref="Q2084:S2084" si="1008">Q2083</f>
        <v>18977</v>
      </c>
      <c r="R2084" t="str">
        <f t="shared" si="1008"/>
        <v>Velodrome</v>
      </c>
      <c r="S2084" t="str">
        <f t="shared" si="1008"/>
        <v>HollowBrook</v>
      </c>
      <c r="T2084" s="20">
        <f t="shared" si="976"/>
        <v>0</v>
      </c>
      <c r="U2084">
        <f t="shared" si="977"/>
        <v>554</v>
      </c>
      <c r="V2084">
        <f t="shared" si="978"/>
        <v>554</v>
      </c>
      <c r="W2084" cm="1">
        <f t="array" ref="W2084">_xlfn._xlws.FILTER(shifts!A:A,(shifts!B:B=events!D2084)*(shifts!AH:AH&gt;=events!U2084)*(shifts!AI:AI&lt;=events!V2084))</f>
        <v>74</v>
      </c>
      <c r="X2084" t="str">
        <f t="shared" si="979"/>
        <v>event_team_player_1</v>
      </c>
      <c r="Y2084">
        <f>COUNTIFS(A$3:A2084,"="&amp;A2084,K$3:K2084,"="&amp;K2084)</f>
        <v>1</v>
      </c>
      <c r="Z2084" s="20">
        <f>SUMIFS(T$3:T2084,L$3:L2084,"=Intermission")+SUMIFS(T$3:T2084,L$3:L2084,"=Timeout")+SUMIFS(T$3:T2084,L$3:L2084,"=Clockstop")</f>
        <v>138</v>
      </c>
      <c r="AA2084">
        <f t="shared" si="970"/>
        <v>2298</v>
      </c>
      <c r="AC2084">
        <f t="shared" si="971"/>
        <v>2436</v>
      </c>
    </row>
    <row r="2085" spans="1:29" x14ac:dyDescent="0.2">
      <c r="A2085">
        <v>1122</v>
      </c>
      <c r="D2085">
        <f t="shared" si="972"/>
        <v>3</v>
      </c>
      <c r="E2085">
        <v>9</v>
      </c>
      <c r="F2085" s="6" t="s">
        <v>423</v>
      </c>
      <c r="I2085" t="s">
        <v>179</v>
      </c>
      <c r="J2085">
        <v>27</v>
      </c>
      <c r="K2085" t="s">
        <v>488</v>
      </c>
      <c r="L2085" t="s">
        <v>10</v>
      </c>
      <c r="M2085" t="s">
        <v>190</v>
      </c>
      <c r="N2085" t="s">
        <v>460</v>
      </c>
      <c r="Q2085">
        <f t="shared" ref="Q2085:S2085" si="1009">Q2084</f>
        <v>18977</v>
      </c>
      <c r="R2085" t="str">
        <f t="shared" si="1009"/>
        <v>Velodrome</v>
      </c>
      <c r="S2085" t="str">
        <f t="shared" si="1009"/>
        <v>HollowBrook</v>
      </c>
      <c r="T2085" s="20">
        <f t="shared" si="976"/>
        <v>0</v>
      </c>
      <c r="U2085">
        <f t="shared" si="977"/>
        <v>554</v>
      </c>
      <c r="V2085">
        <f t="shared" si="978"/>
        <v>554</v>
      </c>
      <c r="W2085" cm="1">
        <f t="array" ref="W2085">_xlfn._xlws.FILTER(shifts!A:A,(shifts!B:B=events!D2085)*(shifts!AH:AH&gt;=events!U2085)*(shifts!AI:AI&lt;=events!V2085))</f>
        <v>74</v>
      </c>
      <c r="X2085" t="str">
        <f t="shared" si="979"/>
        <v>event_team_player_1</v>
      </c>
      <c r="Y2085">
        <f>COUNTIFS(A$3:A2085,"="&amp;A2085,K$3:K2085,"="&amp;K2085)</f>
        <v>1</v>
      </c>
      <c r="Z2085" s="20">
        <f>SUMIFS(T$3:T2085,L$3:L2085,"=Intermission")+SUMIFS(T$3:T2085,L$3:L2085,"=Timeout")+SUMIFS(T$3:T2085,L$3:L2085,"=Clockstop")</f>
        <v>138</v>
      </c>
      <c r="AA2085">
        <f t="shared" si="970"/>
        <v>2298</v>
      </c>
      <c r="AC2085">
        <f t="shared" si="971"/>
        <v>2436</v>
      </c>
    </row>
    <row r="2086" spans="1:29" x14ac:dyDescent="0.2">
      <c r="A2086">
        <v>1123</v>
      </c>
      <c r="D2086">
        <f t="shared" si="972"/>
        <v>3</v>
      </c>
      <c r="E2086">
        <v>9</v>
      </c>
      <c r="F2086" s="6" t="s">
        <v>424</v>
      </c>
      <c r="G2086">
        <v>9</v>
      </c>
      <c r="H2086" s="8" t="s">
        <v>309</v>
      </c>
      <c r="I2086" t="s">
        <v>178</v>
      </c>
      <c r="J2086">
        <v>84</v>
      </c>
      <c r="K2086" t="s">
        <v>488</v>
      </c>
      <c r="L2086" t="s">
        <v>15</v>
      </c>
      <c r="Q2086">
        <f t="shared" ref="Q2086:S2086" si="1010">Q2085</f>
        <v>18977</v>
      </c>
      <c r="R2086" t="str">
        <f t="shared" si="1010"/>
        <v>Velodrome</v>
      </c>
      <c r="S2086" t="str">
        <f t="shared" si="1010"/>
        <v>HollowBrook</v>
      </c>
      <c r="T2086" s="20">
        <f t="shared" si="976"/>
        <v>2</v>
      </c>
      <c r="U2086">
        <f t="shared" si="977"/>
        <v>549</v>
      </c>
      <c r="V2086">
        <f t="shared" si="978"/>
        <v>547</v>
      </c>
      <c r="W2086" cm="1">
        <f t="array" ref="W2086">_xlfn._xlws.FILTER(shifts!A:A,(shifts!B:B=events!D2086)*(shifts!AH:AH&gt;=events!U2086)*(shifts!AI:AI&lt;=events!V2086))</f>
        <v>74</v>
      </c>
      <c r="X2086" t="str">
        <f t="shared" si="979"/>
        <v>event_team_player_1</v>
      </c>
      <c r="Y2086">
        <f>COUNTIFS(A$3:A2086,"="&amp;A2086,K$3:K2086,"="&amp;K2086)</f>
        <v>1</v>
      </c>
      <c r="Z2086" s="20">
        <f>SUMIFS(T$3:T2086,L$3:L2086,"=Intermission")+SUMIFS(T$3:T2086,L$3:L2086,"=Timeout")+SUMIFS(T$3:T2086,L$3:L2086,"=Clockstop")</f>
        <v>138</v>
      </c>
      <c r="AA2086">
        <f t="shared" si="970"/>
        <v>2298</v>
      </c>
      <c r="AC2086">
        <f t="shared" si="971"/>
        <v>2436</v>
      </c>
    </row>
    <row r="2087" spans="1:29" x14ac:dyDescent="0.2">
      <c r="A2087">
        <v>1124</v>
      </c>
      <c r="D2087">
        <f t="shared" si="972"/>
        <v>3</v>
      </c>
      <c r="E2087">
        <v>9</v>
      </c>
      <c r="F2087" s="6" t="s">
        <v>309</v>
      </c>
      <c r="G2087">
        <v>9</v>
      </c>
      <c r="H2087" s="8" t="s">
        <v>315</v>
      </c>
      <c r="I2087" t="s">
        <v>178</v>
      </c>
      <c r="J2087">
        <v>84</v>
      </c>
      <c r="K2087" t="s">
        <v>488</v>
      </c>
      <c r="L2087" t="s">
        <v>15</v>
      </c>
      <c r="Q2087">
        <f t="shared" ref="Q2087:S2087" si="1011">Q2086</f>
        <v>18977</v>
      </c>
      <c r="R2087" t="str">
        <f t="shared" si="1011"/>
        <v>Velodrome</v>
      </c>
      <c r="S2087" t="str">
        <f t="shared" si="1011"/>
        <v>HollowBrook</v>
      </c>
      <c r="T2087" s="20">
        <f t="shared" si="976"/>
        <v>2</v>
      </c>
      <c r="U2087">
        <f t="shared" si="977"/>
        <v>547</v>
      </c>
      <c r="V2087">
        <f t="shared" si="978"/>
        <v>545</v>
      </c>
      <c r="W2087" cm="1">
        <f t="array" ref="W2087">_xlfn._xlws.FILTER(shifts!A:A,(shifts!B:B=events!D2087)*(shifts!AH:AH&gt;=events!U2087)*(shifts!AI:AI&lt;=events!V2087))</f>
        <v>74</v>
      </c>
      <c r="X2087" t="str">
        <f t="shared" si="979"/>
        <v>event_team_player_1</v>
      </c>
      <c r="Y2087">
        <f>COUNTIFS(A$3:A2087,"="&amp;A2087,K$3:K2087,"="&amp;K2087)</f>
        <v>1</v>
      </c>
      <c r="Z2087" s="20">
        <f>SUMIFS(T$3:T2087,L$3:L2087,"=Intermission")+SUMIFS(T$3:T2087,L$3:L2087,"=Timeout")+SUMIFS(T$3:T2087,L$3:L2087,"=Clockstop")</f>
        <v>138</v>
      </c>
      <c r="AA2087">
        <f t="shared" si="970"/>
        <v>2298</v>
      </c>
      <c r="AC2087">
        <f t="shared" si="971"/>
        <v>2436</v>
      </c>
    </row>
    <row r="2088" spans="1:29" x14ac:dyDescent="0.2">
      <c r="A2088">
        <v>1124</v>
      </c>
      <c r="D2088">
        <f t="shared" si="972"/>
        <v>3</v>
      </c>
      <c r="E2088">
        <v>9</v>
      </c>
      <c r="F2088" s="6" t="s">
        <v>315</v>
      </c>
      <c r="I2088" t="s">
        <v>178</v>
      </c>
      <c r="J2088">
        <v>84</v>
      </c>
      <c r="K2088" t="s">
        <v>488</v>
      </c>
      <c r="L2088" t="s">
        <v>8</v>
      </c>
      <c r="M2088" t="s">
        <v>189</v>
      </c>
      <c r="N2088" t="s">
        <v>68</v>
      </c>
      <c r="Q2088">
        <f t="shared" ref="Q2088:S2088" si="1012">Q2087</f>
        <v>18977</v>
      </c>
      <c r="R2088" t="str">
        <f t="shared" si="1012"/>
        <v>Velodrome</v>
      </c>
      <c r="S2088" t="str">
        <f t="shared" si="1012"/>
        <v>HollowBrook</v>
      </c>
      <c r="T2088" s="20">
        <f t="shared" si="976"/>
        <v>0</v>
      </c>
      <c r="U2088">
        <f t="shared" si="977"/>
        <v>545</v>
      </c>
      <c r="V2088">
        <f t="shared" si="978"/>
        <v>545</v>
      </c>
      <c r="W2088" cm="1">
        <f t="array" ref="W2088">_xlfn._xlws.FILTER(shifts!A:A,(shifts!B:B=events!D2088)*(shifts!AH:AH&gt;=events!U2088)*(shifts!AI:AI&lt;=events!V2088))</f>
        <v>74</v>
      </c>
      <c r="X2088" t="str">
        <f t="shared" si="979"/>
        <v>event_team_player_2</v>
      </c>
      <c r="Y2088">
        <f>COUNTIFS(A$3:A2088,"="&amp;A2088,K$3:K2088,"="&amp;K2088)</f>
        <v>2</v>
      </c>
      <c r="Z2088" s="20">
        <f>SUMIFS(T$3:T2088,L$3:L2088,"=Intermission")+SUMIFS(T$3:T2088,L$3:L2088,"=Timeout")+SUMIFS(T$3:T2088,L$3:L2088,"=Clockstop")</f>
        <v>138</v>
      </c>
      <c r="AA2088">
        <f t="shared" si="970"/>
        <v>2298</v>
      </c>
      <c r="AC2088">
        <f t="shared" si="971"/>
        <v>2436</v>
      </c>
    </row>
    <row r="2089" spans="1:29" x14ac:dyDescent="0.2">
      <c r="A2089">
        <v>1125</v>
      </c>
      <c r="D2089">
        <f t="shared" si="972"/>
        <v>3</v>
      </c>
      <c r="E2089">
        <v>9</v>
      </c>
      <c r="F2089" s="6" t="s">
        <v>315</v>
      </c>
      <c r="I2089" t="s">
        <v>178</v>
      </c>
      <c r="J2089">
        <v>49</v>
      </c>
      <c r="K2089" t="s">
        <v>488</v>
      </c>
      <c r="L2089" t="s">
        <v>8</v>
      </c>
      <c r="M2089" t="s">
        <v>189</v>
      </c>
      <c r="N2089" t="s">
        <v>68</v>
      </c>
      <c r="Q2089">
        <f t="shared" ref="Q2089:S2089" si="1013">Q2088</f>
        <v>18977</v>
      </c>
      <c r="R2089" t="str">
        <f t="shared" si="1013"/>
        <v>Velodrome</v>
      </c>
      <c r="S2089" t="str">
        <f t="shared" si="1013"/>
        <v>HollowBrook</v>
      </c>
      <c r="T2089" s="20">
        <f t="shared" si="976"/>
        <v>0</v>
      </c>
      <c r="U2089">
        <f t="shared" si="977"/>
        <v>545</v>
      </c>
      <c r="V2089">
        <f t="shared" si="978"/>
        <v>545</v>
      </c>
      <c r="W2089" cm="1">
        <f t="array" ref="W2089">_xlfn._xlws.FILTER(shifts!A:A,(shifts!B:B=events!D2089)*(shifts!AH:AH&gt;=events!U2089)*(shifts!AI:AI&lt;=events!V2089))</f>
        <v>74</v>
      </c>
      <c r="X2089" t="str">
        <f t="shared" si="979"/>
        <v>event_team_player_1</v>
      </c>
      <c r="Y2089">
        <f>COUNTIFS(A$3:A2089,"="&amp;A2089,K$3:K2089,"="&amp;K2089)</f>
        <v>1</v>
      </c>
      <c r="Z2089" s="20">
        <f>SUMIFS(T$3:T2089,L$3:L2089,"=Intermission")+SUMIFS(T$3:T2089,L$3:L2089,"=Timeout")+SUMIFS(T$3:T2089,L$3:L2089,"=Clockstop")</f>
        <v>138</v>
      </c>
      <c r="AA2089">
        <f t="shared" si="970"/>
        <v>2298</v>
      </c>
      <c r="AC2089">
        <f t="shared" si="971"/>
        <v>2436</v>
      </c>
    </row>
    <row r="2090" spans="1:29" x14ac:dyDescent="0.2">
      <c r="A2090">
        <v>1126</v>
      </c>
      <c r="D2090">
        <f t="shared" si="972"/>
        <v>3</v>
      </c>
      <c r="E2090">
        <v>9</v>
      </c>
      <c r="F2090" s="6" t="s">
        <v>310</v>
      </c>
      <c r="G2090">
        <v>9</v>
      </c>
      <c r="H2090" s="8" t="s">
        <v>316</v>
      </c>
      <c r="I2090" t="s">
        <v>178</v>
      </c>
      <c r="J2090">
        <v>49</v>
      </c>
      <c r="K2090" t="s">
        <v>488</v>
      </c>
      <c r="L2090" t="s">
        <v>15</v>
      </c>
      <c r="Q2090">
        <f t="shared" ref="Q2090:S2090" si="1014">Q2089</f>
        <v>18977</v>
      </c>
      <c r="R2090" t="str">
        <f t="shared" si="1014"/>
        <v>Velodrome</v>
      </c>
      <c r="S2090" t="str">
        <f t="shared" si="1014"/>
        <v>HollowBrook</v>
      </c>
      <c r="T2090" s="20">
        <f t="shared" si="976"/>
        <v>2</v>
      </c>
      <c r="U2090">
        <f t="shared" si="977"/>
        <v>544</v>
      </c>
      <c r="V2090">
        <f t="shared" si="978"/>
        <v>542</v>
      </c>
      <c r="W2090" cm="1">
        <f t="array" ref="W2090">_xlfn._xlws.FILTER(shifts!A:A,(shifts!B:B=events!D2090)*(shifts!AH:AH&gt;=events!U2090)*(shifts!AI:AI&lt;=events!V2090))</f>
        <v>74</v>
      </c>
      <c r="X2090" t="str">
        <f t="shared" si="979"/>
        <v>event_team_player_1</v>
      </c>
      <c r="Y2090">
        <f>COUNTIFS(A$3:A2090,"="&amp;A2090,K$3:K2090,"="&amp;K2090)</f>
        <v>1</v>
      </c>
      <c r="Z2090" s="20">
        <f>SUMIFS(T$3:T2090,L$3:L2090,"=Intermission")+SUMIFS(T$3:T2090,L$3:L2090,"=Timeout")+SUMIFS(T$3:T2090,L$3:L2090,"=Clockstop")</f>
        <v>138</v>
      </c>
      <c r="AA2090">
        <f t="shared" si="970"/>
        <v>2298</v>
      </c>
      <c r="AC2090">
        <f t="shared" si="971"/>
        <v>2436</v>
      </c>
    </row>
    <row r="2091" spans="1:29" x14ac:dyDescent="0.2">
      <c r="A2091">
        <v>1127</v>
      </c>
      <c r="D2091">
        <f t="shared" si="972"/>
        <v>3</v>
      </c>
      <c r="E2091">
        <v>9</v>
      </c>
      <c r="F2091" s="6" t="s">
        <v>316</v>
      </c>
      <c r="I2091" t="s">
        <v>178</v>
      </c>
      <c r="J2091">
        <v>49</v>
      </c>
      <c r="K2091" t="s">
        <v>488</v>
      </c>
      <c r="L2091" t="s">
        <v>8</v>
      </c>
      <c r="M2091" t="s">
        <v>199</v>
      </c>
      <c r="N2091" t="s">
        <v>70</v>
      </c>
      <c r="Q2091">
        <f t="shared" ref="Q2091:S2091" si="1015">Q2090</f>
        <v>18977</v>
      </c>
      <c r="R2091" t="str">
        <f t="shared" si="1015"/>
        <v>Velodrome</v>
      </c>
      <c r="S2091" t="str">
        <f t="shared" si="1015"/>
        <v>HollowBrook</v>
      </c>
      <c r="T2091" s="20">
        <f t="shared" si="976"/>
        <v>0</v>
      </c>
      <c r="U2091">
        <f t="shared" si="977"/>
        <v>542</v>
      </c>
      <c r="V2091">
        <f t="shared" si="978"/>
        <v>542</v>
      </c>
      <c r="W2091" cm="1">
        <f t="array" ref="W2091">_xlfn._xlws.FILTER(shifts!A:A,(shifts!B:B=events!D2091)*(shifts!AH:AH&gt;=events!U2091)*(shifts!AI:AI&lt;=events!V2091))</f>
        <v>74</v>
      </c>
      <c r="X2091" t="str">
        <f t="shared" si="979"/>
        <v>event_team_player_1</v>
      </c>
      <c r="Y2091">
        <f>COUNTIFS(A$3:A2091,"="&amp;A2091,K$3:K2091,"="&amp;K2091)</f>
        <v>1</v>
      </c>
      <c r="Z2091" s="20">
        <f>SUMIFS(T$3:T2091,L$3:L2091,"=Intermission")+SUMIFS(T$3:T2091,L$3:L2091,"=Timeout")+SUMIFS(T$3:T2091,L$3:L2091,"=Clockstop")</f>
        <v>138</v>
      </c>
      <c r="AA2091">
        <f t="shared" si="970"/>
        <v>2298</v>
      </c>
      <c r="AC2091">
        <f t="shared" si="971"/>
        <v>2436</v>
      </c>
    </row>
    <row r="2092" spans="1:29" x14ac:dyDescent="0.2">
      <c r="A2092">
        <v>1127</v>
      </c>
      <c r="D2092">
        <f t="shared" si="972"/>
        <v>3</v>
      </c>
      <c r="E2092">
        <v>9</v>
      </c>
      <c r="F2092" s="6" t="s">
        <v>316</v>
      </c>
      <c r="I2092" t="s">
        <v>178</v>
      </c>
      <c r="J2092">
        <v>9</v>
      </c>
      <c r="K2092" t="s">
        <v>488</v>
      </c>
      <c r="L2092" t="s">
        <v>8</v>
      </c>
      <c r="M2092" t="s">
        <v>199</v>
      </c>
      <c r="N2092" t="s">
        <v>70</v>
      </c>
      <c r="Q2092">
        <f t="shared" ref="Q2092:S2092" si="1016">Q2091</f>
        <v>18977</v>
      </c>
      <c r="R2092" t="str">
        <f t="shared" si="1016"/>
        <v>Velodrome</v>
      </c>
      <c r="S2092" t="str">
        <f t="shared" si="1016"/>
        <v>HollowBrook</v>
      </c>
      <c r="T2092" s="20">
        <f t="shared" si="976"/>
        <v>0</v>
      </c>
      <c r="U2092">
        <f t="shared" si="977"/>
        <v>542</v>
      </c>
      <c r="V2092">
        <f t="shared" si="978"/>
        <v>542</v>
      </c>
      <c r="W2092" cm="1">
        <f t="array" ref="W2092">_xlfn._xlws.FILTER(shifts!A:A,(shifts!B:B=events!D2092)*(shifts!AH:AH&gt;=events!U2092)*(shifts!AI:AI&lt;=events!V2092))</f>
        <v>74</v>
      </c>
      <c r="X2092" t="str">
        <f t="shared" si="979"/>
        <v>event_team_player_2</v>
      </c>
      <c r="Y2092">
        <f>COUNTIFS(A$3:A2092,"="&amp;A2092,K$3:K2092,"="&amp;K2092)</f>
        <v>2</v>
      </c>
      <c r="Z2092" s="20">
        <f>SUMIFS(T$3:T2092,L$3:L2092,"=Intermission")+SUMIFS(T$3:T2092,L$3:L2092,"=Timeout")+SUMIFS(T$3:T2092,L$3:L2092,"=Clockstop")</f>
        <v>138</v>
      </c>
      <c r="AA2092">
        <f t="shared" si="970"/>
        <v>2298</v>
      </c>
      <c r="AC2092">
        <f t="shared" si="971"/>
        <v>2436</v>
      </c>
    </row>
    <row r="2093" spans="1:29" x14ac:dyDescent="0.2">
      <c r="A2093">
        <v>1128</v>
      </c>
      <c r="D2093">
        <f t="shared" si="972"/>
        <v>3</v>
      </c>
      <c r="E2093">
        <v>9</v>
      </c>
      <c r="F2093" s="6" t="s">
        <v>312</v>
      </c>
      <c r="G2093">
        <v>8</v>
      </c>
      <c r="H2093" s="8" t="s">
        <v>487</v>
      </c>
      <c r="I2093" t="s">
        <v>178</v>
      </c>
      <c r="J2093">
        <v>9</v>
      </c>
      <c r="K2093" t="s">
        <v>488</v>
      </c>
      <c r="L2093" t="s">
        <v>277</v>
      </c>
      <c r="M2093" t="s">
        <v>201</v>
      </c>
      <c r="N2093" t="s">
        <v>90</v>
      </c>
      <c r="Q2093">
        <f t="shared" ref="Q2093:S2093" si="1017">Q2092</f>
        <v>18977</v>
      </c>
      <c r="R2093" t="str">
        <f t="shared" si="1017"/>
        <v>Velodrome</v>
      </c>
      <c r="S2093" t="str">
        <f t="shared" si="1017"/>
        <v>HollowBrook</v>
      </c>
      <c r="T2093" s="20">
        <f t="shared" si="976"/>
        <v>2</v>
      </c>
      <c r="U2093">
        <f t="shared" si="977"/>
        <v>541</v>
      </c>
      <c r="V2093">
        <f t="shared" si="978"/>
        <v>539</v>
      </c>
      <c r="W2093" cm="1">
        <f t="array" ref="W2093">_xlfn._xlws.FILTER(shifts!A:A,(shifts!B:B=events!D2093)*(shifts!AH:AH&gt;=events!U2093)*(shifts!AI:AI&lt;=events!V2093))</f>
        <v>74</v>
      </c>
      <c r="X2093" t="str">
        <f t="shared" si="979"/>
        <v>event_team_player_1</v>
      </c>
      <c r="Y2093">
        <f>COUNTIFS(A$3:A2093,"="&amp;A2093,K$3:K2093,"="&amp;K2093)</f>
        <v>1</v>
      </c>
      <c r="Z2093" s="20">
        <f>SUMIFS(T$3:T2093,L$3:L2093,"=Intermission")+SUMIFS(T$3:T2093,L$3:L2093,"=Timeout")+SUMIFS(T$3:T2093,L$3:L2093,"=Clockstop")</f>
        <v>138</v>
      </c>
      <c r="AA2093">
        <f t="shared" si="970"/>
        <v>2298</v>
      </c>
      <c r="AC2093">
        <f t="shared" si="971"/>
        <v>2436</v>
      </c>
    </row>
    <row r="2094" spans="1:29" x14ac:dyDescent="0.2">
      <c r="A2094">
        <v>1129</v>
      </c>
      <c r="D2094">
        <f t="shared" si="972"/>
        <v>3</v>
      </c>
      <c r="E2094">
        <v>8</v>
      </c>
      <c r="F2094" s="6" t="s">
        <v>487</v>
      </c>
      <c r="I2094" t="s">
        <v>178</v>
      </c>
      <c r="J2094">
        <v>9</v>
      </c>
      <c r="K2094" t="s">
        <v>488</v>
      </c>
      <c r="L2094" t="s">
        <v>8</v>
      </c>
      <c r="M2094" t="s">
        <v>189</v>
      </c>
      <c r="N2094" t="s">
        <v>70</v>
      </c>
      <c r="Q2094">
        <f t="shared" ref="Q2094:S2094" si="1018">Q2093</f>
        <v>18977</v>
      </c>
      <c r="R2094" t="str">
        <f t="shared" si="1018"/>
        <v>Velodrome</v>
      </c>
      <c r="S2094" t="str">
        <f t="shared" si="1018"/>
        <v>HollowBrook</v>
      </c>
      <c r="T2094" s="20">
        <f t="shared" si="976"/>
        <v>0</v>
      </c>
      <c r="U2094">
        <f t="shared" si="977"/>
        <v>539</v>
      </c>
      <c r="V2094">
        <f t="shared" si="978"/>
        <v>539</v>
      </c>
      <c r="W2094" cm="1">
        <f t="array" ref="W2094">_xlfn._xlws.FILTER(shifts!A:A,(shifts!B:B=events!D2094)*(shifts!AH:AH&gt;=events!U2094)*(shifts!AI:AI&lt;=events!V2094))</f>
        <v>74</v>
      </c>
      <c r="X2094" t="str">
        <f t="shared" si="979"/>
        <v>event_team_player_1</v>
      </c>
      <c r="Y2094">
        <f>COUNTIFS(A$3:A2094,"="&amp;A2094,K$3:K2094,"="&amp;K2094)</f>
        <v>1</v>
      </c>
      <c r="Z2094" s="20">
        <f>SUMIFS(T$3:T2094,L$3:L2094,"=Intermission")+SUMIFS(T$3:T2094,L$3:L2094,"=Timeout")+SUMIFS(T$3:T2094,L$3:L2094,"=Clockstop")</f>
        <v>138</v>
      </c>
      <c r="AA2094">
        <f t="shared" si="970"/>
        <v>2298</v>
      </c>
      <c r="AC2094">
        <f t="shared" si="971"/>
        <v>2436</v>
      </c>
    </row>
    <row r="2095" spans="1:29" x14ac:dyDescent="0.2">
      <c r="A2095">
        <v>1129</v>
      </c>
      <c r="D2095">
        <f t="shared" si="972"/>
        <v>3</v>
      </c>
      <c r="E2095">
        <v>8</v>
      </c>
      <c r="F2095" s="6" t="s">
        <v>487</v>
      </c>
      <c r="I2095" t="s">
        <v>178</v>
      </c>
      <c r="J2095">
        <v>75</v>
      </c>
      <c r="K2095" t="s">
        <v>488</v>
      </c>
      <c r="L2095" t="s">
        <v>8</v>
      </c>
      <c r="M2095" t="s">
        <v>189</v>
      </c>
      <c r="N2095" t="s">
        <v>70</v>
      </c>
      <c r="Q2095">
        <f t="shared" ref="Q2095:S2095" si="1019">Q2094</f>
        <v>18977</v>
      </c>
      <c r="R2095" t="str">
        <f t="shared" si="1019"/>
        <v>Velodrome</v>
      </c>
      <c r="S2095" t="str">
        <f t="shared" si="1019"/>
        <v>HollowBrook</v>
      </c>
      <c r="T2095" s="20">
        <f t="shared" si="976"/>
        <v>0</v>
      </c>
      <c r="U2095">
        <f t="shared" si="977"/>
        <v>539</v>
      </c>
      <c r="V2095">
        <f t="shared" si="978"/>
        <v>539</v>
      </c>
      <c r="W2095" cm="1">
        <f t="array" ref="W2095">_xlfn._xlws.FILTER(shifts!A:A,(shifts!B:B=events!D2095)*(shifts!AH:AH&gt;=events!U2095)*(shifts!AI:AI&lt;=events!V2095))</f>
        <v>74</v>
      </c>
      <c r="X2095" t="str">
        <f t="shared" si="979"/>
        <v>event_team_player_2</v>
      </c>
      <c r="Y2095">
        <f>COUNTIFS(A$3:A2095,"="&amp;A2095,K$3:K2095,"="&amp;K2095)</f>
        <v>2</v>
      </c>
      <c r="Z2095" s="20">
        <f>SUMIFS(T$3:T2095,L$3:L2095,"=Intermission")+SUMIFS(T$3:T2095,L$3:L2095,"=Timeout")+SUMIFS(T$3:T2095,L$3:L2095,"=Clockstop")</f>
        <v>138</v>
      </c>
      <c r="AA2095">
        <f t="shared" si="970"/>
        <v>2298</v>
      </c>
      <c r="AC2095">
        <f t="shared" si="971"/>
        <v>2436</v>
      </c>
    </row>
    <row r="2096" spans="1:29" x14ac:dyDescent="0.2">
      <c r="A2096">
        <v>1130</v>
      </c>
      <c r="D2096">
        <f t="shared" si="972"/>
        <v>3</v>
      </c>
      <c r="E2096">
        <v>8</v>
      </c>
      <c r="F2096" s="6" t="s">
        <v>487</v>
      </c>
      <c r="G2096">
        <v>8</v>
      </c>
      <c r="H2096" s="8" t="s">
        <v>433</v>
      </c>
      <c r="I2096" t="s">
        <v>178</v>
      </c>
      <c r="J2096">
        <v>75</v>
      </c>
      <c r="K2096" t="s">
        <v>488</v>
      </c>
      <c r="L2096" t="s">
        <v>15</v>
      </c>
      <c r="Q2096">
        <f t="shared" ref="Q2096:S2096" si="1020">Q2095</f>
        <v>18977</v>
      </c>
      <c r="R2096" t="str">
        <f t="shared" si="1020"/>
        <v>Velodrome</v>
      </c>
      <c r="S2096" t="str">
        <f t="shared" si="1020"/>
        <v>HollowBrook</v>
      </c>
      <c r="T2096" s="20">
        <f t="shared" si="976"/>
        <v>2</v>
      </c>
      <c r="U2096">
        <f t="shared" si="977"/>
        <v>539</v>
      </c>
      <c r="V2096">
        <f t="shared" si="978"/>
        <v>537</v>
      </c>
      <c r="W2096" cm="1">
        <f t="array" ref="W2096">_xlfn._xlws.FILTER(shifts!A:A,(shifts!B:B=events!D2096)*(shifts!AH:AH&gt;=events!U2096)*(shifts!AI:AI&lt;=events!V2096))</f>
        <v>74</v>
      </c>
      <c r="X2096" t="str">
        <f t="shared" si="979"/>
        <v>event_team_player_1</v>
      </c>
      <c r="Y2096">
        <f>COUNTIFS(A$3:A2096,"="&amp;A2096,K$3:K2096,"="&amp;K2096)</f>
        <v>1</v>
      </c>
      <c r="Z2096" s="20">
        <f>SUMIFS(T$3:T2096,L$3:L2096,"=Intermission")+SUMIFS(T$3:T2096,L$3:L2096,"=Timeout")+SUMIFS(T$3:T2096,L$3:L2096,"=Clockstop")</f>
        <v>138</v>
      </c>
      <c r="AA2096">
        <f t="shared" si="970"/>
        <v>2298</v>
      </c>
      <c r="AC2096">
        <f t="shared" si="971"/>
        <v>2436</v>
      </c>
    </row>
    <row r="2097" spans="1:29" x14ac:dyDescent="0.2">
      <c r="A2097">
        <v>1131</v>
      </c>
      <c r="D2097">
        <f t="shared" si="972"/>
        <v>3</v>
      </c>
      <c r="E2097">
        <v>8</v>
      </c>
      <c r="F2097" s="6" t="s">
        <v>433</v>
      </c>
      <c r="G2097">
        <v>8</v>
      </c>
      <c r="H2097" s="8" t="s">
        <v>427</v>
      </c>
      <c r="I2097" t="s">
        <v>178</v>
      </c>
      <c r="J2097">
        <v>75</v>
      </c>
      <c r="K2097" t="s">
        <v>488</v>
      </c>
      <c r="L2097" t="s">
        <v>277</v>
      </c>
      <c r="M2097" t="s">
        <v>191</v>
      </c>
      <c r="N2097" t="s">
        <v>87</v>
      </c>
      <c r="Q2097">
        <f t="shared" ref="Q2097:S2097" si="1021">Q2096</f>
        <v>18977</v>
      </c>
      <c r="R2097" t="str">
        <f t="shared" si="1021"/>
        <v>Velodrome</v>
      </c>
      <c r="S2097" t="str">
        <f t="shared" si="1021"/>
        <v>HollowBrook</v>
      </c>
      <c r="T2097" s="20">
        <f t="shared" si="976"/>
        <v>3</v>
      </c>
      <c r="U2097">
        <f t="shared" si="977"/>
        <v>537</v>
      </c>
      <c r="V2097">
        <f t="shared" si="978"/>
        <v>534</v>
      </c>
      <c r="W2097" cm="1">
        <f t="array" ref="W2097">_xlfn._xlws.FILTER(shifts!A:A,(shifts!B:B=events!D2097)*(shifts!AH:AH&gt;=events!U2097)*(shifts!AI:AI&lt;=events!V2097))</f>
        <v>74</v>
      </c>
      <c r="X2097" t="str">
        <f t="shared" si="979"/>
        <v>event_team_player_1</v>
      </c>
      <c r="Y2097">
        <f>COUNTIFS(A$3:A2097,"="&amp;A2097,K$3:K2097,"="&amp;K2097)</f>
        <v>1</v>
      </c>
      <c r="Z2097" s="20">
        <f>SUMIFS(T$3:T2097,L$3:L2097,"=Intermission")+SUMIFS(T$3:T2097,L$3:L2097,"=Timeout")+SUMIFS(T$3:T2097,L$3:L2097,"=Clockstop")</f>
        <v>138</v>
      </c>
      <c r="AA2097">
        <f t="shared" si="970"/>
        <v>2298</v>
      </c>
      <c r="AC2097">
        <f t="shared" si="971"/>
        <v>2436</v>
      </c>
    </row>
    <row r="2098" spans="1:29" x14ac:dyDescent="0.2">
      <c r="A2098">
        <v>1131</v>
      </c>
      <c r="D2098">
        <f t="shared" si="972"/>
        <v>3</v>
      </c>
      <c r="E2098">
        <v>8</v>
      </c>
      <c r="F2098" s="6" t="s">
        <v>433</v>
      </c>
      <c r="G2098">
        <v>8</v>
      </c>
      <c r="H2098" s="8" t="s">
        <v>427</v>
      </c>
      <c r="I2098" t="s">
        <v>178</v>
      </c>
      <c r="J2098">
        <v>70</v>
      </c>
      <c r="K2098" t="s">
        <v>488</v>
      </c>
      <c r="L2098" t="s">
        <v>277</v>
      </c>
      <c r="M2098" t="s">
        <v>191</v>
      </c>
      <c r="N2098" t="s">
        <v>87</v>
      </c>
      <c r="Q2098">
        <f t="shared" ref="Q2098:S2098" si="1022">Q2097</f>
        <v>18977</v>
      </c>
      <c r="R2098" t="str">
        <f t="shared" si="1022"/>
        <v>Velodrome</v>
      </c>
      <c r="S2098" t="str">
        <f t="shared" si="1022"/>
        <v>HollowBrook</v>
      </c>
      <c r="T2098" s="20">
        <f t="shared" si="976"/>
        <v>3</v>
      </c>
      <c r="U2098">
        <f t="shared" si="977"/>
        <v>537</v>
      </c>
      <c r="V2098">
        <f t="shared" si="978"/>
        <v>534</v>
      </c>
      <c r="W2098" cm="1">
        <f t="array" ref="W2098">_xlfn._xlws.FILTER(shifts!A:A,(shifts!B:B=events!D2098)*(shifts!AH:AH&gt;=events!U2098)*(shifts!AI:AI&lt;=events!V2098))</f>
        <v>74</v>
      </c>
      <c r="X2098" t="str">
        <f t="shared" si="979"/>
        <v>event_team_player_2</v>
      </c>
      <c r="Y2098">
        <f>COUNTIFS(A$3:A2098,"="&amp;A2098,K$3:K2098,"="&amp;K2098)</f>
        <v>2</v>
      </c>
      <c r="Z2098" s="20">
        <f>SUMIFS(T$3:T2098,L$3:L2098,"=Intermission")+SUMIFS(T$3:T2098,L$3:L2098,"=Timeout")+SUMIFS(T$3:T2098,L$3:L2098,"=Clockstop")</f>
        <v>138</v>
      </c>
      <c r="AA2098">
        <f t="shared" si="970"/>
        <v>2298</v>
      </c>
      <c r="AC2098">
        <f t="shared" si="971"/>
        <v>2436</v>
      </c>
    </row>
    <row r="2099" spans="1:29" x14ac:dyDescent="0.2">
      <c r="A2099">
        <v>1131</v>
      </c>
      <c r="D2099">
        <f t="shared" si="972"/>
        <v>3</v>
      </c>
      <c r="E2099">
        <v>8</v>
      </c>
      <c r="F2099" s="6" t="s">
        <v>433</v>
      </c>
      <c r="G2099">
        <v>8</v>
      </c>
      <c r="H2099" s="8" t="s">
        <v>427</v>
      </c>
      <c r="I2099" t="s">
        <v>178</v>
      </c>
      <c r="J2099">
        <v>49</v>
      </c>
      <c r="K2099" t="s">
        <v>488</v>
      </c>
      <c r="L2099" t="s">
        <v>277</v>
      </c>
      <c r="M2099" t="s">
        <v>191</v>
      </c>
      <c r="N2099" t="s">
        <v>87</v>
      </c>
      <c r="Q2099">
        <f t="shared" ref="Q2099:S2099" si="1023">Q2098</f>
        <v>18977</v>
      </c>
      <c r="R2099" t="str">
        <f t="shared" si="1023"/>
        <v>Velodrome</v>
      </c>
      <c r="S2099" t="str">
        <f t="shared" si="1023"/>
        <v>HollowBrook</v>
      </c>
      <c r="T2099" s="20">
        <f t="shared" si="976"/>
        <v>3</v>
      </c>
      <c r="U2099">
        <f t="shared" si="977"/>
        <v>537</v>
      </c>
      <c r="V2099">
        <f t="shared" si="978"/>
        <v>534</v>
      </c>
      <c r="W2099" cm="1">
        <f t="array" ref="W2099">_xlfn._xlws.FILTER(shifts!A:A,(shifts!B:B=events!D2099)*(shifts!AH:AH&gt;=events!U2099)*(shifts!AI:AI&lt;=events!V2099))</f>
        <v>74</v>
      </c>
      <c r="X2099" t="str">
        <f t="shared" si="979"/>
        <v>event_team_player_3</v>
      </c>
      <c r="Y2099">
        <f>COUNTIFS(A$3:A2099,"="&amp;A2099,K$3:K2099,"="&amp;K2099)</f>
        <v>3</v>
      </c>
      <c r="Z2099" s="20">
        <f>SUMIFS(T$3:T2099,L$3:L2099,"=Intermission")+SUMIFS(T$3:T2099,L$3:L2099,"=Timeout")+SUMIFS(T$3:T2099,L$3:L2099,"=Clockstop")</f>
        <v>138</v>
      </c>
      <c r="AA2099">
        <f t="shared" si="970"/>
        <v>2298</v>
      </c>
      <c r="AC2099">
        <f t="shared" si="971"/>
        <v>2436</v>
      </c>
    </row>
    <row r="2100" spans="1:29" x14ac:dyDescent="0.2">
      <c r="A2100">
        <v>1131</v>
      </c>
      <c r="D2100">
        <f t="shared" si="972"/>
        <v>3</v>
      </c>
      <c r="E2100">
        <v>8</v>
      </c>
      <c r="F2100" s="6" t="s">
        <v>433</v>
      </c>
      <c r="G2100">
        <v>8</v>
      </c>
      <c r="H2100" s="8" t="s">
        <v>427</v>
      </c>
      <c r="I2100" t="s">
        <v>178</v>
      </c>
      <c r="J2100">
        <v>27</v>
      </c>
      <c r="K2100" t="s">
        <v>489</v>
      </c>
      <c r="L2100" t="s">
        <v>277</v>
      </c>
      <c r="M2100" t="s">
        <v>191</v>
      </c>
      <c r="N2100" t="s">
        <v>87</v>
      </c>
      <c r="Q2100">
        <f t="shared" ref="Q2100:S2100" si="1024">Q2099</f>
        <v>18977</v>
      </c>
      <c r="R2100" t="str">
        <f t="shared" si="1024"/>
        <v>Velodrome</v>
      </c>
      <c r="S2100" t="str">
        <f t="shared" si="1024"/>
        <v>HollowBrook</v>
      </c>
      <c r="T2100" s="20">
        <f t="shared" si="976"/>
        <v>3</v>
      </c>
      <c r="U2100">
        <f t="shared" si="977"/>
        <v>537</v>
      </c>
      <c r="V2100">
        <f t="shared" si="978"/>
        <v>534</v>
      </c>
      <c r="W2100" cm="1">
        <f t="array" ref="W2100">_xlfn._xlws.FILTER(shifts!A:A,(shifts!B:B=events!D2100)*(shifts!AH:AH&gt;=events!U2100)*(shifts!AI:AI&lt;=events!V2100))</f>
        <v>74</v>
      </c>
      <c r="X2100" t="str">
        <f t="shared" si="979"/>
        <v>opp_team_player_1</v>
      </c>
      <c r="Y2100">
        <f>COUNTIFS(A$3:A2100,"="&amp;A2100,K$3:K2100,"="&amp;K2100)</f>
        <v>1</v>
      </c>
      <c r="Z2100" s="20">
        <f>SUMIFS(T$3:T2100,L$3:L2100,"=Intermission")+SUMIFS(T$3:T2100,L$3:L2100,"=Timeout")+SUMIFS(T$3:T2100,L$3:L2100,"=Clockstop")</f>
        <v>138</v>
      </c>
      <c r="AA2100">
        <f t="shared" si="970"/>
        <v>2298</v>
      </c>
      <c r="AC2100">
        <f t="shared" si="971"/>
        <v>2436</v>
      </c>
    </row>
    <row r="2101" spans="1:29" x14ac:dyDescent="0.2">
      <c r="A2101">
        <v>1131</v>
      </c>
      <c r="D2101">
        <f t="shared" si="972"/>
        <v>3</v>
      </c>
      <c r="E2101">
        <v>8</v>
      </c>
      <c r="F2101" s="6" t="s">
        <v>433</v>
      </c>
      <c r="G2101">
        <v>8</v>
      </c>
      <c r="H2101" s="8" t="s">
        <v>427</v>
      </c>
      <c r="I2101" t="s">
        <v>178</v>
      </c>
      <c r="J2101">
        <v>8</v>
      </c>
      <c r="K2101" t="s">
        <v>489</v>
      </c>
      <c r="L2101" t="s">
        <v>277</v>
      </c>
      <c r="M2101" t="s">
        <v>191</v>
      </c>
      <c r="N2101" t="s">
        <v>87</v>
      </c>
      <c r="Q2101">
        <f t="shared" ref="Q2101:S2101" si="1025">Q2100</f>
        <v>18977</v>
      </c>
      <c r="R2101" t="str">
        <f t="shared" si="1025"/>
        <v>Velodrome</v>
      </c>
      <c r="S2101" t="str">
        <f t="shared" si="1025"/>
        <v>HollowBrook</v>
      </c>
      <c r="T2101" s="20">
        <f t="shared" si="976"/>
        <v>3</v>
      </c>
      <c r="U2101">
        <f t="shared" si="977"/>
        <v>537</v>
      </c>
      <c r="V2101">
        <f t="shared" si="978"/>
        <v>534</v>
      </c>
      <c r="W2101" cm="1">
        <f t="array" ref="W2101">_xlfn._xlws.FILTER(shifts!A:A,(shifts!B:B=events!D2101)*(shifts!AH:AH&gt;=events!U2101)*(shifts!AI:AI&lt;=events!V2101))</f>
        <v>74</v>
      </c>
      <c r="X2101" t="str">
        <f t="shared" si="979"/>
        <v>opp_team_player_2</v>
      </c>
      <c r="Y2101">
        <f>COUNTIFS(A$3:A2101,"="&amp;A2101,K$3:K2101,"="&amp;K2101)</f>
        <v>2</v>
      </c>
      <c r="Z2101" s="20">
        <f>SUMIFS(T$3:T2101,L$3:L2101,"=Intermission")+SUMIFS(T$3:T2101,L$3:L2101,"=Timeout")+SUMIFS(T$3:T2101,L$3:L2101,"=Clockstop")</f>
        <v>138</v>
      </c>
      <c r="AA2101">
        <f t="shared" si="970"/>
        <v>2298</v>
      </c>
      <c r="AC2101">
        <f t="shared" si="971"/>
        <v>2436</v>
      </c>
    </row>
    <row r="2102" spans="1:29" x14ac:dyDescent="0.2">
      <c r="A2102">
        <v>1131</v>
      </c>
      <c r="D2102">
        <f t="shared" si="972"/>
        <v>3</v>
      </c>
      <c r="E2102">
        <v>8</v>
      </c>
      <c r="F2102" s="6" t="s">
        <v>433</v>
      </c>
      <c r="G2102">
        <v>8</v>
      </c>
      <c r="H2102" s="8" t="s">
        <v>427</v>
      </c>
      <c r="I2102" t="s">
        <v>178</v>
      </c>
      <c r="J2102">
        <v>5</v>
      </c>
      <c r="K2102" t="s">
        <v>489</v>
      </c>
      <c r="L2102" t="s">
        <v>277</v>
      </c>
      <c r="M2102" t="s">
        <v>191</v>
      </c>
      <c r="N2102" t="s">
        <v>87</v>
      </c>
      <c r="Q2102">
        <f t="shared" ref="Q2102:S2102" si="1026">Q2101</f>
        <v>18977</v>
      </c>
      <c r="R2102" t="str">
        <f t="shared" si="1026"/>
        <v>Velodrome</v>
      </c>
      <c r="S2102" t="str">
        <f t="shared" si="1026"/>
        <v>HollowBrook</v>
      </c>
      <c r="T2102" s="20">
        <f t="shared" si="976"/>
        <v>3</v>
      </c>
      <c r="U2102">
        <f t="shared" si="977"/>
        <v>537</v>
      </c>
      <c r="V2102">
        <f t="shared" si="978"/>
        <v>534</v>
      </c>
      <c r="W2102" cm="1">
        <f t="array" ref="W2102">_xlfn._xlws.FILTER(shifts!A:A,(shifts!B:B=events!D2102)*(shifts!AH:AH&gt;=events!U2102)*(shifts!AI:AI&lt;=events!V2102))</f>
        <v>74</v>
      </c>
      <c r="X2102" t="str">
        <f t="shared" si="979"/>
        <v>opp_team_player_3</v>
      </c>
      <c r="Y2102">
        <f>COUNTIFS(A$3:A2102,"="&amp;A2102,K$3:K2102,"="&amp;K2102)</f>
        <v>3</v>
      </c>
      <c r="Z2102" s="20">
        <f>SUMIFS(T$3:T2102,L$3:L2102,"=Intermission")+SUMIFS(T$3:T2102,L$3:L2102,"=Timeout")+SUMIFS(T$3:T2102,L$3:L2102,"=Clockstop")</f>
        <v>138</v>
      </c>
      <c r="AA2102">
        <f t="shared" si="970"/>
        <v>2298</v>
      </c>
      <c r="AC2102">
        <f t="shared" si="971"/>
        <v>2436</v>
      </c>
    </row>
    <row r="2103" spans="1:29" x14ac:dyDescent="0.2">
      <c r="A2103">
        <v>1132</v>
      </c>
      <c r="D2103">
        <f t="shared" si="972"/>
        <v>3</v>
      </c>
      <c r="E2103">
        <v>8</v>
      </c>
      <c r="F2103" s="6" t="s">
        <v>427</v>
      </c>
      <c r="I2103" t="s">
        <v>178</v>
      </c>
      <c r="J2103">
        <v>75</v>
      </c>
      <c r="K2103" t="s">
        <v>488</v>
      </c>
      <c r="L2103" t="s">
        <v>8</v>
      </c>
      <c r="M2103" t="s">
        <v>189</v>
      </c>
      <c r="N2103" t="s">
        <v>70</v>
      </c>
      <c r="Q2103">
        <f t="shared" ref="Q2103:S2103" si="1027">Q2102</f>
        <v>18977</v>
      </c>
      <c r="R2103" t="str">
        <f t="shared" si="1027"/>
        <v>Velodrome</v>
      </c>
      <c r="S2103" t="str">
        <f t="shared" si="1027"/>
        <v>HollowBrook</v>
      </c>
      <c r="T2103" s="20">
        <f t="shared" si="976"/>
        <v>0</v>
      </c>
      <c r="U2103">
        <f t="shared" si="977"/>
        <v>534</v>
      </c>
      <c r="V2103">
        <f t="shared" si="978"/>
        <v>534</v>
      </c>
      <c r="W2103" cm="1">
        <f t="array" ref="W2103">_xlfn._xlws.FILTER(shifts!A:A,(shifts!B:B=events!D2103)*(shifts!AH:AH&gt;=events!U2103)*(shifts!AI:AI&lt;=events!V2103))</f>
        <v>74</v>
      </c>
      <c r="X2103" t="str">
        <f t="shared" si="979"/>
        <v>event_team_player_1</v>
      </c>
      <c r="Y2103">
        <f>COUNTIFS(A$3:A2103,"="&amp;A2103,K$3:K2103,"="&amp;K2103)</f>
        <v>1</v>
      </c>
      <c r="Z2103" s="20">
        <f>SUMIFS(T$3:T2103,L$3:L2103,"=Intermission")+SUMIFS(T$3:T2103,L$3:L2103,"=Timeout")+SUMIFS(T$3:T2103,L$3:L2103,"=Clockstop")</f>
        <v>138</v>
      </c>
      <c r="AA2103">
        <f t="shared" si="970"/>
        <v>2298</v>
      </c>
      <c r="AC2103">
        <f t="shared" si="971"/>
        <v>2436</v>
      </c>
    </row>
    <row r="2104" spans="1:29" x14ac:dyDescent="0.2">
      <c r="A2104">
        <v>1132</v>
      </c>
      <c r="D2104">
        <f t="shared" si="972"/>
        <v>3</v>
      </c>
      <c r="E2104">
        <v>8</v>
      </c>
      <c r="F2104" s="6" t="s">
        <v>427</v>
      </c>
      <c r="I2104" t="s">
        <v>178</v>
      </c>
      <c r="J2104">
        <v>70</v>
      </c>
      <c r="K2104" t="s">
        <v>488</v>
      </c>
      <c r="L2104" t="s">
        <v>8</v>
      </c>
      <c r="M2104" t="s">
        <v>189</v>
      </c>
      <c r="N2104" t="s">
        <v>70</v>
      </c>
      <c r="Q2104">
        <f t="shared" ref="Q2104:S2104" si="1028">Q2103</f>
        <v>18977</v>
      </c>
      <c r="R2104" t="str">
        <f t="shared" si="1028"/>
        <v>Velodrome</v>
      </c>
      <c r="S2104" t="str">
        <f t="shared" si="1028"/>
        <v>HollowBrook</v>
      </c>
      <c r="T2104" s="20">
        <f t="shared" si="976"/>
        <v>0</v>
      </c>
      <c r="U2104">
        <f t="shared" si="977"/>
        <v>534</v>
      </c>
      <c r="V2104">
        <f t="shared" si="978"/>
        <v>534</v>
      </c>
      <c r="W2104" cm="1">
        <f t="array" ref="W2104">_xlfn._xlws.FILTER(shifts!A:A,(shifts!B:B=events!D2104)*(shifts!AH:AH&gt;=events!U2104)*(shifts!AI:AI&lt;=events!V2104))</f>
        <v>74</v>
      </c>
      <c r="X2104" t="str">
        <f t="shared" si="979"/>
        <v>event_team_player_2</v>
      </c>
      <c r="Y2104">
        <f>COUNTIFS(A$3:A2104,"="&amp;A2104,K$3:K2104,"="&amp;K2104)</f>
        <v>2</v>
      </c>
      <c r="Z2104" s="20">
        <f>SUMIFS(T$3:T2104,L$3:L2104,"=Intermission")+SUMIFS(T$3:T2104,L$3:L2104,"=Timeout")+SUMIFS(T$3:T2104,L$3:L2104,"=Clockstop")</f>
        <v>138</v>
      </c>
      <c r="AA2104">
        <f t="shared" si="970"/>
        <v>2298</v>
      </c>
      <c r="AC2104">
        <f t="shared" si="971"/>
        <v>2436</v>
      </c>
    </row>
    <row r="2105" spans="1:29" x14ac:dyDescent="0.2">
      <c r="A2105">
        <v>1132</v>
      </c>
      <c r="D2105">
        <f t="shared" si="972"/>
        <v>3</v>
      </c>
      <c r="E2105">
        <v>8</v>
      </c>
      <c r="F2105" s="6" t="s">
        <v>427</v>
      </c>
      <c r="I2105" t="s">
        <v>178</v>
      </c>
      <c r="J2105">
        <v>27</v>
      </c>
      <c r="K2105" t="s">
        <v>489</v>
      </c>
      <c r="L2105" t="s">
        <v>8</v>
      </c>
      <c r="M2105" t="s">
        <v>189</v>
      </c>
      <c r="N2105" t="s">
        <v>70</v>
      </c>
      <c r="Q2105">
        <f t="shared" ref="Q2105:S2105" si="1029">Q2104</f>
        <v>18977</v>
      </c>
      <c r="R2105" t="str">
        <f t="shared" si="1029"/>
        <v>Velodrome</v>
      </c>
      <c r="S2105" t="str">
        <f t="shared" si="1029"/>
        <v>HollowBrook</v>
      </c>
      <c r="T2105" s="20">
        <f t="shared" si="976"/>
        <v>0</v>
      </c>
      <c r="U2105">
        <f t="shared" si="977"/>
        <v>534</v>
      </c>
      <c r="V2105">
        <f t="shared" si="978"/>
        <v>534</v>
      </c>
      <c r="W2105" cm="1">
        <f t="array" ref="W2105">_xlfn._xlws.FILTER(shifts!A:A,(shifts!B:B=events!D2105)*(shifts!AH:AH&gt;=events!U2105)*(shifts!AI:AI&lt;=events!V2105))</f>
        <v>74</v>
      </c>
      <c r="X2105" t="str">
        <f t="shared" si="979"/>
        <v>opp_team_player_1</v>
      </c>
      <c r="Y2105">
        <f>COUNTIFS(A$3:A2105,"="&amp;A2105,K$3:K2105,"="&amp;K2105)</f>
        <v>1</v>
      </c>
      <c r="Z2105" s="20">
        <f>SUMIFS(T$3:T2105,L$3:L2105,"=Intermission")+SUMIFS(T$3:T2105,L$3:L2105,"=Timeout")+SUMIFS(T$3:T2105,L$3:L2105,"=Clockstop")</f>
        <v>138</v>
      </c>
      <c r="AA2105">
        <f t="shared" si="970"/>
        <v>2298</v>
      </c>
      <c r="AC2105">
        <f t="shared" si="971"/>
        <v>2436</v>
      </c>
    </row>
    <row r="2106" spans="1:29" x14ac:dyDescent="0.2">
      <c r="A2106">
        <v>1133</v>
      </c>
      <c r="D2106">
        <f t="shared" si="972"/>
        <v>3</v>
      </c>
      <c r="E2106">
        <v>8</v>
      </c>
      <c r="F2106" s="6" t="s">
        <v>427</v>
      </c>
      <c r="I2106" t="s">
        <v>178</v>
      </c>
      <c r="J2106">
        <v>70</v>
      </c>
      <c r="K2106" t="s">
        <v>488</v>
      </c>
      <c r="L2106" t="s">
        <v>7</v>
      </c>
      <c r="M2106" t="s">
        <v>224</v>
      </c>
      <c r="N2106" t="s">
        <v>56</v>
      </c>
      <c r="Q2106">
        <f t="shared" ref="Q2106:S2106" si="1030">Q2105</f>
        <v>18977</v>
      </c>
      <c r="R2106" t="str">
        <f t="shared" si="1030"/>
        <v>Velodrome</v>
      </c>
      <c r="S2106" t="str">
        <f t="shared" si="1030"/>
        <v>HollowBrook</v>
      </c>
      <c r="T2106" s="20">
        <f t="shared" si="976"/>
        <v>0</v>
      </c>
      <c r="U2106">
        <f t="shared" si="977"/>
        <v>534</v>
      </c>
      <c r="V2106">
        <f t="shared" si="978"/>
        <v>534</v>
      </c>
      <c r="W2106" cm="1">
        <f t="array" ref="W2106">_xlfn._xlws.FILTER(shifts!A:A,(shifts!B:B=events!D2106)*(shifts!AH:AH&gt;=events!U2106)*(shifts!AI:AI&lt;=events!V2106))</f>
        <v>74</v>
      </c>
      <c r="X2106" t="str">
        <f t="shared" si="979"/>
        <v>event_team_player_1</v>
      </c>
      <c r="Y2106">
        <f>COUNTIFS(A$3:A2106,"="&amp;A2106,K$3:K2106,"="&amp;K2106)</f>
        <v>1</v>
      </c>
      <c r="Z2106" s="20">
        <f>SUMIFS(T$3:T2106,L$3:L2106,"=Intermission")+SUMIFS(T$3:T2106,L$3:L2106,"=Timeout")+SUMIFS(T$3:T2106,L$3:L2106,"=Clockstop")</f>
        <v>138</v>
      </c>
      <c r="AA2106">
        <f t="shared" si="970"/>
        <v>2298</v>
      </c>
      <c r="AC2106">
        <f t="shared" si="971"/>
        <v>2436</v>
      </c>
    </row>
    <row r="2107" spans="1:29" x14ac:dyDescent="0.2">
      <c r="A2107">
        <v>1133</v>
      </c>
      <c r="D2107">
        <f t="shared" si="972"/>
        <v>3</v>
      </c>
      <c r="E2107">
        <v>8</v>
      </c>
      <c r="F2107" s="6" t="s">
        <v>427</v>
      </c>
      <c r="I2107" t="s">
        <v>178</v>
      </c>
      <c r="J2107">
        <v>99</v>
      </c>
      <c r="K2107" t="s">
        <v>489</v>
      </c>
      <c r="L2107" t="s">
        <v>7</v>
      </c>
      <c r="M2107" t="s">
        <v>224</v>
      </c>
      <c r="N2107" t="s">
        <v>56</v>
      </c>
      <c r="Q2107">
        <f t="shared" ref="Q2107:S2107" si="1031">Q2106</f>
        <v>18977</v>
      </c>
      <c r="R2107" t="str">
        <f t="shared" si="1031"/>
        <v>Velodrome</v>
      </c>
      <c r="S2107" t="str">
        <f t="shared" si="1031"/>
        <v>HollowBrook</v>
      </c>
      <c r="T2107" s="20">
        <f t="shared" si="976"/>
        <v>0</v>
      </c>
      <c r="U2107">
        <f t="shared" si="977"/>
        <v>534</v>
      </c>
      <c r="V2107">
        <f t="shared" si="978"/>
        <v>534</v>
      </c>
      <c r="W2107" cm="1">
        <f t="array" ref="W2107">_xlfn._xlws.FILTER(shifts!A:A,(shifts!B:B=events!D2107)*(shifts!AH:AH&gt;=events!U2107)*(shifts!AI:AI&lt;=events!V2107))</f>
        <v>74</v>
      </c>
      <c r="X2107" t="str">
        <f t="shared" si="979"/>
        <v>opp_team_player_1</v>
      </c>
      <c r="Y2107">
        <f>COUNTIFS(A$3:A2107,"="&amp;A2107,K$3:K2107,"="&amp;K2107)</f>
        <v>1</v>
      </c>
      <c r="Z2107" s="20">
        <f>SUMIFS(T$3:T2107,L$3:L2107,"=Intermission")+SUMIFS(T$3:T2107,L$3:L2107,"=Timeout")+SUMIFS(T$3:T2107,L$3:L2107,"=Clockstop")</f>
        <v>138</v>
      </c>
      <c r="AA2107">
        <f t="shared" si="970"/>
        <v>2298</v>
      </c>
      <c r="AC2107">
        <f t="shared" si="971"/>
        <v>2436</v>
      </c>
    </row>
    <row r="2108" spans="1:29" x14ac:dyDescent="0.2">
      <c r="A2108">
        <v>1134</v>
      </c>
      <c r="D2108">
        <f t="shared" si="972"/>
        <v>3</v>
      </c>
      <c r="E2108">
        <v>8</v>
      </c>
      <c r="F2108" s="6" t="s">
        <v>427</v>
      </c>
      <c r="I2108" t="s">
        <v>179</v>
      </c>
      <c r="J2108">
        <v>99</v>
      </c>
      <c r="K2108" t="s">
        <v>488</v>
      </c>
      <c r="L2108" t="s">
        <v>17</v>
      </c>
      <c r="M2108" t="s">
        <v>206</v>
      </c>
      <c r="N2108" t="s">
        <v>99</v>
      </c>
      <c r="Q2108">
        <f t="shared" ref="Q2108:S2108" si="1032">Q2107</f>
        <v>18977</v>
      </c>
      <c r="R2108" t="str">
        <f t="shared" si="1032"/>
        <v>Velodrome</v>
      </c>
      <c r="S2108" t="str">
        <f t="shared" si="1032"/>
        <v>HollowBrook</v>
      </c>
      <c r="T2108" s="20">
        <f t="shared" si="976"/>
        <v>0</v>
      </c>
      <c r="U2108">
        <f t="shared" si="977"/>
        <v>534</v>
      </c>
      <c r="V2108">
        <f t="shared" si="978"/>
        <v>534</v>
      </c>
      <c r="W2108" cm="1">
        <f t="array" ref="W2108">_xlfn._xlws.FILTER(shifts!A:A,(shifts!B:B=events!D2108)*(shifts!AH:AH&gt;=events!U2108)*(shifts!AI:AI&lt;=events!V2108))</f>
        <v>74</v>
      </c>
      <c r="X2108" t="str">
        <f t="shared" si="979"/>
        <v>event_team_player_1</v>
      </c>
      <c r="Y2108">
        <f>COUNTIFS(A$3:A2108,"="&amp;A2108,K$3:K2108,"="&amp;K2108)</f>
        <v>1</v>
      </c>
      <c r="Z2108" s="20">
        <f>SUMIFS(T$3:T2108,L$3:L2108,"=Intermission")+SUMIFS(T$3:T2108,L$3:L2108,"=Timeout")+SUMIFS(T$3:T2108,L$3:L2108,"=Clockstop")</f>
        <v>138</v>
      </c>
      <c r="AA2108">
        <f t="shared" si="970"/>
        <v>2298</v>
      </c>
      <c r="AC2108">
        <f t="shared" si="971"/>
        <v>2436</v>
      </c>
    </row>
    <row r="2109" spans="1:29" x14ac:dyDescent="0.2">
      <c r="A2109">
        <v>1134</v>
      </c>
      <c r="D2109">
        <f t="shared" si="972"/>
        <v>3</v>
      </c>
      <c r="E2109">
        <v>8</v>
      </c>
      <c r="F2109" s="6" t="s">
        <v>427</v>
      </c>
      <c r="I2109" t="s">
        <v>179</v>
      </c>
      <c r="J2109">
        <v>70</v>
      </c>
      <c r="K2109" t="s">
        <v>489</v>
      </c>
      <c r="L2109" t="s">
        <v>17</v>
      </c>
      <c r="M2109" t="s">
        <v>206</v>
      </c>
      <c r="N2109" t="s">
        <v>99</v>
      </c>
      <c r="Q2109">
        <f t="shared" ref="Q2109:S2109" si="1033">Q2108</f>
        <v>18977</v>
      </c>
      <c r="R2109" t="str">
        <f t="shared" si="1033"/>
        <v>Velodrome</v>
      </c>
      <c r="S2109" t="str">
        <f t="shared" si="1033"/>
        <v>HollowBrook</v>
      </c>
      <c r="T2109" s="20">
        <f t="shared" si="976"/>
        <v>0</v>
      </c>
      <c r="U2109">
        <f t="shared" si="977"/>
        <v>534</v>
      </c>
      <c r="V2109">
        <f t="shared" si="978"/>
        <v>534</v>
      </c>
      <c r="W2109" cm="1">
        <f t="array" ref="W2109">_xlfn._xlws.FILTER(shifts!A:A,(shifts!B:B=events!D2109)*(shifts!AH:AH&gt;=events!U2109)*(shifts!AI:AI&lt;=events!V2109))</f>
        <v>74</v>
      </c>
      <c r="X2109" t="str">
        <f t="shared" si="979"/>
        <v>opp_team_player_1</v>
      </c>
      <c r="Y2109">
        <f>COUNTIFS(A$3:A2109,"="&amp;A2109,K$3:K2109,"="&amp;K2109)</f>
        <v>1</v>
      </c>
      <c r="Z2109" s="20">
        <f>SUMIFS(T$3:T2109,L$3:L2109,"=Intermission")+SUMIFS(T$3:T2109,L$3:L2109,"=Timeout")+SUMIFS(T$3:T2109,L$3:L2109,"=Clockstop")</f>
        <v>138</v>
      </c>
      <c r="AA2109">
        <f t="shared" si="970"/>
        <v>2298</v>
      </c>
      <c r="AC2109">
        <f t="shared" si="971"/>
        <v>2436</v>
      </c>
    </row>
    <row r="2110" spans="1:29" x14ac:dyDescent="0.2">
      <c r="A2110">
        <v>1135</v>
      </c>
      <c r="D2110">
        <f t="shared" si="972"/>
        <v>3</v>
      </c>
      <c r="E2110">
        <v>8</v>
      </c>
      <c r="F2110" s="6" t="s">
        <v>427</v>
      </c>
      <c r="I2110" t="s">
        <v>179</v>
      </c>
      <c r="J2110">
        <v>99</v>
      </c>
      <c r="K2110" t="s">
        <v>488</v>
      </c>
      <c r="L2110" t="s">
        <v>13</v>
      </c>
      <c r="M2110" t="s">
        <v>204</v>
      </c>
      <c r="N2110" t="s">
        <v>110</v>
      </c>
      <c r="Q2110">
        <f t="shared" ref="Q2110:S2110" si="1034">Q2109</f>
        <v>18977</v>
      </c>
      <c r="R2110" t="str">
        <f t="shared" si="1034"/>
        <v>Velodrome</v>
      </c>
      <c r="S2110" t="str">
        <f t="shared" si="1034"/>
        <v>HollowBrook</v>
      </c>
      <c r="T2110" s="20">
        <f t="shared" si="976"/>
        <v>0</v>
      </c>
      <c r="U2110">
        <f t="shared" si="977"/>
        <v>534</v>
      </c>
      <c r="V2110">
        <f t="shared" si="978"/>
        <v>534</v>
      </c>
      <c r="W2110" cm="1">
        <f t="array" ref="W2110">_xlfn._xlws.FILTER(shifts!A:A,(shifts!B:B=events!D2110)*(shifts!AH:AH&gt;=events!U2110)*(shifts!AI:AI&lt;=events!V2110))</f>
        <v>74</v>
      </c>
      <c r="X2110" t="str">
        <f t="shared" si="979"/>
        <v>event_team_player_1</v>
      </c>
      <c r="Y2110">
        <f>COUNTIFS(A$3:A2110,"="&amp;A2110,K$3:K2110,"="&amp;K2110)</f>
        <v>1</v>
      </c>
      <c r="Z2110" s="20">
        <f>SUMIFS(T$3:T2110,L$3:L2110,"=Intermission")+SUMIFS(T$3:T2110,L$3:L2110,"=Timeout")+SUMIFS(T$3:T2110,L$3:L2110,"=Clockstop")</f>
        <v>138</v>
      </c>
      <c r="AA2110">
        <f t="shared" si="970"/>
        <v>2298</v>
      </c>
      <c r="AC2110">
        <f t="shared" si="971"/>
        <v>2436</v>
      </c>
    </row>
    <row r="2111" spans="1:29" x14ac:dyDescent="0.2">
      <c r="A2111">
        <v>1136</v>
      </c>
      <c r="D2111">
        <f t="shared" si="972"/>
        <v>3</v>
      </c>
      <c r="E2111">
        <v>8</v>
      </c>
      <c r="F2111" s="6" t="s">
        <v>427</v>
      </c>
      <c r="G2111">
        <v>8</v>
      </c>
      <c r="H2111" s="8" t="s">
        <v>455</v>
      </c>
      <c r="I2111" t="s">
        <v>179</v>
      </c>
      <c r="J2111">
        <v>99</v>
      </c>
      <c r="K2111" t="s">
        <v>488</v>
      </c>
      <c r="L2111" t="s">
        <v>282</v>
      </c>
      <c r="Q2111">
        <f t="shared" ref="Q2111:S2111" si="1035">Q2110</f>
        <v>18977</v>
      </c>
      <c r="R2111" t="str">
        <f t="shared" si="1035"/>
        <v>Velodrome</v>
      </c>
      <c r="S2111" t="str">
        <f t="shared" si="1035"/>
        <v>HollowBrook</v>
      </c>
      <c r="T2111" s="20">
        <f t="shared" si="976"/>
        <v>19</v>
      </c>
      <c r="U2111">
        <f t="shared" si="977"/>
        <v>534</v>
      </c>
      <c r="V2111">
        <f t="shared" si="978"/>
        <v>515</v>
      </c>
      <c r="W2111">
        <v>75</v>
      </c>
      <c r="X2111" t="str">
        <f t="shared" si="979"/>
        <v>event_team_player_1</v>
      </c>
      <c r="Y2111">
        <f>COUNTIFS(A$3:A2111,"="&amp;A2111,K$3:K2111,"="&amp;K2111)</f>
        <v>1</v>
      </c>
      <c r="Z2111" s="20">
        <f>SUMIFS(T$3:T2111,L$3:L2111,"=Intermission")+SUMIFS(T$3:T2111,L$3:L2111,"=Timeout")+SUMIFS(T$3:T2111,L$3:L2111,"=Clockstop")</f>
        <v>138</v>
      </c>
      <c r="AA2111">
        <f t="shared" si="970"/>
        <v>2298</v>
      </c>
      <c r="AC2111">
        <f t="shared" si="971"/>
        <v>2436</v>
      </c>
    </row>
    <row r="2112" spans="1:29" x14ac:dyDescent="0.2">
      <c r="A2112">
        <v>1137</v>
      </c>
      <c r="D2112">
        <f t="shared" si="972"/>
        <v>3</v>
      </c>
      <c r="E2112">
        <v>8</v>
      </c>
      <c r="F2112" s="6" t="s">
        <v>455</v>
      </c>
      <c r="I2112" t="s">
        <v>178</v>
      </c>
      <c r="J2112">
        <v>42</v>
      </c>
      <c r="K2112" t="s">
        <v>488</v>
      </c>
      <c r="L2112" t="s">
        <v>6</v>
      </c>
      <c r="M2112" t="s">
        <v>275</v>
      </c>
      <c r="Q2112">
        <f t="shared" ref="Q2112:S2112" si="1036">Q2111</f>
        <v>18977</v>
      </c>
      <c r="R2112" t="str">
        <f t="shared" si="1036"/>
        <v>Velodrome</v>
      </c>
      <c r="S2112" t="str">
        <f t="shared" si="1036"/>
        <v>HollowBrook</v>
      </c>
      <c r="T2112" s="20">
        <f t="shared" si="976"/>
        <v>0</v>
      </c>
      <c r="U2112">
        <f t="shared" si="977"/>
        <v>515</v>
      </c>
      <c r="V2112">
        <f t="shared" si="978"/>
        <v>515</v>
      </c>
      <c r="W2112" cm="1">
        <f t="array" ref="W2112">_xlfn._xlws.FILTER(shifts!A:A,(shifts!B:B=events!D2112)*(shifts!AH:AH&gt;=events!U2112)*(shifts!AI:AI&lt;=events!V2112))</f>
        <v>75</v>
      </c>
      <c r="X2112" t="str">
        <f t="shared" si="979"/>
        <v>event_team_player_1</v>
      </c>
      <c r="Y2112">
        <f>COUNTIFS(A$3:A2112,"="&amp;A2112,K$3:K2112,"="&amp;K2112)</f>
        <v>1</v>
      </c>
      <c r="Z2112" s="20">
        <f>SUMIFS(T$3:T2112,L$3:L2112,"=Intermission")+SUMIFS(T$3:T2112,L$3:L2112,"=Timeout")+SUMIFS(T$3:T2112,L$3:L2112,"=Clockstop")</f>
        <v>138</v>
      </c>
      <c r="AA2112">
        <f t="shared" si="970"/>
        <v>2298</v>
      </c>
      <c r="AC2112">
        <f t="shared" si="971"/>
        <v>2436</v>
      </c>
    </row>
    <row r="2113" spans="1:29" x14ac:dyDescent="0.2">
      <c r="A2113">
        <v>1137</v>
      </c>
      <c r="D2113">
        <f t="shared" si="972"/>
        <v>3</v>
      </c>
      <c r="E2113">
        <v>8</v>
      </c>
      <c r="F2113" s="6" t="s">
        <v>455</v>
      </c>
      <c r="I2113" t="s">
        <v>178</v>
      </c>
      <c r="J2113">
        <v>9</v>
      </c>
      <c r="K2113" t="s">
        <v>488</v>
      </c>
      <c r="L2113" t="s">
        <v>6</v>
      </c>
      <c r="M2113" t="s">
        <v>275</v>
      </c>
      <c r="Q2113">
        <f t="shared" ref="Q2113:S2113" si="1037">Q2112</f>
        <v>18977</v>
      </c>
      <c r="R2113" t="str">
        <f t="shared" si="1037"/>
        <v>Velodrome</v>
      </c>
      <c r="S2113" t="str">
        <f t="shared" si="1037"/>
        <v>HollowBrook</v>
      </c>
      <c r="T2113" s="20">
        <f t="shared" si="976"/>
        <v>0</v>
      </c>
      <c r="U2113">
        <f t="shared" si="977"/>
        <v>515</v>
      </c>
      <c r="V2113">
        <f t="shared" si="978"/>
        <v>515</v>
      </c>
      <c r="W2113" cm="1">
        <f t="array" ref="W2113">_xlfn._xlws.FILTER(shifts!A:A,(shifts!B:B=events!D2113)*(shifts!AH:AH&gt;=events!U2113)*(shifts!AI:AI&lt;=events!V2113))</f>
        <v>75</v>
      </c>
      <c r="X2113" t="str">
        <f t="shared" si="979"/>
        <v>event_team_player_2</v>
      </c>
      <c r="Y2113">
        <f>COUNTIFS(A$3:A2113,"="&amp;A2113,K$3:K2113,"="&amp;K2113)</f>
        <v>2</v>
      </c>
      <c r="Z2113" s="20">
        <f>SUMIFS(T$3:T2113,L$3:L2113,"=Intermission")+SUMIFS(T$3:T2113,L$3:L2113,"=Timeout")+SUMIFS(T$3:T2113,L$3:L2113,"=Clockstop")</f>
        <v>138</v>
      </c>
      <c r="AA2113">
        <f t="shared" si="970"/>
        <v>2298</v>
      </c>
      <c r="AC2113">
        <f t="shared" si="971"/>
        <v>2436</v>
      </c>
    </row>
    <row r="2114" spans="1:29" x14ac:dyDescent="0.2">
      <c r="A2114">
        <v>1137</v>
      </c>
      <c r="D2114">
        <f t="shared" si="972"/>
        <v>3</v>
      </c>
      <c r="E2114">
        <v>8</v>
      </c>
      <c r="F2114" s="6" t="s">
        <v>455</v>
      </c>
      <c r="I2114" t="s">
        <v>178</v>
      </c>
      <c r="J2114">
        <v>26</v>
      </c>
      <c r="K2114" t="s">
        <v>489</v>
      </c>
      <c r="L2114" t="s">
        <v>6</v>
      </c>
      <c r="M2114" t="s">
        <v>275</v>
      </c>
      <c r="Q2114">
        <f t="shared" ref="Q2114:S2114" si="1038">Q2113</f>
        <v>18977</v>
      </c>
      <c r="R2114" t="str">
        <f t="shared" si="1038"/>
        <v>Velodrome</v>
      </c>
      <c r="S2114" t="str">
        <f t="shared" si="1038"/>
        <v>HollowBrook</v>
      </c>
      <c r="T2114" s="20">
        <f t="shared" si="976"/>
        <v>0</v>
      </c>
      <c r="U2114">
        <f t="shared" si="977"/>
        <v>515</v>
      </c>
      <c r="V2114">
        <f t="shared" si="978"/>
        <v>515</v>
      </c>
      <c r="W2114" cm="1">
        <f t="array" ref="W2114">_xlfn._xlws.FILTER(shifts!A:A,(shifts!B:B=events!D2114)*(shifts!AH:AH&gt;=events!U2114)*(shifts!AI:AI&lt;=events!V2114))</f>
        <v>75</v>
      </c>
      <c r="X2114" t="str">
        <f t="shared" si="979"/>
        <v>opp_team_player_1</v>
      </c>
      <c r="Y2114">
        <f>COUNTIFS(A$3:A2114,"="&amp;A2114,K$3:K2114,"="&amp;K2114)</f>
        <v>1</v>
      </c>
      <c r="Z2114" s="20">
        <f>SUMIFS(T$3:T2114,L$3:L2114,"=Intermission")+SUMIFS(T$3:T2114,L$3:L2114,"=Timeout")+SUMIFS(T$3:T2114,L$3:L2114,"=Clockstop")</f>
        <v>138</v>
      </c>
      <c r="AA2114">
        <f t="shared" si="970"/>
        <v>2298</v>
      </c>
      <c r="AC2114">
        <f t="shared" si="971"/>
        <v>2436</v>
      </c>
    </row>
    <row r="2115" spans="1:29" x14ac:dyDescent="0.2">
      <c r="A2115">
        <v>1138</v>
      </c>
      <c r="D2115">
        <f t="shared" si="972"/>
        <v>3</v>
      </c>
      <c r="E2115">
        <v>8</v>
      </c>
      <c r="F2115" s="6" t="s">
        <v>439</v>
      </c>
      <c r="I2115" t="s">
        <v>178</v>
      </c>
      <c r="J2115">
        <v>9</v>
      </c>
      <c r="K2115" t="s">
        <v>488</v>
      </c>
      <c r="L2115" t="s">
        <v>7</v>
      </c>
      <c r="M2115" t="s">
        <v>222</v>
      </c>
      <c r="N2115" t="s">
        <v>53</v>
      </c>
      <c r="Q2115">
        <f t="shared" ref="Q2115:S2115" si="1039">Q2114</f>
        <v>18977</v>
      </c>
      <c r="R2115" t="str">
        <f t="shared" si="1039"/>
        <v>Velodrome</v>
      </c>
      <c r="S2115" t="str">
        <f t="shared" si="1039"/>
        <v>HollowBrook</v>
      </c>
      <c r="T2115" s="20">
        <f t="shared" si="976"/>
        <v>0</v>
      </c>
      <c r="U2115">
        <f t="shared" si="977"/>
        <v>514</v>
      </c>
      <c r="V2115">
        <f t="shared" si="978"/>
        <v>514</v>
      </c>
      <c r="W2115" cm="1">
        <f t="array" ref="W2115">_xlfn._xlws.FILTER(shifts!A:A,(shifts!B:B=events!D2115)*(shifts!AH:AH&gt;=events!U2115)*(shifts!AI:AI&lt;=events!V2115))</f>
        <v>75</v>
      </c>
      <c r="X2115" t="str">
        <f t="shared" si="979"/>
        <v>event_team_player_1</v>
      </c>
      <c r="Y2115">
        <f>COUNTIFS(A$3:A2115,"="&amp;A2115,K$3:K2115,"="&amp;K2115)</f>
        <v>1</v>
      </c>
      <c r="Z2115" s="20">
        <f>SUMIFS(T$3:T2115,L$3:L2115,"=Intermission")+SUMIFS(T$3:T2115,L$3:L2115,"=Timeout")+SUMIFS(T$3:T2115,L$3:L2115,"=Clockstop")</f>
        <v>138</v>
      </c>
      <c r="AA2115">
        <f t="shared" si="970"/>
        <v>2298</v>
      </c>
      <c r="AC2115">
        <f t="shared" si="971"/>
        <v>2436</v>
      </c>
    </row>
    <row r="2116" spans="1:29" x14ac:dyDescent="0.2">
      <c r="A2116">
        <v>1138</v>
      </c>
      <c r="D2116">
        <f t="shared" si="972"/>
        <v>3</v>
      </c>
      <c r="E2116">
        <v>8</v>
      </c>
      <c r="F2116" s="6" t="s">
        <v>439</v>
      </c>
      <c r="I2116" t="s">
        <v>178</v>
      </c>
      <c r="J2116">
        <v>49</v>
      </c>
      <c r="K2116" t="s">
        <v>488</v>
      </c>
      <c r="L2116" t="s">
        <v>7</v>
      </c>
      <c r="M2116" t="s">
        <v>222</v>
      </c>
      <c r="N2116" t="s">
        <v>53</v>
      </c>
      <c r="Q2116">
        <f t="shared" ref="Q2116:S2116" si="1040">Q2115</f>
        <v>18977</v>
      </c>
      <c r="R2116" t="str">
        <f t="shared" si="1040"/>
        <v>Velodrome</v>
      </c>
      <c r="S2116" t="str">
        <f t="shared" si="1040"/>
        <v>HollowBrook</v>
      </c>
      <c r="T2116" s="20">
        <f t="shared" si="976"/>
        <v>0</v>
      </c>
      <c r="U2116">
        <f t="shared" si="977"/>
        <v>514</v>
      </c>
      <c r="V2116">
        <f t="shared" si="978"/>
        <v>514</v>
      </c>
      <c r="W2116" cm="1">
        <f t="array" ref="W2116">_xlfn._xlws.FILTER(shifts!A:A,(shifts!B:B=events!D2116)*(shifts!AH:AH&gt;=events!U2116)*(shifts!AI:AI&lt;=events!V2116))</f>
        <v>75</v>
      </c>
      <c r="X2116" t="str">
        <f t="shared" si="979"/>
        <v>event_team_player_2</v>
      </c>
      <c r="Y2116">
        <f>COUNTIFS(A$3:A2116,"="&amp;A2116,K$3:K2116,"="&amp;K2116)</f>
        <v>2</v>
      </c>
      <c r="Z2116" s="20">
        <f>SUMIFS(T$3:T2116,L$3:L2116,"=Intermission")+SUMIFS(T$3:T2116,L$3:L2116,"=Timeout")+SUMIFS(T$3:T2116,L$3:L2116,"=Clockstop")</f>
        <v>138</v>
      </c>
      <c r="AA2116">
        <f t="shared" ref="AA2116:AA2179" si="1041">IF(D2116=1,0,IF(D2116=2,1080+Z2116,IF(D2116=3,(1080*2)+Z2116,0)))</f>
        <v>2298</v>
      </c>
      <c r="AC2116">
        <f t="shared" ref="AC2116:AC2179" si="1042">IF(L2115="GameStart",0,AA2116+Z2116)</f>
        <v>2436</v>
      </c>
    </row>
    <row r="2117" spans="1:29" x14ac:dyDescent="0.2">
      <c r="A2117">
        <v>1138</v>
      </c>
      <c r="D2117">
        <f t="shared" ref="D2117:D2180" si="1043">IF(L2117="Intermission",D2116+1,D2116)</f>
        <v>3</v>
      </c>
      <c r="E2117">
        <v>8</v>
      </c>
      <c r="F2117" s="6" t="s">
        <v>439</v>
      </c>
      <c r="I2117" t="s">
        <v>178</v>
      </c>
      <c r="J2117">
        <v>99</v>
      </c>
      <c r="K2117" t="s">
        <v>489</v>
      </c>
      <c r="L2117" t="s">
        <v>7</v>
      </c>
      <c r="M2117" t="s">
        <v>222</v>
      </c>
      <c r="N2117" t="s">
        <v>53</v>
      </c>
      <c r="Q2117">
        <f t="shared" ref="Q2117:S2117" si="1044">Q2116</f>
        <v>18977</v>
      </c>
      <c r="R2117" t="str">
        <f t="shared" si="1044"/>
        <v>Velodrome</v>
      </c>
      <c r="S2117" t="str">
        <f t="shared" si="1044"/>
        <v>HollowBrook</v>
      </c>
      <c r="T2117" s="20">
        <f t="shared" si="976"/>
        <v>0</v>
      </c>
      <c r="U2117">
        <f t="shared" si="977"/>
        <v>514</v>
      </c>
      <c r="V2117">
        <f t="shared" si="978"/>
        <v>514</v>
      </c>
      <c r="W2117" cm="1">
        <f t="array" ref="W2117">_xlfn._xlws.FILTER(shifts!A:A,(shifts!B:B=events!D2117)*(shifts!AH:AH&gt;=events!U2117)*(shifts!AI:AI&lt;=events!V2117))</f>
        <v>75</v>
      </c>
      <c r="X2117" t="str">
        <f t="shared" si="979"/>
        <v>opp_team_player_1</v>
      </c>
      <c r="Y2117">
        <f>COUNTIFS(A$3:A2117,"="&amp;A2117,K$3:K2117,"="&amp;K2117)</f>
        <v>1</v>
      </c>
      <c r="Z2117" s="20">
        <f>SUMIFS(T$3:T2117,L$3:L2117,"=Intermission")+SUMIFS(T$3:T2117,L$3:L2117,"=Timeout")+SUMIFS(T$3:T2117,L$3:L2117,"=Clockstop")</f>
        <v>138</v>
      </c>
      <c r="AA2117">
        <f t="shared" si="1041"/>
        <v>2298</v>
      </c>
      <c r="AC2117">
        <f t="shared" si="1042"/>
        <v>2436</v>
      </c>
    </row>
    <row r="2118" spans="1:29" x14ac:dyDescent="0.2">
      <c r="A2118">
        <v>1138</v>
      </c>
      <c r="D2118">
        <f t="shared" si="1043"/>
        <v>3</v>
      </c>
      <c r="E2118">
        <v>8</v>
      </c>
      <c r="F2118" s="6" t="s">
        <v>439</v>
      </c>
      <c r="I2118" t="s">
        <v>178</v>
      </c>
      <c r="J2118">
        <v>5</v>
      </c>
      <c r="K2118" t="s">
        <v>489</v>
      </c>
      <c r="L2118" t="s">
        <v>7</v>
      </c>
      <c r="M2118" t="s">
        <v>222</v>
      </c>
      <c r="N2118" t="s">
        <v>53</v>
      </c>
      <c r="Q2118">
        <f t="shared" ref="Q2118:S2118" si="1045">Q2117</f>
        <v>18977</v>
      </c>
      <c r="R2118" t="str">
        <f t="shared" si="1045"/>
        <v>Velodrome</v>
      </c>
      <c r="S2118" t="str">
        <f t="shared" si="1045"/>
        <v>HollowBrook</v>
      </c>
      <c r="T2118" s="20">
        <f t="shared" si="976"/>
        <v>0</v>
      </c>
      <c r="U2118">
        <f t="shared" si="977"/>
        <v>514</v>
      </c>
      <c r="V2118">
        <f t="shared" si="978"/>
        <v>514</v>
      </c>
      <c r="W2118" cm="1">
        <f t="array" ref="W2118">_xlfn._xlws.FILTER(shifts!A:A,(shifts!B:B=events!D2118)*(shifts!AH:AH&gt;=events!U2118)*(shifts!AI:AI&lt;=events!V2118))</f>
        <v>75</v>
      </c>
      <c r="X2118" t="str">
        <f t="shared" si="979"/>
        <v>opp_team_player_2</v>
      </c>
      <c r="Y2118">
        <f>COUNTIFS(A$3:A2118,"="&amp;A2118,K$3:K2118,"="&amp;K2118)</f>
        <v>2</v>
      </c>
      <c r="Z2118" s="20">
        <f>SUMIFS(T$3:T2118,L$3:L2118,"=Intermission")+SUMIFS(T$3:T2118,L$3:L2118,"=Timeout")+SUMIFS(T$3:T2118,L$3:L2118,"=Clockstop")</f>
        <v>138</v>
      </c>
      <c r="AA2118">
        <f t="shared" si="1041"/>
        <v>2298</v>
      </c>
      <c r="AC2118">
        <f t="shared" si="1042"/>
        <v>2436</v>
      </c>
    </row>
    <row r="2119" spans="1:29" x14ac:dyDescent="0.2">
      <c r="A2119">
        <v>1139</v>
      </c>
      <c r="D2119">
        <f t="shared" si="1043"/>
        <v>3</v>
      </c>
      <c r="E2119">
        <v>8</v>
      </c>
      <c r="F2119" s="6" t="s">
        <v>439</v>
      </c>
      <c r="I2119" t="s">
        <v>179</v>
      </c>
      <c r="J2119">
        <v>99</v>
      </c>
      <c r="K2119" t="s">
        <v>488</v>
      </c>
      <c r="L2119" t="s">
        <v>17</v>
      </c>
      <c r="M2119" t="s">
        <v>196</v>
      </c>
      <c r="N2119" t="s">
        <v>99</v>
      </c>
      <c r="Q2119">
        <f t="shared" ref="Q2119:S2119" si="1046">Q2118</f>
        <v>18977</v>
      </c>
      <c r="R2119" t="str">
        <f t="shared" si="1046"/>
        <v>Velodrome</v>
      </c>
      <c r="S2119" t="str">
        <f t="shared" si="1046"/>
        <v>HollowBrook</v>
      </c>
      <c r="T2119" s="20">
        <f t="shared" ref="T2119:T2182" si="1047">IF(AND(G2119="",H2119=""),0,((E2119*60)+F2119)-((G2119*60)+H2119))</f>
        <v>0</v>
      </c>
      <c r="U2119">
        <f t="shared" ref="U2119:U2182" si="1048">(E2119*60)+F2119</f>
        <v>514</v>
      </c>
      <c r="V2119">
        <f t="shared" ref="V2119:V2182" si="1049">IF(AND(G2119="",H2119=""),U2119,((G2119*60)+H2119))</f>
        <v>514</v>
      </c>
      <c r="W2119" cm="1">
        <f t="array" ref="W2119">_xlfn._xlws.FILTER(shifts!A:A,(shifts!B:B=events!D2119)*(shifts!AH:AH&gt;=events!U2119)*(shifts!AI:AI&lt;=events!V2119))</f>
        <v>75</v>
      </c>
      <c r="X2119" t="str">
        <f t="shared" ref="X2119:X2182" si="1050">IF(K2119="e","event_team_player_"&amp;Y2119,IF(K2119="o","opp_team_player_"&amp;Y2119,""))</f>
        <v>event_team_player_1</v>
      </c>
      <c r="Y2119">
        <f>COUNTIFS(A$3:A2119,"="&amp;A2119,K$3:K2119,"="&amp;K2119)</f>
        <v>1</v>
      </c>
      <c r="Z2119" s="20">
        <f>SUMIFS(T$3:T2119,L$3:L2119,"=Intermission")+SUMIFS(T$3:T2119,L$3:L2119,"=Timeout")+SUMIFS(T$3:T2119,L$3:L2119,"=Clockstop")</f>
        <v>138</v>
      </c>
      <c r="AA2119">
        <f t="shared" si="1041"/>
        <v>2298</v>
      </c>
      <c r="AC2119">
        <f t="shared" si="1042"/>
        <v>2436</v>
      </c>
    </row>
    <row r="2120" spans="1:29" x14ac:dyDescent="0.2">
      <c r="A2120">
        <v>1139</v>
      </c>
      <c r="D2120">
        <f t="shared" si="1043"/>
        <v>3</v>
      </c>
      <c r="E2120">
        <v>8</v>
      </c>
      <c r="F2120" s="6" t="s">
        <v>439</v>
      </c>
      <c r="I2120" t="s">
        <v>179</v>
      </c>
      <c r="J2120">
        <v>5</v>
      </c>
      <c r="K2120" t="s">
        <v>488</v>
      </c>
      <c r="L2120" t="s">
        <v>17</v>
      </c>
      <c r="M2120" t="s">
        <v>196</v>
      </c>
      <c r="N2120" t="s">
        <v>99</v>
      </c>
      <c r="Q2120">
        <f t="shared" ref="Q2120:S2120" si="1051">Q2119</f>
        <v>18977</v>
      </c>
      <c r="R2120" t="str">
        <f t="shared" si="1051"/>
        <v>Velodrome</v>
      </c>
      <c r="S2120" t="str">
        <f t="shared" si="1051"/>
        <v>HollowBrook</v>
      </c>
      <c r="T2120" s="20">
        <f t="shared" si="1047"/>
        <v>0</v>
      </c>
      <c r="U2120">
        <f t="shared" si="1048"/>
        <v>514</v>
      </c>
      <c r="V2120">
        <f t="shared" si="1049"/>
        <v>514</v>
      </c>
      <c r="W2120" cm="1">
        <f t="array" ref="W2120">_xlfn._xlws.FILTER(shifts!A:A,(shifts!B:B=events!D2120)*(shifts!AH:AH&gt;=events!U2120)*(shifts!AI:AI&lt;=events!V2120))</f>
        <v>75</v>
      </c>
      <c r="X2120" t="str">
        <f t="shared" si="1050"/>
        <v>event_team_player_2</v>
      </c>
      <c r="Y2120">
        <f>COUNTIFS(A$3:A2120,"="&amp;A2120,K$3:K2120,"="&amp;K2120)</f>
        <v>2</v>
      </c>
      <c r="Z2120" s="20">
        <f>SUMIFS(T$3:T2120,L$3:L2120,"=Intermission")+SUMIFS(T$3:T2120,L$3:L2120,"=Timeout")+SUMIFS(T$3:T2120,L$3:L2120,"=Clockstop")</f>
        <v>138</v>
      </c>
      <c r="AA2120">
        <f t="shared" si="1041"/>
        <v>2298</v>
      </c>
      <c r="AC2120">
        <f t="shared" si="1042"/>
        <v>2436</v>
      </c>
    </row>
    <row r="2121" spans="1:29" x14ac:dyDescent="0.2">
      <c r="A2121">
        <v>1139</v>
      </c>
      <c r="D2121">
        <f t="shared" si="1043"/>
        <v>3</v>
      </c>
      <c r="E2121">
        <v>8</v>
      </c>
      <c r="F2121" s="6" t="s">
        <v>439</v>
      </c>
      <c r="I2121" t="s">
        <v>179</v>
      </c>
      <c r="J2121">
        <v>9</v>
      </c>
      <c r="K2121" t="s">
        <v>489</v>
      </c>
      <c r="L2121" t="s">
        <v>17</v>
      </c>
      <c r="M2121" t="s">
        <v>196</v>
      </c>
      <c r="N2121" t="s">
        <v>99</v>
      </c>
      <c r="Q2121">
        <f t="shared" ref="Q2121:S2121" si="1052">Q2120</f>
        <v>18977</v>
      </c>
      <c r="R2121" t="str">
        <f t="shared" si="1052"/>
        <v>Velodrome</v>
      </c>
      <c r="S2121" t="str">
        <f t="shared" si="1052"/>
        <v>HollowBrook</v>
      </c>
      <c r="T2121" s="20">
        <f t="shared" si="1047"/>
        <v>0</v>
      </c>
      <c r="U2121">
        <f t="shared" si="1048"/>
        <v>514</v>
      </c>
      <c r="V2121">
        <f t="shared" si="1049"/>
        <v>514</v>
      </c>
      <c r="W2121" cm="1">
        <f t="array" ref="W2121">_xlfn._xlws.FILTER(shifts!A:A,(shifts!B:B=events!D2121)*(shifts!AH:AH&gt;=events!U2121)*(shifts!AI:AI&lt;=events!V2121))</f>
        <v>75</v>
      </c>
      <c r="X2121" t="str">
        <f t="shared" si="1050"/>
        <v>opp_team_player_1</v>
      </c>
      <c r="Y2121">
        <f>COUNTIFS(A$3:A2121,"="&amp;A2121,K$3:K2121,"="&amp;K2121)</f>
        <v>1</v>
      </c>
      <c r="Z2121" s="20">
        <f>SUMIFS(T$3:T2121,L$3:L2121,"=Intermission")+SUMIFS(T$3:T2121,L$3:L2121,"=Timeout")+SUMIFS(T$3:T2121,L$3:L2121,"=Clockstop")</f>
        <v>138</v>
      </c>
      <c r="AA2121">
        <f t="shared" si="1041"/>
        <v>2298</v>
      </c>
      <c r="AC2121">
        <f t="shared" si="1042"/>
        <v>2436</v>
      </c>
    </row>
    <row r="2122" spans="1:29" x14ac:dyDescent="0.2">
      <c r="A2122">
        <v>1139</v>
      </c>
      <c r="D2122">
        <f t="shared" si="1043"/>
        <v>3</v>
      </c>
      <c r="E2122">
        <v>8</v>
      </c>
      <c r="F2122" s="6" t="s">
        <v>439</v>
      </c>
      <c r="I2122" t="s">
        <v>179</v>
      </c>
      <c r="J2122">
        <v>49</v>
      </c>
      <c r="K2122" t="s">
        <v>489</v>
      </c>
      <c r="L2122" t="s">
        <v>17</v>
      </c>
      <c r="M2122" t="s">
        <v>196</v>
      </c>
      <c r="N2122" t="s">
        <v>99</v>
      </c>
      <c r="Q2122">
        <f t="shared" ref="Q2122:S2122" si="1053">Q2121</f>
        <v>18977</v>
      </c>
      <c r="R2122" t="str">
        <f t="shared" si="1053"/>
        <v>Velodrome</v>
      </c>
      <c r="S2122" t="str">
        <f t="shared" si="1053"/>
        <v>HollowBrook</v>
      </c>
      <c r="T2122" s="20">
        <f t="shared" si="1047"/>
        <v>0</v>
      </c>
      <c r="U2122">
        <f t="shared" si="1048"/>
        <v>514</v>
      </c>
      <c r="V2122">
        <f t="shared" si="1049"/>
        <v>514</v>
      </c>
      <c r="W2122" cm="1">
        <f t="array" ref="W2122">_xlfn._xlws.FILTER(shifts!A:A,(shifts!B:B=events!D2122)*(shifts!AH:AH&gt;=events!U2122)*(shifts!AI:AI&lt;=events!V2122))</f>
        <v>75</v>
      </c>
      <c r="X2122" t="str">
        <f t="shared" si="1050"/>
        <v>opp_team_player_2</v>
      </c>
      <c r="Y2122">
        <f>COUNTIFS(A$3:A2122,"="&amp;A2122,K$3:K2122,"="&amp;K2122)</f>
        <v>2</v>
      </c>
      <c r="Z2122" s="20">
        <f>SUMIFS(T$3:T2122,L$3:L2122,"=Intermission")+SUMIFS(T$3:T2122,L$3:L2122,"=Timeout")+SUMIFS(T$3:T2122,L$3:L2122,"=Clockstop")</f>
        <v>138</v>
      </c>
      <c r="AA2122">
        <f t="shared" si="1041"/>
        <v>2298</v>
      </c>
      <c r="AC2122">
        <f t="shared" si="1042"/>
        <v>2436</v>
      </c>
    </row>
    <row r="2123" spans="1:29" x14ac:dyDescent="0.2">
      <c r="A2123">
        <v>1140</v>
      </c>
      <c r="D2123">
        <f t="shared" si="1043"/>
        <v>3</v>
      </c>
      <c r="E2123">
        <v>8</v>
      </c>
      <c r="F2123" s="6" t="s">
        <v>439</v>
      </c>
      <c r="I2123" t="s">
        <v>179</v>
      </c>
      <c r="J2123">
        <v>49</v>
      </c>
      <c r="K2123" t="s">
        <v>488</v>
      </c>
      <c r="L2123" t="s">
        <v>270</v>
      </c>
      <c r="M2123" t="s">
        <v>272</v>
      </c>
      <c r="Q2123">
        <f t="shared" ref="Q2123:S2123" si="1054">Q2122</f>
        <v>18977</v>
      </c>
      <c r="R2123" t="str">
        <f t="shared" si="1054"/>
        <v>Velodrome</v>
      </c>
      <c r="S2123" t="str">
        <f t="shared" si="1054"/>
        <v>HollowBrook</v>
      </c>
      <c r="T2123" s="20">
        <f t="shared" si="1047"/>
        <v>0</v>
      </c>
      <c r="U2123">
        <f t="shared" si="1048"/>
        <v>514</v>
      </c>
      <c r="V2123">
        <f t="shared" si="1049"/>
        <v>514</v>
      </c>
      <c r="W2123" cm="1">
        <f t="array" ref="W2123">_xlfn._xlws.FILTER(shifts!A:A,(shifts!B:B=events!D2123)*(shifts!AH:AH&gt;=events!U2123)*(shifts!AI:AI&lt;=events!V2123))</f>
        <v>75</v>
      </c>
      <c r="X2123" t="str">
        <f t="shared" si="1050"/>
        <v>event_team_player_1</v>
      </c>
      <c r="Y2123">
        <f>COUNTIFS(A$3:A2123,"="&amp;A2123,K$3:K2123,"="&amp;K2123)</f>
        <v>1</v>
      </c>
      <c r="Z2123" s="20">
        <f>SUMIFS(T$3:T2123,L$3:L2123,"=Intermission")+SUMIFS(T$3:T2123,L$3:L2123,"=Timeout")+SUMIFS(T$3:T2123,L$3:L2123,"=Clockstop")</f>
        <v>138</v>
      </c>
      <c r="AA2123">
        <f t="shared" si="1041"/>
        <v>2298</v>
      </c>
      <c r="AC2123">
        <f t="shared" si="1042"/>
        <v>2436</v>
      </c>
    </row>
    <row r="2124" spans="1:29" x14ac:dyDescent="0.2">
      <c r="A2124">
        <v>1141</v>
      </c>
      <c r="D2124">
        <f t="shared" si="1043"/>
        <v>3</v>
      </c>
      <c r="E2124">
        <v>8</v>
      </c>
      <c r="F2124" s="6" t="s">
        <v>472</v>
      </c>
      <c r="I2124" t="s">
        <v>178</v>
      </c>
      <c r="J2124">
        <v>84</v>
      </c>
      <c r="K2124" t="s">
        <v>488</v>
      </c>
      <c r="L2124" t="s">
        <v>277</v>
      </c>
      <c r="M2124" t="s">
        <v>210</v>
      </c>
      <c r="N2124" t="s">
        <v>93</v>
      </c>
      <c r="Q2124">
        <f t="shared" ref="Q2124:S2124" si="1055">Q2123</f>
        <v>18977</v>
      </c>
      <c r="R2124" t="str">
        <f t="shared" si="1055"/>
        <v>Velodrome</v>
      </c>
      <c r="S2124" t="str">
        <f t="shared" si="1055"/>
        <v>HollowBrook</v>
      </c>
      <c r="T2124" s="20">
        <f t="shared" si="1047"/>
        <v>0</v>
      </c>
      <c r="U2124">
        <f t="shared" si="1048"/>
        <v>510</v>
      </c>
      <c r="V2124">
        <f t="shared" si="1049"/>
        <v>510</v>
      </c>
      <c r="W2124" cm="1">
        <f t="array" ref="W2124">_xlfn._xlws.FILTER(shifts!A:A,(shifts!B:B=events!D2124)*(shifts!AH:AH&gt;=events!U2124)*(shifts!AI:AI&lt;=events!V2124))</f>
        <v>75</v>
      </c>
      <c r="X2124" t="str">
        <f t="shared" si="1050"/>
        <v>event_team_player_1</v>
      </c>
      <c r="Y2124">
        <f>COUNTIFS(A$3:A2124,"="&amp;A2124,K$3:K2124,"="&amp;K2124)</f>
        <v>1</v>
      </c>
      <c r="Z2124" s="20">
        <f>SUMIFS(T$3:T2124,L$3:L2124,"=Intermission")+SUMIFS(T$3:T2124,L$3:L2124,"=Timeout")+SUMIFS(T$3:T2124,L$3:L2124,"=Clockstop")</f>
        <v>138</v>
      </c>
      <c r="AA2124">
        <f t="shared" si="1041"/>
        <v>2298</v>
      </c>
      <c r="AC2124">
        <f t="shared" si="1042"/>
        <v>2436</v>
      </c>
    </row>
    <row r="2125" spans="1:29" x14ac:dyDescent="0.2">
      <c r="A2125">
        <v>1142</v>
      </c>
      <c r="D2125">
        <f t="shared" si="1043"/>
        <v>3</v>
      </c>
      <c r="E2125">
        <v>8</v>
      </c>
      <c r="F2125" s="6" t="s">
        <v>472</v>
      </c>
      <c r="G2125">
        <v>8</v>
      </c>
      <c r="H2125" s="8" t="s">
        <v>440</v>
      </c>
      <c r="I2125" t="s">
        <v>178</v>
      </c>
      <c r="J2125">
        <v>84</v>
      </c>
      <c r="K2125" t="s">
        <v>488</v>
      </c>
      <c r="L2125" t="s">
        <v>15</v>
      </c>
      <c r="Q2125">
        <f t="shared" ref="Q2125:S2125" si="1056">Q2124</f>
        <v>18977</v>
      </c>
      <c r="R2125" t="str">
        <f t="shared" si="1056"/>
        <v>Velodrome</v>
      </c>
      <c r="S2125" t="str">
        <f t="shared" si="1056"/>
        <v>HollowBrook</v>
      </c>
      <c r="T2125" s="20">
        <f t="shared" si="1047"/>
        <v>2</v>
      </c>
      <c r="U2125">
        <f t="shared" si="1048"/>
        <v>510</v>
      </c>
      <c r="V2125">
        <f t="shared" si="1049"/>
        <v>508</v>
      </c>
      <c r="W2125" cm="1">
        <f t="array" ref="W2125">_xlfn._xlws.FILTER(shifts!A:A,(shifts!B:B=events!D2125)*(shifts!AH:AH&gt;=events!U2125)*(shifts!AI:AI&lt;=events!V2125))</f>
        <v>75</v>
      </c>
      <c r="X2125" t="str">
        <f t="shared" si="1050"/>
        <v>event_team_player_1</v>
      </c>
      <c r="Y2125">
        <f>COUNTIFS(A$3:A2125,"="&amp;A2125,K$3:K2125,"="&amp;K2125)</f>
        <v>1</v>
      </c>
      <c r="Z2125" s="20">
        <f>SUMIFS(T$3:T2125,L$3:L2125,"=Intermission")+SUMIFS(T$3:T2125,L$3:L2125,"=Timeout")+SUMIFS(T$3:T2125,L$3:L2125,"=Clockstop")</f>
        <v>138</v>
      </c>
      <c r="AA2125">
        <f t="shared" si="1041"/>
        <v>2298</v>
      </c>
      <c r="AC2125">
        <f t="shared" si="1042"/>
        <v>2436</v>
      </c>
    </row>
    <row r="2126" spans="1:29" x14ac:dyDescent="0.2">
      <c r="A2126">
        <v>1142</v>
      </c>
      <c r="D2126">
        <f t="shared" si="1043"/>
        <v>3</v>
      </c>
      <c r="E2126">
        <v>8</v>
      </c>
      <c r="F2126" s="6" t="s">
        <v>472</v>
      </c>
      <c r="G2126">
        <v>8</v>
      </c>
      <c r="H2126" s="8" t="s">
        <v>440</v>
      </c>
      <c r="I2126" t="s">
        <v>178</v>
      </c>
      <c r="J2126">
        <v>8</v>
      </c>
      <c r="K2126" t="s">
        <v>488</v>
      </c>
      <c r="L2126" t="s">
        <v>15</v>
      </c>
      <c r="Q2126">
        <f t="shared" ref="Q2126:S2126" si="1057">Q2125</f>
        <v>18977</v>
      </c>
      <c r="R2126" t="str">
        <f t="shared" si="1057"/>
        <v>Velodrome</v>
      </c>
      <c r="S2126" t="str">
        <f t="shared" si="1057"/>
        <v>HollowBrook</v>
      </c>
      <c r="T2126" s="20">
        <f t="shared" si="1047"/>
        <v>2</v>
      </c>
      <c r="U2126">
        <f t="shared" si="1048"/>
        <v>510</v>
      </c>
      <c r="V2126">
        <f t="shared" si="1049"/>
        <v>508</v>
      </c>
      <c r="W2126" cm="1">
        <f t="array" ref="W2126">_xlfn._xlws.FILTER(shifts!A:A,(shifts!B:B=events!D2126)*(shifts!AH:AH&gt;=events!U2126)*(shifts!AI:AI&lt;=events!V2126))</f>
        <v>75</v>
      </c>
      <c r="X2126" t="str">
        <f t="shared" si="1050"/>
        <v>event_team_player_2</v>
      </c>
      <c r="Y2126">
        <f>COUNTIFS(A$3:A2126,"="&amp;A2126,K$3:K2126,"="&amp;K2126)</f>
        <v>2</v>
      </c>
      <c r="Z2126" s="20">
        <f>SUMIFS(T$3:T2126,L$3:L2126,"=Intermission")+SUMIFS(T$3:T2126,L$3:L2126,"=Timeout")+SUMIFS(T$3:T2126,L$3:L2126,"=Clockstop")</f>
        <v>138</v>
      </c>
      <c r="AA2126">
        <f t="shared" si="1041"/>
        <v>2298</v>
      </c>
      <c r="AC2126">
        <f t="shared" si="1042"/>
        <v>2436</v>
      </c>
    </row>
    <row r="2127" spans="1:29" x14ac:dyDescent="0.2">
      <c r="A2127">
        <v>1143</v>
      </c>
      <c r="D2127">
        <f t="shared" si="1043"/>
        <v>3</v>
      </c>
      <c r="E2127">
        <v>8</v>
      </c>
      <c r="F2127" s="6" t="s">
        <v>440</v>
      </c>
      <c r="I2127" t="s">
        <v>178</v>
      </c>
      <c r="J2127">
        <v>84</v>
      </c>
      <c r="K2127" t="s">
        <v>488</v>
      </c>
      <c r="L2127" t="s">
        <v>10</v>
      </c>
      <c r="M2127" t="s">
        <v>190</v>
      </c>
      <c r="N2127" t="s">
        <v>460</v>
      </c>
      <c r="Q2127">
        <f t="shared" ref="Q2127:S2127" si="1058">Q2126</f>
        <v>18977</v>
      </c>
      <c r="R2127" t="str">
        <f t="shared" si="1058"/>
        <v>Velodrome</v>
      </c>
      <c r="S2127" t="str">
        <f t="shared" si="1058"/>
        <v>HollowBrook</v>
      </c>
      <c r="T2127" s="20">
        <f t="shared" si="1047"/>
        <v>0</v>
      </c>
      <c r="U2127">
        <f t="shared" si="1048"/>
        <v>508</v>
      </c>
      <c r="V2127">
        <f t="shared" si="1049"/>
        <v>508</v>
      </c>
      <c r="W2127" cm="1">
        <f t="array" ref="W2127">_xlfn._xlws.FILTER(shifts!A:A,(shifts!B:B=events!D2127)*(shifts!AH:AH&gt;=events!U2127)*(shifts!AI:AI&lt;=events!V2127))</f>
        <v>75</v>
      </c>
      <c r="X2127" t="str">
        <f t="shared" si="1050"/>
        <v>event_team_player_1</v>
      </c>
      <c r="Y2127">
        <f>COUNTIFS(A$3:A2127,"="&amp;A2127,K$3:K2127,"="&amp;K2127)</f>
        <v>1</v>
      </c>
      <c r="Z2127" s="20">
        <f>SUMIFS(T$3:T2127,L$3:L2127,"=Intermission")+SUMIFS(T$3:T2127,L$3:L2127,"=Timeout")+SUMIFS(T$3:T2127,L$3:L2127,"=Clockstop")</f>
        <v>138</v>
      </c>
      <c r="AA2127">
        <f t="shared" si="1041"/>
        <v>2298</v>
      </c>
      <c r="AC2127">
        <f t="shared" si="1042"/>
        <v>2436</v>
      </c>
    </row>
    <row r="2128" spans="1:29" x14ac:dyDescent="0.2">
      <c r="A2128">
        <v>1144</v>
      </c>
      <c r="D2128">
        <f t="shared" si="1043"/>
        <v>3</v>
      </c>
      <c r="E2128">
        <v>8</v>
      </c>
      <c r="F2128" s="6" t="s">
        <v>443</v>
      </c>
      <c r="G2128">
        <v>8</v>
      </c>
      <c r="H2128" s="8" t="s">
        <v>444</v>
      </c>
      <c r="I2128" t="s">
        <v>179</v>
      </c>
      <c r="J2128">
        <v>26</v>
      </c>
      <c r="K2128" t="s">
        <v>488</v>
      </c>
      <c r="L2128" t="s">
        <v>277</v>
      </c>
      <c r="M2128" t="s">
        <v>201</v>
      </c>
      <c r="N2128" t="s">
        <v>90</v>
      </c>
      <c r="Q2128">
        <f t="shared" ref="Q2128:S2128" si="1059">Q2127</f>
        <v>18977</v>
      </c>
      <c r="R2128" t="str">
        <f t="shared" si="1059"/>
        <v>Velodrome</v>
      </c>
      <c r="S2128" t="str">
        <f t="shared" si="1059"/>
        <v>HollowBrook</v>
      </c>
      <c r="T2128" s="20">
        <f t="shared" si="1047"/>
        <v>2</v>
      </c>
      <c r="U2128">
        <f t="shared" si="1048"/>
        <v>506</v>
      </c>
      <c r="V2128">
        <f t="shared" si="1049"/>
        <v>504</v>
      </c>
      <c r="W2128" cm="1">
        <f t="array" ref="W2128">_xlfn._xlws.FILTER(shifts!A:A,(shifts!B:B=events!D2128)*(shifts!AH:AH&gt;=events!U2128)*(shifts!AI:AI&lt;=events!V2128))</f>
        <v>75</v>
      </c>
      <c r="X2128" t="str">
        <f t="shared" si="1050"/>
        <v>event_team_player_1</v>
      </c>
      <c r="Y2128">
        <f>COUNTIFS(A$3:A2128,"="&amp;A2128,K$3:K2128,"="&amp;K2128)</f>
        <v>1</v>
      </c>
      <c r="Z2128" s="20">
        <f>SUMIFS(T$3:T2128,L$3:L2128,"=Intermission")+SUMIFS(T$3:T2128,L$3:L2128,"=Timeout")+SUMIFS(T$3:T2128,L$3:L2128,"=Clockstop")</f>
        <v>138</v>
      </c>
      <c r="AA2128">
        <f t="shared" si="1041"/>
        <v>2298</v>
      </c>
      <c r="AC2128">
        <f t="shared" si="1042"/>
        <v>2436</v>
      </c>
    </row>
    <row r="2129" spans="1:29" x14ac:dyDescent="0.2">
      <c r="A2129">
        <v>1145</v>
      </c>
      <c r="D2129">
        <f t="shared" si="1043"/>
        <v>3</v>
      </c>
      <c r="E2129">
        <v>8</v>
      </c>
      <c r="F2129" s="6" t="s">
        <v>444</v>
      </c>
      <c r="G2129">
        <v>8</v>
      </c>
      <c r="H2129" s="8" t="s">
        <v>484</v>
      </c>
      <c r="I2129" t="s">
        <v>179</v>
      </c>
      <c r="J2129">
        <v>26</v>
      </c>
      <c r="K2129" t="s">
        <v>488</v>
      </c>
      <c r="L2129" t="s">
        <v>15</v>
      </c>
      <c r="Q2129">
        <f t="shared" ref="Q2129:S2129" si="1060">Q2128</f>
        <v>18977</v>
      </c>
      <c r="R2129" t="str">
        <f t="shared" si="1060"/>
        <v>Velodrome</v>
      </c>
      <c r="S2129" t="str">
        <f t="shared" si="1060"/>
        <v>HollowBrook</v>
      </c>
      <c r="T2129" s="20">
        <f t="shared" si="1047"/>
        <v>2</v>
      </c>
      <c r="U2129">
        <f t="shared" si="1048"/>
        <v>504</v>
      </c>
      <c r="V2129">
        <f t="shared" si="1049"/>
        <v>502</v>
      </c>
      <c r="W2129" cm="1">
        <f t="array" ref="W2129">_xlfn._xlws.FILTER(shifts!A:A,(shifts!B:B=events!D2129)*(shifts!AH:AH&gt;=events!U2129)*(shifts!AI:AI&lt;=events!V2129))</f>
        <v>75</v>
      </c>
      <c r="X2129" t="str">
        <f t="shared" si="1050"/>
        <v>event_team_player_1</v>
      </c>
      <c r="Y2129">
        <f>COUNTIFS(A$3:A2129,"="&amp;A2129,K$3:K2129,"="&amp;K2129)</f>
        <v>1</v>
      </c>
      <c r="Z2129" s="20">
        <f>SUMIFS(T$3:T2129,L$3:L2129,"=Intermission")+SUMIFS(T$3:T2129,L$3:L2129,"=Timeout")+SUMIFS(T$3:T2129,L$3:L2129,"=Clockstop")</f>
        <v>138</v>
      </c>
      <c r="AA2129">
        <f t="shared" si="1041"/>
        <v>2298</v>
      </c>
      <c r="AC2129">
        <f t="shared" si="1042"/>
        <v>2436</v>
      </c>
    </row>
    <row r="2130" spans="1:29" x14ac:dyDescent="0.2">
      <c r="A2130">
        <v>1146</v>
      </c>
      <c r="D2130">
        <f t="shared" si="1043"/>
        <v>3</v>
      </c>
      <c r="E2130">
        <v>8</v>
      </c>
      <c r="F2130" s="6" t="s">
        <v>484</v>
      </c>
      <c r="I2130" t="s">
        <v>179</v>
      </c>
      <c r="J2130">
        <v>26</v>
      </c>
      <c r="K2130" t="s">
        <v>488</v>
      </c>
      <c r="L2130" t="s">
        <v>10</v>
      </c>
      <c r="M2130" t="s">
        <v>190</v>
      </c>
      <c r="N2130" t="s">
        <v>73</v>
      </c>
      <c r="Q2130">
        <f t="shared" ref="Q2130:S2130" si="1061">Q2129</f>
        <v>18977</v>
      </c>
      <c r="R2130" t="str">
        <f t="shared" si="1061"/>
        <v>Velodrome</v>
      </c>
      <c r="S2130" t="str">
        <f t="shared" si="1061"/>
        <v>HollowBrook</v>
      </c>
      <c r="T2130" s="20">
        <f t="shared" si="1047"/>
        <v>0</v>
      </c>
      <c r="U2130">
        <f t="shared" si="1048"/>
        <v>502</v>
      </c>
      <c r="V2130">
        <f t="shared" si="1049"/>
        <v>502</v>
      </c>
      <c r="W2130" cm="1">
        <f t="array" ref="W2130">_xlfn._xlws.FILTER(shifts!A:A,(shifts!B:B=events!D2130)*(shifts!AH:AH&gt;=events!U2130)*(shifts!AI:AI&lt;=events!V2130))</f>
        <v>75</v>
      </c>
      <c r="X2130" t="str">
        <f t="shared" si="1050"/>
        <v>event_team_player_1</v>
      </c>
      <c r="Y2130">
        <f>COUNTIFS(A$3:A2130,"="&amp;A2130,K$3:K2130,"="&amp;K2130)</f>
        <v>1</v>
      </c>
      <c r="Z2130" s="20">
        <f>SUMIFS(T$3:T2130,L$3:L2130,"=Intermission")+SUMIFS(T$3:T2130,L$3:L2130,"=Timeout")+SUMIFS(T$3:T2130,L$3:L2130,"=Clockstop")</f>
        <v>138</v>
      </c>
      <c r="AA2130">
        <f t="shared" si="1041"/>
        <v>2298</v>
      </c>
      <c r="AC2130">
        <f t="shared" si="1042"/>
        <v>2436</v>
      </c>
    </row>
    <row r="2131" spans="1:29" x14ac:dyDescent="0.2">
      <c r="A2131">
        <v>1146</v>
      </c>
      <c r="D2131">
        <f t="shared" si="1043"/>
        <v>3</v>
      </c>
      <c r="E2131">
        <v>8</v>
      </c>
      <c r="F2131" s="6" t="s">
        <v>484</v>
      </c>
      <c r="I2131" t="s">
        <v>179</v>
      </c>
      <c r="J2131">
        <v>84</v>
      </c>
      <c r="K2131" t="s">
        <v>489</v>
      </c>
      <c r="L2131" t="s">
        <v>10</v>
      </c>
      <c r="M2131" t="s">
        <v>190</v>
      </c>
      <c r="N2131" t="s">
        <v>73</v>
      </c>
      <c r="Q2131">
        <f t="shared" ref="Q2131:S2131" si="1062">Q2130</f>
        <v>18977</v>
      </c>
      <c r="R2131" t="str">
        <f t="shared" si="1062"/>
        <v>Velodrome</v>
      </c>
      <c r="S2131" t="str">
        <f t="shared" si="1062"/>
        <v>HollowBrook</v>
      </c>
      <c r="T2131" s="20">
        <f t="shared" si="1047"/>
        <v>0</v>
      </c>
      <c r="U2131">
        <f t="shared" si="1048"/>
        <v>502</v>
      </c>
      <c r="V2131">
        <f t="shared" si="1049"/>
        <v>502</v>
      </c>
      <c r="W2131" cm="1">
        <f t="array" ref="W2131">_xlfn._xlws.FILTER(shifts!A:A,(shifts!B:B=events!D2131)*(shifts!AH:AH&gt;=events!U2131)*(shifts!AI:AI&lt;=events!V2131))</f>
        <v>75</v>
      </c>
      <c r="X2131" t="str">
        <f t="shared" si="1050"/>
        <v>opp_team_player_1</v>
      </c>
      <c r="Y2131">
        <f>COUNTIFS(A$3:A2131,"="&amp;A2131,K$3:K2131,"="&amp;K2131)</f>
        <v>1</v>
      </c>
      <c r="Z2131" s="20">
        <f>SUMIFS(T$3:T2131,L$3:L2131,"=Intermission")+SUMIFS(T$3:T2131,L$3:L2131,"=Timeout")+SUMIFS(T$3:T2131,L$3:L2131,"=Clockstop")</f>
        <v>138</v>
      </c>
      <c r="AA2131">
        <f t="shared" si="1041"/>
        <v>2298</v>
      </c>
      <c r="AC2131">
        <f t="shared" si="1042"/>
        <v>2436</v>
      </c>
    </row>
    <row r="2132" spans="1:29" x14ac:dyDescent="0.2">
      <c r="A2132">
        <v>1147</v>
      </c>
      <c r="D2132">
        <f t="shared" si="1043"/>
        <v>3</v>
      </c>
      <c r="E2132">
        <v>8</v>
      </c>
      <c r="F2132" s="6" t="s">
        <v>473</v>
      </c>
      <c r="I2132" t="s">
        <v>178</v>
      </c>
      <c r="J2132">
        <v>84</v>
      </c>
      <c r="K2132" t="s">
        <v>488</v>
      </c>
      <c r="L2132" t="s">
        <v>8</v>
      </c>
      <c r="M2132" t="s">
        <v>189</v>
      </c>
      <c r="N2132" t="s">
        <v>71</v>
      </c>
      <c r="Q2132">
        <f t="shared" ref="Q2132:S2132" si="1063">Q2131</f>
        <v>18977</v>
      </c>
      <c r="R2132" t="str">
        <f t="shared" si="1063"/>
        <v>Velodrome</v>
      </c>
      <c r="S2132" t="str">
        <f t="shared" si="1063"/>
        <v>HollowBrook</v>
      </c>
      <c r="T2132" s="20">
        <f t="shared" si="1047"/>
        <v>0</v>
      </c>
      <c r="U2132">
        <f t="shared" si="1048"/>
        <v>501</v>
      </c>
      <c r="V2132">
        <f t="shared" si="1049"/>
        <v>501</v>
      </c>
      <c r="W2132" cm="1">
        <f t="array" ref="W2132">_xlfn._xlws.FILTER(shifts!A:A,(shifts!B:B=events!D2132)*(shifts!AH:AH&gt;=events!U2132)*(shifts!AI:AI&lt;=events!V2132))</f>
        <v>75</v>
      </c>
      <c r="X2132" t="str">
        <f t="shared" si="1050"/>
        <v>event_team_player_1</v>
      </c>
      <c r="Y2132">
        <f>COUNTIFS(A$3:A2132,"="&amp;A2132,K$3:K2132,"="&amp;K2132)</f>
        <v>1</v>
      </c>
      <c r="Z2132" s="20">
        <f>SUMIFS(T$3:T2132,L$3:L2132,"=Intermission")+SUMIFS(T$3:T2132,L$3:L2132,"=Timeout")+SUMIFS(T$3:T2132,L$3:L2132,"=Clockstop")</f>
        <v>138</v>
      </c>
      <c r="AA2132">
        <f t="shared" si="1041"/>
        <v>2298</v>
      </c>
      <c r="AC2132">
        <f t="shared" si="1042"/>
        <v>2436</v>
      </c>
    </row>
    <row r="2133" spans="1:29" x14ac:dyDescent="0.2">
      <c r="A2133">
        <v>1147</v>
      </c>
      <c r="D2133">
        <f t="shared" si="1043"/>
        <v>3</v>
      </c>
      <c r="E2133">
        <v>8</v>
      </c>
      <c r="F2133" s="6" t="s">
        <v>473</v>
      </c>
      <c r="I2133" t="s">
        <v>178</v>
      </c>
      <c r="J2133">
        <v>49</v>
      </c>
      <c r="K2133" t="s">
        <v>488</v>
      </c>
      <c r="L2133" t="s">
        <v>8</v>
      </c>
      <c r="M2133" t="s">
        <v>189</v>
      </c>
      <c r="N2133" t="s">
        <v>71</v>
      </c>
      <c r="Q2133">
        <f t="shared" ref="Q2133:S2133" si="1064">Q2132</f>
        <v>18977</v>
      </c>
      <c r="R2133" t="str">
        <f t="shared" si="1064"/>
        <v>Velodrome</v>
      </c>
      <c r="S2133" t="str">
        <f t="shared" si="1064"/>
        <v>HollowBrook</v>
      </c>
      <c r="T2133" s="20">
        <f t="shared" si="1047"/>
        <v>0</v>
      </c>
      <c r="U2133">
        <f t="shared" si="1048"/>
        <v>501</v>
      </c>
      <c r="V2133">
        <f t="shared" si="1049"/>
        <v>501</v>
      </c>
      <c r="W2133" cm="1">
        <f t="array" ref="W2133">_xlfn._xlws.FILTER(shifts!A:A,(shifts!B:B=events!D2133)*(shifts!AH:AH&gt;=events!U2133)*(shifts!AI:AI&lt;=events!V2133))</f>
        <v>75</v>
      </c>
      <c r="X2133" t="str">
        <f t="shared" si="1050"/>
        <v>event_team_player_2</v>
      </c>
      <c r="Y2133">
        <f>COUNTIFS(A$3:A2133,"="&amp;A2133,K$3:K2133,"="&amp;K2133)</f>
        <v>2</v>
      </c>
      <c r="Z2133" s="20">
        <f>SUMIFS(T$3:T2133,L$3:L2133,"=Intermission")+SUMIFS(T$3:T2133,L$3:L2133,"=Timeout")+SUMIFS(T$3:T2133,L$3:L2133,"=Clockstop")</f>
        <v>138</v>
      </c>
      <c r="AA2133">
        <f t="shared" si="1041"/>
        <v>2298</v>
      </c>
      <c r="AC2133">
        <f t="shared" si="1042"/>
        <v>2436</v>
      </c>
    </row>
    <row r="2134" spans="1:29" x14ac:dyDescent="0.2">
      <c r="A2134">
        <v>1148</v>
      </c>
      <c r="D2134">
        <f t="shared" si="1043"/>
        <v>3</v>
      </c>
      <c r="E2134">
        <v>8</v>
      </c>
      <c r="F2134" s="6" t="s">
        <v>422</v>
      </c>
      <c r="I2134" t="s">
        <v>178</v>
      </c>
      <c r="J2134">
        <v>49</v>
      </c>
      <c r="K2134" t="s">
        <v>488</v>
      </c>
      <c r="L2134" t="s">
        <v>8</v>
      </c>
      <c r="M2134" t="s">
        <v>189</v>
      </c>
      <c r="N2134" t="s">
        <v>70</v>
      </c>
      <c r="Q2134">
        <f t="shared" ref="Q2134:S2134" si="1065">Q2133</f>
        <v>18977</v>
      </c>
      <c r="R2134" t="str">
        <f t="shared" si="1065"/>
        <v>Velodrome</v>
      </c>
      <c r="S2134" t="str">
        <f t="shared" si="1065"/>
        <v>HollowBrook</v>
      </c>
      <c r="T2134" s="20">
        <f t="shared" si="1047"/>
        <v>0</v>
      </c>
      <c r="U2134">
        <f t="shared" si="1048"/>
        <v>500</v>
      </c>
      <c r="V2134">
        <f t="shared" si="1049"/>
        <v>500</v>
      </c>
      <c r="W2134" cm="1">
        <f t="array" ref="W2134">_xlfn._xlws.FILTER(shifts!A:A,(shifts!B:B=events!D2134)*(shifts!AH:AH&gt;=events!U2134)*(shifts!AI:AI&lt;=events!V2134))</f>
        <v>75</v>
      </c>
      <c r="X2134" t="str">
        <f t="shared" si="1050"/>
        <v>event_team_player_1</v>
      </c>
      <c r="Y2134">
        <f>COUNTIFS(A$3:A2134,"="&amp;A2134,K$3:K2134,"="&amp;K2134)</f>
        <v>1</v>
      </c>
      <c r="Z2134" s="20">
        <f>SUMIFS(T$3:T2134,L$3:L2134,"=Intermission")+SUMIFS(T$3:T2134,L$3:L2134,"=Timeout")+SUMIFS(T$3:T2134,L$3:L2134,"=Clockstop")</f>
        <v>138</v>
      </c>
      <c r="AA2134">
        <f t="shared" si="1041"/>
        <v>2298</v>
      </c>
      <c r="AC2134">
        <f t="shared" si="1042"/>
        <v>2436</v>
      </c>
    </row>
    <row r="2135" spans="1:29" x14ac:dyDescent="0.2">
      <c r="A2135">
        <v>1148</v>
      </c>
      <c r="D2135">
        <f t="shared" si="1043"/>
        <v>3</v>
      </c>
      <c r="E2135">
        <v>8</v>
      </c>
      <c r="F2135" s="6" t="s">
        <v>422</v>
      </c>
      <c r="I2135" t="s">
        <v>178</v>
      </c>
      <c r="J2135">
        <v>42</v>
      </c>
      <c r="K2135" t="s">
        <v>488</v>
      </c>
      <c r="L2135" t="s">
        <v>8</v>
      </c>
      <c r="M2135" t="s">
        <v>189</v>
      </c>
      <c r="N2135" t="s">
        <v>70</v>
      </c>
      <c r="Q2135">
        <f t="shared" ref="Q2135:S2135" si="1066">Q2134</f>
        <v>18977</v>
      </c>
      <c r="R2135" t="str">
        <f t="shared" si="1066"/>
        <v>Velodrome</v>
      </c>
      <c r="S2135" t="str">
        <f t="shared" si="1066"/>
        <v>HollowBrook</v>
      </c>
      <c r="T2135" s="20">
        <f t="shared" si="1047"/>
        <v>0</v>
      </c>
      <c r="U2135">
        <f t="shared" si="1048"/>
        <v>500</v>
      </c>
      <c r="V2135">
        <f t="shared" si="1049"/>
        <v>500</v>
      </c>
      <c r="W2135" cm="1">
        <f t="array" ref="W2135">_xlfn._xlws.FILTER(shifts!A:A,(shifts!B:B=events!D2135)*(shifts!AH:AH&gt;=events!U2135)*(shifts!AI:AI&lt;=events!V2135))</f>
        <v>75</v>
      </c>
      <c r="X2135" t="str">
        <f t="shared" si="1050"/>
        <v>event_team_player_2</v>
      </c>
      <c r="Y2135">
        <f>COUNTIFS(A$3:A2135,"="&amp;A2135,K$3:K2135,"="&amp;K2135)</f>
        <v>2</v>
      </c>
      <c r="Z2135" s="20">
        <f>SUMIFS(T$3:T2135,L$3:L2135,"=Intermission")+SUMIFS(T$3:T2135,L$3:L2135,"=Timeout")+SUMIFS(T$3:T2135,L$3:L2135,"=Clockstop")</f>
        <v>138</v>
      </c>
      <c r="AA2135">
        <f t="shared" si="1041"/>
        <v>2298</v>
      </c>
      <c r="AC2135">
        <f t="shared" si="1042"/>
        <v>2436</v>
      </c>
    </row>
    <row r="2136" spans="1:29" x14ac:dyDescent="0.2">
      <c r="A2136">
        <v>1149</v>
      </c>
      <c r="D2136">
        <f t="shared" si="1043"/>
        <v>3</v>
      </c>
      <c r="E2136">
        <v>8</v>
      </c>
      <c r="F2136" s="6" t="s">
        <v>422</v>
      </c>
      <c r="G2136">
        <v>8</v>
      </c>
      <c r="H2136" s="8" t="s">
        <v>485</v>
      </c>
      <c r="I2136" t="s">
        <v>178</v>
      </c>
      <c r="J2136">
        <v>42</v>
      </c>
      <c r="K2136" t="s">
        <v>488</v>
      </c>
      <c r="L2136" t="s">
        <v>15</v>
      </c>
      <c r="Q2136">
        <f t="shared" ref="Q2136:S2136" si="1067">Q2135</f>
        <v>18977</v>
      </c>
      <c r="R2136" t="str">
        <f t="shared" si="1067"/>
        <v>Velodrome</v>
      </c>
      <c r="S2136" t="str">
        <f t="shared" si="1067"/>
        <v>HollowBrook</v>
      </c>
      <c r="T2136" s="20">
        <f t="shared" si="1047"/>
        <v>2</v>
      </c>
      <c r="U2136">
        <f t="shared" si="1048"/>
        <v>500</v>
      </c>
      <c r="V2136">
        <f t="shared" si="1049"/>
        <v>498</v>
      </c>
      <c r="W2136" cm="1">
        <f t="array" ref="W2136">_xlfn._xlws.FILTER(shifts!A:A,(shifts!B:B=events!D2136)*(shifts!AH:AH&gt;=events!U2136)*(shifts!AI:AI&lt;=events!V2136))</f>
        <v>75</v>
      </c>
      <c r="X2136" t="str">
        <f t="shared" si="1050"/>
        <v>event_team_player_1</v>
      </c>
      <c r="Y2136">
        <f>COUNTIFS(A$3:A2136,"="&amp;A2136,K$3:K2136,"="&amp;K2136)</f>
        <v>1</v>
      </c>
      <c r="Z2136" s="20">
        <f>SUMIFS(T$3:T2136,L$3:L2136,"=Intermission")+SUMIFS(T$3:T2136,L$3:L2136,"=Timeout")+SUMIFS(T$3:T2136,L$3:L2136,"=Clockstop")</f>
        <v>138</v>
      </c>
      <c r="AA2136">
        <f t="shared" si="1041"/>
        <v>2298</v>
      </c>
      <c r="AC2136">
        <f t="shared" si="1042"/>
        <v>2436</v>
      </c>
    </row>
    <row r="2137" spans="1:29" x14ac:dyDescent="0.2">
      <c r="A2137">
        <v>1150</v>
      </c>
      <c r="D2137">
        <f t="shared" si="1043"/>
        <v>3</v>
      </c>
      <c r="E2137">
        <v>8</v>
      </c>
      <c r="F2137" s="6" t="s">
        <v>485</v>
      </c>
      <c r="G2137">
        <v>8</v>
      </c>
      <c r="H2137" s="8" t="s">
        <v>447</v>
      </c>
      <c r="I2137" t="s">
        <v>178</v>
      </c>
      <c r="J2137">
        <v>42</v>
      </c>
      <c r="K2137" t="s">
        <v>488</v>
      </c>
      <c r="L2137" t="s">
        <v>277</v>
      </c>
      <c r="M2137" t="s">
        <v>191</v>
      </c>
      <c r="N2137" t="s">
        <v>87</v>
      </c>
      <c r="Q2137">
        <f t="shared" ref="Q2137:S2137" si="1068">Q2136</f>
        <v>18977</v>
      </c>
      <c r="R2137" t="str">
        <f t="shared" si="1068"/>
        <v>Velodrome</v>
      </c>
      <c r="S2137" t="str">
        <f t="shared" si="1068"/>
        <v>HollowBrook</v>
      </c>
      <c r="T2137" s="20">
        <f t="shared" si="1047"/>
        <v>3</v>
      </c>
      <c r="U2137">
        <f t="shared" si="1048"/>
        <v>498</v>
      </c>
      <c r="V2137">
        <f t="shared" si="1049"/>
        <v>495</v>
      </c>
      <c r="W2137" cm="1">
        <f t="array" ref="W2137">_xlfn._xlws.FILTER(shifts!A:A,(shifts!B:B=events!D2137)*(shifts!AH:AH&gt;=events!U2137)*(shifts!AI:AI&lt;=events!V2137))</f>
        <v>75</v>
      </c>
      <c r="X2137" t="str">
        <f t="shared" si="1050"/>
        <v>event_team_player_1</v>
      </c>
      <c r="Y2137">
        <f>COUNTIFS(A$3:A2137,"="&amp;A2137,K$3:K2137,"="&amp;K2137)</f>
        <v>1</v>
      </c>
      <c r="Z2137" s="20">
        <f>SUMIFS(T$3:T2137,L$3:L2137,"=Intermission")+SUMIFS(T$3:T2137,L$3:L2137,"=Timeout")+SUMIFS(T$3:T2137,L$3:L2137,"=Clockstop")</f>
        <v>138</v>
      </c>
      <c r="AA2137">
        <f t="shared" si="1041"/>
        <v>2298</v>
      </c>
      <c r="AC2137">
        <f t="shared" si="1042"/>
        <v>2436</v>
      </c>
    </row>
    <row r="2138" spans="1:29" x14ac:dyDescent="0.2">
      <c r="A2138">
        <v>1150</v>
      </c>
      <c r="D2138">
        <f t="shared" si="1043"/>
        <v>3</v>
      </c>
      <c r="E2138">
        <v>8</v>
      </c>
      <c r="F2138" s="6" t="s">
        <v>485</v>
      </c>
      <c r="G2138">
        <v>8</v>
      </c>
      <c r="H2138" s="8" t="s">
        <v>447</v>
      </c>
      <c r="I2138" t="s">
        <v>178</v>
      </c>
      <c r="J2138">
        <v>27</v>
      </c>
      <c r="K2138" t="s">
        <v>488</v>
      </c>
      <c r="L2138" t="s">
        <v>277</v>
      </c>
      <c r="M2138" t="s">
        <v>191</v>
      </c>
      <c r="N2138" t="s">
        <v>87</v>
      </c>
      <c r="Q2138">
        <f t="shared" ref="Q2138:S2138" si="1069">Q2137</f>
        <v>18977</v>
      </c>
      <c r="R2138" t="str">
        <f t="shared" si="1069"/>
        <v>Velodrome</v>
      </c>
      <c r="S2138" t="str">
        <f t="shared" si="1069"/>
        <v>HollowBrook</v>
      </c>
      <c r="T2138" s="20">
        <f t="shared" si="1047"/>
        <v>3</v>
      </c>
      <c r="U2138">
        <f t="shared" si="1048"/>
        <v>498</v>
      </c>
      <c r="V2138">
        <f t="shared" si="1049"/>
        <v>495</v>
      </c>
      <c r="W2138" cm="1">
        <f t="array" ref="W2138">_xlfn._xlws.FILTER(shifts!A:A,(shifts!B:B=events!D2138)*(shifts!AH:AH&gt;=events!U2138)*(shifts!AI:AI&lt;=events!V2138))</f>
        <v>75</v>
      </c>
      <c r="X2138" t="str">
        <f t="shared" si="1050"/>
        <v>event_team_player_2</v>
      </c>
      <c r="Y2138">
        <f>COUNTIFS(A$3:A2138,"="&amp;A2138,K$3:K2138,"="&amp;K2138)</f>
        <v>2</v>
      </c>
      <c r="Z2138" s="20">
        <f>SUMIFS(T$3:T2138,L$3:L2138,"=Intermission")+SUMIFS(T$3:T2138,L$3:L2138,"=Timeout")+SUMIFS(T$3:T2138,L$3:L2138,"=Clockstop")</f>
        <v>138</v>
      </c>
      <c r="AA2138">
        <f t="shared" si="1041"/>
        <v>2298</v>
      </c>
      <c r="AC2138">
        <f t="shared" si="1042"/>
        <v>2436</v>
      </c>
    </row>
    <row r="2139" spans="1:29" x14ac:dyDescent="0.2">
      <c r="A2139">
        <v>1151</v>
      </c>
      <c r="D2139">
        <f t="shared" si="1043"/>
        <v>3</v>
      </c>
      <c r="E2139">
        <v>8</v>
      </c>
      <c r="F2139" s="6" t="s">
        <v>447</v>
      </c>
      <c r="I2139" t="s">
        <v>178</v>
      </c>
      <c r="J2139">
        <v>42</v>
      </c>
      <c r="K2139" t="s">
        <v>488</v>
      </c>
      <c r="L2139" t="s">
        <v>247</v>
      </c>
      <c r="M2139" t="s">
        <v>513</v>
      </c>
      <c r="N2139" t="s">
        <v>152</v>
      </c>
      <c r="Q2139">
        <f t="shared" ref="Q2139:S2139" si="1070">Q2138</f>
        <v>18977</v>
      </c>
      <c r="R2139" t="str">
        <f t="shared" si="1070"/>
        <v>Velodrome</v>
      </c>
      <c r="S2139" t="str">
        <f t="shared" si="1070"/>
        <v>HollowBrook</v>
      </c>
      <c r="T2139" s="20">
        <f t="shared" si="1047"/>
        <v>0</v>
      </c>
      <c r="U2139">
        <f t="shared" si="1048"/>
        <v>495</v>
      </c>
      <c r="V2139">
        <f t="shared" si="1049"/>
        <v>495</v>
      </c>
      <c r="W2139" cm="1">
        <f t="array" ref="W2139">_xlfn._xlws.FILTER(shifts!A:A,(shifts!B:B=events!D2139)*(shifts!AH:AH&gt;=events!U2139)*(shifts!AI:AI&lt;=events!V2139))</f>
        <v>75</v>
      </c>
      <c r="X2139" t="str">
        <f t="shared" si="1050"/>
        <v>event_team_player_1</v>
      </c>
      <c r="Y2139">
        <f>COUNTIFS(A$3:A2139,"="&amp;A2139,K$3:K2139,"="&amp;K2139)</f>
        <v>1</v>
      </c>
      <c r="Z2139" s="20">
        <f>SUMIFS(T$3:T2139,L$3:L2139,"=Intermission")+SUMIFS(T$3:T2139,L$3:L2139,"=Timeout")+SUMIFS(T$3:T2139,L$3:L2139,"=Clockstop")</f>
        <v>138</v>
      </c>
      <c r="AA2139">
        <f t="shared" si="1041"/>
        <v>2298</v>
      </c>
      <c r="AC2139">
        <f t="shared" si="1042"/>
        <v>2436</v>
      </c>
    </row>
    <row r="2140" spans="1:29" x14ac:dyDescent="0.2">
      <c r="A2140">
        <v>1151</v>
      </c>
      <c r="D2140">
        <f t="shared" si="1043"/>
        <v>3</v>
      </c>
      <c r="E2140">
        <v>8</v>
      </c>
      <c r="F2140" s="6" t="s">
        <v>447</v>
      </c>
      <c r="I2140" t="s">
        <v>178</v>
      </c>
      <c r="J2140">
        <v>27</v>
      </c>
      <c r="K2140" t="s">
        <v>489</v>
      </c>
      <c r="L2140" t="s">
        <v>247</v>
      </c>
      <c r="M2140" t="s">
        <v>513</v>
      </c>
      <c r="N2140" t="s">
        <v>152</v>
      </c>
      <c r="Q2140">
        <f t="shared" ref="Q2140:S2140" si="1071">Q2139</f>
        <v>18977</v>
      </c>
      <c r="R2140" t="str">
        <f t="shared" si="1071"/>
        <v>Velodrome</v>
      </c>
      <c r="S2140" t="str">
        <f t="shared" si="1071"/>
        <v>HollowBrook</v>
      </c>
      <c r="T2140" s="20">
        <f t="shared" si="1047"/>
        <v>0</v>
      </c>
      <c r="U2140">
        <f t="shared" si="1048"/>
        <v>495</v>
      </c>
      <c r="V2140">
        <f t="shared" si="1049"/>
        <v>495</v>
      </c>
      <c r="W2140" cm="1">
        <f t="array" ref="W2140">_xlfn._xlws.FILTER(shifts!A:A,(shifts!B:B=events!D2140)*(shifts!AH:AH&gt;=events!U2140)*(shifts!AI:AI&lt;=events!V2140))</f>
        <v>75</v>
      </c>
      <c r="X2140" t="str">
        <f t="shared" si="1050"/>
        <v>opp_team_player_1</v>
      </c>
      <c r="Y2140">
        <f>COUNTIFS(A$3:A2140,"="&amp;A2140,K$3:K2140,"="&amp;K2140)</f>
        <v>1</v>
      </c>
      <c r="Z2140" s="20">
        <f>SUMIFS(T$3:T2140,L$3:L2140,"=Intermission")+SUMIFS(T$3:T2140,L$3:L2140,"=Timeout")+SUMIFS(T$3:T2140,L$3:L2140,"=Clockstop")</f>
        <v>138</v>
      </c>
      <c r="AA2140">
        <f t="shared" si="1041"/>
        <v>2298</v>
      </c>
      <c r="AC2140">
        <f t="shared" si="1042"/>
        <v>2436</v>
      </c>
    </row>
    <row r="2141" spans="1:29" x14ac:dyDescent="0.2">
      <c r="A2141">
        <v>1152</v>
      </c>
      <c r="D2141">
        <f t="shared" si="1043"/>
        <v>3</v>
      </c>
      <c r="E2141">
        <v>8</v>
      </c>
      <c r="F2141" s="6" t="s">
        <v>447</v>
      </c>
      <c r="G2141">
        <v>8</v>
      </c>
      <c r="H2141" s="8" t="s">
        <v>317</v>
      </c>
      <c r="I2141" t="s">
        <v>178</v>
      </c>
      <c r="J2141">
        <v>42</v>
      </c>
      <c r="K2141" t="s">
        <v>488</v>
      </c>
      <c r="L2141" t="s">
        <v>15</v>
      </c>
      <c r="Q2141">
        <f t="shared" ref="Q2141:S2141" si="1072">Q2140</f>
        <v>18977</v>
      </c>
      <c r="R2141" t="str">
        <f t="shared" si="1072"/>
        <v>Velodrome</v>
      </c>
      <c r="S2141" t="str">
        <f t="shared" si="1072"/>
        <v>HollowBrook</v>
      </c>
      <c r="T2141" s="20">
        <f t="shared" si="1047"/>
        <v>2</v>
      </c>
      <c r="U2141">
        <f t="shared" si="1048"/>
        <v>495</v>
      </c>
      <c r="V2141">
        <f t="shared" si="1049"/>
        <v>493</v>
      </c>
      <c r="W2141" cm="1">
        <f t="array" ref="W2141">_xlfn._xlws.FILTER(shifts!A:A,(shifts!B:B=events!D2141)*(shifts!AH:AH&gt;=events!U2141)*(shifts!AI:AI&lt;=events!V2141))</f>
        <v>75</v>
      </c>
      <c r="X2141" t="str">
        <f t="shared" si="1050"/>
        <v>event_team_player_1</v>
      </c>
      <c r="Y2141">
        <f>COUNTIFS(A$3:A2141,"="&amp;A2141,K$3:K2141,"="&amp;K2141)</f>
        <v>1</v>
      </c>
      <c r="Z2141" s="20">
        <f>SUMIFS(T$3:T2141,L$3:L2141,"=Intermission")+SUMIFS(T$3:T2141,L$3:L2141,"=Timeout")+SUMIFS(T$3:T2141,L$3:L2141,"=Clockstop")</f>
        <v>138</v>
      </c>
      <c r="AA2141">
        <f t="shared" si="1041"/>
        <v>2298</v>
      </c>
      <c r="AC2141">
        <f t="shared" si="1042"/>
        <v>2436</v>
      </c>
    </row>
    <row r="2142" spans="1:29" x14ac:dyDescent="0.2">
      <c r="A2142">
        <v>1152</v>
      </c>
      <c r="D2142">
        <f t="shared" si="1043"/>
        <v>3</v>
      </c>
      <c r="E2142">
        <v>8</v>
      </c>
      <c r="F2142" s="6" t="s">
        <v>447</v>
      </c>
      <c r="G2142">
        <v>8</v>
      </c>
      <c r="H2142" s="8" t="s">
        <v>317</v>
      </c>
      <c r="I2142" t="s">
        <v>178</v>
      </c>
      <c r="J2142">
        <v>27</v>
      </c>
      <c r="K2142" t="s">
        <v>489</v>
      </c>
      <c r="L2142" t="s">
        <v>15</v>
      </c>
      <c r="Q2142">
        <f t="shared" ref="Q2142:S2142" si="1073">Q2141</f>
        <v>18977</v>
      </c>
      <c r="R2142" t="str">
        <f t="shared" si="1073"/>
        <v>Velodrome</v>
      </c>
      <c r="S2142" t="str">
        <f t="shared" si="1073"/>
        <v>HollowBrook</v>
      </c>
      <c r="T2142" s="20">
        <f t="shared" si="1047"/>
        <v>2</v>
      </c>
      <c r="U2142">
        <f t="shared" si="1048"/>
        <v>495</v>
      </c>
      <c r="V2142">
        <f t="shared" si="1049"/>
        <v>493</v>
      </c>
      <c r="W2142" cm="1">
        <f t="array" ref="W2142">_xlfn._xlws.FILTER(shifts!A:A,(shifts!B:B=events!D2142)*(shifts!AH:AH&gt;=events!U2142)*(shifts!AI:AI&lt;=events!V2142))</f>
        <v>75</v>
      </c>
      <c r="X2142" t="str">
        <f t="shared" si="1050"/>
        <v>opp_team_player_1</v>
      </c>
      <c r="Y2142">
        <f>COUNTIFS(A$3:A2142,"="&amp;A2142,K$3:K2142,"="&amp;K2142)</f>
        <v>1</v>
      </c>
      <c r="Z2142" s="20">
        <f>SUMIFS(T$3:T2142,L$3:L2142,"=Intermission")+SUMIFS(T$3:T2142,L$3:L2142,"=Timeout")+SUMIFS(T$3:T2142,L$3:L2142,"=Clockstop")</f>
        <v>138</v>
      </c>
      <c r="AA2142">
        <f t="shared" si="1041"/>
        <v>2298</v>
      </c>
      <c r="AC2142">
        <f t="shared" si="1042"/>
        <v>2436</v>
      </c>
    </row>
    <row r="2143" spans="1:29" x14ac:dyDescent="0.2">
      <c r="A2143">
        <v>1153</v>
      </c>
      <c r="D2143">
        <f t="shared" si="1043"/>
        <v>3</v>
      </c>
      <c r="E2143">
        <v>8</v>
      </c>
      <c r="F2143" s="6" t="s">
        <v>317</v>
      </c>
      <c r="I2143" t="s">
        <v>178</v>
      </c>
      <c r="J2143">
        <v>42</v>
      </c>
      <c r="K2143" t="s">
        <v>488</v>
      </c>
      <c r="L2143" t="s">
        <v>7</v>
      </c>
      <c r="M2143" t="s">
        <v>198</v>
      </c>
      <c r="N2143" t="s">
        <v>53</v>
      </c>
      <c r="Q2143">
        <f t="shared" ref="Q2143:S2143" si="1074">Q2142</f>
        <v>18977</v>
      </c>
      <c r="R2143" t="str">
        <f t="shared" si="1074"/>
        <v>Velodrome</v>
      </c>
      <c r="S2143" t="str">
        <f t="shared" si="1074"/>
        <v>HollowBrook</v>
      </c>
      <c r="T2143" s="20">
        <f t="shared" si="1047"/>
        <v>0</v>
      </c>
      <c r="U2143">
        <f t="shared" si="1048"/>
        <v>493</v>
      </c>
      <c r="V2143">
        <f t="shared" si="1049"/>
        <v>493</v>
      </c>
      <c r="W2143" cm="1">
        <f t="array" ref="W2143">_xlfn._xlws.FILTER(shifts!A:A,(shifts!B:B=events!D2143)*(shifts!AH:AH&gt;=events!U2143)*(shifts!AI:AI&lt;=events!V2143))</f>
        <v>75</v>
      </c>
      <c r="X2143" t="str">
        <f t="shared" si="1050"/>
        <v>event_team_player_1</v>
      </c>
      <c r="Y2143">
        <f>COUNTIFS(A$3:A2143,"="&amp;A2143,K$3:K2143,"="&amp;K2143)</f>
        <v>1</v>
      </c>
      <c r="Z2143" s="20">
        <f>SUMIFS(T$3:T2143,L$3:L2143,"=Intermission")+SUMIFS(T$3:T2143,L$3:L2143,"=Timeout")+SUMIFS(T$3:T2143,L$3:L2143,"=Clockstop")</f>
        <v>138</v>
      </c>
      <c r="AA2143">
        <f t="shared" si="1041"/>
        <v>2298</v>
      </c>
      <c r="AC2143">
        <f t="shared" si="1042"/>
        <v>2436</v>
      </c>
    </row>
    <row r="2144" spans="1:29" x14ac:dyDescent="0.2">
      <c r="A2144">
        <v>1153</v>
      </c>
      <c r="D2144">
        <f t="shared" si="1043"/>
        <v>3</v>
      </c>
      <c r="E2144">
        <v>8</v>
      </c>
      <c r="F2144" s="6" t="s">
        <v>317</v>
      </c>
      <c r="I2144" t="s">
        <v>178</v>
      </c>
      <c r="J2144">
        <v>27</v>
      </c>
      <c r="K2144" t="s">
        <v>489</v>
      </c>
      <c r="L2144" t="s">
        <v>7</v>
      </c>
      <c r="M2144" t="s">
        <v>198</v>
      </c>
      <c r="N2144" t="s">
        <v>53</v>
      </c>
      <c r="Q2144">
        <f t="shared" ref="Q2144:S2144" si="1075">Q2143</f>
        <v>18977</v>
      </c>
      <c r="R2144" t="str">
        <f t="shared" si="1075"/>
        <v>Velodrome</v>
      </c>
      <c r="S2144" t="str">
        <f t="shared" si="1075"/>
        <v>HollowBrook</v>
      </c>
      <c r="T2144" s="20">
        <f t="shared" si="1047"/>
        <v>0</v>
      </c>
      <c r="U2144">
        <f t="shared" si="1048"/>
        <v>493</v>
      </c>
      <c r="V2144">
        <f t="shared" si="1049"/>
        <v>493</v>
      </c>
      <c r="W2144" cm="1">
        <f t="array" ref="W2144">_xlfn._xlws.FILTER(shifts!A:A,(shifts!B:B=events!D2144)*(shifts!AH:AH&gt;=events!U2144)*(shifts!AI:AI&lt;=events!V2144))</f>
        <v>75</v>
      </c>
      <c r="X2144" t="str">
        <f t="shared" si="1050"/>
        <v>opp_team_player_1</v>
      </c>
      <c r="Y2144">
        <f>COUNTIFS(A$3:A2144,"="&amp;A2144,K$3:K2144,"="&amp;K2144)</f>
        <v>1</v>
      </c>
      <c r="Z2144" s="20">
        <f>SUMIFS(T$3:T2144,L$3:L2144,"=Intermission")+SUMIFS(T$3:T2144,L$3:L2144,"=Timeout")+SUMIFS(T$3:T2144,L$3:L2144,"=Clockstop")</f>
        <v>138</v>
      </c>
      <c r="AA2144">
        <f t="shared" si="1041"/>
        <v>2298</v>
      </c>
      <c r="AC2144">
        <f t="shared" si="1042"/>
        <v>2436</v>
      </c>
    </row>
    <row r="2145" spans="1:29" x14ac:dyDescent="0.2">
      <c r="A2145">
        <v>1154</v>
      </c>
      <c r="D2145">
        <f t="shared" si="1043"/>
        <v>3</v>
      </c>
      <c r="E2145">
        <v>8</v>
      </c>
      <c r="F2145" s="6" t="s">
        <v>317</v>
      </c>
      <c r="I2145" t="s">
        <v>178</v>
      </c>
      <c r="J2145">
        <v>42</v>
      </c>
      <c r="K2145" t="s">
        <v>488</v>
      </c>
      <c r="L2145" t="s">
        <v>10</v>
      </c>
      <c r="M2145" t="s">
        <v>190</v>
      </c>
      <c r="N2145" t="s">
        <v>79</v>
      </c>
      <c r="Q2145">
        <f t="shared" ref="Q2145:S2145" si="1076">Q2144</f>
        <v>18977</v>
      </c>
      <c r="R2145" t="str">
        <f t="shared" si="1076"/>
        <v>Velodrome</v>
      </c>
      <c r="S2145" t="str">
        <f t="shared" si="1076"/>
        <v>HollowBrook</v>
      </c>
      <c r="T2145" s="20">
        <f t="shared" si="1047"/>
        <v>0</v>
      </c>
      <c r="U2145">
        <f t="shared" si="1048"/>
        <v>493</v>
      </c>
      <c r="V2145">
        <f t="shared" si="1049"/>
        <v>493</v>
      </c>
      <c r="W2145" cm="1">
        <f t="array" ref="W2145">_xlfn._xlws.FILTER(shifts!A:A,(shifts!B:B=events!D2145)*(shifts!AH:AH&gt;=events!U2145)*(shifts!AI:AI&lt;=events!V2145))</f>
        <v>75</v>
      </c>
      <c r="X2145" t="str">
        <f t="shared" si="1050"/>
        <v>event_team_player_1</v>
      </c>
      <c r="Y2145">
        <f>COUNTIFS(A$3:A2145,"="&amp;A2145,K$3:K2145,"="&amp;K2145)</f>
        <v>1</v>
      </c>
      <c r="Z2145" s="20">
        <f>SUMIFS(T$3:T2145,L$3:L2145,"=Intermission")+SUMIFS(T$3:T2145,L$3:L2145,"=Timeout")+SUMIFS(T$3:T2145,L$3:L2145,"=Clockstop")</f>
        <v>138</v>
      </c>
      <c r="AA2145">
        <f t="shared" si="1041"/>
        <v>2298</v>
      </c>
      <c r="AC2145">
        <f t="shared" si="1042"/>
        <v>2436</v>
      </c>
    </row>
    <row r="2146" spans="1:29" x14ac:dyDescent="0.2">
      <c r="A2146">
        <v>1155</v>
      </c>
      <c r="D2146">
        <f t="shared" si="1043"/>
        <v>3</v>
      </c>
      <c r="E2146">
        <v>8</v>
      </c>
      <c r="F2146" s="6" t="s">
        <v>317</v>
      </c>
      <c r="I2146" t="s">
        <v>179</v>
      </c>
      <c r="J2146">
        <v>40</v>
      </c>
      <c r="K2146" t="s">
        <v>488</v>
      </c>
      <c r="L2146" t="s">
        <v>10</v>
      </c>
      <c r="M2146" t="s">
        <v>190</v>
      </c>
      <c r="N2146" t="s">
        <v>479</v>
      </c>
      <c r="Q2146">
        <f t="shared" ref="Q2146:S2146" si="1077">Q2145</f>
        <v>18977</v>
      </c>
      <c r="R2146" t="str">
        <f t="shared" si="1077"/>
        <v>Velodrome</v>
      </c>
      <c r="S2146" t="str">
        <f t="shared" si="1077"/>
        <v>HollowBrook</v>
      </c>
      <c r="T2146" s="20">
        <f t="shared" si="1047"/>
        <v>0</v>
      </c>
      <c r="U2146">
        <f t="shared" si="1048"/>
        <v>493</v>
      </c>
      <c r="V2146">
        <f t="shared" si="1049"/>
        <v>493</v>
      </c>
      <c r="W2146" cm="1">
        <f t="array" ref="W2146">_xlfn._xlws.FILTER(shifts!A:A,(shifts!B:B=events!D2146)*(shifts!AH:AH&gt;=events!U2146)*(shifts!AI:AI&lt;=events!V2146))</f>
        <v>75</v>
      </c>
      <c r="X2146" t="str">
        <f t="shared" si="1050"/>
        <v>event_team_player_1</v>
      </c>
      <c r="Y2146">
        <f>COUNTIFS(A$3:A2146,"="&amp;A2146,K$3:K2146,"="&amp;K2146)</f>
        <v>1</v>
      </c>
      <c r="Z2146" s="20">
        <f>SUMIFS(T$3:T2146,L$3:L2146,"=Intermission")+SUMIFS(T$3:T2146,L$3:L2146,"=Timeout")+SUMIFS(T$3:T2146,L$3:L2146,"=Clockstop")</f>
        <v>138</v>
      </c>
      <c r="AA2146">
        <f t="shared" si="1041"/>
        <v>2298</v>
      </c>
      <c r="AC2146">
        <f t="shared" si="1042"/>
        <v>2436</v>
      </c>
    </row>
    <row r="2147" spans="1:29" x14ac:dyDescent="0.2">
      <c r="A2147">
        <v>1156</v>
      </c>
      <c r="D2147">
        <f t="shared" si="1043"/>
        <v>3</v>
      </c>
      <c r="E2147">
        <v>8</v>
      </c>
      <c r="F2147" s="6" t="s">
        <v>309</v>
      </c>
      <c r="I2147" t="s">
        <v>178</v>
      </c>
      <c r="J2147">
        <v>42</v>
      </c>
      <c r="K2147" t="s">
        <v>488</v>
      </c>
      <c r="L2147" t="s">
        <v>277</v>
      </c>
      <c r="M2147" t="s">
        <v>210</v>
      </c>
      <c r="N2147" t="s">
        <v>93</v>
      </c>
      <c r="Q2147">
        <f t="shared" ref="Q2147:S2147" si="1078">Q2146</f>
        <v>18977</v>
      </c>
      <c r="R2147" t="str">
        <f t="shared" si="1078"/>
        <v>Velodrome</v>
      </c>
      <c r="S2147" t="str">
        <f t="shared" si="1078"/>
        <v>HollowBrook</v>
      </c>
      <c r="T2147" s="20">
        <f t="shared" si="1047"/>
        <v>0</v>
      </c>
      <c r="U2147">
        <f t="shared" si="1048"/>
        <v>487</v>
      </c>
      <c r="V2147">
        <f t="shared" si="1049"/>
        <v>487</v>
      </c>
      <c r="W2147" cm="1">
        <f t="array" ref="W2147">_xlfn._xlws.FILTER(shifts!A:A,(shifts!B:B=events!D2147)*(shifts!AH:AH&gt;=events!U2147)*(shifts!AI:AI&lt;=events!V2147))</f>
        <v>75</v>
      </c>
      <c r="X2147" t="str">
        <f t="shared" si="1050"/>
        <v>event_team_player_1</v>
      </c>
      <c r="Y2147">
        <f>COUNTIFS(A$3:A2147,"="&amp;A2147,K$3:K2147,"="&amp;K2147)</f>
        <v>1</v>
      </c>
      <c r="Z2147" s="20">
        <f>SUMIFS(T$3:T2147,L$3:L2147,"=Intermission")+SUMIFS(T$3:T2147,L$3:L2147,"=Timeout")+SUMIFS(T$3:T2147,L$3:L2147,"=Clockstop")</f>
        <v>138</v>
      </c>
      <c r="AA2147">
        <f t="shared" si="1041"/>
        <v>2298</v>
      </c>
      <c r="AC2147">
        <f t="shared" si="1042"/>
        <v>2436</v>
      </c>
    </row>
    <row r="2148" spans="1:29" x14ac:dyDescent="0.2">
      <c r="A2148">
        <v>1157</v>
      </c>
      <c r="D2148">
        <f t="shared" si="1043"/>
        <v>3</v>
      </c>
      <c r="E2148">
        <v>8</v>
      </c>
      <c r="F2148" s="6" t="s">
        <v>309</v>
      </c>
      <c r="G2148">
        <v>8</v>
      </c>
      <c r="H2148" s="8" t="s">
        <v>315</v>
      </c>
      <c r="I2148" t="s">
        <v>178</v>
      </c>
      <c r="J2148">
        <v>42</v>
      </c>
      <c r="K2148" t="s">
        <v>488</v>
      </c>
      <c r="L2148" t="s">
        <v>15</v>
      </c>
      <c r="Q2148">
        <f t="shared" ref="Q2148:S2148" si="1079">Q2147</f>
        <v>18977</v>
      </c>
      <c r="R2148" t="str">
        <f t="shared" si="1079"/>
        <v>Velodrome</v>
      </c>
      <c r="S2148" t="str">
        <f t="shared" si="1079"/>
        <v>HollowBrook</v>
      </c>
      <c r="T2148" s="20">
        <f t="shared" si="1047"/>
        <v>2</v>
      </c>
      <c r="U2148">
        <f t="shared" si="1048"/>
        <v>487</v>
      </c>
      <c r="V2148">
        <f t="shared" si="1049"/>
        <v>485</v>
      </c>
      <c r="W2148" cm="1">
        <f t="array" ref="W2148">_xlfn._xlws.FILTER(shifts!A:A,(shifts!B:B=events!D2148)*(shifts!AH:AH&gt;=events!U2148)*(shifts!AI:AI&lt;=events!V2148))</f>
        <v>75</v>
      </c>
      <c r="X2148" t="str">
        <f t="shared" si="1050"/>
        <v>event_team_player_1</v>
      </c>
      <c r="Y2148">
        <f>COUNTIFS(A$3:A2148,"="&amp;A2148,K$3:K2148,"="&amp;K2148)</f>
        <v>1</v>
      </c>
      <c r="Z2148" s="20">
        <f>SUMIFS(T$3:T2148,L$3:L2148,"=Intermission")+SUMIFS(T$3:T2148,L$3:L2148,"=Timeout")+SUMIFS(T$3:T2148,L$3:L2148,"=Clockstop")</f>
        <v>138</v>
      </c>
      <c r="AA2148">
        <f t="shared" si="1041"/>
        <v>2298</v>
      </c>
      <c r="AC2148">
        <f t="shared" si="1042"/>
        <v>2436</v>
      </c>
    </row>
    <row r="2149" spans="1:29" x14ac:dyDescent="0.2">
      <c r="A2149">
        <v>1158</v>
      </c>
      <c r="D2149">
        <f t="shared" si="1043"/>
        <v>3</v>
      </c>
      <c r="E2149">
        <v>8</v>
      </c>
      <c r="F2149" s="6" t="s">
        <v>315</v>
      </c>
      <c r="G2149">
        <v>8</v>
      </c>
      <c r="H2149" s="8" t="s">
        <v>310</v>
      </c>
      <c r="I2149" t="s">
        <v>178</v>
      </c>
      <c r="J2149">
        <v>42</v>
      </c>
      <c r="K2149" t="s">
        <v>488</v>
      </c>
      <c r="L2149" t="s">
        <v>15</v>
      </c>
      <c r="Q2149">
        <f t="shared" ref="Q2149:S2149" si="1080">Q2148</f>
        <v>18977</v>
      </c>
      <c r="R2149" t="str">
        <f t="shared" si="1080"/>
        <v>Velodrome</v>
      </c>
      <c r="S2149" t="str">
        <f t="shared" si="1080"/>
        <v>HollowBrook</v>
      </c>
      <c r="T2149" s="20">
        <f t="shared" si="1047"/>
        <v>1</v>
      </c>
      <c r="U2149">
        <f t="shared" si="1048"/>
        <v>485</v>
      </c>
      <c r="V2149">
        <f t="shared" si="1049"/>
        <v>484</v>
      </c>
      <c r="W2149" cm="1">
        <f t="array" ref="W2149">_xlfn._xlws.FILTER(shifts!A:A,(shifts!B:B=events!D2149)*(shifts!AH:AH&gt;=events!U2149)*(shifts!AI:AI&lt;=events!V2149))</f>
        <v>75</v>
      </c>
      <c r="X2149" t="str">
        <f t="shared" si="1050"/>
        <v>event_team_player_1</v>
      </c>
      <c r="Y2149">
        <f>COUNTIFS(A$3:A2149,"="&amp;A2149,K$3:K2149,"="&amp;K2149)</f>
        <v>1</v>
      </c>
      <c r="Z2149" s="20">
        <f>SUMIFS(T$3:T2149,L$3:L2149,"=Intermission")+SUMIFS(T$3:T2149,L$3:L2149,"=Timeout")+SUMIFS(T$3:T2149,L$3:L2149,"=Clockstop")</f>
        <v>138</v>
      </c>
      <c r="AA2149">
        <f t="shared" si="1041"/>
        <v>2298</v>
      </c>
      <c r="AC2149">
        <f t="shared" si="1042"/>
        <v>2436</v>
      </c>
    </row>
    <row r="2150" spans="1:29" x14ac:dyDescent="0.2">
      <c r="A2150">
        <v>1159</v>
      </c>
      <c r="D2150">
        <f t="shared" si="1043"/>
        <v>3</v>
      </c>
      <c r="E2150">
        <v>8</v>
      </c>
      <c r="F2150" s="6" t="s">
        <v>310</v>
      </c>
      <c r="I2150" t="s">
        <v>178</v>
      </c>
      <c r="J2150">
        <v>42</v>
      </c>
      <c r="K2150" t="s">
        <v>488</v>
      </c>
      <c r="L2150" t="s">
        <v>7</v>
      </c>
      <c r="M2150" t="s">
        <v>208</v>
      </c>
      <c r="N2150" t="s">
        <v>53</v>
      </c>
      <c r="Q2150">
        <f t="shared" ref="Q2150:S2150" si="1081">Q2149</f>
        <v>18977</v>
      </c>
      <c r="R2150" t="str">
        <f t="shared" si="1081"/>
        <v>Velodrome</v>
      </c>
      <c r="S2150" t="str">
        <f t="shared" si="1081"/>
        <v>HollowBrook</v>
      </c>
      <c r="T2150" s="20">
        <f t="shared" si="1047"/>
        <v>0</v>
      </c>
      <c r="U2150">
        <f t="shared" si="1048"/>
        <v>484</v>
      </c>
      <c r="V2150">
        <f t="shared" si="1049"/>
        <v>484</v>
      </c>
      <c r="W2150" cm="1">
        <f t="array" ref="W2150">_xlfn._xlws.FILTER(shifts!A:A,(shifts!B:B=events!D2150)*(shifts!AH:AH&gt;=events!U2150)*(shifts!AI:AI&lt;=events!V2150))</f>
        <v>75</v>
      </c>
      <c r="X2150" t="str">
        <f t="shared" si="1050"/>
        <v>event_team_player_1</v>
      </c>
      <c r="Y2150">
        <f>COUNTIFS(A$3:A2150,"="&amp;A2150,K$3:K2150,"="&amp;K2150)</f>
        <v>1</v>
      </c>
      <c r="Z2150" s="20">
        <f>SUMIFS(T$3:T2150,L$3:L2150,"=Intermission")+SUMIFS(T$3:T2150,L$3:L2150,"=Timeout")+SUMIFS(T$3:T2150,L$3:L2150,"=Clockstop")</f>
        <v>138</v>
      </c>
      <c r="AA2150">
        <f t="shared" si="1041"/>
        <v>2298</v>
      </c>
      <c r="AC2150">
        <f t="shared" si="1042"/>
        <v>2436</v>
      </c>
    </row>
    <row r="2151" spans="1:29" x14ac:dyDescent="0.2">
      <c r="A2151">
        <v>1159</v>
      </c>
      <c r="D2151">
        <f t="shared" si="1043"/>
        <v>3</v>
      </c>
      <c r="E2151">
        <v>8</v>
      </c>
      <c r="F2151" s="6" t="s">
        <v>310</v>
      </c>
      <c r="I2151" t="s">
        <v>178</v>
      </c>
      <c r="J2151">
        <v>27</v>
      </c>
      <c r="K2151" t="s">
        <v>489</v>
      </c>
      <c r="L2151" t="s">
        <v>7</v>
      </c>
      <c r="M2151" t="s">
        <v>208</v>
      </c>
      <c r="N2151" t="s">
        <v>53</v>
      </c>
      <c r="Q2151">
        <f t="shared" ref="Q2151:S2151" si="1082">Q2150</f>
        <v>18977</v>
      </c>
      <c r="R2151" t="str">
        <f t="shared" si="1082"/>
        <v>Velodrome</v>
      </c>
      <c r="S2151" t="str">
        <f t="shared" si="1082"/>
        <v>HollowBrook</v>
      </c>
      <c r="T2151" s="20">
        <f t="shared" si="1047"/>
        <v>0</v>
      </c>
      <c r="U2151">
        <f t="shared" si="1048"/>
        <v>484</v>
      </c>
      <c r="V2151">
        <f t="shared" si="1049"/>
        <v>484</v>
      </c>
      <c r="W2151" cm="1">
        <f t="array" ref="W2151">_xlfn._xlws.FILTER(shifts!A:A,(shifts!B:B=events!D2151)*(shifts!AH:AH&gt;=events!U2151)*(shifts!AI:AI&lt;=events!V2151))</f>
        <v>75</v>
      </c>
      <c r="X2151" t="str">
        <f t="shared" si="1050"/>
        <v>opp_team_player_1</v>
      </c>
      <c r="Y2151">
        <f>COUNTIFS(A$3:A2151,"="&amp;A2151,K$3:K2151,"="&amp;K2151)</f>
        <v>1</v>
      </c>
      <c r="Z2151" s="20">
        <f>SUMIFS(T$3:T2151,L$3:L2151,"=Intermission")+SUMIFS(T$3:T2151,L$3:L2151,"=Timeout")+SUMIFS(T$3:T2151,L$3:L2151,"=Clockstop")</f>
        <v>138</v>
      </c>
      <c r="AA2151">
        <f t="shared" si="1041"/>
        <v>2298</v>
      </c>
      <c r="AC2151">
        <f t="shared" si="1042"/>
        <v>2436</v>
      </c>
    </row>
    <row r="2152" spans="1:29" x14ac:dyDescent="0.2">
      <c r="A2152">
        <v>1160</v>
      </c>
      <c r="D2152">
        <f t="shared" si="1043"/>
        <v>3</v>
      </c>
      <c r="E2152">
        <v>8</v>
      </c>
      <c r="F2152" s="6" t="s">
        <v>426</v>
      </c>
      <c r="I2152" t="s">
        <v>178</v>
      </c>
      <c r="J2152">
        <v>49</v>
      </c>
      <c r="K2152" t="s">
        <v>488</v>
      </c>
      <c r="L2152" t="s">
        <v>8</v>
      </c>
      <c r="M2152" t="s">
        <v>189</v>
      </c>
      <c r="N2152" t="s">
        <v>70</v>
      </c>
      <c r="Q2152">
        <f t="shared" ref="Q2152:S2152" si="1083">Q2151</f>
        <v>18977</v>
      </c>
      <c r="R2152" t="str">
        <f t="shared" si="1083"/>
        <v>Velodrome</v>
      </c>
      <c r="S2152" t="str">
        <f t="shared" si="1083"/>
        <v>HollowBrook</v>
      </c>
      <c r="T2152" s="20">
        <f t="shared" si="1047"/>
        <v>0</v>
      </c>
      <c r="U2152">
        <f t="shared" si="1048"/>
        <v>480</v>
      </c>
      <c r="V2152">
        <f t="shared" si="1049"/>
        <v>480</v>
      </c>
      <c r="W2152" cm="1">
        <f t="array" ref="W2152">_xlfn._xlws.FILTER(shifts!A:A,(shifts!B:B=events!D2152)*(shifts!AH:AH&gt;=events!U2152)*(shifts!AI:AI&lt;=events!V2152))</f>
        <v>75</v>
      </c>
      <c r="X2152" t="str">
        <f t="shared" si="1050"/>
        <v>event_team_player_1</v>
      </c>
      <c r="Y2152">
        <f>COUNTIFS(A$3:A2152,"="&amp;A2152,K$3:K2152,"="&amp;K2152)</f>
        <v>1</v>
      </c>
      <c r="Z2152" s="20">
        <f>SUMIFS(T$3:T2152,L$3:L2152,"=Intermission")+SUMIFS(T$3:T2152,L$3:L2152,"=Timeout")+SUMIFS(T$3:T2152,L$3:L2152,"=Clockstop")</f>
        <v>138</v>
      </c>
      <c r="AA2152">
        <f t="shared" si="1041"/>
        <v>2298</v>
      </c>
      <c r="AC2152">
        <f t="shared" si="1042"/>
        <v>2436</v>
      </c>
    </row>
    <row r="2153" spans="1:29" x14ac:dyDescent="0.2">
      <c r="A2153">
        <v>1160</v>
      </c>
      <c r="D2153">
        <f t="shared" si="1043"/>
        <v>3</v>
      </c>
      <c r="E2153">
        <v>8</v>
      </c>
      <c r="F2153" s="6" t="s">
        <v>426</v>
      </c>
      <c r="I2153" t="s">
        <v>178</v>
      </c>
      <c r="J2153">
        <v>9</v>
      </c>
      <c r="K2153" t="s">
        <v>488</v>
      </c>
      <c r="L2153" t="s">
        <v>8</v>
      </c>
      <c r="M2153" t="s">
        <v>189</v>
      </c>
      <c r="N2153" t="s">
        <v>70</v>
      </c>
      <c r="Q2153">
        <f t="shared" ref="Q2153:S2153" si="1084">Q2152</f>
        <v>18977</v>
      </c>
      <c r="R2153" t="str">
        <f t="shared" si="1084"/>
        <v>Velodrome</v>
      </c>
      <c r="S2153" t="str">
        <f t="shared" si="1084"/>
        <v>HollowBrook</v>
      </c>
      <c r="T2153" s="20">
        <f t="shared" si="1047"/>
        <v>0</v>
      </c>
      <c r="U2153">
        <f t="shared" si="1048"/>
        <v>480</v>
      </c>
      <c r="V2153">
        <f t="shared" si="1049"/>
        <v>480</v>
      </c>
      <c r="W2153" cm="1">
        <f t="array" ref="W2153">_xlfn._xlws.FILTER(shifts!A:A,(shifts!B:B=events!D2153)*(shifts!AH:AH&gt;=events!U2153)*(shifts!AI:AI&lt;=events!V2153))</f>
        <v>75</v>
      </c>
      <c r="X2153" t="str">
        <f t="shared" si="1050"/>
        <v>event_team_player_2</v>
      </c>
      <c r="Y2153">
        <f>COUNTIFS(A$3:A2153,"="&amp;A2153,K$3:K2153,"="&amp;K2153)</f>
        <v>2</v>
      </c>
      <c r="Z2153" s="20">
        <f>SUMIFS(T$3:T2153,L$3:L2153,"=Intermission")+SUMIFS(T$3:T2153,L$3:L2153,"=Timeout")+SUMIFS(T$3:T2153,L$3:L2153,"=Clockstop")</f>
        <v>138</v>
      </c>
      <c r="AA2153">
        <f t="shared" si="1041"/>
        <v>2298</v>
      </c>
      <c r="AC2153">
        <f t="shared" si="1042"/>
        <v>2436</v>
      </c>
    </row>
    <row r="2154" spans="1:29" x14ac:dyDescent="0.2">
      <c r="A2154">
        <v>1160</v>
      </c>
      <c r="D2154">
        <f t="shared" si="1043"/>
        <v>3</v>
      </c>
      <c r="E2154">
        <v>8</v>
      </c>
      <c r="F2154" s="6" t="s">
        <v>426</v>
      </c>
      <c r="I2154" t="s">
        <v>178</v>
      </c>
      <c r="J2154">
        <v>26</v>
      </c>
      <c r="K2154" t="s">
        <v>489</v>
      </c>
      <c r="L2154" t="s">
        <v>8</v>
      </c>
      <c r="M2154" t="s">
        <v>189</v>
      </c>
      <c r="N2154" t="s">
        <v>70</v>
      </c>
      <c r="Q2154">
        <f t="shared" ref="Q2154:S2154" si="1085">Q2153</f>
        <v>18977</v>
      </c>
      <c r="R2154" t="str">
        <f t="shared" si="1085"/>
        <v>Velodrome</v>
      </c>
      <c r="S2154" t="str">
        <f t="shared" si="1085"/>
        <v>HollowBrook</v>
      </c>
      <c r="T2154" s="20">
        <f t="shared" si="1047"/>
        <v>0</v>
      </c>
      <c r="U2154">
        <f t="shared" si="1048"/>
        <v>480</v>
      </c>
      <c r="V2154">
        <f t="shared" si="1049"/>
        <v>480</v>
      </c>
      <c r="W2154" cm="1">
        <f t="array" ref="W2154">_xlfn._xlws.FILTER(shifts!A:A,(shifts!B:B=events!D2154)*(shifts!AH:AH&gt;=events!U2154)*(shifts!AI:AI&lt;=events!V2154))</f>
        <v>75</v>
      </c>
      <c r="X2154" t="str">
        <f t="shared" si="1050"/>
        <v>opp_team_player_1</v>
      </c>
      <c r="Y2154">
        <f>COUNTIFS(A$3:A2154,"="&amp;A2154,K$3:K2154,"="&amp;K2154)</f>
        <v>1</v>
      </c>
      <c r="Z2154" s="20">
        <f>SUMIFS(T$3:T2154,L$3:L2154,"=Intermission")+SUMIFS(T$3:T2154,L$3:L2154,"=Timeout")+SUMIFS(T$3:T2154,L$3:L2154,"=Clockstop")</f>
        <v>138</v>
      </c>
      <c r="AA2154">
        <f t="shared" si="1041"/>
        <v>2298</v>
      </c>
      <c r="AC2154">
        <f t="shared" si="1042"/>
        <v>2436</v>
      </c>
    </row>
    <row r="2155" spans="1:29" x14ac:dyDescent="0.2">
      <c r="A2155">
        <v>1161</v>
      </c>
      <c r="D2155">
        <f t="shared" si="1043"/>
        <v>3</v>
      </c>
      <c r="E2155">
        <v>8</v>
      </c>
      <c r="F2155" s="6" t="s">
        <v>426</v>
      </c>
      <c r="G2155">
        <v>7</v>
      </c>
      <c r="H2155" s="8" t="s">
        <v>462</v>
      </c>
      <c r="I2155" t="s">
        <v>178</v>
      </c>
      <c r="J2155">
        <v>9</v>
      </c>
      <c r="K2155" t="s">
        <v>488</v>
      </c>
      <c r="L2155" t="s">
        <v>15</v>
      </c>
      <c r="Q2155">
        <f t="shared" ref="Q2155:S2155" si="1086">Q2154</f>
        <v>18977</v>
      </c>
      <c r="R2155" t="str">
        <f t="shared" si="1086"/>
        <v>Velodrome</v>
      </c>
      <c r="S2155" t="str">
        <f t="shared" si="1086"/>
        <v>HollowBrook</v>
      </c>
      <c r="T2155" s="20">
        <f t="shared" si="1047"/>
        <v>2</v>
      </c>
      <c r="U2155">
        <f t="shared" si="1048"/>
        <v>480</v>
      </c>
      <c r="V2155">
        <f t="shared" si="1049"/>
        <v>478</v>
      </c>
      <c r="W2155" cm="1">
        <f t="array" ref="W2155">_xlfn._xlws.FILTER(shifts!A:A,(shifts!B:B=events!D2155)*(shifts!AH:AH&gt;=events!U2155)*(shifts!AI:AI&lt;=events!V2155))</f>
        <v>75</v>
      </c>
      <c r="X2155" t="str">
        <f t="shared" si="1050"/>
        <v>event_team_player_1</v>
      </c>
      <c r="Y2155">
        <f>COUNTIFS(A$3:A2155,"="&amp;A2155,K$3:K2155,"="&amp;K2155)</f>
        <v>1</v>
      </c>
      <c r="Z2155" s="20">
        <f>SUMIFS(T$3:T2155,L$3:L2155,"=Intermission")+SUMIFS(T$3:T2155,L$3:L2155,"=Timeout")+SUMIFS(T$3:T2155,L$3:L2155,"=Clockstop")</f>
        <v>138</v>
      </c>
      <c r="AA2155">
        <f t="shared" si="1041"/>
        <v>2298</v>
      </c>
      <c r="AC2155">
        <f t="shared" si="1042"/>
        <v>2436</v>
      </c>
    </row>
    <row r="2156" spans="1:29" x14ac:dyDescent="0.2">
      <c r="A2156">
        <v>1162</v>
      </c>
      <c r="D2156">
        <f t="shared" si="1043"/>
        <v>3</v>
      </c>
      <c r="E2156">
        <v>7</v>
      </c>
      <c r="F2156" s="6" t="s">
        <v>462</v>
      </c>
      <c r="I2156" t="s">
        <v>178</v>
      </c>
      <c r="J2156">
        <v>9</v>
      </c>
      <c r="K2156" t="s">
        <v>488</v>
      </c>
      <c r="L2156" t="s">
        <v>7</v>
      </c>
      <c r="M2156" t="s">
        <v>222</v>
      </c>
      <c r="N2156" t="s">
        <v>53</v>
      </c>
      <c r="Q2156">
        <f t="shared" ref="Q2156:S2156" si="1087">Q2155</f>
        <v>18977</v>
      </c>
      <c r="R2156" t="str">
        <f t="shared" si="1087"/>
        <v>Velodrome</v>
      </c>
      <c r="S2156" t="str">
        <f t="shared" si="1087"/>
        <v>HollowBrook</v>
      </c>
      <c r="T2156" s="20">
        <f t="shared" si="1047"/>
        <v>0</v>
      </c>
      <c r="U2156">
        <f t="shared" si="1048"/>
        <v>478</v>
      </c>
      <c r="V2156">
        <f t="shared" si="1049"/>
        <v>478</v>
      </c>
      <c r="W2156" cm="1">
        <f t="array" ref="W2156">_xlfn._xlws.FILTER(shifts!A:A,(shifts!B:B=events!D2156)*(shifts!AH:AH&gt;=events!U2156)*(shifts!AI:AI&lt;=events!V2156))</f>
        <v>75</v>
      </c>
      <c r="X2156" t="str">
        <f t="shared" si="1050"/>
        <v>event_team_player_1</v>
      </c>
      <c r="Y2156">
        <f>COUNTIFS(A$3:A2156,"="&amp;A2156,K$3:K2156,"="&amp;K2156)</f>
        <v>1</v>
      </c>
      <c r="Z2156" s="20">
        <f>SUMIFS(T$3:T2156,L$3:L2156,"=Intermission")+SUMIFS(T$3:T2156,L$3:L2156,"=Timeout")+SUMIFS(T$3:T2156,L$3:L2156,"=Clockstop")</f>
        <v>138</v>
      </c>
      <c r="AA2156">
        <f t="shared" si="1041"/>
        <v>2298</v>
      </c>
      <c r="AC2156">
        <f t="shared" si="1042"/>
        <v>2436</v>
      </c>
    </row>
    <row r="2157" spans="1:29" x14ac:dyDescent="0.2">
      <c r="A2157">
        <v>1162</v>
      </c>
      <c r="D2157">
        <f t="shared" si="1043"/>
        <v>3</v>
      </c>
      <c r="E2157">
        <v>7</v>
      </c>
      <c r="F2157" s="6" t="s">
        <v>462</v>
      </c>
      <c r="I2157" t="s">
        <v>178</v>
      </c>
      <c r="J2157">
        <v>99</v>
      </c>
      <c r="K2157" t="s">
        <v>489</v>
      </c>
      <c r="L2157" t="s">
        <v>7</v>
      </c>
      <c r="M2157" t="s">
        <v>222</v>
      </c>
      <c r="N2157" t="s">
        <v>53</v>
      </c>
      <c r="Q2157">
        <f t="shared" ref="Q2157:S2157" si="1088">Q2156</f>
        <v>18977</v>
      </c>
      <c r="R2157" t="str">
        <f t="shared" si="1088"/>
        <v>Velodrome</v>
      </c>
      <c r="S2157" t="str">
        <f t="shared" si="1088"/>
        <v>HollowBrook</v>
      </c>
      <c r="T2157" s="20">
        <f t="shared" si="1047"/>
        <v>0</v>
      </c>
      <c r="U2157">
        <f t="shared" si="1048"/>
        <v>478</v>
      </c>
      <c r="V2157">
        <f t="shared" si="1049"/>
        <v>478</v>
      </c>
      <c r="W2157" cm="1">
        <f t="array" ref="W2157">_xlfn._xlws.FILTER(shifts!A:A,(shifts!B:B=events!D2157)*(shifts!AH:AH&gt;=events!U2157)*(shifts!AI:AI&lt;=events!V2157))</f>
        <v>75</v>
      </c>
      <c r="X2157" t="str">
        <f t="shared" si="1050"/>
        <v>opp_team_player_1</v>
      </c>
      <c r="Y2157">
        <f>COUNTIFS(A$3:A2157,"="&amp;A2157,K$3:K2157,"="&amp;K2157)</f>
        <v>1</v>
      </c>
      <c r="Z2157" s="20">
        <f>SUMIFS(T$3:T2157,L$3:L2157,"=Intermission")+SUMIFS(T$3:T2157,L$3:L2157,"=Timeout")+SUMIFS(T$3:T2157,L$3:L2157,"=Clockstop")</f>
        <v>138</v>
      </c>
      <c r="AA2157">
        <f t="shared" si="1041"/>
        <v>2298</v>
      </c>
      <c r="AC2157">
        <f t="shared" si="1042"/>
        <v>2436</v>
      </c>
    </row>
    <row r="2158" spans="1:29" x14ac:dyDescent="0.2">
      <c r="A2158">
        <v>1163</v>
      </c>
      <c r="D2158">
        <f t="shared" si="1043"/>
        <v>3</v>
      </c>
      <c r="E2158">
        <v>7</v>
      </c>
      <c r="F2158" s="6" t="s">
        <v>462</v>
      </c>
      <c r="I2158" t="s">
        <v>179</v>
      </c>
      <c r="J2158">
        <v>99</v>
      </c>
      <c r="K2158" t="s">
        <v>488</v>
      </c>
      <c r="L2158" t="s">
        <v>17</v>
      </c>
      <c r="M2158" t="s">
        <v>196</v>
      </c>
      <c r="N2158" t="s">
        <v>102</v>
      </c>
      <c r="Q2158">
        <f t="shared" ref="Q2158:S2158" si="1089">Q2157</f>
        <v>18977</v>
      </c>
      <c r="R2158" t="str">
        <f t="shared" si="1089"/>
        <v>Velodrome</v>
      </c>
      <c r="S2158" t="str">
        <f t="shared" si="1089"/>
        <v>HollowBrook</v>
      </c>
      <c r="T2158" s="20">
        <f t="shared" si="1047"/>
        <v>0</v>
      </c>
      <c r="U2158">
        <f t="shared" si="1048"/>
        <v>478</v>
      </c>
      <c r="V2158">
        <f t="shared" si="1049"/>
        <v>478</v>
      </c>
      <c r="W2158" cm="1">
        <f t="array" ref="W2158">_xlfn._xlws.FILTER(shifts!A:A,(shifts!B:B=events!D2158)*(shifts!AH:AH&gt;=events!U2158)*(shifts!AI:AI&lt;=events!V2158))</f>
        <v>75</v>
      </c>
      <c r="X2158" t="str">
        <f t="shared" si="1050"/>
        <v>event_team_player_1</v>
      </c>
      <c r="Y2158">
        <f>COUNTIFS(A$3:A2158,"="&amp;A2158,K$3:K2158,"="&amp;K2158)</f>
        <v>1</v>
      </c>
      <c r="Z2158" s="20">
        <f>SUMIFS(T$3:T2158,L$3:L2158,"=Intermission")+SUMIFS(T$3:T2158,L$3:L2158,"=Timeout")+SUMIFS(T$3:T2158,L$3:L2158,"=Clockstop")</f>
        <v>138</v>
      </c>
      <c r="AA2158">
        <f t="shared" si="1041"/>
        <v>2298</v>
      </c>
      <c r="AC2158">
        <f t="shared" si="1042"/>
        <v>2436</v>
      </c>
    </row>
    <row r="2159" spans="1:29" x14ac:dyDescent="0.2">
      <c r="A2159">
        <v>1163</v>
      </c>
      <c r="D2159">
        <f t="shared" si="1043"/>
        <v>3</v>
      </c>
      <c r="E2159">
        <v>7</v>
      </c>
      <c r="F2159" s="6" t="s">
        <v>462</v>
      </c>
      <c r="I2159" t="s">
        <v>179</v>
      </c>
      <c r="J2159">
        <v>9</v>
      </c>
      <c r="K2159" t="s">
        <v>489</v>
      </c>
      <c r="L2159" t="s">
        <v>17</v>
      </c>
      <c r="M2159" t="s">
        <v>196</v>
      </c>
      <c r="N2159" t="s">
        <v>102</v>
      </c>
      <c r="Q2159">
        <f t="shared" ref="Q2159:S2159" si="1090">Q2158</f>
        <v>18977</v>
      </c>
      <c r="R2159" t="str">
        <f t="shared" si="1090"/>
        <v>Velodrome</v>
      </c>
      <c r="S2159" t="str">
        <f t="shared" si="1090"/>
        <v>HollowBrook</v>
      </c>
      <c r="T2159" s="20">
        <f t="shared" si="1047"/>
        <v>0</v>
      </c>
      <c r="U2159">
        <f t="shared" si="1048"/>
        <v>478</v>
      </c>
      <c r="V2159">
        <f t="shared" si="1049"/>
        <v>478</v>
      </c>
      <c r="W2159" cm="1">
        <f t="array" ref="W2159">_xlfn._xlws.FILTER(shifts!A:A,(shifts!B:B=events!D2159)*(shifts!AH:AH&gt;=events!U2159)*(shifts!AI:AI&lt;=events!V2159))</f>
        <v>75</v>
      </c>
      <c r="X2159" t="str">
        <f t="shared" si="1050"/>
        <v>opp_team_player_1</v>
      </c>
      <c r="Y2159">
        <f>COUNTIFS(A$3:A2159,"="&amp;A2159,K$3:K2159,"="&amp;K2159)</f>
        <v>1</v>
      </c>
      <c r="Z2159" s="20">
        <f>SUMIFS(T$3:T2159,L$3:L2159,"=Intermission")+SUMIFS(T$3:T2159,L$3:L2159,"=Timeout")+SUMIFS(T$3:T2159,L$3:L2159,"=Clockstop")</f>
        <v>138</v>
      </c>
      <c r="AA2159">
        <f t="shared" si="1041"/>
        <v>2298</v>
      </c>
      <c r="AC2159">
        <f t="shared" si="1042"/>
        <v>2436</v>
      </c>
    </row>
    <row r="2160" spans="1:29" x14ac:dyDescent="0.2">
      <c r="A2160">
        <v>1164</v>
      </c>
      <c r="D2160">
        <f t="shared" si="1043"/>
        <v>3</v>
      </c>
      <c r="E2160">
        <v>7</v>
      </c>
      <c r="F2160" s="6" t="s">
        <v>462</v>
      </c>
      <c r="I2160" t="s">
        <v>179</v>
      </c>
      <c r="J2160">
        <v>99</v>
      </c>
      <c r="K2160" t="s">
        <v>488</v>
      </c>
      <c r="L2160" t="s">
        <v>270</v>
      </c>
      <c r="M2160" t="s">
        <v>273</v>
      </c>
      <c r="Q2160">
        <f t="shared" ref="Q2160:S2160" si="1091">Q2159</f>
        <v>18977</v>
      </c>
      <c r="R2160" t="str">
        <f t="shared" si="1091"/>
        <v>Velodrome</v>
      </c>
      <c r="S2160" t="str">
        <f t="shared" si="1091"/>
        <v>HollowBrook</v>
      </c>
      <c r="T2160" s="20">
        <f t="shared" si="1047"/>
        <v>0</v>
      </c>
      <c r="U2160">
        <f t="shared" si="1048"/>
        <v>478</v>
      </c>
      <c r="V2160">
        <f t="shared" si="1049"/>
        <v>478</v>
      </c>
      <c r="W2160" cm="1">
        <f t="array" ref="W2160">_xlfn._xlws.FILTER(shifts!A:A,(shifts!B:B=events!D2160)*(shifts!AH:AH&gt;=events!U2160)*(shifts!AI:AI&lt;=events!V2160))</f>
        <v>75</v>
      </c>
      <c r="X2160" t="str">
        <f t="shared" si="1050"/>
        <v>event_team_player_1</v>
      </c>
      <c r="Y2160">
        <f>COUNTIFS(A$3:A2160,"="&amp;A2160,K$3:K2160,"="&amp;K2160)</f>
        <v>1</v>
      </c>
      <c r="Z2160" s="20">
        <f>SUMIFS(T$3:T2160,L$3:L2160,"=Intermission")+SUMIFS(T$3:T2160,L$3:L2160,"=Timeout")+SUMIFS(T$3:T2160,L$3:L2160,"=Clockstop")</f>
        <v>138</v>
      </c>
      <c r="AA2160">
        <f t="shared" si="1041"/>
        <v>2298</v>
      </c>
      <c r="AC2160">
        <f t="shared" si="1042"/>
        <v>2436</v>
      </c>
    </row>
    <row r="2161" spans="1:29" x14ac:dyDescent="0.2">
      <c r="A2161">
        <v>1165</v>
      </c>
      <c r="D2161">
        <f t="shared" si="1043"/>
        <v>3</v>
      </c>
      <c r="E2161">
        <v>7</v>
      </c>
      <c r="F2161" s="6" t="s">
        <v>429</v>
      </c>
      <c r="I2161" t="s">
        <v>178</v>
      </c>
      <c r="J2161">
        <v>75</v>
      </c>
      <c r="K2161" t="s">
        <v>488</v>
      </c>
      <c r="L2161" t="s">
        <v>7</v>
      </c>
      <c r="M2161" t="s">
        <v>222</v>
      </c>
      <c r="N2161" t="s">
        <v>53</v>
      </c>
      <c r="Q2161">
        <f t="shared" ref="Q2161:S2161" si="1092">Q2160</f>
        <v>18977</v>
      </c>
      <c r="R2161" t="str">
        <f t="shared" si="1092"/>
        <v>Velodrome</v>
      </c>
      <c r="S2161" t="str">
        <f t="shared" si="1092"/>
        <v>HollowBrook</v>
      </c>
      <c r="T2161" s="20">
        <f t="shared" si="1047"/>
        <v>0</v>
      </c>
      <c r="U2161">
        <f t="shared" si="1048"/>
        <v>475</v>
      </c>
      <c r="V2161">
        <f t="shared" si="1049"/>
        <v>475</v>
      </c>
      <c r="W2161" cm="1">
        <f t="array" ref="W2161">_xlfn._xlws.FILTER(shifts!A:A,(shifts!B:B=events!D2161)*(shifts!AH:AH&gt;=events!U2161)*(shifts!AI:AI&lt;=events!V2161))</f>
        <v>75</v>
      </c>
      <c r="X2161" t="str">
        <f t="shared" si="1050"/>
        <v>event_team_player_1</v>
      </c>
      <c r="Y2161">
        <f>COUNTIFS(A$3:A2161,"="&amp;A2161,K$3:K2161,"="&amp;K2161)</f>
        <v>1</v>
      </c>
      <c r="Z2161" s="20">
        <f>SUMIFS(T$3:T2161,L$3:L2161,"=Intermission")+SUMIFS(T$3:T2161,L$3:L2161,"=Timeout")+SUMIFS(T$3:T2161,L$3:L2161,"=Clockstop")</f>
        <v>138</v>
      </c>
      <c r="AA2161">
        <f t="shared" si="1041"/>
        <v>2298</v>
      </c>
      <c r="AC2161">
        <f t="shared" si="1042"/>
        <v>2436</v>
      </c>
    </row>
    <row r="2162" spans="1:29" x14ac:dyDescent="0.2">
      <c r="A2162">
        <v>1165</v>
      </c>
      <c r="D2162">
        <f t="shared" si="1043"/>
        <v>3</v>
      </c>
      <c r="E2162">
        <v>7</v>
      </c>
      <c r="F2162" s="6" t="s">
        <v>429</v>
      </c>
      <c r="I2162" t="s">
        <v>178</v>
      </c>
      <c r="J2162">
        <v>99</v>
      </c>
      <c r="K2162" t="s">
        <v>489</v>
      </c>
      <c r="L2162" t="s">
        <v>7</v>
      </c>
      <c r="M2162" t="s">
        <v>222</v>
      </c>
      <c r="N2162" t="s">
        <v>53</v>
      </c>
      <c r="Q2162">
        <f t="shared" ref="Q2162:S2162" si="1093">Q2161</f>
        <v>18977</v>
      </c>
      <c r="R2162" t="str">
        <f t="shared" si="1093"/>
        <v>Velodrome</v>
      </c>
      <c r="S2162" t="str">
        <f t="shared" si="1093"/>
        <v>HollowBrook</v>
      </c>
      <c r="T2162" s="20">
        <f t="shared" si="1047"/>
        <v>0</v>
      </c>
      <c r="U2162">
        <f t="shared" si="1048"/>
        <v>475</v>
      </c>
      <c r="V2162">
        <f t="shared" si="1049"/>
        <v>475</v>
      </c>
      <c r="W2162" cm="1">
        <f t="array" ref="W2162">_xlfn._xlws.FILTER(shifts!A:A,(shifts!B:B=events!D2162)*(shifts!AH:AH&gt;=events!U2162)*(shifts!AI:AI&lt;=events!V2162))</f>
        <v>75</v>
      </c>
      <c r="X2162" t="str">
        <f t="shared" si="1050"/>
        <v>opp_team_player_1</v>
      </c>
      <c r="Y2162">
        <f>COUNTIFS(A$3:A2162,"="&amp;A2162,K$3:K2162,"="&amp;K2162)</f>
        <v>1</v>
      </c>
      <c r="Z2162" s="20">
        <f>SUMIFS(T$3:T2162,L$3:L2162,"=Intermission")+SUMIFS(T$3:T2162,L$3:L2162,"=Timeout")+SUMIFS(T$3:T2162,L$3:L2162,"=Clockstop")</f>
        <v>138</v>
      </c>
      <c r="AA2162">
        <f t="shared" si="1041"/>
        <v>2298</v>
      </c>
      <c r="AC2162">
        <f t="shared" si="1042"/>
        <v>2436</v>
      </c>
    </row>
    <row r="2163" spans="1:29" x14ac:dyDescent="0.2">
      <c r="A2163">
        <v>1166</v>
      </c>
      <c r="D2163">
        <f t="shared" si="1043"/>
        <v>3</v>
      </c>
      <c r="E2163">
        <v>7</v>
      </c>
      <c r="F2163" s="6" t="s">
        <v>429</v>
      </c>
      <c r="I2163" t="s">
        <v>179</v>
      </c>
      <c r="J2163">
        <v>99</v>
      </c>
      <c r="K2163" t="s">
        <v>488</v>
      </c>
      <c r="L2163" t="s">
        <v>17</v>
      </c>
      <c r="M2163" t="s">
        <v>196</v>
      </c>
      <c r="N2163" t="s">
        <v>98</v>
      </c>
      <c r="Q2163">
        <f t="shared" ref="Q2163:S2163" si="1094">Q2162</f>
        <v>18977</v>
      </c>
      <c r="R2163" t="str">
        <f t="shared" si="1094"/>
        <v>Velodrome</v>
      </c>
      <c r="S2163" t="str">
        <f t="shared" si="1094"/>
        <v>HollowBrook</v>
      </c>
      <c r="T2163" s="20">
        <f t="shared" si="1047"/>
        <v>0</v>
      </c>
      <c r="U2163">
        <f t="shared" si="1048"/>
        <v>475</v>
      </c>
      <c r="V2163">
        <f t="shared" si="1049"/>
        <v>475</v>
      </c>
      <c r="W2163" cm="1">
        <f t="array" ref="W2163">_xlfn._xlws.FILTER(shifts!A:A,(shifts!B:B=events!D2163)*(shifts!AH:AH&gt;=events!U2163)*(shifts!AI:AI&lt;=events!V2163))</f>
        <v>75</v>
      </c>
      <c r="X2163" t="str">
        <f t="shared" si="1050"/>
        <v>event_team_player_1</v>
      </c>
      <c r="Y2163">
        <f>COUNTIFS(A$3:A2163,"="&amp;A2163,K$3:K2163,"="&amp;K2163)</f>
        <v>1</v>
      </c>
      <c r="Z2163" s="20">
        <f>SUMIFS(T$3:T2163,L$3:L2163,"=Intermission")+SUMIFS(T$3:T2163,L$3:L2163,"=Timeout")+SUMIFS(T$3:T2163,L$3:L2163,"=Clockstop")</f>
        <v>138</v>
      </c>
      <c r="AA2163">
        <f t="shared" si="1041"/>
        <v>2298</v>
      </c>
      <c r="AC2163">
        <f t="shared" si="1042"/>
        <v>2436</v>
      </c>
    </row>
    <row r="2164" spans="1:29" x14ac:dyDescent="0.2">
      <c r="A2164">
        <v>1166</v>
      </c>
      <c r="D2164">
        <f t="shared" si="1043"/>
        <v>3</v>
      </c>
      <c r="E2164">
        <v>7</v>
      </c>
      <c r="F2164" s="6" t="s">
        <v>429</v>
      </c>
      <c r="I2164" t="s">
        <v>179</v>
      </c>
      <c r="J2164">
        <v>75</v>
      </c>
      <c r="K2164" t="s">
        <v>489</v>
      </c>
      <c r="L2164" t="s">
        <v>17</v>
      </c>
      <c r="M2164" t="s">
        <v>196</v>
      </c>
      <c r="N2164" t="s">
        <v>98</v>
      </c>
      <c r="Q2164">
        <f t="shared" ref="Q2164:S2164" si="1095">Q2163</f>
        <v>18977</v>
      </c>
      <c r="R2164" t="str">
        <f t="shared" si="1095"/>
        <v>Velodrome</v>
      </c>
      <c r="S2164" t="str">
        <f t="shared" si="1095"/>
        <v>HollowBrook</v>
      </c>
      <c r="T2164" s="20">
        <f t="shared" si="1047"/>
        <v>0</v>
      </c>
      <c r="U2164">
        <f t="shared" si="1048"/>
        <v>475</v>
      </c>
      <c r="V2164">
        <f t="shared" si="1049"/>
        <v>475</v>
      </c>
      <c r="W2164" cm="1">
        <f t="array" ref="W2164">_xlfn._xlws.FILTER(shifts!A:A,(shifts!B:B=events!D2164)*(shifts!AH:AH&gt;=events!U2164)*(shifts!AI:AI&lt;=events!V2164))</f>
        <v>75</v>
      </c>
      <c r="X2164" t="str">
        <f t="shared" si="1050"/>
        <v>opp_team_player_1</v>
      </c>
      <c r="Y2164">
        <f>COUNTIFS(A$3:A2164,"="&amp;A2164,K$3:K2164,"="&amp;K2164)</f>
        <v>1</v>
      </c>
      <c r="Z2164" s="20">
        <f>SUMIFS(T$3:T2164,L$3:L2164,"=Intermission")+SUMIFS(T$3:T2164,L$3:L2164,"=Timeout")+SUMIFS(T$3:T2164,L$3:L2164,"=Clockstop")</f>
        <v>138</v>
      </c>
      <c r="AA2164">
        <f t="shared" si="1041"/>
        <v>2298</v>
      </c>
      <c r="AC2164">
        <f t="shared" si="1042"/>
        <v>2436</v>
      </c>
    </row>
    <row r="2165" spans="1:29" x14ac:dyDescent="0.2">
      <c r="A2165">
        <v>1167</v>
      </c>
      <c r="D2165">
        <f t="shared" si="1043"/>
        <v>3</v>
      </c>
      <c r="E2165">
        <v>7</v>
      </c>
      <c r="F2165" s="6" t="s">
        <v>429</v>
      </c>
      <c r="I2165" t="s">
        <v>179</v>
      </c>
      <c r="J2165">
        <v>99</v>
      </c>
      <c r="K2165" t="s">
        <v>488</v>
      </c>
      <c r="L2165" t="s">
        <v>270</v>
      </c>
      <c r="M2165" t="s">
        <v>271</v>
      </c>
      <c r="Q2165">
        <f t="shared" ref="Q2165:S2165" si="1096">Q2164</f>
        <v>18977</v>
      </c>
      <c r="R2165" t="str">
        <f t="shared" si="1096"/>
        <v>Velodrome</v>
      </c>
      <c r="S2165" t="str">
        <f t="shared" si="1096"/>
        <v>HollowBrook</v>
      </c>
      <c r="T2165" s="20">
        <f t="shared" si="1047"/>
        <v>0</v>
      </c>
      <c r="U2165">
        <f t="shared" si="1048"/>
        <v>475</v>
      </c>
      <c r="V2165">
        <f t="shared" si="1049"/>
        <v>475</v>
      </c>
      <c r="W2165" cm="1">
        <f t="array" ref="W2165">_xlfn._xlws.FILTER(shifts!A:A,(shifts!B:B=events!D2165)*(shifts!AH:AH&gt;=events!U2165)*(shifts!AI:AI&lt;=events!V2165))</f>
        <v>75</v>
      </c>
      <c r="X2165" t="str">
        <f t="shared" si="1050"/>
        <v>event_team_player_1</v>
      </c>
      <c r="Y2165">
        <f>COUNTIFS(A$3:A2165,"="&amp;A2165,K$3:K2165,"="&amp;K2165)</f>
        <v>1</v>
      </c>
      <c r="Z2165" s="20">
        <f>SUMIFS(T$3:T2165,L$3:L2165,"=Intermission")+SUMIFS(T$3:T2165,L$3:L2165,"=Timeout")+SUMIFS(T$3:T2165,L$3:L2165,"=Clockstop")</f>
        <v>138</v>
      </c>
      <c r="AA2165">
        <f t="shared" si="1041"/>
        <v>2298</v>
      </c>
      <c r="AC2165">
        <f t="shared" si="1042"/>
        <v>2436</v>
      </c>
    </row>
    <row r="2166" spans="1:29" x14ac:dyDescent="0.2">
      <c r="A2166">
        <v>1168</v>
      </c>
      <c r="D2166">
        <f t="shared" si="1043"/>
        <v>3</v>
      </c>
      <c r="E2166">
        <v>7</v>
      </c>
      <c r="F2166" s="6" t="s">
        <v>427</v>
      </c>
      <c r="I2166" t="s">
        <v>179</v>
      </c>
      <c r="J2166">
        <v>27</v>
      </c>
      <c r="K2166" t="s">
        <v>488</v>
      </c>
      <c r="L2166" t="s">
        <v>10</v>
      </c>
      <c r="M2166" t="s">
        <v>190</v>
      </c>
      <c r="N2166" t="s">
        <v>479</v>
      </c>
      <c r="Q2166">
        <f t="shared" ref="Q2166:S2166" si="1097">Q2165</f>
        <v>18977</v>
      </c>
      <c r="R2166" t="str">
        <f t="shared" si="1097"/>
        <v>Velodrome</v>
      </c>
      <c r="S2166" t="str">
        <f t="shared" si="1097"/>
        <v>HollowBrook</v>
      </c>
      <c r="T2166" s="20">
        <f t="shared" si="1047"/>
        <v>0</v>
      </c>
      <c r="U2166">
        <f t="shared" si="1048"/>
        <v>474</v>
      </c>
      <c r="V2166">
        <f t="shared" si="1049"/>
        <v>474</v>
      </c>
      <c r="W2166" cm="1">
        <f t="array" ref="W2166">_xlfn._xlws.FILTER(shifts!A:A,(shifts!B:B=events!D2166)*(shifts!AH:AH&gt;=events!U2166)*(shifts!AI:AI&lt;=events!V2166))</f>
        <v>75</v>
      </c>
      <c r="X2166" t="str">
        <f t="shared" si="1050"/>
        <v>event_team_player_1</v>
      </c>
      <c r="Y2166">
        <f>COUNTIFS(A$3:A2166,"="&amp;A2166,K$3:K2166,"="&amp;K2166)</f>
        <v>1</v>
      </c>
      <c r="Z2166" s="20">
        <f>SUMIFS(T$3:T2166,L$3:L2166,"=Intermission")+SUMIFS(T$3:T2166,L$3:L2166,"=Timeout")+SUMIFS(T$3:T2166,L$3:L2166,"=Clockstop")</f>
        <v>138</v>
      </c>
      <c r="AA2166">
        <f t="shared" si="1041"/>
        <v>2298</v>
      </c>
      <c r="AC2166">
        <f t="shared" si="1042"/>
        <v>2436</v>
      </c>
    </row>
    <row r="2167" spans="1:29" x14ac:dyDescent="0.2">
      <c r="A2167">
        <v>1169</v>
      </c>
      <c r="D2167">
        <f t="shared" si="1043"/>
        <v>3</v>
      </c>
      <c r="E2167">
        <v>7</v>
      </c>
      <c r="F2167" s="6" t="s">
        <v>428</v>
      </c>
      <c r="I2167" t="s">
        <v>178</v>
      </c>
      <c r="J2167">
        <v>49</v>
      </c>
      <c r="K2167" t="s">
        <v>488</v>
      </c>
      <c r="L2167" t="s">
        <v>277</v>
      </c>
      <c r="M2167" t="s">
        <v>210</v>
      </c>
      <c r="N2167" t="s">
        <v>93</v>
      </c>
      <c r="Q2167">
        <f t="shared" ref="Q2167:S2167" si="1098">Q2166</f>
        <v>18977</v>
      </c>
      <c r="R2167" t="str">
        <f t="shared" si="1098"/>
        <v>Velodrome</v>
      </c>
      <c r="S2167" t="str">
        <f t="shared" si="1098"/>
        <v>HollowBrook</v>
      </c>
      <c r="T2167" s="20">
        <f t="shared" si="1047"/>
        <v>0</v>
      </c>
      <c r="U2167">
        <f t="shared" si="1048"/>
        <v>472</v>
      </c>
      <c r="V2167">
        <f t="shared" si="1049"/>
        <v>472</v>
      </c>
      <c r="W2167" cm="1">
        <f t="array" ref="W2167">_xlfn._xlws.FILTER(shifts!A:A,(shifts!B:B=events!D2167)*(shifts!AH:AH&gt;=events!U2167)*(shifts!AI:AI&lt;=events!V2167))</f>
        <v>75</v>
      </c>
      <c r="X2167" t="str">
        <f t="shared" si="1050"/>
        <v>event_team_player_1</v>
      </c>
      <c r="Y2167">
        <f>COUNTIFS(A$3:A2167,"="&amp;A2167,K$3:K2167,"="&amp;K2167)</f>
        <v>1</v>
      </c>
      <c r="Z2167" s="20">
        <f>SUMIFS(T$3:T2167,L$3:L2167,"=Intermission")+SUMIFS(T$3:T2167,L$3:L2167,"=Timeout")+SUMIFS(T$3:T2167,L$3:L2167,"=Clockstop")</f>
        <v>138</v>
      </c>
      <c r="AA2167">
        <f t="shared" si="1041"/>
        <v>2298</v>
      </c>
      <c r="AC2167">
        <f t="shared" si="1042"/>
        <v>2436</v>
      </c>
    </row>
    <row r="2168" spans="1:29" x14ac:dyDescent="0.2">
      <c r="A2168">
        <v>1170</v>
      </c>
      <c r="D2168">
        <f t="shared" si="1043"/>
        <v>3</v>
      </c>
      <c r="E2168">
        <v>7</v>
      </c>
      <c r="F2168" s="6" t="s">
        <v>428</v>
      </c>
      <c r="I2168" t="s">
        <v>178</v>
      </c>
      <c r="J2168">
        <v>49</v>
      </c>
      <c r="K2168" t="s">
        <v>488</v>
      </c>
      <c r="L2168" t="s">
        <v>8</v>
      </c>
      <c r="M2168" t="s">
        <v>189</v>
      </c>
      <c r="N2168" t="s">
        <v>510</v>
      </c>
      <c r="Q2168">
        <f t="shared" ref="Q2168:S2168" si="1099">Q2167</f>
        <v>18977</v>
      </c>
      <c r="R2168" t="str">
        <f t="shared" si="1099"/>
        <v>Velodrome</v>
      </c>
      <c r="S2168" t="str">
        <f t="shared" si="1099"/>
        <v>HollowBrook</v>
      </c>
      <c r="T2168" s="20">
        <f t="shared" si="1047"/>
        <v>0</v>
      </c>
      <c r="U2168">
        <f t="shared" si="1048"/>
        <v>472</v>
      </c>
      <c r="V2168">
        <f t="shared" si="1049"/>
        <v>472</v>
      </c>
      <c r="W2168" cm="1">
        <f t="array" ref="W2168">_xlfn._xlws.FILTER(shifts!A:A,(shifts!B:B=events!D2168)*(shifts!AH:AH&gt;=events!U2168)*(shifts!AI:AI&lt;=events!V2168))</f>
        <v>75</v>
      </c>
      <c r="X2168" t="str">
        <f t="shared" si="1050"/>
        <v>event_team_player_1</v>
      </c>
      <c r="Y2168">
        <f>COUNTIFS(A$3:A2168,"="&amp;A2168,K$3:K2168,"="&amp;K2168)</f>
        <v>1</v>
      </c>
      <c r="Z2168" s="20">
        <f>SUMIFS(T$3:T2168,L$3:L2168,"=Intermission")+SUMIFS(T$3:T2168,L$3:L2168,"=Timeout")+SUMIFS(T$3:T2168,L$3:L2168,"=Clockstop")</f>
        <v>138</v>
      </c>
      <c r="AA2168">
        <f t="shared" si="1041"/>
        <v>2298</v>
      </c>
      <c r="AC2168">
        <f t="shared" si="1042"/>
        <v>2436</v>
      </c>
    </row>
    <row r="2169" spans="1:29" x14ac:dyDescent="0.2">
      <c r="A2169">
        <v>1170</v>
      </c>
      <c r="D2169">
        <f t="shared" si="1043"/>
        <v>3</v>
      </c>
      <c r="E2169">
        <v>7</v>
      </c>
      <c r="F2169" s="6" t="s">
        <v>428</v>
      </c>
      <c r="I2169" t="s">
        <v>178</v>
      </c>
      <c r="J2169">
        <v>9</v>
      </c>
      <c r="K2169" t="s">
        <v>488</v>
      </c>
      <c r="L2169" t="s">
        <v>8</v>
      </c>
      <c r="M2169" t="s">
        <v>189</v>
      </c>
      <c r="N2169" t="s">
        <v>510</v>
      </c>
      <c r="Q2169">
        <f t="shared" ref="Q2169:S2169" si="1100">Q2168</f>
        <v>18977</v>
      </c>
      <c r="R2169" t="str">
        <f t="shared" si="1100"/>
        <v>Velodrome</v>
      </c>
      <c r="S2169" t="str">
        <f t="shared" si="1100"/>
        <v>HollowBrook</v>
      </c>
      <c r="T2169" s="20">
        <f t="shared" si="1047"/>
        <v>0</v>
      </c>
      <c r="U2169">
        <f t="shared" si="1048"/>
        <v>472</v>
      </c>
      <c r="V2169">
        <f t="shared" si="1049"/>
        <v>472</v>
      </c>
      <c r="W2169" cm="1">
        <f t="array" ref="W2169">_xlfn._xlws.FILTER(shifts!A:A,(shifts!B:B=events!D2169)*(shifts!AH:AH&gt;=events!U2169)*(shifts!AI:AI&lt;=events!V2169))</f>
        <v>75</v>
      </c>
      <c r="X2169" t="str">
        <f t="shared" si="1050"/>
        <v>event_team_player_2</v>
      </c>
      <c r="Y2169">
        <f>COUNTIFS(A$3:A2169,"="&amp;A2169,K$3:K2169,"="&amp;K2169)</f>
        <v>2</v>
      </c>
      <c r="Z2169" s="20">
        <f>SUMIFS(T$3:T2169,L$3:L2169,"=Intermission")+SUMIFS(T$3:T2169,L$3:L2169,"=Timeout")+SUMIFS(T$3:T2169,L$3:L2169,"=Clockstop")</f>
        <v>138</v>
      </c>
      <c r="AA2169">
        <f t="shared" si="1041"/>
        <v>2298</v>
      </c>
      <c r="AC2169">
        <f t="shared" si="1042"/>
        <v>2436</v>
      </c>
    </row>
    <row r="2170" spans="1:29" x14ac:dyDescent="0.2">
      <c r="A2170">
        <v>1171</v>
      </c>
      <c r="D2170">
        <f t="shared" si="1043"/>
        <v>3</v>
      </c>
      <c r="E2170">
        <v>7</v>
      </c>
      <c r="F2170" s="6" t="s">
        <v>477</v>
      </c>
      <c r="I2170" t="s">
        <v>178</v>
      </c>
      <c r="J2170">
        <v>9</v>
      </c>
      <c r="K2170" t="s">
        <v>488</v>
      </c>
      <c r="L2170" t="s">
        <v>8</v>
      </c>
      <c r="M2170" t="s">
        <v>209</v>
      </c>
      <c r="N2170" t="s">
        <v>70</v>
      </c>
      <c r="Q2170">
        <f t="shared" ref="Q2170:S2170" si="1101">Q2169</f>
        <v>18977</v>
      </c>
      <c r="R2170" t="str">
        <f t="shared" si="1101"/>
        <v>Velodrome</v>
      </c>
      <c r="S2170" t="str">
        <f t="shared" si="1101"/>
        <v>HollowBrook</v>
      </c>
      <c r="T2170" s="20">
        <f t="shared" si="1047"/>
        <v>0</v>
      </c>
      <c r="U2170">
        <f t="shared" si="1048"/>
        <v>471</v>
      </c>
      <c r="V2170">
        <f t="shared" si="1049"/>
        <v>471</v>
      </c>
      <c r="W2170" cm="1">
        <f t="array" ref="W2170">_xlfn._xlws.FILTER(shifts!A:A,(shifts!B:B=events!D2170)*(shifts!AH:AH&gt;=events!U2170)*(shifts!AI:AI&lt;=events!V2170))</f>
        <v>75</v>
      </c>
      <c r="X2170" t="str">
        <f t="shared" si="1050"/>
        <v>event_team_player_1</v>
      </c>
      <c r="Y2170">
        <f>COUNTIFS(A$3:A2170,"="&amp;A2170,K$3:K2170,"="&amp;K2170)</f>
        <v>1</v>
      </c>
      <c r="Z2170" s="20">
        <f>SUMIFS(T$3:T2170,L$3:L2170,"=Intermission")+SUMIFS(T$3:T2170,L$3:L2170,"=Timeout")+SUMIFS(T$3:T2170,L$3:L2170,"=Clockstop")</f>
        <v>138</v>
      </c>
      <c r="AA2170">
        <f t="shared" si="1041"/>
        <v>2298</v>
      </c>
      <c r="AC2170">
        <f t="shared" si="1042"/>
        <v>2436</v>
      </c>
    </row>
    <row r="2171" spans="1:29" x14ac:dyDescent="0.2">
      <c r="A2171">
        <v>1171</v>
      </c>
      <c r="D2171">
        <f t="shared" si="1043"/>
        <v>3</v>
      </c>
      <c r="E2171">
        <v>7</v>
      </c>
      <c r="F2171" s="6" t="s">
        <v>477</v>
      </c>
      <c r="I2171" t="s">
        <v>178</v>
      </c>
      <c r="J2171">
        <v>75</v>
      </c>
      <c r="K2171" t="s">
        <v>488</v>
      </c>
      <c r="L2171" t="s">
        <v>8</v>
      </c>
      <c r="M2171" t="s">
        <v>209</v>
      </c>
      <c r="N2171" t="s">
        <v>70</v>
      </c>
      <c r="Q2171">
        <f t="shared" ref="Q2171:S2171" si="1102">Q2170</f>
        <v>18977</v>
      </c>
      <c r="R2171" t="str">
        <f t="shared" si="1102"/>
        <v>Velodrome</v>
      </c>
      <c r="S2171" t="str">
        <f t="shared" si="1102"/>
        <v>HollowBrook</v>
      </c>
      <c r="T2171" s="20">
        <f t="shared" si="1047"/>
        <v>0</v>
      </c>
      <c r="U2171">
        <f t="shared" si="1048"/>
        <v>471</v>
      </c>
      <c r="V2171">
        <f t="shared" si="1049"/>
        <v>471</v>
      </c>
      <c r="W2171" cm="1">
        <f t="array" ref="W2171">_xlfn._xlws.FILTER(shifts!A:A,(shifts!B:B=events!D2171)*(shifts!AH:AH&gt;=events!U2171)*(shifts!AI:AI&lt;=events!V2171))</f>
        <v>75</v>
      </c>
      <c r="X2171" t="str">
        <f t="shared" si="1050"/>
        <v>event_team_player_2</v>
      </c>
      <c r="Y2171">
        <f>COUNTIFS(A$3:A2171,"="&amp;A2171,K$3:K2171,"="&amp;K2171)</f>
        <v>2</v>
      </c>
      <c r="Z2171" s="20">
        <f>SUMIFS(T$3:T2171,L$3:L2171,"=Intermission")+SUMIFS(T$3:T2171,L$3:L2171,"=Timeout")+SUMIFS(T$3:T2171,L$3:L2171,"=Clockstop")</f>
        <v>138</v>
      </c>
      <c r="AA2171">
        <f t="shared" si="1041"/>
        <v>2298</v>
      </c>
      <c r="AC2171">
        <f t="shared" si="1042"/>
        <v>2436</v>
      </c>
    </row>
    <row r="2172" spans="1:29" x14ac:dyDescent="0.2">
      <c r="A2172">
        <v>1171</v>
      </c>
      <c r="D2172">
        <f t="shared" si="1043"/>
        <v>3</v>
      </c>
      <c r="E2172">
        <v>7</v>
      </c>
      <c r="F2172" s="6" t="s">
        <v>477</v>
      </c>
      <c r="I2172" t="s">
        <v>178</v>
      </c>
      <c r="J2172">
        <v>40</v>
      </c>
      <c r="K2172" t="s">
        <v>489</v>
      </c>
      <c r="L2172" t="s">
        <v>8</v>
      </c>
      <c r="M2172" t="s">
        <v>209</v>
      </c>
      <c r="N2172" t="s">
        <v>70</v>
      </c>
      <c r="Q2172">
        <f t="shared" ref="Q2172:S2172" si="1103">Q2171</f>
        <v>18977</v>
      </c>
      <c r="R2172" t="str">
        <f t="shared" si="1103"/>
        <v>Velodrome</v>
      </c>
      <c r="S2172" t="str">
        <f t="shared" si="1103"/>
        <v>HollowBrook</v>
      </c>
      <c r="T2172" s="20">
        <f t="shared" si="1047"/>
        <v>0</v>
      </c>
      <c r="U2172">
        <f t="shared" si="1048"/>
        <v>471</v>
      </c>
      <c r="V2172">
        <f t="shared" si="1049"/>
        <v>471</v>
      </c>
      <c r="W2172" cm="1">
        <f t="array" ref="W2172">_xlfn._xlws.FILTER(shifts!A:A,(shifts!B:B=events!D2172)*(shifts!AH:AH&gt;=events!U2172)*(shifts!AI:AI&lt;=events!V2172))</f>
        <v>75</v>
      </c>
      <c r="X2172" t="str">
        <f t="shared" si="1050"/>
        <v>opp_team_player_1</v>
      </c>
      <c r="Y2172">
        <f>COUNTIFS(A$3:A2172,"="&amp;A2172,K$3:K2172,"="&amp;K2172)</f>
        <v>1</v>
      </c>
      <c r="Z2172" s="20">
        <f>SUMIFS(T$3:T2172,L$3:L2172,"=Intermission")+SUMIFS(T$3:T2172,L$3:L2172,"=Timeout")+SUMIFS(T$3:T2172,L$3:L2172,"=Clockstop")</f>
        <v>138</v>
      </c>
      <c r="AA2172">
        <f t="shared" si="1041"/>
        <v>2298</v>
      </c>
      <c r="AC2172">
        <f t="shared" si="1042"/>
        <v>2436</v>
      </c>
    </row>
    <row r="2173" spans="1:29" x14ac:dyDescent="0.2">
      <c r="A2173">
        <v>1172</v>
      </c>
      <c r="D2173">
        <f t="shared" si="1043"/>
        <v>3</v>
      </c>
      <c r="E2173">
        <v>7</v>
      </c>
      <c r="F2173" s="6" t="s">
        <v>477</v>
      </c>
      <c r="I2173" t="s">
        <v>178</v>
      </c>
      <c r="J2173">
        <v>9</v>
      </c>
      <c r="K2173" t="s">
        <v>488</v>
      </c>
      <c r="L2173" t="s">
        <v>10</v>
      </c>
      <c r="M2173" t="s">
        <v>190</v>
      </c>
      <c r="N2173" t="s">
        <v>77</v>
      </c>
      <c r="Q2173">
        <f t="shared" ref="Q2173:S2173" si="1104">Q2172</f>
        <v>18977</v>
      </c>
      <c r="R2173" t="str">
        <f t="shared" si="1104"/>
        <v>Velodrome</v>
      </c>
      <c r="S2173" t="str">
        <f t="shared" si="1104"/>
        <v>HollowBrook</v>
      </c>
      <c r="T2173" s="20">
        <f t="shared" si="1047"/>
        <v>0</v>
      </c>
      <c r="U2173">
        <f t="shared" si="1048"/>
        <v>471</v>
      </c>
      <c r="V2173">
        <f t="shared" si="1049"/>
        <v>471</v>
      </c>
      <c r="W2173" cm="1">
        <f t="array" ref="W2173">_xlfn._xlws.FILTER(shifts!A:A,(shifts!B:B=events!D2173)*(shifts!AH:AH&gt;=events!U2173)*(shifts!AI:AI&lt;=events!V2173))</f>
        <v>75</v>
      </c>
      <c r="X2173" t="str">
        <f t="shared" si="1050"/>
        <v>event_team_player_1</v>
      </c>
      <c r="Y2173">
        <f>COUNTIFS(A$3:A2173,"="&amp;A2173,K$3:K2173,"="&amp;K2173)</f>
        <v>1</v>
      </c>
      <c r="Z2173" s="20">
        <f>SUMIFS(T$3:T2173,L$3:L2173,"=Intermission")+SUMIFS(T$3:T2173,L$3:L2173,"=Timeout")+SUMIFS(T$3:T2173,L$3:L2173,"=Clockstop")</f>
        <v>138</v>
      </c>
      <c r="AA2173">
        <f t="shared" si="1041"/>
        <v>2298</v>
      </c>
      <c r="AC2173">
        <f t="shared" si="1042"/>
        <v>2436</v>
      </c>
    </row>
    <row r="2174" spans="1:29" x14ac:dyDescent="0.2">
      <c r="A2174">
        <v>1173</v>
      </c>
      <c r="D2174">
        <f t="shared" si="1043"/>
        <v>3</v>
      </c>
      <c r="E2174">
        <v>7</v>
      </c>
      <c r="F2174" s="6" t="s">
        <v>432</v>
      </c>
      <c r="I2174" t="s">
        <v>179</v>
      </c>
      <c r="J2174">
        <v>40</v>
      </c>
      <c r="K2174" t="s">
        <v>488</v>
      </c>
      <c r="L2174" t="s">
        <v>10</v>
      </c>
      <c r="M2174" t="s">
        <v>190</v>
      </c>
      <c r="N2174" t="s">
        <v>479</v>
      </c>
      <c r="Q2174">
        <f t="shared" ref="Q2174:S2174" si="1105">Q2173</f>
        <v>18977</v>
      </c>
      <c r="R2174" t="str">
        <f t="shared" si="1105"/>
        <v>Velodrome</v>
      </c>
      <c r="S2174" t="str">
        <f t="shared" si="1105"/>
        <v>HollowBrook</v>
      </c>
      <c r="T2174" s="20">
        <f t="shared" si="1047"/>
        <v>0</v>
      </c>
      <c r="U2174">
        <f t="shared" si="1048"/>
        <v>470</v>
      </c>
      <c r="V2174">
        <f t="shared" si="1049"/>
        <v>470</v>
      </c>
      <c r="W2174" cm="1">
        <f t="array" ref="W2174">_xlfn._xlws.FILTER(shifts!A:A,(shifts!B:B=events!D2174)*(shifts!AH:AH&gt;=events!U2174)*(shifts!AI:AI&lt;=events!V2174))</f>
        <v>75</v>
      </c>
      <c r="X2174" t="str">
        <f t="shared" si="1050"/>
        <v>event_team_player_1</v>
      </c>
      <c r="Y2174">
        <f>COUNTIFS(A$3:A2174,"="&amp;A2174,K$3:K2174,"="&amp;K2174)</f>
        <v>1</v>
      </c>
      <c r="Z2174" s="20">
        <f>SUMIFS(T$3:T2174,L$3:L2174,"=Intermission")+SUMIFS(T$3:T2174,L$3:L2174,"=Timeout")+SUMIFS(T$3:T2174,L$3:L2174,"=Clockstop")</f>
        <v>138</v>
      </c>
      <c r="AA2174">
        <f t="shared" si="1041"/>
        <v>2298</v>
      </c>
      <c r="AC2174">
        <f t="shared" si="1042"/>
        <v>2436</v>
      </c>
    </row>
    <row r="2175" spans="1:29" x14ac:dyDescent="0.2">
      <c r="A2175">
        <v>1174</v>
      </c>
      <c r="D2175">
        <f t="shared" si="1043"/>
        <v>3</v>
      </c>
      <c r="E2175">
        <v>7</v>
      </c>
      <c r="F2175" s="6" t="s">
        <v>430</v>
      </c>
      <c r="I2175" t="s">
        <v>178</v>
      </c>
      <c r="J2175">
        <v>84</v>
      </c>
      <c r="K2175" t="s">
        <v>488</v>
      </c>
      <c r="L2175" t="s">
        <v>277</v>
      </c>
      <c r="M2175" t="s">
        <v>210</v>
      </c>
      <c r="N2175" t="s">
        <v>93</v>
      </c>
      <c r="Q2175">
        <f t="shared" ref="Q2175:S2175" si="1106">Q2174</f>
        <v>18977</v>
      </c>
      <c r="R2175" t="str">
        <f t="shared" si="1106"/>
        <v>Velodrome</v>
      </c>
      <c r="S2175" t="str">
        <f t="shared" si="1106"/>
        <v>HollowBrook</v>
      </c>
      <c r="T2175" s="20">
        <f t="shared" si="1047"/>
        <v>0</v>
      </c>
      <c r="U2175">
        <f t="shared" si="1048"/>
        <v>462</v>
      </c>
      <c r="V2175">
        <f t="shared" si="1049"/>
        <v>462</v>
      </c>
      <c r="W2175" cm="1">
        <f t="array" ref="W2175">_xlfn._xlws.FILTER(shifts!A:A,(shifts!B:B=events!D2175)*(shifts!AH:AH&gt;=events!U2175)*(shifts!AI:AI&lt;=events!V2175))</f>
        <v>75</v>
      </c>
      <c r="X2175" t="str">
        <f t="shared" si="1050"/>
        <v>event_team_player_1</v>
      </c>
      <c r="Y2175">
        <f>COUNTIFS(A$3:A2175,"="&amp;A2175,K$3:K2175,"="&amp;K2175)</f>
        <v>1</v>
      </c>
      <c r="Z2175" s="20">
        <f>SUMIFS(T$3:T2175,L$3:L2175,"=Intermission")+SUMIFS(T$3:T2175,L$3:L2175,"=Timeout")+SUMIFS(T$3:T2175,L$3:L2175,"=Clockstop")</f>
        <v>138</v>
      </c>
      <c r="AA2175">
        <f t="shared" si="1041"/>
        <v>2298</v>
      </c>
      <c r="AC2175">
        <f t="shared" si="1042"/>
        <v>2436</v>
      </c>
    </row>
    <row r="2176" spans="1:29" x14ac:dyDescent="0.2">
      <c r="A2176">
        <v>1175</v>
      </c>
      <c r="D2176">
        <f t="shared" si="1043"/>
        <v>3</v>
      </c>
      <c r="E2176">
        <v>7</v>
      </c>
      <c r="F2176" s="6" t="s">
        <v>430</v>
      </c>
      <c r="I2176" t="s">
        <v>178</v>
      </c>
      <c r="J2176">
        <v>84</v>
      </c>
      <c r="K2176" t="s">
        <v>488</v>
      </c>
      <c r="L2176" t="s">
        <v>8</v>
      </c>
      <c r="M2176" t="s">
        <v>189</v>
      </c>
      <c r="N2176" t="s">
        <v>70</v>
      </c>
      <c r="Q2176">
        <f t="shared" ref="Q2176:S2176" si="1107">Q2175</f>
        <v>18977</v>
      </c>
      <c r="R2176" t="str">
        <f t="shared" si="1107"/>
        <v>Velodrome</v>
      </c>
      <c r="S2176" t="str">
        <f t="shared" si="1107"/>
        <v>HollowBrook</v>
      </c>
      <c r="T2176" s="20">
        <f t="shared" si="1047"/>
        <v>0</v>
      </c>
      <c r="U2176">
        <f t="shared" si="1048"/>
        <v>462</v>
      </c>
      <c r="V2176">
        <f t="shared" si="1049"/>
        <v>462</v>
      </c>
      <c r="W2176" cm="1">
        <f t="array" ref="W2176">_xlfn._xlws.FILTER(shifts!A:A,(shifts!B:B=events!D2176)*(shifts!AH:AH&gt;=events!U2176)*(shifts!AI:AI&lt;=events!V2176))</f>
        <v>75</v>
      </c>
      <c r="X2176" t="str">
        <f t="shared" si="1050"/>
        <v>event_team_player_1</v>
      </c>
      <c r="Y2176">
        <f>COUNTIFS(A$3:A2176,"="&amp;A2176,K$3:K2176,"="&amp;K2176)</f>
        <v>1</v>
      </c>
      <c r="Z2176" s="20">
        <f>SUMIFS(T$3:T2176,L$3:L2176,"=Intermission")+SUMIFS(T$3:T2176,L$3:L2176,"=Timeout")+SUMIFS(T$3:T2176,L$3:L2176,"=Clockstop")</f>
        <v>138</v>
      </c>
      <c r="AA2176">
        <f t="shared" si="1041"/>
        <v>2298</v>
      </c>
      <c r="AC2176">
        <f t="shared" si="1042"/>
        <v>2436</v>
      </c>
    </row>
    <row r="2177" spans="1:29" x14ac:dyDescent="0.2">
      <c r="A2177">
        <v>1175</v>
      </c>
      <c r="D2177">
        <f t="shared" si="1043"/>
        <v>3</v>
      </c>
      <c r="E2177">
        <v>7</v>
      </c>
      <c r="F2177" s="6" t="s">
        <v>430</v>
      </c>
      <c r="I2177" t="s">
        <v>178</v>
      </c>
      <c r="J2177">
        <v>42</v>
      </c>
      <c r="K2177" t="s">
        <v>488</v>
      </c>
      <c r="L2177" t="s">
        <v>8</v>
      </c>
      <c r="M2177" t="s">
        <v>189</v>
      </c>
      <c r="N2177" t="s">
        <v>70</v>
      </c>
      <c r="Q2177">
        <f t="shared" ref="Q2177:S2177" si="1108">Q2176</f>
        <v>18977</v>
      </c>
      <c r="R2177" t="str">
        <f t="shared" si="1108"/>
        <v>Velodrome</v>
      </c>
      <c r="S2177" t="str">
        <f t="shared" si="1108"/>
        <v>HollowBrook</v>
      </c>
      <c r="T2177" s="20">
        <f t="shared" si="1047"/>
        <v>0</v>
      </c>
      <c r="U2177">
        <f t="shared" si="1048"/>
        <v>462</v>
      </c>
      <c r="V2177">
        <f t="shared" si="1049"/>
        <v>462</v>
      </c>
      <c r="W2177" cm="1">
        <f t="array" ref="W2177">_xlfn._xlws.FILTER(shifts!A:A,(shifts!B:B=events!D2177)*(shifts!AH:AH&gt;=events!U2177)*(shifts!AI:AI&lt;=events!V2177))</f>
        <v>75</v>
      </c>
      <c r="X2177" t="str">
        <f t="shared" si="1050"/>
        <v>event_team_player_2</v>
      </c>
      <c r="Y2177">
        <f>COUNTIFS(A$3:A2177,"="&amp;A2177,K$3:K2177,"="&amp;K2177)</f>
        <v>2</v>
      </c>
      <c r="Z2177" s="20">
        <f>SUMIFS(T$3:T2177,L$3:L2177,"=Intermission")+SUMIFS(T$3:T2177,L$3:L2177,"=Timeout")+SUMIFS(T$3:T2177,L$3:L2177,"=Clockstop")</f>
        <v>138</v>
      </c>
      <c r="AA2177">
        <f t="shared" si="1041"/>
        <v>2298</v>
      </c>
      <c r="AC2177">
        <f t="shared" si="1042"/>
        <v>2436</v>
      </c>
    </row>
    <row r="2178" spans="1:29" x14ac:dyDescent="0.2">
      <c r="A2178">
        <v>1176</v>
      </c>
      <c r="D2178">
        <f t="shared" si="1043"/>
        <v>3</v>
      </c>
      <c r="E2178">
        <v>7</v>
      </c>
      <c r="F2178" s="6" t="s">
        <v>430</v>
      </c>
      <c r="G2178">
        <v>7</v>
      </c>
      <c r="H2178" s="8" t="s">
        <v>481</v>
      </c>
      <c r="I2178" t="s">
        <v>178</v>
      </c>
      <c r="J2178">
        <v>42</v>
      </c>
      <c r="K2178" t="s">
        <v>488</v>
      </c>
      <c r="L2178" t="s">
        <v>15</v>
      </c>
      <c r="Q2178">
        <f t="shared" ref="Q2178:S2178" si="1109">Q2177</f>
        <v>18977</v>
      </c>
      <c r="R2178" t="str">
        <f t="shared" si="1109"/>
        <v>Velodrome</v>
      </c>
      <c r="S2178" t="str">
        <f t="shared" si="1109"/>
        <v>HollowBrook</v>
      </c>
      <c r="T2178" s="20">
        <f t="shared" si="1047"/>
        <v>3</v>
      </c>
      <c r="U2178">
        <f t="shared" si="1048"/>
        <v>462</v>
      </c>
      <c r="V2178">
        <f t="shared" si="1049"/>
        <v>459</v>
      </c>
      <c r="W2178" cm="1">
        <f t="array" ref="W2178">_xlfn._xlws.FILTER(shifts!A:A,(shifts!B:B=events!D2178)*(shifts!AH:AH&gt;=events!U2178)*(shifts!AI:AI&lt;=events!V2178))</f>
        <v>75</v>
      </c>
      <c r="X2178" t="str">
        <f t="shared" si="1050"/>
        <v>event_team_player_1</v>
      </c>
      <c r="Y2178">
        <f>COUNTIFS(A$3:A2178,"="&amp;A2178,K$3:K2178,"="&amp;K2178)</f>
        <v>1</v>
      </c>
      <c r="Z2178" s="20">
        <f>SUMIFS(T$3:T2178,L$3:L2178,"=Intermission")+SUMIFS(T$3:T2178,L$3:L2178,"=Timeout")+SUMIFS(T$3:T2178,L$3:L2178,"=Clockstop")</f>
        <v>138</v>
      </c>
      <c r="AA2178">
        <f t="shared" si="1041"/>
        <v>2298</v>
      </c>
      <c r="AC2178">
        <f t="shared" si="1042"/>
        <v>2436</v>
      </c>
    </row>
    <row r="2179" spans="1:29" x14ac:dyDescent="0.2">
      <c r="A2179">
        <v>1177</v>
      </c>
      <c r="D2179">
        <f t="shared" si="1043"/>
        <v>3</v>
      </c>
      <c r="E2179">
        <v>7</v>
      </c>
      <c r="F2179" s="6" t="s">
        <v>481</v>
      </c>
      <c r="I2179" t="s">
        <v>178</v>
      </c>
      <c r="J2179">
        <v>42</v>
      </c>
      <c r="K2179" t="s">
        <v>488</v>
      </c>
      <c r="L2179" t="s">
        <v>8</v>
      </c>
      <c r="M2179" t="s">
        <v>189</v>
      </c>
      <c r="N2179" t="s">
        <v>70</v>
      </c>
      <c r="Q2179">
        <f t="shared" ref="Q2179:S2179" si="1110">Q2178</f>
        <v>18977</v>
      </c>
      <c r="R2179" t="str">
        <f t="shared" si="1110"/>
        <v>Velodrome</v>
      </c>
      <c r="S2179" t="str">
        <f t="shared" si="1110"/>
        <v>HollowBrook</v>
      </c>
      <c r="T2179" s="20">
        <f t="shared" si="1047"/>
        <v>0</v>
      </c>
      <c r="U2179">
        <f t="shared" si="1048"/>
        <v>459</v>
      </c>
      <c r="V2179">
        <f t="shared" si="1049"/>
        <v>459</v>
      </c>
      <c r="W2179" cm="1">
        <f t="array" ref="W2179">_xlfn._xlws.FILTER(shifts!A:A,(shifts!B:B=events!D2179)*(shifts!AH:AH&gt;=events!U2179)*(shifts!AI:AI&lt;=events!V2179))</f>
        <v>75</v>
      </c>
      <c r="X2179" t="str">
        <f t="shared" si="1050"/>
        <v>event_team_player_1</v>
      </c>
      <c r="Y2179">
        <f>COUNTIFS(A$3:A2179,"="&amp;A2179,K$3:K2179,"="&amp;K2179)</f>
        <v>1</v>
      </c>
      <c r="Z2179" s="20">
        <f>SUMIFS(T$3:T2179,L$3:L2179,"=Intermission")+SUMIFS(T$3:T2179,L$3:L2179,"=Timeout")+SUMIFS(T$3:T2179,L$3:L2179,"=Clockstop")</f>
        <v>138</v>
      </c>
      <c r="AA2179">
        <f t="shared" si="1041"/>
        <v>2298</v>
      </c>
      <c r="AC2179">
        <f t="shared" si="1042"/>
        <v>2436</v>
      </c>
    </row>
    <row r="2180" spans="1:29" x14ac:dyDescent="0.2">
      <c r="A2180">
        <v>1177</v>
      </c>
      <c r="D2180">
        <f t="shared" si="1043"/>
        <v>3</v>
      </c>
      <c r="E2180">
        <v>7</v>
      </c>
      <c r="F2180" s="6" t="s">
        <v>481</v>
      </c>
      <c r="I2180" t="s">
        <v>178</v>
      </c>
      <c r="J2180">
        <v>9</v>
      </c>
      <c r="K2180" t="s">
        <v>488</v>
      </c>
      <c r="L2180" t="s">
        <v>8</v>
      </c>
      <c r="M2180" t="s">
        <v>189</v>
      </c>
      <c r="N2180" t="s">
        <v>70</v>
      </c>
      <c r="Q2180">
        <f t="shared" ref="Q2180:S2180" si="1111">Q2179</f>
        <v>18977</v>
      </c>
      <c r="R2180" t="str">
        <f t="shared" si="1111"/>
        <v>Velodrome</v>
      </c>
      <c r="S2180" t="str">
        <f t="shared" si="1111"/>
        <v>HollowBrook</v>
      </c>
      <c r="T2180" s="20">
        <f t="shared" si="1047"/>
        <v>0</v>
      </c>
      <c r="U2180">
        <f t="shared" si="1048"/>
        <v>459</v>
      </c>
      <c r="V2180">
        <f t="shared" si="1049"/>
        <v>459</v>
      </c>
      <c r="W2180" cm="1">
        <f t="array" ref="W2180">_xlfn._xlws.FILTER(shifts!A:A,(shifts!B:B=events!D2180)*(shifts!AH:AH&gt;=events!U2180)*(shifts!AI:AI&lt;=events!V2180))</f>
        <v>75</v>
      </c>
      <c r="X2180" t="str">
        <f t="shared" si="1050"/>
        <v>event_team_player_2</v>
      </c>
      <c r="Y2180">
        <f>COUNTIFS(A$3:A2180,"="&amp;A2180,K$3:K2180,"="&amp;K2180)</f>
        <v>2</v>
      </c>
      <c r="Z2180" s="20">
        <f>SUMIFS(T$3:T2180,L$3:L2180,"=Intermission")+SUMIFS(T$3:T2180,L$3:L2180,"=Timeout")+SUMIFS(T$3:T2180,L$3:L2180,"=Clockstop")</f>
        <v>138</v>
      </c>
      <c r="AA2180">
        <f t="shared" ref="AA2180:AA2243" si="1112">IF(D2180=1,0,IF(D2180=2,1080+Z2180,IF(D2180=3,(1080*2)+Z2180,0)))</f>
        <v>2298</v>
      </c>
      <c r="AC2180">
        <f t="shared" ref="AC2180:AC2243" si="1113">IF(L2179="GameStart",0,AA2180+Z2180)</f>
        <v>2436</v>
      </c>
    </row>
    <row r="2181" spans="1:29" x14ac:dyDescent="0.2">
      <c r="A2181">
        <v>1177</v>
      </c>
      <c r="D2181">
        <f t="shared" ref="D2181:D2244" si="1114">IF(L2181="Intermission",D2180+1,D2180)</f>
        <v>3</v>
      </c>
      <c r="E2181">
        <v>7</v>
      </c>
      <c r="F2181" s="6" t="s">
        <v>481</v>
      </c>
      <c r="I2181" t="s">
        <v>178</v>
      </c>
      <c r="J2181">
        <v>5</v>
      </c>
      <c r="K2181" t="s">
        <v>489</v>
      </c>
      <c r="L2181" t="s">
        <v>8</v>
      </c>
      <c r="M2181" t="s">
        <v>189</v>
      </c>
      <c r="N2181" t="s">
        <v>70</v>
      </c>
      <c r="Q2181">
        <f t="shared" ref="Q2181:S2181" si="1115">Q2180</f>
        <v>18977</v>
      </c>
      <c r="R2181" t="str">
        <f t="shared" si="1115"/>
        <v>Velodrome</v>
      </c>
      <c r="S2181" t="str">
        <f t="shared" si="1115"/>
        <v>HollowBrook</v>
      </c>
      <c r="T2181" s="20">
        <f t="shared" si="1047"/>
        <v>0</v>
      </c>
      <c r="U2181">
        <f t="shared" si="1048"/>
        <v>459</v>
      </c>
      <c r="V2181">
        <f t="shared" si="1049"/>
        <v>459</v>
      </c>
      <c r="W2181" cm="1">
        <f t="array" ref="W2181">_xlfn._xlws.FILTER(shifts!A:A,(shifts!B:B=events!D2181)*(shifts!AH:AH&gt;=events!U2181)*(shifts!AI:AI&lt;=events!V2181))</f>
        <v>75</v>
      </c>
      <c r="X2181" t="str">
        <f t="shared" si="1050"/>
        <v>opp_team_player_1</v>
      </c>
      <c r="Y2181">
        <f>COUNTIFS(A$3:A2181,"="&amp;A2181,K$3:K2181,"="&amp;K2181)</f>
        <v>1</v>
      </c>
      <c r="Z2181" s="20">
        <f>SUMIFS(T$3:T2181,L$3:L2181,"=Intermission")+SUMIFS(T$3:T2181,L$3:L2181,"=Timeout")+SUMIFS(T$3:T2181,L$3:L2181,"=Clockstop")</f>
        <v>138</v>
      </c>
      <c r="AA2181">
        <f t="shared" si="1112"/>
        <v>2298</v>
      </c>
      <c r="AC2181">
        <f t="shared" si="1113"/>
        <v>2436</v>
      </c>
    </row>
    <row r="2182" spans="1:29" x14ac:dyDescent="0.2">
      <c r="A2182">
        <v>1178</v>
      </c>
      <c r="D2182">
        <f t="shared" si="1114"/>
        <v>3</v>
      </c>
      <c r="E2182">
        <v>7</v>
      </c>
      <c r="F2182" s="6" t="s">
        <v>481</v>
      </c>
      <c r="G2182">
        <v>7</v>
      </c>
      <c r="H2182" s="8" t="s">
        <v>453</v>
      </c>
      <c r="I2182" t="s">
        <v>178</v>
      </c>
      <c r="J2182">
        <v>9</v>
      </c>
      <c r="K2182" t="s">
        <v>488</v>
      </c>
      <c r="L2182" t="s">
        <v>15</v>
      </c>
      <c r="Q2182">
        <f t="shared" ref="Q2182:S2182" si="1116">Q2181</f>
        <v>18977</v>
      </c>
      <c r="R2182" t="str">
        <f t="shared" si="1116"/>
        <v>Velodrome</v>
      </c>
      <c r="S2182" t="str">
        <f t="shared" si="1116"/>
        <v>HollowBrook</v>
      </c>
      <c r="T2182" s="20">
        <f t="shared" si="1047"/>
        <v>2</v>
      </c>
      <c r="U2182">
        <f t="shared" si="1048"/>
        <v>459</v>
      </c>
      <c r="V2182">
        <f t="shared" si="1049"/>
        <v>457</v>
      </c>
      <c r="W2182" cm="1">
        <f t="array" ref="W2182">_xlfn._xlws.FILTER(shifts!A:A,(shifts!B:B=events!D2182)*(shifts!AH:AH&gt;=events!U2182)*(shifts!AI:AI&lt;=events!V2182))</f>
        <v>75</v>
      </c>
      <c r="X2182" t="str">
        <f t="shared" si="1050"/>
        <v>event_team_player_1</v>
      </c>
      <c r="Y2182">
        <f>COUNTIFS(A$3:A2182,"="&amp;A2182,K$3:K2182,"="&amp;K2182)</f>
        <v>1</v>
      </c>
      <c r="Z2182" s="20">
        <f>SUMIFS(T$3:T2182,L$3:L2182,"=Intermission")+SUMIFS(T$3:T2182,L$3:L2182,"=Timeout")+SUMIFS(T$3:T2182,L$3:L2182,"=Clockstop")</f>
        <v>138</v>
      </c>
      <c r="AA2182">
        <f t="shared" si="1112"/>
        <v>2298</v>
      </c>
      <c r="AC2182">
        <f t="shared" si="1113"/>
        <v>2436</v>
      </c>
    </row>
    <row r="2183" spans="1:29" x14ac:dyDescent="0.2">
      <c r="A2183">
        <v>1179</v>
      </c>
      <c r="D2183">
        <f t="shared" si="1114"/>
        <v>3</v>
      </c>
      <c r="E2183">
        <v>7</v>
      </c>
      <c r="F2183" s="6" t="s">
        <v>453</v>
      </c>
      <c r="I2183" t="s">
        <v>178</v>
      </c>
      <c r="J2183">
        <v>9</v>
      </c>
      <c r="K2183" t="s">
        <v>488</v>
      </c>
      <c r="L2183" t="s">
        <v>7</v>
      </c>
      <c r="M2183" t="s">
        <v>222</v>
      </c>
      <c r="N2183" t="s">
        <v>53</v>
      </c>
      <c r="Q2183">
        <f t="shared" ref="Q2183:S2183" si="1117">Q2182</f>
        <v>18977</v>
      </c>
      <c r="R2183" t="str">
        <f t="shared" si="1117"/>
        <v>Velodrome</v>
      </c>
      <c r="S2183" t="str">
        <f t="shared" si="1117"/>
        <v>HollowBrook</v>
      </c>
      <c r="T2183" s="20">
        <f t="shared" ref="T2183:T2246" si="1118">IF(AND(G2183="",H2183=""),0,((E2183*60)+F2183)-((G2183*60)+H2183))</f>
        <v>0</v>
      </c>
      <c r="U2183">
        <f t="shared" ref="U2183:U2246" si="1119">(E2183*60)+F2183</f>
        <v>457</v>
      </c>
      <c r="V2183">
        <f t="shared" ref="V2183:V2246" si="1120">IF(AND(G2183="",H2183=""),U2183,((G2183*60)+H2183))</f>
        <v>457</v>
      </c>
      <c r="W2183" cm="1">
        <f t="array" ref="W2183">_xlfn._xlws.FILTER(shifts!A:A,(shifts!B:B=events!D2183)*(shifts!AH:AH&gt;=events!U2183)*(shifts!AI:AI&lt;=events!V2183))</f>
        <v>75</v>
      </c>
      <c r="X2183" t="str">
        <f t="shared" ref="X2183:X2246" si="1121">IF(K2183="e","event_team_player_"&amp;Y2183,IF(K2183="o","opp_team_player_"&amp;Y2183,""))</f>
        <v>event_team_player_1</v>
      </c>
      <c r="Y2183">
        <f>COUNTIFS(A$3:A2183,"="&amp;A2183,K$3:K2183,"="&amp;K2183)</f>
        <v>1</v>
      </c>
      <c r="Z2183" s="20">
        <f>SUMIFS(T$3:T2183,L$3:L2183,"=Intermission")+SUMIFS(T$3:T2183,L$3:L2183,"=Timeout")+SUMIFS(T$3:T2183,L$3:L2183,"=Clockstop")</f>
        <v>138</v>
      </c>
      <c r="AA2183">
        <f t="shared" si="1112"/>
        <v>2298</v>
      </c>
      <c r="AC2183">
        <f t="shared" si="1113"/>
        <v>2436</v>
      </c>
    </row>
    <row r="2184" spans="1:29" x14ac:dyDescent="0.2">
      <c r="A2184">
        <v>1179</v>
      </c>
      <c r="D2184">
        <f t="shared" si="1114"/>
        <v>3</v>
      </c>
      <c r="E2184">
        <v>7</v>
      </c>
      <c r="F2184" s="6" t="s">
        <v>453</v>
      </c>
      <c r="I2184" t="s">
        <v>178</v>
      </c>
      <c r="J2184">
        <v>99</v>
      </c>
      <c r="K2184" t="s">
        <v>489</v>
      </c>
      <c r="L2184" t="s">
        <v>7</v>
      </c>
      <c r="M2184" t="s">
        <v>222</v>
      </c>
      <c r="N2184" t="s">
        <v>53</v>
      </c>
      <c r="Q2184">
        <f t="shared" ref="Q2184:S2184" si="1122">Q2183</f>
        <v>18977</v>
      </c>
      <c r="R2184" t="str">
        <f t="shared" si="1122"/>
        <v>Velodrome</v>
      </c>
      <c r="S2184" t="str">
        <f t="shared" si="1122"/>
        <v>HollowBrook</v>
      </c>
      <c r="T2184" s="20">
        <f t="shared" si="1118"/>
        <v>0</v>
      </c>
      <c r="U2184">
        <f t="shared" si="1119"/>
        <v>457</v>
      </c>
      <c r="V2184">
        <f t="shared" si="1120"/>
        <v>457</v>
      </c>
      <c r="W2184" cm="1">
        <f t="array" ref="W2184">_xlfn._xlws.FILTER(shifts!A:A,(shifts!B:B=events!D2184)*(shifts!AH:AH&gt;=events!U2184)*(shifts!AI:AI&lt;=events!V2184))</f>
        <v>75</v>
      </c>
      <c r="X2184" t="str">
        <f t="shared" si="1121"/>
        <v>opp_team_player_1</v>
      </c>
      <c r="Y2184">
        <f>COUNTIFS(A$3:A2184,"="&amp;A2184,K$3:K2184,"="&amp;K2184)</f>
        <v>1</v>
      </c>
      <c r="Z2184" s="20">
        <f>SUMIFS(T$3:T2184,L$3:L2184,"=Intermission")+SUMIFS(T$3:T2184,L$3:L2184,"=Timeout")+SUMIFS(T$3:T2184,L$3:L2184,"=Clockstop")</f>
        <v>138</v>
      </c>
      <c r="AA2184">
        <f t="shared" si="1112"/>
        <v>2298</v>
      </c>
      <c r="AC2184">
        <f t="shared" si="1113"/>
        <v>2436</v>
      </c>
    </row>
    <row r="2185" spans="1:29" x14ac:dyDescent="0.2">
      <c r="A2185">
        <v>1180</v>
      </c>
      <c r="D2185">
        <f t="shared" si="1114"/>
        <v>3</v>
      </c>
      <c r="E2185">
        <v>7</v>
      </c>
      <c r="F2185" s="6" t="s">
        <v>453</v>
      </c>
      <c r="I2185" t="s">
        <v>179</v>
      </c>
      <c r="J2185">
        <v>99</v>
      </c>
      <c r="K2185" t="s">
        <v>488</v>
      </c>
      <c r="L2185" t="s">
        <v>17</v>
      </c>
      <c r="M2185" t="s">
        <v>206</v>
      </c>
      <c r="N2185" t="s">
        <v>96</v>
      </c>
      <c r="Q2185">
        <f t="shared" ref="Q2185:S2185" si="1123">Q2184</f>
        <v>18977</v>
      </c>
      <c r="R2185" t="str">
        <f t="shared" si="1123"/>
        <v>Velodrome</v>
      </c>
      <c r="S2185" t="str">
        <f t="shared" si="1123"/>
        <v>HollowBrook</v>
      </c>
      <c r="T2185" s="20">
        <f t="shared" si="1118"/>
        <v>0</v>
      </c>
      <c r="U2185">
        <f t="shared" si="1119"/>
        <v>457</v>
      </c>
      <c r="V2185">
        <f t="shared" si="1120"/>
        <v>457</v>
      </c>
      <c r="W2185" cm="1">
        <f t="array" ref="W2185">_xlfn._xlws.FILTER(shifts!A:A,(shifts!B:B=events!D2185)*(shifts!AH:AH&gt;=events!U2185)*(shifts!AI:AI&lt;=events!V2185))</f>
        <v>75</v>
      </c>
      <c r="X2185" t="str">
        <f t="shared" si="1121"/>
        <v>event_team_player_1</v>
      </c>
      <c r="Y2185">
        <f>COUNTIFS(A$3:A2185,"="&amp;A2185,K$3:K2185,"="&amp;K2185)</f>
        <v>1</v>
      </c>
      <c r="Z2185" s="20">
        <f>SUMIFS(T$3:T2185,L$3:L2185,"=Intermission")+SUMIFS(T$3:T2185,L$3:L2185,"=Timeout")+SUMIFS(T$3:T2185,L$3:L2185,"=Clockstop")</f>
        <v>138</v>
      </c>
      <c r="AA2185">
        <f t="shared" si="1112"/>
        <v>2298</v>
      </c>
      <c r="AC2185">
        <f t="shared" si="1113"/>
        <v>2436</v>
      </c>
    </row>
    <row r="2186" spans="1:29" x14ac:dyDescent="0.2">
      <c r="A2186">
        <v>1180</v>
      </c>
      <c r="D2186">
        <f t="shared" si="1114"/>
        <v>3</v>
      </c>
      <c r="E2186">
        <v>7</v>
      </c>
      <c r="F2186" s="6" t="s">
        <v>453</v>
      </c>
      <c r="I2186" t="s">
        <v>179</v>
      </c>
      <c r="J2186">
        <v>9</v>
      </c>
      <c r="K2186" t="s">
        <v>489</v>
      </c>
      <c r="L2186" t="s">
        <v>17</v>
      </c>
      <c r="M2186" t="s">
        <v>206</v>
      </c>
      <c r="N2186" t="s">
        <v>96</v>
      </c>
      <c r="Q2186">
        <f t="shared" ref="Q2186:S2186" si="1124">Q2185</f>
        <v>18977</v>
      </c>
      <c r="R2186" t="str">
        <f t="shared" si="1124"/>
        <v>Velodrome</v>
      </c>
      <c r="S2186" t="str">
        <f t="shared" si="1124"/>
        <v>HollowBrook</v>
      </c>
      <c r="T2186" s="20">
        <f t="shared" si="1118"/>
        <v>0</v>
      </c>
      <c r="U2186">
        <f t="shared" si="1119"/>
        <v>457</v>
      </c>
      <c r="V2186">
        <f t="shared" si="1120"/>
        <v>457</v>
      </c>
      <c r="W2186" cm="1">
        <f t="array" ref="W2186">_xlfn._xlws.FILTER(shifts!A:A,(shifts!B:B=events!D2186)*(shifts!AH:AH&gt;=events!U2186)*(shifts!AI:AI&lt;=events!V2186))</f>
        <v>75</v>
      </c>
      <c r="X2186" t="str">
        <f t="shared" si="1121"/>
        <v>opp_team_player_1</v>
      </c>
      <c r="Y2186">
        <f>COUNTIFS(A$3:A2186,"="&amp;A2186,K$3:K2186,"="&amp;K2186)</f>
        <v>1</v>
      </c>
      <c r="Z2186" s="20">
        <f>SUMIFS(T$3:T2186,L$3:L2186,"=Intermission")+SUMIFS(T$3:T2186,L$3:L2186,"=Timeout")+SUMIFS(T$3:T2186,L$3:L2186,"=Clockstop")</f>
        <v>138</v>
      </c>
      <c r="AA2186">
        <f t="shared" si="1112"/>
        <v>2298</v>
      </c>
      <c r="AC2186">
        <f t="shared" si="1113"/>
        <v>2436</v>
      </c>
    </row>
    <row r="2187" spans="1:29" x14ac:dyDescent="0.2">
      <c r="A2187">
        <v>1181</v>
      </c>
      <c r="D2187">
        <f t="shared" si="1114"/>
        <v>3</v>
      </c>
      <c r="E2187">
        <v>7</v>
      </c>
      <c r="F2187" s="6" t="s">
        <v>453</v>
      </c>
      <c r="I2187" t="s">
        <v>179</v>
      </c>
      <c r="J2187">
        <v>99</v>
      </c>
      <c r="K2187" t="s">
        <v>488</v>
      </c>
      <c r="L2187" t="s">
        <v>13</v>
      </c>
      <c r="M2187" t="s">
        <v>204</v>
      </c>
      <c r="N2187" t="s">
        <v>110</v>
      </c>
      <c r="Q2187">
        <f t="shared" ref="Q2187:S2187" si="1125">Q2186</f>
        <v>18977</v>
      </c>
      <c r="R2187" t="str">
        <f t="shared" si="1125"/>
        <v>Velodrome</v>
      </c>
      <c r="S2187" t="str">
        <f t="shared" si="1125"/>
        <v>HollowBrook</v>
      </c>
      <c r="T2187" s="20">
        <f t="shared" si="1118"/>
        <v>0</v>
      </c>
      <c r="U2187">
        <f t="shared" si="1119"/>
        <v>457</v>
      </c>
      <c r="V2187">
        <f t="shared" si="1120"/>
        <v>457</v>
      </c>
      <c r="W2187" cm="1">
        <f t="array" ref="W2187">_xlfn._xlws.FILTER(shifts!A:A,(shifts!B:B=events!D2187)*(shifts!AH:AH&gt;=events!U2187)*(shifts!AI:AI&lt;=events!V2187))</f>
        <v>75</v>
      </c>
      <c r="X2187" t="str">
        <f t="shared" si="1121"/>
        <v>event_team_player_1</v>
      </c>
      <c r="Y2187">
        <f>COUNTIFS(A$3:A2187,"="&amp;A2187,K$3:K2187,"="&amp;K2187)</f>
        <v>1</v>
      </c>
      <c r="Z2187" s="20">
        <f>SUMIFS(T$3:T2187,L$3:L2187,"=Intermission")+SUMIFS(T$3:T2187,L$3:L2187,"=Timeout")+SUMIFS(T$3:T2187,L$3:L2187,"=Clockstop")</f>
        <v>138</v>
      </c>
      <c r="AA2187">
        <f t="shared" si="1112"/>
        <v>2298</v>
      </c>
      <c r="AC2187">
        <f t="shared" si="1113"/>
        <v>2436</v>
      </c>
    </row>
    <row r="2188" spans="1:29" x14ac:dyDescent="0.2">
      <c r="A2188">
        <v>1182</v>
      </c>
      <c r="D2188">
        <f t="shared" si="1114"/>
        <v>3</v>
      </c>
      <c r="E2188">
        <v>7</v>
      </c>
      <c r="F2188" s="6" t="s">
        <v>453</v>
      </c>
      <c r="G2188">
        <v>7</v>
      </c>
      <c r="H2188" s="8" t="s">
        <v>317</v>
      </c>
      <c r="I2188" t="s">
        <v>179</v>
      </c>
      <c r="J2188">
        <v>99</v>
      </c>
      <c r="K2188" t="s">
        <v>488</v>
      </c>
      <c r="L2188" t="s">
        <v>282</v>
      </c>
      <c r="Q2188">
        <f t="shared" ref="Q2188:S2188" si="1126">Q2187</f>
        <v>18977</v>
      </c>
      <c r="R2188" t="str">
        <f t="shared" si="1126"/>
        <v>Velodrome</v>
      </c>
      <c r="S2188" t="str">
        <f t="shared" si="1126"/>
        <v>HollowBrook</v>
      </c>
      <c r="T2188" s="20">
        <f t="shared" si="1118"/>
        <v>24</v>
      </c>
      <c r="U2188">
        <f t="shared" si="1119"/>
        <v>457</v>
      </c>
      <c r="V2188">
        <f t="shared" si="1120"/>
        <v>433</v>
      </c>
      <c r="W2188">
        <v>76</v>
      </c>
      <c r="X2188" t="str">
        <f t="shared" si="1121"/>
        <v>event_team_player_1</v>
      </c>
      <c r="Y2188">
        <f>COUNTIFS(A$3:A2188,"="&amp;A2188,K$3:K2188,"="&amp;K2188)</f>
        <v>1</v>
      </c>
      <c r="Z2188" s="20">
        <f>SUMIFS(T$3:T2188,L$3:L2188,"=Intermission")+SUMIFS(T$3:T2188,L$3:L2188,"=Timeout")+SUMIFS(T$3:T2188,L$3:L2188,"=Clockstop")</f>
        <v>138</v>
      </c>
      <c r="AA2188">
        <f t="shared" si="1112"/>
        <v>2298</v>
      </c>
      <c r="AC2188">
        <f t="shared" si="1113"/>
        <v>2436</v>
      </c>
    </row>
    <row r="2189" spans="1:29" x14ac:dyDescent="0.2">
      <c r="A2189">
        <v>1183</v>
      </c>
      <c r="D2189">
        <f t="shared" si="1114"/>
        <v>3</v>
      </c>
      <c r="E2189">
        <v>7</v>
      </c>
      <c r="F2189" s="6" t="s">
        <v>317</v>
      </c>
      <c r="I2189" t="s">
        <v>179</v>
      </c>
      <c r="J2189">
        <v>11</v>
      </c>
      <c r="K2189" t="s">
        <v>488</v>
      </c>
      <c r="L2189" t="s">
        <v>6</v>
      </c>
      <c r="M2189" t="s">
        <v>275</v>
      </c>
      <c r="Q2189">
        <f t="shared" ref="Q2189:S2189" si="1127">Q2188</f>
        <v>18977</v>
      </c>
      <c r="R2189" t="str">
        <f t="shared" si="1127"/>
        <v>Velodrome</v>
      </c>
      <c r="S2189" t="str">
        <f t="shared" si="1127"/>
        <v>HollowBrook</v>
      </c>
      <c r="T2189" s="20">
        <f t="shared" si="1118"/>
        <v>0</v>
      </c>
      <c r="U2189">
        <f t="shared" si="1119"/>
        <v>433</v>
      </c>
      <c r="V2189">
        <f t="shared" si="1120"/>
        <v>433</v>
      </c>
      <c r="W2189" cm="1">
        <f t="array" ref="W2189">_xlfn._xlws.FILTER(shifts!A:A,(shifts!B:B=events!D2189)*(shifts!AH:AH&gt;=events!U2189)*(shifts!AI:AI&lt;=events!V2189))</f>
        <v>76</v>
      </c>
      <c r="X2189" t="str">
        <f t="shared" si="1121"/>
        <v>event_team_player_1</v>
      </c>
      <c r="Y2189">
        <f>COUNTIFS(A$3:A2189,"="&amp;A2189,K$3:K2189,"="&amp;K2189)</f>
        <v>1</v>
      </c>
      <c r="Z2189" s="20">
        <f>SUMIFS(T$3:T2189,L$3:L2189,"=Intermission")+SUMIFS(T$3:T2189,L$3:L2189,"=Timeout")+SUMIFS(T$3:T2189,L$3:L2189,"=Clockstop")</f>
        <v>138</v>
      </c>
      <c r="AA2189">
        <f t="shared" si="1112"/>
        <v>2298</v>
      </c>
      <c r="AC2189">
        <f t="shared" si="1113"/>
        <v>2436</v>
      </c>
    </row>
    <row r="2190" spans="1:29" x14ac:dyDescent="0.2">
      <c r="A2190">
        <v>1183</v>
      </c>
      <c r="D2190">
        <f t="shared" si="1114"/>
        <v>3</v>
      </c>
      <c r="E2190">
        <v>7</v>
      </c>
      <c r="F2190" s="6" t="s">
        <v>317</v>
      </c>
      <c r="I2190" t="s">
        <v>179</v>
      </c>
      <c r="J2190">
        <v>18</v>
      </c>
      <c r="K2190" t="s">
        <v>488</v>
      </c>
      <c r="L2190" t="s">
        <v>6</v>
      </c>
      <c r="M2190" t="s">
        <v>275</v>
      </c>
      <c r="Q2190">
        <f t="shared" ref="Q2190:S2190" si="1128">Q2189</f>
        <v>18977</v>
      </c>
      <c r="R2190" t="str">
        <f t="shared" si="1128"/>
        <v>Velodrome</v>
      </c>
      <c r="S2190" t="str">
        <f t="shared" si="1128"/>
        <v>HollowBrook</v>
      </c>
      <c r="T2190" s="20">
        <f t="shared" si="1118"/>
        <v>0</v>
      </c>
      <c r="U2190">
        <f t="shared" si="1119"/>
        <v>433</v>
      </c>
      <c r="V2190">
        <f t="shared" si="1120"/>
        <v>433</v>
      </c>
      <c r="W2190" cm="1">
        <f t="array" ref="W2190">_xlfn._xlws.FILTER(shifts!A:A,(shifts!B:B=events!D2190)*(shifts!AH:AH&gt;=events!U2190)*(shifts!AI:AI&lt;=events!V2190))</f>
        <v>76</v>
      </c>
      <c r="X2190" t="str">
        <f t="shared" si="1121"/>
        <v>event_team_player_2</v>
      </c>
      <c r="Y2190">
        <f>COUNTIFS(A$3:A2190,"="&amp;A2190,K$3:K2190,"="&amp;K2190)</f>
        <v>2</v>
      </c>
      <c r="Z2190" s="20">
        <f>SUMIFS(T$3:T2190,L$3:L2190,"=Intermission")+SUMIFS(T$3:T2190,L$3:L2190,"=Timeout")+SUMIFS(T$3:T2190,L$3:L2190,"=Clockstop")</f>
        <v>138</v>
      </c>
      <c r="AA2190">
        <f t="shared" si="1112"/>
        <v>2298</v>
      </c>
      <c r="AC2190">
        <f t="shared" si="1113"/>
        <v>2436</v>
      </c>
    </row>
    <row r="2191" spans="1:29" x14ac:dyDescent="0.2">
      <c r="A2191">
        <v>1183</v>
      </c>
      <c r="D2191">
        <f t="shared" si="1114"/>
        <v>3</v>
      </c>
      <c r="E2191">
        <v>7</v>
      </c>
      <c r="F2191" s="6" t="s">
        <v>317</v>
      </c>
      <c r="I2191" t="s">
        <v>179</v>
      </c>
      <c r="J2191">
        <v>42</v>
      </c>
      <c r="K2191" t="s">
        <v>489</v>
      </c>
      <c r="L2191" t="s">
        <v>6</v>
      </c>
      <c r="M2191" t="s">
        <v>275</v>
      </c>
      <c r="Q2191">
        <f t="shared" ref="Q2191:S2191" si="1129">Q2190</f>
        <v>18977</v>
      </c>
      <c r="R2191" t="str">
        <f t="shared" si="1129"/>
        <v>Velodrome</v>
      </c>
      <c r="S2191" t="str">
        <f t="shared" si="1129"/>
        <v>HollowBrook</v>
      </c>
      <c r="T2191" s="20">
        <f t="shared" si="1118"/>
        <v>0</v>
      </c>
      <c r="U2191">
        <f t="shared" si="1119"/>
        <v>433</v>
      </c>
      <c r="V2191">
        <f t="shared" si="1120"/>
        <v>433</v>
      </c>
      <c r="W2191" cm="1">
        <f t="array" ref="W2191">_xlfn._xlws.FILTER(shifts!A:A,(shifts!B:B=events!D2191)*(shifts!AH:AH&gt;=events!U2191)*(shifts!AI:AI&lt;=events!V2191))</f>
        <v>76</v>
      </c>
      <c r="X2191" t="str">
        <f t="shared" si="1121"/>
        <v>opp_team_player_1</v>
      </c>
      <c r="Y2191">
        <f>COUNTIFS(A$3:A2191,"="&amp;A2191,K$3:K2191,"="&amp;K2191)</f>
        <v>1</v>
      </c>
      <c r="Z2191" s="20">
        <f>SUMIFS(T$3:T2191,L$3:L2191,"=Intermission")+SUMIFS(T$3:T2191,L$3:L2191,"=Timeout")+SUMIFS(T$3:T2191,L$3:L2191,"=Clockstop")</f>
        <v>138</v>
      </c>
      <c r="AA2191">
        <f t="shared" si="1112"/>
        <v>2298</v>
      </c>
      <c r="AC2191">
        <f t="shared" si="1113"/>
        <v>2436</v>
      </c>
    </row>
    <row r="2192" spans="1:29" x14ac:dyDescent="0.2">
      <c r="A2192">
        <v>1184</v>
      </c>
      <c r="D2192">
        <f t="shared" si="1114"/>
        <v>3</v>
      </c>
      <c r="E2192">
        <v>7</v>
      </c>
      <c r="F2192" s="6" t="s">
        <v>486</v>
      </c>
      <c r="I2192" t="s">
        <v>179</v>
      </c>
      <c r="J2192">
        <v>18</v>
      </c>
      <c r="K2192" t="s">
        <v>488</v>
      </c>
      <c r="L2192" t="s">
        <v>10</v>
      </c>
      <c r="M2192" t="s">
        <v>190</v>
      </c>
      <c r="N2192" t="s">
        <v>479</v>
      </c>
      <c r="Q2192">
        <f t="shared" ref="Q2192:S2192" si="1130">Q2191</f>
        <v>18977</v>
      </c>
      <c r="R2192" t="str">
        <f t="shared" si="1130"/>
        <v>Velodrome</v>
      </c>
      <c r="S2192" t="str">
        <f t="shared" si="1130"/>
        <v>HollowBrook</v>
      </c>
      <c r="T2192" s="20">
        <f t="shared" si="1118"/>
        <v>0</v>
      </c>
      <c r="U2192">
        <f t="shared" si="1119"/>
        <v>431</v>
      </c>
      <c r="V2192">
        <f t="shared" si="1120"/>
        <v>431</v>
      </c>
      <c r="W2192" cm="1">
        <f t="array" ref="W2192">_xlfn._xlws.FILTER(shifts!A:A,(shifts!B:B=events!D2192)*(shifts!AH:AH&gt;=events!U2192)*(shifts!AI:AI&lt;=events!V2192))</f>
        <v>76</v>
      </c>
      <c r="X2192" t="str">
        <f t="shared" si="1121"/>
        <v>event_team_player_1</v>
      </c>
      <c r="Y2192">
        <f>COUNTIFS(A$3:A2192,"="&amp;A2192,K$3:K2192,"="&amp;K2192)</f>
        <v>1</v>
      </c>
      <c r="Z2192" s="20">
        <f>SUMIFS(T$3:T2192,L$3:L2192,"=Intermission")+SUMIFS(T$3:T2192,L$3:L2192,"=Timeout")+SUMIFS(T$3:T2192,L$3:L2192,"=Clockstop")</f>
        <v>138</v>
      </c>
      <c r="AA2192">
        <f t="shared" si="1112"/>
        <v>2298</v>
      </c>
      <c r="AC2192">
        <f t="shared" si="1113"/>
        <v>2436</v>
      </c>
    </row>
    <row r="2193" spans="1:29" x14ac:dyDescent="0.2">
      <c r="A2193">
        <v>1185</v>
      </c>
      <c r="D2193">
        <f t="shared" si="1114"/>
        <v>3</v>
      </c>
      <c r="E2193">
        <v>7</v>
      </c>
      <c r="F2193" s="6" t="s">
        <v>425</v>
      </c>
      <c r="I2193" t="s">
        <v>178</v>
      </c>
      <c r="J2193">
        <v>22</v>
      </c>
      <c r="K2193" t="s">
        <v>488</v>
      </c>
      <c r="L2193" t="s">
        <v>277</v>
      </c>
      <c r="M2193" t="s">
        <v>210</v>
      </c>
      <c r="N2193" t="s">
        <v>93</v>
      </c>
      <c r="Q2193">
        <f t="shared" ref="Q2193:S2193" si="1131">Q2192</f>
        <v>18977</v>
      </c>
      <c r="R2193" t="str">
        <f t="shared" si="1131"/>
        <v>Velodrome</v>
      </c>
      <c r="S2193" t="str">
        <f t="shared" si="1131"/>
        <v>HollowBrook</v>
      </c>
      <c r="T2193" s="20">
        <f t="shared" si="1118"/>
        <v>0</v>
      </c>
      <c r="U2193">
        <f t="shared" si="1119"/>
        <v>430</v>
      </c>
      <c r="V2193">
        <f t="shared" si="1120"/>
        <v>430</v>
      </c>
      <c r="W2193" cm="1">
        <f t="array" ref="W2193">_xlfn._xlws.FILTER(shifts!A:A,(shifts!B:B=events!D2193)*(shifts!AH:AH&gt;=events!U2193)*(shifts!AI:AI&lt;=events!V2193))</f>
        <v>76</v>
      </c>
      <c r="X2193" t="str">
        <f t="shared" si="1121"/>
        <v>event_team_player_1</v>
      </c>
      <c r="Y2193">
        <f>COUNTIFS(A$3:A2193,"="&amp;A2193,K$3:K2193,"="&amp;K2193)</f>
        <v>1</v>
      </c>
      <c r="Z2193" s="20">
        <f>SUMIFS(T$3:T2193,L$3:L2193,"=Intermission")+SUMIFS(T$3:T2193,L$3:L2193,"=Timeout")+SUMIFS(T$3:T2193,L$3:L2193,"=Clockstop")</f>
        <v>138</v>
      </c>
      <c r="AA2193">
        <f t="shared" si="1112"/>
        <v>2298</v>
      </c>
      <c r="AC2193">
        <f t="shared" si="1113"/>
        <v>2436</v>
      </c>
    </row>
    <row r="2194" spans="1:29" x14ac:dyDescent="0.2">
      <c r="A2194">
        <v>1185</v>
      </c>
      <c r="D2194">
        <f t="shared" si="1114"/>
        <v>3</v>
      </c>
      <c r="E2194">
        <v>7</v>
      </c>
      <c r="F2194" s="6" t="s">
        <v>425</v>
      </c>
      <c r="I2194" t="s">
        <v>178</v>
      </c>
      <c r="J2194">
        <v>19</v>
      </c>
      <c r="K2194" t="s">
        <v>489</v>
      </c>
      <c r="L2194" t="s">
        <v>277</v>
      </c>
      <c r="M2194" t="s">
        <v>210</v>
      </c>
      <c r="N2194" t="s">
        <v>93</v>
      </c>
      <c r="Q2194">
        <f t="shared" ref="Q2194:S2194" si="1132">Q2193</f>
        <v>18977</v>
      </c>
      <c r="R2194" t="str">
        <f t="shared" si="1132"/>
        <v>Velodrome</v>
      </c>
      <c r="S2194" t="str">
        <f t="shared" si="1132"/>
        <v>HollowBrook</v>
      </c>
      <c r="T2194" s="20">
        <f t="shared" si="1118"/>
        <v>0</v>
      </c>
      <c r="U2194">
        <f t="shared" si="1119"/>
        <v>430</v>
      </c>
      <c r="V2194">
        <f t="shared" si="1120"/>
        <v>430</v>
      </c>
      <c r="W2194" cm="1">
        <f t="array" ref="W2194">_xlfn._xlws.FILTER(shifts!A:A,(shifts!B:B=events!D2194)*(shifts!AH:AH&gt;=events!U2194)*(shifts!AI:AI&lt;=events!V2194))</f>
        <v>76</v>
      </c>
      <c r="X2194" t="str">
        <f t="shared" si="1121"/>
        <v>opp_team_player_1</v>
      </c>
      <c r="Y2194">
        <f>COUNTIFS(A$3:A2194,"="&amp;A2194,K$3:K2194,"="&amp;K2194)</f>
        <v>1</v>
      </c>
      <c r="Z2194" s="20">
        <f>SUMIFS(T$3:T2194,L$3:L2194,"=Intermission")+SUMIFS(T$3:T2194,L$3:L2194,"=Timeout")+SUMIFS(T$3:T2194,L$3:L2194,"=Clockstop")</f>
        <v>138</v>
      </c>
      <c r="AA2194">
        <f t="shared" si="1112"/>
        <v>2298</v>
      </c>
      <c r="AC2194">
        <f t="shared" si="1113"/>
        <v>2436</v>
      </c>
    </row>
    <row r="2195" spans="1:29" x14ac:dyDescent="0.2">
      <c r="A2195">
        <v>1186</v>
      </c>
      <c r="D2195">
        <f t="shared" si="1114"/>
        <v>3</v>
      </c>
      <c r="E2195">
        <v>7</v>
      </c>
      <c r="F2195" s="6" t="s">
        <v>425</v>
      </c>
      <c r="G2195">
        <v>7</v>
      </c>
      <c r="H2195" s="8" t="s">
        <v>313</v>
      </c>
      <c r="I2195" t="s">
        <v>178</v>
      </c>
      <c r="J2195">
        <v>22</v>
      </c>
      <c r="K2195" t="s">
        <v>488</v>
      </c>
      <c r="L2195" t="s">
        <v>15</v>
      </c>
      <c r="Q2195">
        <f t="shared" ref="Q2195:S2195" si="1133">Q2194</f>
        <v>18977</v>
      </c>
      <c r="R2195" t="str">
        <f t="shared" si="1133"/>
        <v>Velodrome</v>
      </c>
      <c r="S2195" t="str">
        <f t="shared" si="1133"/>
        <v>HollowBrook</v>
      </c>
      <c r="T2195" s="20">
        <f t="shared" si="1118"/>
        <v>2</v>
      </c>
      <c r="U2195">
        <f t="shared" si="1119"/>
        <v>430</v>
      </c>
      <c r="V2195">
        <f t="shared" si="1120"/>
        <v>428</v>
      </c>
      <c r="W2195" cm="1">
        <f t="array" ref="W2195">_xlfn._xlws.FILTER(shifts!A:A,(shifts!B:B=events!D2195)*(shifts!AH:AH&gt;=events!U2195)*(shifts!AI:AI&lt;=events!V2195))</f>
        <v>76</v>
      </c>
      <c r="X2195" t="str">
        <f t="shared" si="1121"/>
        <v>event_team_player_1</v>
      </c>
      <c r="Y2195">
        <f>COUNTIFS(A$3:A2195,"="&amp;A2195,K$3:K2195,"="&amp;K2195)</f>
        <v>1</v>
      </c>
      <c r="Z2195" s="20">
        <f>SUMIFS(T$3:T2195,L$3:L2195,"=Intermission")+SUMIFS(T$3:T2195,L$3:L2195,"=Timeout")+SUMIFS(T$3:T2195,L$3:L2195,"=Clockstop")</f>
        <v>138</v>
      </c>
      <c r="AA2195">
        <f t="shared" si="1112"/>
        <v>2298</v>
      </c>
      <c r="AC2195">
        <f t="shared" si="1113"/>
        <v>2436</v>
      </c>
    </row>
    <row r="2196" spans="1:29" x14ac:dyDescent="0.2">
      <c r="A2196">
        <v>1187</v>
      </c>
      <c r="D2196">
        <f t="shared" si="1114"/>
        <v>3</v>
      </c>
      <c r="E2196">
        <v>7</v>
      </c>
      <c r="F2196" s="6" t="s">
        <v>313</v>
      </c>
      <c r="I2196" t="s">
        <v>178</v>
      </c>
      <c r="J2196">
        <v>22</v>
      </c>
      <c r="K2196" t="s">
        <v>488</v>
      </c>
      <c r="L2196" t="s">
        <v>8</v>
      </c>
      <c r="M2196" t="s">
        <v>209</v>
      </c>
      <c r="N2196" t="s">
        <v>70</v>
      </c>
      <c r="Q2196">
        <f t="shared" ref="Q2196:S2196" si="1134">Q2195</f>
        <v>18977</v>
      </c>
      <c r="R2196" t="str">
        <f t="shared" si="1134"/>
        <v>Velodrome</v>
      </c>
      <c r="S2196" t="str">
        <f t="shared" si="1134"/>
        <v>HollowBrook</v>
      </c>
      <c r="T2196" s="20">
        <f t="shared" si="1118"/>
        <v>0</v>
      </c>
      <c r="U2196">
        <f t="shared" si="1119"/>
        <v>428</v>
      </c>
      <c r="V2196">
        <f t="shared" si="1120"/>
        <v>428</v>
      </c>
      <c r="W2196" cm="1">
        <f t="array" ref="W2196">_xlfn._xlws.FILTER(shifts!A:A,(shifts!B:B=events!D2196)*(shifts!AH:AH&gt;=events!U2196)*(shifts!AI:AI&lt;=events!V2196))</f>
        <v>76</v>
      </c>
      <c r="X2196" t="str">
        <f t="shared" si="1121"/>
        <v>event_team_player_1</v>
      </c>
      <c r="Y2196">
        <f>COUNTIFS(A$3:A2196,"="&amp;A2196,K$3:K2196,"="&amp;K2196)</f>
        <v>1</v>
      </c>
      <c r="Z2196" s="20">
        <f>SUMIFS(T$3:T2196,L$3:L2196,"=Intermission")+SUMIFS(T$3:T2196,L$3:L2196,"=Timeout")+SUMIFS(T$3:T2196,L$3:L2196,"=Clockstop")</f>
        <v>138</v>
      </c>
      <c r="AA2196">
        <f t="shared" si="1112"/>
        <v>2298</v>
      </c>
      <c r="AC2196">
        <f t="shared" si="1113"/>
        <v>2436</v>
      </c>
    </row>
    <row r="2197" spans="1:29" x14ac:dyDescent="0.2">
      <c r="A2197">
        <v>1187</v>
      </c>
      <c r="D2197">
        <f t="shared" si="1114"/>
        <v>3</v>
      </c>
      <c r="E2197">
        <v>7</v>
      </c>
      <c r="F2197" s="6" t="s">
        <v>313</v>
      </c>
      <c r="I2197" t="s">
        <v>178</v>
      </c>
      <c r="J2197">
        <v>19</v>
      </c>
      <c r="K2197" t="s">
        <v>489</v>
      </c>
      <c r="L2197" t="s">
        <v>8</v>
      </c>
      <c r="M2197" t="s">
        <v>209</v>
      </c>
      <c r="N2197" t="s">
        <v>70</v>
      </c>
      <c r="Q2197">
        <f t="shared" ref="Q2197:S2197" si="1135">Q2196</f>
        <v>18977</v>
      </c>
      <c r="R2197" t="str">
        <f t="shared" si="1135"/>
        <v>Velodrome</v>
      </c>
      <c r="S2197" t="str">
        <f t="shared" si="1135"/>
        <v>HollowBrook</v>
      </c>
      <c r="T2197" s="20">
        <f t="shared" si="1118"/>
        <v>0</v>
      </c>
      <c r="U2197">
        <f t="shared" si="1119"/>
        <v>428</v>
      </c>
      <c r="V2197">
        <f t="shared" si="1120"/>
        <v>428</v>
      </c>
      <c r="W2197" cm="1">
        <f t="array" ref="W2197">_xlfn._xlws.FILTER(shifts!A:A,(shifts!B:B=events!D2197)*(shifts!AH:AH&gt;=events!U2197)*(shifts!AI:AI&lt;=events!V2197))</f>
        <v>76</v>
      </c>
      <c r="X2197" t="str">
        <f t="shared" si="1121"/>
        <v>opp_team_player_1</v>
      </c>
      <c r="Y2197">
        <f>COUNTIFS(A$3:A2197,"="&amp;A2197,K$3:K2197,"="&amp;K2197)</f>
        <v>1</v>
      </c>
      <c r="Z2197" s="20">
        <f>SUMIFS(T$3:T2197,L$3:L2197,"=Intermission")+SUMIFS(T$3:T2197,L$3:L2197,"=Timeout")+SUMIFS(T$3:T2197,L$3:L2197,"=Clockstop")</f>
        <v>138</v>
      </c>
      <c r="AA2197">
        <f t="shared" si="1112"/>
        <v>2298</v>
      </c>
      <c r="AC2197">
        <f t="shared" si="1113"/>
        <v>2436</v>
      </c>
    </row>
    <row r="2198" spans="1:29" x14ac:dyDescent="0.2">
      <c r="A2198">
        <v>1187</v>
      </c>
      <c r="D2198">
        <f t="shared" si="1114"/>
        <v>3</v>
      </c>
      <c r="E2198">
        <v>7</v>
      </c>
      <c r="F2198" s="6" t="s">
        <v>313</v>
      </c>
      <c r="I2198" t="s">
        <v>178</v>
      </c>
      <c r="J2198">
        <v>33</v>
      </c>
      <c r="K2198" t="s">
        <v>489</v>
      </c>
      <c r="L2198" t="s">
        <v>8</v>
      </c>
      <c r="M2198" t="s">
        <v>209</v>
      </c>
      <c r="N2198" t="s">
        <v>70</v>
      </c>
      <c r="Q2198">
        <f t="shared" ref="Q2198:S2198" si="1136">Q2197</f>
        <v>18977</v>
      </c>
      <c r="R2198" t="str">
        <f t="shared" si="1136"/>
        <v>Velodrome</v>
      </c>
      <c r="S2198" t="str">
        <f t="shared" si="1136"/>
        <v>HollowBrook</v>
      </c>
      <c r="T2198" s="20">
        <f t="shared" si="1118"/>
        <v>0</v>
      </c>
      <c r="U2198">
        <f t="shared" si="1119"/>
        <v>428</v>
      </c>
      <c r="V2198">
        <f t="shared" si="1120"/>
        <v>428</v>
      </c>
      <c r="W2198" cm="1">
        <f t="array" ref="W2198">_xlfn._xlws.FILTER(shifts!A:A,(shifts!B:B=events!D2198)*(shifts!AH:AH&gt;=events!U2198)*(shifts!AI:AI&lt;=events!V2198))</f>
        <v>76</v>
      </c>
      <c r="X2198" t="str">
        <f t="shared" si="1121"/>
        <v>opp_team_player_2</v>
      </c>
      <c r="Y2198">
        <f>COUNTIFS(A$3:A2198,"="&amp;A2198,K$3:K2198,"="&amp;K2198)</f>
        <v>2</v>
      </c>
      <c r="Z2198" s="20">
        <f>SUMIFS(T$3:T2198,L$3:L2198,"=Intermission")+SUMIFS(T$3:T2198,L$3:L2198,"=Timeout")+SUMIFS(T$3:T2198,L$3:L2198,"=Clockstop")</f>
        <v>138</v>
      </c>
      <c r="AA2198">
        <f t="shared" si="1112"/>
        <v>2298</v>
      </c>
      <c r="AC2198">
        <f t="shared" si="1113"/>
        <v>2436</v>
      </c>
    </row>
    <row r="2199" spans="1:29" x14ac:dyDescent="0.2">
      <c r="A2199">
        <v>1188</v>
      </c>
      <c r="D2199">
        <f t="shared" si="1114"/>
        <v>3</v>
      </c>
      <c r="E2199">
        <v>7</v>
      </c>
      <c r="F2199" s="6" t="s">
        <v>313</v>
      </c>
      <c r="I2199" t="s">
        <v>178</v>
      </c>
      <c r="J2199">
        <v>22</v>
      </c>
      <c r="K2199" t="s">
        <v>488</v>
      </c>
      <c r="L2199" t="s">
        <v>10</v>
      </c>
      <c r="M2199" t="s">
        <v>190</v>
      </c>
      <c r="N2199" t="s">
        <v>77</v>
      </c>
      <c r="Q2199">
        <f t="shared" ref="Q2199:S2199" si="1137">Q2198</f>
        <v>18977</v>
      </c>
      <c r="R2199" t="str">
        <f t="shared" si="1137"/>
        <v>Velodrome</v>
      </c>
      <c r="S2199" t="str">
        <f t="shared" si="1137"/>
        <v>HollowBrook</v>
      </c>
      <c r="T2199" s="20">
        <f t="shared" si="1118"/>
        <v>0</v>
      </c>
      <c r="U2199">
        <f t="shared" si="1119"/>
        <v>428</v>
      </c>
      <c r="V2199">
        <f t="shared" si="1120"/>
        <v>428</v>
      </c>
      <c r="W2199" cm="1">
        <f t="array" ref="W2199">_xlfn._xlws.FILTER(shifts!A:A,(shifts!B:B=events!D2199)*(shifts!AH:AH&gt;=events!U2199)*(shifts!AI:AI&lt;=events!V2199))</f>
        <v>76</v>
      </c>
      <c r="X2199" t="str">
        <f t="shared" si="1121"/>
        <v>event_team_player_1</v>
      </c>
      <c r="Y2199">
        <f>COUNTIFS(A$3:A2199,"="&amp;A2199,K$3:K2199,"="&amp;K2199)</f>
        <v>1</v>
      </c>
      <c r="Z2199" s="20">
        <f>SUMIFS(T$3:T2199,L$3:L2199,"=Intermission")+SUMIFS(T$3:T2199,L$3:L2199,"=Timeout")+SUMIFS(T$3:T2199,L$3:L2199,"=Clockstop")</f>
        <v>138</v>
      </c>
      <c r="AA2199">
        <f t="shared" si="1112"/>
        <v>2298</v>
      </c>
      <c r="AC2199">
        <f t="shared" si="1113"/>
        <v>2436</v>
      </c>
    </row>
    <row r="2200" spans="1:29" x14ac:dyDescent="0.2">
      <c r="A2200">
        <v>1188</v>
      </c>
      <c r="D2200">
        <f t="shared" si="1114"/>
        <v>3</v>
      </c>
      <c r="E2200">
        <v>7</v>
      </c>
      <c r="F2200" s="6" t="s">
        <v>313</v>
      </c>
      <c r="I2200" t="s">
        <v>178</v>
      </c>
      <c r="J2200">
        <v>33</v>
      </c>
      <c r="K2200" t="s">
        <v>489</v>
      </c>
      <c r="L2200" t="s">
        <v>10</v>
      </c>
      <c r="M2200" t="s">
        <v>190</v>
      </c>
      <c r="N2200" t="s">
        <v>77</v>
      </c>
      <c r="Q2200">
        <f t="shared" ref="Q2200:S2200" si="1138">Q2199</f>
        <v>18977</v>
      </c>
      <c r="R2200" t="str">
        <f t="shared" si="1138"/>
        <v>Velodrome</v>
      </c>
      <c r="S2200" t="str">
        <f t="shared" si="1138"/>
        <v>HollowBrook</v>
      </c>
      <c r="T2200" s="20">
        <f t="shared" si="1118"/>
        <v>0</v>
      </c>
      <c r="U2200">
        <f t="shared" si="1119"/>
        <v>428</v>
      </c>
      <c r="V2200">
        <f t="shared" si="1120"/>
        <v>428</v>
      </c>
      <c r="W2200" cm="1">
        <f t="array" ref="W2200">_xlfn._xlws.FILTER(shifts!A:A,(shifts!B:B=events!D2200)*(shifts!AH:AH&gt;=events!U2200)*(shifts!AI:AI&lt;=events!V2200))</f>
        <v>76</v>
      </c>
      <c r="X2200" t="str">
        <f t="shared" si="1121"/>
        <v>opp_team_player_1</v>
      </c>
      <c r="Y2200">
        <f>COUNTIFS(A$3:A2200,"="&amp;A2200,K$3:K2200,"="&amp;K2200)</f>
        <v>1</v>
      </c>
      <c r="Z2200" s="20">
        <f>SUMIFS(T$3:T2200,L$3:L2200,"=Intermission")+SUMIFS(T$3:T2200,L$3:L2200,"=Timeout")+SUMIFS(T$3:T2200,L$3:L2200,"=Clockstop")</f>
        <v>138</v>
      </c>
      <c r="AA2200">
        <f t="shared" si="1112"/>
        <v>2298</v>
      </c>
      <c r="AC2200">
        <f t="shared" si="1113"/>
        <v>2436</v>
      </c>
    </row>
    <row r="2201" spans="1:29" x14ac:dyDescent="0.2">
      <c r="A2201">
        <v>1189</v>
      </c>
      <c r="D2201">
        <f t="shared" si="1114"/>
        <v>3</v>
      </c>
      <c r="E2201">
        <v>7</v>
      </c>
      <c r="F2201" s="6" t="s">
        <v>311</v>
      </c>
      <c r="I2201" t="s">
        <v>179</v>
      </c>
      <c r="J2201">
        <v>13</v>
      </c>
      <c r="K2201" t="s">
        <v>488</v>
      </c>
      <c r="L2201" t="s">
        <v>8</v>
      </c>
      <c r="M2201" t="s">
        <v>189</v>
      </c>
      <c r="N2201" t="s">
        <v>72</v>
      </c>
      <c r="Q2201">
        <f t="shared" ref="Q2201:S2201" si="1139">Q2200</f>
        <v>18977</v>
      </c>
      <c r="R2201" t="str">
        <f t="shared" si="1139"/>
        <v>Velodrome</v>
      </c>
      <c r="S2201" t="str">
        <f t="shared" si="1139"/>
        <v>HollowBrook</v>
      </c>
      <c r="T2201" s="20">
        <f t="shared" si="1118"/>
        <v>0</v>
      </c>
      <c r="U2201">
        <f t="shared" si="1119"/>
        <v>423</v>
      </c>
      <c r="V2201">
        <f t="shared" si="1120"/>
        <v>423</v>
      </c>
      <c r="W2201" cm="1">
        <f t="array" ref="W2201">_xlfn._xlws.FILTER(shifts!A:A,(shifts!B:B=events!D2201)*(shifts!AH:AH&gt;=events!U2201)*(shifts!AI:AI&lt;=events!V2201))</f>
        <v>76</v>
      </c>
      <c r="X2201" t="str">
        <f t="shared" si="1121"/>
        <v>event_team_player_1</v>
      </c>
      <c r="Y2201">
        <f>COUNTIFS(A$3:A2201,"="&amp;A2201,K$3:K2201,"="&amp;K2201)</f>
        <v>1</v>
      </c>
      <c r="Z2201" s="20">
        <f>SUMIFS(T$3:T2201,L$3:L2201,"=Intermission")+SUMIFS(T$3:T2201,L$3:L2201,"=Timeout")+SUMIFS(T$3:T2201,L$3:L2201,"=Clockstop")</f>
        <v>138</v>
      </c>
      <c r="AA2201">
        <f t="shared" si="1112"/>
        <v>2298</v>
      </c>
      <c r="AC2201">
        <f t="shared" si="1113"/>
        <v>2436</v>
      </c>
    </row>
    <row r="2202" spans="1:29" x14ac:dyDescent="0.2">
      <c r="A2202">
        <v>1189</v>
      </c>
      <c r="D2202">
        <f t="shared" si="1114"/>
        <v>3</v>
      </c>
      <c r="E2202">
        <v>7</v>
      </c>
      <c r="F2202" s="6" t="s">
        <v>311</v>
      </c>
      <c r="I2202" t="s">
        <v>179</v>
      </c>
      <c r="J2202">
        <v>19</v>
      </c>
      <c r="K2202" t="s">
        <v>488</v>
      </c>
      <c r="L2202" t="s">
        <v>8</v>
      </c>
      <c r="M2202" t="s">
        <v>189</v>
      </c>
      <c r="N2202" t="s">
        <v>72</v>
      </c>
      <c r="Q2202">
        <f t="shared" ref="Q2202:S2202" si="1140">Q2201</f>
        <v>18977</v>
      </c>
      <c r="R2202" t="str">
        <f t="shared" si="1140"/>
        <v>Velodrome</v>
      </c>
      <c r="S2202" t="str">
        <f t="shared" si="1140"/>
        <v>HollowBrook</v>
      </c>
      <c r="T2202" s="20">
        <f t="shared" si="1118"/>
        <v>0</v>
      </c>
      <c r="U2202">
        <f t="shared" si="1119"/>
        <v>423</v>
      </c>
      <c r="V2202">
        <f t="shared" si="1120"/>
        <v>423</v>
      </c>
      <c r="W2202" cm="1">
        <f t="array" ref="W2202">_xlfn._xlws.FILTER(shifts!A:A,(shifts!B:B=events!D2202)*(shifts!AH:AH&gt;=events!U2202)*(shifts!AI:AI&lt;=events!V2202))</f>
        <v>76</v>
      </c>
      <c r="X2202" t="str">
        <f t="shared" si="1121"/>
        <v>event_team_player_2</v>
      </c>
      <c r="Y2202">
        <f>COUNTIFS(A$3:A2202,"="&amp;A2202,K$3:K2202,"="&amp;K2202)</f>
        <v>2</v>
      </c>
      <c r="Z2202" s="20">
        <f>SUMIFS(T$3:T2202,L$3:L2202,"=Intermission")+SUMIFS(T$3:T2202,L$3:L2202,"=Timeout")+SUMIFS(T$3:T2202,L$3:L2202,"=Clockstop")</f>
        <v>138</v>
      </c>
      <c r="AA2202">
        <f t="shared" si="1112"/>
        <v>2298</v>
      </c>
      <c r="AC2202">
        <f t="shared" si="1113"/>
        <v>2436</v>
      </c>
    </row>
    <row r="2203" spans="1:29" x14ac:dyDescent="0.2">
      <c r="A2203">
        <v>1190</v>
      </c>
      <c r="D2203">
        <f t="shared" si="1114"/>
        <v>3</v>
      </c>
      <c r="E2203">
        <v>7</v>
      </c>
      <c r="F2203" s="6" t="s">
        <v>311</v>
      </c>
      <c r="G2203">
        <v>7</v>
      </c>
      <c r="H2203" s="8" t="s">
        <v>316</v>
      </c>
      <c r="I2203" t="s">
        <v>179</v>
      </c>
      <c r="J2203">
        <v>19</v>
      </c>
      <c r="K2203" t="s">
        <v>488</v>
      </c>
      <c r="L2203" t="s">
        <v>277</v>
      </c>
      <c r="M2203" t="s">
        <v>201</v>
      </c>
      <c r="N2203" t="s">
        <v>90</v>
      </c>
      <c r="Q2203">
        <f t="shared" ref="Q2203:S2203" si="1141">Q2202</f>
        <v>18977</v>
      </c>
      <c r="R2203" t="str">
        <f t="shared" si="1141"/>
        <v>Velodrome</v>
      </c>
      <c r="S2203" t="str">
        <f t="shared" si="1141"/>
        <v>HollowBrook</v>
      </c>
      <c r="T2203" s="20">
        <f t="shared" si="1118"/>
        <v>1</v>
      </c>
      <c r="U2203">
        <f t="shared" si="1119"/>
        <v>423</v>
      </c>
      <c r="V2203">
        <f t="shared" si="1120"/>
        <v>422</v>
      </c>
      <c r="W2203" cm="1">
        <f t="array" ref="W2203">_xlfn._xlws.FILTER(shifts!A:A,(shifts!B:B=events!D2203)*(shifts!AH:AH&gt;=events!U2203)*(shifts!AI:AI&lt;=events!V2203))</f>
        <v>76</v>
      </c>
      <c r="X2203" t="str">
        <f t="shared" si="1121"/>
        <v>event_team_player_1</v>
      </c>
      <c r="Y2203">
        <f>COUNTIFS(A$3:A2203,"="&amp;A2203,K$3:K2203,"="&amp;K2203)</f>
        <v>1</v>
      </c>
      <c r="Z2203" s="20">
        <f>SUMIFS(T$3:T2203,L$3:L2203,"=Intermission")+SUMIFS(T$3:T2203,L$3:L2203,"=Timeout")+SUMIFS(T$3:T2203,L$3:L2203,"=Clockstop")</f>
        <v>138</v>
      </c>
      <c r="AA2203">
        <f t="shared" si="1112"/>
        <v>2298</v>
      </c>
      <c r="AC2203">
        <f t="shared" si="1113"/>
        <v>2436</v>
      </c>
    </row>
    <row r="2204" spans="1:29" x14ac:dyDescent="0.2">
      <c r="A2204">
        <v>1191</v>
      </c>
      <c r="D2204">
        <f t="shared" si="1114"/>
        <v>3</v>
      </c>
      <c r="E2204">
        <v>7</v>
      </c>
      <c r="F2204" s="6" t="s">
        <v>316</v>
      </c>
      <c r="G2204">
        <v>7</v>
      </c>
      <c r="H2204" s="8" t="s">
        <v>426</v>
      </c>
      <c r="I2204" t="s">
        <v>179</v>
      </c>
      <c r="J2204">
        <v>19</v>
      </c>
      <c r="K2204" t="s">
        <v>488</v>
      </c>
      <c r="L2204" t="s">
        <v>15</v>
      </c>
      <c r="Q2204">
        <f t="shared" ref="Q2204:S2204" si="1142">Q2203</f>
        <v>18977</v>
      </c>
      <c r="R2204" t="str">
        <f t="shared" si="1142"/>
        <v>Velodrome</v>
      </c>
      <c r="S2204" t="str">
        <f t="shared" si="1142"/>
        <v>HollowBrook</v>
      </c>
      <c r="T2204" s="20">
        <f t="shared" si="1118"/>
        <v>2</v>
      </c>
      <c r="U2204">
        <f t="shared" si="1119"/>
        <v>422</v>
      </c>
      <c r="V2204">
        <f t="shared" si="1120"/>
        <v>420</v>
      </c>
      <c r="W2204" cm="1">
        <f t="array" ref="W2204">_xlfn._xlws.FILTER(shifts!A:A,(shifts!B:B=events!D2204)*(shifts!AH:AH&gt;=events!U2204)*(shifts!AI:AI&lt;=events!V2204))</f>
        <v>76</v>
      </c>
      <c r="X2204" t="str">
        <f t="shared" si="1121"/>
        <v>event_team_player_1</v>
      </c>
      <c r="Y2204">
        <f>COUNTIFS(A$3:A2204,"="&amp;A2204,K$3:K2204,"="&amp;K2204)</f>
        <v>1</v>
      </c>
      <c r="Z2204" s="20">
        <f>SUMIFS(T$3:T2204,L$3:L2204,"=Intermission")+SUMIFS(T$3:T2204,L$3:L2204,"=Timeout")+SUMIFS(T$3:T2204,L$3:L2204,"=Clockstop")</f>
        <v>138</v>
      </c>
      <c r="AA2204">
        <f t="shared" si="1112"/>
        <v>2298</v>
      </c>
      <c r="AC2204">
        <f t="shared" si="1113"/>
        <v>2436</v>
      </c>
    </row>
    <row r="2205" spans="1:29" x14ac:dyDescent="0.2">
      <c r="A2205">
        <v>1192</v>
      </c>
      <c r="D2205">
        <f t="shared" si="1114"/>
        <v>3</v>
      </c>
      <c r="E2205">
        <v>7</v>
      </c>
      <c r="F2205" s="6" t="s">
        <v>426</v>
      </c>
      <c r="G2205">
        <v>6</v>
      </c>
      <c r="H2205" s="8" t="s">
        <v>487</v>
      </c>
      <c r="I2205" t="s">
        <v>179</v>
      </c>
      <c r="J2205">
        <v>19</v>
      </c>
      <c r="K2205" t="s">
        <v>488</v>
      </c>
      <c r="L2205" t="s">
        <v>277</v>
      </c>
      <c r="M2205" t="s">
        <v>191</v>
      </c>
      <c r="N2205" t="s">
        <v>87</v>
      </c>
      <c r="Q2205">
        <f t="shared" ref="Q2205:S2205" si="1143">Q2204</f>
        <v>18977</v>
      </c>
      <c r="R2205" t="str">
        <f t="shared" si="1143"/>
        <v>Velodrome</v>
      </c>
      <c r="S2205" t="str">
        <f t="shared" si="1143"/>
        <v>HollowBrook</v>
      </c>
      <c r="T2205" s="20">
        <f t="shared" si="1118"/>
        <v>1</v>
      </c>
      <c r="U2205">
        <f t="shared" si="1119"/>
        <v>420</v>
      </c>
      <c r="V2205">
        <f t="shared" si="1120"/>
        <v>419</v>
      </c>
      <c r="W2205" cm="1">
        <f t="array" ref="W2205">_xlfn._xlws.FILTER(shifts!A:A,(shifts!B:B=events!D2205)*(shifts!AH:AH&gt;=events!U2205)*(shifts!AI:AI&lt;=events!V2205))</f>
        <v>76</v>
      </c>
      <c r="X2205" t="str">
        <f t="shared" si="1121"/>
        <v>event_team_player_1</v>
      </c>
      <c r="Y2205">
        <f>COUNTIFS(A$3:A2205,"="&amp;A2205,K$3:K2205,"="&amp;K2205)</f>
        <v>1</v>
      </c>
      <c r="Z2205" s="20">
        <f>SUMIFS(T$3:T2205,L$3:L2205,"=Intermission")+SUMIFS(T$3:T2205,L$3:L2205,"=Timeout")+SUMIFS(T$3:T2205,L$3:L2205,"=Clockstop")</f>
        <v>138</v>
      </c>
      <c r="AA2205">
        <f t="shared" si="1112"/>
        <v>2298</v>
      </c>
      <c r="AC2205">
        <f t="shared" si="1113"/>
        <v>2436</v>
      </c>
    </row>
    <row r="2206" spans="1:29" x14ac:dyDescent="0.2">
      <c r="A2206">
        <v>1192</v>
      </c>
      <c r="D2206">
        <f t="shared" si="1114"/>
        <v>3</v>
      </c>
      <c r="E2206">
        <v>7</v>
      </c>
      <c r="F2206" s="6" t="s">
        <v>426</v>
      </c>
      <c r="G2206">
        <v>6</v>
      </c>
      <c r="H2206" s="8" t="s">
        <v>487</v>
      </c>
      <c r="I2206" t="s">
        <v>179</v>
      </c>
      <c r="J2206">
        <v>52</v>
      </c>
      <c r="K2206" t="s">
        <v>489</v>
      </c>
      <c r="L2206" t="s">
        <v>277</v>
      </c>
      <c r="M2206" t="s">
        <v>191</v>
      </c>
      <c r="N2206" t="s">
        <v>87</v>
      </c>
      <c r="Q2206">
        <f t="shared" ref="Q2206:S2206" si="1144">Q2205</f>
        <v>18977</v>
      </c>
      <c r="R2206" t="str">
        <f t="shared" si="1144"/>
        <v>Velodrome</v>
      </c>
      <c r="S2206" t="str">
        <f t="shared" si="1144"/>
        <v>HollowBrook</v>
      </c>
      <c r="T2206" s="20">
        <f t="shared" si="1118"/>
        <v>1</v>
      </c>
      <c r="U2206">
        <f t="shared" si="1119"/>
        <v>420</v>
      </c>
      <c r="V2206">
        <f t="shared" si="1120"/>
        <v>419</v>
      </c>
      <c r="W2206" cm="1">
        <f t="array" ref="W2206">_xlfn._xlws.FILTER(shifts!A:A,(shifts!B:B=events!D2206)*(shifts!AH:AH&gt;=events!U2206)*(shifts!AI:AI&lt;=events!V2206))</f>
        <v>76</v>
      </c>
      <c r="X2206" t="str">
        <f t="shared" si="1121"/>
        <v>opp_team_player_1</v>
      </c>
      <c r="Y2206">
        <f>COUNTIFS(A$3:A2206,"="&amp;A2206,K$3:K2206,"="&amp;K2206)</f>
        <v>1</v>
      </c>
      <c r="Z2206" s="20">
        <f>SUMIFS(T$3:T2206,L$3:L2206,"=Intermission")+SUMIFS(T$3:T2206,L$3:L2206,"=Timeout")+SUMIFS(T$3:T2206,L$3:L2206,"=Clockstop")</f>
        <v>138</v>
      </c>
      <c r="AA2206">
        <f t="shared" si="1112"/>
        <v>2298</v>
      </c>
      <c r="AC2206">
        <f t="shared" si="1113"/>
        <v>2436</v>
      </c>
    </row>
    <row r="2207" spans="1:29" x14ac:dyDescent="0.2">
      <c r="A2207">
        <v>1193</v>
      </c>
      <c r="D2207">
        <f t="shared" si="1114"/>
        <v>3</v>
      </c>
      <c r="E2207">
        <v>6</v>
      </c>
      <c r="F2207" s="6" t="s">
        <v>487</v>
      </c>
      <c r="I2207" t="s">
        <v>179</v>
      </c>
      <c r="J2207">
        <v>19</v>
      </c>
      <c r="K2207" t="s">
        <v>488</v>
      </c>
      <c r="L2207" t="s">
        <v>7</v>
      </c>
      <c r="M2207" t="s">
        <v>208</v>
      </c>
      <c r="N2207" t="s">
        <v>53</v>
      </c>
      <c r="Q2207">
        <f t="shared" ref="Q2207:S2207" si="1145">Q2206</f>
        <v>18977</v>
      </c>
      <c r="R2207" t="str">
        <f t="shared" si="1145"/>
        <v>Velodrome</v>
      </c>
      <c r="S2207" t="str">
        <f t="shared" si="1145"/>
        <v>HollowBrook</v>
      </c>
      <c r="T2207" s="20">
        <f t="shared" si="1118"/>
        <v>0</v>
      </c>
      <c r="U2207">
        <f t="shared" si="1119"/>
        <v>419</v>
      </c>
      <c r="V2207">
        <f t="shared" si="1120"/>
        <v>419</v>
      </c>
      <c r="W2207" cm="1">
        <f t="array" ref="W2207">_xlfn._xlws.FILTER(shifts!A:A,(shifts!B:B=events!D2207)*(shifts!AH:AH&gt;=events!U2207)*(shifts!AI:AI&lt;=events!V2207))</f>
        <v>76</v>
      </c>
      <c r="X2207" t="str">
        <f t="shared" si="1121"/>
        <v>event_team_player_1</v>
      </c>
      <c r="Y2207">
        <f>COUNTIFS(A$3:A2207,"="&amp;A2207,K$3:K2207,"="&amp;K2207)</f>
        <v>1</v>
      </c>
      <c r="Z2207" s="20">
        <f>SUMIFS(T$3:T2207,L$3:L2207,"=Intermission")+SUMIFS(T$3:T2207,L$3:L2207,"=Timeout")+SUMIFS(T$3:T2207,L$3:L2207,"=Clockstop")</f>
        <v>138</v>
      </c>
      <c r="AA2207">
        <f t="shared" si="1112"/>
        <v>2298</v>
      </c>
      <c r="AC2207">
        <f t="shared" si="1113"/>
        <v>2436</v>
      </c>
    </row>
    <row r="2208" spans="1:29" x14ac:dyDescent="0.2">
      <c r="A2208">
        <v>1193</v>
      </c>
      <c r="D2208">
        <f t="shared" si="1114"/>
        <v>3</v>
      </c>
      <c r="E2208">
        <v>6</v>
      </c>
      <c r="F2208" s="6" t="s">
        <v>487</v>
      </c>
      <c r="I2208" t="s">
        <v>179</v>
      </c>
      <c r="J2208">
        <v>52</v>
      </c>
      <c r="K2208" t="s">
        <v>489</v>
      </c>
      <c r="L2208" t="s">
        <v>7</v>
      </c>
      <c r="M2208" t="s">
        <v>208</v>
      </c>
      <c r="N2208" t="s">
        <v>53</v>
      </c>
      <c r="Q2208">
        <f t="shared" ref="Q2208:S2208" si="1146">Q2207</f>
        <v>18977</v>
      </c>
      <c r="R2208" t="str">
        <f t="shared" si="1146"/>
        <v>Velodrome</v>
      </c>
      <c r="S2208" t="str">
        <f t="shared" si="1146"/>
        <v>HollowBrook</v>
      </c>
      <c r="T2208" s="20">
        <f t="shared" si="1118"/>
        <v>0</v>
      </c>
      <c r="U2208">
        <f t="shared" si="1119"/>
        <v>419</v>
      </c>
      <c r="V2208">
        <f t="shared" si="1120"/>
        <v>419</v>
      </c>
      <c r="W2208" cm="1">
        <f t="array" ref="W2208">_xlfn._xlws.FILTER(shifts!A:A,(shifts!B:B=events!D2208)*(shifts!AH:AH&gt;=events!U2208)*(shifts!AI:AI&lt;=events!V2208))</f>
        <v>76</v>
      </c>
      <c r="X2208" t="str">
        <f t="shared" si="1121"/>
        <v>opp_team_player_1</v>
      </c>
      <c r="Y2208">
        <f>COUNTIFS(A$3:A2208,"="&amp;A2208,K$3:K2208,"="&amp;K2208)</f>
        <v>1</v>
      </c>
      <c r="Z2208" s="20">
        <f>SUMIFS(T$3:T2208,L$3:L2208,"=Intermission")+SUMIFS(T$3:T2208,L$3:L2208,"=Timeout")+SUMIFS(T$3:T2208,L$3:L2208,"=Clockstop")</f>
        <v>138</v>
      </c>
      <c r="AA2208">
        <f t="shared" si="1112"/>
        <v>2298</v>
      </c>
      <c r="AC2208">
        <f t="shared" si="1113"/>
        <v>2436</v>
      </c>
    </row>
    <row r="2209" spans="1:29" x14ac:dyDescent="0.2">
      <c r="A2209">
        <v>1194</v>
      </c>
      <c r="D2209">
        <f t="shared" si="1114"/>
        <v>3</v>
      </c>
      <c r="E2209">
        <v>6</v>
      </c>
      <c r="F2209" s="6" t="s">
        <v>421</v>
      </c>
      <c r="I2209" t="s">
        <v>179</v>
      </c>
      <c r="J2209">
        <v>19</v>
      </c>
      <c r="K2209" t="s">
        <v>488</v>
      </c>
      <c r="L2209" t="s">
        <v>8</v>
      </c>
      <c r="M2209" t="s">
        <v>199</v>
      </c>
      <c r="N2209" t="s">
        <v>70</v>
      </c>
      <c r="Q2209">
        <f t="shared" ref="Q2209:S2209" si="1147">Q2208</f>
        <v>18977</v>
      </c>
      <c r="R2209" t="str">
        <f t="shared" si="1147"/>
        <v>Velodrome</v>
      </c>
      <c r="S2209" t="str">
        <f t="shared" si="1147"/>
        <v>HollowBrook</v>
      </c>
      <c r="T2209" s="20">
        <f t="shared" si="1118"/>
        <v>0</v>
      </c>
      <c r="U2209">
        <f t="shared" si="1119"/>
        <v>416</v>
      </c>
      <c r="V2209">
        <f t="shared" si="1120"/>
        <v>416</v>
      </c>
      <c r="W2209" cm="1">
        <f t="array" ref="W2209">_xlfn._xlws.FILTER(shifts!A:A,(shifts!B:B=events!D2209)*(shifts!AH:AH&gt;=events!U2209)*(shifts!AI:AI&lt;=events!V2209))</f>
        <v>76</v>
      </c>
      <c r="X2209" t="str">
        <f t="shared" si="1121"/>
        <v>event_team_player_1</v>
      </c>
      <c r="Y2209">
        <f>COUNTIFS(A$3:A2209,"="&amp;A2209,K$3:K2209,"="&amp;K2209)</f>
        <v>1</v>
      </c>
      <c r="Z2209" s="20">
        <f>SUMIFS(T$3:T2209,L$3:L2209,"=Intermission")+SUMIFS(T$3:T2209,L$3:L2209,"=Timeout")+SUMIFS(T$3:T2209,L$3:L2209,"=Clockstop")</f>
        <v>138</v>
      </c>
      <c r="AA2209">
        <f t="shared" si="1112"/>
        <v>2298</v>
      </c>
      <c r="AC2209">
        <f t="shared" si="1113"/>
        <v>2436</v>
      </c>
    </row>
    <row r="2210" spans="1:29" x14ac:dyDescent="0.2">
      <c r="A2210">
        <v>1194</v>
      </c>
      <c r="D2210">
        <f t="shared" si="1114"/>
        <v>3</v>
      </c>
      <c r="E2210">
        <v>6</v>
      </c>
      <c r="F2210" s="6" t="s">
        <v>421</v>
      </c>
      <c r="I2210" t="s">
        <v>179</v>
      </c>
      <c r="J2210">
        <v>13</v>
      </c>
      <c r="K2210" t="s">
        <v>488</v>
      </c>
      <c r="L2210" t="s">
        <v>8</v>
      </c>
      <c r="M2210" t="s">
        <v>199</v>
      </c>
      <c r="N2210" t="s">
        <v>70</v>
      </c>
      <c r="Q2210">
        <f t="shared" ref="Q2210:S2210" si="1148">Q2209</f>
        <v>18977</v>
      </c>
      <c r="R2210" t="str">
        <f t="shared" si="1148"/>
        <v>Velodrome</v>
      </c>
      <c r="S2210" t="str">
        <f t="shared" si="1148"/>
        <v>HollowBrook</v>
      </c>
      <c r="T2210" s="20">
        <f t="shared" si="1118"/>
        <v>0</v>
      </c>
      <c r="U2210">
        <f t="shared" si="1119"/>
        <v>416</v>
      </c>
      <c r="V2210">
        <f t="shared" si="1120"/>
        <v>416</v>
      </c>
      <c r="W2210" cm="1">
        <f t="array" ref="W2210">_xlfn._xlws.FILTER(shifts!A:A,(shifts!B:B=events!D2210)*(shifts!AH:AH&gt;=events!U2210)*(shifts!AI:AI&lt;=events!V2210))</f>
        <v>76</v>
      </c>
      <c r="X2210" t="str">
        <f t="shared" si="1121"/>
        <v>event_team_player_2</v>
      </c>
      <c r="Y2210">
        <f>COUNTIFS(A$3:A2210,"="&amp;A2210,K$3:K2210,"="&amp;K2210)</f>
        <v>2</v>
      </c>
      <c r="Z2210" s="20">
        <f>SUMIFS(T$3:T2210,L$3:L2210,"=Intermission")+SUMIFS(T$3:T2210,L$3:L2210,"=Timeout")+SUMIFS(T$3:T2210,L$3:L2210,"=Clockstop")</f>
        <v>138</v>
      </c>
      <c r="AA2210">
        <f t="shared" si="1112"/>
        <v>2298</v>
      </c>
      <c r="AC2210">
        <f t="shared" si="1113"/>
        <v>2436</v>
      </c>
    </row>
    <row r="2211" spans="1:29" x14ac:dyDescent="0.2">
      <c r="A2211">
        <v>1194</v>
      </c>
      <c r="D2211">
        <f t="shared" si="1114"/>
        <v>3</v>
      </c>
      <c r="E2211">
        <v>6</v>
      </c>
      <c r="F2211" s="6" t="s">
        <v>421</v>
      </c>
      <c r="I2211" t="s">
        <v>179</v>
      </c>
      <c r="J2211">
        <v>42</v>
      </c>
      <c r="K2211" t="s">
        <v>489</v>
      </c>
      <c r="L2211" t="s">
        <v>8</v>
      </c>
      <c r="M2211" t="s">
        <v>199</v>
      </c>
      <c r="N2211" t="s">
        <v>70</v>
      </c>
      <c r="Q2211">
        <f t="shared" ref="Q2211:S2211" si="1149">Q2210</f>
        <v>18977</v>
      </c>
      <c r="R2211" t="str">
        <f t="shared" si="1149"/>
        <v>Velodrome</v>
      </c>
      <c r="S2211" t="str">
        <f t="shared" si="1149"/>
        <v>HollowBrook</v>
      </c>
      <c r="T2211" s="20">
        <f t="shared" si="1118"/>
        <v>0</v>
      </c>
      <c r="U2211">
        <f t="shared" si="1119"/>
        <v>416</v>
      </c>
      <c r="V2211">
        <f t="shared" si="1120"/>
        <v>416</v>
      </c>
      <c r="W2211" cm="1">
        <f t="array" ref="W2211">_xlfn._xlws.FILTER(shifts!A:A,(shifts!B:B=events!D2211)*(shifts!AH:AH&gt;=events!U2211)*(shifts!AI:AI&lt;=events!V2211))</f>
        <v>76</v>
      </c>
      <c r="X2211" t="str">
        <f t="shared" si="1121"/>
        <v>opp_team_player_1</v>
      </c>
      <c r="Y2211">
        <f>COUNTIFS(A$3:A2211,"="&amp;A2211,K$3:K2211,"="&amp;K2211)</f>
        <v>1</v>
      </c>
      <c r="Z2211" s="20">
        <f>SUMIFS(T$3:T2211,L$3:L2211,"=Intermission")+SUMIFS(T$3:T2211,L$3:L2211,"=Timeout")+SUMIFS(T$3:T2211,L$3:L2211,"=Clockstop")</f>
        <v>138</v>
      </c>
      <c r="AA2211">
        <f t="shared" si="1112"/>
        <v>2298</v>
      </c>
      <c r="AC2211">
        <f t="shared" si="1113"/>
        <v>2436</v>
      </c>
    </row>
    <row r="2212" spans="1:29" x14ac:dyDescent="0.2">
      <c r="A2212">
        <v>1195</v>
      </c>
      <c r="D2212">
        <f t="shared" si="1114"/>
        <v>3</v>
      </c>
      <c r="E2212">
        <v>6</v>
      </c>
      <c r="F2212" s="6" t="s">
        <v>492</v>
      </c>
      <c r="I2212" t="s">
        <v>179</v>
      </c>
      <c r="J2212">
        <v>18</v>
      </c>
      <c r="K2212" t="s">
        <v>488</v>
      </c>
      <c r="L2212" t="s">
        <v>277</v>
      </c>
      <c r="M2212" t="s">
        <v>210</v>
      </c>
      <c r="N2212" t="s">
        <v>93</v>
      </c>
      <c r="Q2212">
        <f t="shared" ref="Q2212:S2212" si="1150">Q2211</f>
        <v>18977</v>
      </c>
      <c r="R2212" t="str">
        <f t="shared" si="1150"/>
        <v>Velodrome</v>
      </c>
      <c r="S2212" t="str">
        <f t="shared" si="1150"/>
        <v>HollowBrook</v>
      </c>
      <c r="T2212" s="20">
        <f t="shared" si="1118"/>
        <v>0</v>
      </c>
      <c r="U2212">
        <f t="shared" si="1119"/>
        <v>413</v>
      </c>
      <c r="V2212">
        <f t="shared" si="1120"/>
        <v>413</v>
      </c>
      <c r="W2212" cm="1">
        <f t="array" ref="W2212">_xlfn._xlws.FILTER(shifts!A:A,(shifts!B:B=events!D2212)*(shifts!AH:AH&gt;=events!U2212)*(shifts!AI:AI&lt;=events!V2212))</f>
        <v>76</v>
      </c>
      <c r="X2212" t="str">
        <f t="shared" si="1121"/>
        <v>event_team_player_1</v>
      </c>
      <c r="Y2212">
        <f>COUNTIFS(A$3:A2212,"="&amp;A2212,K$3:K2212,"="&amp;K2212)</f>
        <v>1</v>
      </c>
      <c r="Z2212" s="20">
        <f>SUMIFS(T$3:T2212,L$3:L2212,"=Intermission")+SUMIFS(T$3:T2212,L$3:L2212,"=Timeout")+SUMIFS(T$3:T2212,L$3:L2212,"=Clockstop")</f>
        <v>138</v>
      </c>
      <c r="AA2212">
        <f t="shared" si="1112"/>
        <v>2298</v>
      </c>
      <c r="AC2212">
        <f t="shared" si="1113"/>
        <v>2436</v>
      </c>
    </row>
    <row r="2213" spans="1:29" x14ac:dyDescent="0.2">
      <c r="A2213">
        <v>1196</v>
      </c>
      <c r="D2213">
        <f t="shared" si="1114"/>
        <v>3</v>
      </c>
      <c r="E2213">
        <v>6</v>
      </c>
      <c r="F2213" s="6" t="s">
        <v>492</v>
      </c>
      <c r="G2213">
        <v>6</v>
      </c>
      <c r="H2213" s="8" t="s">
        <v>428</v>
      </c>
      <c r="I2213" t="s">
        <v>179</v>
      </c>
      <c r="J2213">
        <v>18</v>
      </c>
      <c r="K2213" t="s">
        <v>488</v>
      </c>
      <c r="L2213" t="s">
        <v>7</v>
      </c>
      <c r="M2213" t="s">
        <v>208</v>
      </c>
      <c r="N2213" t="s">
        <v>53</v>
      </c>
      <c r="Q2213">
        <f t="shared" ref="Q2213:S2213" si="1151">Q2212</f>
        <v>18977</v>
      </c>
      <c r="R2213" t="str">
        <f t="shared" si="1151"/>
        <v>Velodrome</v>
      </c>
      <c r="S2213" t="str">
        <f t="shared" si="1151"/>
        <v>HollowBrook</v>
      </c>
      <c r="T2213" s="20">
        <f t="shared" si="1118"/>
        <v>1</v>
      </c>
      <c r="U2213">
        <f t="shared" si="1119"/>
        <v>413</v>
      </c>
      <c r="V2213">
        <f t="shared" si="1120"/>
        <v>412</v>
      </c>
      <c r="W2213" cm="1">
        <f t="array" ref="W2213">_xlfn._xlws.FILTER(shifts!A:A,(shifts!B:B=events!D2213)*(shifts!AH:AH&gt;=events!U2213)*(shifts!AI:AI&lt;=events!V2213))</f>
        <v>76</v>
      </c>
      <c r="X2213" t="str">
        <f t="shared" si="1121"/>
        <v>event_team_player_1</v>
      </c>
      <c r="Y2213">
        <f>COUNTIFS(A$3:A2213,"="&amp;A2213,K$3:K2213,"="&amp;K2213)</f>
        <v>1</v>
      </c>
      <c r="Z2213" s="20">
        <f>SUMIFS(T$3:T2213,L$3:L2213,"=Intermission")+SUMIFS(T$3:T2213,L$3:L2213,"=Timeout")+SUMIFS(T$3:T2213,L$3:L2213,"=Clockstop")</f>
        <v>138</v>
      </c>
      <c r="AA2213">
        <f t="shared" si="1112"/>
        <v>2298</v>
      </c>
      <c r="AC2213">
        <f t="shared" si="1113"/>
        <v>2436</v>
      </c>
    </row>
    <row r="2214" spans="1:29" x14ac:dyDescent="0.2">
      <c r="A2214">
        <v>1196</v>
      </c>
      <c r="D2214">
        <f t="shared" si="1114"/>
        <v>3</v>
      </c>
      <c r="E2214">
        <v>6</v>
      </c>
      <c r="F2214" s="6" t="s">
        <v>428</v>
      </c>
      <c r="I2214" t="s">
        <v>179</v>
      </c>
      <c r="J2214">
        <v>52</v>
      </c>
      <c r="K2214" t="s">
        <v>488</v>
      </c>
      <c r="L2214" t="s">
        <v>7</v>
      </c>
      <c r="M2214" t="s">
        <v>208</v>
      </c>
      <c r="N2214" t="s">
        <v>53</v>
      </c>
      <c r="Q2214">
        <f t="shared" ref="Q2214:S2214" si="1152">Q2213</f>
        <v>18977</v>
      </c>
      <c r="R2214" t="str">
        <f t="shared" si="1152"/>
        <v>Velodrome</v>
      </c>
      <c r="S2214" t="str">
        <f t="shared" si="1152"/>
        <v>HollowBrook</v>
      </c>
      <c r="T2214" s="20">
        <f t="shared" si="1118"/>
        <v>0</v>
      </c>
      <c r="U2214">
        <f t="shared" si="1119"/>
        <v>412</v>
      </c>
      <c r="V2214">
        <f t="shared" si="1120"/>
        <v>412</v>
      </c>
      <c r="W2214" cm="1">
        <f t="array" ref="W2214">_xlfn._xlws.FILTER(shifts!A:A,(shifts!B:B=events!D2214)*(shifts!AH:AH&gt;=events!U2214)*(shifts!AI:AI&lt;=events!V2214))</f>
        <v>76</v>
      </c>
      <c r="X2214" t="str">
        <f t="shared" si="1121"/>
        <v>event_team_player_2</v>
      </c>
      <c r="Y2214">
        <f>COUNTIFS(A$3:A2214,"="&amp;A2214,K$3:K2214,"="&amp;K2214)</f>
        <v>2</v>
      </c>
      <c r="Z2214" s="20">
        <f>SUMIFS(T$3:T2214,L$3:L2214,"=Intermission")+SUMIFS(T$3:T2214,L$3:L2214,"=Timeout")+SUMIFS(T$3:T2214,L$3:L2214,"=Clockstop")</f>
        <v>138</v>
      </c>
      <c r="AA2214">
        <f t="shared" si="1112"/>
        <v>2298</v>
      </c>
      <c r="AC2214">
        <f t="shared" si="1113"/>
        <v>2436</v>
      </c>
    </row>
    <row r="2215" spans="1:29" x14ac:dyDescent="0.2">
      <c r="A2215">
        <v>1196</v>
      </c>
      <c r="D2215">
        <f t="shared" si="1114"/>
        <v>3</v>
      </c>
      <c r="E2215">
        <v>6</v>
      </c>
      <c r="F2215" s="6" t="s">
        <v>428</v>
      </c>
      <c r="I2215" t="s">
        <v>179</v>
      </c>
      <c r="J2215">
        <v>61</v>
      </c>
      <c r="K2215" t="s">
        <v>488</v>
      </c>
      <c r="L2215" t="s">
        <v>7</v>
      </c>
      <c r="M2215" t="s">
        <v>208</v>
      </c>
      <c r="N2215" t="s">
        <v>53</v>
      </c>
      <c r="Q2215">
        <f t="shared" ref="Q2215:S2215" si="1153">Q2214</f>
        <v>18977</v>
      </c>
      <c r="R2215" t="str">
        <f t="shared" si="1153"/>
        <v>Velodrome</v>
      </c>
      <c r="S2215" t="str">
        <f t="shared" si="1153"/>
        <v>HollowBrook</v>
      </c>
      <c r="T2215" s="20">
        <f t="shared" si="1118"/>
        <v>0</v>
      </c>
      <c r="U2215">
        <f t="shared" si="1119"/>
        <v>412</v>
      </c>
      <c r="V2215">
        <f t="shared" si="1120"/>
        <v>412</v>
      </c>
      <c r="W2215" cm="1">
        <f t="array" ref="W2215">_xlfn._xlws.FILTER(shifts!A:A,(shifts!B:B=events!D2215)*(shifts!AH:AH&gt;=events!U2215)*(shifts!AI:AI&lt;=events!V2215))</f>
        <v>76</v>
      </c>
      <c r="X2215" t="str">
        <f t="shared" si="1121"/>
        <v>event_team_player_3</v>
      </c>
      <c r="Y2215">
        <f>COUNTIFS(A$3:A2215,"="&amp;A2215,K$3:K2215,"="&amp;K2215)</f>
        <v>3</v>
      </c>
      <c r="Z2215" s="20">
        <f>SUMIFS(T$3:T2215,L$3:L2215,"=Intermission")+SUMIFS(T$3:T2215,L$3:L2215,"=Timeout")+SUMIFS(T$3:T2215,L$3:L2215,"=Clockstop")</f>
        <v>138</v>
      </c>
      <c r="AA2215">
        <f t="shared" si="1112"/>
        <v>2298</v>
      </c>
      <c r="AC2215">
        <f t="shared" si="1113"/>
        <v>2436</v>
      </c>
    </row>
    <row r="2216" spans="1:29" x14ac:dyDescent="0.2">
      <c r="A2216">
        <v>1197</v>
      </c>
      <c r="D2216">
        <f t="shared" si="1114"/>
        <v>3</v>
      </c>
      <c r="E2216">
        <v>6</v>
      </c>
      <c r="F2216" s="6" t="s">
        <v>432</v>
      </c>
      <c r="I2216" t="s">
        <v>179</v>
      </c>
      <c r="J2216">
        <v>19</v>
      </c>
      <c r="K2216" t="s">
        <v>488</v>
      </c>
      <c r="L2216" t="s">
        <v>7</v>
      </c>
      <c r="M2216" t="s">
        <v>222</v>
      </c>
      <c r="N2216" t="s">
        <v>59</v>
      </c>
      <c r="Q2216">
        <f t="shared" ref="Q2216:S2216" si="1154">Q2215</f>
        <v>18977</v>
      </c>
      <c r="R2216" t="str">
        <f t="shared" si="1154"/>
        <v>Velodrome</v>
      </c>
      <c r="S2216" t="str">
        <f t="shared" si="1154"/>
        <v>HollowBrook</v>
      </c>
      <c r="T2216" s="20">
        <f t="shared" si="1118"/>
        <v>0</v>
      </c>
      <c r="U2216">
        <f t="shared" si="1119"/>
        <v>410</v>
      </c>
      <c r="V2216">
        <f t="shared" si="1120"/>
        <v>410</v>
      </c>
      <c r="W2216" cm="1">
        <f t="array" ref="W2216">_xlfn._xlws.FILTER(shifts!A:A,(shifts!B:B=events!D2216)*(shifts!AH:AH&gt;=events!U2216)*(shifts!AI:AI&lt;=events!V2216))</f>
        <v>76</v>
      </c>
      <c r="X2216" t="str">
        <f t="shared" si="1121"/>
        <v>event_team_player_1</v>
      </c>
      <c r="Y2216">
        <f>COUNTIFS(A$3:A2216,"="&amp;A2216,K$3:K2216,"="&amp;K2216)</f>
        <v>1</v>
      </c>
      <c r="Z2216" s="20">
        <f>SUMIFS(T$3:T2216,L$3:L2216,"=Intermission")+SUMIFS(T$3:T2216,L$3:L2216,"=Timeout")+SUMIFS(T$3:T2216,L$3:L2216,"=Clockstop")</f>
        <v>138</v>
      </c>
      <c r="AA2216">
        <f t="shared" si="1112"/>
        <v>2298</v>
      </c>
      <c r="AC2216">
        <f t="shared" si="1113"/>
        <v>2436</v>
      </c>
    </row>
    <row r="2217" spans="1:29" x14ac:dyDescent="0.2">
      <c r="A2217">
        <v>1197</v>
      </c>
      <c r="D2217">
        <f t="shared" si="1114"/>
        <v>3</v>
      </c>
      <c r="E2217">
        <v>6</v>
      </c>
      <c r="F2217" s="6" t="s">
        <v>432</v>
      </c>
      <c r="I2217" t="s">
        <v>179</v>
      </c>
      <c r="J2217">
        <v>39</v>
      </c>
      <c r="K2217" t="s">
        <v>489</v>
      </c>
      <c r="L2217" t="s">
        <v>7</v>
      </c>
      <c r="M2217" t="s">
        <v>222</v>
      </c>
      <c r="N2217" t="s">
        <v>59</v>
      </c>
      <c r="Q2217">
        <f t="shared" ref="Q2217:S2217" si="1155">Q2216</f>
        <v>18977</v>
      </c>
      <c r="R2217" t="str">
        <f t="shared" si="1155"/>
        <v>Velodrome</v>
      </c>
      <c r="S2217" t="str">
        <f t="shared" si="1155"/>
        <v>HollowBrook</v>
      </c>
      <c r="T2217" s="20">
        <f t="shared" si="1118"/>
        <v>0</v>
      </c>
      <c r="U2217">
        <f t="shared" si="1119"/>
        <v>410</v>
      </c>
      <c r="V2217">
        <f t="shared" si="1120"/>
        <v>410</v>
      </c>
      <c r="W2217" cm="1">
        <f t="array" ref="W2217">_xlfn._xlws.FILTER(shifts!A:A,(shifts!B:B=events!D2217)*(shifts!AH:AH&gt;=events!U2217)*(shifts!AI:AI&lt;=events!V2217))</f>
        <v>76</v>
      </c>
      <c r="X2217" t="str">
        <f t="shared" si="1121"/>
        <v>opp_team_player_1</v>
      </c>
      <c r="Y2217">
        <f>COUNTIFS(A$3:A2217,"="&amp;A2217,K$3:K2217,"="&amp;K2217)</f>
        <v>1</v>
      </c>
      <c r="Z2217" s="20">
        <f>SUMIFS(T$3:T2217,L$3:L2217,"=Intermission")+SUMIFS(T$3:T2217,L$3:L2217,"=Timeout")+SUMIFS(T$3:T2217,L$3:L2217,"=Clockstop")</f>
        <v>138</v>
      </c>
      <c r="AA2217">
        <f t="shared" si="1112"/>
        <v>2298</v>
      </c>
      <c r="AC2217">
        <f t="shared" si="1113"/>
        <v>2436</v>
      </c>
    </row>
    <row r="2218" spans="1:29" x14ac:dyDescent="0.2">
      <c r="A2218">
        <v>1198</v>
      </c>
      <c r="D2218">
        <f t="shared" si="1114"/>
        <v>3</v>
      </c>
      <c r="E2218">
        <v>6</v>
      </c>
      <c r="F2218" s="6" t="s">
        <v>432</v>
      </c>
      <c r="I2218" t="s">
        <v>178</v>
      </c>
      <c r="J2218">
        <v>39</v>
      </c>
      <c r="K2218" t="s">
        <v>488</v>
      </c>
      <c r="L2218" t="s">
        <v>17</v>
      </c>
      <c r="M2218" t="s">
        <v>196</v>
      </c>
      <c r="N2218" t="s">
        <v>99</v>
      </c>
      <c r="Q2218">
        <f t="shared" ref="Q2218:S2218" si="1156">Q2217</f>
        <v>18977</v>
      </c>
      <c r="R2218" t="str">
        <f t="shared" si="1156"/>
        <v>Velodrome</v>
      </c>
      <c r="S2218" t="str">
        <f t="shared" si="1156"/>
        <v>HollowBrook</v>
      </c>
      <c r="T2218" s="20">
        <f t="shared" si="1118"/>
        <v>0</v>
      </c>
      <c r="U2218">
        <f t="shared" si="1119"/>
        <v>410</v>
      </c>
      <c r="V2218">
        <f t="shared" si="1120"/>
        <v>410</v>
      </c>
      <c r="W2218" cm="1">
        <f t="array" ref="W2218">_xlfn._xlws.FILTER(shifts!A:A,(shifts!B:B=events!D2218)*(shifts!AH:AH&gt;=events!U2218)*(shifts!AI:AI&lt;=events!V2218))</f>
        <v>76</v>
      </c>
      <c r="X2218" t="str">
        <f t="shared" si="1121"/>
        <v>event_team_player_1</v>
      </c>
      <c r="Y2218">
        <f>COUNTIFS(A$3:A2218,"="&amp;A2218,K$3:K2218,"="&amp;K2218)</f>
        <v>1</v>
      </c>
      <c r="Z2218" s="20">
        <f>SUMIFS(T$3:T2218,L$3:L2218,"=Intermission")+SUMIFS(T$3:T2218,L$3:L2218,"=Timeout")+SUMIFS(T$3:T2218,L$3:L2218,"=Clockstop")</f>
        <v>138</v>
      </c>
      <c r="AA2218">
        <f t="shared" si="1112"/>
        <v>2298</v>
      </c>
      <c r="AC2218">
        <f t="shared" si="1113"/>
        <v>2436</v>
      </c>
    </row>
    <row r="2219" spans="1:29" x14ac:dyDescent="0.2">
      <c r="A2219">
        <v>1198</v>
      </c>
      <c r="D2219">
        <f t="shared" si="1114"/>
        <v>3</v>
      </c>
      <c r="E2219">
        <v>6</v>
      </c>
      <c r="F2219" s="6" t="s">
        <v>432</v>
      </c>
      <c r="I2219" t="s">
        <v>178</v>
      </c>
      <c r="J2219">
        <v>19</v>
      </c>
      <c r="K2219" t="s">
        <v>489</v>
      </c>
      <c r="L2219" t="s">
        <v>17</v>
      </c>
      <c r="M2219" t="s">
        <v>196</v>
      </c>
      <c r="N2219" t="s">
        <v>99</v>
      </c>
      <c r="Q2219">
        <f t="shared" ref="Q2219:S2219" si="1157">Q2218</f>
        <v>18977</v>
      </c>
      <c r="R2219" t="str">
        <f t="shared" si="1157"/>
        <v>Velodrome</v>
      </c>
      <c r="S2219" t="str">
        <f t="shared" si="1157"/>
        <v>HollowBrook</v>
      </c>
      <c r="T2219" s="20">
        <f t="shared" si="1118"/>
        <v>0</v>
      </c>
      <c r="U2219">
        <f t="shared" si="1119"/>
        <v>410</v>
      </c>
      <c r="V2219">
        <f t="shared" si="1120"/>
        <v>410</v>
      </c>
      <c r="W2219" cm="1">
        <f t="array" ref="W2219">_xlfn._xlws.FILTER(shifts!A:A,(shifts!B:B=events!D2219)*(shifts!AH:AH&gt;=events!U2219)*(shifts!AI:AI&lt;=events!V2219))</f>
        <v>76</v>
      </c>
      <c r="X2219" t="str">
        <f t="shared" si="1121"/>
        <v>opp_team_player_1</v>
      </c>
      <c r="Y2219">
        <f>COUNTIFS(A$3:A2219,"="&amp;A2219,K$3:K2219,"="&amp;K2219)</f>
        <v>1</v>
      </c>
      <c r="Z2219" s="20">
        <f>SUMIFS(T$3:T2219,L$3:L2219,"=Intermission")+SUMIFS(T$3:T2219,L$3:L2219,"=Timeout")+SUMIFS(T$3:T2219,L$3:L2219,"=Clockstop")</f>
        <v>138</v>
      </c>
      <c r="AA2219">
        <f t="shared" si="1112"/>
        <v>2298</v>
      </c>
      <c r="AC2219">
        <f t="shared" si="1113"/>
        <v>2436</v>
      </c>
    </row>
    <row r="2220" spans="1:29" x14ac:dyDescent="0.2">
      <c r="A2220">
        <v>1199</v>
      </c>
      <c r="D2220">
        <f t="shared" si="1114"/>
        <v>3</v>
      </c>
      <c r="E2220">
        <v>6</v>
      </c>
      <c r="F2220" s="6" t="s">
        <v>432</v>
      </c>
      <c r="I2220" t="s">
        <v>178</v>
      </c>
      <c r="J2220">
        <v>39</v>
      </c>
      <c r="K2220" t="s">
        <v>488</v>
      </c>
      <c r="L2220" t="s">
        <v>270</v>
      </c>
      <c r="M2220" t="s">
        <v>273</v>
      </c>
      <c r="Q2220">
        <f t="shared" ref="Q2220:S2220" si="1158">Q2219</f>
        <v>18977</v>
      </c>
      <c r="R2220" t="str">
        <f t="shared" si="1158"/>
        <v>Velodrome</v>
      </c>
      <c r="S2220" t="str">
        <f t="shared" si="1158"/>
        <v>HollowBrook</v>
      </c>
      <c r="T2220" s="20">
        <f t="shared" si="1118"/>
        <v>0</v>
      </c>
      <c r="U2220">
        <f t="shared" si="1119"/>
        <v>410</v>
      </c>
      <c r="V2220">
        <f t="shared" si="1120"/>
        <v>410</v>
      </c>
      <c r="W2220" cm="1">
        <f t="array" ref="W2220">_xlfn._xlws.FILTER(shifts!A:A,(shifts!B:B=events!D2220)*(shifts!AH:AH&gt;=events!U2220)*(shifts!AI:AI&lt;=events!V2220))</f>
        <v>76</v>
      </c>
      <c r="X2220" t="str">
        <f t="shared" si="1121"/>
        <v>event_team_player_1</v>
      </c>
      <c r="Y2220">
        <f>COUNTIFS(A$3:A2220,"="&amp;A2220,K$3:K2220,"="&amp;K2220)</f>
        <v>1</v>
      </c>
      <c r="Z2220" s="20">
        <f>SUMIFS(T$3:T2220,L$3:L2220,"=Intermission")+SUMIFS(T$3:T2220,L$3:L2220,"=Timeout")+SUMIFS(T$3:T2220,L$3:L2220,"=Clockstop")</f>
        <v>138</v>
      </c>
      <c r="AA2220">
        <f t="shared" si="1112"/>
        <v>2298</v>
      </c>
      <c r="AC2220">
        <f t="shared" si="1113"/>
        <v>2436</v>
      </c>
    </row>
    <row r="2221" spans="1:29" x14ac:dyDescent="0.2">
      <c r="A2221">
        <v>1200</v>
      </c>
      <c r="D2221">
        <f t="shared" si="1114"/>
        <v>3</v>
      </c>
      <c r="E2221">
        <v>6</v>
      </c>
      <c r="F2221" s="6" t="s">
        <v>450</v>
      </c>
      <c r="I2221" t="s">
        <v>179</v>
      </c>
      <c r="J2221">
        <v>13</v>
      </c>
      <c r="K2221" t="s">
        <v>488</v>
      </c>
      <c r="L2221" t="s">
        <v>7</v>
      </c>
      <c r="M2221" t="s">
        <v>281</v>
      </c>
      <c r="Q2221">
        <f t="shared" ref="Q2221:S2221" si="1159">Q2220</f>
        <v>18977</v>
      </c>
      <c r="R2221" t="str">
        <f t="shared" si="1159"/>
        <v>Velodrome</v>
      </c>
      <c r="S2221" t="str">
        <f t="shared" si="1159"/>
        <v>HollowBrook</v>
      </c>
      <c r="T2221" s="20">
        <f t="shared" si="1118"/>
        <v>0</v>
      </c>
      <c r="U2221">
        <f t="shared" si="1119"/>
        <v>409</v>
      </c>
      <c r="V2221">
        <f t="shared" si="1120"/>
        <v>409</v>
      </c>
      <c r="W2221" cm="1">
        <f t="array" ref="W2221">_xlfn._xlws.FILTER(shifts!A:A,(shifts!B:B=events!D2221)*(shifts!AH:AH&gt;=events!U2221)*(shifts!AI:AI&lt;=events!V2221))</f>
        <v>76</v>
      </c>
      <c r="X2221" t="str">
        <f t="shared" si="1121"/>
        <v>event_team_player_1</v>
      </c>
      <c r="Y2221">
        <f>COUNTIFS(A$3:A2221,"="&amp;A2221,K$3:K2221,"="&amp;K2221)</f>
        <v>1</v>
      </c>
      <c r="Z2221" s="20">
        <f>SUMIFS(T$3:T2221,L$3:L2221,"=Intermission")+SUMIFS(T$3:T2221,L$3:L2221,"=Timeout")+SUMIFS(T$3:T2221,L$3:L2221,"=Clockstop")</f>
        <v>138</v>
      </c>
      <c r="AA2221">
        <f t="shared" si="1112"/>
        <v>2298</v>
      </c>
      <c r="AC2221">
        <f t="shared" si="1113"/>
        <v>2436</v>
      </c>
    </row>
    <row r="2222" spans="1:29" x14ac:dyDescent="0.2">
      <c r="A2222">
        <v>1201</v>
      </c>
      <c r="D2222">
        <f t="shared" si="1114"/>
        <v>3</v>
      </c>
      <c r="E2222">
        <v>6</v>
      </c>
      <c r="F2222" s="6" t="s">
        <v>450</v>
      </c>
      <c r="I2222" t="s">
        <v>179</v>
      </c>
      <c r="J2222">
        <v>13</v>
      </c>
      <c r="K2222" t="s">
        <v>488</v>
      </c>
      <c r="L2222" t="s">
        <v>9</v>
      </c>
      <c r="M2222" t="s">
        <v>230</v>
      </c>
      <c r="N2222" t="s">
        <v>235</v>
      </c>
      <c r="Q2222">
        <f t="shared" ref="Q2222:S2222" si="1160">Q2221</f>
        <v>18977</v>
      </c>
      <c r="R2222" t="str">
        <f t="shared" si="1160"/>
        <v>Velodrome</v>
      </c>
      <c r="S2222" t="str">
        <f t="shared" si="1160"/>
        <v>HollowBrook</v>
      </c>
      <c r="T2222" s="20">
        <f t="shared" si="1118"/>
        <v>0</v>
      </c>
      <c r="U2222">
        <f t="shared" si="1119"/>
        <v>409</v>
      </c>
      <c r="V2222">
        <f t="shared" si="1120"/>
        <v>409</v>
      </c>
      <c r="W2222" cm="1">
        <f t="array" ref="W2222">_xlfn._xlws.FILTER(shifts!A:A,(shifts!B:B=events!D2222)*(shifts!AH:AH&gt;=events!U2222)*(shifts!AI:AI&lt;=events!V2222))</f>
        <v>76</v>
      </c>
      <c r="X2222" t="str">
        <f t="shared" si="1121"/>
        <v>event_team_player_1</v>
      </c>
      <c r="Y2222">
        <f>COUNTIFS(A$3:A2222,"="&amp;A2222,K$3:K2222,"="&amp;K2222)</f>
        <v>1</v>
      </c>
      <c r="Z2222" s="20">
        <f>SUMIFS(T$3:T2222,L$3:L2222,"=Intermission")+SUMIFS(T$3:T2222,L$3:L2222,"=Timeout")+SUMIFS(T$3:T2222,L$3:L2222,"=Clockstop")</f>
        <v>138</v>
      </c>
      <c r="AA2222">
        <f t="shared" si="1112"/>
        <v>2298</v>
      </c>
      <c r="AC2222">
        <f t="shared" si="1113"/>
        <v>2436</v>
      </c>
    </row>
    <row r="2223" spans="1:29" x14ac:dyDescent="0.2">
      <c r="A2223">
        <v>1201</v>
      </c>
      <c r="D2223">
        <f t="shared" si="1114"/>
        <v>3</v>
      </c>
      <c r="E2223">
        <v>6</v>
      </c>
      <c r="F2223" s="6" t="s">
        <v>450</v>
      </c>
      <c r="I2223" t="s">
        <v>179</v>
      </c>
      <c r="J2223">
        <v>39</v>
      </c>
      <c r="K2223" t="s">
        <v>489</v>
      </c>
      <c r="L2223" t="s">
        <v>9</v>
      </c>
      <c r="M2223" t="s">
        <v>230</v>
      </c>
      <c r="N2223" t="s">
        <v>235</v>
      </c>
      <c r="Q2223">
        <f t="shared" ref="Q2223:S2223" si="1161">Q2222</f>
        <v>18977</v>
      </c>
      <c r="R2223" t="str">
        <f t="shared" si="1161"/>
        <v>Velodrome</v>
      </c>
      <c r="S2223" t="str">
        <f t="shared" si="1161"/>
        <v>HollowBrook</v>
      </c>
      <c r="T2223" s="20">
        <f t="shared" si="1118"/>
        <v>0</v>
      </c>
      <c r="U2223">
        <f t="shared" si="1119"/>
        <v>409</v>
      </c>
      <c r="V2223">
        <f t="shared" si="1120"/>
        <v>409</v>
      </c>
      <c r="W2223" cm="1">
        <f t="array" ref="W2223">_xlfn._xlws.FILTER(shifts!A:A,(shifts!B:B=events!D2223)*(shifts!AH:AH&gt;=events!U2223)*(shifts!AI:AI&lt;=events!V2223))</f>
        <v>76</v>
      </c>
      <c r="X2223" t="str">
        <f t="shared" si="1121"/>
        <v>opp_team_player_1</v>
      </c>
      <c r="Y2223">
        <f>COUNTIFS(A$3:A2223,"="&amp;A2223,K$3:K2223,"="&amp;K2223)</f>
        <v>1</v>
      </c>
      <c r="Z2223" s="20">
        <f>SUMIFS(T$3:T2223,L$3:L2223,"=Intermission")+SUMIFS(T$3:T2223,L$3:L2223,"=Timeout")+SUMIFS(T$3:T2223,L$3:L2223,"=Clockstop")</f>
        <v>138</v>
      </c>
      <c r="AA2223">
        <f t="shared" si="1112"/>
        <v>2298</v>
      </c>
      <c r="AC2223">
        <f t="shared" si="1113"/>
        <v>2436</v>
      </c>
    </row>
    <row r="2224" spans="1:29" x14ac:dyDescent="0.2">
      <c r="A2224">
        <v>1202</v>
      </c>
      <c r="D2224">
        <f t="shared" si="1114"/>
        <v>3</v>
      </c>
      <c r="E2224">
        <v>6</v>
      </c>
      <c r="F2224" s="6" t="s">
        <v>450</v>
      </c>
      <c r="G2224">
        <v>6</v>
      </c>
      <c r="H2224" s="8" t="s">
        <v>484</v>
      </c>
      <c r="I2224" t="s">
        <v>179</v>
      </c>
      <c r="J2224">
        <v>13</v>
      </c>
      <c r="K2224" t="s">
        <v>488</v>
      </c>
      <c r="L2224" t="s">
        <v>282</v>
      </c>
      <c r="Q2224">
        <f t="shared" ref="Q2224:S2224" si="1162">Q2223</f>
        <v>18977</v>
      </c>
      <c r="R2224" t="str">
        <f t="shared" si="1162"/>
        <v>Velodrome</v>
      </c>
      <c r="S2224" t="str">
        <f t="shared" si="1162"/>
        <v>HollowBrook</v>
      </c>
      <c r="T2224" s="20">
        <f t="shared" si="1118"/>
        <v>27</v>
      </c>
      <c r="U2224">
        <f t="shared" si="1119"/>
        <v>409</v>
      </c>
      <c r="V2224">
        <f t="shared" si="1120"/>
        <v>382</v>
      </c>
      <c r="W2224">
        <v>77</v>
      </c>
      <c r="X2224" t="str">
        <f t="shared" si="1121"/>
        <v>event_team_player_1</v>
      </c>
      <c r="Y2224">
        <f>COUNTIFS(A$3:A2224,"="&amp;A2224,K$3:K2224,"="&amp;K2224)</f>
        <v>1</v>
      </c>
      <c r="Z2224" s="20">
        <f>SUMIFS(T$3:T2224,L$3:L2224,"=Intermission")+SUMIFS(T$3:T2224,L$3:L2224,"=Timeout")+SUMIFS(T$3:T2224,L$3:L2224,"=Clockstop")</f>
        <v>138</v>
      </c>
      <c r="AA2224">
        <f t="shared" si="1112"/>
        <v>2298</v>
      </c>
      <c r="AC2224">
        <f t="shared" si="1113"/>
        <v>2436</v>
      </c>
    </row>
    <row r="2225" spans="1:29" x14ac:dyDescent="0.2">
      <c r="A2225">
        <v>1203</v>
      </c>
      <c r="D2225">
        <f t="shared" si="1114"/>
        <v>3</v>
      </c>
      <c r="E2225">
        <v>6</v>
      </c>
      <c r="F2225" s="6" t="s">
        <v>484</v>
      </c>
      <c r="I2225" t="s">
        <v>178</v>
      </c>
      <c r="J2225">
        <v>42</v>
      </c>
      <c r="K2225" t="s">
        <v>488</v>
      </c>
      <c r="L2225" t="s">
        <v>6</v>
      </c>
      <c r="M2225" t="s">
        <v>207</v>
      </c>
      <c r="Q2225">
        <f t="shared" ref="Q2225:S2225" si="1163">Q2224</f>
        <v>18977</v>
      </c>
      <c r="R2225" t="str">
        <f t="shared" si="1163"/>
        <v>Velodrome</v>
      </c>
      <c r="S2225" t="str">
        <f t="shared" si="1163"/>
        <v>HollowBrook</v>
      </c>
      <c r="T2225" s="20">
        <f t="shared" si="1118"/>
        <v>0</v>
      </c>
      <c r="U2225">
        <f t="shared" si="1119"/>
        <v>382</v>
      </c>
      <c r="V2225">
        <f t="shared" si="1120"/>
        <v>382</v>
      </c>
      <c r="W2225" cm="1">
        <f t="array" ref="W2225">_xlfn._xlws.FILTER(shifts!A:A,(shifts!B:B=events!D2225)*(shifts!AH:AH&gt;=events!U2225)*(shifts!AI:AI&lt;=events!V2225))</f>
        <v>77</v>
      </c>
      <c r="X2225" t="str">
        <f t="shared" si="1121"/>
        <v>event_team_player_1</v>
      </c>
      <c r="Y2225">
        <f>COUNTIFS(A$3:A2225,"="&amp;A2225,K$3:K2225,"="&amp;K2225)</f>
        <v>1</v>
      </c>
      <c r="Z2225" s="20">
        <f>SUMIFS(T$3:T2225,L$3:L2225,"=Intermission")+SUMIFS(T$3:T2225,L$3:L2225,"=Timeout")+SUMIFS(T$3:T2225,L$3:L2225,"=Clockstop")</f>
        <v>138</v>
      </c>
      <c r="AA2225">
        <f t="shared" si="1112"/>
        <v>2298</v>
      </c>
      <c r="AC2225">
        <f t="shared" si="1113"/>
        <v>2436</v>
      </c>
    </row>
    <row r="2226" spans="1:29" x14ac:dyDescent="0.2">
      <c r="A2226">
        <v>1203</v>
      </c>
      <c r="D2226">
        <f t="shared" si="1114"/>
        <v>3</v>
      </c>
      <c r="E2226">
        <v>6</v>
      </c>
      <c r="F2226" s="6" t="s">
        <v>484</v>
      </c>
      <c r="I2226" t="s">
        <v>178</v>
      </c>
      <c r="J2226">
        <v>11</v>
      </c>
      <c r="K2226" t="s">
        <v>489</v>
      </c>
      <c r="L2226" t="s">
        <v>6</v>
      </c>
      <c r="M2226" t="s">
        <v>207</v>
      </c>
      <c r="Q2226">
        <f t="shared" ref="Q2226:S2226" si="1164">Q2225</f>
        <v>18977</v>
      </c>
      <c r="R2226" t="str">
        <f t="shared" si="1164"/>
        <v>Velodrome</v>
      </c>
      <c r="S2226" t="str">
        <f t="shared" si="1164"/>
        <v>HollowBrook</v>
      </c>
      <c r="T2226" s="20">
        <f t="shared" si="1118"/>
        <v>0</v>
      </c>
      <c r="U2226">
        <f t="shared" si="1119"/>
        <v>382</v>
      </c>
      <c r="V2226">
        <f t="shared" si="1120"/>
        <v>382</v>
      </c>
      <c r="W2226" cm="1">
        <f t="array" ref="W2226">_xlfn._xlws.FILTER(shifts!A:A,(shifts!B:B=events!D2226)*(shifts!AH:AH&gt;=events!U2226)*(shifts!AI:AI&lt;=events!V2226))</f>
        <v>77</v>
      </c>
      <c r="X2226" t="str">
        <f t="shared" si="1121"/>
        <v>opp_team_player_1</v>
      </c>
      <c r="Y2226">
        <f>COUNTIFS(A$3:A2226,"="&amp;A2226,K$3:K2226,"="&amp;K2226)</f>
        <v>1</v>
      </c>
      <c r="Z2226" s="20">
        <f>SUMIFS(T$3:T2226,L$3:L2226,"=Intermission")+SUMIFS(T$3:T2226,L$3:L2226,"=Timeout")+SUMIFS(T$3:T2226,L$3:L2226,"=Clockstop")</f>
        <v>138</v>
      </c>
      <c r="AA2226">
        <f t="shared" si="1112"/>
        <v>2298</v>
      </c>
      <c r="AC2226">
        <f t="shared" si="1113"/>
        <v>2436</v>
      </c>
    </row>
    <row r="2227" spans="1:29" x14ac:dyDescent="0.2">
      <c r="A2227">
        <v>1204</v>
      </c>
      <c r="D2227">
        <f t="shared" si="1114"/>
        <v>3</v>
      </c>
      <c r="E2227">
        <v>6</v>
      </c>
      <c r="F2227" s="6" t="s">
        <v>485</v>
      </c>
      <c r="I2227" t="s">
        <v>179</v>
      </c>
      <c r="J2227">
        <v>13</v>
      </c>
      <c r="K2227" t="s">
        <v>488</v>
      </c>
      <c r="L2227" t="s">
        <v>277</v>
      </c>
      <c r="M2227" t="s">
        <v>191</v>
      </c>
      <c r="N2227" t="s">
        <v>498</v>
      </c>
      <c r="Q2227">
        <f t="shared" ref="Q2227:S2227" si="1165">Q2226</f>
        <v>18977</v>
      </c>
      <c r="R2227" t="str">
        <f t="shared" si="1165"/>
        <v>Velodrome</v>
      </c>
      <c r="S2227" t="str">
        <f t="shared" si="1165"/>
        <v>HollowBrook</v>
      </c>
      <c r="T2227" s="20">
        <f t="shared" si="1118"/>
        <v>0</v>
      </c>
      <c r="U2227">
        <f t="shared" si="1119"/>
        <v>378</v>
      </c>
      <c r="V2227">
        <f t="shared" si="1120"/>
        <v>378</v>
      </c>
      <c r="W2227" cm="1">
        <f t="array" ref="W2227">_xlfn._xlws.FILTER(shifts!A:A,(shifts!B:B=events!D2227)*(shifts!AH:AH&gt;=events!U2227)*(shifts!AI:AI&lt;=events!V2227))</f>
        <v>77</v>
      </c>
      <c r="X2227" t="str">
        <f t="shared" si="1121"/>
        <v>event_team_player_1</v>
      </c>
      <c r="Y2227">
        <f>COUNTIFS(A$3:A2227,"="&amp;A2227,K$3:K2227,"="&amp;K2227)</f>
        <v>1</v>
      </c>
      <c r="Z2227" s="20">
        <f>SUMIFS(T$3:T2227,L$3:L2227,"=Intermission")+SUMIFS(T$3:T2227,L$3:L2227,"=Timeout")+SUMIFS(T$3:T2227,L$3:L2227,"=Clockstop")</f>
        <v>138</v>
      </c>
      <c r="AA2227">
        <f t="shared" si="1112"/>
        <v>2298</v>
      </c>
      <c r="AC2227">
        <f t="shared" si="1113"/>
        <v>2436</v>
      </c>
    </row>
    <row r="2228" spans="1:29" x14ac:dyDescent="0.2">
      <c r="A2228">
        <v>1204</v>
      </c>
      <c r="D2228">
        <f t="shared" si="1114"/>
        <v>3</v>
      </c>
      <c r="E2228">
        <v>6</v>
      </c>
      <c r="F2228" s="6" t="s">
        <v>485</v>
      </c>
      <c r="I2228" t="s">
        <v>179</v>
      </c>
      <c r="J2228">
        <v>52</v>
      </c>
      <c r="K2228" t="s">
        <v>489</v>
      </c>
      <c r="L2228" t="s">
        <v>277</v>
      </c>
      <c r="M2228" t="s">
        <v>191</v>
      </c>
      <c r="N2228" t="s">
        <v>498</v>
      </c>
      <c r="Q2228">
        <f t="shared" ref="Q2228:S2228" si="1166">Q2227</f>
        <v>18977</v>
      </c>
      <c r="R2228" t="str">
        <f t="shared" si="1166"/>
        <v>Velodrome</v>
      </c>
      <c r="S2228" t="str">
        <f t="shared" si="1166"/>
        <v>HollowBrook</v>
      </c>
      <c r="T2228" s="20">
        <f t="shared" si="1118"/>
        <v>0</v>
      </c>
      <c r="U2228">
        <f t="shared" si="1119"/>
        <v>378</v>
      </c>
      <c r="V2228">
        <f t="shared" si="1120"/>
        <v>378</v>
      </c>
      <c r="W2228" cm="1">
        <f t="array" ref="W2228">_xlfn._xlws.FILTER(shifts!A:A,(shifts!B:B=events!D2228)*(shifts!AH:AH&gt;=events!U2228)*(shifts!AI:AI&lt;=events!V2228))</f>
        <v>77</v>
      </c>
      <c r="X2228" t="str">
        <f t="shared" si="1121"/>
        <v>opp_team_player_1</v>
      </c>
      <c r="Y2228">
        <f>COUNTIFS(A$3:A2228,"="&amp;A2228,K$3:K2228,"="&amp;K2228)</f>
        <v>1</v>
      </c>
      <c r="Z2228" s="20">
        <f>SUMIFS(T$3:T2228,L$3:L2228,"=Intermission")+SUMIFS(T$3:T2228,L$3:L2228,"=Timeout")+SUMIFS(T$3:T2228,L$3:L2228,"=Clockstop")</f>
        <v>138</v>
      </c>
      <c r="AA2228">
        <f t="shared" si="1112"/>
        <v>2298</v>
      </c>
      <c r="AC2228">
        <f t="shared" si="1113"/>
        <v>2436</v>
      </c>
    </row>
    <row r="2229" spans="1:29" x14ac:dyDescent="0.2">
      <c r="A2229">
        <v>1205</v>
      </c>
      <c r="D2229">
        <f t="shared" si="1114"/>
        <v>3</v>
      </c>
      <c r="E2229">
        <v>6</v>
      </c>
      <c r="F2229" s="6" t="s">
        <v>446</v>
      </c>
      <c r="I2229" t="s">
        <v>179</v>
      </c>
      <c r="J2229">
        <v>13</v>
      </c>
      <c r="K2229" t="s">
        <v>488</v>
      </c>
      <c r="L2229" t="s">
        <v>10</v>
      </c>
      <c r="M2229" t="s">
        <v>190</v>
      </c>
      <c r="N2229" t="s">
        <v>73</v>
      </c>
      <c r="Q2229">
        <f t="shared" ref="Q2229:S2229" si="1167">Q2228</f>
        <v>18977</v>
      </c>
      <c r="R2229" t="str">
        <f t="shared" si="1167"/>
        <v>Velodrome</v>
      </c>
      <c r="S2229" t="str">
        <f t="shared" si="1167"/>
        <v>HollowBrook</v>
      </c>
      <c r="T2229" s="20">
        <f t="shared" si="1118"/>
        <v>0</v>
      </c>
      <c r="U2229">
        <f t="shared" si="1119"/>
        <v>377</v>
      </c>
      <c r="V2229">
        <f t="shared" si="1120"/>
        <v>377</v>
      </c>
      <c r="W2229" cm="1">
        <f t="array" ref="W2229">_xlfn._xlws.FILTER(shifts!A:A,(shifts!B:B=events!D2229)*(shifts!AH:AH&gt;=events!U2229)*(shifts!AI:AI&lt;=events!V2229))</f>
        <v>77</v>
      </c>
      <c r="X2229" t="str">
        <f t="shared" si="1121"/>
        <v>event_team_player_1</v>
      </c>
      <c r="Y2229">
        <f>COUNTIFS(A$3:A2229,"="&amp;A2229,K$3:K2229,"="&amp;K2229)</f>
        <v>1</v>
      </c>
      <c r="Z2229" s="20">
        <f>SUMIFS(T$3:T2229,L$3:L2229,"=Intermission")+SUMIFS(T$3:T2229,L$3:L2229,"=Timeout")+SUMIFS(T$3:T2229,L$3:L2229,"=Clockstop")</f>
        <v>138</v>
      </c>
      <c r="AA2229">
        <f t="shared" si="1112"/>
        <v>2298</v>
      </c>
      <c r="AC2229">
        <f t="shared" si="1113"/>
        <v>2436</v>
      </c>
    </row>
    <row r="2230" spans="1:29" x14ac:dyDescent="0.2">
      <c r="A2230">
        <v>1205</v>
      </c>
      <c r="D2230">
        <f t="shared" si="1114"/>
        <v>3</v>
      </c>
      <c r="E2230">
        <v>6</v>
      </c>
      <c r="F2230" s="6" t="s">
        <v>446</v>
      </c>
      <c r="I2230" t="s">
        <v>179</v>
      </c>
      <c r="J2230">
        <v>52</v>
      </c>
      <c r="K2230" t="s">
        <v>489</v>
      </c>
      <c r="L2230" t="s">
        <v>10</v>
      </c>
      <c r="M2230" t="s">
        <v>190</v>
      </c>
      <c r="N2230" t="s">
        <v>73</v>
      </c>
      <c r="Q2230">
        <f t="shared" ref="Q2230:S2230" si="1168">Q2229</f>
        <v>18977</v>
      </c>
      <c r="R2230" t="str">
        <f t="shared" si="1168"/>
        <v>Velodrome</v>
      </c>
      <c r="S2230" t="str">
        <f t="shared" si="1168"/>
        <v>HollowBrook</v>
      </c>
      <c r="T2230" s="20">
        <f t="shared" si="1118"/>
        <v>0</v>
      </c>
      <c r="U2230">
        <f t="shared" si="1119"/>
        <v>377</v>
      </c>
      <c r="V2230">
        <f t="shared" si="1120"/>
        <v>377</v>
      </c>
      <c r="W2230" cm="1">
        <f t="array" ref="W2230">_xlfn._xlws.FILTER(shifts!A:A,(shifts!B:B=events!D2230)*(shifts!AH:AH&gt;=events!U2230)*(shifts!AI:AI&lt;=events!V2230))</f>
        <v>77</v>
      </c>
      <c r="X2230" t="str">
        <f t="shared" si="1121"/>
        <v>opp_team_player_1</v>
      </c>
      <c r="Y2230">
        <f>COUNTIFS(A$3:A2230,"="&amp;A2230,K$3:K2230,"="&amp;K2230)</f>
        <v>1</v>
      </c>
      <c r="Z2230" s="20">
        <f>SUMIFS(T$3:T2230,L$3:L2230,"=Intermission")+SUMIFS(T$3:T2230,L$3:L2230,"=Timeout")+SUMIFS(T$3:T2230,L$3:L2230,"=Clockstop")</f>
        <v>138</v>
      </c>
      <c r="AA2230">
        <f t="shared" si="1112"/>
        <v>2298</v>
      </c>
      <c r="AC2230">
        <f t="shared" si="1113"/>
        <v>2436</v>
      </c>
    </row>
    <row r="2231" spans="1:29" x14ac:dyDescent="0.2">
      <c r="A2231">
        <v>1206</v>
      </c>
      <c r="D2231">
        <f t="shared" si="1114"/>
        <v>3</v>
      </c>
      <c r="E2231">
        <v>6</v>
      </c>
      <c r="F2231" s="6" t="s">
        <v>448</v>
      </c>
      <c r="I2231" t="s">
        <v>178</v>
      </c>
      <c r="J2231">
        <v>52</v>
      </c>
      <c r="K2231" t="s">
        <v>488</v>
      </c>
      <c r="L2231" t="s">
        <v>277</v>
      </c>
      <c r="M2231" t="s">
        <v>201</v>
      </c>
      <c r="N2231" t="s">
        <v>499</v>
      </c>
      <c r="Q2231">
        <f t="shared" ref="Q2231:S2231" si="1169">Q2230</f>
        <v>18977</v>
      </c>
      <c r="R2231" t="str">
        <f t="shared" si="1169"/>
        <v>Velodrome</v>
      </c>
      <c r="S2231" t="str">
        <f t="shared" si="1169"/>
        <v>HollowBrook</v>
      </c>
      <c r="T2231" s="20">
        <f t="shared" si="1118"/>
        <v>0</v>
      </c>
      <c r="U2231">
        <f t="shared" si="1119"/>
        <v>376</v>
      </c>
      <c r="V2231">
        <f t="shared" si="1120"/>
        <v>376</v>
      </c>
      <c r="W2231" cm="1">
        <f t="array" ref="W2231">_xlfn._xlws.FILTER(shifts!A:A,(shifts!B:B=events!D2231)*(shifts!AH:AH&gt;=events!U2231)*(shifts!AI:AI&lt;=events!V2231))</f>
        <v>77</v>
      </c>
      <c r="X2231" t="str">
        <f t="shared" si="1121"/>
        <v>event_team_player_1</v>
      </c>
      <c r="Y2231">
        <f>COUNTIFS(A$3:A2231,"="&amp;A2231,K$3:K2231,"="&amp;K2231)</f>
        <v>1</v>
      </c>
      <c r="Z2231" s="20">
        <f>SUMIFS(T$3:T2231,L$3:L2231,"=Intermission")+SUMIFS(T$3:T2231,L$3:L2231,"=Timeout")+SUMIFS(T$3:T2231,L$3:L2231,"=Clockstop")</f>
        <v>138</v>
      </c>
      <c r="AA2231">
        <f t="shared" si="1112"/>
        <v>2298</v>
      </c>
      <c r="AC2231">
        <f t="shared" si="1113"/>
        <v>2436</v>
      </c>
    </row>
    <row r="2232" spans="1:29" x14ac:dyDescent="0.2">
      <c r="A2232">
        <v>1206</v>
      </c>
      <c r="D2232">
        <f t="shared" si="1114"/>
        <v>3</v>
      </c>
      <c r="E2232">
        <v>6</v>
      </c>
      <c r="F2232" s="6" t="s">
        <v>448</v>
      </c>
      <c r="I2232" t="s">
        <v>178</v>
      </c>
      <c r="J2232">
        <v>13</v>
      </c>
      <c r="K2232" t="s">
        <v>489</v>
      </c>
      <c r="L2232" t="s">
        <v>277</v>
      </c>
      <c r="M2232" t="s">
        <v>201</v>
      </c>
      <c r="N2232" t="s">
        <v>499</v>
      </c>
      <c r="Q2232">
        <f t="shared" ref="Q2232:S2232" si="1170">Q2231</f>
        <v>18977</v>
      </c>
      <c r="R2232" t="str">
        <f t="shared" si="1170"/>
        <v>Velodrome</v>
      </c>
      <c r="S2232" t="str">
        <f t="shared" si="1170"/>
        <v>HollowBrook</v>
      </c>
      <c r="T2232" s="20">
        <f t="shared" si="1118"/>
        <v>0</v>
      </c>
      <c r="U2232">
        <f t="shared" si="1119"/>
        <v>376</v>
      </c>
      <c r="V2232">
        <f t="shared" si="1120"/>
        <v>376</v>
      </c>
      <c r="W2232" cm="1">
        <f t="array" ref="W2232">_xlfn._xlws.FILTER(shifts!A:A,(shifts!B:B=events!D2232)*(shifts!AH:AH&gt;=events!U2232)*(shifts!AI:AI&lt;=events!V2232))</f>
        <v>77</v>
      </c>
      <c r="X2232" t="str">
        <f t="shared" si="1121"/>
        <v>opp_team_player_1</v>
      </c>
      <c r="Y2232">
        <f>COUNTIFS(A$3:A2232,"="&amp;A2232,K$3:K2232,"="&amp;K2232)</f>
        <v>1</v>
      </c>
      <c r="Z2232" s="20">
        <f>SUMIFS(T$3:T2232,L$3:L2232,"=Intermission")+SUMIFS(T$3:T2232,L$3:L2232,"=Timeout")+SUMIFS(T$3:T2232,L$3:L2232,"=Clockstop")</f>
        <v>138</v>
      </c>
      <c r="AA2232">
        <f t="shared" si="1112"/>
        <v>2298</v>
      </c>
      <c r="AC2232">
        <f t="shared" si="1113"/>
        <v>2436</v>
      </c>
    </row>
    <row r="2233" spans="1:29" x14ac:dyDescent="0.2">
      <c r="A2233">
        <v>1207</v>
      </c>
      <c r="D2233">
        <f t="shared" si="1114"/>
        <v>3</v>
      </c>
      <c r="E2233">
        <v>6</v>
      </c>
      <c r="F2233" s="6" t="s">
        <v>448</v>
      </c>
      <c r="I2233" t="s">
        <v>178</v>
      </c>
      <c r="J2233">
        <v>91</v>
      </c>
      <c r="K2233" t="s">
        <v>488</v>
      </c>
      <c r="L2233" t="s">
        <v>10</v>
      </c>
      <c r="M2233" t="s">
        <v>190</v>
      </c>
      <c r="N2233" t="s">
        <v>479</v>
      </c>
      <c r="Q2233">
        <f t="shared" ref="Q2233:S2233" si="1171">Q2232</f>
        <v>18977</v>
      </c>
      <c r="R2233" t="str">
        <f t="shared" si="1171"/>
        <v>Velodrome</v>
      </c>
      <c r="S2233" t="str">
        <f t="shared" si="1171"/>
        <v>HollowBrook</v>
      </c>
      <c r="T2233" s="20">
        <f t="shared" si="1118"/>
        <v>0</v>
      </c>
      <c r="U2233">
        <f t="shared" si="1119"/>
        <v>376</v>
      </c>
      <c r="V2233">
        <f t="shared" si="1120"/>
        <v>376</v>
      </c>
      <c r="W2233" cm="1">
        <f t="array" ref="W2233">_xlfn._xlws.FILTER(shifts!A:A,(shifts!B:B=events!D2233)*(shifts!AH:AH&gt;=events!U2233)*(shifts!AI:AI&lt;=events!V2233))</f>
        <v>77</v>
      </c>
      <c r="X2233" t="str">
        <f t="shared" si="1121"/>
        <v>event_team_player_1</v>
      </c>
      <c r="Y2233">
        <f>COUNTIFS(A$3:A2233,"="&amp;A2233,K$3:K2233,"="&amp;K2233)</f>
        <v>1</v>
      </c>
      <c r="Z2233" s="20">
        <f>SUMIFS(T$3:T2233,L$3:L2233,"=Intermission")+SUMIFS(T$3:T2233,L$3:L2233,"=Timeout")+SUMIFS(T$3:T2233,L$3:L2233,"=Clockstop")</f>
        <v>138</v>
      </c>
      <c r="AA2233">
        <f t="shared" si="1112"/>
        <v>2298</v>
      </c>
      <c r="AC2233">
        <f t="shared" si="1113"/>
        <v>2436</v>
      </c>
    </row>
    <row r="2234" spans="1:29" x14ac:dyDescent="0.2">
      <c r="A2234">
        <v>1207</v>
      </c>
      <c r="D2234">
        <f t="shared" si="1114"/>
        <v>3</v>
      </c>
      <c r="E2234">
        <v>6</v>
      </c>
      <c r="F2234" s="6" t="s">
        <v>448</v>
      </c>
      <c r="I2234" t="s">
        <v>178</v>
      </c>
      <c r="J2234">
        <v>33</v>
      </c>
      <c r="K2234" t="s">
        <v>489</v>
      </c>
      <c r="L2234" t="s">
        <v>10</v>
      </c>
      <c r="M2234" t="s">
        <v>190</v>
      </c>
      <c r="N2234" t="s">
        <v>479</v>
      </c>
      <c r="Q2234">
        <f t="shared" ref="Q2234:S2234" si="1172">Q2233</f>
        <v>18977</v>
      </c>
      <c r="R2234" t="str">
        <f t="shared" si="1172"/>
        <v>Velodrome</v>
      </c>
      <c r="S2234" t="str">
        <f t="shared" si="1172"/>
        <v>HollowBrook</v>
      </c>
      <c r="T2234" s="20">
        <f t="shared" si="1118"/>
        <v>0</v>
      </c>
      <c r="U2234">
        <f t="shared" si="1119"/>
        <v>376</v>
      </c>
      <c r="V2234">
        <f t="shared" si="1120"/>
        <v>376</v>
      </c>
      <c r="W2234" cm="1">
        <f t="array" ref="W2234">_xlfn._xlws.FILTER(shifts!A:A,(shifts!B:B=events!D2234)*(shifts!AH:AH&gt;=events!U2234)*(shifts!AI:AI&lt;=events!V2234))</f>
        <v>77</v>
      </c>
      <c r="X2234" t="str">
        <f t="shared" si="1121"/>
        <v>opp_team_player_1</v>
      </c>
      <c r="Y2234">
        <f>COUNTIFS(A$3:A2234,"="&amp;A2234,K$3:K2234,"="&amp;K2234)</f>
        <v>1</v>
      </c>
      <c r="Z2234" s="20">
        <f>SUMIFS(T$3:T2234,L$3:L2234,"=Intermission")+SUMIFS(T$3:T2234,L$3:L2234,"=Timeout")+SUMIFS(T$3:T2234,L$3:L2234,"=Clockstop")</f>
        <v>138</v>
      </c>
      <c r="AA2234">
        <f t="shared" si="1112"/>
        <v>2298</v>
      </c>
      <c r="AC2234">
        <f t="shared" si="1113"/>
        <v>2436</v>
      </c>
    </row>
    <row r="2235" spans="1:29" x14ac:dyDescent="0.2">
      <c r="A2235">
        <v>1208</v>
      </c>
      <c r="D2235">
        <f t="shared" si="1114"/>
        <v>3</v>
      </c>
      <c r="E2235">
        <v>6</v>
      </c>
      <c r="F2235" s="6" t="s">
        <v>447</v>
      </c>
      <c r="I2235" t="s">
        <v>179</v>
      </c>
      <c r="J2235">
        <v>33</v>
      </c>
      <c r="K2235" t="s">
        <v>488</v>
      </c>
      <c r="L2235" t="s">
        <v>8</v>
      </c>
      <c r="M2235" t="s">
        <v>189</v>
      </c>
      <c r="N2235" t="s">
        <v>70</v>
      </c>
      <c r="Q2235">
        <f t="shared" ref="Q2235:S2235" si="1173">Q2234</f>
        <v>18977</v>
      </c>
      <c r="R2235" t="str">
        <f t="shared" si="1173"/>
        <v>Velodrome</v>
      </c>
      <c r="S2235" t="str">
        <f t="shared" si="1173"/>
        <v>HollowBrook</v>
      </c>
      <c r="T2235" s="20">
        <f t="shared" si="1118"/>
        <v>0</v>
      </c>
      <c r="U2235">
        <f t="shared" si="1119"/>
        <v>375</v>
      </c>
      <c r="V2235">
        <f t="shared" si="1120"/>
        <v>375</v>
      </c>
      <c r="W2235" cm="1">
        <f t="array" ref="W2235">_xlfn._xlws.FILTER(shifts!A:A,(shifts!B:B=events!D2235)*(shifts!AH:AH&gt;=events!U2235)*(shifts!AI:AI&lt;=events!V2235))</f>
        <v>77</v>
      </c>
      <c r="X2235" t="str">
        <f t="shared" si="1121"/>
        <v>event_team_player_1</v>
      </c>
      <c r="Y2235">
        <f>COUNTIFS(A$3:A2235,"="&amp;A2235,K$3:K2235,"="&amp;K2235)</f>
        <v>1</v>
      </c>
      <c r="Z2235" s="20">
        <f>SUMIFS(T$3:T2235,L$3:L2235,"=Intermission")+SUMIFS(T$3:T2235,L$3:L2235,"=Timeout")+SUMIFS(T$3:T2235,L$3:L2235,"=Clockstop")</f>
        <v>138</v>
      </c>
      <c r="AA2235">
        <f t="shared" si="1112"/>
        <v>2298</v>
      </c>
      <c r="AC2235">
        <f t="shared" si="1113"/>
        <v>2436</v>
      </c>
    </row>
    <row r="2236" spans="1:29" x14ac:dyDescent="0.2">
      <c r="A2236">
        <v>1208</v>
      </c>
      <c r="D2236">
        <f t="shared" si="1114"/>
        <v>3</v>
      </c>
      <c r="E2236">
        <v>6</v>
      </c>
      <c r="F2236" s="6" t="s">
        <v>447</v>
      </c>
      <c r="I2236" t="s">
        <v>179</v>
      </c>
      <c r="J2236">
        <v>13</v>
      </c>
      <c r="K2236" t="s">
        <v>488</v>
      </c>
      <c r="L2236" t="s">
        <v>8</v>
      </c>
      <c r="M2236" t="s">
        <v>189</v>
      </c>
      <c r="N2236" t="s">
        <v>70</v>
      </c>
      <c r="Q2236">
        <f t="shared" ref="Q2236:S2236" si="1174">Q2235</f>
        <v>18977</v>
      </c>
      <c r="R2236" t="str">
        <f t="shared" si="1174"/>
        <v>Velodrome</v>
      </c>
      <c r="S2236" t="str">
        <f t="shared" si="1174"/>
        <v>HollowBrook</v>
      </c>
      <c r="T2236" s="20">
        <f t="shared" si="1118"/>
        <v>0</v>
      </c>
      <c r="U2236">
        <f t="shared" si="1119"/>
        <v>375</v>
      </c>
      <c r="V2236">
        <f t="shared" si="1120"/>
        <v>375</v>
      </c>
      <c r="W2236" cm="1">
        <f t="array" ref="W2236">_xlfn._xlws.FILTER(shifts!A:A,(shifts!B:B=events!D2236)*(shifts!AH:AH&gt;=events!U2236)*(shifts!AI:AI&lt;=events!V2236))</f>
        <v>77</v>
      </c>
      <c r="X2236" t="str">
        <f t="shared" si="1121"/>
        <v>event_team_player_2</v>
      </c>
      <c r="Y2236">
        <f>COUNTIFS(A$3:A2236,"="&amp;A2236,K$3:K2236,"="&amp;K2236)</f>
        <v>2</v>
      </c>
      <c r="Z2236" s="20">
        <f>SUMIFS(T$3:T2236,L$3:L2236,"=Intermission")+SUMIFS(T$3:T2236,L$3:L2236,"=Timeout")+SUMIFS(T$3:T2236,L$3:L2236,"=Clockstop")</f>
        <v>138</v>
      </c>
      <c r="AA2236">
        <f t="shared" si="1112"/>
        <v>2298</v>
      </c>
      <c r="AC2236">
        <f t="shared" si="1113"/>
        <v>2436</v>
      </c>
    </row>
    <row r="2237" spans="1:29" x14ac:dyDescent="0.2">
      <c r="A2237">
        <v>1209</v>
      </c>
      <c r="D2237">
        <f t="shared" si="1114"/>
        <v>3</v>
      </c>
      <c r="E2237">
        <v>6</v>
      </c>
      <c r="F2237" s="6" t="s">
        <v>423</v>
      </c>
      <c r="I2237" t="s">
        <v>179</v>
      </c>
      <c r="J2237">
        <v>13</v>
      </c>
      <c r="K2237" t="s">
        <v>488</v>
      </c>
      <c r="L2237" t="s">
        <v>277</v>
      </c>
      <c r="M2237" t="s">
        <v>191</v>
      </c>
      <c r="N2237" t="s">
        <v>498</v>
      </c>
      <c r="Q2237">
        <f t="shared" ref="Q2237:S2237" si="1175">Q2236</f>
        <v>18977</v>
      </c>
      <c r="R2237" t="str">
        <f t="shared" si="1175"/>
        <v>Velodrome</v>
      </c>
      <c r="S2237" t="str">
        <f t="shared" si="1175"/>
        <v>HollowBrook</v>
      </c>
      <c r="T2237" s="20">
        <f t="shared" si="1118"/>
        <v>0</v>
      </c>
      <c r="U2237">
        <f t="shared" si="1119"/>
        <v>374</v>
      </c>
      <c r="V2237">
        <f t="shared" si="1120"/>
        <v>374</v>
      </c>
      <c r="W2237" cm="1">
        <f t="array" ref="W2237">_xlfn._xlws.FILTER(shifts!A:A,(shifts!B:B=events!D2237)*(shifts!AH:AH&gt;=events!U2237)*(shifts!AI:AI&lt;=events!V2237))</f>
        <v>77</v>
      </c>
      <c r="X2237" t="str">
        <f t="shared" si="1121"/>
        <v>event_team_player_1</v>
      </c>
      <c r="Y2237">
        <f>COUNTIFS(A$3:A2237,"="&amp;A2237,K$3:K2237,"="&amp;K2237)</f>
        <v>1</v>
      </c>
      <c r="Z2237" s="20">
        <f>SUMIFS(T$3:T2237,L$3:L2237,"=Intermission")+SUMIFS(T$3:T2237,L$3:L2237,"=Timeout")+SUMIFS(T$3:T2237,L$3:L2237,"=Clockstop")</f>
        <v>138</v>
      </c>
      <c r="AA2237">
        <f t="shared" si="1112"/>
        <v>2298</v>
      </c>
      <c r="AC2237">
        <f t="shared" si="1113"/>
        <v>2436</v>
      </c>
    </row>
    <row r="2238" spans="1:29" x14ac:dyDescent="0.2">
      <c r="A2238">
        <v>1210</v>
      </c>
      <c r="D2238">
        <f t="shared" si="1114"/>
        <v>3</v>
      </c>
      <c r="E2238">
        <v>6</v>
      </c>
      <c r="F2238" s="6" t="s">
        <v>423</v>
      </c>
      <c r="I2238" t="s">
        <v>179</v>
      </c>
      <c r="J2238">
        <v>13</v>
      </c>
      <c r="K2238" t="s">
        <v>488</v>
      </c>
      <c r="L2238" t="s">
        <v>10</v>
      </c>
      <c r="M2238" t="s">
        <v>190</v>
      </c>
      <c r="N2238" t="s">
        <v>460</v>
      </c>
      <c r="Q2238">
        <f t="shared" ref="Q2238:S2238" si="1176">Q2237</f>
        <v>18977</v>
      </c>
      <c r="R2238" t="str">
        <f t="shared" si="1176"/>
        <v>Velodrome</v>
      </c>
      <c r="S2238" t="str">
        <f t="shared" si="1176"/>
        <v>HollowBrook</v>
      </c>
      <c r="T2238" s="20">
        <f t="shared" si="1118"/>
        <v>0</v>
      </c>
      <c r="U2238">
        <f t="shared" si="1119"/>
        <v>374</v>
      </c>
      <c r="V2238">
        <f t="shared" si="1120"/>
        <v>374</v>
      </c>
      <c r="W2238" cm="1">
        <f t="array" ref="W2238">_xlfn._xlws.FILTER(shifts!A:A,(shifts!B:B=events!D2238)*(shifts!AH:AH&gt;=events!U2238)*(shifts!AI:AI&lt;=events!V2238))</f>
        <v>77</v>
      </c>
      <c r="X2238" t="str">
        <f t="shared" si="1121"/>
        <v>event_team_player_1</v>
      </c>
      <c r="Y2238">
        <f>COUNTIFS(A$3:A2238,"="&amp;A2238,K$3:K2238,"="&amp;K2238)</f>
        <v>1</v>
      </c>
      <c r="Z2238" s="20">
        <f>SUMIFS(T$3:T2238,L$3:L2238,"=Intermission")+SUMIFS(T$3:T2238,L$3:L2238,"=Timeout")+SUMIFS(T$3:T2238,L$3:L2238,"=Clockstop")</f>
        <v>138</v>
      </c>
      <c r="AA2238">
        <f t="shared" si="1112"/>
        <v>2298</v>
      </c>
      <c r="AC2238">
        <f t="shared" si="1113"/>
        <v>2436</v>
      </c>
    </row>
    <row r="2239" spans="1:29" x14ac:dyDescent="0.2">
      <c r="A2239">
        <v>1211</v>
      </c>
      <c r="D2239">
        <f t="shared" si="1114"/>
        <v>3</v>
      </c>
      <c r="E2239">
        <v>6</v>
      </c>
      <c r="F2239" s="6" t="s">
        <v>449</v>
      </c>
      <c r="I2239" t="s">
        <v>178</v>
      </c>
      <c r="J2239">
        <v>52</v>
      </c>
      <c r="K2239" t="s">
        <v>488</v>
      </c>
      <c r="L2239" t="s">
        <v>277</v>
      </c>
      <c r="M2239" t="s">
        <v>201</v>
      </c>
      <c r="N2239" t="s">
        <v>499</v>
      </c>
      <c r="Q2239">
        <f t="shared" ref="Q2239:S2239" si="1177">Q2238</f>
        <v>18977</v>
      </c>
      <c r="R2239" t="str">
        <f t="shared" si="1177"/>
        <v>Velodrome</v>
      </c>
      <c r="S2239" t="str">
        <f t="shared" si="1177"/>
        <v>HollowBrook</v>
      </c>
      <c r="T2239" s="20">
        <f t="shared" si="1118"/>
        <v>0</v>
      </c>
      <c r="U2239">
        <f t="shared" si="1119"/>
        <v>372</v>
      </c>
      <c r="V2239">
        <f t="shared" si="1120"/>
        <v>372</v>
      </c>
      <c r="W2239" cm="1">
        <f t="array" ref="W2239">_xlfn._xlws.FILTER(shifts!A:A,(shifts!B:B=events!D2239)*(shifts!AH:AH&gt;=events!U2239)*(shifts!AI:AI&lt;=events!V2239))</f>
        <v>77</v>
      </c>
      <c r="X2239" t="str">
        <f t="shared" si="1121"/>
        <v>event_team_player_1</v>
      </c>
      <c r="Y2239">
        <f>COUNTIFS(A$3:A2239,"="&amp;A2239,K$3:K2239,"="&amp;K2239)</f>
        <v>1</v>
      </c>
      <c r="Z2239" s="20">
        <f>SUMIFS(T$3:T2239,L$3:L2239,"=Intermission")+SUMIFS(T$3:T2239,L$3:L2239,"=Timeout")+SUMIFS(T$3:T2239,L$3:L2239,"=Clockstop")</f>
        <v>138</v>
      </c>
      <c r="AA2239">
        <f t="shared" si="1112"/>
        <v>2298</v>
      </c>
      <c r="AC2239">
        <f t="shared" si="1113"/>
        <v>2436</v>
      </c>
    </row>
    <row r="2240" spans="1:29" x14ac:dyDescent="0.2">
      <c r="A2240">
        <v>1212</v>
      </c>
      <c r="D2240">
        <f t="shared" si="1114"/>
        <v>3</v>
      </c>
      <c r="E2240">
        <v>6</v>
      </c>
      <c r="F2240" s="6" t="s">
        <v>449</v>
      </c>
      <c r="I2240" t="s">
        <v>178</v>
      </c>
      <c r="J2240">
        <v>52</v>
      </c>
      <c r="K2240" t="s">
        <v>488</v>
      </c>
      <c r="L2240" t="s">
        <v>10</v>
      </c>
      <c r="M2240" t="s">
        <v>190</v>
      </c>
      <c r="N2240" t="s">
        <v>479</v>
      </c>
      <c r="Q2240">
        <f t="shared" ref="Q2240:S2240" si="1178">Q2239</f>
        <v>18977</v>
      </c>
      <c r="R2240" t="str">
        <f t="shared" si="1178"/>
        <v>Velodrome</v>
      </c>
      <c r="S2240" t="str">
        <f t="shared" si="1178"/>
        <v>HollowBrook</v>
      </c>
      <c r="T2240" s="20">
        <f t="shared" si="1118"/>
        <v>0</v>
      </c>
      <c r="U2240">
        <f t="shared" si="1119"/>
        <v>372</v>
      </c>
      <c r="V2240">
        <f t="shared" si="1120"/>
        <v>372</v>
      </c>
      <c r="W2240" cm="1">
        <f t="array" ref="W2240">_xlfn._xlws.FILTER(shifts!A:A,(shifts!B:B=events!D2240)*(shifts!AH:AH&gt;=events!U2240)*(shifts!AI:AI&lt;=events!V2240))</f>
        <v>77</v>
      </c>
      <c r="X2240" t="str">
        <f t="shared" si="1121"/>
        <v>event_team_player_1</v>
      </c>
      <c r="Y2240">
        <f>COUNTIFS(A$3:A2240,"="&amp;A2240,K$3:K2240,"="&amp;K2240)</f>
        <v>1</v>
      </c>
      <c r="Z2240" s="20">
        <f>SUMIFS(T$3:T2240,L$3:L2240,"=Intermission")+SUMIFS(T$3:T2240,L$3:L2240,"=Timeout")+SUMIFS(T$3:T2240,L$3:L2240,"=Clockstop")</f>
        <v>138</v>
      </c>
      <c r="AA2240">
        <f t="shared" si="1112"/>
        <v>2298</v>
      </c>
      <c r="AC2240">
        <f t="shared" si="1113"/>
        <v>2436</v>
      </c>
    </row>
    <row r="2241" spans="1:29" x14ac:dyDescent="0.2">
      <c r="A2241">
        <v>1213</v>
      </c>
      <c r="D2241">
        <f t="shared" si="1114"/>
        <v>3</v>
      </c>
      <c r="E2241">
        <v>6</v>
      </c>
      <c r="F2241" s="6" t="s">
        <v>313</v>
      </c>
      <c r="G2241">
        <v>6</v>
      </c>
      <c r="H2241" s="8" t="s">
        <v>309</v>
      </c>
      <c r="I2241" t="s">
        <v>179</v>
      </c>
      <c r="J2241">
        <v>33</v>
      </c>
      <c r="K2241" t="s">
        <v>488</v>
      </c>
      <c r="L2241" t="s">
        <v>15</v>
      </c>
      <c r="Q2241">
        <f t="shared" ref="Q2241:S2241" si="1179">Q2240</f>
        <v>18977</v>
      </c>
      <c r="R2241" t="str">
        <f t="shared" si="1179"/>
        <v>Velodrome</v>
      </c>
      <c r="S2241" t="str">
        <f t="shared" si="1179"/>
        <v>HollowBrook</v>
      </c>
      <c r="T2241" s="20">
        <f t="shared" si="1118"/>
        <v>1</v>
      </c>
      <c r="U2241">
        <f t="shared" si="1119"/>
        <v>368</v>
      </c>
      <c r="V2241">
        <f t="shared" si="1120"/>
        <v>367</v>
      </c>
      <c r="W2241" cm="1">
        <f t="array" ref="W2241">_xlfn._xlws.FILTER(shifts!A:A,(shifts!B:B=events!D2241)*(shifts!AH:AH&gt;=events!U2241)*(shifts!AI:AI&lt;=events!V2241))</f>
        <v>77</v>
      </c>
      <c r="X2241" t="str">
        <f t="shared" si="1121"/>
        <v>event_team_player_1</v>
      </c>
      <c r="Y2241">
        <f>COUNTIFS(A$3:A2241,"="&amp;A2241,K$3:K2241,"="&amp;K2241)</f>
        <v>1</v>
      </c>
      <c r="Z2241" s="20">
        <f>SUMIFS(T$3:T2241,L$3:L2241,"=Intermission")+SUMIFS(T$3:T2241,L$3:L2241,"=Timeout")+SUMIFS(T$3:T2241,L$3:L2241,"=Clockstop")</f>
        <v>138</v>
      </c>
      <c r="AA2241">
        <f t="shared" si="1112"/>
        <v>2298</v>
      </c>
      <c r="AC2241">
        <f t="shared" si="1113"/>
        <v>2436</v>
      </c>
    </row>
    <row r="2242" spans="1:29" x14ac:dyDescent="0.2">
      <c r="A2242">
        <v>1214</v>
      </c>
      <c r="D2242">
        <f t="shared" si="1114"/>
        <v>3</v>
      </c>
      <c r="E2242">
        <v>6</v>
      </c>
      <c r="F2242" s="6" t="s">
        <v>309</v>
      </c>
      <c r="I2242" t="s">
        <v>179</v>
      </c>
      <c r="J2242">
        <v>33</v>
      </c>
      <c r="K2242" t="s">
        <v>488</v>
      </c>
      <c r="L2242" t="s">
        <v>10</v>
      </c>
      <c r="M2242" t="s">
        <v>190</v>
      </c>
      <c r="N2242" t="s">
        <v>479</v>
      </c>
      <c r="Q2242">
        <f t="shared" ref="Q2242:S2242" si="1180">Q2241</f>
        <v>18977</v>
      </c>
      <c r="R2242" t="str">
        <f t="shared" si="1180"/>
        <v>Velodrome</v>
      </c>
      <c r="S2242" t="str">
        <f t="shared" si="1180"/>
        <v>HollowBrook</v>
      </c>
      <c r="T2242" s="20">
        <f t="shared" si="1118"/>
        <v>0</v>
      </c>
      <c r="U2242">
        <f t="shared" si="1119"/>
        <v>367</v>
      </c>
      <c r="V2242">
        <f t="shared" si="1120"/>
        <v>367</v>
      </c>
      <c r="W2242" cm="1">
        <f t="array" ref="W2242">_xlfn._xlws.FILTER(shifts!A:A,(shifts!B:B=events!D2242)*(shifts!AH:AH&gt;=events!U2242)*(shifts!AI:AI&lt;=events!V2242))</f>
        <v>77</v>
      </c>
      <c r="X2242" t="str">
        <f t="shared" si="1121"/>
        <v>event_team_player_1</v>
      </c>
      <c r="Y2242">
        <f>COUNTIFS(A$3:A2242,"="&amp;A2242,K$3:K2242,"="&amp;K2242)</f>
        <v>1</v>
      </c>
      <c r="Z2242" s="20">
        <f>SUMIFS(T$3:T2242,L$3:L2242,"=Intermission")+SUMIFS(T$3:T2242,L$3:L2242,"=Timeout")+SUMIFS(T$3:T2242,L$3:L2242,"=Clockstop")</f>
        <v>138</v>
      </c>
      <c r="AA2242">
        <f t="shared" si="1112"/>
        <v>2298</v>
      </c>
      <c r="AC2242">
        <f t="shared" si="1113"/>
        <v>2436</v>
      </c>
    </row>
    <row r="2243" spans="1:29" x14ac:dyDescent="0.2">
      <c r="A2243">
        <v>1215</v>
      </c>
      <c r="D2243">
        <f t="shared" si="1114"/>
        <v>3</v>
      </c>
      <c r="E2243">
        <v>6</v>
      </c>
      <c r="F2243" s="6" t="s">
        <v>311</v>
      </c>
      <c r="I2243" t="s">
        <v>178</v>
      </c>
      <c r="J2243">
        <v>42</v>
      </c>
      <c r="K2243" t="s">
        <v>488</v>
      </c>
      <c r="L2243" t="s">
        <v>8</v>
      </c>
      <c r="M2243" t="s">
        <v>189</v>
      </c>
      <c r="N2243" t="s">
        <v>71</v>
      </c>
      <c r="Q2243">
        <f t="shared" ref="Q2243:S2243" si="1181">Q2242</f>
        <v>18977</v>
      </c>
      <c r="R2243" t="str">
        <f t="shared" si="1181"/>
        <v>Velodrome</v>
      </c>
      <c r="S2243" t="str">
        <f t="shared" si="1181"/>
        <v>HollowBrook</v>
      </c>
      <c r="T2243" s="20">
        <f t="shared" si="1118"/>
        <v>0</v>
      </c>
      <c r="U2243">
        <f t="shared" si="1119"/>
        <v>363</v>
      </c>
      <c r="V2243">
        <f t="shared" si="1120"/>
        <v>363</v>
      </c>
      <c r="W2243" cm="1">
        <f t="array" ref="W2243">_xlfn._xlws.FILTER(shifts!A:A,(shifts!B:B=events!D2243)*(shifts!AH:AH&gt;=events!U2243)*(shifts!AI:AI&lt;=events!V2243))</f>
        <v>77</v>
      </c>
      <c r="X2243" t="str">
        <f t="shared" si="1121"/>
        <v>event_team_player_1</v>
      </c>
      <c r="Y2243">
        <f>COUNTIFS(A$3:A2243,"="&amp;A2243,K$3:K2243,"="&amp;K2243)</f>
        <v>1</v>
      </c>
      <c r="Z2243" s="20">
        <f>SUMIFS(T$3:T2243,L$3:L2243,"=Intermission")+SUMIFS(T$3:T2243,L$3:L2243,"=Timeout")+SUMIFS(T$3:T2243,L$3:L2243,"=Clockstop")</f>
        <v>138</v>
      </c>
      <c r="AA2243">
        <f t="shared" si="1112"/>
        <v>2298</v>
      </c>
      <c r="AC2243">
        <f t="shared" si="1113"/>
        <v>2436</v>
      </c>
    </row>
    <row r="2244" spans="1:29" x14ac:dyDescent="0.2">
      <c r="A2244">
        <v>1215</v>
      </c>
      <c r="D2244">
        <f t="shared" si="1114"/>
        <v>3</v>
      </c>
      <c r="E2244">
        <v>6</v>
      </c>
      <c r="F2244" s="6" t="s">
        <v>311</v>
      </c>
      <c r="I2244" t="s">
        <v>178</v>
      </c>
      <c r="J2244">
        <v>91</v>
      </c>
      <c r="K2244" t="s">
        <v>488</v>
      </c>
      <c r="L2244" t="s">
        <v>8</v>
      </c>
      <c r="M2244" t="s">
        <v>189</v>
      </c>
      <c r="N2244" t="s">
        <v>71</v>
      </c>
      <c r="Q2244">
        <f t="shared" ref="Q2244:S2244" si="1182">Q2243</f>
        <v>18977</v>
      </c>
      <c r="R2244" t="str">
        <f t="shared" si="1182"/>
        <v>Velodrome</v>
      </c>
      <c r="S2244" t="str">
        <f t="shared" si="1182"/>
        <v>HollowBrook</v>
      </c>
      <c r="T2244" s="20">
        <f t="shared" si="1118"/>
        <v>0</v>
      </c>
      <c r="U2244">
        <f t="shared" si="1119"/>
        <v>363</v>
      </c>
      <c r="V2244">
        <f t="shared" si="1120"/>
        <v>363</v>
      </c>
      <c r="W2244" cm="1">
        <f t="array" ref="W2244">_xlfn._xlws.FILTER(shifts!A:A,(shifts!B:B=events!D2244)*(shifts!AH:AH&gt;=events!U2244)*(shifts!AI:AI&lt;=events!V2244))</f>
        <v>77</v>
      </c>
      <c r="X2244" t="str">
        <f t="shared" si="1121"/>
        <v>event_team_player_2</v>
      </c>
      <c r="Y2244">
        <f>COUNTIFS(A$3:A2244,"="&amp;A2244,K$3:K2244,"="&amp;K2244)</f>
        <v>2</v>
      </c>
      <c r="Z2244" s="20">
        <f>SUMIFS(T$3:T2244,L$3:L2244,"=Intermission")+SUMIFS(T$3:T2244,L$3:L2244,"=Timeout")+SUMIFS(T$3:T2244,L$3:L2244,"=Clockstop")</f>
        <v>138</v>
      </c>
      <c r="AA2244">
        <f t="shared" ref="AA2244:AA2307" si="1183">IF(D2244=1,0,IF(D2244=2,1080+Z2244,IF(D2244=3,(1080*2)+Z2244,0)))</f>
        <v>2298</v>
      </c>
      <c r="AC2244">
        <f t="shared" ref="AC2244:AC2307" si="1184">IF(L2243="GameStart",0,AA2244+Z2244)</f>
        <v>2436</v>
      </c>
    </row>
    <row r="2245" spans="1:29" x14ac:dyDescent="0.2">
      <c r="A2245">
        <v>1215</v>
      </c>
      <c r="D2245">
        <f t="shared" ref="D2245:D2308" si="1185">IF(L2245="Intermission",D2244+1,D2244)</f>
        <v>3</v>
      </c>
      <c r="E2245">
        <v>6</v>
      </c>
      <c r="F2245" s="6" t="s">
        <v>311</v>
      </c>
      <c r="I2245" t="s">
        <v>178</v>
      </c>
      <c r="J2245">
        <v>33</v>
      </c>
      <c r="K2245" t="s">
        <v>489</v>
      </c>
      <c r="L2245" t="s">
        <v>8</v>
      </c>
      <c r="M2245" t="s">
        <v>189</v>
      </c>
      <c r="N2245" t="s">
        <v>71</v>
      </c>
      <c r="Q2245">
        <f t="shared" ref="Q2245:S2245" si="1186">Q2244</f>
        <v>18977</v>
      </c>
      <c r="R2245" t="str">
        <f t="shared" si="1186"/>
        <v>Velodrome</v>
      </c>
      <c r="S2245" t="str">
        <f t="shared" si="1186"/>
        <v>HollowBrook</v>
      </c>
      <c r="T2245" s="20">
        <f t="shared" si="1118"/>
        <v>0</v>
      </c>
      <c r="U2245">
        <f t="shared" si="1119"/>
        <v>363</v>
      </c>
      <c r="V2245">
        <f t="shared" si="1120"/>
        <v>363</v>
      </c>
      <c r="W2245" cm="1">
        <f t="array" ref="W2245">_xlfn._xlws.FILTER(shifts!A:A,(shifts!B:B=events!D2245)*(shifts!AH:AH&gt;=events!U2245)*(shifts!AI:AI&lt;=events!V2245))</f>
        <v>77</v>
      </c>
      <c r="X2245" t="str">
        <f t="shared" si="1121"/>
        <v>opp_team_player_1</v>
      </c>
      <c r="Y2245">
        <f>COUNTIFS(A$3:A2245,"="&amp;A2245,K$3:K2245,"="&amp;K2245)</f>
        <v>1</v>
      </c>
      <c r="Z2245" s="20">
        <f>SUMIFS(T$3:T2245,L$3:L2245,"=Intermission")+SUMIFS(T$3:T2245,L$3:L2245,"=Timeout")+SUMIFS(T$3:T2245,L$3:L2245,"=Clockstop")</f>
        <v>138</v>
      </c>
      <c r="AA2245">
        <f t="shared" si="1183"/>
        <v>2298</v>
      </c>
      <c r="AC2245">
        <f t="shared" si="1184"/>
        <v>2436</v>
      </c>
    </row>
    <row r="2246" spans="1:29" x14ac:dyDescent="0.2">
      <c r="A2246">
        <v>1216</v>
      </c>
      <c r="D2246">
        <f t="shared" si="1185"/>
        <v>3</v>
      </c>
      <c r="E2246">
        <v>6</v>
      </c>
      <c r="F2246" s="6" t="s">
        <v>311</v>
      </c>
      <c r="I2246" t="s">
        <v>178</v>
      </c>
      <c r="J2246">
        <v>42</v>
      </c>
      <c r="K2246" t="s">
        <v>488</v>
      </c>
      <c r="L2246" t="s">
        <v>277</v>
      </c>
      <c r="M2246" t="s">
        <v>191</v>
      </c>
      <c r="N2246" t="s">
        <v>88</v>
      </c>
      <c r="Q2246">
        <f t="shared" ref="Q2246:S2246" si="1187">Q2245</f>
        <v>18977</v>
      </c>
      <c r="R2246" t="str">
        <f t="shared" si="1187"/>
        <v>Velodrome</v>
      </c>
      <c r="S2246" t="str">
        <f t="shared" si="1187"/>
        <v>HollowBrook</v>
      </c>
      <c r="T2246" s="20">
        <f t="shared" si="1118"/>
        <v>0</v>
      </c>
      <c r="U2246">
        <f t="shared" si="1119"/>
        <v>363</v>
      </c>
      <c r="V2246">
        <f t="shared" si="1120"/>
        <v>363</v>
      </c>
      <c r="W2246" cm="1">
        <f t="array" ref="W2246">_xlfn._xlws.FILTER(shifts!A:A,(shifts!B:B=events!D2246)*(shifts!AH:AH&gt;=events!U2246)*(shifts!AI:AI&lt;=events!V2246))</f>
        <v>77</v>
      </c>
      <c r="X2246" t="str">
        <f t="shared" si="1121"/>
        <v>event_team_player_1</v>
      </c>
      <c r="Y2246">
        <f>COUNTIFS(A$3:A2246,"="&amp;A2246,K$3:K2246,"="&amp;K2246)</f>
        <v>1</v>
      </c>
      <c r="Z2246" s="20">
        <f>SUMIFS(T$3:T2246,L$3:L2246,"=Intermission")+SUMIFS(T$3:T2246,L$3:L2246,"=Timeout")+SUMIFS(T$3:T2246,L$3:L2246,"=Clockstop")</f>
        <v>138</v>
      </c>
      <c r="AA2246">
        <f t="shared" si="1183"/>
        <v>2298</v>
      </c>
      <c r="AC2246">
        <f t="shared" si="1184"/>
        <v>2436</v>
      </c>
    </row>
    <row r="2247" spans="1:29" x14ac:dyDescent="0.2">
      <c r="A2247">
        <v>1216</v>
      </c>
      <c r="D2247">
        <f t="shared" si="1185"/>
        <v>3</v>
      </c>
      <c r="E2247">
        <v>6</v>
      </c>
      <c r="F2247" s="6" t="s">
        <v>311</v>
      </c>
      <c r="I2247" t="s">
        <v>178</v>
      </c>
      <c r="J2247">
        <v>91</v>
      </c>
      <c r="K2247" t="s">
        <v>488</v>
      </c>
      <c r="L2247" t="s">
        <v>277</v>
      </c>
      <c r="M2247" t="s">
        <v>191</v>
      </c>
      <c r="N2247" t="s">
        <v>88</v>
      </c>
      <c r="Q2247">
        <f t="shared" ref="Q2247:S2247" si="1188">Q2246</f>
        <v>18977</v>
      </c>
      <c r="R2247" t="str">
        <f t="shared" si="1188"/>
        <v>Velodrome</v>
      </c>
      <c r="S2247" t="str">
        <f t="shared" si="1188"/>
        <v>HollowBrook</v>
      </c>
      <c r="T2247" s="20">
        <f t="shared" ref="T2247:T2310" si="1189">IF(AND(G2247="",H2247=""),0,((E2247*60)+F2247)-((G2247*60)+H2247))</f>
        <v>0</v>
      </c>
      <c r="U2247">
        <f t="shared" ref="U2247:U2310" si="1190">(E2247*60)+F2247</f>
        <v>363</v>
      </c>
      <c r="V2247">
        <f t="shared" ref="V2247:V2310" si="1191">IF(AND(G2247="",H2247=""),U2247,((G2247*60)+H2247))</f>
        <v>363</v>
      </c>
      <c r="W2247" cm="1">
        <f t="array" ref="W2247">_xlfn._xlws.FILTER(shifts!A:A,(shifts!B:B=events!D2247)*(shifts!AH:AH&gt;=events!U2247)*(shifts!AI:AI&lt;=events!V2247))</f>
        <v>77</v>
      </c>
      <c r="X2247" t="str">
        <f t="shared" ref="X2247:X2310" si="1192">IF(K2247="e","event_team_player_"&amp;Y2247,IF(K2247="o","opp_team_player_"&amp;Y2247,""))</f>
        <v>event_team_player_2</v>
      </c>
      <c r="Y2247">
        <f>COUNTIFS(A$3:A2247,"="&amp;A2247,K$3:K2247,"="&amp;K2247)</f>
        <v>2</v>
      </c>
      <c r="Z2247" s="20">
        <f>SUMIFS(T$3:T2247,L$3:L2247,"=Intermission")+SUMIFS(T$3:T2247,L$3:L2247,"=Timeout")+SUMIFS(T$3:T2247,L$3:L2247,"=Clockstop")</f>
        <v>138</v>
      </c>
      <c r="AA2247">
        <f t="shared" si="1183"/>
        <v>2298</v>
      </c>
      <c r="AC2247">
        <f t="shared" si="1184"/>
        <v>2436</v>
      </c>
    </row>
    <row r="2248" spans="1:29" x14ac:dyDescent="0.2">
      <c r="A2248">
        <v>1216</v>
      </c>
      <c r="D2248">
        <f t="shared" si="1185"/>
        <v>3</v>
      </c>
      <c r="E2248">
        <v>6</v>
      </c>
      <c r="F2248" s="6" t="s">
        <v>311</v>
      </c>
      <c r="I2248" t="s">
        <v>178</v>
      </c>
      <c r="J2248">
        <v>33</v>
      </c>
      <c r="K2248" t="s">
        <v>489</v>
      </c>
      <c r="L2248" t="s">
        <v>277</v>
      </c>
      <c r="M2248" t="s">
        <v>191</v>
      </c>
      <c r="N2248" t="s">
        <v>88</v>
      </c>
      <c r="Q2248">
        <f t="shared" ref="Q2248:S2248" si="1193">Q2247</f>
        <v>18977</v>
      </c>
      <c r="R2248" t="str">
        <f t="shared" si="1193"/>
        <v>Velodrome</v>
      </c>
      <c r="S2248" t="str">
        <f t="shared" si="1193"/>
        <v>HollowBrook</v>
      </c>
      <c r="T2248" s="20">
        <f t="shared" si="1189"/>
        <v>0</v>
      </c>
      <c r="U2248">
        <f t="shared" si="1190"/>
        <v>363</v>
      </c>
      <c r="V2248">
        <f t="shared" si="1191"/>
        <v>363</v>
      </c>
      <c r="W2248" cm="1">
        <f t="array" ref="W2248">_xlfn._xlws.FILTER(shifts!A:A,(shifts!B:B=events!D2248)*(shifts!AH:AH&gt;=events!U2248)*(shifts!AI:AI&lt;=events!V2248))</f>
        <v>77</v>
      </c>
      <c r="X2248" t="str">
        <f t="shared" si="1192"/>
        <v>opp_team_player_1</v>
      </c>
      <c r="Y2248">
        <f>COUNTIFS(A$3:A2248,"="&amp;A2248,K$3:K2248,"="&amp;K2248)</f>
        <v>1</v>
      </c>
      <c r="Z2248" s="20">
        <f>SUMIFS(T$3:T2248,L$3:L2248,"=Intermission")+SUMIFS(T$3:T2248,L$3:L2248,"=Timeout")+SUMIFS(T$3:T2248,L$3:L2248,"=Clockstop")</f>
        <v>138</v>
      </c>
      <c r="AA2248">
        <f t="shared" si="1183"/>
        <v>2298</v>
      </c>
      <c r="AC2248">
        <f t="shared" si="1184"/>
        <v>2436</v>
      </c>
    </row>
    <row r="2249" spans="1:29" x14ac:dyDescent="0.2">
      <c r="A2249">
        <v>1216</v>
      </c>
      <c r="D2249">
        <f t="shared" si="1185"/>
        <v>3</v>
      </c>
      <c r="E2249">
        <v>6</v>
      </c>
      <c r="F2249" s="6" t="s">
        <v>311</v>
      </c>
      <c r="I2249" t="s">
        <v>178</v>
      </c>
      <c r="J2249">
        <v>18</v>
      </c>
      <c r="K2249" t="s">
        <v>489</v>
      </c>
      <c r="L2249" t="s">
        <v>277</v>
      </c>
      <c r="M2249" t="s">
        <v>191</v>
      </c>
      <c r="N2249" t="s">
        <v>88</v>
      </c>
      <c r="Q2249">
        <f t="shared" ref="Q2249:S2249" si="1194">Q2248</f>
        <v>18977</v>
      </c>
      <c r="R2249" t="str">
        <f t="shared" si="1194"/>
        <v>Velodrome</v>
      </c>
      <c r="S2249" t="str">
        <f t="shared" si="1194"/>
        <v>HollowBrook</v>
      </c>
      <c r="T2249" s="20">
        <f t="shared" si="1189"/>
        <v>0</v>
      </c>
      <c r="U2249">
        <f t="shared" si="1190"/>
        <v>363</v>
      </c>
      <c r="V2249">
        <f t="shared" si="1191"/>
        <v>363</v>
      </c>
      <c r="W2249" cm="1">
        <f t="array" ref="W2249">_xlfn._xlws.FILTER(shifts!A:A,(shifts!B:B=events!D2249)*(shifts!AH:AH&gt;=events!U2249)*(shifts!AI:AI&lt;=events!V2249))</f>
        <v>77</v>
      </c>
      <c r="X2249" t="str">
        <f t="shared" si="1192"/>
        <v>opp_team_player_2</v>
      </c>
      <c r="Y2249">
        <f>COUNTIFS(A$3:A2249,"="&amp;A2249,K$3:K2249,"="&amp;K2249)</f>
        <v>2</v>
      </c>
      <c r="Z2249" s="20">
        <f>SUMIFS(T$3:T2249,L$3:L2249,"=Intermission")+SUMIFS(T$3:T2249,L$3:L2249,"=Timeout")+SUMIFS(T$3:T2249,L$3:L2249,"=Clockstop")</f>
        <v>138</v>
      </c>
      <c r="AA2249">
        <f t="shared" si="1183"/>
        <v>2298</v>
      </c>
      <c r="AC2249">
        <f t="shared" si="1184"/>
        <v>2436</v>
      </c>
    </row>
    <row r="2250" spans="1:29" x14ac:dyDescent="0.2">
      <c r="A2250">
        <v>1217</v>
      </c>
      <c r="D2250">
        <f t="shared" si="1185"/>
        <v>3</v>
      </c>
      <c r="E2250">
        <v>6</v>
      </c>
      <c r="F2250" s="6" t="s">
        <v>316</v>
      </c>
      <c r="G2250">
        <v>6</v>
      </c>
      <c r="H2250" s="8" t="s">
        <v>426</v>
      </c>
      <c r="I2250" t="s">
        <v>178</v>
      </c>
      <c r="J2250">
        <v>91</v>
      </c>
      <c r="K2250" t="s">
        <v>488</v>
      </c>
      <c r="L2250" t="s">
        <v>15</v>
      </c>
      <c r="Q2250">
        <f t="shared" ref="Q2250:S2250" si="1195">Q2249</f>
        <v>18977</v>
      </c>
      <c r="R2250" t="str">
        <f t="shared" si="1195"/>
        <v>Velodrome</v>
      </c>
      <c r="S2250" t="str">
        <f t="shared" si="1195"/>
        <v>HollowBrook</v>
      </c>
      <c r="T2250" s="20">
        <f t="shared" si="1189"/>
        <v>2</v>
      </c>
      <c r="U2250">
        <f t="shared" si="1190"/>
        <v>362</v>
      </c>
      <c r="V2250">
        <f t="shared" si="1191"/>
        <v>360</v>
      </c>
      <c r="W2250" cm="1">
        <f t="array" ref="W2250">_xlfn._xlws.FILTER(shifts!A:A,(shifts!B:B=events!D2250)*(shifts!AH:AH&gt;=events!U2250)*(shifts!AI:AI&lt;=events!V2250))</f>
        <v>77</v>
      </c>
      <c r="X2250" t="str">
        <f t="shared" si="1192"/>
        <v>event_team_player_1</v>
      </c>
      <c r="Y2250">
        <f>COUNTIFS(A$3:A2250,"="&amp;A2250,K$3:K2250,"="&amp;K2250)</f>
        <v>1</v>
      </c>
      <c r="Z2250" s="20">
        <f>SUMIFS(T$3:T2250,L$3:L2250,"=Intermission")+SUMIFS(T$3:T2250,L$3:L2250,"=Timeout")+SUMIFS(T$3:T2250,L$3:L2250,"=Clockstop")</f>
        <v>138</v>
      </c>
      <c r="AA2250">
        <f t="shared" si="1183"/>
        <v>2298</v>
      </c>
      <c r="AC2250">
        <f t="shared" si="1184"/>
        <v>2436</v>
      </c>
    </row>
    <row r="2251" spans="1:29" x14ac:dyDescent="0.2">
      <c r="A2251">
        <v>1217</v>
      </c>
      <c r="D2251">
        <f t="shared" si="1185"/>
        <v>3</v>
      </c>
      <c r="E2251">
        <v>6</v>
      </c>
      <c r="F2251" s="6" t="s">
        <v>316</v>
      </c>
      <c r="G2251">
        <v>6</v>
      </c>
      <c r="H2251" s="8" t="s">
        <v>426</v>
      </c>
      <c r="I2251" t="s">
        <v>178</v>
      </c>
      <c r="J2251">
        <v>18</v>
      </c>
      <c r="K2251" t="s">
        <v>489</v>
      </c>
      <c r="L2251" t="s">
        <v>15</v>
      </c>
      <c r="Q2251">
        <f t="shared" ref="Q2251:S2251" si="1196">Q2250</f>
        <v>18977</v>
      </c>
      <c r="R2251" t="str">
        <f t="shared" si="1196"/>
        <v>Velodrome</v>
      </c>
      <c r="S2251" t="str">
        <f t="shared" si="1196"/>
        <v>HollowBrook</v>
      </c>
      <c r="T2251" s="20">
        <f t="shared" si="1189"/>
        <v>2</v>
      </c>
      <c r="U2251">
        <f t="shared" si="1190"/>
        <v>362</v>
      </c>
      <c r="V2251">
        <f t="shared" si="1191"/>
        <v>360</v>
      </c>
      <c r="W2251" cm="1">
        <f t="array" ref="W2251">_xlfn._xlws.FILTER(shifts!A:A,(shifts!B:B=events!D2251)*(shifts!AH:AH&gt;=events!U2251)*(shifts!AI:AI&lt;=events!V2251))</f>
        <v>77</v>
      </c>
      <c r="X2251" t="str">
        <f t="shared" si="1192"/>
        <v>opp_team_player_1</v>
      </c>
      <c r="Y2251">
        <f>COUNTIFS(A$3:A2251,"="&amp;A2251,K$3:K2251,"="&amp;K2251)</f>
        <v>1</v>
      </c>
      <c r="Z2251" s="20">
        <f>SUMIFS(T$3:T2251,L$3:L2251,"=Intermission")+SUMIFS(T$3:T2251,L$3:L2251,"=Timeout")+SUMIFS(T$3:T2251,L$3:L2251,"=Clockstop")</f>
        <v>138</v>
      </c>
      <c r="AA2251">
        <f t="shared" si="1183"/>
        <v>2298</v>
      </c>
      <c r="AC2251">
        <f t="shared" si="1184"/>
        <v>2436</v>
      </c>
    </row>
    <row r="2252" spans="1:29" x14ac:dyDescent="0.2">
      <c r="A2252">
        <v>1218</v>
      </c>
      <c r="D2252">
        <f t="shared" si="1185"/>
        <v>3</v>
      </c>
      <c r="E2252">
        <v>6</v>
      </c>
      <c r="F2252" s="6" t="s">
        <v>426</v>
      </c>
      <c r="I2252" t="s">
        <v>178</v>
      </c>
      <c r="J2252">
        <v>91</v>
      </c>
      <c r="K2252" t="s">
        <v>488</v>
      </c>
      <c r="L2252" t="s">
        <v>247</v>
      </c>
      <c r="M2252" t="s">
        <v>513</v>
      </c>
      <c r="N2252" t="s">
        <v>155</v>
      </c>
      <c r="Q2252">
        <f t="shared" ref="Q2252:S2252" si="1197">Q2251</f>
        <v>18977</v>
      </c>
      <c r="R2252" t="str">
        <f t="shared" si="1197"/>
        <v>Velodrome</v>
      </c>
      <c r="S2252" t="str">
        <f t="shared" si="1197"/>
        <v>HollowBrook</v>
      </c>
      <c r="T2252" s="20">
        <f t="shared" si="1189"/>
        <v>0</v>
      </c>
      <c r="U2252">
        <f t="shared" si="1190"/>
        <v>360</v>
      </c>
      <c r="V2252">
        <f t="shared" si="1191"/>
        <v>360</v>
      </c>
      <c r="W2252" cm="1">
        <f t="array" ref="W2252">_xlfn._xlws.FILTER(shifts!A:A,(shifts!B:B=events!D2252)*(shifts!AH:AH&gt;=events!U2252)*(shifts!AI:AI&lt;=events!V2252))</f>
        <v>77</v>
      </c>
      <c r="X2252" t="str">
        <f t="shared" si="1192"/>
        <v>event_team_player_1</v>
      </c>
      <c r="Y2252">
        <f>COUNTIFS(A$3:A2252,"="&amp;A2252,K$3:K2252,"="&amp;K2252)</f>
        <v>1</v>
      </c>
      <c r="Z2252" s="20">
        <f>SUMIFS(T$3:T2252,L$3:L2252,"=Intermission")+SUMIFS(T$3:T2252,L$3:L2252,"=Timeout")+SUMIFS(T$3:T2252,L$3:L2252,"=Clockstop")</f>
        <v>138</v>
      </c>
      <c r="AA2252">
        <f t="shared" si="1183"/>
        <v>2298</v>
      </c>
      <c r="AC2252">
        <f t="shared" si="1184"/>
        <v>2436</v>
      </c>
    </row>
    <row r="2253" spans="1:29" x14ac:dyDescent="0.2">
      <c r="A2253">
        <v>1218</v>
      </c>
      <c r="D2253">
        <f t="shared" si="1185"/>
        <v>3</v>
      </c>
      <c r="E2253">
        <v>6</v>
      </c>
      <c r="F2253" s="6" t="s">
        <v>426</v>
      </c>
      <c r="I2253" t="s">
        <v>178</v>
      </c>
      <c r="J2253">
        <v>18</v>
      </c>
      <c r="K2253" t="s">
        <v>489</v>
      </c>
      <c r="L2253" t="s">
        <v>247</v>
      </c>
      <c r="M2253" t="s">
        <v>513</v>
      </c>
      <c r="N2253" t="s">
        <v>155</v>
      </c>
      <c r="Q2253">
        <f t="shared" ref="Q2253:S2253" si="1198">Q2252</f>
        <v>18977</v>
      </c>
      <c r="R2253" t="str">
        <f t="shared" si="1198"/>
        <v>Velodrome</v>
      </c>
      <c r="S2253" t="str">
        <f t="shared" si="1198"/>
        <v>HollowBrook</v>
      </c>
      <c r="T2253" s="20">
        <f t="shared" si="1189"/>
        <v>0</v>
      </c>
      <c r="U2253">
        <f t="shared" si="1190"/>
        <v>360</v>
      </c>
      <c r="V2253">
        <f t="shared" si="1191"/>
        <v>360</v>
      </c>
      <c r="W2253" cm="1">
        <f t="array" ref="W2253">_xlfn._xlws.FILTER(shifts!A:A,(shifts!B:B=events!D2253)*(shifts!AH:AH&gt;=events!U2253)*(shifts!AI:AI&lt;=events!V2253))</f>
        <v>77</v>
      </c>
      <c r="X2253" t="str">
        <f t="shared" si="1192"/>
        <v>opp_team_player_1</v>
      </c>
      <c r="Y2253">
        <f>COUNTIFS(A$3:A2253,"="&amp;A2253,K$3:K2253,"="&amp;K2253)</f>
        <v>1</v>
      </c>
      <c r="Z2253" s="20">
        <f>SUMIFS(T$3:T2253,L$3:L2253,"=Intermission")+SUMIFS(T$3:T2253,L$3:L2253,"=Timeout")+SUMIFS(T$3:T2253,L$3:L2253,"=Clockstop")</f>
        <v>138</v>
      </c>
      <c r="AA2253">
        <f t="shared" si="1183"/>
        <v>2298</v>
      </c>
      <c r="AC2253">
        <f t="shared" si="1184"/>
        <v>2436</v>
      </c>
    </row>
    <row r="2254" spans="1:29" x14ac:dyDescent="0.2">
      <c r="A2254">
        <v>1219</v>
      </c>
      <c r="D2254">
        <f t="shared" si="1185"/>
        <v>3</v>
      </c>
      <c r="E2254">
        <v>5</v>
      </c>
      <c r="F2254" s="6" t="s">
        <v>421</v>
      </c>
      <c r="I2254" t="s">
        <v>178</v>
      </c>
      <c r="J2254">
        <v>24</v>
      </c>
      <c r="K2254" t="s">
        <v>488</v>
      </c>
      <c r="L2254" t="s">
        <v>8</v>
      </c>
      <c r="M2254" t="s">
        <v>189</v>
      </c>
      <c r="N2254" t="s">
        <v>70</v>
      </c>
      <c r="Q2254">
        <f t="shared" ref="Q2254:S2254" si="1199">Q2253</f>
        <v>18977</v>
      </c>
      <c r="R2254" t="str">
        <f t="shared" si="1199"/>
        <v>Velodrome</v>
      </c>
      <c r="S2254" t="str">
        <f t="shared" si="1199"/>
        <v>HollowBrook</v>
      </c>
      <c r="T2254" s="20">
        <f t="shared" si="1189"/>
        <v>0</v>
      </c>
      <c r="U2254">
        <f t="shared" si="1190"/>
        <v>356</v>
      </c>
      <c r="V2254">
        <f t="shared" si="1191"/>
        <v>356</v>
      </c>
      <c r="W2254" cm="1">
        <f t="array" ref="W2254">_xlfn._xlws.FILTER(shifts!A:A,(shifts!B:B=events!D2254)*(shifts!AH:AH&gt;=events!U2254)*(shifts!AI:AI&lt;=events!V2254))</f>
        <v>77</v>
      </c>
      <c r="X2254" t="str">
        <f t="shared" si="1192"/>
        <v>event_team_player_1</v>
      </c>
      <c r="Y2254">
        <f>COUNTIFS(A$3:A2254,"="&amp;A2254,K$3:K2254,"="&amp;K2254)</f>
        <v>1</v>
      </c>
      <c r="Z2254" s="20">
        <f>SUMIFS(T$3:T2254,L$3:L2254,"=Intermission")+SUMIFS(T$3:T2254,L$3:L2254,"=Timeout")+SUMIFS(T$3:T2254,L$3:L2254,"=Clockstop")</f>
        <v>138</v>
      </c>
      <c r="AA2254">
        <f t="shared" si="1183"/>
        <v>2298</v>
      </c>
      <c r="AC2254">
        <f t="shared" si="1184"/>
        <v>2436</v>
      </c>
    </row>
    <row r="2255" spans="1:29" x14ac:dyDescent="0.2">
      <c r="A2255">
        <v>1219</v>
      </c>
      <c r="D2255">
        <f t="shared" si="1185"/>
        <v>3</v>
      </c>
      <c r="E2255">
        <v>5</v>
      </c>
      <c r="F2255" s="6" t="s">
        <v>421</v>
      </c>
      <c r="I2255" t="s">
        <v>178</v>
      </c>
      <c r="J2255">
        <v>42</v>
      </c>
      <c r="K2255" t="s">
        <v>488</v>
      </c>
      <c r="L2255" t="s">
        <v>8</v>
      </c>
      <c r="M2255" t="s">
        <v>189</v>
      </c>
      <c r="N2255" t="s">
        <v>70</v>
      </c>
      <c r="Q2255">
        <f t="shared" ref="Q2255:S2255" si="1200">Q2254</f>
        <v>18977</v>
      </c>
      <c r="R2255" t="str">
        <f t="shared" si="1200"/>
        <v>Velodrome</v>
      </c>
      <c r="S2255" t="str">
        <f t="shared" si="1200"/>
        <v>HollowBrook</v>
      </c>
      <c r="T2255" s="20">
        <f t="shared" si="1189"/>
        <v>0</v>
      </c>
      <c r="U2255">
        <f t="shared" si="1190"/>
        <v>356</v>
      </c>
      <c r="V2255">
        <f t="shared" si="1191"/>
        <v>356</v>
      </c>
      <c r="W2255" cm="1">
        <f t="array" ref="W2255">_xlfn._xlws.FILTER(shifts!A:A,(shifts!B:B=events!D2255)*(shifts!AH:AH&gt;=events!U2255)*(shifts!AI:AI&lt;=events!V2255))</f>
        <v>77</v>
      </c>
      <c r="X2255" t="str">
        <f t="shared" si="1192"/>
        <v>event_team_player_2</v>
      </c>
      <c r="Y2255">
        <f>COUNTIFS(A$3:A2255,"="&amp;A2255,K$3:K2255,"="&amp;K2255)</f>
        <v>2</v>
      </c>
      <c r="Z2255" s="20">
        <f>SUMIFS(T$3:T2255,L$3:L2255,"=Intermission")+SUMIFS(T$3:T2255,L$3:L2255,"=Timeout")+SUMIFS(T$3:T2255,L$3:L2255,"=Clockstop")</f>
        <v>138</v>
      </c>
      <c r="AA2255">
        <f t="shared" si="1183"/>
        <v>2298</v>
      </c>
      <c r="AC2255">
        <f t="shared" si="1184"/>
        <v>2436</v>
      </c>
    </row>
    <row r="2256" spans="1:29" x14ac:dyDescent="0.2">
      <c r="A2256">
        <v>1220</v>
      </c>
      <c r="D2256">
        <f t="shared" si="1185"/>
        <v>3</v>
      </c>
      <c r="E2256">
        <v>5</v>
      </c>
      <c r="F2256" s="6" t="s">
        <v>421</v>
      </c>
      <c r="G2256">
        <v>5</v>
      </c>
      <c r="H2256" s="8" t="s">
        <v>477</v>
      </c>
      <c r="I2256" t="s">
        <v>178</v>
      </c>
      <c r="J2256">
        <v>42</v>
      </c>
      <c r="K2256" t="s">
        <v>488</v>
      </c>
      <c r="L2256" t="s">
        <v>15</v>
      </c>
      <c r="Q2256">
        <f t="shared" ref="Q2256:S2256" si="1201">Q2255</f>
        <v>18977</v>
      </c>
      <c r="R2256" t="str">
        <f t="shared" si="1201"/>
        <v>Velodrome</v>
      </c>
      <c r="S2256" t="str">
        <f t="shared" si="1201"/>
        <v>HollowBrook</v>
      </c>
      <c r="T2256" s="20">
        <f t="shared" si="1189"/>
        <v>5</v>
      </c>
      <c r="U2256">
        <f t="shared" si="1190"/>
        <v>356</v>
      </c>
      <c r="V2256">
        <f t="shared" si="1191"/>
        <v>351</v>
      </c>
      <c r="W2256" cm="1">
        <f t="array" ref="W2256">_xlfn._xlws.FILTER(shifts!A:A,(shifts!B:B=events!D2256)*(shifts!AH:AH&gt;=events!U2256)*(shifts!AI:AI&lt;=events!V2256))</f>
        <v>77</v>
      </c>
      <c r="X2256" t="str">
        <f t="shared" si="1192"/>
        <v>event_team_player_1</v>
      </c>
      <c r="Y2256">
        <f>COUNTIFS(A$3:A2256,"="&amp;A2256,K$3:K2256,"="&amp;K2256)</f>
        <v>1</v>
      </c>
      <c r="Z2256" s="20">
        <f>SUMIFS(T$3:T2256,L$3:L2256,"=Intermission")+SUMIFS(T$3:T2256,L$3:L2256,"=Timeout")+SUMIFS(T$3:T2256,L$3:L2256,"=Clockstop")</f>
        <v>138</v>
      </c>
      <c r="AA2256">
        <f t="shared" si="1183"/>
        <v>2298</v>
      </c>
      <c r="AC2256">
        <f t="shared" si="1184"/>
        <v>2436</v>
      </c>
    </row>
    <row r="2257" spans="1:29" x14ac:dyDescent="0.2">
      <c r="A2257">
        <v>1220</v>
      </c>
      <c r="D2257">
        <f t="shared" si="1185"/>
        <v>3</v>
      </c>
      <c r="E2257">
        <v>5</v>
      </c>
      <c r="F2257" s="6" t="s">
        <v>421</v>
      </c>
      <c r="G2257">
        <v>5</v>
      </c>
      <c r="H2257" s="8" t="s">
        <v>477</v>
      </c>
      <c r="I2257" t="s">
        <v>178</v>
      </c>
      <c r="J2257">
        <v>19</v>
      </c>
      <c r="K2257" t="s">
        <v>489</v>
      </c>
      <c r="L2257" t="s">
        <v>15</v>
      </c>
      <c r="Q2257">
        <f t="shared" ref="Q2257:S2257" si="1202">Q2256</f>
        <v>18977</v>
      </c>
      <c r="R2257" t="str">
        <f t="shared" si="1202"/>
        <v>Velodrome</v>
      </c>
      <c r="S2257" t="str">
        <f t="shared" si="1202"/>
        <v>HollowBrook</v>
      </c>
      <c r="T2257" s="20">
        <f t="shared" si="1189"/>
        <v>5</v>
      </c>
      <c r="U2257">
        <f t="shared" si="1190"/>
        <v>356</v>
      </c>
      <c r="V2257">
        <f t="shared" si="1191"/>
        <v>351</v>
      </c>
      <c r="W2257" cm="1">
        <f t="array" ref="W2257">_xlfn._xlws.FILTER(shifts!A:A,(shifts!B:B=events!D2257)*(shifts!AH:AH&gt;=events!U2257)*(shifts!AI:AI&lt;=events!V2257))</f>
        <v>77</v>
      </c>
      <c r="X2257" t="str">
        <f t="shared" si="1192"/>
        <v>opp_team_player_1</v>
      </c>
      <c r="Y2257">
        <f>COUNTIFS(A$3:A2257,"="&amp;A2257,K$3:K2257,"="&amp;K2257)</f>
        <v>1</v>
      </c>
      <c r="Z2257" s="20">
        <f>SUMIFS(T$3:T2257,L$3:L2257,"=Intermission")+SUMIFS(T$3:T2257,L$3:L2257,"=Timeout")+SUMIFS(T$3:T2257,L$3:L2257,"=Clockstop")</f>
        <v>138</v>
      </c>
      <c r="AA2257">
        <f t="shared" si="1183"/>
        <v>2298</v>
      </c>
      <c r="AC2257">
        <f t="shared" si="1184"/>
        <v>2436</v>
      </c>
    </row>
    <row r="2258" spans="1:29" x14ac:dyDescent="0.2">
      <c r="A2258">
        <v>1221</v>
      </c>
      <c r="D2258">
        <f t="shared" si="1185"/>
        <v>3</v>
      </c>
      <c r="E2258">
        <v>5</v>
      </c>
      <c r="F2258" s="6" t="s">
        <v>477</v>
      </c>
      <c r="I2258" t="s">
        <v>178</v>
      </c>
      <c r="J2258">
        <v>42</v>
      </c>
      <c r="K2258" t="s">
        <v>488</v>
      </c>
      <c r="L2258" t="s">
        <v>8</v>
      </c>
      <c r="M2258" t="s">
        <v>209</v>
      </c>
      <c r="N2258" t="s">
        <v>69</v>
      </c>
      <c r="Q2258">
        <f t="shared" ref="Q2258:S2258" si="1203">Q2257</f>
        <v>18977</v>
      </c>
      <c r="R2258" t="str">
        <f t="shared" si="1203"/>
        <v>Velodrome</v>
      </c>
      <c r="S2258" t="str">
        <f t="shared" si="1203"/>
        <v>HollowBrook</v>
      </c>
      <c r="T2258" s="20">
        <f t="shared" si="1189"/>
        <v>0</v>
      </c>
      <c r="U2258">
        <f t="shared" si="1190"/>
        <v>351</v>
      </c>
      <c r="V2258">
        <f t="shared" si="1191"/>
        <v>351</v>
      </c>
      <c r="W2258" cm="1">
        <f t="array" ref="W2258">_xlfn._xlws.FILTER(shifts!A:A,(shifts!B:B=events!D2258)*(shifts!AH:AH&gt;=events!U2258)*(shifts!AI:AI&lt;=events!V2258))</f>
        <v>77</v>
      </c>
      <c r="X2258" t="str">
        <f t="shared" si="1192"/>
        <v>event_team_player_1</v>
      </c>
      <c r="Y2258">
        <f>COUNTIFS(A$3:A2258,"="&amp;A2258,K$3:K2258,"="&amp;K2258)</f>
        <v>1</v>
      </c>
      <c r="Z2258" s="20">
        <f>SUMIFS(T$3:T2258,L$3:L2258,"=Intermission")+SUMIFS(T$3:T2258,L$3:L2258,"=Timeout")+SUMIFS(T$3:T2258,L$3:L2258,"=Clockstop")</f>
        <v>138</v>
      </c>
      <c r="AA2258">
        <f t="shared" si="1183"/>
        <v>2298</v>
      </c>
      <c r="AC2258">
        <f t="shared" si="1184"/>
        <v>2436</v>
      </c>
    </row>
    <row r="2259" spans="1:29" x14ac:dyDescent="0.2">
      <c r="A2259">
        <v>1221</v>
      </c>
      <c r="D2259">
        <f t="shared" si="1185"/>
        <v>3</v>
      </c>
      <c r="E2259">
        <v>5</v>
      </c>
      <c r="F2259" s="6" t="s">
        <v>477</v>
      </c>
      <c r="I2259" t="s">
        <v>178</v>
      </c>
      <c r="J2259">
        <v>33</v>
      </c>
      <c r="K2259" t="s">
        <v>489</v>
      </c>
      <c r="L2259" t="s">
        <v>8</v>
      </c>
      <c r="M2259" t="s">
        <v>209</v>
      </c>
      <c r="N2259" t="s">
        <v>69</v>
      </c>
      <c r="Q2259">
        <f t="shared" ref="Q2259:S2259" si="1204">Q2258</f>
        <v>18977</v>
      </c>
      <c r="R2259" t="str">
        <f t="shared" si="1204"/>
        <v>Velodrome</v>
      </c>
      <c r="S2259" t="str">
        <f t="shared" si="1204"/>
        <v>HollowBrook</v>
      </c>
      <c r="T2259" s="20">
        <f t="shared" si="1189"/>
        <v>0</v>
      </c>
      <c r="U2259">
        <f t="shared" si="1190"/>
        <v>351</v>
      </c>
      <c r="V2259">
        <f t="shared" si="1191"/>
        <v>351</v>
      </c>
      <c r="W2259" cm="1">
        <f t="array" ref="W2259">_xlfn._xlws.FILTER(shifts!A:A,(shifts!B:B=events!D2259)*(shifts!AH:AH&gt;=events!U2259)*(shifts!AI:AI&lt;=events!V2259))</f>
        <v>77</v>
      </c>
      <c r="X2259" t="str">
        <f t="shared" si="1192"/>
        <v>opp_team_player_1</v>
      </c>
      <c r="Y2259">
        <f>COUNTIFS(A$3:A2259,"="&amp;A2259,K$3:K2259,"="&amp;K2259)</f>
        <v>1</v>
      </c>
      <c r="Z2259" s="20">
        <f>SUMIFS(T$3:T2259,L$3:L2259,"=Intermission")+SUMIFS(T$3:T2259,L$3:L2259,"=Timeout")+SUMIFS(T$3:T2259,L$3:L2259,"=Clockstop")</f>
        <v>138</v>
      </c>
      <c r="AA2259">
        <f t="shared" si="1183"/>
        <v>2298</v>
      </c>
      <c r="AC2259">
        <f t="shared" si="1184"/>
        <v>2436</v>
      </c>
    </row>
    <row r="2260" spans="1:29" x14ac:dyDescent="0.2">
      <c r="A2260">
        <v>1222</v>
      </c>
      <c r="D2260">
        <f t="shared" si="1185"/>
        <v>3</v>
      </c>
      <c r="E2260">
        <v>5</v>
      </c>
      <c r="F2260" s="6" t="s">
        <v>477</v>
      </c>
      <c r="I2260" t="s">
        <v>178</v>
      </c>
      <c r="J2260">
        <v>42</v>
      </c>
      <c r="K2260" t="s">
        <v>488</v>
      </c>
      <c r="L2260" t="s">
        <v>10</v>
      </c>
      <c r="M2260" t="s">
        <v>190</v>
      </c>
      <c r="N2260" t="s">
        <v>77</v>
      </c>
      <c r="Q2260">
        <f t="shared" ref="Q2260:S2260" si="1205">Q2259</f>
        <v>18977</v>
      </c>
      <c r="R2260" t="str">
        <f t="shared" si="1205"/>
        <v>Velodrome</v>
      </c>
      <c r="S2260" t="str">
        <f t="shared" si="1205"/>
        <v>HollowBrook</v>
      </c>
      <c r="T2260" s="20">
        <f t="shared" si="1189"/>
        <v>0</v>
      </c>
      <c r="U2260">
        <f t="shared" si="1190"/>
        <v>351</v>
      </c>
      <c r="V2260">
        <f t="shared" si="1191"/>
        <v>351</v>
      </c>
      <c r="W2260" cm="1">
        <f t="array" ref="W2260">_xlfn._xlws.FILTER(shifts!A:A,(shifts!B:B=events!D2260)*(shifts!AH:AH&gt;=events!U2260)*(shifts!AI:AI&lt;=events!V2260))</f>
        <v>77</v>
      </c>
      <c r="X2260" t="str">
        <f t="shared" si="1192"/>
        <v>event_team_player_1</v>
      </c>
      <c r="Y2260">
        <f>COUNTIFS(A$3:A2260,"="&amp;A2260,K$3:K2260,"="&amp;K2260)</f>
        <v>1</v>
      </c>
      <c r="Z2260" s="20">
        <f>SUMIFS(T$3:T2260,L$3:L2260,"=Intermission")+SUMIFS(T$3:T2260,L$3:L2260,"=Timeout")+SUMIFS(T$3:T2260,L$3:L2260,"=Clockstop")</f>
        <v>138</v>
      </c>
      <c r="AA2260">
        <f t="shared" si="1183"/>
        <v>2298</v>
      </c>
      <c r="AC2260">
        <f t="shared" si="1184"/>
        <v>2436</v>
      </c>
    </row>
    <row r="2261" spans="1:29" x14ac:dyDescent="0.2">
      <c r="A2261">
        <v>1222</v>
      </c>
      <c r="D2261">
        <f t="shared" si="1185"/>
        <v>3</v>
      </c>
      <c r="E2261">
        <v>5</v>
      </c>
      <c r="F2261" s="6" t="s">
        <v>477</v>
      </c>
      <c r="I2261" t="s">
        <v>178</v>
      </c>
      <c r="J2261">
        <v>33</v>
      </c>
      <c r="K2261" t="s">
        <v>489</v>
      </c>
      <c r="L2261" t="s">
        <v>10</v>
      </c>
      <c r="M2261" t="s">
        <v>190</v>
      </c>
      <c r="N2261" t="s">
        <v>77</v>
      </c>
      <c r="Q2261">
        <f t="shared" ref="Q2261:S2261" si="1206">Q2260</f>
        <v>18977</v>
      </c>
      <c r="R2261" t="str">
        <f t="shared" si="1206"/>
        <v>Velodrome</v>
      </c>
      <c r="S2261" t="str">
        <f t="shared" si="1206"/>
        <v>HollowBrook</v>
      </c>
      <c r="T2261" s="20">
        <f t="shared" si="1189"/>
        <v>0</v>
      </c>
      <c r="U2261">
        <f t="shared" si="1190"/>
        <v>351</v>
      </c>
      <c r="V2261">
        <f t="shared" si="1191"/>
        <v>351</v>
      </c>
      <c r="W2261" cm="1">
        <f t="array" ref="W2261">_xlfn._xlws.FILTER(shifts!A:A,(shifts!B:B=events!D2261)*(shifts!AH:AH&gt;=events!U2261)*(shifts!AI:AI&lt;=events!V2261))</f>
        <v>77</v>
      </c>
      <c r="X2261" t="str">
        <f t="shared" si="1192"/>
        <v>opp_team_player_1</v>
      </c>
      <c r="Y2261">
        <f>COUNTIFS(A$3:A2261,"="&amp;A2261,K$3:K2261,"="&amp;K2261)</f>
        <v>1</v>
      </c>
      <c r="Z2261" s="20">
        <f>SUMIFS(T$3:T2261,L$3:L2261,"=Intermission")+SUMIFS(T$3:T2261,L$3:L2261,"=Timeout")+SUMIFS(T$3:T2261,L$3:L2261,"=Clockstop")</f>
        <v>138</v>
      </c>
      <c r="AA2261">
        <f t="shared" si="1183"/>
        <v>2298</v>
      </c>
      <c r="AC2261">
        <f t="shared" si="1184"/>
        <v>2436</v>
      </c>
    </row>
    <row r="2262" spans="1:29" x14ac:dyDescent="0.2">
      <c r="A2262">
        <v>1223</v>
      </c>
      <c r="D2262">
        <f t="shared" si="1185"/>
        <v>3</v>
      </c>
      <c r="E2262">
        <v>5</v>
      </c>
      <c r="F2262" s="6" t="s">
        <v>451</v>
      </c>
      <c r="G2262">
        <v>5</v>
      </c>
      <c r="H2262" s="8" t="s">
        <v>434</v>
      </c>
      <c r="I2262" t="s">
        <v>179</v>
      </c>
      <c r="J2262">
        <v>19</v>
      </c>
      <c r="K2262" t="s">
        <v>488</v>
      </c>
      <c r="L2262" t="s">
        <v>277</v>
      </c>
      <c r="M2262" t="s">
        <v>201</v>
      </c>
      <c r="N2262" t="s">
        <v>90</v>
      </c>
      <c r="Q2262">
        <f t="shared" ref="Q2262:S2262" si="1207">Q2261</f>
        <v>18977</v>
      </c>
      <c r="R2262" t="str">
        <f t="shared" si="1207"/>
        <v>Velodrome</v>
      </c>
      <c r="S2262" t="str">
        <f t="shared" si="1207"/>
        <v>HollowBrook</v>
      </c>
      <c r="T2262" s="20">
        <f t="shared" si="1189"/>
        <v>1</v>
      </c>
      <c r="U2262">
        <f t="shared" si="1190"/>
        <v>348</v>
      </c>
      <c r="V2262">
        <f t="shared" si="1191"/>
        <v>347</v>
      </c>
      <c r="W2262" cm="1">
        <f t="array" ref="W2262">_xlfn._xlws.FILTER(shifts!A:A,(shifts!B:B=events!D2262)*(shifts!AH:AH&gt;=events!U2262)*(shifts!AI:AI&lt;=events!V2262))</f>
        <v>77</v>
      </c>
      <c r="X2262" t="str">
        <f t="shared" si="1192"/>
        <v>event_team_player_1</v>
      </c>
      <c r="Y2262">
        <f>COUNTIFS(A$3:A2262,"="&amp;A2262,K$3:K2262,"="&amp;K2262)</f>
        <v>1</v>
      </c>
      <c r="Z2262" s="20">
        <f>SUMIFS(T$3:T2262,L$3:L2262,"=Intermission")+SUMIFS(T$3:T2262,L$3:L2262,"=Timeout")+SUMIFS(T$3:T2262,L$3:L2262,"=Clockstop")</f>
        <v>138</v>
      </c>
      <c r="AA2262">
        <f t="shared" si="1183"/>
        <v>2298</v>
      </c>
      <c r="AC2262">
        <f t="shared" si="1184"/>
        <v>2436</v>
      </c>
    </row>
    <row r="2263" spans="1:29" x14ac:dyDescent="0.2">
      <c r="A2263">
        <v>1223</v>
      </c>
      <c r="D2263">
        <f t="shared" si="1185"/>
        <v>3</v>
      </c>
      <c r="E2263">
        <v>5</v>
      </c>
      <c r="F2263" s="6" t="s">
        <v>451</v>
      </c>
      <c r="G2263">
        <v>5</v>
      </c>
      <c r="H2263" s="8" t="s">
        <v>434</v>
      </c>
      <c r="I2263" t="s">
        <v>179</v>
      </c>
      <c r="J2263">
        <v>22</v>
      </c>
      <c r="K2263" t="s">
        <v>489</v>
      </c>
      <c r="L2263" t="s">
        <v>277</v>
      </c>
      <c r="M2263" t="s">
        <v>201</v>
      </c>
      <c r="N2263" t="s">
        <v>90</v>
      </c>
      <c r="Q2263">
        <f t="shared" ref="Q2263:S2263" si="1208">Q2262</f>
        <v>18977</v>
      </c>
      <c r="R2263" t="str">
        <f t="shared" si="1208"/>
        <v>Velodrome</v>
      </c>
      <c r="S2263" t="str">
        <f t="shared" si="1208"/>
        <v>HollowBrook</v>
      </c>
      <c r="T2263" s="20">
        <f t="shared" si="1189"/>
        <v>1</v>
      </c>
      <c r="U2263">
        <f t="shared" si="1190"/>
        <v>348</v>
      </c>
      <c r="V2263">
        <f t="shared" si="1191"/>
        <v>347</v>
      </c>
      <c r="W2263" cm="1">
        <f t="array" ref="W2263">_xlfn._xlws.FILTER(shifts!A:A,(shifts!B:B=events!D2263)*(shifts!AH:AH&gt;=events!U2263)*(shifts!AI:AI&lt;=events!V2263))</f>
        <v>77</v>
      </c>
      <c r="X2263" t="str">
        <f t="shared" si="1192"/>
        <v>opp_team_player_1</v>
      </c>
      <c r="Y2263">
        <f>COUNTIFS(A$3:A2263,"="&amp;A2263,K$3:K2263,"="&amp;K2263)</f>
        <v>1</v>
      </c>
      <c r="Z2263" s="20">
        <f>SUMIFS(T$3:T2263,L$3:L2263,"=Intermission")+SUMIFS(T$3:T2263,L$3:L2263,"=Timeout")+SUMIFS(T$3:T2263,L$3:L2263,"=Clockstop")</f>
        <v>138</v>
      </c>
      <c r="AA2263">
        <f t="shared" si="1183"/>
        <v>2298</v>
      </c>
      <c r="AC2263">
        <f t="shared" si="1184"/>
        <v>2436</v>
      </c>
    </row>
    <row r="2264" spans="1:29" x14ac:dyDescent="0.2">
      <c r="A2264">
        <v>1224</v>
      </c>
      <c r="D2264">
        <f t="shared" si="1185"/>
        <v>3</v>
      </c>
      <c r="E2264">
        <v>5</v>
      </c>
      <c r="F2264" s="6" t="s">
        <v>434</v>
      </c>
      <c r="G2264">
        <v>5</v>
      </c>
      <c r="H2264" s="8" t="s">
        <v>436</v>
      </c>
      <c r="I2264" t="s">
        <v>179</v>
      </c>
      <c r="J2264">
        <v>19</v>
      </c>
      <c r="K2264" t="s">
        <v>488</v>
      </c>
      <c r="L2264" t="s">
        <v>15</v>
      </c>
      <c r="Q2264">
        <f t="shared" ref="Q2264:S2264" si="1209">Q2263</f>
        <v>18977</v>
      </c>
      <c r="R2264" t="str">
        <f t="shared" si="1209"/>
        <v>Velodrome</v>
      </c>
      <c r="S2264" t="str">
        <f t="shared" si="1209"/>
        <v>HollowBrook</v>
      </c>
      <c r="T2264" s="20">
        <f t="shared" si="1189"/>
        <v>2</v>
      </c>
      <c r="U2264">
        <f t="shared" si="1190"/>
        <v>347</v>
      </c>
      <c r="V2264">
        <f t="shared" si="1191"/>
        <v>345</v>
      </c>
      <c r="W2264" cm="1">
        <f t="array" ref="W2264">_xlfn._xlws.FILTER(shifts!A:A,(shifts!B:B=events!D2264)*(shifts!AH:AH&gt;=events!U2264)*(shifts!AI:AI&lt;=events!V2264))</f>
        <v>77</v>
      </c>
      <c r="X2264" t="str">
        <f t="shared" si="1192"/>
        <v>event_team_player_1</v>
      </c>
      <c r="Y2264">
        <f>COUNTIFS(A$3:A2264,"="&amp;A2264,K$3:K2264,"="&amp;K2264)</f>
        <v>1</v>
      </c>
      <c r="Z2264" s="20">
        <f>SUMIFS(T$3:T2264,L$3:L2264,"=Intermission")+SUMIFS(T$3:T2264,L$3:L2264,"=Timeout")+SUMIFS(T$3:T2264,L$3:L2264,"=Clockstop")</f>
        <v>138</v>
      </c>
      <c r="AA2264">
        <f t="shared" si="1183"/>
        <v>2298</v>
      </c>
      <c r="AC2264">
        <f t="shared" si="1184"/>
        <v>2436</v>
      </c>
    </row>
    <row r="2265" spans="1:29" x14ac:dyDescent="0.2">
      <c r="A2265">
        <v>1225</v>
      </c>
      <c r="D2265">
        <f t="shared" si="1185"/>
        <v>3</v>
      </c>
      <c r="E2265">
        <v>5</v>
      </c>
      <c r="F2265" s="6" t="s">
        <v>436</v>
      </c>
      <c r="G2265">
        <v>5</v>
      </c>
      <c r="H2265" s="8" t="s">
        <v>454</v>
      </c>
      <c r="I2265" t="s">
        <v>179</v>
      </c>
      <c r="J2265">
        <v>19</v>
      </c>
      <c r="K2265" t="s">
        <v>488</v>
      </c>
      <c r="L2265" t="s">
        <v>277</v>
      </c>
      <c r="M2265" t="s">
        <v>191</v>
      </c>
      <c r="N2265" t="s">
        <v>87</v>
      </c>
      <c r="Q2265">
        <f t="shared" ref="Q2265:S2265" si="1210">Q2264</f>
        <v>18977</v>
      </c>
      <c r="R2265" t="str">
        <f t="shared" si="1210"/>
        <v>Velodrome</v>
      </c>
      <c r="S2265" t="str">
        <f t="shared" si="1210"/>
        <v>HollowBrook</v>
      </c>
      <c r="T2265" s="20">
        <f t="shared" si="1189"/>
        <v>2</v>
      </c>
      <c r="U2265">
        <f t="shared" si="1190"/>
        <v>345</v>
      </c>
      <c r="V2265">
        <f t="shared" si="1191"/>
        <v>343</v>
      </c>
      <c r="W2265" cm="1">
        <f t="array" ref="W2265">_xlfn._xlws.FILTER(shifts!A:A,(shifts!B:B=events!D2265)*(shifts!AH:AH&gt;=events!U2265)*(shifts!AI:AI&lt;=events!V2265))</f>
        <v>77</v>
      </c>
      <c r="X2265" t="str">
        <f t="shared" si="1192"/>
        <v>event_team_player_1</v>
      </c>
      <c r="Y2265">
        <f>COUNTIFS(A$3:A2265,"="&amp;A2265,K$3:K2265,"="&amp;K2265)</f>
        <v>1</v>
      </c>
      <c r="Z2265" s="20">
        <f>SUMIFS(T$3:T2265,L$3:L2265,"=Intermission")+SUMIFS(T$3:T2265,L$3:L2265,"=Timeout")+SUMIFS(T$3:T2265,L$3:L2265,"=Clockstop")</f>
        <v>138</v>
      </c>
      <c r="AA2265">
        <f t="shared" si="1183"/>
        <v>2298</v>
      </c>
      <c r="AC2265">
        <f t="shared" si="1184"/>
        <v>2436</v>
      </c>
    </row>
    <row r="2266" spans="1:29" x14ac:dyDescent="0.2">
      <c r="A2266">
        <v>1225</v>
      </c>
      <c r="D2266">
        <f t="shared" si="1185"/>
        <v>3</v>
      </c>
      <c r="E2266">
        <v>5</v>
      </c>
      <c r="F2266" s="6" t="s">
        <v>436</v>
      </c>
      <c r="G2266">
        <v>5</v>
      </c>
      <c r="H2266" s="8" t="s">
        <v>454</v>
      </c>
      <c r="I2266" t="s">
        <v>179</v>
      </c>
      <c r="J2266">
        <v>13</v>
      </c>
      <c r="K2266" t="s">
        <v>488</v>
      </c>
      <c r="L2266" t="s">
        <v>277</v>
      </c>
      <c r="M2266" t="s">
        <v>191</v>
      </c>
      <c r="N2266" t="s">
        <v>87</v>
      </c>
      <c r="Q2266">
        <f t="shared" ref="Q2266:S2266" si="1211">Q2265</f>
        <v>18977</v>
      </c>
      <c r="R2266" t="str">
        <f t="shared" si="1211"/>
        <v>Velodrome</v>
      </c>
      <c r="S2266" t="str">
        <f t="shared" si="1211"/>
        <v>HollowBrook</v>
      </c>
      <c r="T2266" s="20">
        <f t="shared" si="1189"/>
        <v>2</v>
      </c>
      <c r="U2266">
        <f t="shared" si="1190"/>
        <v>345</v>
      </c>
      <c r="V2266">
        <f t="shared" si="1191"/>
        <v>343</v>
      </c>
      <c r="W2266" cm="1">
        <f t="array" ref="W2266">_xlfn._xlws.FILTER(shifts!A:A,(shifts!B:B=events!D2266)*(shifts!AH:AH&gt;=events!U2266)*(shifts!AI:AI&lt;=events!V2266))</f>
        <v>77</v>
      </c>
      <c r="X2266" t="str">
        <f t="shared" si="1192"/>
        <v>event_team_player_2</v>
      </c>
      <c r="Y2266">
        <f>COUNTIFS(A$3:A2266,"="&amp;A2266,K$3:K2266,"="&amp;K2266)</f>
        <v>2</v>
      </c>
      <c r="Z2266" s="20">
        <f>SUMIFS(T$3:T2266,L$3:L2266,"=Intermission")+SUMIFS(T$3:T2266,L$3:L2266,"=Timeout")+SUMIFS(T$3:T2266,L$3:L2266,"=Clockstop")</f>
        <v>138</v>
      </c>
      <c r="AA2266">
        <f t="shared" si="1183"/>
        <v>2298</v>
      </c>
      <c r="AC2266">
        <f t="shared" si="1184"/>
        <v>2436</v>
      </c>
    </row>
    <row r="2267" spans="1:29" x14ac:dyDescent="0.2">
      <c r="A2267">
        <v>1225</v>
      </c>
      <c r="D2267">
        <f t="shared" si="1185"/>
        <v>3</v>
      </c>
      <c r="E2267">
        <v>5</v>
      </c>
      <c r="F2267" s="6" t="s">
        <v>436</v>
      </c>
      <c r="G2267">
        <v>5</v>
      </c>
      <c r="H2267" s="8" t="s">
        <v>454</v>
      </c>
      <c r="I2267" t="s">
        <v>179</v>
      </c>
      <c r="J2267">
        <v>52</v>
      </c>
      <c r="K2267" t="s">
        <v>489</v>
      </c>
      <c r="L2267" t="s">
        <v>277</v>
      </c>
      <c r="M2267" t="s">
        <v>191</v>
      </c>
      <c r="N2267" t="s">
        <v>87</v>
      </c>
      <c r="Q2267">
        <f t="shared" ref="Q2267:S2267" si="1212">Q2266</f>
        <v>18977</v>
      </c>
      <c r="R2267" t="str">
        <f t="shared" si="1212"/>
        <v>Velodrome</v>
      </c>
      <c r="S2267" t="str">
        <f t="shared" si="1212"/>
        <v>HollowBrook</v>
      </c>
      <c r="T2267" s="20">
        <f t="shared" si="1189"/>
        <v>2</v>
      </c>
      <c r="U2267">
        <f t="shared" si="1190"/>
        <v>345</v>
      </c>
      <c r="V2267">
        <f t="shared" si="1191"/>
        <v>343</v>
      </c>
      <c r="W2267" cm="1">
        <f t="array" ref="W2267">_xlfn._xlws.FILTER(shifts!A:A,(shifts!B:B=events!D2267)*(shifts!AH:AH&gt;=events!U2267)*(shifts!AI:AI&lt;=events!V2267))</f>
        <v>77</v>
      </c>
      <c r="X2267" t="str">
        <f t="shared" si="1192"/>
        <v>opp_team_player_1</v>
      </c>
      <c r="Y2267">
        <f>COUNTIFS(A$3:A2267,"="&amp;A2267,K$3:K2267,"="&amp;K2267)</f>
        <v>1</v>
      </c>
      <c r="Z2267" s="20">
        <f>SUMIFS(T$3:T2267,L$3:L2267,"=Intermission")+SUMIFS(T$3:T2267,L$3:L2267,"=Timeout")+SUMIFS(T$3:T2267,L$3:L2267,"=Clockstop")</f>
        <v>138</v>
      </c>
      <c r="AA2267">
        <f t="shared" si="1183"/>
        <v>2298</v>
      </c>
      <c r="AC2267">
        <f t="shared" si="1184"/>
        <v>2436</v>
      </c>
    </row>
    <row r="2268" spans="1:29" x14ac:dyDescent="0.2">
      <c r="A2268">
        <v>1225</v>
      </c>
      <c r="D2268">
        <f t="shared" si="1185"/>
        <v>3</v>
      </c>
      <c r="E2268">
        <v>5</v>
      </c>
      <c r="F2268" s="6" t="s">
        <v>436</v>
      </c>
      <c r="G2268">
        <v>5</v>
      </c>
      <c r="H2268" s="8" t="s">
        <v>454</v>
      </c>
      <c r="I2268" t="s">
        <v>179</v>
      </c>
      <c r="J2268">
        <v>22</v>
      </c>
      <c r="K2268" t="s">
        <v>489</v>
      </c>
      <c r="L2268" t="s">
        <v>277</v>
      </c>
      <c r="M2268" t="s">
        <v>191</v>
      </c>
      <c r="N2268" t="s">
        <v>87</v>
      </c>
      <c r="Q2268">
        <f t="shared" ref="Q2268:S2268" si="1213">Q2267</f>
        <v>18977</v>
      </c>
      <c r="R2268" t="str">
        <f t="shared" si="1213"/>
        <v>Velodrome</v>
      </c>
      <c r="S2268" t="str">
        <f t="shared" si="1213"/>
        <v>HollowBrook</v>
      </c>
      <c r="T2268" s="20">
        <f t="shared" si="1189"/>
        <v>2</v>
      </c>
      <c r="U2268">
        <f t="shared" si="1190"/>
        <v>345</v>
      </c>
      <c r="V2268">
        <f t="shared" si="1191"/>
        <v>343</v>
      </c>
      <c r="W2268" cm="1">
        <f t="array" ref="W2268">_xlfn._xlws.FILTER(shifts!A:A,(shifts!B:B=events!D2268)*(shifts!AH:AH&gt;=events!U2268)*(shifts!AI:AI&lt;=events!V2268))</f>
        <v>77</v>
      </c>
      <c r="X2268" t="str">
        <f t="shared" si="1192"/>
        <v>opp_team_player_2</v>
      </c>
      <c r="Y2268">
        <f>COUNTIFS(A$3:A2268,"="&amp;A2268,K$3:K2268,"="&amp;K2268)</f>
        <v>2</v>
      </c>
      <c r="Z2268" s="20">
        <f>SUMIFS(T$3:T2268,L$3:L2268,"=Intermission")+SUMIFS(T$3:T2268,L$3:L2268,"=Timeout")+SUMIFS(T$3:T2268,L$3:L2268,"=Clockstop")</f>
        <v>138</v>
      </c>
      <c r="AA2268">
        <f t="shared" si="1183"/>
        <v>2298</v>
      </c>
      <c r="AC2268">
        <f t="shared" si="1184"/>
        <v>2436</v>
      </c>
    </row>
    <row r="2269" spans="1:29" x14ac:dyDescent="0.2">
      <c r="A2269">
        <v>1226</v>
      </c>
      <c r="D2269">
        <f t="shared" si="1185"/>
        <v>3</v>
      </c>
      <c r="E2269">
        <v>5</v>
      </c>
      <c r="F2269" s="6" t="s">
        <v>454</v>
      </c>
      <c r="I2269" t="s">
        <v>179</v>
      </c>
      <c r="J2269">
        <v>19</v>
      </c>
      <c r="K2269" t="s">
        <v>488</v>
      </c>
      <c r="L2269" t="s">
        <v>8</v>
      </c>
      <c r="M2269" t="s">
        <v>216</v>
      </c>
      <c r="N2269" t="s">
        <v>70</v>
      </c>
      <c r="Q2269">
        <f t="shared" ref="Q2269:S2269" si="1214">Q2268</f>
        <v>18977</v>
      </c>
      <c r="R2269" t="str">
        <f t="shared" si="1214"/>
        <v>Velodrome</v>
      </c>
      <c r="S2269" t="str">
        <f t="shared" si="1214"/>
        <v>HollowBrook</v>
      </c>
      <c r="T2269" s="20">
        <f t="shared" si="1189"/>
        <v>0</v>
      </c>
      <c r="U2269">
        <f t="shared" si="1190"/>
        <v>343</v>
      </c>
      <c r="V2269">
        <f t="shared" si="1191"/>
        <v>343</v>
      </c>
      <c r="W2269" cm="1">
        <f t="array" ref="W2269">_xlfn._xlws.FILTER(shifts!A:A,(shifts!B:B=events!D2269)*(shifts!AH:AH&gt;=events!U2269)*(shifts!AI:AI&lt;=events!V2269))</f>
        <v>77</v>
      </c>
      <c r="X2269" t="str">
        <f t="shared" si="1192"/>
        <v>event_team_player_1</v>
      </c>
      <c r="Y2269">
        <f>COUNTIFS(A$3:A2269,"="&amp;A2269,K$3:K2269,"="&amp;K2269)</f>
        <v>1</v>
      </c>
      <c r="Z2269" s="20">
        <f>SUMIFS(T$3:T2269,L$3:L2269,"=Intermission")+SUMIFS(T$3:T2269,L$3:L2269,"=Timeout")+SUMIFS(T$3:T2269,L$3:L2269,"=Clockstop")</f>
        <v>138</v>
      </c>
      <c r="AA2269">
        <f t="shared" si="1183"/>
        <v>2298</v>
      </c>
      <c r="AC2269">
        <f t="shared" si="1184"/>
        <v>2436</v>
      </c>
    </row>
    <row r="2270" spans="1:29" x14ac:dyDescent="0.2">
      <c r="A2270">
        <v>1226</v>
      </c>
      <c r="D2270">
        <f t="shared" si="1185"/>
        <v>3</v>
      </c>
      <c r="E2270">
        <v>5</v>
      </c>
      <c r="F2270" s="6" t="s">
        <v>454</v>
      </c>
      <c r="I2270" t="s">
        <v>179</v>
      </c>
      <c r="J2270">
        <v>13</v>
      </c>
      <c r="K2270" t="s">
        <v>488</v>
      </c>
      <c r="L2270" t="s">
        <v>8</v>
      </c>
      <c r="M2270" t="s">
        <v>216</v>
      </c>
      <c r="N2270" t="s">
        <v>70</v>
      </c>
      <c r="Q2270">
        <f t="shared" ref="Q2270:S2270" si="1215">Q2269</f>
        <v>18977</v>
      </c>
      <c r="R2270" t="str">
        <f t="shared" si="1215"/>
        <v>Velodrome</v>
      </c>
      <c r="S2270" t="str">
        <f t="shared" si="1215"/>
        <v>HollowBrook</v>
      </c>
      <c r="T2270" s="20">
        <f t="shared" si="1189"/>
        <v>0</v>
      </c>
      <c r="U2270">
        <f t="shared" si="1190"/>
        <v>343</v>
      </c>
      <c r="V2270">
        <f t="shared" si="1191"/>
        <v>343</v>
      </c>
      <c r="W2270" cm="1">
        <f t="array" ref="W2270">_xlfn._xlws.FILTER(shifts!A:A,(shifts!B:B=events!D2270)*(shifts!AH:AH&gt;=events!U2270)*(shifts!AI:AI&lt;=events!V2270))</f>
        <v>77</v>
      </c>
      <c r="X2270" t="str">
        <f t="shared" si="1192"/>
        <v>event_team_player_2</v>
      </c>
      <c r="Y2270">
        <f>COUNTIFS(A$3:A2270,"="&amp;A2270,K$3:K2270,"="&amp;K2270)</f>
        <v>2</v>
      </c>
      <c r="Z2270" s="20">
        <f>SUMIFS(T$3:T2270,L$3:L2270,"=Intermission")+SUMIFS(T$3:T2270,L$3:L2270,"=Timeout")+SUMIFS(T$3:T2270,L$3:L2270,"=Clockstop")</f>
        <v>138</v>
      </c>
      <c r="AA2270">
        <f t="shared" si="1183"/>
        <v>2298</v>
      </c>
      <c r="AC2270">
        <f t="shared" si="1184"/>
        <v>2436</v>
      </c>
    </row>
    <row r="2271" spans="1:29" x14ac:dyDescent="0.2">
      <c r="A2271">
        <v>1226</v>
      </c>
      <c r="D2271">
        <f t="shared" si="1185"/>
        <v>3</v>
      </c>
      <c r="E2271">
        <v>5</v>
      </c>
      <c r="F2271" s="6" t="s">
        <v>454</v>
      </c>
      <c r="I2271" t="s">
        <v>179</v>
      </c>
      <c r="J2271">
        <v>39</v>
      </c>
      <c r="K2271" t="s">
        <v>489</v>
      </c>
      <c r="L2271" t="s">
        <v>8</v>
      </c>
      <c r="M2271" t="s">
        <v>216</v>
      </c>
      <c r="N2271" t="s">
        <v>70</v>
      </c>
      <c r="Q2271">
        <f t="shared" ref="Q2271:S2271" si="1216">Q2270</f>
        <v>18977</v>
      </c>
      <c r="R2271" t="str">
        <f t="shared" si="1216"/>
        <v>Velodrome</v>
      </c>
      <c r="S2271" t="str">
        <f t="shared" si="1216"/>
        <v>HollowBrook</v>
      </c>
      <c r="T2271" s="20">
        <f t="shared" si="1189"/>
        <v>0</v>
      </c>
      <c r="U2271">
        <f t="shared" si="1190"/>
        <v>343</v>
      </c>
      <c r="V2271">
        <f t="shared" si="1191"/>
        <v>343</v>
      </c>
      <c r="W2271" cm="1">
        <f t="array" ref="W2271">_xlfn._xlws.FILTER(shifts!A:A,(shifts!B:B=events!D2271)*(shifts!AH:AH&gt;=events!U2271)*(shifts!AI:AI&lt;=events!V2271))</f>
        <v>77</v>
      </c>
      <c r="X2271" t="str">
        <f t="shared" si="1192"/>
        <v>opp_team_player_1</v>
      </c>
      <c r="Y2271">
        <f>COUNTIFS(A$3:A2271,"="&amp;A2271,K$3:K2271,"="&amp;K2271)</f>
        <v>1</v>
      </c>
      <c r="Z2271" s="20">
        <f>SUMIFS(T$3:T2271,L$3:L2271,"=Intermission")+SUMIFS(T$3:T2271,L$3:L2271,"=Timeout")+SUMIFS(T$3:T2271,L$3:L2271,"=Clockstop")</f>
        <v>138</v>
      </c>
      <c r="AA2271">
        <f t="shared" si="1183"/>
        <v>2298</v>
      </c>
      <c r="AC2271">
        <f t="shared" si="1184"/>
        <v>2436</v>
      </c>
    </row>
    <row r="2272" spans="1:29" x14ac:dyDescent="0.2">
      <c r="A2272">
        <v>1226</v>
      </c>
      <c r="D2272">
        <f t="shared" si="1185"/>
        <v>3</v>
      </c>
      <c r="E2272">
        <v>5</v>
      </c>
      <c r="F2272" s="6" t="s">
        <v>454</v>
      </c>
      <c r="I2272" t="s">
        <v>179</v>
      </c>
      <c r="J2272">
        <v>52</v>
      </c>
      <c r="K2272" t="s">
        <v>489</v>
      </c>
      <c r="L2272" t="s">
        <v>8</v>
      </c>
      <c r="M2272" t="s">
        <v>216</v>
      </c>
      <c r="N2272" t="s">
        <v>70</v>
      </c>
      <c r="Q2272">
        <f t="shared" ref="Q2272:S2272" si="1217">Q2271</f>
        <v>18977</v>
      </c>
      <c r="R2272" t="str">
        <f t="shared" si="1217"/>
        <v>Velodrome</v>
      </c>
      <c r="S2272" t="str">
        <f t="shared" si="1217"/>
        <v>HollowBrook</v>
      </c>
      <c r="T2272" s="20">
        <f t="shared" si="1189"/>
        <v>0</v>
      </c>
      <c r="U2272">
        <f t="shared" si="1190"/>
        <v>343</v>
      </c>
      <c r="V2272">
        <f t="shared" si="1191"/>
        <v>343</v>
      </c>
      <c r="W2272" cm="1">
        <f t="array" ref="W2272">_xlfn._xlws.FILTER(shifts!A:A,(shifts!B:B=events!D2272)*(shifts!AH:AH&gt;=events!U2272)*(shifts!AI:AI&lt;=events!V2272))</f>
        <v>77</v>
      </c>
      <c r="X2272" t="str">
        <f t="shared" si="1192"/>
        <v>opp_team_player_2</v>
      </c>
      <c r="Y2272">
        <f>COUNTIFS(A$3:A2272,"="&amp;A2272,K$3:K2272,"="&amp;K2272)</f>
        <v>2</v>
      </c>
      <c r="Z2272" s="20">
        <f>SUMIFS(T$3:T2272,L$3:L2272,"=Intermission")+SUMIFS(T$3:T2272,L$3:L2272,"=Timeout")+SUMIFS(T$3:T2272,L$3:L2272,"=Clockstop")</f>
        <v>138</v>
      </c>
      <c r="AA2272">
        <f t="shared" si="1183"/>
        <v>2298</v>
      </c>
      <c r="AC2272">
        <f t="shared" si="1184"/>
        <v>2436</v>
      </c>
    </row>
    <row r="2273" spans="1:29" x14ac:dyDescent="0.2">
      <c r="A2273">
        <v>1227</v>
      </c>
      <c r="D2273">
        <f t="shared" si="1185"/>
        <v>3</v>
      </c>
      <c r="E2273">
        <v>5</v>
      </c>
      <c r="F2273" s="6" t="s">
        <v>430</v>
      </c>
      <c r="I2273" t="s">
        <v>178</v>
      </c>
      <c r="J2273">
        <v>39</v>
      </c>
      <c r="K2273" t="s">
        <v>488</v>
      </c>
      <c r="L2273" t="s">
        <v>13</v>
      </c>
      <c r="M2273" t="s">
        <v>204</v>
      </c>
      <c r="N2273" t="s">
        <v>110</v>
      </c>
      <c r="Q2273">
        <f t="shared" ref="Q2273:S2273" si="1218">Q2272</f>
        <v>18977</v>
      </c>
      <c r="R2273" t="str">
        <f t="shared" si="1218"/>
        <v>Velodrome</v>
      </c>
      <c r="S2273" t="str">
        <f t="shared" si="1218"/>
        <v>HollowBrook</v>
      </c>
      <c r="T2273" s="20">
        <f t="shared" si="1189"/>
        <v>0</v>
      </c>
      <c r="U2273">
        <f t="shared" si="1190"/>
        <v>342</v>
      </c>
      <c r="V2273">
        <f t="shared" si="1191"/>
        <v>342</v>
      </c>
      <c r="W2273" cm="1">
        <f t="array" ref="W2273">_xlfn._xlws.FILTER(shifts!A:A,(shifts!B:B=events!D2273)*(shifts!AH:AH&gt;=events!U2273)*(shifts!AI:AI&lt;=events!V2273))</f>
        <v>77</v>
      </c>
      <c r="X2273" t="str">
        <f t="shared" si="1192"/>
        <v>event_team_player_1</v>
      </c>
      <c r="Y2273">
        <f>COUNTIFS(A$3:A2273,"="&amp;A2273,K$3:K2273,"="&amp;K2273)</f>
        <v>1</v>
      </c>
      <c r="Z2273" s="20">
        <f>SUMIFS(T$3:T2273,L$3:L2273,"=Intermission")+SUMIFS(T$3:T2273,L$3:L2273,"=Timeout")+SUMIFS(T$3:T2273,L$3:L2273,"=Clockstop")</f>
        <v>138</v>
      </c>
      <c r="AA2273">
        <f t="shared" si="1183"/>
        <v>2298</v>
      </c>
      <c r="AC2273">
        <f t="shared" si="1184"/>
        <v>2436</v>
      </c>
    </row>
    <row r="2274" spans="1:29" x14ac:dyDescent="0.2">
      <c r="A2274">
        <v>1228</v>
      </c>
      <c r="D2274">
        <f t="shared" si="1185"/>
        <v>3</v>
      </c>
      <c r="E2274">
        <v>5</v>
      </c>
      <c r="F2274" s="6" t="s">
        <v>430</v>
      </c>
      <c r="G2274">
        <v>5</v>
      </c>
      <c r="H2274" s="8" t="s">
        <v>422</v>
      </c>
      <c r="I2274" t="s">
        <v>178</v>
      </c>
      <c r="J2274">
        <v>39</v>
      </c>
      <c r="K2274" t="s">
        <v>488</v>
      </c>
      <c r="L2274" t="s">
        <v>282</v>
      </c>
      <c r="Q2274">
        <f t="shared" ref="Q2274:S2274" si="1219">Q2273</f>
        <v>18977</v>
      </c>
      <c r="R2274" t="str">
        <f t="shared" si="1219"/>
        <v>Velodrome</v>
      </c>
      <c r="S2274" t="str">
        <f t="shared" si="1219"/>
        <v>HollowBrook</v>
      </c>
      <c r="T2274" s="20">
        <f t="shared" si="1189"/>
        <v>22</v>
      </c>
      <c r="U2274">
        <f t="shared" si="1190"/>
        <v>342</v>
      </c>
      <c r="V2274">
        <f t="shared" si="1191"/>
        <v>320</v>
      </c>
      <c r="W2274">
        <v>78</v>
      </c>
      <c r="X2274" t="str">
        <f t="shared" si="1192"/>
        <v>event_team_player_1</v>
      </c>
      <c r="Y2274">
        <f>COUNTIFS(A$3:A2274,"="&amp;A2274,K$3:K2274,"="&amp;K2274)</f>
        <v>1</v>
      </c>
      <c r="Z2274" s="20">
        <f>SUMIFS(T$3:T2274,L$3:L2274,"=Intermission")+SUMIFS(T$3:T2274,L$3:L2274,"=Timeout")+SUMIFS(T$3:T2274,L$3:L2274,"=Clockstop")</f>
        <v>138</v>
      </c>
      <c r="AA2274">
        <f t="shared" si="1183"/>
        <v>2298</v>
      </c>
      <c r="AC2274">
        <f t="shared" si="1184"/>
        <v>2436</v>
      </c>
    </row>
    <row r="2275" spans="1:29" x14ac:dyDescent="0.2">
      <c r="A2275">
        <v>1229</v>
      </c>
      <c r="D2275">
        <f t="shared" si="1185"/>
        <v>3</v>
      </c>
      <c r="E2275">
        <v>5</v>
      </c>
      <c r="F2275" s="6" t="s">
        <v>422</v>
      </c>
      <c r="I2275" t="s">
        <v>178</v>
      </c>
      <c r="J2275">
        <v>70</v>
      </c>
      <c r="K2275" t="s">
        <v>488</v>
      </c>
      <c r="L2275" t="s">
        <v>6</v>
      </c>
      <c r="M2275" t="s">
        <v>275</v>
      </c>
      <c r="Q2275">
        <f t="shared" ref="Q2275:S2275" si="1220">Q2274</f>
        <v>18977</v>
      </c>
      <c r="R2275" t="str">
        <f t="shared" si="1220"/>
        <v>Velodrome</v>
      </c>
      <c r="S2275" t="str">
        <f t="shared" si="1220"/>
        <v>HollowBrook</v>
      </c>
      <c r="T2275" s="20">
        <f t="shared" si="1189"/>
        <v>0</v>
      </c>
      <c r="U2275">
        <f t="shared" si="1190"/>
        <v>320</v>
      </c>
      <c r="V2275">
        <f t="shared" si="1191"/>
        <v>320</v>
      </c>
      <c r="W2275" cm="1">
        <f t="array" ref="W2275">_xlfn._xlws.FILTER(shifts!A:A,(shifts!B:B=events!D2275)*(shifts!AH:AH&gt;=events!U2275)*(shifts!AI:AI&lt;=events!V2275))</f>
        <v>78</v>
      </c>
      <c r="X2275" t="str">
        <f t="shared" si="1192"/>
        <v>event_team_player_1</v>
      </c>
      <c r="Y2275">
        <f>COUNTIFS(A$3:A2275,"="&amp;A2275,K$3:K2275,"="&amp;K2275)</f>
        <v>1</v>
      </c>
      <c r="Z2275" s="20">
        <f>SUMIFS(T$3:T2275,L$3:L2275,"=Intermission")+SUMIFS(T$3:T2275,L$3:L2275,"=Timeout")+SUMIFS(T$3:T2275,L$3:L2275,"=Clockstop")</f>
        <v>138</v>
      </c>
      <c r="AA2275">
        <f t="shared" si="1183"/>
        <v>2298</v>
      </c>
      <c r="AC2275">
        <f t="shared" si="1184"/>
        <v>2436</v>
      </c>
    </row>
    <row r="2276" spans="1:29" x14ac:dyDescent="0.2">
      <c r="A2276">
        <v>1229</v>
      </c>
      <c r="D2276">
        <f t="shared" si="1185"/>
        <v>3</v>
      </c>
      <c r="E2276">
        <v>5</v>
      </c>
      <c r="F2276" s="6" t="s">
        <v>422</v>
      </c>
      <c r="I2276" t="s">
        <v>178</v>
      </c>
      <c r="J2276">
        <v>11</v>
      </c>
      <c r="K2276" t="s">
        <v>489</v>
      </c>
      <c r="L2276" t="s">
        <v>6</v>
      </c>
      <c r="M2276" t="s">
        <v>275</v>
      </c>
      <c r="Q2276">
        <f t="shared" ref="Q2276:S2276" si="1221">Q2275</f>
        <v>18977</v>
      </c>
      <c r="R2276" t="str">
        <f t="shared" si="1221"/>
        <v>Velodrome</v>
      </c>
      <c r="S2276" t="str">
        <f t="shared" si="1221"/>
        <v>HollowBrook</v>
      </c>
      <c r="T2276" s="20">
        <f t="shared" si="1189"/>
        <v>0</v>
      </c>
      <c r="U2276">
        <f t="shared" si="1190"/>
        <v>320</v>
      </c>
      <c r="V2276">
        <f t="shared" si="1191"/>
        <v>320</v>
      </c>
      <c r="W2276" cm="1">
        <f t="array" ref="W2276">_xlfn._xlws.FILTER(shifts!A:A,(shifts!B:B=events!D2276)*(shifts!AH:AH&gt;=events!U2276)*(shifts!AI:AI&lt;=events!V2276))</f>
        <v>78</v>
      </c>
      <c r="X2276" t="str">
        <f t="shared" si="1192"/>
        <v>opp_team_player_1</v>
      </c>
      <c r="Y2276">
        <f>COUNTIFS(A$3:A2276,"="&amp;A2276,K$3:K2276,"="&amp;K2276)</f>
        <v>1</v>
      </c>
      <c r="Z2276" s="20">
        <f>SUMIFS(T$3:T2276,L$3:L2276,"=Intermission")+SUMIFS(T$3:T2276,L$3:L2276,"=Timeout")+SUMIFS(T$3:T2276,L$3:L2276,"=Clockstop")</f>
        <v>138</v>
      </c>
      <c r="AA2276">
        <f t="shared" si="1183"/>
        <v>2298</v>
      </c>
      <c r="AC2276">
        <f t="shared" si="1184"/>
        <v>2436</v>
      </c>
    </row>
    <row r="2277" spans="1:29" x14ac:dyDescent="0.2">
      <c r="A2277">
        <v>1230</v>
      </c>
      <c r="D2277">
        <f t="shared" si="1185"/>
        <v>3</v>
      </c>
      <c r="E2277">
        <v>5</v>
      </c>
      <c r="F2277" s="6" t="s">
        <v>485</v>
      </c>
      <c r="G2277">
        <v>5</v>
      </c>
      <c r="H2277" s="8" t="s">
        <v>446</v>
      </c>
      <c r="I2277" t="s">
        <v>178</v>
      </c>
      <c r="J2277">
        <v>14</v>
      </c>
      <c r="K2277" t="s">
        <v>488</v>
      </c>
      <c r="L2277" t="s">
        <v>277</v>
      </c>
      <c r="M2277" t="s">
        <v>201</v>
      </c>
      <c r="N2277" t="s">
        <v>90</v>
      </c>
      <c r="Q2277">
        <f t="shared" ref="Q2277:S2277" si="1222">Q2276</f>
        <v>18977</v>
      </c>
      <c r="R2277" t="str">
        <f t="shared" si="1222"/>
        <v>Velodrome</v>
      </c>
      <c r="S2277" t="str">
        <f t="shared" si="1222"/>
        <v>HollowBrook</v>
      </c>
      <c r="T2277" s="20">
        <f t="shared" si="1189"/>
        <v>1</v>
      </c>
      <c r="U2277">
        <f t="shared" si="1190"/>
        <v>318</v>
      </c>
      <c r="V2277">
        <f t="shared" si="1191"/>
        <v>317</v>
      </c>
      <c r="W2277" cm="1">
        <f t="array" ref="W2277">_xlfn._xlws.FILTER(shifts!A:A,(shifts!B:B=events!D2277)*(shifts!AH:AH&gt;=events!U2277)*(shifts!AI:AI&lt;=events!V2277))</f>
        <v>78</v>
      </c>
      <c r="X2277" t="str">
        <f t="shared" si="1192"/>
        <v>event_team_player_1</v>
      </c>
      <c r="Y2277">
        <f>COUNTIFS(A$3:A2277,"="&amp;A2277,K$3:K2277,"="&amp;K2277)</f>
        <v>1</v>
      </c>
      <c r="Z2277" s="20">
        <f>SUMIFS(T$3:T2277,L$3:L2277,"=Intermission")+SUMIFS(T$3:T2277,L$3:L2277,"=Timeout")+SUMIFS(T$3:T2277,L$3:L2277,"=Clockstop")</f>
        <v>138</v>
      </c>
      <c r="AA2277">
        <f t="shared" si="1183"/>
        <v>2298</v>
      </c>
      <c r="AC2277">
        <f t="shared" si="1184"/>
        <v>2436</v>
      </c>
    </row>
    <row r="2278" spans="1:29" x14ac:dyDescent="0.2">
      <c r="A2278">
        <v>1231</v>
      </c>
      <c r="D2278">
        <f t="shared" si="1185"/>
        <v>3</v>
      </c>
      <c r="E2278">
        <v>5</v>
      </c>
      <c r="F2278" s="6" t="s">
        <v>446</v>
      </c>
      <c r="G2278">
        <v>5</v>
      </c>
      <c r="H2278" s="8" t="s">
        <v>447</v>
      </c>
      <c r="I2278" t="s">
        <v>178</v>
      </c>
      <c r="J2278">
        <v>14</v>
      </c>
      <c r="K2278" t="s">
        <v>488</v>
      </c>
      <c r="L2278" t="s">
        <v>15</v>
      </c>
      <c r="Q2278">
        <f t="shared" ref="Q2278:S2278" si="1223">Q2277</f>
        <v>18977</v>
      </c>
      <c r="R2278" t="str">
        <f t="shared" si="1223"/>
        <v>Velodrome</v>
      </c>
      <c r="S2278" t="str">
        <f t="shared" si="1223"/>
        <v>HollowBrook</v>
      </c>
      <c r="T2278" s="20">
        <f t="shared" si="1189"/>
        <v>2</v>
      </c>
      <c r="U2278">
        <f t="shared" si="1190"/>
        <v>317</v>
      </c>
      <c r="V2278">
        <f t="shared" si="1191"/>
        <v>315</v>
      </c>
      <c r="W2278" cm="1">
        <f t="array" ref="W2278">_xlfn._xlws.FILTER(shifts!A:A,(shifts!B:B=events!D2278)*(shifts!AH:AH&gt;=events!U2278)*(shifts!AI:AI&lt;=events!V2278))</f>
        <v>78</v>
      </c>
      <c r="X2278" t="str">
        <f t="shared" si="1192"/>
        <v>event_team_player_1</v>
      </c>
      <c r="Y2278">
        <f>COUNTIFS(A$3:A2278,"="&amp;A2278,K$3:K2278,"="&amp;K2278)</f>
        <v>1</v>
      </c>
      <c r="Z2278" s="20">
        <f>SUMIFS(T$3:T2278,L$3:L2278,"=Intermission")+SUMIFS(T$3:T2278,L$3:L2278,"=Timeout")+SUMIFS(T$3:T2278,L$3:L2278,"=Clockstop")</f>
        <v>138</v>
      </c>
      <c r="AA2278">
        <f t="shared" si="1183"/>
        <v>2298</v>
      </c>
      <c r="AC2278">
        <f t="shared" si="1184"/>
        <v>2436</v>
      </c>
    </row>
    <row r="2279" spans="1:29" x14ac:dyDescent="0.2">
      <c r="A2279">
        <v>1232</v>
      </c>
      <c r="D2279">
        <f t="shared" si="1185"/>
        <v>3</v>
      </c>
      <c r="E2279">
        <v>5</v>
      </c>
      <c r="F2279" s="6" t="s">
        <v>447</v>
      </c>
      <c r="G2279">
        <v>5</v>
      </c>
      <c r="H2279" s="8" t="s">
        <v>317</v>
      </c>
      <c r="I2279" t="s">
        <v>178</v>
      </c>
      <c r="J2279">
        <v>14</v>
      </c>
      <c r="K2279" t="s">
        <v>488</v>
      </c>
      <c r="L2279" t="s">
        <v>277</v>
      </c>
      <c r="M2279" t="s">
        <v>191</v>
      </c>
      <c r="N2279" t="s">
        <v>87</v>
      </c>
      <c r="Q2279">
        <f t="shared" ref="Q2279:S2279" si="1224">Q2278</f>
        <v>18977</v>
      </c>
      <c r="R2279" t="str">
        <f t="shared" si="1224"/>
        <v>Velodrome</v>
      </c>
      <c r="S2279" t="str">
        <f t="shared" si="1224"/>
        <v>HollowBrook</v>
      </c>
      <c r="T2279" s="20">
        <f t="shared" si="1189"/>
        <v>2</v>
      </c>
      <c r="U2279">
        <f t="shared" si="1190"/>
        <v>315</v>
      </c>
      <c r="V2279">
        <f t="shared" si="1191"/>
        <v>313</v>
      </c>
      <c r="W2279" cm="1">
        <f t="array" ref="W2279">_xlfn._xlws.FILTER(shifts!A:A,(shifts!B:B=events!D2279)*(shifts!AH:AH&gt;=events!U2279)*(shifts!AI:AI&lt;=events!V2279))</f>
        <v>78</v>
      </c>
      <c r="X2279" t="str">
        <f t="shared" si="1192"/>
        <v>event_team_player_1</v>
      </c>
      <c r="Y2279">
        <f>COUNTIFS(A$3:A2279,"="&amp;A2279,K$3:K2279,"="&amp;K2279)</f>
        <v>1</v>
      </c>
      <c r="Z2279" s="20">
        <f>SUMIFS(T$3:T2279,L$3:L2279,"=Intermission")+SUMIFS(T$3:T2279,L$3:L2279,"=Timeout")+SUMIFS(T$3:T2279,L$3:L2279,"=Clockstop")</f>
        <v>138</v>
      </c>
      <c r="AA2279">
        <f t="shared" si="1183"/>
        <v>2298</v>
      </c>
      <c r="AC2279">
        <f t="shared" si="1184"/>
        <v>2436</v>
      </c>
    </row>
    <row r="2280" spans="1:29" x14ac:dyDescent="0.2">
      <c r="A2280">
        <v>1232</v>
      </c>
      <c r="D2280">
        <f t="shared" si="1185"/>
        <v>3</v>
      </c>
      <c r="E2280">
        <v>5</v>
      </c>
      <c r="F2280" s="6" t="s">
        <v>447</v>
      </c>
      <c r="G2280">
        <v>5</v>
      </c>
      <c r="H2280" s="8" t="s">
        <v>317</v>
      </c>
      <c r="I2280" t="s">
        <v>178</v>
      </c>
      <c r="J2280">
        <v>2</v>
      </c>
      <c r="K2280" t="s">
        <v>489</v>
      </c>
      <c r="L2280" t="s">
        <v>277</v>
      </c>
      <c r="M2280" t="s">
        <v>191</v>
      </c>
      <c r="N2280" t="s">
        <v>87</v>
      </c>
      <c r="Q2280">
        <f t="shared" ref="Q2280:S2280" si="1225">Q2279</f>
        <v>18977</v>
      </c>
      <c r="R2280" t="str">
        <f t="shared" si="1225"/>
        <v>Velodrome</v>
      </c>
      <c r="S2280" t="str">
        <f t="shared" si="1225"/>
        <v>HollowBrook</v>
      </c>
      <c r="T2280" s="20">
        <f t="shared" si="1189"/>
        <v>2</v>
      </c>
      <c r="U2280">
        <f t="shared" si="1190"/>
        <v>315</v>
      </c>
      <c r="V2280">
        <f t="shared" si="1191"/>
        <v>313</v>
      </c>
      <c r="W2280" cm="1">
        <f t="array" ref="W2280">_xlfn._xlws.FILTER(shifts!A:A,(shifts!B:B=events!D2280)*(shifts!AH:AH&gt;=events!U2280)*(shifts!AI:AI&lt;=events!V2280))</f>
        <v>78</v>
      </c>
      <c r="X2280" t="str">
        <f t="shared" si="1192"/>
        <v>opp_team_player_1</v>
      </c>
      <c r="Y2280">
        <f>COUNTIFS(A$3:A2280,"="&amp;A2280,K$3:K2280,"="&amp;K2280)</f>
        <v>1</v>
      </c>
      <c r="Z2280" s="20">
        <f>SUMIFS(T$3:T2280,L$3:L2280,"=Intermission")+SUMIFS(T$3:T2280,L$3:L2280,"=Timeout")+SUMIFS(T$3:T2280,L$3:L2280,"=Clockstop")</f>
        <v>138</v>
      </c>
      <c r="AA2280">
        <f t="shared" si="1183"/>
        <v>2298</v>
      </c>
      <c r="AC2280">
        <f t="shared" si="1184"/>
        <v>2436</v>
      </c>
    </row>
    <row r="2281" spans="1:29" x14ac:dyDescent="0.2">
      <c r="A2281">
        <v>1232</v>
      </c>
      <c r="D2281">
        <f t="shared" si="1185"/>
        <v>3</v>
      </c>
      <c r="E2281">
        <v>5</v>
      </c>
      <c r="F2281" s="6" t="s">
        <v>447</v>
      </c>
      <c r="G2281">
        <v>5</v>
      </c>
      <c r="H2281" s="8" t="s">
        <v>317</v>
      </c>
      <c r="I2281" t="s">
        <v>178</v>
      </c>
      <c r="J2281">
        <v>27</v>
      </c>
      <c r="K2281" t="s">
        <v>489</v>
      </c>
      <c r="L2281" t="s">
        <v>277</v>
      </c>
      <c r="M2281" t="s">
        <v>191</v>
      </c>
      <c r="N2281" t="s">
        <v>87</v>
      </c>
      <c r="Q2281">
        <f t="shared" ref="Q2281:S2281" si="1226">Q2280</f>
        <v>18977</v>
      </c>
      <c r="R2281" t="str">
        <f t="shared" si="1226"/>
        <v>Velodrome</v>
      </c>
      <c r="S2281" t="str">
        <f t="shared" si="1226"/>
        <v>HollowBrook</v>
      </c>
      <c r="T2281" s="20">
        <f t="shared" si="1189"/>
        <v>2</v>
      </c>
      <c r="U2281">
        <f t="shared" si="1190"/>
        <v>315</v>
      </c>
      <c r="V2281">
        <f t="shared" si="1191"/>
        <v>313</v>
      </c>
      <c r="W2281" cm="1">
        <f t="array" ref="W2281">_xlfn._xlws.FILTER(shifts!A:A,(shifts!B:B=events!D2281)*(shifts!AH:AH&gt;=events!U2281)*(shifts!AI:AI&lt;=events!V2281))</f>
        <v>78</v>
      </c>
      <c r="X2281" t="str">
        <f t="shared" si="1192"/>
        <v>opp_team_player_2</v>
      </c>
      <c r="Y2281">
        <f>COUNTIFS(A$3:A2281,"="&amp;A2281,K$3:K2281,"="&amp;K2281)</f>
        <v>2</v>
      </c>
      <c r="Z2281" s="20">
        <f>SUMIFS(T$3:T2281,L$3:L2281,"=Intermission")+SUMIFS(T$3:T2281,L$3:L2281,"=Timeout")+SUMIFS(T$3:T2281,L$3:L2281,"=Clockstop")</f>
        <v>138</v>
      </c>
      <c r="AA2281">
        <f t="shared" si="1183"/>
        <v>2298</v>
      </c>
      <c r="AC2281">
        <f t="shared" si="1184"/>
        <v>2436</v>
      </c>
    </row>
    <row r="2282" spans="1:29" x14ac:dyDescent="0.2">
      <c r="A2282">
        <v>1233</v>
      </c>
      <c r="D2282">
        <f t="shared" si="1185"/>
        <v>3</v>
      </c>
      <c r="E2282">
        <v>5</v>
      </c>
      <c r="F2282" s="6" t="s">
        <v>317</v>
      </c>
      <c r="I2282" t="s">
        <v>178</v>
      </c>
      <c r="J2282">
        <v>14</v>
      </c>
      <c r="K2282" t="s">
        <v>488</v>
      </c>
      <c r="L2282" t="s">
        <v>7</v>
      </c>
      <c r="M2282" t="s">
        <v>222</v>
      </c>
      <c r="N2282" t="s">
        <v>53</v>
      </c>
      <c r="Q2282">
        <f t="shared" ref="Q2282:S2282" si="1227">Q2281</f>
        <v>18977</v>
      </c>
      <c r="R2282" t="str">
        <f t="shared" si="1227"/>
        <v>Velodrome</v>
      </c>
      <c r="S2282" t="str">
        <f t="shared" si="1227"/>
        <v>HollowBrook</v>
      </c>
      <c r="T2282" s="20">
        <f t="shared" si="1189"/>
        <v>0</v>
      </c>
      <c r="U2282">
        <f t="shared" si="1190"/>
        <v>313</v>
      </c>
      <c r="V2282">
        <f t="shared" si="1191"/>
        <v>313</v>
      </c>
      <c r="W2282" cm="1">
        <f t="array" ref="W2282">_xlfn._xlws.FILTER(shifts!A:A,(shifts!B:B=events!D2282)*(shifts!AH:AH&gt;=events!U2282)*(shifts!AI:AI&lt;=events!V2282))</f>
        <v>78</v>
      </c>
      <c r="X2282" t="str">
        <f t="shared" si="1192"/>
        <v>event_team_player_1</v>
      </c>
      <c r="Y2282">
        <f>COUNTIFS(A$3:A2282,"="&amp;A2282,K$3:K2282,"="&amp;K2282)</f>
        <v>1</v>
      </c>
      <c r="Z2282" s="20">
        <f>SUMIFS(T$3:T2282,L$3:L2282,"=Intermission")+SUMIFS(T$3:T2282,L$3:L2282,"=Timeout")+SUMIFS(T$3:T2282,L$3:L2282,"=Clockstop")</f>
        <v>138</v>
      </c>
      <c r="AA2282">
        <f t="shared" si="1183"/>
        <v>2298</v>
      </c>
      <c r="AC2282">
        <f t="shared" si="1184"/>
        <v>2436</v>
      </c>
    </row>
    <row r="2283" spans="1:29" x14ac:dyDescent="0.2">
      <c r="A2283">
        <v>1233</v>
      </c>
      <c r="D2283">
        <f t="shared" si="1185"/>
        <v>3</v>
      </c>
      <c r="E2283">
        <v>5</v>
      </c>
      <c r="F2283" s="6" t="s">
        <v>317</v>
      </c>
      <c r="I2283" t="s">
        <v>178</v>
      </c>
      <c r="J2283">
        <v>99</v>
      </c>
      <c r="K2283" t="s">
        <v>489</v>
      </c>
      <c r="L2283" t="s">
        <v>7</v>
      </c>
      <c r="M2283" t="s">
        <v>222</v>
      </c>
      <c r="N2283" t="s">
        <v>53</v>
      </c>
      <c r="Q2283">
        <f t="shared" ref="Q2283:S2283" si="1228">Q2282</f>
        <v>18977</v>
      </c>
      <c r="R2283" t="str">
        <f t="shared" si="1228"/>
        <v>Velodrome</v>
      </c>
      <c r="S2283" t="str">
        <f t="shared" si="1228"/>
        <v>HollowBrook</v>
      </c>
      <c r="T2283" s="20">
        <f t="shared" si="1189"/>
        <v>0</v>
      </c>
      <c r="U2283">
        <f t="shared" si="1190"/>
        <v>313</v>
      </c>
      <c r="V2283">
        <f t="shared" si="1191"/>
        <v>313</v>
      </c>
      <c r="W2283" cm="1">
        <f t="array" ref="W2283">_xlfn._xlws.FILTER(shifts!A:A,(shifts!B:B=events!D2283)*(shifts!AH:AH&gt;=events!U2283)*(shifts!AI:AI&lt;=events!V2283))</f>
        <v>78</v>
      </c>
      <c r="X2283" t="str">
        <f t="shared" si="1192"/>
        <v>opp_team_player_1</v>
      </c>
      <c r="Y2283">
        <f>COUNTIFS(A$3:A2283,"="&amp;A2283,K$3:K2283,"="&amp;K2283)</f>
        <v>1</v>
      </c>
      <c r="Z2283" s="20">
        <f>SUMIFS(T$3:T2283,L$3:L2283,"=Intermission")+SUMIFS(T$3:T2283,L$3:L2283,"=Timeout")+SUMIFS(T$3:T2283,L$3:L2283,"=Clockstop")</f>
        <v>138</v>
      </c>
      <c r="AA2283">
        <f t="shared" si="1183"/>
        <v>2298</v>
      </c>
      <c r="AC2283">
        <f t="shared" si="1184"/>
        <v>2436</v>
      </c>
    </row>
    <row r="2284" spans="1:29" x14ac:dyDescent="0.2">
      <c r="A2284">
        <v>1234</v>
      </c>
      <c r="D2284">
        <f t="shared" si="1185"/>
        <v>3</v>
      </c>
      <c r="E2284">
        <v>5</v>
      </c>
      <c r="F2284" s="6" t="s">
        <v>317</v>
      </c>
      <c r="I2284" t="s">
        <v>179</v>
      </c>
      <c r="J2284">
        <v>99</v>
      </c>
      <c r="K2284" t="s">
        <v>488</v>
      </c>
      <c r="L2284" t="s">
        <v>17</v>
      </c>
      <c r="M2284" t="s">
        <v>196</v>
      </c>
      <c r="N2284" t="s">
        <v>98</v>
      </c>
      <c r="Q2284">
        <f t="shared" ref="Q2284:S2284" si="1229">Q2283</f>
        <v>18977</v>
      </c>
      <c r="R2284" t="str">
        <f t="shared" si="1229"/>
        <v>Velodrome</v>
      </c>
      <c r="S2284" t="str">
        <f t="shared" si="1229"/>
        <v>HollowBrook</v>
      </c>
      <c r="T2284" s="20">
        <f t="shared" si="1189"/>
        <v>0</v>
      </c>
      <c r="U2284">
        <f t="shared" si="1190"/>
        <v>313</v>
      </c>
      <c r="V2284">
        <f t="shared" si="1191"/>
        <v>313</v>
      </c>
      <c r="W2284" cm="1">
        <f t="array" ref="W2284">_xlfn._xlws.FILTER(shifts!A:A,(shifts!B:B=events!D2284)*(shifts!AH:AH&gt;=events!U2284)*(shifts!AI:AI&lt;=events!V2284))</f>
        <v>78</v>
      </c>
      <c r="X2284" t="str">
        <f t="shared" si="1192"/>
        <v>event_team_player_1</v>
      </c>
      <c r="Y2284">
        <f>COUNTIFS(A$3:A2284,"="&amp;A2284,K$3:K2284,"="&amp;K2284)</f>
        <v>1</v>
      </c>
      <c r="Z2284" s="20">
        <f>SUMIFS(T$3:T2284,L$3:L2284,"=Intermission")+SUMIFS(T$3:T2284,L$3:L2284,"=Timeout")+SUMIFS(T$3:T2284,L$3:L2284,"=Clockstop")</f>
        <v>138</v>
      </c>
      <c r="AA2284">
        <f t="shared" si="1183"/>
        <v>2298</v>
      </c>
      <c r="AC2284">
        <f t="shared" si="1184"/>
        <v>2436</v>
      </c>
    </row>
    <row r="2285" spans="1:29" x14ac:dyDescent="0.2">
      <c r="A2285">
        <v>1234</v>
      </c>
      <c r="D2285">
        <f t="shared" si="1185"/>
        <v>3</v>
      </c>
      <c r="E2285">
        <v>5</v>
      </c>
      <c r="F2285" s="6" t="s">
        <v>317</v>
      </c>
      <c r="I2285" t="s">
        <v>179</v>
      </c>
      <c r="J2285">
        <v>14</v>
      </c>
      <c r="K2285" t="s">
        <v>489</v>
      </c>
      <c r="L2285" t="s">
        <v>17</v>
      </c>
      <c r="M2285" t="s">
        <v>196</v>
      </c>
      <c r="N2285" t="s">
        <v>98</v>
      </c>
      <c r="Q2285">
        <f t="shared" ref="Q2285:S2285" si="1230">Q2284</f>
        <v>18977</v>
      </c>
      <c r="R2285" t="str">
        <f t="shared" si="1230"/>
        <v>Velodrome</v>
      </c>
      <c r="S2285" t="str">
        <f t="shared" si="1230"/>
        <v>HollowBrook</v>
      </c>
      <c r="T2285" s="20">
        <f t="shared" si="1189"/>
        <v>0</v>
      </c>
      <c r="U2285">
        <f t="shared" si="1190"/>
        <v>313</v>
      </c>
      <c r="V2285">
        <f t="shared" si="1191"/>
        <v>313</v>
      </c>
      <c r="W2285" cm="1">
        <f t="array" ref="W2285">_xlfn._xlws.FILTER(shifts!A:A,(shifts!B:B=events!D2285)*(shifts!AH:AH&gt;=events!U2285)*(shifts!AI:AI&lt;=events!V2285))</f>
        <v>78</v>
      </c>
      <c r="X2285" t="str">
        <f t="shared" si="1192"/>
        <v>opp_team_player_1</v>
      </c>
      <c r="Y2285">
        <f>COUNTIFS(A$3:A2285,"="&amp;A2285,K$3:K2285,"="&amp;K2285)</f>
        <v>1</v>
      </c>
      <c r="Z2285" s="20">
        <f>SUMIFS(T$3:T2285,L$3:L2285,"=Intermission")+SUMIFS(T$3:T2285,L$3:L2285,"=Timeout")+SUMIFS(T$3:T2285,L$3:L2285,"=Clockstop")</f>
        <v>138</v>
      </c>
      <c r="AA2285">
        <f t="shared" si="1183"/>
        <v>2298</v>
      </c>
      <c r="AC2285">
        <f t="shared" si="1184"/>
        <v>2436</v>
      </c>
    </row>
    <row r="2286" spans="1:29" x14ac:dyDescent="0.2">
      <c r="A2286">
        <v>1235</v>
      </c>
      <c r="D2286">
        <f t="shared" si="1185"/>
        <v>3</v>
      </c>
      <c r="E2286">
        <v>5</v>
      </c>
      <c r="F2286" s="6" t="s">
        <v>317</v>
      </c>
      <c r="I2286" t="s">
        <v>179</v>
      </c>
      <c r="J2286">
        <v>99</v>
      </c>
      <c r="K2286" t="s">
        <v>488</v>
      </c>
      <c r="L2286" t="s">
        <v>270</v>
      </c>
      <c r="M2286" t="s">
        <v>271</v>
      </c>
      <c r="Q2286">
        <f t="shared" ref="Q2286:S2286" si="1231">Q2285</f>
        <v>18977</v>
      </c>
      <c r="R2286" t="str">
        <f t="shared" si="1231"/>
        <v>Velodrome</v>
      </c>
      <c r="S2286" t="str">
        <f t="shared" si="1231"/>
        <v>HollowBrook</v>
      </c>
      <c r="T2286" s="20">
        <f t="shared" si="1189"/>
        <v>0</v>
      </c>
      <c r="U2286">
        <f t="shared" si="1190"/>
        <v>313</v>
      </c>
      <c r="V2286">
        <f t="shared" si="1191"/>
        <v>313</v>
      </c>
      <c r="W2286" cm="1">
        <f t="array" ref="W2286">_xlfn._xlws.FILTER(shifts!A:A,(shifts!B:B=events!D2286)*(shifts!AH:AH&gt;=events!U2286)*(shifts!AI:AI&lt;=events!V2286))</f>
        <v>78</v>
      </c>
      <c r="X2286" t="str">
        <f t="shared" si="1192"/>
        <v>event_team_player_1</v>
      </c>
      <c r="Y2286">
        <f>COUNTIFS(A$3:A2286,"="&amp;A2286,K$3:K2286,"="&amp;K2286)</f>
        <v>1</v>
      </c>
      <c r="Z2286" s="20">
        <f>SUMIFS(T$3:T2286,L$3:L2286,"=Intermission")+SUMIFS(T$3:T2286,L$3:L2286,"=Timeout")+SUMIFS(T$3:T2286,L$3:L2286,"=Clockstop")</f>
        <v>138</v>
      </c>
      <c r="AA2286">
        <f t="shared" si="1183"/>
        <v>2298</v>
      </c>
      <c r="AC2286">
        <f t="shared" si="1184"/>
        <v>2436</v>
      </c>
    </row>
    <row r="2287" spans="1:29" x14ac:dyDescent="0.2">
      <c r="A2287">
        <v>1236</v>
      </c>
      <c r="D2287">
        <f t="shared" si="1185"/>
        <v>3</v>
      </c>
      <c r="E2287">
        <v>5</v>
      </c>
      <c r="F2287" s="6" t="s">
        <v>486</v>
      </c>
      <c r="G2287">
        <v>5</v>
      </c>
      <c r="H2287" s="8" t="s">
        <v>425</v>
      </c>
      <c r="I2287" t="s">
        <v>179</v>
      </c>
      <c r="J2287">
        <v>27</v>
      </c>
      <c r="K2287" t="s">
        <v>488</v>
      </c>
      <c r="L2287" t="s">
        <v>15</v>
      </c>
      <c r="Q2287">
        <f t="shared" ref="Q2287:S2287" si="1232">Q2286</f>
        <v>18977</v>
      </c>
      <c r="R2287" t="str">
        <f t="shared" si="1232"/>
        <v>Velodrome</v>
      </c>
      <c r="S2287" t="str">
        <f t="shared" si="1232"/>
        <v>HollowBrook</v>
      </c>
      <c r="T2287" s="20">
        <f t="shared" si="1189"/>
        <v>1</v>
      </c>
      <c r="U2287">
        <f t="shared" si="1190"/>
        <v>311</v>
      </c>
      <c r="V2287">
        <f t="shared" si="1191"/>
        <v>310</v>
      </c>
      <c r="W2287" cm="1">
        <f t="array" ref="W2287">_xlfn._xlws.FILTER(shifts!A:A,(shifts!B:B=events!D2287)*(shifts!AH:AH&gt;=events!U2287)*(shifts!AI:AI&lt;=events!V2287))</f>
        <v>78</v>
      </c>
      <c r="X2287" t="str">
        <f t="shared" si="1192"/>
        <v>event_team_player_1</v>
      </c>
      <c r="Y2287">
        <f>COUNTIFS(A$3:A2287,"="&amp;A2287,K$3:K2287,"="&amp;K2287)</f>
        <v>1</v>
      </c>
      <c r="Z2287" s="20">
        <f>SUMIFS(T$3:T2287,L$3:L2287,"=Intermission")+SUMIFS(T$3:T2287,L$3:L2287,"=Timeout")+SUMIFS(T$3:T2287,L$3:L2287,"=Clockstop")</f>
        <v>138</v>
      </c>
      <c r="AA2287">
        <f t="shared" si="1183"/>
        <v>2298</v>
      </c>
      <c r="AC2287">
        <f t="shared" si="1184"/>
        <v>2436</v>
      </c>
    </row>
    <row r="2288" spans="1:29" x14ac:dyDescent="0.2">
      <c r="A2288">
        <v>1237</v>
      </c>
      <c r="D2288">
        <f t="shared" si="1185"/>
        <v>3</v>
      </c>
      <c r="E2288">
        <v>5</v>
      </c>
      <c r="F2288" s="6" t="s">
        <v>425</v>
      </c>
      <c r="I2288" t="s">
        <v>179</v>
      </c>
      <c r="J2288">
        <v>27</v>
      </c>
      <c r="K2288" t="s">
        <v>488</v>
      </c>
      <c r="L2288" t="s">
        <v>277</v>
      </c>
      <c r="M2288" t="s">
        <v>201</v>
      </c>
      <c r="N2288" t="s">
        <v>92</v>
      </c>
      <c r="Q2288">
        <f t="shared" ref="Q2288:S2288" si="1233">Q2287</f>
        <v>18977</v>
      </c>
      <c r="R2288" t="str">
        <f t="shared" si="1233"/>
        <v>Velodrome</v>
      </c>
      <c r="S2288" t="str">
        <f t="shared" si="1233"/>
        <v>HollowBrook</v>
      </c>
      <c r="T2288" s="20">
        <f t="shared" si="1189"/>
        <v>0</v>
      </c>
      <c r="U2288">
        <f t="shared" si="1190"/>
        <v>310</v>
      </c>
      <c r="V2288">
        <f t="shared" si="1191"/>
        <v>310</v>
      </c>
      <c r="W2288" cm="1">
        <f t="array" ref="W2288">_xlfn._xlws.FILTER(shifts!A:A,(shifts!B:B=events!D2288)*(shifts!AH:AH&gt;=events!U2288)*(shifts!AI:AI&lt;=events!V2288))</f>
        <v>78</v>
      </c>
      <c r="X2288" t="str">
        <f t="shared" si="1192"/>
        <v>event_team_player_1</v>
      </c>
      <c r="Y2288">
        <f>COUNTIFS(A$3:A2288,"="&amp;A2288,K$3:K2288,"="&amp;K2288)</f>
        <v>1</v>
      </c>
      <c r="Z2288" s="20">
        <f>SUMIFS(T$3:T2288,L$3:L2288,"=Intermission")+SUMIFS(T$3:T2288,L$3:L2288,"=Timeout")+SUMIFS(T$3:T2288,L$3:L2288,"=Clockstop")</f>
        <v>138</v>
      </c>
      <c r="AA2288">
        <f t="shared" si="1183"/>
        <v>2298</v>
      </c>
      <c r="AC2288">
        <f t="shared" si="1184"/>
        <v>2436</v>
      </c>
    </row>
    <row r="2289" spans="1:29" x14ac:dyDescent="0.2">
      <c r="A2289">
        <v>1238</v>
      </c>
      <c r="D2289">
        <f t="shared" si="1185"/>
        <v>3</v>
      </c>
      <c r="E2289">
        <v>5</v>
      </c>
      <c r="F2289" s="6" t="s">
        <v>425</v>
      </c>
      <c r="I2289" t="s">
        <v>179</v>
      </c>
      <c r="J2289">
        <v>27</v>
      </c>
      <c r="K2289" t="s">
        <v>488</v>
      </c>
      <c r="L2289" t="s">
        <v>10</v>
      </c>
      <c r="M2289" t="s">
        <v>190</v>
      </c>
      <c r="N2289" t="s">
        <v>460</v>
      </c>
      <c r="Q2289">
        <f t="shared" ref="Q2289:S2289" si="1234">Q2288</f>
        <v>18977</v>
      </c>
      <c r="R2289" t="str">
        <f t="shared" si="1234"/>
        <v>Velodrome</v>
      </c>
      <c r="S2289" t="str">
        <f t="shared" si="1234"/>
        <v>HollowBrook</v>
      </c>
      <c r="T2289" s="20">
        <f t="shared" si="1189"/>
        <v>0</v>
      </c>
      <c r="U2289">
        <f t="shared" si="1190"/>
        <v>310</v>
      </c>
      <c r="V2289">
        <f t="shared" si="1191"/>
        <v>310</v>
      </c>
      <c r="W2289" cm="1">
        <f t="array" ref="W2289">_xlfn._xlws.FILTER(shifts!A:A,(shifts!B:B=events!D2289)*(shifts!AH:AH&gt;=events!U2289)*(shifts!AI:AI&lt;=events!V2289))</f>
        <v>78</v>
      </c>
      <c r="X2289" t="str">
        <f t="shared" si="1192"/>
        <v>event_team_player_1</v>
      </c>
      <c r="Y2289">
        <f>COUNTIFS(A$3:A2289,"="&amp;A2289,K$3:K2289,"="&amp;K2289)</f>
        <v>1</v>
      </c>
      <c r="Z2289" s="20">
        <f>SUMIFS(T$3:T2289,L$3:L2289,"=Intermission")+SUMIFS(T$3:T2289,L$3:L2289,"=Timeout")+SUMIFS(T$3:T2289,L$3:L2289,"=Clockstop")</f>
        <v>138</v>
      </c>
      <c r="AA2289">
        <f t="shared" si="1183"/>
        <v>2298</v>
      </c>
      <c r="AC2289">
        <f t="shared" si="1184"/>
        <v>2436</v>
      </c>
    </row>
    <row r="2290" spans="1:29" x14ac:dyDescent="0.2">
      <c r="A2290">
        <v>1239</v>
      </c>
      <c r="D2290">
        <f t="shared" si="1185"/>
        <v>3</v>
      </c>
      <c r="E2290">
        <v>5</v>
      </c>
      <c r="F2290" s="6" t="s">
        <v>313</v>
      </c>
      <c r="G2290">
        <v>5</v>
      </c>
      <c r="H2290" s="8" t="s">
        <v>315</v>
      </c>
      <c r="I2290" t="s">
        <v>178</v>
      </c>
      <c r="J2290">
        <v>70</v>
      </c>
      <c r="K2290" t="s">
        <v>488</v>
      </c>
      <c r="L2290" t="s">
        <v>15</v>
      </c>
      <c r="Q2290">
        <f t="shared" ref="Q2290:S2290" si="1235">Q2289</f>
        <v>18977</v>
      </c>
      <c r="R2290" t="str">
        <f t="shared" si="1235"/>
        <v>Velodrome</v>
      </c>
      <c r="S2290" t="str">
        <f t="shared" si="1235"/>
        <v>HollowBrook</v>
      </c>
      <c r="T2290" s="20">
        <f t="shared" si="1189"/>
        <v>3</v>
      </c>
      <c r="U2290">
        <f t="shared" si="1190"/>
        <v>308</v>
      </c>
      <c r="V2290">
        <f t="shared" si="1191"/>
        <v>305</v>
      </c>
      <c r="W2290" cm="1">
        <f t="array" ref="W2290">_xlfn._xlws.FILTER(shifts!A:A,(shifts!B:B=events!D2290)*(shifts!AH:AH&gt;=events!U2290)*(shifts!AI:AI&lt;=events!V2290))</f>
        <v>78</v>
      </c>
      <c r="X2290" t="str">
        <f t="shared" si="1192"/>
        <v>event_team_player_1</v>
      </c>
      <c r="Y2290">
        <f>COUNTIFS(A$3:A2290,"="&amp;A2290,K$3:K2290,"="&amp;K2290)</f>
        <v>1</v>
      </c>
      <c r="Z2290" s="20">
        <f>SUMIFS(T$3:T2290,L$3:L2290,"=Intermission")+SUMIFS(T$3:T2290,L$3:L2290,"=Timeout")+SUMIFS(T$3:T2290,L$3:L2290,"=Clockstop")</f>
        <v>138</v>
      </c>
      <c r="AA2290">
        <f t="shared" si="1183"/>
        <v>2298</v>
      </c>
      <c r="AC2290">
        <f t="shared" si="1184"/>
        <v>2436</v>
      </c>
    </row>
    <row r="2291" spans="1:29" x14ac:dyDescent="0.2">
      <c r="A2291">
        <v>1240</v>
      </c>
      <c r="D2291">
        <f t="shared" si="1185"/>
        <v>3</v>
      </c>
      <c r="E2291">
        <v>5</v>
      </c>
      <c r="F2291" s="6" t="s">
        <v>315</v>
      </c>
      <c r="G2291">
        <v>5</v>
      </c>
      <c r="H2291" s="8" t="s">
        <v>315</v>
      </c>
      <c r="I2291" t="s">
        <v>178</v>
      </c>
      <c r="J2291">
        <v>70</v>
      </c>
      <c r="K2291" t="s">
        <v>488</v>
      </c>
      <c r="L2291" t="s">
        <v>15</v>
      </c>
      <c r="Q2291">
        <f t="shared" ref="Q2291:S2291" si="1236">Q2290</f>
        <v>18977</v>
      </c>
      <c r="R2291" t="str">
        <f t="shared" si="1236"/>
        <v>Velodrome</v>
      </c>
      <c r="S2291" t="str">
        <f t="shared" si="1236"/>
        <v>HollowBrook</v>
      </c>
      <c r="T2291" s="20">
        <f t="shared" si="1189"/>
        <v>0</v>
      </c>
      <c r="U2291">
        <f t="shared" si="1190"/>
        <v>305</v>
      </c>
      <c r="V2291">
        <f t="shared" si="1191"/>
        <v>305</v>
      </c>
      <c r="W2291" cm="1">
        <f t="array" ref="W2291">_xlfn._xlws.FILTER(shifts!A:A,(shifts!B:B=events!D2291)*(shifts!AH:AH&gt;=events!U2291)*(shifts!AI:AI&lt;=events!V2291))</f>
        <v>78</v>
      </c>
      <c r="X2291" t="str">
        <f t="shared" si="1192"/>
        <v>event_team_player_1</v>
      </c>
      <c r="Y2291">
        <f>COUNTIFS(A$3:A2291,"="&amp;A2291,K$3:K2291,"="&amp;K2291)</f>
        <v>1</v>
      </c>
      <c r="Z2291" s="20">
        <f>SUMIFS(T$3:T2291,L$3:L2291,"=Intermission")+SUMIFS(T$3:T2291,L$3:L2291,"=Timeout")+SUMIFS(T$3:T2291,L$3:L2291,"=Clockstop")</f>
        <v>138</v>
      </c>
      <c r="AA2291">
        <f t="shared" si="1183"/>
        <v>2298</v>
      </c>
      <c r="AC2291">
        <f t="shared" si="1184"/>
        <v>2436</v>
      </c>
    </row>
    <row r="2292" spans="1:29" x14ac:dyDescent="0.2">
      <c r="A2292">
        <v>1241</v>
      </c>
      <c r="D2292">
        <f t="shared" si="1185"/>
        <v>3</v>
      </c>
      <c r="E2292">
        <v>5</v>
      </c>
      <c r="F2292" s="6" t="s">
        <v>315</v>
      </c>
      <c r="G2292">
        <v>5</v>
      </c>
      <c r="H2292" s="8" t="s">
        <v>312</v>
      </c>
      <c r="I2292" t="s">
        <v>178</v>
      </c>
      <c r="J2292">
        <v>70</v>
      </c>
      <c r="K2292" t="s">
        <v>488</v>
      </c>
      <c r="L2292" t="s">
        <v>15</v>
      </c>
      <c r="Q2292">
        <f t="shared" ref="Q2292:S2292" si="1237">Q2291</f>
        <v>18977</v>
      </c>
      <c r="R2292" t="str">
        <f t="shared" si="1237"/>
        <v>Velodrome</v>
      </c>
      <c r="S2292" t="str">
        <f t="shared" si="1237"/>
        <v>HollowBrook</v>
      </c>
      <c r="T2292" s="20">
        <f t="shared" si="1189"/>
        <v>4</v>
      </c>
      <c r="U2292">
        <f t="shared" si="1190"/>
        <v>305</v>
      </c>
      <c r="V2292">
        <f t="shared" si="1191"/>
        <v>301</v>
      </c>
      <c r="W2292" cm="1">
        <f t="array" ref="W2292">_xlfn._xlws.FILTER(shifts!A:A,(shifts!B:B=events!D2292)*(shifts!AH:AH&gt;=events!U2292)*(shifts!AI:AI&lt;=events!V2292))</f>
        <v>78</v>
      </c>
      <c r="X2292" t="str">
        <f t="shared" si="1192"/>
        <v>event_team_player_1</v>
      </c>
      <c r="Y2292">
        <f>COUNTIFS(A$3:A2292,"="&amp;A2292,K$3:K2292,"="&amp;K2292)</f>
        <v>1</v>
      </c>
      <c r="Z2292" s="20">
        <f>SUMIFS(T$3:T2292,L$3:L2292,"=Intermission")+SUMIFS(T$3:T2292,L$3:L2292,"=Timeout")+SUMIFS(T$3:T2292,L$3:L2292,"=Clockstop")</f>
        <v>138</v>
      </c>
      <c r="AA2292">
        <f t="shared" si="1183"/>
        <v>2298</v>
      </c>
      <c r="AC2292">
        <f t="shared" si="1184"/>
        <v>2436</v>
      </c>
    </row>
    <row r="2293" spans="1:29" x14ac:dyDescent="0.2">
      <c r="A2293">
        <v>1242</v>
      </c>
      <c r="D2293">
        <f t="shared" si="1185"/>
        <v>3</v>
      </c>
      <c r="E2293">
        <v>5</v>
      </c>
      <c r="F2293" s="6" t="s">
        <v>312</v>
      </c>
      <c r="I2293" t="s">
        <v>178</v>
      </c>
      <c r="J2293">
        <v>70</v>
      </c>
      <c r="K2293" t="s">
        <v>488</v>
      </c>
      <c r="L2293" t="s">
        <v>8</v>
      </c>
      <c r="M2293" t="s">
        <v>216</v>
      </c>
      <c r="N2293" t="s">
        <v>70</v>
      </c>
      <c r="Q2293">
        <f t="shared" ref="Q2293:S2293" si="1238">Q2292</f>
        <v>18977</v>
      </c>
      <c r="R2293" t="str">
        <f t="shared" si="1238"/>
        <v>Velodrome</v>
      </c>
      <c r="S2293" t="str">
        <f t="shared" si="1238"/>
        <v>HollowBrook</v>
      </c>
      <c r="T2293" s="20">
        <f t="shared" si="1189"/>
        <v>0</v>
      </c>
      <c r="U2293">
        <f t="shared" si="1190"/>
        <v>301</v>
      </c>
      <c r="V2293">
        <f t="shared" si="1191"/>
        <v>301</v>
      </c>
      <c r="W2293" cm="1">
        <f t="array" ref="W2293">_xlfn._xlws.FILTER(shifts!A:A,(shifts!B:B=events!D2293)*(shifts!AH:AH&gt;=events!U2293)*(shifts!AI:AI&lt;=events!V2293))</f>
        <v>78</v>
      </c>
      <c r="X2293" t="str">
        <f t="shared" si="1192"/>
        <v>event_team_player_1</v>
      </c>
      <c r="Y2293">
        <f>COUNTIFS(A$3:A2293,"="&amp;A2293,K$3:K2293,"="&amp;K2293)</f>
        <v>1</v>
      </c>
      <c r="Z2293" s="20">
        <f>SUMIFS(T$3:T2293,L$3:L2293,"=Intermission")+SUMIFS(T$3:T2293,L$3:L2293,"=Timeout")+SUMIFS(T$3:T2293,L$3:L2293,"=Clockstop")</f>
        <v>138</v>
      </c>
      <c r="AA2293">
        <f t="shared" si="1183"/>
        <v>2298</v>
      </c>
      <c r="AC2293">
        <f t="shared" si="1184"/>
        <v>2436</v>
      </c>
    </row>
    <row r="2294" spans="1:29" x14ac:dyDescent="0.2">
      <c r="A2294">
        <v>1242</v>
      </c>
      <c r="D2294">
        <f t="shared" si="1185"/>
        <v>3</v>
      </c>
      <c r="E2294">
        <v>5</v>
      </c>
      <c r="F2294" s="6" t="s">
        <v>312</v>
      </c>
      <c r="I2294" t="s">
        <v>178</v>
      </c>
      <c r="J2294">
        <v>19</v>
      </c>
      <c r="K2294" t="s">
        <v>489</v>
      </c>
      <c r="L2294" t="s">
        <v>8</v>
      </c>
      <c r="M2294" t="s">
        <v>216</v>
      </c>
      <c r="N2294" t="s">
        <v>70</v>
      </c>
      <c r="Q2294">
        <f t="shared" ref="Q2294:S2294" si="1239">Q2293</f>
        <v>18977</v>
      </c>
      <c r="R2294" t="str">
        <f t="shared" si="1239"/>
        <v>Velodrome</v>
      </c>
      <c r="S2294" t="str">
        <f t="shared" si="1239"/>
        <v>HollowBrook</v>
      </c>
      <c r="T2294" s="20">
        <f t="shared" si="1189"/>
        <v>0</v>
      </c>
      <c r="U2294">
        <f t="shared" si="1190"/>
        <v>301</v>
      </c>
      <c r="V2294">
        <f t="shared" si="1191"/>
        <v>301</v>
      </c>
      <c r="W2294" cm="1">
        <f t="array" ref="W2294">_xlfn._xlws.FILTER(shifts!A:A,(shifts!B:B=events!D2294)*(shifts!AH:AH&gt;=events!U2294)*(shifts!AI:AI&lt;=events!V2294))</f>
        <v>78</v>
      </c>
      <c r="X2294" t="str">
        <f t="shared" si="1192"/>
        <v>opp_team_player_1</v>
      </c>
      <c r="Y2294">
        <f>COUNTIFS(A$3:A2294,"="&amp;A2294,K$3:K2294,"="&amp;K2294)</f>
        <v>1</v>
      </c>
      <c r="Z2294" s="20">
        <f>SUMIFS(T$3:T2294,L$3:L2294,"=Intermission")+SUMIFS(T$3:T2294,L$3:L2294,"=Timeout")+SUMIFS(T$3:T2294,L$3:L2294,"=Clockstop")</f>
        <v>138</v>
      </c>
      <c r="AA2294">
        <f t="shared" si="1183"/>
        <v>2298</v>
      </c>
      <c r="AC2294">
        <f t="shared" si="1184"/>
        <v>2436</v>
      </c>
    </row>
    <row r="2295" spans="1:29" x14ac:dyDescent="0.2">
      <c r="A2295">
        <v>1243</v>
      </c>
      <c r="D2295">
        <f t="shared" si="1185"/>
        <v>3</v>
      </c>
      <c r="E2295">
        <v>5</v>
      </c>
      <c r="F2295" s="6" t="s">
        <v>312</v>
      </c>
      <c r="I2295" t="s">
        <v>178</v>
      </c>
      <c r="J2295">
        <v>70</v>
      </c>
      <c r="K2295" t="s">
        <v>488</v>
      </c>
      <c r="L2295" t="s">
        <v>10</v>
      </c>
      <c r="M2295" t="s">
        <v>190</v>
      </c>
      <c r="N2295" t="s">
        <v>75</v>
      </c>
      <c r="Q2295">
        <f t="shared" ref="Q2295:S2295" si="1240">Q2294</f>
        <v>18977</v>
      </c>
      <c r="R2295" t="str">
        <f t="shared" si="1240"/>
        <v>Velodrome</v>
      </c>
      <c r="S2295" t="str">
        <f t="shared" si="1240"/>
        <v>HollowBrook</v>
      </c>
      <c r="T2295" s="20">
        <f t="shared" si="1189"/>
        <v>0</v>
      </c>
      <c r="U2295">
        <f t="shared" si="1190"/>
        <v>301</v>
      </c>
      <c r="V2295">
        <f t="shared" si="1191"/>
        <v>301</v>
      </c>
      <c r="W2295" cm="1">
        <f t="array" ref="W2295">_xlfn._xlws.FILTER(shifts!A:A,(shifts!B:B=events!D2295)*(shifts!AH:AH&gt;=events!U2295)*(shifts!AI:AI&lt;=events!V2295))</f>
        <v>78</v>
      </c>
      <c r="X2295" t="str">
        <f t="shared" si="1192"/>
        <v>event_team_player_1</v>
      </c>
      <c r="Y2295">
        <f>COUNTIFS(A$3:A2295,"="&amp;A2295,K$3:K2295,"="&amp;K2295)</f>
        <v>1</v>
      </c>
      <c r="Z2295" s="20">
        <f>SUMIFS(T$3:T2295,L$3:L2295,"=Intermission")+SUMIFS(T$3:T2295,L$3:L2295,"=Timeout")+SUMIFS(T$3:T2295,L$3:L2295,"=Clockstop")</f>
        <v>138</v>
      </c>
      <c r="AA2295">
        <f t="shared" si="1183"/>
        <v>2298</v>
      </c>
      <c r="AC2295">
        <f t="shared" si="1184"/>
        <v>2436</v>
      </c>
    </row>
    <row r="2296" spans="1:29" x14ac:dyDescent="0.2">
      <c r="A2296">
        <v>1243</v>
      </c>
      <c r="D2296">
        <f t="shared" si="1185"/>
        <v>3</v>
      </c>
      <c r="E2296">
        <v>5</v>
      </c>
      <c r="F2296" s="6" t="s">
        <v>312</v>
      </c>
      <c r="I2296" t="s">
        <v>178</v>
      </c>
      <c r="J2296">
        <v>19</v>
      </c>
      <c r="K2296" t="s">
        <v>489</v>
      </c>
      <c r="L2296" t="s">
        <v>10</v>
      </c>
      <c r="M2296" t="s">
        <v>190</v>
      </c>
      <c r="N2296" t="s">
        <v>75</v>
      </c>
      <c r="Q2296">
        <f t="shared" ref="Q2296:S2296" si="1241">Q2295</f>
        <v>18977</v>
      </c>
      <c r="R2296" t="str">
        <f t="shared" si="1241"/>
        <v>Velodrome</v>
      </c>
      <c r="S2296" t="str">
        <f t="shared" si="1241"/>
        <v>HollowBrook</v>
      </c>
      <c r="T2296" s="20">
        <f t="shared" si="1189"/>
        <v>0</v>
      </c>
      <c r="U2296">
        <f t="shared" si="1190"/>
        <v>301</v>
      </c>
      <c r="V2296">
        <f t="shared" si="1191"/>
        <v>301</v>
      </c>
      <c r="W2296" cm="1">
        <f t="array" ref="W2296">_xlfn._xlws.FILTER(shifts!A:A,(shifts!B:B=events!D2296)*(shifts!AH:AH&gt;=events!U2296)*(shifts!AI:AI&lt;=events!V2296))</f>
        <v>78</v>
      </c>
      <c r="X2296" t="str">
        <f t="shared" si="1192"/>
        <v>opp_team_player_1</v>
      </c>
      <c r="Y2296">
        <f>COUNTIFS(A$3:A2296,"="&amp;A2296,K$3:K2296,"="&amp;K2296)</f>
        <v>1</v>
      </c>
      <c r="Z2296" s="20">
        <f>SUMIFS(T$3:T2296,L$3:L2296,"=Intermission")+SUMIFS(T$3:T2296,L$3:L2296,"=Timeout")+SUMIFS(T$3:T2296,L$3:L2296,"=Clockstop")</f>
        <v>138</v>
      </c>
      <c r="AA2296">
        <f t="shared" si="1183"/>
        <v>2298</v>
      </c>
      <c r="AC2296">
        <f t="shared" si="1184"/>
        <v>2436</v>
      </c>
    </row>
    <row r="2297" spans="1:29" x14ac:dyDescent="0.2">
      <c r="A2297">
        <v>1244</v>
      </c>
      <c r="D2297">
        <f t="shared" si="1185"/>
        <v>3</v>
      </c>
      <c r="E2297">
        <v>4</v>
      </c>
      <c r="F2297" s="6" t="s">
        <v>462</v>
      </c>
      <c r="G2297">
        <v>4</v>
      </c>
      <c r="H2297" s="8" t="s">
        <v>429</v>
      </c>
      <c r="I2297" t="s">
        <v>179</v>
      </c>
      <c r="J2297">
        <v>19</v>
      </c>
      <c r="K2297" t="s">
        <v>488</v>
      </c>
      <c r="L2297" t="s">
        <v>277</v>
      </c>
      <c r="M2297" t="s">
        <v>191</v>
      </c>
      <c r="N2297" t="s">
        <v>87</v>
      </c>
      <c r="Q2297">
        <f t="shared" ref="Q2297:S2297" si="1242">Q2296</f>
        <v>18977</v>
      </c>
      <c r="R2297" t="str">
        <f t="shared" si="1242"/>
        <v>Velodrome</v>
      </c>
      <c r="S2297" t="str">
        <f t="shared" si="1242"/>
        <v>HollowBrook</v>
      </c>
      <c r="T2297" s="20">
        <f t="shared" si="1189"/>
        <v>3</v>
      </c>
      <c r="U2297">
        <f t="shared" si="1190"/>
        <v>298</v>
      </c>
      <c r="V2297">
        <f t="shared" si="1191"/>
        <v>295</v>
      </c>
      <c r="W2297">
        <v>79</v>
      </c>
      <c r="X2297" t="str">
        <f t="shared" si="1192"/>
        <v>event_team_player_1</v>
      </c>
      <c r="Y2297">
        <f>COUNTIFS(A$3:A2297,"="&amp;A2297,K$3:K2297,"="&amp;K2297)</f>
        <v>1</v>
      </c>
      <c r="Z2297" s="20">
        <f>SUMIFS(T$3:T2297,L$3:L2297,"=Intermission")+SUMIFS(T$3:T2297,L$3:L2297,"=Timeout")+SUMIFS(T$3:T2297,L$3:L2297,"=Clockstop")</f>
        <v>138</v>
      </c>
      <c r="AA2297">
        <f t="shared" si="1183"/>
        <v>2298</v>
      </c>
      <c r="AC2297">
        <f t="shared" si="1184"/>
        <v>2436</v>
      </c>
    </row>
    <row r="2298" spans="1:29" x14ac:dyDescent="0.2">
      <c r="A2298">
        <v>1244</v>
      </c>
      <c r="D2298">
        <f t="shared" si="1185"/>
        <v>3</v>
      </c>
      <c r="E2298">
        <v>4</v>
      </c>
      <c r="F2298" s="6" t="s">
        <v>462</v>
      </c>
      <c r="G2298">
        <v>4</v>
      </c>
      <c r="H2298" s="8" t="s">
        <v>429</v>
      </c>
      <c r="I2298" t="s">
        <v>179</v>
      </c>
      <c r="J2298">
        <v>61</v>
      </c>
      <c r="K2298" t="s">
        <v>489</v>
      </c>
      <c r="L2298" t="s">
        <v>277</v>
      </c>
      <c r="M2298" t="s">
        <v>191</v>
      </c>
      <c r="N2298" t="s">
        <v>87</v>
      </c>
      <c r="Q2298">
        <f t="shared" ref="Q2298:S2298" si="1243">Q2297</f>
        <v>18977</v>
      </c>
      <c r="R2298" t="str">
        <f t="shared" si="1243"/>
        <v>Velodrome</v>
      </c>
      <c r="S2298" t="str">
        <f t="shared" si="1243"/>
        <v>HollowBrook</v>
      </c>
      <c r="T2298" s="20">
        <f t="shared" si="1189"/>
        <v>3</v>
      </c>
      <c r="U2298">
        <f t="shared" si="1190"/>
        <v>298</v>
      </c>
      <c r="V2298">
        <f t="shared" si="1191"/>
        <v>295</v>
      </c>
      <c r="W2298">
        <v>79</v>
      </c>
      <c r="X2298" t="str">
        <f t="shared" si="1192"/>
        <v>opp_team_player_1</v>
      </c>
      <c r="Y2298">
        <f>COUNTIFS(A$3:A2298,"="&amp;A2298,K$3:K2298,"="&amp;K2298)</f>
        <v>1</v>
      </c>
      <c r="Z2298" s="20">
        <f>SUMIFS(T$3:T2298,L$3:L2298,"=Intermission")+SUMIFS(T$3:T2298,L$3:L2298,"=Timeout")+SUMIFS(T$3:T2298,L$3:L2298,"=Clockstop")</f>
        <v>138</v>
      </c>
      <c r="AA2298">
        <f t="shared" si="1183"/>
        <v>2298</v>
      </c>
      <c r="AC2298">
        <f t="shared" si="1184"/>
        <v>2436</v>
      </c>
    </row>
    <row r="2299" spans="1:29" x14ac:dyDescent="0.2">
      <c r="A2299">
        <v>1244</v>
      </c>
      <c r="D2299">
        <f t="shared" si="1185"/>
        <v>3</v>
      </c>
      <c r="E2299">
        <v>4</v>
      </c>
      <c r="F2299" s="6" t="s">
        <v>462</v>
      </c>
      <c r="G2299">
        <v>4</v>
      </c>
      <c r="H2299" s="8" t="s">
        <v>429</v>
      </c>
      <c r="I2299" t="s">
        <v>179</v>
      </c>
      <c r="J2299">
        <v>70</v>
      </c>
      <c r="K2299" t="s">
        <v>489</v>
      </c>
      <c r="L2299" t="s">
        <v>277</v>
      </c>
      <c r="M2299" t="s">
        <v>191</v>
      </c>
      <c r="N2299" t="s">
        <v>87</v>
      </c>
      <c r="Q2299">
        <f t="shared" ref="Q2299:S2299" si="1244">Q2298</f>
        <v>18977</v>
      </c>
      <c r="R2299" t="str">
        <f t="shared" si="1244"/>
        <v>Velodrome</v>
      </c>
      <c r="S2299" t="str">
        <f t="shared" si="1244"/>
        <v>HollowBrook</v>
      </c>
      <c r="T2299" s="20">
        <f t="shared" si="1189"/>
        <v>3</v>
      </c>
      <c r="U2299">
        <f t="shared" si="1190"/>
        <v>298</v>
      </c>
      <c r="V2299">
        <f t="shared" si="1191"/>
        <v>295</v>
      </c>
      <c r="W2299">
        <v>79</v>
      </c>
      <c r="X2299" t="str">
        <f t="shared" si="1192"/>
        <v>opp_team_player_2</v>
      </c>
      <c r="Y2299">
        <f>COUNTIFS(A$3:A2299,"="&amp;A2299,K$3:K2299,"="&amp;K2299)</f>
        <v>2</v>
      </c>
      <c r="Z2299" s="20">
        <f>SUMIFS(T$3:T2299,L$3:L2299,"=Intermission")+SUMIFS(T$3:T2299,L$3:L2299,"=Timeout")+SUMIFS(T$3:T2299,L$3:L2299,"=Clockstop")</f>
        <v>138</v>
      </c>
      <c r="AA2299">
        <f t="shared" si="1183"/>
        <v>2298</v>
      </c>
      <c r="AC2299">
        <f t="shared" si="1184"/>
        <v>2436</v>
      </c>
    </row>
    <row r="2300" spans="1:29" x14ac:dyDescent="0.2">
      <c r="A2300">
        <v>1244</v>
      </c>
      <c r="D2300">
        <f t="shared" si="1185"/>
        <v>3</v>
      </c>
      <c r="E2300">
        <v>4</v>
      </c>
      <c r="F2300" s="6" t="s">
        <v>462</v>
      </c>
      <c r="G2300">
        <v>4</v>
      </c>
      <c r="H2300" s="8" t="s">
        <v>429</v>
      </c>
      <c r="I2300" t="s">
        <v>179</v>
      </c>
      <c r="J2300">
        <v>84</v>
      </c>
      <c r="K2300" t="s">
        <v>489</v>
      </c>
      <c r="L2300" t="s">
        <v>277</v>
      </c>
      <c r="M2300" t="s">
        <v>191</v>
      </c>
      <c r="N2300" t="s">
        <v>87</v>
      </c>
      <c r="Q2300">
        <f t="shared" ref="Q2300:S2300" si="1245">Q2299</f>
        <v>18977</v>
      </c>
      <c r="R2300" t="str">
        <f t="shared" si="1245"/>
        <v>Velodrome</v>
      </c>
      <c r="S2300" t="str">
        <f t="shared" si="1245"/>
        <v>HollowBrook</v>
      </c>
      <c r="T2300" s="20">
        <f t="shared" si="1189"/>
        <v>3</v>
      </c>
      <c r="U2300">
        <f t="shared" si="1190"/>
        <v>298</v>
      </c>
      <c r="V2300">
        <f t="shared" si="1191"/>
        <v>295</v>
      </c>
      <c r="W2300">
        <v>79</v>
      </c>
      <c r="X2300" t="str">
        <f t="shared" si="1192"/>
        <v>opp_team_player_3</v>
      </c>
      <c r="Y2300">
        <f>COUNTIFS(A$3:A2300,"="&amp;A2300,K$3:K2300,"="&amp;K2300)</f>
        <v>3</v>
      </c>
      <c r="Z2300" s="20">
        <f>SUMIFS(T$3:T2300,L$3:L2300,"=Intermission")+SUMIFS(T$3:T2300,L$3:L2300,"=Timeout")+SUMIFS(T$3:T2300,L$3:L2300,"=Clockstop")</f>
        <v>138</v>
      </c>
      <c r="AA2300">
        <f t="shared" si="1183"/>
        <v>2298</v>
      </c>
      <c r="AC2300">
        <f t="shared" si="1184"/>
        <v>2436</v>
      </c>
    </row>
    <row r="2301" spans="1:29" x14ac:dyDescent="0.2">
      <c r="A2301">
        <v>1245</v>
      </c>
      <c r="D2301">
        <f t="shared" si="1185"/>
        <v>3</v>
      </c>
      <c r="E2301">
        <v>4</v>
      </c>
      <c r="F2301" s="6" t="s">
        <v>429</v>
      </c>
      <c r="I2301" t="s">
        <v>179</v>
      </c>
      <c r="J2301">
        <v>19</v>
      </c>
      <c r="K2301" t="s">
        <v>488</v>
      </c>
      <c r="L2301" t="s">
        <v>7</v>
      </c>
      <c r="M2301" t="s">
        <v>222</v>
      </c>
      <c r="N2301" t="s">
        <v>53</v>
      </c>
      <c r="Q2301">
        <f t="shared" ref="Q2301:S2301" si="1246">Q2300</f>
        <v>18977</v>
      </c>
      <c r="R2301" t="str">
        <f t="shared" si="1246"/>
        <v>Velodrome</v>
      </c>
      <c r="S2301" t="str">
        <f t="shared" si="1246"/>
        <v>HollowBrook</v>
      </c>
      <c r="T2301" s="20">
        <f t="shared" si="1189"/>
        <v>0</v>
      </c>
      <c r="U2301">
        <f t="shared" si="1190"/>
        <v>295</v>
      </c>
      <c r="V2301">
        <f t="shared" si="1191"/>
        <v>295</v>
      </c>
      <c r="W2301" cm="1">
        <f t="array" ref="W2301">_xlfn._xlws.FILTER(shifts!A:A,(shifts!B:B=events!D2301)*(shifts!AH:AH&gt;=events!U2301)*(shifts!AI:AI&lt;=events!V2301))</f>
        <v>79</v>
      </c>
      <c r="X2301" t="str">
        <f t="shared" si="1192"/>
        <v>event_team_player_1</v>
      </c>
      <c r="Y2301">
        <f>COUNTIFS(A$3:A2301,"="&amp;A2301,K$3:K2301,"="&amp;K2301)</f>
        <v>1</v>
      </c>
      <c r="Z2301" s="20">
        <f>SUMIFS(T$3:T2301,L$3:L2301,"=Intermission")+SUMIFS(T$3:T2301,L$3:L2301,"=Timeout")+SUMIFS(T$3:T2301,L$3:L2301,"=Clockstop")</f>
        <v>138</v>
      </c>
      <c r="AA2301">
        <f t="shared" si="1183"/>
        <v>2298</v>
      </c>
      <c r="AC2301">
        <f t="shared" si="1184"/>
        <v>2436</v>
      </c>
    </row>
    <row r="2302" spans="1:29" x14ac:dyDescent="0.2">
      <c r="A2302">
        <v>1245</v>
      </c>
      <c r="D2302">
        <f t="shared" si="1185"/>
        <v>3</v>
      </c>
      <c r="E2302">
        <v>4</v>
      </c>
      <c r="F2302" s="6" t="s">
        <v>429</v>
      </c>
      <c r="I2302" t="s">
        <v>179</v>
      </c>
      <c r="J2302">
        <v>39</v>
      </c>
      <c r="K2302" t="s">
        <v>489</v>
      </c>
      <c r="L2302" t="s">
        <v>7</v>
      </c>
      <c r="M2302" t="s">
        <v>222</v>
      </c>
      <c r="N2302" t="s">
        <v>53</v>
      </c>
      <c r="Q2302">
        <f t="shared" ref="Q2302:S2302" si="1247">Q2301</f>
        <v>18977</v>
      </c>
      <c r="R2302" t="str">
        <f t="shared" si="1247"/>
        <v>Velodrome</v>
      </c>
      <c r="S2302" t="str">
        <f t="shared" si="1247"/>
        <v>HollowBrook</v>
      </c>
      <c r="T2302" s="20">
        <f t="shared" si="1189"/>
        <v>0</v>
      </c>
      <c r="U2302">
        <f t="shared" si="1190"/>
        <v>295</v>
      </c>
      <c r="V2302">
        <f t="shared" si="1191"/>
        <v>295</v>
      </c>
      <c r="W2302" cm="1">
        <f t="array" ref="W2302">_xlfn._xlws.FILTER(shifts!A:A,(shifts!B:B=events!D2302)*(shifts!AH:AH&gt;=events!U2302)*(shifts!AI:AI&lt;=events!V2302))</f>
        <v>79</v>
      </c>
      <c r="X2302" t="str">
        <f t="shared" si="1192"/>
        <v>opp_team_player_1</v>
      </c>
      <c r="Y2302">
        <f>COUNTIFS(A$3:A2302,"="&amp;A2302,K$3:K2302,"="&amp;K2302)</f>
        <v>1</v>
      </c>
      <c r="Z2302" s="20">
        <f>SUMIFS(T$3:T2302,L$3:L2302,"=Intermission")+SUMIFS(T$3:T2302,L$3:L2302,"=Timeout")+SUMIFS(T$3:T2302,L$3:L2302,"=Clockstop")</f>
        <v>138</v>
      </c>
      <c r="AA2302">
        <f t="shared" si="1183"/>
        <v>2298</v>
      </c>
      <c r="AC2302">
        <f t="shared" si="1184"/>
        <v>2436</v>
      </c>
    </row>
    <row r="2303" spans="1:29" x14ac:dyDescent="0.2">
      <c r="A2303">
        <v>1245</v>
      </c>
      <c r="D2303">
        <f t="shared" si="1185"/>
        <v>3</v>
      </c>
      <c r="E2303">
        <v>4</v>
      </c>
      <c r="F2303" s="6" t="s">
        <v>429</v>
      </c>
      <c r="I2303" t="s">
        <v>179</v>
      </c>
      <c r="J2303">
        <v>87</v>
      </c>
      <c r="K2303" t="s">
        <v>489</v>
      </c>
      <c r="L2303" t="s">
        <v>7</v>
      </c>
      <c r="M2303" t="s">
        <v>222</v>
      </c>
      <c r="N2303" t="s">
        <v>53</v>
      </c>
      <c r="Q2303">
        <f t="shared" ref="Q2303:S2303" si="1248">Q2302</f>
        <v>18977</v>
      </c>
      <c r="R2303" t="str">
        <f t="shared" si="1248"/>
        <v>Velodrome</v>
      </c>
      <c r="S2303" t="str">
        <f t="shared" si="1248"/>
        <v>HollowBrook</v>
      </c>
      <c r="T2303" s="20">
        <f t="shared" si="1189"/>
        <v>0</v>
      </c>
      <c r="U2303">
        <f t="shared" si="1190"/>
        <v>295</v>
      </c>
      <c r="V2303">
        <f t="shared" si="1191"/>
        <v>295</v>
      </c>
      <c r="W2303" cm="1">
        <f t="array" ref="W2303">_xlfn._xlws.FILTER(shifts!A:A,(shifts!B:B=events!D2303)*(shifts!AH:AH&gt;=events!U2303)*(shifts!AI:AI&lt;=events!V2303))</f>
        <v>79</v>
      </c>
      <c r="X2303" t="str">
        <f t="shared" si="1192"/>
        <v>opp_team_player_2</v>
      </c>
      <c r="Y2303">
        <f>COUNTIFS(A$3:A2303,"="&amp;A2303,K$3:K2303,"="&amp;K2303)</f>
        <v>2</v>
      </c>
      <c r="Z2303" s="20">
        <f>SUMIFS(T$3:T2303,L$3:L2303,"=Intermission")+SUMIFS(T$3:T2303,L$3:L2303,"=Timeout")+SUMIFS(T$3:T2303,L$3:L2303,"=Clockstop")</f>
        <v>138</v>
      </c>
      <c r="AA2303">
        <f t="shared" si="1183"/>
        <v>2298</v>
      </c>
      <c r="AC2303">
        <f t="shared" si="1184"/>
        <v>2436</v>
      </c>
    </row>
    <row r="2304" spans="1:29" x14ac:dyDescent="0.2">
      <c r="A2304">
        <v>1246</v>
      </c>
      <c r="D2304">
        <f t="shared" si="1185"/>
        <v>3</v>
      </c>
      <c r="E2304">
        <v>4</v>
      </c>
      <c r="F2304" s="6" t="s">
        <v>429</v>
      </c>
      <c r="I2304" t="s">
        <v>178</v>
      </c>
      <c r="J2304">
        <v>39</v>
      </c>
      <c r="K2304" t="s">
        <v>488</v>
      </c>
      <c r="L2304" t="s">
        <v>17</v>
      </c>
      <c r="M2304" t="s">
        <v>196</v>
      </c>
      <c r="N2304" t="s">
        <v>96</v>
      </c>
      <c r="Q2304">
        <f t="shared" ref="Q2304:S2304" si="1249">Q2303</f>
        <v>18977</v>
      </c>
      <c r="R2304" t="str">
        <f t="shared" si="1249"/>
        <v>Velodrome</v>
      </c>
      <c r="S2304" t="str">
        <f t="shared" si="1249"/>
        <v>HollowBrook</v>
      </c>
      <c r="T2304" s="20">
        <f t="shared" si="1189"/>
        <v>0</v>
      </c>
      <c r="U2304">
        <f t="shared" si="1190"/>
        <v>295</v>
      </c>
      <c r="V2304">
        <f t="shared" si="1191"/>
        <v>295</v>
      </c>
      <c r="W2304" cm="1">
        <f t="array" ref="W2304">_xlfn._xlws.FILTER(shifts!A:A,(shifts!B:B=events!D2304)*(shifts!AH:AH&gt;=events!U2304)*(shifts!AI:AI&lt;=events!V2304))</f>
        <v>79</v>
      </c>
      <c r="X2304" t="str">
        <f t="shared" si="1192"/>
        <v>event_team_player_1</v>
      </c>
      <c r="Y2304">
        <f>COUNTIFS(A$3:A2304,"="&amp;A2304,K$3:K2304,"="&amp;K2304)</f>
        <v>1</v>
      </c>
      <c r="Z2304" s="20">
        <f>SUMIFS(T$3:T2304,L$3:L2304,"=Intermission")+SUMIFS(T$3:T2304,L$3:L2304,"=Timeout")+SUMIFS(T$3:T2304,L$3:L2304,"=Clockstop")</f>
        <v>138</v>
      </c>
      <c r="AA2304">
        <f t="shared" si="1183"/>
        <v>2298</v>
      </c>
      <c r="AC2304">
        <f t="shared" si="1184"/>
        <v>2436</v>
      </c>
    </row>
    <row r="2305" spans="1:29" x14ac:dyDescent="0.2">
      <c r="A2305">
        <v>1246</v>
      </c>
      <c r="D2305">
        <f t="shared" si="1185"/>
        <v>3</v>
      </c>
      <c r="E2305">
        <v>4</v>
      </c>
      <c r="F2305" s="6" t="s">
        <v>429</v>
      </c>
      <c r="I2305" t="s">
        <v>178</v>
      </c>
      <c r="J2305">
        <v>87</v>
      </c>
      <c r="K2305" t="s">
        <v>488</v>
      </c>
      <c r="L2305" t="s">
        <v>17</v>
      </c>
      <c r="M2305" t="s">
        <v>196</v>
      </c>
      <c r="N2305" t="s">
        <v>96</v>
      </c>
      <c r="Q2305">
        <f t="shared" ref="Q2305:S2305" si="1250">Q2304</f>
        <v>18977</v>
      </c>
      <c r="R2305" t="str">
        <f t="shared" si="1250"/>
        <v>Velodrome</v>
      </c>
      <c r="S2305" t="str">
        <f t="shared" si="1250"/>
        <v>HollowBrook</v>
      </c>
      <c r="T2305" s="20">
        <f t="shared" si="1189"/>
        <v>0</v>
      </c>
      <c r="U2305">
        <f t="shared" si="1190"/>
        <v>295</v>
      </c>
      <c r="V2305">
        <f t="shared" si="1191"/>
        <v>295</v>
      </c>
      <c r="W2305" cm="1">
        <f t="array" ref="W2305">_xlfn._xlws.FILTER(shifts!A:A,(shifts!B:B=events!D2305)*(shifts!AH:AH&gt;=events!U2305)*(shifts!AI:AI&lt;=events!V2305))</f>
        <v>79</v>
      </c>
      <c r="X2305" t="str">
        <f t="shared" si="1192"/>
        <v>event_team_player_2</v>
      </c>
      <c r="Y2305">
        <f>COUNTIFS(A$3:A2305,"="&amp;A2305,K$3:K2305,"="&amp;K2305)</f>
        <v>2</v>
      </c>
      <c r="Z2305" s="20">
        <f>SUMIFS(T$3:T2305,L$3:L2305,"=Intermission")+SUMIFS(T$3:T2305,L$3:L2305,"=Timeout")+SUMIFS(T$3:T2305,L$3:L2305,"=Clockstop")</f>
        <v>138</v>
      </c>
      <c r="AA2305">
        <f t="shared" si="1183"/>
        <v>2298</v>
      </c>
      <c r="AC2305">
        <f t="shared" si="1184"/>
        <v>2436</v>
      </c>
    </row>
    <row r="2306" spans="1:29" x14ac:dyDescent="0.2">
      <c r="A2306">
        <v>1246</v>
      </c>
      <c r="D2306">
        <f t="shared" si="1185"/>
        <v>3</v>
      </c>
      <c r="E2306">
        <v>4</v>
      </c>
      <c r="F2306" s="6" t="s">
        <v>429</v>
      </c>
      <c r="I2306" t="s">
        <v>178</v>
      </c>
      <c r="J2306">
        <v>19</v>
      </c>
      <c r="K2306" t="s">
        <v>489</v>
      </c>
      <c r="L2306" t="s">
        <v>17</v>
      </c>
      <c r="M2306" t="s">
        <v>196</v>
      </c>
      <c r="N2306" t="s">
        <v>96</v>
      </c>
      <c r="Q2306">
        <f t="shared" ref="Q2306:S2306" si="1251">Q2305</f>
        <v>18977</v>
      </c>
      <c r="R2306" t="str">
        <f t="shared" si="1251"/>
        <v>Velodrome</v>
      </c>
      <c r="S2306" t="str">
        <f t="shared" si="1251"/>
        <v>HollowBrook</v>
      </c>
      <c r="T2306" s="20">
        <f t="shared" si="1189"/>
        <v>0</v>
      </c>
      <c r="U2306">
        <f t="shared" si="1190"/>
        <v>295</v>
      </c>
      <c r="V2306">
        <f t="shared" si="1191"/>
        <v>295</v>
      </c>
      <c r="W2306" cm="1">
        <f t="array" ref="W2306">_xlfn._xlws.FILTER(shifts!A:A,(shifts!B:B=events!D2306)*(shifts!AH:AH&gt;=events!U2306)*(shifts!AI:AI&lt;=events!V2306))</f>
        <v>79</v>
      </c>
      <c r="X2306" t="str">
        <f t="shared" si="1192"/>
        <v>opp_team_player_1</v>
      </c>
      <c r="Y2306">
        <f>COUNTIFS(A$3:A2306,"="&amp;A2306,K$3:K2306,"="&amp;K2306)</f>
        <v>1</v>
      </c>
      <c r="Z2306" s="20">
        <f>SUMIFS(T$3:T2306,L$3:L2306,"=Intermission")+SUMIFS(T$3:T2306,L$3:L2306,"=Timeout")+SUMIFS(T$3:T2306,L$3:L2306,"=Clockstop")</f>
        <v>138</v>
      </c>
      <c r="AA2306">
        <f t="shared" si="1183"/>
        <v>2298</v>
      </c>
      <c r="AC2306">
        <f t="shared" si="1184"/>
        <v>2436</v>
      </c>
    </row>
    <row r="2307" spans="1:29" x14ac:dyDescent="0.2">
      <c r="A2307">
        <v>1247</v>
      </c>
      <c r="D2307">
        <f t="shared" si="1185"/>
        <v>3</v>
      </c>
      <c r="E2307">
        <v>4</v>
      </c>
      <c r="F2307" s="6" t="s">
        <v>429</v>
      </c>
      <c r="I2307" t="s">
        <v>178</v>
      </c>
      <c r="J2307">
        <v>39</v>
      </c>
      <c r="K2307" t="s">
        <v>488</v>
      </c>
      <c r="L2307" t="s">
        <v>270</v>
      </c>
      <c r="M2307" t="s">
        <v>271</v>
      </c>
      <c r="Q2307">
        <f t="shared" ref="Q2307:S2307" si="1252">Q2306</f>
        <v>18977</v>
      </c>
      <c r="R2307" t="str">
        <f t="shared" si="1252"/>
        <v>Velodrome</v>
      </c>
      <c r="S2307" t="str">
        <f t="shared" si="1252"/>
        <v>HollowBrook</v>
      </c>
      <c r="T2307" s="20">
        <f t="shared" si="1189"/>
        <v>0</v>
      </c>
      <c r="U2307">
        <f t="shared" si="1190"/>
        <v>295</v>
      </c>
      <c r="V2307">
        <f t="shared" si="1191"/>
        <v>295</v>
      </c>
      <c r="W2307" cm="1">
        <f t="array" ref="W2307">_xlfn._xlws.FILTER(shifts!A:A,(shifts!B:B=events!D2307)*(shifts!AH:AH&gt;=events!U2307)*(shifts!AI:AI&lt;=events!V2307))</f>
        <v>79</v>
      </c>
      <c r="X2307" t="str">
        <f t="shared" si="1192"/>
        <v>event_team_player_1</v>
      </c>
      <c r="Y2307">
        <f>COUNTIFS(A$3:A2307,"="&amp;A2307,K$3:K2307,"="&amp;K2307)</f>
        <v>1</v>
      </c>
      <c r="Z2307" s="20">
        <f>SUMIFS(T$3:T2307,L$3:L2307,"=Intermission")+SUMIFS(T$3:T2307,L$3:L2307,"=Timeout")+SUMIFS(T$3:T2307,L$3:L2307,"=Clockstop")</f>
        <v>138</v>
      </c>
      <c r="AA2307">
        <f t="shared" si="1183"/>
        <v>2298</v>
      </c>
      <c r="AC2307">
        <f t="shared" si="1184"/>
        <v>2436</v>
      </c>
    </row>
    <row r="2308" spans="1:29" x14ac:dyDescent="0.2">
      <c r="A2308">
        <v>1248</v>
      </c>
      <c r="D2308">
        <f t="shared" si="1185"/>
        <v>3</v>
      </c>
      <c r="E2308">
        <v>4</v>
      </c>
      <c r="F2308" s="6" t="s">
        <v>428</v>
      </c>
      <c r="I2308" t="s">
        <v>178</v>
      </c>
      <c r="J2308">
        <v>70</v>
      </c>
      <c r="K2308" t="s">
        <v>488</v>
      </c>
      <c r="L2308" t="s">
        <v>13</v>
      </c>
      <c r="M2308" t="s">
        <v>204</v>
      </c>
      <c r="N2308" t="s">
        <v>108</v>
      </c>
      <c r="Q2308">
        <f t="shared" ref="Q2308:S2308" si="1253">Q2307</f>
        <v>18977</v>
      </c>
      <c r="R2308" t="str">
        <f t="shared" si="1253"/>
        <v>Velodrome</v>
      </c>
      <c r="S2308" t="str">
        <f t="shared" si="1253"/>
        <v>HollowBrook</v>
      </c>
      <c r="T2308" s="20">
        <f t="shared" si="1189"/>
        <v>0</v>
      </c>
      <c r="U2308">
        <f t="shared" si="1190"/>
        <v>292</v>
      </c>
      <c r="V2308">
        <f t="shared" si="1191"/>
        <v>292</v>
      </c>
      <c r="W2308" cm="1">
        <f t="array" ref="W2308">_xlfn._xlws.FILTER(shifts!A:A,(shifts!B:B=events!D2308)*(shifts!AH:AH&gt;=events!U2308)*(shifts!AI:AI&lt;=events!V2308))</f>
        <v>79</v>
      </c>
      <c r="X2308" t="str">
        <f t="shared" si="1192"/>
        <v>event_team_player_1</v>
      </c>
      <c r="Y2308">
        <f>COUNTIFS(A$3:A2308,"="&amp;A2308,K$3:K2308,"="&amp;K2308)</f>
        <v>1</v>
      </c>
      <c r="Z2308" s="20">
        <f>SUMIFS(T$3:T2308,L$3:L2308,"=Intermission")+SUMIFS(T$3:T2308,L$3:L2308,"=Timeout")+SUMIFS(T$3:T2308,L$3:L2308,"=Clockstop")</f>
        <v>138</v>
      </c>
      <c r="AA2308">
        <f t="shared" ref="AA2308:AA2371" si="1254">IF(D2308=1,0,IF(D2308=2,1080+Z2308,IF(D2308=3,(1080*2)+Z2308,0)))</f>
        <v>2298</v>
      </c>
      <c r="AC2308">
        <f t="shared" ref="AC2308:AC2371" si="1255">IF(L2307="GameStart",0,AA2308+Z2308)</f>
        <v>2436</v>
      </c>
    </row>
    <row r="2309" spans="1:29" x14ac:dyDescent="0.2">
      <c r="A2309">
        <v>1249</v>
      </c>
      <c r="D2309">
        <f t="shared" ref="D2309:D2372" si="1256">IF(L2309="Intermission",D2308+1,D2308)</f>
        <v>3</v>
      </c>
      <c r="E2309">
        <v>4</v>
      </c>
      <c r="F2309" s="6" t="s">
        <v>432</v>
      </c>
      <c r="G2309">
        <v>4</v>
      </c>
      <c r="H2309" s="8" t="s">
        <v>483</v>
      </c>
      <c r="I2309" t="s">
        <v>178</v>
      </c>
      <c r="J2309">
        <v>70</v>
      </c>
      <c r="K2309" t="s">
        <v>488</v>
      </c>
      <c r="L2309" t="s">
        <v>282</v>
      </c>
      <c r="Q2309">
        <f t="shared" ref="Q2309:S2309" si="1257">Q2308</f>
        <v>18977</v>
      </c>
      <c r="R2309" t="str">
        <f t="shared" si="1257"/>
        <v>Velodrome</v>
      </c>
      <c r="S2309" t="str">
        <f t="shared" si="1257"/>
        <v>HollowBrook</v>
      </c>
      <c r="T2309" s="20">
        <f t="shared" si="1189"/>
        <v>23</v>
      </c>
      <c r="U2309">
        <f t="shared" si="1190"/>
        <v>290</v>
      </c>
      <c r="V2309">
        <f t="shared" si="1191"/>
        <v>267</v>
      </c>
      <c r="W2309">
        <v>80</v>
      </c>
      <c r="X2309" t="str">
        <f t="shared" si="1192"/>
        <v>event_team_player_1</v>
      </c>
      <c r="Y2309">
        <f>COUNTIFS(A$3:A2309,"="&amp;A2309,K$3:K2309,"="&amp;K2309)</f>
        <v>1</v>
      </c>
      <c r="Z2309" s="20">
        <f>SUMIFS(T$3:T2309,L$3:L2309,"=Intermission")+SUMIFS(T$3:T2309,L$3:L2309,"=Timeout")+SUMIFS(T$3:T2309,L$3:L2309,"=Clockstop")</f>
        <v>138</v>
      </c>
      <c r="AA2309">
        <f t="shared" si="1254"/>
        <v>2298</v>
      </c>
      <c r="AC2309">
        <f t="shared" si="1255"/>
        <v>2436</v>
      </c>
    </row>
    <row r="2310" spans="1:29" x14ac:dyDescent="0.2">
      <c r="A2310">
        <v>1250</v>
      </c>
      <c r="D2310">
        <f t="shared" si="1256"/>
        <v>3</v>
      </c>
      <c r="E2310">
        <v>4</v>
      </c>
      <c r="F2310" s="6" t="s">
        <v>483</v>
      </c>
      <c r="I2310" t="s">
        <v>179</v>
      </c>
      <c r="J2310">
        <v>26</v>
      </c>
      <c r="K2310" t="s">
        <v>488</v>
      </c>
      <c r="L2310" t="s">
        <v>6</v>
      </c>
      <c r="M2310" t="s">
        <v>275</v>
      </c>
      <c r="Q2310">
        <f t="shared" ref="Q2310:S2310" si="1258">Q2309</f>
        <v>18977</v>
      </c>
      <c r="R2310" t="str">
        <f t="shared" si="1258"/>
        <v>Velodrome</v>
      </c>
      <c r="S2310" t="str">
        <f t="shared" si="1258"/>
        <v>HollowBrook</v>
      </c>
      <c r="T2310" s="20">
        <f t="shared" si="1189"/>
        <v>0</v>
      </c>
      <c r="U2310">
        <f t="shared" si="1190"/>
        <v>267</v>
      </c>
      <c r="V2310">
        <f t="shared" si="1191"/>
        <v>267</v>
      </c>
      <c r="W2310" cm="1">
        <f t="array" ref="W2310">_xlfn._xlws.FILTER(shifts!A:A,(shifts!B:B=events!D2310)*(shifts!AH:AH&gt;=events!U2310)*(shifts!AI:AI&lt;=events!V2310))</f>
        <v>80</v>
      </c>
      <c r="X2310" t="str">
        <f t="shared" si="1192"/>
        <v>event_team_player_1</v>
      </c>
      <c r="Y2310">
        <f>COUNTIFS(A$3:A2310,"="&amp;A2310,K$3:K2310,"="&amp;K2310)</f>
        <v>1</v>
      </c>
      <c r="Z2310" s="20">
        <f>SUMIFS(T$3:T2310,L$3:L2310,"=Intermission")+SUMIFS(T$3:T2310,L$3:L2310,"=Timeout")+SUMIFS(T$3:T2310,L$3:L2310,"=Clockstop")</f>
        <v>138</v>
      </c>
      <c r="AA2310">
        <f t="shared" si="1254"/>
        <v>2298</v>
      </c>
      <c r="AC2310">
        <f t="shared" si="1255"/>
        <v>2436</v>
      </c>
    </row>
    <row r="2311" spans="1:29" x14ac:dyDescent="0.2">
      <c r="A2311">
        <v>1250</v>
      </c>
      <c r="D2311">
        <f t="shared" si="1256"/>
        <v>3</v>
      </c>
      <c r="E2311">
        <v>4</v>
      </c>
      <c r="F2311" s="6" t="s">
        <v>483</v>
      </c>
      <c r="I2311" t="s">
        <v>179</v>
      </c>
      <c r="J2311">
        <v>27</v>
      </c>
      <c r="K2311" t="s">
        <v>488</v>
      </c>
      <c r="L2311" t="s">
        <v>6</v>
      </c>
      <c r="M2311" t="s">
        <v>275</v>
      </c>
      <c r="Q2311">
        <f t="shared" ref="Q2311:S2311" si="1259">Q2310</f>
        <v>18977</v>
      </c>
      <c r="R2311" t="str">
        <f t="shared" si="1259"/>
        <v>Velodrome</v>
      </c>
      <c r="S2311" t="str">
        <f t="shared" si="1259"/>
        <v>HollowBrook</v>
      </c>
      <c r="T2311" s="20">
        <f t="shared" ref="T2311:T2374" si="1260">IF(AND(G2311="",H2311=""),0,((E2311*60)+F2311)-((G2311*60)+H2311))</f>
        <v>0</v>
      </c>
      <c r="U2311">
        <f t="shared" ref="U2311:U2374" si="1261">(E2311*60)+F2311</f>
        <v>267</v>
      </c>
      <c r="V2311">
        <f t="shared" ref="V2311:V2374" si="1262">IF(AND(G2311="",H2311=""),U2311,((G2311*60)+H2311))</f>
        <v>267</v>
      </c>
      <c r="W2311" cm="1">
        <f t="array" ref="W2311">_xlfn._xlws.FILTER(shifts!A:A,(shifts!B:B=events!D2311)*(shifts!AH:AH&gt;=events!U2311)*(shifts!AI:AI&lt;=events!V2311))</f>
        <v>80</v>
      </c>
      <c r="X2311" t="str">
        <f t="shared" ref="X2311:X2374" si="1263">IF(K2311="e","event_team_player_"&amp;Y2311,IF(K2311="o","opp_team_player_"&amp;Y2311,""))</f>
        <v>event_team_player_2</v>
      </c>
      <c r="Y2311">
        <f>COUNTIFS(A$3:A2311,"="&amp;A2311,K$3:K2311,"="&amp;K2311)</f>
        <v>2</v>
      </c>
      <c r="Z2311" s="20">
        <f>SUMIFS(T$3:T2311,L$3:L2311,"=Intermission")+SUMIFS(T$3:T2311,L$3:L2311,"=Timeout")+SUMIFS(T$3:T2311,L$3:L2311,"=Clockstop")</f>
        <v>138</v>
      </c>
      <c r="AA2311">
        <f t="shared" si="1254"/>
        <v>2298</v>
      </c>
      <c r="AC2311">
        <f t="shared" si="1255"/>
        <v>2436</v>
      </c>
    </row>
    <row r="2312" spans="1:29" x14ac:dyDescent="0.2">
      <c r="A2312">
        <v>1250</v>
      </c>
      <c r="D2312">
        <f t="shared" si="1256"/>
        <v>3</v>
      </c>
      <c r="E2312">
        <v>4</v>
      </c>
      <c r="F2312" s="6" t="s">
        <v>483</v>
      </c>
      <c r="I2312" t="s">
        <v>179</v>
      </c>
      <c r="J2312">
        <v>70</v>
      </c>
      <c r="K2312" t="s">
        <v>489</v>
      </c>
      <c r="L2312" t="s">
        <v>6</v>
      </c>
      <c r="M2312" t="s">
        <v>275</v>
      </c>
      <c r="Q2312">
        <f t="shared" ref="Q2312:S2312" si="1264">Q2311</f>
        <v>18977</v>
      </c>
      <c r="R2312" t="str">
        <f t="shared" si="1264"/>
        <v>Velodrome</v>
      </c>
      <c r="S2312" t="str">
        <f t="shared" si="1264"/>
        <v>HollowBrook</v>
      </c>
      <c r="T2312" s="20">
        <f t="shared" si="1260"/>
        <v>0</v>
      </c>
      <c r="U2312">
        <f t="shared" si="1261"/>
        <v>267</v>
      </c>
      <c r="V2312">
        <f t="shared" si="1262"/>
        <v>267</v>
      </c>
      <c r="W2312" cm="1">
        <f t="array" ref="W2312">_xlfn._xlws.FILTER(shifts!A:A,(shifts!B:B=events!D2312)*(shifts!AH:AH&gt;=events!U2312)*(shifts!AI:AI&lt;=events!V2312))</f>
        <v>80</v>
      </c>
      <c r="X2312" t="str">
        <f t="shared" si="1263"/>
        <v>opp_team_player_1</v>
      </c>
      <c r="Y2312">
        <f>COUNTIFS(A$3:A2312,"="&amp;A2312,K$3:K2312,"="&amp;K2312)</f>
        <v>1</v>
      </c>
      <c r="Z2312" s="20">
        <f>SUMIFS(T$3:T2312,L$3:L2312,"=Intermission")+SUMIFS(T$3:T2312,L$3:L2312,"=Timeout")+SUMIFS(T$3:T2312,L$3:L2312,"=Clockstop")</f>
        <v>138</v>
      </c>
      <c r="AA2312">
        <f t="shared" si="1254"/>
        <v>2298</v>
      </c>
      <c r="AC2312">
        <f t="shared" si="1255"/>
        <v>2436</v>
      </c>
    </row>
    <row r="2313" spans="1:29" x14ac:dyDescent="0.2">
      <c r="A2313">
        <v>1251</v>
      </c>
      <c r="D2313">
        <f t="shared" si="1256"/>
        <v>3</v>
      </c>
      <c r="E2313">
        <v>4</v>
      </c>
      <c r="F2313" s="6" t="s">
        <v>443</v>
      </c>
      <c r="I2313" t="s">
        <v>179</v>
      </c>
      <c r="J2313">
        <v>27</v>
      </c>
      <c r="K2313" t="s">
        <v>488</v>
      </c>
      <c r="L2313" t="s">
        <v>7</v>
      </c>
      <c r="M2313" t="s">
        <v>198</v>
      </c>
      <c r="N2313" t="s">
        <v>54</v>
      </c>
      <c r="Q2313">
        <f t="shared" ref="Q2313:S2313" si="1265">Q2312</f>
        <v>18977</v>
      </c>
      <c r="R2313" t="str">
        <f t="shared" si="1265"/>
        <v>Velodrome</v>
      </c>
      <c r="S2313" t="str">
        <f t="shared" si="1265"/>
        <v>HollowBrook</v>
      </c>
      <c r="T2313" s="20">
        <f t="shared" si="1260"/>
        <v>0</v>
      </c>
      <c r="U2313">
        <f t="shared" si="1261"/>
        <v>266</v>
      </c>
      <c r="V2313">
        <f t="shared" si="1262"/>
        <v>266</v>
      </c>
      <c r="W2313" cm="1">
        <f t="array" ref="W2313">_xlfn._xlws.FILTER(shifts!A:A,(shifts!B:B=events!D2313)*(shifts!AH:AH&gt;=events!U2313)*(shifts!AI:AI&lt;=events!V2313))</f>
        <v>80</v>
      </c>
      <c r="X2313" t="str">
        <f t="shared" si="1263"/>
        <v>event_team_player_1</v>
      </c>
      <c r="Y2313">
        <f>COUNTIFS(A$3:A2313,"="&amp;A2313,K$3:K2313,"="&amp;K2313)</f>
        <v>1</v>
      </c>
      <c r="Z2313" s="20">
        <f>SUMIFS(T$3:T2313,L$3:L2313,"=Intermission")+SUMIFS(T$3:T2313,L$3:L2313,"=Timeout")+SUMIFS(T$3:T2313,L$3:L2313,"=Clockstop")</f>
        <v>138</v>
      </c>
      <c r="AA2313">
        <f t="shared" si="1254"/>
        <v>2298</v>
      </c>
      <c r="AC2313">
        <f t="shared" si="1255"/>
        <v>2436</v>
      </c>
    </row>
    <row r="2314" spans="1:29" x14ac:dyDescent="0.2">
      <c r="A2314">
        <v>1252</v>
      </c>
      <c r="D2314">
        <f t="shared" si="1256"/>
        <v>3</v>
      </c>
      <c r="E2314">
        <v>4</v>
      </c>
      <c r="F2314" s="6" t="s">
        <v>443</v>
      </c>
      <c r="I2314" t="s">
        <v>179</v>
      </c>
      <c r="J2314">
        <v>27</v>
      </c>
      <c r="K2314" t="s">
        <v>488</v>
      </c>
      <c r="L2314" t="s">
        <v>10</v>
      </c>
      <c r="M2314" t="s">
        <v>190</v>
      </c>
      <c r="N2314" t="s">
        <v>79</v>
      </c>
      <c r="Q2314">
        <f t="shared" ref="Q2314:S2314" si="1266">Q2313</f>
        <v>18977</v>
      </c>
      <c r="R2314" t="str">
        <f t="shared" si="1266"/>
        <v>Velodrome</v>
      </c>
      <c r="S2314" t="str">
        <f t="shared" si="1266"/>
        <v>HollowBrook</v>
      </c>
      <c r="T2314" s="20">
        <f t="shared" si="1260"/>
        <v>0</v>
      </c>
      <c r="U2314">
        <f t="shared" si="1261"/>
        <v>266</v>
      </c>
      <c r="V2314">
        <f t="shared" si="1262"/>
        <v>266</v>
      </c>
      <c r="W2314" cm="1">
        <f t="array" ref="W2314">_xlfn._xlws.FILTER(shifts!A:A,(shifts!B:B=events!D2314)*(shifts!AH:AH&gt;=events!U2314)*(shifts!AI:AI&lt;=events!V2314))</f>
        <v>80</v>
      </c>
      <c r="X2314" t="str">
        <f t="shared" si="1263"/>
        <v>event_team_player_1</v>
      </c>
      <c r="Y2314">
        <f>COUNTIFS(A$3:A2314,"="&amp;A2314,K$3:K2314,"="&amp;K2314)</f>
        <v>1</v>
      </c>
      <c r="Z2314" s="20">
        <f>SUMIFS(T$3:T2314,L$3:L2314,"=Intermission")+SUMIFS(T$3:T2314,L$3:L2314,"=Timeout")+SUMIFS(T$3:T2314,L$3:L2314,"=Clockstop")</f>
        <v>138</v>
      </c>
      <c r="AA2314">
        <f t="shared" si="1254"/>
        <v>2298</v>
      </c>
      <c r="AC2314">
        <f t="shared" si="1255"/>
        <v>2436</v>
      </c>
    </row>
    <row r="2315" spans="1:29" x14ac:dyDescent="0.2">
      <c r="A2315">
        <v>1253</v>
      </c>
      <c r="D2315">
        <f t="shared" si="1256"/>
        <v>3</v>
      </c>
      <c r="E2315">
        <v>4</v>
      </c>
      <c r="F2315" s="6" t="s">
        <v>422</v>
      </c>
      <c r="I2315" t="s">
        <v>178</v>
      </c>
      <c r="J2315">
        <v>61</v>
      </c>
      <c r="K2315" t="s">
        <v>488</v>
      </c>
      <c r="L2315" t="s">
        <v>8</v>
      </c>
      <c r="M2315" t="s">
        <v>189</v>
      </c>
      <c r="N2315" t="s">
        <v>67</v>
      </c>
      <c r="Q2315">
        <f t="shared" ref="Q2315:S2315" si="1267">Q2314</f>
        <v>18977</v>
      </c>
      <c r="R2315" t="str">
        <f t="shared" si="1267"/>
        <v>Velodrome</v>
      </c>
      <c r="S2315" t="str">
        <f t="shared" si="1267"/>
        <v>HollowBrook</v>
      </c>
      <c r="T2315" s="20">
        <f t="shared" si="1260"/>
        <v>0</v>
      </c>
      <c r="U2315">
        <f t="shared" si="1261"/>
        <v>260</v>
      </c>
      <c r="V2315">
        <f t="shared" si="1262"/>
        <v>260</v>
      </c>
      <c r="W2315" cm="1">
        <f t="array" ref="W2315">_xlfn._xlws.FILTER(shifts!A:A,(shifts!B:B=events!D2315)*(shifts!AH:AH&gt;=events!U2315)*(shifts!AI:AI&lt;=events!V2315))</f>
        <v>80</v>
      </c>
      <c r="X2315" t="str">
        <f t="shared" si="1263"/>
        <v>event_team_player_1</v>
      </c>
      <c r="Y2315">
        <f>COUNTIFS(A$3:A2315,"="&amp;A2315,K$3:K2315,"="&amp;K2315)</f>
        <v>1</v>
      </c>
      <c r="Z2315" s="20">
        <f>SUMIFS(T$3:T2315,L$3:L2315,"=Intermission")+SUMIFS(T$3:T2315,L$3:L2315,"=Timeout")+SUMIFS(T$3:T2315,L$3:L2315,"=Clockstop")</f>
        <v>138</v>
      </c>
      <c r="AA2315">
        <f t="shared" si="1254"/>
        <v>2298</v>
      </c>
      <c r="AC2315">
        <f t="shared" si="1255"/>
        <v>2436</v>
      </c>
    </row>
    <row r="2316" spans="1:29" x14ac:dyDescent="0.2">
      <c r="A2316">
        <v>1253</v>
      </c>
      <c r="D2316">
        <f t="shared" si="1256"/>
        <v>3</v>
      </c>
      <c r="E2316">
        <v>4</v>
      </c>
      <c r="F2316" s="6" t="s">
        <v>422</v>
      </c>
      <c r="I2316" t="s">
        <v>178</v>
      </c>
      <c r="J2316">
        <v>87</v>
      </c>
      <c r="K2316" t="s">
        <v>488</v>
      </c>
      <c r="L2316" t="s">
        <v>8</v>
      </c>
      <c r="M2316" t="s">
        <v>189</v>
      </c>
      <c r="N2316" t="s">
        <v>67</v>
      </c>
      <c r="Q2316">
        <f t="shared" ref="Q2316:S2316" si="1268">Q2315</f>
        <v>18977</v>
      </c>
      <c r="R2316" t="str">
        <f t="shared" si="1268"/>
        <v>Velodrome</v>
      </c>
      <c r="S2316" t="str">
        <f t="shared" si="1268"/>
        <v>HollowBrook</v>
      </c>
      <c r="T2316" s="20">
        <f t="shared" si="1260"/>
        <v>0</v>
      </c>
      <c r="U2316">
        <f t="shared" si="1261"/>
        <v>260</v>
      </c>
      <c r="V2316">
        <f t="shared" si="1262"/>
        <v>260</v>
      </c>
      <c r="W2316" cm="1">
        <f t="array" ref="W2316">_xlfn._xlws.FILTER(shifts!A:A,(shifts!B:B=events!D2316)*(shifts!AH:AH&gt;=events!U2316)*(shifts!AI:AI&lt;=events!V2316))</f>
        <v>80</v>
      </c>
      <c r="X2316" t="str">
        <f t="shared" si="1263"/>
        <v>event_team_player_2</v>
      </c>
      <c r="Y2316">
        <f>COUNTIFS(A$3:A2316,"="&amp;A2316,K$3:K2316,"="&amp;K2316)</f>
        <v>2</v>
      </c>
      <c r="Z2316" s="20">
        <f>SUMIFS(T$3:T2316,L$3:L2316,"=Intermission")+SUMIFS(T$3:T2316,L$3:L2316,"=Timeout")+SUMIFS(T$3:T2316,L$3:L2316,"=Clockstop")</f>
        <v>138</v>
      </c>
      <c r="AA2316">
        <f t="shared" si="1254"/>
        <v>2298</v>
      </c>
      <c r="AC2316">
        <f t="shared" si="1255"/>
        <v>2436</v>
      </c>
    </row>
    <row r="2317" spans="1:29" x14ac:dyDescent="0.2">
      <c r="A2317">
        <v>1254</v>
      </c>
      <c r="D2317">
        <f t="shared" si="1256"/>
        <v>3</v>
      </c>
      <c r="E2317">
        <v>4</v>
      </c>
      <c r="F2317" s="6" t="s">
        <v>422</v>
      </c>
      <c r="I2317" t="s">
        <v>178</v>
      </c>
      <c r="J2317">
        <v>61</v>
      </c>
      <c r="K2317" t="s">
        <v>488</v>
      </c>
      <c r="L2317" t="s">
        <v>277</v>
      </c>
      <c r="M2317" t="s">
        <v>201</v>
      </c>
      <c r="N2317" t="s">
        <v>91</v>
      </c>
      <c r="Q2317">
        <f t="shared" ref="Q2317:S2317" si="1269">Q2316</f>
        <v>18977</v>
      </c>
      <c r="R2317" t="str">
        <f t="shared" si="1269"/>
        <v>Velodrome</v>
      </c>
      <c r="S2317" t="str">
        <f t="shared" si="1269"/>
        <v>HollowBrook</v>
      </c>
      <c r="T2317" s="20">
        <f t="shared" si="1260"/>
        <v>0</v>
      </c>
      <c r="U2317">
        <f t="shared" si="1261"/>
        <v>260</v>
      </c>
      <c r="V2317">
        <f t="shared" si="1262"/>
        <v>260</v>
      </c>
      <c r="W2317" cm="1">
        <f t="array" ref="W2317">_xlfn._xlws.FILTER(shifts!A:A,(shifts!B:B=events!D2317)*(shifts!AH:AH&gt;=events!U2317)*(shifts!AI:AI&lt;=events!V2317))</f>
        <v>80</v>
      </c>
      <c r="X2317" t="str">
        <f t="shared" si="1263"/>
        <v>event_team_player_1</v>
      </c>
      <c r="Y2317">
        <f>COUNTIFS(A$3:A2317,"="&amp;A2317,K$3:K2317,"="&amp;K2317)</f>
        <v>1</v>
      </c>
      <c r="Z2317" s="20">
        <f>SUMIFS(T$3:T2317,L$3:L2317,"=Intermission")+SUMIFS(T$3:T2317,L$3:L2317,"=Timeout")+SUMIFS(T$3:T2317,L$3:L2317,"=Clockstop")</f>
        <v>138</v>
      </c>
      <c r="AA2317">
        <f t="shared" si="1254"/>
        <v>2298</v>
      </c>
      <c r="AC2317">
        <f t="shared" si="1255"/>
        <v>2436</v>
      </c>
    </row>
    <row r="2318" spans="1:29" x14ac:dyDescent="0.2">
      <c r="A2318">
        <v>1254</v>
      </c>
      <c r="D2318">
        <f t="shared" si="1256"/>
        <v>3</v>
      </c>
      <c r="E2318">
        <v>4</v>
      </c>
      <c r="F2318" s="6" t="s">
        <v>422</v>
      </c>
      <c r="I2318" t="s">
        <v>178</v>
      </c>
      <c r="J2318">
        <v>87</v>
      </c>
      <c r="K2318" t="s">
        <v>488</v>
      </c>
      <c r="L2318" t="s">
        <v>277</v>
      </c>
      <c r="M2318" t="s">
        <v>201</v>
      </c>
      <c r="N2318" t="s">
        <v>91</v>
      </c>
      <c r="Q2318">
        <f t="shared" ref="Q2318:S2318" si="1270">Q2317</f>
        <v>18977</v>
      </c>
      <c r="R2318" t="str">
        <f t="shared" si="1270"/>
        <v>Velodrome</v>
      </c>
      <c r="S2318" t="str">
        <f t="shared" si="1270"/>
        <v>HollowBrook</v>
      </c>
      <c r="T2318" s="20">
        <f t="shared" si="1260"/>
        <v>0</v>
      </c>
      <c r="U2318">
        <f t="shared" si="1261"/>
        <v>260</v>
      </c>
      <c r="V2318">
        <f t="shared" si="1262"/>
        <v>260</v>
      </c>
      <c r="W2318" cm="1">
        <f t="array" ref="W2318">_xlfn._xlws.FILTER(shifts!A:A,(shifts!B:B=events!D2318)*(shifts!AH:AH&gt;=events!U2318)*(shifts!AI:AI&lt;=events!V2318))</f>
        <v>80</v>
      </c>
      <c r="X2318" t="str">
        <f t="shared" si="1263"/>
        <v>event_team_player_2</v>
      </c>
      <c r="Y2318">
        <f>COUNTIFS(A$3:A2318,"="&amp;A2318,K$3:K2318,"="&amp;K2318)</f>
        <v>2</v>
      </c>
      <c r="Z2318" s="20">
        <f>SUMIFS(T$3:T2318,L$3:L2318,"=Intermission")+SUMIFS(T$3:T2318,L$3:L2318,"=Timeout")+SUMIFS(T$3:T2318,L$3:L2318,"=Clockstop")</f>
        <v>138</v>
      </c>
      <c r="AA2318">
        <f t="shared" si="1254"/>
        <v>2298</v>
      </c>
      <c r="AC2318">
        <f t="shared" si="1255"/>
        <v>2436</v>
      </c>
    </row>
    <row r="2319" spans="1:29" x14ac:dyDescent="0.2">
      <c r="A2319">
        <v>1255</v>
      </c>
      <c r="D2319">
        <f t="shared" si="1256"/>
        <v>3</v>
      </c>
      <c r="E2319">
        <v>4</v>
      </c>
      <c r="F2319" s="6" t="s">
        <v>485</v>
      </c>
      <c r="G2319">
        <v>4</v>
      </c>
      <c r="H2319" s="8" t="s">
        <v>447</v>
      </c>
      <c r="I2319" t="s">
        <v>178</v>
      </c>
      <c r="J2319">
        <v>87</v>
      </c>
      <c r="K2319" t="s">
        <v>488</v>
      </c>
      <c r="L2319" t="s">
        <v>277</v>
      </c>
      <c r="M2319" t="s">
        <v>191</v>
      </c>
      <c r="N2319" t="s">
        <v>87</v>
      </c>
      <c r="Q2319">
        <f t="shared" ref="Q2319:S2319" si="1271">Q2318</f>
        <v>18977</v>
      </c>
      <c r="R2319" t="str">
        <f t="shared" si="1271"/>
        <v>Velodrome</v>
      </c>
      <c r="S2319" t="str">
        <f t="shared" si="1271"/>
        <v>HollowBrook</v>
      </c>
      <c r="T2319" s="20">
        <f t="shared" si="1260"/>
        <v>3</v>
      </c>
      <c r="U2319">
        <f t="shared" si="1261"/>
        <v>258</v>
      </c>
      <c r="V2319">
        <f t="shared" si="1262"/>
        <v>255</v>
      </c>
      <c r="W2319" cm="1">
        <f t="array" ref="W2319">_xlfn._xlws.FILTER(shifts!A:A,(shifts!B:B=events!D2319)*(shifts!AH:AH&gt;=events!U2319)*(shifts!AI:AI&lt;=events!V2319))</f>
        <v>80</v>
      </c>
      <c r="X2319" t="str">
        <f t="shared" si="1263"/>
        <v>event_team_player_1</v>
      </c>
      <c r="Y2319">
        <f>COUNTIFS(A$3:A2319,"="&amp;A2319,K$3:K2319,"="&amp;K2319)</f>
        <v>1</v>
      </c>
      <c r="Z2319" s="20">
        <f>SUMIFS(T$3:T2319,L$3:L2319,"=Intermission")+SUMIFS(T$3:T2319,L$3:L2319,"=Timeout")+SUMIFS(T$3:T2319,L$3:L2319,"=Clockstop")</f>
        <v>138</v>
      </c>
      <c r="AA2319">
        <f t="shared" si="1254"/>
        <v>2298</v>
      </c>
      <c r="AC2319">
        <f t="shared" si="1255"/>
        <v>2436</v>
      </c>
    </row>
    <row r="2320" spans="1:29" x14ac:dyDescent="0.2">
      <c r="A2320">
        <v>1255</v>
      </c>
      <c r="D2320">
        <f t="shared" si="1256"/>
        <v>3</v>
      </c>
      <c r="E2320">
        <v>4</v>
      </c>
      <c r="F2320" s="6" t="s">
        <v>485</v>
      </c>
      <c r="G2320">
        <v>4</v>
      </c>
      <c r="H2320" s="8" t="s">
        <v>447</v>
      </c>
      <c r="I2320" t="s">
        <v>178</v>
      </c>
      <c r="J2320">
        <v>2</v>
      </c>
      <c r="K2320" t="s">
        <v>489</v>
      </c>
      <c r="L2320" t="s">
        <v>277</v>
      </c>
      <c r="M2320" t="s">
        <v>191</v>
      </c>
      <c r="N2320" t="s">
        <v>87</v>
      </c>
      <c r="Q2320">
        <f t="shared" ref="Q2320:S2320" si="1272">Q2319</f>
        <v>18977</v>
      </c>
      <c r="R2320" t="str">
        <f t="shared" si="1272"/>
        <v>Velodrome</v>
      </c>
      <c r="S2320" t="str">
        <f t="shared" si="1272"/>
        <v>HollowBrook</v>
      </c>
      <c r="T2320" s="20">
        <f t="shared" si="1260"/>
        <v>3</v>
      </c>
      <c r="U2320">
        <f t="shared" si="1261"/>
        <v>258</v>
      </c>
      <c r="V2320">
        <f t="shared" si="1262"/>
        <v>255</v>
      </c>
      <c r="W2320" cm="1">
        <f t="array" ref="W2320">_xlfn._xlws.FILTER(shifts!A:A,(shifts!B:B=events!D2320)*(shifts!AH:AH&gt;=events!U2320)*(shifts!AI:AI&lt;=events!V2320))</f>
        <v>80</v>
      </c>
      <c r="X2320" t="str">
        <f t="shared" si="1263"/>
        <v>opp_team_player_1</v>
      </c>
      <c r="Y2320">
        <f>COUNTIFS(A$3:A2320,"="&amp;A2320,K$3:K2320,"="&amp;K2320)</f>
        <v>1</v>
      </c>
      <c r="Z2320" s="20">
        <f>SUMIFS(T$3:T2320,L$3:L2320,"=Intermission")+SUMIFS(T$3:T2320,L$3:L2320,"=Timeout")+SUMIFS(T$3:T2320,L$3:L2320,"=Clockstop")</f>
        <v>138</v>
      </c>
      <c r="AA2320">
        <f t="shared" si="1254"/>
        <v>2298</v>
      </c>
      <c r="AC2320">
        <f t="shared" si="1255"/>
        <v>2436</v>
      </c>
    </row>
    <row r="2321" spans="1:29" x14ac:dyDescent="0.2">
      <c r="A2321">
        <v>1256</v>
      </c>
      <c r="D2321">
        <f t="shared" si="1256"/>
        <v>3</v>
      </c>
      <c r="E2321">
        <v>4</v>
      </c>
      <c r="F2321" s="6" t="s">
        <v>447</v>
      </c>
      <c r="I2321" t="s">
        <v>178</v>
      </c>
      <c r="J2321">
        <v>87</v>
      </c>
      <c r="K2321" t="s">
        <v>488</v>
      </c>
      <c r="L2321" t="s">
        <v>8</v>
      </c>
      <c r="M2321" t="s">
        <v>189</v>
      </c>
      <c r="N2321" t="s">
        <v>70</v>
      </c>
      <c r="Q2321">
        <f t="shared" ref="Q2321:S2321" si="1273">Q2320</f>
        <v>18977</v>
      </c>
      <c r="R2321" t="str">
        <f t="shared" si="1273"/>
        <v>Velodrome</v>
      </c>
      <c r="S2321" t="str">
        <f t="shared" si="1273"/>
        <v>HollowBrook</v>
      </c>
      <c r="T2321" s="20">
        <f t="shared" si="1260"/>
        <v>0</v>
      </c>
      <c r="U2321">
        <f t="shared" si="1261"/>
        <v>255</v>
      </c>
      <c r="V2321">
        <f t="shared" si="1262"/>
        <v>255</v>
      </c>
      <c r="W2321" cm="1">
        <f t="array" ref="W2321">_xlfn._xlws.FILTER(shifts!A:A,(shifts!B:B=events!D2321)*(shifts!AH:AH&gt;=events!U2321)*(shifts!AI:AI&lt;=events!V2321))</f>
        <v>80</v>
      </c>
      <c r="X2321" t="str">
        <f t="shared" si="1263"/>
        <v>event_team_player_1</v>
      </c>
      <c r="Y2321">
        <f>COUNTIFS(A$3:A2321,"="&amp;A2321,K$3:K2321,"="&amp;K2321)</f>
        <v>1</v>
      </c>
      <c r="Z2321" s="20">
        <f>SUMIFS(T$3:T2321,L$3:L2321,"=Intermission")+SUMIFS(T$3:T2321,L$3:L2321,"=Timeout")+SUMIFS(T$3:T2321,L$3:L2321,"=Clockstop")</f>
        <v>138</v>
      </c>
      <c r="AA2321">
        <f t="shared" si="1254"/>
        <v>2298</v>
      </c>
      <c r="AC2321">
        <f t="shared" si="1255"/>
        <v>2436</v>
      </c>
    </row>
    <row r="2322" spans="1:29" x14ac:dyDescent="0.2">
      <c r="A2322">
        <v>1256</v>
      </c>
      <c r="D2322">
        <f t="shared" si="1256"/>
        <v>3</v>
      </c>
      <c r="E2322">
        <v>4</v>
      </c>
      <c r="F2322" s="6" t="s">
        <v>447</v>
      </c>
      <c r="I2322" t="s">
        <v>178</v>
      </c>
      <c r="J2322">
        <v>14</v>
      </c>
      <c r="K2322" t="s">
        <v>488</v>
      </c>
      <c r="L2322" t="s">
        <v>8</v>
      </c>
      <c r="M2322" t="s">
        <v>189</v>
      </c>
      <c r="N2322" t="s">
        <v>70</v>
      </c>
      <c r="Q2322">
        <f t="shared" ref="Q2322:S2322" si="1274">Q2321</f>
        <v>18977</v>
      </c>
      <c r="R2322" t="str">
        <f t="shared" si="1274"/>
        <v>Velodrome</v>
      </c>
      <c r="S2322" t="str">
        <f t="shared" si="1274"/>
        <v>HollowBrook</v>
      </c>
      <c r="T2322" s="20">
        <f t="shared" si="1260"/>
        <v>0</v>
      </c>
      <c r="U2322">
        <f t="shared" si="1261"/>
        <v>255</v>
      </c>
      <c r="V2322">
        <f t="shared" si="1262"/>
        <v>255</v>
      </c>
      <c r="W2322" cm="1">
        <f t="array" ref="W2322">_xlfn._xlws.FILTER(shifts!A:A,(shifts!B:B=events!D2322)*(shifts!AH:AH&gt;=events!U2322)*(shifts!AI:AI&lt;=events!V2322))</f>
        <v>80</v>
      </c>
      <c r="X2322" t="str">
        <f t="shared" si="1263"/>
        <v>event_team_player_2</v>
      </c>
      <c r="Y2322">
        <f>COUNTIFS(A$3:A2322,"="&amp;A2322,K$3:K2322,"="&amp;K2322)</f>
        <v>2</v>
      </c>
      <c r="Z2322" s="20">
        <f>SUMIFS(T$3:T2322,L$3:L2322,"=Intermission")+SUMIFS(T$3:T2322,L$3:L2322,"=Timeout")+SUMIFS(T$3:T2322,L$3:L2322,"=Clockstop")</f>
        <v>138</v>
      </c>
      <c r="AA2322">
        <f t="shared" si="1254"/>
        <v>2298</v>
      </c>
      <c r="AC2322">
        <f t="shared" si="1255"/>
        <v>2436</v>
      </c>
    </row>
    <row r="2323" spans="1:29" x14ac:dyDescent="0.2">
      <c r="A2323">
        <v>1256</v>
      </c>
      <c r="D2323">
        <f t="shared" si="1256"/>
        <v>3</v>
      </c>
      <c r="E2323">
        <v>4</v>
      </c>
      <c r="F2323" s="6" t="s">
        <v>447</v>
      </c>
      <c r="I2323" t="s">
        <v>178</v>
      </c>
      <c r="J2323">
        <v>2</v>
      </c>
      <c r="K2323" t="s">
        <v>489</v>
      </c>
      <c r="L2323" t="s">
        <v>8</v>
      </c>
      <c r="M2323" t="s">
        <v>189</v>
      </c>
      <c r="N2323" t="s">
        <v>70</v>
      </c>
      <c r="Q2323">
        <f t="shared" ref="Q2323:S2323" si="1275">Q2322</f>
        <v>18977</v>
      </c>
      <c r="R2323" t="str">
        <f t="shared" si="1275"/>
        <v>Velodrome</v>
      </c>
      <c r="S2323" t="str">
        <f t="shared" si="1275"/>
        <v>HollowBrook</v>
      </c>
      <c r="T2323" s="20">
        <f t="shared" si="1260"/>
        <v>0</v>
      </c>
      <c r="U2323">
        <f t="shared" si="1261"/>
        <v>255</v>
      </c>
      <c r="V2323">
        <f t="shared" si="1262"/>
        <v>255</v>
      </c>
      <c r="W2323" cm="1">
        <f t="array" ref="W2323">_xlfn._xlws.FILTER(shifts!A:A,(shifts!B:B=events!D2323)*(shifts!AH:AH&gt;=events!U2323)*(shifts!AI:AI&lt;=events!V2323))</f>
        <v>80</v>
      </c>
      <c r="X2323" t="str">
        <f t="shared" si="1263"/>
        <v>opp_team_player_1</v>
      </c>
      <c r="Y2323">
        <f>COUNTIFS(A$3:A2323,"="&amp;A2323,K$3:K2323,"="&amp;K2323)</f>
        <v>1</v>
      </c>
      <c r="Z2323" s="20">
        <f>SUMIFS(T$3:T2323,L$3:L2323,"=Intermission")+SUMIFS(T$3:T2323,L$3:L2323,"=Timeout")+SUMIFS(T$3:T2323,L$3:L2323,"=Clockstop")</f>
        <v>138</v>
      </c>
      <c r="AA2323">
        <f t="shared" si="1254"/>
        <v>2298</v>
      </c>
      <c r="AC2323">
        <f t="shared" si="1255"/>
        <v>2436</v>
      </c>
    </row>
    <row r="2324" spans="1:29" x14ac:dyDescent="0.2">
      <c r="A2324">
        <v>1257</v>
      </c>
      <c r="D2324">
        <f t="shared" si="1256"/>
        <v>3</v>
      </c>
      <c r="E2324">
        <v>4</v>
      </c>
      <c r="F2324" s="6" t="s">
        <v>423</v>
      </c>
      <c r="I2324" t="s">
        <v>178</v>
      </c>
      <c r="J2324">
        <v>14</v>
      </c>
      <c r="K2324" t="s">
        <v>488</v>
      </c>
      <c r="L2324" t="s">
        <v>7</v>
      </c>
      <c r="M2324" t="s">
        <v>222</v>
      </c>
      <c r="N2324" t="s">
        <v>55</v>
      </c>
      <c r="Q2324">
        <f t="shared" ref="Q2324:S2324" si="1276">Q2323</f>
        <v>18977</v>
      </c>
      <c r="R2324" t="str">
        <f t="shared" si="1276"/>
        <v>Velodrome</v>
      </c>
      <c r="S2324" t="str">
        <f t="shared" si="1276"/>
        <v>HollowBrook</v>
      </c>
      <c r="T2324" s="20">
        <f t="shared" si="1260"/>
        <v>0</v>
      </c>
      <c r="U2324">
        <f t="shared" si="1261"/>
        <v>254</v>
      </c>
      <c r="V2324">
        <f t="shared" si="1262"/>
        <v>254</v>
      </c>
      <c r="W2324" cm="1">
        <f t="array" ref="W2324">_xlfn._xlws.FILTER(shifts!A:A,(shifts!B:B=events!D2324)*(shifts!AH:AH&gt;=events!U2324)*(shifts!AI:AI&lt;=events!V2324))</f>
        <v>80</v>
      </c>
      <c r="X2324" t="str">
        <f t="shared" si="1263"/>
        <v>event_team_player_1</v>
      </c>
      <c r="Y2324">
        <f>COUNTIFS(A$3:A2324,"="&amp;A2324,K$3:K2324,"="&amp;K2324)</f>
        <v>1</v>
      </c>
      <c r="Z2324" s="20">
        <f>SUMIFS(T$3:T2324,L$3:L2324,"=Intermission")+SUMIFS(T$3:T2324,L$3:L2324,"=Timeout")+SUMIFS(T$3:T2324,L$3:L2324,"=Clockstop")</f>
        <v>138</v>
      </c>
      <c r="AA2324">
        <f t="shared" si="1254"/>
        <v>2298</v>
      </c>
      <c r="AC2324">
        <f t="shared" si="1255"/>
        <v>2436</v>
      </c>
    </row>
    <row r="2325" spans="1:29" x14ac:dyDescent="0.2">
      <c r="A2325">
        <v>1257</v>
      </c>
      <c r="D2325">
        <f t="shared" si="1256"/>
        <v>3</v>
      </c>
      <c r="E2325">
        <v>4</v>
      </c>
      <c r="F2325" s="6" t="s">
        <v>423</v>
      </c>
      <c r="I2325" t="s">
        <v>178</v>
      </c>
      <c r="J2325">
        <v>99</v>
      </c>
      <c r="K2325" t="s">
        <v>489</v>
      </c>
      <c r="L2325" t="s">
        <v>7</v>
      </c>
      <c r="M2325" t="s">
        <v>222</v>
      </c>
      <c r="N2325" t="s">
        <v>55</v>
      </c>
      <c r="Q2325">
        <f t="shared" ref="Q2325:S2325" si="1277">Q2324</f>
        <v>18977</v>
      </c>
      <c r="R2325" t="str">
        <f t="shared" si="1277"/>
        <v>Velodrome</v>
      </c>
      <c r="S2325" t="str">
        <f t="shared" si="1277"/>
        <v>HollowBrook</v>
      </c>
      <c r="T2325" s="20">
        <f t="shared" si="1260"/>
        <v>0</v>
      </c>
      <c r="U2325">
        <f t="shared" si="1261"/>
        <v>254</v>
      </c>
      <c r="V2325">
        <f t="shared" si="1262"/>
        <v>254</v>
      </c>
      <c r="W2325" cm="1">
        <f t="array" ref="W2325">_xlfn._xlws.FILTER(shifts!A:A,(shifts!B:B=events!D2325)*(shifts!AH:AH&gt;=events!U2325)*(shifts!AI:AI&lt;=events!V2325))</f>
        <v>80</v>
      </c>
      <c r="X2325" t="str">
        <f t="shared" si="1263"/>
        <v>opp_team_player_1</v>
      </c>
      <c r="Y2325">
        <f>COUNTIFS(A$3:A2325,"="&amp;A2325,K$3:K2325,"="&amp;K2325)</f>
        <v>1</v>
      </c>
      <c r="Z2325" s="20">
        <f>SUMIFS(T$3:T2325,L$3:L2325,"=Intermission")+SUMIFS(T$3:T2325,L$3:L2325,"=Timeout")+SUMIFS(T$3:T2325,L$3:L2325,"=Clockstop")</f>
        <v>138</v>
      </c>
      <c r="AA2325">
        <f t="shared" si="1254"/>
        <v>2298</v>
      </c>
      <c r="AC2325">
        <f t="shared" si="1255"/>
        <v>2436</v>
      </c>
    </row>
    <row r="2326" spans="1:29" x14ac:dyDescent="0.2">
      <c r="A2326">
        <v>1258</v>
      </c>
      <c r="D2326">
        <f t="shared" si="1256"/>
        <v>3</v>
      </c>
      <c r="E2326">
        <v>4</v>
      </c>
      <c r="F2326" s="6" t="s">
        <v>423</v>
      </c>
      <c r="I2326" t="s">
        <v>179</v>
      </c>
      <c r="J2326">
        <v>99</v>
      </c>
      <c r="K2326" t="s">
        <v>488</v>
      </c>
      <c r="L2326" t="s">
        <v>17</v>
      </c>
      <c r="M2326" t="s">
        <v>196</v>
      </c>
      <c r="N2326" t="s">
        <v>99</v>
      </c>
      <c r="Q2326">
        <f t="shared" ref="Q2326:S2326" si="1278">Q2325</f>
        <v>18977</v>
      </c>
      <c r="R2326" t="str">
        <f t="shared" si="1278"/>
        <v>Velodrome</v>
      </c>
      <c r="S2326" t="str">
        <f t="shared" si="1278"/>
        <v>HollowBrook</v>
      </c>
      <c r="T2326" s="20">
        <f t="shared" si="1260"/>
        <v>0</v>
      </c>
      <c r="U2326">
        <f t="shared" si="1261"/>
        <v>254</v>
      </c>
      <c r="V2326">
        <f t="shared" si="1262"/>
        <v>254</v>
      </c>
      <c r="W2326" cm="1">
        <f t="array" ref="W2326">_xlfn._xlws.FILTER(shifts!A:A,(shifts!B:B=events!D2326)*(shifts!AH:AH&gt;=events!U2326)*(shifts!AI:AI&lt;=events!V2326))</f>
        <v>80</v>
      </c>
      <c r="X2326" t="str">
        <f t="shared" si="1263"/>
        <v>event_team_player_1</v>
      </c>
      <c r="Y2326">
        <f>COUNTIFS(A$3:A2326,"="&amp;A2326,K$3:K2326,"="&amp;K2326)</f>
        <v>1</v>
      </c>
      <c r="Z2326" s="20">
        <f>SUMIFS(T$3:T2326,L$3:L2326,"=Intermission")+SUMIFS(T$3:T2326,L$3:L2326,"=Timeout")+SUMIFS(T$3:T2326,L$3:L2326,"=Clockstop")</f>
        <v>138</v>
      </c>
      <c r="AA2326">
        <f t="shared" si="1254"/>
        <v>2298</v>
      </c>
      <c r="AC2326">
        <f t="shared" si="1255"/>
        <v>2436</v>
      </c>
    </row>
    <row r="2327" spans="1:29" x14ac:dyDescent="0.2">
      <c r="A2327">
        <v>1258</v>
      </c>
      <c r="D2327">
        <f t="shared" si="1256"/>
        <v>3</v>
      </c>
      <c r="E2327">
        <v>4</v>
      </c>
      <c r="F2327" s="6" t="s">
        <v>423</v>
      </c>
      <c r="I2327" t="s">
        <v>179</v>
      </c>
      <c r="J2327">
        <v>14</v>
      </c>
      <c r="K2327" t="s">
        <v>489</v>
      </c>
      <c r="L2327" t="s">
        <v>17</v>
      </c>
      <c r="M2327" t="s">
        <v>196</v>
      </c>
      <c r="N2327" t="s">
        <v>99</v>
      </c>
      <c r="Q2327">
        <f t="shared" ref="Q2327:S2327" si="1279">Q2326</f>
        <v>18977</v>
      </c>
      <c r="R2327" t="str">
        <f t="shared" si="1279"/>
        <v>Velodrome</v>
      </c>
      <c r="S2327" t="str">
        <f t="shared" si="1279"/>
        <v>HollowBrook</v>
      </c>
      <c r="T2327" s="20">
        <f t="shared" si="1260"/>
        <v>0</v>
      </c>
      <c r="U2327">
        <f t="shared" si="1261"/>
        <v>254</v>
      </c>
      <c r="V2327">
        <f t="shared" si="1262"/>
        <v>254</v>
      </c>
      <c r="W2327" cm="1">
        <f t="array" ref="W2327">_xlfn._xlws.FILTER(shifts!A:A,(shifts!B:B=events!D2327)*(shifts!AH:AH&gt;=events!U2327)*(shifts!AI:AI&lt;=events!V2327))</f>
        <v>80</v>
      </c>
      <c r="X2327" t="str">
        <f t="shared" si="1263"/>
        <v>opp_team_player_1</v>
      </c>
      <c r="Y2327">
        <f>COUNTIFS(A$3:A2327,"="&amp;A2327,K$3:K2327,"="&amp;K2327)</f>
        <v>1</v>
      </c>
      <c r="Z2327" s="20">
        <f>SUMIFS(T$3:T2327,L$3:L2327,"=Intermission")+SUMIFS(T$3:T2327,L$3:L2327,"=Timeout")+SUMIFS(T$3:T2327,L$3:L2327,"=Clockstop")</f>
        <v>138</v>
      </c>
      <c r="AA2327">
        <f t="shared" si="1254"/>
        <v>2298</v>
      </c>
      <c r="AC2327">
        <f t="shared" si="1255"/>
        <v>2436</v>
      </c>
    </row>
    <row r="2328" spans="1:29" x14ac:dyDescent="0.2">
      <c r="A2328">
        <v>1259</v>
      </c>
      <c r="D2328">
        <f t="shared" si="1256"/>
        <v>3</v>
      </c>
      <c r="E2328">
        <v>4</v>
      </c>
      <c r="F2328" s="6" t="s">
        <v>423</v>
      </c>
      <c r="I2328" t="s">
        <v>179</v>
      </c>
      <c r="J2328">
        <v>99</v>
      </c>
      <c r="K2328" t="s">
        <v>488</v>
      </c>
      <c r="L2328" t="s">
        <v>270</v>
      </c>
      <c r="M2328" t="s">
        <v>272</v>
      </c>
      <c r="Q2328">
        <f t="shared" ref="Q2328:S2328" si="1280">Q2327</f>
        <v>18977</v>
      </c>
      <c r="R2328" t="str">
        <f t="shared" si="1280"/>
        <v>Velodrome</v>
      </c>
      <c r="S2328" t="str">
        <f t="shared" si="1280"/>
        <v>HollowBrook</v>
      </c>
      <c r="T2328" s="20">
        <f t="shared" si="1260"/>
        <v>0</v>
      </c>
      <c r="U2328">
        <f t="shared" si="1261"/>
        <v>254</v>
      </c>
      <c r="V2328">
        <f t="shared" si="1262"/>
        <v>254</v>
      </c>
      <c r="W2328" cm="1">
        <f t="array" ref="W2328">_xlfn._xlws.FILTER(shifts!A:A,(shifts!B:B=events!D2328)*(shifts!AH:AH&gt;=events!U2328)*(shifts!AI:AI&lt;=events!V2328))</f>
        <v>80</v>
      </c>
      <c r="X2328" t="str">
        <f t="shared" si="1263"/>
        <v>event_team_player_1</v>
      </c>
      <c r="Y2328">
        <f>COUNTIFS(A$3:A2328,"="&amp;A2328,K$3:K2328,"="&amp;K2328)</f>
        <v>1</v>
      </c>
      <c r="Z2328" s="20">
        <f>SUMIFS(T$3:T2328,L$3:L2328,"=Intermission")+SUMIFS(T$3:T2328,L$3:L2328,"=Timeout")+SUMIFS(T$3:T2328,L$3:L2328,"=Clockstop")</f>
        <v>138</v>
      </c>
      <c r="AA2328">
        <f t="shared" si="1254"/>
        <v>2298</v>
      </c>
      <c r="AC2328">
        <f t="shared" si="1255"/>
        <v>2436</v>
      </c>
    </row>
    <row r="2329" spans="1:29" x14ac:dyDescent="0.2">
      <c r="A2329">
        <v>1260</v>
      </c>
      <c r="D2329">
        <f t="shared" si="1256"/>
        <v>3</v>
      </c>
      <c r="E2329">
        <v>4</v>
      </c>
      <c r="F2329" s="6" t="s">
        <v>424</v>
      </c>
      <c r="I2329" t="s">
        <v>178</v>
      </c>
      <c r="J2329">
        <v>14</v>
      </c>
      <c r="K2329" t="s">
        <v>488</v>
      </c>
      <c r="L2329" t="s">
        <v>8</v>
      </c>
      <c r="M2329" t="s">
        <v>189</v>
      </c>
      <c r="N2329" t="s">
        <v>69</v>
      </c>
      <c r="Q2329">
        <f t="shared" ref="Q2329:S2329" si="1281">Q2328</f>
        <v>18977</v>
      </c>
      <c r="R2329" t="str">
        <f t="shared" si="1281"/>
        <v>Velodrome</v>
      </c>
      <c r="S2329" t="str">
        <f t="shared" si="1281"/>
        <v>HollowBrook</v>
      </c>
      <c r="T2329" s="20">
        <f t="shared" si="1260"/>
        <v>0</v>
      </c>
      <c r="U2329">
        <f t="shared" si="1261"/>
        <v>249</v>
      </c>
      <c r="V2329">
        <f t="shared" si="1262"/>
        <v>249</v>
      </c>
      <c r="W2329" cm="1">
        <f t="array" ref="W2329">_xlfn._xlws.FILTER(shifts!A:A,(shifts!B:B=events!D2329)*(shifts!AH:AH&gt;=events!U2329)*(shifts!AI:AI&lt;=events!V2329))</f>
        <v>80</v>
      </c>
      <c r="X2329" t="str">
        <f t="shared" si="1263"/>
        <v>event_team_player_1</v>
      </c>
      <c r="Y2329">
        <f>COUNTIFS(A$3:A2329,"="&amp;A2329,K$3:K2329,"="&amp;K2329)</f>
        <v>1</v>
      </c>
      <c r="Z2329" s="20">
        <f>SUMIFS(T$3:T2329,L$3:L2329,"=Intermission")+SUMIFS(T$3:T2329,L$3:L2329,"=Timeout")+SUMIFS(T$3:T2329,L$3:L2329,"=Clockstop")</f>
        <v>138</v>
      </c>
      <c r="AA2329">
        <f t="shared" si="1254"/>
        <v>2298</v>
      </c>
      <c r="AC2329">
        <f t="shared" si="1255"/>
        <v>2436</v>
      </c>
    </row>
    <row r="2330" spans="1:29" x14ac:dyDescent="0.2">
      <c r="A2330">
        <v>1260</v>
      </c>
      <c r="D2330">
        <f t="shared" si="1256"/>
        <v>3</v>
      </c>
      <c r="E2330">
        <v>4</v>
      </c>
      <c r="F2330" s="6" t="s">
        <v>424</v>
      </c>
      <c r="I2330" t="s">
        <v>178</v>
      </c>
      <c r="J2330">
        <v>87</v>
      </c>
      <c r="K2330" t="s">
        <v>488</v>
      </c>
      <c r="L2330" t="s">
        <v>8</v>
      </c>
      <c r="M2330" t="s">
        <v>189</v>
      </c>
      <c r="N2330" t="s">
        <v>69</v>
      </c>
      <c r="Q2330">
        <f t="shared" ref="Q2330:S2330" si="1282">Q2329</f>
        <v>18977</v>
      </c>
      <c r="R2330" t="str">
        <f t="shared" si="1282"/>
        <v>Velodrome</v>
      </c>
      <c r="S2330" t="str">
        <f t="shared" si="1282"/>
        <v>HollowBrook</v>
      </c>
      <c r="T2330" s="20">
        <f t="shared" si="1260"/>
        <v>0</v>
      </c>
      <c r="U2330">
        <f t="shared" si="1261"/>
        <v>249</v>
      </c>
      <c r="V2330">
        <f t="shared" si="1262"/>
        <v>249</v>
      </c>
      <c r="W2330" cm="1">
        <f t="array" ref="W2330">_xlfn._xlws.FILTER(shifts!A:A,(shifts!B:B=events!D2330)*(shifts!AH:AH&gt;=events!U2330)*(shifts!AI:AI&lt;=events!V2330))</f>
        <v>80</v>
      </c>
      <c r="X2330" t="str">
        <f t="shared" si="1263"/>
        <v>event_team_player_2</v>
      </c>
      <c r="Y2330">
        <f>COUNTIFS(A$3:A2330,"="&amp;A2330,K$3:K2330,"="&amp;K2330)</f>
        <v>2</v>
      </c>
      <c r="Z2330" s="20">
        <f>SUMIFS(T$3:T2330,L$3:L2330,"=Intermission")+SUMIFS(T$3:T2330,L$3:L2330,"=Timeout")+SUMIFS(T$3:T2330,L$3:L2330,"=Clockstop")</f>
        <v>138</v>
      </c>
      <c r="AA2330">
        <f t="shared" si="1254"/>
        <v>2298</v>
      </c>
      <c r="AC2330">
        <f t="shared" si="1255"/>
        <v>2436</v>
      </c>
    </row>
    <row r="2331" spans="1:29" x14ac:dyDescent="0.2">
      <c r="A2331">
        <v>1261</v>
      </c>
      <c r="D2331">
        <f t="shared" si="1256"/>
        <v>3</v>
      </c>
      <c r="E2331">
        <v>4</v>
      </c>
      <c r="F2331" s="6" t="s">
        <v>424</v>
      </c>
      <c r="G2331">
        <v>4</v>
      </c>
      <c r="H2331" s="8" t="s">
        <v>314</v>
      </c>
      <c r="I2331" t="s">
        <v>178</v>
      </c>
      <c r="J2331">
        <v>87</v>
      </c>
      <c r="K2331" t="s">
        <v>488</v>
      </c>
      <c r="L2331" t="s">
        <v>15</v>
      </c>
      <c r="Q2331">
        <f t="shared" ref="Q2331:S2331" si="1283">Q2330</f>
        <v>18977</v>
      </c>
      <c r="R2331" t="str">
        <f t="shared" si="1283"/>
        <v>Velodrome</v>
      </c>
      <c r="S2331" t="str">
        <f t="shared" si="1283"/>
        <v>HollowBrook</v>
      </c>
      <c r="T2331" s="20">
        <f t="shared" si="1260"/>
        <v>3</v>
      </c>
      <c r="U2331">
        <f t="shared" si="1261"/>
        <v>249</v>
      </c>
      <c r="V2331">
        <f t="shared" si="1262"/>
        <v>246</v>
      </c>
      <c r="W2331" cm="1">
        <f t="array" ref="W2331">_xlfn._xlws.FILTER(shifts!A:A,(shifts!B:B=events!D2331)*(shifts!AH:AH&gt;=events!U2331)*(shifts!AI:AI&lt;=events!V2331))</f>
        <v>80</v>
      </c>
      <c r="X2331" t="str">
        <f t="shared" si="1263"/>
        <v>event_team_player_1</v>
      </c>
      <c r="Y2331">
        <f>COUNTIFS(A$3:A2331,"="&amp;A2331,K$3:K2331,"="&amp;K2331)</f>
        <v>1</v>
      </c>
      <c r="Z2331" s="20">
        <f>SUMIFS(T$3:T2331,L$3:L2331,"=Intermission")+SUMIFS(T$3:T2331,L$3:L2331,"=Timeout")+SUMIFS(T$3:T2331,L$3:L2331,"=Clockstop")</f>
        <v>138</v>
      </c>
      <c r="AA2331">
        <f t="shared" si="1254"/>
        <v>2298</v>
      </c>
      <c r="AC2331">
        <f t="shared" si="1255"/>
        <v>2436</v>
      </c>
    </row>
    <row r="2332" spans="1:29" x14ac:dyDescent="0.2">
      <c r="A2332">
        <v>1261</v>
      </c>
      <c r="D2332">
        <f t="shared" si="1256"/>
        <v>3</v>
      </c>
      <c r="E2332">
        <v>4</v>
      </c>
      <c r="F2332" s="6" t="s">
        <v>424</v>
      </c>
      <c r="G2332">
        <v>4</v>
      </c>
      <c r="H2332" s="8" t="s">
        <v>314</v>
      </c>
      <c r="I2332" t="s">
        <v>178</v>
      </c>
      <c r="J2332">
        <v>27</v>
      </c>
      <c r="K2332" t="s">
        <v>489</v>
      </c>
      <c r="L2332" t="s">
        <v>15</v>
      </c>
      <c r="Q2332">
        <f t="shared" ref="Q2332:S2332" si="1284">Q2331</f>
        <v>18977</v>
      </c>
      <c r="R2332" t="str">
        <f t="shared" si="1284"/>
        <v>Velodrome</v>
      </c>
      <c r="S2332" t="str">
        <f t="shared" si="1284"/>
        <v>HollowBrook</v>
      </c>
      <c r="T2332" s="20">
        <f t="shared" si="1260"/>
        <v>3</v>
      </c>
      <c r="U2332">
        <f t="shared" si="1261"/>
        <v>249</v>
      </c>
      <c r="V2332">
        <f t="shared" si="1262"/>
        <v>246</v>
      </c>
      <c r="W2332" cm="1">
        <f t="array" ref="W2332">_xlfn._xlws.FILTER(shifts!A:A,(shifts!B:B=events!D2332)*(shifts!AH:AH&gt;=events!U2332)*(shifts!AI:AI&lt;=events!V2332))</f>
        <v>80</v>
      </c>
      <c r="X2332" t="str">
        <f t="shared" si="1263"/>
        <v>opp_team_player_1</v>
      </c>
      <c r="Y2332">
        <f>COUNTIFS(A$3:A2332,"="&amp;A2332,K$3:K2332,"="&amp;K2332)</f>
        <v>1</v>
      </c>
      <c r="Z2332" s="20">
        <f>SUMIFS(T$3:T2332,L$3:L2332,"=Intermission")+SUMIFS(T$3:T2332,L$3:L2332,"=Timeout")+SUMIFS(T$3:T2332,L$3:L2332,"=Clockstop")</f>
        <v>138</v>
      </c>
      <c r="AA2332">
        <f t="shared" si="1254"/>
        <v>2298</v>
      </c>
      <c r="AC2332">
        <f t="shared" si="1255"/>
        <v>2436</v>
      </c>
    </row>
    <row r="2333" spans="1:29" x14ac:dyDescent="0.2">
      <c r="A2333">
        <v>1262</v>
      </c>
      <c r="D2333">
        <f t="shared" si="1256"/>
        <v>3</v>
      </c>
      <c r="E2333">
        <v>4</v>
      </c>
      <c r="F2333" s="6" t="s">
        <v>314</v>
      </c>
      <c r="I2333" t="s">
        <v>178</v>
      </c>
      <c r="J2333">
        <v>87</v>
      </c>
      <c r="K2333" t="s">
        <v>488</v>
      </c>
      <c r="L2333" t="s">
        <v>8</v>
      </c>
      <c r="M2333" t="s">
        <v>189</v>
      </c>
      <c r="N2333" t="s">
        <v>70</v>
      </c>
      <c r="Q2333">
        <f t="shared" ref="Q2333:S2333" si="1285">Q2332</f>
        <v>18977</v>
      </c>
      <c r="R2333" t="str">
        <f t="shared" si="1285"/>
        <v>Velodrome</v>
      </c>
      <c r="S2333" t="str">
        <f t="shared" si="1285"/>
        <v>HollowBrook</v>
      </c>
      <c r="T2333" s="20">
        <f t="shared" si="1260"/>
        <v>0</v>
      </c>
      <c r="U2333">
        <f t="shared" si="1261"/>
        <v>246</v>
      </c>
      <c r="V2333">
        <f t="shared" si="1262"/>
        <v>246</v>
      </c>
      <c r="W2333" cm="1">
        <f t="array" ref="W2333">_xlfn._xlws.FILTER(shifts!A:A,(shifts!B:B=events!D2333)*(shifts!AH:AH&gt;=events!U2333)*(shifts!AI:AI&lt;=events!V2333))</f>
        <v>80</v>
      </c>
      <c r="X2333" t="str">
        <f t="shared" si="1263"/>
        <v>event_team_player_1</v>
      </c>
      <c r="Y2333">
        <f>COUNTIFS(A$3:A2333,"="&amp;A2333,K$3:K2333,"="&amp;K2333)</f>
        <v>1</v>
      </c>
      <c r="Z2333" s="20">
        <f>SUMIFS(T$3:T2333,L$3:L2333,"=Intermission")+SUMIFS(T$3:T2333,L$3:L2333,"=Timeout")+SUMIFS(T$3:T2333,L$3:L2333,"=Clockstop")</f>
        <v>138</v>
      </c>
      <c r="AA2333">
        <f t="shared" si="1254"/>
        <v>2298</v>
      </c>
      <c r="AC2333">
        <f t="shared" si="1255"/>
        <v>2436</v>
      </c>
    </row>
    <row r="2334" spans="1:29" x14ac:dyDescent="0.2">
      <c r="A2334">
        <v>1262</v>
      </c>
      <c r="D2334">
        <f t="shared" si="1256"/>
        <v>3</v>
      </c>
      <c r="E2334">
        <v>4</v>
      </c>
      <c r="F2334" s="6" t="s">
        <v>314</v>
      </c>
      <c r="I2334" t="s">
        <v>178</v>
      </c>
      <c r="J2334">
        <v>84</v>
      </c>
      <c r="K2334" t="s">
        <v>488</v>
      </c>
      <c r="L2334" t="s">
        <v>8</v>
      </c>
      <c r="M2334" t="s">
        <v>189</v>
      </c>
      <c r="N2334" t="s">
        <v>70</v>
      </c>
      <c r="Q2334">
        <f t="shared" ref="Q2334:S2334" si="1286">Q2333</f>
        <v>18977</v>
      </c>
      <c r="R2334" t="str">
        <f t="shared" si="1286"/>
        <v>Velodrome</v>
      </c>
      <c r="S2334" t="str">
        <f t="shared" si="1286"/>
        <v>HollowBrook</v>
      </c>
      <c r="T2334" s="20">
        <f t="shared" si="1260"/>
        <v>0</v>
      </c>
      <c r="U2334">
        <f t="shared" si="1261"/>
        <v>246</v>
      </c>
      <c r="V2334">
        <f t="shared" si="1262"/>
        <v>246</v>
      </c>
      <c r="W2334" cm="1">
        <f t="array" ref="W2334">_xlfn._xlws.FILTER(shifts!A:A,(shifts!B:B=events!D2334)*(shifts!AH:AH&gt;=events!U2334)*(shifts!AI:AI&lt;=events!V2334))</f>
        <v>80</v>
      </c>
      <c r="X2334" t="str">
        <f t="shared" si="1263"/>
        <v>event_team_player_2</v>
      </c>
      <c r="Y2334">
        <f>COUNTIFS(A$3:A2334,"="&amp;A2334,K$3:K2334,"="&amp;K2334)</f>
        <v>2</v>
      </c>
      <c r="Z2334" s="20">
        <f>SUMIFS(T$3:T2334,L$3:L2334,"=Intermission")+SUMIFS(T$3:T2334,L$3:L2334,"=Timeout")+SUMIFS(T$3:T2334,L$3:L2334,"=Clockstop")</f>
        <v>138</v>
      </c>
      <c r="AA2334">
        <f t="shared" si="1254"/>
        <v>2298</v>
      </c>
      <c r="AC2334">
        <f t="shared" si="1255"/>
        <v>2436</v>
      </c>
    </row>
    <row r="2335" spans="1:29" x14ac:dyDescent="0.2">
      <c r="A2335">
        <v>1262</v>
      </c>
      <c r="D2335">
        <f t="shared" si="1256"/>
        <v>3</v>
      </c>
      <c r="E2335">
        <v>4</v>
      </c>
      <c r="F2335" s="6" t="s">
        <v>314</v>
      </c>
      <c r="I2335" t="s">
        <v>178</v>
      </c>
      <c r="J2335">
        <v>22</v>
      </c>
      <c r="K2335" t="s">
        <v>489</v>
      </c>
      <c r="L2335" t="s">
        <v>8</v>
      </c>
      <c r="M2335" t="s">
        <v>189</v>
      </c>
      <c r="N2335" t="s">
        <v>70</v>
      </c>
      <c r="Q2335">
        <f t="shared" ref="Q2335:S2335" si="1287">Q2334</f>
        <v>18977</v>
      </c>
      <c r="R2335" t="str">
        <f t="shared" si="1287"/>
        <v>Velodrome</v>
      </c>
      <c r="S2335" t="str">
        <f t="shared" si="1287"/>
        <v>HollowBrook</v>
      </c>
      <c r="T2335" s="20">
        <f t="shared" si="1260"/>
        <v>0</v>
      </c>
      <c r="U2335">
        <f t="shared" si="1261"/>
        <v>246</v>
      </c>
      <c r="V2335">
        <f t="shared" si="1262"/>
        <v>246</v>
      </c>
      <c r="W2335" cm="1">
        <f t="array" ref="W2335">_xlfn._xlws.FILTER(shifts!A:A,(shifts!B:B=events!D2335)*(shifts!AH:AH&gt;=events!U2335)*(shifts!AI:AI&lt;=events!V2335))</f>
        <v>80</v>
      </c>
      <c r="X2335" t="str">
        <f t="shared" si="1263"/>
        <v>opp_team_player_1</v>
      </c>
      <c r="Y2335">
        <f>COUNTIFS(A$3:A2335,"="&amp;A2335,K$3:K2335,"="&amp;K2335)</f>
        <v>1</v>
      </c>
      <c r="Z2335" s="20">
        <f>SUMIFS(T$3:T2335,L$3:L2335,"=Intermission")+SUMIFS(T$3:T2335,L$3:L2335,"=Timeout")+SUMIFS(T$3:T2335,L$3:L2335,"=Clockstop")</f>
        <v>138</v>
      </c>
      <c r="AA2335">
        <f t="shared" si="1254"/>
        <v>2298</v>
      </c>
      <c r="AC2335">
        <f t="shared" si="1255"/>
        <v>2436</v>
      </c>
    </row>
    <row r="2336" spans="1:29" x14ac:dyDescent="0.2">
      <c r="A2336">
        <v>1263</v>
      </c>
      <c r="D2336">
        <f t="shared" si="1256"/>
        <v>3</v>
      </c>
      <c r="E2336">
        <v>4</v>
      </c>
      <c r="F2336" s="6" t="s">
        <v>315</v>
      </c>
      <c r="G2336">
        <v>4</v>
      </c>
      <c r="H2336" s="8" t="s">
        <v>316</v>
      </c>
      <c r="I2336" t="s">
        <v>178</v>
      </c>
      <c r="J2336">
        <v>84</v>
      </c>
      <c r="K2336" t="s">
        <v>488</v>
      </c>
      <c r="L2336" t="s">
        <v>15</v>
      </c>
      <c r="Q2336">
        <f t="shared" ref="Q2336:S2336" si="1288">Q2335</f>
        <v>18977</v>
      </c>
      <c r="R2336" t="str">
        <f t="shared" si="1288"/>
        <v>Velodrome</v>
      </c>
      <c r="S2336" t="str">
        <f t="shared" si="1288"/>
        <v>HollowBrook</v>
      </c>
      <c r="T2336" s="20">
        <f t="shared" si="1260"/>
        <v>3</v>
      </c>
      <c r="U2336">
        <f t="shared" si="1261"/>
        <v>245</v>
      </c>
      <c r="V2336">
        <f t="shared" si="1262"/>
        <v>242</v>
      </c>
      <c r="W2336" cm="1">
        <f t="array" ref="W2336">_xlfn._xlws.FILTER(shifts!A:A,(shifts!B:B=events!D2336)*(shifts!AH:AH&gt;=events!U2336)*(shifts!AI:AI&lt;=events!V2336))</f>
        <v>80</v>
      </c>
      <c r="X2336" t="str">
        <f t="shared" si="1263"/>
        <v>event_team_player_1</v>
      </c>
      <c r="Y2336">
        <f>COUNTIFS(A$3:A2336,"="&amp;A2336,K$3:K2336,"="&amp;K2336)</f>
        <v>1</v>
      </c>
      <c r="Z2336" s="20">
        <f>SUMIFS(T$3:T2336,L$3:L2336,"=Intermission")+SUMIFS(T$3:T2336,L$3:L2336,"=Timeout")+SUMIFS(T$3:T2336,L$3:L2336,"=Clockstop")</f>
        <v>138</v>
      </c>
      <c r="AA2336">
        <f t="shared" si="1254"/>
        <v>2298</v>
      </c>
      <c r="AC2336">
        <f t="shared" si="1255"/>
        <v>2436</v>
      </c>
    </row>
    <row r="2337" spans="1:29" x14ac:dyDescent="0.2">
      <c r="A2337">
        <v>1264</v>
      </c>
      <c r="D2337">
        <f t="shared" si="1256"/>
        <v>3</v>
      </c>
      <c r="E2337">
        <v>4</v>
      </c>
      <c r="F2337" s="25" t="s">
        <v>316</v>
      </c>
      <c r="I2337" t="s">
        <v>178</v>
      </c>
      <c r="J2337">
        <v>84</v>
      </c>
      <c r="K2337" t="s">
        <v>488</v>
      </c>
      <c r="L2337" t="s">
        <v>8</v>
      </c>
      <c r="M2337" t="s">
        <v>189</v>
      </c>
      <c r="N2337" t="s">
        <v>70</v>
      </c>
      <c r="Q2337">
        <f t="shared" ref="Q2337:S2337" si="1289">Q2336</f>
        <v>18977</v>
      </c>
      <c r="R2337" t="str">
        <f t="shared" si="1289"/>
        <v>Velodrome</v>
      </c>
      <c r="S2337" t="str">
        <f t="shared" si="1289"/>
        <v>HollowBrook</v>
      </c>
      <c r="T2337" s="20">
        <f t="shared" si="1260"/>
        <v>0</v>
      </c>
      <c r="U2337">
        <f t="shared" si="1261"/>
        <v>242</v>
      </c>
      <c r="V2337">
        <f t="shared" si="1262"/>
        <v>242</v>
      </c>
      <c r="W2337" cm="1">
        <f t="array" ref="W2337">_xlfn._xlws.FILTER(shifts!A:A,(shifts!B:B=events!D2337)*(shifts!AH:AH&gt;=events!U2337)*(shifts!AI:AI&lt;=events!V2337))</f>
        <v>80</v>
      </c>
      <c r="X2337" t="str">
        <f t="shared" si="1263"/>
        <v>event_team_player_1</v>
      </c>
      <c r="Y2337">
        <f>COUNTIFS(A$3:A2337,"="&amp;A2337,K$3:K2337,"="&amp;K2337)</f>
        <v>1</v>
      </c>
      <c r="Z2337" s="20">
        <f>SUMIFS(T$3:T2337,L$3:L2337,"=Intermission")+SUMIFS(T$3:T2337,L$3:L2337,"=Timeout")+SUMIFS(T$3:T2337,L$3:L2337,"=Clockstop")</f>
        <v>138</v>
      </c>
      <c r="AA2337">
        <f t="shared" si="1254"/>
        <v>2298</v>
      </c>
      <c r="AC2337">
        <f t="shared" si="1255"/>
        <v>2436</v>
      </c>
    </row>
    <row r="2338" spans="1:29" x14ac:dyDescent="0.2">
      <c r="A2338">
        <v>1264</v>
      </c>
      <c r="D2338">
        <f t="shared" si="1256"/>
        <v>3</v>
      </c>
      <c r="E2338">
        <v>4</v>
      </c>
      <c r="F2338" s="25" t="s">
        <v>316</v>
      </c>
      <c r="I2338" t="s">
        <v>178</v>
      </c>
      <c r="J2338">
        <v>70</v>
      </c>
      <c r="K2338" t="s">
        <v>488</v>
      </c>
      <c r="L2338" t="s">
        <v>8</v>
      </c>
      <c r="M2338" t="s">
        <v>189</v>
      </c>
      <c r="N2338" t="s">
        <v>70</v>
      </c>
      <c r="Q2338">
        <f t="shared" ref="Q2338:S2338" si="1290">Q2337</f>
        <v>18977</v>
      </c>
      <c r="R2338" t="str">
        <f t="shared" si="1290"/>
        <v>Velodrome</v>
      </c>
      <c r="S2338" t="str">
        <f t="shared" si="1290"/>
        <v>HollowBrook</v>
      </c>
      <c r="T2338" s="20">
        <f t="shared" si="1260"/>
        <v>0</v>
      </c>
      <c r="U2338">
        <f t="shared" si="1261"/>
        <v>242</v>
      </c>
      <c r="V2338">
        <f t="shared" si="1262"/>
        <v>242</v>
      </c>
      <c r="W2338" cm="1">
        <f t="array" ref="W2338">_xlfn._xlws.FILTER(shifts!A:A,(shifts!B:B=events!D2338)*(shifts!AH:AH&gt;=events!U2338)*(shifts!AI:AI&lt;=events!V2338))</f>
        <v>80</v>
      </c>
      <c r="X2338" t="str">
        <f t="shared" si="1263"/>
        <v>event_team_player_2</v>
      </c>
      <c r="Y2338">
        <f>COUNTIFS(A$3:A2338,"="&amp;A2338,K$3:K2338,"="&amp;K2338)</f>
        <v>2</v>
      </c>
      <c r="Z2338" s="20">
        <f>SUMIFS(T$3:T2338,L$3:L2338,"=Intermission")+SUMIFS(T$3:T2338,L$3:L2338,"=Timeout")+SUMIFS(T$3:T2338,L$3:L2338,"=Clockstop")</f>
        <v>138</v>
      </c>
      <c r="AA2338">
        <f t="shared" si="1254"/>
        <v>2298</v>
      </c>
      <c r="AC2338">
        <f t="shared" si="1255"/>
        <v>2436</v>
      </c>
    </row>
    <row r="2339" spans="1:29" x14ac:dyDescent="0.2">
      <c r="A2339">
        <v>1265</v>
      </c>
      <c r="D2339">
        <f t="shared" si="1256"/>
        <v>3</v>
      </c>
      <c r="E2339">
        <v>4</v>
      </c>
      <c r="F2339" s="6" t="s">
        <v>312</v>
      </c>
      <c r="G2339">
        <v>3</v>
      </c>
      <c r="H2339" s="8" t="s">
        <v>487</v>
      </c>
      <c r="I2339" t="s">
        <v>178</v>
      </c>
      <c r="J2339">
        <v>70</v>
      </c>
      <c r="K2339" t="s">
        <v>488</v>
      </c>
      <c r="L2339" t="s">
        <v>15</v>
      </c>
      <c r="Q2339">
        <f t="shared" ref="Q2339:S2339" si="1291">Q2338</f>
        <v>18977</v>
      </c>
      <c r="R2339" t="str">
        <f t="shared" si="1291"/>
        <v>Velodrome</v>
      </c>
      <c r="S2339" t="str">
        <f t="shared" si="1291"/>
        <v>HollowBrook</v>
      </c>
      <c r="T2339" s="20">
        <f t="shared" si="1260"/>
        <v>2</v>
      </c>
      <c r="U2339">
        <f t="shared" si="1261"/>
        <v>241</v>
      </c>
      <c r="V2339">
        <f t="shared" si="1262"/>
        <v>239</v>
      </c>
      <c r="W2339" cm="1">
        <f t="array" ref="W2339">_xlfn._xlws.FILTER(shifts!A:A,(shifts!B:B=events!D2339)*(shifts!AH:AH&gt;=events!U2339)*(shifts!AI:AI&lt;=events!V2339))</f>
        <v>80</v>
      </c>
      <c r="X2339" t="str">
        <f t="shared" si="1263"/>
        <v>event_team_player_1</v>
      </c>
      <c r="Y2339">
        <f>COUNTIFS(A$3:A2339,"="&amp;A2339,K$3:K2339,"="&amp;K2339)</f>
        <v>1</v>
      </c>
      <c r="Z2339" s="20">
        <f>SUMIFS(T$3:T2339,L$3:L2339,"=Intermission")+SUMIFS(T$3:T2339,L$3:L2339,"=Timeout")+SUMIFS(T$3:T2339,L$3:L2339,"=Clockstop")</f>
        <v>138</v>
      </c>
      <c r="AA2339">
        <f t="shared" si="1254"/>
        <v>2298</v>
      </c>
      <c r="AC2339">
        <f t="shared" si="1255"/>
        <v>2436</v>
      </c>
    </row>
    <row r="2340" spans="1:29" x14ac:dyDescent="0.2">
      <c r="A2340">
        <v>1266</v>
      </c>
      <c r="D2340">
        <f t="shared" si="1256"/>
        <v>3</v>
      </c>
      <c r="E2340">
        <v>3</v>
      </c>
      <c r="F2340" s="6" t="s">
        <v>487</v>
      </c>
      <c r="I2340" t="s">
        <v>178</v>
      </c>
      <c r="J2340">
        <v>70</v>
      </c>
      <c r="K2340" t="s">
        <v>488</v>
      </c>
      <c r="L2340" t="s">
        <v>7</v>
      </c>
      <c r="M2340" t="s">
        <v>198</v>
      </c>
      <c r="N2340" t="s">
        <v>53</v>
      </c>
      <c r="Q2340">
        <f t="shared" ref="Q2340:S2340" si="1292">Q2339</f>
        <v>18977</v>
      </c>
      <c r="R2340" t="str">
        <f t="shared" si="1292"/>
        <v>Velodrome</v>
      </c>
      <c r="S2340" t="str">
        <f t="shared" si="1292"/>
        <v>HollowBrook</v>
      </c>
      <c r="T2340" s="20">
        <f t="shared" si="1260"/>
        <v>0</v>
      </c>
      <c r="U2340">
        <f t="shared" si="1261"/>
        <v>239</v>
      </c>
      <c r="V2340">
        <f t="shared" si="1262"/>
        <v>239</v>
      </c>
      <c r="W2340" cm="1">
        <f t="array" ref="W2340">_xlfn._xlws.FILTER(shifts!A:A,(shifts!B:B=events!D2340)*(shifts!AH:AH&gt;=events!U2340)*(shifts!AI:AI&lt;=events!V2340))</f>
        <v>80</v>
      </c>
      <c r="X2340" t="str">
        <f t="shared" si="1263"/>
        <v>event_team_player_1</v>
      </c>
      <c r="Y2340">
        <f>COUNTIFS(A$3:A2340,"="&amp;A2340,K$3:K2340,"="&amp;K2340)</f>
        <v>1</v>
      </c>
      <c r="Z2340" s="20">
        <f>SUMIFS(T$3:T2340,L$3:L2340,"=Intermission")+SUMIFS(T$3:T2340,L$3:L2340,"=Timeout")+SUMIFS(T$3:T2340,L$3:L2340,"=Clockstop")</f>
        <v>138</v>
      </c>
      <c r="AA2340">
        <f t="shared" si="1254"/>
        <v>2298</v>
      </c>
      <c r="AC2340">
        <f t="shared" si="1255"/>
        <v>2436</v>
      </c>
    </row>
    <row r="2341" spans="1:29" x14ac:dyDescent="0.2">
      <c r="A2341">
        <v>1266</v>
      </c>
      <c r="D2341">
        <f t="shared" si="1256"/>
        <v>3</v>
      </c>
      <c r="E2341">
        <v>3</v>
      </c>
      <c r="F2341" s="6" t="s">
        <v>487</v>
      </c>
      <c r="I2341" t="s">
        <v>178</v>
      </c>
      <c r="J2341">
        <v>14</v>
      </c>
      <c r="K2341" t="s">
        <v>488</v>
      </c>
      <c r="L2341" t="s">
        <v>7</v>
      </c>
      <c r="M2341" t="s">
        <v>198</v>
      </c>
      <c r="N2341" t="s">
        <v>53</v>
      </c>
      <c r="Q2341">
        <f t="shared" ref="Q2341:S2341" si="1293">Q2340</f>
        <v>18977</v>
      </c>
      <c r="R2341" t="str">
        <f t="shared" si="1293"/>
        <v>Velodrome</v>
      </c>
      <c r="S2341" t="str">
        <f t="shared" si="1293"/>
        <v>HollowBrook</v>
      </c>
      <c r="T2341" s="20">
        <f t="shared" si="1260"/>
        <v>0</v>
      </c>
      <c r="U2341">
        <f t="shared" si="1261"/>
        <v>239</v>
      </c>
      <c r="V2341">
        <f t="shared" si="1262"/>
        <v>239</v>
      </c>
      <c r="W2341" cm="1">
        <f t="array" ref="W2341">_xlfn._xlws.FILTER(shifts!A:A,(shifts!B:B=events!D2341)*(shifts!AH:AH&gt;=events!U2341)*(shifts!AI:AI&lt;=events!V2341))</f>
        <v>80</v>
      </c>
      <c r="X2341" t="str">
        <f t="shared" si="1263"/>
        <v>event_team_player_2</v>
      </c>
      <c r="Y2341">
        <f>COUNTIFS(A$3:A2341,"="&amp;A2341,K$3:K2341,"="&amp;K2341)</f>
        <v>2</v>
      </c>
      <c r="Z2341" s="20">
        <f>SUMIFS(T$3:T2341,L$3:L2341,"=Intermission")+SUMIFS(T$3:T2341,L$3:L2341,"=Timeout")+SUMIFS(T$3:T2341,L$3:L2341,"=Clockstop")</f>
        <v>138</v>
      </c>
      <c r="AA2341">
        <f t="shared" si="1254"/>
        <v>2298</v>
      </c>
      <c r="AC2341">
        <f t="shared" si="1255"/>
        <v>2436</v>
      </c>
    </row>
    <row r="2342" spans="1:29" x14ac:dyDescent="0.2">
      <c r="A2342">
        <v>1267</v>
      </c>
      <c r="D2342">
        <f t="shared" si="1256"/>
        <v>3</v>
      </c>
      <c r="E2342">
        <v>3</v>
      </c>
      <c r="F2342" s="6" t="s">
        <v>433</v>
      </c>
      <c r="I2342" t="s">
        <v>178</v>
      </c>
      <c r="J2342">
        <v>70</v>
      </c>
      <c r="K2342" t="s">
        <v>488</v>
      </c>
      <c r="L2342" t="s">
        <v>8</v>
      </c>
      <c r="M2342" t="s">
        <v>189</v>
      </c>
      <c r="N2342" t="s">
        <v>69</v>
      </c>
      <c r="Q2342">
        <f t="shared" ref="Q2342:S2342" si="1294">Q2341</f>
        <v>18977</v>
      </c>
      <c r="R2342" t="str">
        <f t="shared" si="1294"/>
        <v>Velodrome</v>
      </c>
      <c r="S2342" t="str">
        <f t="shared" si="1294"/>
        <v>HollowBrook</v>
      </c>
      <c r="T2342" s="20">
        <f t="shared" si="1260"/>
        <v>0</v>
      </c>
      <c r="U2342">
        <f t="shared" si="1261"/>
        <v>237</v>
      </c>
      <c r="V2342">
        <f t="shared" si="1262"/>
        <v>237</v>
      </c>
      <c r="W2342" cm="1">
        <f t="array" ref="W2342">_xlfn._xlws.FILTER(shifts!A:A,(shifts!B:B=events!D2342)*(shifts!AH:AH&gt;=events!U2342)*(shifts!AI:AI&lt;=events!V2342))</f>
        <v>80</v>
      </c>
      <c r="X2342" t="str">
        <f t="shared" si="1263"/>
        <v>event_team_player_1</v>
      </c>
      <c r="Y2342">
        <f>COUNTIFS(A$3:A2342,"="&amp;A2342,K$3:K2342,"="&amp;K2342)</f>
        <v>1</v>
      </c>
      <c r="Z2342" s="20">
        <f>SUMIFS(T$3:T2342,L$3:L2342,"=Intermission")+SUMIFS(T$3:T2342,L$3:L2342,"=Timeout")+SUMIFS(T$3:T2342,L$3:L2342,"=Clockstop")</f>
        <v>138</v>
      </c>
      <c r="AA2342">
        <f t="shared" si="1254"/>
        <v>2298</v>
      </c>
      <c r="AC2342">
        <f t="shared" si="1255"/>
        <v>2436</v>
      </c>
    </row>
    <row r="2343" spans="1:29" x14ac:dyDescent="0.2">
      <c r="A2343">
        <v>1267</v>
      </c>
      <c r="D2343">
        <f t="shared" si="1256"/>
        <v>3</v>
      </c>
      <c r="E2343">
        <v>3</v>
      </c>
      <c r="F2343" s="6" t="s">
        <v>433</v>
      </c>
      <c r="I2343" t="s">
        <v>178</v>
      </c>
      <c r="J2343">
        <v>87</v>
      </c>
      <c r="K2343" t="s">
        <v>488</v>
      </c>
      <c r="L2343" t="s">
        <v>8</v>
      </c>
      <c r="M2343" t="s">
        <v>189</v>
      </c>
      <c r="N2343" t="s">
        <v>69</v>
      </c>
      <c r="Q2343">
        <f t="shared" ref="Q2343:S2343" si="1295">Q2342</f>
        <v>18977</v>
      </c>
      <c r="R2343" t="str">
        <f t="shared" si="1295"/>
        <v>Velodrome</v>
      </c>
      <c r="S2343" t="str">
        <f t="shared" si="1295"/>
        <v>HollowBrook</v>
      </c>
      <c r="T2343" s="20">
        <f t="shared" si="1260"/>
        <v>0</v>
      </c>
      <c r="U2343">
        <f t="shared" si="1261"/>
        <v>237</v>
      </c>
      <c r="V2343">
        <f t="shared" si="1262"/>
        <v>237</v>
      </c>
      <c r="W2343" cm="1">
        <f t="array" ref="W2343">_xlfn._xlws.FILTER(shifts!A:A,(shifts!B:B=events!D2343)*(shifts!AH:AH&gt;=events!U2343)*(shifts!AI:AI&lt;=events!V2343))</f>
        <v>80</v>
      </c>
      <c r="X2343" t="str">
        <f t="shared" si="1263"/>
        <v>event_team_player_2</v>
      </c>
      <c r="Y2343">
        <f>COUNTIFS(A$3:A2343,"="&amp;A2343,K$3:K2343,"="&amp;K2343)</f>
        <v>2</v>
      </c>
      <c r="Z2343" s="20">
        <f>SUMIFS(T$3:T2343,L$3:L2343,"=Intermission")+SUMIFS(T$3:T2343,L$3:L2343,"=Timeout")+SUMIFS(T$3:T2343,L$3:L2343,"=Clockstop")</f>
        <v>138</v>
      </c>
      <c r="AA2343">
        <f t="shared" si="1254"/>
        <v>2298</v>
      </c>
      <c r="AC2343">
        <f t="shared" si="1255"/>
        <v>2436</v>
      </c>
    </row>
    <row r="2344" spans="1:29" x14ac:dyDescent="0.2">
      <c r="A2344">
        <v>1268</v>
      </c>
      <c r="D2344">
        <f t="shared" si="1256"/>
        <v>3</v>
      </c>
      <c r="E2344">
        <v>3</v>
      </c>
      <c r="F2344" s="6" t="s">
        <v>429</v>
      </c>
      <c r="I2344" t="s">
        <v>178</v>
      </c>
      <c r="J2344">
        <v>87</v>
      </c>
      <c r="K2344" t="s">
        <v>488</v>
      </c>
      <c r="L2344" t="s">
        <v>7</v>
      </c>
      <c r="M2344" t="s">
        <v>281</v>
      </c>
      <c r="Q2344">
        <f t="shared" ref="Q2344:S2344" si="1296">Q2343</f>
        <v>18977</v>
      </c>
      <c r="R2344" t="str">
        <f t="shared" si="1296"/>
        <v>Velodrome</v>
      </c>
      <c r="S2344" t="str">
        <f t="shared" si="1296"/>
        <v>HollowBrook</v>
      </c>
      <c r="T2344" s="20">
        <f t="shared" si="1260"/>
        <v>0</v>
      </c>
      <c r="U2344">
        <f t="shared" si="1261"/>
        <v>235</v>
      </c>
      <c r="V2344">
        <f t="shared" si="1262"/>
        <v>235</v>
      </c>
      <c r="W2344" cm="1">
        <f t="array" ref="W2344">_xlfn._xlws.FILTER(shifts!A:A,(shifts!B:B=events!D2344)*(shifts!AH:AH&gt;=events!U2344)*(shifts!AI:AI&lt;=events!V2344))</f>
        <v>80</v>
      </c>
      <c r="X2344" t="str">
        <f t="shared" si="1263"/>
        <v>event_team_player_1</v>
      </c>
      <c r="Y2344">
        <f>COUNTIFS(A$3:A2344,"="&amp;A2344,K$3:K2344,"="&amp;K2344)</f>
        <v>1</v>
      </c>
      <c r="Z2344" s="20">
        <f>SUMIFS(T$3:T2344,L$3:L2344,"=Intermission")+SUMIFS(T$3:T2344,L$3:L2344,"=Timeout")+SUMIFS(T$3:T2344,L$3:L2344,"=Clockstop")</f>
        <v>138</v>
      </c>
      <c r="AA2344">
        <f t="shared" si="1254"/>
        <v>2298</v>
      </c>
      <c r="AC2344">
        <f t="shared" si="1255"/>
        <v>2436</v>
      </c>
    </row>
    <row r="2345" spans="1:29" x14ac:dyDescent="0.2">
      <c r="A2345">
        <v>1269</v>
      </c>
      <c r="D2345">
        <f t="shared" si="1256"/>
        <v>3</v>
      </c>
      <c r="E2345">
        <v>3</v>
      </c>
      <c r="F2345" s="6" t="s">
        <v>429</v>
      </c>
      <c r="I2345" t="s">
        <v>178</v>
      </c>
      <c r="J2345">
        <v>87</v>
      </c>
      <c r="K2345" t="s">
        <v>488</v>
      </c>
      <c r="L2345" t="s">
        <v>9</v>
      </c>
      <c r="M2345" t="s">
        <v>230</v>
      </c>
      <c r="N2345" t="s">
        <v>237</v>
      </c>
      <c r="Q2345">
        <f t="shared" ref="Q2345:S2345" si="1297">Q2344</f>
        <v>18977</v>
      </c>
      <c r="R2345" t="str">
        <f t="shared" si="1297"/>
        <v>Velodrome</v>
      </c>
      <c r="S2345" t="str">
        <f t="shared" si="1297"/>
        <v>HollowBrook</v>
      </c>
      <c r="T2345" s="20">
        <f t="shared" si="1260"/>
        <v>0</v>
      </c>
      <c r="U2345">
        <f t="shared" si="1261"/>
        <v>235</v>
      </c>
      <c r="V2345">
        <f t="shared" si="1262"/>
        <v>235</v>
      </c>
      <c r="W2345" cm="1">
        <f t="array" ref="W2345">_xlfn._xlws.FILTER(shifts!A:A,(shifts!B:B=events!D2345)*(shifts!AH:AH&gt;=events!U2345)*(shifts!AI:AI&lt;=events!V2345))</f>
        <v>80</v>
      </c>
      <c r="X2345" t="str">
        <f t="shared" si="1263"/>
        <v>event_team_player_1</v>
      </c>
      <c r="Y2345">
        <f>COUNTIFS(A$3:A2345,"="&amp;A2345,K$3:K2345,"="&amp;K2345)</f>
        <v>1</v>
      </c>
      <c r="Z2345" s="20">
        <f>SUMIFS(T$3:T2345,L$3:L2345,"=Intermission")+SUMIFS(T$3:T2345,L$3:L2345,"=Timeout")+SUMIFS(T$3:T2345,L$3:L2345,"=Clockstop")</f>
        <v>138</v>
      </c>
      <c r="AA2345">
        <f t="shared" si="1254"/>
        <v>2298</v>
      </c>
      <c r="AC2345">
        <f t="shared" si="1255"/>
        <v>2436</v>
      </c>
    </row>
    <row r="2346" spans="1:29" x14ac:dyDescent="0.2">
      <c r="A2346">
        <v>1269</v>
      </c>
      <c r="D2346">
        <f t="shared" si="1256"/>
        <v>3</v>
      </c>
      <c r="E2346">
        <v>3</v>
      </c>
      <c r="F2346" s="6" t="s">
        <v>429</v>
      </c>
      <c r="I2346" t="s">
        <v>178</v>
      </c>
      <c r="J2346">
        <v>99</v>
      </c>
      <c r="K2346" t="s">
        <v>489</v>
      </c>
      <c r="L2346" t="s">
        <v>9</v>
      </c>
      <c r="M2346" t="s">
        <v>230</v>
      </c>
      <c r="N2346" t="s">
        <v>237</v>
      </c>
      <c r="Q2346">
        <f t="shared" ref="Q2346:S2346" si="1298">Q2345</f>
        <v>18977</v>
      </c>
      <c r="R2346" t="str">
        <f t="shared" si="1298"/>
        <v>Velodrome</v>
      </c>
      <c r="S2346" t="str">
        <f t="shared" si="1298"/>
        <v>HollowBrook</v>
      </c>
      <c r="T2346" s="20">
        <f t="shared" si="1260"/>
        <v>0</v>
      </c>
      <c r="U2346">
        <f t="shared" si="1261"/>
        <v>235</v>
      </c>
      <c r="V2346">
        <f t="shared" si="1262"/>
        <v>235</v>
      </c>
      <c r="W2346" cm="1">
        <f t="array" ref="W2346">_xlfn._xlws.FILTER(shifts!A:A,(shifts!B:B=events!D2346)*(shifts!AH:AH&gt;=events!U2346)*(shifts!AI:AI&lt;=events!V2346))</f>
        <v>80</v>
      </c>
      <c r="X2346" t="str">
        <f t="shared" si="1263"/>
        <v>opp_team_player_1</v>
      </c>
      <c r="Y2346">
        <f>COUNTIFS(A$3:A2346,"="&amp;A2346,K$3:K2346,"="&amp;K2346)</f>
        <v>1</v>
      </c>
      <c r="Z2346" s="20">
        <f>SUMIFS(T$3:T2346,L$3:L2346,"=Intermission")+SUMIFS(T$3:T2346,L$3:L2346,"=Timeout")+SUMIFS(T$3:T2346,L$3:L2346,"=Clockstop")</f>
        <v>138</v>
      </c>
      <c r="AA2346">
        <f t="shared" si="1254"/>
        <v>2298</v>
      </c>
      <c r="AC2346">
        <f t="shared" si="1255"/>
        <v>2436</v>
      </c>
    </row>
    <row r="2347" spans="1:29" x14ac:dyDescent="0.2">
      <c r="A2347">
        <v>1269</v>
      </c>
      <c r="D2347">
        <f t="shared" si="1256"/>
        <v>3</v>
      </c>
      <c r="E2347">
        <v>3</v>
      </c>
      <c r="F2347" s="6" t="s">
        <v>429</v>
      </c>
      <c r="I2347" t="s">
        <v>178</v>
      </c>
      <c r="J2347">
        <v>26</v>
      </c>
      <c r="K2347" t="s">
        <v>489</v>
      </c>
      <c r="L2347" t="s">
        <v>9</v>
      </c>
      <c r="M2347" t="s">
        <v>230</v>
      </c>
      <c r="N2347" t="s">
        <v>237</v>
      </c>
      <c r="Q2347">
        <f t="shared" ref="Q2347:S2347" si="1299">Q2346</f>
        <v>18977</v>
      </c>
      <c r="R2347" t="str">
        <f t="shared" si="1299"/>
        <v>Velodrome</v>
      </c>
      <c r="S2347" t="str">
        <f t="shared" si="1299"/>
        <v>HollowBrook</v>
      </c>
      <c r="T2347" s="20">
        <f t="shared" si="1260"/>
        <v>0</v>
      </c>
      <c r="U2347">
        <f t="shared" si="1261"/>
        <v>235</v>
      </c>
      <c r="V2347">
        <f t="shared" si="1262"/>
        <v>235</v>
      </c>
      <c r="W2347" cm="1">
        <f t="array" ref="W2347">_xlfn._xlws.FILTER(shifts!A:A,(shifts!B:B=events!D2347)*(shifts!AH:AH&gt;=events!U2347)*(shifts!AI:AI&lt;=events!V2347))</f>
        <v>80</v>
      </c>
      <c r="X2347" t="str">
        <f t="shared" si="1263"/>
        <v>opp_team_player_2</v>
      </c>
      <c r="Y2347">
        <f>COUNTIFS(A$3:A2347,"="&amp;A2347,K$3:K2347,"="&amp;K2347)</f>
        <v>2</v>
      </c>
      <c r="Z2347" s="20">
        <f>SUMIFS(T$3:T2347,L$3:L2347,"=Intermission")+SUMIFS(T$3:T2347,L$3:L2347,"=Timeout")+SUMIFS(T$3:T2347,L$3:L2347,"=Clockstop")</f>
        <v>138</v>
      </c>
      <c r="AA2347">
        <f t="shared" si="1254"/>
        <v>2298</v>
      </c>
      <c r="AC2347">
        <f t="shared" si="1255"/>
        <v>2436</v>
      </c>
    </row>
    <row r="2348" spans="1:29" x14ac:dyDescent="0.2">
      <c r="A2348">
        <v>1270</v>
      </c>
      <c r="D2348">
        <f t="shared" si="1256"/>
        <v>3</v>
      </c>
      <c r="E2348">
        <v>3</v>
      </c>
      <c r="F2348" s="6" t="s">
        <v>427</v>
      </c>
      <c r="G2348">
        <v>3</v>
      </c>
      <c r="H2348" s="8" t="s">
        <v>472</v>
      </c>
      <c r="I2348" t="s">
        <v>178</v>
      </c>
      <c r="J2348">
        <v>87</v>
      </c>
      <c r="K2348" t="s">
        <v>488</v>
      </c>
      <c r="L2348" t="s">
        <v>282</v>
      </c>
      <c r="Q2348">
        <f t="shared" ref="Q2348:S2348" si="1300">Q2347</f>
        <v>18977</v>
      </c>
      <c r="R2348" t="str">
        <f t="shared" si="1300"/>
        <v>Velodrome</v>
      </c>
      <c r="S2348" t="str">
        <f t="shared" si="1300"/>
        <v>HollowBrook</v>
      </c>
      <c r="T2348" s="20">
        <f t="shared" si="1260"/>
        <v>24</v>
      </c>
      <c r="U2348">
        <f t="shared" si="1261"/>
        <v>234</v>
      </c>
      <c r="V2348">
        <f t="shared" si="1262"/>
        <v>210</v>
      </c>
      <c r="W2348">
        <v>81</v>
      </c>
      <c r="X2348" t="str">
        <f t="shared" si="1263"/>
        <v>event_team_player_1</v>
      </c>
      <c r="Y2348">
        <f>COUNTIFS(A$3:A2348,"="&amp;A2348,K$3:K2348,"="&amp;K2348)</f>
        <v>1</v>
      </c>
      <c r="Z2348" s="20">
        <f>SUMIFS(T$3:T2348,L$3:L2348,"=Intermission")+SUMIFS(T$3:T2348,L$3:L2348,"=Timeout")+SUMIFS(T$3:T2348,L$3:L2348,"=Clockstop")</f>
        <v>138</v>
      </c>
      <c r="AA2348">
        <f t="shared" si="1254"/>
        <v>2298</v>
      </c>
      <c r="AC2348">
        <f t="shared" si="1255"/>
        <v>2436</v>
      </c>
    </row>
    <row r="2349" spans="1:29" x14ac:dyDescent="0.2">
      <c r="A2349">
        <v>1271</v>
      </c>
      <c r="D2349">
        <f t="shared" si="1256"/>
        <v>3</v>
      </c>
      <c r="E2349">
        <v>3</v>
      </c>
      <c r="F2349" s="6" t="s">
        <v>472</v>
      </c>
      <c r="I2349" t="s">
        <v>178</v>
      </c>
      <c r="J2349">
        <v>70</v>
      </c>
      <c r="K2349" t="s">
        <v>488</v>
      </c>
      <c r="L2349" t="s">
        <v>6</v>
      </c>
      <c r="M2349" t="s">
        <v>207</v>
      </c>
      <c r="Q2349">
        <f t="shared" ref="Q2349:S2349" si="1301">Q2348</f>
        <v>18977</v>
      </c>
      <c r="R2349" t="str">
        <f t="shared" si="1301"/>
        <v>Velodrome</v>
      </c>
      <c r="S2349" t="str">
        <f t="shared" si="1301"/>
        <v>HollowBrook</v>
      </c>
      <c r="T2349" s="20">
        <f t="shared" si="1260"/>
        <v>0</v>
      </c>
      <c r="U2349">
        <f t="shared" si="1261"/>
        <v>210</v>
      </c>
      <c r="V2349">
        <f t="shared" si="1262"/>
        <v>210</v>
      </c>
      <c r="W2349" cm="1">
        <f t="array" ref="W2349">_xlfn._xlws.FILTER(shifts!A:A,(shifts!B:B=events!D2349)*(shifts!AH:AH&gt;=events!U2349)*(shifts!AI:AI&lt;=events!V2349))</f>
        <v>81</v>
      </c>
      <c r="X2349" t="str">
        <f t="shared" si="1263"/>
        <v>event_team_player_1</v>
      </c>
      <c r="Y2349">
        <f>COUNTIFS(A$3:A2349,"="&amp;A2349,K$3:K2349,"="&amp;K2349)</f>
        <v>1</v>
      </c>
      <c r="Z2349" s="20">
        <f>SUMIFS(T$3:T2349,L$3:L2349,"=Intermission")+SUMIFS(T$3:T2349,L$3:L2349,"=Timeout")+SUMIFS(T$3:T2349,L$3:L2349,"=Clockstop")</f>
        <v>138</v>
      </c>
      <c r="AA2349">
        <f t="shared" si="1254"/>
        <v>2298</v>
      </c>
      <c r="AC2349">
        <f t="shared" si="1255"/>
        <v>2436</v>
      </c>
    </row>
    <row r="2350" spans="1:29" x14ac:dyDescent="0.2">
      <c r="A2350">
        <v>1271</v>
      </c>
      <c r="D2350">
        <f t="shared" si="1256"/>
        <v>3</v>
      </c>
      <c r="E2350">
        <v>3</v>
      </c>
      <c r="F2350" s="6" t="s">
        <v>472</v>
      </c>
      <c r="I2350" t="s">
        <v>178</v>
      </c>
      <c r="J2350">
        <v>87</v>
      </c>
      <c r="K2350" t="s">
        <v>488</v>
      </c>
      <c r="L2350" t="s">
        <v>6</v>
      </c>
      <c r="M2350" t="s">
        <v>207</v>
      </c>
      <c r="Q2350">
        <f t="shared" ref="Q2350:S2350" si="1302">Q2349</f>
        <v>18977</v>
      </c>
      <c r="R2350" t="str">
        <f t="shared" si="1302"/>
        <v>Velodrome</v>
      </c>
      <c r="S2350" t="str">
        <f t="shared" si="1302"/>
        <v>HollowBrook</v>
      </c>
      <c r="T2350" s="20">
        <f t="shared" si="1260"/>
        <v>0</v>
      </c>
      <c r="U2350">
        <f t="shared" si="1261"/>
        <v>210</v>
      </c>
      <c r="V2350">
        <f t="shared" si="1262"/>
        <v>210</v>
      </c>
      <c r="W2350" cm="1">
        <f t="array" ref="W2350">_xlfn._xlws.FILTER(shifts!A:A,(shifts!B:B=events!D2350)*(shifts!AH:AH&gt;=events!U2350)*(shifts!AI:AI&lt;=events!V2350))</f>
        <v>81</v>
      </c>
      <c r="X2350" t="str">
        <f t="shared" si="1263"/>
        <v>event_team_player_2</v>
      </c>
      <c r="Y2350">
        <f>COUNTIFS(A$3:A2350,"="&amp;A2350,K$3:K2350,"="&amp;K2350)</f>
        <v>2</v>
      </c>
      <c r="Z2350" s="20">
        <f>SUMIFS(T$3:T2350,L$3:L2350,"=Intermission")+SUMIFS(T$3:T2350,L$3:L2350,"=Timeout")+SUMIFS(T$3:T2350,L$3:L2350,"=Clockstop")</f>
        <v>138</v>
      </c>
      <c r="AA2350">
        <f t="shared" si="1254"/>
        <v>2298</v>
      </c>
      <c r="AC2350">
        <f t="shared" si="1255"/>
        <v>2436</v>
      </c>
    </row>
    <row r="2351" spans="1:29" x14ac:dyDescent="0.2">
      <c r="A2351">
        <v>1271</v>
      </c>
      <c r="D2351">
        <f t="shared" si="1256"/>
        <v>3</v>
      </c>
      <c r="E2351">
        <v>3</v>
      </c>
      <c r="F2351" s="6" t="s">
        <v>472</v>
      </c>
      <c r="I2351" t="s">
        <v>178</v>
      </c>
      <c r="J2351">
        <v>26</v>
      </c>
      <c r="K2351" t="s">
        <v>489</v>
      </c>
      <c r="L2351" t="s">
        <v>6</v>
      </c>
      <c r="M2351" t="s">
        <v>207</v>
      </c>
      <c r="Q2351">
        <f t="shared" ref="Q2351:S2351" si="1303">Q2350</f>
        <v>18977</v>
      </c>
      <c r="R2351" t="str">
        <f t="shared" si="1303"/>
        <v>Velodrome</v>
      </c>
      <c r="S2351" t="str">
        <f t="shared" si="1303"/>
        <v>HollowBrook</v>
      </c>
      <c r="T2351" s="20">
        <f t="shared" si="1260"/>
        <v>0</v>
      </c>
      <c r="U2351">
        <f t="shared" si="1261"/>
        <v>210</v>
      </c>
      <c r="V2351">
        <f t="shared" si="1262"/>
        <v>210</v>
      </c>
      <c r="W2351" cm="1">
        <f t="array" ref="W2351">_xlfn._xlws.FILTER(shifts!A:A,(shifts!B:B=events!D2351)*(shifts!AH:AH&gt;=events!U2351)*(shifts!AI:AI&lt;=events!V2351))</f>
        <v>81</v>
      </c>
      <c r="X2351" t="str">
        <f t="shared" si="1263"/>
        <v>opp_team_player_1</v>
      </c>
      <c r="Y2351">
        <f>COUNTIFS(A$3:A2351,"="&amp;A2351,K$3:K2351,"="&amp;K2351)</f>
        <v>1</v>
      </c>
      <c r="Z2351" s="20">
        <f>SUMIFS(T$3:T2351,L$3:L2351,"=Intermission")+SUMIFS(T$3:T2351,L$3:L2351,"=Timeout")+SUMIFS(T$3:T2351,L$3:L2351,"=Clockstop")</f>
        <v>138</v>
      </c>
      <c r="AA2351">
        <f t="shared" si="1254"/>
        <v>2298</v>
      </c>
      <c r="AC2351">
        <f t="shared" si="1255"/>
        <v>2436</v>
      </c>
    </row>
    <row r="2352" spans="1:29" x14ac:dyDescent="0.2">
      <c r="A2352">
        <v>1272</v>
      </c>
      <c r="D2352">
        <f t="shared" si="1256"/>
        <v>3</v>
      </c>
      <c r="E2352">
        <v>3</v>
      </c>
      <c r="F2352" s="6" t="s">
        <v>442</v>
      </c>
      <c r="I2352" t="s">
        <v>178</v>
      </c>
      <c r="J2352">
        <v>87</v>
      </c>
      <c r="K2352" t="s">
        <v>488</v>
      </c>
      <c r="L2352" t="s">
        <v>8</v>
      </c>
      <c r="M2352" t="s">
        <v>189</v>
      </c>
      <c r="N2352" t="s">
        <v>70</v>
      </c>
      <c r="Q2352">
        <f t="shared" ref="Q2352:S2352" si="1304">Q2351</f>
        <v>18977</v>
      </c>
      <c r="R2352" t="str">
        <f t="shared" si="1304"/>
        <v>Velodrome</v>
      </c>
      <c r="S2352" t="str">
        <f t="shared" si="1304"/>
        <v>HollowBrook</v>
      </c>
      <c r="T2352" s="20">
        <f t="shared" si="1260"/>
        <v>0</v>
      </c>
      <c r="U2352">
        <f t="shared" si="1261"/>
        <v>209</v>
      </c>
      <c r="V2352">
        <f t="shared" si="1262"/>
        <v>209</v>
      </c>
      <c r="W2352" cm="1">
        <f t="array" ref="W2352">_xlfn._xlws.FILTER(shifts!A:A,(shifts!B:B=events!D2352)*(shifts!AH:AH&gt;=events!U2352)*(shifts!AI:AI&lt;=events!V2352))</f>
        <v>81</v>
      </c>
      <c r="X2352" t="str">
        <f t="shared" si="1263"/>
        <v>event_team_player_1</v>
      </c>
      <c r="Y2352">
        <f>COUNTIFS(A$3:A2352,"="&amp;A2352,K$3:K2352,"="&amp;K2352)</f>
        <v>1</v>
      </c>
      <c r="Z2352" s="20">
        <f>SUMIFS(T$3:T2352,L$3:L2352,"=Intermission")+SUMIFS(T$3:T2352,L$3:L2352,"=Timeout")+SUMIFS(T$3:T2352,L$3:L2352,"=Clockstop")</f>
        <v>138</v>
      </c>
      <c r="AA2352">
        <f t="shared" si="1254"/>
        <v>2298</v>
      </c>
      <c r="AC2352">
        <f t="shared" si="1255"/>
        <v>2436</v>
      </c>
    </row>
    <row r="2353" spans="1:29" x14ac:dyDescent="0.2">
      <c r="A2353">
        <v>1272</v>
      </c>
      <c r="D2353">
        <f t="shared" si="1256"/>
        <v>3</v>
      </c>
      <c r="E2353">
        <v>3</v>
      </c>
      <c r="F2353" s="6" t="s">
        <v>442</v>
      </c>
      <c r="I2353" t="s">
        <v>178</v>
      </c>
      <c r="J2353">
        <v>84</v>
      </c>
      <c r="K2353" t="s">
        <v>488</v>
      </c>
      <c r="L2353" t="s">
        <v>8</v>
      </c>
      <c r="M2353" t="s">
        <v>189</v>
      </c>
      <c r="N2353" t="s">
        <v>70</v>
      </c>
      <c r="Q2353">
        <f t="shared" ref="Q2353:S2353" si="1305">Q2352</f>
        <v>18977</v>
      </c>
      <c r="R2353" t="str">
        <f t="shared" si="1305"/>
        <v>Velodrome</v>
      </c>
      <c r="S2353" t="str">
        <f t="shared" si="1305"/>
        <v>HollowBrook</v>
      </c>
      <c r="T2353" s="20">
        <f t="shared" si="1260"/>
        <v>0</v>
      </c>
      <c r="U2353">
        <f t="shared" si="1261"/>
        <v>209</v>
      </c>
      <c r="V2353">
        <f t="shared" si="1262"/>
        <v>209</v>
      </c>
      <c r="W2353" cm="1">
        <f t="array" ref="W2353">_xlfn._xlws.FILTER(shifts!A:A,(shifts!B:B=events!D2353)*(shifts!AH:AH&gt;=events!U2353)*(shifts!AI:AI&lt;=events!V2353))</f>
        <v>81</v>
      </c>
      <c r="X2353" t="str">
        <f t="shared" si="1263"/>
        <v>event_team_player_2</v>
      </c>
      <c r="Y2353">
        <f>COUNTIFS(A$3:A2353,"="&amp;A2353,K$3:K2353,"="&amp;K2353)</f>
        <v>2</v>
      </c>
      <c r="Z2353" s="20">
        <f>SUMIFS(T$3:T2353,L$3:L2353,"=Intermission")+SUMIFS(T$3:T2353,L$3:L2353,"=Timeout")+SUMIFS(T$3:T2353,L$3:L2353,"=Clockstop")</f>
        <v>138</v>
      </c>
      <c r="AA2353">
        <f t="shared" si="1254"/>
        <v>2298</v>
      </c>
      <c r="AC2353">
        <f t="shared" si="1255"/>
        <v>2436</v>
      </c>
    </row>
    <row r="2354" spans="1:29" x14ac:dyDescent="0.2">
      <c r="A2354">
        <v>1273</v>
      </c>
      <c r="D2354">
        <f t="shared" si="1256"/>
        <v>3</v>
      </c>
      <c r="E2354">
        <v>3</v>
      </c>
      <c r="F2354" s="6" t="s">
        <v>440</v>
      </c>
      <c r="I2354" t="s">
        <v>178</v>
      </c>
      <c r="J2354">
        <v>84</v>
      </c>
      <c r="K2354" t="s">
        <v>488</v>
      </c>
      <c r="L2354" t="s">
        <v>8</v>
      </c>
      <c r="M2354" t="s">
        <v>189</v>
      </c>
      <c r="N2354" t="s">
        <v>70</v>
      </c>
      <c r="Q2354">
        <f t="shared" ref="Q2354:S2354" si="1306">Q2353</f>
        <v>18977</v>
      </c>
      <c r="R2354" t="str">
        <f t="shared" si="1306"/>
        <v>Velodrome</v>
      </c>
      <c r="S2354" t="str">
        <f t="shared" si="1306"/>
        <v>HollowBrook</v>
      </c>
      <c r="T2354" s="20">
        <f t="shared" si="1260"/>
        <v>0</v>
      </c>
      <c r="U2354">
        <f t="shared" si="1261"/>
        <v>208</v>
      </c>
      <c r="V2354">
        <f t="shared" si="1262"/>
        <v>208</v>
      </c>
      <c r="W2354" cm="1">
        <f t="array" ref="W2354">_xlfn._xlws.FILTER(shifts!A:A,(shifts!B:B=events!D2354)*(shifts!AH:AH&gt;=events!U2354)*(shifts!AI:AI&lt;=events!V2354))</f>
        <v>81</v>
      </c>
      <c r="X2354" t="str">
        <f t="shared" si="1263"/>
        <v>event_team_player_1</v>
      </c>
      <c r="Y2354">
        <f>COUNTIFS(A$3:A2354,"="&amp;A2354,K$3:K2354,"="&amp;K2354)</f>
        <v>1</v>
      </c>
      <c r="Z2354" s="20">
        <f>SUMIFS(T$3:T2354,L$3:L2354,"=Intermission")+SUMIFS(T$3:T2354,L$3:L2354,"=Timeout")+SUMIFS(T$3:T2354,L$3:L2354,"=Clockstop")</f>
        <v>138</v>
      </c>
      <c r="AA2354">
        <f t="shared" si="1254"/>
        <v>2298</v>
      </c>
      <c r="AC2354">
        <f t="shared" si="1255"/>
        <v>2436</v>
      </c>
    </row>
    <row r="2355" spans="1:29" x14ac:dyDescent="0.2">
      <c r="A2355">
        <v>1273</v>
      </c>
      <c r="D2355">
        <f t="shared" si="1256"/>
        <v>3</v>
      </c>
      <c r="E2355">
        <v>3</v>
      </c>
      <c r="F2355" s="6" t="s">
        <v>440</v>
      </c>
      <c r="I2355" t="s">
        <v>178</v>
      </c>
      <c r="J2355">
        <v>14</v>
      </c>
      <c r="K2355" t="s">
        <v>488</v>
      </c>
      <c r="L2355" t="s">
        <v>8</v>
      </c>
      <c r="M2355" t="s">
        <v>189</v>
      </c>
      <c r="N2355" t="s">
        <v>70</v>
      </c>
      <c r="Q2355">
        <f t="shared" ref="Q2355:S2355" si="1307">Q2354</f>
        <v>18977</v>
      </c>
      <c r="R2355" t="str">
        <f t="shared" si="1307"/>
        <v>Velodrome</v>
      </c>
      <c r="S2355" t="str">
        <f t="shared" si="1307"/>
        <v>HollowBrook</v>
      </c>
      <c r="T2355" s="20">
        <f t="shared" si="1260"/>
        <v>0</v>
      </c>
      <c r="U2355">
        <f t="shared" si="1261"/>
        <v>208</v>
      </c>
      <c r="V2355">
        <f t="shared" si="1262"/>
        <v>208</v>
      </c>
      <c r="W2355" cm="1">
        <f t="array" ref="W2355">_xlfn._xlws.FILTER(shifts!A:A,(shifts!B:B=events!D2355)*(shifts!AH:AH&gt;=events!U2355)*(shifts!AI:AI&lt;=events!V2355))</f>
        <v>81</v>
      </c>
      <c r="X2355" t="str">
        <f t="shared" si="1263"/>
        <v>event_team_player_2</v>
      </c>
      <c r="Y2355">
        <f>COUNTIFS(A$3:A2355,"="&amp;A2355,K$3:K2355,"="&amp;K2355)</f>
        <v>2</v>
      </c>
      <c r="Z2355" s="20">
        <f>SUMIFS(T$3:T2355,L$3:L2355,"=Intermission")+SUMIFS(T$3:T2355,L$3:L2355,"=Timeout")+SUMIFS(T$3:T2355,L$3:L2355,"=Clockstop")</f>
        <v>138</v>
      </c>
      <c r="AA2355">
        <f t="shared" si="1254"/>
        <v>2298</v>
      </c>
      <c r="AC2355">
        <f t="shared" si="1255"/>
        <v>2436</v>
      </c>
    </row>
    <row r="2356" spans="1:29" x14ac:dyDescent="0.2">
      <c r="A2356">
        <v>1274</v>
      </c>
      <c r="D2356">
        <f t="shared" si="1256"/>
        <v>3</v>
      </c>
      <c r="E2356">
        <v>3</v>
      </c>
      <c r="F2356" s="6" t="s">
        <v>483</v>
      </c>
      <c r="I2356" t="s">
        <v>178</v>
      </c>
      <c r="J2356">
        <v>14</v>
      </c>
      <c r="K2356" t="s">
        <v>488</v>
      </c>
      <c r="L2356" t="s">
        <v>277</v>
      </c>
      <c r="M2356" t="s">
        <v>191</v>
      </c>
      <c r="N2356" t="s">
        <v>89</v>
      </c>
      <c r="Q2356">
        <f t="shared" ref="Q2356:S2356" si="1308">Q2355</f>
        <v>18977</v>
      </c>
      <c r="R2356" t="str">
        <f t="shared" si="1308"/>
        <v>Velodrome</v>
      </c>
      <c r="S2356" t="str">
        <f t="shared" si="1308"/>
        <v>HollowBrook</v>
      </c>
      <c r="T2356" s="20">
        <f t="shared" si="1260"/>
        <v>0</v>
      </c>
      <c r="U2356">
        <f t="shared" si="1261"/>
        <v>207</v>
      </c>
      <c r="V2356">
        <f t="shared" si="1262"/>
        <v>207</v>
      </c>
      <c r="W2356" cm="1">
        <f t="array" ref="W2356">_xlfn._xlws.FILTER(shifts!A:A,(shifts!B:B=events!D2356)*(shifts!AH:AH&gt;=events!U2356)*(shifts!AI:AI&lt;=events!V2356))</f>
        <v>81</v>
      </c>
      <c r="X2356" t="str">
        <f t="shared" si="1263"/>
        <v>event_team_player_1</v>
      </c>
      <c r="Y2356">
        <f>COUNTIFS(A$3:A2356,"="&amp;A2356,K$3:K2356,"="&amp;K2356)</f>
        <v>1</v>
      </c>
      <c r="Z2356" s="20">
        <f>SUMIFS(T$3:T2356,L$3:L2356,"=Intermission")+SUMIFS(T$3:T2356,L$3:L2356,"=Timeout")+SUMIFS(T$3:T2356,L$3:L2356,"=Clockstop")</f>
        <v>138</v>
      </c>
      <c r="AA2356">
        <f t="shared" si="1254"/>
        <v>2298</v>
      </c>
      <c r="AC2356">
        <f t="shared" si="1255"/>
        <v>2436</v>
      </c>
    </row>
    <row r="2357" spans="1:29" x14ac:dyDescent="0.2">
      <c r="A2357">
        <v>1275</v>
      </c>
      <c r="D2357">
        <f t="shared" si="1256"/>
        <v>3</v>
      </c>
      <c r="E2357">
        <v>3</v>
      </c>
      <c r="F2357" s="6" t="s">
        <v>483</v>
      </c>
      <c r="I2357" t="s">
        <v>178</v>
      </c>
      <c r="J2357">
        <v>14</v>
      </c>
      <c r="K2357" t="s">
        <v>488</v>
      </c>
      <c r="L2357" t="s">
        <v>10</v>
      </c>
      <c r="M2357" t="s">
        <v>190</v>
      </c>
      <c r="N2357" t="s">
        <v>460</v>
      </c>
      <c r="Q2357">
        <f t="shared" ref="Q2357:S2357" si="1309">Q2356</f>
        <v>18977</v>
      </c>
      <c r="R2357" t="str">
        <f t="shared" si="1309"/>
        <v>Velodrome</v>
      </c>
      <c r="S2357" t="str">
        <f t="shared" si="1309"/>
        <v>HollowBrook</v>
      </c>
      <c r="T2357" s="20">
        <f t="shared" si="1260"/>
        <v>0</v>
      </c>
      <c r="U2357">
        <f t="shared" si="1261"/>
        <v>207</v>
      </c>
      <c r="V2357">
        <f t="shared" si="1262"/>
        <v>207</v>
      </c>
      <c r="W2357" cm="1">
        <f t="array" ref="W2357">_xlfn._xlws.FILTER(shifts!A:A,(shifts!B:B=events!D2357)*(shifts!AH:AH&gt;=events!U2357)*(shifts!AI:AI&lt;=events!V2357))</f>
        <v>81</v>
      </c>
      <c r="X2357" t="str">
        <f t="shared" si="1263"/>
        <v>event_team_player_1</v>
      </c>
      <c r="Y2357">
        <f>COUNTIFS(A$3:A2357,"="&amp;A2357,K$3:K2357,"="&amp;K2357)</f>
        <v>1</v>
      </c>
      <c r="Z2357" s="20">
        <f>SUMIFS(T$3:T2357,L$3:L2357,"=Intermission")+SUMIFS(T$3:T2357,L$3:L2357,"=Timeout")+SUMIFS(T$3:T2357,L$3:L2357,"=Clockstop")</f>
        <v>138</v>
      </c>
      <c r="AA2357">
        <f t="shared" si="1254"/>
        <v>2298</v>
      </c>
      <c r="AC2357">
        <f t="shared" si="1255"/>
        <v>2436</v>
      </c>
    </row>
    <row r="2358" spans="1:29" x14ac:dyDescent="0.2">
      <c r="A2358">
        <v>1276</v>
      </c>
      <c r="D2358">
        <f t="shared" si="1256"/>
        <v>3</v>
      </c>
      <c r="E2358">
        <v>3</v>
      </c>
      <c r="F2358" s="6" t="s">
        <v>473</v>
      </c>
      <c r="I2358" t="s">
        <v>179</v>
      </c>
      <c r="J2358">
        <v>99</v>
      </c>
      <c r="K2358" t="s">
        <v>488</v>
      </c>
      <c r="L2358" t="s">
        <v>8</v>
      </c>
      <c r="M2358" t="s">
        <v>189</v>
      </c>
      <c r="N2358" t="s">
        <v>68</v>
      </c>
      <c r="Q2358">
        <f t="shared" ref="Q2358:S2358" si="1310">Q2357</f>
        <v>18977</v>
      </c>
      <c r="R2358" t="str">
        <f t="shared" si="1310"/>
        <v>Velodrome</v>
      </c>
      <c r="S2358" t="str">
        <f t="shared" si="1310"/>
        <v>HollowBrook</v>
      </c>
      <c r="T2358" s="20">
        <f t="shared" si="1260"/>
        <v>0</v>
      </c>
      <c r="U2358">
        <f t="shared" si="1261"/>
        <v>201</v>
      </c>
      <c r="V2358">
        <f t="shared" si="1262"/>
        <v>201</v>
      </c>
      <c r="W2358" cm="1">
        <f t="array" ref="W2358">_xlfn._xlws.FILTER(shifts!A:A,(shifts!B:B=events!D2358)*(shifts!AH:AH&gt;=events!U2358)*(shifts!AI:AI&lt;=events!V2358))</f>
        <v>81</v>
      </c>
      <c r="X2358" t="str">
        <f t="shared" si="1263"/>
        <v>event_team_player_1</v>
      </c>
      <c r="Y2358">
        <f>COUNTIFS(A$3:A2358,"="&amp;A2358,K$3:K2358,"="&amp;K2358)</f>
        <v>1</v>
      </c>
      <c r="Z2358" s="20">
        <f>SUMIFS(T$3:T2358,L$3:L2358,"=Intermission")+SUMIFS(T$3:T2358,L$3:L2358,"=Timeout")+SUMIFS(T$3:T2358,L$3:L2358,"=Clockstop")</f>
        <v>138</v>
      </c>
      <c r="AA2358">
        <f t="shared" si="1254"/>
        <v>2298</v>
      </c>
      <c r="AC2358">
        <f t="shared" si="1255"/>
        <v>2436</v>
      </c>
    </row>
    <row r="2359" spans="1:29" x14ac:dyDescent="0.2">
      <c r="A2359">
        <v>1276</v>
      </c>
      <c r="D2359">
        <f t="shared" si="1256"/>
        <v>3</v>
      </c>
      <c r="E2359">
        <v>3</v>
      </c>
      <c r="F2359" s="6" t="s">
        <v>473</v>
      </c>
      <c r="I2359" t="s">
        <v>179</v>
      </c>
      <c r="J2359">
        <v>18</v>
      </c>
      <c r="K2359" t="s">
        <v>488</v>
      </c>
      <c r="L2359" t="s">
        <v>8</v>
      </c>
      <c r="M2359" t="s">
        <v>189</v>
      </c>
      <c r="N2359" t="s">
        <v>68</v>
      </c>
      <c r="Q2359">
        <f t="shared" ref="Q2359:S2359" si="1311">Q2358</f>
        <v>18977</v>
      </c>
      <c r="R2359" t="str">
        <f t="shared" si="1311"/>
        <v>Velodrome</v>
      </c>
      <c r="S2359" t="str">
        <f t="shared" si="1311"/>
        <v>HollowBrook</v>
      </c>
      <c r="T2359" s="20">
        <f t="shared" si="1260"/>
        <v>0</v>
      </c>
      <c r="U2359">
        <f t="shared" si="1261"/>
        <v>201</v>
      </c>
      <c r="V2359">
        <f t="shared" si="1262"/>
        <v>201</v>
      </c>
      <c r="W2359" cm="1">
        <f t="array" ref="W2359">_xlfn._xlws.FILTER(shifts!A:A,(shifts!B:B=events!D2359)*(shifts!AH:AH&gt;=events!U2359)*(shifts!AI:AI&lt;=events!V2359))</f>
        <v>81</v>
      </c>
      <c r="X2359" t="str">
        <f t="shared" si="1263"/>
        <v>event_team_player_2</v>
      </c>
      <c r="Y2359">
        <f>COUNTIFS(A$3:A2359,"="&amp;A2359,K$3:K2359,"="&amp;K2359)</f>
        <v>2</v>
      </c>
      <c r="Z2359" s="20">
        <f>SUMIFS(T$3:T2359,L$3:L2359,"=Intermission")+SUMIFS(T$3:T2359,L$3:L2359,"=Timeout")+SUMIFS(T$3:T2359,L$3:L2359,"=Clockstop")</f>
        <v>138</v>
      </c>
      <c r="AA2359">
        <f t="shared" si="1254"/>
        <v>2298</v>
      </c>
      <c r="AC2359">
        <f t="shared" si="1255"/>
        <v>2436</v>
      </c>
    </row>
    <row r="2360" spans="1:29" x14ac:dyDescent="0.2">
      <c r="A2360">
        <v>1277</v>
      </c>
      <c r="D2360">
        <f t="shared" si="1256"/>
        <v>3</v>
      </c>
      <c r="E2360">
        <v>3</v>
      </c>
      <c r="F2360" s="6" t="s">
        <v>422</v>
      </c>
      <c r="G2360">
        <v>3</v>
      </c>
      <c r="H2360" s="8" t="s">
        <v>446</v>
      </c>
      <c r="I2360" t="s">
        <v>179</v>
      </c>
      <c r="J2360">
        <v>18</v>
      </c>
      <c r="K2360" t="s">
        <v>488</v>
      </c>
      <c r="L2360" t="s">
        <v>15</v>
      </c>
      <c r="Q2360">
        <f t="shared" ref="Q2360:S2360" si="1312">Q2359</f>
        <v>18977</v>
      </c>
      <c r="R2360" t="str">
        <f t="shared" si="1312"/>
        <v>Velodrome</v>
      </c>
      <c r="S2360" t="str">
        <f t="shared" si="1312"/>
        <v>HollowBrook</v>
      </c>
      <c r="T2360" s="20">
        <f t="shared" si="1260"/>
        <v>3</v>
      </c>
      <c r="U2360">
        <f t="shared" si="1261"/>
        <v>200</v>
      </c>
      <c r="V2360">
        <f t="shared" si="1262"/>
        <v>197</v>
      </c>
      <c r="W2360" cm="1">
        <f t="array" ref="W2360">_xlfn._xlws.FILTER(shifts!A:A,(shifts!B:B=events!D2360)*(shifts!AH:AH&gt;=events!U2360)*(shifts!AI:AI&lt;=events!V2360))</f>
        <v>81</v>
      </c>
      <c r="X2360" t="str">
        <f t="shared" si="1263"/>
        <v>event_team_player_1</v>
      </c>
      <c r="Y2360">
        <f>COUNTIFS(A$3:A2360,"="&amp;A2360,K$3:K2360,"="&amp;K2360)</f>
        <v>1</v>
      </c>
      <c r="Z2360" s="20">
        <f>SUMIFS(T$3:T2360,L$3:L2360,"=Intermission")+SUMIFS(T$3:T2360,L$3:L2360,"=Timeout")+SUMIFS(T$3:T2360,L$3:L2360,"=Clockstop")</f>
        <v>138</v>
      </c>
      <c r="AA2360">
        <f t="shared" si="1254"/>
        <v>2298</v>
      </c>
      <c r="AC2360">
        <f t="shared" si="1255"/>
        <v>2436</v>
      </c>
    </row>
    <row r="2361" spans="1:29" x14ac:dyDescent="0.2">
      <c r="A2361">
        <v>1277</v>
      </c>
      <c r="D2361">
        <f t="shared" si="1256"/>
        <v>3</v>
      </c>
      <c r="E2361">
        <v>3</v>
      </c>
      <c r="F2361" s="6" t="s">
        <v>422</v>
      </c>
      <c r="G2361">
        <v>3</v>
      </c>
      <c r="H2361" s="8" t="s">
        <v>446</v>
      </c>
      <c r="I2361" t="s">
        <v>179</v>
      </c>
      <c r="J2361">
        <v>61</v>
      </c>
      <c r="K2361" t="s">
        <v>489</v>
      </c>
      <c r="L2361" t="s">
        <v>15</v>
      </c>
      <c r="Q2361">
        <f t="shared" ref="Q2361:S2361" si="1313">Q2360</f>
        <v>18977</v>
      </c>
      <c r="R2361" t="str">
        <f t="shared" si="1313"/>
        <v>Velodrome</v>
      </c>
      <c r="S2361" t="str">
        <f t="shared" si="1313"/>
        <v>HollowBrook</v>
      </c>
      <c r="T2361" s="20">
        <f t="shared" si="1260"/>
        <v>3</v>
      </c>
      <c r="U2361">
        <f t="shared" si="1261"/>
        <v>200</v>
      </c>
      <c r="V2361">
        <f t="shared" si="1262"/>
        <v>197</v>
      </c>
      <c r="W2361" cm="1">
        <f t="array" ref="W2361">_xlfn._xlws.FILTER(shifts!A:A,(shifts!B:B=events!D2361)*(shifts!AH:AH&gt;=events!U2361)*(shifts!AI:AI&lt;=events!V2361))</f>
        <v>81</v>
      </c>
      <c r="X2361" t="str">
        <f t="shared" si="1263"/>
        <v>opp_team_player_1</v>
      </c>
      <c r="Y2361">
        <f>COUNTIFS(A$3:A2361,"="&amp;A2361,K$3:K2361,"="&amp;K2361)</f>
        <v>1</v>
      </c>
      <c r="Z2361" s="20">
        <f>SUMIFS(T$3:T2361,L$3:L2361,"=Intermission")+SUMIFS(T$3:T2361,L$3:L2361,"=Timeout")+SUMIFS(T$3:T2361,L$3:L2361,"=Clockstop")</f>
        <v>138</v>
      </c>
      <c r="AA2361">
        <f t="shared" si="1254"/>
        <v>2298</v>
      </c>
      <c r="AC2361">
        <f t="shared" si="1255"/>
        <v>2436</v>
      </c>
    </row>
    <row r="2362" spans="1:29" x14ac:dyDescent="0.2">
      <c r="A2362">
        <v>1278</v>
      </c>
      <c r="D2362">
        <f t="shared" si="1256"/>
        <v>3</v>
      </c>
      <c r="E2362">
        <v>3</v>
      </c>
      <c r="F2362" s="6" t="s">
        <v>446</v>
      </c>
      <c r="I2362" t="s">
        <v>179</v>
      </c>
      <c r="J2362">
        <v>18</v>
      </c>
      <c r="K2362" t="s">
        <v>488</v>
      </c>
      <c r="L2362" t="s">
        <v>10</v>
      </c>
      <c r="M2362" t="s">
        <v>190</v>
      </c>
      <c r="N2362" t="s">
        <v>479</v>
      </c>
      <c r="Q2362">
        <f t="shared" ref="Q2362:S2362" si="1314">Q2361</f>
        <v>18977</v>
      </c>
      <c r="R2362" t="str">
        <f t="shared" si="1314"/>
        <v>Velodrome</v>
      </c>
      <c r="S2362" t="str">
        <f t="shared" si="1314"/>
        <v>HollowBrook</v>
      </c>
      <c r="T2362" s="20">
        <f t="shared" si="1260"/>
        <v>0</v>
      </c>
      <c r="U2362">
        <f t="shared" si="1261"/>
        <v>197</v>
      </c>
      <c r="V2362">
        <f t="shared" si="1262"/>
        <v>197</v>
      </c>
      <c r="W2362" cm="1">
        <f t="array" ref="W2362">_xlfn._xlws.FILTER(shifts!A:A,(shifts!B:B=events!D2362)*(shifts!AH:AH&gt;=events!U2362)*(shifts!AI:AI&lt;=events!V2362))</f>
        <v>81</v>
      </c>
      <c r="X2362" t="str">
        <f t="shared" si="1263"/>
        <v>event_team_player_1</v>
      </c>
      <c r="Y2362">
        <f>COUNTIFS(A$3:A2362,"="&amp;A2362,K$3:K2362,"="&amp;K2362)</f>
        <v>1</v>
      </c>
      <c r="Z2362" s="20">
        <f>SUMIFS(T$3:T2362,L$3:L2362,"=Intermission")+SUMIFS(T$3:T2362,L$3:L2362,"=Timeout")+SUMIFS(T$3:T2362,L$3:L2362,"=Clockstop")</f>
        <v>138</v>
      </c>
      <c r="AA2362">
        <f t="shared" si="1254"/>
        <v>2298</v>
      </c>
      <c r="AC2362">
        <f t="shared" si="1255"/>
        <v>2436</v>
      </c>
    </row>
    <row r="2363" spans="1:29" x14ac:dyDescent="0.2">
      <c r="A2363">
        <v>1278</v>
      </c>
      <c r="D2363">
        <f t="shared" si="1256"/>
        <v>3</v>
      </c>
      <c r="E2363">
        <v>3</v>
      </c>
      <c r="F2363" s="6" t="s">
        <v>446</v>
      </c>
      <c r="I2363" t="s">
        <v>179</v>
      </c>
      <c r="J2363">
        <v>61</v>
      </c>
      <c r="K2363" t="s">
        <v>489</v>
      </c>
      <c r="L2363" t="s">
        <v>10</v>
      </c>
      <c r="M2363" t="s">
        <v>190</v>
      </c>
      <c r="N2363" t="s">
        <v>479</v>
      </c>
      <c r="Q2363">
        <f t="shared" ref="Q2363:S2363" si="1315">Q2362</f>
        <v>18977</v>
      </c>
      <c r="R2363" t="str">
        <f t="shared" si="1315"/>
        <v>Velodrome</v>
      </c>
      <c r="S2363" t="str">
        <f t="shared" si="1315"/>
        <v>HollowBrook</v>
      </c>
      <c r="T2363" s="20">
        <f t="shared" si="1260"/>
        <v>0</v>
      </c>
      <c r="U2363">
        <f t="shared" si="1261"/>
        <v>197</v>
      </c>
      <c r="V2363">
        <f t="shared" si="1262"/>
        <v>197</v>
      </c>
      <c r="W2363" cm="1">
        <f t="array" ref="W2363">_xlfn._xlws.FILTER(shifts!A:A,(shifts!B:B=events!D2363)*(shifts!AH:AH&gt;=events!U2363)*(shifts!AI:AI&lt;=events!V2363))</f>
        <v>81</v>
      </c>
      <c r="X2363" t="str">
        <f t="shared" si="1263"/>
        <v>opp_team_player_1</v>
      </c>
      <c r="Y2363">
        <f>COUNTIFS(A$3:A2363,"="&amp;A2363,K$3:K2363,"="&amp;K2363)</f>
        <v>1</v>
      </c>
      <c r="Z2363" s="20">
        <f>SUMIFS(T$3:T2363,L$3:L2363,"=Intermission")+SUMIFS(T$3:T2363,L$3:L2363,"=Timeout")+SUMIFS(T$3:T2363,L$3:L2363,"=Clockstop")</f>
        <v>138</v>
      </c>
      <c r="AA2363">
        <f t="shared" si="1254"/>
        <v>2298</v>
      </c>
      <c r="AC2363">
        <f t="shared" si="1255"/>
        <v>2436</v>
      </c>
    </row>
    <row r="2364" spans="1:29" x14ac:dyDescent="0.2">
      <c r="A2364">
        <v>1279</v>
      </c>
      <c r="D2364">
        <f t="shared" si="1256"/>
        <v>3</v>
      </c>
      <c r="E2364">
        <v>3</v>
      </c>
      <c r="F2364" s="6" t="s">
        <v>448</v>
      </c>
      <c r="I2364" t="s">
        <v>178</v>
      </c>
      <c r="J2364">
        <v>61</v>
      </c>
      <c r="K2364" t="s">
        <v>488</v>
      </c>
      <c r="L2364" t="s">
        <v>7</v>
      </c>
      <c r="M2364" t="s">
        <v>222</v>
      </c>
      <c r="N2364" t="s">
        <v>53</v>
      </c>
      <c r="Q2364">
        <f t="shared" ref="Q2364:S2364" si="1316">Q2363</f>
        <v>18977</v>
      </c>
      <c r="R2364" t="str">
        <f t="shared" si="1316"/>
        <v>Velodrome</v>
      </c>
      <c r="S2364" t="str">
        <f t="shared" si="1316"/>
        <v>HollowBrook</v>
      </c>
      <c r="T2364" s="20">
        <f t="shared" si="1260"/>
        <v>0</v>
      </c>
      <c r="U2364">
        <f t="shared" si="1261"/>
        <v>196</v>
      </c>
      <c r="V2364">
        <f t="shared" si="1262"/>
        <v>196</v>
      </c>
      <c r="W2364" cm="1">
        <f t="array" ref="W2364">_xlfn._xlws.FILTER(shifts!A:A,(shifts!B:B=events!D2364)*(shifts!AH:AH&gt;=events!U2364)*(shifts!AI:AI&lt;=events!V2364))</f>
        <v>81</v>
      </c>
      <c r="X2364" t="str">
        <f t="shared" si="1263"/>
        <v>event_team_player_1</v>
      </c>
      <c r="Y2364">
        <f>COUNTIFS(A$3:A2364,"="&amp;A2364,K$3:K2364,"="&amp;K2364)</f>
        <v>1</v>
      </c>
      <c r="Z2364" s="20">
        <f>SUMIFS(T$3:T2364,L$3:L2364,"=Intermission")+SUMIFS(T$3:T2364,L$3:L2364,"=Timeout")+SUMIFS(T$3:T2364,L$3:L2364,"=Clockstop")</f>
        <v>138</v>
      </c>
      <c r="AA2364">
        <f t="shared" si="1254"/>
        <v>2298</v>
      </c>
      <c r="AC2364">
        <f t="shared" si="1255"/>
        <v>2436</v>
      </c>
    </row>
    <row r="2365" spans="1:29" x14ac:dyDescent="0.2">
      <c r="A2365">
        <v>1279</v>
      </c>
      <c r="D2365">
        <f t="shared" si="1256"/>
        <v>3</v>
      </c>
      <c r="E2365">
        <v>3</v>
      </c>
      <c r="F2365" s="6" t="s">
        <v>448</v>
      </c>
      <c r="I2365" t="s">
        <v>178</v>
      </c>
      <c r="J2365">
        <v>99</v>
      </c>
      <c r="K2365" t="s">
        <v>489</v>
      </c>
      <c r="L2365" t="s">
        <v>7</v>
      </c>
      <c r="M2365" t="s">
        <v>222</v>
      </c>
      <c r="N2365" t="s">
        <v>53</v>
      </c>
      <c r="Q2365">
        <f t="shared" ref="Q2365:S2365" si="1317">Q2364</f>
        <v>18977</v>
      </c>
      <c r="R2365" t="str">
        <f t="shared" si="1317"/>
        <v>Velodrome</v>
      </c>
      <c r="S2365" t="str">
        <f t="shared" si="1317"/>
        <v>HollowBrook</v>
      </c>
      <c r="T2365" s="20">
        <f t="shared" si="1260"/>
        <v>0</v>
      </c>
      <c r="U2365">
        <f t="shared" si="1261"/>
        <v>196</v>
      </c>
      <c r="V2365">
        <f t="shared" si="1262"/>
        <v>196</v>
      </c>
      <c r="W2365" cm="1">
        <f t="array" ref="W2365">_xlfn._xlws.FILTER(shifts!A:A,(shifts!B:B=events!D2365)*(shifts!AH:AH&gt;=events!U2365)*(shifts!AI:AI&lt;=events!V2365))</f>
        <v>81</v>
      </c>
      <c r="X2365" t="str">
        <f t="shared" si="1263"/>
        <v>opp_team_player_1</v>
      </c>
      <c r="Y2365">
        <f>COUNTIFS(A$3:A2365,"="&amp;A2365,K$3:K2365,"="&amp;K2365)</f>
        <v>1</v>
      </c>
      <c r="Z2365" s="20">
        <f>SUMIFS(T$3:T2365,L$3:L2365,"=Intermission")+SUMIFS(T$3:T2365,L$3:L2365,"=Timeout")+SUMIFS(T$3:T2365,L$3:L2365,"=Clockstop")</f>
        <v>138</v>
      </c>
      <c r="AA2365">
        <f t="shared" si="1254"/>
        <v>2298</v>
      </c>
      <c r="AC2365">
        <f t="shared" si="1255"/>
        <v>2436</v>
      </c>
    </row>
    <row r="2366" spans="1:29" x14ac:dyDescent="0.2">
      <c r="A2366">
        <v>1280</v>
      </c>
      <c r="D2366">
        <f t="shared" si="1256"/>
        <v>3</v>
      </c>
      <c r="E2366">
        <v>3</v>
      </c>
      <c r="F2366" s="6" t="s">
        <v>448</v>
      </c>
      <c r="I2366" t="s">
        <v>179</v>
      </c>
      <c r="J2366">
        <v>99</v>
      </c>
      <c r="K2366" t="s">
        <v>488</v>
      </c>
      <c r="L2366" t="s">
        <v>17</v>
      </c>
      <c r="M2366" t="s">
        <v>196</v>
      </c>
      <c r="N2366" t="s">
        <v>100</v>
      </c>
      <c r="Q2366">
        <f t="shared" ref="Q2366:S2366" si="1318">Q2365</f>
        <v>18977</v>
      </c>
      <c r="R2366" t="str">
        <f t="shared" si="1318"/>
        <v>Velodrome</v>
      </c>
      <c r="S2366" t="str">
        <f t="shared" si="1318"/>
        <v>HollowBrook</v>
      </c>
      <c r="T2366" s="20">
        <f t="shared" si="1260"/>
        <v>0</v>
      </c>
      <c r="U2366">
        <f t="shared" si="1261"/>
        <v>196</v>
      </c>
      <c r="V2366">
        <f t="shared" si="1262"/>
        <v>196</v>
      </c>
      <c r="W2366" cm="1">
        <f t="array" ref="W2366">_xlfn._xlws.FILTER(shifts!A:A,(shifts!B:B=events!D2366)*(shifts!AH:AH&gt;=events!U2366)*(shifts!AI:AI&lt;=events!V2366))</f>
        <v>81</v>
      </c>
      <c r="X2366" t="str">
        <f t="shared" si="1263"/>
        <v>event_team_player_1</v>
      </c>
      <c r="Y2366">
        <f>COUNTIFS(A$3:A2366,"="&amp;A2366,K$3:K2366,"="&amp;K2366)</f>
        <v>1</v>
      </c>
      <c r="Z2366" s="20">
        <f>SUMIFS(T$3:T2366,L$3:L2366,"=Intermission")+SUMIFS(T$3:T2366,L$3:L2366,"=Timeout")+SUMIFS(T$3:T2366,L$3:L2366,"=Clockstop")</f>
        <v>138</v>
      </c>
      <c r="AA2366">
        <f t="shared" si="1254"/>
        <v>2298</v>
      </c>
      <c r="AC2366">
        <f t="shared" si="1255"/>
        <v>2436</v>
      </c>
    </row>
    <row r="2367" spans="1:29" x14ac:dyDescent="0.2">
      <c r="A2367">
        <v>1280</v>
      </c>
      <c r="D2367">
        <f t="shared" si="1256"/>
        <v>3</v>
      </c>
      <c r="E2367">
        <v>3</v>
      </c>
      <c r="F2367" s="6" t="s">
        <v>448</v>
      </c>
      <c r="I2367" t="s">
        <v>179</v>
      </c>
      <c r="J2367">
        <v>61</v>
      </c>
      <c r="K2367" t="s">
        <v>489</v>
      </c>
      <c r="L2367" t="s">
        <v>17</v>
      </c>
      <c r="M2367" t="s">
        <v>196</v>
      </c>
      <c r="N2367" t="s">
        <v>100</v>
      </c>
      <c r="Q2367">
        <f t="shared" ref="Q2367:S2367" si="1319">Q2366</f>
        <v>18977</v>
      </c>
      <c r="R2367" t="str">
        <f t="shared" si="1319"/>
        <v>Velodrome</v>
      </c>
      <c r="S2367" t="str">
        <f t="shared" si="1319"/>
        <v>HollowBrook</v>
      </c>
      <c r="T2367" s="20">
        <f t="shared" si="1260"/>
        <v>0</v>
      </c>
      <c r="U2367">
        <f t="shared" si="1261"/>
        <v>196</v>
      </c>
      <c r="V2367">
        <f t="shared" si="1262"/>
        <v>196</v>
      </c>
      <c r="W2367" cm="1">
        <f t="array" ref="W2367">_xlfn._xlws.FILTER(shifts!A:A,(shifts!B:B=events!D2367)*(shifts!AH:AH&gt;=events!U2367)*(shifts!AI:AI&lt;=events!V2367))</f>
        <v>81</v>
      </c>
      <c r="X2367" t="str">
        <f t="shared" si="1263"/>
        <v>opp_team_player_1</v>
      </c>
      <c r="Y2367">
        <f>COUNTIFS(A$3:A2367,"="&amp;A2367,K$3:K2367,"="&amp;K2367)</f>
        <v>1</v>
      </c>
      <c r="Z2367" s="20">
        <f>SUMIFS(T$3:T2367,L$3:L2367,"=Intermission")+SUMIFS(T$3:T2367,L$3:L2367,"=Timeout")+SUMIFS(T$3:T2367,L$3:L2367,"=Clockstop")</f>
        <v>138</v>
      </c>
      <c r="AA2367">
        <f t="shared" si="1254"/>
        <v>2298</v>
      </c>
      <c r="AC2367">
        <f t="shared" si="1255"/>
        <v>2436</v>
      </c>
    </row>
    <row r="2368" spans="1:29" x14ac:dyDescent="0.2">
      <c r="A2368">
        <v>1281</v>
      </c>
      <c r="D2368">
        <f t="shared" si="1256"/>
        <v>3</v>
      </c>
      <c r="E2368">
        <v>3</v>
      </c>
      <c r="F2368" s="6" t="s">
        <v>448</v>
      </c>
      <c r="I2368" t="s">
        <v>179</v>
      </c>
      <c r="J2368">
        <v>99</v>
      </c>
      <c r="K2368" t="s">
        <v>488</v>
      </c>
      <c r="L2368" t="s">
        <v>270</v>
      </c>
      <c r="M2368" t="s">
        <v>271</v>
      </c>
      <c r="Q2368">
        <f t="shared" ref="Q2368:S2368" si="1320">Q2367</f>
        <v>18977</v>
      </c>
      <c r="R2368" t="str">
        <f t="shared" si="1320"/>
        <v>Velodrome</v>
      </c>
      <c r="S2368" t="str">
        <f t="shared" si="1320"/>
        <v>HollowBrook</v>
      </c>
      <c r="T2368" s="20">
        <f t="shared" si="1260"/>
        <v>0</v>
      </c>
      <c r="U2368">
        <f t="shared" si="1261"/>
        <v>196</v>
      </c>
      <c r="V2368">
        <f t="shared" si="1262"/>
        <v>196</v>
      </c>
      <c r="W2368" cm="1">
        <f t="array" ref="W2368">_xlfn._xlws.FILTER(shifts!A:A,(shifts!B:B=events!D2368)*(shifts!AH:AH&gt;=events!U2368)*(shifts!AI:AI&lt;=events!V2368))</f>
        <v>81</v>
      </c>
      <c r="X2368" t="str">
        <f t="shared" si="1263"/>
        <v>event_team_player_1</v>
      </c>
      <c r="Y2368">
        <f>COUNTIFS(A$3:A2368,"="&amp;A2368,K$3:K2368,"="&amp;K2368)</f>
        <v>1</v>
      </c>
      <c r="Z2368" s="20">
        <f>SUMIFS(T$3:T2368,L$3:L2368,"=Intermission")+SUMIFS(T$3:T2368,L$3:L2368,"=Timeout")+SUMIFS(T$3:T2368,L$3:L2368,"=Clockstop")</f>
        <v>138</v>
      </c>
      <c r="AA2368">
        <f t="shared" si="1254"/>
        <v>2298</v>
      </c>
      <c r="AC2368">
        <f t="shared" si="1255"/>
        <v>2436</v>
      </c>
    </row>
    <row r="2369" spans="1:29" x14ac:dyDescent="0.2">
      <c r="A2369">
        <v>1282</v>
      </c>
      <c r="D2369">
        <f t="shared" si="1256"/>
        <v>3</v>
      </c>
      <c r="E2369">
        <v>3</v>
      </c>
      <c r="F2369" s="6" t="s">
        <v>449</v>
      </c>
      <c r="I2369" t="s">
        <v>179</v>
      </c>
      <c r="J2369">
        <v>26</v>
      </c>
      <c r="K2369" t="s">
        <v>488</v>
      </c>
      <c r="L2369" t="s">
        <v>10</v>
      </c>
      <c r="M2369" t="s">
        <v>190</v>
      </c>
      <c r="N2369" t="s">
        <v>479</v>
      </c>
      <c r="Q2369">
        <f t="shared" ref="Q2369:S2369" si="1321">Q2368</f>
        <v>18977</v>
      </c>
      <c r="R2369" t="str">
        <f t="shared" si="1321"/>
        <v>Velodrome</v>
      </c>
      <c r="S2369" t="str">
        <f t="shared" si="1321"/>
        <v>HollowBrook</v>
      </c>
      <c r="T2369" s="20">
        <f t="shared" si="1260"/>
        <v>0</v>
      </c>
      <c r="U2369">
        <f t="shared" si="1261"/>
        <v>192</v>
      </c>
      <c r="V2369">
        <f t="shared" si="1262"/>
        <v>192</v>
      </c>
      <c r="W2369" cm="1">
        <f t="array" ref="W2369">_xlfn._xlws.FILTER(shifts!A:A,(shifts!B:B=events!D2369)*(shifts!AH:AH&gt;=events!U2369)*(shifts!AI:AI&lt;=events!V2369))</f>
        <v>81</v>
      </c>
      <c r="X2369" t="str">
        <f t="shared" si="1263"/>
        <v>event_team_player_1</v>
      </c>
      <c r="Y2369">
        <f>COUNTIFS(A$3:A2369,"="&amp;A2369,K$3:K2369,"="&amp;K2369)</f>
        <v>1</v>
      </c>
      <c r="Z2369" s="20">
        <f>SUMIFS(T$3:T2369,L$3:L2369,"=Intermission")+SUMIFS(T$3:T2369,L$3:L2369,"=Timeout")+SUMIFS(T$3:T2369,L$3:L2369,"=Clockstop")</f>
        <v>138</v>
      </c>
      <c r="AA2369">
        <f t="shared" si="1254"/>
        <v>2298</v>
      </c>
      <c r="AC2369">
        <f t="shared" si="1255"/>
        <v>2436</v>
      </c>
    </row>
    <row r="2370" spans="1:29" x14ac:dyDescent="0.2">
      <c r="A2370">
        <v>1283</v>
      </c>
      <c r="D2370">
        <f t="shared" si="1256"/>
        <v>3</v>
      </c>
      <c r="E2370">
        <v>3</v>
      </c>
      <c r="F2370" s="6" t="s">
        <v>425</v>
      </c>
      <c r="I2370" t="s">
        <v>178</v>
      </c>
      <c r="J2370">
        <v>87</v>
      </c>
      <c r="K2370" t="s">
        <v>488</v>
      </c>
      <c r="L2370" t="s">
        <v>277</v>
      </c>
      <c r="M2370" t="s">
        <v>210</v>
      </c>
      <c r="N2370" t="s">
        <v>93</v>
      </c>
      <c r="Q2370">
        <f t="shared" ref="Q2370:S2370" si="1322">Q2369</f>
        <v>18977</v>
      </c>
      <c r="R2370" t="str">
        <f t="shared" si="1322"/>
        <v>Velodrome</v>
      </c>
      <c r="S2370" t="str">
        <f t="shared" si="1322"/>
        <v>HollowBrook</v>
      </c>
      <c r="T2370" s="20">
        <f t="shared" si="1260"/>
        <v>0</v>
      </c>
      <c r="U2370">
        <f t="shared" si="1261"/>
        <v>190</v>
      </c>
      <c r="V2370">
        <f t="shared" si="1262"/>
        <v>190</v>
      </c>
      <c r="W2370" cm="1">
        <f t="array" ref="W2370">_xlfn._xlws.FILTER(shifts!A:A,(shifts!B:B=events!D2370)*(shifts!AH:AH&gt;=events!U2370)*(shifts!AI:AI&lt;=events!V2370))</f>
        <v>81</v>
      </c>
      <c r="X2370" t="str">
        <f t="shared" si="1263"/>
        <v>event_team_player_1</v>
      </c>
      <c r="Y2370">
        <f>COUNTIFS(A$3:A2370,"="&amp;A2370,K$3:K2370,"="&amp;K2370)</f>
        <v>1</v>
      </c>
      <c r="Z2370" s="20">
        <f>SUMIFS(T$3:T2370,L$3:L2370,"=Intermission")+SUMIFS(T$3:T2370,L$3:L2370,"=Timeout")+SUMIFS(T$3:T2370,L$3:L2370,"=Clockstop")</f>
        <v>138</v>
      </c>
      <c r="AA2370">
        <f t="shared" si="1254"/>
        <v>2298</v>
      </c>
      <c r="AC2370">
        <f t="shared" si="1255"/>
        <v>2436</v>
      </c>
    </row>
    <row r="2371" spans="1:29" x14ac:dyDescent="0.2">
      <c r="A2371">
        <v>1284</v>
      </c>
      <c r="D2371">
        <f t="shared" si="1256"/>
        <v>3</v>
      </c>
      <c r="E2371">
        <v>3</v>
      </c>
      <c r="F2371" s="6" t="s">
        <v>425</v>
      </c>
      <c r="I2371" t="s">
        <v>178</v>
      </c>
      <c r="J2371">
        <v>87</v>
      </c>
      <c r="K2371" t="s">
        <v>488</v>
      </c>
      <c r="L2371" t="s">
        <v>10</v>
      </c>
      <c r="M2371" t="s">
        <v>190</v>
      </c>
      <c r="N2371" t="s">
        <v>516</v>
      </c>
      <c r="Q2371">
        <f t="shared" ref="Q2371:S2371" si="1323">Q2370</f>
        <v>18977</v>
      </c>
      <c r="R2371" t="str">
        <f t="shared" si="1323"/>
        <v>Velodrome</v>
      </c>
      <c r="S2371" t="str">
        <f t="shared" si="1323"/>
        <v>HollowBrook</v>
      </c>
      <c r="T2371" s="20">
        <f t="shared" si="1260"/>
        <v>0</v>
      </c>
      <c r="U2371">
        <f t="shared" si="1261"/>
        <v>190</v>
      </c>
      <c r="V2371">
        <f t="shared" si="1262"/>
        <v>190</v>
      </c>
      <c r="W2371" cm="1">
        <f t="array" ref="W2371">_xlfn._xlws.FILTER(shifts!A:A,(shifts!B:B=events!D2371)*(shifts!AH:AH&gt;=events!U2371)*(shifts!AI:AI&lt;=events!V2371))</f>
        <v>81</v>
      </c>
      <c r="X2371" t="str">
        <f t="shared" si="1263"/>
        <v>event_team_player_1</v>
      </c>
      <c r="Y2371">
        <f>COUNTIFS(A$3:A2371,"="&amp;A2371,K$3:K2371,"="&amp;K2371)</f>
        <v>1</v>
      </c>
      <c r="Z2371" s="20">
        <f>SUMIFS(T$3:T2371,L$3:L2371,"=Intermission")+SUMIFS(T$3:T2371,L$3:L2371,"=Timeout")+SUMIFS(T$3:T2371,L$3:L2371,"=Clockstop")</f>
        <v>138</v>
      </c>
      <c r="AA2371">
        <f t="shared" si="1254"/>
        <v>2298</v>
      </c>
      <c r="AC2371">
        <f t="shared" si="1255"/>
        <v>2436</v>
      </c>
    </row>
    <row r="2372" spans="1:29" x14ac:dyDescent="0.2">
      <c r="A2372">
        <v>1285</v>
      </c>
      <c r="D2372">
        <f t="shared" si="1256"/>
        <v>3</v>
      </c>
      <c r="E2372">
        <v>3</v>
      </c>
      <c r="F2372" s="6" t="s">
        <v>314</v>
      </c>
      <c r="G2372">
        <v>3</v>
      </c>
      <c r="H2372" s="8" t="s">
        <v>315</v>
      </c>
      <c r="I2372" t="s">
        <v>179</v>
      </c>
      <c r="J2372">
        <v>40</v>
      </c>
      <c r="K2372" t="s">
        <v>488</v>
      </c>
      <c r="L2372" t="s">
        <v>277</v>
      </c>
      <c r="M2372" t="s">
        <v>201</v>
      </c>
      <c r="N2372" t="s">
        <v>90</v>
      </c>
      <c r="Q2372">
        <f t="shared" ref="Q2372:S2372" si="1324">Q2371</f>
        <v>18977</v>
      </c>
      <c r="R2372" t="str">
        <f t="shared" si="1324"/>
        <v>Velodrome</v>
      </c>
      <c r="S2372" t="str">
        <f t="shared" si="1324"/>
        <v>HollowBrook</v>
      </c>
      <c r="T2372" s="20">
        <f t="shared" si="1260"/>
        <v>1</v>
      </c>
      <c r="U2372">
        <f t="shared" si="1261"/>
        <v>186</v>
      </c>
      <c r="V2372">
        <f t="shared" si="1262"/>
        <v>185</v>
      </c>
      <c r="W2372" cm="1">
        <f t="array" ref="W2372">_xlfn._xlws.FILTER(shifts!A:A,(shifts!B:B=events!D2372)*(shifts!AH:AH&gt;=events!U2372)*(shifts!AI:AI&lt;=events!V2372))</f>
        <v>81</v>
      </c>
      <c r="X2372" t="str">
        <f t="shared" si="1263"/>
        <v>event_team_player_1</v>
      </c>
      <c r="Y2372">
        <f>COUNTIFS(A$3:A2372,"="&amp;A2372,K$3:K2372,"="&amp;K2372)</f>
        <v>1</v>
      </c>
      <c r="Z2372" s="20">
        <f>SUMIFS(T$3:T2372,L$3:L2372,"=Intermission")+SUMIFS(T$3:T2372,L$3:L2372,"=Timeout")+SUMIFS(T$3:T2372,L$3:L2372,"=Clockstop")</f>
        <v>138</v>
      </c>
      <c r="AA2372">
        <f t="shared" ref="AA2372:AA2435" si="1325">IF(D2372=1,0,IF(D2372=2,1080+Z2372,IF(D2372=3,(1080*2)+Z2372,0)))</f>
        <v>2298</v>
      </c>
      <c r="AC2372">
        <f t="shared" ref="AC2372:AC2435" si="1326">IF(L2371="GameStart",0,AA2372+Z2372)</f>
        <v>2436</v>
      </c>
    </row>
    <row r="2373" spans="1:29" x14ac:dyDescent="0.2">
      <c r="A2373">
        <v>1286</v>
      </c>
      <c r="D2373">
        <f t="shared" ref="D2373:D2436" si="1327">IF(L2373="Intermission",D2372+1,D2372)</f>
        <v>3</v>
      </c>
      <c r="E2373">
        <v>3</v>
      </c>
      <c r="F2373" s="6" t="s">
        <v>315</v>
      </c>
      <c r="G2373">
        <v>3</v>
      </c>
      <c r="H2373" s="8" t="s">
        <v>316</v>
      </c>
      <c r="I2373" t="s">
        <v>179</v>
      </c>
      <c r="J2373">
        <v>40</v>
      </c>
      <c r="K2373" t="s">
        <v>488</v>
      </c>
      <c r="L2373" t="s">
        <v>15</v>
      </c>
      <c r="Q2373">
        <f t="shared" ref="Q2373:S2373" si="1328">Q2372</f>
        <v>18977</v>
      </c>
      <c r="R2373" t="str">
        <f t="shared" si="1328"/>
        <v>Velodrome</v>
      </c>
      <c r="S2373" t="str">
        <f t="shared" si="1328"/>
        <v>HollowBrook</v>
      </c>
      <c r="T2373" s="20">
        <f t="shared" si="1260"/>
        <v>3</v>
      </c>
      <c r="U2373">
        <f t="shared" si="1261"/>
        <v>185</v>
      </c>
      <c r="V2373">
        <f t="shared" si="1262"/>
        <v>182</v>
      </c>
      <c r="W2373" cm="1">
        <f t="array" ref="W2373">_xlfn._xlws.FILTER(shifts!A:A,(shifts!B:B=events!D2373)*(shifts!AH:AH&gt;=events!U2373)*(shifts!AI:AI&lt;=events!V2373))</f>
        <v>81</v>
      </c>
      <c r="X2373" t="str">
        <f t="shared" si="1263"/>
        <v>event_team_player_1</v>
      </c>
      <c r="Y2373">
        <f>COUNTIFS(A$3:A2373,"="&amp;A2373,K$3:K2373,"="&amp;K2373)</f>
        <v>1</v>
      </c>
      <c r="Z2373" s="20">
        <f>SUMIFS(T$3:T2373,L$3:L2373,"=Intermission")+SUMIFS(T$3:T2373,L$3:L2373,"=Timeout")+SUMIFS(T$3:T2373,L$3:L2373,"=Clockstop")</f>
        <v>138</v>
      </c>
      <c r="AA2373">
        <f t="shared" si="1325"/>
        <v>2298</v>
      </c>
      <c r="AC2373">
        <f t="shared" si="1326"/>
        <v>2436</v>
      </c>
    </row>
    <row r="2374" spans="1:29" x14ac:dyDescent="0.2">
      <c r="A2374">
        <v>1287</v>
      </c>
      <c r="D2374">
        <f t="shared" si="1327"/>
        <v>3</v>
      </c>
      <c r="E2374">
        <v>3</v>
      </c>
      <c r="F2374" s="6" t="s">
        <v>316</v>
      </c>
      <c r="I2374" t="s">
        <v>179</v>
      </c>
      <c r="J2374">
        <v>40</v>
      </c>
      <c r="K2374" t="s">
        <v>488</v>
      </c>
      <c r="L2374" t="s">
        <v>277</v>
      </c>
      <c r="M2374" t="s">
        <v>191</v>
      </c>
      <c r="N2374" t="s">
        <v>89</v>
      </c>
      <c r="Q2374">
        <f t="shared" ref="Q2374:S2374" si="1329">Q2373</f>
        <v>18977</v>
      </c>
      <c r="R2374" t="str">
        <f t="shared" si="1329"/>
        <v>Velodrome</v>
      </c>
      <c r="S2374" t="str">
        <f t="shared" si="1329"/>
        <v>HollowBrook</v>
      </c>
      <c r="T2374" s="20">
        <f t="shared" si="1260"/>
        <v>0</v>
      </c>
      <c r="U2374">
        <f t="shared" si="1261"/>
        <v>182</v>
      </c>
      <c r="V2374">
        <f t="shared" si="1262"/>
        <v>182</v>
      </c>
      <c r="W2374" cm="1">
        <f t="array" ref="W2374">_xlfn._xlws.FILTER(shifts!A:A,(shifts!B:B=events!D2374)*(shifts!AH:AH&gt;=events!U2374)*(shifts!AI:AI&lt;=events!V2374))</f>
        <v>81</v>
      </c>
      <c r="X2374" t="str">
        <f t="shared" si="1263"/>
        <v>event_team_player_1</v>
      </c>
      <c r="Y2374">
        <f>COUNTIFS(A$3:A2374,"="&amp;A2374,K$3:K2374,"="&amp;K2374)</f>
        <v>1</v>
      </c>
      <c r="Z2374" s="20">
        <f>SUMIFS(T$3:T2374,L$3:L2374,"=Intermission")+SUMIFS(T$3:T2374,L$3:L2374,"=Timeout")+SUMIFS(T$3:T2374,L$3:L2374,"=Clockstop")</f>
        <v>138</v>
      </c>
      <c r="AA2374">
        <f t="shared" si="1325"/>
        <v>2298</v>
      </c>
      <c r="AC2374">
        <f t="shared" si="1326"/>
        <v>2436</v>
      </c>
    </row>
    <row r="2375" spans="1:29" x14ac:dyDescent="0.2">
      <c r="A2375">
        <v>1288</v>
      </c>
      <c r="D2375">
        <f t="shared" si="1327"/>
        <v>3</v>
      </c>
      <c r="E2375">
        <v>3</v>
      </c>
      <c r="F2375" s="6" t="s">
        <v>316</v>
      </c>
      <c r="I2375" t="s">
        <v>179</v>
      </c>
      <c r="J2375">
        <v>40</v>
      </c>
      <c r="K2375" t="s">
        <v>488</v>
      </c>
      <c r="L2375" t="s">
        <v>10</v>
      </c>
      <c r="M2375" t="s">
        <v>190</v>
      </c>
      <c r="N2375" t="s">
        <v>460</v>
      </c>
      <c r="Q2375">
        <f t="shared" ref="Q2375:S2375" si="1330">Q2374</f>
        <v>18977</v>
      </c>
      <c r="R2375" t="str">
        <f t="shared" si="1330"/>
        <v>Velodrome</v>
      </c>
      <c r="S2375" t="str">
        <f t="shared" si="1330"/>
        <v>HollowBrook</v>
      </c>
      <c r="T2375" s="20">
        <f t="shared" ref="T2375:T2438" si="1331">IF(AND(G2375="",H2375=""),0,((E2375*60)+F2375)-((G2375*60)+H2375))</f>
        <v>0</v>
      </c>
      <c r="U2375">
        <f t="shared" ref="U2375:U2438" si="1332">(E2375*60)+F2375</f>
        <v>182</v>
      </c>
      <c r="V2375">
        <f t="shared" ref="V2375:V2438" si="1333">IF(AND(G2375="",H2375=""),U2375,((G2375*60)+H2375))</f>
        <v>182</v>
      </c>
      <c r="W2375" cm="1">
        <f t="array" ref="W2375">_xlfn._xlws.FILTER(shifts!A:A,(shifts!B:B=events!D2375)*(shifts!AH:AH&gt;=events!U2375)*(shifts!AI:AI&lt;=events!V2375))</f>
        <v>81</v>
      </c>
      <c r="X2375" t="str">
        <f t="shared" ref="X2375:X2438" si="1334">IF(K2375="e","event_team_player_"&amp;Y2375,IF(K2375="o","opp_team_player_"&amp;Y2375,""))</f>
        <v>event_team_player_1</v>
      </c>
      <c r="Y2375">
        <f>COUNTIFS(A$3:A2375,"="&amp;A2375,K$3:K2375,"="&amp;K2375)</f>
        <v>1</v>
      </c>
      <c r="Z2375" s="20">
        <f>SUMIFS(T$3:T2375,L$3:L2375,"=Intermission")+SUMIFS(T$3:T2375,L$3:L2375,"=Timeout")+SUMIFS(T$3:T2375,L$3:L2375,"=Clockstop")</f>
        <v>138</v>
      </c>
      <c r="AA2375">
        <f t="shared" si="1325"/>
        <v>2298</v>
      </c>
      <c r="AC2375">
        <f t="shared" si="1326"/>
        <v>2436</v>
      </c>
    </row>
    <row r="2376" spans="1:29" x14ac:dyDescent="0.2">
      <c r="A2376">
        <v>1289</v>
      </c>
      <c r="D2376">
        <f t="shared" si="1327"/>
        <v>3</v>
      </c>
      <c r="E2376">
        <v>2</v>
      </c>
      <c r="F2376" s="6" t="s">
        <v>433</v>
      </c>
      <c r="G2376">
        <v>2</v>
      </c>
      <c r="H2376" s="8" t="s">
        <v>432</v>
      </c>
      <c r="I2376" t="s">
        <v>178</v>
      </c>
      <c r="J2376">
        <v>84</v>
      </c>
      <c r="K2376" t="s">
        <v>488</v>
      </c>
      <c r="L2376" t="s">
        <v>15</v>
      </c>
      <c r="Q2376">
        <f t="shared" ref="Q2376:S2376" si="1335">Q2375</f>
        <v>18977</v>
      </c>
      <c r="R2376" t="str">
        <f t="shared" si="1335"/>
        <v>Velodrome</v>
      </c>
      <c r="S2376" t="str">
        <f t="shared" si="1335"/>
        <v>HollowBrook</v>
      </c>
      <c r="T2376" s="20">
        <f t="shared" si="1331"/>
        <v>7</v>
      </c>
      <c r="U2376">
        <f t="shared" si="1332"/>
        <v>177</v>
      </c>
      <c r="V2376">
        <f t="shared" si="1333"/>
        <v>170</v>
      </c>
      <c r="W2376">
        <v>82</v>
      </c>
      <c r="X2376" t="str">
        <f t="shared" si="1334"/>
        <v>event_team_player_1</v>
      </c>
      <c r="Y2376">
        <f>COUNTIFS(A$3:A2376,"="&amp;A2376,K$3:K2376,"="&amp;K2376)</f>
        <v>1</v>
      </c>
      <c r="Z2376" s="20">
        <f>SUMIFS(T$3:T2376,L$3:L2376,"=Intermission")+SUMIFS(T$3:T2376,L$3:L2376,"=Timeout")+SUMIFS(T$3:T2376,L$3:L2376,"=Clockstop")</f>
        <v>138</v>
      </c>
      <c r="AA2376">
        <f t="shared" si="1325"/>
        <v>2298</v>
      </c>
      <c r="AC2376">
        <f t="shared" si="1326"/>
        <v>2436</v>
      </c>
    </row>
    <row r="2377" spans="1:29" x14ac:dyDescent="0.2">
      <c r="A2377">
        <v>1290</v>
      </c>
      <c r="D2377">
        <f t="shared" si="1327"/>
        <v>3</v>
      </c>
      <c r="E2377">
        <v>2</v>
      </c>
      <c r="F2377" s="6" t="s">
        <v>432</v>
      </c>
      <c r="I2377" t="s">
        <v>178</v>
      </c>
      <c r="J2377">
        <v>84</v>
      </c>
      <c r="K2377" t="s">
        <v>488</v>
      </c>
      <c r="L2377" t="s">
        <v>8</v>
      </c>
      <c r="M2377" t="s">
        <v>189</v>
      </c>
      <c r="N2377" t="s">
        <v>70</v>
      </c>
      <c r="Q2377">
        <f t="shared" ref="Q2377:S2377" si="1336">Q2376</f>
        <v>18977</v>
      </c>
      <c r="R2377" t="str">
        <f t="shared" si="1336"/>
        <v>Velodrome</v>
      </c>
      <c r="S2377" t="str">
        <f t="shared" si="1336"/>
        <v>HollowBrook</v>
      </c>
      <c r="T2377" s="20">
        <f t="shared" si="1331"/>
        <v>0</v>
      </c>
      <c r="U2377">
        <f t="shared" si="1332"/>
        <v>170</v>
      </c>
      <c r="V2377">
        <f t="shared" si="1333"/>
        <v>170</v>
      </c>
      <c r="W2377" cm="1">
        <f t="array" ref="W2377">_xlfn._xlws.FILTER(shifts!A:A,(shifts!B:B=events!D2377)*(shifts!AH:AH&gt;=events!U2377)*(shifts!AI:AI&lt;=events!V2377))</f>
        <v>83</v>
      </c>
      <c r="X2377" t="str">
        <f t="shared" si="1334"/>
        <v>event_team_player_1</v>
      </c>
      <c r="Y2377">
        <f>COUNTIFS(A$3:A2377,"="&amp;A2377,K$3:K2377,"="&amp;K2377)</f>
        <v>1</v>
      </c>
      <c r="Z2377" s="20">
        <f>SUMIFS(T$3:T2377,L$3:L2377,"=Intermission")+SUMIFS(T$3:T2377,L$3:L2377,"=Timeout")+SUMIFS(T$3:T2377,L$3:L2377,"=Clockstop")</f>
        <v>138</v>
      </c>
      <c r="AA2377">
        <f t="shared" si="1325"/>
        <v>2298</v>
      </c>
      <c r="AC2377">
        <f t="shared" si="1326"/>
        <v>2436</v>
      </c>
    </row>
    <row r="2378" spans="1:29" x14ac:dyDescent="0.2">
      <c r="A2378">
        <v>1290</v>
      </c>
      <c r="D2378">
        <f t="shared" si="1327"/>
        <v>3</v>
      </c>
      <c r="E2378">
        <v>2</v>
      </c>
      <c r="F2378" s="6" t="s">
        <v>432</v>
      </c>
      <c r="I2378" t="s">
        <v>178</v>
      </c>
      <c r="J2378">
        <v>49</v>
      </c>
      <c r="K2378" t="s">
        <v>488</v>
      </c>
      <c r="L2378" t="s">
        <v>8</v>
      </c>
      <c r="M2378" t="s">
        <v>189</v>
      </c>
      <c r="N2378" t="s">
        <v>70</v>
      </c>
      <c r="Q2378">
        <f t="shared" ref="Q2378:S2378" si="1337">Q2377</f>
        <v>18977</v>
      </c>
      <c r="R2378" t="str">
        <f t="shared" si="1337"/>
        <v>Velodrome</v>
      </c>
      <c r="S2378" t="str">
        <f t="shared" si="1337"/>
        <v>HollowBrook</v>
      </c>
      <c r="T2378" s="20">
        <f t="shared" si="1331"/>
        <v>0</v>
      </c>
      <c r="U2378">
        <f t="shared" si="1332"/>
        <v>170</v>
      </c>
      <c r="V2378">
        <f t="shared" si="1333"/>
        <v>170</v>
      </c>
      <c r="W2378" cm="1">
        <f t="array" ref="W2378">_xlfn._xlws.FILTER(shifts!A:A,(shifts!B:B=events!D2378)*(shifts!AH:AH&gt;=events!U2378)*(shifts!AI:AI&lt;=events!V2378))</f>
        <v>83</v>
      </c>
      <c r="X2378" t="str">
        <f t="shared" si="1334"/>
        <v>event_team_player_2</v>
      </c>
      <c r="Y2378">
        <f>COUNTIFS(A$3:A2378,"="&amp;A2378,K$3:K2378,"="&amp;K2378)</f>
        <v>2</v>
      </c>
      <c r="Z2378" s="20">
        <f>SUMIFS(T$3:T2378,L$3:L2378,"=Intermission")+SUMIFS(T$3:T2378,L$3:L2378,"=Timeout")+SUMIFS(T$3:T2378,L$3:L2378,"=Clockstop")</f>
        <v>138</v>
      </c>
      <c r="AA2378">
        <f t="shared" si="1325"/>
        <v>2298</v>
      </c>
      <c r="AC2378">
        <f t="shared" si="1326"/>
        <v>2436</v>
      </c>
    </row>
    <row r="2379" spans="1:29" x14ac:dyDescent="0.2">
      <c r="A2379">
        <v>1290</v>
      </c>
      <c r="D2379">
        <f t="shared" si="1327"/>
        <v>3</v>
      </c>
      <c r="E2379">
        <v>2</v>
      </c>
      <c r="F2379" s="6" t="s">
        <v>432</v>
      </c>
      <c r="I2379" t="s">
        <v>178</v>
      </c>
      <c r="J2379">
        <v>26</v>
      </c>
      <c r="K2379" t="s">
        <v>489</v>
      </c>
      <c r="L2379" t="s">
        <v>8</v>
      </c>
      <c r="M2379" t="s">
        <v>189</v>
      </c>
      <c r="N2379" t="s">
        <v>70</v>
      </c>
      <c r="Q2379">
        <f t="shared" ref="Q2379:S2379" si="1338">Q2378</f>
        <v>18977</v>
      </c>
      <c r="R2379" t="str">
        <f t="shared" si="1338"/>
        <v>Velodrome</v>
      </c>
      <c r="S2379" t="str">
        <f t="shared" si="1338"/>
        <v>HollowBrook</v>
      </c>
      <c r="T2379" s="20">
        <f t="shared" si="1331"/>
        <v>0</v>
      </c>
      <c r="U2379">
        <f t="shared" si="1332"/>
        <v>170</v>
      </c>
      <c r="V2379">
        <f t="shared" si="1333"/>
        <v>170</v>
      </c>
      <c r="W2379" cm="1">
        <f t="array" ref="W2379">_xlfn._xlws.FILTER(shifts!A:A,(shifts!B:B=events!D2379)*(shifts!AH:AH&gt;=events!U2379)*(shifts!AI:AI&lt;=events!V2379))</f>
        <v>83</v>
      </c>
      <c r="X2379" t="str">
        <f t="shared" si="1334"/>
        <v>opp_team_player_1</v>
      </c>
      <c r="Y2379">
        <f>COUNTIFS(A$3:A2379,"="&amp;A2379,K$3:K2379,"="&amp;K2379)</f>
        <v>1</v>
      </c>
      <c r="Z2379" s="20">
        <f>SUMIFS(T$3:T2379,L$3:L2379,"=Intermission")+SUMIFS(T$3:T2379,L$3:L2379,"=Timeout")+SUMIFS(T$3:T2379,L$3:L2379,"=Clockstop")</f>
        <v>138</v>
      </c>
      <c r="AA2379">
        <f t="shared" si="1325"/>
        <v>2298</v>
      </c>
      <c r="AC2379">
        <f t="shared" si="1326"/>
        <v>2436</v>
      </c>
    </row>
    <row r="2380" spans="1:29" x14ac:dyDescent="0.2">
      <c r="A2380">
        <v>1291</v>
      </c>
      <c r="D2380">
        <f t="shared" si="1327"/>
        <v>3</v>
      </c>
      <c r="E2380">
        <v>2</v>
      </c>
      <c r="F2380" s="6" t="s">
        <v>432</v>
      </c>
      <c r="I2380" t="s">
        <v>178</v>
      </c>
      <c r="J2380">
        <v>84</v>
      </c>
      <c r="K2380" t="s">
        <v>488</v>
      </c>
      <c r="L2380" t="s">
        <v>277</v>
      </c>
      <c r="M2380" t="s">
        <v>201</v>
      </c>
      <c r="N2380" t="s">
        <v>91</v>
      </c>
      <c r="Q2380">
        <f t="shared" ref="Q2380:S2380" si="1339">Q2379</f>
        <v>18977</v>
      </c>
      <c r="R2380" t="str">
        <f t="shared" si="1339"/>
        <v>Velodrome</v>
      </c>
      <c r="S2380" t="str">
        <f t="shared" si="1339"/>
        <v>HollowBrook</v>
      </c>
      <c r="T2380" s="20">
        <f t="shared" si="1331"/>
        <v>0</v>
      </c>
      <c r="U2380">
        <f t="shared" si="1332"/>
        <v>170</v>
      </c>
      <c r="V2380">
        <f t="shared" si="1333"/>
        <v>170</v>
      </c>
      <c r="W2380" cm="1">
        <f t="array" ref="W2380">_xlfn._xlws.FILTER(shifts!A:A,(shifts!B:B=events!D2380)*(shifts!AH:AH&gt;=events!U2380)*(shifts!AI:AI&lt;=events!V2380))</f>
        <v>83</v>
      </c>
      <c r="X2380" t="str">
        <f t="shared" si="1334"/>
        <v>event_team_player_1</v>
      </c>
      <c r="Y2380">
        <f>COUNTIFS(A$3:A2380,"="&amp;A2380,K$3:K2380,"="&amp;K2380)</f>
        <v>1</v>
      </c>
      <c r="Z2380" s="20">
        <f>SUMIFS(T$3:T2380,L$3:L2380,"=Intermission")+SUMIFS(T$3:T2380,L$3:L2380,"=Timeout")+SUMIFS(T$3:T2380,L$3:L2380,"=Clockstop")</f>
        <v>138</v>
      </c>
      <c r="AA2380">
        <f t="shared" si="1325"/>
        <v>2298</v>
      </c>
      <c r="AC2380">
        <f t="shared" si="1326"/>
        <v>2436</v>
      </c>
    </row>
    <row r="2381" spans="1:29" x14ac:dyDescent="0.2">
      <c r="A2381">
        <v>1291</v>
      </c>
      <c r="D2381">
        <f t="shared" si="1327"/>
        <v>3</v>
      </c>
      <c r="E2381">
        <v>2</v>
      </c>
      <c r="F2381" s="6" t="s">
        <v>432</v>
      </c>
      <c r="I2381" t="s">
        <v>178</v>
      </c>
      <c r="J2381">
        <v>49</v>
      </c>
      <c r="K2381" t="s">
        <v>488</v>
      </c>
      <c r="L2381" t="s">
        <v>277</v>
      </c>
      <c r="M2381" t="s">
        <v>201</v>
      </c>
      <c r="N2381" t="s">
        <v>91</v>
      </c>
      <c r="Q2381">
        <f t="shared" ref="Q2381:S2381" si="1340">Q2380</f>
        <v>18977</v>
      </c>
      <c r="R2381" t="str">
        <f t="shared" si="1340"/>
        <v>Velodrome</v>
      </c>
      <c r="S2381" t="str">
        <f t="shared" si="1340"/>
        <v>HollowBrook</v>
      </c>
      <c r="T2381" s="20">
        <f t="shared" si="1331"/>
        <v>0</v>
      </c>
      <c r="U2381">
        <f t="shared" si="1332"/>
        <v>170</v>
      </c>
      <c r="V2381">
        <f t="shared" si="1333"/>
        <v>170</v>
      </c>
      <c r="W2381" cm="1">
        <f t="array" ref="W2381">_xlfn._xlws.FILTER(shifts!A:A,(shifts!B:B=events!D2381)*(shifts!AH:AH&gt;=events!U2381)*(shifts!AI:AI&lt;=events!V2381))</f>
        <v>83</v>
      </c>
      <c r="X2381" t="str">
        <f t="shared" si="1334"/>
        <v>event_team_player_2</v>
      </c>
      <c r="Y2381">
        <f>COUNTIFS(A$3:A2381,"="&amp;A2381,K$3:K2381,"="&amp;K2381)</f>
        <v>2</v>
      </c>
      <c r="Z2381" s="20">
        <f>SUMIFS(T$3:T2381,L$3:L2381,"=Intermission")+SUMIFS(T$3:T2381,L$3:L2381,"=Timeout")+SUMIFS(T$3:T2381,L$3:L2381,"=Clockstop")</f>
        <v>138</v>
      </c>
      <c r="AA2381">
        <f t="shared" si="1325"/>
        <v>2298</v>
      </c>
      <c r="AC2381">
        <f t="shared" si="1326"/>
        <v>2436</v>
      </c>
    </row>
    <row r="2382" spans="1:29" x14ac:dyDescent="0.2">
      <c r="A2382">
        <v>1291</v>
      </c>
      <c r="D2382">
        <f t="shared" si="1327"/>
        <v>3</v>
      </c>
      <c r="E2382">
        <v>2</v>
      </c>
      <c r="F2382" s="6" t="s">
        <v>432</v>
      </c>
      <c r="I2382" t="s">
        <v>178</v>
      </c>
      <c r="J2382">
        <v>26</v>
      </c>
      <c r="K2382" t="s">
        <v>489</v>
      </c>
      <c r="L2382" t="s">
        <v>277</v>
      </c>
      <c r="M2382" t="s">
        <v>201</v>
      </c>
      <c r="N2382" t="s">
        <v>91</v>
      </c>
      <c r="Q2382">
        <f t="shared" ref="Q2382:S2382" si="1341">Q2381</f>
        <v>18977</v>
      </c>
      <c r="R2382" t="str">
        <f t="shared" si="1341"/>
        <v>Velodrome</v>
      </c>
      <c r="S2382" t="str">
        <f t="shared" si="1341"/>
        <v>HollowBrook</v>
      </c>
      <c r="T2382" s="20">
        <f t="shared" si="1331"/>
        <v>0</v>
      </c>
      <c r="U2382">
        <f t="shared" si="1332"/>
        <v>170</v>
      </c>
      <c r="V2382">
        <f t="shared" si="1333"/>
        <v>170</v>
      </c>
      <c r="W2382" cm="1">
        <f t="array" ref="W2382">_xlfn._xlws.FILTER(shifts!A:A,(shifts!B:B=events!D2382)*(shifts!AH:AH&gt;=events!U2382)*(shifts!AI:AI&lt;=events!V2382))</f>
        <v>83</v>
      </c>
      <c r="X2382" t="str">
        <f t="shared" si="1334"/>
        <v>opp_team_player_1</v>
      </c>
      <c r="Y2382">
        <f>COUNTIFS(A$3:A2382,"="&amp;A2382,K$3:K2382,"="&amp;K2382)</f>
        <v>1</v>
      </c>
      <c r="Z2382" s="20">
        <f>SUMIFS(T$3:T2382,L$3:L2382,"=Intermission")+SUMIFS(T$3:T2382,L$3:L2382,"=Timeout")+SUMIFS(T$3:T2382,L$3:L2382,"=Clockstop")</f>
        <v>138</v>
      </c>
      <c r="AA2382">
        <f t="shared" si="1325"/>
        <v>2298</v>
      </c>
      <c r="AC2382">
        <f t="shared" si="1326"/>
        <v>2436</v>
      </c>
    </row>
    <row r="2383" spans="1:29" x14ac:dyDescent="0.2">
      <c r="A2383">
        <v>1292</v>
      </c>
      <c r="D2383">
        <f t="shared" si="1327"/>
        <v>3</v>
      </c>
      <c r="E2383">
        <v>2</v>
      </c>
      <c r="F2383" s="6" t="s">
        <v>450</v>
      </c>
      <c r="I2383" t="s">
        <v>178</v>
      </c>
      <c r="J2383">
        <v>49</v>
      </c>
      <c r="K2383" t="s">
        <v>488</v>
      </c>
      <c r="L2383" t="s">
        <v>8</v>
      </c>
      <c r="M2383" t="s">
        <v>189</v>
      </c>
      <c r="N2383" t="s">
        <v>497</v>
      </c>
      <c r="Q2383">
        <f t="shared" ref="Q2383:S2383" si="1342">Q2382</f>
        <v>18977</v>
      </c>
      <c r="R2383" t="str">
        <f t="shared" si="1342"/>
        <v>Velodrome</v>
      </c>
      <c r="S2383" t="str">
        <f t="shared" si="1342"/>
        <v>HollowBrook</v>
      </c>
      <c r="T2383" s="20">
        <f t="shared" si="1331"/>
        <v>0</v>
      </c>
      <c r="U2383">
        <f t="shared" si="1332"/>
        <v>169</v>
      </c>
      <c r="V2383">
        <f t="shared" si="1333"/>
        <v>169</v>
      </c>
      <c r="W2383" cm="1">
        <f t="array" ref="W2383">_xlfn._xlws.FILTER(shifts!A:A,(shifts!B:B=events!D2383)*(shifts!AH:AH&gt;=events!U2383)*(shifts!AI:AI&lt;=events!V2383))</f>
        <v>83</v>
      </c>
      <c r="X2383" t="str">
        <f t="shared" si="1334"/>
        <v>event_team_player_1</v>
      </c>
      <c r="Y2383">
        <f>COUNTIFS(A$3:A2383,"="&amp;A2383,K$3:K2383,"="&amp;K2383)</f>
        <v>1</v>
      </c>
      <c r="Z2383" s="20">
        <f>SUMIFS(T$3:T2383,L$3:L2383,"=Intermission")+SUMIFS(T$3:T2383,L$3:L2383,"=Timeout")+SUMIFS(T$3:T2383,L$3:L2383,"=Clockstop")</f>
        <v>138</v>
      </c>
      <c r="AA2383">
        <f t="shared" si="1325"/>
        <v>2298</v>
      </c>
      <c r="AC2383">
        <f t="shared" si="1326"/>
        <v>2436</v>
      </c>
    </row>
    <row r="2384" spans="1:29" x14ac:dyDescent="0.2">
      <c r="A2384">
        <v>1292</v>
      </c>
      <c r="D2384">
        <f t="shared" si="1327"/>
        <v>3</v>
      </c>
      <c r="E2384">
        <v>2</v>
      </c>
      <c r="F2384" s="6" t="s">
        <v>450</v>
      </c>
      <c r="I2384" t="s">
        <v>178</v>
      </c>
      <c r="J2384">
        <v>70</v>
      </c>
      <c r="K2384" t="s">
        <v>488</v>
      </c>
      <c r="L2384" t="s">
        <v>8</v>
      </c>
      <c r="M2384" t="s">
        <v>189</v>
      </c>
      <c r="N2384" t="s">
        <v>497</v>
      </c>
      <c r="Q2384">
        <f t="shared" ref="Q2384:S2384" si="1343">Q2383</f>
        <v>18977</v>
      </c>
      <c r="R2384" t="str">
        <f t="shared" si="1343"/>
        <v>Velodrome</v>
      </c>
      <c r="S2384" t="str">
        <f t="shared" si="1343"/>
        <v>HollowBrook</v>
      </c>
      <c r="T2384" s="20">
        <f t="shared" si="1331"/>
        <v>0</v>
      </c>
      <c r="U2384">
        <f t="shared" si="1332"/>
        <v>169</v>
      </c>
      <c r="V2384">
        <f t="shared" si="1333"/>
        <v>169</v>
      </c>
      <c r="W2384" cm="1">
        <f t="array" ref="W2384">_xlfn._xlws.FILTER(shifts!A:A,(shifts!B:B=events!D2384)*(shifts!AH:AH&gt;=events!U2384)*(shifts!AI:AI&lt;=events!V2384))</f>
        <v>83</v>
      </c>
      <c r="X2384" t="str">
        <f t="shared" si="1334"/>
        <v>event_team_player_2</v>
      </c>
      <c r="Y2384">
        <f>COUNTIFS(A$3:A2384,"="&amp;A2384,K$3:K2384,"="&amp;K2384)</f>
        <v>2</v>
      </c>
      <c r="Z2384" s="20">
        <f>SUMIFS(T$3:T2384,L$3:L2384,"=Intermission")+SUMIFS(T$3:T2384,L$3:L2384,"=Timeout")+SUMIFS(T$3:T2384,L$3:L2384,"=Clockstop")</f>
        <v>138</v>
      </c>
      <c r="AA2384">
        <f t="shared" si="1325"/>
        <v>2298</v>
      </c>
      <c r="AC2384">
        <f t="shared" si="1326"/>
        <v>2436</v>
      </c>
    </row>
    <row r="2385" spans="1:29" x14ac:dyDescent="0.2">
      <c r="A2385">
        <v>1292</v>
      </c>
      <c r="D2385">
        <f t="shared" si="1327"/>
        <v>3</v>
      </c>
      <c r="E2385">
        <v>2</v>
      </c>
      <c r="F2385" s="6" t="s">
        <v>450</v>
      </c>
      <c r="I2385" t="s">
        <v>178</v>
      </c>
      <c r="J2385">
        <v>13</v>
      </c>
      <c r="K2385" t="s">
        <v>489</v>
      </c>
      <c r="L2385" t="s">
        <v>8</v>
      </c>
      <c r="M2385" t="s">
        <v>189</v>
      </c>
      <c r="N2385" t="s">
        <v>497</v>
      </c>
      <c r="Q2385">
        <f t="shared" ref="Q2385:S2385" si="1344">Q2384</f>
        <v>18977</v>
      </c>
      <c r="R2385" t="str">
        <f t="shared" si="1344"/>
        <v>Velodrome</v>
      </c>
      <c r="S2385" t="str">
        <f t="shared" si="1344"/>
        <v>HollowBrook</v>
      </c>
      <c r="T2385" s="20">
        <f t="shared" si="1331"/>
        <v>0</v>
      </c>
      <c r="U2385">
        <f t="shared" si="1332"/>
        <v>169</v>
      </c>
      <c r="V2385">
        <f t="shared" si="1333"/>
        <v>169</v>
      </c>
      <c r="W2385" cm="1">
        <f t="array" ref="W2385">_xlfn._xlws.FILTER(shifts!A:A,(shifts!B:B=events!D2385)*(shifts!AH:AH&gt;=events!U2385)*(shifts!AI:AI&lt;=events!V2385))</f>
        <v>83</v>
      </c>
      <c r="X2385" t="str">
        <f t="shared" si="1334"/>
        <v>opp_team_player_1</v>
      </c>
      <c r="Y2385">
        <f>COUNTIFS(A$3:A2385,"="&amp;A2385,K$3:K2385,"="&amp;K2385)</f>
        <v>1</v>
      </c>
      <c r="Z2385" s="20">
        <f>SUMIFS(T$3:T2385,L$3:L2385,"=Intermission")+SUMIFS(T$3:T2385,L$3:L2385,"=Timeout")+SUMIFS(T$3:T2385,L$3:L2385,"=Clockstop")</f>
        <v>138</v>
      </c>
      <c r="AA2385">
        <f t="shared" si="1325"/>
        <v>2298</v>
      </c>
      <c r="AC2385">
        <f t="shared" si="1326"/>
        <v>2436</v>
      </c>
    </row>
    <row r="2386" spans="1:29" x14ac:dyDescent="0.2">
      <c r="A2386">
        <v>1293</v>
      </c>
      <c r="D2386">
        <f t="shared" si="1327"/>
        <v>3</v>
      </c>
      <c r="E2386">
        <v>2</v>
      </c>
      <c r="F2386" s="6" t="s">
        <v>450</v>
      </c>
      <c r="G2386">
        <v>2</v>
      </c>
      <c r="H2386" s="8" t="s">
        <v>478</v>
      </c>
      <c r="I2386" t="s">
        <v>178</v>
      </c>
      <c r="J2386">
        <v>70</v>
      </c>
      <c r="K2386" t="s">
        <v>488</v>
      </c>
      <c r="L2386" t="s">
        <v>15</v>
      </c>
      <c r="Q2386">
        <f t="shared" ref="Q2386:S2386" si="1345">Q2385</f>
        <v>18977</v>
      </c>
      <c r="R2386" t="str">
        <f t="shared" si="1345"/>
        <v>Velodrome</v>
      </c>
      <c r="S2386" t="str">
        <f t="shared" si="1345"/>
        <v>HollowBrook</v>
      </c>
      <c r="T2386" s="20">
        <f t="shared" si="1331"/>
        <v>3</v>
      </c>
      <c r="U2386">
        <f t="shared" si="1332"/>
        <v>169</v>
      </c>
      <c r="V2386">
        <f t="shared" si="1333"/>
        <v>166</v>
      </c>
      <c r="W2386" cm="1">
        <f t="array" ref="W2386">_xlfn._xlws.FILTER(shifts!A:A,(shifts!B:B=events!D2386)*(shifts!AH:AH&gt;=events!U2386)*(shifts!AI:AI&lt;=events!V2386))</f>
        <v>83</v>
      </c>
      <c r="X2386" t="str">
        <f t="shared" si="1334"/>
        <v>event_team_player_1</v>
      </c>
      <c r="Y2386">
        <f>COUNTIFS(A$3:A2386,"="&amp;A2386,K$3:K2386,"="&amp;K2386)</f>
        <v>1</v>
      </c>
      <c r="Z2386" s="20">
        <f>SUMIFS(T$3:T2386,L$3:L2386,"=Intermission")+SUMIFS(T$3:T2386,L$3:L2386,"=Timeout")+SUMIFS(T$3:T2386,L$3:L2386,"=Clockstop")</f>
        <v>138</v>
      </c>
      <c r="AA2386">
        <f t="shared" si="1325"/>
        <v>2298</v>
      </c>
      <c r="AC2386">
        <f t="shared" si="1326"/>
        <v>2436</v>
      </c>
    </row>
    <row r="2387" spans="1:29" x14ac:dyDescent="0.2">
      <c r="A2387">
        <v>1294</v>
      </c>
      <c r="D2387">
        <f t="shared" si="1327"/>
        <v>3</v>
      </c>
      <c r="E2387">
        <v>2</v>
      </c>
      <c r="F2387" s="6" t="s">
        <v>478</v>
      </c>
      <c r="G2387">
        <v>2</v>
      </c>
      <c r="H2387" s="8" t="s">
        <v>454</v>
      </c>
      <c r="I2387" t="s">
        <v>178</v>
      </c>
      <c r="J2387">
        <v>70</v>
      </c>
      <c r="K2387" t="s">
        <v>488</v>
      </c>
      <c r="L2387" t="s">
        <v>277</v>
      </c>
      <c r="M2387" t="s">
        <v>191</v>
      </c>
      <c r="N2387" t="s">
        <v>87</v>
      </c>
      <c r="Q2387">
        <f t="shared" ref="Q2387:S2387" si="1346">Q2386</f>
        <v>18977</v>
      </c>
      <c r="R2387" t="str">
        <f t="shared" si="1346"/>
        <v>Velodrome</v>
      </c>
      <c r="S2387" t="str">
        <f t="shared" si="1346"/>
        <v>HollowBrook</v>
      </c>
      <c r="T2387" s="20">
        <f t="shared" si="1331"/>
        <v>3</v>
      </c>
      <c r="U2387">
        <f t="shared" si="1332"/>
        <v>166</v>
      </c>
      <c r="V2387">
        <f t="shared" si="1333"/>
        <v>163</v>
      </c>
      <c r="W2387">
        <v>84</v>
      </c>
      <c r="X2387" t="str">
        <f t="shared" si="1334"/>
        <v>event_team_player_1</v>
      </c>
      <c r="Y2387">
        <f>COUNTIFS(A$3:A2387,"="&amp;A2387,K$3:K2387,"="&amp;K2387)</f>
        <v>1</v>
      </c>
      <c r="Z2387" s="20">
        <f>SUMIFS(T$3:T2387,L$3:L2387,"=Intermission")+SUMIFS(T$3:T2387,L$3:L2387,"=Timeout")+SUMIFS(T$3:T2387,L$3:L2387,"=Clockstop")</f>
        <v>138</v>
      </c>
      <c r="AA2387">
        <f t="shared" si="1325"/>
        <v>2298</v>
      </c>
      <c r="AC2387">
        <f t="shared" si="1326"/>
        <v>2436</v>
      </c>
    </row>
    <row r="2388" spans="1:29" x14ac:dyDescent="0.2">
      <c r="A2388">
        <v>1294</v>
      </c>
      <c r="D2388">
        <f t="shared" si="1327"/>
        <v>3</v>
      </c>
      <c r="E2388">
        <v>2</v>
      </c>
      <c r="F2388" s="6" t="s">
        <v>478</v>
      </c>
      <c r="G2388">
        <v>2</v>
      </c>
      <c r="H2388" s="8" t="s">
        <v>454</v>
      </c>
      <c r="I2388" t="s">
        <v>178</v>
      </c>
      <c r="J2388">
        <v>5</v>
      </c>
      <c r="K2388" t="s">
        <v>489</v>
      </c>
      <c r="L2388" t="s">
        <v>277</v>
      </c>
      <c r="M2388" t="s">
        <v>191</v>
      </c>
      <c r="N2388" t="s">
        <v>87</v>
      </c>
      <c r="Q2388">
        <f t="shared" ref="Q2388:S2388" si="1347">Q2387</f>
        <v>18977</v>
      </c>
      <c r="R2388" t="str">
        <f t="shared" si="1347"/>
        <v>Velodrome</v>
      </c>
      <c r="S2388" t="str">
        <f t="shared" si="1347"/>
        <v>HollowBrook</v>
      </c>
      <c r="T2388" s="20">
        <f t="shared" si="1331"/>
        <v>3</v>
      </c>
      <c r="U2388">
        <f t="shared" si="1332"/>
        <v>166</v>
      </c>
      <c r="V2388">
        <f t="shared" si="1333"/>
        <v>163</v>
      </c>
      <c r="W2388">
        <v>84</v>
      </c>
      <c r="X2388" t="str">
        <f t="shared" si="1334"/>
        <v>opp_team_player_1</v>
      </c>
      <c r="Y2388">
        <f>COUNTIFS(A$3:A2388,"="&amp;A2388,K$3:K2388,"="&amp;K2388)</f>
        <v>1</v>
      </c>
      <c r="Z2388" s="20">
        <f>SUMIFS(T$3:T2388,L$3:L2388,"=Intermission")+SUMIFS(T$3:T2388,L$3:L2388,"=Timeout")+SUMIFS(T$3:T2388,L$3:L2388,"=Clockstop")</f>
        <v>138</v>
      </c>
      <c r="AA2388">
        <f t="shared" si="1325"/>
        <v>2298</v>
      </c>
      <c r="AC2388">
        <f t="shared" si="1326"/>
        <v>2436</v>
      </c>
    </row>
    <row r="2389" spans="1:29" x14ac:dyDescent="0.2">
      <c r="A2389">
        <v>1294</v>
      </c>
      <c r="D2389">
        <f t="shared" si="1327"/>
        <v>3</v>
      </c>
      <c r="E2389">
        <v>2</v>
      </c>
      <c r="F2389" s="6" t="s">
        <v>478</v>
      </c>
      <c r="G2389">
        <v>2</v>
      </c>
      <c r="H2389" s="8" t="s">
        <v>454</v>
      </c>
      <c r="I2389" t="s">
        <v>178</v>
      </c>
      <c r="J2389">
        <v>18</v>
      </c>
      <c r="K2389" t="s">
        <v>489</v>
      </c>
      <c r="L2389" t="s">
        <v>277</v>
      </c>
      <c r="M2389" t="s">
        <v>191</v>
      </c>
      <c r="N2389" t="s">
        <v>87</v>
      </c>
      <c r="Q2389">
        <f t="shared" ref="Q2389:S2389" si="1348">Q2388</f>
        <v>18977</v>
      </c>
      <c r="R2389" t="str">
        <f t="shared" si="1348"/>
        <v>Velodrome</v>
      </c>
      <c r="S2389" t="str">
        <f t="shared" si="1348"/>
        <v>HollowBrook</v>
      </c>
      <c r="T2389" s="20">
        <f t="shared" si="1331"/>
        <v>3</v>
      </c>
      <c r="U2389">
        <f t="shared" si="1332"/>
        <v>166</v>
      </c>
      <c r="V2389">
        <f t="shared" si="1333"/>
        <v>163</v>
      </c>
      <c r="W2389">
        <v>84</v>
      </c>
      <c r="X2389" t="str">
        <f t="shared" si="1334"/>
        <v>opp_team_player_2</v>
      </c>
      <c r="Y2389">
        <f>COUNTIFS(A$3:A2389,"="&amp;A2389,K$3:K2389,"="&amp;K2389)</f>
        <v>2</v>
      </c>
      <c r="Z2389" s="20">
        <f>SUMIFS(T$3:T2389,L$3:L2389,"=Intermission")+SUMIFS(T$3:T2389,L$3:L2389,"=Timeout")+SUMIFS(T$3:T2389,L$3:L2389,"=Clockstop")</f>
        <v>138</v>
      </c>
      <c r="AA2389">
        <f t="shared" si="1325"/>
        <v>2298</v>
      </c>
      <c r="AC2389">
        <f t="shared" si="1326"/>
        <v>2436</v>
      </c>
    </row>
    <row r="2390" spans="1:29" x14ac:dyDescent="0.2">
      <c r="A2390">
        <v>1295</v>
      </c>
      <c r="D2390">
        <f t="shared" si="1327"/>
        <v>3</v>
      </c>
      <c r="E2390">
        <v>2</v>
      </c>
      <c r="F2390" s="6" t="s">
        <v>454</v>
      </c>
      <c r="I2390" t="s">
        <v>178</v>
      </c>
      <c r="J2390">
        <v>70</v>
      </c>
      <c r="K2390" t="s">
        <v>488</v>
      </c>
      <c r="L2390" t="s">
        <v>7</v>
      </c>
      <c r="M2390" t="s">
        <v>208</v>
      </c>
      <c r="N2390" t="s">
        <v>53</v>
      </c>
      <c r="Q2390">
        <f t="shared" ref="Q2390:S2390" si="1349">Q2389</f>
        <v>18977</v>
      </c>
      <c r="R2390" t="str">
        <f t="shared" si="1349"/>
        <v>Velodrome</v>
      </c>
      <c r="S2390" t="str">
        <f t="shared" si="1349"/>
        <v>HollowBrook</v>
      </c>
      <c r="T2390" s="20">
        <f t="shared" si="1331"/>
        <v>0</v>
      </c>
      <c r="U2390">
        <f t="shared" si="1332"/>
        <v>163</v>
      </c>
      <c r="V2390">
        <f t="shared" si="1333"/>
        <v>163</v>
      </c>
      <c r="W2390" cm="1">
        <f t="array" ref="W2390">_xlfn._xlws.FILTER(shifts!A:A,(shifts!B:B=events!D2390)*(shifts!AH:AH&gt;=events!U2390)*(shifts!AI:AI&lt;=events!V2390))</f>
        <v>84</v>
      </c>
      <c r="X2390" t="str">
        <f t="shared" si="1334"/>
        <v>event_team_player_1</v>
      </c>
      <c r="Y2390">
        <f>COUNTIFS(A$3:A2390,"="&amp;A2390,K$3:K2390,"="&amp;K2390)</f>
        <v>1</v>
      </c>
      <c r="Z2390" s="20">
        <f>SUMIFS(T$3:T2390,L$3:L2390,"=Intermission")+SUMIFS(T$3:T2390,L$3:L2390,"=Timeout")+SUMIFS(T$3:T2390,L$3:L2390,"=Clockstop")</f>
        <v>138</v>
      </c>
      <c r="AA2390">
        <f t="shared" si="1325"/>
        <v>2298</v>
      </c>
      <c r="AC2390">
        <f t="shared" si="1326"/>
        <v>2436</v>
      </c>
    </row>
    <row r="2391" spans="1:29" x14ac:dyDescent="0.2">
      <c r="A2391">
        <v>1295</v>
      </c>
      <c r="D2391">
        <f t="shared" si="1327"/>
        <v>3</v>
      </c>
      <c r="E2391">
        <v>2</v>
      </c>
      <c r="F2391" s="6" t="s">
        <v>454</v>
      </c>
      <c r="I2391" t="s">
        <v>178</v>
      </c>
      <c r="J2391">
        <v>5</v>
      </c>
      <c r="K2391" t="s">
        <v>489</v>
      </c>
      <c r="L2391" t="s">
        <v>7</v>
      </c>
      <c r="M2391" t="s">
        <v>208</v>
      </c>
      <c r="N2391" t="s">
        <v>53</v>
      </c>
      <c r="Q2391">
        <f t="shared" ref="Q2391:S2391" si="1350">Q2390</f>
        <v>18977</v>
      </c>
      <c r="R2391" t="str">
        <f t="shared" si="1350"/>
        <v>Velodrome</v>
      </c>
      <c r="S2391" t="str">
        <f t="shared" si="1350"/>
        <v>HollowBrook</v>
      </c>
      <c r="T2391" s="20">
        <f t="shared" si="1331"/>
        <v>0</v>
      </c>
      <c r="U2391">
        <f t="shared" si="1332"/>
        <v>163</v>
      </c>
      <c r="V2391">
        <f t="shared" si="1333"/>
        <v>163</v>
      </c>
      <c r="W2391" cm="1">
        <f t="array" ref="W2391">_xlfn._xlws.FILTER(shifts!A:A,(shifts!B:B=events!D2391)*(shifts!AH:AH&gt;=events!U2391)*(shifts!AI:AI&lt;=events!V2391))</f>
        <v>84</v>
      </c>
      <c r="X2391" t="str">
        <f t="shared" si="1334"/>
        <v>opp_team_player_1</v>
      </c>
      <c r="Y2391">
        <f>COUNTIFS(A$3:A2391,"="&amp;A2391,K$3:K2391,"="&amp;K2391)</f>
        <v>1</v>
      </c>
      <c r="Z2391" s="20">
        <f>SUMIFS(T$3:T2391,L$3:L2391,"=Intermission")+SUMIFS(T$3:T2391,L$3:L2391,"=Timeout")+SUMIFS(T$3:T2391,L$3:L2391,"=Clockstop")</f>
        <v>138</v>
      </c>
      <c r="AA2391">
        <f t="shared" si="1325"/>
        <v>2298</v>
      </c>
      <c r="AC2391">
        <f t="shared" si="1326"/>
        <v>2436</v>
      </c>
    </row>
    <row r="2392" spans="1:29" x14ac:dyDescent="0.2">
      <c r="A2392">
        <v>1296</v>
      </c>
      <c r="D2392">
        <f t="shared" si="1327"/>
        <v>3</v>
      </c>
      <c r="E2392">
        <v>2</v>
      </c>
      <c r="F2392" s="6" t="s">
        <v>437</v>
      </c>
      <c r="I2392" t="s">
        <v>178</v>
      </c>
      <c r="J2392">
        <v>70</v>
      </c>
      <c r="K2392" t="s">
        <v>488</v>
      </c>
      <c r="L2392" t="s">
        <v>7</v>
      </c>
      <c r="M2392" t="s">
        <v>222</v>
      </c>
      <c r="N2392" t="s">
        <v>53</v>
      </c>
      <c r="Q2392">
        <f t="shared" ref="Q2392:S2392" si="1351">Q2391</f>
        <v>18977</v>
      </c>
      <c r="R2392" t="str">
        <f t="shared" si="1351"/>
        <v>Velodrome</v>
      </c>
      <c r="S2392" t="str">
        <f t="shared" si="1351"/>
        <v>HollowBrook</v>
      </c>
      <c r="T2392" s="20">
        <f t="shared" si="1331"/>
        <v>0</v>
      </c>
      <c r="U2392">
        <f t="shared" si="1332"/>
        <v>160</v>
      </c>
      <c r="V2392">
        <f t="shared" si="1333"/>
        <v>160</v>
      </c>
      <c r="W2392" cm="1">
        <f t="array" ref="W2392">_xlfn._xlws.FILTER(shifts!A:A,(shifts!B:B=events!D2392)*(shifts!AH:AH&gt;=events!U2392)*(shifts!AI:AI&lt;=events!V2392))</f>
        <v>84</v>
      </c>
      <c r="X2392" t="str">
        <f t="shared" si="1334"/>
        <v>event_team_player_1</v>
      </c>
      <c r="Y2392">
        <f>COUNTIFS(A$3:A2392,"="&amp;A2392,K$3:K2392,"="&amp;K2392)</f>
        <v>1</v>
      </c>
      <c r="Z2392" s="20">
        <f>SUMIFS(T$3:T2392,L$3:L2392,"=Intermission")+SUMIFS(T$3:T2392,L$3:L2392,"=Timeout")+SUMIFS(T$3:T2392,L$3:L2392,"=Clockstop")</f>
        <v>138</v>
      </c>
      <c r="AA2392">
        <f t="shared" si="1325"/>
        <v>2298</v>
      </c>
      <c r="AC2392">
        <f t="shared" si="1326"/>
        <v>2436</v>
      </c>
    </row>
    <row r="2393" spans="1:29" x14ac:dyDescent="0.2">
      <c r="A2393">
        <v>1296</v>
      </c>
      <c r="D2393">
        <f t="shared" si="1327"/>
        <v>3</v>
      </c>
      <c r="E2393">
        <v>2</v>
      </c>
      <c r="F2393" s="6" t="s">
        <v>437</v>
      </c>
      <c r="I2393" t="s">
        <v>178</v>
      </c>
      <c r="J2393">
        <v>99</v>
      </c>
      <c r="K2393" t="s">
        <v>489</v>
      </c>
      <c r="L2393" t="s">
        <v>7</v>
      </c>
      <c r="M2393" t="s">
        <v>222</v>
      </c>
      <c r="N2393" t="s">
        <v>53</v>
      </c>
      <c r="Q2393">
        <f t="shared" ref="Q2393:S2393" si="1352">Q2392</f>
        <v>18977</v>
      </c>
      <c r="R2393" t="str">
        <f t="shared" si="1352"/>
        <v>Velodrome</v>
      </c>
      <c r="S2393" t="str">
        <f t="shared" si="1352"/>
        <v>HollowBrook</v>
      </c>
      <c r="T2393" s="20">
        <f t="shared" si="1331"/>
        <v>0</v>
      </c>
      <c r="U2393">
        <f t="shared" si="1332"/>
        <v>160</v>
      </c>
      <c r="V2393">
        <f t="shared" si="1333"/>
        <v>160</v>
      </c>
      <c r="W2393" cm="1">
        <f t="array" ref="W2393">_xlfn._xlws.FILTER(shifts!A:A,(shifts!B:B=events!D2393)*(shifts!AH:AH&gt;=events!U2393)*(shifts!AI:AI&lt;=events!V2393))</f>
        <v>84</v>
      </c>
      <c r="X2393" t="str">
        <f t="shared" si="1334"/>
        <v>opp_team_player_1</v>
      </c>
      <c r="Y2393">
        <f>COUNTIFS(A$3:A2393,"="&amp;A2393,K$3:K2393,"="&amp;K2393)</f>
        <v>1</v>
      </c>
      <c r="Z2393" s="20">
        <f>SUMIFS(T$3:T2393,L$3:L2393,"=Intermission")+SUMIFS(T$3:T2393,L$3:L2393,"=Timeout")+SUMIFS(T$3:T2393,L$3:L2393,"=Clockstop")</f>
        <v>138</v>
      </c>
      <c r="AA2393">
        <f t="shared" si="1325"/>
        <v>2298</v>
      </c>
      <c r="AC2393">
        <f t="shared" si="1326"/>
        <v>2436</v>
      </c>
    </row>
    <row r="2394" spans="1:29" x14ac:dyDescent="0.2">
      <c r="A2394">
        <v>1296</v>
      </c>
      <c r="D2394">
        <f t="shared" si="1327"/>
        <v>3</v>
      </c>
      <c r="E2394">
        <v>2</v>
      </c>
      <c r="F2394" s="6" t="s">
        <v>437</v>
      </c>
      <c r="I2394" t="s">
        <v>178</v>
      </c>
      <c r="J2394">
        <v>5</v>
      </c>
      <c r="K2394" t="s">
        <v>489</v>
      </c>
      <c r="L2394" t="s">
        <v>7</v>
      </c>
      <c r="M2394" t="s">
        <v>222</v>
      </c>
      <c r="N2394" t="s">
        <v>53</v>
      </c>
      <c r="Q2394">
        <f t="shared" ref="Q2394:S2394" si="1353">Q2393</f>
        <v>18977</v>
      </c>
      <c r="R2394" t="str">
        <f t="shared" si="1353"/>
        <v>Velodrome</v>
      </c>
      <c r="S2394" t="str">
        <f t="shared" si="1353"/>
        <v>HollowBrook</v>
      </c>
      <c r="T2394" s="20">
        <f t="shared" si="1331"/>
        <v>0</v>
      </c>
      <c r="U2394">
        <f t="shared" si="1332"/>
        <v>160</v>
      </c>
      <c r="V2394">
        <f t="shared" si="1333"/>
        <v>160</v>
      </c>
      <c r="W2394" cm="1">
        <f t="array" ref="W2394">_xlfn._xlws.FILTER(shifts!A:A,(shifts!B:B=events!D2394)*(shifts!AH:AH&gt;=events!U2394)*(shifts!AI:AI&lt;=events!V2394))</f>
        <v>84</v>
      </c>
      <c r="X2394" t="str">
        <f t="shared" si="1334"/>
        <v>opp_team_player_2</v>
      </c>
      <c r="Y2394">
        <f>COUNTIFS(A$3:A2394,"="&amp;A2394,K$3:K2394,"="&amp;K2394)</f>
        <v>2</v>
      </c>
      <c r="Z2394" s="20">
        <f>SUMIFS(T$3:T2394,L$3:L2394,"=Intermission")+SUMIFS(T$3:T2394,L$3:L2394,"=Timeout")+SUMIFS(T$3:T2394,L$3:L2394,"=Clockstop")</f>
        <v>138</v>
      </c>
      <c r="AA2394">
        <f t="shared" si="1325"/>
        <v>2298</v>
      </c>
      <c r="AC2394">
        <f t="shared" si="1326"/>
        <v>2436</v>
      </c>
    </row>
    <row r="2395" spans="1:29" x14ac:dyDescent="0.2">
      <c r="A2395">
        <v>1297</v>
      </c>
      <c r="D2395">
        <f t="shared" si="1327"/>
        <v>3</v>
      </c>
      <c r="E2395">
        <v>2</v>
      </c>
      <c r="F2395" s="6" t="s">
        <v>437</v>
      </c>
      <c r="I2395" t="s">
        <v>179</v>
      </c>
      <c r="J2395">
        <v>99</v>
      </c>
      <c r="K2395" t="s">
        <v>488</v>
      </c>
      <c r="L2395" t="s">
        <v>17</v>
      </c>
      <c r="M2395" t="s">
        <v>196</v>
      </c>
      <c r="N2395" t="s">
        <v>102</v>
      </c>
      <c r="Q2395">
        <f t="shared" ref="Q2395:S2395" si="1354">Q2394</f>
        <v>18977</v>
      </c>
      <c r="R2395" t="str">
        <f t="shared" si="1354"/>
        <v>Velodrome</v>
      </c>
      <c r="S2395" t="str">
        <f t="shared" si="1354"/>
        <v>HollowBrook</v>
      </c>
      <c r="T2395" s="20">
        <f t="shared" si="1331"/>
        <v>0</v>
      </c>
      <c r="U2395">
        <f t="shared" si="1332"/>
        <v>160</v>
      </c>
      <c r="V2395">
        <f t="shared" si="1333"/>
        <v>160</v>
      </c>
      <c r="W2395" cm="1">
        <f t="array" ref="W2395">_xlfn._xlws.FILTER(shifts!A:A,(shifts!B:B=events!D2395)*(shifts!AH:AH&gt;=events!U2395)*(shifts!AI:AI&lt;=events!V2395))</f>
        <v>84</v>
      </c>
      <c r="X2395" t="str">
        <f t="shared" si="1334"/>
        <v>event_team_player_1</v>
      </c>
      <c r="Y2395">
        <f>COUNTIFS(A$3:A2395,"="&amp;A2395,K$3:K2395,"="&amp;K2395)</f>
        <v>1</v>
      </c>
      <c r="Z2395" s="20">
        <f>SUMIFS(T$3:T2395,L$3:L2395,"=Intermission")+SUMIFS(T$3:T2395,L$3:L2395,"=Timeout")+SUMIFS(T$3:T2395,L$3:L2395,"=Clockstop")</f>
        <v>138</v>
      </c>
      <c r="AA2395">
        <f t="shared" si="1325"/>
        <v>2298</v>
      </c>
      <c r="AC2395">
        <f t="shared" si="1326"/>
        <v>2436</v>
      </c>
    </row>
    <row r="2396" spans="1:29" x14ac:dyDescent="0.2">
      <c r="A2396">
        <v>1297</v>
      </c>
      <c r="D2396">
        <f t="shared" si="1327"/>
        <v>3</v>
      </c>
      <c r="E2396">
        <v>2</v>
      </c>
      <c r="F2396" s="6" t="s">
        <v>437</v>
      </c>
      <c r="I2396" t="s">
        <v>179</v>
      </c>
      <c r="J2396">
        <v>5</v>
      </c>
      <c r="K2396" t="s">
        <v>488</v>
      </c>
      <c r="L2396" t="s">
        <v>17</v>
      </c>
      <c r="M2396" t="s">
        <v>196</v>
      </c>
      <c r="N2396" t="s">
        <v>102</v>
      </c>
      <c r="Q2396">
        <f t="shared" ref="Q2396:S2396" si="1355">Q2395</f>
        <v>18977</v>
      </c>
      <c r="R2396" t="str">
        <f t="shared" si="1355"/>
        <v>Velodrome</v>
      </c>
      <c r="S2396" t="str">
        <f t="shared" si="1355"/>
        <v>HollowBrook</v>
      </c>
      <c r="T2396" s="20">
        <f t="shared" si="1331"/>
        <v>0</v>
      </c>
      <c r="U2396">
        <f t="shared" si="1332"/>
        <v>160</v>
      </c>
      <c r="V2396">
        <f t="shared" si="1333"/>
        <v>160</v>
      </c>
      <c r="W2396" cm="1">
        <f t="array" ref="W2396">_xlfn._xlws.FILTER(shifts!A:A,(shifts!B:B=events!D2396)*(shifts!AH:AH&gt;=events!U2396)*(shifts!AI:AI&lt;=events!V2396))</f>
        <v>84</v>
      </c>
      <c r="X2396" t="str">
        <f t="shared" si="1334"/>
        <v>event_team_player_2</v>
      </c>
      <c r="Y2396">
        <f>COUNTIFS(A$3:A2396,"="&amp;A2396,K$3:K2396,"="&amp;K2396)</f>
        <v>2</v>
      </c>
      <c r="Z2396" s="20">
        <f>SUMIFS(T$3:T2396,L$3:L2396,"=Intermission")+SUMIFS(T$3:T2396,L$3:L2396,"=Timeout")+SUMIFS(T$3:T2396,L$3:L2396,"=Clockstop")</f>
        <v>138</v>
      </c>
      <c r="AA2396">
        <f t="shared" si="1325"/>
        <v>2298</v>
      </c>
      <c r="AC2396">
        <f t="shared" si="1326"/>
        <v>2436</v>
      </c>
    </row>
    <row r="2397" spans="1:29" x14ac:dyDescent="0.2">
      <c r="A2397">
        <v>1297</v>
      </c>
      <c r="D2397">
        <f t="shared" si="1327"/>
        <v>3</v>
      </c>
      <c r="E2397">
        <v>2</v>
      </c>
      <c r="F2397" s="6" t="s">
        <v>437</v>
      </c>
      <c r="I2397" t="s">
        <v>179</v>
      </c>
      <c r="J2397">
        <v>70</v>
      </c>
      <c r="K2397" t="s">
        <v>489</v>
      </c>
      <c r="L2397" t="s">
        <v>17</v>
      </c>
      <c r="M2397" t="s">
        <v>196</v>
      </c>
      <c r="N2397" t="s">
        <v>102</v>
      </c>
      <c r="Q2397">
        <f t="shared" ref="Q2397:S2397" si="1356">Q2396</f>
        <v>18977</v>
      </c>
      <c r="R2397" t="str">
        <f t="shared" si="1356"/>
        <v>Velodrome</v>
      </c>
      <c r="S2397" t="str">
        <f t="shared" si="1356"/>
        <v>HollowBrook</v>
      </c>
      <c r="T2397" s="20">
        <f t="shared" si="1331"/>
        <v>0</v>
      </c>
      <c r="U2397">
        <f t="shared" si="1332"/>
        <v>160</v>
      </c>
      <c r="V2397">
        <f t="shared" si="1333"/>
        <v>160</v>
      </c>
      <c r="W2397" cm="1">
        <f t="array" ref="W2397">_xlfn._xlws.FILTER(shifts!A:A,(shifts!B:B=events!D2397)*(shifts!AH:AH&gt;=events!U2397)*(shifts!AI:AI&lt;=events!V2397))</f>
        <v>84</v>
      </c>
      <c r="X2397" t="str">
        <f t="shared" si="1334"/>
        <v>opp_team_player_1</v>
      </c>
      <c r="Y2397">
        <f>COUNTIFS(A$3:A2397,"="&amp;A2397,K$3:K2397,"="&amp;K2397)</f>
        <v>1</v>
      </c>
      <c r="Z2397" s="20">
        <f>SUMIFS(T$3:T2397,L$3:L2397,"=Intermission")+SUMIFS(T$3:T2397,L$3:L2397,"=Timeout")+SUMIFS(T$3:T2397,L$3:L2397,"=Clockstop")</f>
        <v>138</v>
      </c>
      <c r="AA2397">
        <f t="shared" si="1325"/>
        <v>2298</v>
      </c>
      <c r="AC2397">
        <f t="shared" si="1326"/>
        <v>2436</v>
      </c>
    </row>
    <row r="2398" spans="1:29" x14ac:dyDescent="0.2">
      <c r="A2398">
        <v>1298</v>
      </c>
      <c r="D2398">
        <f t="shared" si="1327"/>
        <v>3</v>
      </c>
      <c r="E2398">
        <v>2</v>
      </c>
      <c r="F2398" s="6" t="s">
        <v>437</v>
      </c>
      <c r="I2398" t="s">
        <v>179</v>
      </c>
      <c r="J2398">
        <v>99</v>
      </c>
      <c r="K2398" t="s">
        <v>488</v>
      </c>
      <c r="L2398" t="s">
        <v>270</v>
      </c>
      <c r="M2398" t="s">
        <v>271</v>
      </c>
      <c r="Q2398">
        <f t="shared" ref="Q2398:S2398" si="1357">Q2397</f>
        <v>18977</v>
      </c>
      <c r="R2398" t="str">
        <f t="shared" si="1357"/>
        <v>Velodrome</v>
      </c>
      <c r="S2398" t="str">
        <f t="shared" si="1357"/>
        <v>HollowBrook</v>
      </c>
      <c r="T2398" s="20">
        <f t="shared" si="1331"/>
        <v>0</v>
      </c>
      <c r="U2398">
        <f t="shared" si="1332"/>
        <v>160</v>
      </c>
      <c r="V2398">
        <f t="shared" si="1333"/>
        <v>160</v>
      </c>
      <c r="W2398" cm="1">
        <f t="array" ref="W2398">_xlfn._xlws.FILTER(shifts!A:A,(shifts!B:B=events!D2398)*(shifts!AH:AH&gt;=events!U2398)*(shifts!AI:AI&lt;=events!V2398))</f>
        <v>84</v>
      </c>
      <c r="X2398" t="str">
        <f t="shared" si="1334"/>
        <v>event_team_player_1</v>
      </c>
      <c r="Y2398">
        <f>COUNTIFS(A$3:A2398,"="&amp;A2398,K$3:K2398,"="&amp;K2398)</f>
        <v>1</v>
      </c>
      <c r="Z2398" s="20">
        <f>SUMIFS(T$3:T2398,L$3:L2398,"=Intermission")+SUMIFS(T$3:T2398,L$3:L2398,"=Timeout")+SUMIFS(T$3:T2398,L$3:L2398,"=Clockstop")</f>
        <v>138</v>
      </c>
      <c r="AA2398">
        <f t="shared" si="1325"/>
        <v>2298</v>
      </c>
      <c r="AC2398">
        <f t="shared" si="1326"/>
        <v>2436</v>
      </c>
    </row>
    <row r="2399" spans="1:29" x14ac:dyDescent="0.2">
      <c r="A2399">
        <v>1299</v>
      </c>
      <c r="D2399">
        <f t="shared" si="1327"/>
        <v>3</v>
      </c>
      <c r="E2399">
        <v>2</v>
      </c>
      <c r="F2399" s="6" t="s">
        <v>438</v>
      </c>
      <c r="I2399" t="s">
        <v>179</v>
      </c>
      <c r="J2399">
        <v>13</v>
      </c>
      <c r="K2399" t="s">
        <v>488</v>
      </c>
      <c r="L2399" t="s">
        <v>277</v>
      </c>
      <c r="M2399" t="s">
        <v>201</v>
      </c>
      <c r="N2399" t="s">
        <v>92</v>
      </c>
      <c r="Q2399">
        <f t="shared" ref="Q2399:S2399" si="1358">Q2398</f>
        <v>18977</v>
      </c>
      <c r="R2399" t="str">
        <f t="shared" si="1358"/>
        <v>Velodrome</v>
      </c>
      <c r="S2399" t="str">
        <f t="shared" si="1358"/>
        <v>HollowBrook</v>
      </c>
      <c r="T2399" s="20">
        <f t="shared" si="1331"/>
        <v>0</v>
      </c>
      <c r="U2399">
        <f t="shared" si="1332"/>
        <v>158</v>
      </c>
      <c r="V2399">
        <f t="shared" si="1333"/>
        <v>158</v>
      </c>
      <c r="W2399" cm="1">
        <f t="array" ref="W2399">_xlfn._xlws.FILTER(shifts!A:A,(shifts!B:B=events!D2399)*(shifts!AH:AH&gt;=events!U2399)*(shifts!AI:AI&lt;=events!V2399))</f>
        <v>84</v>
      </c>
      <c r="X2399" t="str">
        <f t="shared" si="1334"/>
        <v>event_team_player_1</v>
      </c>
      <c r="Y2399">
        <f>COUNTIFS(A$3:A2399,"="&amp;A2399,K$3:K2399,"="&amp;K2399)</f>
        <v>1</v>
      </c>
      <c r="Z2399" s="20">
        <f>SUMIFS(T$3:T2399,L$3:L2399,"=Intermission")+SUMIFS(T$3:T2399,L$3:L2399,"=Timeout")+SUMIFS(T$3:T2399,L$3:L2399,"=Clockstop")</f>
        <v>138</v>
      </c>
      <c r="AA2399">
        <f t="shared" si="1325"/>
        <v>2298</v>
      </c>
      <c r="AC2399">
        <f t="shared" si="1326"/>
        <v>2436</v>
      </c>
    </row>
    <row r="2400" spans="1:29" x14ac:dyDescent="0.2">
      <c r="A2400">
        <v>1300</v>
      </c>
      <c r="D2400">
        <f t="shared" si="1327"/>
        <v>3</v>
      </c>
      <c r="E2400">
        <v>2</v>
      </c>
      <c r="F2400" s="6" t="s">
        <v>438</v>
      </c>
      <c r="I2400" t="s">
        <v>179</v>
      </c>
      <c r="J2400">
        <v>13</v>
      </c>
      <c r="K2400" t="s">
        <v>488</v>
      </c>
      <c r="L2400" t="s">
        <v>10</v>
      </c>
      <c r="M2400" t="s">
        <v>190</v>
      </c>
      <c r="N2400" t="s">
        <v>460</v>
      </c>
      <c r="Q2400">
        <f t="shared" ref="Q2400:S2400" si="1359">Q2399</f>
        <v>18977</v>
      </c>
      <c r="R2400" t="str">
        <f t="shared" si="1359"/>
        <v>Velodrome</v>
      </c>
      <c r="S2400" t="str">
        <f t="shared" si="1359"/>
        <v>HollowBrook</v>
      </c>
      <c r="T2400" s="20">
        <f t="shared" si="1331"/>
        <v>0</v>
      </c>
      <c r="U2400">
        <f t="shared" si="1332"/>
        <v>158</v>
      </c>
      <c r="V2400">
        <f t="shared" si="1333"/>
        <v>158</v>
      </c>
      <c r="W2400" cm="1">
        <f t="array" ref="W2400">_xlfn._xlws.FILTER(shifts!A:A,(shifts!B:B=events!D2400)*(shifts!AH:AH&gt;=events!U2400)*(shifts!AI:AI&lt;=events!V2400))</f>
        <v>84</v>
      </c>
      <c r="X2400" t="str">
        <f t="shared" si="1334"/>
        <v>event_team_player_1</v>
      </c>
      <c r="Y2400">
        <f>COUNTIFS(A$3:A2400,"="&amp;A2400,K$3:K2400,"="&amp;K2400)</f>
        <v>1</v>
      </c>
      <c r="Z2400" s="20">
        <f>SUMIFS(T$3:T2400,L$3:L2400,"=Intermission")+SUMIFS(T$3:T2400,L$3:L2400,"=Timeout")+SUMIFS(T$3:T2400,L$3:L2400,"=Clockstop")</f>
        <v>138</v>
      </c>
      <c r="AA2400">
        <f t="shared" si="1325"/>
        <v>2298</v>
      </c>
      <c r="AC2400">
        <f t="shared" si="1326"/>
        <v>2436</v>
      </c>
    </row>
    <row r="2401" spans="1:29" x14ac:dyDescent="0.2">
      <c r="A2401">
        <v>1301</v>
      </c>
      <c r="D2401">
        <f t="shared" si="1327"/>
        <v>3</v>
      </c>
      <c r="E2401">
        <v>2</v>
      </c>
      <c r="F2401" s="6" t="s">
        <v>455</v>
      </c>
      <c r="I2401" t="s">
        <v>178</v>
      </c>
      <c r="J2401">
        <v>52</v>
      </c>
      <c r="K2401" t="s">
        <v>488</v>
      </c>
      <c r="L2401" t="s">
        <v>277</v>
      </c>
      <c r="M2401" t="s">
        <v>191</v>
      </c>
      <c r="N2401" t="s">
        <v>89</v>
      </c>
      <c r="Q2401">
        <f t="shared" ref="Q2401:S2401" si="1360">Q2400</f>
        <v>18977</v>
      </c>
      <c r="R2401" t="str">
        <f t="shared" si="1360"/>
        <v>Velodrome</v>
      </c>
      <c r="S2401" t="str">
        <f t="shared" si="1360"/>
        <v>HollowBrook</v>
      </c>
      <c r="T2401" s="20">
        <f t="shared" si="1331"/>
        <v>0</v>
      </c>
      <c r="U2401">
        <f t="shared" si="1332"/>
        <v>155</v>
      </c>
      <c r="V2401">
        <f t="shared" si="1333"/>
        <v>155</v>
      </c>
      <c r="W2401" cm="1">
        <f t="array" ref="W2401">_xlfn._xlws.FILTER(shifts!A:A,(shifts!B:B=events!D2401)*(shifts!AH:AH&gt;=events!U2401)*(shifts!AI:AI&lt;=events!V2401))</f>
        <v>84</v>
      </c>
      <c r="X2401" t="str">
        <f t="shared" si="1334"/>
        <v>event_team_player_1</v>
      </c>
      <c r="Y2401">
        <f>COUNTIFS(A$3:A2401,"="&amp;A2401,K$3:K2401,"="&amp;K2401)</f>
        <v>1</v>
      </c>
      <c r="Z2401" s="20">
        <f>SUMIFS(T$3:T2401,L$3:L2401,"=Intermission")+SUMIFS(T$3:T2401,L$3:L2401,"=Timeout")+SUMIFS(T$3:T2401,L$3:L2401,"=Clockstop")</f>
        <v>138</v>
      </c>
      <c r="AA2401">
        <f t="shared" si="1325"/>
        <v>2298</v>
      </c>
      <c r="AC2401">
        <f t="shared" si="1326"/>
        <v>2436</v>
      </c>
    </row>
    <row r="2402" spans="1:29" x14ac:dyDescent="0.2">
      <c r="A2402">
        <v>1302</v>
      </c>
      <c r="D2402">
        <f t="shared" si="1327"/>
        <v>3</v>
      </c>
      <c r="E2402">
        <v>2</v>
      </c>
      <c r="F2402" s="6" t="s">
        <v>455</v>
      </c>
      <c r="I2402" t="s">
        <v>178</v>
      </c>
      <c r="J2402">
        <v>52</v>
      </c>
      <c r="K2402" t="s">
        <v>488</v>
      </c>
      <c r="L2402" t="s">
        <v>10</v>
      </c>
      <c r="M2402" t="s">
        <v>190</v>
      </c>
      <c r="N2402" t="s">
        <v>460</v>
      </c>
      <c r="Q2402">
        <f t="shared" ref="Q2402:S2402" si="1361">Q2401</f>
        <v>18977</v>
      </c>
      <c r="R2402" t="str">
        <f t="shared" si="1361"/>
        <v>Velodrome</v>
      </c>
      <c r="S2402" t="str">
        <f t="shared" si="1361"/>
        <v>HollowBrook</v>
      </c>
      <c r="T2402" s="20">
        <f t="shared" si="1331"/>
        <v>0</v>
      </c>
      <c r="U2402">
        <f t="shared" si="1332"/>
        <v>155</v>
      </c>
      <c r="V2402">
        <f t="shared" si="1333"/>
        <v>155</v>
      </c>
      <c r="W2402" cm="1">
        <f t="array" ref="W2402">_xlfn._xlws.FILTER(shifts!A:A,(shifts!B:B=events!D2402)*(shifts!AH:AH&gt;=events!U2402)*(shifts!AI:AI&lt;=events!V2402))</f>
        <v>84</v>
      </c>
      <c r="X2402" t="str">
        <f t="shared" si="1334"/>
        <v>event_team_player_1</v>
      </c>
      <c r="Y2402">
        <f>COUNTIFS(A$3:A2402,"="&amp;A2402,K$3:K2402,"="&amp;K2402)</f>
        <v>1</v>
      </c>
      <c r="Z2402" s="20">
        <f>SUMIFS(T$3:T2402,L$3:L2402,"=Intermission")+SUMIFS(T$3:T2402,L$3:L2402,"=Timeout")+SUMIFS(T$3:T2402,L$3:L2402,"=Clockstop")</f>
        <v>138</v>
      </c>
      <c r="AA2402">
        <f t="shared" si="1325"/>
        <v>2298</v>
      </c>
      <c r="AC2402">
        <f t="shared" si="1326"/>
        <v>2436</v>
      </c>
    </row>
    <row r="2403" spans="1:29" x14ac:dyDescent="0.2">
      <c r="A2403">
        <v>1303</v>
      </c>
      <c r="D2403">
        <f t="shared" si="1327"/>
        <v>3</v>
      </c>
      <c r="E2403">
        <v>2</v>
      </c>
      <c r="F2403" s="6" t="s">
        <v>455</v>
      </c>
      <c r="G2403">
        <v>2</v>
      </c>
      <c r="H2403" s="8" t="s">
        <v>482</v>
      </c>
      <c r="I2403" t="s">
        <v>179</v>
      </c>
      <c r="J2403">
        <v>11</v>
      </c>
      <c r="K2403" t="s">
        <v>488</v>
      </c>
      <c r="L2403" t="s">
        <v>15</v>
      </c>
      <c r="Q2403">
        <f t="shared" ref="Q2403:S2403" si="1362">Q2402</f>
        <v>18977</v>
      </c>
      <c r="R2403" t="str">
        <f t="shared" si="1362"/>
        <v>Velodrome</v>
      </c>
      <c r="S2403" t="str">
        <f t="shared" si="1362"/>
        <v>HollowBrook</v>
      </c>
      <c r="T2403" s="20">
        <f t="shared" si="1331"/>
        <v>2</v>
      </c>
      <c r="U2403">
        <f t="shared" si="1332"/>
        <v>155</v>
      </c>
      <c r="V2403">
        <f t="shared" si="1333"/>
        <v>153</v>
      </c>
      <c r="W2403" cm="1">
        <f t="array" ref="W2403">_xlfn._xlws.FILTER(shifts!A:A,(shifts!B:B=events!D2403)*(shifts!AH:AH&gt;=events!U2403)*(shifts!AI:AI&lt;=events!V2403))</f>
        <v>84</v>
      </c>
      <c r="X2403" t="str">
        <f t="shared" si="1334"/>
        <v>event_team_player_1</v>
      </c>
      <c r="Y2403">
        <f>COUNTIFS(A$3:A2403,"="&amp;A2403,K$3:K2403,"="&amp;K2403)</f>
        <v>1</v>
      </c>
      <c r="Z2403" s="20">
        <f>SUMIFS(T$3:T2403,L$3:L2403,"=Intermission")+SUMIFS(T$3:T2403,L$3:L2403,"=Timeout")+SUMIFS(T$3:T2403,L$3:L2403,"=Clockstop")</f>
        <v>138</v>
      </c>
      <c r="AA2403">
        <f t="shared" si="1325"/>
        <v>2298</v>
      </c>
      <c r="AC2403">
        <f t="shared" si="1326"/>
        <v>2436</v>
      </c>
    </row>
    <row r="2404" spans="1:29" x14ac:dyDescent="0.2">
      <c r="A2404">
        <v>1304</v>
      </c>
      <c r="D2404">
        <f t="shared" si="1327"/>
        <v>3</v>
      </c>
      <c r="E2404">
        <v>2</v>
      </c>
      <c r="F2404" s="6" t="s">
        <v>482</v>
      </c>
      <c r="I2404" t="s">
        <v>179</v>
      </c>
      <c r="J2404">
        <v>11</v>
      </c>
      <c r="K2404" t="s">
        <v>488</v>
      </c>
      <c r="L2404" t="s">
        <v>8</v>
      </c>
      <c r="M2404" t="s">
        <v>189</v>
      </c>
      <c r="N2404" t="s">
        <v>67</v>
      </c>
      <c r="Q2404">
        <f t="shared" ref="Q2404:S2404" si="1363">Q2403</f>
        <v>18977</v>
      </c>
      <c r="R2404" t="str">
        <f t="shared" si="1363"/>
        <v>Velodrome</v>
      </c>
      <c r="S2404" t="str">
        <f t="shared" si="1363"/>
        <v>HollowBrook</v>
      </c>
      <c r="T2404" s="20">
        <f t="shared" si="1331"/>
        <v>0</v>
      </c>
      <c r="U2404">
        <f t="shared" si="1332"/>
        <v>153</v>
      </c>
      <c r="V2404">
        <f t="shared" si="1333"/>
        <v>153</v>
      </c>
      <c r="W2404" cm="1">
        <f t="array" ref="W2404">_xlfn._xlws.FILTER(shifts!A:A,(shifts!B:B=events!D2404)*(shifts!AH:AH&gt;=events!U2404)*(shifts!AI:AI&lt;=events!V2404))</f>
        <v>84</v>
      </c>
      <c r="X2404" t="str">
        <f t="shared" si="1334"/>
        <v>event_team_player_1</v>
      </c>
      <c r="Y2404">
        <f>COUNTIFS(A$3:A2404,"="&amp;A2404,K$3:K2404,"="&amp;K2404)</f>
        <v>1</v>
      </c>
      <c r="Z2404" s="20">
        <f>SUMIFS(T$3:T2404,L$3:L2404,"=Intermission")+SUMIFS(T$3:T2404,L$3:L2404,"=Timeout")+SUMIFS(T$3:T2404,L$3:L2404,"=Clockstop")</f>
        <v>138</v>
      </c>
      <c r="AA2404">
        <f t="shared" si="1325"/>
        <v>2298</v>
      </c>
      <c r="AC2404">
        <f t="shared" si="1326"/>
        <v>2436</v>
      </c>
    </row>
    <row r="2405" spans="1:29" x14ac:dyDescent="0.2">
      <c r="A2405">
        <v>1304</v>
      </c>
      <c r="D2405">
        <f t="shared" si="1327"/>
        <v>3</v>
      </c>
      <c r="E2405">
        <v>2</v>
      </c>
      <c r="F2405" s="6" t="s">
        <v>482</v>
      </c>
      <c r="I2405" t="s">
        <v>179</v>
      </c>
      <c r="J2405">
        <v>19</v>
      </c>
      <c r="K2405" t="s">
        <v>488</v>
      </c>
      <c r="L2405" t="s">
        <v>8</v>
      </c>
      <c r="M2405" t="s">
        <v>189</v>
      </c>
      <c r="N2405" t="s">
        <v>67</v>
      </c>
      <c r="Q2405">
        <f t="shared" ref="Q2405:S2405" si="1364">Q2404</f>
        <v>18977</v>
      </c>
      <c r="R2405" t="str">
        <f t="shared" si="1364"/>
        <v>Velodrome</v>
      </c>
      <c r="S2405" t="str">
        <f t="shared" si="1364"/>
        <v>HollowBrook</v>
      </c>
      <c r="T2405" s="20">
        <f t="shared" si="1331"/>
        <v>0</v>
      </c>
      <c r="U2405">
        <f t="shared" si="1332"/>
        <v>153</v>
      </c>
      <c r="V2405">
        <f t="shared" si="1333"/>
        <v>153</v>
      </c>
      <c r="W2405" cm="1">
        <f t="array" ref="W2405">_xlfn._xlws.FILTER(shifts!A:A,(shifts!B:B=events!D2405)*(shifts!AH:AH&gt;=events!U2405)*(shifts!AI:AI&lt;=events!V2405))</f>
        <v>84</v>
      </c>
      <c r="X2405" t="str">
        <f t="shared" si="1334"/>
        <v>event_team_player_2</v>
      </c>
      <c r="Y2405">
        <f>COUNTIFS(A$3:A2405,"="&amp;A2405,K$3:K2405,"="&amp;K2405)</f>
        <v>2</v>
      </c>
      <c r="Z2405" s="20">
        <f>SUMIFS(T$3:T2405,L$3:L2405,"=Intermission")+SUMIFS(T$3:T2405,L$3:L2405,"=Timeout")+SUMIFS(T$3:T2405,L$3:L2405,"=Clockstop")</f>
        <v>138</v>
      </c>
      <c r="AA2405">
        <f t="shared" si="1325"/>
        <v>2298</v>
      </c>
      <c r="AC2405">
        <f t="shared" si="1326"/>
        <v>2436</v>
      </c>
    </row>
    <row r="2406" spans="1:29" x14ac:dyDescent="0.2">
      <c r="A2406">
        <v>1305</v>
      </c>
      <c r="D2406">
        <f t="shared" si="1327"/>
        <v>3</v>
      </c>
      <c r="E2406">
        <v>2</v>
      </c>
      <c r="F2406" s="6" t="s">
        <v>482</v>
      </c>
      <c r="I2406" t="s">
        <v>179</v>
      </c>
      <c r="J2406">
        <v>11</v>
      </c>
      <c r="K2406" t="s">
        <v>488</v>
      </c>
      <c r="L2406" t="s">
        <v>277</v>
      </c>
      <c r="M2406" t="s">
        <v>201</v>
      </c>
      <c r="N2406" t="s">
        <v>91</v>
      </c>
      <c r="Q2406">
        <f t="shared" ref="Q2406:S2406" si="1365">Q2405</f>
        <v>18977</v>
      </c>
      <c r="R2406" t="str">
        <f t="shared" si="1365"/>
        <v>Velodrome</v>
      </c>
      <c r="S2406" t="str">
        <f t="shared" si="1365"/>
        <v>HollowBrook</v>
      </c>
      <c r="T2406" s="20">
        <f t="shared" si="1331"/>
        <v>0</v>
      </c>
      <c r="U2406">
        <f t="shared" si="1332"/>
        <v>153</v>
      </c>
      <c r="V2406">
        <f t="shared" si="1333"/>
        <v>153</v>
      </c>
      <c r="W2406" cm="1">
        <f t="array" ref="W2406">_xlfn._xlws.FILTER(shifts!A:A,(shifts!B:B=events!D2406)*(shifts!AH:AH&gt;=events!U2406)*(shifts!AI:AI&lt;=events!V2406))</f>
        <v>84</v>
      </c>
      <c r="X2406" t="str">
        <f t="shared" si="1334"/>
        <v>event_team_player_1</v>
      </c>
      <c r="Y2406">
        <f>COUNTIFS(A$3:A2406,"="&amp;A2406,K$3:K2406,"="&amp;K2406)</f>
        <v>1</v>
      </c>
      <c r="Z2406" s="20">
        <f>SUMIFS(T$3:T2406,L$3:L2406,"=Intermission")+SUMIFS(T$3:T2406,L$3:L2406,"=Timeout")+SUMIFS(T$3:T2406,L$3:L2406,"=Clockstop")</f>
        <v>138</v>
      </c>
      <c r="AA2406">
        <f t="shared" si="1325"/>
        <v>2298</v>
      </c>
      <c r="AC2406">
        <f t="shared" si="1326"/>
        <v>2436</v>
      </c>
    </row>
    <row r="2407" spans="1:29" x14ac:dyDescent="0.2">
      <c r="A2407">
        <v>1305</v>
      </c>
      <c r="D2407">
        <f t="shared" si="1327"/>
        <v>3</v>
      </c>
      <c r="E2407">
        <v>2</v>
      </c>
      <c r="F2407" s="6" t="s">
        <v>482</v>
      </c>
      <c r="I2407" t="s">
        <v>179</v>
      </c>
      <c r="J2407">
        <v>19</v>
      </c>
      <c r="K2407" t="s">
        <v>488</v>
      </c>
      <c r="L2407" t="s">
        <v>277</v>
      </c>
      <c r="M2407" t="s">
        <v>201</v>
      </c>
      <c r="N2407" t="s">
        <v>91</v>
      </c>
      <c r="Q2407">
        <f t="shared" ref="Q2407:S2407" si="1366">Q2406</f>
        <v>18977</v>
      </c>
      <c r="R2407" t="str">
        <f t="shared" si="1366"/>
        <v>Velodrome</v>
      </c>
      <c r="S2407" t="str">
        <f t="shared" si="1366"/>
        <v>HollowBrook</v>
      </c>
      <c r="T2407" s="20">
        <f t="shared" si="1331"/>
        <v>0</v>
      </c>
      <c r="U2407">
        <f t="shared" si="1332"/>
        <v>153</v>
      </c>
      <c r="V2407">
        <f t="shared" si="1333"/>
        <v>153</v>
      </c>
      <c r="W2407" cm="1">
        <f t="array" ref="W2407">_xlfn._xlws.FILTER(shifts!A:A,(shifts!B:B=events!D2407)*(shifts!AH:AH&gt;=events!U2407)*(shifts!AI:AI&lt;=events!V2407))</f>
        <v>84</v>
      </c>
      <c r="X2407" t="str">
        <f t="shared" si="1334"/>
        <v>event_team_player_2</v>
      </c>
      <c r="Y2407">
        <f>COUNTIFS(A$3:A2407,"="&amp;A2407,K$3:K2407,"="&amp;K2407)</f>
        <v>2</v>
      </c>
      <c r="Z2407" s="20">
        <f>SUMIFS(T$3:T2407,L$3:L2407,"=Intermission")+SUMIFS(T$3:T2407,L$3:L2407,"=Timeout")+SUMIFS(T$3:T2407,L$3:L2407,"=Clockstop")</f>
        <v>138</v>
      </c>
      <c r="AA2407">
        <f t="shared" si="1325"/>
        <v>2298</v>
      </c>
      <c r="AC2407">
        <f t="shared" si="1326"/>
        <v>2436</v>
      </c>
    </row>
    <row r="2408" spans="1:29" x14ac:dyDescent="0.2">
      <c r="A2408">
        <v>1306</v>
      </c>
      <c r="D2408">
        <f t="shared" si="1327"/>
        <v>3</v>
      </c>
      <c r="E2408">
        <v>2</v>
      </c>
      <c r="F2408" s="6" t="s">
        <v>472</v>
      </c>
      <c r="G2408">
        <v>2</v>
      </c>
      <c r="H2408" s="8" t="s">
        <v>440</v>
      </c>
      <c r="I2408" t="s">
        <v>179</v>
      </c>
      <c r="J2408">
        <v>19</v>
      </c>
      <c r="K2408" t="s">
        <v>488</v>
      </c>
      <c r="L2408" t="s">
        <v>15</v>
      </c>
      <c r="Q2408">
        <f t="shared" ref="Q2408:S2408" si="1367">Q2407</f>
        <v>18977</v>
      </c>
      <c r="R2408" t="str">
        <f t="shared" si="1367"/>
        <v>Velodrome</v>
      </c>
      <c r="S2408" t="str">
        <f t="shared" si="1367"/>
        <v>HollowBrook</v>
      </c>
      <c r="T2408" s="20">
        <f t="shared" si="1331"/>
        <v>2</v>
      </c>
      <c r="U2408">
        <f t="shared" si="1332"/>
        <v>150</v>
      </c>
      <c r="V2408">
        <f t="shared" si="1333"/>
        <v>148</v>
      </c>
      <c r="W2408">
        <v>85</v>
      </c>
      <c r="X2408" t="str">
        <f t="shared" si="1334"/>
        <v>event_team_player_1</v>
      </c>
      <c r="Y2408">
        <f>COUNTIFS(A$3:A2408,"="&amp;A2408,K$3:K2408,"="&amp;K2408)</f>
        <v>1</v>
      </c>
      <c r="Z2408" s="20">
        <f>SUMIFS(T$3:T2408,L$3:L2408,"=Intermission")+SUMIFS(T$3:T2408,L$3:L2408,"=Timeout")+SUMIFS(T$3:T2408,L$3:L2408,"=Clockstop")</f>
        <v>138</v>
      </c>
      <c r="AA2408">
        <f t="shared" si="1325"/>
        <v>2298</v>
      </c>
      <c r="AC2408">
        <f t="shared" si="1326"/>
        <v>2436</v>
      </c>
    </row>
    <row r="2409" spans="1:29" x14ac:dyDescent="0.2">
      <c r="A2409">
        <v>1306</v>
      </c>
      <c r="D2409">
        <f t="shared" si="1327"/>
        <v>3</v>
      </c>
      <c r="E2409">
        <v>2</v>
      </c>
      <c r="F2409" s="6" t="s">
        <v>472</v>
      </c>
      <c r="G2409">
        <v>2</v>
      </c>
      <c r="H2409" s="8" t="s">
        <v>440</v>
      </c>
      <c r="I2409" t="s">
        <v>179</v>
      </c>
      <c r="J2409">
        <v>49</v>
      </c>
      <c r="K2409" t="s">
        <v>489</v>
      </c>
      <c r="L2409" t="s">
        <v>15</v>
      </c>
      <c r="Q2409">
        <f t="shared" ref="Q2409:S2409" si="1368">Q2408</f>
        <v>18977</v>
      </c>
      <c r="R2409" t="str">
        <f t="shared" si="1368"/>
        <v>Velodrome</v>
      </c>
      <c r="S2409" t="str">
        <f t="shared" si="1368"/>
        <v>HollowBrook</v>
      </c>
      <c r="T2409" s="20">
        <f t="shared" si="1331"/>
        <v>2</v>
      </c>
      <c r="U2409">
        <f t="shared" si="1332"/>
        <v>150</v>
      </c>
      <c r="V2409">
        <f t="shared" si="1333"/>
        <v>148</v>
      </c>
      <c r="W2409">
        <v>85</v>
      </c>
      <c r="X2409" t="str">
        <f t="shared" si="1334"/>
        <v>opp_team_player_1</v>
      </c>
      <c r="Y2409">
        <f>COUNTIFS(A$3:A2409,"="&amp;A2409,K$3:K2409,"="&amp;K2409)</f>
        <v>1</v>
      </c>
      <c r="Z2409" s="20">
        <f>SUMIFS(T$3:T2409,L$3:L2409,"=Intermission")+SUMIFS(T$3:T2409,L$3:L2409,"=Timeout")+SUMIFS(T$3:T2409,L$3:L2409,"=Clockstop")</f>
        <v>138</v>
      </c>
      <c r="AA2409">
        <f t="shared" si="1325"/>
        <v>2298</v>
      </c>
      <c r="AC2409">
        <f t="shared" si="1326"/>
        <v>2436</v>
      </c>
    </row>
    <row r="2410" spans="1:29" x14ac:dyDescent="0.2">
      <c r="A2410">
        <v>1307</v>
      </c>
      <c r="D2410">
        <f t="shared" si="1327"/>
        <v>3</v>
      </c>
      <c r="E2410">
        <v>2</v>
      </c>
      <c r="F2410" s="6" t="s">
        <v>440</v>
      </c>
      <c r="G2410">
        <v>2</v>
      </c>
      <c r="H2410" s="8" t="s">
        <v>441</v>
      </c>
      <c r="I2410" t="s">
        <v>179</v>
      </c>
      <c r="J2410">
        <v>19</v>
      </c>
      <c r="K2410" t="s">
        <v>488</v>
      </c>
      <c r="L2410" t="s">
        <v>277</v>
      </c>
      <c r="M2410" t="s">
        <v>191</v>
      </c>
      <c r="N2410" t="s">
        <v>87</v>
      </c>
      <c r="Q2410">
        <f t="shared" ref="Q2410:S2410" si="1369">Q2409</f>
        <v>18977</v>
      </c>
      <c r="R2410" t="str">
        <f t="shared" si="1369"/>
        <v>Velodrome</v>
      </c>
      <c r="S2410" t="str">
        <f t="shared" si="1369"/>
        <v>HollowBrook</v>
      </c>
      <c r="T2410" s="20">
        <f t="shared" si="1331"/>
        <v>3</v>
      </c>
      <c r="U2410">
        <f t="shared" si="1332"/>
        <v>148</v>
      </c>
      <c r="V2410">
        <f t="shared" si="1333"/>
        <v>145</v>
      </c>
      <c r="W2410" cm="1">
        <f t="array" ref="W2410">_xlfn._xlws.FILTER(shifts!A:A,(shifts!B:B=events!D2410)*(shifts!AH:AH&gt;=events!U2410)*(shifts!AI:AI&lt;=events!V2410))</f>
        <v>85</v>
      </c>
      <c r="X2410" t="str">
        <f t="shared" si="1334"/>
        <v>event_team_player_1</v>
      </c>
      <c r="Y2410">
        <f>COUNTIFS(A$3:A2410,"="&amp;A2410,K$3:K2410,"="&amp;K2410)</f>
        <v>1</v>
      </c>
      <c r="Z2410" s="20">
        <f>SUMIFS(T$3:T2410,L$3:L2410,"=Intermission")+SUMIFS(T$3:T2410,L$3:L2410,"=Timeout")+SUMIFS(T$3:T2410,L$3:L2410,"=Clockstop")</f>
        <v>138</v>
      </c>
      <c r="AA2410">
        <f t="shared" si="1325"/>
        <v>2298</v>
      </c>
      <c r="AC2410">
        <f t="shared" si="1326"/>
        <v>2436</v>
      </c>
    </row>
    <row r="2411" spans="1:29" x14ac:dyDescent="0.2">
      <c r="A2411">
        <v>1307</v>
      </c>
      <c r="D2411">
        <f t="shared" si="1327"/>
        <v>3</v>
      </c>
      <c r="E2411">
        <v>2</v>
      </c>
      <c r="F2411" s="6" t="s">
        <v>440</v>
      </c>
      <c r="G2411">
        <v>2</v>
      </c>
      <c r="H2411" s="8" t="s">
        <v>441</v>
      </c>
      <c r="I2411" t="s">
        <v>179</v>
      </c>
      <c r="J2411">
        <v>49</v>
      </c>
      <c r="K2411" t="s">
        <v>489</v>
      </c>
      <c r="L2411" t="s">
        <v>277</v>
      </c>
      <c r="M2411" t="s">
        <v>191</v>
      </c>
      <c r="N2411" t="s">
        <v>87</v>
      </c>
      <c r="Q2411">
        <f t="shared" ref="Q2411:S2411" si="1370">Q2410</f>
        <v>18977</v>
      </c>
      <c r="R2411" t="str">
        <f t="shared" si="1370"/>
        <v>Velodrome</v>
      </c>
      <c r="S2411" t="str">
        <f t="shared" si="1370"/>
        <v>HollowBrook</v>
      </c>
      <c r="T2411" s="20">
        <f t="shared" si="1331"/>
        <v>3</v>
      </c>
      <c r="U2411">
        <f t="shared" si="1332"/>
        <v>148</v>
      </c>
      <c r="V2411">
        <f t="shared" si="1333"/>
        <v>145</v>
      </c>
      <c r="W2411" cm="1">
        <f t="array" ref="W2411">_xlfn._xlws.FILTER(shifts!A:A,(shifts!B:B=events!D2411)*(shifts!AH:AH&gt;=events!U2411)*(shifts!AI:AI&lt;=events!V2411))</f>
        <v>85</v>
      </c>
      <c r="X2411" t="str">
        <f t="shared" si="1334"/>
        <v>opp_team_player_1</v>
      </c>
      <c r="Y2411">
        <f>COUNTIFS(A$3:A2411,"="&amp;A2411,K$3:K2411,"="&amp;K2411)</f>
        <v>1</v>
      </c>
      <c r="Z2411" s="20">
        <f>SUMIFS(T$3:T2411,L$3:L2411,"=Intermission")+SUMIFS(T$3:T2411,L$3:L2411,"=Timeout")+SUMIFS(T$3:T2411,L$3:L2411,"=Clockstop")</f>
        <v>138</v>
      </c>
      <c r="AA2411">
        <f t="shared" si="1325"/>
        <v>2298</v>
      </c>
      <c r="AC2411">
        <f t="shared" si="1326"/>
        <v>2436</v>
      </c>
    </row>
    <row r="2412" spans="1:29" x14ac:dyDescent="0.2">
      <c r="A2412">
        <v>1307</v>
      </c>
      <c r="D2412">
        <f t="shared" si="1327"/>
        <v>3</v>
      </c>
      <c r="E2412">
        <v>2</v>
      </c>
      <c r="F2412" s="6" t="s">
        <v>440</v>
      </c>
      <c r="G2412">
        <v>2</v>
      </c>
      <c r="H2412" s="8" t="s">
        <v>441</v>
      </c>
      <c r="I2412" t="s">
        <v>179</v>
      </c>
      <c r="J2412">
        <v>52</v>
      </c>
      <c r="K2412" t="s">
        <v>489</v>
      </c>
      <c r="L2412" t="s">
        <v>277</v>
      </c>
      <c r="M2412" t="s">
        <v>191</v>
      </c>
      <c r="N2412" t="s">
        <v>87</v>
      </c>
      <c r="Q2412">
        <f t="shared" ref="Q2412:S2412" si="1371">Q2411</f>
        <v>18977</v>
      </c>
      <c r="R2412" t="str">
        <f t="shared" si="1371"/>
        <v>Velodrome</v>
      </c>
      <c r="S2412" t="str">
        <f t="shared" si="1371"/>
        <v>HollowBrook</v>
      </c>
      <c r="T2412" s="20">
        <f t="shared" si="1331"/>
        <v>3</v>
      </c>
      <c r="U2412">
        <f t="shared" si="1332"/>
        <v>148</v>
      </c>
      <c r="V2412">
        <f t="shared" si="1333"/>
        <v>145</v>
      </c>
      <c r="W2412" cm="1">
        <f t="array" ref="W2412">_xlfn._xlws.FILTER(shifts!A:A,(shifts!B:B=events!D2412)*(shifts!AH:AH&gt;=events!U2412)*(shifts!AI:AI&lt;=events!V2412))</f>
        <v>85</v>
      </c>
      <c r="X2412" t="str">
        <f t="shared" si="1334"/>
        <v>opp_team_player_2</v>
      </c>
      <c r="Y2412">
        <f>COUNTIFS(A$3:A2412,"="&amp;A2412,K$3:K2412,"="&amp;K2412)</f>
        <v>2</v>
      </c>
      <c r="Z2412" s="20">
        <f>SUMIFS(T$3:T2412,L$3:L2412,"=Intermission")+SUMIFS(T$3:T2412,L$3:L2412,"=Timeout")+SUMIFS(T$3:T2412,L$3:L2412,"=Clockstop")</f>
        <v>138</v>
      </c>
      <c r="AA2412">
        <f t="shared" si="1325"/>
        <v>2298</v>
      </c>
      <c r="AC2412">
        <f t="shared" si="1326"/>
        <v>2436</v>
      </c>
    </row>
    <row r="2413" spans="1:29" x14ac:dyDescent="0.2">
      <c r="A2413">
        <v>1307</v>
      </c>
      <c r="D2413">
        <f t="shared" si="1327"/>
        <v>3</v>
      </c>
      <c r="E2413">
        <v>2</v>
      </c>
      <c r="F2413" s="6" t="s">
        <v>440</v>
      </c>
      <c r="G2413">
        <v>2</v>
      </c>
      <c r="H2413" s="8" t="s">
        <v>441</v>
      </c>
      <c r="I2413" t="s">
        <v>179</v>
      </c>
      <c r="J2413">
        <v>70</v>
      </c>
      <c r="K2413" t="s">
        <v>489</v>
      </c>
      <c r="L2413" t="s">
        <v>277</v>
      </c>
      <c r="M2413" t="s">
        <v>191</v>
      </c>
      <c r="N2413" t="s">
        <v>87</v>
      </c>
      <c r="Q2413">
        <f t="shared" ref="Q2413:S2413" si="1372">Q2412</f>
        <v>18977</v>
      </c>
      <c r="R2413" t="str">
        <f t="shared" si="1372"/>
        <v>Velodrome</v>
      </c>
      <c r="S2413" t="str">
        <f t="shared" si="1372"/>
        <v>HollowBrook</v>
      </c>
      <c r="T2413" s="20">
        <f t="shared" si="1331"/>
        <v>3</v>
      </c>
      <c r="U2413">
        <f t="shared" si="1332"/>
        <v>148</v>
      </c>
      <c r="V2413">
        <f t="shared" si="1333"/>
        <v>145</v>
      </c>
      <c r="W2413" cm="1">
        <f t="array" ref="W2413">_xlfn._xlws.FILTER(shifts!A:A,(shifts!B:B=events!D2413)*(shifts!AH:AH&gt;=events!U2413)*(shifts!AI:AI&lt;=events!V2413))</f>
        <v>85</v>
      </c>
      <c r="X2413" t="str">
        <f t="shared" si="1334"/>
        <v>opp_team_player_3</v>
      </c>
      <c r="Y2413">
        <f>COUNTIFS(A$3:A2413,"="&amp;A2413,K$3:K2413,"="&amp;K2413)</f>
        <v>3</v>
      </c>
      <c r="Z2413" s="20">
        <f>SUMIFS(T$3:T2413,L$3:L2413,"=Intermission")+SUMIFS(T$3:T2413,L$3:L2413,"=Timeout")+SUMIFS(T$3:T2413,L$3:L2413,"=Clockstop")</f>
        <v>138</v>
      </c>
      <c r="AA2413">
        <f t="shared" si="1325"/>
        <v>2298</v>
      </c>
      <c r="AC2413">
        <f t="shared" si="1326"/>
        <v>2436</v>
      </c>
    </row>
    <row r="2414" spans="1:29" x14ac:dyDescent="0.2">
      <c r="A2414">
        <v>1307</v>
      </c>
      <c r="D2414">
        <f t="shared" si="1327"/>
        <v>3</v>
      </c>
      <c r="E2414">
        <v>2</v>
      </c>
      <c r="F2414" s="6" t="s">
        <v>440</v>
      </c>
      <c r="G2414">
        <v>2</v>
      </c>
      <c r="H2414" s="8" t="s">
        <v>441</v>
      </c>
      <c r="I2414" t="s">
        <v>179</v>
      </c>
      <c r="J2414">
        <v>9</v>
      </c>
      <c r="K2414" t="s">
        <v>489</v>
      </c>
      <c r="L2414" t="s">
        <v>277</v>
      </c>
      <c r="M2414" t="s">
        <v>191</v>
      </c>
      <c r="N2414" t="s">
        <v>87</v>
      </c>
      <c r="Q2414">
        <f t="shared" ref="Q2414:S2414" si="1373">Q2413</f>
        <v>18977</v>
      </c>
      <c r="R2414" t="str">
        <f t="shared" si="1373"/>
        <v>Velodrome</v>
      </c>
      <c r="S2414" t="str">
        <f t="shared" si="1373"/>
        <v>HollowBrook</v>
      </c>
      <c r="T2414" s="20">
        <f t="shared" si="1331"/>
        <v>3</v>
      </c>
      <c r="U2414">
        <f t="shared" si="1332"/>
        <v>148</v>
      </c>
      <c r="V2414">
        <f t="shared" si="1333"/>
        <v>145</v>
      </c>
      <c r="W2414" cm="1">
        <f t="array" ref="W2414">_xlfn._xlws.FILTER(shifts!A:A,(shifts!B:B=events!D2414)*(shifts!AH:AH&gt;=events!U2414)*(shifts!AI:AI&lt;=events!V2414))</f>
        <v>85</v>
      </c>
      <c r="X2414" t="str">
        <f t="shared" si="1334"/>
        <v>opp_team_player_4</v>
      </c>
      <c r="Y2414">
        <f>COUNTIFS(A$3:A2414,"="&amp;A2414,K$3:K2414,"="&amp;K2414)</f>
        <v>4</v>
      </c>
      <c r="Z2414" s="20">
        <f>SUMIFS(T$3:T2414,L$3:L2414,"=Intermission")+SUMIFS(T$3:T2414,L$3:L2414,"=Timeout")+SUMIFS(T$3:T2414,L$3:L2414,"=Clockstop")</f>
        <v>138</v>
      </c>
      <c r="AA2414">
        <f t="shared" si="1325"/>
        <v>2298</v>
      </c>
      <c r="AC2414">
        <f t="shared" si="1326"/>
        <v>2436</v>
      </c>
    </row>
    <row r="2415" spans="1:29" x14ac:dyDescent="0.2">
      <c r="A2415">
        <v>1308</v>
      </c>
      <c r="D2415">
        <f t="shared" si="1327"/>
        <v>3</v>
      </c>
      <c r="E2415">
        <v>2</v>
      </c>
      <c r="F2415" s="6" t="s">
        <v>441</v>
      </c>
      <c r="I2415" t="s">
        <v>179</v>
      </c>
      <c r="J2415">
        <v>19</v>
      </c>
      <c r="K2415" t="s">
        <v>488</v>
      </c>
      <c r="L2415" t="s">
        <v>7</v>
      </c>
      <c r="M2415" t="s">
        <v>222</v>
      </c>
      <c r="N2415" t="s">
        <v>53</v>
      </c>
      <c r="Q2415">
        <f t="shared" ref="Q2415:S2415" si="1374">Q2414</f>
        <v>18977</v>
      </c>
      <c r="R2415" t="str">
        <f t="shared" si="1374"/>
        <v>Velodrome</v>
      </c>
      <c r="S2415" t="str">
        <f t="shared" si="1374"/>
        <v>HollowBrook</v>
      </c>
      <c r="T2415" s="20">
        <f t="shared" si="1331"/>
        <v>0</v>
      </c>
      <c r="U2415">
        <f t="shared" si="1332"/>
        <v>145</v>
      </c>
      <c r="V2415">
        <f t="shared" si="1333"/>
        <v>145</v>
      </c>
      <c r="W2415" cm="1">
        <f t="array" ref="W2415">_xlfn._xlws.FILTER(shifts!A:A,(shifts!B:B=events!D2415)*(shifts!AH:AH&gt;=events!U2415)*(shifts!AI:AI&lt;=events!V2415))</f>
        <v>85</v>
      </c>
      <c r="X2415" t="str">
        <f t="shared" si="1334"/>
        <v>event_team_player_1</v>
      </c>
      <c r="Y2415">
        <f>COUNTIFS(A$3:A2415,"="&amp;A2415,K$3:K2415,"="&amp;K2415)</f>
        <v>1</v>
      </c>
      <c r="Z2415" s="20">
        <f>SUMIFS(T$3:T2415,L$3:L2415,"=Intermission")+SUMIFS(T$3:T2415,L$3:L2415,"=Timeout")+SUMIFS(T$3:T2415,L$3:L2415,"=Clockstop")</f>
        <v>138</v>
      </c>
      <c r="AA2415">
        <f t="shared" si="1325"/>
        <v>2298</v>
      </c>
      <c r="AC2415">
        <f t="shared" si="1326"/>
        <v>2436</v>
      </c>
    </row>
    <row r="2416" spans="1:29" x14ac:dyDescent="0.2">
      <c r="A2416">
        <v>1308</v>
      </c>
      <c r="D2416">
        <f t="shared" si="1327"/>
        <v>3</v>
      </c>
      <c r="E2416">
        <v>2</v>
      </c>
      <c r="F2416" s="6" t="s">
        <v>441</v>
      </c>
      <c r="I2416" t="s">
        <v>179</v>
      </c>
      <c r="J2416">
        <v>39</v>
      </c>
      <c r="K2416" t="s">
        <v>489</v>
      </c>
      <c r="L2416" t="s">
        <v>7</v>
      </c>
      <c r="M2416" t="s">
        <v>222</v>
      </c>
      <c r="N2416" t="s">
        <v>53</v>
      </c>
      <c r="Q2416">
        <f t="shared" ref="Q2416:S2416" si="1375">Q2415</f>
        <v>18977</v>
      </c>
      <c r="R2416" t="str">
        <f t="shared" si="1375"/>
        <v>Velodrome</v>
      </c>
      <c r="S2416" t="str">
        <f t="shared" si="1375"/>
        <v>HollowBrook</v>
      </c>
      <c r="T2416" s="20">
        <f t="shared" si="1331"/>
        <v>0</v>
      </c>
      <c r="U2416">
        <f t="shared" si="1332"/>
        <v>145</v>
      </c>
      <c r="V2416">
        <f t="shared" si="1333"/>
        <v>145</v>
      </c>
      <c r="W2416" cm="1">
        <f t="array" ref="W2416">_xlfn._xlws.FILTER(shifts!A:A,(shifts!B:B=events!D2416)*(shifts!AH:AH&gt;=events!U2416)*(shifts!AI:AI&lt;=events!V2416))</f>
        <v>85</v>
      </c>
      <c r="X2416" t="str">
        <f t="shared" si="1334"/>
        <v>opp_team_player_1</v>
      </c>
      <c r="Y2416">
        <f>COUNTIFS(A$3:A2416,"="&amp;A2416,K$3:K2416,"="&amp;K2416)</f>
        <v>1</v>
      </c>
      <c r="Z2416" s="20">
        <f>SUMIFS(T$3:T2416,L$3:L2416,"=Intermission")+SUMIFS(T$3:T2416,L$3:L2416,"=Timeout")+SUMIFS(T$3:T2416,L$3:L2416,"=Clockstop")</f>
        <v>138</v>
      </c>
      <c r="AA2416">
        <f t="shared" si="1325"/>
        <v>2298</v>
      </c>
      <c r="AC2416">
        <f t="shared" si="1326"/>
        <v>2436</v>
      </c>
    </row>
    <row r="2417" spans="1:29" x14ac:dyDescent="0.2">
      <c r="A2417">
        <v>1309</v>
      </c>
      <c r="D2417">
        <f t="shared" si="1327"/>
        <v>3</v>
      </c>
      <c r="E2417">
        <v>2</v>
      </c>
      <c r="F2417" s="6" t="s">
        <v>441</v>
      </c>
      <c r="I2417" t="s">
        <v>178</v>
      </c>
      <c r="J2417">
        <v>39</v>
      </c>
      <c r="K2417" t="s">
        <v>488</v>
      </c>
      <c r="L2417" t="s">
        <v>17</v>
      </c>
      <c r="M2417" t="s">
        <v>196</v>
      </c>
      <c r="N2417" t="s">
        <v>99</v>
      </c>
      <c r="Q2417">
        <f t="shared" ref="Q2417:S2417" si="1376">Q2416</f>
        <v>18977</v>
      </c>
      <c r="R2417" t="str">
        <f t="shared" si="1376"/>
        <v>Velodrome</v>
      </c>
      <c r="S2417" t="str">
        <f t="shared" si="1376"/>
        <v>HollowBrook</v>
      </c>
      <c r="T2417" s="20">
        <f t="shared" si="1331"/>
        <v>0</v>
      </c>
      <c r="U2417">
        <f t="shared" si="1332"/>
        <v>145</v>
      </c>
      <c r="V2417">
        <f t="shared" si="1333"/>
        <v>145</v>
      </c>
      <c r="W2417" cm="1">
        <f t="array" ref="W2417">_xlfn._xlws.FILTER(shifts!A:A,(shifts!B:B=events!D2417)*(shifts!AH:AH&gt;=events!U2417)*(shifts!AI:AI&lt;=events!V2417))</f>
        <v>85</v>
      </c>
      <c r="X2417" t="str">
        <f t="shared" si="1334"/>
        <v>event_team_player_1</v>
      </c>
      <c r="Y2417">
        <f>COUNTIFS(A$3:A2417,"="&amp;A2417,K$3:K2417,"="&amp;K2417)</f>
        <v>1</v>
      </c>
      <c r="Z2417" s="20">
        <f>SUMIFS(T$3:T2417,L$3:L2417,"=Intermission")+SUMIFS(T$3:T2417,L$3:L2417,"=Timeout")+SUMIFS(T$3:T2417,L$3:L2417,"=Clockstop")</f>
        <v>138</v>
      </c>
      <c r="AA2417">
        <f t="shared" si="1325"/>
        <v>2298</v>
      </c>
      <c r="AC2417">
        <f t="shared" si="1326"/>
        <v>2436</v>
      </c>
    </row>
    <row r="2418" spans="1:29" x14ac:dyDescent="0.2">
      <c r="A2418">
        <v>1309</v>
      </c>
      <c r="D2418">
        <f t="shared" si="1327"/>
        <v>3</v>
      </c>
      <c r="E2418">
        <v>2</v>
      </c>
      <c r="F2418" s="6" t="s">
        <v>441</v>
      </c>
      <c r="I2418" t="s">
        <v>178</v>
      </c>
      <c r="J2418">
        <v>19</v>
      </c>
      <c r="K2418" t="s">
        <v>489</v>
      </c>
      <c r="L2418" t="s">
        <v>17</v>
      </c>
      <c r="M2418" t="s">
        <v>196</v>
      </c>
      <c r="N2418" t="s">
        <v>99</v>
      </c>
      <c r="Q2418">
        <f t="shared" ref="Q2418:S2418" si="1377">Q2417</f>
        <v>18977</v>
      </c>
      <c r="R2418" t="str">
        <f t="shared" si="1377"/>
        <v>Velodrome</v>
      </c>
      <c r="S2418" t="str">
        <f t="shared" si="1377"/>
        <v>HollowBrook</v>
      </c>
      <c r="T2418" s="20">
        <f t="shared" si="1331"/>
        <v>0</v>
      </c>
      <c r="U2418">
        <f t="shared" si="1332"/>
        <v>145</v>
      </c>
      <c r="V2418">
        <f t="shared" si="1333"/>
        <v>145</v>
      </c>
      <c r="W2418" cm="1">
        <f t="array" ref="W2418">_xlfn._xlws.FILTER(shifts!A:A,(shifts!B:B=events!D2418)*(shifts!AH:AH&gt;=events!U2418)*(shifts!AI:AI&lt;=events!V2418))</f>
        <v>85</v>
      </c>
      <c r="X2418" t="str">
        <f t="shared" si="1334"/>
        <v>opp_team_player_1</v>
      </c>
      <c r="Y2418">
        <f>COUNTIFS(A$3:A2418,"="&amp;A2418,K$3:K2418,"="&amp;K2418)</f>
        <v>1</v>
      </c>
      <c r="Z2418" s="20">
        <f>SUMIFS(T$3:T2418,L$3:L2418,"=Intermission")+SUMIFS(T$3:T2418,L$3:L2418,"=Timeout")+SUMIFS(T$3:T2418,L$3:L2418,"=Clockstop")</f>
        <v>138</v>
      </c>
      <c r="AA2418">
        <f t="shared" si="1325"/>
        <v>2298</v>
      </c>
      <c r="AC2418">
        <f t="shared" si="1326"/>
        <v>2436</v>
      </c>
    </row>
    <row r="2419" spans="1:29" x14ac:dyDescent="0.2">
      <c r="A2419">
        <v>1310</v>
      </c>
      <c r="D2419">
        <f t="shared" si="1327"/>
        <v>3</v>
      </c>
      <c r="E2419">
        <v>2</v>
      </c>
      <c r="F2419" s="6" t="s">
        <v>441</v>
      </c>
      <c r="I2419" t="s">
        <v>178</v>
      </c>
      <c r="J2419">
        <v>39</v>
      </c>
      <c r="K2419" t="s">
        <v>488</v>
      </c>
      <c r="L2419" t="s">
        <v>270</v>
      </c>
      <c r="M2419" t="s">
        <v>271</v>
      </c>
      <c r="Q2419">
        <f t="shared" ref="Q2419:S2419" si="1378">Q2418</f>
        <v>18977</v>
      </c>
      <c r="R2419" t="str">
        <f t="shared" si="1378"/>
        <v>Velodrome</v>
      </c>
      <c r="S2419" t="str">
        <f t="shared" si="1378"/>
        <v>HollowBrook</v>
      </c>
      <c r="T2419" s="20">
        <f t="shared" si="1331"/>
        <v>0</v>
      </c>
      <c r="U2419">
        <f t="shared" si="1332"/>
        <v>145</v>
      </c>
      <c r="V2419">
        <f t="shared" si="1333"/>
        <v>145</v>
      </c>
      <c r="W2419" cm="1">
        <f t="array" ref="W2419">_xlfn._xlws.FILTER(shifts!A:A,(shifts!B:B=events!D2419)*(shifts!AH:AH&gt;=events!U2419)*(shifts!AI:AI&lt;=events!V2419))</f>
        <v>85</v>
      </c>
      <c r="X2419" t="str">
        <f t="shared" si="1334"/>
        <v>event_team_player_1</v>
      </c>
      <c r="Y2419">
        <f>COUNTIFS(A$3:A2419,"="&amp;A2419,K$3:K2419,"="&amp;K2419)</f>
        <v>1</v>
      </c>
      <c r="Z2419" s="20">
        <f>SUMIFS(T$3:T2419,L$3:L2419,"=Intermission")+SUMIFS(T$3:T2419,L$3:L2419,"=Timeout")+SUMIFS(T$3:T2419,L$3:L2419,"=Clockstop")</f>
        <v>138</v>
      </c>
      <c r="AA2419">
        <f t="shared" si="1325"/>
        <v>2298</v>
      </c>
      <c r="AC2419">
        <f t="shared" si="1326"/>
        <v>2436</v>
      </c>
    </row>
    <row r="2420" spans="1:29" x14ac:dyDescent="0.2">
      <c r="A2420">
        <v>1311</v>
      </c>
      <c r="D2420">
        <f t="shared" si="1327"/>
        <v>3</v>
      </c>
      <c r="E2420">
        <v>2</v>
      </c>
      <c r="F2420" s="6" t="s">
        <v>422</v>
      </c>
      <c r="I2420" t="s">
        <v>178</v>
      </c>
      <c r="J2420">
        <v>70</v>
      </c>
      <c r="K2420" t="s">
        <v>488</v>
      </c>
      <c r="L2420" t="s">
        <v>277</v>
      </c>
      <c r="M2420" t="s">
        <v>201</v>
      </c>
      <c r="N2420" t="s">
        <v>505</v>
      </c>
      <c r="Q2420">
        <f t="shared" ref="Q2420:S2420" si="1379">Q2419</f>
        <v>18977</v>
      </c>
      <c r="R2420" t="str">
        <f t="shared" si="1379"/>
        <v>Velodrome</v>
      </c>
      <c r="S2420" t="str">
        <f t="shared" si="1379"/>
        <v>HollowBrook</v>
      </c>
      <c r="T2420" s="20">
        <f t="shared" si="1331"/>
        <v>0</v>
      </c>
      <c r="U2420">
        <f t="shared" si="1332"/>
        <v>140</v>
      </c>
      <c r="V2420">
        <f t="shared" si="1333"/>
        <v>140</v>
      </c>
      <c r="W2420" cm="1">
        <f t="array" ref="W2420">_xlfn._xlws.FILTER(shifts!A:A,(shifts!B:B=events!D2420)*(shifts!AH:AH&gt;=events!U2420)*(shifts!AI:AI&lt;=events!V2420))</f>
        <v>85</v>
      </c>
      <c r="X2420" t="str">
        <f t="shared" si="1334"/>
        <v>event_team_player_1</v>
      </c>
      <c r="Y2420">
        <f>COUNTIFS(A$3:A2420,"="&amp;A2420,K$3:K2420,"="&amp;K2420)</f>
        <v>1</v>
      </c>
      <c r="Z2420" s="20">
        <f>SUMIFS(T$3:T2420,L$3:L2420,"=Intermission")+SUMIFS(T$3:T2420,L$3:L2420,"=Timeout")+SUMIFS(T$3:T2420,L$3:L2420,"=Clockstop")</f>
        <v>138</v>
      </c>
      <c r="AA2420">
        <f t="shared" si="1325"/>
        <v>2298</v>
      </c>
      <c r="AC2420">
        <f t="shared" si="1326"/>
        <v>2436</v>
      </c>
    </row>
    <row r="2421" spans="1:29" x14ac:dyDescent="0.2">
      <c r="A2421">
        <v>1312</v>
      </c>
      <c r="D2421">
        <f t="shared" si="1327"/>
        <v>3</v>
      </c>
      <c r="E2421">
        <v>2</v>
      </c>
      <c r="F2421" s="6" t="s">
        <v>422</v>
      </c>
      <c r="I2421" t="s">
        <v>178</v>
      </c>
      <c r="J2421">
        <v>70</v>
      </c>
      <c r="K2421" t="s">
        <v>488</v>
      </c>
      <c r="L2421" t="s">
        <v>277</v>
      </c>
      <c r="M2421" t="s">
        <v>191</v>
      </c>
      <c r="N2421" t="s">
        <v>500</v>
      </c>
      <c r="Q2421">
        <f t="shared" ref="Q2421:S2421" si="1380">Q2420</f>
        <v>18977</v>
      </c>
      <c r="R2421" t="str">
        <f t="shared" si="1380"/>
        <v>Velodrome</v>
      </c>
      <c r="S2421" t="str">
        <f t="shared" si="1380"/>
        <v>HollowBrook</v>
      </c>
      <c r="T2421" s="20">
        <f t="shared" si="1331"/>
        <v>0</v>
      </c>
      <c r="U2421">
        <f t="shared" si="1332"/>
        <v>140</v>
      </c>
      <c r="V2421">
        <f t="shared" si="1333"/>
        <v>140</v>
      </c>
      <c r="W2421" cm="1">
        <f t="array" ref="W2421">_xlfn._xlws.FILTER(shifts!A:A,(shifts!B:B=events!D2421)*(shifts!AH:AH&gt;=events!U2421)*(shifts!AI:AI&lt;=events!V2421))</f>
        <v>85</v>
      </c>
      <c r="X2421" t="str">
        <f t="shared" si="1334"/>
        <v>event_team_player_1</v>
      </c>
      <c r="Y2421">
        <f>COUNTIFS(A$3:A2421,"="&amp;A2421,K$3:K2421,"="&amp;K2421)</f>
        <v>1</v>
      </c>
      <c r="Z2421" s="20">
        <f>SUMIFS(T$3:T2421,L$3:L2421,"=Intermission")+SUMIFS(T$3:T2421,L$3:L2421,"=Timeout")+SUMIFS(T$3:T2421,L$3:L2421,"=Clockstop")</f>
        <v>138</v>
      </c>
      <c r="AA2421">
        <f t="shared" si="1325"/>
        <v>2298</v>
      </c>
      <c r="AC2421">
        <f t="shared" si="1326"/>
        <v>2436</v>
      </c>
    </row>
    <row r="2422" spans="1:29" x14ac:dyDescent="0.2">
      <c r="A2422">
        <v>1313</v>
      </c>
      <c r="D2422">
        <f t="shared" si="1327"/>
        <v>3</v>
      </c>
      <c r="E2422">
        <v>2</v>
      </c>
      <c r="F2422" s="6" t="s">
        <v>423</v>
      </c>
      <c r="I2422" t="s">
        <v>179</v>
      </c>
      <c r="J2422">
        <v>99</v>
      </c>
      <c r="K2422" t="s">
        <v>488</v>
      </c>
      <c r="L2422" t="s">
        <v>247</v>
      </c>
      <c r="M2422" t="s">
        <v>514</v>
      </c>
      <c r="N2422" t="s">
        <v>158</v>
      </c>
      <c r="Q2422">
        <f t="shared" ref="Q2422:S2422" si="1381">Q2421</f>
        <v>18977</v>
      </c>
      <c r="R2422" t="str">
        <f t="shared" si="1381"/>
        <v>Velodrome</v>
      </c>
      <c r="S2422" t="str">
        <f t="shared" si="1381"/>
        <v>HollowBrook</v>
      </c>
      <c r="T2422" s="20">
        <f t="shared" si="1331"/>
        <v>0</v>
      </c>
      <c r="U2422">
        <f t="shared" si="1332"/>
        <v>134</v>
      </c>
      <c r="V2422">
        <f t="shared" si="1333"/>
        <v>134</v>
      </c>
      <c r="W2422" cm="1">
        <f t="array" ref="W2422">_xlfn._xlws.FILTER(shifts!A:A,(shifts!B:B=events!D2422)*(shifts!AH:AH&gt;=events!U2422)*(shifts!AI:AI&lt;=events!V2422))</f>
        <v>85</v>
      </c>
      <c r="X2422" t="str">
        <f t="shared" si="1334"/>
        <v>event_team_player_1</v>
      </c>
      <c r="Y2422">
        <f>COUNTIFS(A$3:A2422,"="&amp;A2422,K$3:K2422,"="&amp;K2422)</f>
        <v>1</v>
      </c>
      <c r="Z2422" s="20">
        <f>SUMIFS(T$3:T2422,L$3:L2422,"=Intermission")+SUMIFS(T$3:T2422,L$3:L2422,"=Timeout")+SUMIFS(T$3:T2422,L$3:L2422,"=Clockstop")</f>
        <v>138</v>
      </c>
      <c r="AA2422">
        <f t="shared" si="1325"/>
        <v>2298</v>
      </c>
      <c r="AC2422">
        <f t="shared" si="1326"/>
        <v>2436</v>
      </c>
    </row>
    <row r="2423" spans="1:29" x14ac:dyDescent="0.2">
      <c r="A2423">
        <v>1313</v>
      </c>
      <c r="D2423">
        <f t="shared" si="1327"/>
        <v>3</v>
      </c>
      <c r="E2423">
        <v>2</v>
      </c>
      <c r="F2423" s="6" t="s">
        <v>423</v>
      </c>
      <c r="I2423" t="s">
        <v>179</v>
      </c>
      <c r="J2423">
        <v>49</v>
      </c>
      <c r="K2423" t="s">
        <v>489</v>
      </c>
      <c r="L2423" t="s">
        <v>247</v>
      </c>
      <c r="M2423" t="s">
        <v>514</v>
      </c>
      <c r="N2423" t="s">
        <v>158</v>
      </c>
      <c r="Q2423">
        <f t="shared" ref="Q2423:S2423" si="1382">Q2422</f>
        <v>18977</v>
      </c>
      <c r="R2423" t="str">
        <f t="shared" si="1382"/>
        <v>Velodrome</v>
      </c>
      <c r="S2423" t="str">
        <f t="shared" si="1382"/>
        <v>HollowBrook</v>
      </c>
      <c r="T2423" s="20">
        <f t="shared" si="1331"/>
        <v>0</v>
      </c>
      <c r="U2423">
        <f t="shared" si="1332"/>
        <v>134</v>
      </c>
      <c r="V2423">
        <f t="shared" si="1333"/>
        <v>134</v>
      </c>
      <c r="W2423" cm="1">
        <f t="array" ref="W2423">_xlfn._xlws.FILTER(shifts!A:A,(shifts!B:B=events!D2423)*(shifts!AH:AH&gt;=events!U2423)*(shifts!AI:AI&lt;=events!V2423))</f>
        <v>85</v>
      </c>
      <c r="X2423" t="str">
        <f t="shared" si="1334"/>
        <v>opp_team_player_1</v>
      </c>
      <c r="Y2423">
        <f>COUNTIFS(A$3:A2423,"="&amp;A2423,K$3:K2423,"="&amp;K2423)</f>
        <v>1</v>
      </c>
      <c r="Z2423" s="20">
        <f>SUMIFS(T$3:T2423,L$3:L2423,"=Intermission")+SUMIFS(T$3:T2423,L$3:L2423,"=Timeout")+SUMIFS(T$3:T2423,L$3:L2423,"=Clockstop")</f>
        <v>138</v>
      </c>
      <c r="AA2423">
        <f t="shared" si="1325"/>
        <v>2298</v>
      </c>
      <c r="AC2423">
        <f t="shared" si="1326"/>
        <v>2436</v>
      </c>
    </row>
    <row r="2424" spans="1:29" x14ac:dyDescent="0.2">
      <c r="A2424">
        <v>1314</v>
      </c>
      <c r="D2424">
        <f t="shared" si="1327"/>
        <v>3</v>
      </c>
      <c r="E2424">
        <v>2</v>
      </c>
      <c r="F2424" s="6" t="s">
        <v>449</v>
      </c>
      <c r="I2424" t="s">
        <v>179</v>
      </c>
      <c r="J2424">
        <v>5</v>
      </c>
      <c r="K2424" t="s">
        <v>488</v>
      </c>
      <c r="L2424" t="s">
        <v>8</v>
      </c>
      <c r="M2424" t="s">
        <v>189</v>
      </c>
      <c r="N2424" t="s">
        <v>68</v>
      </c>
      <c r="Q2424">
        <f t="shared" ref="Q2424:S2424" si="1383">Q2423</f>
        <v>18977</v>
      </c>
      <c r="R2424" t="str">
        <f t="shared" si="1383"/>
        <v>Velodrome</v>
      </c>
      <c r="S2424" t="str">
        <f t="shared" si="1383"/>
        <v>HollowBrook</v>
      </c>
      <c r="T2424" s="20">
        <f t="shared" si="1331"/>
        <v>0</v>
      </c>
      <c r="U2424">
        <f t="shared" si="1332"/>
        <v>132</v>
      </c>
      <c r="V2424">
        <f t="shared" si="1333"/>
        <v>132</v>
      </c>
      <c r="W2424" cm="1">
        <f t="array" ref="W2424">_xlfn._xlws.FILTER(shifts!A:A,(shifts!B:B=events!D2424)*(shifts!AH:AH&gt;=events!U2424)*(shifts!AI:AI&lt;=events!V2424))</f>
        <v>85</v>
      </c>
      <c r="X2424" t="str">
        <f t="shared" si="1334"/>
        <v>event_team_player_1</v>
      </c>
      <c r="Y2424">
        <f>COUNTIFS(A$3:A2424,"="&amp;A2424,K$3:K2424,"="&amp;K2424)</f>
        <v>1</v>
      </c>
      <c r="Z2424" s="20">
        <f>SUMIFS(T$3:T2424,L$3:L2424,"=Intermission")+SUMIFS(T$3:T2424,L$3:L2424,"=Timeout")+SUMIFS(T$3:T2424,L$3:L2424,"=Clockstop")</f>
        <v>138</v>
      </c>
      <c r="AA2424">
        <f t="shared" si="1325"/>
        <v>2298</v>
      </c>
      <c r="AC2424">
        <f t="shared" si="1326"/>
        <v>2436</v>
      </c>
    </row>
    <row r="2425" spans="1:29" x14ac:dyDescent="0.2">
      <c r="A2425">
        <v>1314</v>
      </c>
      <c r="D2425">
        <f t="shared" si="1327"/>
        <v>3</v>
      </c>
      <c r="E2425">
        <v>2</v>
      </c>
      <c r="F2425" s="6" t="s">
        <v>449</v>
      </c>
      <c r="I2425" t="s">
        <v>179</v>
      </c>
      <c r="J2425">
        <v>11</v>
      </c>
      <c r="K2425" t="s">
        <v>488</v>
      </c>
      <c r="L2425" t="s">
        <v>8</v>
      </c>
      <c r="M2425" t="s">
        <v>189</v>
      </c>
      <c r="N2425" t="s">
        <v>68</v>
      </c>
      <c r="Q2425">
        <f t="shared" ref="Q2425:S2425" si="1384">Q2424</f>
        <v>18977</v>
      </c>
      <c r="R2425" t="str">
        <f t="shared" si="1384"/>
        <v>Velodrome</v>
      </c>
      <c r="S2425" t="str">
        <f t="shared" si="1384"/>
        <v>HollowBrook</v>
      </c>
      <c r="T2425" s="20">
        <f t="shared" si="1331"/>
        <v>0</v>
      </c>
      <c r="U2425">
        <f t="shared" si="1332"/>
        <v>132</v>
      </c>
      <c r="V2425">
        <f t="shared" si="1333"/>
        <v>132</v>
      </c>
      <c r="W2425" cm="1">
        <f t="array" ref="W2425">_xlfn._xlws.FILTER(shifts!A:A,(shifts!B:B=events!D2425)*(shifts!AH:AH&gt;=events!U2425)*(shifts!AI:AI&lt;=events!V2425))</f>
        <v>85</v>
      </c>
      <c r="X2425" t="str">
        <f t="shared" si="1334"/>
        <v>event_team_player_2</v>
      </c>
      <c r="Y2425">
        <f>COUNTIFS(A$3:A2425,"="&amp;A2425,K$3:K2425,"="&amp;K2425)</f>
        <v>2</v>
      </c>
      <c r="Z2425" s="20">
        <f>SUMIFS(T$3:T2425,L$3:L2425,"=Intermission")+SUMIFS(T$3:T2425,L$3:L2425,"=Timeout")+SUMIFS(T$3:T2425,L$3:L2425,"=Clockstop")</f>
        <v>138</v>
      </c>
      <c r="AA2425">
        <f t="shared" si="1325"/>
        <v>2298</v>
      </c>
      <c r="AC2425">
        <f t="shared" si="1326"/>
        <v>2436</v>
      </c>
    </row>
    <row r="2426" spans="1:29" x14ac:dyDescent="0.2">
      <c r="A2426">
        <v>1315</v>
      </c>
      <c r="D2426">
        <f t="shared" si="1327"/>
        <v>3</v>
      </c>
      <c r="E2426">
        <v>2</v>
      </c>
      <c r="F2426" s="6" t="s">
        <v>309</v>
      </c>
      <c r="I2426" t="s">
        <v>179</v>
      </c>
      <c r="J2426">
        <v>11</v>
      </c>
      <c r="K2426" t="s">
        <v>488</v>
      </c>
      <c r="L2426" t="s">
        <v>8</v>
      </c>
      <c r="M2426" t="s">
        <v>189</v>
      </c>
      <c r="N2426" t="s">
        <v>70</v>
      </c>
      <c r="Q2426">
        <f t="shared" ref="Q2426:S2426" si="1385">Q2425</f>
        <v>18977</v>
      </c>
      <c r="R2426" t="str">
        <f t="shared" si="1385"/>
        <v>Velodrome</v>
      </c>
      <c r="S2426" t="str">
        <f t="shared" si="1385"/>
        <v>HollowBrook</v>
      </c>
      <c r="T2426" s="20">
        <f t="shared" si="1331"/>
        <v>0</v>
      </c>
      <c r="U2426">
        <f t="shared" si="1332"/>
        <v>127</v>
      </c>
      <c r="V2426">
        <f t="shared" si="1333"/>
        <v>127</v>
      </c>
      <c r="W2426" cm="1">
        <f t="array" ref="W2426">_xlfn._xlws.FILTER(shifts!A:A,(shifts!B:B=events!D2426)*(shifts!AH:AH&gt;=events!U2426)*(shifts!AI:AI&lt;=events!V2426))</f>
        <v>85</v>
      </c>
      <c r="X2426" t="str">
        <f t="shared" si="1334"/>
        <v>event_team_player_1</v>
      </c>
      <c r="Y2426">
        <f>COUNTIFS(A$3:A2426,"="&amp;A2426,K$3:K2426,"="&amp;K2426)</f>
        <v>1</v>
      </c>
      <c r="Z2426" s="20">
        <f>SUMIFS(T$3:T2426,L$3:L2426,"=Intermission")+SUMIFS(T$3:T2426,L$3:L2426,"=Timeout")+SUMIFS(T$3:T2426,L$3:L2426,"=Clockstop")</f>
        <v>138</v>
      </c>
      <c r="AA2426">
        <f t="shared" si="1325"/>
        <v>2298</v>
      </c>
      <c r="AC2426">
        <f t="shared" si="1326"/>
        <v>2436</v>
      </c>
    </row>
    <row r="2427" spans="1:29" x14ac:dyDescent="0.2">
      <c r="A2427">
        <v>1315</v>
      </c>
      <c r="D2427">
        <f t="shared" si="1327"/>
        <v>3</v>
      </c>
      <c r="E2427">
        <v>2</v>
      </c>
      <c r="F2427" s="6" t="s">
        <v>309</v>
      </c>
      <c r="I2427" t="s">
        <v>179</v>
      </c>
      <c r="J2427">
        <v>13</v>
      </c>
      <c r="K2427" t="s">
        <v>488</v>
      </c>
      <c r="L2427" t="s">
        <v>8</v>
      </c>
      <c r="M2427" t="s">
        <v>189</v>
      </c>
      <c r="N2427" t="s">
        <v>70</v>
      </c>
      <c r="Q2427">
        <f t="shared" ref="Q2427:S2427" si="1386">Q2426</f>
        <v>18977</v>
      </c>
      <c r="R2427" t="str">
        <f t="shared" si="1386"/>
        <v>Velodrome</v>
      </c>
      <c r="S2427" t="str">
        <f t="shared" si="1386"/>
        <v>HollowBrook</v>
      </c>
      <c r="T2427" s="20">
        <f t="shared" si="1331"/>
        <v>0</v>
      </c>
      <c r="U2427">
        <f t="shared" si="1332"/>
        <v>127</v>
      </c>
      <c r="V2427">
        <f t="shared" si="1333"/>
        <v>127</v>
      </c>
      <c r="W2427" cm="1">
        <f t="array" ref="W2427">_xlfn._xlws.FILTER(shifts!A:A,(shifts!B:B=events!D2427)*(shifts!AH:AH&gt;=events!U2427)*(shifts!AI:AI&lt;=events!V2427))</f>
        <v>85</v>
      </c>
      <c r="X2427" t="str">
        <f t="shared" si="1334"/>
        <v>event_team_player_2</v>
      </c>
      <c r="Y2427">
        <f>COUNTIFS(A$3:A2427,"="&amp;A2427,K$3:K2427,"="&amp;K2427)</f>
        <v>2</v>
      </c>
      <c r="Z2427" s="20">
        <f>SUMIFS(T$3:T2427,L$3:L2427,"=Intermission")+SUMIFS(T$3:T2427,L$3:L2427,"=Timeout")+SUMIFS(T$3:T2427,L$3:L2427,"=Clockstop")</f>
        <v>138</v>
      </c>
      <c r="AA2427">
        <f t="shared" si="1325"/>
        <v>2298</v>
      </c>
      <c r="AC2427">
        <f t="shared" si="1326"/>
        <v>2436</v>
      </c>
    </row>
    <row r="2428" spans="1:29" x14ac:dyDescent="0.2">
      <c r="A2428">
        <v>1315</v>
      </c>
      <c r="D2428">
        <f t="shared" si="1327"/>
        <v>3</v>
      </c>
      <c r="E2428">
        <v>2</v>
      </c>
      <c r="F2428" s="6" t="s">
        <v>309</v>
      </c>
      <c r="I2428" t="s">
        <v>179</v>
      </c>
      <c r="J2428">
        <v>70</v>
      </c>
      <c r="K2428" t="s">
        <v>489</v>
      </c>
      <c r="L2428" t="s">
        <v>8</v>
      </c>
      <c r="M2428" t="s">
        <v>189</v>
      </c>
      <c r="N2428" t="s">
        <v>70</v>
      </c>
      <c r="Q2428">
        <f t="shared" ref="Q2428:S2428" si="1387">Q2427</f>
        <v>18977</v>
      </c>
      <c r="R2428" t="str">
        <f t="shared" si="1387"/>
        <v>Velodrome</v>
      </c>
      <c r="S2428" t="str">
        <f t="shared" si="1387"/>
        <v>HollowBrook</v>
      </c>
      <c r="T2428" s="20">
        <f t="shared" si="1331"/>
        <v>0</v>
      </c>
      <c r="U2428">
        <f t="shared" si="1332"/>
        <v>127</v>
      </c>
      <c r="V2428">
        <f t="shared" si="1333"/>
        <v>127</v>
      </c>
      <c r="W2428" cm="1">
        <f t="array" ref="W2428">_xlfn._xlws.FILTER(shifts!A:A,(shifts!B:B=events!D2428)*(shifts!AH:AH&gt;=events!U2428)*(shifts!AI:AI&lt;=events!V2428))</f>
        <v>85</v>
      </c>
      <c r="X2428" t="str">
        <f t="shared" si="1334"/>
        <v>opp_team_player_1</v>
      </c>
      <c r="Y2428">
        <f>COUNTIFS(A$3:A2428,"="&amp;A2428,K$3:K2428,"="&amp;K2428)</f>
        <v>1</v>
      </c>
      <c r="Z2428" s="20">
        <f>SUMIFS(T$3:T2428,L$3:L2428,"=Intermission")+SUMIFS(T$3:T2428,L$3:L2428,"=Timeout")+SUMIFS(T$3:T2428,L$3:L2428,"=Clockstop")</f>
        <v>138</v>
      </c>
      <c r="AA2428">
        <f t="shared" si="1325"/>
        <v>2298</v>
      </c>
      <c r="AC2428">
        <f t="shared" si="1326"/>
        <v>2436</v>
      </c>
    </row>
    <row r="2429" spans="1:29" x14ac:dyDescent="0.2">
      <c r="A2429">
        <v>1316</v>
      </c>
      <c r="D2429">
        <f t="shared" si="1327"/>
        <v>3</v>
      </c>
      <c r="E2429">
        <v>2</v>
      </c>
      <c r="F2429" s="6" t="s">
        <v>309</v>
      </c>
      <c r="I2429" t="s">
        <v>179</v>
      </c>
      <c r="J2429">
        <v>11</v>
      </c>
      <c r="K2429" t="s">
        <v>488</v>
      </c>
      <c r="L2429" t="s">
        <v>277</v>
      </c>
      <c r="M2429" t="s">
        <v>201</v>
      </c>
      <c r="N2429" t="s">
        <v>91</v>
      </c>
      <c r="Q2429">
        <f t="shared" ref="Q2429:S2429" si="1388">Q2428</f>
        <v>18977</v>
      </c>
      <c r="R2429" t="str">
        <f t="shared" si="1388"/>
        <v>Velodrome</v>
      </c>
      <c r="S2429" t="str">
        <f t="shared" si="1388"/>
        <v>HollowBrook</v>
      </c>
      <c r="T2429" s="20">
        <f t="shared" si="1331"/>
        <v>0</v>
      </c>
      <c r="U2429">
        <f t="shared" si="1332"/>
        <v>127</v>
      </c>
      <c r="V2429">
        <f t="shared" si="1333"/>
        <v>127</v>
      </c>
      <c r="W2429" cm="1">
        <f t="array" ref="W2429">_xlfn._xlws.FILTER(shifts!A:A,(shifts!B:B=events!D2429)*(shifts!AH:AH&gt;=events!U2429)*(shifts!AI:AI&lt;=events!V2429))</f>
        <v>85</v>
      </c>
      <c r="X2429" t="str">
        <f t="shared" si="1334"/>
        <v>event_team_player_1</v>
      </c>
      <c r="Y2429">
        <f>COUNTIFS(A$3:A2429,"="&amp;A2429,K$3:K2429,"="&amp;K2429)</f>
        <v>1</v>
      </c>
      <c r="Z2429" s="20">
        <f>SUMIFS(T$3:T2429,L$3:L2429,"=Intermission")+SUMIFS(T$3:T2429,L$3:L2429,"=Timeout")+SUMIFS(T$3:T2429,L$3:L2429,"=Clockstop")</f>
        <v>138</v>
      </c>
      <c r="AA2429">
        <f t="shared" si="1325"/>
        <v>2298</v>
      </c>
      <c r="AC2429">
        <f t="shared" si="1326"/>
        <v>2436</v>
      </c>
    </row>
    <row r="2430" spans="1:29" x14ac:dyDescent="0.2">
      <c r="A2430">
        <v>1316</v>
      </c>
      <c r="D2430">
        <f t="shared" si="1327"/>
        <v>3</v>
      </c>
      <c r="E2430">
        <v>2</v>
      </c>
      <c r="F2430" s="6" t="s">
        <v>309</v>
      </c>
      <c r="I2430" t="s">
        <v>179</v>
      </c>
      <c r="J2430">
        <v>13</v>
      </c>
      <c r="K2430" t="s">
        <v>488</v>
      </c>
      <c r="L2430" t="s">
        <v>277</v>
      </c>
      <c r="M2430" t="s">
        <v>201</v>
      </c>
      <c r="N2430" t="s">
        <v>91</v>
      </c>
      <c r="Q2430">
        <f t="shared" ref="Q2430:S2430" si="1389">Q2429</f>
        <v>18977</v>
      </c>
      <c r="R2430" t="str">
        <f t="shared" si="1389"/>
        <v>Velodrome</v>
      </c>
      <c r="S2430" t="str">
        <f t="shared" si="1389"/>
        <v>HollowBrook</v>
      </c>
      <c r="T2430" s="20">
        <f t="shared" si="1331"/>
        <v>0</v>
      </c>
      <c r="U2430">
        <f t="shared" si="1332"/>
        <v>127</v>
      </c>
      <c r="V2430">
        <f t="shared" si="1333"/>
        <v>127</v>
      </c>
      <c r="W2430" cm="1">
        <f t="array" ref="W2430">_xlfn._xlws.FILTER(shifts!A:A,(shifts!B:B=events!D2430)*(shifts!AH:AH&gt;=events!U2430)*(shifts!AI:AI&lt;=events!V2430))</f>
        <v>85</v>
      </c>
      <c r="X2430" t="str">
        <f t="shared" si="1334"/>
        <v>event_team_player_2</v>
      </c>
      <c r="Y2430">
        <f>COUNTIFS(A$3:A2430,"="&amp;A2430,K$3:K2430,"="&amp;K2430)</f>
        <v>2</v>
      </c>
      <c r="Z2430" s="20">
        <f>SUMIFS(T$3:T2430,L$3:L2430,"=Intermission")+SUMIFS(T$3:T2430,L$3:L2430,"=Timeout")+SUMIFS(T$3:T2430,L$3:L2430,"=Clockstop")</f>
        <v>138</v>
      </c>
      <c r="AA2430">
        <f t="shared" si="1325"/>
        <v>2298</v>
      </c>
      <c r="AC2430">
        <f t="shared" si="1326"/>
        <v>2436</v>
      </c>
    </row>
    <row r="2431" spans="1:29" x14ac:dyDescent="0.2">
      <c r="A2431">
        <v>1316</v>
      </c>
      <c r="D2431">
        <f t="shared" si="1327"/>
        <v>3</v>
      </c>
      <c r="E2431">
        <v>2</v>
      </c>
      <c r="F2431" s="6" t="s">
        <v>309</v>
      </c>
      <c r="I2431" t="s">
        <v>179</v>
      </c>
      <c r="J2431">
        <v>70</v>
      </c>
      <c r="K2431" t="s">
        <v>489</v>
      </c>
      <c r="L2431" t="s">
        <v>277</v>
      </c>
      <c r="M2431" t="s">
        <v>201</v>
      </c>
      <c r="N2431" t="s">
        <v>91</v>
      </c>
      <c r="Q2431">
        <f t="shared" ref="Q2431:S2431" si="1390">Q2430</f>
        <v>18977</v>
      </c>
      <c r="R2431" t="str">
        <f t="shared" si="1390"/>
        <v>Velodrome</v>
      </c>
      <c r="S2431" t="str">
        <f t="shared" si="1390"/>
        <v>HollowBrook</v>
      </c>
      <c r="T2431" s="20">
        <f t="shared" si="1331"/>
        <v>0</v>
      </c>
      <c r="U2431">
        <f t="shared" si="1332"/>
        <v>127</v>
      </c>
      <c r="V2431">
        <f t="shared" si="1333"/>
        <v>127</v>
      </c>
      <c r="W2431" cm="1">
        <f t="array" ref="W2431">_xlfn._xlws.FILTER(shifts!A:A,(shifts!B:B=events!D2431)*(shifts!AH:AH&gt;=events!U2431)*(shifts!AI:AI&lt;=events!V2431))</f>
        <v>85</v>
      </c>
      <c r="X2431" t="str">
        <f t="shared" si="1334"/>
        <v>opp_team_player_1</v>
      </c>
      <c r="Y2431">
        <f>COUNTIFS(A$3:A2431,"="&amp;A2431,K$3:K2431,"="&amp;K2431)</f>
        <v>1</v>
      </c>
      <c r="Z2431" s="20">
        <f>SUMIFS(T$3:T2431,L$3:L2431,"=Intermission")+SUMIFS(T$3:T2431,L$3:L2431,"=Timeout")+SUMIFS(T$3:T2431,L$3:L2431,"=Clockstop")</f>
        <v>138</v>
      </c>
      <c r="AA2431">
        <f t="shared" si="1325"/>
        <v>2298</v>
      </c>
      <c r="AC2431">
        <f t="shared" si="1326"/>
        <v>2436</v>
      </c>
    </row>
    <row r="2432" spans="1:29" x14ac:dyDescent="0.2">
      <c r="A2432">
        <v>1317</v>
      </c>
      <c r="D2432">
        <f t="shared" si="1327"/>
        <v>3</v>
      </c>
      <c r="E2432">
        <v>2</v>
      </c>
      <c r="F2432" s="6" t="s">
        <v>309</v>
      </c>
      <c r="G2432">
        <v>2</v>
      </c>
      <c r="H2432" s="8" t="s">
        <v>315</v>
      </c>
      <c r="I2432" t="s">
        <v>179</v>
      </c>
      <c r="J2432">
        <v>13</v>
      </c>
      <c r="K2432" t="s">
        <v>488</v>
      </c>
      <c r="L2432" t="s">
        <v>15</v>
      </c>
      <c r="Q2432">
        <f t="shared" ref="Q2432:S2432" si="1391">Q2431</f>
        <v>18977</v>
      </c>
      <c r="R2432" t="str">
        <f t="shared" si="1391"/>
        <v>Velodrome</v>
      </c>
      <c r="S2432" t="str">
        <f t="shared" si="1391"/>
        <v>HollowBrook</v>
      </c>
      <c r="T2432" s="20">
        <f t="shared" si="1331"/>
        <v>2</v>
      </c>
      <c r="U2432">
        <f t="shared" si="1332"/>
        <v>127</v>
      </c>
      <c r="V2432">
        <f t="shared" si="1333"/>
        <v>125</v>
      </c>
      <c r="W2432" cm="1">
        <f t="array" ref="W2432">_xlfn._xlws.FILTER(shifts!A:A,(shifts!B:B=events!D2432)*(shifts!AH:AH&gt;=events!U2432)*(shifts!AI:AI&lt;=events!V2432))</f>
        <v>85</v>
      </c>
      <c r="X2432" t="str">
        <f t="shared" si="1334"/>
        <v>event_team_player_1</v>
      </c>
      <c r="Y2432">
        <f>COUNTIFS(A$3:A2432,"="&amp;A2432,K$3:K2432,"="&amp;K2432)</f>
        <v>1</v>
      </c>
      <c r="Z2432" s="20">
        <f>SUMIFS(T$3:T2432,L$3:L2432,"=Intermission")+SUMIFS(T$3:T2432,L$3:L2432,"=Timeout")+SUMIFS(T$3:T2432,L$3:L2432,"=Clockstop")</f>
        <v>138</v>
      </c>
      <c r="AA2432">
        <f t="shared" si="1325"/>
        <v>2298</v>
      </c>
      <c r="AC2432">
        <f t="shared" si="1326"/>
        <v>2436</v>
      </c>
    </row>
    <row r="2433" spans="1:29" x14ac:dyDescent="0.2">
      <c r="A2433">
        <v>1318</v>
      </c>
      <c r="D2433">
        <f t="shared" si="1327"/>
        <v>3</v>
      </c>
      <c r="E2433">
        <v>2</v>
      </c>
      <c r="F2433" s="6" t="s">
        <v>315</v>
      </c>
      <c r="G2433">
        <v>2</v>
      </c>
      <c r="H2433" s="8" t="s">
        <v>316</v>
      </c>
      <c r="I2433" t="s">
        <v>179</v>
      </c>
      <c r="J2433">
        <v>13</v>
      </c>
      <c r="K2433" t="s">
        <v>488</v>
      </c>
      <c r="L2433" t="s">
        <v>277</v>
      </c>
      <c r="M2433" t="s">
        <v>191</v>
      </c>
      <c r="N2433" t="s">
        <v>87</v>
      </c>
      <c r="Q2433">
        <f t="shared" ref="Q2433:S2433" si="1392">Q2432</f>
        <v>18977</v>
      </c>
      <c r="R2433" t="str">
        <f t="shared" si="1392"/>
        <v>Velodrome</v>
      </c>
      <c r="S2433" t="str">
        <f t="shared" si="1392"/>
        <v>HollowBrook</v>
      </c>
      <c r="T2433" s="20">
        <f t="shared" si="1331"/>
        <v>3</v>
      </c>
      <c r="U2433">
        <f t="shared" si="1332"/>
        <v>125</v>
      </c>
      <c r="V2433">
        <f t="shared" si="1333"/>
        <v>122</v>
      </c>
      <c r="W2433" cm="1">
        <f t="array" ref="W2433">_xlfn._xlws.FILTER(shifts!A:A,(shifts!B:B=events!D2433)*(shifts!AH:AH&gt;=events!U2433)*(shifts!AI:AI&lt;=events!V2433))</f>
        <v>85</v>
      </c>
      <c r="X2433" t="str">
        <f t="shared" si="1334"/>
        <v>event_team_player_1</v>
      </c>
      <c r="Y2433">
        <f>COUNTIFS(A$3:A2433,"="&amp;A2433,K$3:K2433,"="&amp;K2433)</f>
        <v>1</v>
      </c>
      <c r="Z2433" s="20">
        <f>SUMIFS(T$3:T2433,L$3:L2433,"=Intermission")+SUMIFS(T$3:T2433,L$3:L2433,"=Timeout")+SUMIFS(T$3:T2433,L$3:L2433,"=Clockstop")</f>
        <v>138</v>
      </c>
      <c r="AA2433">
        <f t="shared" si="1325"/>
        <v>2298</v>
      </c>
      <c r="AC2433">
        <f t="shared" si="1326"/>
        <v>2436</v>
      </c>
    </row>
    <row r="2434" spans="1:29" x14ac:dyDescent="0.2">
      <c r="A2434">
        <v>1318</v>
      </c>
      <c r="D2434">
        <f t="shared" si="1327"/>
        <v>3</v>
      </c>
      <c r="E2434">
        <v>2</v>
      </c>
      <c r="F2434" s="6" t="s">
        <v>315</v>
      </c>
      <c r="G2434">
        <v>2</v>
      </c>
      <c r="H2434" s="8" t="s">
        <v>316</v>
      </c>
      <c r="I2434" t="s">
        <v>179</v>
      </c>
      <c r="J2434">
        <v>19</v>
      </c>
      <c r="K2434" t="s">
        <v>488</v>
      </c>
      <c r="L2434" t="s">
        <v>277</v>
      </c>
      <c r="M2434" t="s">
        <v>191</v>
      </c>
      <c r="N2434" t="s">
        <v>87</v>
      </c>
      <c r="Q2434">
        <f t="shared" ref="Q2434:S2434" si="1393">Q2433</f>
        <v>18977</v>
      </c>
      <c r="R2434" t="str">
        <f t="shared" si="1393"/>
        <v>Velodrome</v>
      </c>
      <c r="S2434" t="str">
        <f t="shared" si="1393"/>
        <v>HollowBrook</v>
      </c>
      <c r="T2434" s="20">
        <f t="shared" si="1331"/>
        <v>3</v>
      </c>
      <c r="U2434">
        <f t="shared" si="1332"/>
        <v>125</v>
      </c>
      <c r="V2434">
        <f t="shared" si="1333"/>
        <v>122</v>
      </c>
      <c r="W2434" cm="1">
        <f t="array" ref="W2434">_xlfn._xlws.FILTER(shifts!A:A,(shifts!B:B=events!D2434)*(shifts!AH:AH&gt;=events!U2434)*(shifts!AI:AI&lt;=events!V2434))</f>
        <v>85</v>
      </c>
      <c r="X2434" t="str">
        <f t="shared" si="1334"/>
        <v>event_team_player_2</v>
      </c>
      <c r="Y2434">
        <f>COUNTIFS(A$3:A2434,"="&amp;A2434,K$3:K2434,"="&amp;K2434)</f>
        <v>2</v>
      </c>
      <c r="Z2434" s="20">
        <f>SUMIFS(T$3:T2434,L$3:L2434,"=Intermission")+SUMIFS(T$3:T2434,L$3:L2434,"=Timeout")+SUMIFS(T$3:T2434,L$3:L2434,"=Clockstop")</f>
        <v>138</v>
      </c>
      <c r="AA2434">
        <f t="shared" si="1325"/>
        <v>2298</v>
      </c>
      <c r="AC2434">
        <f t="shared" si="1326"/>
        <v>2436</v>
      </c>
    </row>
    <row r="2435" spans="1:29" x14ac:dyDescent="0.2">
      <c r="A2435">
        <v>1318</v>
      </c>
      <c r="D2435">
        <f t="shared" si="1327"/>
        <v>3</v>
      </c>
      <c r="E2435">
        <v>2</v>
      </c>
      <c r="F2435" s="6" t="s">
        <v>315</v>
      </c>
      <c r="G2435">
        <v>2</v>
      </c>
      <c r="H2435" s="8" t="s">
        <v>316</v>
      </c>
      <c r="I2435" t="s">
        <v>179</v>
      </c>
      <c r="J2435">
        <v>52</v>
      </c>
      <c r="K2435" t="s">
        <v>489</v>
      </c>
      <c r="L2435" t="s">
        <v>277</v>
      </c>
      <c r="M2435" t="s">
        <v>191</v>
      </c>
      <c r="N2435" t="s">
        <v>87</v>
      </c>
      <c r="Q2435">
        <f t="shared" ref="Q2435:S2435" si="1394">Q2434</f>
        <v>18977</v>
      </c>
      <c r="R2435" t="str">
        <f t="shared" si="1394"/>
        <v>Velodrome</v>
      </c>
      <c r="S2435" t="str">
        <f t="shared" si="1394"/>
        <v>HollowBrook</v>
      </c>
      <c r="T2435" s="20">
        <f t="shared" si="1331"/>
        <v>3</v>
      </c>
      <c r="U2435">
        <f t="shared" si="1332"/>
        <v>125</v>
      </c>
      <c r="V2435">
        <f t="shared" si="1333"/>
        <v>122</v>
      </c>
      <c r="W2435" cm="1">
        <f t="array" ref="W2435">_xlfn._xlws.FILTER(shifts!A:A,(shifts!B:B=events!D2435)*(shifts!AH:AH&gt;=events!U2435)*(shifts!AI:AI&lt;=events!V2435))</f>
        <v>85</v>
      </c>
      <c r="X2435" t="str">
        <f t="shared" si="1334"/>
        <v>opp_team_player_1</v>
      </c>
      <c r="Y2435">
        <f>COUNTIFS(A$3:A2435,"="&amp;A2435,K$3:K2435,"="&amp;K2435)</f>
        <v>1</v>
      </c>
      <c r="Z2435" s="20">
        <f>SUMIFS(T$3:T2435,L$3:L2435,"=Intermission")+SUMIFS(T$3:T2435,L$3:L2435,"=Timeout")+SUMIFS(T$3:T2435,L$3:L2435,"=Clockstop")</f>
        <v>138</v>
      </c>
      <c r="AA2435">
        <f t="shared" si="1325"/>
        <v>2298</v>
      </c>
      <c r="AC2435">
        <f t="shared" si="1326"/>
        <v>2436</v>
      </c>
    </row>
    <row r="2436" spans="1:29" x14ac:dyDescent="0.2">
      <c r="A2436">
        <v>1318</v>
      </c>
      <c r="D2436">
        <f t="shared" si="1327"/>
        <v>3</v>
      </c>
      <c r="E2436">
        <v>2</v>
      </c>
      <c r="F2436" s="6" t="s">
        <v>315</v>
      </c>
      <c r="G2436">
        <v>2</v>
      </c>
      <c r="H2436" s="8" t="s">
        <v>316</v>
      </c>
      <c r="I2436" t="s">
        <v>179</v>
      </c>
      <c r="J2436">
        <v>9</v>
      </c>
      <c r="K2436" t="s">
        <v>489</v>
      </c>
      <c r="L2436" t="s">
        <v>277</v>
      </c>
      <c r="M2436" t="s">
        <v>191</v>
      </c>
      <c r="N2436" t="s">
        <v>87</v>
      </c>
      <c r="Q2436">
        <f t="shared" ref="Q2436:S2436" si="1395">Q2435</f>
        <v>18977</v>
      </c>
      <c r="R2436" t="str">
        <f t="shared" si="1395"/>
        <v>Velodrome</v>
      </c>
      <c r="S2436" t="str">
        <f t="shared" si="1395"/>
        <v>HollowBrook</v>
      </c>
      <c r="T2436" s="20">
        <f t="shared" si="1331"/>
        <v>3</v>
      </c>
      <c r="U2436">
        <f t="shared" si="1332"/>
        <v>125</v>
      </c>
      <c r="V2436">
        <f t="shared" si="1333"/>
        <v>122</v>
      </c>
      <c r="W2436" cm="1">
        <f t="array" ref="W2436">_xlfn._xlws.FILTER(shifts!A:A,(shifts!B:B=events!D2436)*(shifts!AH:AH&gt;=events!U2436)*(shifts!AI:AI&lt;=events!V2436))</f>
        <v>85</v>
      </c>
      <c r="X2436" t="str">
        <f t="shared" si="1334"/>
        <v>opp_team_player_2</v>
      </c>
      <c r="Y2436">
        <f>COUNTIFS(A$3:A2436,"="&amp;A2436,K$3:K2436,"="&amp;K2436)</f>
        <v>2</v>
      </c>
      <c r="Z2436" s="20">
        <f>SUMIFS(T$3:T2436,L$3:L2436,"=Intermission")+SUMIFS(T$3:T2436,L$3:L2436,"=Timeout")+SUMIFS(T$3:T2436,L$3:L2436,"=Clockstop")</f>
        <v>138</v>
      </c>
      <c r="AA2436">
        <f t="shared" ref="AA2436:AA2499" si="1396">IF(D2436=1,0,IF(D2436=2,1080+Z2436,IF(D2436=3,(1080*2)+Z2436,0)))</f>
        <v>2298</v>
      </c>
      <c r="AC2436">
        <f t="shared" ref="AC2436:AC2499" si="1397">IF(L2435="GameStart",0,AA2436+Z2436)</f>
        <v>2436</v>
      </c>
    </row>
    <row r="2437" spans="1:29" x14ac:dyDescent="0.2">
      <c r="A2437">
        <v>1319</v>
      </c>
      <c r="D2437">
        <f t="shared" ref="D2437:D2500" si="1398">IF(L2437="Intermission",D2436+1,D2436)</f>
        <v>3</v>
      </c>
      <c r="E2437">
        <v>2</v>
      </c>
      <c r="F2437" s="6" t="s">
        <v>316</v>
      </c>
      <c r="I2437" t="s">
        <v>179</v>
      </c>
      <c r="J2437">
        <v>13</v>
      </c>
      <c r="K2437" t="s">
        <v>488</v>
      </c>
      <c r="L2437" t="s">
        <v>7</v>
      </c>
      <c r="M2437" t="s">
        <v>222</v>
      </c>
      <c r="N2437" t="s">
        <v>53</v>
      </c>
      <c r="Q2437">
        <f t="shared" ref="Q2437:S2437" si="1399">Q2436</f>
        <v>18977</v>
      </c>
      <c r="R2437" t="str">
        <f t="shared" si="1399"/>
        <v>Velodrome</v>
      </c>
      <c r="S2437" t="str">
        <f t="shared" si="1399"/>
        <v>HollowBrook</v>
      </c>
      <c r="T2437" s="20">
        <f t="shared" si="1331"/>
        <v>0</v>
      </c>
      <c r="U2437">
        <f t="shared" si="1332"/>
        <v>122</v>
      </c>
      <c r="V2437">
        <f t="shared" si="1333"/>
        <v>122</v>
      </c>
      <c r="W2437" cm="1">
        <f t="array" ref="W2437">_xlfn._xlws.FILTER(shifts!A:A,(shifts!B:B=events!D2437)*(shifts!AH:AH&gt;=events!U2437)*(shifts!AI:AI&lt;=events!V2437))</f>
        <v>85</v>
      </c>
      <c r="X2437" t="str">
        <f t="shared" si="1334"/>
        <v>event_team_player_1</v>
      </c>
      <c r="Y2437">
        <f>COUNTIFS(A$3:A2437,"="&amp;A2437,K$3:K2437,"="&amp;K2437)</f>
        <v>1</v>
      </c>
      <c r="Z2437" s="20">
        <f>SUMIFS(T$3:T2437,L$3:L2437,"=Intermission")+SUMIFS(T$3:T2437,L$3:L2437,"=Timeout")+SUMIFS(T$3:T2437,L$3:L2437,"=Clockstop")</f>
        <v>138</v>
      </c>
      <c r="AA2437">
        <f t="shared" si="1396"/>
        <v>2298</v>
      </c>
      <c r="AC2437">
        <f t="shared" si="1397"/>
        <v>2436</v>
      </c>
    </row>
    <row r="2438" spans="1:29" x14ac:dyDescent="0.2">
      <c r="A2438">
        <v>1319</v>
      </c>
      <c r="D2438">
        <f t="shared" si="1398"/>
        <v>3</v>
      </c>
      <c r="E2438">
        <v>2</v>
      </c>
      <c r="F2438" s="6" t="s">
        <v>316</v>
      </c>
      <c r="I2438" t="s">
        <v>179</v>
      </c>
      <c r="J2438">
        <v>39</v>
      </c>
      <c r="K2438" t="s">
        <v>489</v>
      </c>
      <c r="L2438" t="s">
        <v>7</v>
      </c>
      <c r="M2438" t="s">
        <v>222</v>
      </c>
      <c r="N2438" t="s">
        <v>53</v>
      </c>
      <c r="Q2438">
        <f t="shared" ref="Q2438:S2438" si="1400">Q2437</f>
        <v>18977</v>
      </c>
      <c r="R2438" t="str">
        <f t="shared" si="1400"/>
        <v>Velodrome</v>
      </c>
      <c r="S2438" t="str">
        <f t="shared" si="1400"/>
        <v>HollowBrook</v>
      </c>
      <c r="T2438" s="20">
        <f t="shared" si="1331"/>
        <v>0</v>
      </c>
      <c r="U2438">
        <f t="shared" si="1332"/>
        <v>122</v>
      </c>
      <c r="V2438">
        <f t="shared" si="1333"/>
        <v>122</v>
      </c>
      <c r="W2438" cm="1">
        <f t="array" ref="W2438">_xlfn._xlws.FILTER(shifts!A:A,(shifts!B:B=events!D2438)*(shifts!AH:AH&gt;=events!U2438)*(shifts!AI:AI&lt;=events!V2438))</f>
        <v>85</v>
      </c>
      <c r="X2438" t="str">
        <f t="shared" si="1334"/>
        <v>opp_team_player_1</v>
      </c>
      <c r="Y2438">
        <f>COUNTIFS(A$3:A2438,"="&amp;A2438,K$3:K2438,"="&amp;K2438)</f>
        <v>1</v>
      </c>
      <c r="Z2438" s="20">
        <f>SUMIFS(T$3:T2438,L$3:L2438,"=Intermission")+SUMIFS(T$3:T2438,L$3:L2438,"=Timeout")+SUMIFS(T$3:T2438,L$3:L2438,"=Clockstop")</f>
        <v>138</v>
      </c>
      <c r="AA2438">
        <f t="shared" si="1396"/>
        <v>2298</v>
      </c>
      <c r="AC2438">
        <f t="shared" si="1397"/>
        <v>2436</v>
      </c>
    </row>
    <row r="2439" spans="1:29" x14ac:dyDescent="0.2">
      <c r="A2439">
        <v>1319</v>
      </c>
      <c r="D2439">
        <f t="shared" si="1398"/>
        <v>3</v>
      </c>
      <c r="E2439">
        <v>2</v>
      </c>
      <c r="F2439" s="6" t="s">
        <v>316</v>
      </c>
      <c r="I2439" t="s">
        <v>179</v>
      </c>
      <c r="J2439">
        <v>9</v>
      </c>
      <c r="K2439" t="s">
        <v>489</v>
      </c>
      <c r="L2439" t="s">
        <v>7</v>
      </c>
      <c r="M2439" t="s">
        <v>222</v>
      </c>
      <c r="N2439" t="s">
        <v>53</v>
      </c>
      <c r="Q2439">
        <f t="shared" ref="Q2439:S2439" si="1401">Q2438</f>
        <v>18977</v>
      </c>
      <c r="R2439" t="str">
        <f t="shared" si="1401"/>
        <v>Velodrome</v>
      </c>
      <c r="S2439" t="str">
        <f t="shared" si="1401"/>
        <v>HollowBrook</v>
      </c>
      <c r="T2439" s="20">
        <f t="shared" ref="T2439:T2502" si="1402">IF(AND(G2439="",H2439=""),0,((E2439*60)+F2439)-((G2439*60)+H2439))</f>
        <v>0</v>
      </c>
      <c r="U2439">
        <f t="shared" ref="U2439:U2502" si="1403">(E2439*60)+F2439</f>
        <v>122</v>
      </c>
      <c r="V2439">
        <f t="shared" ref="V2439:V2502" si="1404">IF(AND(G2439="",H2439=""),U2439,((G2439*60)+H2439))</f>
        <v>122</v>
      </c>
      <c r="W2439" cm="1">
        <f t="array" ref="W2439">_xlfn._xlws.FILTER(shifts!A:A,(shifts!B:B=events!D2439)*(shifts!AH:AH&gt;=events!U2439)*(shifts!AI:AI&lt;=events!V2439))</f>
        <v>85</v>
      </c>
      <c r="X2439" t="str">
        <f t="shared" ref="X2439:X2502" si="1405">IF(K2439="e","event_team_player_"&amp;Y2439,IF(K2439="o","opp_team_player_"&amp;Y2439,""))</f>
        <v>opp_team_player_2</v>
      </c>
      <c r="Y2439">
        <f>COUNTIFS(A$3:A2439,"="&amp;A2439,K$3:K2439,"="&amp;K2439)</f>
        <v>2</v>
      </c>
      <c r="Z2439" s="20">
        <f>SUMIFS(T$3:T2439,L$3:L2439,"=Intermission")+SUMIFS(T$3:T2439,L$3:L2439,"=Timeout")+SUMIFS(T$3:T2439,L$3:L2439,"=Clockstop")</f>
        <v>138</v>
      </c>
      <c r="AA2439">
        <f t="shared" si="1396"/>
        <v>2298</v>
      </c>
      <c r="AC2439">
        <f t="shared" si="1397"/>
        <v>2436</v>
      </c>
    </row>
    <row r="2440" spans="1:29" x14ac:dyDescent="0.2">
      <c r="A2440">
        <v>1320</v>
      </c>
      <c r="D2440">
        <f t="shared" si="1398"/>
        <v>3</v>
      </c>
      <c r="E2440">
        <v>2</v>
      </c>
      <c r="F2440" s="6" t="s">
        <v>316</v>
      </c>
      <c r="I2440" t="s">
        <v>178</v>
      </c>
      <c r="J2440">
        <v>39</v>
      </c>
      <c r="K2440" t="s">
        <v>488</v>
      </c>
      <c r="L2440" t="s">
        <v>17</v>
      </c>
      <c r="M2440" t="s">
        <v>206</v>
      </c>
      <c r="N2440" t="s">
        <v>103</v>
      </c>
      <c r="Q2440">
        <f t="shared" ref="Q2440:S2440" si="1406">Q2439</f>
        <v>18977</v>
      </c>
      <c r="R2440" t="str">
        <f t="shared" si="1406"/>
        <v>Velodrome</v>
      </c>
      <c r="S2440" t="str">
        <f t="shared" si="1406"/>
        <v>HollowBrook</v>
      </c>
      <c r="T2440" s="20">
        <f t="shared" si="1402"/>
        <v>0</v>
      </c>
      <c r="U2440">
        <f t="shared" si="1403"/>
        <v>122</v>
      </c>
      <c r="V2440">
        <f t="shared" si="1404"/>
        <v>122</v>
      </c>
      <c r="W2440" cm="1">
        <f t="array" ref="W2440">_xlfn._xlws.FILTER(shifts!A:A,(shifts!B:B=events!D2440)*(shifts!AH:AH&gt;=events!U2440)*(shifts!AI:AI&lt;=events!V2440))</f>
        <v>85</v>
      </c>
      <c r="X2440" t="str">
        <f t="shared" si="1405"/>
        <v>event_team_player_1</v>
      </c>
      <c r="Y2440">
        <f>COUNTIFS(A$3:A2440,"="&amp;A2440,K$3:K2440,"="&amp;K2440)</f>
        <v>1</v>
      </c>
      <c r="Z2440" s="20">
        <f>SUMIFS(T$3:T2440,L$3:L2440,"=Intermission")+SUMIFS(T$3:T2440,L$3:L2440,"=Timeout")+SUMIFS(T$3:T2440,L$3:L2440,"=Clockstop")</f>
        <v>138</v>
      </c>
      <c r="AA2440">
        <f t="shared" si="1396"/>
        <v>2298</v>
      </c>
      <c r="AC2440">
        <f t="shared" si="1397"/>
        <v>2436</v>
      </c>
    </row>
    <row r="2441" spans="1:29" x14ac:dyDescent="0.2">
      <c r="A2441">
        <v>1320</v>
      </c>
      <c r="D2441">
        <f t="shared" si="1398"/>
        <v>3</v>
      </c>
      <c r="E2441">
        <v>2</v>
      </c>
      <c r="F2441" s="6" t="s">
        <v>316</v>
      </c>
      <c r="I2441" t="s">
        <v>178</v>
      </c>
      <c r="J2441">
        <v>9</v>
      </c>
      <c r="K2441" t="s">
        <v>488</v>
      </c>
      <c r="L2441" t="s">
        <v>17</v>
      </c>
      <c r="M2441" t="s">
        <v>206</v>
      </c>
      <c r="N2441" t="s">
        <v>103</v>
      </c>
      <c r="Q2441">
        <f t="shared" ref="Q2441:S2441" si="1407">Q2440</f>
        <v>18977</v>
      </c>
      <c r="R2441" t="str">
        <f t="shared" si="1407"/>
        <v>Velodrome</v>
      </c>
      <c r="S2441" t="str">
        <f t="shared" si="1407"/>
        <v>HollowBrook</v>
      </c>
      <c r="T2441" s="20">
        <f t="shared" si="1402"/>
        <v>0</v>
      </c>
      <c r="U2441">
        <f t="shared" si="1403"/>
        <v>122</v>
      </c>
      <c r="V2441">
        <f t="shared" si="1404"/>
        <v>122</v>
      </c>
      <c r="W2441" cm="1">
        <f t="array" ref="W2441">_xlfn._xlws.FILTER(shifts!A:A,(shifts!B:B=events!D2441)*(shifts!AH:AH&gt;=events!U2441)*(shifts!AI:AI&lt;=events!V2441))</f>
        <v>85</v>
      </c>
      <c r="X2441" t="str">
        <f t="shared" si="1405"/>
        <v>event_team_player_2</v>
      </c>
      <c r="Y2441">
        <f>COUNTIFS(A$3:A2441,"="&amp;A2441,K$3:K2441,"="&amp;K2441)</f>
        <v>2</v>
      </c>
      <c r="Z2441" s="20">
        <f>SUMIFS(T$3:T2441,L$3:L2441,"=Intermission")+SUMIFS(T$3:T2441,L$3:L2441,"=Timeout")+SUMIFS(T$3:T2441,L$3:L2441,"=Clockstop")</f>
        <v>138</v>
      </c>
      <c r="AA2441">
        <f t="shared" si="1396"/>
        <v>2298</v>
      </c>
      <c r="AC2441">
        <f t="shared" si="1397"/>
        <v>2436</v>
      </c>
    </row>
    <row r="2442" spans="1:29" x14ac:dyDescent="0.2">
      <c r="A2442">
        <v>1320</v>
      </c>
      <c r="D2442">
        <f t="shared" si="1398"/>
        <v>3</v>
      </c>
      <c r="E2442">
        <v>2</v>
      </c>
      <c r="F2442" s="6" t="s">
        <v>316</v>
      </c>
      <c r="I2442" t="s">
        <v>178</v>
      </c>
      <c r="J2442">
        <v>13</v>
      </c>
      <c r="K2442" t="s">
        <v>489</v>
      </c>
      <c r="L2442" t="s">
        <v>17</v>
      </c>
      <c r="M2442" t="s">
        <v>206</v>
      </c>
      <c r="N2442" t="s">
        <v>103</v>
      </c>
      <c r="Q2442">
        <f t="shared" ref="Q2442:S2442" si="1408">Q2441</f>
        <v>18977</v>
      </c>
      <c r="R2442" t="str">
        <f t="shared" si="1408"/>
        <v>Velodrome</v>
      </c>
      <c r="S2442" t="str">
        <f t="shared" si="1408"/>
        <v>HollowBrook</v>
      </c>
      <c r="T2442" s="20">
        <f t="shared" si="1402"/>
        <v>0</v>
      </c>
      <c r="U2442">
        <f t="shared" si="1403"/>
        <v>122</v>
      </c>
      <c r="V2442">
        <f t="shared" si="1404"/>
        <v>122</v>
      </c>
      <c r="W2442" cm="1">
        <f t="array" ref="W2442">_xlfn._xlws.FILTER(shifts!A:A,(shifts!B:B=events!D2442)*(shifts!AH:AH&gt;=events!U2442)*(shifts!AI:AI&lt;=events!V2442))</f>
        <v>85</v>
      </c>
      <c r="X2442" t="str">
        <f t="shared" si="1405"/>
        <v>opp_team_player_1</v>
      </c>
      <c r="Y2442">
        <f>COUNTIFS(A$3:A2442,"="&amp;A2442,K$3:K2442,"="&amp;K2442)</f>
        <v>1</v>
      </c>
      <c r="Z2442" s="20">
        <f>SUMIFS(T$3:T2442,L$3:L2442,"=Intermission")+SUMIFS(T$3:T2442,L$3:L2442,"=Timeout")+SUMIFS(T$3:T2442,L$3:L2442,"=Clockstop")</f>
        <v>138</v>
      </c>
      <c r="AA2442">
        <f t="shared" si="1396"/>
        <v>2298</v>
      </c>
      <c r="AC2442">
        <f t="shared" si="1397"/>
        <v>2436</v>
      </c>
    </row>
    <row r="2443" spans="1:29" x14ac:dyDescent="0.2">
      <c r="A2443">
        <v>1321</v>
      </c>
      <c r="D2443">
        <f t="shared" si="1398"/>
        <v>3</v>
      </c>
      <c r="E2443">
        <v>2</v>
      </c>
      <c r="F2443" s="6" t="s">
        <v>316</v>
      </c>
      <c r="I2443" t="s">
        <v>178</v>
      </c>
      <c r="J2443">
        <v>39</v>
      </c>
      <c r="K2443" t="s">
        <v>488</v>
      </c>
      <c r="L2443" t="s">
        <v>13</v>
      </c>
      <c r="M2443" t="s">
        <v>204</v>
      </c>
      <c r="N2443" t="s">
        <v>110</v>
      </c>
      <c r="Q2443">
        <f t="shared" ref="Q2443:S2443" si="1409">Q2442</f>
        <v>18977</v>
      </c>
      <c r="R2443" t="str">
        <f t="shared" si="1409"/>
        <v>Velodrome</v>
      </c>
      <c r="S2443" t="str">
        <f t="shared" si="1409"/>
        <v>HollowBrook</v>
      </c>
      <c r="T2443" s="20">
        <f t="shared" si="1402"/>
        <v>0</v>
      </c>
      <c r="U2443">
        <f t="shared" si="1403"/>
        <v>122</v>
      </c>
      <c r="V2443">
        <f t="shared" si="1404"/>
        <v>122</v>
      </c>
      <c r="W2443" cm="1">
        <f t="array" ref="W2443">_xlfn._xlws.FILTER(shifts!A:A,(shifts!B:B=events!D2443)*(shifts!AH:AH&gt;=events!U2443)*(shifts!AI:AI&lt;=events!V2443))</f>
        <v>85</v>
      </c>
      <c r="X2443" t="str">
        <f t="shared" si="1405"/>
        <v>event_team_player_1</v>
      </c>
      <c r="Y2443">
        <f>COUNTIFS(A$3:A2443,"="&amp;A2443,K$3:K2443,"="&amp;K2443)</f>
        <v>1</v>
      </c>
      <c r="Z2443" s="20">
        <f>SUMIFS(T$3:T2443,L$3:L2443,"=Intermission")+SUMIFS(T$3:T2443,L$3:L2443,"=Timeout")+SUMIFS(T$3:T2443,L$3:L2443,"=Clockstop")</f>
        <v>138</v>
      </c>
      <c r="AA2443">
        <f t="shared" si="1396"/>
        <v>2298</v>
      </c>
      <c r="AC2443">
        <f t="shared" si="1397"/>
        <v>2436</v>
      </c>
    </row>
    <row r="2444" spans="1:29" x14ac:dyDescent="0.2">
      <c r="A2444">
        <v>1322</v>
      </c>
      <c r="D2444">
        <f t="shared" si="1398"/>
        <v>3</v>
      </c>
      <c r="E2444">
        <v>2</v>
      </c>
      <c r="F2444" s="6" t="s">
        <v>316</v>
      </c>
      <c r="G2444">
        <v>1</v>
      </c>
      <c r="H2444" s="8" t="s">
        <v>481</v>
      </c>
      <c r="I2444" t="s">
        <v>178</v>
      </c>
      <c r="J2444">
        <v>39</v>
      </c>
      <c r="K2444" t="s">
        <v>488</v>
      </c>
      <c r="L2444" t="s">
        <v>282</v>
      </c>
      <c r="Q2444">
        <f t="shared" ref="Q2444:S2444" si="1410">Q2443</f>
        <v>18977</v>
      </c>
      <c r="R2444" t="str">
        <f t="shared" si="1410"/>
        <v>Velodrome</v>
      </c>
      <c r="S2444" t="str">
        <f t="shared" si="1410"/>
        <v>HollowBrook</v>
      </c>
      <c r="T2444" s="20">
        <f t="shared" si="1402"/>
        <v>23</v>
      </c>
      <c r="U2444">
        <f t="shared" si="1403"/>
        <v>122</v>
      </c>
      <c r="V2444">
        <f t="shared" si="1404"/>
        <v>99</v>
      </c>
      <c r="W2444">
        <v>86</v>
      </c>
      <c r="X2444" t="str">
        <f t="shared" si="1405"/>
        <v>event_team_player_1</v>
      </c>
      <c r="Y2444">
        <f>COUNTIFS(A$3:A2444,"="&amp;A2444,K$3:K2444,"="&amp;K2444)</f>
        <v>1</v>
      </c>
      <c r="Z2444" s="20">
        <f>SUMIFS(T$3:T2444,L$3:L2444,"=Intermission")+SUMIFS(T$3:T2444,L$3:L2444,"=Timeout")+SUMIFS(T$3:T2444,L$3:L2444,"=Clockstop")</f>
        <v>138</v>
      </c>
      <c r="AA2444">
        <f t="shared" si="1396"/>
        <v>2298</v>
      </c>
      <c r="AC2444">
        <f t="shared" si="1397"/>
        <v>2436</v>
      </c>
    </row>
    <row r="2445" spans="1:29" x14ac:dyDescent="0.2">
      <c r="A2445">
        <v>1323</v>
      </c>
      <c r="D2445">
        <f t="shared" si="1398"/>
        <v>3</v>
      </c>
      <c r="E2445">
        <v>1</v>
      </c>
      <c r="F2445" s="6" t="s">
        <v>481</v>
      </c>
      <c r="I2445" t="s">
        <v>179</v>
      </c>
      <c r="J2445">
        <v>11</v>
      </c>
      <c r="K2445" t="s">
        <v>488</v>
      </c>
      <c r="L2445" t="s">
        <v>6</v>
      </c>
      <c r="M2445" t="s">
        <v>275</v>
      </c>
      <c r="Q2445">
        <f t="shared" ref="Q2445:S2445" si="1411">Q2444</f>
        <v>18977</v>
      </c>
      <c r="R2445" t="str">
        <f t="shared" si="1411"/>
        <v>Velodrome</v>
      </c>
      <c r="S2445" t="str">
        <f t="shared" si="1411"/>
        <v>HollowBrook</v>
      </c>
      <c r="T2445" s="20">
        <f t="shared" si="1402"/>
        <v>0</v>
      </c>
      <c r="U2445">
        <f t="shared" si="1403"/>
        <v>99</v>
      </c>
      <c r="V2445">
        <f t="shared" si="1404"/>
        <v>99</v>
      </c>
      <c r="W2445" cm="1">
        <f t="array" ref="W2445">_xlfn._xlws.FILTER(shifts!A:A,(shifts!B:B=events!D2445)*(shifts!AH:AH&gt;=events!U2445)*(shifts!AI:AI&lt;=events!V2445))</f>
        <v>86</v>
      </c>
      <c r="X2445" t="str">
        <f t="shared" si="1405"/>
        <v>event_team_player_1</v>
      </c>
      <c r="Y2445">
        <f>COUNTIFS(A$3:A2445,"="&amp;A2445,K$3:K2445,"="&amp;K2445)</f>
        <v>1</v>
      </c>
      <c r="Z2445" s="20">
        <f>SUMIFS(T$3:T2445,L$3:L2445,"=Intermission")+SUMIFS(T$3:T2445,L$3:L2445,"=Timeout")+SUMIFS(T$3:T2445,L$3:L2445,"=Clockstop")</f>
        <v>138</v>
      </c>
      <c r="AA2445">
        <f t="shared" si="1396"/>
        <v>2298</v>
      </c>
      <c r="AC2445">
        <f t="shared" si="1397"/>
        <v>2436</v>
      </c>
    </row>
    <row r="2446" spans="1:29" x14ac:dyDescent="0.2">
      <c r="A2446">
        <v>1323</v>
      </c>
      <c r="D2446">
        <f t="shared" si="1398"/>
        <v>3</v>
      </c>
      <c r="E2446">
        <v>1</v>
      </c>
      <c r="F2446" s="6" t="s">
        <v>481</v>
      </c>
      <c r="I2446" t="s">
        <v>179</v>
      </c>
      <c r="J2446">
        <v>42</v>
      </c>
      <c r="K2446" t="s">
        <v>489</v>
      </c>
      <c r="L2446" t="s">
        <v>6</v>
      </c>
      <c r="M2446" t="s">
        <v>275</v>
      </c>
      <c r="Q2446">
        <f t="shared" ref="Q2446:S2446" si="1412">Q2445</f>
        <v>18977</v>
      </c>
      <c r="R2446" t="str">
        <f t="shared" si="1412"/>
        <v>Velodrome</v>
      </c>
      <c r="S2446" t="str">
        <f t="shared" si="1412"/>
        <v>HollowBrook</v>
      </c>
      <c r="T2446" s="20">
        <f t="shared" si="1402"/>
        <v>0</v>
      </c>
      <c r="U2446">
        <f t="shared" si="1403"/>
        <v>99</v>
      </c>
      <c r="V2446">
        <f t="shared" si="1404"/>
        <v>99</v>
      </c>
      <c r="W2446" cm="1">
        <f t="array" ref="W2446">_xlfn._xlws.FILTER(shifts!A:A,(shifts!B:B=events!D2446)*(shifts!AH:AH&gt;=events!U2446)*(shifts!AI:AI&lt;=events!V2446))</f>
        <v>86</v>
      </c>
      <c r="X2446" t="str">
        <f t="shared" si="1405"/>
        <v>opp_team_player_1</v>
      </c>
      <c r="Y2446">
        <f>COUNTIFS(A$3:A2446,"="&amp;A2446,K$3:K2446,"="&amp;K2446)</f>
        <v>1</v>
      </c>
      <c r="Z2446" s="20">
        <f>SUMIFS(T$3:T2446,L$3:L2446,"=Intermission")+SUMIFS(T$3:T2446,L$3:L2446,"=Timeout")+SUMIFS(T$3:T2446,L$3:L2446,"=Clockstop")</f>
        <v>138</v>
      </c>
      <c r="AA2446">
        <f t="shared" si="1396"/>
        <v>2298</v>
      </c>
      <c r="AC2446">
        <f t="shared" si="1397"/>
        <v>2436</v>
      </c>
    </row>
    <row r="2447" spans="1:29" x14ac:dyDescent="0.2">
      <c r="A2447">
        <v>1324</v>
      </c>
      <c r="D2447">
        <f t="shared" si="1398"/>
        <v>3</v>
      </c>
      <c r="E2447">
        <v>1</v>
      </c>
      <c r="F2447" s="6" t="s">
        <v>453</v>
      </c>
      <c r="I2447" t="s">
        <v>179</v>
      </c>
      <c r="J2447">
        <v>19</v>
      </c>
      <c r="K2447" t="s">
        <v>488</v>
      </c>
      <c r="L2447" t="s">
        <v>7</v>
      </c>
      <c r="M2447" t="s">
        <v>281</v>
      </c>
      <c r="Q2447">
        <f t="shared" ref="Q2447:S2447" si="1413">Q2446</f>
        <v>18977</v>
      </c>
      <c r="R2447" t="str">
        <f t="shared" si="1413"/>
        <v>Velodrome</v>
      </c>
      <c r="S2447" t="str">
        <f t="shared" si="1413"/>
        <v>HollowBrook</v>
      </c>
      <c r="T2447" s="20">
        <f t="shared" si="1402"/>
        <v>0</v>
      </c>
      <c r="U2447">
        <f t="shared" si="1403"/>
        <v>97</v>
      </c>
      <c r="V2447">
        <f t="shared" si="1404"/>
        <v>97</v>
      </c>
      <c r="W2447" cm="1">
        <f t="array" ref="W2447">_xlfn._xlws.FILTER(shifts!A:A,(shifts!B:B=events!D2447)*(shifts!AH:AH&gt;=events!U2447)*(shifts!AI:AI&lt;=events!V2447))</f>
        <v>87</v>
      </c>
      <c r="X2447" t="str">
        <f t="shared" si="1405"/>
        <v>event_team_player_1</v>
      </c>
      <c r="Y2447">
        <f>COUNTIFS(A$3:A2447,"="&amp;A2447,K$3:K2447,"="&amp;K2447)</f>
        <v>1</v>
      </c>
      <c r="Z2447" s="20">
        <f>SUMIFS(T$3:T2447,L$3:L2447,"=Intermission")+SUMIFS(T$3:T2447,L$3:L2447,"=Timeout")+SUMIFS(T$3:T2447,L$3:L2447,"=Clockstop")</f>
        <v>138</v>
      </c>
      <c r="AA2447">
        <f t="shared" si="1396"/>
        <v>2298</v>
      </c>
      <c r="AC2447">
        <f t="shared" si="1397"/>
        <v>2436</v>
      </c>
    </row>
    <row r="2448" spans="1:29" x14ac:dyDescent="0.2">
      <c r="A2448">
        <v>1325</v>
      </c>
      <c r="D2448">
        <f t="shared" si="1398"/>
        <v>3</v>
      </c>
      <c r="E2448">
        <v>1</v>
      </c>
      <c r="F2448" s="6" t="s">
        <v>453</v>
      </c>
      <c r="I2448" t="s">
        <v>179</v>
      </c>
      <c r="J2448">
        <v>19</v>
      </c>
      <c r="K2448" t="s">
        <v>488</v>
      </c>
      <c r="L2448" t="s">
        <v>9</v>
      </c>
      <c r="M2448" t="s">
        <v>230</v>
      </c>
      <c r="N2448" t="s">
        <v>233</v>
      </c>
      <c r="Q2448">
        <f t="shared" ref="Q2448:S2448" si="1414">Q2447</f>
        <v>18977</v>
      </c>
      <c r="R2448" t="str">
        <f t="shared" si="1414"/>
        <v>Velodrome</v>
      </c>
      <c r="S2448" t="str">
        <f t="shared" si="1414"/>
        <v>HollowBrook</v>
      </c>
      <c r="T2448" s="20">
        <f t="shared" si="1402"/>
        <v>0</v>
      </c>
      <c r="U2448">
        <f t="shared" si="1403"/>
        <v>97</v>
      </c>
      <c r="V2448">
        <f t="shared" si="1404"/>
        <v>97</v>
      </c>
      <c r="W2448" cm="1">
        <f t="array" ref="W2448">_xlfn._xlws.FILTER(shifts!A:A,(shifts!B:B=events!D2448)*(shifts!AH:AH&gt;=events!U2448)*(shifts!AI:AI&lt;=events!V2448))</f>
        <v>87</v>
      </c>
      <c r="X2448" t="str">
        <f t="shared" si="1405"/>
        <v>event_team_player_1</v>
      </c>
      <c r="Y2448">
        <f>COUNTIFS(A$3:A2448,"="&amp;A2448,K$3:K2448,"="&amp;K2448)</f>
        <v>1</v>
      </c>
      <c r="Z2448" s="20">
        <f>SUMIFS(T$3:T2448,L$3:L2448,"=Intermission")+SUMIFS(T$3:T2448,L$3:L2448,"=Timeout")+SUMIFS(T$3:T2448,L$3:L2448,"=Clockstop")</f>
        <v>138</v>
      </c>
      <c r="AA2448">
        <f t="shared" si="1396"/>
        <v>2298</v>
      </c>
      <c r="AC2448">
        <f t="shared" si="1397"/>
        <v>2436</v>
      </c>
    </row>
    <row r="2449" spans="1:29" x14ac:dyDescent="0.2">
      <c r="A2449">
        <v>1325</v>
      </c>
      <c r="D2449">
        <f t="shared" si="1398"/>
        <v>3</v>
      </c>
      <c r="E2449">
        <v>1</v>
      </c>
      <c r="F2449" s="6" t="s">
        <v>453</v>
      </c>
      <c r="I2449" t="s">
        <v>179</v>
      </c>
      <c r="J2449">
        <v>39</v>
      </c>
      <c r="K2449" t="s">
        <v>489</v>
      </c>
      <c r="L2449" t="s">
        <v>9</v>
      </c>
      <c r="M2449" t="s">
        <v>230</v>
      </c>
      <c r="N2449" t="s">
        <v>233</v>
      </c>
      <c r="Q2449">
        <f t="shared" ref="Q2449:S2449" si="1415">Q2448</f>
        <v>18977</v>
      </c>
      <c r="R2449" t="str">
        <f t="shared" si="1415"/>
        <v>Velodrome</v>
      </c>
      <c r="S2449" t="str">
        <f t="shared" si="1415"/>
        <v>HollowBrook</v>
      </c>
      <c r="T2449" s="20">
        <f t="shared" si="1402"/>
        <v>0</v>
      </c>
      <c r="U2449">
        <f t="shared" si="1403"/>
        <v>97</v>
      </c>
      <c r="V2449">
        <f t="shared" si="1404"/>
        <v>97</v>
      </c>
      <c r="W2449" cm="1">
        <f t="array" ref="W2449">_xlfn._xlws.FILTER(shifts!A:A,(shifts!B:B=events!D2449)*(shifts!AH:AH&gt;=events!U2449)*(shifts!AI:AI&lt;=events!V2449))</f>
        <v>87</v>
      </c>
      <c r="X2449" t="str">
        <f t="shared" si="1405"/>
        <v>opp_team_player_1</v>
      </c>
      <c r="Y2449">
        <f>COUNTIFS(A$3:A2449,"="&amp;A2449,K$3:K2449,"="&amp;K2449)</f>
        <v>1</v>
      </c>
      <c r="Z2449" s="20">
        <f>SUMIFS(T$3:T2449,L$3:L2449,"=Intermission")+SUMIFS(T$3:T2449,L$3:L2449,"=Timeout")+SUMIFS(T$3:T2449,L$3:L2449,"=Clockstop")</f>
        <v>138</v>
      </c>
      <c r="AA2449">
        <f t="shared" si="1396"/>
        <v>2298</v>
      </c>
      <c r="AC2449">
        <f t="shared" si="1397"/>
        <v>2436</v>
      </c>
    </row>
    <row r="2450" spans="1:29" x14ac:dyDescent="0.2">
      <c r="A2450">
        <v>1326</v>
      </c>
      <c r="D2450">
        <f t="shared" si="1398"/>
        <v>3</v>
      </c>
      <c r="E2450">
        <v>1</v>
      </c>
      <c r="F2450" s="6" t="s">
        <v>453</v>
      </c>
      <c r="G2450">
        <v>1</v>
      </c>
      <c r="H2450" s="8" t="s">
        <v>423</v>
      </c>
      <c r="I2450" t="s">
        <v>179</v>
      </c>
      <c r="J2450">
        <v>19</v>
      </c>
      <c r="K2450" t="s">
        <v>488</v>
      </c>
      <c r="L2450" t="s">
        <v>282</v>
      </c>
      <c r="Q2450">
        <f t="shared" ref="Q2450:S2450" si="1416">Q2449</f>
        <v>18977</v>
      </c>
      <c r="R2450" t="str">
        <f t="shared" si="1416"/>
        <v>Velodrome</v>
      </c>
      <c r="S2450" t="str">
        <f t="shared" si="1416"/>
        <v>HollowBrook</v>
      </c>
      <c r="T2450" s="20">
        <f t="shared" si="1402"/>
        <v>23</v>
      </c>
      <c r="U2450">
        <f t="shared" si="1403"/>
        <v>97</v>
      </c>
      <c r="V2450">
        <f t="shared" si="1404"/>
        <v>74</v>
      </c>
      <c r="W2450" cm="1">
        <f t="array" ref="W2450">_xlfn._xlws.FILTER(shifts!A:A,(shifts!B:B=events!D2450)*(shifts!AH:AH&gt;=events!U2450)*(shifts!AI:AI&lt;=events!V2450))</f>
        <v>87</v>
      </c>
      <c r="X2450" t="str">
        <f t="shared" si="1405"/>
        <v>event_team_player_1</v>
      </c>
      <c r="Y2450">
        <f>COUNTIFS(A$3:A2450,"="&amp;A2450,K$3:K2450,"="&amp;K2450)</f>
        <v>1</v>
      </c>
      <c r="Z2450" s="20">
        <f>SUMIFS(T$3:T2450,L$3:L2450,"=Intermission")+SUMIFS(T$3:T2450,L$3:L2450,"=Timeout")+SUMIFS(T$3:T2450,L$3:L2450,"=Clockstop")</f>
        <v>138</v>
      </c>
      <c r="AA2450">
        <f t="shared" si="1396"/>
        <v>2298</v>
      </c>
      <c r="AC2450">
        <f t="shared" si="1397"/>
        <v>2436</v>
      </c>
    </row>
    <row r="2451" spans="1:29" x14ac:dyDescent="0.2">
      <c r="A2451">
        <v>1327</v>
      </c>
      <c r="D2451">
        <f t="shared" si="1398"/>
        <v>3</v>
      </c>
      <c r="E2451">
        <v>1</v>
      </c>
      <c r="F2451" s="6" t="s">
        <v>423</v>
      </c>
      <c r="I2451" t="s">
        <v>179</v>
      </c>
      <c r="J2451">
        <v>11</v>
      </c>
      <c r="K2451" t="s">
        <v>488</v>
      </c>
      <c r="L2451" t="s">
        <v>6</v>
      </c>
      <c r="M2451" t="s">
        <v>207</v>
      </c>
      <c r="Q2451">
        <f t="shared" ref="Q2451:S2451" si="1417">Q2450</f>
        <v>18977</v>
      </c>
      <c r="R2451" t="str">
        <f t="shared" si="1417"/>
        <v>Velodrome</v>
      </c>
      <c r="S2451" t="str">
        <f t="shared" si="1417"/>
        <v>HollowBrook</v>
      </c>
      <c r="T2451" s="20">
        <f t="shared" si="1402"/>
        <v>0</v>
      </c>
      <c r="U2451">
        <f t="shared" si="1403"/>
        <v>74</v>
      </c>
      <c r="V2451">
        <f t="shared" si="1404"/>
        <v>74</v>
      </c>
      <c r="W2451" cm="1">
        <f t="array" ref="W2451">_xlfn._xlws.FILTER(shifts!A:A,(shifts!B:B=events!D2451)*(shifts!AH:AH&gt;=events!U2451)*(shifts!AI:AI&lt;=events!V2451))</f>
        <v>87</v>
      </c>
      <c r="X2451" t="str">
        <f t="shared" si="1405"/>
        <v>event_team_player_1</v>
      </c>
      <c r="Y2451">
        <f>COUNTIFS(A$3:A2451,"="&amp;A2451,K$3:K2451,"="&amp;K2451)</f>
        <v>1</v>
      </c>
      <c r="Z2451" s="20">
        <f>SUMIFS(T$3:T2451,L$3:L2451,"=Intermission")+SUMIFS(T$3:T2451,L$3:L2451,"=Timeout")+SUMIFS(T$3:T2451,L$3:L2451,"=Clockstop")</f>
        <v>138</v>
      </c>
      <c r="AA2451">
        <f t="shared" si="1396"/>
        <v>2298</v>
      </c>
      <c r="AC2451">
        <f t="shared" si="1397"/>
        <v>2436</v>
      </c>
    </row>
    <row r="2452" spans="1:29" x14ac:dyDescent="0.2">
      <c r="A2452">
        <v>1327</v>
      </c>
      <c r="D2452">
        <f t="shared" si="1398"/>
        <v>3</v>
      </c>
      <c r="E2452">
        <v>1</v>
      </c>
      <c r="F2452" s="6" t="s">
        <v>423</v>
      </c>
      <c r="I2452" t="s">
        <v>179</v>
      </c>
      <c r="J2452">
        <v>27</v>
      </c>
      <c r="K2452" t="s">
        <v>488</v>
      </c>
      <c r="L2452" t="s">
        <v>6</v>
      </c>
      <c r="M2452" t="s">
        <v>207</v>
      </c>
      <c r="Q2452">
        <f t="shared" ref="Q2452:S2452" si="1418">Q2451</f>
        <v>18977</v>
      </c>
      <c r="R2452" t="str">
        <f t="shared" si="1418"/>
        <v>Velodrome</v>
      </c>
      <c r="S2452" t="str">
        <f t="shared" si="1418"/>
        <v>HollowBrook</v>
      </c>
      <c r="T2452" s="20">
        <f t="shared" si="1402"/>
        <v>0</v>
      </c>
      <c r="U2452">
        <f t="shared" si="1403"/>
        <v>74</v>
      </c>
      <c r="V2452">
        <f t="shared" si="1404"/>
        <v>74</v>
      </c>
      <c r="W2452" cm="1">
        <f t="array" ref="W2452">_xlfn._xlws.FILTER(shifts!A:A,(shifts!B:B=events!D2452)*(shifts!AH:AH&gt;=events!U2452)*(shifts!AI:AI&lt;=events!V2452))</f>
        <v>87</v>
      </c>
      <c r="X2452" t="str">
        <f t="shared" si="1405"/>
        <v>event_team_player_2</v>
      </c>
      <c r="Y2452">
        <f>COUNTIFS(A$3:A2452,"="&amp;A2452,K$3:K2452,"="&amp;K2452)</f>
        <v>2</v>
      </c>
      <c r="Z2452" s="20">
        <f>SUMIFS(T$3:T2452,L$3:L2452,"=Intermission")+SUMIFS(T$3:T2452,L$3:L2452,"=Timeout")+SUMIFS(T$3:T2452,L$3:L2452,"=Clockstop")</f>
        <v>138</v>
      </c>
      <c r="AA2452">
        <f t="shared" si="1396"/>
        <v>2298</v>
      </c>
      <c r="AC2452">
        <f t="shared" si="1397"/>
        <v>2436</v>
      </c>
    </row>
    <row r="2453" spans="1:29" x14ac:dyDescent="0.2">
      <c r="A2453">
        <v>1327</v>
      </c>
      <c r="D2453">
        <f t="shared" si="1398"/>
        <v>3</v>
      </c>
      <c r="E2453">
        <v>1</v>
      </c>
      <c r="F2453" s="6" t="s">
        <v>423</v>
      </c>
      <c r="I2453" t="s">
        <v>179</v>
      </c>
      <c r="J2453">
        <v>42</v>
      </c>
      <c r="K2453" t="s">
        <v>489</v>
      </c>
      <c r="L2453" t="s">
        <v>6</v>
      </c>
      <c r="M2453" t="s">
        <v>207</v>
      </c>
      <c r="Q2453">
        <f t="shared" ref="Q2453:S2453" si="1419">Q2452</f>
        <v>18977</v>
      </c>
      <c r="R2453" t="str">
        <f t="shared" si="1419"/>
        <v>Velodrome</v>
      </c>
      <c r="S2453" t="str">
        <f t="shared" si="1419"/>
        <v>HollowBrook</v>
      </c>
      <c r="T2453" s="20">
        <f t="shared" si="1402"/>
        <v>0</v>
      </c>
      <c r="U2453">
        <f t="shared" si="1403"/>
        <v>74</v>
      </c>
      <c r="V2453">
        <f t="shared" si="1404"/>
        <v>74</v>
      </c>
      <c r="W2453" cm="1">
        <f t="array" ref="W2453">_xlfn._xlws.FILTER(shifts!A:A,(shifts!B:B=events!D2453)*(shifts!AH:AH&gt;=events!U2453)*(shifts!AI:AI&lt;=events!V2453))</f>
        <v>87</v>
      </c>
      <c r="X2453" t="str">
        <f t="shared" si="1405"/>
        <v>opp_team_player_1</v>
      </c>
      <c r="Y2453">
        <f>COUNTIFS(A$3:A2453,"="&amp;A2453,K$3:K2453,"="&amp;K2453)</f>
        <v>1</v>
      </c>
      <c r="Z2453" s="20">
        <f>SUMIFS(T$3:T2453,L$3:L2453,"=Intermission")+SUMIFS(T$3:T2453,L$3:L2453,"=Timeout")+SUMIFS(T$3:T2453,L$3:L2453,"=Clockstop")</f>
        <v>138</v>
      </c>
      <c r="AA2453">
        <f t="shared" si="1396"/>
        <v>2298</v>
      </c>
      <c r="AC2453">
        <f t="shared" si="1397"/>
        <v>2436</v>
      </c>
    </row>
    <row r="2454" spans="1:29" x14ac:dyDescent="0.2">
      <c r="A2454">
        <v>1328</v>
      </c>
      <c r="D2454">
        <f t="shared" si="1398"/>
        <v>3</v>
      </c>
      <c r="E2454">
        <v>1</v>
      </c>
      <c r="F2454" s="6" t="s">
        <v>317</v>
      </c>
      <c r="I2454" t="s">
        <v>179</v>
      </c>
      <c r="J2454">
        <v>27</v>
      </c>
      <c r="K2454" t="s">
        <v>488</v>
      </c>
      <c r="L2454" t="s">
        <v>277</v>
      </c>
      <c r="M2454" t="s">
        <v>191</v>
      </c>
      <c r="N2454" t="s">
        <v>89</v>
      </c>
      <c r="Q2454">
        <f t="shared" ref="Q2454:S2454" si="1420">Q2453</f>
        <v>18977</v>
      </c>
      <c r="R2454" t="str">
        <f t="shared" si="1420"/>
        <v>Velodrome</v>
      </c>
      <c r="S2454" t="str">
        <f t="shared" si="1420"/>
        <v>HollowBrook</v>
      </c>
      <c r="T2454" s="20">
        <f t="shared" si="1402"/>
        <v>0</v>
      </c>
      <c r="U2454">
        <f t="shared" si="1403"/>
        <v>73</v>
      </c>
      <c r="V2454">
        <f t="shared" si="1404"/>
        <v>73</v>
      </c>
      <c r="W2454" cm="1">
        <f t="array" ref="W2454">_xlfn._xlws.FILTER(shifts!A:A,(shifts!B:B=events!D2454)*(shifts!AH:AH&gt;=events!U2454)*(shifts!AI:AI&lt;=events!V2454))</f>
        <v>87</v>
      </c>
      <c r="X2454" t="str">
        <f t="shared" si="1405"/>
        <v>event_team_player_1</v>
      </c>
      <c r="Y2454">
        <f>COUNTIFS(A$3:A2454,"="&amp;A2454,K$3:K2454,"="&amp;K2454)</f>
        <v>1</v>
      </c>
      <c r="Z2454" s="20">
        <f>SUMIFS(T$3:T2454,L$3:L2454,"=Intermission")+SUMIFS(T$3:T2454,L$3:L2454,"=Timeout")+SUMIFS(T$3:T2454,L$3:L2454,"=Clockstop")</f>
        <v>138</v>
      </c>
      <c r="AA2454">
        <f t="shared" si="1396"/>
        <v>2298</v>
      </c>
      <c r="AC2454">
        <f t="shared" si="1397"/>
        <v>2436</v>
      </c>
    </row>
    <row r="2455" spans="1:29" x14ac:dyDescent="0.2">
      <c r="A2455">
        <v>1329</v>
      </c>
      <c r="D2455">
        <f t="shared" si="1398"/>
        <v>3</v>
      </c>
      <c r="E2455">
        <v>1</v>
      </c>
      <c r="F2455" s="6" t="s">
        <v>424</v>
      </c>
      <c r="G2455">
        <v>1</v>
      </c>
      <c r="H2455" s="8" t="s">
        <v>310</v>
      </c>
      <c r="I2455" t="s">
        <v>179</v>
      </c>
      <c r="J2455">
        <v>19</v>
      </c>
      <c r="K2455" t="s">
        <v>488</v>
      </c>
      <c r="L2455" t="s">
        <v>15</v>
      </c>
      <c r="Q2455">
        <f t="shared" ref="Q2455:S2455" si="1421">Q2454</f>
        <v>18977</v>
      </c>
      <c r="R2455" t="str">
        <f t="shared" si="1421"/>
        <v>Velodrome</v>
      </c>
      <c r="S2455" t="str">
        <f t="shared" si="1421"/>
        <v>HollowBrook</v>
      </c>
      <c r="T2455" s="20">
        <f t="shared" si="1402"/>
        <v>5</v>
      </c>
      <c r="U2455">
        <f t="shared" si="1403"/>
        <v>69</v>
      </c>
      <c r="V2455">
        <f t="shared" si="1404"/>
        <v>64</v>
      </c>
      <c r="W2455" cm="1">
        <f t="array" ref="W2455">_xlfn._xlws.FILTER(shifts!A:A,(shifts!B:B=events!D2455)*(shifts!AH:AH&gt;=events!U2455)*(shifts!AI:AI&lt;=events!V2455))</f>
        <v>87</v>
      </c>
      <c r="X2455" t="str">
        <f t="shared" si="1405"/>
        <v>event_team_player_1</v>
      </c>
      <c r="Y2455">
        <f>COUNTIFS(A$3:A2455,"="&amp;A2455,K$3:K2455,"="&amp;K2455)</f>
        <v>1</v>
      </c>
      <c r="Z2455" s="20">
        <f>SUMIFS(T$3:T2455,L$3:L2455,"=Intermission")+SUMIFS(T$3:T2455,L$3:L2455,"=Timeout")+SUMIFS(T$3:T2455,L$3:L2455,"=Clockstop")</f>
        <v>138</v>
      </c>
      <c r="AA2455">
        <f t="shared" si="1396"/>
        <v>2298</v>
      </c>
      <c r="AC2455">
        <f t="shared" si="1397"/>
        <v>2436</v>
      </c>
    </row>
    <row r="2456" spans="1:29" x14ac:dyDescent="0.2">
      <c r="A2456">
        <v>1329</v>
      </c>
      <c r="D2456">
        <f t="shared" si="1398"/>
        <v>3</v>
      </c>
      <c r="E2456">
        <v>1</v>
      </c>
      <c r="F2456" s="6" t="s">
        <v>424</v>
      </c>
      <c r="G2456">
        <v>1</v>
      </c>
      <c r="H2456" s="8" t="s">
        <v>310</v>
      </c>
      <c r="I2456" t="s">
        <v>179</v>
      </c>
      <c r="J2456">
        <v>52</v>
      </c>
      <c r="K2456" t="s">
        <v>489</v>
      </c>
      <c r="L2456" t="s">
        <v>15</v>
      </c>
      <c r="Q2456">
        <f t="shared" ref="Q2456:S2456" si="1422">Q2455</f>
        <v>18977</v>
      </c>
      <c r="R2456" t="str">
        <f t="shared" si="1422"/>
        <v>Velodrome</v>
      </c>
      <c r="S2456" t="str">
        <f t="shared" si="1422"/>
        <v>HollowBrook</v>
      </c>
      <c r="T2456" s="20">
        <f t="shared" si="1402"/>
        <v>5</v>
      </c>
      <c r="U2456">
        <f t="shared" si="1403"/>
        <v>69</v>
      </c>
      <c r="V2456">
        <f t="shared" si="1404"/>
        <v>64</v>
      </c>
      <c r="W2456" cm="1">
        <f t="array" ref="W2456">_xlfn._xlws.FILTER(shifts!A:A,(shifts!B:B=events!D2456)*(shifts!AH:AH&gt;=events!U2456)*(shifts!AI:AI&lt;=events!V2456))</f>
        <v>87</v>
      </c>
      <c r="X2456" t="str">
        <f t="shared" si="1405"/>
        <v>opp_team_player_1</v>
      </c>
      <c r="Y2456">
        <f>COUNTIFS(A$3:A2456,"="&amp;A2456,K$3:K2456,"="&amp;K2456)</f>
        <v>1</v>
      </c>
      <c r="Z2456" s="20">
        <f>SUMIFS(T$3:T2456,L$3:L2456,"=Intermission")+SUMIFS(T$3:T2456,L$3:L2456,"=Timeout")+SUMIFS(T$3:T2456,L$3:L2456,"=Clockstop")</f>
        <v>138</v>
      </c>
      <c r="AA2456">
        <f t="shared" si="1396"/>
        <v>2298</v>
      </c>
      <c r="AC2456">
        <f t="shared" si="1397"/>
        <v>2436</v>
      </c>
    </row>
    <row r="2457" spans="1:29" x14ac:dyDescent="0.2">
      <c r="A2457">
        <v>1330</v>
      </c>
      <c r="D2457">
        <f t="shared" si="1398"/>
        <v>3</v>
      </c>
      <c r="E2457">
        <v>1</v>
      </c>
      <c r="F2457" s="6" t="s">
        <v>310</v>
      </c>
      <c r="I2457" t="s">
        <v>179</v>
      </c>
      <c r="J2457">
        <v>19</v>
      </c>
      <c r="K2457" t="s">
        <v>488</v>
      </c>
      <c r="L2457" t="s">
        <v>8</v>
      </c>
      <c r="M2457" t="s">
        <v>189</v>
      </c>
      <c r="N2457" t="s">
        <v>69</v>
      </c>
      <c r="Q2457">
        <f t="shared" ref="Q2457:S2457" si="1423">Q2456</f>
        <v>18977</v>
      </c>
      <c r="R2457" t="str">
        <f t="shared" si="1423"/>
        <v>Velodrome</v>
      </c>
      <c r="S2457" t="str">
        <f t="shared" si="1423"/>
        <v>HollowBrook</v>
      </c>
      <c r="T2457" s="20">
        <f t="shared" si="1402"/>
        <v>0</v>
      </c>
      <c r="U2457">
        <f t="shared" si="1403"/>
        <v>64</v>
      </c>
      <c r="V2457">
        <f t="shared" si="1404"/>
        <v>64</v>
      </c>
      <c r="W2457" cm="1">
        <f t="array" ref="W2457">_xlfn._xlws.FILTER(shifts!A:A,(shifts!B:B=events!D2457)*(shifts!AH:AH&gt;=events!U2457)*(shifts!AI:AI&lt;=events!V2457))</f>
        <v>87</v>
      </c>
      <c r="X2457" t="str">
        <f t="shared" si="1405"/>
        <v>event_team_player_1</v>
      </c>
      <c r="Y2457">
        <f>COUNTIFS(A$3:A2457,"="&amp;A2457,K$3:K2457,"="&amp;K2457)</f>
        <v>1</v>
      </c>
      <c r="Z2457" s="20">
        <f>SUMIFS(T$3:T2457,L$3:L2457,"=Intermission")+SUMIFS(T$3:T2457,L$3:L2457,"=Timeout")+SUMIFS(T$3:T2457,L$3:L2457,"=Clockstop")</f>
        <v>138</v>
      </c>
      <c r="AA2457">
        <f t="shared" si="1396"/>
        <v>2298</v>
      </c>
      <c r="AC2457">
        <f t="shared" si="1397"/>
        <v>2436</v>
      </c>
    </row>
    <row r="2458" spans="1:29" x14ac:dyDescent="0.2">
      <c r="A2458">
        <v>1330</v>
      </c>
      <c r="D2458">
        <f t="shared" si="1398"/>
        <v>3</v>
      </c>
      <c r="E2458">
        <v>1</v>
      </c>
      <c r="F2458" s="6" t="s">
        <v>310</v>
      </c>
      <c r="I2458" t="s">
        <v>179</v>
      </c>
      <c r="J2458">
        <v>27</v>
      </c>
      <c r="K2458" t="s">
        <v>488</v>
      </c>
      <c r="L2458" t="s">
        <v>8</v>
      </c>
      <c r="M2458" t="s">
        <v>189</v>
      </c>
      <c r="N2458" t="s">
        <v>69</v>
      </c>
      <c r="Q2458">
        <f t="shared" ref="Q2458:S2458" si="1424">Q2457</f>
        <v>18977</v>
      </c>
      <c r="R2458" t="str">
        <f t="shared" si="1424"/>
        <v>Velodrome</v>
      </c>
      <c r="S2458" t="str">
        <f t="shared" si="1424"/>
        <v>HollowBrook</v>
      </c>
      <c r="T2458" s="20">
        <f t="shared" si="1402"/>
        <v>0</v>
      </c>
      <c r="U2458">
        <f t="shared" si="1403"/>
        <v>64</v>
      </c>
      <c r="V2458">
        <f t="shared" si="1404"/>
        <v>64</v>
      </c>
      <c r="W2458" cm="1">
        <f t="array" ref="W2458">_xlfn._xlws.FILTER(shifts!A:A,(shifts!B:B=events!D2458)*(shifts!AH:AH&gt;=events!U2458)*(shifts!AI:AI&lt;=events!V2458))</f>
        <v>87</v>
      </c>
      <c r="X2458" t="str">
        <f t="shared" si="1405"/>
        <v>event_team_player_2</v>
      </c>
      <c r="Y2458">
        <f>COUNTIFS(A$3:A2458,"="&amp;A2458,K$3:K2458,"="&amp;K2458)</f>
        <v>2</v>
      </c>
      <c r="Z2458" s="20">
        <f>SUMIFS(T$3:T2458,L$3:L2458,"=Intermission")+SUMIFS(T$3:T2458,L$3:L2458,"=Timeout")+SUMIFS(T$3:T2458,L$3:L2458,"=Clockstop")</f>
        <v>138</v>
      </c>
      <c r="AA2458">
        <f t="shared" si="1396"/>
        <v>2298</v>
      </c>
      <c r="AC2458">
        <f t="shared" si="1397"/>
        <v>2436</v>
      </c>
    </row>
    <row r="2459" spans="1:29" x14ac:dyDescent="0.2">
      <c r="A2459">
        <v>1330</v>
      </c>
      <c r="D2459">
        <f t="shared" si="1398"/>
        <v>3</v>
      </c>
      <c r="E2459">
        <v>1</v>
      </c>
      <c r="F2459" s="6" t="s">
        <v>310</v>
      </c>
      <c r="I2459" t="s">
        <v>179</v>
      </c>
      <c r="J2459">
        <v>52</v>
      </c>
      <c r="K2459" t="s">
        <v>489</v>
      </c>
      <c r="L2459" t="s">
        <v>8</v>
      </c>
      <c r="M2459" t="s">
        <v>189</v>
      </c>
      <c r="N2459" t="s">
        <v>69</v>
      </c>
      <c r="Q2459">
        <f t="shared" ref="Q2459:S2459" si="1425">Q2458</f>
        <v>18977</v>
      </c>
      <c r="R2459" t="str">
        <f t="shared" si="1425"/>
        <v>Velodrome</v>
      </c>
      <c r="S2459" t="str">
        <f t="shared" si="1425"/>
        <v>HollowBrook</v>
      </c>
      <c r="T2459" s="20">
        <f t="shared" si="1402"/>
        <v>0</v>
      </c>
      <c r="U2459">
        <f t="shared" si="1403"/>
        <v>64</v>
      </c>
      <c r="V2459">
        <f t="shared" si="1404"/>
        <v>64</v>
      </c>
      <c r="W2459" cm="1">
        <f t="array" ref="W2459">_xlfn._xlws.FILTER(shifts!A:A,(shifts!B:B=events!D2459)*(shifts!AH:AH&gt;=events!U2459)*(shifts!AI:AI&lt;=events!V2459))</f>
        <v>87</v>
      </c>
      <c r="X2459" t="str">
        <f t="shared" si="1405"/>
        <v>opp_team_player_1</v>
      </c>
      <c r="Y2459">
        <f>COUNTIFS(A$3:A2459,"="&amp;A2459,K$3:K2459,"="&amp;K2459)</f>
        <v>1</v>
      </c>
      <c r="Z2459" s="20">
        <f>SUMIFS(T$3:T2459,L$3:L2459,"=Intermission")+SUMIFS(T$3:T2459,L$3:L2459,"=Timeout")+SUMIFS(T$3:T2459,L$3:L2459,"=Clockstop")</f>
        <v>138</v>
      </c>
      <c r="AA2459">
        <f t="shared" si="1396"/>
        <v>2298</v>
      </c>
      <c r="AC2459">
        <f t="shared" si="1397"/>
        <v>2436</v>
      </c>
    </row>
    <row r="2460" spans="1:29" x14ac:dyDescent="0.2">
      <c r="A2460">
        <v>1331</v>
      </c>
      <c r="D2460">
        <f t="shared" si="1398"/>
        <v>3</v>
      </c>
      <c r="E2460">
        <v>1</v>
      </c>
      <c r="F2460" s="6" t="s">
        <v>310</v>
      </c>
      <c r="G2460">
        <v>1</v>
      </c>
      <c r="H2460" s="8" t="s">
        <v>316</v>
      </c>
      <c r="I2460" t="s">
        <v>179</v>
      </c>
      <c r="J2460">
        <v>27</v>
      </c>
      <c r="K2460" t="s">
        <v>488</v>
      </c>
      <c r="L2460" t="s">
        <v>15</v>
      </c>
      <c r="Q2460">
        <f t="shared" ref="Q2460:S2460" si="1426">Q2459</f>
        <v>18977</v>
      </c>
      <c r="R2460" t="str">
        <f t="shared" si="1426"/>
        <v>Velodrome</v>
      </c>
      <c r="S2460" t="str">
        <f t="shared" si="1426"/>
        <v>HollowBrook</v>
      </c>
      <c r="T2460" s="20">
        <f t="shared" si="1402"/>
        <v>2</v>
      </c>
      <c r="U2460">
        <f t="shared" si="1403"/>
        <v>64</v>
      </c>
      <c r="V2460">
        <f t="shared" si="1404"/>
        <v>62</v>
      </c>
      <c r="W2460" cm="1">
        <f t="array" ref="W2460">_xlfn._xlws.FILTER(shifts!A:A,(shifts!B:B=events!D2460)*(shifts!AH:AH&gt;=events!U2460)*(shifts!AI:AI&lt;=events!V2460))</f>
        <v>87</v>
      </c>
      <c r="X2460" t="str">
        <f t="shared" si="1405"/>
        <v>event_team_player_1</v>
      </c>
      <c r="Y2460">
        <f>COUNTIFS(A$3:A2460,"="&amp;A2460,K$3:K2460,"="&amp;K2460)</f>
        <v>1</v>
      </c>
      <c r="Z2460" s="20">
        <f>SUMIFS(T$3:T2460,L$3:L2460,"=Intermission")+SUMIFS(T$3:T2460,L$3:L2460,"=Timeout")+SUMIFS(T$3:T2460,L$3:L2460,"=Clockstop")</f>
        <v>138</v>
      </c>
      <c r="AA2460">
        <f t="shared" si="1396"/>
        <v>2298</v>
      </c>
      <c r="AC2460">
        <f t="shared" si="1397"/>
        <v>2436</v>
      </c>
    </row>
    <row r="2461" spans="1:29" x14ac:dyDescent="0.2">
      <c r="A2461">
        <v>1332</v>
      </c>
      <c r="D2461">
        <f t="shared" si="1398"/>
        <v>3</v>
      </c>
      <c r="E2461">
        <v>1</v>
      </c>
      <c r="F2461" s="6" t="s">
        <v>316</v>
      </c>
      <c r="I2461" t="s">
        <v>179</v>
      </c>
      <c r="J2461">
        <v>27</v>
      </c>
      <c r="K2461" t="s">
        <v>488</v>
      </c>
      <c r="L2461" t="s">
        <v>7</v>
      </c>
      <c r="M2461" t="s">
        <v>222</v>
      </c>
      <c r="N2461" t="s">
        <v>53</v>
      </c>
      <c r="Q2461">
        <f t="shared" ref="Q2461:S2461" si="1427">Q2460</f>
        <v>18977</v>
      </c>
      <c r="R2461" t="str">
        <f t="shared" si="1427"/>
        <v>Velodrome</v>
      </c>
      <c r="S2461" t="str">
        <f t="shared" si="1427"/>
        <v>HollowBrook</v>
      </c>
      <c r="T2461" s="20">
        <f t="shared" si="1402"/>
        <v>0</v>
      </c>
      <c r="U2461">
        <f t="shared" si="1403"/>
        <v>62</v>
      </c>
      <c r="V2461">
        <f t="shared" si="1404"/>
        <v>62</v>
      </c>
      <c r="W2461" cm="1">
        <f t="array" ref="W2461">_xlfn._xlws.FILTER(shifts!A:A,(shifts!B:B=events!D2461)*(shifts!AH:AH&gt;=events!U2461)*(shifts!AI:AI&lt;=events!V2461))</f>
        <v>87</v>
      </c>
      <c r="X2461" t="str">
        <f t="shared" si="1405"/>
        <v>event_team_player_1</v>
      </c>
      <c r="Y2461">
        <f>COUNTIFS(A$3:A2461,"="&amp;A2461,K$3:K2461,"="&amp;K2461)</f>
        <v>1</v>
      </c>
      <c r="Z2461" s="20">
        <f>SUMIFS(T$3:T2461,L$3:L2461,"=Intermission")+SUMIFS(T$3:T2461,L$3:L2461,"=Timeout")+SUMIFS(T$3:T2461,L$3:L2461,"=Clockstop")</f>
        <v>138</v>
      </c>
      <c r="AA2461">
        <f t="shared" si="1396"/>
        <v>2298</v>
      </c>
      <c r="AC2461">
        <f t="shared" si="1397"/>
        <v>2436</v>
      </c>
    </row>
    <row r="2462" spans="1:29" x14ac:dyDescent="0.2">
      <c r="A2462">
        <v>1332</v>
      </c>
      <c r="D2462">
        <f t="shared" si="1398"/>
        <v>3</v>
      </c>
      <c r="E2462">
        <v>1</v>
      </c>
      <c r="F2462" s="6" t="s">
        <v>316</v>
      </c>
      <c r="I2462" t="s">
        <v>179</v>
      </c>
      <c r="J2462">
        <v>39</v>
      </c>
      <c r="K2462" t="s">
        <v>489</v>
      </c>
      <c r="L2462" t="s">
        <v>7</v>
      </c>
      <c r="M2462" t="s">
        <v>222</v>
      </c>
      <c r="N2462" t="s">
        <v>53</v>
      </c>
      <c r="Q2462">
        <f t="shared" ref="Q2462:S2462" si="1428">Q2461</f>
        <v>18977</v>
      </c>
      <c r="R2462" t="str">
        <f t="shared" si="1428"/>
        <v>Velodrome</v>
      </c>
      <c r="S2462" t="str">
        <f t="shared" si="1428"/>
        <v>HollowBrook</v>
      </c>
      <c r="T2462" s="20">
        <f t="shared" si="1402"/>
        <v>0</v>
      </c>
      <c r="U2462">
        <f t="shared" si="1403"/>
        <v>62</v>
      </c>
      <c r="V2462">
        <f t="shared" si="1404"/>
        <v>62</v>
      </c>
      <c r="W2462" cm="1">
        <f t="array" ref="W2462">_xlfn._xlws.FILTER(shifts!A:A,(shifts!B:B=events!D2462)*(shifts!AH:AH&gt;=events!U2462)*(shifts!AI:AI&lt;=events!V2462))</f>
        <v>87</v>
      </c>
      <c r="X2462" t="str">
        <f t="shared" si="1405"/>
        <v>opp_team_player_1</v>
      </c>
      <c r="Y2462">
        <f>COUNTIFS(A$3:A2462,"="&amp;A2462,K$3:K2462,"="&amp;K2462)</f>
        <v>1</v>
      </c>
      <c r="Z2462" s="20">
        <f>SUMIFS(T$3:T2462,L$3:L2462,"=Intermission")+SUMIFS(T$3:T2462,L$3:L2462,"=Timeout")+SUMIFS(T$3:T2462,L$3:L2462,"=Clockstop")</f>
        <v>138</v>
      </c>
      <c r="AA2462">
        <f t="shared" si="1396"/>
        <v>2298</v>
      </c>
      <c r="AC2462">
        <f t="shared" si="1397"/>
        <v>2436</v>
      </c>
    </row>
    <row r="2463" spans="1:29" x14ac:dyDescent="0.2">
      <c r="A2463">
        <v>1332</v>
      </c>
      <c r="D2463">
        <f t="shared" si="1398"/>
        <v>3</v>
      </c>
      <c r="E2463">
        <v>1</v>
      </c>
      <c r="F2463" s="6" t="s">
        <v>316</v>
      </c>
      <c r="I2463" t="s">
        <v>179</v>
      </c>
      <c r="J2463">
        <v>49</v>
      </c>
      <c r="K2463" t="s">
        <v>489</v>
      </c>
      <c r="L2463" t="s">
        <v>7</v>
      </c>
      <c r="M2463" t="s">
        <v>222</v>
      </c>
      <c r="N2463" t="s">
        <v>53</v>
      </c>
      <c r="Q2463">
        <f t="shared" ref="Q2463:S2463" si="1429">Q2462</f>
        <v>18977</v>
      </c>
      <c r="R2463" t="str">
        <f t="shared" si="1429"/>
        <v>Velodrome</v>
      </c>
      <c r="S2463" t="str">
        <f t="shared" si="1429"/>
        <v>HollowBrook</v>
      </c>
      <c r="T2463" s="20">
        <f t="shared" si="1402"/>
        <v>0</v>
      </c>
      <c r="U2463">
        <f t="shared" si="1403"/>
        <v>62</v>
      </c>
      <c r="V2463">
        <f t="shared" si="1404"/>
        <v>62</v>
      </c>
      <c r="W2463" cm="1">
        <f t="array" ref="W2463">_xlfn._xlws.FILTER(shifts!A:A,(shifts!B:B=events!D2463)*(shifts!AH:AH&gt;=events!U2463)*(shifts!AI:AI&lt;=events!V2463))</f>
        <v>87</v>
      </c>
      <c r="X2463" t="str">
        <f t="shared" si="1405"/>
        <v>opp_team_player_2</v>
      </c>
      <c r="Y2463">
        <f>COUNTIFS(A$3:A2463,"="&amp;A2463,K$3:K2463,"="&amp;K2463)</f>
        <v>2</v>
      </c>
      <c r="Z2463" s="20">
        <f>SUMIFS(T$3:T2463,L$3:L2463,"=Intermission")+SUMIFS(T$3:T2463,L$3:L2463,"=Timeout")+SUMIFS(T$3:T2463,L$3:L2463,"=Clockstop")</f>
        <v>138</v>
      </c>
      <c r="AA2463">
        <f t="shared" si="1396"/>
        <v>2298</v>
      </c>
      <c r="AC2463">
        <f t="shared" si="1397"/>
        <v>2436</v>
      </c>
    </row>
    <row r="2464" spans="1:29" x14ac:dyDescent="0.2">
      <c r="A2464">
        <v>1333</v>
      </c>
      <c r="D2464">
        <f t="shared" si="1398"/>
        <v>3</v>
      </c>
      <c r="E2464">
        <v>1</v>
      </c>
      <c r="F2464" s="6" t="s">
        <v>316</v>
      </c>
      <c r="I2464" t="s">
        <v>178</v>
      </c>
      <c r="J2464">
        <v>39</v>
      </c>
      <c r="K2464" t="s">
        <v>488</v>
      </c>
      <c r="L2464" t="s">
        <v>17</v>
      </c>
      <c r="M2464" t="s">
        <v>196</v>
      </c>
      <c r="N2464" t="s">
        <v>99</v>
      </c>
      <c r="Q2464">
        <f t="shared" ref="Q2464:S2464" si="1430">Q2463</f>
        <v>18977</v>
      </c>
      <c r="R2464" t="str">
        <f t="shared" si="1430"/>
        <v>Velodrome</v>
      </c>
      <c r="S2464" t="str">
        <f t="shared" si="1430"/>
        <v>HollowBrook</v>
      </c>
      <c r="T2464" s="20">
        <f t="shared" si="1402"/>
        <v>0</v>
      </c>
      <c r="U2464">
        <f t="shared" si="1403"/>
        <v>62</v>
      </c>
      <c r="V2464">
        <f t="shared" si="1404"/>
        <v>62</v>
      </c>
      <c r="W2464" cm="1">
        <f t="array" ref="W2464">_xlfn._xlws.FILTER(shifts!A:A,(shifts!B:B=events!D2464)*(shifts!AH:AH&gt;=events!U2464)*(shifts!AI:AI&lt;=events!V2464))</f>
        <v>87</v>
      </c>
      <c r="X2464" t="str">
        <f t="shared" si="1405"/>
        <v>event_team_player_1</v>
      </c>
      <c r="Y2464">
        <f>COUNTIFS(A$3:A2464,"="&amp;A2464,K$3:K2464,"="&amp;K2464)</f>
        <v>1</v>
      </c>
      <c r="Z2464" s="20">
        <f>SUMIFS(T$3:T2464,L$3:L2464,"=Intermission")+SUMIFS(T$3:T2464,L$3:L2464,"=Timeout")+SUMIFS(T$3:T2464,L$3:L2464,"=Clockstop")</f>
        <v>138</v>
      </c>
      <c r="AA2464">
        <f t="shared" si="1396"/>
        <v>2298</v>
      </c>
      <c r="AC2464">
        <f t="shared" si="1397"/>
        <v>2436</v>
      </c>
    </row>
    <row r="2465" spans="1:29" x14ac:dyDescent="0.2">
      <c r="A2465">
        <v>1333</v>
      </c>
      <c r="D2465">
        <f t="shared" si="1398"/>
        <v>3</v>
      </c>
      <c r="E2465">
        <v>1</v>
      </c>
      <c r="F2465" s="6" t="s">
        <v>316</v>
      </c>
      <c r="I2465" t="s">
        <v>178</v>
      </c>
      <c r="J2465">
        <v>49</v>
      </c>
      <c r="K2465" t="s">
        <v>488</v>
      </c>
      <c r="L2465" t="s">
        <v>17</v>
      </c>
      <c r="M2465" t="s">
        <v>196</v>
      </c>
      <c r="N2465" t="s">
        <v>99</v>
      </c>
      <c r="Q2465">
        <f t="shared" ref="Q2465:S2465" si="1431">Q2464</f>
        <v>18977</v>
      </c>
      <c r="R2465" t="str">
        <f t="shared" si="1431"/>
        <v>Velodrome</v>
      </c>
      <c r="S2465" t="str">
        <f t="shared" si="1431"/>
        <v>HollowBrook</v>
      </c>
      <c r="T2465" s="20">
        <f t="shared" si="1402"/>
        <v>0</v>
      </c>
      <c r="U2465">
        <f t="shared" si="1403"/>
        <v>62</v>
      </c>
      <c r="V2465">
        <f t="shared" si="1404"/>
        <v>62</v>
      </c>
      <c r="W2465" cm="1">
        <f t="array" ref="W2465">_xlfn._xlws.FILTER(shifts!A:A,(shifts!B:B=events!D2465)*(shifts!AH:AH&gt;=events!U2465)*(shifts!AI:AI&lt;=events!V2465))</f>
        <v>87</v>
      </c>
      <c r="X2465" t="str">
        <f t="shared" si="1405"/>
        <v>event_team_player_2</v>
      </c>
      <c r="Y2465">
        <f>COUNTIFS(A$3:A2465,"="&amp;A2465,K$3:K2465,"="&amp;K2465)</f>
        <v>2</v>
      </c>
      <c r="Z2465" s="20">
        <f>SUMIFS(T$3:T2465,L$3:L2465,"=Intermission")+SUMIFS(T$3:T2465,L$3:L2465,"=Timeout")+SUMIFS(T$3:T2465,L$3:L2465,"=Clockstop")</f>
        <v>138</v>
      </c>
      <c r="AA2465">
        <f t="shared" si="1396"/>
        <v>2298</v>
      </c>
      <c r="AC2465">
        <f t="shared" si="1397"/>
        <v>2436</v>
      </c>
    </row>
    <row r="2466" spans="1:29" x14ac:dyDescent="0.2">
      <c r="A2466">
        <v>1333</v>
      </c>
      <c r="D2466">
        <f t="shared" si="1398"/>
        <v>3</v>
      </c>
      <c r="E2466">
        <v>1</v>
      </c>
      <c r="F2466" s="6" t="s">
        <v>316</v>
      </c>
      <c r="I2466" t="s">
        <v>178</v>
      </c>
      <c r="J2466">
        <v>27</v>
      </c>
      <c r="K2466" t="s">
        <v>489</v>
      </c>
      <c r="L2466" t="s">
        <v>17</v>
      </c>
      <c r="M2466" t="s">
        <v>196</v>
      </c>
      <c r="N2466" t="s">
        <v>99</v>
      </c>
      <c r="Q2466">
        <f t="shared" ref="Q2466:S2466" si="1432">Q2465</f>
        <v>18977</v>
      </c>
      <c r="R2466" t="str">
        <f t="shared" si="1432"/>
        <v>Velodrome</v>
      </c>
      <c r="S2466" t="str">
        <f t="shared" si="1432"/>
        <v>HollowBrook</v>
      </c>
      <c r="T2466" s="20">
        <f t="shared" si="1402"/>
        <v>0</v>
      </c>
      <c r="U2466">
        <f t="shared" si="1403"/>
        <v>62</v>
      </c>
      <c r="V2466">
        <f t="shared" si="1404"/>
        <v>62</v>
      </c>
      <c r="W2466" cm="1">
        <f t="array" ref="W2466">_xlfn._xlws.FILTER(shifts!A:A,(shifts!B:B=events!D2466)*(shifts!AH:AH&gt;=events!U2466)*(shifts!AI:AI&lt;=events!V2466))</f>
        <v>87</v>
      </c>
      <c r="X2466" t="str">
        <f t="shared" si="1405"/>
        <v>opp_team_player_1</v>
      </c>
      <c r="Y2466">
        <f>COUNTIFS(A$3:A2466,"="&amp;A2466,K$3:K2466,"="&amp;K2466)</f>
        <v>1</v>
      </c>
      <c r="Z2466" s="20">
        <f>SUMIFS(T$3:T2466,L$3:L2466,"=Intermission")+SUMIFS(T$3:T2466,L$3:L2466,"=Timeout")+SUMIFS(T$3:T2466,L$3:L2466,"=Clockstop")</f>
        <v>138</v>
      </c>
      <c r="AA2466">
        <f t="shared" si="1396"/>
        <v>2298</v>
      </c>
      <c r="AC2466">
        <f t="shared" si="1397"/>
        <v>2436</v>
      </c>
    </row>
    <row r="2467" spans="1:29" x14ac:dyDescent="0.2">
      <c r="A2467">
        <v>1334</v>
      </c>
      <c r="D2467">
        <f t="shared" si="1398"/>
        <v>3</v>
      </c>
      <c r="E2467">
        <v>1</v>
      </c>
      <c r="F2467" s="6" t="s">
        <v>316</v>
      </c>
      <c r="I2467" t="s">
        <v>178</v>
      </c>
      <c r="J2467">
        <v>39</v>
      </c>
      <c r="K2467" t="s">
        <v>488</v>
      </c>
      <c r="L2467" t="s">
        <v>270</v>
      </c>
      <c r="M2467" t="s">
        <v>273</v>
      </c>
      <c r="Q2467">
        <f t="shared" ref="Q2467:S2467" si="1433">Q2466</f>
        <v>18977</v>
      </c>
      <c r="R2467" t="str">
        <f t="shared" si="1433"/>
        <v>Velodrome</v>
      </c>
      <c r="S2467" t="str">
        <f t="shared" si="1433"/>
        <v>HollowBrook</v>
      </c>
      <c r="T2467" s="20">
        <f t="shared" si="1402"/>
        <v>0</v>
      </c>
      <c r="U2467">
        <f t="shared" si="1403"/>
        <v>62</v>
      </c>
      <c r="V2467">
        <f t="shared" si="1404"/>
        <v>62</v>
      </c>
      <c r="W2467" cm="1">
        <f t="array" ref="W2467">_xlfn._xlws.FILTER(shifts!A:A,(shifts!B:B=events!D2467)*(shifts!AH:AH&gt;=events!U2467)*(shifts!AI:AI&lt;=events!V2467))</f>
        <v>87</v>
      </c>
      <c r="X2467" t="str">
        <f t="shared" si="1405"/>
        <v>event_team_player_1</v>
      </c>
      <c r="Y2467">
        <f>COUNTIFS(A$3:A2467,"="&amp;A2467,K$3:K2467,"="&amp;K2467)</f>
        <v>1</v>
      </c>
      <c r="Z2467" s="20">
        <f>SUMIFS(T$3:T2467,L$3:L2467,"=Intermission")+SUMIFS(T$3:T2467,L$3:L2467,"=Timeout")+SUMIFS(T$3:T2467,L$3:L2467,"=Clockstop")</f>
        <v>138</v>
      </c>
      <c r="AA2467">
        <f t="shared" si="1396"/>
        <v>2298</v>
      </c>
      <c r="AC2467">
        <f t="shared" si="1397"/>
        <v>2436</v>
      </c>
    </row>
    <row r="2468" spans="1:29" x14ac:dyDescent="0.2">
      <c r="A2468">
        <v>1335</v>
      </c>
      <c r="D2468">
        <f t="shared" si="1398"/>
        <v>3</v>
      </c>
      <c r="E2468">
        <v>1</v>
      </c>
      <c r="F2468" s="6" t="s">
        <v>312</v>
      </c>
      <c r="I2468" t="s">
        <v>179</v>
      </c>
      <c r="J2468">
        <v>27</v>
      </c>
      <c r="K2468" t="s">
        <v>488</v>
      </c>
      <c r="L2468" t="s">
        <v>7</v>
      </c>
      <c r="M2468" t="s">
        <v>222</v>
      </c>
      <c r="N2468" t="s">
        <v>55</v>
      </c>
      <c r="Q2468">
        <f t="shared" ref="Q2468:S2468" si="1434">Q2467</f>
        <v>18977</v>
      </c>
      <c r="R2468" t="str">
        <f t="shared" si="1434"/>
        <v>Velodrome</v>
      </c>
      <c r="S2468" t="str">
        <f t="shared" si="1434"/>
        <v>HollowBrook</v>
      </c>
      <c r="T2468" s="20">
        <f t="shared" si="1402"/>
        <v>0</v>
      </c>
      <c r="U2468">
        <f t="shared" si="1403"/>
        <v>61</v>
      </c>
      <c r="V2468">
        <f t="shared" si="1404"/>
        <v>61</v>
      </c>
      <c r="W2468" cm="1">
        <f t="array" ref="W2468">_xlfn._xlws.FILTER(shifts!A:A,(shifts!B:B=events!D2468)*(shifts!AH:AH&gt;=events!U2468)*(shifts!AI:AI&lt;=events!V2468))</f>
        <v>87</v>
      </c>
      <c r="X2468" t="str">
        <f t="shared" si="1405"/>
        <v>event_team_player_1</v>
      </c>
      <c r="Y2468">
        <f>COUNTIFS(A$3:A2468,"="&amp;A2468,K$3:K2468,"="&amp;K2468)</f>
        <v>1</v>
      </c>
      <c r="Z2468" s="20">
        <f>SUMIFS(T$3:T2468,L$3:L2468,"=Intermission")+SUMIFS(T$3:T2468,L$3:L2468,"=Timeout")+SUMIFS(T$3:T2468,L$3:L2468,"=Clockstop")</f>
        <v>138</v>
      </c>
      <c r="AA2468">
        <f t="shared" si="1396"/>
        <v>2298</v>
      </c>
      <c r="AC2468">
        <f t="shared" si="1397"/>
        <v>2436</v>
      </c>
    </row>
    <row r="2469" spans="1:29" x14ac:dyDescent="0.2">
      <c r="A2469">
        <v>1335</v>
      </c>
      <c r="D2469">
        <f t="shared" si="1398"/>
        <v>3</v>
      </c>
      <c r="E2469">
        <v>1</v>
      </c>
      <c r="F2469" s="6" t="s">
        <v>312</v>
      </c>
      <c r="I2469" t="s">
        <v>179</v>
      </c>
      <c r="J2469">
        <v>39</v>
      </c>
      <c r="K2469" t="s">
        <v>489</v>
      </c>
      <c r="L2469" t="s">
        <v>7</v>
      </c>
      <c r="M2469" t="s">
        <v>222</v>
      </c>
      <c r="N2469" t="s">
        <v>55</v>
      </c>
      <c r="Q2469">
        <f t="shared" ref="Q2469:S2469" si="1435">Q2468</f>
        <v>18977</v>
      </c>
      <c r="R2469" t="str">
        <f t="shared" si="1435"/>
        <v>Velodrome</v>
      </c>
      <c r="S2469" t="str">
        <f t="shared" si="1435"/>
        <v>HollowBrook</v>
      </c>
      <c r="T2469" s="20">
        <f t="shared" si="1402"/>
        <v>0</v>
      </c>
      <c r="U2469">
        <f t="shared" si="1403"/>
        <v>61</v>
      </c>
      <c r="V2469">
        <f t="shared" si="1404"/>
        <v>61</v>
      </c>
      <c r="W2469" cm="1">
        <f t="array" ref="W2469">_xlfn._xlws.FILTER(shifts!A:A,(shifts!B:B=events!D2469)*(shifts!AH:AH&gt;=events!U2469)*(shifts!AI:AI&lt;=events!V2469))</f>
        <v>87</v>
      </c>
      <c r="X2469" t="str">
        <f t="shared" si="1405"/>
        <v>opp_team_player_1</v>
      </c>
      <c r="Y2469">
        <f>COUNTIFS(A$3:A2469,"="&amp;A2469,K$3:K2469,"="&amp;K2469)</f>
        <v>1</v>
      </c>
      <c r="Z2469" s="20">
        <f>SUMIFS(T$3:T2469,L$3:L2469,"=Intermission")+SUMIFS(T$3:T2469,L$3:L2469,"=Timeout")+SUMIFS(T$3:T2469,L$3:L2469,"=Clockstop")</f>
        <v>138</v>
      </c>
      <c r="AA2469">
        <f t="shared" si="1396"/>
        <v>2298</v>
      </c>
      <c r="AC2469">
        <f t="shared" si="1397"/>
        <v>2436</v>
      </c>
    </row>
    <row r="2470" spans="1:29" x14ac:dyDescent="0.2">
      <c r="A2470">
        <v>1336</v>
      </c>
      <c r="D2470">
        <f t="shared" si="1398"/>
        <v>3</v>
      </c>
      <c r="E2470">
        <v>1</v>
      </c>
      <c r="F2470" s="6" t="s">
        <v>312</v>
      </c>
      <c r="I2470" t="s">
        <v>178</v>
      </c>
      <c r="J2470">
        <v>39</v>
      </c>
      <c r="K2470" t="s">
        <v>488</v>
      </c>
      <c r="L2470" t="s">
        <v>17</v>
      </c>
      <c r="M2470" t="s">
        <v>196</v>
      </c>
      <c r="N2470" t="s">
        <v>99</v>
      </c>
      <c r="Q2470">
        <f t="shared" ref="Q2470:S2470" si="1436">Q2469</f>
        <v>18977</v>
      </c>
      <c r="R2470" t="str">
        <f t="shared" si="1436"/>
        <v>Velodrome</v>
      </c>
      <c r="S2470" t="str">
        <f t="shared" si="1436"/>
        <v>HollowBrook</v>
      </c>
      <c r="T2470" s="20">
        <f t="shared" si="1402"/>
        <v>0</v>
      </c>
      <c r="U2470">
        <f t="shared" si="1403"/>
        <v>61</v>
      </c>
      <c r="V2470">
        <f t="shared" si="1404"/>
        <v>61</v>
      </c>
      <c r="W2470" cm="1">
        <f t="array" ref="W2470">_xlfn._xlws.FILTER(shifts!A:A,(shifts!B:B=events!D2470)*(shifts!AH:AH&gt;=events!U2470)*(shifts!AI:AI&lt;=events!V2470))</f>
        <v>87</v>
      </c>
      <c r="X2470" t="str">
        <f t="shared" si="1405"/>
        <v>event_team_player_1</v>
      </c>
      <c r="Y2470">
        <f>COUNTIFS(A$3:A2470,"="&amp;A2470,K$3:K2470,"="&amp;K2470)</f>
        <v>1</v>
      </c>
      <c r="Z2470" s="20">
        <f>SUMIFS(T$3:T2470,L$3:L2470,"=Intermission")+SUMIFS(T$3:T2470,L$3:L2470,"=Timeout")+SUMIFS(T$3:T2470,L$3:L2470,"=Clockstop")</f>
        <v>138</v>
      </c>
      <c r="AA2470">
        <f t="shared" si="1396"/>
        <v>2298</v>
      </c>
      <c r="AC2470">
        <f t="shared" si="1397"/>
        <v>2436</v>
      </c>
    </row>
    <row r="2471" spans="1:29" x14ac:dyDescent="0.2">
      <c r="A2471">
        <v>1336</v>
      </c>
      <c r="D2471">
        <f t="shared" si="1398"/>
        <v>3</v>
      </c>
      <c r="E2471">
        <v>1</v>
      </c>
      <c r="F2471" s="6" t="s">
        <v>312</v>
      </c>
      <c r="I2471" t="s">
        <v>178</v>
      </c>
      <c r="J2471">
        <v>27</v>
      </c>
      <c r="K2471" t="s">
        <v>489</v>
      </c>
      <c r="L2471" t="s">
        <v>17</v>
      </c>
      <c r="M2471" t="s">
        <v>196</v>
      </c>
      <c r="N2471" t="s">
        <v>99</v>
      </c>
      <c r="Q2471">
        <f t="shared" ref="Q2471:S2471" si="1437">Q2470</f>
        <v>18977</v>
      </c>
      <c r="R2471" t="str">
        <f t="shared" si="1437"/>
        <v>Velodrome</v>
      </c>
      <c r="S2471" t="str">
        <f t="shared" si="1437"/>
        <v>HollowBrook</v>
      </c>
      <c r="T2471" s="20">
        <f t="shared" si="1402"/>
        <v>0</v>
      </c>
      <c r="U2471">
        <f t="shared" si="1403"/>
        <v>61</v>
      </c>
      <c r="V2471">
        <f t="shared" si="1404"/>
        <v>61</v>
      </c>
      <c r="W2471" cm="1">
        <f t="array" ref="W2471">_xlfn._xlws.FILTER(shifts!A:A,(shifts!B:B=events!D2471)*(shifts!AH:AH&gt;=events!U2471)*(shifts!AI:AI&lt;=events!V2471))</f>
        <v>87</v>
      </c>
      <c r="X2471" t="str">
        <f t="shared" si="1405"/>
        <v>opp_team_player_1</v>
      </c>
      <c r="Y2471">
        <f>COUNTIFS(A$3:A2471,"="&amp;A2471,K$3:K2471,"="&amp;K2471)</f>
        <v>1</v>
      </c>
      <c r="Z2471" s="20">
        <f>SUMIFS(T$3:T2471,L$3:L2471,"=Intermission")+SUMIFS(T$3:T2471,L$3:L2471,"=Timeout")+SUMIFS(T$3:T2471,L$3:L2471,"=Clockstop")</f>
        <v>138</v>
      </c>
      <c r="AA2471">
        <f t="shared" si="1396"/>
        <v>2298</v>
      </c>
      <c r="AC2471">
        <f t="shared" si="1397"/>
        <v>2436</v>
      </c>
    </row>
    <row r="2472" spans="1:29" x14ac:dyDescent="0.2">
      <c r="A2472">
        <v>1337</v>
      </c>
      <c r="D2472">
        <f t="shared" si="1398"/>
        <v>3</v>
      </c>
      <c r="E2472">
        <v>0</v>
      </c>
      <c r="F2472" s="6" t="s">
        <v>421</v>
      </c>
      <c r="I2472" t="s">
        <v>179</v>
      </c>
      <c r="J2472">
        <v>27</v>
      </c>
      <c r="K2472" t="s">
        <v>488</v>
      </c>
      <c r="L2472" t="s">
        <v>13</v>
      </c>
      <c r="M2472" t="s">
        <v>204</v>
      </c>
      <c r="N2472" t="s">
        <v>107</v>
      </c>
      <c r="Q2472">
        <f t="shared" ref="Q2472:S2472" si="1438">Q2471</f>
        <v>18977</v>
      </c>
      <c r="R2472" t="str">
        <f t="shared" si="1438"/>
        <v>Velodrome</v>
      </c>
      <c r="S2472" t="str">
        <f t="shared" si="1438"/>
        <v>HollowBrook</v>
      </c>
      <c r="T2472" s="20">
        <f t="shared" si="1402"/>
        <v>0</v>
      </c>
      <c r="U2472">
        <f t="shared" si="1403"/>
        <v>56</v>
      </c>
      <c r="V2472">
        <f t="shared" si="1404"/>
        <v>56</v>
      </c>
      <c r="W2472" cm="1">
        <f t="array" ref="W2472">_xlfn._xlws.FILTER(shifts!A:A,(shifts!B:B=events!D2472)*(shifts!AH:AH&gt;=events!U2472)*(shifts!AI:AI&lt;=events!V2472))</f>
        <v>87</v>
      </c>
      <c r="X2472" t="str">
        <f t="shared" si="1405"/>
        <v>event_team_player_1</v>
      </c>
      <c r="Y2472">
        <f>COUNTIFS(A$3:A2472,"="&amp;A2472,K$3:K2472,"="&amp;K2472)</f>
        <v>1</v>
      </c>
      <c r="Z2472" s="20">
        <f>SUMIFS(T$3:T2472,L$3:L2472,"=Intermission")+SUMIFS(T$3:T2472,L$3:L2472,"=Timeout")+SUMIFS(T$3:T2472,L$3:L2472,"=Clockstop")</f>
        <v>138</v>
      </c>
      <c r="AA2472">
        <f t="shared" si="1396"/>
        <v>2298</v>
      </c>
      <c r="AC2472">
        <f t="shared" si="1397"/>
        <v>2436</v>
      </c>
    </row>
    <row r="2473" spans="1:29" x14ac:dyDescent="0.2">
      <c r="A2473">
        <v>1338</v>
      </c>
      <c r="D2473">
        <f t="shared" si="1398"/>
        <v>3</v>
      </c>
      <c r="E2473">
        <v>0</v>
      </c>
      <c r="F2473" s="6" t="s">
        <v>421</v>
      </c>
      <c r="G2473">
        <v>0</v>
      </c>
      <c r="H2473" s="8" t="s">
        <v>421</v>
      </c>
      <c r="I2473" t="s">
        <v>179</v>
      </c>
      <c r="L2473" t="s">
        <v>517</v>
      </c>
      <c r="Q2473">
        <f t="shared" ref="Q2473:S2473" si="1439">Q2472</f>
        <v>18977</v>
      </c>
      <c r="R2473" t="str">
        <f t="shared" si="1439"/>
        <v>Velodrome</v>
      </c>
      <c r="S2473" t="str">
        <f t="shared" si="1439"/>
        <v>HollowBrook</v>
      </c>
      <c r="T2473" s="20">
        <v>87</v>
      </c>
      <c r="U2473">
        <f t="shared" si="1403"/>
        <v>56</v>
      </c>
      <c r="V2473">
        <f t="shared" si="1404"/>
        <v>56</v>
      </c>
      <c r="W2473" cm="1">
        <f t="array" ref="W2473">_xlfn._xlws.FILTER(shifts!A:A,(shifts!B:B=events!D2473)*(shifts!AH:AH&gt;=events!U2473)*(shifts!AI:AI&lt;=events!V2473))</f>
        <v>87</v>
      </c>
      <c r="X2473" t="str">
        <f t="shared" si="1405"/>
        <v/>
      </c>
      <c r="Y2473">
        <f>COUNTIFS(A$3:A2473,"="&amp;A2473,K$3:K2473,"="&amp;K2473)</f>
        <v>1</v>
      </c>
      <c r="Z2473" s="20">
        <f>SUMIFS(T$3:T2473,L$3:L2473,"=Intermission")+SUMIFS(T$3:T2473,L$3:L2473,"=Timeout")+SUMIFS(T$3:T2473,L$3:L2473,"=Clockstop")</f>
        <v>225</v>
      </c>
      <c r="AA2473">
        <f t="shared" si="1396"/>
        <v>2385</v>
      </c>
      <c r="AC2473">
        <f t="shared" si="1397"/>
        <v>2610</v>
      </c>
    </row>
    <row r="2474" spans="1:29" x14ac:dyDescent="0.2">
      <c r="A2474">
        <v>1339</v>
      </c>
      <c r="D2474">
        <f t="shared" si="1398"/>
        <v>3</v>
      </c>
      <c r="E2474">
        <v>0</v>
      </c>
      <c r="F2474" s="6" t="s">
        <v>421</v>
      </c>
      <c r="I2474" t="s">
        <v>179</v>
      </c>
      <c r="J2474">
        <v>11</v>
      </c>
      <c r="K2474" t="s">
        <v>488</v>
      </c>
      <c r="L2474" t="s">
        <v>6</v>
      </c>
      <c r="M2474" t="s">
        <v>275</v>
      </c>
      <c r="Q2474">
        <f t="shared" ref="Q2474:S2474" si="1440">Q2473</f>
        <v>18977</v>
      </c>
      <c r="R2474" t="str">
        <f t="shared" si="1440"/>
        <v>Velodrome</v>
      </c>
      <c r="S2474" t="str">
        <f t="shared" si="1440"/>
        <v>HollowBrook</v>
      </c>
      <c r="T2474" s="20">
        <f t="shared" si="1402"/>
        <v>0</v>
      </c>
      <c r="U2474">
        <f t="shared" si="1403"/>
        <v>56</v>
      </c>
      <c r="V2474">
        <f t="shared" si="1404"/>
        <v>56</v>
      </c>
      <c r="W2474" cm="1">
        <f t="array" ref="W2474">_xlfn._xlws.FILTER(shifts!A:A,(shifts!B:B=events!D2474)*(shifts!AH:AH&gt;=events!U2474)*(shifts!AI:AI&lt;=events!V2474))</f>
        <v>87</v>
      </c>
      <c r="X2474" t="str">
        <f t="shared" si="1405"/>
        <v>event_team_player_1</v>
      </c>
      <c r="Y2474">
        <f>COUNTIFS(A$3:A2474,"="&amp;A2474,K$3:K2474,"="&amp;K2474)</f>
        <v>1</v>
      </c>
      <c r="Z2474" s="20">
        <f>SUMIFS(T$3:T2474,L$3:L2474,"=Intermission")+SUMIFS(T$3:T2474,L$3:L2474,"=Timeout")+SUMIFS(T$3:T2474,L$3:L2474,"=Clockstop")</f>
        <v>225</v>
      </c>
      <c r="AA2474">
        <f t="shared" si="1396"/>
        <v>2385</v>
      </c>
      <c r="AC2474">
        <f t="shared" si="1397"/>
        <v>2610</v>
      </c>
    </row>
    <row r="2475" spans="1:29" x14ac:dyDescent="0.2">
      <c r="A2475">
        <v>1339</v>
      </c>
      <c r="D2475">
        <f t="shared" si="1398"/>
        <v>3</v>
      </c>
      <c r="E2475">
        <v>0</v>
      </c>
      <c r="F2475" s="6" t="s">
        <v>421</v>
      </c>
      <c r="I2475" t="s">
        <v>179</v>
      </c>
      <c r="J2475">
        <v>19</v>
      </c>
      <c r="K2475" t="s">
        <v>488</v>
      </c>
      <c r="L2475" t="s">
        <v>6</v>
      </c>
      <c r="M2475" t="s">
        <v>275</v>
      </c>
      <c r="Q2475">
        <f t="shared" ref="Q2475:S2475" si="1441">Q2474</f>
        <v>18977</v>
      </c>
      <c r="R2475" t="str">
        <f t="shared" si="1441"/>
        <v>Velodrome</v>
      </c>
      <c r="S2475" t="str">
        <f t="shared" si="1441"/>
        <v>HollowBrook</v>
      </c>
      <c r="T2475" s="20">
        <f t="shared" si="1402"/>
        <v>0</v>
      </c>
      <c r="U2475">
        <f t="shared" si="1403"/>
        <v>56</v>
      </c>
      <c r="V2475">
        <f t="shared" si="1404"/>
        <v>56</v>
      </c>
      <c r="W2475" cm="1">
        <f t="array" ref="W2475">_xlfn._xlws.FILTER(shifts!A:A,(shifts!B:B=events!D2475)*(shifts!AH:AH&gt;=events!U2475)*(shifts!AI:AI&lt;=events!V2475))</f>
        <v>87</v>
      </c>
      <c r="X2475" t="str">
        <f t="shared" si="1405"/>
        <v>event_team_player_2</v>
      </c>
      <c r="Y2475">
        <f>COUNTIFS(A$3:A2475,"="&amp;A2475,K$3:K2475,"="&amp;K2475)</f>
        <v>2</v>
      </c>
      <c r="Z2475" s="20">
        <f>SUMIFS(T$3:T2475,L$3:L2475,"=Intermission")+SUMIFS(T$3:T2475,L$3:L2475,"=Timeout")+SUMIFS(T$3:T2475,L$3:L2475,"=Clockstop")</f>
        <v>225</v>
      </c>
      <c r="AA2475">
        <f t="shared" si="1396"/>
        <v>2385</v>
      </c>
      <c r="AC2475">
        <f t="shared" si="1397"/>
        <v>2610</v>
      </c>
    </row>
    <row r="2476" spans="1:29" x14ac:dyDescent="0.2">
      <c r="A2476">
        <v>1339</v>
      </c>
      <c r="D2476">
        <f t="shared" si="1398"/>
        <v>3</v>
      </c>
      <c r="E2476">
        <v>0</v>
      </c>
      <c r="F2476" s="6" t="s">
        <v>421</v>
      </c>
      <c r="I2476" t="s">
        <v>179</v>
      </c>
      <c r="J2476">
        <v>42</v>
      </c>
      <c r="K2476" t="s">
        <v>488</v>
      </c>
      <c r="L2476" t="s">
        <v>6</v>
      </c>
      <c r="M2476" t="s">
        <v>275</v>
      </c>
      <c r="Q2476">
        <f t="shared" ref="Q2476:S2476" si="1442">Q2475</f>
        <v>18977</v>
      </c>
      <c r="R2476" t="str">
        <f t="shared" si="1442"/>
        <v>Velodrome</v>
      </c>
      <c r="S2476" t="str">
        <f t="shared" si="1442"/>
        <v>HollowBrook</v>
      </c>
      <c r="T2476" s="20">
        <f t="shared" si="1402"/>
        <v>0</v>
      </c>
      <c r="U2476">
        <f t="shared" si="1403"/>
        <v>56</v>
      </c>
      <c r="V2476">
        <f t="shared" si="1404"/>
        <v>56</v>
      </c>
      <c r="W2476" cm="1">
        <f t="array" ref="W2476">_xlfn._xlws.FILTER(shifts!A:A,(shifts!B:B=events!D2476)*(shifts!AH:AH&gt;=events!U2476)*(shifts!AI:AI&lt;=events!V2476))</f>
        <v>87</v>
      </c>
      <c r="X2476" t="str">
        <f t="shared" si="1405"/>
        <v>event_team_player_3</v>
      </c>
      <c r="Y2476">
        <f>COUNTIFS(A$3:A2476,"="&amp;A2476,K$3:K2476,"="&amp;K2476)</f>
        <v>3</v>
      </c>
      <c r="Z2476" s="20">
        <f>SUMIFS(T$3:T2476,L$3:L2476,"=Intermission")+SUMIFS(T$3:T2476,L$3:L2476,"=Timeout")+SUMIFS(T$3:T2476,L$3:L2476,"=Clockstop")</f>
        <v>225</v>
      </c>
      <c r="AA2476">
        <f t="shared" si="1396"/>
        <v>2385</v>
      </c>
      <c r="AC2476">
        <f t="shared" si="1397"/>
        <v>2610</v>
      </c>
    </row>
    <row r="2477" spans="1:29" x14ac:dyDescent="0.2">
      <c r="A2477">
        <v>1340</v>
      </c>
      <c r="D2477">
        <f t="shared" si="1398"/>
        <v>3</v>
      </c>
      <c r="E2477">
        <v>0</v>
      </c>
      <c r="F2477" s="6" t="s">
        <v>429</v>
      </c>
      <c r="I2477" t="s">
        <v>179</v>
      </c>
      <c r="J2477">
        <v>19</v>
      </c>
      <c r="K2477" t="s">
        <v>488</v>
      </c>
      <c r="L2477" t="s">
        <v>7</v>
      </c>
      <c r="M2477" t="s">
        <v>208</v>
      </c>
      <c r="N2477" t="s">
        <v>53</v>
      </c>
      <c r="Q2477">
        <f t="shared" ref="Q2477:S2477" si="1443">Q2476</f>
        <v>18977</v>
      </c>
      <c r="R2477" t="str">
        <f t="shared" si="1443"/>
        <v>Velodrome</v>
      </c>
      <c r="S2477" t="str">
        <f t="shared" si="1443"/>
        <v>HollowBrook</v>
      </c>
      <c r="T2477" s="20">
        <f t="shared" si="1402"/>
        <v>0</v>
      </c>
      <c r="U2477">
        <f t="shared" si="1403"/>
        <v>55</v>
      </c>
      <c r="V2477">
        <f t="shared" si="1404"/>
        <v>55</v>
      </c>
      <c r="W2477">
        <v>88</v>
      </c>
      <c r="X2477" t="str">
        <f t="shared" si="1405"/>
        <v>event_team_player_1</v>
      </c>
      <c r="Y2477">
        <f>COUNTIFS(A$3:A2477,"="&amp;A2477,K$3:K2477,"="&amp;K2477)</f>
        <v>1</v>
      </c>
      <c r="Z2477" s="20">
        <f>SUMIFS(T$3:T2477,L$3:L2477,"=Intermission")+SUMIFS(T$3:T2477,L$3:L2477,"=Timeout")+SUMIFS(T$3:T2477,L$3:L2477,"=Clockstop")</f>
        <v>225</v>
      </c>
      <c r="AA2477">
        <f t="shared" si="1396"/>
        <v>2385</v>
      </c>
      <c r="AC2477">
        <f t="shared" si="1397"/>
        <v>2610</v>
      </c>
    </row>
    <row r="2478" spans="1:29" x14ac:dyDescent="0.2">
      <c r="A2478">
        <v>1340</v>
      </c>
      <c r="D2478">
        <f t="shared" si="1398"/>
        <v>3</v>
      </c>
      <c r="E2478">
        <v>0</v>
      </c>
      <c r="F2478" s="6" t="s">
        <v>429</v>
      </c>
      <c r="I2478" t="s">
        <v>179</v>
      </c>
      <c r="J2478">
        <v>9</v>
      </c>
      <c r="K2478" t="s">
        <v>489</v>
      </c>
      <c r="L2478" t="s">
        <v>7</v>
      </c>
      <c r="M2478" t="s">
        <v>208</v>
      </c>
      <c r="N2478" t="s">
        <v>53</v>
      </c>
      <c r="Q2478">
        <f t="shared" ref="Q2478:S2478" si="1444">Q2477</f>
        <v>18977</v>
      </c>
      <c r="R2478" t="str">
        <f t="shared" si="1444"/>
        <v>Velodrome</v>
      </c>
      <c r="S2478" t="str">
        <f t="shared" si="1444"/>
        <v>HollowBrook</v>
      </c>
      <c r="T2478" s="20">
        <f t="shared" si="1402"/>
        <v>0</v>
      </c>
      <c r="U2478">
        <f t="shared" si="1403"/>
        <v>55</v>
      </c>
      <c r="V2478">
        <f t="shared" si="1404"/>
        <v>55</v>
      </c>
      <c r="W2478">
        <v>88</v>
      </c>
      <c r="X2478" t="str">
        <f t="shared" si="1405"/>
        <v>opp_team_player_1</v>
      </c>
      <c r="Y2478">
        <f>COUNTIFS(A$3:A2478,"="&amp;A2478,K$3:K2478,"="&amp;K2478)</f>
        <v>1</v>
      </c>
      <c r="Z2478" s="20">
        <f>SUMIFS(T$3:T2478,L$3:L2478,"=Intermission")+SUMIFS(T$3:T2478,L$3:L2478,"=Timeout")+SUMIFS(T$3:T2478,L$3:L2478,"=Clockstop")</f>
        <v>225</v>
      </c>
      <c r="AA2478">
        <f t="shared" si="1396"/>
        <v>2385</v>
      </c>
      <c r="AC2478">
        <f t="shared" si="1397"/>
        <v>2610</v>
      </c>
    </row>
    <row r="2479" spans="1:29" x14ac:dyDescent="0.2">
      <c r="A2479">
        <v>1341</v>
      </c>
      <c r="D2479">
        <f t="shared" si="1398"/>
        <v>3</v>
      </c>
      <c r="E2479">
        <v>0</v>
      </c>
      <c r="F2479" s="6" t="s">
        <v>428</v>
      </c>
      <c r="I2479" t="s">
        <v>178</v>
      </c>
      <c r="J2479">
        <v>52</v>
      </c>
      <c r="K2479" t="s">
        <v>488</v>
      </c>
      <c r="L2479" t="s">
        <v>10</v>
      </c>
      <c r="M2479" t="s">
        <v>190</v>
      </c>
      <c r="N2479" t="s">
        <v>479</v>
      </c>
      <c r="Q2479">
        <f t="shared" ref="Q2479:S2479" si="1445">Q2478</f>
        <v>18977</v>
      </c>
      <c r="R2479" t="str">
        <f t="shared" si="1445"/>
        <v>Velodrome</v>
      </c>
      <c r="S2479" t="str">
        <f t="shared" si="1445"/>
        <v>HollowBrook</v>
      </c>
      <c r="T2479" s="20">
        <f t="shared" si="1402"/>
        <v>0</v>
      </c>
      <c r="U2479">
        <f t="shared" si="1403"/>
        <v>52</v>
      </c>
      <c r="V2479">
        <f t="shared" si="1404"/>
        <v>52</v>
      </c>
      <c r="W2479" cm="1">
        <f t="array" ref="W2479">_xlfn._xlws.FILTER(shifts!A:A,(shifts!B:B=events!D2479)*(shifts!AH:AH&gt;=events!U2479)*(shifts!AI:AI&lt;=events!V2479))</f>
        <v>88</v>
      </c>
      <c r="X2479" t="str">
        <f t="shared" si="1405"/>
        <v>event_team_player_1</v>
      </c>
      <c r="Y2479">
        <f>COUNTIFS(A$3:A2479,"="&amp;A2479,K$3:K2479,"="&amp;K2479)</f>
        <v>1</v>
      </c>
      <c r="Z2479" s="20">
        <f>SUMIFS(T$3:T2479,L$3:L2479,"=Intermission")+SUMIFS(T$3:T2479,L$3:L2479,"=Timeout")+SUMIFS(T$3:T2479,L$3:L2479,"=Clockstop")</f>
        <v>225</v>
      </c>
      <c r="AA2479">
        <f t="shared" si="1396"/>
        <v>2385</v>
      </c>
      <c r="AC2479">
        <f t="shared" si="1397"/>
        <v>2610</v>
      </c>
    </row>
    <row r="2480" spans="1:29" x14ac:dyDescent="0.2">
      <c r="A2480">
        <v>1342</v>
      </c>
      <c r="D2480">
        <f t="shared" si="1398"/>
        <v>3</v>
      </c>
      <c r="E2480">
        <v>0</v>
      </c>
      <c r="F2480" s="6" t="s">
        <v>477</v>
      </c>
      <c r="I2480" t="s">
        <v>179</v>
      </c>
      <c r="J2480">
        <v>11</v>
      </c>
      <c r="K2480" t="s">
        <v>488</v>
      </c>
      <c r="L2480" t="s">
        <v>7</v>
      </c>
      <c r="M2480" t="s">
        <v>215</v>
      </c>
      <c r="N2480" t="s">
        <v>53</v>
      </c>
      <c r="Q2480">
        <f t="shared" ref="Q2480:S2480" si="1446">Q2479</f>
        <v>18977</v>
      </c>
      <c r="R2480" t="str">
        <f t="shared" si="1446"/>
        <v>Velodrome</v>
      </c>
      <c r="S2480" t="str">
        <f t="shared" si="1446"/>
        <v>HollowBrook</v>
      </c>
      <c r="T2480" s="20">
        <f t="shared" si="1402"/>
        <v>0</v>
      </c>
      <c r="U2480">
        <f t="shared" si="1403"/>
        <v>51</v>
      </c>
      <c r="V2480">
        <f t="shared" si="1404"/>
        <v>51</v>
      </c>
      <c r="W2480" cm="1">
        <f t="array" ref="W2480">_xlfn._xlws.FILTER(shifts!A:A,(shifts!B:B=events!D2480)*(shifts!AH:AH&gt;=events!U2480)*(shifts!AI:AI&lt;=events!V2480))</f>
        <v>88</v>
      </c>
      <c r="X2480" t="str">
        <f t="shared" si="1405"/>
        <v>event_team_player_1</v>
      </c>
      <c r="Y2480">
        <f>COUNTIFS(A$3:A2480,"="&amp;A2480,K$3:K2480,"="&amp;K2480)</f>
        <v>1</v>
      </c>
      <c r="Z2480" s="20">
        <f>SUMIFS(T$3:T2480,L$3:L2480,"=Intermission")+SUMIFS(T$3:T2480,L$3:L2480,"=Timeout")+SUMIFS(T$3:T2480,L$3:L2480,"=Clockstop")</f>
        <v>225</v>
      </c>
      <c r="AA2480">
        <f t="shared" si="1396"/>
        <v>2385</v>
      </c>
      <c r="AC2480">
        <f t="shared" si="1397"/>
        <v>2610</v>
      </c>
    </row>
    <row r="2481" spans="1:29" x14ac:dyDescent="0.2">
      <c r="A2481">
        <v>1342</v>
      </c>
      <c r="D2481">
        <f t="shared" si="1398"/>
        <v>3</v>
      </c>
      <c r="E2481">
        <v>0</v>
      </c>
      <c r="F2481" s="6" t="s">
        <v>477</v>
      </c>
      <c r="I2481" t="s">
        <v>179</v>
      </c>
      <c r="J2481">
        <v>26</v>
      </c>
      <c r="K2481" t="s">
        <v>488</v>
      </c>
      <c r="L2481" t="s">
        <v>7</v>
      </c>
      <c r="M2481" t="s">
        <v>215</v>
      </c>
      <c r="N2481" t="s">
        <v>53</v>
      </c>
      <c r="Q2481">
        <f t="shared" ref="Q2481:S2481" si="1447">Q2480</f>
        <v>18977</v>
      </c>
      <c r="R2481" t="str">
        <f t="shared" si="1447"/>
        <v>Velodrome</v>
      </c>
      <c r="S2481" t="str">
        <f t="shared" si="1447"/>
        <v>HollowBrook</v>
      </c>
      <c r="T2481" s="20">
        <f t="shared" si="1402"/>
        <v>0</v>
      </c>
      <c r="U2481">
        <f t="shared" si="1403"/>
        <v>51</v>
      </c>
      <c r="V2481">
        <f t="shared" si="1404"/>
        <v>51</v>
      </c>
      <c r="W2481" cm="1">
        <f t="array" ref="W2481">_xlfn._xlws.FILTER(shifts!A:A,(shifts!B:B=events!D2481)*(shifts!AH:AH&gt;=events!U2481)*(shifts!AI:AI&lt;=events!V2481))</f>
        <v>88</v>
      </c>
      <c r="X2481" t="str">
        <f t="shared" si="1405"/>
        <v>event_team_player_2</v>
      </c>
      <c r="Y2481">
        <f>COUNTIFS(A$3:A2481,"="&amp;A2481,K$3:K2481,"="&amp;K2481)</f>
        <v>2</v>
      </c>
      <c r="Z2481" s="20">
        <f>SUMIFS(T$3:T2481,L$3:L2481,"=Intermission")+SUMIFS(T$3:T2481,L$3:L2481,"=Timeout")+SUMIFS(T$3:T2481,L$3:L2481,"=Clockstop")</f>
        <v>225</v>
      </c>
      <c r="AA2481">
        <f t="shared" si="1396"/>
        <v>2385</v>
      </c>
      <c r="AC2481">
        <f t="shared" si="1397"/>
        <v>2610</v>
      </c>
    </row>
    <row r="2482" spans="1:29" x14ac:dyDescent="0.2">
      <c r="A2482">
        <v>1343</v>
      </c>
      <c r="D2482">
        <f t="shared" si="1398"/>
        <v>3</v>
      </c>
      <c r="E2482">
        <v>0</v>
      </c>
      <c r="F2482" s="6" t="s">
        <v>451</v>
      </c>
      <c r="I2482" t="s">
        <v>179</v>
      </c>
      <c r="J2482">
        <v>13</v>
      </c>
      <c r="K2482" t="s">
        <v>488</v>
      </c>
      <c r="L2482" t="s">
        <v>8</v>
      </c>
      <c r="M2482" t="s">
        <v>189</v>
      </c>
      <c r="N2482" t="s">
        <v>70</v>
      </c>
      <c r="Q2482">
        <f t="shared" ref="Q2482:S2482" si="1448">Q2481</f>
        <v>18977</v>
      </c>
      <c r="R2482" t="str">
        <f t="shared" si="1448"/>
        <v>Velodrome</v>
      </c>
      <c r="S2482" t="str">
        <f t="shared" si="1448"/>
        <v>HollowBrook</v>
      </c>
      <c r="T2482" s="20">
        <f t="shared" si="1402"/>
        <v>0</v>
      </c>
      <c r="U2482">
        <f t="shared" si="1403"/>
        <v>48</v>
      </c>
      <c r="V2482">
        <f t="shared" si="1404"/>
        <v>48</v>
      </c>
      <c r="W2482" cm="1">
        <f t="array" ref="W2482">_xlfn._xlws.FILTER(shifts!A:A,(shifts!B:B=events!D2482)*(shifts!AH:AH&gt;=events!U2482)*(shifts!AI:AI&lt;=events!V2482))</f>
        <v>88</v>
      </c>
      <c r="X2482" t="str">
        <f t="shared" si="1405"/>
        <v>event_team_player_1</v>
      </c>
      <c r="Y2482">
        <f>COUNTIFS(A$3:A2482,"="&amp;A2482,K$3:K2482,"="&amp;K2482)</f>
        <v>1</v>
      </c>
      <c r="Z2482" s="20">
        <f>SUMIFS(T$3:T2482,L$3:L2482,"=Intermission")+SUMIFS(T$3:T2482,L$3:L2482,"=Timeout")+SUMIFS(T$3:T2482,L$3:L2482,"=Clockstop")</f>
        <v>225</v>
      </c>
      <c r="AA2482">
        <f t="shared" si="1396"/>
        <v>2385</v>
      </c>
      <c r="AC2482">
        <f t="shared" si="1397"/>
        <v>2610</v>
      </c>
    </row>
    <row r="2483" spans="1:29" x14ac:dyDescent="0.2">
      <c r="A2483">
        <v>1343</v>
      </c>
      <c r="D2483">
        <f t="shared" si="1398"/>
        <v>3</v>
      </c>
      <c r="E2483">
        <v>0</v>
      </c>
      <c r="F2483" s="6" t="s">
        <v>451</v>
      </c>
      <c r="I2483" t="s">
        <v>179</v>
      </c>
      <c r="J2483">
        <v>18</v>
      </c>
      <c r="K2483" t="s">
        <v>488</v>
      </c>
      <c r="L2483" t="s">
        <v>8</v>
      </c>
      <c r="M2483" t="s">
        <v>189</v>
      </c>
      <c r="N2483" t="s">
        <v>70</v>
      </c>
      <c r="Q2483">
        <f t="shared" ref="Q2483:S2483" si="1449">Q2482</f>
        <v>18977</v>
      </c>
      <c r="R2483" t="str">
        <f t="shared" si="1449"/>
        <v>Velodrome</v>
      </c>
      <c r="S2483" t="str">
        <f t="shared" si="1449"/>
        <v>HollowBrook</v>
      </c>
      <c r="T2483" s="20">
        <f t="shared" si="1402"/>
        <v>0</v>
      </c>
      <c r="U2483">
        <f t="shared" si="1403"/>
        <v>48</v>
      </c>
      <c r="V2483">
        <f t="shared" si="1404"/>
        <v>48</v>
      </c>
      <c r="W2483" cm="1">
        <f t="array" ref="W2483">_xlfn._xlws.FILTER(shifts!A:A,(shifts!B:B=events!D2483)*(shifts!AH:AH&gt;=events!U2483)*(shifts!AI:AI&lt;=events!V2483))</f>
        <v>88</v>
      </c>
      <c r="X2483" t="str">
        <f t="shared" si="1405"/>
        <v>event_team_player_2</v>
      </c>
      <c r="Y2483">
        <f>COUNTIFS(A$3:A2483,"="&amp;A2483,K$3:K2483,"="&amp;K2483)</f>
        <v>2</v>
      </c>
      <c r="Z2483" s="20">
        <f>SUMIFS(T$3:T2483,L$3:L2483,"=Intermission")+SUMIFS(T$3:T2483,L$3:L2483,"=Timeout")+SUMIFS(T$3:T2483,L$3:L2483,"=Clockstop")</f>
        <v>225</v>
      </c>
      <c r="AA2483">
        <f t="shared" si="1396"/>
        <v>2385</v>
      </c>
      <c r="AC2483">
        <f t="shared" si="1397"/>
        <v>2610</v>
      </c>
    </row>
    <row r="2484" spans="1:29" x14ac:dyDescent="0.2">
      <c r="A2484">
        <v>1344</v>
      </c>
      <c r="D2484">
        <f t="shared" si="1398"/>
        <v>3</v>
      </c>
      <c r="E2484">
        <v>0</v>
      </c>
      <c r="F2484" s="6" t="s">
        <v>451</v>
      </c>
      <c r="G2484">
        <v>0</v>
      </c>
      <c r="H2484" s="8" t="s">
        <v>478</v>
      </c>
      <c r="I2484" t="s">
        <v>179</v>
      </c>
      <c r="J2484">
        <v>18</v>
      </c>
      <c r="K2484" t="s">
        <v>488</v>
      </c>
      <c r="L2484" t="s">
        <v>15</v>
      </c>
      <c r="Q2484">
        <f t="shared" ref="Q2484:S2484" si="1450">Q2483</f>
        <v>18977</v>
      </c>
      <c r="R2484" t="str">
        <f t="shared" si="1450"/>
        <v>Velodrome</v>
      </c>
      <c r="S2484" t="str">
        <f t="shared" si="1450"/>
        <v>HollowBrook</v>
      </c>
      <c r="T2484" s="20">
        <f t="shared" si="1402"/>
        <v>2</v>
      </c>
      <c r="U2484">
        <f t="shared" si="1403"/>
        <v>48</v>
      </c>
      <c r="V2484">
        <f t="shared" si="1404"/>
        <v>46</v>
      </c>
      <c r="W2484" cm="1">
        <f t="array" ref="W2484">_xlfn._xlws.FILTER(shifts!A:A,(shifts!B:B=events!D2484)*(shifts!AH:AH&gt;=events!U2484)*(shifts!AI:AI&lt;=events!V2484))</f>
        <v>88</v>
      </c>
      <c r="X2484" t="str">
        <f t="shared" si="1405"/>
        <v>event_team_player_1</v>
      </c>
      <c r="Y2484">
        <f>COUNTIFS(A$3:A2484,"="&amp;A2484,K$3:K2484,"="&amp;K2484)</f>
        <v>1</v>
      </c>
      <c r="Z2484" s="20">
        <f>SUMIFS(T$3:T2484,L$3:L2484,"=Intermission")+SUMIFS(T$3:T2484,L$3:L2484,"=Timeout")+SUMIFS(T$3:T2484,L$3:L2484,"=Clockstop")</f>
        <v>225</v>
      </c>
      <c r="AA2484">
        <f t="shared" si="1396"/>
        <v>2385</v>
      </c>
      <c r="AC2484">
        <f t="shared" si="1397"/>
        <v>2610</v>
      </c>
    </row>
    <row r="2485" spans="1:29" x14ac:dyDescent="0.2">
      <c r="A2485">
        <v>1345</v>
      </c>
      <c r="D2485">
        <f t="shared" si="1398"/>
        <v>3</v>
      </c>
      <c r="E2485">
        <v>0</v>
      </c>
      <c r="F2485" s="6" t="s">
        <v>478</v>
      </c>
      <c r="I2485" t="s">
        <v>179</v>
      </c>
      <c r="J2485">
        <v>18</v>
      </c>
      <c r="K2485" t="s">
        <v>488</v>
      </c>
      <c r="L2485" t="s">
        <v>7</v>
      </c>
      <c r="M2485" t="s">
        <v>222</v>
      </c>
      <c r="N2485" t="s">
        <v>53</v>
      </c>
      <c r="Q2485">
        <f t="shared" ref="Q2485:S2485" si="1451">Q2484</f>
        <v>18977</v>
      </c>
      <c r="R2485" t="str">
        <f t="shared" si="1451"/>
        <v>Velodrome</v>
      </c>
      <c r="S2485" t="str">
        <f t="shared" si="1451"/>
        <v>HollowBrook</v>
      </c>
      <c r="T2485" s="20">
        <f t="shared" si="1402"/>
        <v>0</v>
      </c>
      <c r="U2485">
        <f t="shared" si="1403"/>
        <v>46</v>
      </c>
      <c r="V2485">
        <f t="shared" si="1404"/>
        <v>46</v>
      </c>
      <c r="W2485" cm="1">
        <f t="array" ref="W2485">_xlfn._xlws.FILTER(shifts!A:A,(shifts!B:B=events!D2485)*(shifts!AH:AH&gt;=events!U2485)*(shifts!AI:AI&lt;=events!V2485))</f>
        <v>88</v>
      </c>
      <c r="X2485" t="str">
        <f t="shared" si="1405"/>
        <v>event_team_player_1</v>
      </c>
      <c r="Y2485">
        <f>COUNTIFS(A$3:A2485,"="&amp;A2485,K$3:K2485,"="&amp;K2485)</f>
        <v>1</v>
      </c>
      <c r="Z2485" s="20">
        <f>SUMIFS(T$3:T2485,L$3:L2485,"=Intermission")+SUMIFS(T$3:T2485,L$3:L2485,"=Timeout")+SUMIFS(T$3:T2485,L$3:L2485,"=Clockstop")</f>
        <v>225</v>
      </c>
      <c r="AA2485">
        <f t="shared" si="1396"/>
        <v>2385</v>
      </c>
      <c r="AC2485">
        <f t="shared" si="1397"/>
        <v>2610</v>
      </c>
    </row>
    <row r="2486" spans="1:29" x14ac:dyDescent="0.2">
      <c r="A2486">
        <v>1345</v>
      </c>
      <c r="D2486">
        <f t="shared" si="1398"/>
        <v>3</v>
      </c>
      <c r="E2486">
        <v>0</v>
      </c>
      <c r="F2486" s="6" t="s">
        <v>478</v>
      </c>
      <c r="I2486" t="s">
        <v>179</v>
      </c>
      <c r="J2486">
        <v>11</v>
      </c>
      <c r="K2486" t="s">
        <v>488</v>
      </c>
      <c r="L2486" t="s">
        <v>7</v>
      </c>
      <c r="M2486" t="s">
        <v>222</v>
      </c>
      <c r="N2486" t="s">
        <v>53</v>
      </c>
      <c r="Q2486">
        <f t="shared" ref="Q2486:S2486" si="1452">Q2485</f>
        <v>18977</v>
      </c>
      <c r="R2486" t="str">
        <f t="shared" si="1452"/>
        <v>Velodrome</v>
      </c>
      <c r="S2486" t="str">
        <f t="shared" si="1452"/>
        <v>HollowBrook</v>
      </c>
      <c r="T2486" s="20">
        <f t="shared" si="1402"/>
        <v>0</v>
      </c>
      <c r="U2486">
        <f t="shared" si="1403"/>
        <v>46</v>
      </c>
      <c r="V2486">
        <f t="shared" si="1404"/>
        <v>46</v>
      </c>
      <c r="W2486" cm="1">
        <f t="array" ref="W2486">_xlfn._xlws.FILTER(shifts!A:A,(shifts!B:B=events!D2486)*(shifts!AH:AH&gt;=events!U2486)*(shifts!AI:AI&lt;=events!V2486))</f>
        <v>88</v>
      </c>
      <c r="X2486" t="str">
        <f t="shared" si="1405"/>
        <v>event_team_player_2</v>
      </c>
      <c r="Y2486">
        <f>COUNTIFS(A$3:A2486,"="&amp;A2486,K$3:K2486,"="&amp;K2486)</f>
        <v>2</v>
      </c>
      <c r="Z2486" s="20">
        <f>SUMIFS(T$3:T2486,L$3:L2486,"=Intermission")+SUMIFS(T$3:T2486,L$3:L2486,"=Timeout")+SUMIFS(T$3:T2486,L$3:L2486,"=Clockstop")</f>
        <v>225</v>
      </c>
      <c r="AA2486">
        <f t="shared" si="1396"/>
        <v>2385</v>
      </c>
      <c r="AC2486">
        <f t="shared" si="1397"/>
        <v>2610</v>
      </c>
    </row>
    <row r="2487" spans="1:29" x14ac:dyDescent="0.2">
      <c r="A2487">
        <v>1345</v>
      </c>
      <c r="D2487">
        <f t="shared" si="1398"/>
        <v>3</v>
      </c>
      <c r="E2487">
        <v>0</v>
      </c>
      <c r="F2487" s="6" t="s">
        <v>478</v>
      </c>
      <c r="I2487" t="s">
        <v>179</v>
      </c>
      <c r="J2487">
        <v>19</v>
      </c>
      <c r="K2487" t="s">
        <v>488</v>
      </c>
      <c r="L2487" t="s">
        <v>7</v>
      </c>
      <c r="M2487" t="s">
        <v>222</v>
      </c>
      <c r="N2487" t="s">
        <v>53</v>
      </c>
      <c r="Q2487">
        <f t="shared" ref="Q2487:S2487" si="1453">Q2486</f>
        <v>18977</v>
      </c>
      <c r="R2487" t="str">
        <f t="shared" si="1453"/>
        <v>Velodrome</v>
      </c>
      <c r="S2487" t="str">
        <f t="shared" si="1453"/>
        <v>HollowBrook</v>
      </c>
      <c r="T2487" s="20">
        <f t="shared" si="1402"/>
        <v>0</v>
      </c>
      <c r="U2487">
        <f t="shared" si="1403"/>
        <v>46</v>
      </c>
      <c r="V2487">
        <f t="shared" si="1404"/>
        <v>46</v>
      </c>
      <c r="W2487" cm="1">
        <f t="array" ref="W2487">_xlfn._xlws.FILTER(shifts!A:A,(shifts!B:B=events!D2487)*(shifts!AH:AH&gt;=events!U2487)*(shifts!AI:AI&lt;=events!V2487))</f>
        <v>88</v>
      </c>
      <c r="X2487" t="str">
        <f t="shared" si="1405"/>
        <v>event_team_player_3</v>
      </c>
      <c r="Y2487">
        <f>COUNTIFS(A$3:A2487,"="&amp;A2487,K$3:K2487,"="&amp;K2487)</f>
        <v>3</v>
      </c>
      <c r="Z2487" s="20">
        <f>SUMIFS(T$3:T2487,L$3:L2487,"=Intermission")+SUMIFS(T$3:T2487,L$3:L2487,"=Timeout")+SUMIFS(T$3:T2487,L$3:L2487,"=Clockstop")</f>
        <v>225</v>
      </c>
      <c r="AA2487">
        <f t="shared" si="1396"/>
        <v>2385</v>
      </c>
      <c r="AC2487">
        <f t="shared" si="1397"/>
        <v>2610</v>
      </c>
    </row>
    <row r="2488" spans="1:29" x14ac:dyDescent="0.2">
      <c r="A2488">
        <v>1345</v>
      </c>
      <c r="D2488">
        <f t="shared" si="1398"/>
        <v>3</v>
      </c>
      <c r="E2488">
        <v>0</v>
      </c>
      <c r="F2488" s="6" t="s">
        <v>478</v>
      </c>
      <c r="I2488" t="s">
        <v>179</v>
      </c>
      <c r="J2488">
        <v>26</v>
      </c>
      <c r="K2488" t="s">
        <v>488</v>
      </c>
      <c r="L2488" t="s">
        <v>7</v>
      </c>
      <c r="M2488" t="s">
        <v>222</v>
      </c>
      <c r="N2488" t="s">
        <v>53</v>
      </c>
      <c r="Q2488">
        <f t="shared" ref="Q2488:S2488" si="1454">Q2487</f>
        <v>18977</v>
      </c>
      <c r="R2488" t="str">
        <f t="shared" si="1454"/>
        <v>Velodrome</v>
      </c>
      <c r="S2488" t="str">
        <f t="shared" si="1454"/>
        <v>HollowBrook</v>
      </c>
      <c r="T2488" s="20">
        <f t="shared" si="1402"/>
        <v>0</v>
      </c>
      <c r="U2488">
        <f t="shared" si="1403"/>
        <v>46</v>
      </c>
      <c r="V2488">
        <f t="shared" si="1404"/>
        <v>46</v>
      </c>
      <c r="W2488" cm="1">
        <f t="array" ref="W2488">_xlfn._xlws.FILTER(shifts!A:A,(shifts!B:B=events!D2488)*(shifts!AH:AH&gt;=events!U2488)*(shifts!AI:AI&lt;=events!V2488))</f>
        <v>88</v>
      </c>
      <c r="X2488" t="str">
        <f t="shared" si="1405"/>
        <v>event_team_player_4</v>
      </c>
      <c r="Y2488">
        <f>COUNTIFS(A$3:A2488,"="&amp;A2488,K$3:K2488,"="&amp;K2488)</f>
        <v>4</v>
      </c>
      <c r="Z2488" s="20">
        <f>SUMIFS(T$3:T2488,L$3:L2488,"=Intermission")+SUMIFS(T$3:T2488,L$3:L2488,"=Timeout")+SUMIFS(T$3:T2488,L$3:L2488,"=Clockstop")</f>
        <v>225</v>
      </c>
      <c r="AA2488">
        <f t="shared" si="1396"/>
        <v>2385</v>
      </c>
      <c r="AC2488">
        <f t="shared" si="1397"/>
        <v>2610</v>
      </c>
    </row>
    <row r="2489" spans="1:29" x14ac:dyDescent="0.2">
      <c r="A2489">
        <v>1345</v>
      </c>
      <c r="D2489">
        <f t="shared" si="1398"/>
        <v>3</v>
      </c>
      <c r="E2489">
        <v>0</v>
      </c>
      <c r="F2489" s="6" t="s">
        <v>478</v>
      </c>
      <c r="I2489" t="s">
        <v>179</v>
      </c>
      <c r="J2489">
        <v>39</v>
      </c>
      <c r="K2489" t="s">
        <v>489</v>
      </c>
      <c r="L2489" t="s">
        <v>7</v>
      </c>
      <c r="M2489" t="s">
        <v>222</v>
      </c>
      <c r="N2489" t="s">
        <v>53</v>
      </c>
      <c r="Q2489">
        <f t="shared" ref="Q2489:S2489" si="1455">Q2488</f>
        <v>18977</v>
      </c>
      <c r="R2489" t="str">
        <f t="shared" si="1455"/>
        <v>Velodrome</v>
      </c>
      <c r="S2489" t="str">
        <f t="shared" si="1455"/>
        <v>HollowBrook</v>
      </c>
      <c r="T2489" s="20">
        <f t="shared" si="1402"/>
        <v>0</v>
      </c>
      <c r="U2489">
        <f t="shared" si="1403"/>
        <v>46</v>
      </c>
      <c r="V2489">
        <f t="shared" si="1404"/>
        <v>46</v>
      </c>
      <c r="W2489" cm="1">
        <f t="array" ref="W2489">_xlfn._xlws.FILTER(shifts!A:A,(shifts!B:B=events!D2489)*(shifts!AH:AH&gt;=events!U2489)*(shifts!AI:AI&lt;=events!V2489))</f>
        <v>88</v>
      </c>
      <c r="X2489" t="str">
        <f t="shared" si="1405"/>
        <v>opp_team_player_1</v>
      </c>
      <c r="Y2489">
        <f>COUNTIFS(A$3:A2489,"="&amp;A2489,K$3:K2489,"="&amp;K2489)</f>
        <v>1</v>
      </c>
      <c r="Z2489" s="20">
        <f>SUMIFS(T$3:T2489,L$3:L2489,"=Intermission")+SUMIFS(T$3:T2489,L$3:L2489,"=Timeout")+SUMIFS(T$3:T2489,L$3:L2489,"=Clockstop")</f>
        <v>225</v>
      </c>
      <c r="AA2489">
        <f t="shared" si="1396"/>
        <v>2385</v>
      </c>
      <c r="AC2489">
        <f t="shared" si="1397"/>
        <v>2610</v>
      </c>
    </row>
    <row r="2490" spans="1:29" x14ac:dyDescent="0.2">
      <c r="A2490">
        <v>1345</v>
      </c>
      <c r="D2490">
        <f t="shared" si="1398"/>
        <v>3</v>
      </c>
      <c r="E2490">
        <v>0</v>
      </c>
      <c r="F2490" s="6" t="s">
        <v>478</v>
      </c>
      <c r="I2490" t="s">
        <v>179</v>
      </c>
      <c r="J2490">
        <v>91</v>
      </c>
      <c r="K2490" t="s">
        <v>489</v>
      </c>
      <c r="L2490" t="s">
        <v>7</v>
      </c>
      <c r="M2490" t="s">
        <v>222</v>
      </c>
      <c r="N2490" t="s">
        <v>53</v>
      </c>
      <c r="Q2490">
        <f t="shared" ref="Q2490:S2490" si="1456">Q2489</f>
        <v>18977</v>
      </c>
      <c r="R2490" t="str">
        <f t="shared" si="1456"/>
        <v>Velodrome</v>
      </c>
      <c r="S2490" t="str">
        <f t="shared" si="1456"/>
        <v>HollowBrook</v>
      </c>
      <c r="T2490" s="20">
        <f t="shared" si="1402"/>
        <v>0</v>
      </c>
      <c r="U2490">
        <f t="shared" si="1403"/>
        <v>46</v>
      </c>
      <c r="V2490">
        <f t="shared" si="1404"/>
        <v>46</v>
      </c>
      <c r="W2490" cm="1">
        <f t="array" ref="W2490">_xlfn._xlws.FILTER(shifts!A:A,(shifts!B:B=events!D2490)*(shifts!AH:AH&gt;=events!U2490)*(shifts!AI:AI&lt;=events!V2490))</f>
        <v>88</v>
      </c>
      <c r="X2490" t="str">
        <f t="shared" si="1405"/>
        <v>opp_team_player_2</v>
      </c>
      <c r="Y2490">
        <f>COUNTIFS(A$3:A2490,"="&amp;A2490,K$3:K2490,"="&amp;K2490)</f>
        <v>2</v>
      </c>
      <c r="Z2490" s="20">
        <f>SUMIFS(T$3:T2490,L$3:L2490,"=Intermission")+SUMIFS(T$3:T2490,L$3:L2490,"=Timeout")+SUMIFS(T$3:T2490,L$3:L2490,"=Clockstop")</f>
        <v>225</v>
      </c>
      <c r="AA2490">
        <f t="shared" si="1396"/>
        <v>2385</v>
      </c>
      <c r="AC2490">
        <f t="shared" si="1397"/>
        <v>2610</v>
      </c>
    </row>
    <row r="2491" spans="1:29" x14ac:dyDescent="0.2">
      <c r="A2491">
        <v>1345</v>
      </c>
      <c r="D2491">
        <f t="shared" si="1398"/>
        <v>3</v>
      </c>
      <c r="E2491">
        <v>0</v>
      </c>
      <c r="F2491" s="6" t="s">
        <v>478</v>
      </c>
      <c r="I2491" t="s">
        <v>179</v>
      </c>
      <c r="J2491">
        <v>52</v>
      </c>
      <c r="K2491" t="s">
        <v>489</v>
      </c>
      <c r="L2491" t="s">
        <v>7</v>
      </c>
      <c r="M2491" t="s">
        <v>222</v>
      </c>
      <c r="N2491" t="s">
        <v>53</v>
      </c>
      <c r="Q2491">
        <f t="shared" ref="Q2491:S2491" si="1457">Q2490</f>
        <v>18977</v>
      </c>
      <c r="R2491" t="str">
        <f t="shared" si="1457"/>
        <v>Velodrome</v>
      </c>
      <c r="S2491" t="str">
        <f t="shared" si="1457"/>
        <v>HollowBrook</v>
      </c>
      <c r="T2491" s="20">
        <f t="shared" si="1402"/>
        <v>0</v>
      </c>
      <c r="U2491">
        <f t="shared" si="1403"/>
        <v>46</v>
      </c>
      <c r="V2491">
        <f t="shared" si="1404"/>
        <v>46</v>
      </c>
      <c r="W2491" cm="1">
        <f t="array" ref="W2491">_xlfn._xlws.FILTER(shifts!A:A,(shifts!B:B=events!D2491)*(shifts!AH:AH&gt;=events!U2491)*(shifts!AI:AI&lt;=events!V2491))</f>
        <v>88</v>
      </c>
      <c r="X2491" t="str">
        <f t="shared" si="1405"/>
        <v>opp_team_player_3</v>
      </c>
      <c r="Y2491">
        <f>COUNTIFS(A$3:A2491,"="&amp;A2491,K$3:K2491,"="&amp;K2491)</f>
        <v>3</v>
      </c>
      <c r="Z2491" s="20">
        <f>SUMIFS(T$3:T2491,L$3:L2491,"=Intermission")+SUMIFS(T$3:T2491,L$3:L2491,"=Timeout")+SUMIFS(T$3:T2491,L$3:L2491,"=Clockstop")</f>
        <v>225</v>
      </c>
      <c r="AA2491">
        <f t="shared" si="1396"/>
        <v>2385</v>
      </c>
      <c r="AC2491">
        <f t="shared" si="1397"/>
        <v>2610</v>
      </c>
    </row>
    <row r="2492" spans="1:29" x14ac:dyDescent="0.2">
      <c r="A2492">
        <v>1345</v>
      </c>
      <c r="D2492">
        <f t="shared" si="1398"/>
        <v>3</v>
      </c>
      <c r="E2492">
        <v>0</v>
      </c>
      <c r="F2492" s="6" t="s">
        <v>478</v>
      </c>
      <c r="I2492" t="s">
        <v>179</v>
      </c>
      <c r="J2492">
        <v>9</v>
      </c>
      <c r="K2492" t="s">
        <v>489</v>
      </c>
      <c r="L2492" t="s">
        <v>7</v>
      </c>
      <c r="M2492" t="s">
        <v>222</v>
      </c>
      <c r="N2492" t="s">
        <v>53</v>
      </c>
      <c r="Q2492">
        <f t="shared" ref="Q2492:S2492" si="1458">Q2491</f>
        <v>18977</v>
      </c>
      <c r="R2492" t="str">
        <f t="shared" si="1458"/>
        <v>Velodrome</v>
      </c>
      <c r="S2492" t="str">
        <f t="shared" si="1458"/>
        <v>HollowBrook</v>
      </c>
      <c r="T2492" s="20">
        <f t="shared" si="1402"/>
        <v>0</v>
      </c>
      <c r="U2492">
        <f t="shared" si="1403"/>
        <v>46</v>
      </c>
      <c r="V2492">
        <f t="shared" si="1404"/>
        <v>46</v>
      </c>
      <c r="W2492" cm="1">
        <f t="array" ref="W2492">_xlfn._xlws.FILTER(shifts!A:A,(shifts!B:B=events!D2492)*(shifts!AH:AH&gt;=events!U2492)*(shifts!AI:AI&lt;=events!V2492))</f>
        <v>88</v>
      </c>
      <c r="X2492" t="str">
        <f t="shared" si="1405"/>
        <v>opp_team_player_4</v>
      </c>
      <c r="Y2492">
        <f>COUNTIFS(A$3:A2492,"="&amp;A2492,K$3:K2492,"="&amp;K2492)</f>
        <v>4</v>
      </c>
      <c r="Z2492" s="20">
        <f>SUMIFS(T$3:T2492,L$3:L2492,"=Intermission")+SUMIFS(T$3:T2492,L$3:L2492,"=Timeout")+SUMIFS(T$3:T2492,L$3:L2492,"=Clockstop")</f>
        <v>225</v>
      </c>
      <c r="AA2492">
        <f t="shared" si="1396"/>
        <v>2385</v>
      </c>
      <c r="AC2492">
        <f t="shared" si="1397"/>
        <v>2610</v>
      </c>
    </row>
    <row r="2493" spans="1:29" x14ac:dyDescent="0.2">
      <c r="A2493">
        <v>1346</v>
      </c>
      <c r="D2493">
        <f t="shared" si="1398"/>
        <v>3</v>
      </c>
      <c r="E2493">
        <v>0</v>
      </c>
      <c r="F2493" s="6" t="s">
        <v>478</v>
      </c>
      <c r="I2493" t="s">
        <v>178</v>
      </c>
      <c r="J2493">
        <v>39</v>
      </c>
      <c r="K2493" t="s">
        <v>488</v>
      </c>
      <c r="L2493" t="s">
        <v>17</v>
      </c>
      <c r="M2493" t="s">
        <v>196</v>
      </c>
      <c r="N2493" t="s">
        <v>102</v>
      </c>
      <c r="Q2493">
        <f t="shared" ref="Q2493:S2493" si="1459">Q2492</f>
        <v>18977</v>
      </c>
      <c r="R2493" t="str">
        <f t="shared" si="1459"/>
        <v>Velodrome</v>
      </c>
      <c r="S2493" t="str">
        <f t="shared" si="1459"/>
        <v>HollowBrook</v>
      </c>
      <c r="T2493" s="20">
        <f t="shared" si="1402"/>
        <v>0</v>
      </c>
      <c r="U2493">
        <f t="shared" si="1403"/>
        <v>46</v>
      </c>
      <c r="V2493">
        <f t="shared" si="1404"/>
        <v>46</v>
      </c>
      <c r="W2493" cm="1">
        <f t="array" ref="W2493">_xlfn._xlws.FILTER(shifts!A:A,(shifts!B:B=events!D2493)*(shifts!AH:AH&gt;=events!U2493)*(shifts!AI:AI&lt;=events!V2493))</f>
        <v>88</v>
      </c>
      <c r="X2493" t="str">
        <f t="shared" si="1405"/>
        <v>event_team_player_1</v>
      </c>
      <c r="Y2493">
        <f>COUNTIFS(A$3:A2493,"="&amp;A2493,K$3:K2493,"="&amp;K2493)</f>
        <v>1</v>
      </c>
      <c r="Z2493" s="20">
        <f>SUMIFS(T$3:T2493,L$3:L2493,"=Intermission")+SUMIFS(T$3:T2493,L$3:L2493,"=Timeout")+SUMIFS(T$3:T2493,L$3:L2493,"=Clockstop")</f>
        <v>225</v>
      </c>
      <c r="AA2493">
        <f t="shared" si="1396"/>
        <v>2385</v>
      </c>
      <c r="AC2493">
        <f t="shared" si="1397"/>
        <v>2610</v>
      </c>
    </row>
    <row r="2494" spans="1:29" x14ac:dyDescent="0.2">
      <c r="A2494">
        <v>1346</v>
      </c>
      <c r="D2494">
        <f t="shared" si="1398"/>
        <v>3</v>
      </c>
      <c r="E2494">
        <v>0</v>
      </c>
      <c r="F2494" s="6" t="s">
        <v>478</v>
      </c>
      <c r="I2494" t="s">
        <v>178</v>
      </c>
      <c r="J2494">
        <v>91</v>
      </c>
      <c r="K2494" t="s">
        <v>488</v>
      </c>
      <c r="L2494" t="s">
        <v>17</v>
      </c>
      <c r="M2494" t="s">
        <v>196</v>
      </c>
      <c r="N2494" t="s">
        <v>102</v>
      </c>
      <c r="Q2494">
        <f t="shared" ref="Q2494:S2494" si="1460">Q2493</f>
        <v>18977</v>
      </c>
      <c r="R2494" t="str">
        <f t="shared" si="1460"/>
        <v>Velodrome</v>
      </c>
      <c r="S2494" t="str">
        <f t="shared" si="1460"/>
        <v>HollowBrook</v>
      </c>
      <c r="T2494" s="20">
        <f t="shared" si="1402"/>
        <v>0</v>
      </c>
      <c r="U2494">
        <f t="shared" si="1403"/>
        <v>46</v>
      </c>
      <c r="V2494">
        <f t="shared" si="1404"/>
        <v>46</v>
      </c>
      <c r="W2494" cm="1">
        <f t="array" ref="W2494">_xlfn._xlws.FILTER(shifts!A:A,(shifts!B:B=events!D2494)*(shifts!AH:AH&gt;=events!U2494)*(shifts!AI:AI&lt;=events!V2494))</f>
        <v>88</v>
      </c>
      <c r="X2494" t="str">
        <f t="shared" si="1405"/>
        <v>event_team_player_2</v>
      </c>
      <c r="Y2494">
        <f>COUNTIFS(A$3:A2494,"="&amp;A2494,K$3:K2494,"="&amp;K2494)</f>
        <v>2</v>
      </c>
      <c r="Z2494" s="20">
        <f>SUMIFS(T$3:T2494,L$3:L2494,"=Intermission")+SUMIFS(T$3:T2494,L$3:L2494,"=Timeout")+SUMIFS(T$3:T2494,L$3:L2494,"=Clockstop")</f>
        <v>225</v>
      </c>
      <c r="AA2494">
        <f t="shared" si="1396"/>
        <v>2385</v>
      </c>
      <c r="AC2494">
        <f t="shared" si="1397"/>
        <v>2610</v>
      </c>
    </row>
    <row r="2495" spans="1:29" x14ac:dyDescent="0.2">
      <c r="A2495">
        <v>1346</v>
      </c>
      <c r="D2495">
        <f t="shared" si="1398"/>
        <v>3</v>
      </c>
      <c r="E2495">
        <v>0</v>
      </c>
      <c r="F2495" s="6" t="s">
        <v>478</v>
      </c>
      <c r="I2495" t="s">
        <v>178</v>
      </c>
      <c r="J2495">
        <v>52</v>
      </c>
      <c r="K2495" t="s">
        <v>488</v>
      </c>
      <c r="L2495" t="s">
        <v>17</v>
      </c>
      <c r="M2495" t="s">
        <v>196</v>
      </c>
      <c r="N2495" t="s">
        <v>102</v>
      </c>
      <c r="Q2495">
        <f t="shared" ref="Q2495:S2495" si="1461">Q2494</f>
        <v>18977</v>
      </c>
      <c r="R2495" t="str">
        <f t="shared" si="1461"/>
        <v>Velodrome</v>
      </c>
      <c r="S2495" t="str">
        <f t="shared" si="1461"/>
        <v>HollowBrook</v>
      </c>
      <c r="T2495" s="20">
        <f t="shared" si="1402"/>
        <v>0</v>
      </c>
      <c r="U2495">
        <f t="shared" si="1403"/>
        <v>46</v>
      </c>
      <c r="V2495">
        <f t="shared" si="1404"/>
        <v>46</v>
      </c>
      <c r="W2495" cm="1">
        <f t="array" ref="W2495">_xlfn._xlws.FILTER(shifts!A:A,(shifts!B:B=events!D2495)*(shifts!AH:AH&gt;=events!U2495)*(shifts!AI:AI&lt;=events!V2495))</f>
        <v>88</v>
      </c>
      <c r="X2495" t="str">
        <f t="shared" si="1405"/>
        <v>event_team_player_3</v>
      </c>
      <c r="Y2495">
        <f>COUNTIFS(A$3:A2495,"="&amp;A2495,K$3:K2495,"="&amp;K2495)</f>
        <v>3</v>
      </c>
      <c r="Z2495" s="20">
        <f>SUMIFS(T$3:T2495,L$3:L2495,"=Intermission")+SUMIFS(T$3:T2495,L$3:L2495,"=Timeout")+SUMIFS(T$3:T2495,L$3:L2495,"=Clockstop")</f>
        <v>225</v>
      </c>
      <c r="AA2495">
        <f t="shared" si="1396"/>
        <v>2385</v>
      </c>
      <c r="AC2495">
        <f t="shared" si="1397"/>
        <v>2610</v>
      </c>
    </row>
    <row r="2496" spans="1:29" x14ac:dyDescent="0.2">
      <c r="A2496">
        <v>1346</v>
      </c>
      <c r="D2496">
        <f t="shared" si="1398"/>
        <v>3</v>
      </c>
      <c r="E2496">
        <v>0</v>
      </c>
      <c r="F2496" s="6" t="s">
        <v>478</v>
      </c>
      <c r="I2496" t="s">
        <v>178</v>
      </c>
      <c r="J2496">
        <v>9</v>
      </c>
      <c r="K2496" t="s">
        <v>488</v>
      </c>
      <c r="L2496" t="s">
        <v>17</v>
      </c>
      <c r="M2496" t="s">
        <v>196</v>
      </c>
      <c r="N2496" t="s">
        <v>102</v>
      </c>
      <c r="Q2496">
        <f t="shared" ref="Q2496:S2496" si="1462">Q2495</f>
        <v>18977</v>
      </c>
      <c r="R2496" t="str">
        <f t="shared" si="1462"/>
        <v>Velodrome</v>
      </c>
      <c r="S2496" t="str">
        <f t="shared" si="1462"/>
        <v>HollowBrook</v>
      </c>
      <c r="T2496" s="20">
        <f t="shared" si="1402"/>
        <v>0</v>
      </c>
      <c r="U2496">
        <f t="shared" si="1403"/>
        <v>46</v>
      </c>
      <c r="V2496">
        <f t="shared" si="1404"/>
        <v>46</v>
      </c>
      <c r="W2496" cm="1">
        <f t="array" ref="W2496">_xlfn._xlws.FILTER(shifts!A:A,(shifts!B:B=events!D2496)*(shifts!AH:AH&gt;=events!U2496)*(shifts!AI:AI&lt;=events!V2496))</f>
        <v>88</v>
      </c>
      <c r="X2496" t="str">
        <f t="shared" si="1405"/>
        <v>event_team_player_4</v>
      </c>
      <c r="Y2496">
        <f>COUNTIFS(A$3:A2496,"="&amp;A2496,K$3:K2496,"="&amp;K2496)</f>
        <v>4</v>
      </c>
      <c r="Z2496" s="20">
        <f>SUMIFS(T$3:T2496,L$3:L2496,"=Intermission")+SUMIFS(T$3:T2496,L$3:L2496,"=Timeout")+SUMIFS(T$3:T2496,L$3:L2496,"=Clockstop")</f>
        <v>225</v>
      </c>
      <c r="AA2496">
        <f t="shared" si="1396"/>
        <v>2385</v>
      </c>
      <c r="AC2496">
        <f t="shared" si="1397"/>
        <v>2610</v>
      </c>
    </row>
    <row r="2497" spans="1:29" x14ac:dyDescent="0.2">
      <c r="A2497">
        <v>1346</v>
      </c>
      <c r="D2497">
        <f t="shared" si="1398"/>
        <v>3</v>
      </c>
      <c r="E2497">
        <v>0</v>
      </c>
      <c r="F2497" s="6" t="s">
        <v>478</v>
      </c>
      <c r="I2497" t="s">
        <v>178</v>
      </c>
      <c r="J2497">
        <v>18</v>
      </c>
      <c r="K2497" t="s">
        <v>489</v>
      </c>
      <c r="L2497" t="s">
        <v>17</v>
      </c>
      <c r="M2497" t="s">
        <v>196</v>
      </c>
      <c r="N2497" t="s">
        <v>102</v>
      </c>
      <c r="Q2497">
        <f t="shared" ref="Q2497:S2497" si="1463">Q2496</f>
        <v>18977</v>
      </c>
      <c r="R2497" t="str">
        <f t="shared" si="1463"/>
        <v>Velodrome</v>
      </c>
      <c r="S2497" t="str">
        <f t="shared" si="1463"/>
        <v>HollowBrook</v>
      </c>
      <c r="T2497" s="20">
        <f t="shared" si="1402"/>
        <v>0</v>
      </c>
      <c r="U2497">
        <f t="shared" si="1403"/>
        <v>46</v>
      </c>
      <c r="V2497">
        <f t="shared" si="1404"/>
        <v>46</v>
      </c>
      <c r="W2497" cm="1">
        <f t="array" ref="W2497">_xlfn._xlws.FILTER(shifts!A:A,(shifts!B:B=events!D2497)*(shifts!AH:AH&gt;=events!U2497)*(shifts!AI:AI&lt;=events!V2497))</f>
        <v>88</v>
      </c>
      <c r="X2497" t="str">
        <f t="shared" si="1405"/>
        <v>opp_team_player_1</v>
      </c>
      <c r="Y2497">
        <f>COUNTIFS(A$3:A2497,"="&amp;A2497,K$3:K2497,"="&amp;K2497)</f>
        <v>1</v>
      </c>
      <c r="Z2497" s="20">
        <f>SUMIFS(T$3:T2497,L$3:L2497,"=Intermission")+SUMIFS(T$3:T2497,L$3:L2497,"=Timeout")+SUMIFS(T$3:T2497,L$3:L2497,"=Clockstop")</f>
        <v>225</v>
      </c>
      <c r="AA2497">
        <f t="shared" si="1396"/>
        <v>2385</v>
      </c>
      <c r="AC2497">
        <f t="shared" si="1397"/>
        <v>2610</v>
      </c>
    </row>
    <row r="2498" spans="1:29" x14ac:dyDescent="0.2">
      <c r="A2498">
        <v>1346</v>
      </c>
      <c r="D2498">
        <f t="shared" si="1398"/>
        <v>3</v>
      </c>
      <c r="E2498">
        <v>0</v>
      </c>
      <c r="F2498" s="6" t="s">
        <v>478</v>
      </c>
      <c r="I2498" t="s">
        <v>178</v>
      </c>
      <c r="J2498">
        <v>11</v>
      </c>
      <c r="K2498" t="s">
        <v>489</v>
      </c>
      <c r="L2498" t="s">
        <v>17</v>
      </c>
      <c r="M2498" t="s">
        <v>196</v>
      </c>
      <c r="N2498" t="s">
        <v>102</v>
      </c>
      <c r="Q2498">
        <f t="shared" ref="Q2498:S2498" si="1464">Q2497</f>
        <v>18977</v>
      </c>
      <c r="R2498" t="str">
        <f t="shared" si="1464"/>
        <v>Velodrome</v>
      </c>
      <c r="S2498" t="str">
        <f t="shared" si="1464"/>
        <v>HollowBrook</v>
      </c>
      <c r="T2498" s="20">
        <f t="shared" si="1402"/>
        <v>0</v>
      </c>
      <c r="U2498">
        <f t="shared" si="1403"/>
        <v>46</v>
      </c>
      <c r="V2498">
        <f t="shared" si="1404"/>
        <v>46</v>
      </c>
      <c r="W2498" cm="1">
        <f t="array" ref="W2498">_xlfn._xlws.FILTER(shifts!A:A,(shifts!B:B=events!D2498)*(shifts!AH:AH&gt;=events!U2498)*(shifts!AI:AI&lt;=events!V2498))</f>
        <v>88</v>
      </c>
      <c r="X2498" t="str">
        <f t="shared" si="1405"/>
        <v>opp_team_player_2</v>
      </c>
      <c r="Y2498">
        <f>COUNTIFS(A$3:A2498,"="&amp;A2498,K$3:K2498,"="&amp;K2498)</f>
        <v>2</v>
      </c>
      <c r="Z2498" s="20">
        <f>SUMIFS(T$3:T2498,L$3:L2498,"=Intermission")+SUMIFS(T$3:T2498,L$3:L2498,"=Timeout")+SUMIFS(T$3:T2498,L$3:L2498,"=Clockstop")</f>
        <v>225</v>
      </c>
      <c r="AA2498">
        <f t="shared" si="1396"/>
        <v>2385</v>
      </c>
      <c r="AC2498">
        <f t="shared" si="1397"/>
        <v>2610</v>
      </c>
    </row>
    <row r="2499" spans="1:29" x14ac:dyDescent="0.2">
      <c r="A2499">
        <v>1346</v>
      </c>
      <c r="D2499">
        <f t="shared" si="1398"/>
        <v>3</v>
      </c>
      <c r="E2499">
        <v>0</v>
      </c>
      <c r="F2499" s="6" t="s">
        <v>478</v>
      </c>
      <c r="I2499" t="s">
        <v>178</v>
      </c>
      <c r="J2499">
        <v>19</v>
      </c>
      <c r="K2499" t="s">
        <v>489</v>
      </c>
      <c r="L2499" t="s">
        <v>17</v>
      </c>
      <c r="M2499" t="s">
        <v>196</v>
      </c>
      <c r="N2499" t="s">
        <v>102</v>
      </c>
      <c r="Q2499">
        <f t="shared" ref="Q2499:S2499" si="1465">Q2498</f>
        <v>18977</v>
      </c>
      <c r="R2499" t="str">
        <f t="shared" si="1465"/>
        <v>Velodrome</v>
      </c>
      <c r="S2499" t="str">
        <f t="shared" si="1465"/>
        <v>HollowBrook</v>
      </c>
      <c r="T2499" s="20">
        <f t="shared" si="1402"/>
        <v>0</v>
      </c>
      <c r="U2499">
        <f t="shared" si="1403"/>
        <v>46</v>
      </c>
      <c r="V2499">
        <f t="shared" si="1404"/>
        <v>46</v>
      </c>
      <c r="W2499" cm="1">
        <f t="array" ref="W2499">_xlfn._xlws.FILTER(shifts!A:A,(shifts!B:B=events!D2499)*(shifts!AH:AH&gt;=events!U2499)*(shifts!AI:AI&lt;=events!V2499))</f>
        <v>88</v>
      </c>
      <c r="X2499" t="str">
        <f t="shared" si="1405"/>
        <v>opp_team_player_3</v>
      </c>
      <c r="Y2499">
        <f>COUNTIFS(A$3:A2499,"="&amp;A2499,K$3:K2499,"="&amp;K2499)</f>
        <v>3</v>
      </c>
      <c r="Z2499" s="20">
        <f>SUMIFS(T$3:T2499,L$3:L2499,"=Intermission")+SUMIFS(T$3:T2499,L$3:L2499,"=Timeout")+SUMIFS(T$3:T2499,L$3:L2499,"=Clockstop")</f>
        <v>225</v>
      </c>
      <c r="AA2499">
        <f t="shared" si="1396"/>
        <v>2385</v>
      </c>
      <c r="AC2499">
        <f t="shared" si="1397"/>
        <v>2610</v>
      </c>
    </row>
    <row r="2500" spans="1:29" x14ac:dyDescent="0.2">
      <c r="A2500">
        <v>1346</v>
      </c>
      <c r="D2500">
        <f t="shared" si="1398"/>
        <v>3</v>
      </c>
      <c r="E2500">
        <v>0</v>
      </c>
      <c r="F2500" s="6" t="s">
        <v>478</v>
      </c>
      <c r="I2500" t="s">
        <v>178</v>
      </c>
      <c r="J2500">
        <v>26</v>
      </c>
      <c r="K2500" t="s">
        <v>489</v>
      </c>
      <c r="L2500" t="s">
        <v>17</v>
      </c>
      <c r="M2500" t="s">
        <v>196</v>
      </c>
      <c r="N2500" t="s">
        <v>102</v>
      </c>
      <c r="Q2500">
        <f t="shared" ref="Q2500:S2500" si="1466">Q2499</f>
        <v>18977</v>
      </c>
      <c r="R2500" t="str">
        <f t="shared" si="1466"/>
        <v>Velodrome</v>
      </c>
      <c r="S2500" t="str">
        <f t="shared" si="1466"/>
        <v>HollowBrook</v>
      </c>
      <c r="T2500" s="20">
        <f t="shared" si="1402"/>
        <v>0</v>
      </c>
      <c r="U2500">
        <f t="shared" si="1403"/>
        <v>46</v>
      </c>
      <c r="V2500">
        <f t="shared" si="1404"/>
        <v>46</v>
      </c>
      <c r="W2500" cm="1">
        <f t="array" ref="W2500">_xlfn._xlws.FILTER(shifts!A:A,(shifts!B:B=events!D2500)*(shifts!AH:AH&gt;=events!U2500)*(shifts!AI:AI&lt;=events!V2500))</f>
        <v>88</v>
      </c>
      <c r="X2500" t="str">
        <f t="shared" si="1405"/>
        <v>opp_team_player_4</v>
      </c>
      <c r="Y2500">
        <f>COUNTIFS(A$3:A2500,"="&amp;A2500,K$3:K2500,"="&amp;K2500)</f>
        <v>4</v>
      </c>
      <c r="Z2500" s="20">
        <f>SUMIFS(T$3:T2500,L$3:L2500,"=Intermission")+SUMIFS(T$3:T2500,L$3:L2500,"=Timeout")+SUMIFS(T$3:T2500,L$3:L2500,"=Clockstop")</f>
        <v>225</v>
      </c>
      <c r="AA2500">
        <f t="shared" ref="AA2500:AA2563" si="1467">IF(D2500=1,0,IF(D2500=2,1080+Z2500,IF(D2500=3,(1080*2)+Z2500,0)))</f>
        <v>2385</v>
      </c>
      <c r="AC2500">
        <f t="shared" ref="AC2500:AC2563" si="1468">IF(L2499="GameStart",0,AA2500+Z2500)</f>
        <v>2610</v>
      </c>
    </row>
    <row r="2501" spans="1:29" x14ac:dyDescent="0.2">
      <c r="A2501">
        <v>1347</v>
      </c>
      <c r="D2501">
        <f t="shared" ref="D2501:D2527" si="1469">IF(L2501="Intermission",D2500+1,D2500)</f>
        <v>3</v>
      </c>
      <c r="E2501">
        <v>0</v>
      </c>
      <c r="F2501" s="6" t="s">
        <v>478</v>
      </c>
      <c r="I2501" t="s">
        <v>178</v>
      </c>
      <c r="J2501">
        <v>39</v>
      </c>
      <c r="K2501" t="s">
        <v>488</v>
      </c>
      <c r="L2501" t="s">
        <v>270</v>
      </c>
      <c r="M2501" t="s">
        <v>274</v>
      </c>
      <c r="Q2501">
        <f t="shared" ref="Q2501:S2501" si="1470">Q2500</f>
        <v>18977</v>
      </c>
      <c r="R2501" t="str">
        <f t="shared" si="1470"/>
        <v>Velodrome</v>
      </c>
      <c r="S2501" t="str">
        <f t="shared" si="1470"/>
        <v>HollowBrook</v>
      </c>
      <c r="T2501" s="20">
        <f t="shared" si="1402"/>
        <v>0</v>
      </c>
      <c r="U2501">
        <f t="shared" si="1403"/>
        <v>46</v>
      </c>
      <c r="V2501">
        <f t="shared" si="1404"/>
        <v>46</v>
      </c>
      <c r="W2501" cm="1">
        <f t="array" ref="W2501">_xlfn._xlws.FILTER(shifts!A:A,(shifts!B:B=events!D2501)*(shifts!AH:AH&gt;=events!U2501)*(shifts!AI:AI&lt;=events!V2501))</f>
        <v>88</v>
      </c>
      <c r="X2501" t="str">
        <f t="shared" si="1405"/>
        <v>event_team_player_1</v>
      </c>
      <c r="Y2501">
        <f>COUNTIFS(A$3:A2501,"="&amp;A2501,K$3:K2501,"="&amp;K2501)</f>
        <v>1</v>
      </c>
      <c r="Z2501" s="20">
        <f>SUMIFS(T$3:T2501,L$3:L2501,"=Intermission")+SUMIFS(T$3:T2501,L$3:L2501,"=Timeout")+SUMIFS(T$3:T2501,L$3:L2501,"=Clockstop")</f>
        <v>225</v>
      </c>
      <c r="AA2501">
        <f t="shared" si="1467"/>
        <v>2385</v>
      </c>
      <c r="AC2501">
        <f t="shared" si="1468"/>
        <v>2610</v>
      </c>
    </row>
    <row r="2502" spans="1:29" x14ac:dyDescent="0.2">
      <c r="A2502">
        <v>1348</v>
      </c>
      <c r="D2502">
        <f t="shared" si="1469"/>
        <v>3</v>
      </c>
      <c r="E2502">
        <v>0</v>
      </c>
      <c r="F2502" s="6" t="s">
        <v>435</v>
      </c>
      <c r="I2502" t="s">
        <v>179</v>
      </c>
      <c r="J2502">
        <v>19</v>
      </c>
      <c r="K2502" t="s">
        <v>488</v>
      </c>
      <c r="L2502" t="s">
        <v>7</v>
      </c>
      <c r="M2502" t="s">
        <v>222</v>
      </c>
      <c r="N2502" t="s">
        <v>59</v>
      </c>
      <c r="Q2502">
        <f t="shared" ref="Q2502:S2502" si="1471">Q2501</f>
        <v>18977</v>
      </c>
      <c r="R2502" t="str">
        <f t="shared" si="1471"/>
        <v>Velodrome</v>
      </c>
      <c r="S2502" t="str">
        <f t="shared" si="1471"/>
        <v>HollowBrook</v>
      </c>
      <c r="T2502" s="20">
        <f t="shared" si="1402"/>
        <v>0</v>
      </c>
      <c r="U2502">
        <f t="shared" si="1403"/>
        <v>44</v>
      </c>
      <c r="V2502">
        <f t="shared" si="1404"/>
        <v>44</v>
      </c>
      <c r="W2502" cm="1">
        <f t="array" ref="W2502">_xlfn._xlws.FILTER(shifts!A:A,(shifts!B:B=events!D2502)*(shifts!AH:AH&gt;=events!U2502)*(shifts!AI:AI&lt;=events!V2502))</f>
        <v>88</v>
      </c>
      <c r="X2502" t="str">
        <f t="shared" si="1405"/>
        <v>event_team_player_1</v>
      </c>
      <c r="Y2502">
        <f>COUNTIFS(A$3:A2502,"="&amp;A2502,K$3:K2502,"="&amp;K2502)</f>
        <v>1</v>
      </c>
      <c r="Z2502" s="20">
        <f>SUMIFS(T$3:T2502,L$3:L2502,"=Intermission")+SUMIFS(T$3:T2502,L$3:L2502,"=Timeout")+SUMIFS(T$3:T2502,L$3:L2502,"=Clockstop")</f>
        <v>225</v>
      </c>
      <c r="AA2502">
        <f t="shared" si="1467"/>
        <v>2385</v>
      </c>
      <c r="AC2502">
        <f t="shared" si="1468"/>
        <v>2610</v>
      </c>
    </row>
    <row r="2503" spans="1:29" x14ac:dyDescent="0.2">
      <c r="A2503">
        <v>1348</v>
      </c>
      <c r="D2503">
        <f t="shared" si="1469"/>
        <v>3</v>
      </c>
      <c r="E2503">
        <v>0</v>
      </c>
      <c r="F2503" s="6" t="s">
        <v>435</v>
      </c>
      <c r="I2503" t="s">
        <v>179</v>
      </c>
      <c r="J2503">
        <v>39</v>
      </c>
      <c r="K2503" t="s">
        <v>489</v>
      </c>
      <c r="L2503" t="s">
        <v>7</v>
      </c>
      <c r="M2503" t="s">
        <v>222</v>
      </c>
      <c r="N2503" t="s">
        <v>59</v>
      </c>
      <c r="Q2503">
        <f t="shared" ref="Q2503:S2503" si="1472">Q2502</f>
        <v>18977</v>
      </c>
      <c r="R2503" t="str">
        <f t="shared" si="1472"/>
        <v>Velodrome</v>
      </c>
      <c r="S2503" t="str">
        <f t="shared" si="1472"/>
        <v>HollowBrook</v>
      </c>
      <c r="T2503" s="20">
        <f t="shared" ref="T2503:T2527" si="1473">IF(AND(G2503="",H2503=""),0,((E2503*60)+F2503)-((G2503*60)+H2503))</f>
        <v>0</v>
      </c>
      <c r="U2503">
        <f t="shared" ref="U2503:U2527" si="1474">(E2503*60)+F2503</f>
        <v>44</v>
      </c>
      <c r="V2503">
        <f t="shared" ref="V2503:V2527" si="1475">IF(AND(G2503="",H2503=""),U2503,((G2503*60)+H2503))</f>
        <v>44</v>
      </c>
      <c r="W2503" cm="1">
        <f t="array" ref="W2503">_xlfn._xlws.FILTER(shifts!A:A,(shifts!B:B=events!D2503)*(shifts!AH:AH&gt;=events!U2503)*(shifts!AI:AI&lt;=events!V2503))</f>
        <v>88</v>
      </c>
      <c r="X2503" t="str">
        <f t="shared" ref="X2503:X2527" si="1476">IF(K2503="e","event_team_player_"&amp;Y2503,IF(K2503="o","opp_team_player_"&amp;Y2503,""))</f>
        <v>opp_team_player_1</v>
      </c>
      <c r="Y2503">
        <f>COUNTIFS(A$3:A2503,"="&amp;A2503,K$3:K2503,"="&amp;K2503)</f>
        <v>1</v>
      </c>
      <c r="Z2503" s="20">
        <f>SUMIFS(T$3:T2503,L$3:L2503,"=Intermission")+SUMIFS(T$3:T2503,L$3:L2503,"=Timeout")+SUMIFS(T$3:T2503,L$3:L2503,"=Clockstop")</f>
        <v>225</v>
      </c>
      <c r="AA2503">
        <f t="shared" si="1467"/>
        <v>2385</v>
      </c>
      <c r="AC2503">
        <f t="shared" si="1468"/>
        <v>2610</v>
      </c>
    </row>
    <row r="2504" spans="1:29" x14ac:dyDescent="0.2">
      <c r="A2504">
        <v>1349</v>
      </c>
      <c r="D2504">
        <f t="shared" si="1469"/>
        <v>3</v>
      </c>
      <c r="E2504">
        <v>0</v>
      </c>
      <c r="F2504" s="6" t="s">
        <v>435</v>
      </c>
      <c r="I2504" t="s">
        <v>178</v>
      </c>
      <c r="J2504">
        <v>39</v>
      </c>
      <c r="K2504" t="s">
        <v>488</v>
      </c>
      <c r="L2504" t="s">
        <v>17</v>
      </c>
      <c r="M2504" t="s">
        <v>206</v>
      </c>
      <c r="N2504" t="s">
        <v>102</v>
      </c>
      <c r="Q2504">
        <f t="shared" ref="Q2504:S2504" si="1477">Q2503</f>
        <v>18977</v>
      </c>
      <c r="R2504" t="str">
        <f t="shared" si="1477"/>
        <v>Velodrome</v>
      </c>
      <c r="S2504" t="str">
        <f t="shared" si="1477"/>
        <v>HollowBrook</v>
      </c>
      <c r="T2504" s="20">
        <f t="shared" si="1473"/>
        <v>0</v>
      </c>
      <c r="U2504">
        <f t="shared" si="1474"/>
        <v>44</v>
      </c>
      <c r="V2504">
        <f t="shared" si="1475"/>
        <v>44</v>
      </c>
      <c r="W2504" cm="1">
        <f t="array" ref="W2504">_xlfn._xlws.FILTER(shifts!A:A,(shifts!B:B=events!D2504)*(shifts!AH:AH&gt;=events!U2504)*(shifts!AI:AI&lt;=events!V2504))</f>
        <v>88</v>
      </c>
      <c r="X2504" t="str">
        <f t="shared" si="1476"/>
        <v>event_team_player_1</v>
      </c>
      <c r="Y2504">
        <f>COUNTIFS(A$3:A2504,"="&amp;A2504,K$3:K2504,"="&amp;K2504)</f>
        <v>1</v>
      </c>
      <c r="Z2504" s="20">
        <f>SUMIFS(T$3:T2504,L$3:L2504,"=Intermission")+SUMIFS(T$3:T2504,L$3:L2504,"=Timeout")+SUMIFS(T$3:T2504,L$3:L2504,"=Clockstop")</f>
        <v>225</v>
      </c>
      <c r="AA2504">
        <f t="shared" si="1467"/>
        <v>2385</v>
      </c>
      <c r="AC2504">
        <f t="shared" si="1468"/>
        <v>2610</v>
      </c>
    </row>
    <row r="2505" spans="1:29" x14ac:dyDescent="0.2">
      <c r="A2505">
        <v>1349</v>
      </c>
      <c r="D2505">
        <f t="shared" si="1469"/>
        <v>3</v>
      </c>
      <c r="E2505">
        <v>0</v>
      </c>
      <c r="F2505" s="6" t="s">
        <v>435</v>
      </c>
      <c r="I2505" t="s">
        <v>178</v>
      </c>
      <c r="J2505">
        <v>19</v>
      </c>
      <c r="K2505" t="s">
        <v>489</v>
      </c>
      <c r="L2505" t="s">
        <v>17</v>
      </c>
      <c r="M2505" t="s">
        <v>206</v>
      </c>
      <c r="N2505" t="s">
        <v>102</v>
      </c>
      <c r="Q2505">
        <f t="shared" ref="Q2505:S2505" si="1478">Q2504</f>
        <v>18977</v>
      </c>
      <c r="R2505" t="str">
        <f t="shared" si="1478"/>
        <v>Velodrome</v>
      </c>
      <c r="S2505" t="str">
        <f t="shared" si="1478"/>
        <v>HollowBrook</v>
      </c>
      <c r="T2505" s="20">
        <f t="shared" si="1473"/>
        <v>0</v>
      </c>
      <c r="U2505">
        <f t="shared" si="1474"/>
        <v>44</v>
      </c>
      <c r="V2505">
        <f t="shared" si="1475"/>
        <v>44</v>
      </c>
      <c r="W2505" cm="1">
        <f t="array" ref="W2505">_xlfn._xlws.FILTER(shifts!A:A,(shifts!B:B=events!D2505)*(shifts!AH:AH&gt;=events!U2505)*(shifts!AI:AI&lt;=events!V2505))</f>
        <v>88</v>
      </c>
      <c r="X2505" t="str">
        <f t="shared" si="1476"/>
        <v>opp_team_player_1</v>
      </c>
      <c r="Y2505">
        <f>COUNTIFS(A$3:A2505,"="&amp;A2505,K$3:K2505,"="&amp;K2505)</f>
        <v>1</v>
      </c>
      <c r="Z2505" s="20">
        <f>SUMIFS(T$3:T2505,L$3:L2505,"=Intermission")+SUMIFS(T$3:T2505,L$3:L2505,"=Timeout")+SUMIFS(T$3:T2505,L$3:L2505,"=Clockstop")</f>
        <v>225</v>
      </c>
      <c r="AA2505">
        <f t="shared" si="1467"/>
        <v>2385</v>
      </c>
      <c r="AC2505">
        <f t="shared" si="1468"/>
        <v>2610</v>
      </c>
    </row>
    <row r="2506" spans="1:29" x14ac:dyDescent="0.2">
      <c r="A2506">
        <v>1350</v>
      </c>
      <c r="D2506">
        <f t="shared" si="1469"/>
        <v>3</v>
      </c>
      <c r="E2506">
        <v>0</v>
      </c>
      <c r="F2506" s="6" t="s">
        <v>435</v>
      </c>
      <c r="I2506" t="s">
        <v>178</v>
      </c>
      <c r="J2506">
        <v>39</v>
      </c>
      <c r="K2506" t="s">
        <v>488</v>
      </c>
      <c r="L2506" t="s">
        <v>13</v>
      </c>
      <c r="M2506" t="s">
        <v>204</v>
      </c>
      <c r="N2506" t="s">
        <v>110</v>
      </c>
      <c r="Q2506">
        <f t="shared" ref="Q2506:S2506" si="1479">Q2505</f>
        <v>18977</v>
      </c>
      <c r="R2506" t="str">
        <f t="shared" si="1479"/>
        <v>Velodrome</v>
      </c>
      <c r="S2506" t="str">
        <f t="shared" si="1479"/>
        <v>HollowBrook</v>
      </c>
      <c r="T2506" s="20">
        <f t="shared" si="1473"/>
        <v>0</v>
      </c>
      <c r="U2506">
        <f t="shared" si="1474"/>
        <v>44</v>
      </c>
      <c r="V2506">
        <f t="shared" si="1475"/>
        <v>44</v>
      </c>
      <c r="W2506" cm="1">
        <f t="array" ref="W2506">_xlfn._xlws.FILTER(shifts!A:A,(shifts!B:B=events!D2506)*(shifts!AH:AH&gt;=events!U2506)*(shifts!AI:AI&lt;=events!V2506))</f>
        <v>88</v>
      </c>
      <c r="X2506" t="str">
        <f t="shared" si="1476"/>
        <v>event_team_player_1</v>
      </c>
      <c r="Y2506">
        <f>COUNTIFS(A$3:A2506,"="&amp;A2506,K$3:K2506,"="&amp;K2506)</f>
        <v>1</v>
      </c>
      <c r="Z2506" s="20">
        <f>SUMIFS(T$3:T2506,L$3:L2506,"=Intermission")+SUMIFS(T$3:T2506,L$3:L2506,"=Timeout")+SUMIFS(T$3:T2506,L$3:L2506,"=Clockstop")</f>
        <v>225</v>
      </c>
      <c r="AA2506">
        <f t="shared" si="1467"/>
        <v>2385</v>
      </c>
      <c r="AC2506">
        <f t="shared" si="1468"/>
        <v>2610</v>
      </c>
    </row>
    <row r="2507" spans="1:29" x14ac:dyDescent="0.2">
      <c r="A2507">
        <v>1351</v>
      </c>
      <c r="D2507">
        <f t="shared" si="1469"/>
        <v>3</v>
      </c>
      <c r="E2507">
        <v>0</v>
      </c>
      <c r="F2507" s="6" t="s">
        <v>435</v>
      </c>
      <c r="G2507">
        <v>0</v>
      </c>
      <c r="H2507" s="8" t="s">
        <v>472</v>
      </c>
      <c r="I2507" t="s">
        <v>178</v>
      </c>
      <c r="J2507">
        <v>39</v>
      </c>
      <c r="K2507" t="s">
        <v>488</v>
      </c>
      <c r="L2507" t="s">
        <v>282</v>
      </c>
      <c r="Q2507">
        <f t="shared" ref="Q2507:S2507" si="1480">Q2506</f>
        <v>18977</v>
      </c>
      <c r="R2507" t="str">
        <f t="shared" si="1480"/>
        <v>Velodrome</v>
      </c>
      <c r="S2507" t="str">
        <f t="shared" si="1480"/>
        <v>HollowBrook</v>
      </c>
      <c r="T2507" s="20">
        <f t="shared" si="1473"/>
        <v>14</v>
      </c>
      <c r="U2507">
        <f t="shared" si="1474"/>
        <v>44</v>
      </c>
      <c r="V2507">
        <f t="shared" si="1475"/>
        <v>30</v>
      </c>
      <c r="W2507" cm="1">
        <f t="array" ref="W2507">_xlfn._xlws.FILTER(shifts!A:A,(shifts!B:B=events!D2507)*(shifts!AH:AH&gt;=events!U2507)*(shifts!AI:AI&lt;=events!V2507))</f>
        <v>88</v>
      </c>
      <c r="X2507" t="str">
        <f t="shared" si="1476"/>
        <v>event_team_player_1</v>
      </c>
      <c r="Y2507">
        <f>COUNTIFS(A$3:A2507,"="&amp;A2507,K$3:K2507,"="&amp;K2507)</f>
        <v>1</v>
      </c>
      <c r="Z2507" s="20">
        <f>SUMIFS(T$3:T2507,L$3:L2507,"=Intermission")+SUMIFS(T$3:T2507,L$3:L2507,"=Timeout")+SUMIFS(T$3:T2507,L$3:L2507,"=Clockstop")</f>
        <v>225</v>
      </c>
      <c r="AA2507">
        <f t="shared" si="1467"/>
        <v>2385</v>
      </c>
      <c r="AC2507">
        <f t="shared" si="1468"/>
        <v>2610</v>
      </c>
    </row>
    <row r="2508" spans="1:29" x14ac:dyDescent="0.2">
      <c r="A2508">
        <v>1352</v>
      </c>
      <c r="D2508">
        <f t="shared" si="1469"/>
        <v>3</v>
      </c>
      <c r="E2508">
        <v>0</v>
      </c>
      <c r="F2508" s="6" t="s">
        <v>472</v>
      </c>
      <c r="I2508" t="s">
        <v>178</v>
      </c>
      <c r="J2508">
        <v>42</v>
      </c>
      <c r="K2508" t="s">
        <v>488</v>
      </c>
      <c r="L2508" t="s">
        <v>6</v>
      </c>
      <c r="M2508" t="s">
        <v>275</v>
      </c>
      <c r="Q2508">
        <f t="shared" ref="Q2508:S2508" si="1481">Q2507</f>
        <v>18977</v>
      </c>
      <c r="R2508" t="str">
        <f t="shared" si="1481"/>
        <v>Velodrome</v>
      </c>
      <c r="S2508" t="str">
        <f t="shared" si="1481"/>
        <v>HollowBrook</v>
      </c>
      <c r="T2508" s="20">
        <f t="shared" si="1473"/>
        <v>0</v>
      </c>
      <c r="U2508">
        <f t="shared" si="1474"/>
        <v>30</v>
      </c>
      <c r="V2508">
        <f t="shared" si="1475"/>
        <v>30</v>
      </c>
      <c r="W2508" cm="1">
        <f t="array" ref="W2508">_xlfn._xlws.FILTER(shifts!A:A,(shifts!B:B=events!D2508)*(shifts!AH:AH&gt;=events!U2508)*(shifts!AI:AI&lt;=events!V2508))</f>
        <v>88</v>
      </c>
      <c r="X2508" t="str">
        <f t="shared" si="1476"/>
        <v>event_team_player_1</v>
      </c>
      <c r="Y2508">
        <f>COUNTIFS(A$3:A2508,"="&amp;A2508,K$3:K2508,"="&amp;K2508)</f>
        <v>1</v>
      </c>
      <c r="Z2508" s="20">
        <f>SUMIFS(T$3:T2508,L$3:L2508,"=Intermission")+SUMIFS(T$3:T2508,L$3:L2508,"=Timeout")+SUMIFS(T$3:T2508,L$3:L2508,"=Clockstop")</f>
        <v>225</v>
      </c>
      <c r="AA2508">
        <f t="shared" si="1467"/>
        <v>2385</v>
      </c>
      <c r="AC2508">
        <f t="shared" si="1468"/>
        <v>2610</v>
      </c>
    </row>
    <row r="2509" spans="1:29" x14ac:dyDescent="0.2">
      <c r="A2509">
        <v>1352</v>
      </c>
      <c r="D2509">
        <f t="shared" si="1469"/>
        <v>3</v>
      </c>
      <c r="E2509">
        <v>0</v>
      </c>
      <c r="F2509" s="6" t="s">
        <v>472</v>
      </c>
      <c r="I2509" t="s">
        <v>178</v>
      </c>
      <c r="J2509">
        <v>91</v>
      </c>
      <c r="K2509" t="s">
        <v>488</v>
      </c>
      <c r="L2509" t="s">
        <v>6</v>
      </c>
      <c r="M2509" t="s">
        <v>275</v>
      </c>
      <c r="Q2509">
        <f t="shared" ref="Q2509:S2509" si="1482">Q2508</f>
        <v>18977</v>
      </c>
      <c r="R2509" t="str">
        <f t="shared" si="1482"/>
        <v>Velodrome</v>
      </c>
      <c r="S2509" t="str">
        <f t="shared" si="1482"/>
        <v>HollowBrook</v>
      </c>
      <c r="T2509" s="20">
        <f t="shared" si="1473"/>
        <v>0</v>
      </c>
      <c r="U2509">
        <f t="shared" si="1474"/>
        <v>30</v>
      </c>
      <c r="V2509">
        <f t="shared" si="1475"/>
        <v>30</v>
      </c>
      <c r="W2509" cm="1">
        <f t="array" ref="W2509">_xlfn._xlws.FILTER(shifts!A:A,(shifts!B:B=events!D2509)*(shifts!AH:AH&gt;=events!U2509)*(shifts!AI:AI&lt;=events!V2509))</f>
        <v>88</v>
      </c>
      <c r="X2509" t="str">
        <f t="shared" si="1476"/>
        <v>event_team_player_2</v>
      </c>
      <c r="Y2509">
        <f>COUNTIFS(A$3:A2509,"="&amp;A2509,K$3:K2509,"="&amp;K2509)</f>
        <v>2</v>
      </c>
      <c r="Z2509" s="20">
        <f>SUMIFS(T$3:T2509,L$3:L2509,"=Intermission")+SUMIFS(T$3:T2509,L$3:L2509,"=Timeout")+SUMIFS(T$3:T2509,L$3:L2509,"=Clockstop")</f>
        <v>225</v>
      </c>
      <c r="AA2509">
        <f t="shared" si="1467"/>
        <v>2385</v>
      </c>
      <c r="AC2509">
        <f t="shared" si="1468"/>
        <v>2610</v>
      </c>
    </row>
    <row r="2510" spans="1:29" x14ac:dyDescent="0.2">
      <c r="A2510">
        <v>1352</v>
      </c>
      <c r="D2510">
        <f t="shared" si="1469"/>
        <v>3</v>
      </c>
      <c r="E2510">
        <v>0</v>
      </c>
      <c r="F2510" s="6" t="s">
        <v>472</v>
      </c>
      <c r="I2510" t="s">
        <v>178</v>
      </c>
      <c r="J2510">
        <v>11</v>
      </c>
      <c r="K2510" t="s">
        <v>489</v>
      </c>
      <c r="L2510" t="s">
        <v>6</v>
      </c>
      <c r="M2510" t="s">
        <v>275</v>
      </c>
      <c r="Q2510">
        <f t="shared" ref="Q2510:S2510" si="1483">Q2509</f>
        <v>18977</v>
      </c>
      <c r="R2510" t="str">
        <f t="shared" si="1483"/>
        <v>Velodrome</v>
      </c>
      <c r="S2510" t="str">
        <f t="shared" si="1483"/>
        <v>HollowBrook</v>
      </c>
      <c r="T2510" s="20">
        <f t="shared" si="1473"/>
        <v>0</v>
      </c>
      <c r="U2510">
        <f t="shared" si="1474"/>
        <v>30</v>
      </c>
      <c r="V2510">
        <f t="shared" si="1475"/>
        <v>30</v>
      </c>
      <c r="W2510" cm="1">
        <f t="array" ref="W2510">_xlfn._xlws.FILTER(shifts!A:A,(shifts!B:B=events!D2510)*(shifts!AH:AH&gt;=events!U2510)*(shifts!AI:AI&lt;=events!V2510))</f>
        <v>88</v>
      </c>
      <c r="X2510" t="str">
        <f t="shared" si="1476"/>
        <v>opp_team_player_1</v>
      </c>
      <c r="Y2510">
        <f>COUNTIFS(A$3:A2510,"="&amp;A2510,K$3:K2510,"="&amp;K2510)</f>
        <v>1</v>
      </c>
      <c r="Z2510" s="20">
        <f>SUMIFS(T$3:T2510,L$3:L2510,"=Intermission")+SUMIFS(T$3:T2510,L$3:L2510,"=Timeout")+SUMIFS(T$3:T2510,L$3:L2510,"=Clockstop")</f>
        <v>225</v>
      </c>
      <c r="AA2510">
        <f t="shared" si="1467"/>
        <v>2385</v>
      </c>
      <c r="AC2510">
        <f t="shared" si="1468"/>
        <v>2610</v>
      </c>
    </row>
    <row r="2511" spans="1:29" x14ac:dyDescent="0.2">
      <c r="A2511">
        <v>1353</v>
      </c>
      <c r="D2511">
        <f t="shared" si="1469"/>
        <v>3</v>
      </c>
      <c r="E2511">
        <v>0</v>
      </c>
      <c r="F2511" s="6" t="s">
        <v>443</v>
      </c>
      <c r="I2511" t="s">
        <v>178</v>
      </c>
      <c r="J2511">
        <v>91</v>
      </c>
      <c r="K2511" t="s">
        <v>488</v>
      </c>
      <c r="L2511" t="s">
        <v>13</v>
      </c>
      <c r="M2511" t="s">
        <v>204</v>
      </c>
      <c r="N2511" t="s">
        <v>108</v>
      </c>
      <c r="Q2511">
        <f t="shared" ref="Q2511:S2511" si="1484">Q2510</f>
        <v>18977</v>
      </c>
      <c r="R2511" t="str">
        <f t="shared" si="1484"/>
        <v>Velodrome</v>
      </c>
      <c r="S2511" t="str">
        <f t="shared" si="1484"/>
        <v>HollowBrook</v>
      </c>
      <c r="T2511" s="20">
        <f t="shared" si="1473"/>
        <v>0</v>
      </c>
      <c r="U2511">
        <f t="shared" si="1474"/>
        <v>26</v>
      </c>
      <c r="V2511">
        <f t="shared" si="1475"/>
        <v>26</v>
      </c>
      <c r="W2511" cm="1">
        <f t="array" ref="W2511">_xlfn._xlws.FILTER(shifts!A:A,(shifts!B:B=events!D2511)*(shifts!AH:AH&gt;=events!U2511)*(shifts!AI:AI&lt;=events!V2511))</f>
        <v>88</v>
      </c>
      <c r="X2511" t="str">
        <f t="shared" si="1476"/>
        <v>event_team_player_1</v>
      </c>
      <c r="Y2511">
        <f>COUNTIFS(A$3:A2511,"="&amp;A2511,K$3:K2511,"="&amp;K2511)</f>
        <v>1</v>
      </c>
      <c r="Z2511" s="20">
        <f>SUMIFS(T$3:T2511,L$3:L2511,"=Intermission")+SUMIFS(T$3:T2511,L$3:L2511,"=Timeout")+SUMIFS(T$3:T2511,L$3:L2511,"=Clockstop")</f>
        <v>225</v>
      </c>
      <c r="AA2511">
        <f t="shared" si="1467"/>
        <v>2385</v>
      </c>
      <c r="AC2511">
        <f t="shared" si="1468"/>
        <v>2610</v>
      </c>
    </row>
    <row r="2512" spans="1:29" x14ac:dyDescent="0.2">
      <c r="A2512">
        <v>1353</v>
      </c>
      <c r="D2512">
        <f t="shared" si="1469"/>
        <v>3</v>
      </c>
      <c r="E2512">
        <v>0</v>
      </c>
      <c r="F2512" s="6" t="s">
        <v>443</v>
      </c>
      <c r="G2512">
        <v>0</v>
      </c>
      <c r="H2512" s="8" t="s">
        <v>423</v>
      </c>
      <c r="I2512" t="s">
        <v>178</v>
      </c>
      <c r="J2512">
        <v>91</v>
      </c>
      <c r="K2512" t="s">
        <v>488</v>
      </c>
      <c r="L2512" t="s">
        <v>282</v>
      </c>
      <c r="Q2512">
        <f t="shared" ref="Q2512:S2512" si="1485">Q2511</f>
        <v>18977</v>
      </c>
      <c r="R2512" t="str">
        <f t="shared" si="1485"/>
        <v>Velodrome</v>
      </c>
      <c r="S2512" t="str">
        <f t="shared" si="1485"/>
        <v>HollowBrook</v>
      </c>
      <c r="T2512" s="20">
        <f t="shared" si="1473"/>
        <v>12</v>
      </c>
      <c r="U2512">
        <f t="shared" si="1474"/>
        <v>26</v>
      </c>
      <c r="V2512">
        <f t="shared" si="1475"/>
        <v>14</v>
      </c>
      <c r="W2512" cm="1">
        <f t="array" ref="W2512">_xlfn._xlws.FILTER(shifts!A:A,(shifts!B:B=events!D2512)*(shifts!AH:AH&gt;=events!U2512)*(shifts!AI:AI&lt;=events!V2512))</f>
        <v>88</v>
      </c>
      <c r="X2512" t="str">
        <f t="shared" si="1476"/>
        <v>event_team_player_2</v>
      </c>
      <c r="Y2512">
        <f>COUNTIFS(A$3:A2512,"="&amp;A2512,K$3:K2512,"="&amp;K2512)</f>
        <v>2</v>
      </c>
      <c r="Z2512" s="20">
        <f>SUMIFS(T$3:T2512,L$3:L2512,"=Intermission")+SUMIFS(T$3:T2512,L$3:L2512,"=Timeout")+SUMIFS(T$3:T2512,L$3:L2512,"=Clockstop")</f>
        <v>225</v>
      </c>
      <c r="AA2512">
        <f t="shared" si="1467"/>
        <v>2385</v>
      </c>
      <c r="AC2512">
        <f t="shared" si="1468"/>
        <v>2610</v>
      </c>
    </row>
    <row r="2513" spans="1:29" x14ac:dyDescent="0.2">
      <c r="A2513">
        <v>1354</v>
      </c>
      <c r="D2513">
        <f t="shared" si="1469"/>
        <v>3</v>
      </c>
      <c r="E2513">
        <v>0</v>
      </c>
      <c r="F2513" s="6" t="s">
        <v>423</v>
      </c>
      <c r="I2513" t="s">
        <v>178</v>
      </c>
      <c r="J2513">
        <v>42</v>
      </c>
      <c r="K2513" t="s">
        <v>488</v>
      </c>
      <c r="L2513" t="s">
        <v>6</v>
      </c>
      <c r="M2513" t="s">
        <v>275</v>
      </c>
      <c r="Q2513">
        <f t="shared" ref="Q2513:S2513" si="1486">Q2512</f>
        <v>18977</v>
      </c>
      <c r="R2513" t="str">
        <f t="shared" si="1486"/>
        <v>Velodrome</v>
      </c>
      <c r="S2513" t="str">
        <f t="shared" si="1486"/>
        <v>HollowBrook</v>
      </c>
      <c r="T2513" s="20">
        <f t="shared" si="1473"/>
        <v>0</v>
      </c>
      <c r="U2513">
        <f t="shared" si="1474"/>
        <v>14</v>
      </c>
      <c r="V2513">
        <f t="shared" si="1475"/>
        <v>14</v>
      </c>
      <c r="W2513" cm="1">
        <f t="array" ref="W2513">_xlfn._xlws.FILTER(shifts!A:A,(shifts!B:B=events!D2513)*(shifts!AH:AH&gt;=events!U2513)*(shifts!AI:AI&lt;=events!V2513))</f>
        <v>88</v>
      </c>
      <c r="X2513" t="str">
        <f t="shared" si="1476"/>
        <v>event_team_player_1</v>
      </c>
      <c r="Y2513">
        <f>COUNTIFS(A$3:A2513,"="&amp;A2513,K$3:K2513,"="&amp;K2513)</f>
        <v>1</v>
      </c>
      <c r="Z2513" s="20">
        <f>SUMIFS(T$3:T2513,L$3:L2513,"=Intermission")+SUMIFS(T$3:T2513,L$3:L2513,"=Timeout")+SUMIFS(T$3:T2513,L$3:L2513,"=Clockstop")</f>
        <v>225</v>
      </c>
      <c r="AA2513">
        <f t="shared" si="1467"/>
        <v>2385</v>
      </c>
      <c r="AC2513">
        <f t="shared" si="1468"/>
        <v>2610</v>
      </c>
    </row>
    <row r="2514" spans="1:29" x14ac:dyDescent="0.2">
      <c r="A2514">
        <v>1354</v>
      </c>
      <c r="D2514">
        <f t="shared" si="1469"/>
        <v>3</v>
      </c>
      <c r="E2514">
        <v>0</v>
      </c>
      <c r="F2514" s="6" t="s">
        <v>423</v>
      </c>
      <c r="I2514" t="s">
        <v>178</v>
      </c>
      <c r="J2514">
        <v>91</v>
      </c>
      <c r="K2514" t="s">
        <v>488</v>
      </c>
      <c r="L2514" t="s">
        <v>6</v>
      </c>
      <c r="M2514" t="s">
        <v>275</v>
      </c>
      <c r="Q2514">
        <f t="shared" ref="Q2514:S2514" si="1487">Q2513</f>
        <v>18977</v>
      </c>
      <c r="R2514" t="str">
        <f t="shared" si="1487"/>
        <v>Velodrome</v>
      </c>
      <c r="S2514" t="str">
        <f t="shared" si="1487"/>
        <v>HollowBrook</v>
      </c>
      <c r="T2514" s="20">
        <f t="shared" si="1473"/>
        <v>0</v>
      </c>
      <c r="U2514">
        <f t="shared" si="1474"/>
        <v>14</v>
      </c>
      <c r="V2514">
        <f t="shared" si="1475"/>
        <v>14</v>
      </c>
      <c r="W2514" cm="1">
        <f t="array" ref="W2514">_xlfn._xlws.FILTER(shifts!A:A,(shifts!B:B=events!D2514)*(shifts!AH:AH&gt;=events!U2514)*(shifts!AI:AI&lt;=events!V2514))</f>
        <v>88</v>
      </c>
      <c r="X2514" t="str">
        <f t="shared" si="1476"/>
        <v>event_team_player_2</v>
      </c>
      <c r="Y2514">
        <f>COUNTIFS(A$3:A2514,"="&amp;A2514,K$3:K2514,"="&amp;K2514)</f>
        <v>2</v>
      </c>
      <c r="Z2514" s="20">
        <f>SUMIFS(T$3:T2514,L$3:L2514,"=Intermission")+SUMIFS(T$3:T2514,L$3:L2514,"=Timeout")+SUMIFS(T$3:T2514,L$3:L2514,"=Clockstop")</f>
        <v>225</v>
      </c>
      <c r="AA2514">
        <f t="shared" si="1467"/>
        <v>2385</v>
      </c>
      <c r="AC2514">
        <f t="shared" si="1468"/>
        <v>2610</v>
      </c>
    </row>
    <row r="2515" spans="1:29" x14ac:dyDescent="0.2">
      <c r="A2515">
        <v>1354</v>
      </c>
      <c r="D2515">
        <f t="shared" si="1469"/>
        <v>3</v>
      </c>
      <c r="E2515">
        <v>0</v>
      </c>
      <c r="F2515" s="6" t="s">
        <v>423</v>
      </c>
      <c r="I2515" t="s">
        <v>178</v>
      </c>
      <c r="J2515">
        <v>11</v>
      </c>
      <c r="K2515" t="s">
        <v>488</v>
      </c>
      <c r="L2515" t="s">
        <v>6</v>
      </c>
      <c r="M2515" t="s">
        <v>275</v>
      </c>
      <c r="Q2515">
        <f t="shared" ref="Q2515:S2515" si="1488">Q2514</f>
        <v>18977</v>
      </c>
      <c r="R2515" t="str">
        <f t="shared" si="1488"/>
        <v>Velodrome</v>
      </c>
      <c r="S2515" t="str">
        <f t="shared" si="1488"/>
        <v>HollowBrook</v>
      </c>
      <c r="T2515" s="20">
        <f t="shared" si="1473"/>
        <v>0</v>
      </c>
      <c r="U2515">
        <f t="shared" si="1474"/>
        <v>14</v>
      </c>
      <c r="V2515">
        <f t="shared" si="1475"/>
        <v>14</v>
      </c>
      <c r="W2515" cm="1">
        <f t="array" ref="W2515">_xlfn._xlws.FILTER(shifts!A:A,(shifts!B:B=events!D2515)*(shifts!AH:AH&gt;=events!U2515)*(shifts!AI:AI&lt;=events!V2515))</f>
        <v>88</v>
      </c>
      <c r="X2515" t="str">
        <f t="shared" si="1476"/>
        <v>event_team_player_3</v>
      </c>
      <c r="Y2515">
        <f>COUNTIFS(A$3:A2515,"="&amp;A2515,K$3:K2515,"="&amp;K2515)</f>
        <v>3</v>
      </c>
      <c r="Z2515" s="20">
        <f>SUMIFS(T$3:T2515,L$3:L2515,"=Intermission")+SUMIFS(T$3:T2515,L$3:L2515,"=Timeout")+SUMIFS(T$3:T2515,L$3:L2515,"=Clockstop")</f>
        <v>225</v>
      </c>
      <c r="AA2515">
        <f t="shared" si="1467"/>
        <v>2385</v>
      </c>
      <c r="AC2515">
        <f t="shared" si="1468"/>
        <v>2610</v>
      </c>
    </row>
    <row r="2516" spans="1:29" x14ac:dyDescent="0.2">
      <c r="A2516">
        <v>1355</v>
      </c>
      <c r="D2516">
        <f t="shared" si="1469"/>
        <v>3</v>
      </c>
      <c r="E2516">
        <v>0</v>
      </c>
      <c r="F2516" s="6" t="s">
        <v>449</v>
      </c>
      <c r="I2516" t="s">
        <v>178</v>
      </c>
      <c r="J2516">
        <v>91</v>
      </c>
      <c r="K2516" t="s">
        <v>488</v>
      </c>
      <c r="L2516" t="s">
        <v>277</v>
      </c>
      <c r="M2516" t="s">
        <v>201</v>
      </c>
      <c r="N2516" t="s">
        <v>92</v>
      </c>
      <c r="Q2516">
        <f t="shared" ref="Q2516:S2516" si="1489">Q2515</f>
        <v>18977</v>
      </c>
      <c r="R2516" t="str">
        <f t="shared" si="1489"/>
        <v>Velodrome</v>
      </c>
      <c r="S2516" t="str">
        <f t="shared" si="1489"/>
        <v>HollowBrook</v>
      </c>
      <c r="T2516" s="20">
        <f t="shared" si="1473"/>
        <v>0</v>
      </c>
      <c r="U2516">
        <f t="shared" si="1474"/>
        <v>12</v>
      </c>
      <c r="V2516">
        <f t="shared" si="1475"/>
        <v>12</v>
      </c>
      <c r="W2516" cm="1">
        <f t="array" ref="W2516">_xlfn._xlws.FILTER(shifts!A:A,(shifts!B:B=events!D2516)*(shifts!AH:AH&gt;=events!U2516)*(shifts!AI:AI&lt;=events!V2516))</f>
        <v>88</v>
      </c>
      <c r="X2516" t="str">
        <f t="shared" si="1476"/>
        <v>event_team_player_1</v>
      </c>
      <c r="Y2516">
        <f>COUNTIFS(A$3:A2516,"="&amp;A2516,K$3:K2516,"="&amp;K2516)</f>
        <v>1</v>
      </c>
      <c r="Z2516" s="20">
        <f>SUMIFS(T$3:T2516,L$3:L2516,"=Intermission")+SUMIFS(T$3:T2516,L$3:L2516,"=Timeout")+SUMIFS(T$3:T2516,L$3:L2516,"=Clockstop")</f>
        <v>225</v>
      </c>
      <c r="AA2516">
        <f t="shared" si="1467"/>
        <v>2385</v>
      </c>
      <c r="AC2516">
        <f t="shared" si="1468"/>
        <v>2610</v>
      </c>
    </row>
    <row r="2517" spans="1:29" x14ac:dyDescent="0.2">
      <c r="A2517">
        <v>1356</v>
      </c>
      <c r="D2517">
        <f t="shared" si="1469"/>
        <v>3</v>
      </c>
      <c r="E2517">
        <v>0</v>
      </c>
      <c r="F2517" s="6" t="s">
        <v>449</v>
      </c>
      <c r="I2517" t="s">
        <v>178</v>
      </c>
      <c r="J2517">
        <v>91</v>
      </c>
      <c r="K2517" t="s">
        <v>488</v>
      </c>
      <c r="L2517" t="s">
        <v>10</v>
      </c>
      <c r="M2517" t="s">
        <v>190</v>
      </c>
      <c r="N2517" t="s">
        <v>460</v>
      </c>
      <c r="Q2517">
        <f t="shared" ref="Q2517:S2517" si="1490">Q2516</f>
        <v>18977</v>
      </c>
      <c r="R2517" t="str">
        <f t="shared" si="1490"/>
        <v>Velodrome</v>
      </c>
      <c r="S2517" t="str">
        <f t="shared" si="1490"/>
        <v>HollowBrook</v>
      </c>
      <c r="T2517" s="20">
        <f t="shared" si="1473"/>
        <v>0</v>
      </c>
      <c r="U2517">
        <f t="shared" si="1474"/>
        <v>12</v>
      </c>
      <c r="V2517">
        <f t="shared" si="1475"/>
        <v>12</v>
      </c>
      <c r="W2517" cm="1">
        <f t="array" ref="W2517">_xlfn._xlws.FILTER(shifts!A:A,(shifts!B:B=events!D2517)*(shifts!AH:AH&gt;=events!U2517)*(shifts!AI:AI&lt;=events!V2517))</f>
        <v>88</v>
      </c>
      <c r="X2517" t="str">
        <f t="shared" si="1476"/>
        <v>event_team_player_1</v>
      </c>
      <c r="Y2517">
        <f>COUNTIFS(A$3:A2517,"="&amp;A2517,K$3:K2517,"="&amp;K2517)</f>
        <v>1</v>
      </c>
      <c r="Z2517" s="20">
        <f>SUMIFS(T$3:T2517,L$3:L2517,"=Intermission")+SUMIFS(T$3:T2517,L$3:L2517,"=Timeout")+SUMIFS(T$3:T2517,L$3:L2517,"=Clockstop")</f>
        <v>225</v>
      </c>
      <c r="AA2517">
        <f t="shared" si="1467"/>
        <v>2385</v>
      </c>
      <c r="AC2517">
        <f t="shared" si="1468"/>
        <v>2610</v>
      </c>
    </row>
    <row r="2518" spans="1:29" x14ac:dyDescent="0.2">
      <c r="A2518">
        <v>1357</v>
      </c>
      <c r="D2518">
        <f t="shared" si="1469"/>
        <v>3</v>
      </c>
      <c r="E2518">
        <v>0</v>
      </c>
      <c r="F2518" s="6" t="s">
        <v>314</v>
      </c>
      <c r="I2518" t="s">
        <v>179</v>
      </c>
      <c r="J2518">
        <v>18</v>
      </c>
      <c r="K2518" t="s">
        <v>488</v>
      </c>
      <c r="L2518" t="s">
        <v>8</v>
      </c>
      <c r="M2518" t="s">
        <v>189</v>
      </c>
      <c r="N2518" t="s">
        <v>67</v>
      </c>
      <c r="Q2518">
        <f t="shared" ref="Q2518:S2518" si="1491">Q2517</f>
        <v>18977</v>
      </c>
      <c r="R2518" t="str">
        <f t="shared" si="1491"/>
        <v>Velodrome</v>
      </c>
      <c r="S2518" t="str">
        <f t="shared" si="1491"/>
        <v>HollowBrook</v>
      </c>
      <c r="T2518" s="20">
        <f t="shared" si="1473"/>
        <v>0</v>
      </c>
      <c r="U2518">
        <f t="shared" si="1474"/>
        <v>6</v>
      </c>
      <c r="V2518">
        <f t="shared" si="1475"/>
        <v>6</v>
      </c>
      <c r="W2518" cm="1">
        <f t="array" ref="W2518">_xlfn._xlws.FILTER(shifts!A:A,(shifts!B:B=events!D2518)*(shifts!AH:AH&gt;=events!U2518)*(shifts!AI:AI&lt;=events!V2518))</f>
        <v>88</v>
      </c>
      <c r="X2518" t="str">
        <f t="shared" si="1476"/>
        <v>event_team_player_1</v>
      </c>
      <c r="Y2518">
        <f>COUNTIFS(A$3:A2518,"="&amp;A2518,K$3:K2518,"="&amp;K2518)</f>
        <v>1</v>
      </c>
      <c r="Z2518" s="20">
        <f>SUMIFS(T$3:T2518,L$3:L2518,"=Intermission")+SUMIFS(T$3:T2518,L$3:L2518,"=Timeout")+SUMIFS(T$3:T2518,L$3:L2518,"=Clockstop")</f>
        <v>225</v>
      </c>
      <c r="AA2518">
        <f t="shared" si="1467"/>
        <v>2385</v>
      </c>
      <c r="AC2518">
        <f t="shared" si="1468"/>
        <v>2610</v>
      </c>
    </row>
    <row r="2519" spans="1:29" x14ac:dyDescent="0.2">
      <c r="A2519">
        <v>1357</v>
      </c>
      <c r="D2519">
        <f t="shared" si="1469"/>
        <v>3</v>
      </c>
      <c r="E2519">
        <v>0</v>
      </c>
      <c r="F2519" s="6" t="s">
        <v>314</v>
      </c>
      <c r="I2519" t="s">
        <v>179</v>
      </c>
      <c r="J2519">
        <v>19</v>
      </c>
      <c r="K2519" t="s">
        <v>488</v>
      </c>
      <c r="L2519" t="s">
        <v>8</v>
      </c>
      <c r="M2519" t="s">
        <v>189</v>
      </c>
      <c r="N2519" t="s">
        <v>67</v>
      </c>
      <c r="Q2519">
        <f t="shared" ref="Q2519:S2519" si="1492">Q2518</f>
        <v>18977</v>
      </c>
      <c r="R2519" t="str">
        <f t="shared" si="1492"/>
        <v>Velodrome</v>
      </c>
      <c r="S2519" t="str">
        <f t="shared" si="1492"/>
        <v>HollowBrook</v>
      </c>
      <c r="T2519" s="20">
        <f t="shared" si="1473"/>
        <v>0</v>
      </c>
      <c r="U2519">
        <f t="shared" si="1474"/>
        <v>6</v>
      </c>
      <c r="V2519">
        <f t="shared" si="1475"/>
        <v>6</v>
      </c>
      <c r="W2519" cm="1">
        <f t="array" ref="W2519">_xlfn._xlws.FILTER(shifts!A:A,(shifts!B:B=events!D2519)*(shifts!AH:AH&gt;=events!U2519)*(shifts!AI:AI&lt;=events!V2519))</f>
        <v>88</v>
      </c>
      <c r="X2519" t="str">
        <f t="shared" si="1476"/>
        <v>event_team_player_2</v>
      </c>
      <c r="Y2519">
        <f>COUNTIFS(A$3:A2519,"="&amp;A2519,K$3:K2519,"="&amp;K2519)</f>
        <v>2</v>
      </c>
      <c r="Z2519" s="20">
        <f>SUMIFS(T$3:T2519,L$3:L2519,"=Intermission")+SUMIFS(T$3:T2519,L$3:L2519,"=Timeout")+SUMIFS(T$3:T2519,L$3:L2519,"=Clockstop")</f>
        <v>225</v>
      </c>
      <c r="AA2519">
        <f t="shared" si="1467"/>
        <v>2385</v>
      </c>
      <c r="AC2519">
        <f t="shared" si="1468"/>
        <v>2610</v>
      </c>
    </row>
    <row r="2520" spans="1:29" x14ac:dyDescent="0.2">
      <c r="A2520">
        <v>1358</v>
      </c>
      <c r="D2520">
        <f t="shared" si="1469"/>
        <v>3</v>
      </c>
      <c r="E2520">
        <v>0</v>
      </c>
      <c r="F2520" s="6" t="s">
        <v>314</v>
      </c>
      <c r="I2520" t="s">
        <v>179</v>
      </c>
      <c r="J2520">
        <v>19</v>
      </c>
      <c r="K2520" t="s">
        <v>488</v>
      </c>
      <c r="L2520" t="s">
        <v>277</v>
      </c>
      <c r="M2520" t="s">
        <v>191</v>
      </c>
      <c r="N2520" t="s">
        <v>87</v>
      </c>
      <c r="Q2520">
        <f t="shared" ref="Q2520:S2520" si="1493">Q2519</f>
        <v>18977</v>
      </c>
      <c r="R2520" t="str">
        <f t="shared" si="1493"/>
        <v>Velodrome</v>
      </c>
      <c r="S2520" t="str">
        <f t="shared" si="1493"/>
        <v>HollowBrook</v>
      </c>
      <c r="T2520" s="20">
        <f t="shared" si="1473"/>
        <v>0</v>
      </c>
      <c r="U2520">
        <f t="shared" si="1474"/>
        <v>6</v>
      </c>
      <c r="V2520">
        <f t="shared" si="1475"/>
        <v>6</v>
      </c>
      <c r="W2520" cm="1">
        <f t="array" ref="W2520">_xlfn._xlws.FILTER(shifts!A:A,(shifts!B:B=events!D2520)*(shifts!AH:AH&gt;=events!U2520)*(shifts!AI:AI&lt;=events!V2520))</f>
        <v>88</v>
      </c>
      <c r="X2520" t="str">
        <f t="shared" si="1476"/>
        <v>event_team_player_1</v>
      </c>
      <c r="Y2520">
        <f>COUNTIFS(A$3:A2520,"="&amp;A2520,K$3:K2520,"="&amp;K2520)</f>
        <v>1</v>
      </c>
      <c r="Z2520" s="20">
        <f>SUMIFS(T$3:T2520,L$3:L2520,"=Intermission")+SUMIFS(T$3:T2520,L$3:L2520,"=Timeout")+SUMIFS(T$3:T2520,L$3:L2520,"=Clockstop")</f>
        <v>225</v>
      </c>
      <c r="AA2520">
        <f t="shared" si="1467"/>
        <v>2385</v>
      </c>
      <c r="AC2520">
        <f t="shared" si="1468"/>
        <v>2610</v>
      </c>
    </row>
    <row r="2521" spans="1:29" x14ac:dyDescent="0.2">
      <c r="A2521">
        <v>1358</v>
      </c>
      <c r="D2521">
        <f t="shared" si="1469"/>
        <v>3</v>
      </c>
      <c r="E2521">
        <v>0</v>
      </c>
      <c r="F2521" s="6" t="s">
        <v>314</v>
      </c>
      <c r="I2521" t="s">
        <v>179</v>
      </c>
      <c r="J2521">
        <v>24</v>
      </c>
      <c r="K2521" t="s">
        <v>489</v>
      </c>
      <c r="L2521" t="s">
        <v>277</v>
      </c>
      <c r="M2521" t="s">
        <v>191</v>
      </c>
      <c r="N2521" t="s">
        <v>87</v>
      </c>
      <c r="Q2521">
        <f t="shared" ref="Q2521:S2521" si="1494">Q2520</f>
        <v>18977</v>
      </c>
      <c r="R2521" t="str">
        <f t="shared" si="1494"/>
        <v>Velodrome</v>
      </c>
      <c r="S2521" t="str">
        <f t="shared" si="1494"/>
        <v>HollowBrook</v>
      </c>
      <c r="T2521" s="20">
        <f t="shared" si="1473"/>
        <v>0</v>
      </c>
      <c r="U2521">
        <f t="shared" si="1474"/>
        <v>6</v>
      </c>
      <c r="V2521">
        <f t="shared" si="1475"/>
        <v>6</v>
      </c>
      <c r="W2521" cm="1">
        <f t="array" ref="W2521">_xlfn._xlws.FILTER(shifts!A:A,(shifts!B:B=events!D2521)*(shifts!AH:AH&gt;=events!U2521)*(shifts!AI:AI&lt;=events!V2521))</f>
        <v>88</v>
      </c>
      <c r="X2521" t="str">
        <f t="shared" si="1476"/>
        <v>opp_team_player_1</v>
      </c>
      <c r="Y2521">
        <f>COUNTIFS(A$3:A2521,"="&amp;A2521,K$3:K2521,"="&amp;K2521)</f>
        <v>1</v>
      </c>
      <c r="Z2521" s="20">
        <f>SUMIFS(T$3:T2521,L$3:L2521,"=Intermission")+SUMIFS(T$3:T2521,L$3:L2521,"=Timeout")+SUMIFS(T$3:T2521,L$3:L2521,"=Clockstop")</f>
        <v>225</v>
      </c>
      <c r="AA2521">
        <f t="shared" si="1467"/>
        <v>2385</v>
      </c>
      <c r="AC2521">
        <f t="shared" si="1468"/>
        <v>2610</v>
      </c>
    </row>
    <row r="2522" spans="1:29" x14ac:dyDescent="0.2">
      <c r="A2522">
        <v>1359</v>
      </c>
      <c r="D2522">
        <f t="shared" si="1469"/>
        <v>3</v>
      </c>
      <c r="E2522">
        <v>0</v>
      </c>
      <c r="F2522" s="6" t="s">
        <v>315</v>
      </c>
      <c r="I2522" t="s">
        <v>179</v>
      </c>
      <c r="J2522">
        <v>19</v>
      </c>
      <c r="K2522" t="s">
        <v>488</v>
      </c>
      <c r="L2522" t="s">
        <v>7</v>
      </c>
      <c r="M2522" t="s">
        <v>222</v>
      </c>
      <c r="N2522" t="s">
        <v>53</v>
      </c>
      <c r="Q2522">
        <f t="shared" ref="Q2522:S2522" si="1495">Q2521</f>
        <v>18977</v>
      </c>
      <c r="R2522" t="str">
        <f t="shared" si="1495"/>
        <v>Velodrome</v>
      </c>
      <c r="S2522" t="str">
        <f t="shared" si="1495"/>
        <v>HollowBrook</v>
      </c>
      <c r="T2522" s="20">
        <f t="shared" si="1473"/>
        <v>0</v>
      </c>
      <c r="U2522">
        <f t="shared" si="1474"/>
        <v>5</v>
      </c>
      <c r="V2522">
        <f t="shared" si="1475"/>
        <v>5</v>
      </c>
      <c r="W2522" cm="1">
        <f t="array" ref="W2522">_xlfn._xlws.FILTER(shifts!A:A,(shifts!B:B=events!D2522)*(shifts!AH:AH&gt;=events!U2522)*(shifts!AI:AI&lt;=events!V2522))</f>
        <v>88</v>
      </c>
      <c r="X2522" t="str">
        <f t="shared" si="1476"/>
        <v>event_team_player_1</v>
      </c>
      <c r="Y2522">
        <f>COUNTIFS(A$3:A2522,"="&amp;A2522,K$3:K2522,"="&amp;K2522)</f>
        <v>1</v>
      </c>
      <c r="Z2522" s="20">
        <f>SUMIFS(T$3:T2522,L$3:L2522,"=Intermission")+SUMIFS(T$3:T2522,L$3:L2522,"=Timeout")+SUMIFS(T$3:T2522,L$3:L2522,"=Clockstop")</f>
        <v>225</v>
      </c>
      <c r="AA2522">
        <f t="shared" si="1467"/>
        <v>2385</v>
      </c>
      <c r="AC2522">
        <f t="shared" si="1468"/>
        <v>2610</v>
      </c>
    </row>
    <row r="2523" spans="1:29" x14ac:dyDescent="0.2">
      <c r="A2523">
        <v>1359</v>
      </c>
      <c r="D2523">
        <f t="shared" si="1469"/>
        <v>3</v>
      </c>
      <c r="E2523">
        <v>0</v>
      </c>
      <c r="F2523" s="6" t="s">
        <v>315</v>
      </c>
      <c r="I2523" t="s">
        <v>179</v>
      </c>
      <c r="J2523">
        <v>39</v>
      </c>
      <c r="K2523" t="s">
        <v>489</v>
      </c>
      <c r="L2523" t="s">
        <v>7</v>
      </c>
      <c r="M2523" t="s">
        <v>222</v>
      </c>
      <c r="N2523" t="s">
        <v>53</v>
      </c>
      <c r="Q2523">
        <f t="shared" ref="Q2523:S2523" si="1496">Q2522</f>
        <v>18977</v>
      </c>
      <c r="R2523" t="str">
        <f t="shared" si="1496"/>
        <v>Velodrome</v>
      </c>
      <c r="S2523" t="str">
        <f t="shared" si="1496"/>
        <v>HollowBrook</v>
      </c>
      <c r="T2523" s="20">
        <f t="shared" si="1473"/>
        <v>0</v>
      </c>
      <c r="U2523">
        <f t="shared" si="1474"/>
        <v>5</v>
      </c>
      <c r="V2523">
        <f t="shared" si="1475"/>
        <v>5</v>
      </c>
      <c r="W2523" cm="1">
        <f t="array" ref="W2523">_xlfn._xlws.FILTER(shifts!A:A,(shifts!B:B=events!D2523)*(shifts!AH:AH&gt;=events!U2523)*(shifts!AI:AI&lt;=events!V2523))</f>
        <v>88</v>
      </c>
      <c r="X2523" t="str">
        <f t="shared" si="1476"/>
        <v>opp_team_player_1</v>
      </c>
      <c r="Y2523">
        <f>COUNTIFS(A$3:A2523,"="&amp;A2523,K$3:K2523,"="&amp;K2523)</f>
        <v>1</v>
      </c>
      <c r="Z2523" s="20">
        <f>SUMIFS(T$3:T2523,L$3:L2523,"=Intermission")+SUMIFS(T$3:T2523,L$3:L2523,"=Timeout")+SUMIFS(T$3:T2523,L$3:L2523,"=Clockstop")</f>
        <v>225</v>
      </c>
      <c r="AA2523">
        <f t="shared" si="1467"/>
        <v>2385</v>
      </c>
      <c r="AC2523">
        <f t="shared" si="1468"/>
        <v>2610</v>
      </c>
    </row>
    <row r="2524" spans="1:29" x14ac:dyDescent="0.2">
      <c r="A2524">
        <v>1360</v>
      </c>
      <c r="D2524">
        <f t="shared" si="1469"/>
        <v>3</v>
      </c>
      <c r="E2524">
        <v>0</v>
      </c>
      <c r="F2524" s="6" t="s">
        <v>315</v>
      </c>
      <c r="I2524" t="s">
        <v>178</v>
      </c>
      <c r="J2524">
        <v>39</v>
      </c>
      <c r="K2524" t="s">
        <v>488</v>
      </c>
      <c r="L2524" t="s">
        <v>17</v>
      </c>
      <c r="M2524" t="s">
        <v>196</v>
      </c>
      <c r="N2524" t="s">
        <v>100</v>
      </c>
      <c r="Q2524">
        <f t="shared" ref="Q2524:S2524" si="1497">Q2523</f>
        <v>18977</v>
      </c>
      <c r="R2524" t="str">
        <f t="shared" si="1497"/>
        <v>Velodrome</v>
      </c>
      <c r="S2524" t="str">
        <f t="shared" si="1497"/>
        <v>HollowBrook</v>
      </c>
      <c r="T2524" s="20">
        <f t="shared" si="1473"/>
        <v>0</v>
      </c>
      <c r="U2524">
        <f t="shared" si="1474"/>
        <v>5</v>
      </c>
      <c r="V2524">
        <f t="shared" si="1475"/>
        <v>5</v>
      </c>
      <c r="W2524" cm="1">
        <f t="array" ref="W2524">_xlfn._xlws.FILTER(shifts!A:A,(shifts!B:B=events!D2524)*(shifts!AH:AH&gt;=events!U2524)*(shifts!AI:AI&lt;=events!V2524))</f>
        <v>88</v>
      </c>
      <c r="X2524" t="str">
        <f t="shared" si="1476"/>
        <v>event_team_player_1</v>
      </c>
      <c r="Y2524">
        <f>COUNTIFS(A$3:A2524,"="&amp;A2524,K$3:K2524,"="&amp;K2524)</f>
        <v>1</v>
      </c>
      <c r="Z2524" s="20">
        <f>SUMIFS(T$3:T2524,L$3:L2524,"=Intermission")+SUMIFS(T$3:T2524,L$3:L2524,"=Timeout")+SUMIFS(T$3:T2524,L$3:L2524,"=Clockstop")</f>
        <v>225</v>
      </c>
      <c r="AA2524">
        <f t="shared" si="1467"/>
        <v>2385</v>
      </c>
      <c r="AC2524">
        <f t="shared" si="1468"/>
        <v>2610</v>
      </c>
    </row>
    <row r="2525" spans="1:29" x14ac:dyDescent="0.2">
      <c r="A2525">
        <v>1360</v>
      </c>
      <c r="D2525">
        <f t="shared" si="1469"/>
        <v>3</v>
      </c>
      <c r="E2525">
        <v>0</v>
      </c>
      <c r="F2525" s="6" t="s">
        <v>315</v>
      </c>
      <c r="I2525" t="s">
        <v>178</v>
      </c>
      <c r="J2525">
        <v>19</v>
      </c>
      <c r="K2525" t="s">
        <v>489</v>
      </c>
      <c r="L2525" t="s">
        <v>17</v>
      </c>
      <c r="M2525" t="s">
        <v>196</v>
      </c>
      <c r="N2525" t="s">
        <v>100</v>
      </c>
      <c r="Q2525">
        <f t="shared" ref="Q2525:S2525" si="1498">Q2524</f>
        <v>18977</v>
      </c>
      <c r="R2525" t="str">
        <f t="shared" si="1498"/>
        <v>Velodrome</v>
      </c>
      <c r="S2525" t="str">
        <f t="shared" si="1498"/>
        <v>HollowBrook</v>
      </c>
      <c r="T2525" s="20">
        <f t="shared" si="1473"/>
        <v>0</v>
      </c>
      <c r="U2525">
        <f t="shared" si="1474"/>
        <v>5</v>
      </c>
      <c r="V2525">
        <f t="shared" si="1475"/>
        <v>5</v>
      </c>
      <c r="W2525" cm="1">
        <f t="array" ref="W2525">_xlfn._xlws.FILTER(shifts!A:A,(shifts!B:B=events!D2525)*(shifts!AH:AH&gt;=events!U2525)*(shifts!AI:AI&lt;=events!V2525))</f>
        <v>88</v>
      </c>
      <c r="X2525" t="str">
        <f t="shared" si="1476"/>
        <v>opp_team_player_1</v>
      </c>
      <c r="Y2525">
        <f>COUNTIFS(A$3:A2525,"="&amp;A2525,K$3:K2525,"="&amp;K2525)</f>
        <v>1</v>
      </c>
      <c r="Z2525" s="20">
        <f>SUMIFS(T$3:T2525,L$3:L2525,"=Intermission")+SUMIFS(T$3:T2525,L$3:L2525,"=Timeout")+SUMIFS(T$3:T2525,L$3:L2525,"=Clockstop")</f>
        <v>225</v>
      </c>
      <c r="AA2525">
        <f t="shared" si="1467"/>
        <v>2385</v>
      </c>
      <c r="AC2525">
        <f t="shared" si="1468"/>
        <v>2610</v>
      </c>
    </row>
    <row r="2526" spans="1:29" x14ac:dyDescent="0.2">
      <c r="A2526">
        <v>1361</v>
      </c>
      <c r="D2526">
        <f t="shared" si="1469"/>
        <v>3</v>
      </c>
      <c r="E2526">
        <v>0</v>
      </c>
      <c r="F2526" s="6" t="s">
        <v>310</v>
      </c>
      <c r="I2526" t="s">
        <v>178</v>
      </c>
      <c r="J2526">
        <v>39</v>
      </c>
      <c r="K2526" t="s">
        <v>488</v>
      </c>
      <c r="L2526" t="s">
        <v>270</v>
      </c>
      <c r="M2526" t="s">
        <v>271</v>
      </c>
      <c r="Q2526">
        <f t="shared" ref="Q2526:S2526" si="1499">Q2525</f>
        <v>18977</v>
      </c>
      <c r="R2526" t="str">
        <f t="shared" si="1499"/>
        <v>Velodrome</v>
      </c>
      <c r="S2526" t="str">
        <f t="shared" si="1499"/>
        <v>HollowBrook</v>
      </c>
      <c r="T2526" s="20">
        <f t="shared" si="1473"/>
        <v>0</v>
      </c>
      <c r="U2526">
        <f t="shared" si="1474"/>
        <v>4</v>
      </c>
      <c r="V2526">
        <f t="shared" si="1475"/>
        <v>4</v>
      </c>
      <c r="W2526" cm="1">
        <f t="array" ref="W2526">_xlfn._xlws.FILTER(shifts!A:A,(shifts!B:B=events!D2526)*(shifts!AH:AH&gt;=events!U2526)*(shifts!AI:AI&lt;=events!V2526))</f>
        <v>88</v>
      </c>
      <c r="X2526" t="str">
        <f t="shared" si="1476"/>
        <v>event_team_player_1</v>
      </c>
      <c r="Y2526">
        <f>COUNTIFS(A$3:A2526,"="&amp;A2526,K$3:K2526,"="&amp;K2526)</f>
        <v>1</v>
      </c>
      <c r="Z2526" s="20">
        <f>SUMIFS(T$3:T2526,L$3:L2526,"=Intermission")+SUMIFS(T$3:T2526,L$3:L2526,"=Timeout")+SUMIFS(T$3:T2526,L$3:L2526,"=Clockstop")</f>
        <v>225</v>
      </c>
      <c r="AA2526">
        <f t="shared" si="1467"/>
        <v>2385</v>
      </c>
      <c r="AC2526">
        <f t="shared" si="1468"/>
        <v>2610</v>
      </c>
    </row>
    <row r="2527" spans="1:29" x14ac:dyDescent="0.2">
      <c r="A2527">
        <v>1362</v>
      </c>
      <c r="D2527">
        <f t="shared" si="1469"/>
        <v>3</v>
      </c>
      <c r="E2527">
        <v>0</v>
      </c>
      <c r="F2527" s="6" t="s">
        <v>426</v>
      </c>
      <c r="L2527" t="s">
        <v>13</v>
      </c>
      <c r="M2527" t="s">
        <v>527</v>
      </c>
      <c r="Q2527">
        <f t="shared" ref="Q2527:S2527" si="1500">Q2526</f>
        <v>18977</v>
      </c>
      <c r="R2527" t="str">
        <f t="shared" si="1500"/>
        <v>Velodrome</v>
      </c>
      <c r="S2527" t="str">
        <f t="shared" si="1500"/>
        <v>HollowBrook</v>
      </c>
      <c r="T2527" s="20">
        <f t="shared" si="1473"/>
        <v>0</v>
      </c>
      <c r="U2527">
        <f t="shared" si="1474"/>
        <v>0</v>
      </c>
      <c r="V2527">
        <f t="shared" si="1475"/>
        <v>0</v>
      </c>
      <c r="W2527" cm="1">
        <f t="array" ref="W2527:W2638">_xlfn._xlws.FILTER(shifts!A:A,(shifts!B:B=events!D2527)*(shifts!AH:AH&gt;=events!U2527)*(shifts!AI:AI&lt;=events!V2527))</f>
        <v>89</v>
      </c>
      <c r="X2527" t="str">
        <f t="shared" si="1476"/>
        <v/>
      </c>
      <c r="Y2527">
        <f>COUNTIFS(A$3:A2527,"="&amp;A2527,K$3:K2527,"="&amp;K2527)</f>
        <v>1</v>
      </c>
      <c r="Z2527" s="20">
        <f>SUMIFS(T$3:T2527,L$3:L2527,"=Intermission")+SUMIFS(T$3:T2527,L$3:L2527,"=Timeout")+SUMIFS(T$3:T2527,L$3:L2527,"=Clockstop")</f>
        <v>225</v>
      </c>
      <c r="AA2527">
        <f t="shared" si="1467"/>
        <v>2385</v>
      </c>
      <c r="AC2527">
        <f t="shared" si="1468"/>
        <v>2610</v>
      </c>
    </row>
    <row r="2528" spans="1:29" x14ac:dyDescent="0.2">
      <c r="A2528">
        <v>1363</v>
      </c>
      <c r="D2528">
        <v>3</v>
      </c>
      <c r="L2528" t="s">
        <v>525</v>
      </c>
      <c r="W2528">
        <v>90</v>
      </c>
      <c r="Z2528" s="20">
        <f>SUMIFS(T$3:T2528,L$3:L2528,"=Intermission")+SUMIFS(T$3:T2528,L$3:L2528,"=Timeout")+SUMIFS(T$3:T2528,L$3:L2528,"=Clockstop")</f>
        <v>225</v>
      </c>
      <c r="AA2528">
        <f t="shared" si="1467"/>
        <v>2385</v>
      </c>
      <c r="AC2528">
        <f t="shared" si="1468"/>
        <v>2610</v>
      </c>
    </row>
    <row r="2529" spans="23:29" x14ac:dyDescent="0.2">
      <c r="W2529">
        <v>91</v>
      </c>
      <c r="Z2529" s="20">
        <f>SUMIFS(T$3:T2529,L$3:L2529,"=Intermission")+SUMIFS(T$3:T2529,L$3:L2529,"=Timeout")+SUMIFS(T$3:T2529,L$3:L2529,"=Clockstop")</f>
        <v>225</v>
      </c>
      <c r="AA2529">
        <f t="shared" si="1467"/>
        <v>0</v>
      </c>
      <c r="AC2529">
        <f t="shared" si="1468"/>
        <v>225</v>
      </c>
    </row>
    <row r="2530" spans="23:29" x14ac:dyDescent="0.2">
      <c r="W2530">
        <v>92</v>
      </c>
      <c r="Z2530" s="20">
        <f>SUMIFS(T$3:T2530,L$3:L2530,"=Intermission")+SUMIFS(T$3:T2530,L$3:L2530,"=Timeout")+SUMIFS(T$3:T2530,L$3:L2530,"=Clockstop")</f>
        <v>225</v>
      </c>
      <c r="AA2530">
        <f t="shared" si="1467"/>
        <v>0</v>
      </c>
      <c r="AC2530">
        <f t="shared" si="1468"/>
        <v>225</v>
      </c>
    </row>
    <row r="2531" spans="23:29" x14ac:dyDescent="0.2">
      <c r="W2531">
        <v>93</v>
      </c>
      <c r="Z2531" s="20">
        <f>SUMIFS(T$3:T2531,L$3:L2531,"=Intermission")+SUMIFS(T$3:T2531,L$3:L2531,"=Timeout")+SUMIFS(T$3:T2531,L$3:L2531,"=Clockstop")</f>
        <v>225</v>
      </c>
      <c r="AA2531">
        <f t="shared" si="1467"/>
        <v>0</v>
      </c>
      <c r="AC2531">
        <f t="shared" si="1468"/>
        <v>225</v>
      </c>
    </row>
    <row r="2532" spans="23:29" x14ac:dyDescent="0.2">
      <c r="W2532">
        <v>94</v>
      </c>
      <c r="Z2532" s="20">
        <f>SUMIFS(T$3:T2532,L$3:L2532,"=Intermission")+SUMIFS(T$3:T2532,L$3:L2532,"=Timeout")+SUMIFS(T$3:T2532,L$3:L2532,"=Clockstop")</f>
        <v>225</v>
      </c>
      <c r="AA2532">
        <f t="shared" si="1467"/>
        <v>0</v>
      </c>
      <c r="AC2532">
        <f t="shared" si="1468"/>
        <v>225</v>
      </c>
    </row>
    <row r="2533" spans="23:29" x14ac:dyDescent="0.2">
      <c r="W2533">
        <v>95</v>
      </c>
      <c r="Z2533" s="20">
        <f>SUMIFS(T$3:T2533,L$3:L2533,"=Intermission")+SUMIFS(T$3:T2533,L$3:L2533,"=Timeout")+SUMIFS(T$3:T2533,L$3:L2533,"=Clockstop")</f>
        <v>225</v>
      </c>
      <c r="AA2533">
        <f t="shared" si="1467"/>
        <v>0</v>
      </c>
      <c r="AC2533">
        <f t="shared" si="1468"/>
        <v>225</v>
      </c>
    </row>
    <row r="2534" spans="23:29" x14ac:dyDescent="0.2">
      <c r="W2534">
        <v>96</v>
      </c>
      <c r="Z2534" s="20">
        <f>SUMIFS(T$3:T2534,L$3:L2534,"=Intermission")+SUMIFS(T$3:T2534,L$3:L2534,"=Timeout")+SUMIFS(T$3:T2534,L$3:L2534,"=Clockstop")</f>
        <v>225</v>
      </c>
      <c r="AA2534">
        <f t="shared" si="1467"/>
        <v>0</v>
      </c>
      <c r="AC2534">
        <f t="shared" si="1468"/>
        <v>225</v>
      </c>
    </row>
    <row r="2535" spans="23:29" x14ac:dyDescent="0.2">
      <c r="W2535">
        <v>97</v>
      </c>
      <c r="Z2535" s="20">
        <f>SUMIFS(T$3:T2535,L$3:L2535,"=Intermission")+SUMIFS(T$3:T2535,L$3:L2535,"=Timeout")+SUMIFS(T$3:T2535,L$3:L2535,"=Clockstop")</f>
        <v>225</v>
      </c>
      <c r="AA2535">
        <f t="shared" si="1467"/>
        <v>0</v>
      </c>
      <c r="AC2535">
        <f t="shared" si="1468"/>
        <v>225</v>
      </c>
    </row>
    <row r="2536" spans="23:29" x14ac:dyDescent="0.2">
      <c r="W2536">
        <v>98</v>
      </c>
      <c r="Z2536" s="20">
        <f>SUMIFS(T$3:T2536,L$3:L2536,"=Intermission")+SUMIFS(T$3:T2536,L$3:L2536,"=Timeout")+SUMIFS(T$3:T2536,L$3:L2536,"=Clockstop")</f>
        <v>225</v>
      </c>
      <c r="AA2536">
        <f t="shared" si="1467"/>
        <v>0</v>
      </c>
      <c r="AC2536">
        <f t="shared" si="1468"/>
        <v>225</v>
      </c>
    </row>
    <row r="2537" spans="23:29" x14ac:dyDescent="0.2">
      <c r="W2537">
        <v>99</v>
      </c>
      <c r="Z2537" s="20">
        <f>SUMIFS(T$3:T2537,L$3:L2537,"=Intermission")+SUMIFS(T$3:T2537,L$3:L2537,"=Timeout")+SUMIFS(T$3:T2537,L$3:L2537,"=Clockstop")</f>
        <v>225</v>
      </c>
      <c r="AA2537">
        <f t="shared" si="1467"/>
        <v>0</v>
      </c>
      <c r="AC2537">
        <f t="shared" si="1468"/>
        <v>225</v>
      </c>
    </row>
    <row r="2538" spans="23:29" x14ac:dyDescent="0.2">
      <c r="W2538">
        <v>100</v>
      </c>
      <c r="Z2538" s="20">
        <f>SUMIFS(T$3:T2538,L$3:L2538,"=Intermission")+SUMIFS(T$3:T2538,L$3:L2538,"=Timeout")+SUMIFS(T$3:T2538,L$3:L2538,"=Clockstop")</f>
        <v>225</v>
      </c>
      <c r="AA2538">
        <f t="shared" si="1467"/>
        <v>0</v>
      </c>
      <c r="AC2538">
        <f t="shared" si="1468"/>
        <v>225</v>
      </c>
    </row>
    <row r="2539" spans="23:29" x14ac:dyDescent="0.2">
      <c r="W2539">
        <v>101</v>
      </c>
      <c r="Z2539" s="20">
        <f>SUMIFS(T$3:T2539,L$3:L2539,"=Intermission")+SUMIFS(T$3:T2539,L$3:L2539,"=Timeout")+SUMIFS(T$3:T2539,L$3:L2539,"=Clockstop")</f>
        <v>225</v>
      </c>
      <c r="AA2539">
        <f t="shared" si="1467"/>
        <v>0</v>
      </c>
      <c r="AC2539">
        <f t="shared" si="1468"/>
        <v>225</v>
      </c>
    </row>
    <row r="2540" spans="23:29" x14ac:dyDescent="0.2">
      <c r="W2540">
        <v>102</v>
      </c>
      <c r="Z2540" s="20">
        <f>SUMIFS(T$3:T2540,L$3:L2540,"=Intermission")+SUMIFS(T$3:T2540,L$3:L2540,"=Timeout")+SUMIFS(T$3:T2540,L$3:L2540,"=Clockstop")</f>
        <v>225</v>
      </c>
      <c r="AA2540">
        <f t="shared" si="1467"/>
        <v>0</v>
      </c>
      <c r="AC2540">
        <f t="shared" si="1468"/>
        <v>225</v>
      </c>
    </row>
    <row r="2541" spans="23:29" x14ac:dyDescent="0.2">
      <c r="W2541">
        <v>103</v>
      </c>
      <c r="Z2541" s="20">
        <f>SUMIFS(T$3:T2541,L$3:L2541,"=Intermission")+SUMIFS(T$3:T2541,L$3:L2541,"=Timeout")+SUMIFS(T$3:T2541,L$3:L2541,"=Clockstop")</f>
        <v>225</v>
      </c>
      <c r="AA2541">
        <f t="shared" si="1467"/>
        <v>0</v>
      </c>
      <c r="AC2541">
        <f t="shared" si="1468"/>
        <v>225</v>
      </c>
    </row>
    <row r="2542" spans="23:29" x14ac:dyDescent="0.2">
      <c r="W2542">
        <v>104</v>
      </c>
      <c r="Z2542" s="20">
        <f>SUMIFS(T$3:T2542,L$3:L2542,"=Intermission")+SUMIFS(T$3:T2542,L$3:L2542,"=Timeout")+SUMIFS(T$3:T2542,L$3:L2542,"=Clockstop")</f>
        <v>225</v>
      </c>
      <c r="AA2542">
        <f t="shared" si="1467"/>
        <v>0</v>
      </c>
      <c r="AC2542">
        <f t="shared" si="1468"/>
        <v>225</v>
      </c>
    </row>
    <row r="2543" spans="23:29" x14ac:dyDescent="0.2">
      <c r="W2543">
        <v>105</v>
      </c>
      <c r="Z2543" s="20">
        <f>SUMIFS(T$3:T2543,L$3:L2543,"=Intermission")+SUMIFS(T$3:T2543,L$3:L2543,"=Timeout")+SUMIFS(T$3:T2543,L$3:L2543,"=Clockstop")</f>
        <v>225</v>
      </c>
      <c r="AA2543">
        <f t="shared" si="1467"/>
        <v>0</v>
      </c>
      <c r="AC2543">
        <f t="shared" si="1468"/>
        <v>225</v>
      </c>
    </row>
    <row r="2544" spans="23:29" x14ac:dyDescent="0.2">
      <c r="W2544">
        <v>106</v>
      </c>
      <c r="Z2544" s="20">
        <f>SUMIFS(T$3:T2544,L$3:L2544,"=Intermission")+SUMIFS(T$3:T2544,L$3:L2544,"=Timeout")+SUMIFS(T$3:T2544,L$3:L2544,"=Clockstop")</f>
        <v>225</v>
      </c>
      <c r="AA2544">
        <f t="shared" si="1467"/>
        <v>0</v>
      </c>
      <c r="AC2544">
        <f t="shared" si="1468"/>
        <v>225</v>
      </c>
    </row>
    <row r="2545" spans="23:29" x14ac:dyDescent="0.2">
      <c r="W2545">
        <v>107</v>
      </c>
      <c r="Z2545" s="20">
        <f>SUMIFS(T$3:T2545,L$3:L2545,"=Intermission")+SUMIFS(T$3:T2545,L$3:L2545,"=Timeout")+SUMIFS(T$3:T2545,L$3:L2545,"=Clockstop")</f>
        <v>225</v>
      </c>
      <c r="AA2545">
        <f t="shared" si="1467"/>
        <v>0</v>
      </c>
      <c r="AC2545">
        <f t="shared" si="1468"/>
        <v>225</v>
      </c>
    </row>
    <row r="2546" spans="23:29" x14ac:dyDescent="0.2">
      <c r="W2546">
        <v>108</v>
      </c>
      <c r="Z2546" s="20">
        <f>SUMIFS(T$3:T2546,L$3:L2546,"=Intermission")+SUMIFS(T$3:T2546,L$3:L2546,"=Timeout")+SUMIFS(T$3:T2546,L$3:L2546,"=Clockstop")</f>
        <v>225</v>
      </c>
      <c r="AA2546">
        <f t="shared" si="1467"/>
        <v>0</v>
      </c>
      <c r="AC2546">
        <f t="shared" si="1468"/>
        <v>225</v>
      </c>
    </row>
    <row r="2547" spans="23:29" x14ac:dyDescent="0.2">
      <c r="W2547">
        <v>109</v>
      </c>
      <c r="Z2547" s="20">
        <f>SUMIFS(T$3:T2547,L$3:L2547,"=Intermission")+SUMIFS(T$3:T2547,L$3:L2547,"=Timeout")+SUMIFS(T$3:T2547,L$3:L2547,"=Clockstop")</f>
        <v>225</v>
      </c>
      <c r="AA2547">
        <f t="shared" si="1467"/>
        <v>0</v>
      </c>
      <c r="AC2547">
        <f t="shared" si="1468"/>
        <v>225</v>
      </c>
    </row>
    <row r="2548" spans="23:29" x14ac:dyDescent="0.2">
      <c r="W2548">
        <v>110</v>
      </c>
      <c r="Z2548" s="20">
        <f>SUMIFS(T$3:T2548,L$3:L2548,"=Intermission")+SUMIFS(T$3:T2548,L$3:L2548,"=Timeout")+SUMIFS(T$3:T2548,L$3:L2548,"=Clockstop")</f>
        <v>225</v>
      </c>
      <c r="AA2548">
        <f t="shared" si="1467"/>
        <v>0</v>
      </c>
      <c r="AC2548">
        <f t="shared" si="1468"/>
        <v>225</v>
      </c>
    </row>
    <row r="2549" spans="23:29" x14ac:dyDescent="0.2">
      <c r="W2549">
        <v>111</v>
      </c>
      <c r="Z2549" s="20">
        <f>SUMIFS(T$3:T2549,L$3:L2549,"=Intermission")+SUMIFS(T$3:T2549,L$3:L2549,"=Timeout")+SUMIFS(T$3:T2549,L$3:L2549,"=Clockstop")</f>
        <v>225</v>
      </c>
      <c r="AA2549">
        <f t="shared" si="1467"/>
        <v>0</v>
      </c>
      <c r="AC2549">
        <f t="shared" si="1468"/>
        <v>225</v>
      </c>
    </row>
    <row r="2550" spans="23:29" x14ac:dyDescent="0.2">
      <c r="W2550">
        <v>112</v>
      </c>
      <c r="Z2550" s="20">
        <f>SUMIFS(T$3:T2550,L$3:L2550,"=Intermission")+SUMIFS(T$3:T2550,L$3:L2550,"=Timeout")+SUMIFS(T$3:T2550,L$3:L2550,"=Clockstop")</f>
        <v>225</v>
      </c>
      <c r="AA2550">
        <f t="shared" si="1467"/>
        <v>0</v>
      </c>
      <c r="AC2550">
        <f t="shared" si="1468"/>
        <v>225</v>
      </c>
    </row>
    <row r="2551" spans="23:29" x14ac:dyDescent="0.2">
      <c r="W2551">
        <v>113</v>
      </c>
      <c r="Z2551" s="20">
        <f>SUMIFS(T$3:T2551,L$3:L2551,"=Intermission")+SUMIFS(T$3:T2551,L$3:L2551,"=Timeout")+SUMIFS(T$3:T2551,L$3:L2551,"=Clockstop")</f>
        <v>225</v>
      </c>
      <c r="AA2551">
        <f t="shared" si="1467"/>
        <v>0</v>
      </c>
      <c r="AC2551">
        <f t="shared" si="1468"/>
        <v>225</v>
      </c>
    </row>
    <row r="2552" spans="23:29" x14ac:dyDescent="0.2">
      <c r="W2552">
        <v>114</v>
      </c>
      <c r="Z2552" s="20">
        <f>SUMIFS(T$3:T2552,L$3:L2552,"=Intermission")+SUMIFS(T$3:T2552,L$3:L2552,"=Timeout")+SUMIFS(T$3:T2552,L$3:L2552,"=Clockstop")</f>
        <v>225</v>
      </c>
      <c r="AA2552">
        <f t="shared" si="1467"/>
        <v>0</v>
      </c>
      <c r="AC2552">
        <f t="shared" si="1468"/>
        <v>225</v>
      </c>
    </row>
    <row r="2553" spans="23:29" x14ac:dyDescent="0.2">
      <c r="W2553">
        <v>115</v>
      </c>
      <c r="Z2553" s="20">
        <f>SUMIFS(T$3:T2553,L$3:L2553,"=Intermission")+SUMIFS(T$3:T2553,L$3:L2553,"=Timeout")+SUMIFS(T$3:T2553,L$3:L2553,"=Clockstop")</f>
        <v>225</v>
      </c>
      <c r="AA2553">
        <f t="shared" si="1467"/>
        <v>0</v>
      </c>
      <c r="AC2553">
        <f t="shared" si="1468"/>
        <v>225</v>
      </c>
    </row>
    <row r="2554" spans="23:29" x14ac:dyDescent="0.2">
      <c r="W2554">
        <v>116</v>
      </c>
      <c r="Z2554" s="20">
        <f>SUMIFS(T$3:T2554,L$3:L2554,"=Intermission")+SUMIFS(T$3:T2554,L$3:L2554,"=Timeout")+SUMIFS(T$3:T2554,L$3:L2554,"=Clockstop")</f>
        <v>225</v>
      </c>
      <c r="AA2554">
        <f t="shared" si="1467"/>
        <v>0</v>
      </c>
      <c r="AC2554">
        <f t="shared" si="1468"/>
        <v>225</v>
      </c>
    </row>
    <row r="2555" spans="23:29" x14ac:dyDescent="0.2">
      <c r="W2555">
        <v>117</v>
      </c>
      <c r="Z2555" s="20">
        <f>SUMIFS(T$3:T2555,L$3:L2555,"=Intermission")+SUMIFS(T$3:T2555,L$3:L2555,"=Timeout")+SUMIFS(T$3:T2555,L$3:L2555,"=Clockstop")</f>
        <v>225</v>
      </c>
      <c r="AA2555">
        <f t="shared" si="1467"/>
        <v>0</v>
      </c>
      <c r="AC2555">
        <f t="shared" si="1468"/>
        <v>225</v>
      </c>
    </row>
    <row r="2556" spans="23:29" x14ac:dyDescent="0.2">
      <c r="W2556">
        <v>118</v>
      </c>
      <c r="Z2556" s="20">
        <f>SUMIFS(T$3:T2556,L$3:L2556,"=Intermission")+SUMIFS(T$3:T2556,L$3:L2556,"=Timeout")+SUMIFS(T$3:T2556,L$3:L2556,"=Clockstop")</f>
        <v>225</v>
      </c>
      <c r="AA2556">
        <f t="shared" si="1467"/>
        <v>0</v>
      </c>
      <c r="AC2556">
        <f t="shared" si="1468"/>
        <v>225</v>
      </c>
    </row>
    <row r="2557" spans="23:29" x14ac:dyDescent="0.2">
      <c r="W2557">
        <v>119</v>
      </c>
      <c r="Z2557" s="20">
        <f>SUMIFS(T$3:T2557,L$3:L2557,"=Intermission")+SUMIFS(T$3:T2557,L$3:L2557,"=Timeout")+SUMIFS(T$3:T2557,L$3:L2557,"=Clockstop")</f>
        <v>225</v>
      </c>
      <c r="AA2557">
        <f t="shared" si="1467"/>
        <v>0</v>
      </c>
      <c r="AC2557">
        <f t="shared" si="1468"/>
        <v>225</v>
      </c>
    </row>
    <row r="2558" spans="23:29" x14ac:dyDescent="0.2">
      <c r="W2558">
        <v>120</v>
      </c>
      <c r="Z2558" s="20">
        <f>SUMIFS(T$3:T2558,L$3:L2558,"=Intermission")+SUMIFS(T$3:T2558,L$3:L2558,"=Timeout")+SUMIFS(T$3:T2558,L$3:L2558,"=Clockstop")</f>
        <v>225</v>
      </c>
      <c r="AA2558">
        <f t="shared" si="1467"/>
        <v>0</v>
      </c>
      <c r="AC2558">
        <f t="shared" si="1468"/>
        <v>225</v>
      </c>
    </row>
    <row r="2559" spans="23:29" x14ac:dyDescent="0.2">
      <c r="W2559">
        <v>121</v>
      </c>
      <c r="Z2559" s="20">
        <f>SUMIFS(T$3:T2559,L$3:L2559,"=Intermission")+SUMIFS(T$3:T2559,L$3:L2559,"=Timeout")+SUMIFS(T$3:T2559,L$3:L2559,"=Clockstop")</f>
        <v>225</v>
      </c>
      <c r="AA2559">
        <f t="shared" si="1467"/>
        <v>0</v>
      </c>
      <c r="AC2559">
        <f t="shared" si="1468"/>
        <v>225</v>
      </c>
    </row>
    <row r="2560" spans="23:29" x14ac:dyDescent="0.2">
      <c r="W2560">
        <v>122</v>
      </c>
      <c r="Z2560" s="20">
        <f>SUMIFS(T$3:T2560,L$3:L2560,"=Intermission")+SUMIFS(T$3:T2560,L$3:L2560,"=Timeout")+SUMIFS(T$3:T2560,L$3:L2560,"=Clockstop")</f>
        <v>225</v>
      </c>
      <c r="AA2560">
        <f t="shared" si="1467"/>
        <v>0</v>
      </c>
      <c r="AC2560">
        <f t="shared" si="1468"/>
        <v>225</v>
      </c>
    </row>
    <row r="2561" spans="23:29" x14ac:dyDescent="0.2">
      <c r="W2561">
        <v>123</v>
      </c>
      <c r="Z2561" s="20">
        <f>SUMIFS(T$3:T2561,L$3:L2561,"=Intermission")+SUMIFS(T$3:T2561,L$3:L2561,"=Timeout")+SUMIFS(T$3:T2561,L$3:L2561,"=Clockstop")</f>
        <v>225</v>
      </c>
      <c r="AA2561">
        <f t="shared" si="1467"/>
        <v>0</v>
      </c>
      <c r="AC2561">
        <f t="shared" si="1468"/>
        <v>225</v>
      </c>
    </row>
    <row r="2562" spans="23:29" x14ac:dyDescent="0.2">
      <c r="W2562">
        <v>124</v>
      </c>
      <c r="Z2562" s="20">
        <f>SUMIFS(T$3:T2562,L$3:L2562,"=Intermission")+SUMIFS(T$3:T2562,L$3:L2562,"=Timeout")+SUMIFS(T$3:T2562,L$3:L2562,"=Clockstop")</f>
        <v>225</v>
      </c>
      <c r="AA2562">
        <f t="shared" si="1467"/>
        <v>0</v>
      </c>
      <c r="AC2562">
        <f t="shared" si="1468"/>
        <v>225</v>
      </c>
    </row>
    <row r="2563" spans="23:29" x14ac:dyDescent="0.2">
      <c r="W2563">
        <v>125</v>
      </c>
      <c r="Z2563" s="20">
        <f>SUMIFS(T$3:T2563,L$3:L2563,"=Intermission")+SUMIFS(T$3:T2563,L$3:L2563,"=Timeout")+SUMIFS(T$3:T2563,L$3:L2563,"=Clockstop")</f>
        <v>225</v>
      </c>
      <c r="AA2563">
        <f t="shared" si="1467"/>
        <v>0</v>
      </c>
      <c r="AC2563">
        <f t="shared" si="1468"/>
        <v>225</v>
      </c>
    </row>
    <row r="2564" spans="23:29" x14ac:dyDescent="0.2">
      <c r="W2564">
        <v>126</v>
      </c>
      <c r="Z2564" s="20">
        <f>SUMIFS(T$3:T2564,L$3:L2564,"=Intermission")+SUMIFS(T$3:T2564,L$3:L2564,"=Timeout")+SUMIFS(T$3:T2564,L$3:L2564,"=Clockstop")</f>
        <v>225</v>
      </c>
      <c r="AA2564">
        <f t="shared" ref="AA2564:AA2627" si="1501">IF(D2564=1,0,IF(D2564=2,1080+Z2564,IF(D2564=3,(1080*2)+Z2564,0)))</f>
        <v>0</v>
      </c>
      <c r="AC2564">
        <f t="shared" ref="AC2564:AC2627" si="1502">IF(L2563="GameStart",0,AA2564+Z2564)</f>
        <v>225</v>
      </c>
    </row>
    <row r="2565" spans="23:29" x14ac:dyDescent="0.2">
      <c r="W2565">
        <v>127</v>
      </c>
      <c r="Z2565" s="20">
        <f>SUMIFS(T$3:T2565,L$3:L2565,"=Intermission")+SUMIFS(T$3:T2565,L$3:L2565,"=Timeout")+SUMIFS(T$3:T2565,L$3:L2565,"=Clockstop")</f>
        <v>225</v>
      </c>
      <c r="AA2565">
        <f t="shared" si="1501"/>
        <v>0</v>
      </c>
      <c r="AC2565">
        <f t="shared" si="1502"/>
        <v>225</v>
      </c>
    </row>
    <row r="2566" spans="23:29" x14ac:dyDescent="0.2">
      <c r="W2566">
        <v>128</v>
      </c>
      <c r="Z2566" s="20">
        <f>SUMIFS(T$3:T2566,L$3:L2566,"=Intermission")+SUMIFS(T$3:T2566,L$3:L2566,"=Timeout")+SUMIFS(T$3:T2566,L$3:L2566,"=Clockstop")</f>
        <v>225</v>
      </c>
      <c r="AA2566">
        <f t="shared" si="1501"/>
        <v>0</v>
      </c>
      <c r="AC2566">
        <f t="shared" si="1502"/>
        <v>225</v>
      </c>
    </row>
    <row r="2567" spans="23:29" x14ac:dyDescent="0.2">
      <c r="W2567">
        <v>129</v>
      </c>
      <c r="Z2567" s="20">
        <f>SUMIFS(T$3:T2567,L$3:L2567,"=Intermission")+SUMIFS(T$3:T2567,L$3:L2567,"=Timeout")+SUMIFS(T$3:T2567,L$3:L2567,"=Clockstop")</f>
        <v>225</v>
      </c>
      <c r="AA2567">
        <f t="shared" si="1501"/>
        <v>0</v>
      </c>
      <c r="AC2567">
        <f t="shared" si="1502"/>
        <v>225</v>
      </c>
    </row>
    <row r="2568" spans="23:29" x14ac:dyDescent="0.2">
      <c r="W2568">
        <v>130</v>
      </c>
      <c r="Z2568" s="20">
        <f>SUMIFS(T$3:T2568,L$3:L2568,"=Intermission")+SUMIFS(T$3:T2568,L$3:L2568,"=Timeout")+SUMIFS(T$3:T2568,L$3:L2568,"=Clockstop")</f>
        <v>225</v>
      </c>
      <c r="AA2568">
        <f t="shared" si="1501"/>
        <v>0</v>
      </c>
      <c r="AC2568">
        <f t="shared" si="1502"/>
        <v>225</v>
      </c>
    </row>
    <row r="2569" spans="23:29" x14ac:dyDescent="0.2">
      <c r="W2569">
        <v>131</v>
      </c>
      <c r="Z2569" s="20">
        <f>SUMIFS(T$3:T2569,L$3:L2569,"=Intermission")+SUMIFS(T$3:T2569,L$3:L2569,"=Timeout")+SUMIFS(T$3:T2569,L$3:L2569,"=Clockstop")</f>
        <v>225</v>
      </c>
      <c r="AA2569">
        <f t="shared" si="1501"/>
        <v>0</v>
      </c>
      <c r="AC2569">
        <f t="shared" si="1502"/>
        <v>225</v>
      </c>
    </row>
    <row r="2570" spans="23:29" x14ac:dyDescent="0.2">
      <c r="W2570">
        <v>132</v>
      </c>
      <c r="Z2570" s="20">
        <f>SUMIFS(T$3:T2570,L$3:L2570,"=Intermission")+SUMIFS(T$3:T2570,L$3:L2570,"=Timeout")+SUMIFS(T$3:T2570,L$3:L2570,"=Clockstop")</f>
        <v>225</v>
      </c>
      <c r="AA2570">
        <f t="shared" si="1501"/>
        <v>0</v>
      </c>
      <c r="AC2570">
        <f t="shared" si="1502"/>
        <v>225</v>
      </c>
    </row>
    <row r="2571" spans="23:29" x14ac:dyDescent="0.2">
      <c r="W2571">
        <v>133</v>
      </c>
      <c r="Z2571" s="20">
        <f>SUMIFS(T$3:T2571,L$3:L2571,"=Intermission")+SUMIFS(T$3:T2571,L$3:L2571,"=Timeout")+SUMIFS(T$3:T2571,L$3:L2571,"=Clockstop")</f>
        <v>225</v>
      </c>
      <c r="AA2571">
        <f t="shared" si="1501"/>
        <v>0</v>
      </c>
      <c r="AC2571">
        <f t="shared" si="1502"/>
        <v>225</v>
      </c>
    </row>
    <row r="2572" spans="23:29" x14ac:dyDescent="0.2">
      <c r="W2572">
        <v>134</v>
      </c>
      <c r="Z2572" s="20">
        <f>SUMIFS(T$3:T2572,L$3:L2572,"=Intermission")+SUMIFS(T$3:T2572,L$3:L2572,"=Timeout")+SUMIFS(T$3:T2572,L$3:L2572,"=Clockstop")</f>
        <v>225</v>
      </c>
      <c r="AA2572">
        <f t="shared" si="1501"/>
        <v>0</v>
      </c>
      <c r="AC2572">
        <f t="shared" si="1502"/>
        <v>225</v>
      </c>
    </row>
    <row r="2573" spans="23:29" x14ac:dyDescent="0.2">
      <c r="W2573">
        <v>135</v>
      </c>
      <c r="Z2573" s="20">
        <f>SUMIFS(T$3:T2573,L$3:L2573,"=Intermission")+SUMIFS(T$3:T2573,L$3:L2573,"=Timeout")+SUMIFS(T$3:T2573,L$3:L2573,"=Clockstop")</f>
        <v>225</v>
      </c>
      <c r="AA2573">
        <f t="shared" si="1501"/>
        <v>0</v>
      </c>
      <c r="AC2573">
        <f t="shared" si="1502"/>
        <v>225</v>
      </c>
    </row>
    <row r="2574" spans="23:29" x14ac:dyDescent="0.2">
      <c r="W2574">
        <v>136</v>
      </c>
      <c r="Z2574" s="20">
        <f>SUMIFS(T$3:T2574,L$3:L2574,"=Intermission")+SUMIFS(T$3:T2574,L$3:L2574,"=Timeout")+SUMIFS(T$3:T2574,L$3:L2574,"=Clockstop")</f>
        <v>225</v>
      </c>
      <c r="AA2574">
        <f t="shared" si="1501"/>
        <v>0</v>
      </c>
      <c r="AC2574">
        <f t="shared" si="1502"/>
        <v>225</v>
      </c>
    </row>
    <row r="2575" spans="23:29" x14ac:dyDescent="0.2">
      <c r="W2575">
        <v>137</v>
      </c>
      <c r="Z2575" s="20">
        <f>SUMIFS(T$3:T2575,L$3:L2575,"=Intermission")+SUMIFS(T$3:T2575,L$3:L2575,"=Timeout")+SUMIFS(T$3:T2575,L$3:L2575,"=Clockstop")</f>
        <v>225</v>
      </c>
      <c r="AA2575">
        <f t="shared" si="1501"/>
        <v>0</v>
      </c>
      <c r="AC2575">
        <f t="shared" si="1502"/>
        <v>225</v>
      </c>
    </row>
    <row r="2576" spans="23:29" x14ac:dyDescent="0.2">
      <c r="W2576">
        <v>138</v>
      </c>
      <c r="Z2576" s="20">
        <f>SUMIFS(T$3:T2576,L$3:L2576,"=Intermission")+SUMIFS(T$3:T2576,L$3:L2576,"=Timeout")+SUMIFS(T$3:T2576,L$3:L2576,"=Clockstop")</f>
        <v>225</v>
      </c>
      <c r="AA2576">
        <f t="shared" si="1501"/>
        <v>0</v>
      </c>
      <c r="AC2576">
        <f t="shared" si="1502"/>
        <v>225</v>
      </c>
    </row>
    <row r="2577" spans="23:29" x14ac:dyDescent="0.2">
      <c r="W2577">
        <v>139</v>
      </c>
      <c r="Z2577" s="20">
        <f>SUMIFS(T$3:T2577,L$3:L2577,"=Intermission")+SUMIFS(T$3:T2577,L$3:L2577,"=Timeout")+SUMIFS(T$3:T2577,L$3:L2577,"=Clockstop")</f>
        <v>225</v>
      </c>
      <c r="AA2577">
        <f t="shared" si="1501"/>
        <v>0</v>
      </c>
      <c r="AC2577">
        <f t="shared" si="1502"/>
        <v>225</v>
      </c>
    </row>
    <row r="2578" spans="23:29" x14ac:dyDescent="0.2">
      <c r="W2578">
        <v>140</v>
      </c>
      <c r="Z2578" s="20">
        <f>SUMIFS(T$3:T2578,L$3:L2578,"=Intermission")+SUMIFS(T$3:T2578,L$3:L2578,"=Timeout")+SUMIFS(T$3:T2578,L$3:L2578,"=Clockstop")</f>
        <v>225</v>
      </c>
      <c r="AA2578">
        <f t="shared" si="1501"/>
        <v>0</v>
      </c>
      <c r="AC2578">
        <f t="shared" si="1502"/>
        <v>225</v>
      </c>
    </row>
    <row r="2579" spans="23:29" x14ac:dyDescent="0.2">
      <c r="W2579">
        <v>141</v>
      </c>
      <c r="Z2579" s="20">
        <f>SUMIFS(T$3:T2579,L$3:L2579,"=Intermission")+SUMIFS(T$3:T2579,L$3:L2579,"=Timeout")+SUMIFS(T$3:T2579,L$3:L2579,"=Clockstop")</f>
        <v>225</v>
      </c>
      <c r="AA2579">
        <f t="shared" si="1501"/>
        <v>0</v>
      </c>
      <c r="AC2579">
        <f t="shared" si="1502"/>
        <v>225</v>
      </c>
    </row>
    <row r="2580" spans="23:29" x14ac:dyDescent="0.2">
      <c r="W2580">
        <v>142</v>
      </c>
      <c r="Z2580" s="20">
        <f>SUMIFS(T$3:T2580,L$3:L2580,"=Intermission")+SUMIFS(T$3:T2580,L$3:L2580,"=Timeout")+SUMIFS(T$3:T2580,L$3:L2580,"=Clockstop")</f>
        <v>225</v>
      </c>
      <c r="AA2580">
        <f t="shared" si="1501"/>
        <v>0</v>
      </c>
      <c r="AC2580">
        <f t="shared" si="1502"/>
        <v>225</v>
      </c>
    </row>
    <row r="2581" spans="23:29" x14ac:dyDescent="0.2">
      <c r="W2581">
        <v>143</v>
      </c>
      <c r="Z2581" s="20">
        <f>SUMIFS(T$3:T2581,L$3:L2581,"=Intermission")+SUMIFS(T$3:T2581,L$3:L2581,"=Timeout")+SUMIFS(T$3:T2581,L$3:L2581,"=Clockstop")</f>
        <v>225</v>
      </c>
      <c r="AA2581">
        <f t="shared" si="1501"/>
        <v>0</v>
      </c>
      <c r="AC2581">
        <f t="shared" si="1502"/>
        <v>225</v>
      </c>
    </row>
    <row r="2582" spans="23:29" x14ac:dyDescent="0.2">
      <c r="W2582">
        <v>144</v>
      </c>
      <c r="Z2582" s="20">
        <f>SUMIFS(T$3:T2582,L$3:L2582,"=Intermission")+SUMIFS(T$3:T2582,L$3:L2582,"=Timeout")+SUMIFS(T$3:T2582,L$3:L2582,"=Clockstop")</f>
        <v>225</v>
      </c>
      <c r="AA2582">
        <f t="shared" si="1501"/>
        <v>0</v>
      </c>
      <c r="AC2582">
        <f t="shared" si="1502"/>
        <v>225</v>
      </c>
    </row>
    <row r="2583" spans="23:29" x14ac:dyDescent="0.2">
      <c r="W2583">
        <v>145</v>
      </c>
      <c r="Z2583" s="20">
        <f>SUMIFS(T$3:T2583,L$3:L2583,"=Intermission")+SUMIFS(T$3:T2583,L$3:L2583,"=Timeout")+SUMIFS(T$3:T2583,L$3:L2583,"=Clockstop")</f>
        <v>225</v>
      </c>
      <c r="AA2583">
        <f t="shared" si="1501"/>
        <v>0</v>
      </c>
      <c r="AC2583">
        <f t="shared" si="1502"/>
        <v>225</v>
      </c>
    </row>
    <row r="2584" spans="23:29" x14ac:dyDescent="0.2">
      <c r="W2584">
        <v>146</v>
      </c>
      <c r="Z2584" s="20">
        <f>SUMIFS(T$3:T2584,L$3:L2584,"=Intermission")+SUMIFS(T$3:T2584,L$3:L2584,"=Timeout")+SUMIFS(T$3:T2584,L$3:L2584,"=Clockstop")</f>
        <v>225</v>
      </c>
      <c r="AA2584">
        <f t="shared" si="1501"/>
        <v>0</v>
      </c>
      <c r="AC2584">
        <f t="shared" si="1502"/>
        <v>225</v>
      </c>
    </row>
    <row r="2585" spans="23:29" x14ac:dyDescent="0.2">
      <c r="W2585">
        <v>147</v>
      </c>
      <c r="Z2585" s="20">
        <f>SUMIFS(T$3:T2585,L$3:L2585,"=Intermission")+SUMIFS(T$3:T2585,L$3:L2585,"=Timeout")+SUMIFS(T$3:T2585,L$3:L2585,"=Clockstop")</f>
        <v>225</v>
      </c>
      <c r="AA2585">
        <f t="shared" si="1501"/>
        <v>0</v>
      </c>
      <c r="AC2585">
        <f t="shared" si="1502"/>
        <v>225</v>
      </c>
    </row>
    <row r="2586" spans="23:29" x14ac:dyDescent="0.2">
      <c r="W2586">
        <v>148</v>
      </c>
      <c r="Z2586" s="20">
        <f>SUMIFS(T$3:T2586,L$3:L2586,"=Intermission")+SUMIFS(T$3:T2586,L$3:L2586,"=Timeout")+SUMIFS(T$3:T2586,L$3:L2586,"=Clockstop")</f>
        <v>225</v>
      </c>
      <c r="AA2586">
        <f t="shared" si="1501"/>
        <v>0</v>
      </c>
      <c r="AC2586">
        <f t="shared" si="1502"/>
        <v>225</v>
      </c>
    </row>
    <row r="2587" spans="23:29" x14ac:dyDescent="0.2">
      <c r="W2587">
        <v>149</v>
      </c>
      <c r="Z2587" s="20">
        <f>SUMIFS(T$3:T2587,L$3:L2587,"=Intermission")+SUMIFS(T$3:T2587,L$3:L2587,"=Timeout")+SUMIFS(T$3:T2587,L$3:L2587,"=Clockstop")</f>
        <v>225</v>
      </c>
      <c r="AA2587">
        <f t="shared" si="1501"/>
        <v>0</v>
      </c>
      <c r="AC2587">
        <f t="shared" si="1502"/>
        <v>225</v>
      </c>
    </row>
    <row r="2588" spans="23:29" x14ac:dyDescent="0.2">
      <c r="W2588">
        <v>150</v>
      </c>
      <c r="Z2588" s="20">
        <f>SUMIFS(T$3:T2588,L$3:L2588,"=Intermission")+SUMIFS(T$3:T2588,L$3:L2588,"=Timeout")+SUMIFS(T$3:T2588,L$3:L2588,"=Clockstop")</f>
        <v>225</v>
      </c>
      <c r="AA2588">
        <f t="shared" si="1501"/>
        <v>0</v>
      </c>
      <c r="AC2588">
        <f t="shared" si="1502"/>
        <v>225</v>
      </c>
    </row>
    <row r="2589" spans="23:29" x14ac:dyDescent="0.2">
      <c r="W2589">
        <v>151</v>
      </c>
      <c r="Z2589" s="20">
        <f>SUMIFS(T$3:T2589,L$3:L2589,"=Intermission")+SUMIFS(T$3:T2589,L$3:L2589,"=Timeout")+SUMIFS(T$3:T2589,L$3:L2589,"=Clockstop")</f>
        <v>225</v>
      </c>
      <c r="AA2589">
        <f t="shared" si="1501"/>
        <v>0</v>
      </c>
      <c r="AC2589">
        <f t="shared" si="1502"/>
        <v>225</v>
      </c>
    </row>
    <row r="2590" spans="23:29" x14ac:dyDescent="0.2">
      <c r="W2590">
        <v>152</v>
      </c>
      <c r="Z2590" s="20">
        <f>SUMIFS(T$3:T2590,L$3:L2590,"=Intermission")+SUMIFS(T$3:T2590,L$3:L2590,"=Timeout")+SUMIFS(T$3:T2590,L$3:L2590,"=Clockstop")</f>
        <v>225</v>
      </c>
      <c r="AA2590">
        <f t="shared" si="1501"/>
        <v>0</v>
      </c>
      <c r="AC2590">
        <f t="shared" si="1502"/>
        <v>225</v>
      </c>
    </row>
    <row r="2591" spans="23:29" x14ac:dyDescent="0.2">
      <c r="W2591">
        <v>153</v>
      </c>
      <c r="Z2591" s="20">
        <f>SUMIFS(T$3:T2591,L$3:L2591,"=Intermission")+SUMIFS(T$3:T2591,L$3:L2591,"=Timeout")+SUMIFS(T$3:T2591,L$3:L2591,"=Clockstop")</f>
        <v>225</v>
      </c>
      <c r="AA2591">
        <f t="shared" si="1501"/>
        <v>0</v>
      </c>
      <c r="AC2591">
        <f t="shared" si="1502"/>
        <v>225</v>
      </c>
    </row>
    <row r="2592" spans="23:29" x14ac:dyDescent="0.2">
      <c r="W2592">
        <v>154</v>
      </c>
      <c r="Z2592" s="20">
        <f>SUMIFS(T$3:T2592,L$3:L2592,"=Intermission")+SUMIFS(T$3:T2592,L$3:L2592,"=Timeout")+SUMIFS(T$3:T2592,L$3:L2592,"=Clockstop")</f>
        <v>225</v>
      </c>
      <c r="AA2592">
        <f t="shared" si="1501"/>
        <v>0</v>
      </c>
      <c r="AC2592">
        <f t="shared" si="1502"/>
        <v>225</v>
      </c>
    </row>
    <row r="2593" spans="23:29" x14ac:dyDescent="0.2">
      <c r="W2593">
        <v>155</v>
      </c>
      <c r="Z2593" s="20">
        <f>SUMIFS(T$3:T2593,L$3:L2593,"=Intermission")+SUMIFS(T$3:T2593,L$3:L2593,"=Timeout")+SUMIFS(T$3:T2593,L$3:L2593,"=Clockstop")</f>
        <v>225</v>
      </c>
      <c r="AA2593">
        <f t="shared" si="1501"/>
        <v>0</v>
      </c>
      <c r="AC2593">
        <f t="shared" si="1502"/>
        <v>225</v>
      </c>
    </row>
    <row r="2594" spans="23:29" x14ac:dyDescent="0.2">
      <c r="W2594">
        <v>156</v>
      </c>
      <c r="Z2594" s="20">
        <f>SUMIFS(T$3:T2594,L$3:L2594,"=Intermission")+SUMIFS(T$3:T2594,L$3:L2594,"=Timeout")+SUMIFS(T$3:T2594,L$3:L2594,"=Clockstop")</f>
        <v>225</v>
      </c>
      <c r="AA2594">
        <f t="shared" si="1501"/>
        <v>0</v>
      </c>
      <c r="AC2594">
        <f t="shared" si="1502"/>
        <v>225</v>
      </c>
    </row>
    <row r="2595" spans="23:29" x14ac:dyDescent="0.2">
      <c r="W2595">
        <v>157</v>
      </c>
      <c r="Z2595" s="20">
        <f>SUMIFS(T$3:T2595,L$3:L2595,"=Intermission")+SUMIFS(T$3:T2595,L$3:L2595,"=Timeout")+SUMIFS(T$3:T2595,L$3:L2595,"=Clockstop")</f>
        <v>225</v>
      </c>
      <c r="AA2595">
        <f t="shared" si="1501"/>
        <v>0</v>
      </c>
      <c r="AC2595">
        <f t="shared" si="1502"/>
        <v>225</v>
      </c>
    </row>
    <row r="2596" spans="23:29" x14ac:dyDescent="0.2">
      <c r="W2596">
        <v>158</v>
      </c>
      <c r="Z2596" s="20">
        <f>SUMIFS(T$3:T2596,L$3:L2596,"=Intermission")+SUMIFS(T$3:T2596,L$3:L2596,"=Timeout")+SUMIFS(T$3:T2596,L$3:L2596,"=Clockstop")</f>
        <v>225</v>
      </c>
      <c r="AA2596">
        <f t="shared" si="1501"/>
        <v>0</v>
      </c>
      <c r="AC2596">
        <f t="shared" si="1502"/>
        <v>225</v>
      </c>
    </row>
    <row r="2597" spans="23:29" x14ac:dyDescent="0.2">
      <c r="W2597">
        <v>159</v>
      </c>
      <c r="Z2597" s="20">
        <f>SUMIFS(T$3:T2597,L$3:L2597,"=Intermission")+SUMIFS(T$3:T2597,L$3:L2597,"=Timeout")+SUMIFS(T$3:T2597,L$3:L2597,"=Clockstop")</f>
        <v>225</v>
      </c>
      <c r="AA2597">
        <f t="shared" si="1501"/>
        <v>0</v>
      </c>
      <c r="AC2597">
        <f t="shared" si="1502"/>
        <v>225</v>
      </c>
    </row>
    <row r="2598" spans="23:29" x14ac:dyDescent="0.2">
      <c r="W2598">
        <v>160</v>
      </c>
      <c r="Z2598" s="20">
        <f>SUMIFS(T$3:T2598,L$3:L2598,"=Intermission")+SUMIFS(T$3:T2598,L$3:L2598,"=Timeout")+SUMIFS(T$3:T2598,L$3:L2598,"=Clockstop")</f>
        <v>225</v>
      </c>
      <c r="AA2598">
        <f t="shared" si="1501"/>
        <v>0</v>
      </c>
      <c r="AC2598">
        <f t="shared" si="1502"/>
        <v>225</v>
      </c>
    </row>
    <row r="2599" spans="23:29" x14ac:dyDescent="0.2">
      <c r="W2599">
        <v>161</v>
      </c>
      <c r="Z2599" s="20">
        <f>SUMIFS(T$3:T2599,L$3:L2599,"=Intermission")+SUMIFS(T$3:T2599,L$3:L2599,"=Timeout")+SUMIFS(T$3:T2599,L$3:L2599,"=Clockstop")</f>
        <v>225</v>
      </c>
      <c r="AA2599">
        <f t="shared" si="1501"/>
        <v>0</v>
      </c>
      <c r="AC2599">
        <f t="shared" si="1502"/>
        <v>225</v>
      </c>
    </row>
    <row r="2600" spans="23:29" x14ac:dyDescent="0.2">
      <c r="W2600">
        <v>162</v>
      </c>
      <c r="Z2600" s="20">
        <f>SUMIFS(T$3:T2600,L$3:L2600,"=Intermission")+SUMIFS(T$3:T2600,L$3:L2600,"=Timeout")+SUMIFS(T$3:T2600,L$3:L2600,"=Clockstop")</f>
        <v>225</v>
      </c>
      <c r="AA2600">
        <f t="shared" si="1501"/>
        <v>0</v>
      </c>
      <c r="AC2600">
        <f t="shared" si="1502"/>
        <v>225</v>
      </c>
    </row>
    <row r="2601" spans="23:29" x14ac:dyDescent="0.2">
      <c r="W2601">
        <v>163</v>
      </c>
      <c r="Z2601" s="20">
        <f>SUMIFS(T$3:T2601,L$3:L2601,"=Intermission")+SUMIFS(T$3:T2601,L$3:L2601,"=Timeout")+SUMIFS(T$3:T2601,L$3:L2601,"=Clockstop")</f>
        <v>225</v>
      </c>
      <c r="AA2601">
        <f t="shared" si="1501"/>
        <v>0</v>
      </c>
      <c r="AC2601">
        <f t="shared" si="1502"/>
        <v>225</v>
      </c>
    </row>
    <row r="2602" spans="23:29" x14ac:dyDescent="0.2">
      <c r="W2602">
        <v>164</v>
      </c>
      <c r="Z2602" s="20">
        <f>SUMIFS(T$3:T2602,L$3:L2602,"=Intermission")+SUMIFS(T$3:T2602,L$3:L2602,"=Timeout")+SUMIFS(T$3:T2602,L$3:L2602,"=Clockstop")</f>
        <v>225</v>
      </c>
      <c r="AA2602">
        <f t="shared" si="1501"/>
        <v>0</v>
      </c>
      <c r="AC2602">
        <f t="shared" si="1502"/>
        <v>225</v>
      </c>
    </row>
    <row r="2603" spans="23:29" x14ac:dyDescent="0.2">
      <c r="W2603">
        <v>165</v>
      </c>
      <c r="Z2603" s="20">
        <f>SUMIFS(T$3:T2603,L$3:L2603,"=Intermission")+SUMIFS(T$3:T2603,L$3:L2603,"=Timeout")+SUMIFS(T$3:T2603,L$3:L2603,"=Clockstop")</f>
        <v>225</v>
      </c>
      <c r="AA2603">
        <f t="shared" si="1501"/>
        <v>0</v>
      </c>
      <c r="AC2603">
        <f t="shared" si="1502"/>
        <v>225</v>
      </c>
    </row>
    <row r="2604" spans="23:29" x14ac:dyDescent="0.2">
      <c r="W2604">
        <v>166</v>
      </c>
      <c r="Z2604" s="20">
        <f>SUMIFS(T$3:T2604,L$3:L2604,"=Intermission")+SUMIFS(T$3:T2604,L$3:L2604,"=Timeout")+SUMIFS(T$3:T2604,L$3:L2604,"=Clockstop")</f>
        <v>225</v>
      </c>
      <c r="AA2604">
        <f t="shared" si="1501"/>
        <v>0</v>
      </c>
      <c r="AC2604">
        <f t="shared" si="1502"/>
        <v>225</v>
      </c>
    </row>
    <row r="2605" spans="23:29" x14ac:dyDescent="0.2">
      <c r="W2605">
        <v>167</v>
      </c>
      <c r="Z2605" s="20">
        <f>SUMIFS(T$3:T2605,L$3:L2605,"=Intermission")+SUMIFS(T$3:T2605,L$3:L2605,"=Timeout")+SUMIFS(T$3:T2605,L$3:L2605,"=Clockstop")</f>
        <v>225</v>
      </c>
      <c r="AA2605">
        <f t="shared" si="1501"/>
        <v>0</v>
      </c>
      <c r="AC2605">
        <f t="shared" si="1502"/>
        <v>225</v>
      </c>
    </row>
    <row r="2606" spans="23:29" x14ac:dyDescent="0.2">
      <c r="W2606">
        <v>168</v>
      </c>
      <c r="Z2606" s="20">
        <f>SUMIFS(T$3:T2606,L$3:L2606,"=Intermission")+SUMIFS(T$3:T2606,L$3:L2606,"=Timeout")+SUMIFS(T$3:T2606,L$3:L2606,"=Clockstop")</f>
        <v>225</v>
      </c>
      <c r="AA2606">
        <f t="shared" si="1501"/>
        <v>0</v>
      </c>
      <c r="AC2606">
        <f t="shared" si="1502"/>
        <v>225</v>
      </c>
    </row>
    <row r="2607" spans="23:29" x14ac:dyDescent="0.2">
      <c r="W2607">
        <v>169</v>
      </c>
      <c r="Z2607" s="20">
        <f>SUMIFS(T$3:T2607,L$3:L2607,"=Intermission")+SUMIFS(T$3:T2607,L$3:L2607,"=Timeout")+SUMIFS(T$3:T2607,L$3:L2607,"=Clockstop")</f>
        <v>225</v>
      </c>
      <c r="AA2607">
        <f t="shared" si="1501"/>
        <v>0</v>
      </c>
      <c r="AC2607">
        <f t="shared" si="1502"/>
        <v>225</v>
      </c>
    </row>
    <row r="2608" spans="23:29" x14ac:dyDescent="0.2">
      <c r="W2608">
        <v>170</v>
      </c>
      <c r="Z2608" s="20">
        <f>SUMIFS(T$3:T2608,L$3:L2608,"=Intermission")+SUMIFS(T$3:T2608,L$3:L2608,"=Timeout")+SUMIFS(T$3:T2608,L$3:L2608,"=Clockstop")</f>
        <v>225</v>
      </c>
      <c r="AA2608">
        <f t="shared" si="1501"/>
        <v>0</v>
      </c>
      <c r="AC2608">
        <f t="shared" si="1502"/>
        <v>225</v>
      </c>
    </row>
    <row r="2609" spans="23:29" x14ac:dyDescent="0.2">
      <c r="W2609">
        <v>171</v>
      </c>
      <c r="Z2609" s="20">
        <f>SUMIFS(T$3:T2609,L$3:L2609,"=Intermission")+SUMIFS(T$3:T2609,L$3:L2609,"=Timeout")+SUMIFS(T$3:T2609,L$3:L2609,"=Clockstop")</f>
        <v>225</v>
      </c>
      <c r="AA2609">
        <f t="shared" si="1501"/>
        <v>0</v>
      </c>
      <c r="AC2609">
        <f t="shared" si="1502"/>
        <v>225</v>
      </c>
    </row>
    <row r="2610" spans="23:29" x14ac:dyDescent="0.2">
      <c r="W2610">
        <v>172</v>
      </c>
      <c r="Z2610" s="20">
        <f>SUMIFS(T$3:T2610,L$3:L2610,"=Intermission")+SUMIFS(T$3:T2610,L$3:L2610,"=Timeout")+SUMIFS(T$3:T2610,L$3:L2610,"=Clockstop")</f>
        <v>225</v>
      </c>
      <c r="AA2610">
        <f t="shared" si="1501"/>
        <v>0</v>
      </c>
      <c r="AC2610">
        <f t="shared" si="1502"/>
        <v>225</v>
      </c>
    </row>
    <row r="2611" spans="23:29" x14ac:dyDescent="0.2">
      <c r="W2611">
        <v>173</v>
      </c>
      <c r="Z2611" s="20">
        <f>SUMIFS(T$3:T2611,L$3:L2611,"=Intermission")+SUMIFS(T$3:T2611,L$3:L2611,"=Timeout")+SUMIFS(T$3:T2611,L$3:L2611,"=Clockstop")</f>
        <v>225</v>
      </c>
      <c r="AA2611">
        <f t="shared" si="1501"/>
        <v>0</v>
      </c>
      <c r="AC2611">
        <f t="shared" si="1502"/>
        <v>225</v>
      </c>
    </row>
    <row r="2612" spans="23:29" x14ac:dyDescent="0.2">
      <c r="W2612">
        <v>174</v>
      </c>
      <c r="Z2612" s="20">
        <f>SUMIFS(T$3:T2612,L$3:L2612,"=Intermission")+SUMIFS(T$3:T2612,L$3:L2612,"=Timeout")+SUMIFS(T$3:T2612,L$3:L2612,"=Clockstop")</f>
        <v>225</v>
      </c>
      <c r="AA2612">
        <f t="shared" si="1501"/>
        <v>0</v>
      </c>
      <c r="AC2612">
        <f t="shared" si="1502"/>
        <v>225</v>
      </c>
    </row>
    <row r="2613" spans="23:29" x14ac:dyDescent="0.2">
      <c r="W2613">
        <v>175</v>
      </c>
      <c r="Z2613" s="20">
        <f>SUMIFS(T$3:T2613,L$3:L2613,"=Intermission")+SUMIFS(T$3:T2613,L$3:L2613,"=Timeout")+SUMIFS(T$3:T2613,L$3:L2613,"=Clockstop")</f>
        <v>225</v>
      </c>
      <c r="AA2613">
        <f t="shared" si="1501"/>
        <v>0</v>
      </c>
      <c r="AC2613">
        <f t="shared" si="1502"/>
        <v>225</v>
      </c>
    </row>
    <row r="2614" spans="23:29" x14ac:dyDescent="0.2">
      <c r="W2614">
        <v>176</v>
      </c>
      <c r="Z2614" s="20">
        <f>SUMIFS(T$3:T2614,L$3:L2614,"=Intermission")+SUMIFS(T$3:T2614,L$3:L2614,"=Timeout")+SUMIFS(T$3:T2614,L$3:L2614,"=Clockstop")</f>
        <v>225</v>
      </c>
      <c r="AA2614">
        <f t="shared" si="1501"/>
        <v>0</v>
      </c>
      <c r="AC2614">
        <f t="shared" si="1502"/>
        <v>225</v>
      </c>
    </row>
    <row r="2615" spans="23:29" x14ac:dyDescent="0.2">
      <c r="W2615">
        <v>177</v>
      </c>
      <c r="Z2615" s="20">
        <f>SUMIFS(T$3:T2615,L$3:L2615,"=Intermission")+SUMIFS(T$3:T2615,L$3:L2615,"=Timeout")+SUMIFS(T$3:T2615,L$3:L2615,"=Clockstop")</f>
        <v>225</v>
      </c>
      <c r="AA2615">
        <f t="shared" si="1501"/>
        <v>0</v>
      </c>
      <c r="AC2615">
        <f t="shared" si="1502"/>
        <v>225</v>
      </c>
    </row>
    <row r="2616" spans="23:29" x14ac:dyDescent="0.2">
      <c r="W2616">
        <v>178</v>
      </c>
      <c r="Z2616" s="20">
        <f>SUMIFS(T$3:T2616,L$3:L2616,"=Intermission")+SUMIFS(T$3:T2616,L$3:L2616,"=Timeout")+SUMIFS(T$3:T2616,L$3:L2616,"=Clockstop")</f>
        <v>225</v>
      </c>
      <c r="AA2616">
        <f t="shared" si="1501"/>
        <v>0</v>
      </c>
      <c r="AC2616">
        <f t="shared" si="1502"/>
        <v>225</v>
      </c>
    </row>
    <row r="2617" spans="23:29" x14ac:dyDescent="0.2">
      <c r="W2617">
        <v>179</v>
      </c>
      <c r="Z2617" s="20">
        <f>SUMIFS(T$3:T2617,L$3:L2617,"=Intermission")+SUMIFS(T$3:T2617,L$3:L2617,"=Timeout")+SUMIFS(T$3:T2617,L$3:L2617,"=Clockstop")</f>
        <v>225</v>
      </c>
      <c r="AA2617">
        <f t="shared" si="1501"/>
        <v>0</v>
      </c>
      <c r="AC2617">
        <f t="shared" si="1502"/>
        <v>225</v>
      </c>
    </row>
    <row r="2618" spans="23:29" x14ac:dyDescent="0.2">
      <c r="W2618">
        <v>180</v>
      </c>
      <c r="Z2618" s="20">
        <f>SUMIFS(T$3:T2618,L$3:L2618,"=Intermission")+SUMIFS(T$3:T2618,L$3:L2618,"=Timeout")+SUMIFS(T$3:T2618,L$3:L2618,"=Clockstop")</f>
        <v>225</v>
      </c>
      <c r="AA2618">
        <f t="shared" si="1501"/>
        <v>0</v>
      </c>
      <c r="AC2618">
        <f t="shared" si="1502"/>
        <v>225</v>
      </c>
    </row>
    <row r="2619" spans="23:29" x14ac:dyDescent="0.2">
      <c r="W2619">
        <v>181</v>
      </c>
      <c r="Z2619" s="20">
        <f>SUMIFS(T$3:T2619,L$3:L2619,"=Intermission")+SUMIFS(T$3:T2619,L$3:L2619,"=Timeout")+SUMIFS(T$3:T2619,L$3:L2619,"=Clockstop")</f>
        <v>225</v>
      </c>
      <c r="AA2619">
        <f t="shared" si="1501"/>
        <v>0</v>
      </c>
      <c r="AC2619">
        <f t="shared" si="1502"/>
        <v>225</v>
      </c>
    </row>
    <row r="2620" spans="23:29" x14ac:dyDescent="0.2">
      <c r="W2620">
        <v>182</v>
      </c>
      <c r="Z2620" s="20">
        <f>SUMIFS(T$3:T2620,L$3:L2620,"=Intermission")+SUMIFS(T$3:T2620,L$3:L2620,"=Timeout")+SUMIFS(T$3:T2620,L$3:L2620,"=Clockstop")</f>
        <v>225</v>
      </c>
      <c r="AA2620">
        <f t="shared" si="1501"/>
        <v>0</v>
      </c>
      <c r="AC2620">
        <f t="shared" si="1502"/>
        <v>225</v>
      </c>
    </row>
    <row r="2621" spans="23:29" x14ac:dyDescent="0.2">
      <c r="W2621">
        <v>183</v>
      </c>
      <c r="Z2621" s="20">
        <f>SUMIFS(T$3:T2621,L$3:L2621,"=Intermission")+SUMIFS(T$3:T2621,L$3:L2621,"=Timeout")+SUMIFS(T$3:T2621,L$3:L2621,"=Clockstop")</f>
        <v>225</v>
      </c>
      <c r="AA2621">
        <f t="shared" si="1501"/>
        <v>0</v>
      </c>
      <c r="AC2621">
        <f t="shared" si="1502"/>
        <v>225</v>
      </c>
    </row>
    <row r="2622" spans="23:29" x14ac:dyDescent="0.2">
      <c r="W2622">
        <v>184</v>
      </c>
      <c r="Z2622" s="20">
        <f>SUMIFS(T$3:T2622,L$3:L2622,"=Intermission")+SUMIFS(T$3:T2622,L$3:L2622,"=Timeout")+SUMIFS(T$3:T2622,L$3:L2622,"=Clockstop")</f>
        <v>225</v>
      </c>
      <c r="AA2622">
        <f t="shared" si="1501"/>
        <v>0</v>
      </c>
      <c r="AC2622">
        <f t="shared" si="1502"/>
        <v>225</v>
      </c>
    </row>
    <row r="2623" spans="23:29" x14ac:dyDescent="0.2">
      <c r="W2623">
        <v>185</v>
      </c>
      <c r="Z2623" s="20">
        <f>SUMIFS(T$3:T2623,L$3:L2623,"=Intermission")+SUMIFS(T$3:T2623,L$3:L2623,"=Timeout")+SUMIFS(T$3:T2623,L$3:L2623,"=Clockstop")</f>
        <v>225</v>
      </c>
      <c r="AA2623">
        <f t="shared" si="1501"/>
        <v>0</v>
      </c>
      <c r="AC2623">
        <f t="shared" si="1502"/>
        <v>225</v>
      </c>
    </row>
    <row r="2624" spans="23:29" x14ac:dyDescent="0.2">
      <c r="W2624">
        <v>186</v>
      </c>
      <c r="Z2624" s="20">
        <f>SUMIFS(T$3:T2624,L$3:L2624,"=Intermission")+SUMIFS(T$3:T2624,L$3:L2624,"=Timeout")+SUMIFS(T$3:T2624,L$3:L2624,"=Clockstop")</f>
        <v>225</v>
      </c>
      <c r="AA2624">
        <f t="shared" si="1501"/>
        <v>0</v>
      </c>
      <c r="AC2624">
        <f t="shared" si="1502"/>
        <v>225</v>
      </c>
    </row>
    <row r="2625" spans="23:29" x14ac:dyDescent="0.2">
      <c r="W2625">
        <v>187</v>
      </c>
      <c r="Z2625" s="20">
        <f>SUMIFS(T$3:T2625,L$3:L2625,"=Intermission")+SUMIFS(T$3:T2625,L$3:L2625,"=Timeout")+SUMIFS(T$3:T2625,L$3:L2625,"=Clockstop")</f>
        <v>225</v>
      </c>
      <c r="AA2625">
        <f t="shared" si="1501"/>
        <v>0</v>
      </c>
      <c r="AC2625">
        <f t="shared" si="1502"/>
        <v>225</v>
      </c>
    </row>
    <row r="2626" spans="23:29" x14ac:dyDescent="0.2">
      <c r="W2626">
        <v>188</v>
      </c>
      <c r="Z2626" s="20">
        <f>SUMIFS(T$3:T2626,L$3:L2626,"=Intermission")+SUMIFS(T$3:T2626,L$3:L2626,"=Timeout")+SUMIFS(T$3:T2626,L$3:L2626,"=Clockstop")</f>
        <v>225</v>
      </c>
      <c r="AA2626">
        <f t="shared" si="1501"/>
        <v>0</v>
      </c>
      <c r="AC2626">
        <f t="shared" si="1502"/>
        <v>225</v>
      </c>
    </row>
    <row r="2627" spans="23:29" x14ac:dyDescent="0.2">
      <c r="W2627">
        <v>189</v>
      </c>
      <c r="Z2627" s="20">
        <f>SUMIFS(T$3:T2627,L$3:L2627,"=Intermission")+SUMIFS(T$3:T2627,L$3:L2627,"=Timeout")+SUMIFS(T$3:T2627,L$3:L2627,"=Clockstop")</f>
        <v>225</v>
      </c>
      <c r="AA2627">
        <f t="shared" si="1501"/>
        <v>0</v>
      </c>
      <c r="AC2627">
        <f t="shared" si="1502"/>
        <v>225</v>
      </c>
    </row>
    <row r="2628" spans="23:29" x14ac:dyDescent="0.2">
      <c r="W2628">
        <v>190</v>
      </c>
      <c r="Z2628" s="20">
        <f>SUMIFS(T$3:T2628,L$3:L2628,"=Intermission")+SUMIFS(T$3:T2628,L$3:L2628,"=Timeout")+SUMIFS(T$3:T2628,L$3:L2628,"=Clockstop")</f>
        <v>225</v>
      </c>
      <c r="AA2628">
        <f t="shared" ref="AA2628:AA2638" si="1503">IF(D2628=1,0,IF(D2628=2,1080+Z2628,IF(D2628=3,(1080*2)+Z2628,0)))</f>
        <v>0</v>
      </c>
      <c r="AC2628">
        <f t="shared" ref="AC2628:AC2638" si="1504">IF(L2627="GameStart",0,AA2628+Z2628)</f>
        <v>225</v>
      </c>
    </row>
    <row r="2629" spans="23:29" x14ac:dyDescent="0.2">
      <c r="W2629">
        <v>191</v>
      </c>
      <c r="Z2629" s="20">
        <f>SUMIFS(T$3:T2629,L$3:L2629,"=Intermission")+SUMIFS(T$3:T2629,L$3:L2629,"=Timeout")+SUMIFS(T$3:T2629,L$3:L2629,"=Clockstop")</f>
        <v>225</v>
      </c>
      <c r="AA2629">
        <f t="shared" si="1503"/>
        <v>0</v>
      </c>
      <c r="AC2629">
        <f t="shared" si="1504"/>
        <v>225</v>
      </c>
    </row>
    <row r="2630" spans="23:29" x14ac:dyDescent="0.2">
      <c r="W2630">
        <v>192</v>
      </c>
      <c r="Z2630" s="20">
        <f>SUMIFS(T$3:T2630,L$3:L2630,"=Intermission")+SUMIFS(T$3:T2630,L$3:L2630,"=Timeout")+SUMIFS(T$3:T2630,L$3:L2630,"=Clockstop")</f>
        <v>225</v>
      </c>
      <c r="AA2630">
        <f t="shared" si="1503"/>
        <v>0</v>
      </c>
      <c r="AC2630">
        <f t="shared" si="1504"/>
        <v>225</v>
      </c>
    </row>
    <row r="2631" spans="23:29" x14ac:dyDescent="0.2">
      <c r="W2631">
        <v>193</v>
      </c>
      <c r="Z2631" s="20">
        <f>SUMIFS(T$3:T2631,L$3:L2631,"=Intermission")+SUMIFS(T$3:T2631,L$3:L2631,"=Timeout")+SUMIFS(T$3:T2631,L$3:L2631,"=Clockstop")</f>
        <v>225</v>
      </c>
      <c r="AA2631">
        <f t="shared" si="1503"/>
        <v>0</v>
      </c>
      <c r="AC2631">
        <f t="shared" si="1504"/>
        <v>225</v>
      </c>
    </row>
    <row r="2632" spans="23:29" x14ac:dyDescent="0.2">
      <c r="W2632">
        <v>194</v>
      </c>
      <c r="Z2632" s="20">
        <f>SUMIFS(T$3:T2632,L$3:L2632,"=Intermission")+SUMIFS(T$3:T2632,L$3:L2632,"=Timeout")+SUMIFS(T$3:T2632,L$3:L2632,"=Clockstop")</f>
        <v>225</v>
      </c>
      <c r="AA2632">
        <f t="shared" si="1503"/>
        <v>0</v>
      </c>
      <c r="AC2632">
        <f t="shared" si="1504"/>
        <v>225</v>
      </c>
    </row>
    <row r="2633" spans="23:29" x14ac:dyDescent="0.2">
      <c r="W2633">
        <v>195</v>
      </c>
      <c r="Z2633" s="20">
        <f>SUMIFS(T$3:T2633,L$3:L2633,"=Intermission")+SUMIFS(T$3:T2633,L$3:L2633,"=Timeout")+SUMIFS(T$3:T2633,L$3:L2633,"=Clockstop")</f>
        <v>225</v>
      </c>
      <c r="AA2633">
        <f t="shared" si="1503"/>
        <v>0</v>
      </c>
      <c r="AC2633">
        <f t="shared" si="1504"/>
        <v>225</v>
      </c>
    </row>
    <row r="2634" spans="23:29" x14ac:dyDescent="0.2">
      <c r="W2634">
        <v>196</v>
      </c>
      <c r="Z2634" s="20">
        <f>SUMIFS(T$3:T2634,L$3:L2634,"=Intermission")+SUMIFS(T$3:T2634,L$3:L2634,"=Timeout")+SUMIFS(T$3:T2634,L$3:L2634,"=Clockstop")</f>
        <v>225</v>
      </c>
      <c r="AA2634">
        <f t="shared" si="1503"/>
        <v>0</v>
      </c>
      <c r="AC2634">
        <f t="shared" si="1504"/>
        <v>225</v>
      </c>
    </row>
    <row r="2635" spans="23:29" x14ac:dyDescent="0.2">
      <c r="W2635">
        <v>197</v>
      </c>
      <c r="Z2635" s="20">
        <f>SUMIFS(T$3:T2635,L$3:L2635,"=Intermission")+SUMIFS(T$3:T2635,L$3:L2635,"=Timeout")+SUMIFS(T$3:T2635,L$3:L2635,"=Clockstop")</f>
        <v>225</v>
      </c>
      <c r="AA2635">
        <f t="shared" si="1503"/>
        <v>0</v>
      </c>
      <c r="AC2635">
        <f t="shared" si="1504"/>
        <v>225</v>
      </c>
    </row>
    <row r="2636" spans="23:29" x14ac:dyDescent="0.2">
      <c r="W2636">
        <v>198</v>
      </c>
      <c r="Z2636" s="20">
        <f>SUMIFS(T$3:T2636,L$3:L2636,"=Intermission")+SUMIFS(T$3:T2636,L$3:L2636,"=Timeout")+SUMIFS(T$3:T2636,L$3:L2636,"=Clockstop")</f>
        <v>225</v>
      </c>
      <c r="AA2636">
        <f t="shared" si="1503"/>
        <v>0</v>
      </c>
      <c r="AC2636">
        <f t="shared" si="1504"/>
        <v>225</v>
      </c>
    </row>
    <row r="2637" spans="23:29" x14ac:dyDescent="0.2">
      <c r="W2637">
        <v>199</v>
      </c>
      <c r="Z2637" s="20">
        <f>SUMIFS(T$3:T2637,L$3:L2637,"=Intermission")+SUMIFS(T$3:T2637,L$3:L2637,"=Timeout")+SUMIFS(T$3:T2637,L$3:L2637,"=Clockstop")</f>
        <v>225</v>
      </c>
      <c r="AA2637">
        <f t="shared" si="1503"/>
        <v>0</v>
      </c>
      <c r="AC2637">
        <f t="shared" si="1504"/>
        <v>225</v>
      </c>
    </row>
    <row r="2638" spans="23:29" x14ac:dyDescent="0.2">
      <c r="W2638">
        <v>200</v>
      </c>
      <c r="Z2638" s="20">
        <f>SUMIFS(T$3:T2638,L$3:L2638,"=Intermission")+SUMIFS(T$3:T2638,L$3:L2638,"=Timeout")+SUMIFS(T$3:T2638,L$3:L2638,"=Clockstop")</f>
        <v>225</v>
      </c>
      <c r="AA2638">
        <f t="shared" si="1503"/>
        <v>0</v>
      </c>
      <c r="AC2638">
        <f t="shared" si="1504"/>
        <v>225</v>
      </c>
    </row>
  </sheetData>
  <phoneticPr fontId="2" type="noConversion"/>
  <dataValidations count="2">
    <dataValidation type="list" allowBlank="1" showInputMessage="1" showErrorMessage="1" sqref="M1433:M1958 M1960:M3754 M1257:M1415 M1073:M1255 M2:M1071" xr:uid="{A94ED84B-2A5F-514F-9433-C0C751E044CE}">
      <formula1>INDIRECT($L2)</formula1>
    </dataValidation>
    <dataValidation type="list" allowBlank="1" showInputMessage="1" showErrorMessage="1" sqref="N2:N1071 N1428:N1958 N1257:N1415 N1073:N1255 N1960:N3754" xr:uid="{62F10E13-5E99-3E4C-AE82-CFE303D0D7BE}">
      <formula1>INDIRECT($M2)</formula1>
    </dataValidation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C52315C-6773-C94A-82B7-448DD44E302A}">
          <x14:formula1>
            <xm:f>Lists!$A:$A</xm:f>
          </x14:formula1>
          <xm:sqref>L1433:L1958 L2:L1071 L1257:L1415 L1073:L1255 L1960:L3754</xm:sqref>
        </x14:dataValidation>
        <x14:dataValidation type="list" allowBlank="1" showInputMessage="1" showErrorMessage="1" xr:uid="{B4DF8AA6-C86B-944B-9A4B-ADE97F4190B8}">
          <x14:formula1>
            <xm:f>Lists!$G:$G</xm:f>
          </x14:formula1>
          <xm:sqref>O3:O1412</xm:sqref>
        </x14:dataValidation>
        <x14:dataValidation type="list" allowBlank="1" showInputMessage="1" showErrorMessage="1" xr:uid="{68C8F15C-454C-E342-8C3D-D659C196260F}">
          <x14:formula1>
            <xm:f>Lists!$K:$K</xm:f>
          </x14:formula1>
          <xm:sqref>I1073 I3:I1071</xm:sqref>
        </x14:dataValidation>
        <x14:dataValidation type="list" allowBlank="1" showInputMessage="1" showErrorMessage="1" xr:uid="{588C9A8E-05F7-6A40-B8A1-980312F00195}">
          <x14:formula1>
            <xm:f>Lists!$I:$I</xm:f>
          </x14:formula1>
          <xm:sqref>P3:P1412</xm:sqref>
        </x14:dataValidation>
        <x14:dataValidation type="list" allowBlank="1" showInputMessage="1" showErrorMessage="1" xr:uid="{3606044F-269E-0D4A-A86D-FD197410E27E}">
          <x14:formula1>
            <xm:f>Lists!$BY:$BY</xm:f>
          </x14:formula1>
          <xm:sqref>K395:K396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400-733E-7A4C-BA36-0E45C3970E91}">
  <dimension ref="A1:AV203"/>
  <sheetViews>
    <sheetView workbookViewId="0">
      <pane xSplit="8" ySplit="1" topLeftCell="I66" activePane="bottomRight" state="frozen"/>
      <selection pane="topRight" activeCell="I1" sqref="I1"/>
      <selection pane="bottomLeft" activeCell="A2" sqref="A2"/>
      <selection pane="bottomRight" activeCell="A40" sqref="A40:XFD40"/>
    </sheetView>
  </sheetViews>
  <sheetFormatPr baseColWidth="10" defaultRowHeight="16" x14ac:dyDescent="0.2"/>
  <cols>
    <col min="2" max="2" width="10.83203125" style="9"/>
    <col min="4" max="4" width="10.83203125" style="6" customWidth="1"/>
    <col min="6" max="6" width="10.83203125" style="6"/>
    <col min="7" max="7" width="10.83203125" style="9"/>
    <col min="8" max="8" width="10.83203125" style="7"/>
    <col min="14" max="14" width="10.83203125" customWidth="1"/>
    <col min="15" max="15" width="10.83203125" style="7"/>
    <col min="16" max="16" width="10.83203125" style="9"/>
    <col min="21" max="21" width="10.83203125" customWidth="1"/>
    <col min="23" max="23" width="10.83203125" style="9"/>
    <col min="24" max="24" width="10.83203125" style="7" customWidth="1"/>
    <col min="25" max="25" width="10.83203125" style="9" hidden="1" customWidth="1"/>
    <col min="27" max="27" width="10.83203125" hidden="1" customWidth="1"/>
    <col min="29" max="29" width="10.83203125" hidden="1" customWidth="1"/>
    <col min="34" max="34" width="12.6640625" customWidth="1"/>
    <col min="45" max="45" width="34.6640625" customWidth="1"/>
  </cols>
  <sheetData>
    <row r="1" spans="1:48" s="3" customFormat="1" ht="51" x14ac:dyDescent="0.2">
      <c r="A1" s="3" t="s">
        <v>322</v>
      </c>
      <c r="B1" s="12" t="s">
        <v>1</v>
      </c>
      <c r="C1" s="3" t="s">
        <v>325</v>
      </c>
      <c r="D1" s="11" t="s">
        <v>326</v>
      </c>
      <c r="E1" s="3" t="s">
        <v>327</v>
      </c>
      <c r="F1" s="11" t="s">
        <v>328</v>
      </c>
      <c r="G1" s="12" t="s">
        <v>323</v>
      </c>
      <c r="H1" s="16" t="s">
        <v>324</v>
      </c>
      <c r="I1" s="3" t="s">
        <v>329</v>
      </c>
      <c r="J1" s="3" t="s">
        <v>330</v>
      </c>
      <c r="K1" s="3" t="s">
        <v>331</v>
      </c>
      <c r="L1" s="3" t="s">
        <v>332</v>
      </c>
      <c r="M1" s="3" t="s">
        <v>333</v>
      </c>
      <c r="N1" s="3" t="s">
        <v>335</v>
      </c>
      <c r="O1" s="16" t="s">
        <v>334</v>
      </c>
      <c r="P1" s="12" t="s">
        <v>336</v>
      </c>
      <c r="Q1" s="3" t="s">
        <v>337</v>
      </c>
      <c r="R1" s="3" t="s">
        <v>338</v>
      </c>
      <c r="S1" s="3" t="s">
        <v>339</v>
      </c>
      <c r="T1" s="3" t="s">
        <v>340</v>
      </c>
      <c r="U1" s="3" t="s">
        <v>342</v>
      </c>
      <c r="V1" s="3" t="s">
        <v>341</v>
      </c>
      <c r="W1" s="13" t="s">
        <v>343</v>
      </c>
      <c r="X1" s="22" t="s">
        <v>344</v>
      </c>
      <c r="Y1" s="17" t="s">
        <v>345</v>
      </c>
      <c r="Z1" s="14" t="s">
        <v>346</v>
      </c>
      <c r="AA1" s="21" t="s">
        <v>347</v>
      </c>
      <c r="AB1" s="14" t="s">
        <v>348</v>
      </c>
      <c r="AC1" s="21" t="s">
        <v>349</v>
      </c>
      <c r="AD1" s="14" t="s">
        <v>350</v>
      </c>
      <c r="AE1" s="3" t="s">
        <v>291</v>
      </c>
      <c r="AF1" s="3" t="s">
        <v>292</v>
      </c>
      <c r="AG1" s="3" t="s">
        <v>293</v>
      </c>
      <c r="AH1" s="3" t="s">
        <v>467</v>
      </c>
      <c r="AI1" s="3" t="s">
        <v>466</v>
      </c>
      <c r="AJ1" s="3" t="s">
        <v>468</v>
      </c>
      <c r="AK1" s="3" t="s">
        <v>412</v>
      </c>
      <c r="AL1" s="3" t="s">
        <v>413</v>
      </c>
      <c r="AM1" s="3" t="s">
        <v>414</v>
      </c>
      <c r="AN1" s="3" t="s">
        <v>415</v>
      </c>
      <c r="AO1" s="3" t="s">
        <v>417</v>
      </c>
      <c r="AP1" s="3" t="s">
        <v>416</v>
      </c>
      <c r="AQ1" s="3" t="s">
        <v>418</v>
      </c>
      <c r="AR1" s="3" t="s">
        <v>419</v>
      </c>
      <c r="AS1" s="3" t="s">
        <v>420</v>
      </c>
      <c r="AT1" s="3" t="s">
        <v>469</v>
      </c>
      <c r="AU1" s="3" t="s">
        <v>470</v>
      </c>
      <c r="AV1" s="3" t="s">
        <v>471</v>
      </c>
    </row>
    <row r="2" spans="1:48" x14ac:dyDescent="0.2">
      <c r="A2">
        <v>1</v>
      </c>
      <c r="B2" s="9">
        <v>1</v>
      </c>
      <c r="C2">
        <f t="shared" ref="C2:C32" si="0">IF(G2&lt;&gt;"PeriodStart",E1,18)</f>
        <v>18</v>
      </c>
      <c r="D2" s="6">
        <v>0</v>
      </c>
      <c r="E2">
        <v>16</v>
      </c>
      <c r="F2" s="6" t="s">
        <v>421</v>
      </c>
      <c r="G2" s="9" t="s">
        <v>351</v>
      </c>
      <c r="I2">
        <v>70</v>
      </c>
      <c r="J2">
        <v>75</v>
      </c>
      <c r="K2">
        <v>49</v>
      </c>
      <c r="L2">
        <v>84</v>
      </c>
      <c r="M2">
        <v>87</v>
      </c>
      <c r="O2" s="7">
        <v>39</v>
      </c>
      <c r="P2">
        <v>11</v>
      </c>
      <c r="Q2">
        <v>19</v>
      </c>
      <c r="R2">
        <v>22</v>
      </c>
      <c r="S2">
        <v>33</v>
      </c>
      <c r="T2">
        <v>27</v>
      </c>
      <c r="V2">
        <v>99</v>
      </c>
      <c r="W2" s="9">
        <f>SUMIFS(events!T:T,events!L:L,"=DeadIce",events!U:U,"&lt;="&amp;shifts!AH2,events!V:V,"&gt;"&amp;shifts!AI2,events!D:D,"="&amp;shifts!B3)+SUMIFS(events!T:T,events!L:L,"=Timeout",events!U:U,"&lt;="&amp;shifts!AH2,events!V:V,"&gt;"&amp;shifts!AI2,events!D:D,"="&amp;shifts!B3)</f>
        <v>0</v>
      </c>
      <c r="X2" s="7">
        <f>SUMIFS(events!U:U,events!M:M,"=DeadIce",events!V:V,"&lt;="&amp;shifts!AI2,events!W:W,"&gt;"&amp;shifts!AJ2)</f>
        <v>0</v>
      </c>
      <c r="Z2">
        <v>1</v>
      </c>
      <c r="AC2">
        <v>1</v>
      </c>
      <c r="AE2">
        <v>18977</v>
      </c>
      <c r="AF2" t="s">
        <v>307</v>
      </c>
      <c r="AG2" t="s">
        <v>308</v>
      </c>
      <c r="AH2" s="6" t="s">
        <v>475</v>
      </c>
      <c r="AI2" s="6">
        <f t="shared" ref="AI2:AI34" si="1">((E2*60)+F2)</f>
        <v>1016</v>
      </c>
      <c r="AJ2" s="18" t="e">
        <f>ROUND(AH2-AI2,0)</f>
        <v>#VALUE!</v>
      </c>
      <c r="AK2">
        <f>COUNTIF(I2:N2,"&gt;0")</f>
        <v>5</v>
      </c>
      <c r="AL2">
        <f>COUNTIF(P2:U2,"&gt;0")</f>
        <v>5</v>
      </c>
      <c r="AM2">
        <f t="shared" ref="AM2:AM34" si="2">IF(O2="",1,0)</f>
        <v>0</v>
      </c>
      <c r="AN2">
        <f t="shared" ref="AN2:AN34" si="3">IF(V2="",1,0)</f>
        <v>0</v>
      </c>
      <c r="AO2">
        <f>IF(AND($AM2&lt;&gt;1,$AK2&lt;$AL2,AN2&lt;&gt;1),1,)</f>
        <v>0</v>
      </c>
      <c r="AP2">
        <f>IF(AND($AM2&lt;&gt;1,$AK2&gt;$AL2),1,)</f>
        <v>0</v>
      </c>
      <c r="AQ2">
        <f>IF(AO2=1,1,0)</f>
        <v>0</v>
      </c>
      <c r="AR2">
        <f>IF(AP2=1,1,0)</f>
        <v>0</v>
      </c>
      <c r="AS2" t="str">
        <f>IF(AND(AK2=5,AL2=5,AM2=0,AN2=0),"Full Strength",IF(AQ2=1,"Away PowerPlay",IF(AP2=1,"Home PowerPlay",IF(AM2=1,"Home EmptyNet",IF(AN2=1,"Away EmptyNet","")))))</f>
        <v>Full Strength</v>
      </c>
      <c r="AT2" t="str">
        <f>IF(AND(AM2=0,AN2=0),AK2&amp;"v"&amp;AL2,IF(AM2=1,AK2&amp;"v"&amp;AL2&amp;" Home EN",IF(AN2=1,AK2&amp;"v"&amp;AL2&amp;" Away EN","")))</f>
        <v>5v5</v>
      </c>
    </row>
    <row r="3" spans="1:48" x14ac:dyDescent="0.2">
      <c r="A3">
        <v>2</v>
      </c>
      <c r="B3" s="9">
        <f t="shared" ref="B3:B32" si="4">IF(G3="PeriodStart",B2+1,B2)</f>
        <v>1</v>
      </c>
      <c r="C3">
        <f t="shared" si="0"/>
        <v>16</v>
      </c>
      <c r="D3" s="6" t="s">
        <v>421</v>
      </c>
      <c r="E3">
        <v>16</v>
      </c>
      <c r="F3" s="6" t="s">
        <v>437</v>
      </c>
      <c r="H3" s="7" t="s">
        <v>409</v>
      </c>
      <c r="I3">
        <v>70</v>
      </c>
      <c r="J3">
        <v>75</v>
      </c>
      <c r="K3">
        <v>49</v>
      </c>
      <c r="L3">
        <v>84</v>
      </c>
      <c r="M3">
        <v>87</v>
      </c>
      <c r="O3" s="7">
        <v>39</v>
      </c>
      <c r="P3">
        <v>11</v>
      </c>
      <c r="Q3">
        <v>19</v>
      </c>
      <c r="R3">
        <v>22</v>
      </c>
      <c r="S3">
        <v>33</v>
      </c>
      <c r="T3">
        <v>27</v>
      </c>
      <c r="V3">
        <v>99</v>
      </c>
      <c r="W3" s="9">
        <f>SUMIFS(events!T:T,events!L:L,"=DeadIce",events!U:U,"&lt;="&amp;shifts!AH3,events!V:V,"&gt;"&amp;shifts!AI3,events!D:D,"="&amp;shifts!B4)+SUMIFS(events!T:T,events!L:L,"=Timeout",events!U:U,"&lt;="&amp;shifts!AH3,events!V:V,"&gt;"&amp;shifts!AI3,events!D:D,"="&amp;shifts!B4)</f>
        <v>0</v>
      </c>
      <c r="Y3" s="9">
        <f>IF(OR($H2="Home Goal",$H2="Away Goal",$H2="Period End"),"",IF(Z2=1,1,""))</f>
        <v>1</v>
      </c>
      <c r="AA3" t="str">
        <f>IF(OR($H2="Home Goal",$H2="Away Goal",$H2="Period End"),"",IF(AB2=1,1,""))</f>
        <v/>
      </c>
      <c r="AB3">
        <v>1</v>
      </c>
      <c r="AC3" t="str">
        <f>IF(OR($H2="Home Goal",$H2="Away Goal",$H2="Period End"),1,IF(AD2=1,1,""))</f>
        <v/>
      </c>
      <c r="AE3">
        <v>18977</v>
      </c>
      <c r="AF3" t="s">
        <v>307</v>
      </c>
      <c r="AG3" t="s">
        <v>308</v>
      </c>
      <c r="AH3" s="6">
        <f t="shared" ref="AH3:AH34" si="5">((C3*60)+D3)</f>
        <v>1016</v>
      </c>
      <c r="AI3" s="6">
        <f t="shared" si="1"/>
        <v>1000</v>
      </c>
      <c r="AJ3" s="18">
        <f t="shared" ref="AJ3:AJ68" si="6">ROUND(AH3-AI3,0)</f>
        <v>16</v>
      </c>
      <c r="AK3">
        <f t="shared" ref="AK3:AK68" si="7">COUNTIF(I3:N3,"&gt;0")</f>
        <v>5</v>
      </c>
      <c r="AL3">
        <f t="shared" ref="AL3:AL68" si="8">COUNTIF(P3:U3,"&gt;0")</f>
        <v>5</v>
      </c>
      <c r="AM3">
        <f t="shared" si="2"/>
        <v>0</v>
      </c>
      <c r="AN3">
        <f t="shared" si="3"/>
        <v>0</v>
      </c>
      <c r="AO3">
        <f t="shared" ref="AO3:AO66" si="9">IF(AND($AM3&lt;&gt;1,$AK3&lt;$AL3,AN3&lt;&gt;1),1,)</f>
        <v>0</v>
      </c>
      <c r="AP3">
        <f t="shared" ref="AP3:AP68" si="10">IF(AND($AM3&lt;&gt;1,$AK3&gt;$AL3),1,)</f>
        <v>0</v>
      </c>
      <c r="AQ3">
        <f t="shared" ref="AQ3:AQ68" si="11">IF(AO3=1,1,0)</f>
        <v>0</v>
      </c>
      <c r="AR3">
        <f t="shared" ref="AR3:AR68" si="12">IF(AP3=1,1,0)</f>
        <v>0</v>
      </c>
      <c r="AS3" t="str">
        <f t="shared" ref="AS3:AS68" si="13">IF(AND(AK3=5,AL3=5,AM3=0,AN3=0),"Full Strength",IF(AQ3=1,"Away PowerPlay",IF(AP3=1,"Home PowerPlay",IF(AM3=1,"Home EmptyNet",IF(AN3=1,"Away EmptyNet","")))))</f>
        <v>Full Strength</v>
      </c>
      <c r="AT3" t="str">
        <f t="shared" ref="AT3:AT68" si="14">IF(AND(AM3=0,AN3=0),AK3&amp;"v"&amp;AL3,IF(AM3=1,AK3&amp;"v"&amp;AL3&amp;" Home EN",IF(AN3=1,AK3&amp;"v"&amp;AL3&amp;" Away EN","")))</f>
        <v>5v5</v>
      </c>
    </row>
    <row r="4" spans="1:48" x14ac:dyDescent="0.2">
      <c r="A4">
        <v>3</v>
      </c>
      <c r="B4" s="9">
        <f t="shared" si="4"/>
        <v>1</v>
      </c>
      <c r="C4">
        <f t="shared" si="0"/>
        <v>16</v>
      </c>
      <c r="D4" s="6" t="s">
        <v>437</v>
      </c>
      <c r="E4">
        <v>14</v>
      </c>
      <c r="F4" s="6" t="s">
        <v>431</v>
      </c>
      <c r="G4" s="9" t="s">
        <v>356</v>
      </c>
      <c r="I4">
        <v>42</v>
      </c>
      <c r="J4">
        <v>24</v>
      </c>
      <c r="K4">
        <v>91</v>
      </c>
      <c r="L4">
        <v>22</v>
      </c>
      <c r="M4">
        <v>52</v>
      </c>
      <c r="O4" s="7">
        <v>39</v>
      </c>
      <c r="P4">
        <v>26</v>
      </c>
      <c r="Q4">
        <v>13</v>
      </c>
      <c r="R4">
        <v>8</v>
      </c>
      <c r="S4">
        <v>2</v>
      </c>
      <c r="T4">
        <v>18</v>
      </c>
      <c r="V4">
        <v>99</v>
      </c>
      <c r="W4" s="9">
        <f>SUMIFS(events!T:T,events!L:L,"=DeadIce",events!U:U,"&lt;="&amp;shifts!AH4,events!V:V,"&gt;"&amp;shifts!AI4,events!D:D,"="&amp;shifts!B5)+SUMIFS(events!T:T,events!L:L,"=Timeout",events!U:U,"&lt;="&amp;shifts!AH4,events!V:V,"&gt;"&amp;shifts!AI4,events!D:D,"="&amp;shifts!B5)</f>
        <v>44</v>
      </c>
      <c r="Y4" s="9" t="str">
        <f t="shared" ref="Y4:Y69" si="15">IF(OR($H3="Home Goal",$H3="Away Goal",$H3="Period End"),"",IF(Z3=1,1,""))</f>
        <v/>
      </c>
      <c r="AA4">
        <f t="shared" ref="AA4:AA69" si="16">IF(OR($H3="Home Goal",$H3="Away Goal",$H3="Period End"),"",IF(AB3=1,1,""))</f>
        <v>1</v>
      </c>
      <c r="AC4" t="str">
        <f t="shared" ref="AC4:AC69" si="17">IF(OR($H3="Home Goal",$H3="Away Goal",$H3="Period End"),1,IF(AD3=1,1,""))</f>
        <v/>
      </c>
      <c r="AD4">
        <v>1</v>
      </c>
      <c r="AE4">
        <f>AE2</f>
        <v>18977</v>
      </c>
      <c r="AF4" t="str">
        <f>AF2</f>
        <v>Velodrome</v>
      </c>
      <c r="AG4" t="str">
        <f>AG2</f>
        <v>HollowBrook</v>
      </c>
      <c r="AH4" s="6">
        <f t="shared" si="5"/>
        <v>1000</v>
      </c>
      <c r="AI4" s="6">
        <f t="shared" si="1"/>
        <v>881</v>
      </c>
      <c r="AJ4" s="18">
        <f t="shared" si="6"/>
        <v>119</v>
      </c>
      <c r="AK4">
        <f t="shared" si="7"/>
        <v>5</v>
      </c>
      <c r="AL4">
        <f t="shared" si="8"/>
        <v>5</v>
      </c>
      <c r="AM4">
        <f t="shared" si="2"/>
        <v>0</v>
      </c>
      <c r="AN4">
        <f t="shared" si="3"/>
        <v>0</v>
      </c>
      <c r="AO4">
        <f t="shared" si="9"/>
        <v>0</v>
      </c>
      <c r="AP4">
        <f t="shared" si="10"/>
        <v>0</v>
      </c>
      <c r="AQ4">
        <f t="shared" si="11"/>
        <v>0</v>
      </c>
      <c r="AR4">
        <f t="shared" si="12"/>
        <v>0</v>
      </c>
      <c r="AS4" t="str">
        <f t="shared" si="13"/>
        <v>Full Strength</v>
      </c>
      <c r="AT4" t="str">
        <f t="shared" si="14"/>
        <v>5v5</v>
      </c>
    </row>
    <row r="5" spans="1:48" x14ac:dyDescent="0.2">
      <c r="A5">
        <f t="shared" ref="A5:A70" si="18">A4+1</f>
        <v>4</v>
      </c>
      <c r="B5" s="9">
        <f t="shared" si="4"/>
        <v>1</v>
      </c>
      <c r="C5">
        <f t="shared" si="0"/>
        <v>14</v>
      </c>
      <c r="D5" s="6" t="str">
        <f t="shared" ref="D5:D70" si="19">F4</f>
        <v>41</v>
      </c>
      <c r="E5">
        <v>14</v>
      </c>
      <c r="F5" s="6" t="s">
        <v>423</v>
      </c>
      <c r="H5" s="7" t="s">
        <v>409</v>
      </c>
      <c r="I5">
        <v>42</v>
      </c>
      <c r="J5">
        <v>24</v>
      </c>
      <c r="K5">
        <v>91</v>
      </c>
      <c r="L5">
        <v>9</v>
      </c>
      <c r="M5">
        <v>52</v>
      </c>
      <c r="O5" s="7">
        <v>39</v>
      </c>
      <c r="P5" s="9">
        <v>11</v>
      </c>
      <c r="Q5">
        <v>19</v>
      </c>
      <c r="R5">
        <v>40</v>
      </c>
      <c r="S5">
        <v>2</v>
      </c>
      <c r="T5">
        <v>18</v>
      </c>
      <c r="V5">
        <v>99</v>
      </c>
      <c r="W5" s="9">
        <f>SUMIFS(events!T:T,events!L:L,"=DeadIce",events!U:U,"&lt;="&amp;shifts!AH5,events!V:V,"&gt;"&amp;shifts!AI5,events!D:D,"="&amp;shifts!B6)+SUMIFS(events!T:T,events!L:L,"=Timeout",events!U:U,"&lt;="&amp;shifts!AH5,events!V:V,"&gt;"&amp;shifts!AI5,events!D:D,"="&amp;shifts!B6)</f>
        <v>0</v>
      </c>
      <c r="Y5" s="9" t="str">
        <f t="shared" si="15"/>
        <v/>
      </c>
      <c r="AA5" t="str">
        <f t="shared" si="16"/>
        <v/>
      </c>
      <c r="AB5">
        <v>1</v>
      </c>
      <c r="AC5">
        <f t="shared" si="17"/>
        <v>1</v>
      </c>
      <c r="AE5">
        <f t="shared" ref="AE5:AE70" si="20">AE4</f>
        <v>18977</v>
      </c>
      <c r="AF5" t="str">
        <f t="shared" ref="AF5:AF70" si="21">AF4</f>
        <v>Velodrome</v>
      </c>
      <c r="AG5" t="str">
        <f t="shared" ref="AG5:AG70" si="22">AG4</f>
        <v>HollowBrook</v>
      </c>
      <c r="AH5" s="6">
        <f t="shared" si="5"/>
        <v>881</v>
      </c>
      <c r="AI5" s="6">
        <f t="shared" si="1"/>
        <v>854</v>
      </c>
      <c r="AJ5" s="18">
        <f t="shared" si="6"/>
        <v>27</v>
      </c>
      <c r="AK5">
        <f t="shared" si="7"/>
        <v>5</v>
      </c>
      <c r="AL5">
        <f t="shared" si="8"/>
        <v>5</v>
      </c>
      <c r="AM5">
        <f t="shared" si="2"/>
        <v>0</v>
      </c>
      <c r="AN5">
        <f t="shared" si="3"/>
        <v>0</v>
      </c>
      <c r="AO5">
        <f t="shared" si="9"/>
        <v>0</v>
      </c>
      <c r="AP5">
        <f t="shared" si="10"/>
        <v>0</v>
      </c>
      <c r="AQ5">
        <f t="shared" si="11"/>
        <v>0</v>
      </c>
      <c r="AR5">
        <f t="shared" si="12"/>
        <v>0</v>
      </c>
      <c r="AS5" t="str">
        <f t="shared" si="13"/>
        <v>Full Strength</v>
      </c>
      <c r="AT5" t="str">
        <f t="shared" si="14"/>
        <v>5v5</v>
      </c>
    </row>
    <row r="6" spans="1:48" x14ac:dyDescent="0.2">
      <c r="A6">
        <f t="shared" si="18"/>
        <v>5</v>
      </c>
      <c r="B6" s="9">
        <f t="shared" si="4"/>
        <v>1</v>
      </c>
      <c r="C6">
        <f t="shared" si="0"/>
        <v>14</v>
      </c>
      <c r="D6" s="6" t="str">
        <f t="shared" si="19"/>
        <v>14</v>
      </c>
      <c r="E6">
        <v>12</v>
      </c>
      <c r="F6" s="6" t="s">
        <v>310</v>
      </c>
      <c r="I6">
        <v>70</v>
      </c>
      <c r="J6">
        <v>14</v>
      </c>
      <c r="K6">
        <v>61</v>
      </c>
      <c r="L6">
        <v>9</v>
      </c>
      <c r="M6">
        <v>84</v>
      </c>
      <c r="O6" s="7">
        <v>39</v>
      </c>
      <c r="P6" s="9">
        <v>11</v>
      </c>
      <c r="Q6">
        <v>19</v>
      </c>
      <c r="R6">
        <v>40</v>
      </c>
      <c r="S6">
        <v>5</v>
      </c>
      <c r="T6">
        <v>27</v>
      </c>
      <c r="V6">
        <v>99</v>
      </c>
      <c r="W6" s="9">
        <f>SUMIFS(events!T:T,events!L:L,"=DeadIce",events!U:U,"&lt;="&amp;shifts!AH6,events!V:V,"&gt;"&amp;shifts!AI6,events!D:D,"="&amp;shifts!B7)+SUMIFS(events!T:T,events!L:L,"=Timeout",events!U:U,"&lt;="&amp;shifts!AH6,events!V:V,"&gt;"&amp;shifts!AI6,events!D:D,"="&amp;shifts!B7)</f>
        <v>20</v>
      </c>
      <c r="Y6" s="9" t="str">
        <f t="shared" si="15"/>
        <v/>
      </c>
      <c r="Z6">
        <v>1</v>
      </c>
      <c r="AA6">
        <f t="shared" si="16"/>
        <v>1</v>
      </c>
      <c r="AC6" t="str">
        <f t="shared" si="17"/>
        <v/>
      </c>
      <c r="AE6">
        <f t="shared" si="20"/>
        <v>18977</v>
      </c>
      <c r="AF6" t="str">
        <f t="shared" si="21"/>
        <v>Velodrome</v>
      </c>
      <c r="AG6" t="str">
        <f t="shared" si="22"/>
        <v>HollowBrook</v>
      </c>
      <c r="AH6" s="6">
        <f t="shared" si="5"/>
        <v>854</v>
      </c>
      <c r="AI6" s="6">
        <f t="shared" si="1"/>
        <v>724</v>
      </c>
      <c r="AJ6" s="18">
        <f t="shared" si="6"/>
        <v>130</v>
      </c>
      <c r="AK6">
        <f t="shared" si="7"/>
        <v>5</v>
      </c>
      <c r="AL6">
        <f t="shared" si="8"/>
        <v>5</v>
      </c>
      <c r="AM6">
        <f t="shared" si="2"/>
        <v>0</v>
      </c>
      <c r="AN6">
        <f t="shared" si="3"/>
        <v>0</v>
      </c>
      <c r="AO6">
        <f t="shared" si="9"/>
        <v>0</v>
      </c>
      <c r="AP6">
        <f t="shared" si="10"/>
        <v>0</v>
      </c>
      <c r="AQ6">
        <f t="shared" si="11"/>
        <v>0</v>
      </c>
      <c r="AR6">
        <f t="shared" si="12"/>
        <v>0</v>
      </c>
      <c r="AS6" t="str">
        <f t="shared" si="13"/>
        <v>Full Strength</v>
      </c>
      <c r="AT6" t="str">
        <f t="shared" si="14"/>
        <v>5v5</v>
      </c>
    </row>
    <row r="7" spans="1:48" x14ac:dyDescent="0.2">
      <c r="A7">
        <f t="shared" si="18"/>
        <v>6</v>
      </c>
      <c r="B7" s="9">
        <f t="shared" si="4"/>
        <v>1</v>
      </c>
      <c r="C7">
        <f t="shared" si="0"/>
        <v>12</v>
      </c>
      <c r="D7" s="6" t="str">
        <f t="shared" si="19"/>
        <v>04</v>
      </c>
      <c r="E7">
        <v>11</v>
      </c>
      <c r="F7" s="6" t="s">
        <v>462</v>
      </c>
      <c r="I7">
        <v>70</v>
      </c>
      <c r="J7">
        <v>49</v>
      </c>
      <c r="K7">
        <v>61</v>
      </c>
      <c r="L7">
        <v>87</v>
      </c>
      <c r="M7">
        <v>84</v>
      </c>
      <c r="O7" s="7">
        <v>39</v>
      </c>
      <c r="P7" s="9">
        <v>11</v>
      </c>
      <c r="Q7">
        <v>13</v>
      </c>
      <c r="R7">
        <v>22</v>
      </c>
      <c r="S7">
        <v>5</v>
      </c>
      <c r="T7">
        <v>27</v>
      </c>
      <c r="V7">
        <v>99</v>
      </c>
      <c r="W7" s="9">
        <f>SUMIFS(events!T:T,events!L:L,"=DeadIce",events!U:U,"&lt;="&amp;shifts!AH7,events!V:V,"&gt;"&amp;shifts!AI7,events!D:D,"="&amp;shifts!B8)+SUMIFS(events!T:T,events!L:L,"=Timeout",events!U:U,"&lt;="&amp;shifts!AH7,events!V:V,"&gt;"&amp;shifts!AI7,events!D:D,"="&amp;shifts!B8)</f>
        <v>0</v>
      </c>
      <c r="Y7" s="9">
        <f t="shared" si="15"/>
        <v>1</v>
      </c>
      <c r="AA7" t="str">
        <f t="shared" si="16"/>
        <v/>
      </c>
      <c r="AC7" t="str">
        <f t="shared" si="17"/>
        <v/>
      </c>
      <c r="AD7">
        <v>1</v>
      </c>
      <c r="AE7">
        <f t="shared" si="20"/>
        <v>18977</v>
      </c>
      <c r="AF7" t="str">
        <f t="shared" si="21"/>
        <v>Velodrome</v>
      </c>
      <c r="AG7" t="str">
        <f t="shared" si="22"/>
        <v>HollowBrook</v>
      </c>
      <c r="AH7" s="6">
        <f t="shared" si="5"/>
        <v>724</v>
      </c>
      <c r="AI7" s="6">
        <f t="shared" si="1"/>
        <v>718</v>
      </c>
      <c r="AJ7" s="18">
        <f t="shared" si="6"/>
        <v>6</v>
      </c>
      <c r="AK7">
        <f t="shared" si="7"/>
        <v>5</v>
      </c>
      <c r="AL7">
        <f t="shared" si="8"/>
        <v>5</v>
      </c>
      <c r="AM7">
        <f t="shared" si="2"/>
        <v>0</v>
      </c>
      <c r="AN7">
        <f t="shared" si="3"/>
        <v>0</v>
      </c>
      <c r="AO7">
        <f t="shared" si="9"/>
        <v>0</v>
      </c>
      <c r="AP7">
        <f t="shared" si="10"/>
        <v>0</v>
      </c>
      <c r="AQ7">
        <f t="shared" si="11"/>
        <v>0</v>
      </c>
      <c r="AR7">
        <f t="shared" si="12"/>
        <v>0</v>
      </c>
      <c r="AS7" t="str">
        <f t="shared" si="13"/>
        <v>Full Strength</v>
      </c>
      <c r="AT7" t="str">
        <f t="shared" si="14"/>
        <v>5v5</v>
      </c>
    </row>
    <row r="8" spans="1:48" x14ac:dyDescent="0.2">
      <c r="A8">
        <f t="shared" si="18"/>
        <v>7</v>
      </c>
      <c r="B8" s="9">
        <f t="shared" si="4"/>
        <v>1</v>
      </c>
      <c r="C8">
        <f t="shared" si="0"/>
        <v>11</v>
      </c>
      <c r="D8" s="6" t="str">
        <f t="shared" si="19"/>
        <v>58</v>
      </c>
      <c r="E8">
        <v>11</v>
      </c>
      <c r="F8" s="6" t="s">
        <v>450</v>
      </c>
      <c r="I8">
        <v>42</v>
      </c>
      <c r="J8">
        <v>49</v>
      </c>
      <c r="K8">
        <v>75</v>
      </c>
      <c r="L8">
        <v>87</v>
      </c>
      <c r="M8">
        <v>84</v>
      </c>
      <c r="O8" s="7">
        <v>39</v>
      </c>
      <c r="P8" s="9">
        <v>11</v>
      </c>
      <c r="Q8">
        <v>13</v>
      </c>
      <c r="R8">
        <v>22</v>
      </c>
      <c r="S8">
        <v>5</v>
      </c>
      <c r="T8">
        <v>27</v>
      </c>
      <c r="V8">
        <v>99</v>
      </c>
      <c r="W8" s="9">
        <f>SUMIFS(events!T:T,events!L:L,"=DeadIce",events!U:U,"&lt;="&amp;shifts!AH8,events!V:V,"&gt;"&amp;shifts!AI8,events!D:D,"="&amp;shifts!B9)+SUMIFS(events!T:T,events!L:L,"=Timeout",events!U:U,"&lt;="&amp;shifts!AH8,events!V:V,"&gt;"&amp;shifts!AI8,events!D:D,"="&amp;shifts!B9)</f>
        <v>0</v>
      </c>
      <c r="Y8" s="9" t="str">
        <f t="shared" si="15"/>
        <v/>
      </c>
      <c r="AA8" t="str">
        <f t="shared" si="16"/>
        <v/>
      </c>
      <c r="AB8">
        <v>1</v>
      </c>
      <c r="AC8">
        <f t="shared" si="17"/>
        <v>1</v>
      </c>
      <c r="AE8">
        <f t="shared" si="20"/>
        <v>18977</v>
      </c>
      <c r="AF8" t="str">
        <f t="shared" si="21"/>
        <v>Velodrome</v>
      </c>
      <c r="AG8" t="str">
        <f t="shared" si="22"/>
        <v>HollowBrook</v>
      </c>
      <c r="AH8" s="6">
        <f t="shared" si="5"/>
        <v>718</v>
      </c>
      <c r="AI8" s="6">
        <f t="shared" si="1"/>
        <v>709</v>
      </c>
      <c r="AJ8" s="18">
        <f t="shared" si="6"/>
        <v>9</v>
      </c>
      <c r="AK8">
        <f t="shared" si="7"/>
        <v>5</v>
      </c>
      <c r="AL8">
        <f t="shared" si="8"/>
        <v>5</v>
      </c>
      <c r="AM8">
        <f t="shared" si="2"/>
        <v>0</v>
      </c>
      <c r="AN8">
        <f t="shared" si="3"/>
        <v>0</v>
      </c>
      <c r="AO8">
        <f t="shared" si="9"/>
        <v>0</v>
      </c>
      <c r="AP8">
        <f t="shared" si="10"/>
        <v>0</v>
      </c>
      <c r="AQ8">
        <f t="shared" si="11"/>
        <v>0</v>
      </c>
      <c r="AR8">
        <f t="shared" si="12"/>
        <v>0</v>
      </c>
      <c r="AS8" t="str">
        <f t="shared" si="13"/>
        <v>Full Strength</v>
      </c>
      <c r="AT8" t="str">
        <f t="shared" si="14"/>
        <v>5v5</v>
      </c>
    </row>
    <row r="9" spans="1:48" x14ac:dyDescent="0.2">
      <c r="A9">
        <f t="shared" si="18"/>
        <v>8</v>
      </c>
      <c r="B9" s="9">
        <f t="shared" si="4"/>
        <v>1</v>
      </c>
      <c r="C9">
        <f t="shared" si="0"/>
        <v>11</v>
      </c>
      <c r="D9" s="6" t="str">
        <f t="shared" si="19"/>
        <v>49</v>
      </c>
      <c r="E9">
        <v>11</v>
      </c>
      <c r="F9" s="6" t="s">
        <v>441</v>
      </c>
      <c r="I9">
        <v>42</v>
      </c>
      <c r="J9">
        <v>49</v>
      </c>
      <c r="K9">
        <v>75</v>
      </c>
      <c r="L9">
        <v>87</v>
      </c>
      <c r="M9">
        <v>84</v>
      </c>
      <c r="O9" s="7">
        <v>39</v>
      </c>
      <c r="P9" s="9">
        <v>26</v>
      </c>
      <c r="Q9">
        <v>13</v>
      </c>
      <c r="R9">
        <v>22</v>
      </c>
      <c r="S9">
        <v>5</v>
      </c>
      <c r="T9">
        <v>27</v>
      </c>
      <c r="V9">
        <v>99</v>
      </c>
      <c r="W9" s="9">
        <f>SUMIFS(events!T:T,events!L:L,"=DeadIce",events!U:U,"&lt;="&amp;shifts!AH9,events!V:V,"&gt;"&amp;shifts!AI9,events!D:D,"="&amp;shifts!B10)+SUMIFS(events!T:T,events!L:L,"=Timeout",events!U:U,"&lt;="&amp;shifts!AH9,events!V:V,"&gt;"&amp;shifts!AI9,events!D:D,"="&amp;shifts!B10)</f>
        <v>0</v>
      </c>
      <c r="Y9" s="9" t="str">
        <f t="shared" si="15"/>
        <v/>
      </c>
      <c r="Z9">
        <v>1</v>
      </c>
      <c r="AA9">
        <f t="shared" si="16"/>
        <v>1</v>
      </c>
      <c r="AC9" t="str">
        <f t="shared" si="17"/>
        <v/>
      </c>
      <c r="AE9">
        <f t="shared" si="20"/>
        <v>18977</v>
      </c>
      <c r="AF9" t="str">
        <f t="shared" si="21"/>
        <v>Velodrome</v>
      </c>
      <c r="AG9" t="str">
        <f t="shared" si="22"/>
        <v>HollowBrook</v>
      </c>
      <c r="AH9" s="6">
        <f t="shared" si="5"/>
        <v>709</v>
      </c>
      <c r="AI9" s="6">
        <f t="shared" si="1"/>
        <v>685</v>
      </c>
      <c r="AJ9" s="18">
        <f t="shared" si="6"/>
        <v>24</v>
      </c>
      <c r="AK9">
        <f t="shared" si="7"/>
        <v>5</v>
      </c>
      <c r="AL9">
        <f t="shared" si="8"/>
        <v>5</v>
      </c>
      <c r="AM9">
        <f t="shared" si="2"/>
        <v>0</v>
      </c>
      <c r="AN9">
        <f t="shared" si="3"/>
        <v>0</v>
      </c>
      <c r="AO9">
        <f t="shared" si="9"/>
        <v>0</v>
      </c>
      <c r="AP9">
        <f t="shared" si="10"/>
        <v>0</v>
      </c>
      <c r="AQ9">
        <f t="shared" si="11"/>
        <v>0</v>
      </c>
      <c r="AR9">
        <f t="shared" si="12"/>
        <v>0</v>
      </c>
      <c r="AS9" t="str">
        <f t="shared" si="13"/>
        <v>Full Strength</v>
      </c>
      <c r="AT9" t="str">
        <f t="shared" si="14"/>
        <v>5v5</v>
      </c>
    </row>
    <row r="10" spans="1:48" x14ac:dyDescent="0.2">
      <c r="A10">
        <f t="shared" si="18"/>
        <v>9</v>
      </c>
      <c r="B10" s="9">
        <f t="shared" si="4"/>
        <v>1</v>
      </c>
      <c r="C10">
        <f t="shared" si="0"/>
        <v>11</v>
      </c>
      <c r="D10" s="6" t="str">
        <f t="shared" si="19"/>
        <v>25</v>
      </c>
      <c r="E10">
        <v>10</v>
      </c>
      <c r="F10" s="6" t="s">
        <v>437</v>
      </c>
      <c r="H10" s="7" t="s">
        <v>408</v>
      </c>
      <c r="I10">
        <v>42</v>
      </c>
      <c r="J10">
        <v>49</v>
      </c>
      <c r="K10">
        <v>75</v>
      </c>
      <c r="L10">
        <v>87</v>
      </c>
      <c r="M10">
        <v>84</v>
      </c>
      <c r="O10" s="7">
        <v>39</v>
      </c>
      <c r="P10" s="9">
        <v>26</v>
      </c>
      <c r="Q10">
        <v>13</v>
      </c>
      <c r="R10">
        <v>22</v>
      </c>
      <c r="S10">
        <v>33</v>
      </c>
      <c r="T10">
        <v>18</v>
      </c>
      <c r="V10">
        <v>99</v>
      </c>
      <c r="W10" s="9">
        <f>SUMIFS(events!T:T,events!L:L,"=DeadIce",events!U:U,"&lt;="&amp;shifts!AH10,events!V:V,"&gt;"&amp;shifts!AI10,events!D:D,"="&amp;shifts!B11)+SUMIFS(events!T:T,events!L:L,"=Timeout",events!U:U,"&lt;="&amp;shifts!AH10,events!V:V,"&gt;"&amp;shifts!AI10,events!D:D,"="&amp;shifts!B11)</f>
        <v>0</v>
      </c>
      <c r="Y10" s="9">
        <f t="shared" si="15"/>
        <v>1</v>
      </c>
      <c r="Z10">
        <v>1</v>
      </c>
      <c r="AA10" t="str">
        <f t="shared" si="16"/>
        <v/>
      </c>
      <c r="AC10" t="str">
        <f t="shared" si="17"/>
        <v/>
      </c>
      <c r="AE10">
        <f t="shared" si="20"/>
        <v>18977</v>
      </c>
      <c r="AF10" t="str">
        <f t="shared" si="21"/>
        <v>Velodrome</v>
      </c>
      <c r="AG10" t="str">
        <f t="shared" si="22"/>
        <v>HollowBrook</v>
      </c>
      <c r="AH10" s="6">
        <f t="shared" si="5"/>
        <v>685</v>
      </c>
      <c r="AI10" s="6">
        <f t="shared" si="1"/>
        <v>640</v>
      </c>
      <c r="AJ10" s="18">
        <f t="shared" si="6"/>
        <v>45</v>
      </c>
      <c r="AK10">
        <f t="shared" si="7"/>
        <v>5</v>
      </c>
      <c r="AL10">
        <f t="shared" si="8"/>
        <v>5</v>
      </c>
      <c r="AM10">
        <f t="shared" si="2"/>
        <v>0</v>
      </c>
      <c r="AN10">
        <f t="shared" si="3"/>
        <v>0</v>
      </c>
      <c r="AO10">
        <f t="shared" si="9"/>
        <v>0</v>
      </c>
      <c r="AP10">
        <f t="shared" si="10"/>
        <v>0</v>
      </c>
      <c r="AQ10">
        <f t="shared" si="11"/>
        <v>0</v>
      </c>
      <c r="AR10">
        <f t="shared" si="12"/>
        <v>0</v>
      </c>
      <c r="AS10" t="str">
        <f t="shared" si="13"/>
        <v>Full Strength</v>
      </c>
      <c r="AT10" t="str">
        <f t="shared" si="14"/>
        <v>5v5</v>
      </c>
    </row>
    <row r="11" spans="1:48" x14ac:dyDescent="0.2">
      <c r="A11">
        <f t="shared" si="18"/>
        <v>10</v>
      </c>
      <c r="B11" s="9">
        <f t="shared" si="4"/>
        <v>1</v>
      </c>
      <c r="C11">
        <f t="shared" si="0"/>
        <v>10</v>
      </c>
      <c r="D11" s="6" t="str">
        <f t="shared" si="19"/>
        <v>40</v>
      </c>
      <c r="E11">
        <v>10</v>
      </c>
      <c r="F11" s="6" t="s">
        <v>313</v>
      </c>
      <c r="G11" s="9" t="s">
        <v>356</v>
      </c>
      <c r="H11" s="7" t="s">
        <v>362</v>
      </c>
      <c r="I11">
        <v>42</v>
      </c>
      <c r="J11">
        <v>49</v>
      </c>
      <c r="K11">
        <v>75</v>
      </c>
      <c r="L11">
        <v>87</v>
      </c>
      <c r="M11">
        <v>22</v>
      </c>
      <c r="O11" s="7">
        <v>39</v>
      </c>
      <c r="P11" s="9">
        <v>26</v>
      </c>
      <c r="Q11">
        <v>13</v>
      </c>
      <c r="R11">
        <v>8</v>
      </c>
      <c r="S11">
        <v>33</v>
      </c>
      <c r="T11">
        <v>18</v>
      </c>
      <c r="V11">
        <v>99</v>
      </c>
      <c r="W11" s="9">
        <f>SUMIFS(events!T:T,events!L:L,"=DeadIce",events!U:U,"&lt;="&amp;shifts!AH11,events!V:V,"&gt;"&amp;shifts!AI11,events!D:D,"="&amp;shifts!B12)+SUMIFS(events!T:T,events!L:L,"=Timeout",events!U:U,"&lt;="&amp;shifts!AH11,events!V:V,"&gt;"&amp;shifts!AI11,events!D:D,"="&amp;shifts!B12)</f>
        <v>13</v>
      </c>
      <c r="Y11" s="9">
        <f t="shared" si="15"/>
        <v>1</v>
      </c>
      <c r="AA11" t="str">
        <f t="shared" si="16"/>
        <v/>
      </c>
      <c r="AB11">
        <v>1</v>
      </c>
      <c r="AC11" t="str">
        <f t="shared" si="17"/>
        <v/>
      </c>
      <c r="AE11">
        <f t="shared" si="20"/>
        <v>18977</v>
      </c>
      <c r="AF11" t="str">
        <f t="shared" si="21"/>
        <v>Velodrome</v>
      </c>
      <c r="AG11" t="str">
        <f t="shared" si="22"/>
        <v>HollowBrook</v>
      </c>
      <c r="AH11" s="6">
        <f t="shared" si="5"/>
        <v>640</v>
      </c>
      <c r="AI11" s="6">
        <f t="shared" si="1"/>
        <v>608</v>
      </c>
      <c r="AJ11" s="18">
        <f t="shared" si="6"/>
        <v>32</v>
      </c>
      <c r="AK11">
        <f t="shared" si="7"/>
        <v>5</v>
      </c>
      <c r="AL11">
        <f t="shared" si="8"/>
        <v>5</v>
      </c>
      <c r="AM11">
        <f t="shared" si="2"/>
        <v>0</v>
      </c>
      <c r="AN11">
        <f t="shared" si="3"/>
        <v>0</v>
      </c>
      <c r="AO11">
        <f t="shared" si="9"/>
        <v>0</v>
      </c>
      <c r="AP11">
        <f t="shared" si="10"/>
        <v>0</v>
      </c>
      <c r="AQ11">
        <f t="shared" si="11"/>
        <v>0</v>
      </c>
      <c r="AR11">
        <f t="shared" si="12"/>
        <v>0</v>
      </c>
      <c r="AS11" t="str">
        <f t="shared" si="13"/>
        <v>Full Strength</v>
      </c>
      <c r="AT11" t="str">
        <f t="shared" si="14"/>
        <v>5v5</v>
      </c>
    </row>
    <row r="12" spans="1:48" x14ac:dyDescent="0.2">
      <c r="A12">
        <f t="shared" si="18"/>
        <v>11</v>
      </c>
      <c r="B12" s="9">
        <f t="shared" si="4"/>
        <v>1</v>
      </c>
      <c r="C12">
        <f t="shared" si="0"/>
        <v>10</v>
      </c>
      <c r="D12" s="6" t="str">
        <f t="shared" si="19"/>
        <v>08</v>
      </c>
      <c r="E12">
        <v>8</v>
      </c>
      <c r="F12" s="6" t="s">
        <v>434</v>
      </c>
      <c r="G12" s="9" t="s">
        <v>355</v>
      </c>
      <c r="I12">
        <v>42</v>
      </c>
      <c r="K12">
        <v>24</v>
      </c>
      <c r="L12">
        <v>87</v>
      </c>
      <c r="M12">
        <v>22</v>
      </c>
      <c r="O12" s="7">
        <v>39</v>
      </c>
      <c r="P12" s="9">
        <v>11</v>
      </c>
      <c r="Q12">
        <v>19</v>
      </c>
      <c r="R12">
        <v>40</v>
      </c>
      <c r="S12">
        <v>2</v>
      </c>
      <c r="T12">
        <v>18</v>
      </c>
      <c r="V12">
        <v>99</v>
      </c>
      <c r="W12" s="9">
        <f>SUMIFS(events!T:T,events!L:L,"=DeadIce",events!U:U,"&lt;="&amp;shifts!AH12,events!V:V,"&gt;"&amp;shifts!AI12,events!D:D,"="&amp;shifts!B13)+SUMIFS(events!T:T,events!L:L,"=Timeout",events!U:U,"&lt;="&amp;shifts!AH12,events!V:V,"&gt;"&amp;shifts!AI12,events!D:D,"="&amp;shifts!B13)</f>
        <v>29</v>
      </c>
      <c r="Y12" s="9" t="str">
        <f t="shared" si="15"/>
        <v/>
      </c>
      <c r="Z12">
        <v>1</v>
      </c>
      <c r="AA12">
        <f t="shared" si="16"/>
        <v>1</v>
      </c>
      <c r="AC12" t="str">
        <f t="shared" si="17"/>
        <v/>
      </c>
      <c r="AE12">
        <f t="shared" si="20"/>
        <v>18977</v>
      </c>
      <c r="AF12" t="str">
        <f t="shared" si="21"/>
        <v>Velodrome</v>
      </c>
      <c r="AG12" t="str">
        <f t="shared" si="22"/>
        <v>HollowBrook</v>
      </c>
      <c r="AH12" s="6">
        <f t="shared" si="5"/>
        <v>608</v>
      </c>
      <c r="AI12" s="6">
        <f t="shared" si="1"/>
        <v>527</v>
      </c>
      <c r="AJ12" s="18">
        <f t="shared" si="6"/>
        <v>81</v>
      </c>
      <c r="AK12">
        <f t="shared" si="7"/>
        <v>4</v>
      </c>
      <c r="AL12">
        <f t="shared" si="8"/>
        <v>5</v>
      </c>
      <c r="AM12">
        <f t="shared" si="2"/>
        <v>0</v>
      </c>
      <c r="AN12">
        <f t="shared" si="3"/>
        <v>0</v>
      </c>
      <c r="AO12">
        <f t="shared" si="9"/>
        <v>1</v>
      </c>
      <c r="AP12">
        <f t="shared" si="10"/>
        <v>0</v>
      </c>
      <c r="AQ12">
        <f t="shared" si="11"/>
        <v>1</v>
      </c>
      <c r="AR12">
        <f t="shared" si="12"/>
        <v>0</v>
      </c>
      <c r="AS12" t="str">
        <f t="shared" si="13"/>
        <v>Away PowerPlay</v>
      </c>
      <c r="AT12" t="str">
        <f t="shared" si="14"/>
        <v>4v5</v>
      </c>
    </row>
    <row r="13" spans="1:48" x14ac:dyDescent="0.2">
      <c r="A13">
        <f t="shared" si="18"/>
        <v>12</v>
      </c>
      <c r="B13" s="9">
        <f t="shared" si="4"/>
        <v>1</v>
      </c>
      <c r="C13">
        <f t="shared" si="0"/>
        <v>8</v>
      </c>
      <c r="D13" s="6" t="str">
        <f t="shared" si="19"/>
        <v>47</v>
      </c>
      <c r="E13">
        <v>8</v>
      </c>
      <c r="F13" s="6" t="s">
        <v>452</v>
      </c>
      <c r="I13">
        <v>42</v>
      </c>
      <c r="K13">
        <v>24</v>
      </c>
      <c r="L13">
        <v>9</v>
      </c>
      <c r="M13">
        <v>52</v>
      </c>
      <c r="O13" s="7">
        <v>39</v>
      </c>
      <c r="P13" s="9">
        <v>11</v>
      </c>
      <c r="Q13">
        <v>19</v>
      </c>
      <c r="R13">
        <v>40</v>
      </c>
      <c r="S13">
        <v>2</v>
      </c>
      <c r="T13">
        <v>18</v>
      </c>
      <c r="V13">
        <v>99</v>
      </c>
      <c r="W13" s="9">
        <f>SUMIFS(events!T:T,events!L:L,"=DeadIce",events!U:U,"&lt;="&amp;shifts!AH13,events!V:V,"&gt;"&amp;shifts!AI13,events!D:D,"="&amp;shifts!B14)+SUMIFS(events!T:T,events!L:L,"=Timeout",events!U:U,"&lt;="&amp;shifts!AH13,events!V:V,"&gt;"&amp;shifts!AI13,events!D:D,"="&amp;shifts!B14)</f>
        <v>0</v>
      </c>
      <c r="Y13" s="9">
        <f t="shared" si="15"/>
        <v>1</v>
      </c>
      <c r="AA13" t="str">
        <f t="shared" si="16"/>
        <v/>
      </c>
      <c r="AB13">
        <v>1</v>
      </c>
      <c r="AC13" t="str">
        <f t="shared" si="17"/>
        <v/>
      </c>
      <c r="AE13">
        <f t="shared" si="20"/>
        <v>18977</v>
      </c>
      <c r="AF13" t="str">
        <f t="shared" si="21"/>
        <v>Velodrome</v>
      </c>
      <c r="AG13" t="str">
        <f t="shared" si="22"/>
        <v>HollowBrook</v>
      </c>
      <c r="AH13" s="6">
        <f t="shared" si="5"/>
        <v>527</v>
      </c>
      <c r="AI13" s="6">
        <f t="shared" si="1"/>
        <v>516</v>
      </c>
      <c r="AJ13" s="18">
        <f t="shared" si="6"/>
        <v>11</v>
      </c>
      <c r="AK13">
        <f t="shared" si="7"/>
        <v>4</v>
      </c>
      <c r="AL13">
        <f t="shared" si="8"/>
        <v>5</v>
      </c>
      <c r="AM13">
        <f t="shared" si="2"/>
        <v>0</v>
      </c>
      <c r="AN13">
        <f t="shared" si="3"/>
        <v>0</v>
      </c>
      <c r="AO13">
        <f t="shared" si="9"/>
        <v>1</v>
      </c>
      <c r="AP13">
        <f t="shared" si="10"/>
        <v>0</v>
      </c>
      <c r="AQ13">
        <f t="shared" si="11"/>
        <v>1</v>
      </c>
      <c r="AR13">
        <f t="shared" si="12"/>
        <v>0</v>
      </c>
      <c r="AS13" t="str">
        <f t="shared" si="13"/>
        <v>Away PowerPlay</v>
      </c>
      <c r="AT13" t="str">
        <f t="shared" si="14"/>
        <v>4v5</v>
      </c>
    </row>
    <row r="14" spans="1:48" x14ac:dyDescent="0.2">
      <c r="A14">
        <f t="shared" si="18"/>
        <v>13</v>
      </c>
      <c r="B14" s="9">
        <f t="shared" si="4"/>
        <v>1</v>
      </c>
      <c r="C14">
        <f t="shared" si="0"/>
        <v>8</v>
      </c>
      <c r="D14" s="6" t="str">
        <f t="shared" si="19"/>
        <v>36</v>
      </c>
      <c r="E14">
        <v>8</v>
      </c>
      <c r="F14" s="6" t="s">
        <v>309</v>
      </c>
      <c r="I14">
        <v>70</v>
      </c>
      <c r="K14">
        <v>24</v>
      </c>
      <c r="L14">
        <v>9</v>
      </c>
      <c r="M14">
        <v>52</v>
      </c>
      <c r="O14" s="7">
        <v>39</v>
      </c>
      <c r="P14" s="9">
        <v>11</v>
      </c>
      <c r="Q14">
        <v>19</v>
      </c>
      <c r="R14">
        <v>40</v>
      </c>
      <c r="S14">
        <v>2</v>
      </c>
      <c r="T14">
        <v>27</v>
      </c>
      <c r="V14">
        <v>99</v>
      </c>
      <c r="W14" s="9">
        <f>SUMIFS(events!T:T,events!L:L,"=DeadIce",events!U:U,"&lt;="&amp;shifts!AH14,events!V:V,"&gt;"&amp;shifts!AI14,events!D:D,"="&amp;shifts!B15)+SUMIFS(events!T:T,events!L:L,"=Timeout",events!U:U,"&lt;="&amp;shifts!AH14,events!V:V,"&gt;"&amp;shifts!AI14,events!D:D,"="&amp;shifts!B15)</f>
        <v>0</v>
      </c>
      <c r="Y14" s="9" t="str">
        <f t="shared" si="15"/>
        <v/>
      </c>
      <c r="AA14">
        <f t="shared" si="16"/>
        <v>1</v>
      </c>
      <c r="AC14" t="str">
        <f t="shared" si="17"/>
        <v/>
      </c>
      <c r="AD14">
        <v>1</v>
      </c>
      <c r="AE14">
        <f t="shared" si="20"/>
        <v>18977</v>
      </c>
      <c r="AF14" t="str">
        <f t="shared" si="21"/>
        <v>Velodrome</v>
      </c>
      <c r="AG14" t="str">
        <f t="shared" si="22"/>
        <v>HollowBrook</v>
      </c>
      <c r="AH14" s="6">
        <f t="shared" si="5"/>
        <v>516</v>
      </c>
      <c r="AI14" s="6">
        <f t="shared" si="1"/>
        <v>487</v>
      </c>
      <c r="AJ14" s="18">
        <f t="shared" si="6"/>
        <v>29</v>
      </c>
      <c r="AK14">
        <f t="shared" si="7"/>
        <v>4</v>
      </c>
      <c r="AL14">
        <f t="shared" si="8"/>
        <v>5</v>
      </c>
      <c r="AM14">
        <f t="shared" si="2"/>
        <v>0</v>
      </c>
      <c r="AN14">
        <f t="shared" si="3"/>
        <v>0</v>
      </c>
      <c r="AO14">
        <f t="shared" si="9"/>
        <v>1</v>
      </c>
      <c r="AP14">
        <f t="shared" si="10"/>
        <v>0</v>
      </c>
      <c r="AQ14">
        <f t="shared" si="11"/>
        <v>1</v>
      </c>
      <c r="AR14">
        <f t="shared" si="12"/>
        <v>0</v>
      </c>
      <c r="AS14" t="str">
        <f t="shared" si="13"/>
        <v>Away PowerPlay</v>
      </c>
      <c r="AT14" t="str">
        <f t="shared" si="14"/>
        <v>4v5</v>
      </c>
    </row>
    <row r="15" spans="1:48" x14ac:dyDescent="0.2">
      <c r="A15">
        <f t="shared" si="18"/>
        <v>14</v>
      </c>
      <c r="B15" s="9">
        <f t="shared" si="4"/>
        <v>1</v>
      </c>
      <c r="C15">
        <f t="shared" si="0"/>
        <v>8</v>
      </c>
      <c r="D15" s="6" t="str">
        <f t="shared" si="19"/>
        <v>07</v>
      </c>
      <c r="E15">
        <v>7</v>
      </c>
      <c r="F15" s="6" t="s">
        <v>436</v>
      </c>
      <c r="H15" s="7" t="s">
        <v>409</v>
      </c>
      <c r="I15">
        <v>70</v>
      </c>
      <c r="K15">
        <v>24</v>
      </c>
      <c r="L15">
        <v>9</v>
      </c>
      <c r="M15">
        <v>52</v>
      </c>
      <c r="O15" s="7">
        <v>39</v>
      </c>
      <c r="P15" s="9">
        <v>11</v>
      </c>
      <c r="Q15">
        <v>13</v>
      </c>
      <c r="R15">
        <v>22</v>
      </c>
      <c r="S15">
        <v>2</v>
      </c>
      <c r="T15">
        <v>27</v>
      </c>
      <c r="V15">
        <v>99</v>
      </c>
      <c r="W15" s="9">
        <f>SUMIFS(events!T:T,events!L:L,"=DeadIce",events!U:U,"&lt;="&amp;shifts!AH15,events!V:V,"&gt;"&amp;shifts!AI15,events!D:D,"="&amp;shifts!B16)+SUMIFS(events!T:T,events!L:L,"=Timeout",events!U:U,"&lt;="&amp;shifts!AH15,events!V:V,"&gt;"&amp;shifts!AI15,events!D:D,"="&amp;shifts!B16)</f>
        <v>0</v>
      </c>
      <c r="Y15" s="9" t="str">
        <f t="shared" si="15"/>
        <v/>
      </c>
      <c r="AA15" t="str">
        <f t="shared" si="16"/>
        <v/>
      </c>
      <c r="AB15">
        <v>1</v>
      </c>
      <c r="AC15">
        <f t="shared" si="17"/>
        <v>1</v>
      </c>
      <c r="AE15">
        <f t="shared" si="20"/>
        <v>18977</v>
      </c>
      <c r="AF15" t="str">
        <f t="shared" si="21"/>
        <v>Velodrome</v>
      </c>
      <c r="AG15" t="str">
        <f t="shared" si="22"/>
        <v>HollowBrook</v>
      </c>
      <c r="AH15" s="6">
        <f t="shared" si="5"/>
        <v>487</v>
      </c>
      <c r="AI15" s="6">
        <f t="shared" si="1"/>
        <v>465</v>
      </c>
      <c r="AJ15" s="18">
        <f t="shared" si="6"/>
        <v>22</v>
      </c>
      <c r="AK15">
        <f t="shared" si="7"/>
        <v>4</v>
      </c>
      <c r="AL15">
        <f t="shared" si="8"/>
        <v>5</v>
      </c>
      <c r="AM15">
        <f t="shared" si="2"/>
        <v>0</v>
      </c>
      <c r="AN15">
        <f t="shared" si="3"/>
        <v>0</v>
      </c>
      <c r="AO15">
        <f t="shared" si="9"/>
        <v>1</v>
      </c>
      <c r="AP15">
        <f t="shared" si="10"/>
        <v>0</v>
      </c>
      <c r="AQ15">
        <f t="shared" si="11"/>
        <v>1</v>
      </c>
      <c r="AR15">
        <f t="shared" si="12"/>
        <v>0</v>
      </c>
      <c r="AS15" t="str">
        <f t="shared" si="13"/>
        <v>Away PowerPlay</v>
      </c>
      <c r="AT15" t="str">
        <f t="shared" si="14"/>
        <v>4v5</v>
      </c>
    </row>
    <row r="16" spans="1:48" x14ac:dyDescent="0.2">
      <c r="A16">
        <f t="shared" si="18"/>
        <v>15</v>
      </c>
      <c r="B16" s="9">
        <f t="shared" si="4"/>
        <v>1</v>
      </c>
      <c r="C16">
        <f t="shared" si="0"/>
        <v>7</v>
      </c>
      <c r="D16" s="6" t="str">
        <f t="shared" si="19"/>
        <v>45</v>
      </c>
      <c r="E16">
        <v>6</v>
      </c>
      <c r="F16" s="6" t="s">
        <v>455</v>
      </c>
      <c r="G16" s="9" t="s">
        <v>356</v>
      </c>
      <c r="I16">
        <v>70</v>
      </c>
      <c r="K16">
        <v>91</v>
      </c>
      <c r="L16">
        <v>22</v>
      </c>
      <c r="M16">
        <v>84</v>
      </c>
      <c r="O16" s="7">
        <v>39</v>
      </c>
      <c r="P16" s="9">
        <v>26</v>
      </c>
      <c r="Q16">
        <v>13</v>
      </c>
      <c r="R16">
        <v>22</v>
      </c>
      <c r="S16">
        <v>5</v>
      </c>
      <c r="T16">
        <v>27</v>
      </c>
      <c r="V16">
        <v>99</v>
      </c>
      <c r="W16" s="9">
        <f>SUMIFS(events!T:T,events!L:L,"=DeadIce",events!U:U,"&lt;="&amp;shifts!AH16,events!V:V,"&gt;"&amp;shifts!AI16,events!D:D,"="&amp;shifts!B17)+SUMIFS(events!T:T,events!L:L,"=Timeout",events!U:U,"&lt;="&amp;shifts!AH16,events!V:V,"&gt;"&amp;shifts!AI16,events!D:D,"="&amp;shifts!B17)</f>
        <v>0</v>
      </c>
      <c r="Y16" s="9" t="str">
        <f t="shared" si="15"/>
        <v/>
      </c>
      <c r="AA16">
        <f t="shared" si="16"/>
        <v>1</v>
      </c>
      <c r="AC16" t="str">
        <f t="shared" si="17"/>
        <v/>
      </c>
      <c r="AD16">
        <v>1</v>
      </c>
      <c r="AE16">
        <f t="shared" si="20"/>
        <v>18977</v>
      </c>
      <c r="AF16" t="str">
        <f t="shared" si="21"/>
        <v>Velodrome</v>
      </c>
      <c r="AG16" t="str">
        <f t="shared" si="22"/>
        <v>HollowBrook</v>
      </c>
      <c r="AH16" s="6">
        <f t="shared" si="5"/>
        <v>465</v>
      </c>
      <c r="AI16" s="6">
        <f t="shared" si="1"/>
        <v>395</v>
      </c>
      <c r="AJ16" s="18">
        <f t="shared" si="6"/>
        <v>70</v>
      </c>
      <c r="AK16">
        <f t="shared" si="7"/>
        <v>4</v>
      </c>
      <c r="AL16">
        <f t="shared" si="8"/>
        <v>5</v>
      </c>
      <c r="AM16">
        <f t="shared" si="2"/>
        <v>0</v>
      </c>
      <c r="AN16">
        <f t="shared" si="3"/>
        <v>0</v>
      </c>
      <c r="AO16">
        <f t="shared" si="9"/>
        <v>1</v>
      </c>
      <c r="AP16">
        <f t="shared" si="10"/>
        <v>0</v>
      </c>
      <c r="AQ16">
        <f t="shared" si="11"/>
        <v>1</v>
      </c>
      <c r="AR16">
        <f t="shared" si="12"/>
        <v>0</v>
      </c>
      <c r="AS16" t="str">
        <f t="shared" si="13"/>
        <v>Away PowerPlay</v>
      </c>
      <c r="AT16" t="str">
        <f t="shared" si="14"/>
        <v>4v5</v>
      </c>
    </row>
    <row r="17" spans="1:46" x14ac:dyDescent="0.2">
      <c r="A17">
        <f t="shared" si="18"/>
        <v>16</v>
      </c>
      <c r="B17" s="9">
        <f t="shared" si="4"/>
        <v>1</v>
      </c>
      <c r="C17">
        <f t="shared" si="0"/>
        <v>6</v>
      </c>
      <c r="D17" s="6" t="str">
        <f t="shared" si="19"/>
        <v>35</v>
      </c>
      <c r="E17">
        <v>6</v>
      </c>
      <c r="F17" s="6" t="s">
        <v>472</v>
      </c>
      <c r="I17">
        <v>70</v>
      </c>
      <c r="J17">
        <v>49</v>
      </c>
      <c r="K17">
        <v>91</v>
      </c>
      <c r="L17">
        <v>22</v>
      </c>
      <c r="M17">
        <v>84</v>
      </c>
      <c r="O17" s="7">
        <v>39</v>
      </c>
      <c r="P17" s="9">
        <v>26</v>
      </c>
      <c r="Q17">
        <v>13</v>
      </c>
      <c r="R17">
        <v>22</v>
      </c>
      <c r="S17">
        <v>5</v>
      </c>
      <c r="T17">
        <v>27</v>
      </c>
      <c r="V17">
        <v>99</v>
      </c>
      <c r="W17" s="9">
        <f>SUMIFS(events!T:T,events!L:L,"=DeadIce",events!U:U,"&lt;="&amp;shifts!AH17,events!V:V,"&gt;"&amp;shifts!AI17,events!D:D,"="&amp;shifts!B18)+SUMIFS(events!T:T,events!L:L,"=Timeout",events!U:U,"&lt;="&amp;shifts!AH17,events!V:V,"&gt;"&amp;shifts!AI17,events!D:D,"="&amp;shifts!B18)</f>
        <v>0</v>
      </c>
      <c r="Y17" s="9" t="str">
        <f t="shared" si="15"/>
        <v/>
      </c>
      <c r="Z17">
        <v>1</v>
      </c>
      <c r="AA17" t="str">
        <f t="shared" si="16"/>
        <v/>
      </c>
      <c r="AC17">
        <f t="shared" si="17"/>
        <v>1</v>
      </c>
      <c r="AE17">
        <f t="shared" si="20"/>
        <v>18977</v>
      </c>
      <c r="AF17" t="str">
        <f t="shared" si="21"/>
        <v>Velodrome</v>
      </c>
      <c r="AG17" t="str">
        <f t="shared" si="22"/>
        <v>HollowBrook</v>
      </c>
      <c r="AH17" s="6">
        <f t="shared" si="5"/>
        <v>395</v>
      </c>
      <c r="AI17" s="6">
        <f t="shared" si="1"/>
        <v>390</v>
      </c>
      <c r="AJ17" s="18">
        <f t="shared" si="6"/>
        <v>5</v>
      </c>
      <c r="AK17">
        <f t="shared" si="7"/>
        <v>5</v>
      </c>
      <c r="AL17">
        <f t="shared" si="8"/>
        <v>5</v>
      </c>
      <c r="AM17">
        <f t="shared" si="2"/>
        <v>0</v>
      </c>
      <c r="AN17">
        <f t="shared" si="3"/>
        <v>0</v>
      </c>
      <c r="AO17">
        <f t="shared" si="9"/>
        <v>0</v>
      </c>
      <c r="AP17">
        <f t="shared" si="10"/>
        <v>0</v>
      </c>
      <c r="AQ17">
        <f t="shared" si="11"/>
        <v>0</v>
      </c>
      <c r="AR17">
        <f t="shared" si="12"/>
        <v>0</v>
      </c>
      <c r="AS17" t="str">
        <f t="shared" si="13"/>
        <v>Full Strength</v>
      </c>
      <c r="AT17" t="str">
        <f t="shared" si="14"/>
        <v>5v5</v>
      </c>
    </row>
    <row r="18" spans="1:46" x14ac:dyDescent="0.2">
      <c r="A18">
        <f t="shared" si="18"/>
        <v>17</v>
      </c>
      <c r="B18" s="9">
        <f t="shared" si="4"/>
        <v>1</v>
      </c>
      <c r="C18">
        <f t="shared" si="0"/>
        <v>6</v>
      </c>
      <c r="D18" s="6" t="str">
        <f t="shared" si="19"/>
        <v>30</v>
      </c>
      <c r="E18">
        <v>5</v>
      </c>
      <c r="F18" s="6" t="s">
        <v>432</v>
      </c>
      <c r="H18" s="7" t="s">
        <v>368</v>
      </c>
      <c r="I18">
        <v>70</v>
      </c>
      <c r="J18">
        <v>14</v>
      </c>
      <c r="K18">
        <v>91</v>
      </c>
      <c r="L18">
        <v>22</v>
      </c>
      <c r="M18">
        <v>84</v>
      </c>
      <c r="O18" s="7">
        <v>39</v>
      </c>
      <c r="P18" s="9">
        <v>26</v>
      </c>
      <c r="Q18">
        <v>13</v>
      </c>
      <c r="R18">
        <v>22</v>
      </c>
      <c r="S18">
        <v>5</v>
      </c>
      <c r="T18">
        <v>27</v>
      </c>
      <c r="V18">
        <v>99</v>
      </c>
      <c r="W18" s="9">
        <f>SUMIFS(events!T:T,events!L:L,"=DeadIce",events!U:U,"&lt;="&amp;shifts!AH18,events!V:V,"&gt;"&amp;shifts!AI18,events!D:D,"="&amp;shifts!B19)+SUMIFS(events!T:T,events!L:L,"=Timeout",events!U:U,"&lt;="&amp;shifts!AH18,events!V:V,"&gt;"&amp;shifts!AI18,events!D:D,"="&amp;shifts!B19)</f>
        <v>0</v>
      </c>
      <c r="Y18" s="9">
        <f t="shared" si="15"/>
        <v>1</v>
      </c>
      <c r="Z18">
        <v>1</v>
      </c>
      <c r="AA18" t="str">
        <f t="shared" si="16"/>
        <v/>
      </c>
      <c r="AC18" t="str">
        <f t="shared" si="17"/>
        <v/>
      </c>
      <c r="AE18">
        <f t="shared" si="20"/>
        <v>18977</v>
      </c>
      <c r="AF18" t="str">
        <f t="shared" si="21"/>
        <v>Velodrome</v>
      </c>
      <c r="AG18" t="str">
        <f t="shared" si="22"/>
        <v>HollowBrook</v>
      </c>
      <c r="AH18" s="6">
        <f t="shared" si="5"/>
        <v>390</v>
      </c>
      <c r="AI18" s="6">
        <f t="shared" si="1"/>
        <v>350</v>
      </c>
      <c r="AJ18" s="18">
        <f t="shared" si="6"/>
        <v>40</v>
      </c>
      <c r="AK18">
        <f t="shared" si="7"/>
        <v>5</v>
      </c>
      <c r="AL18">
        <f t="shared" si="8"/>
        <v>5</v>
      </c>
      <c r="AM18">
        <f t="shared" si="2"/>
        <v>0</v>
      </c>
      <c r="AN18">
        <f t="shared" si="3"/>
        <v>0</v>
      </c>
      <c r="AO18">
        <f t="shared" si="9"/>
        <v>0</v>
      </c>
      <c r="AP18">
        <f t="shared" si="10"/>
        <v>0</v>
      </c>
      <c r="AQ18">
        <f t="shared" si="11"/>
        <v>0</v>
      </c>
      <c r="AR18">
        <f t="shared" si="12"/>
        <v>0</v>
      </c>
      <c r="AS18" t="str">
        <f t="shared" si="13"/>
        <v>Full Strength</v>
      </c>
      <c r="AT18" t="str">
        <f t="shared" si="14"/>
        <v>5v5</v>
      </c>
    </row>
    <row r="19" spans="1:46" x14ac:dyDescent="0.2">
      <c r="A19">
        <f t="shared" si="18"/>
        <v>18</v>
      </c>
      <c r="B19" s="9">
        <f t="shared" si="4"/>
        <v>1</v>
      </c>
      <c r="C19">
        <f t="shared" si="0"/>
        <v>5</v>
      </c>
      <c r="D19" s="6" t="str">
        <f t="shared" si="19"/>
        <v>50</v>
      </c>
      <c r="E19">
        <v>4</v>
      </c>
      <c r="F19" s="6" t="s">
        <v>446</v>
      </c>
      <c r="G19" s="9" t="s">
        <v>356</v>
      </c>
      <c r="I19">
        <v>42</v>
      </c>
      <c r="J19">
        <v>14</v>
      </c>
      <c r="K19">
        <v>61</v>
      </c>
      <c r="L19">
        <v>87</v>
      </c>
      <c r="M19">
        <v>52</v>
      </c>
      <c r="O19" s="7">
        <v>39</v>
      </c>
      <c r="P19" s="9">
        <v>11</v>
      </c>
      <c r="Q19">
        <v>19</v>
      </c>
      <c r="R19">
        <v>8</v>
      </c>
      <c r="S19">
        <v>33</v>
      </c>
      <c r="T19">
        <v>18</v>
      </c>
      <c r="V19">
        <v>99</v>
      </c>
      <c r="W19" s="9">
        <f>SUMIFS(events!T:T,events!L:L,"=DeadIce",events!U:U,"&lt;="&amp;shifts!AH19,events!V:V,"&gt;"&amp;shifts!AI19,events!D:D,"="&amp;shifts!B20)+SUMIFS(events!T:T,events!L:L,"=Timeout",events!U:U,"&lt;="&amp;shifts!AH19,events!V:V,"&gt;"&amp;shifts!AI19,events!D:D,"="&amp;shifts!B20)</f>
        <v>0</v>
      </c>
      <c r="Y19" s="9">
        <f t="shared" si="15"/>
        <v>1</v>
      </c>
      <c r="AA19" t="str">
        <f t="shared" si="16"/>
        <v/>
      </c>
      <c r="AB19">
        <v>1</v>
      </c>
      <c r="AC19" t="str">
        <f t="shared" si="17"/>
        <v/>
      </c>
      <c r="AE19">
        <f t="shared" si="20"/>
        <v>18977</v>
      </c>
      <c r="AF19" t="str">
        <f t="shared" si="21"/>
        <v>Velodrome</v>
      </c>
      <c r="AG19" t="str">
        <f t="shared" si="22"/>
        <v>HollowBrook</v>
      </c>
      <c r="AH19" s="6">
        <f t="shared" si="5"/>
        <v>350</v>
      </c>
      <c r="AI19" s="6">
        <f t="shared" si="1"/>
        <v>257</v>
      </c>
      <c r="AJ19" s="18">
        <f t="shared" si="6"/>
        <v>93</v>
      </c>
      <c r="AK19">
        <f t="shared" si="7"/>
        <v>5</v>
      </c>
      <c r="AL19">
        <f t="shared" si="8"/>
        <v>5</v>
      </c>
      <c r="AM19">
        <f t="shared" si="2"/>
        <v>0</v>
      </c>
      <c r="AN19">
        <f t="shared" si="3"/>
        <v>0</v>
      </c>
      <c r="AO19">
        <f t="shared" si="9"/>
        <v>0</v>
      </c>
      <c r="AP19">
        <f t="shared" si="10"/>
        <v>0</v>
      </c>
      <c r="AQ19">
        <f t="shared" si="11"/>
        <v>0</v>
      </c>
      <c r="AR19">
        <f t="shared" si="12"/>
        <v>0</v>
      </c>
      <c r="AS19" t="str">
        <f t="shared" si="13"/>
        <v>Full Strength</v>
      </c>
      <c r="AT19" t="str">
        <f t="shared" si="14"/>
        <v>5v5</v>
      </c>
    </row>
    <row r="20" spans="1:46" x14ac:dyDescent="0.2">
      <c r="A20">
        <f t="shared" si="18"/>
        <v>19</v>
      </c>
      <c r="B20" s="9">
        <f t="shared" si="4"/>
        <v>1</v>
      </c>
      <c r="C20">
        <f t="shared" si="0"/>
        <v>4</v>
      </c>
      <c r="D20" s="6" t="str">
        <f t="shared" si="19"/>
        <v>17</v>
      </c>
      <c r="E20">
        <v>3</v>
      </c>
      <c r="F20" s="6" t="s">
        <v>427</v>
      </c>
      <c r="I20">
        <v>42</v>
      </c>
      <c r="J20">
        <v>14</v>
      </c>
      <c r="K20">
        <v>61</v>
      </c>
      <c r="L20">
        <v>87</v>
      </c>
      <c r="M20">
        <v>52</v>
      </c>
      <c r="O20" s="7">
        <v>39</v>
      </c>
      <c r="P20" s="9">
        <v>11</v>
      </c>
      <c r="Q20">
        <v>19</v>
      </c>
      <c r="R20">
        <v>8</v>
      </c>
      <c r="S20">
        <v>2</v>
      </c>
      <c r="T20">
        <v>18</v>
      </c>
      <c r="V20">
        <v>99</v>
      </c>
      <c r="W20" s="9">
        <f>SUMIFS(events!T:T,events!L:L,"=DeadIce",events!U:U,"&lt;="&amp;shifts!AH20,events!V:V,"&gt;"&amp;shifts!AI20,events!D:D,"="&amp;shifts!B21)+SUMIFS(events!T:T,events!L:L,"=Timeout",events!U:U,"&lt;="&amp;shifts!AH20,events!V:V,"&gt;"&amp;shifts!AI20,events!D:D,"="&amp;shifts!B21)</f>
        <v>0</v>
      </c>
      <c r="Y20" s="9" t="str">
        <f t="shared" si="15"/>
        <v/>
      </c>
      <c r="AA20">
        <f t="shared" si="16"/>
        <v>1</v>
      </c>
      <c r="AC20" t="str">
        <f t="shared" si="17"/>
        <v/>
      </c>
      <c r="AD20">
        <v>1</v>
      </c>
      <c r="AE20">
        <f t="shared" si="20"/>
        <v>18977</v>
      </c>
      <c r="AF20" t="str">
        <f t="shared" si="21"/>
        <v>Velodrome</v>
      </c>
      <c r="AG20" t="str">
        <f t="shared" si="22"/>
        <v>HollowBrook</v>
      </c>
      <c r="AH20" s="6">
        <f t="shared" si="5"/>
        <v>257</v>
      </c>
      <c r="AI20" s="6">
        <f t="shared" si="1"/>
        <v>234</v>
      </c>
      <c r="AJ20" s="18">
        <f t="shared" si="6"/>
        <v>23</v>
      </c>
      <c r="AK20">
        <f t="shared" si="7"/>
        <v>5</v>
      </c>
      <c r="AL20">
        <f t="shared" si="8"/>
        <v>5</v>
      </c>
      <c r="AM20">
        <f t="shared" si="2"/>
        <v>0</v>
      </c>
      <c r="AN20">
        <f t="shared" si="3"/>
        <v>0</v>
      </c>
      <c r="AO20">
        <f t="shared" si="9"/>
        <v>0</v>
      </c>
      <c r="AP20">
        <f t="shared" si="10"/>
        <v>0</v>
      </c>
      <c r="AQ20">
        <f t="shared" si="11"/>
        <v>0</v>
      </c>
      <c r="AR20">
        <f t="shared" si="12"/>
        <v>0</v>
      </c>
      <c r="AS20" t="str">
        <f t="shared" si="13"/>
        <v>Full Strength</v>
      </c>
      <c r="AT20" t="str">
        <f t="shared" si="14"/>
        <v>5v5</v>
      </c>
    </row>
    <row r="21" spans="1:46" x14ac:dyDescent="0.2">
      <c r="A21">
        <f t="shared" si="18"/>
        <v>20</v>
      </c>
      <c r="B21" s="9">
        <f t="shared" si="4"/>
        <v>1</v>
      </c>
      <c r="C21">
        <f t="shared" si="0"/>
        <v>3</v>
      </c>
      <c r="D21" s="6" t="str">
        <f t="shared" si="19"/>
        <v>54</v>
      </c>
      <c r="E21">
        <v>3</v>
      </c>
      <c r="F21" s="6" t="s">
        <v>454</v>
      </c>
      <c r="I21">
        <v>70</v>
      </c>
      <c r="J21">
        <v>14</v>
      </c>
      <c r="K21">
        <v>75</v>
      </c>
      <c r="L21">
        <v>87</v>
      </c>
      <c r="M21">
        <v>52</v>
      </c>
      <c r="O21" s="7">
        <v>39</v>
      </c>
      <c r="P21" s="9">
        <v>11</v>
      </c>
      <c r="Q21">
        <v>19</v>
      </c>
      <c r="R21">
        <v>40</v>
      </c>
      <c r="S21">
        <v>2</v>
      </c>
      <c r="T21">
        <v>18</v>
      </c>
      <c r="V21">
        <v>99</v>
      </c>
      <c r="W21" s="9">
        <f>SUMIFS(events!T:T,events!L:L,"=DeadIce",events!U:U,"&lt;="&amp;shifts!AH21,events!V:V,"&gt;"&amp;shifts!AI21,events!D:D,"="&amp;shifts!B22)+SUMIFS(events!T:T,events!L:L,"=Timeout",events!U:U,"&lt;="&amp;shifts!AH21,events!V:V,"&gt;"&amp;shifts!AI21,events!D:D,"="&amp;shifts!B22)</f>
        <v>0</v>
      </c>
      <c r="Y21" s="9" t="str">
        <f t="shared" si="15"/>
        <v/>
      </c>
      <c r="Z21">
        <v>1</v>
      </c>
      <c r="AA21" t="str">
        <f t="shared" si="16"/>
        <v/>
      </c>
      <c r="AC21">
        <f t="shared" si="17"/>
        <v>1</v>
      </c>
      <c r="AE21">
        <f t="shared" si="20"/>
        <v>18977</v>
      </c>
      <c r="AF21" t="str">
        <f t="shared" si="21"/>
        <v>Velodrome</v>
      </c>
      <c r="AG21" t="str">
        <f t="shared" si="22"/>
        <v>HollowBrook</v>
      </c>
      <c r="AH21" s="6">
        <f t="shared" si="5"/>
        <v>234</v>
      </c>
      <c r="AI21" s="6">
        <f t="shared" si="1"/>
        <v>223</v>
      </c>
      <c r="AJ21" s="18">
        <f t="shared" si="6"/>
        <v>11</v>
      </c>
      <c r="AK21">
        <f t="shared" si="7"/>
        <v>5</v>
      </c>
      <c r="AL21">
        <f t="shared" si="8"/>
        <v>5</v>
      </c>
      <c r="AM21">
        <f t="shared" si="2"/>
        <v>0</v>
      </c>
      <c r="AN21">
        <f t="shared" si="3"/>
        <v>0</v>
      </c>
      <c r="AO21">
        <f t="shared" si="9"/>
        <v>0</v>
      </c>
      <c r="AP21">
        <f t="shared" si="10"/>
        <v>0</v>
      </c>
      <c r="AQ21">
        <f t="shared" si="11"/>
        <v>0</v>
      </c>
      <c r="AR21">
        <f t="shared" si="12"/>
        <v>0</v>
      </c>
      <c r="AS21" t="str">
        <f t="shared" si="13"/>
        <v>Full Strength</v>
      </c>
      <c r="AT21" t="str">
        <f t="shared" si="14"/>
        <v>5v5</v>
      </c>
    </row>
    <row r="22" spans="1:46" x14ac:dyDescent="0.2">
      <c r="A22">
        <f t="shared" si="18"/>
        <v>21</v>
      </c>
      <c r="B22" s="9">
        <f t="shared" si="4"/>
        <v>1</v>
      </c>
      <c r="C22">
        <f t="shared" si="0"/>
        <v>3</v>
      </c>
      <c r="D22" s="6" t="str">
        <f t="shared" si="19"/>
        <v>43</v>
      </c>
      <c r="E22">
        <v>3</v>
      </c>
      <c r="F22" s="6" t="s">
        <v>473</v>
      </c>
      <c r="I22">
        <v>70</v>
      </c>
      <c r="J22">
        <v>14</v>
      </c>
      <c r="K22">
        <v>75</v>
      </c>
      <c r="L22">
        <v>87</v>
      </c>
      <c r="M22">
        <v>52</v>
      </c>
      <c r="O22" s="7">
        <v>39</v>
      </c>
      <c r="P22" s="9">
        <v>11</v>
      </c>
      <c r="Q22">
        <v>13</v>
      </c>
      <c r="R22">
        <v>40</v>
      </c>
      <c r="S22">
        <v>2</v>
      </c>
      <c r="T22">
        <v>18</v>
      </c>
      <c r="V22">
        <v>99</v>
      </c>
      <c r="W22" s="9">
        <f>SUMIFS(events!T:T,events!L:L,"=DeadIce",events!U:U,"&lt;="&amp;shifts!AH22,events!V:V,"&gt;"&amp;shifts!AI22,events!D:D,"="&amp;shifts!B23)+SUMIFS(events!T:T,events!L:L,"=Timeout",events!U:U,"&lt;="&amp;shifts!AH22,events!V:V,"&gt;"&amp;shifts!AI22,events!D:D,"="&amp;shifts!B23)</f>
        <v>0</v>
      </c>
      <c r="Y22" s="9">
        <f t="shared" si="15"/>
        <v>1</v>
      </c>
      <c r="AA22" t="str">
        <f t="shared" si="16"/>
        <v/>
      </c>
      <c r="AC22" t="str">
        <f t="shared" si="17"/>
        <v/>
      </c>
      <c r="AD22">
        <v>1</v>
      </c>
      <c r="AE22">
        <f t="shared" si="20"/>
        <v>18977</v>
      </c>
      <c r="AF22" t="str">
        <f t="shared" si="21"/>
        <v>Velodrome</v>
      </c>
      <c r="AG22" t="str">
        <f t="shared" si="22"/>
        <v>HollowBrook</v>
      </c>
      <c r="AH22" s="6">
        <f t="shared" si="5"/>
        <v>223</v>
      </c>
      <c r="AI22" s="6">
        <f t="shared" si="1"/>
        <v>201</v>
      </c>
      <c r="AJ22" s="18">
        <f t="shared" si="6"/>
        <v>22</v>
      </c>
      <c r="AK22">
        <f t="shared" si="7"/>
        <v>5</v>
      </c>
      <c r="AL22">
        <f t="shared" si="8"/>
        <v>5</v>
      </c>
      <c r="AM22">
        <f t="shared" si="2"/>
        <v>0</v>
      </c>
      <c r="AN22">
        <f t="shared" si="3"/>
        <v>0</v>
      </c>
      <c r="AO22">
        <f t="shared" si="9"/>
        <v>0</v>
      </c>
      <c r="AP22">
        <f t="shared" si="10"/>
        <v>0</v>
      </c>
      <c r="AQ22">
        <f t="shared" si="11"/>
        <v>0</v>
      </c>
      <c r="AR22">
        <f t="shared" si="12"/>
        <v>0</v>
      </c>
      <c r="AS22" t="str">
        <f t="shared" si="13"/>
        <v>Full Strength</v>
      </c>
      <c r="AT22" t="str">
        <f t="shared" si="14"/>
        <v>5v5</v>
      </c>
    </row>
    <row r="23" spans="1:46" x14ac:dyDescent="0.2">
      <c r="A23">
        <f t="shared" si="18"/>
        <v>22</v>
      </c>
      <c r="B23" s="9">
        <f t="shared" si="4"/>
        <v>1</v>
      </c>
      <c r="C23">
        <f t="shared" si="0"/>
        <v>3</v>
      </c>
      <c r="D23" s="6" t="str">
        <f t="shared" si="19"/>
        <v>21</v>
      </c>
      <c r="E23">
        <v>3</v>
      </c>
      <c r="F23" s="6" t="s">
        <v>423</v>
      </c>
      <c r="H23" s="7" t="s">
        <v>406</v>
      </c>
      <c r="I23">
        <v>70</v>
      </c>
      <c r="J23">
        <v>49</v>
      </c>
      <c r="K23">
        <v>75</v>
      </c>
      <c r="L23">
        <v>9</v>
      </c>
      <c r="M23">
        <v>84</v>
      </c>
      <c r="O23" s="7">
        <v>39</v>
      </c>
      <c r="P23" s="9">
        <v>11</v>
      </c>
      <c r="Q23">
        <v>13</v>
      </c>
      <c r="R23">
        <v>40</v>
      </c>
      <c r="S23">
        <v>2</v>
      </c>
      <c r="T23">
        <v>18</v>
      </c>
      <c r="V23">
        <v>99</v>
      </c>
      <c r="W23" s="9">
        <f>SUMIFS(events!T:T,events!L:L,"=DeadIce",events!U:U,"&lt;="&amp;shifts!AH23,events!V:V,"&gt;"&amp;shifts!AI23,events!D:D,"="&amp;shifts!B24)+SUMIFS(events!T:T,events!L:L,"=Timeout",events!U:U,"&lt;="&amp;shifts!AH23,events!V:V,"&gt;"&amp;shifts!AI23,events!D:D,"="&amp;shifts!B24)</f>
        <v>0</v>
      </c>
      <c r="Y23" s="9" t="str">
        <f t="shared" si="15"/>
        <v/>
      </c>
      <c r="Z23">
        <v>1</v>
      </c>
      <c r="AA23" t="str">
        <f t="shared" si="16"/>
        <v/>
      </c>
      <c r="AC23">
        <f t="shared" si="17"/>
        <v>1</v>
      </c>
      <c r="AE23">
        <f t="shared" si="20"/>
        <v>18977</v>
      </c>
      <c r="AF23" t="str">
        <f t="shared" si="21"/>
        <v>Velodrome</v>
      </c>
      <c r="AG23" t="str">
        <f t="shared" si="22"/>
        <v>HollowBrook</v>
      </c>
      <c r="AH23" s="6">
        <f t="shared" si="5"/>
        <v>201</v>
      </c>
      <c r="AI23" s="6">
        <f t="shared" si="1"/>
        <v>194</v>
      </c>
      <c r="AJ23" s="18">
        <f t="shared" si="6"/>
        <v>7</v>
      </c>
      <c r="AK23">
        <f t="shared" si="7"/>
        <v>5</v>
      </c>
      <c r="AL23">
        <f t="shared" si="8"/>
        <v>5</v>
      </c>
      <c r="AM23">
        <f t="shared" si="2"/>
        <v>0</v>
      </c>
      <c r="AN23">
        <f t="shared" si="3"/>
        <v>0</v>
      </c>
      <c r="AO23">
        <f t="shared" si="9"/>
        <v>0</v>
      </c>
      <c r="AP23">
        <f t="shared" si="10"/>
        <v>0</v>
      </c>
      <c r="AQ23">
        <f t="shared" si="11"/>
        <v>0</v>
      </c>
      <c r="AR23">
        <f t="shared" si="12"/>
        <v>0</v>
      </c>
      <c r="AS23" t="str">
        <f t="shared" si="13"/>
        <v>Full Strength</v>
      </c>
      <c r="AT23" t="str">
        <f t="shared" si="14"/>
        <v>5v5</v>
      </c>
    </row>
    <row r="24" spans="1:46" x14ac:dyDescent="0.2">
      <c r="A24">
        <f t="shared" si="18"/>
        <v>23</v>
      </c>
      <c r="B24" s="9">
        <f t="shared" si="4"/>
        <v>1</v>
      </c>
      <c r="C24">
        <f t="shared" si="0"/>
        <v>3</v>
      </c>
      <c r="D24" s="6" t="str">
        <f t="shared" si="19"/>
        <v>14</v>
      </c>
      <c r="E24">
        <v>1</v>
      </c>
      <c r="F24" s="6" t="s">
        <v>433</v>
      </c>
      <c r="G24" s="9" t="s">
        <v>353</v>
      </c>
      <c r="I24">
        <v>70</v>
      </c>
      <c r="J24">
        <v>49</v>
      </c>
      <c r="K24">
        <v>75</v>
      </c>
      <c r="L24">
        <v>9</v>
      </c>
      <c r="M24">
        <v>84</v>
      </c>
      <c r="O24" s="7">
        <v>39</v>
      </c>
      <c r="P24" s="9">
        <v>26</v>
      </c>
      <c r="Q24">
        <v>13</v>
      </c>
      <c r="R24">
        <v>40</v>
      </c>
      <c r="S24">
        <v>5</v>
      </c>
      <c r="T24">
        <v>27</v>
      </c>
      <c r="V24">
        <v>99</v>
      </c>
      <c r="W24" s="9">
        <f>SUMIFS(events!T:T,events!L:L,"=DeadIce",events!U:U,"&lt;="&amp;shifts!AH24,events!V:V,"&gt;"&amp;shifts!AI24,events!D:D,"="&amp;shifts!B25)+SUMIFS(events!T:T,events!L:L,"=Timeout",events!U:U,"&lt;="&amp;shifts!AH24,events!V:V,"&gt;"&amp;shifts!AI24,events!D:D,"="&amp;shifts!B25)</f>
        <v>0</v>
      </c>
      <c r="Y24" s="9" t="str">
        <f t="shared" si="15"/>
        <v/>
      </c>
      <c r="Z24">
        <v>1</v>
      </c>
      <c r="AA24" t="str">
        <f t="shared" si="16"/>
        <v/>
      </c>
      <c r="AC24">
        <f t="shared" si="17"/>
        <v>1</v>
      </c>
      <c r="AE24">
        <f t="shared" si="20"/>
        <v>18977</v>
      </c>
      <c r="AF24" t="str">
        <f t="shared" si="21"/>
        <v>Velodrome</v>
      </c>
      <c r="AG24" t="str">
        <f t="shared" si="22"/>
        <v>HollowBrook</v>
      </c>
      <c r="AH24" s="6">
        <f t="shared" si="5"/>
        <v>194</v>
      </c>
      <c r="AI24" s="6">
        <f t="shared" si="1"/>
        <v>117</v>
      </c>
      <c r="AJ24" s="18">
        <f t="shared" si="6"/>
        <v>77</v>
      </c>
      <c r="AK24">
        <f t="shared" si="7"/>
        <v>5</v>
      </c>
      <c r="AL24">
        <f t="shared" si="8"/>
        <v>5</v>
      </c>
      <c r="AM24">
        <f t="shared" si="2"/>
        <v>0</v>
      </c>
      <c r="AN24">
        <f t="shared" si="3"/>
        <v>0</v>
      </c>
      <c r="AO24">
        <f t="shared" si="9"/>
        <v>0</v>
      </c>
      <c r="AP24">
        <f t="shared" si="10"/>
        <v>0</v>
      </c>
      <c r="AQ24">
        <f t="shared" si="11"/>
        <v>0</v>
      </c>
      <c r="AR24">
        <f t="shared" si="12"/>
        <v>0</v>
      </c>
      <c r="AS24" t="str">
        <f t="shared" si="13"/>
        <v>Full Strength</v>
      </c>
      <c r="AT24" t="str">
        <f t="shared" si="14"/>
        <v>5v5</v>
      </c>
    </row>
    <row r="25" spans="1:46" x14ac:dyDescent="0.2">
      <c r="A25">
        <f t="shared" si="18"/>
        <v>24</v>
      </c>
      <c r="B25" s="9">
        <f t="shared" si="4"/>
        <v>1</v>
      </c>
      <c r="C25">
        <f t="shared" si="0"/>
        <v>1</v>
      </c>
      <c r="D25" s="6" t="str">
        <f t="shared" si="19"/>
        <v>57</v>
      </c>
      <c r="E25">
        <v>1</v>
      </c>
      <c r="F25" s="6" t="s">
        <v>439</v>
      </c>
      <c r="I25">
        <v>70</v>
      </c>
      <c r="J25">
        <v>49</v>
      </c>
      <c r="K25">
        <v>75</v>
      </c>
      <c r="L25">
        <v>9</v>
      </c>
      <c r="M25">
        <v>84</v>
      </c>
      <c r="O25" s="7">
        <v>39</v>
      </c>
      <c r="P25" s="9">
        <v>26</v>
      </c>
      <c r="Q25">
        <v>13</v>
      </c>
      <c r="R25">
        <v>22</v>
      </c>
      <c r="S25">
        <v>5</v>
      </c>
      <c r="T25">
        <v>27</v>
      </c>
      <c r="V25">
        <v>99</v>
      </c>
      <c r="W25" s="9">
        <f>SUMIFS(events!T:T,events!L:L,"=DeadIce",events!U:U,"&lt;="&amp;shifts!AH25,events!V:V,"&gt;"&amp;shifts!AI25,events!D:D,"="&amp;shifts!B26)+SUMIFS(events!T:T,events!L:L,"=Timeout",events!U:U,"&lt;="&amp;shifts!AH25,events!V:V,"&gt;"&amp;shifts!AI25,events!D:D,"="&amp;shifts!B26)</f>
        <v>0</v>
      </c>
      <c r="Y25" s="9">
        <f t="shared" si="15"/>
        <v>1</v>
      </c>
      <c r="AA25" t="str">
        <f t="shared" si="16"/>
        <v/>
      </c>
      <c r="AB25">
        <v>1</v>
      </c>
      <c r="AC25" t="str">
        <f t="shared" si="17"/>
        <v/>
      </c>
      <c r="AE25">
        <f t="shared" si="20"/>
        <v>18977</v>
      </c>
      <c r="AF25" t="str">
        <f t="shared" si="21"/>
        <v>Velodrome</v>
      </c>
      <c r="AG25" t="str">
        <f t="shared" si="22"/>
        <v>HollowBrook</v>
      </c>
      <c r="AH25" s="6">
        <f t="shared" si="5"/>
        <v>117</v>
      </c>
      <c r="AI25" s="6">
        <f t="shared" si="1"/>
        <v>94</v>
      </c>
      <c r="AJ25" s="18">
        <f t="shared" si="6"/>
        <v>23</v>
      </c>
      <c r="AK25">
        <f>COUNTIF(I25:N25,"&gt;0")</f>
        <v>5</v>
      </c>
      <c r="AL25">
        <f>COUNTIF(P25:U25,"&gt;0")</f>
        <v>5</v>
      </c>
      <c r="AM25">
        <f>IF(O25="",1,0)</f>
        <v>0</v>
      </c>
      <c r="AN25">
        <f t="shared" si="3"/>
        <v>0</v>
      </c>
      <c r="AO25">
        <f t="shared" si="9"/>
        <v>0</v>
      </c>
      <c r="AP25">
        <f t="shared" si="10"/>
        <v>0</v>
      </c>
      <c r="AQ25">
        <f t="shared" si="11"/>
        <v>0</v>
      </c>
      <c r="AR25">
        <f t="shared" si="12"/>
        <v>0</v>
      </c>
      <c r="AS25" t="str">
        <f t="shared" si="13"/>
        <v>Full Strength</v>
      </c>
      <c r="AT25" t="str">
        <f t="shared" si="14"/>
        <v>5v5</v>
      </c>
    </row>
    <row r="26" spans="1:46" x14ac:dyDescent="0.2">
      <c r="A26">
        <f t="shared" si="18"/>
        <v>25</v>
      </c>
      <c r="B26" s="9">
        <f t="shared" si="4"/>
        <v>1</v>
      </c>
      <c r="C26">
        <f t="shared" si="0"/>
        <v>1</v>
      </c>
      <c r="D26" s="6" t="str">
        <f t="shared" si="19"/>
        <v>34</v>
      </c>
      <c r="E26">
        <v>1</v>
      </c>
      <c r="F26" s="6" t="s">
        <v>441</v>
      </c>
      <c r="I26">
        <v>70</v>
      </c>
      <c r="J26">
        <v>49</v>
      </c>
      <c r="K26">
        <v>75</v>
      </c>
      <c r="L26">
        <v>9</v>
      </c>
      <c r="M26">
        <v>84</v>
      </c>
      <c r="O26" s="7">
        <v>39</v>
      </c>
      <c r="P26" s="9">
        <v>26</v>
      </c>
      <c r="Q26">
        <v>19</v>
      </c>
      <c r="R26">
        <v>22</v>
      </c>
      <c r="S26">
        <v>5</v>
      </c>
      <c r="T26">
        <v>27</v>
      </c>
      <c r="V26">
        <v>99</v>
      </c>
      <c r="W26" s="9">
        <f>SUMIFS(events!T:T,events!L:L,"=DeadIce",events!U:U,"&lt;="&amp;shifts!AH26,events!V:V,"&gt;"&amp;shifts!AI26,events!D:D,"="&amp;shifts!B27)+SUMIFS(events!T:T,events!L:L,"=Timeout",events!U:U,"&lt;="&amp;shifts!AH26,events!V:V,"&gt;"&amp;shifts!AI26,events!D:D,"="&amp;shifts!B27)</f>
        <v>0</v>
      </c>
      <c r="Y26" s="9" t="str">
        <f t="shared" si="15"/>
        <v/>
      </c>
      <c r="AA26">
        <f t="shared" si="16"/>
        <v>1</v>
      </c>
      <c r="AC26" t="str">
        <f t="shared" si="17"/>
        <v/>
      </c>
      <c r="AD26">
        <v>1</v>
      </c>
      <c r="AE26">
        <f t="shared" si="20"/>
        <v>18977</v>
      </c>
      <c r="AF26" t="str">
        <f t="shared" si="21"/>
        <v>Velodrome</v>
      </c>
      <c r="AG26" t="str">
        <f t="shared" si="22"/>
        <v>HollowBrook</v>
      </c>
      <c r="AH26" s="6">
        <f t="shared" si="5"/>
        <v>94</v>
      </c>
      <c r="AI26" s="6">
        <f t="shared" si="1"/>
        <v>85</v>
      </c>
      <c r="AJ26" s="18">
        <f t="shared" si="6"/>
        <v>9</v>
      </c>
      <c r="AK26">
        <f t="shared" si="7"/>
        <v>5</v>
      </c>
      <c r="AL26">
        <f t="shared" si="8"/>
        <v>5</v>
      </c>
      <c r="AM26">
        <f t="shared" si="2"/>
        <v>0</v>
      </c>
      <c r="AN26">
        <f t="shared" si="3"/>
        <v>0</v>
      </c>
      <c r="AO26">
        <f t="shared" si="9"/>
        <v>0</v>
      </c>
      <c r="AP26">
        <f t="shared" si="10"/>
        <v>0</v>
      </c>
      <c r="AQ26">
        <f t="shared" si="11"/>
        <v>0</v>
      </c>
      <c r="AR26">
        <f t="shared" si="12"/>
        <v>0</v>
      </c>
      <c r="AS26" t="str">
        <f t="shared" si="13"/>
        <v>Full Strength</v>
      </c>
      <c r="AT26" t="str">
        <f t="shared" si="14"/>
        <v>5v5</v>
      </c>
    </row>
    <row r="27" spans="1:46" x14ac:dyDescent="0.2">
      <c r="A27">
        <f t="shared" si="18"/>
        <v>26</v>
      </c>
      <c r="B27" s="9">
        <f t="shared" si="4"/>
        <v>1</v>
      </c>
      <c r="C27">
        <f t="shared" si="0"/>
        <v>1</v>
      </c>
      <c r="D27" s="6" t="str">
        <f t="shared" si="19"/>
        <v>25</v>
      </c>
      <c r="E27">
        <v>1</v>
      </c>
      <c r="F27" s="6" t="s">
        <v>317</v>
      </c>
      <c r="I27">
        <v>70</v>
      </c>
      <c r="J27">
        <v>49</v>
      </c>
      <c r="K27">
        <v>75</v>
      </c>
      <c r="L27">
        <v>22</v>
      </c>
      <c r="M27">
        <v>84</v>
      </c>
      <c r="O27" s="7">
        <v>39</v>
      </c>
      <c r="P27" s="9">
        <v>11</v>
      </c>
      <c r="Q27">
        <v>19</v>
      </c>
      <c r="R27">
        <v>22</v>
      </c>
      <c r="S27">
        <v>5</v>
      </c>
      <c r="T27">
        <v>27</v>
      </c>
      <c r="V27">
        <v>99</v>
      </c>
      <c r="W27" s="9">
        <f>SUMIFS(events!T:T,events!L:L,"=DeadIce",events!U:U,"&lt;="&amp;shifts!AH27,events!V:V,"&gt;"&amp;shifts!AI27,events!D:D,"="&amp;shifts!B28)+SUMIFS(events!T:T,events!L:L,"=Timeout",events!U:U,"&lt;="&amp;shifts!AH27,events!V:V,"&gt;"&amp;shifts!AI27,events!D:D,"="&amp;shifts!B28)</f>
        <v>0</v>
      </c>
      <c r="Y27" s="9" t="str">
        <f t="shared" si="15"/>
        <v/>
      </c>
      <c r="AA27" t="str">
        <f t="shared" si="16"/>
        <v/>
      </c>
      <c r="AC27">
        <f t="shared" si="17"/>
        <v>1</v>
      </c>
      <c r="AD27">
        <v>1</v>
      </c>
      <c r="AE27">
        <f t="shared" si="20"/>
        <v>18977</v>
      </c>
      <c r="AF27" t="str">
        <f t="shared" si="21"/>
        <v>Velodrome</v>
      </c>
      <c r="AG27" t="str">
        <f t="shared" si="22"/>
        <v>HollowBrook</v>
      </c>
      <c r="AH27" s="6">
        <f t="shared" si="5"/>
        <v>85</v>
      </c>
      <c r="AI27" s="6">
        <f t="shared" si="1"/>
        <v>73</v>
      </c>
      <c r="AJ27" s="18">
        <f t="shared" si="6"/>
        <v>12</v>
      </c>
      <c r="AK27">
        <f t="shared" si="7"/>
        <v>5</v>
      </c>
      <c r="AL27">
        <f t="shared" si="8"/>
        <v>5</v>
      </c>
      <c r="AM27">
        <f t="shared" si="2"/>
        <v>0</v>
      </c>
      <c r="AN27">
        <f t="shared" si="3"/>
        <v>0</v>
      </c>
      <c r="AO27">
        <f t="shared" si="9"/>
        <v>0</v>
      </c>
      <c r="AP27">
        <f t="shared" si="10"/>
        <v>0</v>
      </c>
      <c r="AQ27">
        <f t="shared" si="11"/>
        <v>0</v>
      </c>
      <c r="AR27">
        <f t="shared" si="12"/>
        <v>0</v>
      </c>
      <c r="AS27" t="str">
        <f t="shared" si="13"/>
        <v>Full Strength</v>
      </c>
      <c r="AT27" t="str">
        <f t="shared" si="14"/>
        <v>5v5</v>
      </c>
    </row>
    <row r="28" spans="1:46" x14ac:dyDescent="0.2">
      <c r="A28">
        <f t="shared" si="18"/>
        <v>27</v>
      </c>
      <c r="B28" s="9">
        <f t="shared" si="4"/>
        <v>1</v>
      </c>
      <c r="C28">
        <f t="shared" si="0"/>
        <v>1</v>
      </c>
      <c r="D28" s="6" t="str">
        <f t="shared" si="19"/>
        <v>13</v>
      </c>
      <c r="E28">
        <v>1</v>
      </c>
      <c r="F28" s="6" t="s">
        <v>309</v>
      </c>
      <c r="I28">
        <v>70</v>
      </c>
      <c r="J28">
        <v>49</v>
      </c>
      <c r="K28">
        <v>75</v>
      </c>
      <c r="L28">
        <v>22</v>
      </c>
      <c r="M28">
        <v>84</v>
      </c>
      <c r="O28" s="7">
        <v>39</v>
      </c>
      <c r="P28" s="9">
        <v>11</v>
      </c>
      <c r="Q28">
        <v>19</v>
      </c>
      <c r="R28">
        <v>22</v>
      </c>
      <c r="S28">
        <v>5</v>
      </c>
      <c r="T28">
        <v>18</v>
      </c>
      <c r="V28">
        <v>99</v>
      </c>
      <c r="W28" s="9">
        <f>SUMIFS(events!T:T,events!L:L,"=DeadIce",events!U:U,"&lt;="&amp;shifts!AH28,events!V:V,"&gt;"&amp;shifts!AI28,events!D:D,"="&amp;shifts!B29)+SUMIFS(events!T:T,events!L:L,"=Timeout",events!U:U,"&lt;="&amp;shifts!AH28,events!V:V,"&gt;"&amp;shifts!AI28,events!D:D,"="&amp;shifts!B29)</f>
        <v>0</v>
      </c>
      <c r="Y28" s="9" t="str">
        <f t="shared" si="15"/>
        <v/>
      </c>
      <c r="Z28">
        <v>1</v>
      </c>
      <c r="AA28" t="str">
        <f t="shared" si="16"/>
        <v/>
      </c>
      <c r="AC28">
        <f t="shared" si="17"/>
        <v>1</v>
      </c>
      <c r="AE28">
        <f t="shared" si="20"/>
        <v>18977</v>
      </c>
      <c r="AF28" t="str">
        <f t="shared" si="21"/>
        <v>Velodrome</v>
      </c>
      <c r="AG28" t="str">
        <f t="shared" si="22"/>
        <v>HollowBrook</v>
      </c>
      <c r="AH28" s="6">
        <f t="shared" si="5"/>
        <v>73</v>
      </c>
      <c r="AI28" s="6">
        <f t="shared" si="1"/>
        <v>67</v>
      </c>
      <c r="AJ28" s="18">
        <f t="shared" si="6"/>
        <v>6</v>
      </c>
      <c r="AK28">
        <f t="shared" si="7"/>
        <v>5</v>
      </c>
      <c r="AL28">
        <f t="shared" si="8"/>
        <v>5</v>
      </c>
      <c r="AM28">
        <f t="shared" si="2"/>
        <v>0</v>
      </c>
      <c r="AN28">
        <f t="shared" si="3"/>
        <v>0</v>
      </c>
      <c r="AO28">
        <f t="shared" si="9"/>
        <v>0</v>
      </c>
      <c r="AP28">
        <f t="shared" si="10"/>
        <v>0</v>
      </c>
      <c r="AQ28">
        <f t="shared" si="11"/>
        <v>0</v>
      </c>
      <c r="AR28">
        <f t="shared" si="12"/>
        <v>0</v>
      </c>
      <c r="AS28" t="str">
        <f t="shared" si="13"/>
        <v>Full Strength</v>
      </c>
      <c r="AT28" t="str">
        <f t="shared" si="14"/>
        <v>5v5</v>
      </c>
    </row>
    <row r="29" spans="1:46" x14ac:dyDescent="0.2">
      <c r="A29">
        <f t="shared" si="18"/>
        <v>28</v>
      </c>
      <c r="B29" s="9">
        <f t="shared" si="4"/>
        <v>1</v>
      </c>
      <c r="C29">
        <f t="shared" si="0"/>
        <v>1</v>
      </c>
      <c r="D29" s="6" t="str">
        <f t="shared" si="19"/>
        <v>07</v>
      </c>
      <c r="E29">
        <v>0</v>
      </c>
      <c r="F29" s="6" t="s">
        <v>435</v>
      </c>
      <c r="I29">
        <v>70</v>
      </c>
      <c r="J29">
        <v>49</v>
      </c>
      <c r="K29">
        <v>75</v>
      </c>
      <c r="L29">
        <v>22</v>
      </c>
      <c r="M29">
        <v>52</v>
      </c>
      <c r="O29" s="7">
        <v>39</v>
      </c>
      <c r="P29" s="9">
        <v>11</v>
      </c>
      <c r="Q29">
        <v>19</v>
      </c>
      <c r="R29">
        <v>22</v>
      </c>
      <c r="S29">
        <v>5</v>
      </c>
      <c r="T29">
        <v>18</v>
      </c>
      <c r="V29">
        <v>99</v>
      </c>
      <c r="W29" s="9">
        <f>SUMIFS(events!T:T,events!L:L,"=DeadIce",events!U:U,"&lt;="&amp;shifts!AH29,events!V:V,"&gt;"&amp;shifts!AI29,events!D:D,"="&amp;shifts!B30)+SUMIFS(events!T:T,events!L:L,"=Timeout",events!U:U,"&lt;="&amp;shifts!AH29,events!V:V,"&gt;"&amp;shifts!AI29,events!D:D,"="&amp;shifts!B30)</f>
        <v>0</v>
      </c>
      <c r="Y29" s="9">
        <f t="shared" si="15"/>
        <v>1</v>
      </c>
      <c r="AA29" t="str">
        <f t="shared" si="16"/>
        <v/>
      </c>
      <c r="AB29">
        <v>1</v>
      </c>
      <c r="AC29" t="str">
        <f t="shared" si="17"/>
        <v/>
      </c>
      <c r="AE29">
        <f t="shared" si="20"/>
        <v>18977</v>
      </c>
      <c r="AF29" t="str">
        <f t="shared" si="21"/>
        <v>Velodrome</v>
      </c>
      <c r="AG29" t="str">
        <f t="shared" si="22"/>
        <v>HollowBrook</v>
      </c>
      <c r="AH29" s="6">
        <f t="shared" si="5"/>
        <v>67</v>
      </c>
      <c r="AI29" s="6">
        <f t="shared" si="1"/>
        <v>44</v>
      </c>
      <c r="AJ29" s="18">
        <f t="shared" si="6"/>
        <v>23</v>
      </c>
      <c r="AK29">
        <f t="shared" si="7"/>
        <v>5</v>
      </c>
      <c r="AL29">
        <f t="shared" si="8"/>
        <v>5</v>
      </c>
      <c r="AM29">
        <f t="shared" si="2"/>
        <v>0</v>
      </c>
      <c r="AN29">
        <f t="shared" si="3"/>
        <v>0</v>
      </c>
      <c r="AO29">
        <f t="shared" si="9"/>
        <v>0</v>
      </c>
      <c r="AP29">
        <f t="shared" si="10"/>
        <v>0</v>
      </c>
      <c r="AQ29">
        <f t="shared" si="11"/>
        <v>0</v>
      </c>
      <c r="AR29">
        <f t="shared" si="12"/>
        <v>0</v>
      </c>
      <c r="AS29" t="str">
        <f t="shared" si="13"/>
        <v>Full Strength</v>
      </c>
      <c r="AT29" t="str">
        <f t="shared" si="14"/>
        <v>5v5</v>
      </c>
    </row>
    <row r="30" spans="1:46" x14ac:dyDescent="0.2">
      <c r="A30">
        <f t="shared" si="18"/>
        <v>29</v>
      </c>
      <c r="B30" s="9">
        <f t="shared" si="4"/>
        <v>1</v>
      </c>
      <c r="C30">
        <f t="shared" si="0"/>
        <v>0</v>
      </c>
      <c r="D30" s="6" t="str">
        <f t="shared" si="19"/>
        <v>44</v>
      </c>
      <c r="E30">
        <v>0</v>
      </c>
      <c r="F30" s="6" t="s">
        <v>440</v>
      </c>
      <c r="I30">
        <v>70</v>
      </c>
      <c r="J30">
        <v>91</v>
      </c>
      <c r="K30">
        <v>24</v>
      </c>
      <c r="L30">
        <v>22</v>
      </c>
      <c r="M30">
        <v>52</v>
      </c>
      <c r="O30" s="7">
        <v>39</v>
      </c>
      <c r="P30" s="9">
        <v>11</v>
      </c>
      <c r="Q30">
        <v>19</v>
      </c>
      <c r="R30">
        <v>22</v>
      </c>
      <c r="S30">
        <v>33</v>
      </c>
      <c r="T30">
        <v>18</v>
      </c>
      <c r="V30">
        <v>99</v>
      </c>
      <c r="W30" s="9">
        <f>SUMIFS(events!T:T,events!L:L,"=DeadIce",events!U:U,"&lt;="&amp;shifts!AH30,events!V:V,"&gt;"&amp;shifts!AI30,events!D:D,"="&amp;shifts!B31)+SUMIFS(events!T:T,events!L:L,"=Timeout",events!U:U,"&lt;="&amp;shifts!AH30,events!V:V,"&gt;"&amp;shifts!AI30,events!D:D,"="&amp;shifts!B31)</f>
        <v>0</v>
      </c>
      <c r="Y30" s="9" t="str">
        <f t="shared" si="15"/>
        <v/>
      </c>
      <c r="Z30">
        <v>1</v>
      </c>
      <c r="AA30">
        <f t="shared" si="16"/>
        <v>1</v>
      </c>
      <c r="AC30" t="str">
        <f t="shared" si="17"/>
        <v/>
      </c>
      <c r="AE30">
        <f t="shared" si="20"/>
        <v>18977</v>
      </c>
      <c r="AF30" t="str">
        <f t="shared" si="21"/>
        <v>Velodrome</v>
      </c>
      <c r="AG30" t="str">
        <f t="shared" si="22"/>
        <v>HollowBrook</v>
      </c>
      <c r="AH30" s="6">
        <f t="shared" si="5"/>
        <v>44</v>
      </c>
      <c r="AI30" s="6">
        <f t="shared" si="1"/>
        <v>28</v>
      </c>
      <c r="AJ30" s="18">
        <f t="shared" si="6"/>
        <v>16</v>
      </c>
      <c r="AK30">
        <f t="shared" si="7"/>
        <v>5</v>
      </c>
      <c r="AL30">
        <f t="shared" si="8"/>
        <v>5</v>
      </c>
      <c r="AM30">
        <f t="shared" si="2"/>
        <v>0</v>
      </c>
      <c r="AN30">
        <f t="shared" si="3"/>
        <v>0</v>
      </c>
      <c r="AO30">
        <f t="shared" si="9"/>
        <v>0</v>
      </c>
      <c r="AP30">
        <f t="shared" si="10"/>
        <v>0</v>
      </c>
      <c r="AQ30">
        <f t="shared" si="11"/>
        <v>0</v>
      </c>
      <c r="AR30">
        <f t="shared" si="12"/>
        <v>0</v>
      </c>
      <c r="AS30" t="str">
        <f t="shared" si="13"/>
        <v>Full Strength</v>
      </c>
      <c r="AT30" t="str">
        <f t="shared" si="14"/>
        <v>5v5</v>
      </c>
    </row>
    <row r="31" spans="1:46" x14ac:dyDescent="0.2">
      <c r="A31">
        <f t="shared" si="18"/>
        <v>30</v>
      </c>
      <c r="B31" s="9">
        <f t="shared" si="4"/>
        <v>1</v>
      </c>
      <c r="C31">
        <f t="shared" si="0"/>
        <v>0</v>
      </c>
      <c r="D31" s="6" t="str">
        <f t="shared" si="19"/>
        <v>28</v>
      </c>
      <c r="E31">
        <v>0</v>
      </c>
      <c r="F31" s="6" t="s">
        <v>473</v>
      </c>
      <c r="I31">
        <v>70</v>
      </c>
      <c r="J31">
        <v>91</v>
      </c>
      <c r="K31">
        <v>24</v>
      </c>
      <c r="L31">
        <v>22</v>
      </c>
      <c r="M31">
        <v>52</v>
      </c>
      <c r="O31" s="7">
        <v>39</v>
      </c>
      <c r="P31" s="9">
        <v>11</v>
      </c>
      <c r="Q31">
        <v>19</v>
      </c>
      <c r="R31">
        <v>8</v>
      </c>
      <c r="S31">
        <v>33</v>
      </c>
      <c r="T31">
        <v>18</v>
      </c>
      <c r="V31">
        <v>99</v>
      </c>
      <c r="W31" s="9">
        <f>SUMIFS(events!T:T,events!L:L,"=DeadIce",events!U:U,"&lt;="&amp;shifts!AH31,events!V:V,"&gt;"&amp;shifts!AI31,events!D:D,"="&amp;shifts!B32)+SUMIFS(events!T:T,events!L:L,"=Timeout",events!U:U,"&lt;="&amp;shifts!AH31,events!V:V,"&gt;"&amp;shifts!AI31,events!D:D,"="&amp;shifts!B32)</f>
        <v>0</v>
      </c>
      <c r="Y31" s="9">
        <f t="shared" si="15"/>
        <v>1</v>
      </c>
      <c r="AA31" t="str">
        <f t="shared" si="16"/>
        <v/>
      </c>
      <c r="AB31">
        <v>1</v>
      </c>
      <c r="AC31" t="str">
        <f t="shared" si="17"/>
        <v/>
      </c>
      <c r="AE31">
        <f t="shared" si="20"/>
        <v>18977</v>
      </c>
      <c r="AF31" t="str">
        <f t="shared" si="21"/>
        <v>Velodrome</v>
      </c>
      <c r="AG31" t="str">
        <f t="shared" si="22"/>
        <v>HollowBrook</v>
      </c>
      <c r="AH31" s="6">
        <f t="shared" si="5"/>
        <v>28</v>
      </c>
      <c r="AI31" s="6">
        <f t="shared" si="1"/>
        <v>21</v>
      </c>
      <c r="AJ31" s="18">
        <f t="shared" si="6"/>
        <v>7</v>
      </c>
      <c r="AK31">
        <f t="shared" si="7"/>
        <v>5</v>
      </c>
      <c r="AL31">
        <f t="shared" si="8"/>
        <v>5</v>
      </c>
      <c r="AM31">
        <f t="shared" si="2"/>
        <v>0</v>
      </c>
      <c r="AN31">
        <f t="shared" si="3"/>
        <v>0</v>
      </c>
      <c r="AO31">
        <f t="shared" si="9"/>
        <v>0</v>
      </c>
      <c r="AP31">
        <f t="shared" si="10"/>
        <v>0</v>
      </c>
      <c r="AQ31">
        <f t="shared" si="11"/>
        <v>0</v>
      </c>
      <c r="AR31">
        <f t="shared" si="12"/>
        <v>0</v>
      </c>
      <c r="AS31" t="str">
        <f t="shared" si="13"/>
        <v>Full Strength</v>
      </c>
      <c r="AT31" t="str">
        <f t="shared" si="14"/>
        <v>5v5</v>
      </c>
    </row>
    <row r="32" spans="1:46" x14ac:dyDescent="0.2">
      <c r="A32">
        <f t="shared" si="18"/>
        <v>31</v>
      </c>
      <c r="B32" s="9">
        <f t="shared" si="4"/>
        <v>1</v>
      </c>
      <c r="C32">
        <f t="shared" si="0"/>
        <v>0</v>
      </c>
      <c r="D32" s="6" t="str">
        <f t="shared" si="19"/>
        <v>21</v>
      </c>
      <c r="E32">
        <v>0</v>
      </c>
      <c r="F32" s="6" t="s">
        <v>476</v>
      </c>
      <c r="H32" s="7" t="s">
        <v>359</v>
      </c>
      <c r="I32">
        <v>42</v>
      </c>
      <c r="J32">
        <v>91</v>
      </c>
      <c r="K32">
        <v>24</v>
      </c>
      <c r="L32">
        <v>22</v>
      </c>
      <c r="M32">
        <v>52</v>
      </c>
      <c r="O32" s="7">
        <v>39</v>
      </c>
      <c r="P32" s="9">
        <v>11</v>
      </c>
      <c r="Q32">
        <v>19</v>
      </c>
      <c r="R32">
        <v>8</v>
      </c>
      <c r="S32">
        <v>33</v>
      </c>
      <c r="T32">
        <v>18</v>
      </c>
      <c r="V32">
        <v>99</v>
      </c>
      <c r="W32" s="9">
        <f>SUMIFS(events!T:T,events!L:L,"=DeadIce",events!U:U,"&lt;="&amp;shifts!AH32,events!V:V,"&gt;"&amp;shifts!AI32,events!D:D,"="&amp;shifts!B34)+SUMIFS(events!T:T,events!L:L,"=Timeout",events!U:U,"&lt;="&amp;shifts!AH32,events!V:V,"&gt;"&amp;shifts!AI32,events!D:D,"="&amp;shifts!B34)</f>
        <v>0</v>
      </c>
      <c r="Y32" s="9" t="str">
        <f t="shared" si="15"/>
        <v/>
      </c>
      <c r="AA32">
        <f t="shared" si="16"/>
        <v>1</v>
      </c>
      <c r="AB32">
        <v>1</v>
      </c>
      <c r="AC32" t="str">
        <f t="shared" si="17"/>
        <v/>
      </c>
      <c r="AE32">
        <f t="shared" si="20"/>
        <v>18977</v>
      </c>
      <c r="AF32" t="str">
        <f t="shared" si="21"/>
        <v>Velodrome</v>
      </c>
      <c r="AG32" t="str">
        <f t="shared" si="22"/>
        <v>HollowBrook</v>
      </c>
      <c r="AH32" s="6">
        <f t="shared" si="5"/>
        <v>21</v>
      </c>
      <c r="AI32" s="6">
        <f t="shared" si="1"/>
        <v>0.1</v>
      </c>
      <c r="AJ32" s="18">
        <f t="shared" si="6"/>
        <v>21</v>
      </c>
      <c r="AK32">
        <f t="shared" si="7"/>
        <v>5</v>
      </c>
      <c r="AL32">
        <f t="shared" si="8"/>
        <v>5</v>
      </c>
      <c r="AM32">
        <f t="shared" si="2"/>
        <v>0</v>
      </c>
      <c r="AN32">
        <f t="shared" si="3"/>
        <v>0</v>
      </c>
      <c r="AO32">
        <f t="shared" si="9"/>
        <v>0</v>
      </c>
      <c r="AP32">
        <f t="shared" si="10"/>
        <v>0</v>
      </c>
      <c r="AQ32">
        <f t="shared" si="11"/>
        <v>0</v>
      </c>
      <c r="AR32">
        <f t="shared" si="12"/>
        <v>0</v>
      </c>
      <c r="AS32" t="str">
        <f t="shared" si="13"/>
        <v>Full Strength</v>
      </c>
      <c r="AT32" t="str">
        <f t="shared" si="14"/>
        <v>5v5</v>
      </c>
    </row>
    <row r="33" spans="1:46" x14ac:dyDescent="0.2">
      <c r="A33">
        <f t="shared" si="18"/>
        <v>32</v>
      </c>
      <c r="G33" s="9" t="s">
        <v>518</v>
      </c>
      <c r="W33" s="9">
        <v>68</v>
      </c>
      <c r="AH33" s="6"/>
      <c r="AI33" s="6"/>
      <c r="AJ33" s="18"/>
      <c r="AO33">
        <f t="shared" si="9"/>
        <v>0</v>
      </c>
    </row>
    <row r="34" spans="1:46" x14ac:dyDescent="0.2">
      <c r="A34">
        <f t="shared" si="18"/>
        <v>33</v>
      </c>
      <c r="B34" s="9">
        <f>IF(G34="PeriodStart",B32+1,B32)</f>
        <v>2</v>
      </c>
      <c r="C34">
        <f>IF(G34&lt;&gt;"PeriodStart",E32,18)</f>
        <v>18</v>
      </c>
      <c r="D34" s="6" t="s">
        <v>474</v>
      </c>
      <c r="E34">
        <v>17</v>
      </c>
      <c r="F34" s="6" t="s">
        <v>312</v>
      </c>
      <c r="G34" s="9" t="s">
        <v>351</v>
      </c>
      <c r="H34" s="7" t="s">
        <v>368</v>
      </c>
      <c r="I34">
        <v>42</v>
      </c>
      <c r="J34">
        <v>91</v>
      </c>
      <c r="K34">
        <v>24</v>
      </c>
      <c r="L34">
        <v>84</v>
      </c>
      <c r="M34">
        <v>87</v>
      </c>
      <c r="O34" s="7">
        <v>39</v>
      </c>
      <c r="P34" s="9">
        <v>11</v>
      </c>
      <c r="Q34">
        <v>19</v>
      </c>
      <c r="R34">
        <v>8</v>
      </c>
      <c r="S34">
        <v>33</v>
      </c>
      <c r="T34">
        <v>18</v>
      </c>
      <c r="V34">
        <v>99</v>
      </c>
      <c r="W34" s="9">
        <f>SUMIFS(events!T:T,events!L:L,"=DeadIce",events!U:U,"&lt;="&amp;shifts!AH34,events!V:V,"&gt;"&amp;shifts!AI34,events!D:D,"="&amp;shifts!B35)+SUMIFS(events!T:T,events!L:L,"=Timeout",events!U:U,"&lt;="&amp;shifts!AH34,events!V:V,"&gt;"&amp;shifts!AI34,events!D:D,"="&amp;shifts!B35)</f>
        <v>18</v>
      </c>
      <c r="Y34" s="9" t="str">
        <f>IF(OR($H32="Home Goal",$H32="Away Goal",$H32="Period End"),"",IF(Z32=1,1,""))</f>
        <v/>
      </c>
      <c r="Z34">
        <v>1</v>
      </c>
      <c r="AA34" t="str">
        <f>IF(OR($H32="Home Goal",$H32="Away Goal",$H32="Period End"),"",IF(AB32=1,1,""))</f>
        <v/>
      </c>
      <c r="AC34">
        <f>IF(OR($H32="Home Goal",$H32="Away Goal",$H32="Period End"),1,IF(AD32=1,1,""))</f>
        <v>1</v>
      </c>
      <c r="AE34">
        <f>AE32</f>
        <v>18977</v>
      </c>
      <c r="AF34" t="str">
        <f>AF32</f>
        <v>Velodrome</v>
      </c>
      <c r="AG34" t="str">
        <f>AG32</f>
        <v>HollowBrook</v>
      </c>
      <c r="AH34" s="6">
        <f t="shared" si="5"/>
        <v>1080</v>
      </c>
      <c r="AI34" s="6">
        <f t="shared" si="1"/>
        <v>1021</v>
      </c>
      <c r="AJ34" s="18">
        <f t="shared" si="6"/>
        <v>59</v>
      </c>
      <c r="AK34">
        <f t="shared" si="7"/>
        <v>5</v>
      </c>
      <c r="AL34">
        <f t="shared" si="8"/>
        <v>5</v>
      </c>
      <c r="AM34">
        <f t="shared" si="2"/>
        <v>0</v>
      </c>
      <c r="AN34">
        <f t="shared" si="3"/>
        <v>0</v>
      </c>
      <c r="AO34">
        <f t="shared" si="9"/>
        <v>0</v>
      </c>
      <c r="AP34">
        <f t="shared" si="10"/>
        <v>0</v>
      </c>
      <c r="AQ34">
        <f t="shared" si="11"/>
        <v>0</v>
      </c>
      <c r="AR34">
        <f t="shared" si="12"/>
        <v>0</v>
      </c>
      <c r="AS34" t="str">
        <f t="shared" si="13"/>
        <v>Full Strength</v>
      </c>
      <c r="AT34" t="str">
        <f t="shared" si="14"/>
        <v>5v5</v>
      </c>
    </row>
    <row r="35" spans="1:46" x14ac:dyDescent="0.2">
      <c r="A35">
        <f t="shared" si="18"/>
        <v>34</v>
      </c>
      <c r="B35" s="9">
        <f t="shared" ref="B35:B99" si="23">IF(G35="PeriodStart",B34+1,B34)</f>
        <v>2</v>
      </c>
      <c r="C35">
        <f t="shared" ref="C35:C99" si="24">IF(G35&lt;&gt;"PeriodStart",E34,18)</f>
        <v>17</v>
      </c>
      <c r="D35" s="6" t="str">
        <f t="shared" si="19"/>
        <v>01</v>
      </c>
      <c r="E35">
        <v>15</v>
      </c>
      <c r="F35" s="6" t="s">
        <v>450</v>
      </c>
      <c r="G35" s="9" t="s">
        <v>356</v>
      </c>
      <c r="I35">
        <v>42</v>
      </c>
      <c r="J35">
        <v>14</v>
      </c>
      <c r="K35">
        <v>61</v>
      </c>
      <c r="L35">
        <v>84</v>
      </c>
      <c r="M35">
        <v>87</v>
      </c>
      <c r="O35" s="7">
        <v>39</v>
      </c>
      <c r="P35" s="9">
        <v>26</v>
      </c>
      <c r="Q35">
        <v>13</v>
      </c>
      <c r="R35">
        <v>40</v>
      </c>
      <c r="S35">
        <v>2</v>
      </c>
      <c r="T35">
        <v>18</v>
      </c>
      <c r="V35">
        <v>99</v>
      </c>
      <c r="W35" s="9">
        <f>SUMIFS(events!T:T,events!L:L,"=DeadIce",events!U:U,"&lt;="&amp;shifts!AH35,events!V:V,"&gt;"&amp;shifts!AI35,events!D:D,"="&amp;shifts!B36)+SUMIFS(events!T:T,events!L:L,"=Timeout",events!U:U,"&lt;="&amp;shifts!AH35,events!V:V,"&gt;"&amp;shifts!AI35,events!D:D,"="&amp;shifts!B36)</f>
        <v>0</v>
      </c>
      <c r="Y35" s="9">
        <f t="shared" si="15"/>
        <v>1</v>
      </c>
      <c r="Z35">
        <v>1</v>
      </c>
      <c r="AA35" t="str">
        <f t="shared" si="16"/>
        <v/>
      </c>
      <c r="AC35" t="str">
        <f t="shared" si="17"/>
        <v/>
      </c>
      <c r="AE35">
        <f t="shared" si="20"/>
        <v>18977</v>
      </c>
      <c r="AF35" t="str">
        <f t="shared" si="21"/>
        <v>Velodrome</v>
      </c>
      <c r="AG35" t="str">
        <f t="shared" si="22"/>
        <v>HollowBrook</v>
      </c>
      <c r="AH35" s="6">
        <f t="shared" ref="AH35:AH67" si="25">((C35*60)+D35)</f>
        <v>1021</v>
      </c>
      <c r="AI35" s="6">
        <f t="shared" ref="AI35:AI67" si="26">((E35*60)+F35)</f>
        <v>949</v>
      </c>
      <c r="AJ35" s="18">
        <f t="shared" si="6"/>
        <v>72</v>
      </c>
      <c r="AK35">
        <f t="shared" si="7"/>
        <v>5</v>
      </c>
      <c r="AL35">
        <f t="shared" si="8"/>
        <v>5</v>
      </c>
      <c r="AM35">
        <f t="shared" ref="AM35:AM67" si="27">IF(O35="",1,0)</f>
        <v>0</v>
      </c>
      <c r="AN35">
        <f t="shared" ref="AN35:AN67" si="28">IF(V35="",1,0)</f>
        <v>0</v>
      </c>
      <c r="AO35">
        <f t="shared" si="9"/>
        <v>0</v>
      </c>
      <c r="AP35">
        <f t="shared" si="10"/>
        <v>0</v>
      </c>
      <c r="AQ35">
        <f t="shared" si="11"/>
        <v>0</v>
      </c>
      <c r="AR35">
        <f t="shared" si="12"/>
        <v>0</v>
      </c>
      <c r="AS35" t="str">
        <f t="shared" si="13"/>
        <v>Full Strength</v>
      </c>
      <c r="AT35" t="str">
        <f t="shared" si="14"/>
        <v>5v5</v>
      </c>
    </row>
    <row r="36" spans="1:46" x14ac:dyDescent="0.2">
      <c r="A36">
        <f t="shared" si="18"/>
        <v>35</v>
      </c>
      <c r="B36" s="9">
        <f t="shared" si="23"/>
        <v>2</v>
      </c>
      <c r="C36">
        <f t="shared" si="24"/>
        <v>15</v>
      </c>
      <c r="D36" s="6" t="str">
        <f t="shared" si="19"/>
        <v>49</v>
      </c>
      <c r="E36">
        <v>15</v>
      </c>
      <c r="F36" s="6" t="s">
        <v>452</v>
      </c>
      <c r="I36">
        <v>70</v>
      </c>
      <c r="J36">
        <v>14</v>
      </c>
      <c r="K36">
        <v>61</v>
      </c>
      <c r="L36">
        <v>52</v>
      </c>
      <c r="M36">
        <v>87</v>
      </c>
      <c r="O36" s="7">
        <v>39</v>
      </c>
      <c r="P36" s="9">
        <v>26</v>
      </c>
      <c r="Q36">
        <v>13</v>
      </c>
      <c r="R36">
        <v>40</v>
      </c>
      <c r="S36">
        <v>2</v>
      </c>
      <c r="T36">
        <v>18</v>
      </c>
      <c r="V36">
        <v>99</v>
      </c>
      <c r="W36" s="9">
        <f>SUMIFS(events!T:T,events!L:L,"=DeadIce",events!U:U,"&lt;="&amp;shifts!AH36,events!V:V,"&gt;"&amp;shifts!AI36,events!D:D,"="&amp;shifts!B37)+SUMIFS(events!T:T,events!L:L,"=Timeout",events!U:U,"&lt;="&amp;shifts!AH36,events!V:V,"&gt;"&amp;shifts!AI36,events!D:D,"="&amp;shifts!B37)</f>
        <v>0</v>
      </c>
      <c r="Y36" s="9">
        <f t="shared" si="15"/>
        <v>1</v>
      </c>
      <c r="Z36">
        <v>1</v>
      </c>
      <c r="AA36" t="str">
        <f t="shared" si="16"/>
        <v/>
      </c>
      <c r="AC36" t="str">
        <f t="shared" si="17"/>
        <v/>
      </c>
      <c r="AE36">
        <f t="shared" si="20"/>
        <v>18977</v>
      </c>
      <c r="AF36" t="str">
        <f t="shared" si="21"/>
        <v>Velodrome</v>
      </c>
      <c r="AG36" t="str">
        <f t="shared" si="22"/>
        <v>HollowBrook</v>
      </c>
      <c r="AH36" s="6">
        <f t="shared" si="25"/>
        <v>949</v>
      </c>
      <c r="AI36" s="6">
        <f t="shared" si="26"/>
        <v>936</v>
      </c>
      <c r="AJ36" s="18">
        <f t="shared" si="6"/>
        <v>13</v>
      </c>
      <c r="AK36">
        <f t="shared" si="7"/>
        <v>5</v>
      </c>
      <c r="AL36">
        <f t="shared" si="8"/>
        <v>5</v>
      </c>
      <c r="AM36">
        <f t="shared" si="27"/>
        <v>0</v>
      </c>
      <c r="AN36">
        <f t="shared" si="28"/>
        <v>0</v>
      </c>
      <c r="AO36">
        <f t="shared" si="9"/>
        <v>0</v>
      </c>
      <c r="AP36">
        <f t="shared" si="10"/>
        <v>0</v>
      </c>
      <c r="AQ36">
        <f t="shared" si="11"/>
        <v>0</v>
      </c>
      <c r="AR36">
        <f t="shared" si="12"/>
        <v>0</v>
      </c>
      <c r="AS36" t="str">
        <f t="shared" si="13"/>
        <v>Full Strength</v>
      </c>
      <c r="AT36" t="str">
        <f t="shared" si="14"/>
        <v>5v5</v>
      </c>
    </row>
    <row r="37" spans="1:46" x14ac:dyDescent="0.2">
      <c r="A37">
        <f t="shared" si="18"/>
        <v>36</v>
      </c>
      <c r="B37" s="9">
        <f t="shared" si="23"/>
        <v>2</v>
      </c>
      <c r="C37">
        <f t="shared" si="24"/>
        <v>15</v>
      </c>
      <c r="D37" s="6" t="str">
        <f t="shared" si="19"/>
        <v>36</v>
      </c>
      <c r="E37">
        <v>15</v>
      </c>
      <c r="F37" s="6" t="s">
        <v>422</v>
      </c>
      <c r="I37">
        <v>70</v>
      </c>
      <c r="J37">
        <v>14</v>
      </c>
      <c r="K37">
        <v>61</v>
      </c>
      <c r="L37">
        <v>52</v>
      </c>
      <c r="M37">
        <v>87</v>
      </c>
      <c r="O37" s="7">
        <v>39</v>
      </c>
      <c r="P37" s="9">
        <v>11</v>
      </c>
      <c r="Q37">
        <v>13</v>
      </c>
      <c r="R37">
        <v>40</v>
      </c>
      <c r="S37">
        <v>2</v>
      </c>
      <c r="T37">
        <v>18</v>
      </c>
      <c r="V37">
        <v>99</v>
      </c>
      <c r="W37" s="9">
        <f>SUMIFS(events!T:T,events!L:L,"=DeadIce",events!U:U,"&lt;="&amp;shifts!AH37,events!V:V,"&gt;"&amp;shifts!AI37,events!D:D,"="&amp;shifts!B38)+SUMIFS(events!T:T,events!L:L,"=Timeout",events!U:U,"&lt;="&amp;shifts!AH37,events!V:V,"&gt;"&amp;shifts!AI37,events!D:D,"="&amp;shifts!B38)</f>
        <v>0</v>
      </c>
      <c r="Y37" s="9">
        <f t="shared" si="15"/>
        <v>1</v>
      </c>
      <c r="AA37" t="str">
        <f t="shared" si="16"/>
        <v/>
      </c>
      <c r="AC37" t="str">
        <f t="shared" si="17"/>
        <v/>
      </c>
      <c r="AD37">
        <v>1</v>
      </c>
      <c r="AE37">
        <f t="shared" si="20"/>
        <v>18977</v>
      </c>
      <c r="AF37" t="str">
        <f t="shared" si="21"/>
        <v>Velodrome</v>
      </c>
      <c r="AG37" t="str">
        <f t="shared" si="22"/>
        <v>HollowBrook</v>
      </c>
      <c r="AH37" s="6">
        <f t="shared" si="25"/>
        <v>936</v>
      </c>
      <c r="AI37" s="6">
        <f t="shared" si="26"/>
        <v>920</v>
      </c>
      <c r="AJ37" s="18">
        <f t="shared" si="6"/>
        <v>16</v>
      </c>
      <c r="AK37">
        <f t="shared" si="7"/>
        <v>5</v>
      </c>
      <c r="AL37">
        <f t="shared" si="8"/>
        <v>5</v>
      </c>
      <c r="AM37">
        <f t="shared" si="27"/>
        <v>0</v>
      </c>
      <c r="AN37">
        <f t="shared" si="28"/>
        <v>0</v>
      </c>
      <c r="AO37">
        <f t="shared" si="9"/>
        <v>0</v>
      </c>
      <c r="AP37">
        <f t="shared" si="10"/>
        <v>0</v>
      </c>
      <c r="AQ37">
        <f t="shared" si="11"/>
        <v>0</v>
      </c>
      <c r="AR37">
        <f t="shared" si="12"/>
        <v>0</v>
      </c>
      <c r="AS37" t="str">
        <f t="shared" si="13"/>
        <v>Full Strength</v>
      </c>
      <c r="AT37" t="str">
        <f t="shared" si="14"/>
        <v>5v5</v>
      </c>
    </row>
    <row r="38" spans="1:46" x14ac:dyDescent="0.2">
      <c r="A38">
        <f t="shared" si="18"/>
        <v>37</v>
      </c>
      <c r="B38" s="9">
        <f t="shared" si="23"/>
        <v>2</v>
      </c>
      <c r="C38">
        <f t="shared" si="24"/>
        <v>15</v>
      </c>
      <c r="D38" s="6" t="str">
        <f t="shared" si="19"/>
        <v>20</v>
      </c>
      <c r="E38">
        <v>15</v>
      </c>
      <c r="F38" s="6" t="s">
        <v>486</v>
      </c>
      <c r="I38">
        <v>70</v>
      </c>
      <c r="J38">
        <v>14</v>
      </c>
      <c r="K38">
        <v>61</v>
      </c>
      <c r="L38">
        <v>52</v>
      </c>
      <c r="M38">
        <v>87</v>
      </c>
      <c r="O38" s="7">
        <v>39</v>
      </c>
      <c r="P38" s="9">
        <v>11</v>
      </c>
      <c r="Q38">
        <v>13</v>
      </c>
      <c r="R38">
        <v>40</v>
      </c>
      <c r="S38">
        <v>2</v>
      </c>
      <c r="T38">
        <v>27</v>
      </c>
      <c r="V38">
        <v>99</v>
      </c>
      <c r="W38" s="9">
        <f>SUMIFS(events!T:T,events!L:L,"=DeadIce",events!U:U,"&lt;="&amp;shifts!AH38,events!V:V,"&gt;"&amp;shifts!AI38,events!D:D,"="&amp;shifts!B39)+SUMIFS(events!T:T,events!L:L,"=Timeout",events!U:U,"&lt;="&amp;shifts!AH38,events!V:V,"&gt;"&amp;shifts!AI38,events!D:D,"="&amp;shifts!B39)</f>
        <v>0</v>
      </c>
      <c r="Y38" s="9" t="str">
        <f t="shared" si="15"/>
        <v/>
      </c>
      <c r="AA38" t="str">
        <f t="shared" si="16"/>
        <v/>
      </c>
      <c r="AB38">
        <v>1</v>
      </c>
      <c r="AC38">
        <f t="shared" si="17"/>
        <v>1</v>
      </c>
      <c r="AE38">
        <f t="shared" si="20"/>
        <v>18977</v>
      </c>
      <c r="AF38" t="str">
        <f t="shared" si="21"/>
        <v>Velodrome</v>
      </c>
      <c r="AG38" t="str">
        <f t="shared" si="22"/>
        <v>HollowBrook</v>
      </c>
      <c r="AH38" s="6">
        <f t="shared" si="25"/>
        <v>920</v>
      </c>
      <c r="AI38" s="6">
        <f t="shared" si="26"/>
        <v>911</v>
      </c>
      <c r="AJ38" s="18">
        <f t="shared" si="6"/>
        <v>9</v>
      </c>
      <c r="AK38">
        <f t="shared" si="7"/>
        <v>5</v>
      </c>
      <c r="AL38">
        <f t="shared" si="8"/>
        <v>5</v>
      </c>
      <c r="AM38">
        <f t="shared" si="27"/>
        <v>0</v>
      </c>
      <c r="AN38">
        <f t="shared" si="28"/>
        <v>0</v>
      </c>
      <c r="AO38">
        <f t="shared" si="9"/>
        <v>0</v>
      </c>
      <c r="AP38">
        <f t="shared" si="10"/>
        <v>0</v>
      </c>
      <c r="AQ38">
        <f t="shared" si="11"/>
        <v>0</v>
      </c>
      <c r="AR38">
        <f t="shared" si="12"/>
        <v>0</v>
      </c>
      <c r="AS38" t="str">
        <f t="shared" si="13"/>
        <v>Full Strength</v>
      </c>
      <c r="AT38" t="str">
        <f t="shared" si="14"/>
        <v>5v5</v>
      </c>
    </row>
    <row r="39" spans="1:46" x14ac:dyDescent="0.2">
      <c r="A39">
        <f t="shared" si="18"/>
        <v>38</v>
      </c>
      <c r="B39" s="9">
        <f t="shared" si="23"/>
        <v>2</v>
      </c>
      <c r="C39">
        <f t="shared" si="24"/>
        <v>15</v>
      </c>
      <c r="D39" s="6" t="str">
        <f t="shared" si="19"/>
        <v>11</v>
      </c>
      <c r="E39">
        <v>14</v>
      </c>
      <c r="F39" s="6" t="s">
        <v>429</v>
      </c>
      <c r="I39">
        <v>70</v>
      </c>
      <c r="J39">
        <v>14</v>
      </c>
      <c r="K39">
        <v>61</v>
      </c>
      <c r="L39">
        <v>52</v>
      </c>
      <c r="M39">
        <v>87</v>
      </c>
      <c r="O39" s="7">
        <v>39</v>
      </c>
      <c r="P39" s="9">
        <v>11</v>
      </c>
      <c r="Q39">
        <v>19</v>
      </c>
      <c r="R39">
        <v>40</v>
      </c>
      <c r="S39">
        <v>2</v>
      </c>
      <c r="T39">
        <v>27</v>
      </c>
      <c r="V39">
        <v>99</v>
      </c>
      <c r="W39" s="9">
        <f>SUMIFS(events!T:T,events!L:L,"=DeadIce",events!U:U,"&lt;="&amp;shifts!AH39,events!V:V,"&gt;"&amp;shifts!AI39,events!D:D,"="&amp;shifts!B40)+SUMIFS(events!T:T,events!L:L,"=Timeout",events!U:U,"&lt;="&amp;shifts!AH39,events!V:V,"&gt;"&amp;shifts!AI39,events!D:D,"="&amp;shifts!B40)</f>
        <v>0</v>
      </c>
      <c r="Y39" s="9" t="str">
        <f t="shared" si="15"/>
        <v/>
      </c>
      <c r="Z39">
        <v>1</v>
      </c>
      <c r="AA39">
        <f t="shared" si="16"/>
        <v>1</v>
      </c>
      <c r="AC39" t="str">
        <f t="shared" si="17"/>
        <v/>
      </c>
      <c r="AE39">
        <f t="shared" si="20"/>
        <v>18977</v>
      </c>
      <c r="AF39" t="str">
        <f t="shared" si="21"/>
        <v>Velodrome</v>
      </c>
      <c r="AG39" t="str">
        <f t="shared" si="22"/>
        <v>HollowBrook</v>
      </c>
      <c r="AH39" s="6">
        <f t="shared" si="25"/>
        <v>911</v>
      </c>
      <c r="AI39" s="6">
        <f t="shared" si="26"/>
        <v>895</v>
      </c>
      <c r="AJ39" s="18">
        <f t="shared" si="6"/>
        <v>16</v>
      </c>
      <c r="AK39">
        <f t="shared" si="7"/>
        <v>5</v>
      </c>
      <c r="AL39">
        <f t="shared" si="8"/>
        <v>5</v>
      </c>
      <c r="AM39">
        <f t="shared" si="27"/>
        <v>0</v>
      </c>
      <c r="AN39">
        <f t="shared" si="28"/>
        <v>0</v>
      </c>
      <c r="AO39">
        <f t="shared" si="9"/>
        <v>0</v>
      </c>
      <c r="AP39">
        <f t="shared" si="10"/>
        <v>0</v>
      </c>
      <c r="AQ39">
        <f t="shared" si="11"/>
        <v>0</v>
      </c>
      <c r="AR39">
        <f t="shared" si="12"/>
        <v>0</v>
      </c>
      <c r="AS39" t="str">
        <f t="shared" si="13"/>
        <v>Full Strength</v>
      </c>
      <c r="AT39" t="str">
        <f t="shared" si="14"/>
        <v>5v5</v>
      </c>
    </row>
    <row r="40" spans="1:46" x14ac:dyDescent="0.2">
      <c r="A40">
        <f t="shared" si="18"/>
        <v>39</v>
      </c>
      <c r="B40" s="9">
        <f t="shared" si="23"/>
        <v>2</v>
      </c>
      <c r="C40">
        <f t="shared" si="24"/>
        <v>14</v>
      </c>
      <c r="D40" s="6" t="str">
        <f t="shared" si="19"/>
        <v>55</v>
      </c>
      <c r="E40">
        <v>14</v>
      </c>
      <c r="F40" s="6" t="s">
        <v>451</v>
      </c>
      <c r="H40" s="7" t="s">
        <v>368</v>
      </c>
      <c r="I40">
        <v>70</v>
      </c>
      <c r="J40">
        <v>14</v>
      </c>
      <c r="K40">
        <v>61</v>
      </c>
      <c r="L40">
        <v>52</v>
      </c>
      <c r="M40">
        <v>87</v>
      </c>
      <c r="O40" s="7">
        <v>39</v>
      </c>
      <c r="P40" s="9">
        <v>11</v>
      </c>
      <c r="Q40">
        <v>19</v>
      </c>
      <c r="R40">
        <v>22</v>
      </c>
      <c r="S40">
        <v>2</v>
      </c>
      <c r="T40">
        <v>27</v>
      </c>
      <c r="V40">
        <v>99</v>
      </c>
      <c r="W40" s="9">
        <f>SUMIFS(events!T:T,events!L:L,"=DeadIce",events!U:U,"&lt;="&amp;shifts!AH40,events!V:V,"&gt;"&amp;shifts!AI40,events!D:D,"="&amp;shifts!B41)+SUMIFS(events!T:T,events!L:L,"=Timeout",events!U:U,"&lt;="&amp;shifts!AH40,events!V:V,"&gt;"&amp;shifts!AI40,events!D:D,"="&amp;shifts!B41)</f>
        <v>0</v>
      </c>
      <c r="Y40" s="9">
        <f t="shared" si="15"/>
        <v>1</v>
      </c>
      <c r="Z40">
        <v>1</v>
      </c>
      <c r="AA40" t="str">
        <f t="shared" si="16"/>
        <v/>
      </c>
      <c r="AC40" t="str">
        <f t="shared" si="17"/>
        <v/>
      </c>
      <c r="AE40">
        <f t="shared" si="20"/>
        <v>18977</v>
      </c>
      <c r="AF40" t="str">
        <f t="shared" si="21"/>
        <v>Velodrome</v>
      </c>
      <c r="AG40" t="str">
        <f t="shared" si="22"/>
        <v>HollowBrook</v>
      </c>
      <c r="AH40" s="6">
        <f t="shared" si="25"/>
        <v>895</v>
      </c>
      <c r="AI40" s="6">
        <f t="shared" si="26"/>
        <v>888</v>
      </c>
      <c r="AJ40" s="18">
        <f t="shared" si="6"/>
        <v>7</v>
      </c>
      <c r="AK40">
        <f t="shared" si="7"/>
        <v>5</v>
      </c>
      <c r="AL40">
        <f t="shared" si="8"/>
        <v>5</v>
      </c>
      <c r="AM40">
        <f t="shared" si="27"/>
        <v>0</v>
      </c>
      <c r="AN40">
        <f t="shared" si="28"/>
        <v>0</v>
      </c>
      <c r="AO40">
        <f t="shared" si="9"/>
        <v>0</v>
      </c>
      <c r="AP40">
        <f t="shared" si="10"/>
        <v>0</v>
      </c>
      <c r="AQ40">
        <f t="shared" si="11"/>
        <v>0</v>
      </c>
      <c r="AR40">
        <f t="shared" si="12"/>
        <v>0</v>
      </c>
      <c r="AS40" t="str">
        <f t="shared" si="13"/>
        <v>Full Strength</v>
      </c>
      <c r="AT40" t="str">
        <f t="shared" si="14"/>
        <v>5v5</v>
      </c>
    </row>
    <row r="41" spans="1:46" x14ac:dyDescent="0.2">
      <c r="A41">
        <f t="shared" si="18"/>
        <v>40</v>
      </c>
      <c r="B41" s="9">
        <f t="shared" si="23"/>
        <v>2</v>
      </c>
      <c r="C41">
        <f t="shared" si="24"/>
        <v>14</v>
      </c>
      <c r="D41" s="6" t="str">
        <f t="shared" si="19"/>
        <v>48</v>
      </c>
      <c r="E41">
        <v>13</v>
      </c>
      <c r="F41" s="6" t="s">
        <v>448</v>
      </c>
      <c r="G41" s="9" t="s">
        <v>356</v>
      </c>
      <c r="H41" s="7" t="s">
        <v>360</v>
      </c>
      <c r="I41">
        <v>70</v>
      </c>
      <c r="J41">
        <v>49</v>
      </c>
      <c r="K41">
        <v>75</v>
      </c>
      <c r="L41">
        <v>52</v>
      </c>
      <c r="M41">
        <v>9</v>
      </c>
      <c r="O41" s="7">
        <v>39</v>
      </c>
      <c r="P41" s="9">
        <v>11</v>
      </c>
      <c r="Q41">
        <v>19</v>
      </c>
      <c r="R41">
        <v>22</v>
      </c>
      <c r="S41">
        <v>5</v>
      </c>
      <c r="T41">
        <v>27</v>
      </c>
      <c r="V41">
        <v>99</v>
      </c>
      <c r="W41" s="9">
        <f>SUMIFS(events!T:T,events!L:L,"=DeadIce",events!U:U,"&lt;="&amp;shifts!AH41,events!V:V,"&gt;"&amp;shifts!AI41,events!D:D,"="&amp;shifts!B42)+SUMIFS(events!T:T,events!L:L,"=Timeout",events!U:U,"&lt;="&amp;shifts!AH41,events!V:V,"&gt;"&amp;shifts!AI41,events!D:D,"="&amp;shifts!B42)</f>
        <v>24</v>
      </c>
      <c r="Y41" s="9">
        <f t="shared" si="15"/>
        <v>1</v>
      </c>
      <c r="Z41">
        <v>1</v>
      </c>
      <c r="AA41" t="str">
        <f t="shared" si="16"/>
        <v/>
      </c>
      <c r="AC41" t="str">
        <f t="shared" si="17"/>
        <v/>
      </c>
      <c r="AE41">
        <f t="shared" si="20"/>
        <v>18977</v>
      </c>
      <c r="AF41" t="str">
        <f t="shared" si="21"/>
        <v>Velodrome</v>
      </c>
      <c r="AG41" t="str">
        <f t="shared" si="22"/>
        <v>HollowBrook</v>
      </c>
      <c r="AH41" s="6">
        <f t="shared" si="25"/>
        <v>888</v>
      </c>
      <c r="AI41" s="6">
        <f t="shared" si="26"/>
        <v>796</v>
      </c>
      <c r="AJ41" s="18">
        <f t="shared" si="6"/>
        <v>92</v>
      </c>
      <c r="AK41">
        <f t="shared" si="7"/>
        <v>5</v>
      </c>
      <c r="AL41">
        <f t="shared" si="8"/>
        <v>5</v>
      </c>
      <c r="AM41">
        <f t="shared" si="27"/>
        <v>0</v>
      </c>
      <c r="AN41">
        <f t="shared" si="28"/>
        <v>0</v>
      </c>
      <c r="AO41">
        <f t="shared" si="9"/>
        <v>0</v>
      </c>
      <c r="AP41">
        <f t="shared" si="10"/>
        <v>0</v>
      </c>
      <c r="AQ41">
        <f t="shared" si="11"/>
        <v>0</v>
      </c>
      <c r="AR41">
        <f t="shared" si="12"/>
        <v>0</v>
      </c>
      <c r="AS41" t="str">
        <f t="shared" si="13"/>
        <v>Full Strength</v>
      </c>
      <c r="AT41" t="str">
        <f t="shared" si="14"/>
        <v>5v5</v>
      </c>
    </row>
    <row r="42" spans="1:46" x14ac:dyDescent="0.2">
      <c r="A42">
        <f t="shared" si="18"/>
        <v>41</v>
      </c>
      <c r="B42" s="9">
        <f t="shared" si="23"/>
        <v>2</v>
      </c>
      <c r="C42">
        <f t="shared" si="24"/>
        <v>13</v>
      </c>
      <c r="D42" s="6" t="str">
        <f t="shared" si="19"/>
        <v>16</v>
      </c>
      <c r="E42">
        <v>11</v>
      </c>
      <c r="F42" s="6" t="s">
        <v>494</v>
      </c>
      <c r="G42" s="9" t="s">
        <v>356</v>
      </c>
      <c r="I42">
        <v>42</v>
      </c>
      <c r="J42">
        <v>49</v>
      </c>
      <c r="K42">
        <v>75</v>
      </c>
      <c r="L42">
        <v>84</v>
      </c>
      <c r="M42">
        <v>22</v>
      </c>
      <c r="O42" s="7">
        <v>39</v>
      </c>
      <c r="P42" s="9">
        <v>26</v>
      </c>
      <c r="Q42">
        <v>13</v>
      </c>
      <c r="R42">
        <v>8</v>
      </c>
      <c r="S42">
        <v>18</v>
      </c>
      <c r="T42">
        <v>33</v>
      </c>
      <c r="V42">
        <v>99</v>
      </c>
      <c r="W42" s="9">
        <f>SUMIFS(events!T:T,events!L:L,"=DeadIce",events!U:U,"&lt;="&amp;shifts!AH42,events!V:V,"&gt;"&amp;shifts!AI42,events!D:D,"="&amp;shifts!B43)+SUMIFS(events!T:T,events!L:L,"=Timeout",events!U:U,"&lt;="&amp;shifts!AH42,events!V:V,"&gt;"&amp;shifts!AI42,events!D:D,"="&amp;shifts!B43)</f>
        <v>17</v>
      </c>
      <c r="Y42" s="9">
        <f t="shared" si="15"/>
        <v>1</v>
      </c>
      <c r="AA42" t="str">
        <f t="shared" si="16"/>
        <v/>
      </c>
      <c r="AC42" t="str">
        <f t="shared" si="17"/>
        <v/>
      </c>
      <c r="AD42">
        <v>1</v>
      </c>
      <c r="AE42">
        <f t="shared" si="20"/>
        <v>18977</v>
      </c>
      <c r="AF42" t="str">
        <f t="shared" si="21"/>
        <v>Velodrome</v>
      </c>
      <c r="AG42" t="str">
        <f t="shared" si="22"/>
        <v>HollowBrook</v>
      </c>
      <c r="AH42" s="6">
        <f t="shared" si="25"/>
        <v>796</v>
      </c>
      <c r="AI42" s="6">
        <f t="shared" si="26"/>
        <v>692</v>
      </c>
      <c r="AJ42" s="18">
        <f t="shared" si="6"/>
        <v>104</v>
      </c>
      <c r="AK42">
        <f t="shared" si="7"/>
        <v>5</v>
      </c>
      <c r="AL42">
        <f t="shared" si="8"/>
        <v>5</v>
      </c>
      <c r="AM42">
        <f t="shared" si="27"/>
        <v>0</v>
      </c>
      <c r="AN42">
        <f t="shared" si="28"/>
        <v>0</v>
      </c>
      <c r="AO42">
        <f t="shared" si="9"/>
        <v>0</v>
      </c>
      <c r="AP42">
        <f t="shared" si="10"/>
        <v>0</v>
      </c>
      <c r="AQ42">
        <f t="shared" si="11"/>
        <v>0</v>
      </c>
      <c r="AR42">
        <f t="shared" si="12"/>
        <v>0</v>
      </c>
      <c r="AS42" t="str">
        <f t="shared" si="13"/>
        <v>Full Strength</v>
      </c>
      <c r="AT42" t="str">
        <f t="shared" si="14"/>
        <v>5v5</v>
      </c>
    </row>
    <row r="43" spans="1:46" x14ac:dyDescent="0.2">
      <c r="A43">
        <f t="shared" si="18"/>
        <v>42</v>
      </c>
      <c r="B43" s="9">
        <f t="shared" si="23"/>
        <v>2</v>
      </c>
      <c r="C43">
        <f t="shared" si="24"/>
        <v>11</v>
      </c>
      <c r="D43" s="6" t="str">
        <f t="shared" si="19"/>
        <v>32</v>
      </c>
      <c r="E43">
        <v>11</v>
      </c>
      <c r="F43" s="6" t="s">
        <v>445</v>
      </c>
      <c r="H43" s="7" t="s">
        <v>406</v>
      </c>
      <c r="I43">
        <v>42</v>
      </c>
      <c r="J43">
        <v>91</v>
      </c>
      <c r="K43">
        <v>75</v>
      </c>
      <c r="L43">
        <v>84</v>
      </c>
      <c r="M43">
        <v>22</v>
      </c>
      <c r="O43" s="7">
        <v>39</v>
      </c>
      <c r="P43" s="9">
        <v>26</v>
      </c>
      <c r="Q43">
        <v>13</v>
      </c>
      <c r="R43">
        <v>8</v>
      </c>
      <c r="S43">
        <v>18</v>
      </c>
      <c r="T43">
        <v>33</v>
      </c>
      <c r="V43">
        <v>99</v>
      </c>
      <c r="W43" s="9">
        <f>SUMIFS(events!T:T,events!L:L,"=DeadIce",events!U:U,"&lt;="&amp;shifts!AH43,events!V:V,"&gt;"&amp;shifts!AI43,events!D:D,"="&amp;shifts!B44)+SUMIFS(events!T:T,events!L:L,"=Timeout",events!U:U,"&lt;="&amp;shifts!AH43,events!V:V,"&gt;"&amp;shifts!AI43,events!D:D,"="&amp;shifts!B44)</f>
        <v>0</v>
      </c>
      <c r="Y43" s="9" t="str">
        <f t="shared" si="15"/>
        <v/>
      </c>
      <c r="Z43">
        <v>1</v>
      </c>
      <c r="AA43" t="str">
        <f t="shared" si="16"/>
        <v/>
      </c>
      <c r="AC43">
        <f t="shared" si="17"/>
        <v>1</v>
      </c>
      <c r="AE43">
        <f t="shared" si="20"/>
        <v>18977</v>
      </c>
      <c r="AF43" t="str">
        <f t="shared" si="21"/>
        <v>Velodrome</v>
      </c>
      <c r="AG43" t="str">
        <f t="shared" si="22"/>
        <v>HollowBrook</v>
      </c>
      <c r="AH43" s="6">
        <f t="shared" si="25"/>
        <v>692</v>
      </c>
      <c r="AI43" s="6">
        <f t="shared" si="26"/>
        <v>679</v>
      </c>
      <c r="AJ43" s="18">
        <f t="shared" si="6"/>
        <v>13</v>
      </c>
      <c r="AK43">
        <f t="shared" si="7"/>
        <v>5</v>
      </c>
      <c r="AL43">
        <f t="shared" si="8"/>
        <v>5</v>
      </c>
      <c r="AM43">
        <f t="shared" si="27"/>
        <v>0</v>
      </c>
      <c r="AN43">
        <f t="shared" si="28"/>
        <v>0</v>
      </c>
      <c r="AO43">
        <f t="shared" si="9"/>
        <v>0</v>
      </c>
      <c r="AP43">
        <f t="shared" si="10"/>
        <v>0</v>
      </c>
      <c r="AQ43">
        <f t="shared" si="11"/>
        <v>0</v>
      </c>
      <c r="AR43">
        <f t="shared" si="12"/>
        <v>0</v>
      </c>
      <c r="AS43" t="str">
        <f t="shared" si="13"/>
        <v>Full Strength</v>
      </c>
      <c r="AT43" t="str">
        <f t="shared" si="14"/>
        <v>5v5</v>
      </c>
    </row>
    <row r="44" spans="1:46" x14ac:dyDescent="0.2">
      <c r="A44">
        <f t="shared" si="18"/>
        <v>43</v>
      </c>
      <c r="B44" s="9">
        <f t="shared" si="23"/>
        <v>2</v>
      </c>
      <c r="C44">
        <f t="shared" si="24"/>
        <v>11</v>
      </c>
      <c r="D44" s="6" t="str">
        <f t="shared" si="19"/>
        <v>19</v>
      </c>
      <c r="E44">
        <v>9</v>
      </c>
      <c r="F44" s="6" t="s">
        <v>430</v>
      </c>
      <c r="G44" s="9" t="s">
        <v>353</v>
      </c>
      <c r="I44">
        <v>42</v>
      </c>
      <c r="J44">
        <v>91</v>
      </c>
      <c r="K44">
        <v>24</v>
      </c>
      <c r="L44">
        <v>87</v>
      </c>
      <c r="M44">
        <v>84</v>
      </c>
      <c r="O44" s="7">
        <v>39</v>
      </c>
      <c r="P44" s="9">
        <v>11</v>
      </c>
      <c r="Q44" s="23">
        <v>19</v>
      </c>
      <c r="R44" s="23">
        <v>40</v>
      </c>
      <c r="S44" s="23">
        <v>2</v>
      </c>
      <c r="T44" s="23">
        <v>18</v>
      </c>
      <c r="V44">
        <v>99</v>
      </c>
      <c r="W44" s="9">
        <f>SUMIFS(events!T:T,events!L:L,"=DeadIce",events!U:U,"&lt;="&amp;shifts!AH44,events!V:V,"&gt;"&amp;shifts!AI44,events!D:D,"="&amp;shifts!B45)+SUMIFS(events!T:T,events!L:L,"=Timeout",events!U:U,"&lt;="&amp;shifts!AH44,events!V:V,"&gt;"&amp;shifts!AI44,events!D:D,"="&amp;shifts!B45)</f>
        <v>0</v>
      </c>
      <c r="Y44" s="9" t="str">
        <f t="shared" si="15"/>
        <v/>
      </c>
      <c r="Z44">
        <v>1</v>
      </c>
      <c r="AA44" t="str">
        <f t="shared" si="16"/>
        <v/>
      </c>
      <c r="AC44">
        <f t="shared" si="17"/>
        <v>1</v>
      </c>
      <c r="AE44">
        <f t="shared" si="20"/>
        <v>18977</v>
      </c>
      <c r="AF44" t="str">
        <f t="shared" si="21"/>
        <v>Velodrome</v>
      </c>
      <c r="AG44" t="str">
        <f t="shared" si="22"/>
        <v>HollowBrook</v>
      </c>
      <c r="AH44" s="6">
        <f t="shared" si="25"/>
        <v>679</v>
      </c>
      <c r="AI44" s="6">
        <f t="shared" si="26"/>
        <v>582</v>
      </c>
      <c r="AJ44" s="18">
        <f t="shared" si="6"/>
        <v>97</v>
      </c>
      <c r="AK44">
        <f t="shared" si="7"/>
        <v>5</v>
      </c>
      <c r="AL44">
        <f t="shared" si="8"/>
        <v>5</v>
      </c>
      <c r="AM44">
        <f t="shared" si="27"/>
        <v>0</v>
      </c>
      <c r="AN44">
        <f t="shared" si="28"/>
        <v>0</v>
      </c>
      <c r="AO44">
        <f t="shared" si="9"/>
        <v>0</v>
      </c>
      <c r="AP44">
        <f t="shared" si="10"/>
        <v>0</v>
      </c>
      <c r="AQ44">
        <f t="shared" si="11"/>
        <v>0</v>
      </c>
      <c r="AR44">
        <f t="shared" si="12"/>
        <v>0</v>
      </c>
      <c r="AS44" t="str">
        <f t="shared" si="13"/>
        <v>Full Strength</v>
      </c>
      <c r="AT44" t="str">
        <f t="shared" si="14"/>
        <v>5v5</v>
      </c>
    </row>
    <row r="45" spans="1:46" x14ac:dyDescent="0.2">
      <c r="A45">
        <f t="shared" si="18"/>
        <v>44</v>
      </c>
      <c r="B45" s="9">
        <f t="shared" si="23"/>
        <v>2</v>
      </c>
      <c r="C45">
        <f t="shared" si="24"/>
        <v>9</v>
      </c>
      <c r="D45" s="6" t="str">
        <f t="shared" si="19"/>
        <v>42</v>
      </c>
      <c r="E45">
        <v>9</v>
      </c>
      <c r="F45" s="6" t="s">
        <v>422</v>
      </c>
      <c r="H45" s="7" t="s">
        <v>408</v>
      </c>
      <c r="I45">
        <v>70</v>
      </c>
      <c r="J45">
        <v>14</v>
      </c>
      <c r="K45">
        <v>24</v>
      </c>
      <c r="L45">
        <v>87</v>
      </c>
      <c r="M45">
        <v>9</v>
      </c>
      <c r="O45" s="7">
        <v>39</v>
      </c>
      <c r="P45" s="9">
        <v>11</v>
      </c>
      <c r="Q45" s="23">
        <v>19</v>
      </c>
      <c r="R45" s="23">
        <v>40</v>
      </c>
      <c r="S45" s="23">
        <v>2</v>
      </c>
      <c r="T45" s="23">
        <v>18</v>
      </c>
      <c r="V45">
        <v>99</v>
      </c>
      <c r="W45" s="9">
        <f>SUMIFS(events!T:T,events!L:L,"=DeadIce",events!U:U,"&lt;="&amp;shifts!AH45,events!V:V,"&gt;"&amp;shifts!AI45,events!D:D,"="&amp;shifts!B46)+SUMIFS(events!T:T,events!L:L,"=Timeout",events!U:U,"&lt;="&amp;shifts!AH45,events!V:V,"&gt;"&amp;shifts!AI45,events!D:D,"="&amp;shifts!B46)</f>
        <v>0</v>
      </c>
      <c r="Y45" s="9">
        <f t="shared" si="15"/>
        <v>1</v>
      </c>
      <c r="Z45">
        <v>1</v>
      </c>
      <c r="AA45" t="str">
        <f t="shared" si="16"/>
        <v/>
      </c>
      <c r="AC45" t="str">
        <f t="shared" si="17"/>
        <v/>
      </c>
      <c r="AE45">
        <f t="shared" si="20"/>
        <v>18977</v>
      </c>
      <c r="AF45" t="str">
        <f t="shared" si="21"/>
        <v>Velodrome</v>
      </c>
      <c r="AG45" t="str">
        <f t="shared" si="22"/>
        <v>HollowBrook</v>
      </c>
      <c r="AH45" s="6">
        <f t="shared" si="25"/>
        <v>582</v>
      </c>
      <c r="AI45" s="6">
        <f t="shared" si="26"/>
        <v>560</v>
      </c>
      <c r="AJ45" s="18">
        <f t="shared" si="6"/>
        <v>22</v>
      </c>
      <c r="AK45">
        <f>COUNTIF(I45:N45,"&gt;0")</f>
        <v>5</v>
      </c>
      <c r="AL45">
        <f t="shared" si="8"/>
        <v>5</v>
      </c>
      <c r="AM45">
        <f t="shared" si="27"/>
        <v>0</v>
      </c>
      <c r="AN45">
        <f t="shared" si="28"/>
        <v>0</v>
      </c>
      <c r="AO45">
        <f t="shared" si="9"/>
        <v>0</v>
      </c>
      <c r="AP45">
        <f t="shared" si="10"/>
        <v>0</v>
      </c>
      <c r="AQ45">
        <f t="shared" si="11"/>
        <v>0</v>
      </c>
      <c r="AR45">
        <f t="shared" si="12"/>
        <v>0</v>
      </c>
      <c r="AS45" t="str">
        <f t="shared" si="13"/>
        <v>Full Strength</v>
      </c>
      <c r="AT45" t="str">
        <f t="shared" si="14"/>
        <v>5v5</v>
      </c>
    </row>
    <row r="46" spans="1:46" x14ac:dyDescent="0.2">
      <c r="A46">
        <f t="shared" si="18"/>
        <v>45</v>
      </c>
      <c r="B46" s="9">
        <f t="shared" si="23"/>
        <v>2</v>
      </c>
      <c r="C46">
        <f t="shared" si="24"/>
        <v>9</v>
      </c>
      <c r="D46" s="6" t="str">
        <f t="shared" si="19"/>
        <v>20</v>
      </c>
      <c r="E46">
        <v>7</v>
      </c>
      <c r="F46" s="6" t="s">
        <v>477</v>
      </c>
      <c r="G46" s="9" t="s">
        <v>356</v>
      </c>
      <c r="H46" s="7" t="s">
        <v>408</v>
      </c>
      <c r="I46">
        <v>70</v>
      </c>
      <c r="J46">
        <v>14</v>
      </c>
      <c r="K46">
        <v>61</v>
      </c>
      <c r="L46">
        <v>52</v>
      </c>
      <c r="M46">
        <v>9</v>
      </c>
      <c r="O46" s="7">
        <v>39</v>
      </c>
      <c r="P46" s="9">
        <v>26</v>
      </c>
      <c r="Q46" s="23">
        <v>22</v>
      </c>
      <c r="R46" s="23">
        <v>8</v>
      </c>
      <c r="S46" s="23">
        <v>27</v>
      </c>
      <c r="T46" s="23">
        <v>5</v>
      </c>
      <c r="V46">
        <v>99</v>
      </c>
      <c r="W46" s="9">
        <f>SUMIFS(events!T:T,events!L:L,"=DeadIce",events!U:U,"&lt;="&amp;shifts!AH46,events!V:V,"&gt;"&amp;shifts!AI46,events!D:D,"="&amp;shifts!B47)+SUMIFS(events!T:T,events!L:L,"=Timeout",events!U:U,"&lt;="&amp;shifts!AH46,events!V:V,"&gt;"&amp;shifts!AI46,events!D:D,"="&amp;shifts!B47)</f>
        <v>32</v>
      </c>
      <c r="Y46" s="9">
        <f t="shared" si="15"/>
        <v>1</v>
      </c>
      <c r="Z46">
        <v>1</v>
      </c>
      <c r="AA46" t="str">
        <f t="shared" si="16"/>
        <v/>
      </c>
      <c r="AC46" t="str">
        <f t="shared" si="17"/>
        <v/>
      </c>
      <c r="AE46">
        <f t="shared" si="20"/>
        <v>18977</v>
      </c>
      <c r="AF46" t="str">
        <f t="shared" si="21"/>
        <v>Velodrome</v>
      </c>
      <c r="AG46" t="str">
        <f t="shared" si="22"/>
        <v>HollowBrook</v>
      </c>
      <c r="AH46" s="6">
        <f t="shared" si="25"/>
        <v>560</v>
      </c>
      <c r="AI46" s="6">
        <f t="shared" si="26"/>
        <v>471</v>
      </c>
      <c r="AJ46" s="18">
        <f t="shared" si="6"/>
        <v>89</v>
      </c>
      <c r="AK46">
        <f>COUNTIF(I46:N46,"&gt;0")</f>
        <v>5</v>
      </c>
      <c r="AL46">
        <f t="shared" si="8"/>
        <v>5</v>
      </c>
      <c r="AM46">
        <f t="shared" si="27"/>
        <v>0</v>
      </c>
      <c r="AN46">
        <f t="shared" si="28"/>
        <v>0</v>
      </c>
      <c r="AO46">
        <f t="shared" si="9"/>
        <v>0</v>
      </c>
      <c r="AP46">
        <f t="shared" si="10"/>
        <v>0</v>
      </c>
      <c r="AQ46">
        <f t="shared" si="11"/>
        <v>0</v>
      </c>
      <c r="AR46">
        <f t="shared" si="12"/>
        <v>0</v>
      </c>
      <c r="AS46" t="str">
        <f t="shared" si="13"/>
        <v>Full Strength</v>
      </c>
      <c r="AT46" t="str">
        <f t="shared" si="14"/>
        <v>5v5</v>
      </c>
    </row>
    <row r="47" spans="1:46" x14ac:dyDescent="0.2">
      <c r="A47">
        <f t="shared" si="18"/>
        <v>46</v>
      </c>
      <c r="B47" s="9">
        <f t="shared" si="23"/>
        <v>2</v>
      </c>
      <c r="C47">
        <f t="shared" si="24"/>
        <v>7</v>
      </c>
      <c r="D47" s="6" t="str">
        <f t="shared" si="19"/>
        <v>51</v>
      </c>
      <c r="E47">
        <v>6</v>
      </c>
      <c r="F47" s="6" t="s">
        <v>478</v>
      </c>
      <c r="G47" s="9" t="s">
        <v>356</v>
      </c>
      <c r="I47">
        <v>70</v>
      </c>
      <c r="J47">
        <v>14</v>
      </c>
      <c r="K47">
        <v>61</v>
      </c>
      <c r="L47">
        <v>84</v>
      </c>
      <c r="M47">
        <v>22</v>
      </c>
      <c r="O47" s="7">
        <v>39</v>
      </c>
      <c r="P47" s="9">
        <v>11</v>
      </c>
      <c r="Q47" s="23">
        <v>19</v>
      </c>
      <c r="R47" s="23">
        <v>13</v>
      </c>
      <c r="S47" s="23">
        <v>27</v>
      </c>
      <c r="T47" s="23">
        <v>5</v>
      </c>
      <c r="V47">
        <v>99</v>
      </c>
      <c r="W47" s="9">
        <f>SUMIFS(events!T:T,events!L:L,"=DeadIce",events!U:U,"&lt;="&amp;shifts!AH47,events!V:V,"&gt;"&amp;shifts!AI47,events!D:D,"="&amp;shifts!B48)+SUMIFS(events!T:T,events!L:L,"=Timeout",events!U:U,"&lt;="&amp;shifts!AH47,events!V:V,"&gt;"&amp;shifts!AI47,events!D:D,"="&amp;shifts!B48)</f>
        <v>0</v>
      </c>
      <c r="Y47" s="9">
        <f t="shared" si="15"/>
        <v>1</v>
      </c>
      <c r="Z47">
        <v>1</v>
      </c>
      <c r="AA47" t="str">
        <f t="shared" si="16"/>
        <v/>
      </c>
      <c r="AC47" t="str">
        <f t="shared" si="17"/>
        <v/>
      </c>
      <c r="AE47">
        <f t="shared" si="20"/>
        <v>18977</v>
      </c>
      <c r="AF47" t="str">
        <f t="shared" si="21"/>
        <v>Velodrome</v>
      </c>
      <c r="AG47" t="str">
        <f t="shared" si="22"/>
        <v>HollowBrook</v>
      </c>
      <c r="AH47" s="6">
        <f t="shared" si="25"/>
        <v>471</v>
      </c>
      <c r="AI47" s="6">
        <f t="shared" si="26"/>
        <v>406</v>
      </c>
      <c r="AJ47" s="18">
        <f t="shared" si="6"/>
        <v>65</v>
      </c>
      <c r="AK47">
        <f t="shared" si="7"/>
        <v>5</v>
      </c>
      <c r="AL47">
        <f t="shared" si="8"/>
        <v>5</v>
      </c>
      <c r="AM47">
        <f t="shared" si="27"/>
        <v>0</v>
      </c>
      <c r="AN47">
        <f t="shared" si="28"/>
        <v>0</v>
      </c>
      <c r="AO47">
        <f t="shared" si="9"/>
        <v>0</v>
      </c>
      <c r="AP47">
        <f t="shared" si="10"/>
        <v>0</v>
      </c>
      <c r="AQ47">
        <f t="shared" si="11"/>
        <v>0</v>
      </c>
      <c r="AR47">
        <f t="shared" si="12"/>
        <v>0</v>
      </c>
      <c r="AS47" t="str">
        <f t="shared" si="13"/>
        <v>Full Strength</v>
      </c>
      <c r="AT47" t="str">
        <f t="shared" si="14"/>
        <v>5v5</v>
      </c>
    </row>
    <row r="48" spans="1:46" x14ac:dyDescent="0.2">
      <c r="A48">
        <f t="shared" si="18"/>
        <v>47</v>
      </c>
      <c r="B48" s="9">
        <f t="shared" si="23"/>
        <v>2</v>
      </c>
      <c r="C48">
        <f t="shared" si="24"/>
        <v>6</v>
      </c>
      <c r="D48" s="6" t="str">
        <f t="shared" si="19"/>
        <v>46</v>
      </c>
      <c r="E48">
        <v>6</v>
      </c>
      <c r="F48" s="6" t="s">
        <v>445</v>
      </c>
      <c r="H48" s="7" t="s">
        <v>368</v>
      </c>
      <c r="I48">
        <v>42</v>
      </c>
      <c r="J48">
        <v>49</v>
      </c>
      <c r="K48">
        <v>61</v>
      </c>
      <c r="L48">
        <v>84</v>
      </c>
      <c r="M48">
        <v>22</v>
      </c>
      <c r="O48" s="7">
        <v>39</v>
      </c>
      <c r="P48" s="9">
        <v>11</v>
      </c>
      <c r="Q48" s="23">
        <v>19</v>
      </c>
      <c r="R48" s="23">
        <v>13</v>
      </c>
      <c r="S48" s="23">
        <v>27</v>
      </c>
      <c r="T48" s="23">
        <v>5</v>
      </c>
      <c r="V48">
        <v>99</v>
      </c>
      <c r="W48" s="9">
        <f>SUMIFS(events!T:T,events!L:L,"=DeadIce",events!U:U,"&lt;="&amp;shifts!AH48,events!V:V,"&gt;"&amp;shifts!AI48,events!D:D,"="&amp;shifts!B49)+SUMIFS(events!T:T,events!L:L,"=Timeout",events!U:U,"&lt;="&amp;shifts!AH48,events!V:V,"&gt;"&amp;shifts!AI48,events!D:D,"="&amp;shifts!B49)</f>
        <v>0</v>
      </c>
      <c r="Y48" s="9">
        <f t="shared" si="15"/>
        <v>1</v>
      </c>
      <c r="Z48">
        <v>1</v>
      </c>
      <c r="AA48" t="str">
        <f t="shared" si="16"/>
        <v/>
      </c>
      <c r="AC48" t="str">
        <f t="shared" si="17"/>
        <v/>
      </c>
      <c r="AE48">
        <f t="shared" si="20"/>
        <v>18977</v>
      </c>
      <c r="AF48" t="str">
        <f t="shared" si="21"/>
        <v>Velodrome</v>
      </c>
      <c r="AG48" t="str">
        <f t="shared" si="22"/>
        <v>HollowBrook</v>
      </c>
      <c r="AH48" s="6">
        <f t="shared" si="25"/>
        <v>406</v>
      </c>
      <c r="AI48" s="6">
        <f t="shared" si="26"/>
        <v>379</v>
      </c>
      <c r="AJ48" s="18">
        <f t="shared" si="6"/>
        <v>27</v>
      </c>
      <c r="AK48">
        <f t="shared" si="7"/>
        <v>5</v>
      </c>
      <c r="AL48">
        <f t="shared" si="8"/>
        <v>5</v>
      </c>
      <c r="AM48">
        <f t="shared" si="27"/>
        <v>0</v>
      </c>
      <c r="AN48">
        <f t="shared" si="28"/>
        <v>0</v>
      </c>
      <c r="AO48">
        <f t="shared" si="9"/>
        <v>0</v>
      </c>
      <c r="AP48">
        <f t="shared" si="10"/>
        <v>0</v>
      </c>
      <c r="AQ48">
        <f t="shared" si="11"/>
        <v>0</v>
      </c>
      <c r="AR48">
        <f t="shared" si="12"/>
        <v>0</v>
      </c>
      <c r="AS48" t="str">
        <f t="shared" si="13"/>
        <v>Full Strength</v>
      </c>
      <c r="AT48" t="str">
        <f t="shared" si="14"/>
        <v>5v5</v>
      </c>
    </row>
    <row r="49" spans="1:46" x14ac:dyDescent="0.2">
      <c r="A49">
        <f t="shared" si="18"/>
        <v>48</v>
      </c>
      <c r="B49" s="9">
        <f t="shared" si="23"/>
        <v>2</v>
      </c>
      <c r="C49">
        <f t="shared" si="24"/>
        <v>6</v>
      </c>
      <c r="D49" s="6" t="str">
        <f t="shared" si="19"/>
        <v>19</v>
      </c>
      <c r="E49">
        <v>5</v>
      </c>
      <c r="F49" s="6" t="s">
        <v>309</v>
      </c>
      <c r="G49" s="9" t="s">
        <v>356</v>
      </c>
      <c r="I49">
        <v>42</v>
      </c>
      <c r="J49">
        <v>49</v>
      </c>
      <c r="K49">
        <v>75</v>
      </c>
      <c r="L49">
        <v>84</v>
      </c>
      <c r="M49">
        <v>87</v>
      </c>
      <c r="O49" s="7">
        <v>39</v>
      </c>
      <c r="P49" s="9">
        <v>11</v>
      </c>
      <c r="Q49" s="23">
        <v>19</v>
      </c>
      <c r="R49" s="23">
        <v>13</v>
      </c>
      <c r="S49" s="23">
        <v>18</v>
      </c>
      <c r="T49" s="23">
        <v>33</v>
      </c>
      <c r="V49">
        <v>99</v>
      </c>
      <c r="W49" s="9">
        <f>SUMIFS(events!T:T,events!L:L,"=DeadIce",events!U:U,"&lt;="&amp;shifts!AH49,events!V:V,"&gt;"&amp;shifts!AI49,events!D:D,"="&amp;shifts!B50)+SUMIFS(events!T:T,events!L:L,"=Timeout",events!U:U,"&lt;="&amp;shifts!AH49,events!V:V,"&gt;"&amp;shifts!AI49,events!D:D,"="&amp;shifts!B50)</f>
        <v>26</v>
      </c>
      <c r="Y49" s="9">
        <f t="shared" si="15"/>
        <v>1</v>
      </c>
      <c r="Z49">
        <v>1</v>
      </c>
      <c r="AA49" t="str">
        <f t="shared" si="16"/>
        <v/>
      </c>
      <c r="AC49" t="str">
        <f t="shared" si="17"/>
        <v/>
      </c>
      <c r="AE49">
        <f t="shared" si="20"/>
        <v>18977</v>
      </c>
      <c r="AF49" t="str">
        <f t="shared" si="21"/>
        <v>Velodrome</v>
      </c>
      <c r="AG49" t="str">
        <f t="shared" si="22"/>
        <v>HollowBrook</v>
      </c>
      <c r="AH49" s="6">
        <f t="shared" si="25"/>
        <v>379</v>
      </c>
      <c r="AI49" s="6">
        <f t="shared" si="26"/>
        <v>307</v>
      </c>
      <c r="AJ49" s="18">
        <f t="shared" si="6"/>
        <v>72</v>
      </c>
      <c r="AK49">
        <f t="shared" si="7"/>
        <v>5</v>
      </c>
      <c r="AL49">
        <f t="shared" si="8"/>
        <v>5</v>
      </c>
      <c r="AM49">
        <f t="shared" si="27"/>
        <v>0</v>
      </c>
      <c r="AN49">
        <f t="shared" si="28"/>
        <v>0</v>
      </c>
      <c r="AO49">
        <f t="shared" si="9"/>
        <v>0</v>
      </c>
      <c r="AP49">
        <f t="shared" si="10"/>
        <v>0</v>
      </c>
      <c r="AQ49">
        <f t="shared" si="11"/>
        <v>0</v>
      </c>
      <c r="AR49">
        <f t="shared" si="12"/>
        <v>0</v>
      </c>
      <c r="AS49" t="str">
        <f t="shared" si="13"/>
        <v>Full Strength</v>
      </c>
      <c r="AT49" t="str">
        <f t="shared" si="14"/>
        <v>5v5</v>
      </c>
    </row>
    <row r="50" spans="1:46" x14ac:dyDescent="0.2">
      <c r="A50">
        <f t="shared" si="18"/>
        <v>49</v>
      </c>
      <c r="B50" s="9">
        <f t="shared" si="23"/>
        <v>2</v>
      </c>
      <c r="C50">
        <f t="shared" si="24"/>
        <v>5</v>
      </c>
      <c r="D50" s="6" t="str">
        <f t="shared" si="19"/>
        <v>07</v>
      </c>
      <c r="E50">
        <v>4</v>
      </c>
      <c r="F50" s="6" t="s">
        <v>450</v>
      </c>
      <c r="I50">
        <v>42</v>
      </c>
      <c r="J50">
        <v>49</v>
      </c>
      <c r="K50">
        <v>75</v>
      </c>
      <c r="L50">
        <v>52</v>
      </c>
      <c r="M50">
        <v>87</v>
      </c>
      <c r="O50" s="7">
        <v>39</v>
      </c>
      <c r="P50" s="9">
        <v>11</v>
      </c>
      <c r="Q50" s="23">
        <v>19</v>
      </c>
      <c r="R50" s="23">
        <v>13</v>
      </c>
      <c r="S50" s="23">
        <v>18</v>
      </c>
      <c r="T50" s="23">
        <v>33</v>
      </c>
      <c r="V50">
        <v>99</v>
      </c>
      <c r="W50" s="9">
        <f>SUMIFS(events!T:T,events!L:L,"=DeadIce",events!U:U,"&lt;="&amp;shifts!AH50,events!V:V,"&gt;"&amp;shifts!AI50,events!D:D,"="&amp;shifts!B51)+SUMIFS(events!T:T,events!L:L,"=Timeout",events!U:U,"&lt;="&amp;shifts!AH50,events!V:V,"&gt;"&amp;shifts!AI50,events!D:D,"="&amp;shifts!B51)</f>
        <v>0</v>
      </c>
      <c r="Y50" s="9">
        <f t="shared" si="15"/>
        <v>1</v>
      </c>
      <c r="AA50" t="str">
        <f t="shared" si="16"/>
        <v/>
      </c>
      <c r="AB50">
        <v>1</v>
      </c>
      <c r="AC50" t="str">
        <f t="shared" si="17"/>
        <v/>
      </c>
      <c r="AE50">
        <f t="shared" si="20"/>
        <v>18977</v>
      </c>
      <c r="AF50" t="str">
        <f t="shared" si="21"/>
        <v>Velodrome</v>
      </c>
      <c r="AG50" t="str">
        <f t="shared" si="22"/>
        <v>HollowBrook</v>
      </c>
      <c r="AH50" s="6">
        <f t="shared" si="25"/>
        <v>307</v>
      </c>
      <c r="AI50" s="6">
        <f t="shared" si="26"/>
        <v>289</v>
      </c>
      <c r="AJ50" s="18">
        <f t="shared" si="6"/>
        <v>18</v>
      </c>
      <c r="AK50">
        <f t="shared" si="7"/>
        <v>5</v>
      </c>
      <c r="AL50">
        <f t="shared" si="8"/>
        <v>5</v>
      </c>
      <c r="AM50">
        <f t="shared" si="27"/>
        <v>0</v>
      </c>
      <c r="AN50">
        <f t="shared" si="28"/>
        <v>0</v>
      </c>
      <c r="AO50">
        <f t="shared" si="9"/>
        <v>0</v>
      </c>
      <c r="AP50">
        <f t="shared" si="10"/>
        <v>0</v>
      </c>
      <c r="AQ50">
        <f t="shared" si="11"/>
        <v>0</v>
      </c>
      <c r="AR50">
        <f t="shared" si="12"/>
        <v>0</v>
      </c>
      <c r="AS50" t="str">
        <f t="shared" si="13"/>
        <v>Full Strength</v>
      </c>
      <c r="AT50" t="str">
        <f t="shared" si="14"/>
        <v>5v5</v>
      </c>
    </row>
    <row r="51" spans="1:46" x14ac:dyDescent="0.2">
      <c r="A51">
        <f t="shared" si="18"/>
        <v>50</v>
      </c>
      <c r="B51" s="9">
        <f t="shared" si="23"/>
        <v>2</v>
      </c>
      <c r="C51">
        <f t="shared" si="24"/>
        <v>4</v>
      </c>
      <c r="D51" s="6" t="str">
        <f t="shared" si="19"/>
        <v>49</v>
      </c>
      <c r="E51">
        <v>4</v>
      </c>
      <c r="F51" s="6" t="s">
        <v>452</v>
      </c>
      <c r="H51" s="7" t="s">
        <v>409</v>
      </c>
      <c r="I51">
        <v>42</v>
      </c>
      <c r="J51">
        <v>49</v>
      </c>
      <c r="K51">
        <v>75</v>
      </c>
      <c r="L51">
        <v>52</v>
      </c>
      <c r="M51">
        <v>87</v>
      </c>
      <c r="O51" s="7">
        <v>39</v>
      </c>
      <c r="P51" s="9">
        <v>11</v>
      </c>
      <c r="Q51" s="23">
        <v>19</v>
      </c>
      <c r="R51" s="23">
        <v>13</v>
      </c>
      <c r="S51" s="23">
        <v>18</v>
      </c>
      <c r="T51" s="23">
        <v>2</v>
      </c>
      <c r="V51">
        <v>99</v>
      </c>
      <c r="W51" s="9">
        <f>SUMIFS(events!T:T,events!L:L,"=DeadIce",events!U:U,"&lt;="&amp;shifts!AH51,events!V:V,"&gt;"&amp;shifts!AI51,events!D:D,"="&amp;shifts!B52)+SUMIFS(events!T:T,events!L:L,"=Timeout",events!U:U,"&lt;="&amp;shifts!AH51,events!V:V,"&gt;"&amp;shifts!AI51,events!D:D,"="&amp;shifts!B52)</f>
        <v>0</v>
      </c>
      <c r="Y51" s="9" t="str">
        <f t="shared" si="15"/>
        <v/>
      </c>
      <c r="AA51">
        <f t="shared" si="16"/>
        <v>1</v>
      </c>
      <c r="AB51">
        <v>1</v>
      </c>
      <c r="AC51" t="str">
        <f t="shared" si="17"/>
        <v/>
      </c>
      <c r="AE51">
        <f t="shared" si="20"/>
        <v>18977</v>
      </c>
      <c r="AF51" t="str">
        <f t="shared" si="21"/>
        <v>Velodrome</v>
      </c>
      <c r="AG51" t="str">
        <f t="shared" si="22"/>
        <v>HollowBrook</v>
      </c>
      <c r="AH51" s="6">
        <f t="shared" si="25"/>
        <v>289</v>
      </c>
      <c r="AI51" s="6">
        <f t="shared" si="26"/>
        <v>276</v>
      </c>
      <c r="AJ51" s="18">
        <f t="shared" si="6"/>
        <v>13</v>
      </c>
      <c r="AK51">
        <f t="shared" si="7"/>
        <v>5</v>
      </c>
      <c r="AL51">
        <f t="shared" si="8"/>
        <v>5</v>
      </c>
      <c r="AM51">
        <f t="shared" si="27"/>
        <v>0</v>
      </c>
      <c r="AN51">
        <f t="shared" si="28"/>
        <v>0</v>
      </c>
      <c r="AO51">
        <f t="shared" si="9"/>
        <v>0</v>
      </c>
      <c r="AP51">
        <f t="shared" si="10"/>
        <v>0</v>
      </c>
      <c r="AQ51">
        <f t="shared" si="11"/>
        <v>0</v>
      </c>
      <c r="AR51">
        <f t="shared" si="12"/>
        <v>0</v>
      </c>
      <c r="AS51" t="str">
        <f t="shared" si="13"/>
        <v>Full Strength</v>
      </c>
      <c r="AT51" t="str">
        <f t="shared" si="14"/>
        <v>5v5</v>
      </c>
    </row>
    <row r="52" spans="1:46" x14ac:dyDescent="0.2">
      <c r="A52">
        <f t="shared" si="18"/>
        <v>51</v>
      </c>
      <c r="B52" s="9">
        <f t="shared" si="23"/>
        <v>2</v>
      </c>
      <c r="C52">
        <f t="shared" si="24"/>
        <v>4</v>
      </c>
      <c r="D52" s="6" t="str">
        <f t="shared" si="19"/>
        <v>36</v>
      </c>
      <c r="E52">
        <v>4</v>
      </c>
      <c r="F52" s="6" t="s">
        <v>426</v>
      </c>
      <c r="G52" s="9" t="s">
        <v>356</v>
      </c>
      <c r="H52" s="7" t="s">
        <v>366</v>
      </c>
      <c r="I52">
        <v>42</v>
      </c>
      <c r="J52">
        <v>49</v>
      </c>
      <c r="K52">
        <v>75</v>
      </c>
      <c r="L52">
        <v>52</v>
      </c>
      <c r="M52">
        <v>9</v>
      </c>
      <c r="O52" s="7">
        <v>39</v>
      </c>
      <c r="P52" s="9">
        <v>26</v>
      </c>
      <c r="Q52" s="23">
        <v>40</v>
      </c>
      <c r="R52" s="23">
        <v>8</v>
      </c>
      <c r="S52" s="23">
        <v>27</v>
      </c>
      <c r="T52" s="23">
        <v>2</v>
      </c>
      <c r="U52" s="9"/>
      <c r="V52">
        <v>99</v>
      </c>
      <c r="W52" s="9">
        <f>SUMIFS(events!T:T,events!L:L,"=DeadIce",events!U:U,"&lt;="&amp;shifts!AH52,events!V:V,"&gt;"&amp;shifts!AI52,events!D:D,"="&amp;shifts!B53)+SUMIFS(events!T:T,events!L:L,"=Timeout",events!U:U,"&lt;="&amp;shifts!AH52,events!V:V,"&gt;"&amp;shifts!AI52,events!D:D,"="&amp;shifts!B53)</f>
        <v>0</v>
      </c>
      <c r="Y52" s="9" t="str">
        <f t="shared" si="15"/>
        <v/>
      </c>
      <c r="AA52">
        <f t="shared" si="16"/>
        <v>1</v>
      </c>
      <c r="AB52">
        <v>1</v>
      </c>
      <c r="AC52" t="str">
        <f t="shared" si="17"/>
        <v/>
      </c>
      <c r="AE52">
        <f t="shared" si="20"/>
        <v>18977</v>
      </c>
      <c r="AF52" t="str">
        <f t="shared" si="21"/>
        <v>Velodrome</v>
      </c>
      <c r="AG52" t="str">
        <f t="shared" si="22"/>
        <v>HollowBrook</v>
      </c>
      <c r="AH52" s="6">
        <f t="shared" si="25"/>
        <v>276</v>
      </c>
      <c r="AI52" s="6">
        <f t="shared" si="26"/>
        <v>240</v>
      </c>
      <c r="AJ52" s="18">
        <f t="shared" si="6"/>
        <v>36</v>
      </c>
      <c r="AK52">
        <f t="shared" si="7"/>
        <v>5</v>
      </c>
      <c r="AL52">
        <f>COUNTIF(P52:U52,"&gt;0")</f>
        <v>5</v>
      </c>
      <c r="AM52">
        <f t="shared" si="27"/>
        <v>0</v>
      </c>
      <c r="AN52">
        <f t="shared" si="28"/>
        <v>0</v>
      </c>
      <c r="AO52">
        <f t="shared" si="9"/>
        <v>0</v>
      </c>
      <c r="AP52">
        <f t="shared" si="10"/>
        <v>0</v>
      </c>
      <c r="AQ52">
        <f t="shared" si="11"/>
        <v>0</v>
      </c>
      <c r="AR52">
        <f t="shared" si="12"/>
        <v>0</v>
      </c>
      <c r="AS52" t="str">
        <f t="shared" si="13"/>
        <v>Full Strength</v>
      </c>
      <c r="AT52" t="str">
        <f t="shared" si="14"/>
        <v>5v5</v>
      </c>
    </row>
    <row r="53" spans="1:46" x14ac:dyDescent="0.2">
      <c r="A53">
        <f t="shared" si="18"/>
        <v>52</v>
      </c>
      <c r="B53" s="9">
        <f t="shared" si="23"/>
        <v>2</v>
      </c>
      <c r="C53">
        <f t="shared" si="24"/>
        <v>4</v>
      </c>
      <c r="D53" s="6" t="str">
        <f t="shared" si="19"/>
        <v>00</v>
      </c>
      <c r="E53">
        <v>2</v>
      </c>
      <c r="F53" s="6" t="s">
        <v>493</v>
      </c>
      <c r="I53">
        <v>70</v>
      </c>
      <c r="J53">
        <v>91</v>
      </c>
      <c r="K53">
        <v>24</v>
      </c>
      <c r="L53">
        <v>52</v>
      </c>
      <c r="M53">
        <v>9</v>
      </c>
      <c r="O53" s="7">
        <v>39</v>
      </c>
      <c r="P53" s="9">
        <v>26</v>
      </c>
      <c r="Q53" s="23">
        <v>40</v>
      </c>
      <c r="R53" s="23">
        <v>8</v>
      </c>
      <c r="S53" s="23">
        <v>27</v>
      </c>
      <c r="T53" s="23">
        <v>2</v>
      </c>
      <c r="V53">
        <v>99</v>
      </c>
      <c r="W53" s="9">
        <f>SUMIFS(events!T:T,events!L:L,"=DeadIce",events!U:U,"&lt;="&amp;shifts!AH53,events!V:V,"&gt;"&amp;shifts!AI53,events!D:D,"="&amp;shifts!B54)+SUMIFS(events!T:T,events!L:L,"=Timeout",events!U:U,"&lt;="&amp;shifts!AH53,events!V:V,"&gt;"&amp;shifts!AI53,events!D:D,"="&amp;shifts!B54)</f>
        <v>42</v>
      </c>
      <c r="Y53" s="9" t="str">
        <f t="shared" si="15"/>
        <v/>
      </c>
      <c r="AA53">
        <f t="shared" si="16"/>
        <v>1</v>
      </c>
      <c r="AB53">
        <v>1</v>
      </c>
      <c r="AC53" t="str">
        <f t="shared" si="17"/>
        <v/>
      </c>
      <c r="AE53">
        <f t="shared" si="20"/>
        <v>18977</v>
      </c>
      <c r="AF53" t="str">
        <f t="shared" si="21"/>
        <v>Velodrome</v>
      </c>
      <c r="AG53" t="str">
        <f t="shared" si="22"/>
        <v>HollowBrook</v>
      </c>
      <c r="AH53" s="6">
        <f t="shared" si="25"/>
        <v>240</v>
      </c>
      <c r="AI53" s="6">
        <f t="shared" si="26"/>
        <v>151</v>
      </c>
      <c r="AJ53" s="18">
        <f t="shared" si="6"/>
        <v>89</v>
      </c>
      <c r="AK53">
        <f t="shared" si="7"/>
        <v>5</v>
      </c>
      <c r="AL53">
        <f t="shared" si="8"/>
        <v>5</v>
      </c>
      <c r="AM53">
        <f t="shared" si="27"/>
        <v>0</v>
      </c>
      <c r="AN53">
        <f t="shared" si="28"/>
        <v>0</v>
      </c>
      <c r="AO53">
        <f t="shared" si="9"/>
        <v>0</v>
      </c>
      <c r="AP53">
        <f t="shared" si="10"/>
        <v>0</v>
      </c>
      <c r="AQ53">
        <f t="shared" si="11"/>
        <v>0</v>
      </c>
      <c r="AR53">
        <f t="shared" si="12"/>
        <v>0</v>
      </c>
      <c r="AS53" t="str">
        <f t="shared" si="13"/>
        <v>Full Strength</v>
      </c>
      <c r="AT53" t="str">
        <f t="shared" si="14"/>
        <v>5v5</v>
      </c>
    </row>
    <row r="54" spans="1:46" x14ac:dyDescent="0.2">
      <c r="A54">
        <f t="shared" si="18"/>
        <v>53</v>
      </c>
      <c r="B54" s="9">
        <f t="shared" si="23"/>
        <v>2</v>
      </c>
      <c r="C54">
        <f t="shared" si="24"/>
        <v>2</v>
      </c>
      <c r="D54" s="6" t="str">
        <f t="shared" si="19"/>
        <v>31</v>
      </c>
      <c r="E54">
        <v>2</v>
      </c>
      <c r="F54" s="6" t="s">
        <v>445</v>
      </c>
      <c r="I54">
        <v>70</v>
      </c>
      <c r="J54">
        <v>91</v>
      </c>
      <c r="K54">
        <v>24</v>
      </c>
      <c r="L54">
        <v>52</v>
      </c>
      <c r="M54">
        <v>9</v>
      </c>
      <c r="O54" s="7">
        <v>39</v>
      </c>
      <c r="P54" s="9">
        <v>11</v>
      </c>
      <c r="Q54" s="23">
        <v>40</v>
      </c>
      <c r="R54" s="23">
        <v>8</v>
      </c>
      <c r="S54" s="23">
        <v>18</v>
      </c>
      <c r="T54" s="23">
        <v>2</v>
      </c>
      <c r="V54">
        <v>99</v>
      </c>
      <c r="W54" s="9">
        <f>SUMIFS(events!T:T,events!L:L,"=DeadIce",events!U:U,"&lt;="&amp;shifts!AH54,events!V:V,"&gt;"&amp;shifts!AI54,events!D:D,"="&amp;shifts!B55)+SUMIFS(events!T:T,events!L:L,"=Timeout",events!U:U,"&lt;="&amp;shifts!AH54,events!V:V,"&gt;"&amp;shifts!AI54,events!D:D,"="&amp;shifts!B55)</f>
        <v>0</v>
      </c>
      <c r="Y54" s="9" t="str">
        <f t="shared" si="15"/>
        <v/>
      </c>
      <c r="AA54">
        <f t="shared" si="16"/>
        <v>1</v>
      </c>
      <c r="AC54" t="str">
        <f t="shared" si="17"/>
        <v/>
      </c>
      <c r="AD54">
        <v>1</v>
      </c>
      <c r="AE54">
        <f t="shared" si="20"/>
        <v>18977</v>
      </c>
      <c r="AF54" t="str">
        <f t="shared" si="21"/>
        <v>Velodrome</v>
      </c>
      <c r="AG54" t="str">
        <f t="shared" si="22"/>
        <v>HollowBrook</v>
      </c>
      <c r="AH54" s="6">
        <f t="shared" si="25"/>
        <v>151</v>
      </c>
      <c r="AI54" s="6">
        <f t="shared" si="26"/>
        <v>139</v>
      </c>
      <c r="AJ54" s="18">
        <f t="shared" si="6"/>
        <v>12</v>
      </c>
      <c r="AK54">
        <f t="shared" si="7"/>
        <v>5</v>
      </c>
      <c r="AL54">
        <f>COUNTIF(P54:U54,"&gt;0")</f>
        <v>5</v>
      </c>
      <c r="AM54">
        <f t="shared" si="27"/>
        <v>0</v>
      </c>
      <c r="AN54">
        <f t="shared" si="28"/>
        <v>0</v>
      </c>
      <c r="AO54">
        <f t="shared" si="9"/>
        <v>0</v>
      </c>
      <c r="AP54">
        <f t="shared" si="10"/>
        <v>0</v>
      </c>
      <c r="AQ54">
        <f t="shared" si="11"/>
        <v>0</v>
      </c>
      <c r="AR54">
        <f t="shared" si="12"/>
        <v>0</v>
      </c>
      <c r="AS54" t="str">
        <f t="shared" si="13"/>
        <v>Full Strength</v>
      </c>
      <c r="AT54" t="str">
        <f t="shared" si="14"/>
        <v>5v5</v>
      </c>
    </row>
    <row r="55" spans="1:46" x14ac:dyDescent="0.2">
      <c r="A55">
        <f t="shared" si="18"/>
        <v>54</v>
      </c>
      <c r="B55" s="9">
        <f t="shared" si="23"/>
        <v>2</v>
      </c>
      <c r="C55">
        <f t="shared" si="24"/>
        <v>2</v>
      </c>
      <c r="D55" s="6" t="str">
        <f t="shared" si="19"/>
        <v>19</v>
      </c>
      <c r="E55">
        <v>2</v>
      </c>
      <c r="F55" s="6" t="s">
        <v>449</v>
      </c>
      <c r="I55">
        <v>70</v>
      </c>
      <c r="J55">
        <v>91</v>
      </c>
      <c r="K55">
        <v>24</v>
      </c>
      <c r="L55">
        <v>52</v>
      </c>
      <c r="M55">
        <v>9</v>
      </c>
      <c r="O55" s="7">
        <v>39</v>
      </c>
      <c r="P55" s="9">
        <v>11</v>
      </c>
      <c r="Q55" s="23">
        <v>40</v>
      </c>
      <c r="R55" s="23">
        <v>19</v>
      </c>
      <c r="S55" s="23">
        <v>18</v>
      </c>
      <c r="T55" s="23">
        <v>2</v>
      </c>
      <c r="V55">
        <v>99</v>
      </c>
      <c r="W55" s="9">
        <f>SUMIFS(events!T:T,events!L:L,"=DeadIce",events!U:U,"&lt;="&amp;shifts!AH55,events!V:V,"&gt;"&amp;shifts!AI55,events!D:D,"="&amp;shifts!B56)+SUMIFS(events!T:T,events!L:L,"=Timeout",events!U:U,"&lt;="&amp;shifts!AH55,events!V:V,"&gt;"&amp;shifts!AI55,events!D:D,"="&amp;shifts!B56)</f>
        <v>0</v>
      </c>
      <c r="Y55" s="9" t="str">
        <f t="shared" si="15"/>
        <v/>
      </c>
      <c r="Z55">
        <v>1</v>
      </c>
      <c r="AA55" t="str">
        <f t="shared" si="16"/>
        <v/>
      </c>
      <c r="AC55">
        <f t="shared" si="17"/>
        <v>1</v>
      </c>
      <c r="AE55">
        <f t="shared" si="20"/>
        <v>18977</v>
      </c>
      <c r="AF55" t="str">
        <f t="shared" si="21"/>
        <v>Velodrome</v>
      </c>
      <c r="AG55" t="str">
        <f t="shared" si="22"/>
        <v>HollowBrook</v>
      </c>
      <c r="AH55" s="6">
        <f t="shared" si="25"/>
        <v>139</v>
      </c>
      <c r="AI55" s="6">
        <f t="shared" si="26"/>
        <v>132</v>
      </c>
      <c r="AJ55" s="18">
        <f t="shared" si="6"/>
        <v>7</v>
      </c>
      <c r="AK55">
        <f t="shared" si="7"/>
        <v>5</v>
      </c>
      <c r="AL55">
        <f t="shared" si="8"/>
        <v>5</v>
      </c>
      <c r="AM55">
        <f t="shared" si="27"/>
        <v>0</v>
      </c>
      <c r="AN55">
        <f t="shared" si="28"/>
        <v>0</v>
      </c>
      <c r="AO55">
        <f t="shared" si="9"/>
        <v>0</v>
      </c>
      <c r="AP55">
        <f t="shared" si="10"/>
        <v>0</v>
      </c>
      <c r="AQ55">
        <f t="shared" si="11"/>
        <v>0</v>
      </c>
      <c r="AR55">
        <f t="shared" si="12"/>
        <v>0</v>
      </c>
      <c r="AS55" t="str">
        <f t="shared" si="13"/>
        <v>Full Strength</v>
      </c>
      <c r="AT55" t="str">
        <f t="shared" si="14"/>
        <v>5v5</v>
      </c>
    </row>
    <row r="56" spans="1:46" x14ac:dyDescent="0.2">
      <c r="A56">
        <f t="shared" si="18"/>
        <v>55</v>
      </c>
      <c r="B56" s="9">
        <f t="shared" si="23"/>
        <v>2</v>
      </c>
      <c r="C56">
        <f t="shared" si="24"/>
        <v>2</v>
      </c>
      <c r="D56" s="6" t="str">
        <f t="shared" si="19"/>
        <v>12</v>
      </c>
      <c r="E56">
        <v>1</v>
      </c>
      <c r="F56" s="6" t="s">
        <v>481</v>
      </c>
      <c r="I56">
        <v>70</v>
      </c>
      <c r="J56">
        <v>91</v>
      </c>
      <c r="K56">
        <v>24</v>
      </c>
      <c r="L56">
        <v>22</v>
      </c>
      <c r="M56">
        <v>9</v>
      </c>
      <c r="O56" s="7">
        <v>39</v>
      </c>
      <c r="P56" s="9">
        <v>11</v>
      </c>
      <c r="Q56" s="23">
        <v>40</v>
      </c>
      <c r="R56" s="23">
        <v>19</v>
      </c>
      <c r="S56" s="23">
        <v>18</v>
      </c>
      <c r="T56" s="23">
        <v>2</v>
      </c>
      <c r="V56">
        <v>99</v>
      </c>
      <c r="W56" s="9">
        <f>SUMIFS(events!T:T,events!L:L,"=DeadIce",events!U:U,"&lt;="&amp;shifts!AH56,events!V:V,"&gt;"&amp;shifts!AI56,events!D:D,"="&amp;shifts!B57)+SUMIFS(events!T:T,events!L:L,"=Timeout",events!U:U,"&lt;="&amp;shifts!AH56,events!V:V,"&gt;"&amp;shifts!AI56,events!D:D,"="&amp;shifts!B57)</f>
        <v>0</v>
      </c>
      <c r="Y56" s="9">
        <f t="shared" si="15"/>
        <v>1</v>
      </c>
      <c r="AA56" t="str">
        <f t="shared" si="16"/>
        <v/>
      </c>
      <c r="AC56" t="str">
        <f t="shared" si="17"/>
        <v/>
      </c>
      <c r="AD56">
        <v>1</v>
      </c>
      <c r="AE56">
        <f t="shared" si="20"/>
        <v>18977</v>
      </c>
      <c r="AF56" t="str">
        <f t="shared" si="21"/>
        <v>Velodrome</v>
      </c>
      <c r="AG56" t="str">
        <f t="shared" si="22"/>
        <v>HollowBrook</v>
      </c>
      <c r="AH56" s="6">
        <f t="shared" si="25"/>
        <v>132</v>
      </c>
      <c r="AI56" s="6">
        <f t="shared" si="26"/>
        <v>99</v>
      </c>
      <c r="AJ56" s="18">
        <f t="shared" si="6"/>
        <v>33</v>
      </c>
      <c r="AK56">
        <f t="shared" si="7"/>
        <v>5</v>
      </c>
      <c r="AL56">
        <f t="shared" si="8"/>
        <v>5</v>
      </c>
      <c r="AM56">
        <f t="shared" si="27"/>
        <v>0</v>
      </c>
      <c r="AN56">
        <f t="shared" si="28"/>
        <v>0</v>
      </c>
      <c r="AO56">
        <f t="shared" si="9"/>
        <v>0</v>
      </c>
      <c r="AP56">
        <f t="shared" si="10"/>
        <v>0</v>
      </c>
      <c r="AQ56">
        <f t="shared" si="11"/>
        <v>0</v>
      </c>
      <c r="AR56">
        <f t="shared" si="12"/>
        <v>0</v>
      </c>
      <c r="AS56" t="str">
        <f t="shared" si="13"/>
        <v>Full Strength</v>
      </c>
      <c r="AT56" t="str">
        <f t="shared" si="14"/>
        <v>5v5</v>
      </c>
    </row>
    <row r="57" spans="1:46" x14ac:dyDescent="0.2">
      <c r="A57">
        <f t="shared" si="18"/>
        <v>56</v>
      </c>
      <c r="B57" s="9">
        <f t="shared" si="23"/>
        <v>2</v>
      </c>
      <c r="C57">
        <f t="shared" si="24"/>
        <v>1</v>
      </c>
      <c r="D57" s="6" t="str">
        <f t="shared" si="19"/>
        <v>39</v>
      </c>
      <c r="E57">
        <v>1</v>
      </c>
      <c r="F57" s="6" t="s">
        <v>448</v>
      </c>
      <c r="I57">
        <v>70</v>
      </c>
      <c r="J57">
        <v>91</v>
      </c>
      <c r="K57">
        <v>24</v>
      </c>
      <c r="L57">
        <v>22</v>
      </c>
      <c r="M57">
        <v>9</v>
      </c>
      <c r="O57" s="7">
        <v>39</v>
      </c>
      <c r="P57" s="9">
        <v>11</v>
      </c>
      <c r="Q57" s="23">
        <v>13</v>
      </c>
      <c r="R57" s="23">
        <v>19</v>
      </c>
      <c r="S57" s="23">
        <v>18</v>
      </c>
      <c r="T57" s="23">
        <v>2</v>
      </c>
      <c r="V57">
        <v>99</v>
      </c>
      <c r="W57" s="9">
        <f>SUMIFS(events!T:T,events!L:L,"=DeadIce",events!U:U,"&lt;="&amp;shifts!AH57,events!V:V,"&gt;"&amp;shifts!AI57,events!D:D,"="&amp;shifts!B58)+SUMIFS(events!T:T,events!L:L,"=Timeout",events!U:U,"&lt;="&amp;shifts!AH57,events!V:V,"&gt;"&amp;shifts!AI57,events!D:D,"="&amp;shifts!B58)</f>
        <v>0</v>
      </c>
      <c r="Y57" s="9" t="str">
        <f t="shared" si="15"/>
        <v/>
      </c>
      <c r="Z57">
        <v>1</v>
      </c>
      <c r="AA57" t="str">
        <f t="shared" si="16"/>
        <v/>
      </c>
      <c r="AC57">
        <f t="shared" si="17"/>
        <v>1</v>
      </c>
      <c r="AE57">
        <f t="shared" si="20"/>
        <v>18977</v>
      </c>
      <c r="AF57" t="str">
        <f t="shared" si="21"/>
        <v>Velodrome</v>
      </c>
      <c r="AG57" t="str">
        <f t="shared" si="22"/>
        <v>HollowBrook</v>
      </c>
      <c r="AH57" s="6">
        <f t="shared" si="25"/>
        <v>99</v>
      </c>
      <c r="AI57" s="6">
        <f t="shared" si="26"/>
        <v>76</v>
      </c>
      <c r="AJ57" s="18">
        <f t="shared" si="6"/>
        <v>23</v>
      </c>
      <c r="AK57">
        <f t="shared" si="7"/>
        <v>5</v>
      </c>
      <c r="AL57">
        <f t="shared" si="8"/>
        <v>5</v>
      </c>
      <c r="AM57">
        <f t="shared" si="27"/>
        <v>0</v>
      </c>
      <c r="AN57">
        <f t="shared" si="28"/>
        <v>0</v>
      </c>
      <c r="AO57">
        <f t="shared" si="9"/>
        <v>0</v>
      </c>
      <c r="AP57">
        <f t="shared" si="10"/>
        <v>0</v>
      </c>
      <c r="AQ57">
        <f t="shared" si="11"/>
        <v>0</v>
      </c>
      <c r="AR57">
        <f t="shared" si="12"/>
        <v>0</v>
      </c>
      <c r="AS57" t="str">
        <f t="shared" si="13"/>
        <v>Full Strength</v>
      </c>
      <c r="AT57" t="str">
        <f t="shared" si="14"/>
        <v>5v5</v>
      </c>
    </row>
    <row r="58" spans="1:46" x14ac:dyDescent="0.2">
      <c r="A58">
        <f t="shared" si="18"/>
        <v>57</v>
      </c>
      <c r="B58" s="9">
        <f t="shared" si="23"/>
        <v>2</v>
      </c>
      <c r="C58">
        <f t="shared" si="24"/>
        <v>1</v>
      </c>
      <c r="D58" s="6" t="str">
        <f t="shared" si="19"/>
        <v>16</v>
      </c>
      <c r="E58">
        <v>1</v>
      </c>
      <c r="F58" s="6" t="s">
        <v>447</v>
      </c>
      <c r="I58">
        <v>70</v>
      </c>
      <c r="J58">
        <v>91</v>
      </c>
      <c r="K58">
        <v>24</v>
      </c>
      <c r="L58">
        <v>22</v>
      </c>
      <c r="M58">
        <v>84</v>
      </c>
      <c r="O58" s="7">
        <v>39</v>
      </c>
      <c r="P58" s="9">
        <v>11</v>
      </c>
      <c r="Q58" s="23">
        <v>13</v>
      </c>
      <c r="R58" s="23">
        <v>19</v>
      </c>
      <c r="S58" s="23">
        <v>18</v>
      </c>
      <c r="T58" s="23">
        <v>2</v>
      </c>
      <c r="V58">
        <v>99</v>
      </c>
      <c r="W58" s="9">
        <f>SUMIFS(events!T:T,events!L:L,"=DeadIce",events!U:U,"&lt;="&amp;shifts!AH58,events!V:V,"&gt;"&amp;shifts!AI58,events!D:D,"="&amp;shifts!B59)+SUMIFS(events!T:T,events!L:L,"=Timeout",events!U:U,"&lt;="&amp;shifts!AH58,events!V:V,"&gt;"&amp;shifts!AI58,events!D:D,"="&amp;shifts!B59)</f>
        <v>0</v>
      </c>
      <c r="Y58" s="9">
        <f t="shared" si="15"/>
        <v>1</v>
      </c>
      <c r="Z58">
        <v>1</v>
      </c>
      <c r="AA58" t="str">
        <f t="shared" si="16"/>
        <v/>
      </c>
      <c r="AC58" t="str">
        <f t="shared" si="17"/>
        <v/>
      </c>
      <c r="AE58">
        <f t="shared" si="20"/>
        <v>18977</v>
      </c>
      <c r="AF58" t="str">
        <f t="shared" si="21"/>
        <v>Velodrome</v>
      </c>
      <c r="AG58" t="str">
        <f t="shared" si="22"/>
        <v>HollowBrook</v>
      </c>
      <c r="AH58" s="6">
        <f t="shared" si="25"/>
        <v>76</v>
      </c>
      <c r="AI58" s="6">
        <f t="shared" si="26"/>
        <v>75</v>
      </c>
      <c r="AJ58" s="18">
        <f t="shared" si="6"/>
        <v>1</v>
      </c>
      <c r="AK58">
        <f t="shared" si="7"/>
        <v>5</v>
      </c>
      <c r="AL58">
        <f t="shared" si="8"/>
        <v>5</v>
      </c>
      <c r="AM58">
        <f t="shared" si="27"/>
        <v>0</v>
      </c>
      <c r="AN58">
        <f t="shared" si="28"/>
        <v>0</v>
      </c>
      <c r="AO58">
        <f t="shared" si="9"/>
        <v>0</v>
      </c>
      <c r="AP58">
        <f t="shared" si="10"/>
        <v>0</v>
      </c>
      <c r="AQ58">
        <f t="shared" si="11"/>
        <v>0</v>
      </c>
      <c r="AR58">
        <f t="shared" si="12"/>
        <v>0</v>
      </c>
      <c r="AS58" t="str">
        <f t="shared" si="13"/>
        <v>Full Strength</v>
      </c>
      <c r="AT58" t="str">
        <f t="shared" si="14"/>
        <v>5v5</v>
      </c>
    </row>
    <row r="59" spans="1:46" x14ac:dyDescent="0.2">
      <c r="A59">
        <f t="shared" si="18"/>
        <v>58</v>
      </c>
      <c r="B59" s="9">
        <f t="shared" si="23"/>
        <v>2</v>
      </c>
      <c r="C59">
        <f t="shared" si="24"/>
        <v>1</v>
      </c>
      <c r="D59" s="6" t="str">
        <f t="shared" si="19"/>
        <v>15</v>
      </c>
      <c r="E59">
        <v>1</v>
      </c>
      <c r="F59" s="6" t="s">
        <v>486</v>
      </c>
      <c r="H59" s="7" t="s">
        <v>406</v>
      </c>
      <c r="I59">
        <v>70</v>
      </c>
      <c r="J59">
        <v>91</v>
      </c>
      <c r="K59">
        <v>24</v>
      </c>
      <c r="L59">
        <v>22</v>
      </c>
      <c r="M59">
        <v>84</v>
      </c>
      <c r="O59" s="7">
        <v>39</v>
      </c>
      <c r="P59" s="9">
        <v>11</v>
      </c>
      <c r="Q59" s="23">
        <v>13</v>
      </c>
      <c r="R59" s="23">
        <v>19</v>
      </c>
      <c r="S59" s="23">
        <v>18</v>
      </c>
      <c r="T59" s="23">
        <v>2</v>
      </c>
      <c r="V59">
        <v>99</v>
      </c>
      <c r="W59" s="9">
        <f>SUMIFS(events!T:T,events!L:L,"=DeadIce",events!U:U,"&lt;="&amp;shifts!AH59,events!V:V,"&gt;"&amp;shifts!AI59,events!D:D,"="&amp;shifts!B60)+SUMIFS(events!T:T,events!L:L,"=Timeout",events!U:U,"&lt;="&amp;shifts!AH59,events!V:V,"&gt;"&amp;shifts!AI59,events!D:D,"="&amp;shifts!B60)</f>
        <v>0</v>
      </c>
      <c r="Y59" s="9">
        <f t="shared" si="15"/>
        <v>1</v>
      </c>
      <c r="Z59">
        <v>1</v>
      </c>
      <c r="AA59" t="str">
        <f t="shared" si="16"/>
        <v/>
      </c>
      <c r="AC59" t="str">
        <f t="shared" si="17"/>
        <v/>
      </c>
      <c r="AE59">
        <f t="shared" si="20"/>
        <v>18977</v>
      </c>
      <c r="AF59" t="str">
        <f t="shared" si="21"/>
        <v>Velodrome</v>
      </c>
      <c r="AG59" t="str">
        <f t="shared" si="22"/>
        <v>HollowBrook</v>
      </c>
      <c r="AH59" s="6">
        <f t="shared" si="25"/>
        <v>75</v>
      </c>
      <c r="AI59" s="6">
        <f t="shared" si="26"/>
        <v>71</v>
      </c>
      <c r="AJ59" s="18">
        <f t="shared" si="6"/>
        <v>4</v>
      </c>
      <c r="AK59">
        <f t="shared" si="7"/>
        <v>5</v>
      </c>
      <c r="AL59">
        <f t="shared" si="8"/>
        <v>5</v>
      </c>
      <c r="AM59">
        <f t="shared" si="27"/>
        <v>0</v>
      </c>
      <c r="AN59">
        <f t="shared" si="28"/>
        <v>0</v>
      </c>
      <c r="AO59">
        <f t="shared" si="9"/>
        <v>0</v>
      </c>
      <c r="AP59">
        <f t="shared" si="10"/>
        <v>0</v>
      </c>
      <c r="AQ59">
        <f t="shared" si="11"/>
        <v>0</v>
      </c>
      <c r="AR59">
        <f t="shared" si="12"/>
        <v>0</v>
      </c>
      <c r="AS59" t="str">
        <f t="shared" si="13"/>
        <v>Full Strength</v>
      </c>
      <c r="AT59" t="str">
        <f t="shared" si="14"/>
        <v>5v5</v>
      </c>
    </row>
    <row r="60" spans="1:46" x14ac:dyDescent="0.2">
      <c r="A60">
        <f t="shared" si="18"/>
        <v>59</v>
      </c>
      <c r="B60" s="9">
        <f t="shared" si="23"/>
        <v>2</v>
      </c>
      <c r="C60">
        <f t="shared" si="24"/>
        <v>1</v>
      </c>
      <c r="D60" s="6" t="str">
        <f t="shared" si="19"/>
        <v>11</v>
      </c>
      <c r="E60">
        <v>0</v>
      </c>
      <c r="F60" s="6" t="s">
        <v>496</v>
      </c>
      <c r="G60" s="9" t="s">
        <v>353</v>
      </c>
      <c r="H60" s="7" t="s">
        <v>359</v>
      </c>
      <c r="I60">
        <v>42</v>
      </c>
      <c r="J60">
        <v>14</v>
      </c>
      <c r="K60">
        <v>61</v>
      </c>
      <c r="L60">
        <v>87</v>
      </c>
      <c r="M60">
        <v>84</v>
      </c>
      <c r="O60" s="7">
        <v>39</v>
      </c>
      <c r="P60" s="9">
        <v>11</v>
      </c>
      <c r="Q60" s="23">
        <v>13</v>
      </c>
      <c r="R60" s="23">
        <v>19</v>
      </c>
      <c r="S60" s="23">
        <v>27</v>
      </c>
      <c r="T60" s="23">
        <v>5</v>
      </c>
      <c r="V60">
        <v>99</v>
      </c>
      <c r="W60" s="9">
        <f>SUMIFS(events!T:T,events!L:L,"=DeadIce",events!U:U,"&lt;="&amp;shifts!AH60,events!V:V,"&gt;"&amp;shifts!AI60,events!D:D,"="&amp;shifts!B62)+SUMIFS(events!T:T,events!L:L,"=Timeout",events!U:U,"&lt;="&amp;shifts!AH60,events!V:V,"&gt;"&amp;shifts!AI60,events!D:D,"="&amp;shifts!B62)</f>
        <v>113</v>
      </c>
      <c r="Y60" s="9" t="str">
        <f t="shared" si="15"/>
        <v/>
      </c>
      <c r="AA60" t="str">
        <f t="shared" si="16"/>
        <v/>
      </c>
      <c r="AB60">
        <v>1</v>
      </c>
      <c r="AC60">
        <f t="shared" si="17"/>
        <v>1</v>
      </c>
      <c r="AE60">
        <f t="shared" si="20"/>
        <v>18977</v>
      </c>
      <c r="AF60" t="str">
        <f t="shared" si="21"/>
        <v>Velodrome</v>
      </c>
      <c r="AG60" t="str">
        <f t="shared" si="22"/>
        <v>HollowBrook</v>
      </c>
      <c r="AH60" s="6">
        <f t="shared" si="25"/>
        <v>71</v>
      </c>
      <c r="AI60" s="6">
        <f t="shared" si="26"/>
        <v>0.01</v>
      </c>
      <c r="AJ60" s="18">
        <f t="shared" si="6"/>
        <v>71</v>
      </c>
      <c r="AK60">
        <f t="shared" si="7"/>
        <v>5</v>
      </c>
      <c r="AL60">
        <f t="shared" si="8"/>
        <v>5</v>
      </c>
      <c r="AM60">
        <f t="shared" si="27"/>
        <v>0</v>
      </c>
      <c r="AN60">
        <f t="shared" si="28"/>
        <v>0</v>
      </c>
      <c r="AO60">
        <f t="shared" si="9"/>
        <v>0</v>
      </c>
      <c r="AP60">
        <f t="shared" si="10"/>
        <v>0</v>
      </c>
      <c r="AQ60">
        <f t="shared" si="11"/>
        <v>0</v>
      </c>
      <c r="AR60">
        <f t="shared" si="12"/>
        <v>0</v>
      </c>
      <c r="AS60" t="str">
        <f t="shared" si="13"/>
        <v>Full Strength</v>
      </c>
      <c r="AT60" t="str">
        <f t="shared" si="14"/>
        <v>5v5</v>
      </c>
    </row>
    <row r="61" spans="1:46" x14ac:dyDescent="0.2">
      <c r="A61">
        <f t="shared" si="18"/>
        <v>60</v>
      </c>
      <c r="G61" s="9" t="s">
        <v>518</v>
      </c>
      <c r="Q61" s="23"/>
      <c r="R61" s="23"/>
      <c r="S61" s="23"/>
      <c r="T61" s="23"/>
      <c r="W61" s="9">
        <v>70</v>
      </c>
      <c r="AH61" s="6"/>
      <c r="AI61" s="6"/>
      <c r="AJ61" s="18"/>
      <c r="AO61">
        <f t="shared" si="9"/>
        <v>0</v>
      </c>
    </row>
    <row r="62" spans="1:46" x14ac:dyDescent="0.2">
      <c r="A62">
        <f t="shared" si="18"/>
        <v>61</v>
      </c>
      <c r="B62" s="9">
        <f>IF(G62="PeriodStart",B60+1,B60)</f>
        <v>3</v>
      </c>
      <c r="C62">
        <v>18</v>
      </c>
      <c r="D62" s="6" t="s">
        <v>474</v>
      </c>
      <c r="E62">
        <v>17</v>
      </c>
      <c r="F62" s="6" t="s">
        <v>447</v>
      </c>
      <c r="G62" s="9" t="s">
        <v>351</v>
      </c>
      <c r="H62" s="7" t="s">
        <v>360</v>
      </c>
      <c r="I62">
        <v>42</v>
      </c>
      <c r="J62">
        <v>14</v>
      </c>
      <c r="K62">
        <v>61</v>
      </c>
      <c r="L62">
        <v>87</v>
      </c>
      <c r="M62">
        <v>84</v>
      </c>
      <c r="O62" s="7">
        <v>39</v>
      </c>
      <c r="P62" s="9">
        <v>26</v>
      </c>
      <c r="Q62" s="23">
        <v>22</v>
      </c>
      <c r="R62" s="23">
        <v>8</v>
      </c>
      <c r="S62" s="23">
        <v>27</v>
      </c>
      <c r="T62" s="23">
        <v>5</v>
      </c>
      <c r="V62">
        <v>99</v>
      </c>
      <c r="W62" s="9">
        <f>SUMIFS(events!T:T,events!L:L,"=DeadIce",events!U:U,"&lt;="&amp;shifts!AH62,events!V:V,"&gt;"&amp;shifts!AI62,events!D:D,"="&amp;shifts!B63)+SUMIFS(events!T:T,events!L:L,"=Timeout",events!U:U,"&lt;="&amp;shifts!AH62,events!V:V,"&gt;"&amp;shifts!AI62,events!D:D,"="&amp;shifts!B63)</f>
        <v>0</v>
      </c>
      <c r="Y62" s="9" t="str">
        <f>IF(OR($H60="Home Goal",$H60="Away Goal",$H60="Period End"),"",IF(Z60=1,1,""))</f>
        <v/>
      </c>
      <c r="Z62">
        <v>1</v>
      </c>
      <c r="AA62" t="str">
        <f>IF(OR($H60="Home Goal",$H60="Away Goal",$H60="Period End"),"",IF(AB60=1,1,""))</f>
        <v/>
      </c>
      <c r="AC62">
        <f>IF(OR($H60="Home Goal",$H60="Away Goal",$H60="Period End"),1,IF(AD60=1,1,""))</f>
        <v>1</v>
      </c>
      <c r="AE62">
        <f>AE60</f>
        <v>18977</v>
      </c>
      <c r="AF62" t="str">
        <f>AF60</f>
        <v>Velodrome</v>
      </c>
      <c r="AG62" t="str">
        <f>AG60</f>
        <v>HollowBrook</v>
      </c>
      <c r="AH62" s="6">
        <f t="shared" si="25"/>
        <v>1080</v>
      </c>
      <c r="AI62" s="6">
        <f t="shared" si="26"/>
        <v>1035</v>
      </c>
      <c r="AJ62" s="18">
        <f t="shared" si="6"/>
        <v>45</v>
      </c>
      <c r="AK62">
        <f t="shared" si="7"/>
        <v>5</v>
      </c>
      <c r="AL62">
        <f t="shared" si="8"/>
        <v>5</v>
      </c>
      <c r="AM62">
        <f t="shared" si="27"/>
        <v>0</v>
      </c>
      <c r="AN62">
        <f t="shared" si="28"/>
        <v>0</v>
      </c>
      <c r="AO62">
        <f t="shared" si="9"/>
        <v>0</v>
      </c>
      <c r="AP62">
        <f t="shared" si="10"/>
        <v>0</v>
      </c>
      <c r="AQ62">
        <f t="shared" si="11"/>
        <v>0</v>
      </c>
      <c r="AR62">
        <f t="shared" si="12"/>
        <v>0</v>
      </c>
      <c r="AS62" t="str">
        <f t="shared" si="13"/>
        <v>Full Strength</v>
      </c>
      <c r="AT62" t="str">
        <f t="shared" si="14"/>
        <v>5v5</v>
      </c>
    </row>
    <row r="63" spans="1:46" x14ac:dyDescent="0.2">
      <c r="A63">
        <f t="shared" si="18"/>
        <v>62</v>
      </c>
      <c r="B63" s="9">
        <f t="shared" si="23"/>
        <v>3</v>
      </c>
      <c r="C63">
        <f t="shared" si="24"/>
        <v>17</v>
      </c>
      <c r="D63" s="6" t="str">
        <f t="shared" si="19"/>
        <v>15</v>
      </c>
      <c r="E63">
        <v>16</v>
      </c>
      <c r="F63" s="6" t="s">
        <v>452</v>
      </c>
      <c r="G63" s="9" t="s">
        <v>356</v>
      </c>
      <c r="I63">
        <v>70</v>
      </c>
      <c r="J63">
        <v>49</v>
      </c>
      <c r="K63">
        <v>75</v>
      </c>
      <c r="L63">
        <v>87</v>
      </c>
      <c r="M63">
        <v>52</v>
      </c>
      <c r="O63" s="7">
        <v>39</v>
      </c>
      <c r="P63" s="9">
        <v>11</v>
      </c>
      <c r="Q63" s="23">
        <v>19</v>
      </c>
      <c r="R63" s="23">
        <v>13</v>
      </c>
      <c r="S63" s="23">
        <v>18</v>
      </c>
      <c r="T63" s="23">
        <v>5</v>
      </c>
      <c r="V63">
        <v>99</v>
      </c>
      <c r="W63" s="9">
        <f>SUMIFS(events!T:T,events!L:L,"=DeadIce",events!U:U,"&lt;="&amp;shifts!AH63,events!V:V,"&gt;"&amp;shifts!AI63,events!D:D,"="&amp;shifts!B64)+SUMIFS(events!T:T,events!L:L,"=Timeout",events!U:U,"&lt;="&amp;shifts!AH63,events!V:V,"&gt;"&amp;shifts!AI63,events!D:D,"="&amp;shifts!B64)</f>
        <v>0</v>
      </c>
      <c r="Y63" s="9">
        <f t="shared" si="15"/>
        <v>1</v>
      </c>
      <c r="Z63">
        <v>1</v>
      </c>
      <c r="AA63" t="str">
        <f t="shared" si="16"/>
        <v/>
      </c>
      <c r="AC63" t="str">
        <f t="shared" si="17"/>
        <v/>
      </c>
      <c r="AE63">
        <f t="shared" si="20"/>
        <v>18977</v>
      </c>
      <c r="AF63" t="str">
        <f t="shared" si="21"/>
        <v>Velodrome</v>
      </c>
      <c r="AG63" t="str">
        <f t="shared" si="22"/>
        <v>HollowBrook</v>
      </c>
      <c r="AH63" s="6">
        <f t="shared" si="25"/>
        <v>1035</v>
      </c>
      <c r="AI63" s="6">
        <f t="shared" si="26"/>
        <v>996</v>
      </c>
      <c r="AJ63" s="18">
        <f t="shared" si="6"/>
        <v>39</v>
      </c>
      <c r="AK63">
        <f t="shared" si="7"/>
        <v>5</v>
      </c>
      <c r="AL63">
        <f t="shared" si="8"/>
        <v>5</v>
      </c>
      <c r="AM63">
        <f t="shared" si="27"/>
        <v>0</v>
      </c>
      <c r="AN63">
        <f t="shared" si="28"/>
        <v>0</v>
      </c>
      <c r="AO63">
        <f t="shared" si="9"/>
        <v>0</v>
      </c>
      <c r="AP63">
        <f t="shared" si="10"/>
        <v>0</v>
      </c>
      <c r="AQ63">
        <f t="shared" si="11"/>
        <v>0</v>
      </c>
      <c r="AR63">
        <f t="shared" si="12"/>
        <v>0</v>
      </c>
      <c r="AS63" t="str">
        <f t="shared" si="13"/>
        <v>Full Strength</v>
      </c>
      <c r="AT63" t="str">
        <f t="shared" si="14"/>
        <v>5v5</v>
      </c>
    </row>
    <row r="64" spans="1:46" x14ac:dyDescent="0.2">
      <c r="A64">
        <f t="shared" si="18"/>
        <v>63</v>
      </c>
      <c r="B64" s="9">
        <f t="shared" si="23"/>
        <v>3</v>
      </c>
      <c r="C64">
        <f t="shared" si="24"/>
        <v>16</v>
      </c>
      <c r="D64" s="6" t="str">
        <f t="shared" si="19"/>
        <v>36</v>
      </c>
      <c r="E64">
        <v>16</v>
      </c>
      <c r="F64" s="6" t="s">
        <v>444</v>
      </c>
      <c r="I64">
        <v>70</v>
      </c>
      <c r="J64">
        <v>49</v>
      </c>
      <c r="K64">
        <v>75</v>
      </c>
      <c r="L64">
        <v>9</v>
      </c>
      <c r="M64">
        <v>52</v>
      </c>
      <c r="O64" s="7">
        <v>39</v>
      </c>
      <c r="P64" s="9">
        <v>11</v>
      </c>
      <c r="Q64" s="23">
        <v>19</v>
      </c>
      <c r="R64" s="23">
        <v>13</v>
      </c>
      <c r="S64" s="23">
        <v>18</v>
      </c>
      <c r="T64" s="23">
        <v>5</v>
      </c>
      <c r="V64">
        <v>99</v>
      </c>
      <c r="W64" s="9">
        <f>SUMIFS(events!T:T,events!L:L,"=DeadIce",events!U:U,"&lt;="&amp;shifts!AH64,events!V:V,"&gt;"&amp;shifts!AI64,events!D:D,"="&amp;shifts!B65)+SUMIFS(events!T:T,events!L:L,"=Timeout",events!U:U,"&lt;="&amp;shifts!AH64,events!V:V,"&gt;"&amp;shifts!AI64,events!D:D,"="&amp;shifts!B65)</f>
        <v>0</v>
      </c>
      <c r="Y64" s="9">
        <f t="shared" si="15"/>
        <v>1</v>
      </c>
      <c r="AA64" t="str">
        <f t="shared" si="16"/>
        <v/>
      </c>
      <c r="AB64">
        <v>1</v>
      </c>
      <c r="AC64" t="str">
        <f t="shared" si="17"/>
        <v/>
      </c>
      <c r="AE64">
        <f t="shared" si="20"/>
        <v>18977</v>
      </c>
      <c r="AF64" t="str">
        <f t="shared" si="21"/>
        <v>Velodrome</v>
      </c>
      <c r="AG64" t="str">
        <f t="shared" si="22"/>
        <v>HollowBrook</v>
      </c>
      <c r="AH64" s="6">
        <f t="shared" si="25"/>
        <v>996</v>
      </c>
      <c r="AI64" s="6">
        <f t="shared" si="26"/>
        <v>984</v>
      </c>
      <c r="AJ64" s="18">
        <f t="shared" si="6"/>
        <v>12</v>
      </c>
      <c r="AK64">
        <f t="shared" si="7"/>
        <v>5</v>
      </c>
      <c r="AL64">
        <f t="shared" si="8"/>
        <v>5</v>
      </c>
      <c r="AM64">
        <f t="shared" si="27"/>
        <v>0</v>
      </c>
      <c r="AN64">
        <f t="shared" si="28"/>
        <v>0</v>
      </c>
      <c r="AO64">
        <f t="shared" si="9"/>
        <v>0</v>
      </c>
      <c r="AP64">
        <f t="shared" si="10"/>
        <v>0</v>
      </c>
      <c r="AQ64">
        <f t="shared" si="11"/>
        <v>0</v>
      </c>
      <c r="AR64">
        <f t="shared" si="12"/>
        <v>0</v>
      </c>
      <c r="AS64" t="str">
        <f t="shared" si="13"/>
        <v>Full Strength</v>
      </c>
      <c r="AT64" t="str">
        <f t="shared" si="14"/>
        <v>5v5</v>
      </c>
    </row>
    <row r="65" spans="1:46" x14ac:dyDescent="0.2">
      <c r="A65">
        <f t="shared" si="18"/>
        <v>64</v>
      </c>
      <c r="B65" s="9">
        <f t="shared" si="23"/>
        <v>3</v>
      </c>
      <c r="C65">
        <f t="shared" si="24"/>
        <v>16</v>
      </c>
      <c r="D65" s="6" t="str">
        <f t="shared" si="19"/>
        <v>24</v>
      </c>
      <c r="E65">
        <v>14</v>
      </c>
      <c r="F65" s="6" t="s">
        <v>430</v>
      </c>
      <c r="H65" s="7" t="s">
        <v>378</v>
      </c>
      <c r="I65">
        <v>70</v>
      </c>
      <c r="J65">
        <v>49</v>
      </c>
      <c r="K65">
        <v>75</v>
      </c>
      <c r="L65">
        <v>9</v>
      </c>
      <c r="M65">
        <v>52</v>
      </c>
      <c r="O65" s="7">
        <v>39</v>
      </c>
      <c r="P65" s="9">
        <v>11</v>
      </c>
      <c r="Q65" s="23">
        <v>19</v>
      </c>
      <c r="R65" s="23">
        <v>13</v>
      </c>
      <c r="S65" s="23">
        <v>18</v>
      </c>
      <c r="T65" s="23">
        <v>33</v>
      </c>
      <c r="V65">
        <v>99</v>
      </c>
      <c r="W65" s="9">
        <f>SUMIFS(events!T:T,events!L:L,"=DeadIce",events!U:U,"&lt;="&amp;shifts!AH65,events!V:V,"&gt;"&amp;shifts!AI65,events!D:D,"="&amp;shifts!B66)+SUMIFS(events!T:T,events!L:L,"=Timeout",events!U:U,"&lt;="&amp;shifts!AH65,events!V:V,"&gt;"&amp;shifts!AI65,events!D:D,"="&amp;shifts!B66)</f>
        <v>32</v>
      </c>
      <c r="Y65" s="9" t="str">
        <f t="shared" si="15"/>
        <v/>
      </c>
      <c r="AA65">
        <f t="shared" si="16"/>
        <v>1</v>
      </c>
      <c r="AB65">
        <v>1</v>
      </c>
      <c r="AC65" t="str">
        <f t="shared" si="17"/>
        <v/>
      </c>
      <c r="AE65">
        <f t="shared" si="20"/>
        <v>18977</v>
      </c>
      <c r="AF65" t="str">
        <f t="shared" si="21"/>
        <v>Velodrome</v>
      </c>
      <c r="AG65" t="str">
        <f t="shared" si="22"/>
        <v>HollowBrook</v>
      </c>
      <c r="AH65" s="6">
        <f t="shared" si="25"/>
        <v>984</v>
      </c>
      <c r="AI65" s="6">
        <f t="shared" si="26"/>
        <v>882</v>
      </c>
      <c r="AJ65" s="18">
        <f t="shared" si="6"/>
        <v>102</v>
      </c>
      <c r="AK65">
        <f t="shared" si="7"/>
        <v>5</v>
      </c>
      <c r="AL65">
        <f t="shared" si="8"/>
        <v>5</v>
      </c>
      <c r="AM65">
        <f t="shared" si="27"/>
        <v>0</v>
      </c>
      <c r="AN65">
        <f t="shared" si="28"/>
        <v>0</v>
      </c>
      <c r="AO65">
        <f t="shared" si="9"/>
        <v>0</v>
      </c>
      <c r="AP65">
        <f t="shared" si="10"/>
        <v>0</v>
      </c>
      <c r="AQ65">
        <f t="shared" si="11"/>
        <v>0</v>
      </c>
      <c r="AR65">
        <f t="shared" si="12"/>
        <v>0</v>
      </c>
      <c r="AS65" t="str">
        <f t="shared" si="13"/>
        <v>Full Strength</v>
      </c>
      <c r="AT65" t="str">
        <f t="shared" si="14"/>
        <v>5v5</v>
      </c>
    </row>
    <row r="66" spans="1:46" x14ac:dyDescent="0.2">
      <c r="A66">
        <f t="shared" si="18"/>
        <v>65</v>
      </c>
      <c r="B66" s="9">
        <f t="shared" si="23"/>
        <v>3</v>
      </c>
      <c r="C66">
        <f t="shared" si="24"/>
        <v>14</v>
      </c>
      <c r="D66" s="6" t="str">
        <f t="shared" si="19"/>
        <v>42</v>
      </c>
      <c r="E66">
        <v>12</v>
      </c>
      <c r="F66" s="6" t="s">
        <v>430</v>
      </c>
      <c r="G66" s="9" t="s">
        <v>356</v>
      </c>
      <c r="I66">
        <v>42</v>
      </c>
      <c r="J66">
        <v>91</v>
      </c>
      <c r="K66">
        <v>24</v>
      </c>
      <c r="L66">
        <v>22</v>
      </c>
      <c r="M66">
        <v>84</v>
      </c>
      <c r="O66" s="7">
        <v>39</v>
      </c>
      <c r="P66" s="9">
        <v>26</v>
      </c>
      <c r="Q66" s="23">
        <v>22</v>
      </c>
      <c r="R66" s="23">
        <v>40</v>
      </c>
      <c r="S66" s="23">
        <v>27</v>
      </c>
      <c r="T66" s="23">
        <v>2</v>
      </c>
      <c r="V66">
        <v>99</v>
      </c>
      <c r="W66" s="9">
        <f>SUMIFS(events!T:T,events!L:L,"=DeadIce",events!U:U,"&lt;="&amp;shifts!AH66,events!V:V,"&gt;"&amp;shifts!AI66,events!D:D,"="&amp;shifts!B67)+SUMIFS(events!T:T,events!L:L,"=Timeout",events!U:U,"&lt;="&amp;shifts!AH66,events!V:V,"&gt;"&amp;shifts!AI66,events!D:D,"="&amp;shifts!B67)</f>
        <v>20</v>
      </c>
      <c r="Y66" s="9" t="str">
        <f t="shared" si="15"/>
        <v/>
      </c>
      <c r="AA66">
        <f t="shared" si="16"/>
        <v>1</v>
      </c>
      <c r="AB66">
        <v>1</v>
      </c>
      <c r="AC66" t="str">
        <f t="shared" si="17"/>
        <v/>
      </c>
      <c r="AE66">
        <f t="shared" si="20"/>
        <v>18977</v>
      </c>
      <c r="AF66" t="str">
        <f t="shared" si="21"/>
        <v>Velodrome</v>
      </c>
      <c r="AG66" t="str">
        <f t="shared" si="22"/>
        <v>HollowBrook</v>
      </c>
      <c r="AH66" s="6">
        <f t="shared" si="25"/>
        <v>882</v>
      </c>
      <c r="AI66" s="6">
        <f t="shared" si="26"/>
        <v>762</v>
      </c>
      <c r="AJ66" s="18">
        <f t="shared" si="6"/>
        <v>120</v>
      </c>
      <c r="AK66">
        <f t="shared" si="7"/>
        <v>5</v>
      </c>
      <c r="AL66">
        <f t="shared" si="8"/>
        <v>5</v>
      </c>
      <c r="AM66">
        <f t="shared" si="27"/>
        <v>0</v>
      </c>
      <c r="AN66">
        <f t="shared" si="28"/>
        <v>0</v>
      </c>
      <c r="AO66">
        <f t="shared" si="9"/>
        <v>0</v>
      </c>
      <c r="AP66">
        <f t="shared" si="10"/>
        <v>0</v>
      </c>
      <c r="AQ66">
        <f t="shared" si="11"/>
        <v>0</v>
      </c>
      <c r="AR66">
        <f t="shared" si="12"/>
        <v>0</v>
      </c>
      <c r="AS66" t="str">
        <f t="shared" si="13"/>
        <v>Full Strength</v>
      </c>
      <c r="AT66" t="str">
        <f t="shared" si="14"/>
        <v>5v5</v>
      </c>
    </row>
    <row r="67" spans="1:46" x14ac:dyDescent="0.2">
      <c r="A67">
        <f t="shared" si="18"/>
        <v>66</v>
      </c>
      <c r="B67" s="9">
        <f t="shared" si="23"/>
        <v>3</v>
      </c>
      <c r="C67">
        <f t="shared" si="24"/>
        <v>12</v>
      </c>
      <c r="D67" s="6" t="str">
        <f t="shared" si="19"/>
        <v>42</v>
      </c>
      <c r="E67">
        <v>12</v>
      </c>
      <c r="F67" s="6" t="s">
        <v>484</v>
      </c>
      <c r="I67">
        <v>42</v>
      </c>
      <c r="J67">
        <v>91</v>
      </c>
      <c r="K67">
        <v>24</v>
      </c>
      <c r="L67">
        <v>22</v>
      </c>
      <c r="M67">
        <v>84</v>
      </c>
      <c r="O67" s="7">
        <v>39</v>
      </c>
      <c r="P67" s="9">
        <v>11</v>
      </c>
      <c r="Q67" s="23">
        <v>22</v>
      </c>
      <c r="R67" s="23">
        <v>40</v>
      </c>
      <c r="S67" s="23">
        <v>27</v>
      </c>
      <c r="T67" s="23">
        <v>2</v>
      </c>
      <c r="V67">
        <v>99</v>
      </c>
      <c r="W67" s="9">
        <f>SUMIFS(events!T:T,events!L:L,"=DeadIce",events!U:U,"&lt;="&amp;shifts!AH67,events!V:V,"&gt;"&amp;shifts!AI67,events!D:D,"="&amp;shifts!B68)+SUMIFS(events!T:T,events!L:L,"=Timeout",events!U:U,"&lt;="&amp;shifts!AH67,events!V:V,"&gt;"&amp;shifts!AI67,events!D:D,"="&amp;shifts!B68)</f>
        <v>0</v>
      </c>
      <c r="Y67" s="9" t="str">
        <f t="shared" si="15"/>
        <v/>
      </c>
      <c r="AA67">
        <f t="shared" si="16"/>
        <v>1</v>
      </c>
      <c r="AC67" t="str">
        <f t="shared" si="17"/>
        <v/>
      </c>
      <c r="AD67">
        <v>1</v>
      </c>
      <c r="AE67">
        <f t="shared" si="20"/>
        <v>18977</v>
      </c>
      <c r="AF67" t="str">
        <f t="shared" si="21"/>
        <v>Velodrome</v>
      </c>
      <c r="AG67" t="str">
        <f t="shared" si="22"/>
        <v>HollowBrook</v>
      </c>
      <c r="AH67" s="6">
        <f t="shared" si="25"/>
        <v>762</v>
      </c>
      <c r="AI67" s="6">
        <f t="shared" si="26"/>
        <v>742</v>
      </c>
      <c r="AJ67" s="18">
        <f t="shared" si="6"/>
        <v>20</v>
      </c>
      <c r="AK67">
        <f t="shared" si="7"/>
        <v>5</v>
      </c>
      <c r="AL67">
        <f t="shared" si="8"/>
        <v>5</v>
      </c>
      <c r="AM67">
        <f t="shared" si="27"/>
        <v>0</v>
      </c>
      <c r="AN67">
        <f t="shared" si="28"/>
        <v>0</v>
      </c>
      <c r="AO67">
        <f t="shared" ref="AO67:AO130" si="29">IF(AND($AM67&lt;&gt;1,$AK67&lt;$AL67,AN67&lt;&gt;1),1,)</f>
        <v>0</v>
      </c>
      <c r="AP67">
        <f t="shared" si="10"/>
        <v>0</v>
      </c>
      <c r="AQ67">
        <f t="shared" si="11"/>
        <v>0</v>
      </c>
      <c r="AR67">
        <f t="shared" si="12"/>
        <v>0</v>
      </c>
      <c r="AS67" t="str">
        <f t="shared" si="13"/>
        <v>Full Strength</v>
      </c>
      <c r="AT67" t="str">
        <f t="shared" si="14"/>
        <v>5v5</v>
      </c>
    </row>
    <row r="68" spans="1:46" x14ac:dyDescent="0.2">
      <c r="A68">
        <f t="shared" si="18"/>
        <v>67</v>
      </c>
      <c r="B68" s="9">
        <f t="shared" si="23"/>
        <v>3</v>
      </c>
      <c r="C68">
        <f t="shared" si="24"/>
        <v>12</v>
      </c>
      <c r="D68" s="6" t="str">
        <f t="shared" si="19"/>
        <v>22</v>
      </c>
      <c r="E68">
        <v>11</v>
      </c>
      <c r="F68" s="6" t="s">
        <v>431</v>
      </c>
      <c r="I68">
        <v>42</v>
      </c>
      <c r="J68">
        <v>91</v>
      </c>
      <c r="K68">
        <v>24</v>
      </c>
      <c r="L68">
        <v>22</v>
      </c>
      <c r="M68">
        <v>84</v>
      </c>
      <c r="O68" s="7">
        <v>39</v>
      </c>
      <c r="P68" s="9">
        <v>11</v>
      </c>
      <c r="Q68" s="23">
        <v>22</v>
      </c>
      <c r="R68" s="23">
        <v>19</v>
      </c>
      <c r="S68" s="23">
        <v>18</v>
      </c>
      <c r="T68" s="23">
        <v>2</v>
      </c>
      <c r="V68">
        <v>99</v>
      </c>
      <c r="W68" s="9">
        <f>SUMIFS(events!T:T,events!L:L,"=DeadIce",events!U:U,"&lt;="&amp;shifts!AH68,events!V:V,"&gt;"&amp;shifts!AI68,events!D:D,"="&amp;shifts!B69)+SUMIFS(events!T:T,events!L:L,"=Timeout",events!U:U,"&lt;="&amp;shifts!AH68,events!V:V,"&gt;"&amp;shifts!AI68,events!D:D,"="&amp;shifts!B69)</f>
        <v>0</v>
      </c>
      <c r="Y68" s="9" t="str">
        <f t="shared" si="15"/>
        <v/>
      </c>
      <c r="AA68" t="str">
        <f t="shared" si="16"/>
        <v/>
      </c>
      <c r="AC68">
        <f t="shared" si="17"/>
        <v>1</v>
      </c>
      <c r="AD68">
        <v>1</v>
      </c>
      <c r="AE68">
        <f t="shared" si="20"/>
        <v>18977</v>
      </c>
      <c r="AF68" t="str">
        <f t="shared" si="21"/>
        <v>Velodrome</v>
      </c>
      <c r="AG68" t="str">
        <f t="shared" si="22"/>
        <v>HollowBrook</v>
      </c>
      <c r="AH68" s="6">
        <f t="shared" ref="AH68:AH99" si="30">((C68*60)+D68)</f>
        <v>742</v>
      </c>
      <c r="AI68" s="6">
        <f t="shared" ref="AI68:AI99" si="31">((E68*60)+F68)</f>
        <v>701</v>
      </c>
      <c r="AJ68" s="18">
        <f t="shared" si="6"/>
        <v>41</v>
      </c>
      <c r="AK68">
        <f t="shared" si="7"/>
        <v>5</v>
      </c>
      <c r="AL68">
        <f t="shared" si="8"/>
        <v>5</v>
      </c>
      <c r="AM68">
        <f t="shared" ref="AM68:AM99" si="32">IF(O68="",1,0)</f>
        <v>0</v>
      </c>
      <c r="AN68">
        <f t="shared" ref="AN68:AN99" si="33">IF(V68="",1,0)</f>
        <v>0</v>
      </c>
      <c r="AO68">
        <f t="shared" si="29"/>
        <v>0</v>
      </c>
      <c r="AP68">
        <f t="shared" si="10"/>
        <v>0</v>
      </c>
      <c r="AQ68">
        <f t="shared" si="11"/>
        <v>0</v>
      </c>
      <c r="AR68">
        <f t="shared" si="12"/>
        <v>0</v>
      </c>
      <c r="AS68" t="str">
        <f t="shared" si="13"/>
        <v>Full Strength</v>
      </c>
      <c r="AT68" t="str">
        <f t="shared" si="14"/>
        <v>5v5</v>
      </c>
    </row>
    <row r="69" spans="1:46" x14ac:dyDescent="0.2">
      <c r="A69">
        <f t="shared" si="18"/>
        <v>68</v>
      </c>
      <c r="B69" s="9">
        <f t="shared" si="23"/>
        <v>3</v>
      </c>
      <c r="C69">
        <f t="shared" si="24"/>
        <v>11</v>
      </c>
      <c r="D69" s="6" t="str">
        <f t="shared" si="19"/>
        <v>41</v>
      </c>
      <c r="E69">
        <v>11</v>
      </c>
      <c r="F69" s="6" t="s">
        <v>494</v>
      </c>
      <c r="I69">
        <v>70</v>
      </c>
      <c r="J69">
        <v>14</v>
      </c>
      <c r="K69">
        <v>24</v>
      </c>
      <c r="L69">
        <v>87</v>
      </c>
      <c r="M69">
        <v>84</v>
      </c>
      <c r="O69" s="7">
        <v>39</v>
      </c>
      <c r="P69" s="9">
        <v>11</v>
      </c>
      <c r="Q69" s="23">
        <v>13</v>
      </c>
      <c r="R69" s="23">
        <v>19</v>
      </c>
      <c r="S69" s="23">
        <v>18</v>
      </c>
      <c r="T69" s="23">
        <v>2</v>
      </c>
      <c r="V69">
        <v>99</v>
      </c>
      <c r="W69" s="9">
        <f>SUMIFS(events!T:T,events!L:L,"=DeadIce",events!U:U,"&lt;="&amp;shifts!AH69,events!V:V,"&gt;"&amp;shifts!AI69,events!D:D,"="&amp;shifts!B70)+SUMIFS(events!T:T,events!L:L,"=Timeout",events!U:U,"&lt;="&amp;shifts!AH69,events!V:V,"&gt;"&amp;shifts!AI69,events!D:D,"="&amp;shifts!B70)</f>
        <v>0</v>
      </c>
      <c r="Y69" s="9" t="str">
        <f t="shared" si="15"/>
        <v/>
      </c>
      <c r="AA69" t="str">
        <f t="shared" si="16"/>
        <v/>
      </c>
      <c r="AB69">
        <v>1</v>
      </c>
      <c r="AC69">
        <f t="shared" si="17"/>
        <v>1</v>
      </c>
      <c r="AE69">
        <f t="shared" si="20"/>
        <v>18977</v>
      </c>
      <c r="AF69" t="str">
        <f t="shared" si="21"/>
        <v>Velodrome</v>
      </c>
      <c r="AG69" t="str">
        <f t="shared" si="22"/>
        <v>HollowBrook</v>
      </c>
      <c r="AH69" s="6">
        <f t="shared" si="30"/>
        <v>701</v>
      </c>
      <c r="AI69" s="6">
        <f t="shared" si="31"/>
        <v>692</v>
      </c>
      <c r="AJ69" s="18">
        <f t="shared" ref="AJ69:AJ132" si="34">ROUND(AH69-AI69,0)</f>
        <v>9</v>
      </c>
      <c r="AK69">
        <f t="shared" ref="AK69:AK132" si="35">COUNTIF(I69:N69,"&gt;0")</f>
        <v>5</v>
      </c>
      <c r="AL69">
        <f t="shared" ref="AL69:AL132" si="36">COUNTIF(P69:U69,"&gt;0")</f>
        <v>5</v>
      </c>
      <c r="AM69">
        <f t="shared" si="32"/>
        <v>0</v>
      </c>
      <c r="AN69">
        <f t="shared" si="33"/>
        <v>0</v>
      </c>
      <c r="AO69">
        <f t="shared" si="29"/>
        <v>0</v>
      </c>
      <c r="AP69">
        <f t="shared" ref="AP69:AP132" si="37">IF(AND($AM69&lt;&gt;1,$AK69&gt;$AL69),1,)</f>
        <v>0</v>
      </c>
      <c r="AQ69">
        <f t="shared" ref="AQ69:AQ132" si="38">IF(AO69=1,1,0)</f>
        <v>0</v>
      </c>
      <c r="AR69">
        <f t="shared" ref="AR69:AR132" si="39">IF(AP69=1,1,0)</f>
        <v>0</v>
      </c>
      <c r="AS69" t="str">
        <f t="shared" ref="AS69:AS132" si="40">IF(AND(AK69=5,AL69=5,AM69=0,AN69=0),"Full Strength",IF(AQ69=1,"Away PowerPlay",IF(AP69=1,"Home PowerPlay",IF(AM69=1,"Home EmptyNet",IF(AN69=1,"Away EmptyNet","")))))</f>
        <v>Full Strength</v>
      </c>
      <c r="AT69" t="str">
        <f t="shared" ref="AT69:AT132" si="41">IF(AND(AM69=0,AN69=0),AK69&amp;"v"&amp;AL69,IF(AM69=1,AK69&amp;"v"&amp;AL69&amp;" Home EN",IF(AN69=1,AK69&amp;"v"&amp;AL69&amp;" Away EN","")))</f>
        <v>5v5</v>
      </c>
    </row>
    <row r="70" spans="1:46" x14ac:dyDescent="0.2">
      <c r="A70">
        <f t="shared" si="18"/>
        <v>69</v>
      </c>
      <c r="B70" s="9">
        <f t="shared" si="23"/>
        <v>3</v>
      </c>
      <c r="C70">
        <f t="shared" si="24"/>
        <v>11</v>
      </c>
      <c r="D70" s="6" t="str">
        <f t="shared" si="19"/>
        <v>32</v>
      </c>
      <c r="E70">
        <v>11</v>
      </c>
      <c r="F70" s="6" t="s">
        <v>441</v>
      </c>
      <c r="I70">
        <v>70</v>
      </c>
      <c r="J70">
        <v>14</v>
      </c>
      <c r="K70">
        <v>61</v>
      </c>
      <c r="L70">
        <v>87</v>
      </c>
      <c r="M70">
        <v>84</v>
      </c>
      <c r="O70" s="7">
        <v>39</v>
      </c>
      <c r="P70" s="9">
        <v>11</v>
      </c>
      <c r="Q70" s="23">
        <v>13</v>
      </c>
      <c r="R70" s="23">
        <v>19</v>
      </c>
      <c r="S70" s="23">
        <v>18</v>
      </c>
      <c r="T70" s="23">
        <v>2</v>
      </c>
      <c r="V70">
        <v>99</v>
      </c>
      <c r="W70" s="9">
        <f>SUMIFS(events!T:T,events!L:L,"=DeadIce",events!U:U,"&lt;="&amp;shifts!AH70,events!V:V,"&gt;"&amp;shifts!AI70,events!D:D,"="&amp;shifts!B71)+SUMIFS(events!T:T,events!L:L,"=Timeout",events!U:U,"&lt;="&amp;shifts!AH70,events!V:V,"&gt;"&amp;shifts!AI70,events!D:D,"="&amp;shifts!B71)</f>
        <v>0</v>
      </c>
      <c r="Y70" s="9" t="str">
        <f t="shared" ref="Y70:Y133" si="42">IF(OR($H69="Home Goal",$H69="Away Goal",$H69="Period End"),"",IF(Z69=1,1,""))</f>
        <v/>
      </c>
      <c r="Z70">
        <v>1</v>
      </c>
      <c r="AA70">
        <f t="shared" ref="AA70:AA133" si="43">IF(OR($H69="Home Goal",$H69="Away Goal",$H69="Period End"),"",IF(AB69=1,1,""))</f>
        <v>1</v>
      </c>
      <c r="AC70" t="str">
        <f t="shared" ref="AC70:AC133" si="44">IF(OR($H69="Home Goal",$H69="Away Goal",$H69="Period End"),1,IF(AD69=1,1,""))</f>
        <v/>
      </c>
      <c r="AE70">
        <f t="shared" si="20"/>
        <v>18977</v>
      </c>
      <c r="AF70" t="str">
        <f t="shared" si="21"/>
        <v>Velodrome</v>
      </c>
      <c r="AG70" t="str">
        <f t="shared" si="22"/>
        <v>HollowBrook</v>
      </c>
      <c r="AH70" s="6">
        <f t="shared" si="30"/>
        <v>692</v>
      </c>
      <c r="AI70" s="6">
        <f t="shared" si="31"/>
        <v>685</v>
      </c>
      <c r="AJ70" s="18">
        <f t="shared" si="34"/>
        <v>7</v>
      </c>
      <c r="AK70">
        <f t="shared" si="35"/>
        <v>5</v>
      </c>
      <c r="AL70">
        <f t="shared" si="36"/>
        <v>5</v>
      </c>
      <c r="AM70">
        <f t="shared" si="32"/>
        <v>0</v>
      </c>
      <c r="AN70">
        <f t="shared" si="33"/>
        <v>0</v>
      </c>
      <c r="AO70">
        <f t="shared" si="29"/>
        <v>0</v>
      </c>
      <c r="AP70">
        <f t="shared" si="37"/>
        <v>0</v>
      </c>
      <c r="AQ70">
        <f t="shared" si="38"/>
        <v>0</v>
      </c>
      <c r="AR70">
        <f t="shared" si="39"/>
        <v>0</v>
      </c>
      <c r="AS70" t="str">
        <f t="shared" si="40"/>
        <v>Full Strength</v>
      </c>
      <c r="AT70" t="str">
        <f t="shared" si="41"/>
        <v>5v5</v>
      </c>
    </row>
    <row r="71" spans="1:46" x14ac:dyDescent="0.2">
      <c r="A71">
        <f t="shared" ref="A71:A134" si="45">A70+1</f>
        <v>70</v>
      </c>
      <c r="B71" s="9">
        <f t="shared" si="23"/>
        <v>3</v>
      </c>
      <c r="C71">
        <f t="shared" si="24"/>
        <v>11</v>
      </c>
      <c r="D71" s="6" t="str">
        <f t="shared" ref="D71:D134" si="46">F70</f>
        <v>25</v>
      </c>
      <c r="E71">
        <v>11</v>
      </c>
      <c r="F71" s="6" t="s">
        <v>449</v>
      </c>
      <c r="I71">
        <v>70</v>
      </c>
      <c r="J71">
        <v>14</v>
      </c>
      <c r="K71">
        <v>61</v>
      </c>
      <c r="L71">
        <v>87</v>
      </c>
      <c r="M71">
        <v>52</v>
      </c>
      <c r="O71" s="7">
        <v>39</v>
      </c>
      <c r="P71" s="9">
        <v>11</v>
      </c>
      <c r="Q71" s="23">
        <v>13</v>
      </c>
      <c r="R71" s="23">
        <v>19</v>
      </c>
      <c r="S71" s="23">
        <v>18</v>
      </c>
      <c r="T71" s="23">
        <v>2</v>
      </c>
      <c r="V71">
        <v>99</v>
      </c>
      <c r="W71" s="9">
        <f>SUMIFS(events!T:T,events!L:L,"=DeadIce",events!U:U,"&lt;="&amp;shifts!AH71,events!V:V,"&gt;"&amp;shifts!AI71,events!D:D,"="&amp;shifts!B72)+SUMIFS(events!T:T,events!L:L,"=Timeout",events!U:U,"&lt;="&amp;shifts!AH71,events!V:V,"&gt;"&amp;shifts!AI71,events!D:D,"="&amp;shifts!B72)</f>
        <v>0</v>
      </c>
      <c r="Y71" s="9">
        <f t="shared" si="42"/>
        <v>1</v>
      </c>
      <c r="AA71" t="str">
        <f t="shared" si="43"/>
        <v/>
      </c>
      <c r="AB71">
        <v>1</v>
      </c>
      <c r="AC71" t="str">
        <f t="shared" si="44"/>
        <v/>
      </c>
      <c r="AE71">
        <f t="shared" ref="AE71:AE134" si="47">AE70</f>
        <v>18977</v>
      </c>
      <c r="AF71" t="str">
        <f t="shared" ref="AF71:AF134" si="48">AF70</f>
        <v>Velodrome</v>
      </c>
      <c r="AG71" t="str">
        <f t="shared" ref="AG71:AG134" si="49">AG70</f>
        <v>HollowBrook</v>
      </c>
      <c r="AH71" s="6">
        <f t="shared" si="30"/>
        <v>685</v>
      </c>
      <c r="AI71" s="6">
        <f t="shared" si="31"/>
        <v>672</v>
      </c>
      <c r="AJ71" s="18">
        <f t="shared" si="34"/>
        <v>13</v>
      </c>
      <c r="AK71">
        <f t="shared" si="35"/>
        <v>5</v>
      </c>
      <c r="AL71">
        <f t="shared" si="36"/>
        <v>5</v>
      </c>
      <c r="AM71">
        <f t="shared" si="32"/>
        <v>0</v>
      </c>
      <c r="AN71">
        <f t="shared" si="33"/>
        <v>0</v>
      </c>
      <c r="AO71">
        <f t="shared" si="29"/>
        <v>0</v>
      </c>
      <c r="AP71">
        <f t="shared" si="37"/>
        <v>0</v>
      </c>
      <c r="AQ71">
        <f t="shared" si="38"/>
        <v>0</v>
      </c>
      <c r="AR71">
        <f t="shared" si="39"/>
        <v>0</v>
      </c>
      <c r="AS71" t="str">
        <f t="shared" si="40"/>
        <v>Full Strength</v>
      </c>
      <c r="AT71" t="str">
        <f t="shared" si="41"/>
        <v>5v5</v>
      </c>
    </row>
    <row r="72" spans="1:46" x14ac:dyDescent="0.2">
      <c r="A72">
        <f t="shared" si="45"/>
        <v>71</v>
      </c>
      <c r="B72" s="9">
        <f t="shared" si="23"/>
        <v>3</v>
      </c>
      <c r="C72">
        <f t="shared" si="24"/>
        <v>11</v>
      </c>
      <c r="D72" s="6" t="str">
        <f t="shared" si="46"/>
        <v>12</v>
      </c>
      <c r="E72">
        <v>10</v>
      </c>
      <c r="F72" s="6" t="s">
        <v>456</v>
      </c>
      <c r="I72">
        <v>70</v>
      </c>
      <c r="J72">
        <v>14</v>
      </c>
      <c r="K72">
        <v>61</v>
      </c>
      <c r="L72">
        <v>87</v>
      </c>
      <c r="M72">
        <v>52</v>
      </c>
      <c r="O72" s="7">
        <v>39</v>
      </c>
      <c r="P72" s="9">
        <v>11</v>
      </c>
      <c r="Q72" s="23">
        <v>13</v>
      </c>
      <c r="R72" s="23">
        <v>19</v>
      </c>
      <c r="S72" s="23">
        <v>18</v>
      </c>
      <c r="T72" s="23">
        <v>5</v>
      </c>
      <c r="V72">
        <v>99</v>
      </c>
      <c r="W72" s="9">
        <f>SUMIFS(events!T:T,events!L:L,"=DeadIce",events!U:U,"&lt;="&amp;shifts!AH72,events!V:V,"&gt;"&amp;shifts!AI72,events!D:D,"="&amp;shifts!B73)+SUMIFS(events!T:T,events!L:L,"=Timeout",events!U:U,"&lt;="&amp;shifts!AH72,events!V:V,"&gt;"&amp;shifts!AI72,events!D:D,"="&amp;shifts!B73)</f>
        <v>0</v>
      </c>
      <c r="Y72" s="9" t="str">
        <f t="shared" si="42"/>
        <v/>
      </c>
      <c r="Z72">
        <v>1</v>
      </c>
      <c r="AA72">
        <f t="shared" si="43"/>
        <v>1</v>
      </c>
      <c r="AC72" t="str">
        <f t="shared" si="44"/>
        <v/>
      </c>
      <c r="AE72">
        <f t="shared" si="47"/>
        <v>18977</v>
      </c>
      <c r="AF72" t="str">
        <f t="shared" si="48"/>
        <v>Velodrome</v>
      </c>
      <c r="AG72" t="str">
        <f t="shared" si="49"/>
        <v>HollowBrook</v>
      </c>
      <c r="AH72" s="6">
        <f t="shared" si="30"/>
        <v>672</v>
      </c>
      <c r="AI72" s="6">
        <f t="shared" si="31"/>
        <v>623</v>
      </c>
      <c r="AJ72" s="18">
        <f t="shared" si="34"/>
        <v>49</v>
      </c>
      <c r="AK72">
        <f t="shared" si="35"/>
        <v>5</v>
      </c>
      <c r="AL72">
        <f t="shared" si="36"/>
        <v>5</v>
      </c>
      <c r="AM72">
        <f t="shared" si="32"/>
        <v>0</v>
      </c>
      <c r="AN72">
        <f t="shared" si="33"/>
        <v>0</v>
      </c>
      <c r="AO72">
        <f t="shared" si="29"/>
        <v>0</v>
      </c>
      <c r="AP72">
        <f t="shared" si="37"/>
        <v>0</v>
      </c>
      <c r="AQ72">
        <f t="shared" si="38"/>
        <v>0</v>
      </c>
      <c r="AR72">
        <f t="shared" si="39"/>
        <v>0</v>
      </c>
      <c r="AS72" t="str">
        <f t="shared" si="40"/>
        <v>Full Strength</v>
      </c>
      <c r="AT72" t="str">
        <f t="shared" si="41"/>
        <v>5v5</v>
      </c>
    </row>
    <row r="73" spans="1:46" x14ac:dyDescent="0.2">
      <c r="A73">
        <f t="shared" si="45"/>
        <v>72</v>
      </c>
      <c r="B73" s="9">
        <f t="shared" si="23"/>
        <v>3</v>
      </c>
      <c r="C73">
        <f t="shared" si="24"/>
        <v>10</v>
      </c>
      <c r="D73" s="6" t="str">
        <f t="shared" si="46"/>
        <v>23</v>
      </c>
      <c r="E73">
        <v>10</v>
      </c>
      <c r="F73" s="6" t="s">
        <v>486</v>
      </c>
      <c r="I73">
        <v>70</v>
      </c>
      <c r="J73">
        <v>14</v>
      </c>
      <c r="K73">
        <v>61</v>
      </c>
      <c r="L73">
        <v>87</v>
      </c>
      <c r="M73">
        <v>52</v>
      </c>
      <c r="O73" s="7">
        <v>39</v>
      </c>
      <c r="P73" s="9">
        <v>26</v>
      </c>
      <c r="Q73" s="23">
        <v>13</v>
      </c>
      <c r="R73" s="23">
        <v>19</v>
      </c>
      <c r="S73" s="23">
        <v>18</v>
      </c>
      <c r="T73" s="23">
        <v>5</v>
      </c>
      <c r="V73">
        <v>99</v>
      </c>
      <c r="W73" s="9">
        <f>SUMIFS(events!T:T,events!L:L,"=DeadIce",events!U:U,"&lt;="&amp;shifts!AH73,events!V:V,"&gt;"&amp;shifts!AI73,events!D:D,"="&amp;shifts!B74)+SUMIFS(events!T:T,events!L:L,"=Timeout",events!U:U,"&lt;="&amp;shifts!AH73,events!V:V,"&gt;"&amp;shifts!AI73,events!D:D,"="&amp;shifts!B74)</f>
        <v>0</v>
      </c>
      <c r="Y73" s="9">
        <f t="shared" si="42"/>
        <v>1</v>
      </c>
      <c r="AA73" t="str">
        <f t="shared" si="43"/>
        <v/>
      </c>
      <c r="AB73">
        <v>1</v>
      </c>
      <c r="AC73" t="str">
        <f t="shared" si="44"/>
        <v/>
      </c>
      <c r="AE73">
        <f t="shared" si="47"/>
        <v>18977</v>
      </c>
      <c r="AF73" t="str">
        <f t="shared" si="48"/>
        <v>Velodrome</v>
      </c>
      <c r="AG73" t="str">
        <f t="shared" si="49"/>
        <v>HollowBrook</v>
      </c>
      <c r="AH73" s="6">
        <f t="shared" si="30"/>
        <v>623</v>
      </c>
      <c r="AI73" s="6">
        <f t="shared" si="31"/>
        <v>611</v>
      </c>
      <c r="AJ73" s="18">
        <f t="shared" si="34"/>
        <v>12</v>
      </c>
      <c r="AK73">
        <f t="shared" si="35"/>
        <v>5</v>
      </c>
      <c r="AL73">
        <f t="shared" si="36"/>
        <v>5</v>
      </c>
      <c r="AM73">
        <f t="shared" si="32"/>
        <v>0</v>
      </c>
      <c r="AN73">
        <f t="shared" si="33"/>
        <v>0</v>
      </c>
      <c r="AO73">
        <f t="shared" si="29"/>
        <v>0</v>
      </c>
      <c r="AP73">
        <f t="shared" si="37"/>
        <v>0</v>
      </c>
      <c r="AQ73">
        <f t="shared" si="38"/>
        <v>0</v>
      </c>
      <c r="AR73">
        <f t="shared" si="39"/>
        <v>0</v>
      </c>
      <c r="AS73" t="str">
        <f t="shared" si="40"/>
        <v>Full Strength</v>
      </c>
      <c r="AT73" t="str">
        <f t="shared" si="41"/>
        <v>5v5</v>
      </c>
    </row>
    <row r="74" spans="1:46" x14ac:dyDescent="0.2">
      <c r="A74">
        <f t="shared" si="45"/>
        <v>73</v>
      </c>
      <c r="B74" s="9">
        <f t="shared" si="23"/>
        <v>3</v>
      </c>
      <c r="C74">
        <f t="shared" si="24"/>
        <v>10</v>
      </c>
      <c r="D74" s="6" t="str">
        <f t="shared" si="46"/>
        <v>11</v>
      </c>
      <c r="E74">
        <v>9</v>
      </c>
      <c r="F74" s="6" t="s">
        <v>427</v>
      </c>
      <c r="H74" s="7" t="s">
        <v>409</v>
      </c>
      <c r="I74">
        <v>70</v>
      </c>
      <c r="J74">
        <v>14</v>
      </c>
      <c r="K74">
        <v>61</v>
      </c>
      <c r="L74">
        <v>87</v>
      </c>
      <c r="M74">
        <v>52</v>
      </c>
      <c r="O74" s="7">
        <v>39</v>
      </c>
      <c r="P74" s="9">
        <v>26</v>
      </c>
      <c r="Q74" s="23">
        <v>13</v>
      </c>
      <c r="R74" s="23">
        <v>19</v>
      </c>
      <c r="S74" s="23">
        <v>27</v>
      </c>
      <c r="T74" s="23">
        <v>5</v>
      </c>
      <c r="V74">
        <v>99</v>
      </c>
      <c r="W74" s="9">
        <f>SUMIFS(events!T:T,events!L:L,"=DeadIce",events!U:U,"&lt;="&amp;shifts!AH74,events!V:V,"&gt;"&amp;shifts!AI74,events!D:D,"="&amp;shifts!B75)+SUMIFS(events!T:T,events!L:L,"=Timeout",events!U:U,"&lt;="&amp;shifts!AH74,events!V:V,"&gt;"&amp;shifts!AI74,events!D:D,"="&amp;shifts!B75)</f>
        <v>0</v>
      </c>
      <c r="Y74" s="9" t="str">
        <f t="shared" si="42"/>
        <v/>
      </c>
      <c r="AA74">
        <f t="shared" si="43"/>
        <v>1</v>
      </c>
      <c r="AB74">
        <v>1</v>
      </c>
      <c r="AC74" t="str">
        <f t="shared" si="44"/>
        <v/>
      </c>
      <c r="AE74">
        <f t="shared" si="47"/>
        <v>18977</v>
      </c>
      <c r="AF74" t="str">
        <f t="shared" si="48"/>
        <v>Velodrome</v>
      </c>
      <c r="AG74" t="str">
        <f t="shared" si="49"/>
        <v>HollowBrook</v>
      </c>
      <c r="AH74" s="6">
        <f t="shared" si="30"/>
        <v>611</v>
      </c>
      <c r="AI74" s="6">
        <f t="shared" si="31"/>
        <v>594</v>
      </c>
      <c r="AJ74" s="18">
        <f t="shared" si="34"/>
        <v>17</v>
      </c>
      <c r="AK74">
        <f t="shared" si="35"/>
        <v>5</v>
      </c>
      <c r="AL74">
        <f t="shared" si="36"/>
        <v>5</v>
      </c>
      <c r="AM74">
        <f t="shared" si="32"/>
        <v>0</v>
      </c>
      <c r="AN74">
        <f t="shared" si="33"/>
        <v>0</v>
      </c>
      <c r="AO74">
        <f t="shared" si="29"/>
        <v>0</v>
      </c>
      <c r="AP74">
        <f t="shared" si="37"/>
        <v>0</v>
      </c>
      <c r="AQ74">
        <f t="shared" si="38"/>
        <v>0</v>
      </c>
      <c r="AR74">
        <f t="shared" si="39"/>
        <v>0</v>
      </c>
      <c r="AS74" t="str">
        <f t="shared" si="40"/>
        <v>Full Strength</v>
      </c>
      <c r="AT74" t="str">
        <f t="shared" si="41"/>
        <v>5v5</v>
      </c>
    </row>
    <row r="75" spans="1:46" x14ac:dyDescent="0.2">
      <c r="A75">
        <f t="shared" si="45"/>
        <v>74</v>
      </c>
      <c r="B75" s="9">
        <f t="shared" si="23"/>
        <v>3</v>
      </c>
      <c r="C75">
        <f t="shared" si="24"/>
        <v>9</v>
      </c>
      <c r="D75" s="6" t="str">
        <f t="shared" si="46"/>
        <v>54</v>
      </c>
      <c r="E75">
        <v>8</v>
      </c>
      <c r="F75" s="6" t="s">
        <v>436</v>
      </c>
      <c r="G75" s="9" t="s">
        <v>356</v>
      </c>
      <c r="H75" s="7" t="s">
        <v>408</v>
      </c>
      <c r="I75">
        <v>70</v>
      </c>
      <c r="J75">
        <v>49</v>
      </c>
      <c r="K75">
        <v>75</v>
      </c>
      <c r="L75">
        <v>9</v>
      </c>
      <c r="M75">
        <v>84</v>
      </c>
      <c r="O75" s="7">
        <v>39</v>
      </c>
      <c r="P75" s="9">
        <v>26</v>
      </c>
      <c r="Q75" s="23">
        <v>40</v>
      </c>
      <c r="R75" s="23">
        <v>8</v>
      </c>
      <c r="S75" s="23">
        <v>27</v>
      </c>
      <c r="T75" s="23">
        <v>5</v>
      </c>
      <c r="V75">
        <v>99</v>
      </c>
      <c r="W75" s="9">
        <f>SUMIFS(events!T:T,events!L:L,"=DeadIce",events!U:U,"&lt;="&amp;shifts!AH75,events!V:V,"&gt;"&amp;shifts!AI75,events!D:D,"="&amp;shifts!B76)+SUMIFS(events!T:T,events!L:L,"=Timeout",events!U:U,"&lt;="&amp;shifts!AH75,events!V:V,"&gt;"&amp;shifts!AI75,events!D:D,"="&amp;shifts!B76)</f>
        <v>0</v>
      </c>
      <c r="Y75" s="9" t="str">
        <f t="shared" si="42"/>
        <v/>
      </c>
      <c r="Z75">
        <v>1</v>
      </c>
      <c r="AA75">
        <f t="shared" si="43"/>
        <v>1</v>
      </c>
      <c r="AC75" t="str">
        <f t="shared" si="44"/>
        <v/>
      </c>
      <c r="AE75">
        <f t="shared" si="47"/>
        <v>18977</v>
      </c>
      <c r="AF75" t="str">
        <f t="shared" si="48"/>
        <v>Velodrome</v>
      </c>
      <c r="AG75" t="str">
        <f t="shared" si="49"/>
        <v>HollowBrook</v>
      </c>
      <c r="AH75" s="6">
        <f t="shared" si="30"/>
        <v>594</v>
      </c>
      <c r="AI75" s="6">
        <f t="shared" si="31"/>
        <v>525</v>
      </c>
      <c r="AJ75" s="18">
        <f t="shared" si="34"/>
        <v>69</v>
      </c>
      <c r="AK75">
        <f t="shared" si="35"/>
        <v>5</v>
      </c>
      <c r="AL75">
        <f t="shared" si="36"/>
        <v>5</v>
      </c>
      <c r="AM75">
        <f t="shared" si="32"/>
        <v>0</v>
      </c>
      <c r="AN75">
        <f t="shared" si="33"/>
        <v>0</v>
      </c>
      <c r="AO75">
        <f t="shared" si="29"/>
        <v>0</v>
      </c>
      <c r="AP75">
        <f t="shared" si="37"/>
        <v>0</v>
      </c>
      <c r="AQ75">
        <f t="shared" si="38"/>
        <v>0</v>
      </c>
      <c r="AR75">
        <f t="shared" si="39"/>
        <v>0</v>
      </c>
      <c r="AS75" t="str">
        <f t="shared" si="40"/>
        <v>Full Strength</v>
      </c>
      <c r="AT75" t="str">
        <f t="shared" si="41"/>
        <v>5v5</v>
      </c>
    </row>
    <row r="76" spans="1:46" x14ac:dyDescent="0.2">
      <c r="A76">
        <f t="shared" si="45"/>
        <v>75</v>
      </c>
      <c r="B76" s="9">
        <f t="shared" si="23"/>
        <v>3</v>
      </c>
      <c r="C76">
        <f t="shared" si="24"/>
        <v>8</v>
      </c>
      <c r="D76" s="6" t="str">
        <f t="shared" si="46"/>
        <v>45</v>
      </c>
      <c r="E76">
        <v>7</v>
      </c>
      <c r="F76" s="6" t="s">
        <v>455</v>
      </c>
      <c r="G76" s="9" t="s">
        <v>356</v>
      </c>
      <c r="H76" s="7" t="s">
        <v>408</v>
      </c>
      <c r="I76">
        <v>42</v>
      </c>
      <c r="J76">
        <v>49</v>
      </c>
      <c r="K76">
        <v>75</v>
      </c>
      <c r="L76">
        <v>9</v>
      </c>
      <c r="M76">
        <v>84</v>
      </c>
      <c r="O76" s="7">
        <v>39</v>
      </c>
      <c r="P76" s="9">
        <v>26</v>
      </c>
      <c r="Q76" s="23">
        <v>40</v>
      </c>
      <c r="R76" s="23">
        <v>8</v>
      </c>
      <c r="S76" s="23">
        <v>27</v>
      </c>
      <c r="T76" s="23">
        <v>5</v>
      </c>
      <c r="V76">
        <v>99</v>
      </c>
      <c r="W76" s="9">
        <f>SUMIFS(events!T:T,events!L:L,"=DeadIce",events!U:U,"&lt;="&amp;shifts!AH76,events!V:V,"&gt;"&amp;shifts!AI76,events!D:D,"="&amp;shifts!B77)+SUMIFS(events!T:T,events!L:L,"=Timeout",events!U:U,"&lt;="&amp;shifts!AH76,events!V:V,"&gt;"&amp;shifts!AI76,events!D:D,"="&amp;shifts!B77)</f>
        <v>0</v>
      </c>
      <c r="Y76" s="9">
        <f t="shared" si="42"/>
        <v>1</v>
      </c>
      <c r="Z76">
        <v>1</v>
      </c>
      <c r="AA76" t="str">
        <f t="shared" si="43"/>
        <v/>
      </c>
      <c r="AC76" t="str">
        <f t="shared" si="44"/>
        <v/>
      </c>
      <c r="AE76">
        <f t="shared" si="47"/>
        <v>18977</v>
      </c>
      <c r="AF76" t="str">
        <f t="shared" si="48"/>
        <v>Velodrome</v>
      </c>
      <c r="AG76" t="str">
        <f t="shared" si="49"/>
        <v>HollowBrook</v>
      </c>
      <c r="AH76" s="6">
        <f t="shared" si="30"/>
        <v>525</v>
      </c>
      <c r="AI76" s="6">
        <f t="shared" si="31"/>
        <v>455</v>
      </c>
      <c r="AJ76" s="18">
        <f t="shared" si="34"/>
        <v>70</v>
      </c>
      <c r="AK76">
        <f t="shared" si="35"/>
        <v>5</v>
      </c>
      <c r="AL76">
        <f t="shared" si="36"/>
        <v>5</v>
      </c>
      <c r="AM76">
        <f t="shared" si="32"/>
        <v>0</v>
      </c>
      <c r="AN76">
        <f t="shared" si="33"/>
        <v>0</v>
      </c>
      <c r="AO76">
        <f t="shared" si="29"/>
        <v>0</v>
      </c>
      <c r="AP76">
        <f t="shared" si="37"/>
        <v>0</v>
      </c>
      <c r="AQ76">
        <f t="shared" si="38"/>
        <v>0</v>
      </c>
      <c r="AR76">
        <f t="shared" si="39"/>
        <v>0</v>
      </c>
      <c r="AS76" t="str">
        <f t="shared" si="40"/>
        <v>Full Strength</v>
      </c>
      <c r="AT76" t="str">
        <f t="shared" si="41"/>
        <v>5v5</v>
      </c>
    </row>
    <row r="77" spans="1:46" x14ac:dyDescent="0.2">
      <c r="A77">
        <f t="shared" si="45"/>
        <v>76</v>
      </c>
      <c r="B77" s="9">
        <f t="shared" si="23"/>
        <v>3</v>
      </c>
      <c r="C77">
        <f t="shared" si="24"/>
        <v>7</v>
      </c>
      <c r="D77" s="6" t="str">
        <f t="shared" si="46"/>
        <v>35</v>
      </c>
      <c r="E77">
        <v>6</v>
      </c>
      <c r="F77" s="6" t="s">
        <v>478</v>
      </c>
      <c r="G77" s="9" t="s">
        <v>356</v>
      </c>
      <c r="H77" s="7" t="s">
        <v>407</v>
      </c>
      <c r="I77">
        <v>42</v>
      </c>
      <c r="J77">
        <v>91</v>
      </c>
      <c r="K77">
        <v>61</v>
      </c>
      <c r="L77">
        <v>22</v>
      </c>
      <c r="M77">
        <v>52</v>
      </c>
      <c r="O77" s="7">
        <v>39</v>
      </c>
      <c r="P77" s="9">
        <v>11</v>
      </c>
      <c r="Q77" s="23">
        <v>19</v>
      </c>
      <c r="R77" s="23">
        <v>13</v>
      </c>
      <c r="S77" s="23">
        <v>33</v>
      </c>
      <c r="T77" s="23">
        <v>18</v>
      </c>
      <c r="V77">
        <v>99</v>
      </c>
      <c r="W77" s="9">
        <f>SUMIFS(events!T:T,events!L:L,"=DeadIce",events!U:U,"&lt;="&amp;shifts!AH77,events!V:V,"&gt;"&amp;shifts!AI77,events!D:D,"="&amp;shifts!B78)+SUMIFS(events!T:T,events!L:L,"=Timeout",events!U:U,"&lt;="&amp;shifts!AH77,events!V:V,"&gt;"&amp;shifts!AI77,events!D:D,"="&amp;shifts!B78)</f>
        <v>0</v>
      </c>
      <c r="Y77" s="9">
        <f t="shared" si="42"/>
        <v>1</v>
      </c>
      <c r="AA77" t="str">
        <f t="shared" si="43"/>
        <v/>
      </c>
      <c r="AB77">
        <v>1</v>
      </c>
      <c r="AC77" t="str">
        <f t="shared" si="44"/>
        <v/>
      </c>
      <c r="AE77">
        <f t="shared" si="47"/>
        <v>18977</v>
      </c>
      <c r="AF77" t="str">
        <f t="shared" si="48"/>
        <v>Velodrome</v>
      </c>
      <c r="AG77" t="str">
        <f t="shared" si="49"/>
        <v>HollowBrook</v>
      </c>
      <c r="AH77" s="6">
        <f t="shared" si="30"/>
        <v>455</v>
      </c>
      <c r="AI77" s="6">
        <f t="shared" si="31"/>
        <v>406</v>
      </c>
      <c r="AJ77" s="18">
        <f t="shared" si="34"/>
        <v>49</v>
      </c>
      <c r="AK77">
        <f t="shared" si="35"/>
        <v>5</v>
      </c>
      <c r="AL77">
        <f t="shared" si="36"/>
        <v>5</v>
      </c>
      <c r="AM77">
        <f t="shared" si="32"/>
        <v>0</v>
      </c>
      <c r="AN77">
        <f t="shared" si="33"/>
        <v>0</v>
      </c>
      <c r="AO77">
        <f t="shared" si="29"/>
        <v>0</v>
      </c>
      <c r="AP77">
        <f t="shared" si="37"/>
        <v>0</v>
      </c>
      <c r="AQ77">
        <f t="shared" si="38"/>
        <v>0</v>
      </c>
      <c r="AR77">
        <f t="shared" si="39"/>
        <v>0</v>
      </c>
      <c r="AS77" t="str">
        <f t="shared" si="40"/>
        <v>Full Strength</v>
      </c>
      <c r="AT77" t="str">
        <f t="shared" si="41"/>
        <v>5v5</v>
      </c>
    </row>
    <row r="78" spans="1:46" x14ac:dyDescent="0.2">
      <c r="A78">
        <f t="shared" si="45"/>
        <v>77</v>
      </c>
      <c r="B78" s="9">
        <f t="shared" si="23"/>
        <v>3</v>
      </c>
      <c r="C78">
        <f t="shared" si="24"/>
        <v>6</v>
      </c>
      <c r="D78" s="6" t="str">
        <f t="shared" si="46"/>
        <v>46</v>
      </c>
      <c r="E78">
        <v>5</v>
      </c>
      <c r="F78" s="6" t="s">
        <v>431</v>
      </c>
      <c r="G78" s="9" t="s">
        <v>353</v>
      </c>
      <c r="H78" s="7" t="s">
        <v>409</v>
      </c>
      <c r="I78">
        <v>42</v>
      </c>
      <c r="J78">
        <v>91</v>
      </c>
      <c r="K78">
        <v>61</v>
      </c>
      <c r="L78">
        <v>22</v>
      </c>
      <c r="M78">
        <v>52</v>
      </c>
      <c r="O78" s="7">
        <v>39</v>
      </c>
      <c r="P78" s="9">
        <v>11</v>
      </c>
      <c r="Q78" s="23">
        <v>19</v>
      </c>
      <c r="R78" s="23">
        <v>13</v>
      </c>
      <c r="S78" s="23">
        <v>33</v>
      </c>
      <c r="T78" s="23">
        <v>18</v>
      </c>
      <c r="V78">
        <v>99</v>
      </c>
      <c r="W78" s="9">
        <f>SUMIFS(events!T:T,events!L:L,"=DeadIce",events!U:U,"&lt;="&amp;shifts!AH78,events!V:V,"&gt;"&amp;shifts!AI78,events!D:D,"="&amp;shifts!B79)+SUMIFS(events!T:T,events!L:L,"=Timeout",events!U:U,"&lt;="&amp;shifts!AH78,events!V:V,"&gt;"&amp;shifts!AI78,events!D:D,"="&amp;shifts!B79)</f>
        <v>0</v>
      </c>
      <c r="Y78" s="9" t="str">
        <f t="shared" si="42"/>
        <v/>
      </c>
      <c r="AA78" t="str">
        <f t="shared" si="43"/>
        <v/>
      </c>
      <c r="AB78">
        <v>1</v>
      </c>
      <c r="AC78">
        <f t="shared" si="44"/>
        <v>1</v>
      </c>
      <c r="AE78">
        <f t="shared" si="47"/>
        <v>18977</v>
      </c>
      <c r="AF78" t="str">
        <f t="shared" si="48"/>
        <v>Velodrome</v>
      </c>
      <c r="AG78" t="str">
        <f t="shared" si="49"/>
        <v>HollowBrook</v>
      </c>
      <c r="AH78" s="6">
        <f t="shared" si="30"/>
        <v>406</v>
      </c>
      <c r="AI78" s="6">
        <f t="shared" si="31"/>
        <v>341</v>
      </c>
      <c r="AJ78" s="18">
        <f t="shared" si="34"/>
        <v>65</v>
      </c>
      <c r="AK78">
        <f t="shared" si="35"/>
        <v>5</v>
      </c>
      <c r="AL78">
        <f t="shared" si="36"/>
        <v>5</v>
      </c>
      <c r="AM78">
        <f t="shared" si="32"/>
        <v>0</v>
      </c>
      <c r="AN78">
        <f t="shared" si="33"/>
        <v>0</v>
      </c>
      <c r="AO78">
        <f t="shared" si="29"/>
        <v>0</v>
      </c>
      <c r="AP78">
        <f t="shared" si="37"/>
        <v>0</v>
      </c>
      <c r="AQ78">
        <f t="shared" si="38"/>
        <v>0</v>
      </c>
      <c r="AR78">
        <f t="shared" si="39"/>
        <v>0</v>
      </c>
      <c r="AS78" t="str">
        <f t="shared" si="40"/>
        <v>Full Strength</v>
      </c>
      <c r="AT78" t="str">
        <f t="shared" si="41"/>
        <v>5v5</v>
      </c>
    </row>
    <row r="79" spans="1:46" x14ac:dyDescent="0.2">
      <c r="A79">
        <f t="shared" si="45"/>
        <v>78</v>
      </c>
      <c r="B79" s="9">
        <f t="shared" si="23"/>
        <v>3</v>
      </c>
      <c r="C79">
        <f t="shared" si="24"/>
        <v>5</v>
      </c>
      <c r="D79" s="6" t="str">
        <f t="shared" si="46"/>
        <v>41</v>
      </c>
      <c r="E79">
        <v>4</v>
      </c>
      <c r="F79" s="6" t="s">
        <v>421</v>
      </c>
      <c r="G79" s="9" t="s">
        <v>356</v>
      </c>
      <c r="I79">
        <v>70</v>
      </c>
      <c r="J79">
        <v>14</v>
      </c>
      <c r="K79">
        <v>61</v>
      </c>
      <c r="L79">
        <v>87</v>
      </c>
      <c r="M79">
        <v>84</v>
      </c>
      <c r="O79" s="7">
        <v>39</v>
      </c>
      <c r="P79" s="9">
        <v>11</v>
      </c>
      <c r="Q79" s="23">
        <v>19</v>
      </c>
      <c r="R79" s="23">
        <v>13</v>
      </c>
      <c r="S79" s="23">
        <v>2</v>
      </c>
      <c r="T79" s="23">
        <v>27</v>
      </c>
      <c r="V79">
        <v>99</v>
      </c>
      <c r="W79" s="9">
        <f>SUMIFS(events!T:T,events!L:L,"=DeadIce",events!U:U,"&lt;="&amp;shifts!AH79,events!V:V,"&gt;"&amp;shifts!AI79,events!D:D,"="&amp;shifts!B80)+SUMIFS(events!T:T,events!L:L,"=Timeout",events!U:U,"&lt;="&amp;shifts!AH79,events!V:V,"&gt;"&amp;shifts!AI79,events!D:D,"="&amp;shifts!B80)</f>
        <v>0</v>
      </c>
      <c r="Y79" s="9" t="str">
        <f t="shared" si="42"/>
        <v/>
      </c>
      <c r="Z79">
        <v>1</v>
      </c>
      <c r="AA79">
        <f t="shared" si="43"/>
        <v>1</v>
      </c>
      <c r="AC79" t="str">
        <f t="shared" si="44"/>
        <v/>
      </c>
      <c r="AE79">
        <f t="shared" si="47"/>
        <v>18977</v>
      </c>
      <c r="AF79" t="str">
        <f t="shared" si="48"/>
        <v>Velodrome</v>
      </c>
      <c r="AG79" t="str">
        <f t="shared" si="49"/>
        <v>HollowBrook</v>
      </c>
      <c r="AH79" s="6">
        <f t="shared" si="30"/>
        <v>341</v>
      </c>
      <c r="AI79" s="6">
        <f t="shared" si="31"/>
        <v>296</v>
      </c>
      <c r="AJ79" s="18">
        <f t="shared" si="34"/>
        <v>45</v>
      </c>
      <c r="AK79">
        <f t="shared" si="35"/>
        <v>5</v>
      </c>
      <c r="AL79">
        <f t="shared" si="36"/>
        <v>5</v>
      </c>
      <c r="AM79">
        <f t="shared" si="32"/>
        <v>0</v>
      </c>
      <c r="AN79">
        <f t="shared" si="33"/>
        <v>0</v>
      </c>
      <c r="AO79">
        <f t="shared" si="29"/>
        <v>0</v>
      </c>
      <c r="AP79">
        <f t="shared" si="37"/>
        <v>0</v>
      </c>
      <c r="AQ79">
        <f t="shared" si="38"/>
        <v>0</v>
      </c>
      <c r="AR79">
        <f t="shared" si="39"/>
        <v>0</v>
      </c>
      <c r="AS79" t="str">
        <f t="shared" si="40"/>
        <v>Full Strength</v>
      </c>
      <c r="AT79" t="str">
        <f t="shared" si="41"/>
        <v>5v5</v>
      </c>
    </row>
    <row r="80" spans="1:46" x14ac:dyDescent="0.2">
      <c r="A80">
        <f t="shared" si="45"/>
        <v>79</v>
      </c>
      <c r="B80" s="9">
        <f t="shared" si="23"/>
        <v>3</v>
      </c>
      <c r="C80">
        <f t="shared" si="24"/>
        <v>4</v>
      </c>
      <c r="D80" s="6" t="str">
        <f t="shared" si="46"/>
        <v>56</v>
      </c>
      <c r="E80">
        <v>4</v>
      </c>
      <c r="F80" s="6" t="s">
        <v>431</v>
      </c>
      <c r="H80" s="7" t="s">
        <v>366</v>
      </c>
      <c r="I80">
        <v>70</v>
      </c>
      <c r="J80">
        <v>14</v>
      </c>
      <c r="K80">
        <v>61</v>
      </c>
      <c r="L80">
        <v>87</v>
      </c>
      <c r="M80">
        <v>84</v>
      </c>
      <c r="O80" s="7">
        <v>39</v>
      </c>
      <c r="P80" s="9">
        <v>11</v>
      </c>
      <c r="Q80" s="23">
        <v>19</v>
      </c>
      <c r="R80" s="23">
        <v>26</v>
      </c>
      <c r="S80" s="23">
        <v>2</v>
      </c>
      <c r="T80" s="23">
        <v>27</v>
      </c>
      <c r="V80">
        <v>99</v>
      </c>
      <c r="W80" s="9">
        <f>SUMIFS(events!T:T,events!L:L,"=DeadIce",events!U:U,"&lt;="&amp;shifts!AH80,events!V:V,"&gt;"&amp;shifts!AI80,events!D:D,"="&amp;shifts!B81)+SUMIFS(events!T:T,events!L:L,"=Timeout",events!U:U,"&lt;="&amp;shifts!AH80,events!V:V,"&gt;"&amp;shifts!AI80,events!D:D,"="&amp;shifts!B81)</f>
        <v>0</v>
      </c>
      <c r="Y80" s="9">
        <f t="shared" si="42"/>
        <v>1</v>
      </c>
      <c r="AA80" t="str">
        <f t="shared" si="43"/>
        <v/>
      </c>
      <c r="AB80">
        <v>1</v>
      </c>
      <c r="AC80" t="str">
        <f t="shared" si="44"/>
        <v/>
      </c>
      <c r="AE80">
        <f t="shared" si="47"/>
        <v>18977</v>
      </c>
      <c r="AF80" t="str">
        <f t="shared" si="48"/>
        <v>Velodrome</v>
      </c>
      <c r="AG80" t="str">
        <f t="shared" si="49"/>
        <v>HollowBrook</v>
      </c>
      <c r="AH80" s="6">
        <f t="shared" si="30"/>
        <v>296</v>
      </c>
      <c r="AI80" s="6">
        <f t="shared" si="31"/>
        <v>281</v>
      </c>
      <c r="AJ80" s="18">
        <f t="shared" si="34"/>
        <v>15</v>
      </c>
      <c r="AK80">
        <f t="shared" si="35"/>
        <v>5</v>
      </c>
      <c r="AL80">
        <f t="shared" si="36"/>
        <v>5</v>
      </c>
      <c r="AM80">
        <f t="shared" si="32"/>
        <v>0</v>
      </c>
      <c r="AN80">
        <f t="shared" si="33"/>
        <v>0</v>
      </c>
      <c r="AO80">
        <f t="shared" si="29"/>
        <v>0</v>
      </c>
      <c r="AP80">
        <f t="shared" si="37"/>
        <v>0</v>
      </c>
      <c r="AQ80">
        <f t="shared" si="38"/>
        <v>0</v>
      </c>
      <c r="AR80">
        <f t="shared" si="39"/>
        <v>0</v>
      </c>
      <c r="AS80" t="str">
        <f t="shared" si="40"/>
        <v>Full Strength</v>
      </c>
      <c r="AT80" t="str">
        <f t="shared" si="41"/>
        <v>5v5</v>
      </c>
    </row>
    <row r="81" spans="1:46" x14ac:dyDescent="0.2">
      <c r="A81">
        <f t="shared" si="45"/>
        <v>80</v>
      </c>
      <c r="B81" s="9">
        <f t="shared" si="23"/>
        <v>3</v>
      </c>
      <c r="C81">
        <f t="shared" si="24"/>
        <v>4</v>
      </c>
      <c r="D81" s="6" t="str">
        <f t="shared" si="46"/>
        <v>41</v>
      </c>
      <c r="E81">
        <v>3</v>
      </c>
      <c r="F81" s="6" t="s">
        <v>432</v>
      </c>
      <c r="G81" s="9" t="s">
        <v>356</v>
      </c>
      <c r="H81" s="7" t="s">
        <v>406</v>
      </c>
      <c r="I81">
        <v>70</v>
      </c>
      <c r="J81">
        <v>14</v>
      </c>
      <c r="K81">
        <v>61</v>
      </c>
      <c r="L81">
        <v>87</v>
      </c>
      <c r="M81">
        <v>84</v>
      </c>
      <c r="O81" s="7">
        <v>39</v>
      </c>
      <c r="P81" s="9">
        <v>26</v>
      </c>
      <c r="Q81" s="23">
        <v>22</v>
      </c>
      <c r="R81" s="23">
        <v>8</v>
      </c>
      <c r="S81" s="23">
        <v>2</v>
      </c>
      <c r="T81" s="23">
        <v>27</v>
      </c>
      <c r="V81">
        <v>99</v>
      </c>
      <c r="W81" s="9">
        <f>SUMIFS(events!T:T,events!L:L,"=DeadIce",events!U:U,"&lt;="&amp;shifts!AH81,events!V:V,"&gt;"&amp;shifts!AI81,events!D:D,"="&amp;shifts!B82)+SUMIFS(events!T:T,events!L:L,"=Timeout",events!U:U,"&lt;="&amp;shifts!AH81,events!V:V,"&gt;"&amp;shifts!AI81,events!D:D,"="&amp;shifts!B82)</f>
        <v>0</v>
      </c>
      <c r="Y81" s="9" t="str">
        <f t="shared" si="42"/>
        <v/>
      </c>
      <c r="Z81">
        <v>1</v>
      </c>
      <c r="AA81">
        <f t="shared" si="43"/>
        <v>1</v>
      </c>
      <c r="AC81" t="str">
        <f t="shared" si="44"/>
        <v/>
      </c>
      <c r="AE81">
        <f t="shared" si="47"/>
        <v>18977</v>
      </c>
      <c r="AF81" t="str">
        <f t="shared" si="48"/>
        <v>Velodrome</v>
      </c>
      <c r="AG81" t="str">
        <f t="shared" si="49"/>
        <v>HollowBrook</v>
      </c>
      <c r="AH81" s="6">
        <f t="shared" si="30"/>
        <v>281</v>
      </c>
      <c r="AI81" s="6">
        <f t="shared" si="31"/>
        <v>230</v>
      </c>
      <c r="AJ81" s="18">
        <f t="shared" si="34"/>
        <v>51</v>
      </c>
      <c r="AK81">
        <f t="shared" si="35"/>
        <v>5</v>
      </c>
      <c r="AL81">
        <f t="shared" si="36"/>
        <v>5</v>
      </c>
      <c r="AM81">
        <f t="shared" si="32"/>
        <v>0</v>
      </c>
      <c r="AN81">
        <f t="shared" si="33"/>
        <v>0</v>
      </c>
      <c r="AO81">
        <f t="shared" si="29"/>
        <v>0</v>
      </c>
      <c r="AP81">
        <f t="shared" si="37"/>
        <v>0</v>
      </c>
      <c r="AQ81">
        <f t="shared" si="38"/>
        <v>0</v>
      </c>
      <c r="AR81">
        <f t="shared" si="39"/>
        <v>0</v>
      </c>
      <c r="AS81" t="str">
        <f t="shared" si="40"/>
        <v>Full Strength</v>
      </c>
      <c r="AT81" t="str">
        <f t="shared" si="41"/>
        <v>5v5</v>
      </c>
    </row>
    <row r="82" spans="1:46" x14ac:dyDescent="0.2">
      <c r="A82">
        <f t="shared" si="45"/>
        <v>81</v>
      </c>
      <c r="B82" s="9">
        <f t="shared" si="23"/>
        <v>3</v>
      </c>
      <c r="C82">
        <f t="shared" si="24"/>
        <v>3</v>
      </c>
      <c r="D82" s="6" t="str">
        <f t="shared" si="46"/>
        <v>50</v>
      </c>
      <c r="E82">
        <v>2</v>
      </c>
      <c r="F82" s="6" t="s">
        <v>462</v>
      </c>
      <c r="G82" s="9" t="s">
        <v>353</v>
      </c>
      <c r="I82">
        <v>70</v>
      </c>
      <c r="J82">
        <v>14</v>
      </c>
      <c r="K82">
        <v>61</v>
      </c>
      <c r="L82">
        <v>87</v>
      </c>
      <c r="M82">
        <v>84</v>
      </c>
      <c r="O82" s="7">
        <v>39</v>
      </c>
      <c r="P82" s="9">
        <v>26</v>
      </c>
      <c r="Q82" s="23">
        <v>40</v>
      </c>
      <c r="R82" s="23">
        <v>8</v>
      </c>
      <c r="S82" s="23">
        <v>18</v>
      </c>
      <c r="T82" s="23">
        <v>5</v>
      </c>
      <c r="V82">
        <v>99</v>
      </c>
      <c r="W82" s="9">
        <f>SUMIFS(events!T:T,events!L:L,"=DeadIce",events!U:U,"&lt;="&amp;shifts!AH82,events!V:V,"&gt;"&amp;shifts!AI82,events!D:D,"="&amp;shifts!B83)+SUMIFS(events!T:T,events!L:L,"=Timeout",events!U:U,"&lt;="&amp;shifts!AH82,events!V:V,"&gt;"&amp;shifts!AI82,events!D:D,"="&amp;shifts!B83)</f>
        <v>0</v>
      </c>
      <c r="Y82" s="9" t="str">
        <f t="shared" si="42"/>
        <v/>
      </c>
      <c r="AA82" t="str">
        <f t="shared" si="43"/>
        <v/>
      </c>
      <c r="AB82">
        <v>1</v>
      </c>
      <c r="AC82">
        <f t="shared" si="44"/>
        <v>1</v>
      </c>
      <c r="AE82">
        <f t="shared" si="47"/>
        <v>18977</v>
      </c>
      <c r="AF82" t="str">
        <f t="shared" si="48"/>
        <v>Velodrome</v>
      </c>
      <c r="AG82" t="str">
        <f t="shared" si="49"/>
        <v>HollowBrook</v>
      </c>
      <c r="AH82" s="6">
        <f t="shared" si="30"/>
        <v>230</v>
      </c>
      <c r="AI82" s="6">
        <f t="shared" si="31"/>
        <v>178</v>
      </c>
      <c r="AJ82" s="18">
        <f t="shared" si="34"/>
        <v>52</v>
      </c>
      <c r="AK82">
        <f t="shared" si="35"/>
        <v>5</v>
      </c>
      <c r="AL82">
        <f t="shared" si="36"/>
        <v>5</v>
      </c>
      <c r="AM82">
        <f t="shared" si="32"/>
        <v>0</v>
      </c>
      <c r="AN82">
        <f t="shared" si="33"/>
        <v>0</v>
      </c>
      <c r="AO82">
        <f t="shared" si="29"/>
        <v>0</v>
      </c>
      <c r="AP82">
        <f t="shared" si="37"/>
        <v>0</v>
      </c>
      <c r="AQ82">
        <f t="shared" si="38"/>
        <v>0</v>
      </c>
      <c r="AR82">
        <f t="shared" si="39"/>
        <v>0</v>
      </c>
      <c r="AS82" t="str">
        <f t="shared" si="40"/>
        <v>Full Strength</v>
      </c>
      <c r="AT82" t="str">
        <f t="shared" si="41"/>
        <v>5v5</v>
      </c>
    </row>
    <row r="83" spans="1:46" x14ac:dyDescent="0.2">
      <c r="A83">
        <f t="shared" si="45"/>
        <v>82</v>
      </c>
      <c r="B83" s="9">
        <f t="shared" si="23"/>
        <v>3</v>
      </c>
      <c r="C83">
        <f t="shared" si="24"/>
        <v>2</v>
      </c>
      <c r="D83" s="6" t="str">
        <f t="shared" si="46"/>
        <v>58</v>
      </c>
      <c r="E83">
        <v>2</v>
      </c>
      <c r="F83" s="6" t="s">
        <v>428</v>
      </c>
      <c r="I83">
        <v>70</v>
      </c>
      <c r="J83">
        <v>49</v>
      </c>
      <c r="K83">
        <v>61</v>
      </c>
      <c r="L83">
        <v>87</v>
      </c>
      <c r="M83">
        <v>84</v>
      </c>
      <c r="O83" s="7">
        <v>39</v>
      </c>
      <c r="P83" s="9">
        <v>26</v>
      </c>
      <c r="Q83" s="23">
        <v>40</v>
      </c>
      <c r="R83" s="23">
        <v>13</v>
      </c>
      <c r="S83" s="23">
        <v>18</v>
      </c>
      <c r="T83" s="23">
        <v>5</v>
      </c>
      <c r="V83">
        <v>99</v>
      </c>
      <c r="W83" s="9">
        <f>SUMIFS(events!T:T,events!L:L,"=DeadIce",events!U:U,"&lt;="&amp;shifts!AH83,events!V:V,"&gt;"&amp;shifts!AI83,events!D:D,"="&amp;shifts!B84)+SUMIFS(events!T:T,events!L:L,"=Timeout",events!U:U,"&lt;="&amp;shifts!AH83,events!V:V,"&gt;"&amp;shifts!AI83,events!D:D,"="&amp;shifts!B84)</f>
        <v>0</v>
      </c>
      <c r="Y83" s="9" t="str">
        <f t="shared" si="42"/>
        <v/>
      </c>
      <c r="AA83">
        <f t="shared" si="43"/>
        <v>1</v>
      </c>
      <c r="AB83">
        <v>1</v>
      </c>
      <c r="AC83" t="str">
        <f t="shared" si="44"/>
        <v/>
      </c>
      <c r="AE83">
        <f t="shared" si="47"/>
        <v>18977</v>
      </c>
      <c r="AF83" t="str">
        <f t="shared" si="48"/>
        <v>Velodrome</v>
      </c>
      <c r="AG83" t="str">
        <f t="shared" si="49"/>
        <v>HollowBrook</v>
      </c>
      <c r="AH83" s="6">
        <f t="shared" si="30"/>
        <v>178</v>
      </c>
      <c r="AI83" s="6">
        <f t="shared" si="31"/>
        <v>172</v>
      </c>
      <c r="AJ83" s="18">
        <f t="shared" si="34"/>
        <v>6</v>
      </c>
      <c r="AK83">
        <f t="shared" si="35"/>
        <v>5</v>
      </c>
      <c r="AL83">
        <f t="shared" si="36"/>
        <v>5</v>
      </c>
      <c r="AM83">
        <f t="shared" si="32"/>
        <v>0</v>
      </c>
      <c r="AN83">
        <f t="shared" si="33"/>
        <v>0</v>
      </c>
      <c r="AO83">
        <f t="shared" si="29"/>
        <v>0</v>
      </c>
      <c r="AP83">
        <f t="shared" si="37"/>
        <v>0</v>
      </c>
      <c r="AQ83">
        <f t="shared" si="38"/>
        <v>0</v>
      </c>
      <c r="AR83">
        <f t="shared" si="39"/>
        <v>0</v>
      </c>
      <c r="AS83" t="str">
        <f t="shared" si="40"/>
        <v>Full Strength</v>
      </c>
      <c r="AT83" t="str">
        <f t="shared" si="41"/>
        <v>5v5</v>
      </c>
    </row>
    <row r="84" spans="1:46" x14ac:dyDescent="0.2">
      <c r="A84">
        <f t="shared" si="45"/>
        <v>83</v>
      </c>
      <c r="B84" s="9">
        <f t="shared" si="23"/>
        <v>3</v>
      </c>
      <c r="C84">
        <f t="shared" si="24"/>
        <v>2</v>
      </c>
      <c r="D84" s="6" t="str">
        <f t="shared" si="46"/>
        <v>52</v>
      </c>
      <c r="E84">
        <v>2</v>
      </c>
      <c r="F84" s="6" t="s">
        <v>436</v>
      </c>
      <c r="I84">
        <v>70</v>
      </c>
      <c r="J84">
        <v>49</v>
      </c>
      <c r="K84">
        <v>75</v>
      </c>
      <c r="L84">
        <v>87</v>
      </c>
      <c r="M84">
        <v>84</v>
      </c>
      <c r="O84" s="7">
        <v>39</v>
      </c>
      <c r="P84" s="9">
        <v>26</v>
      </c>
      <c r="Q84" s="23">
        <v>40</v>
      </c>
      <c r="R84" s="23">
        <v>13</v>
      </c>
      <c r="S84" s="23">
        <v>18</v>
      </c>
      <c r="T84" s="23">
        <v>5</v>
      </c>
      <c r="V84">
        <v>99</v>
      </c>
      <c r="W84" s="9">
        <f>SUMIFS(events!T:T,events!L:L,"=DeadIce",events!U:U,"&lt;="&amp;shifts!AH84,events!V:V,"&gt;"&amp;shifts!AI84,events!D:D,"="&amp;shifts!B85)+SUMIFS(events!T:T,events!L:L,"=Timeout",events!U:U,"&lt;="&amp;shifts!AH84,events!V:V,"&gt;"&amp;shifts!AI84,events!D:D,"="&amp;shifts!B85)</f>
        <v>0</v>
      </c>
      <c r="Y84" s="9" t="str">
        <f t="shared" si="42"/>
        <v/>
      </c>
      <c r="Z84">
        <v>1</v>
      </c>
      <c r="AA84">
        <f t="shared" si="43"/>
        <v>1</v>
      </c>
      <c r="AC84" t="str">
        <f t="shared" si="44"/>
        <v/>
      </c>
      <c r="AE84">
        <f t="shared" si="47"/>
        <v>18977</v>
      </c>
      <c r="AF84" t="str">
        <f t="shared" si="48"/>
        <v>Velodrome</v>
      </c>
      <c r="AG84" t="str">
        <f t="shared" si="49"/>
        <v>HollowBrook</v>
      </c>
      <c r="AH84" s="6">
        <f t="shared" si="30"/>
        <v>172</v>
      </c>
      <c r="AI84" s="6">
        <f t="shared" si="31"/>
        <v>165</v>
      </c>
      <c r="AJ84" s="18">
        <f t="shared" si="34"/>
        <v>7</v>
      </c>
      <c r="AK84">
        <f t="shared" si="35"/>
        <v>5</v>
      </c>
      <c r="AL84">
        <f t="shared" si="36"/>
        <v>5</v>
      </c>
      <c r="AM84">
        <f t="shared" si="32"/>
        <v>0</v>
      </c>
      <c r="AN84">
        <f t="shared" si="33"/>
        <v>0</v>
      </c>
      <c r="AO84">
        <f t="shared" si="29"/>
        <v>0</v>
      </c>
      <c r="AP84">
        <f t="shared" si="37"/>
        <v>0</v>
      </c>
      <c r="AQ84">
        <f t="shared" si="38"/>
        <v>0</v>
      </c>
      <c r="AR84">
        <f t="shared" si="39"/>
        <v>0</v>
      </c>
      <c r="AS84" t="str">
        <f t="shared" si="40"/>
        <v>Full Strength</v>
      </c>
      <c r="AT84" t="str">
        <f t="shared" si="41"/>
        <v>5v5</v>
      </c>
    </row>
    <row r="85" spans="1:46" x14ac:dyDescent="0.2">
      <c r="A85">
        <f t="shared" si="45"/>
        <v>84</v>
      </c>
      <c r="B85" s="9">
        <f t="shared" si="23"/>
        <v>3</v>
      </c>
      <c r="C85">
        <f t="shared" si="24"/>
        <v>2</v>
      </c>
      <c r="D85" s="6" t="str">
        <f t="shared" si="46"/>
        <v>45</v>
      </c>
      <c r="E85">
        <v>2</v>
      </c>
      <c r="F85" s="6" t="s">
        <v>442</v>
      </c>
      <c r="I85">
        <v>70</v>
      </c>
      <c r="J85">
        <v>49</v>
      </c>
      <c r="K85">
        <v>75</v>
      </c>
      <c r="L85">
        <v>9</v>
      </c>
      <c r="M85">
        <v>52</v>
      </c>
      <c r="O85" s="7">
        <v>39</v>
      </c>
      <c r="P85" s="9">
        <v>26</v>
      </c>
      <c r="Q85" s="23">
        <v>19</v>
      </c>
      <c r="R85" s="23">
        <v>13</v>
      </c>
      <c r="S85" s="23">
        <v>18</v>
      </c>
      <c r="T85" s="23">
        <v>5</v>
      </c>
      <c r="V85">
        <v>99</v>
      </c>
      <c r="W85" s="9">
        <f>SUMIFS(events!T:T,events!L:L,"=DeadIce",events!U:U,"&lt;="&amp;shifts!AH85,events!V:V,"&gt;"&amp;shifts!AI85,events!D:D,"="&amp;shifts!B86)+SUMIFS(events!T:T,events!L:L,"=Timeout",events!U:U,"&lt;="&amp;shifts!AH85,events!V:V,"&gt;"&amp;shifts!AI85,events!D:D,"="&amp;shifts!B86)</f>
        <v>0</v>
      </c>
      <c r="Y85" s="9">
        <f t="shared" si="42"/>
        <v>1</v>
      </c>
      <c r="AA85" t="str">
        <f t="shared" si="43"/>
        <v/>
      </c>
      <c r="AC85" t="str">
        <f t="shared" si="44"/>
        <v/>
      </c>
      <c r="AD85">
        <v>1</v>
      </c>
      <c r="AE85">
        <f t="shared" si="47"/>
        <v>18977</v>
      </c>
      <c r="AF85" t="str">
        <f t="shared" si="48"/>
        <v>Velodrome</v>
      </c>
      <c r="AG85" t="str">
        <f t="shared" si="49"/>
        <v>HollowBrook</v>
      </c>
      <c r="AH85" s="6">
        <f t="shared" si="30"/>
        <v>165</v>
      </c>
      <c r="AI85" s="6">
        <f t="shared" si="31"/>
        <v>149</v>
      </c>
      <c r="AJ85" s="18">
        <f t="shared" si="34"/>
        <v>16</v>
      </c>
      <c r="AK85">
        <f t="shared" si="35"/>
        <v>5</v>
      </c>
      <c r="AL85">
        <f t="shared" si="36"/>
        <v>5</v>
      </c>
      <c r="AM85">
        <f t="shared" si="32"/>
        <v>0</v>
      </c>
      <c r="AN85">
        <f t="shared" si="33"/>
        <v>0</v>
      </c>
      <c r="AO85">
        <f t="shared" si="29"/>
        <v>0</v>
      </c>
      <c r="AP85">
        <f t="shared" si="37"/>
        <v>0</v>
      </c>
      <c r="AQ85">
        <f t="shared" si="38"/>
        <v>0</v>
      </c>
      <c r="AR85">
        <f t="shared" si="39"/>
        <v>0</v>
      </c>
      <c r="AS85" t="str">
        <f t="shared" si="40"/>
        <v>Full Strength</v>
      </c>
      <c r="AT85" t="str">
        <f t="shared" si="41"/>
        <v>5v5</v>
      </c>
    </row>
    <row r="86" spans="1:46" x14ac:dyDescent="0.2">
      <c r="A86">
        <f t="shared" si="45"/>
        <v>85</v>
      </c>
      <c r="B86" s="9">
        <f t="shared" si="23"/>
        <v>3</v>
      </c>
      <c r="C86">
        <f t="shared" si="24"/>
        <v>2</v>
      </c>
      <c r="D86" s="6" t="str">
        <f t="shared" si="46"/>
        <v>29</v>
      </c>
      <c r="E86">
        <v>1</v>
      </c>
      <c r="F86" s="6" t="s">
        <v>421</v>
      </c>
      <c r="H86" s="7" t="s">
        <v>409</v>
      </c>
      <c r="I86">
        <v>70</v>
      </c>
      <c r="J86">
        <v>49</v>
      </c>
      <c r="K86">
        <v>75</v>
      </c>
      <c r="L86">
        <v>9</v>
      </c>
      <c r="M86">
        <v>52</v>
      </c>
      <c r="O86" s="7">
        <v>39</v>
      </c>
      <c r="P86" s="9">
        <v>11</v>
      </c>
      <c r="Q86" s="23">
        <v>19</v>
      </c>
      <c r="R86" s="23">
        <v>13</v>
      </c>
      <c r="S86" s="23">
        <v>18</v>
      </c>
      <c r="T86" s="23">
        <v>5</v>
      </c>
      <c r="V86">
        <v>99</v>
      </c>
      <c r="W86" s="9">
        <f>SUMIFS(events!T:T,events!L:L,"=DeadIce",events!U:U,"&lt;="&amp;shifts!AH86,events!V:V,"&gt;"&amp;shifts!AI86,events!D:D,"="&amp;shifts!B87)+SUMIFS(events!T:T,events!L:L,"=Timeout",events!U:U,"&lt;="&amp;shifts!AH86,events!V:V,"&gt;"&amp;shifts!AI86,events!D:D,"="&amp;shifts!B87)</f>
        <v>0</v>
      </c>
      <c r="Y86" s="9" t="str">
        <f t="shared" si="42"/>
        <v/>
      </c>
      <c r="AA86" t="str">
        <f t="shared" si="43"/>
        <v/>
      </c>
      <c r="AB86">
        <v>1</v>
      </c>
      <c r="AC86">
        <f t="shared" si="44"/>
        <v>1</v>
      </c>
      <c r="AE86">
        <f t="shared" si="47"/>
        <v>18977</v>
      </c>
      <c r="AF86" t="str">
        <f t="shared" si="48"/>
        <v>Velodrome</v>
      </c>
      <c r="AG86" t="str">
        <f t="shared" si="49"/>
        <v>HollowBrook</v>
      </c>
      <c r="AH86" s="6">
        <f t="shared" si="30"/>
        <v>149</v>
      </c>
      <c r="AI86" s="6">
        <f t="shared" si="31"/>
        <v>116</v>
      </c>
      <c r="AJ86" s="18">
        <f t="shared" si="34"/>
        <v>33</v>
      </c>
      <c r="AK86">
        <f t="shared" si="35"/>
        <v>5</v>
      </c>
      <c r="AL86">
        <f t="shared" si="36"/>
        <v>5</v>
      </c>
      <c r="AM86">
        <f t="shared" si="32"/>
        <v>0</v>
      </c>
      <c r="AN86">
        <f t="shared" si="33"/>
        <v>0</v>
      </c>
      <c r="AO86">
        <f t="shared" si="29"/>
        <v>0</v>
      </c>
      <c r="AP86">
        <f t="shared" si="37"/>
        <v>0</v>
      </c>
      <c r="AQ86">
        <f t="shared" si="38"/>
        <v>0</v>
      </c>
      <c r="AR86">
        <f t="shared" si="39"/>
        <v>0</v>
      </c>
      <c r="AS86" t="str">
        <f t="shared" si="40"/>
        <v>Full Strength</v>
      </c>
      <c r="AT86" t="str">
        <f t="shared" si="41"/>
        <v>5v5</v>
      </c>
    </row>
    <row r="87" spans="1:46" x14ac:dyDescent="0.2">
      <c r="A87">
        <f t="shared" si="45"/>
        <v>86</v>
      </c>
      <c r="B87" s="9">
        <f t="shared" si="23"/>
        <v>3</v>
      </c>
      <c r="C87">
        <f t="shared" si="24"/>
        <v>1</v>
      </c>
      <c r="D87" s="6" t="str">
        <f t="shared" si="46"/>
        <v>56</v>
      </c>
      <c r="E87">
        <v>1</v>
      </c>
      <c r="F87" s="6" t="s">
        <v>438</v>
      </c>
      <c r="G87" s="9" t="s">
        <v>356</v>
      </c>
      <c r="H87" s="7" t="s">
        <v>407</v>
      </c>
      <c r="I87">
        <v>42</v>
      </c>
      <c r="J87">
        <v>49</v>
      </c>
      <c r="K87">
        <v>75</v>
      </c>
      <c r="L87">
        <v>9</v>
      </c>
      <c r="M87">
        <v>52</v>
      </c>
      <c r="O87" s="7">
        <v>39</v>
      </c>
      <c r="P87" s="9">
        <v>11</v>
      </c>
      <c r="Q87" s="23">
        <v>19</v>
      </c>
      <c r="R87" s="23">
        <v>13</v>
      </c>
      <c r="S87" s="23">
        <v>27</v>
      </c>
      <c r="T87" s="23">
        <v>33</v>
      </c>
      <c r="V87">
        <v>99</v>
      </c>
      <c r="W87" s="9">
        <f>SUMIFS(events!T:T,events!L:L,"=DeadIce",events!U:U,"&lt;="&amp;shifts!AH87,events!V:V,"&gt;"&amp;shifts!AI87,events!D:D,"="&amp;shifts!B88)+SUMIFS(events!T:T,events!L:L,"=Timeout",events!U:U,"&lt;="&amp;shifts!AH87,events!V:V,"&gt;"&amp;shifts!AI87,events!D:D,"="&amp;shifts!B88)</f>
        <v>0</v>
      </c>
      <c r="Y87" s="9" t="str">
        <f t="shared" si="42"/>
        <v/>
      </c>
      <c r="AA87">
        <f t="shared" si="43"/>
        <v>1</v>
      </c>
      <c r="AB87">
        <v>1</v>
      </c>
      <c r="AC87" t="str">
        <f t="shared" si="44"/>
        <v/>
      </c>
      <c r="AE87">
        <f t="shared" si="47"/>
        <v>18977</v>
      </c>
      <c r="AF87" t="str">
        <f t="shared" si="48"/>
        <v>Velodrome</v>
      </c>
      <c r="AG87" t="str">
        <f t="shared" si="49"/>
        <v>HollowBrook</v>
      </c>
      <c r="AH87" s="6">
        <f t="shared" si="30"/>
        <v>116</v>
      </c>
      <c r="AI87" s="6">
        <f t="shared" si="31"/>
        <v>98</v>
      </c>
      <c r="AJ87" s="18">
        <f t="shared" si="34"/>
        <v>18</v>
      </c>
      <c r="AK87">
        <f t="shared" si="35"/>
        <v>5</v>
      </c>
      <c r="AL87">
        <f t="shared" si="36"/>
        <v>5</v>
      </c>
      <c r="AM87">
        <f t="shared" si="32"/>
        <v>0</v>
      </c>
      <c r="AN87">
        <f t="shared" si="33"/>
        <v>0</v>
      </c>
      <c r="AO87">
        <f t="shared" si="29"/>
        <v>0</v>
      </c>
      <c r="AP87">
        <f t="shared" si="37"/>
        <v>0</v>
      </c>
      <c r="AQ87">
        <f t="shared" si="38"/>
        <v>0</v>
      </c>
      <c r="AR87">
        <f t="shared" si="39"/>
        <v>0</v>
      </c>
      <c r="AS87" t="str">
        <f t="shared" si="40"/>
        <v>Full Strength</v>
      </c>
      <c r="AT87" t="str">
        <f t="shared" si="41"/>
        <v>5v5</v>
      </c>
    </row>
    <row r="88" spans="1:46" x14ac:dyDescent="0.2">
      <c r="A88">
        <f t="shared" si="45"/>
        <v>87</v>
      </c>
      <c r="B88" s="9">
        <f t="shared" si="23"/>
        <v>3</v>
      </c>
      <c r="C88">
        <f t="shared" si="24"/>
        <v>1</v>
      </c>
      <c r="D88" s="6" t="str">
        <f t="shared" si="46"/>
        <v>38</v>
      </c>
      <c r="E88">
        <v>0</v>
      </c>
      <c r="F88" s="6" t="s">
        <v>429</v>
      </c>
      <c r="G88" s="9" t="s">
        <v>353</v>
      </c>
      <c r="H88" s="7" t="s">
        <v>409</v>
      </c>
      <c r="I88">
        <v>42</v>
      </c>
      <c r="J88">
        <v>49</v>
      </c>
      <c r="K88">
        <v>75</v>
      </c>
      <c r="L88">
        <v>9</v>
      </c>
      <c r="M88">
        <v>52</v>
      </c>
      <c r="O88" s="7">
        <v>39</v>
      </c>
      <c r="P88" s="9">
        <v>11</v>
      </c>
      <c r="Q88" s="23">
        <v>19</v>
      </c>
      <c r="R88" s="23">
        <v>13</v>
      </c>
      <c r="S88" s="23">
        <v>27</v>
      </c>
      <c r="T88" s="23">
        <v>18</v>
      </c>
      <c r="V88">
        <v>99</v>
      </c>
      <c r="W88" s="9">
        <f>SUMIFS(events!T:T,events!L:L,"=DeadIce",events!U:U,"&lt;="&amp;shifts!AH88,events!V:V,"&gt;"&amp;shifts!AI88,events!D:D,"="&amp;shifts!B89)+SUMIFS(events!T:T,events!L:L,"=Timeout",events!U:U,"&lt;="&amp;shifts!AH88,events!V:V,"&gt;"&amp;shifts!AI88,events!D:D,"="&amp;shifts!B89)</f>
        <v>110</v>
      </c>
      <c r="Y88" s="9" t="str">
        <f t="shared" si="42"/>
        <v/>
      </c>
      <c r="AA88" t="str">
        <f t="shared" si="43"/>
        <v/>
      </c>
      <c r="AB88">
        <v>1</v>
      </c>
      <c r="AC88">
        <f t="shared" si="44"/>
        <v>1</v>
      </c>
      <c r="AE88">
        <f t="shared" si="47"/>
        <v>18977</v>
      </c>
      <c r="AF88" t="str">
        <f t="shared" si="48"/>
        <v>Velodrome</v>
      </c>
      <c r="AG88" t="str">
        <f t="shared" si="49"/>
        <v>HollowBrook</v>
      </c>
      <c r="AH88" s="6">
        <f t="shared" si="30"/>
        <v>98</v>
      </c>
      <c r="AI88" s="6">
        <f t="shared" si="31"/>
        <v>55</v>
      </c>
      <c r="AJ88" s="18">
        <f t="shared" si="34"/>
        <v>43</v>
      </c>
      <c r="AK88">
        <f t="shared" si="35"/>
        <v>5</v>
      </c>
      <c r="AL88">
        <f t="shared" si="36"/>
        <v>5</v>
      </c>
      <c r="AM88">
        <f t="shared" si="32"/>
        <v>0</v>
      </c>
      <c r="AN88">
        <f t="shared" si="33"/>
        <v>0</v>
      </c>
      <c r="AO88">
        <f t="shared" si="29"/>
        <v>0</v>
      </c>
      <c r="AP88">
        <f t="shared" si="37"/>
        <v>0</v>
      </c>
      <c r="AQ88">
        <f t="shared" si="38"/>
        <v>0</v>
      </c>
      <c r="AR88">
        <f t="shared" si="39"/>
        <v>0</v>
      </c>
      <c r="AS88" t="str">
        <f t="shared" si="40"/>
        <v>Full Strength</v>
      </c>
      <c r="AT88" t="str">
        <f t="shared" si="41"/>
        <v>5v5</v>
      </c>
    </row>
    <row r="89" spans="1:46" x14ac:dyDescent="0.2">
      <c r="A89">
        <f t="shared" si="45"/>
        <v>88</v>
      </c>
      <c r="B89" s="9">
        <f t="shared" si="23"/>
        <v>3</v>
      </c>
      <c r="C89">
        <f t="shared" si="24"/>
        <v>0</v>
      </c>
      <c r="D89" s="6" t="str">
        <f t="shared" si="46"/>
        <v>55</v>
      </c>
      <c r="E89">
        <v>0</v>
      </c>
      <c r="F89" s="6" t="s">
        <v>496</v>
      </c>
      <c r="G89" s="9" t="s">
        <v>356</v>
      </c>
      <c r="H89" s="7" t="s">
        <v>359</v>
      </c>
      <c r="I89">
        <v>42</v>
      </c>
      <c r="J89">
        <v>91</v>
      </c>
      <c r="K89">
        <v>24</v>
      </c>
      <c r="L89">
        <v>9</v>
      </c>
      <c r="M89">
        <v>52</v>
      </c>
      <c r="O89" s="7">
        <v>39</v>
      </c>
      <c r="P89" s="9">
        <v>11</v>
      </c>
      <c r="Q89" s="23">
        <v>19</v>
      </c>
      <c r="R89" s="23">
        <v>13</v>
      </c>
      <c r="S89" s="23">
        <v>27</v>
      </c>
      <c r="T89" s="23">
        <v>18</v>
      </c>
      <c r="U89" s="23">
        <v>26</v>
      </c>
      <c r="W89" s="9">
        <f>SUMIFS(events!T:T,events!L:L,"=DeadIce",events!U:U,"&lt;="&amp;shifts!AH89,events!V:V,"&gt;"&amp;shifts!AI89,events!D:D,"="&amp;shifts!B90)+SUMIFS(events!T:T,events!L:L,"=Timeout",events!U:U,"&lt;="&amp;shifts!AH89,events!V:V,"&gt;"&amp;shifts!AI89,events!D:D,"="&amp;shifts!B90)</f>
        <v>26</v>
      </c>
      <c r="Y89" s="9" t="str">
        <f t="shared" si="42"/>
        <v/>
      </c>
      <c r="Z89">
        <v>1</v>
      </c>
      <c r="AA89">
        <f t="shared" si="43"/>
        <v>1</v>
      </c>
      <c r="AC89" t="str">
        <f t="shared" si="44"/>
        <v/>
      </c>
      <c r="AE89">
        <f t="shared" si="47"/>
        <v>18977</v>
      </c>
      <c r="AF89" t="str">
        <f t="shared" si="48"/>
        <v>Velodrome</v>
      </c>
      <c r="AG89" t="str">
        <f t="shared" si="49"/>
        <v>HollowBrook</v>
      </c>
      <c r="AH89" s="6">
        <f t="shared" si="30"/>
        <v>55</v>
      </c>
      <c r="AI89" s="6">
        <f t="shared" si="31"/>
        <v>0.01</v>
      </c>
      <c r="AJ89" s="18">
        <f t="shared" si="34"/>
        <v>55</v>
      </c>
      <c r="AK89">
        <f t="shared" si="35"/>
        <v>5</v>
      </c>
      <c r="AL89">
        <f t="shared" si="36"/>
        <v>6</v>
      </c>
      <c r="AM89">
        <f t="shared" si="32"/>
        <v>0</v>
      </c>
      <c r="AN89">
        <f t="shared" si="33"/>
        <v>1</v>
      </c>
      <c r="AO89">
        <f t="shared" si="29"/>
        <v>0</v>
      </c>
      <c r="AP89">
        <f t="shared" si="37"/>
        <v>0</v>
      </c>
      <c r="AQ89">
        <f t="shared" si="38"/>
        <v>0</v>
      </c>
      <c r="AR89">
        <f t="shared" si="39"/>
        <v>0</v>
      </c>
      <c r="AS89" t="str">
        <f>IF(AND(AK89=5,AL89=5,AM89=0,AN89=0),"Full Strength",IF(AQ89=1,"Away PowerPlay",IF(AP89=1,"Home PowerPlay",IF(AM89=1,"Home EmptyNet",IF(AN89=1,"Away EmptyNet","")))))</f>
        <v>Away EmptyNet</v>
      </c>
      <c r="AT89" t="str">
        <f t="shared" si="41"/>
        <v>5v6 Away EN</v>
      </c>
    </row>
    <row r="90" spans="1:46" x14ac:dyDescent="0.2">
      <c r="A90">
        <f t="shared" si="45"/>
        <v>89</v>
      </c>
      <c r="B90" s="9">
        <f t="shared" si="23"/>
        <v>3</v>
      </c>
      <c r="C90">
        <f t="shared" si="24"/>
        <v>0</v>
      </c>
      <c r="D90" s="6" t="str">
        <f t="shared" si="46"/>
        <v>0.01</v>
      </c>
      <c r="O90" s="7">
        <v>39</v>
      </c>
      <c r="V90">
        <v>99</v>
      </c>
      <c r="W90" s="9">
        <f>SUMIFS(events!T:T,events!L:L,"=DeadIce",events!U:U,"&lt;="&amp;shifts!AH90,events!V:V,"&gt;"&amp;shifts!AI90,events!D:D,"="&amp;shifts!B91)+SUMIFS(events!T:T,events!L:L,"=Timeout",events!U:U,"&lt;="&amp;shifts!AH90,events!V:V,"&gt;"&amp;shifts!AI90,events!D:D,"="&amp;shifts!B91)</f>
        <v>0</v>
      </c>
      <c r="Y90" s="9" t="str">
        <f t="shared" si="42"/>
        <v/>
      </c>
      <c r="AA90" t="str">
        <f t="shared" si="43"/>
        <v/>
      </c>
      <c r="AC90">
        <f t="shared" si="44"/>
        <v>1</v>
      </c>
      <c r="AE90">
        <f t="shared" si="47"/>
        <v>18977</v>
      </c>
      <c r="AF90" t="str">
        <f t="shared" si="48"/>
        <v>Velodrome</v>
      </c>
      <c r="AG90" t="str">
        <f t="shared" si="49"/>
        <v>HollowBrook</v>
      </c>
      <c r="AH90" s="6">
        <f t="shared" si="30"/>
        <v>0.01</v>
      </c>
      <c r="AI90" s="6">
        <f t="shared" si="31"/>
        <v>0</v>
      </c>
      <c r="AJ90" s="18">
        <f t="shared" si="34"/>
        <v>0</v>
      </c>
      <c r="AK90">
        <f t="shared" si="35"/>
        <v>0</v>
      </c>
      <c r="AL90">
        <f t="shared" si="36"/>
        <v>0</v>
      </c>
      <c r="AM90">
        <f t="shared" si="32"/>
        <v>0</v>
      </c>
      <c r="AN90">
        <f t="shared" si="33"/>
        <v>0</v>
      </c>
      <c r="AO90">
        <f t="shared" si="29"/>
        <v>0</v>
      </c>
      <c r="AP90">
        <f t="shared" si="37"/>
        <v>0</v>
      </c>
      <c r="AQ90">
        <f t="shared" si="38"/>
        <v>0</v>
      </c>
      <c r="AR90">
        <f t="shared" si="39"/>
        <v>0</v>
      </c>
      <c r="AS90" t="str">
        <f t="shared" si="40"/>
        <v/>
      </c>
      <c r="AT90" t="str">
        <f t="shared" si="41"/>
        <v>0v0</v>
      </c>
    </row>
    <row r="91" spans="1:46" x14ac:dyDescent="0.2">
      <c r="A91">
        <f t="shared" si="45"/>
        <v>90</v>
      </c>
      <c r="B91" s="9">
        <f t="shared" si="23"/>
        <v>3</v>
      </c>
      <c r="C91">
        <f t="shared" si="24"/>
        <v>0</v>
      </c>
      <c r="D91" s="6">
        <f t="shared" si="46"/>
        <v>0</v>
      </c>
      <c r="O91" s="7">
        <v>39</v>
      </c>
      <c r="V91">
        <v>99</v>
      </c>
      <c r="W91" s="9">
        <f>SUMIFS(events!T:T,events!L:L,"=DeadIce",events!U:U,"&lt;="&amp;shifts!AH91,events!V:V,"&gt;"&amp;shifts!AI91,events!D:D,"="&amp;shifts!B92)+SUMIFS(events!T:T,events!L:L,"=Timeout",events!U:U,"&lt;="&amp;shifts!AH91,events!V:V,"&gt;"&amp;shifts!AI91,events!D:D,"="&amp;shifts!B92)</f>
        <v>0</v>
      </c>
      <c r="Y91" s="9" t="str">
        <f t="shared" si="42"/>
        <v/>
      </c>
      <c r="AA91" t="str">
        <f t="shared" si="43"/>
        <v/>
      </c>
      <c r="AC91" t="str">
        <f t="shared" si="44"/>
        <v/>
      </c>
      <c r="AE91">
        <f t="shared" si="47"/>
        <v>18977</v>
      </c>
      <c r="AF91" t="str">
        <f t="shared" si="48"/>
        <v>Velodrome</v>
      </c>
      <c r="AG91" t="str">
        <f t="shared" si="49"/>
        <v>HollowBrook</v>
      </c>
      <c r="AH91" s="6">
        <f t="shared" si="30"/>
        <v>0</v>
      </c>
      <c r="AI91" s="6">
        <f t="shared" si="31"/>
        <v>0</v>
      </c>
      <c r="AJ91" s="18">
        <f t="shared" si="34"/>
        <v>0</v>
      </c>
      <c r="AK91">
        <f t="shared" si="35"/>
        <v>0</v>
      </c>
      <c r="AL91">
        <f t="shared" si="36"/>
        <v>0</v>
      </c>
      <c r="AM91">
        <f t="shared" si="32"/>
        <v>0</v>
      </c>
      <c r="AN91">
        <f t="shared" si="33"/>
        <v>0</v>
      </c>
      <c r="AO91">
        <f t="shared" si="29"/>
        <v>0</v>
      </c>
      <c r="AP91">
        <f t="shared" si="37"/>
        <v>0</v>
      </c>
      <c r="AQ91">
        <f t="shared" si="38"/>
        <v>0</v>
      </c>
      <c r="AR91">
        <f t="shared" si="39"/>
        <v>0</v>
      </c>
      <c r="AS91" t="str">
        <f t="shared" si="40"/>
        <v/>
      </c>
      <c r="AT91" t="str">
        <f t="shared" si="41"/>
        <v>0v0</v>
      </c>
    </row>
    <row r="92" spans="1:46" x14ac:dyDescent="0.2">
      <c r="A92">
        <f t="shared" si="45"/>
        <v>91</v>
      </c>
      <c r="B92" s="9">
        <f t="shared" si="23"/>
        <v>3</v>
      </c>
      <c r="C92">
        <f t="shared" si="24"/>
        <v>0</v>
      </c>
      <c r="D92" s="6">
        <f t="shared" si="46"/>
        <v>0</v>
      </c>
      <c r="O92" s="7">
        <v>39</v>
      </c>
      <c r="V92">
        <v>99</v>
      </c>
      <c r="W92" s="9">
        <f>SUMIFS(events!T:T,events!L:L,"=DeadIce",events!U:U,"&lt;="&amp;shifts!AH92,events!V:V,"&gt;"&amp;shifts!AI92,events!D:D,"="&amp;shifts!B93)+SUMIFS(events!T:T,events!L:L,"=Timeout",events!U:U,"&lt;="&amp;shifts!AH92,events!V:V,"&gt;"&amp;shifts!AI92,events!D:D,"="&amp;shifts!B93)</f>
        <v>0</v>
      </c>
      <c r="Y92" s="9" t="str">
        <f t="shared" si="42"/>
        <v/>
      </c>
      <c r="AA92" t="str">
        <f t="shared" si="43"/>
        <v/>
      </c>
      <c r="AC92" t="str">
        <f t="shared" si="44"/>
        <v/>
      </c>
      <c r="AE92">
        <f t="shared" si="47"/>
        <v>18977</v>
      </c>
      <c r="AF92" t="str">
        <f t="shared" si="48"/>
        <v>Velodrome</v>
      </c>
      <c r="AG92" t="str">
        <f t="shared" si="49"/>
        <v>HollowBrook</v>
      </c>
      <c r="AH92" s="6">
        <f t="shared" si="30"/>
        <v>0</v>
      </c>
      <c r="AI92" s="6">
        <f t="shared" si="31"/>
        <v>0</v>
      </c>
      <c r="AJ92" s="18">
        <f t="shared" si="34"/>
        <v>0</v>
      </c>
      <c r="AK92">
        <f t="shared" si="35"/>
        <v>0</v>
      </c>
      <c r="AL92">
        <f t="shared" si="36"/>
        <v>0</v>
      </c>
      <c r="AM92">
        <f t="shared" si="32"/>
        <v>0</v>
      </c>
      <c r="AN92">
        <f t="shared" si="33"/>
        <v>0</v>
      </c>
      <c r="AO92">
        <f t="shared" si="29"/>
        <v>0</v>
      </c>
      <c r="AP92">
        <f t="shared" si="37"/>
        <v>0</v>
      </c>
      <c r="AQ92">
        <f t="shared" si="38"/>
        <v>0</v>
      </c>
      <c r="AR92">
        <f t="shared" si="39"/>
        <v>0</v>
      </c>
      <c r="AS92" t="str">
        <f t="shared" si="40"/>
        <v/>
      </c>
      <c r="AT92" t="str">
        <f t="shared" si="41"/>
        <v>0v0</v>
      </c>
    </row>
    <row r="93" spans="1:46" x14ac:dyDescent="0.2">
      <c r="A93">
        <f t="shared" si="45"/>
        <v>92</v>
      </c>
      <c r="B93" s="9">
        <f t="shared" si="23"/>
        <v>3</v>
      </c>
      <c r="C93">
        <f t="shared" si="24"/>
        <v>0</v>
      </c>
      <c r="D93" s="6">
        <f t="shared" si="46"/>
        <v>0</v>
      </c>
      <c r="O93" s="7">
        <v>39</v>
      </c>
      <c r="V93">
        <v>99</v>
      </c>
      <c r="W93" s="9">
        <f>SUMIFS(events!T:T,events!L:L,"=DeadIce",events!U:U,"&lt;="&amp;shifts!AH93,events!V:V,"&gt;"&amp;shifts!AI93,events!D:D,"="&amp;shifts!B94)+SUMIFS(events!T:T,events!L:L,"=Timeout",events!U:U,"&lt;="&amp;shifts!AH93,events!V:V,"&gt;"&amp;shifts!AI93,events!D:D,"="&amp;shifts!B94)</f>
        <v>0</v>
      </c>
      <c r="Y93" s="9" t="str">
        <f t="shared" si="42"/>
        <v/>
      </c>
      <c r="AA93" t="str">
        <f t="shared" si="43"/>
        <v/>
      </c>
      <c r="AC93" t="str">
        <f t="shared" si="44"/>
        <v/>
      </c>
      <c r="AE93">
        <f t="shared" si="47"/>
        <v>18977</v>
      </c>
      <c r="AF93" t="str">
        <f t="shared" si="48"/>
        <v>Velodrome</v>
      </c>
      <c r="AG93" t="str">
        <f t="shared" si="49"/>
        <v>HollowBrook</v>
      </c>
      <c r="AH93" s="6">
        <f t="shared" si="30"/>
        <v>0</v>
      </c>
      <c r="AI93" s="6">
        <f t="shared" si="31"/>
        <v>0</v>
      </c>
      <c r="AJ93" s="18">
        <f t="shared" si="34"/>
        <v>0</v>
      </c>
      <c r="AK93">
        <f t="shared" si="35"/>
        <v>0</v>
      </c>
      <c r="AL93">
        <f t="shared" si="36"/>
        <v>0</v>
      </c>
      <c r="AM93">
        <f t="shared" si="32"/>
        <v>0</v>
      </c>
      <c r="AN93">
        <f t="shared" si="33"/>
        <v>0</v>
      </c>
      <c r="AO93">
        <f t="shared" si="29"/>
        <v>0</v>
      </c>
      <c r="AP93">
        <f t="shared" si="37"/>
        <v>0</v>
      </c>
      <c r="AQ93">
        <f t="shared" si="38"/>
        <v>0</v>
      </c>
      <c r="AR93">
        <f t="shared" si="39"/>
        <v>0</v>
      </c>
      <c r="AS93" t="str">
        <f t="shared" si="40"/>
        <v/>
      </c>
      <c r="AT93" t="str">
        <f t="shared" si="41"/>
        <v>0v0</v>
      </c>
    </row>
    <row r="94" spans="1:46" x14ac:dyDescent="0.2">
      <c r="A94">
        <f t="shared" si="45"/>
        <v>93</v>
      </c>
      <c r="B94" s="9">
        <f t="shared" si="23"/>
        <v>3</v>
      </c>
      <c r="C94">
        <f t="shared" si="24"/>
        <v>0</v>
      </c>
      <c r="D94" s="6">
        <f t="shared" si="46"/>
        <v>0</v>
      </c>
      <c r="O94" s="7">
        <v>39</v>
      </c>
      <c r="V94">
        <v>99</v>
      </c>
      <c r="W94" s="9">
        <f>SUMIFS(events!T:T,events!L:L,"=DeadIce",events!U:U,"&lt;="&amp;shifts!AH94,events!V:V,"&gt;"&amp;shifts!AI94,events!D:D,"="&amp;shifts!B95)+SUMIFS(events!T:T,events!L:L,"=Timeout",events!U:U,"&lt;="&amp;shifts!AH94,events!V:V,"&gt;"&amp;shifts!AI94,events!D:D,"="&amp;shifts!B95)</f>
        <v>0</v>
      </c>
      <c r="Y94" s="9" t="str">
        <f t="shared" si="42"/>
        <v/>
      </c>
      <c r="AA94" t="str">
        <f t="shared" si="43"/>
        <v/>
      </c>
      <c r="AC94" t="str">
        <f t="shared" si="44"/>
        <v/>
      </c>
      <c r="AE94">
        <f t="shared" si="47"/>
        <v>18977</v>
      </c>
      <c r="AF94" t="str">
        <f t="shared" si="48"/>
        <v>Velodrome</v>
      </c>
      <c r="AG94" t="str">
        <f t="shared" si="49"/>
        <v>HollowBrook</v>
      </c>
      <c r="AH94" s="6">
        <f t="shared" si="30"/>
        <v>0</v>
      </c>
      <c r="AI94" s="6">
        <f t="shared" si="31"/>
        <v>0</v>
      </c>
      <c r="AJ94" s="18">
        <f t="shared" si="34"/>
        <v>0</v>
      </c>
      <c r="AK94">
        <f t="shared" si="35"/>
        <v>0</v>
      </c>
      <c r="AL94">
        <f t="shared" si="36"/>
        <v>0</v>
      </c>
      <c r="AM94">
        <f t="shared" si="32"/>
        <v>0</v>
      </c>
      <c r="AN94">
        <f t="shared" si="33"/>
        <v>0</v>
      </c>
      <c r="AO94">
        <f t="shared" si="29"/>
        <v>0</v>
      </c>
      <c r="AP94">
        <f t="shared" si="37"/>
        <v>0</v>
      </c>
      <c r="AQ94">
        <f t="shared" si="38"/>
        <v>0</v>
      </c>
      <c r="AR94">
        <f t="shared" si="39"/>
        <v>0</v>
      </c>
      <c r="AS94" t="str">
        <f t="shared" si="40"/>
        <v/>
      </c>
      <c r="AT94" t="str">
        <f t="shared" si="41"/>
        <v>0v0</v>
      </c>
    </row>
    <row r="95" spans="1:46" x14ac:dyDescent="0.2">
      <c r="A95">
        <f t="shared" si="45"/>
        <v>94</v>
      </c>
      <c r="B95" s="9">
        <f t="shared" si="23"/>
        <v>3</v>
      </c>
      <c r="C95">
        <f t="shared" si="24"/>
        <v>0</v>
      </c>
      <c r="D95" s="6">
        <f t="shared" si="46"/>
        <v>0</v>
      </c>
      <c r="O95" s="7">
        <v>39</v>
      </c>
      <c r="V95">
        <v>99</v>
      </c>
      <c r="W95" s="9">
        <f>SUMIFS(events!T:T,events!L:L,"=DeadIce",events!U:U,"&lt;="&amp;shifts!AH95,events!V:V,"&gt;"&amp;shifts!AI95,events!D:D,"="&amp;shifts!B96)+SUMIFS(events!T:T,events!L:L,"=Timeout",events!U:U,"&lt;="&amp;shifts!AH95,events!V:V,"&gt;"&amp;shifts!AI95,events!D:D,"="&amp;shifts!B96)</f>
        <v>0</v>
      </c>
      <c r="Y95" s="9" t="str">
        <f t="shared" si="42"/>
        <v/>
      </c>
      <c r="AA95" t="str">
        <f t="shared" si="43"/>
        <v/>
      </c>
      <c r="AC95" t="str">
        <f t="shared" si="44"/>
        <v/>
      </c>
      <c r="AE95">
        <f t="shared" si="47"/>
        <v>18977</v>
      </c>
      <c r="AF95" t="str">
        <f t="shared" si="48"/>
        <v>Velodrome</v>
      </c>
      <c r="AG95" t="str">
        <f t="shared" si="49"/>
        <v>HollowBrook</v>
      </c>
      <c r="AH95" s="6">
        <f t="shared" si="30"/>
        <v>0</v>
      </c>
      <c r="AI95" s="6">
        <f t="shared" si="31"/>
        <v>0</v>
      </c>
      <c r="AJ95" s="18">
        <f t="shared" si="34"/>
        <v>0</v>
      </c>
      <c r="AK95">
        <f t="shared" si="35"/>
        <v>0</v>
      </c>
      <c r="AL95">
        <f t="shared" si="36"/>
        <v>0</v>
      </c>
      <c r="AM95">
        <f t="shared" si="32"/>
        <v>0</v>
      </c>
      <c r="AN95">
        <f t="shared" si="33"/>
        <v>0</v>
      </c>
      <c r="AO95">
        <f t="shared" si="29"/>
        <v>0</v>
      </c>
      <c r="AP95">
        <f t="shared" si="37"/>
        <v>0</v>
      </c>
      <c r="AQ95">
        <f t="shared" si="38"/>
        <v>0</v>
      </c>
      <c r="AR95">
        <f t="shared" si="39"/>
        <v>0</v>
      </c>
      <c r="AS95" t="str">
        <f t="shared" si="40"/>
        <v/>
      </c>
      <c r="AT95" t="str">
        <f t="shared" si="41"/>
        <v>0v0</v>
      </c>
    </row>
    <row r="96" spans="1:46" x14ac:dyDescent="0.2">
      <c r="A96">
        <f t="shared" si="45"/>
        <v>95</v>
      </c>
      <c r="B96" s="9">
        <f t="shared" si="23"/>
        <v>3</v>
      </c>
      <c r="C96">
        <f t="shared" si="24"/>
        <v>0</v>
      </c>
      <c r="D96" s="6">
        <f t="shared" si="46"/>
        <v>0</v>
      </c>
      <c r="O96" s="7">
        <v>39</v>
      </c>
      <c r="V96">
        <v>99</v>
      </c>
      <c r="W96" s="9">
        <f>SUMIFS(events!T:T,events!L:L,"=DeadIce",events!U:U,"&lt;="&amp;shifts!AH96,events!V:V,"&gt;"&amp;shifts!AI96,events!D:D,"="&amp;shifts!B97)+SUMIFS(events!T:T,events!L:L,"=Timeout",events!U:U,"&lt;="&amp;shifts!AH96,events!V:V,"&gt;"&amp;shifts!AI96,events!D:D,"="&amp;shifts!B97)</f>
        <v>0</v>
      </c>
      <c r="Y96" s="9" t="str">
        <f t="shared" si="42"/>
        <v/>
      </c>
      <c r="AA96" t="str">
        <f t="shared" si="43"/>
        <v/>
      </c>
      <c r="AC96" t="str">
        <f t="shared" si="44"/>
        <v/>
      </c>
      <c r="AE96">
        <f t="shared" si="47"/>
        <v>18977</v>
      </c>
      <c r="AF96" t="str">
        <f t="shared" si="48"/>
        <v>Velodrome</v>
      </c>
      <c r="AG96" t="str">
        <f t="shared" si="49"/>
        <v>HollowBrook</v>
      </c>
      <c r="AH96" s="6">
        <f t="shared" si="30"/>
        <v>0</v>
      </c>
      <c r="AI96" s="6">
        <f t="shared" si="31"/>
        <v>0</v>
      </c>
      <c r="AJ96" s="18">
        <f t="shared" si="34"/>
        <v>0</v>
      </c>
      <c r="AK96">
        <f t="shared" si="35"/>
        <v>0</v>
      </c>
      <c r="AL96">
        <f t="shared" si="36"/>
        <v>0</v>
      </c>
      <c r="AM96">
        <f t="shared" si="32"/>
        <v>0</v>
      </c>
      <c r="AN96">
        <f t="shared" si="33"/>
        <v>0</v>
      </c>
      <c r="AO96">
        <f t="shared" si="29"/>
        <v>0</v>
      </c>
      <c r="AP96">
        <f t="shared" si="37"/>
        <v>0</v>
      </c>
      <c r="AQ96">
        <f t="shared" si="38"/>
        <v>0</v>
      </c>
      <c r="AR96">
        <f t="shared" si="39"/>
        <v>0</v>
      </c>
      <c r="AS96" t="str">
        <f t="shared" si="40"/>
        <v/>
      </c>
      <c r="AT96" t="str">
        <f t="shared" si="41"/>
        <v>0v0</v>
      </c>
    </row>
    <row r="97" spans="1:46" x14ac:dyDescent="0.2">
      <c r="A97">
        <f t="shared" si="45"/>
        <v>96</v>
      </c>
      <c r="B97" s="9">
        <f t="shared" si="23"/>
        <v>3</v>
      </c>
      <c r="C97">
        <f t="shared" si="24"/>
        <v>0</v>
      </c>
      <c r="D97" s="6">
        <f t="shared" si="46"/>
        <v>0</v>
      </c>
      <c r="O97" s="7">
        <v>39</v>
      </c>
      <c r="V97">
        <v>99</v>
      </c>
      <c r="W97" s="9">
        <f>SUMIFS(events!T:T,events!L:L,"=DeadIce",events!U:U,"&lt;="&amp;shifts!AH97,events!V:V,"&gt;"&amp;shifts!AI97,events!D:D,"="&amp;shifts!B98)+SUMIFS(events!T:T,events!L:L,"=Timeout",events!U:U,"&lt;="&amp;shifts!AH97,events!V:V,"&gt;"&amp;shifts!AI97,events!D:D,"="&amp;shifts!B98)</f>
        <v>0</v>
      </c>
      <c r="Y97" s="9" t="str">
        <f t="shared" si="42"/>
        <v/>
      </c>
      <c r="AA97" t="str">
        <f t="shared" si="43"/>
        <v/>
      </c>
      <c r="AC97" t="str">
        <f t="shared" si="44"/>
        <v/>
      </c>
      <c r="AE97">
        <f t="shared" si="47"/>
        <v>18977</v>
      </c>
      <c r="AF97" t="str">
        <f t="shared" si="48"/>
        <v>Velodrome</v>
      </c>
      <c r="AG97" t="str">
        <f t="shared" si="49"/>
        <v>HollowBrook</v>
      </c>
      <c r="AH97" s="6">
        <f t="shared" si="30"/>
        <v>0</v>
      </c>
      <c r="AI97" s="6">
        <f t="shared" si="31"/>
        <v>0</v>
      </c>
      <c r="AJ97" s="18">
        <f t="shared" si="34"/>
        <v>0</v>
      </c>
      <c r="AK97">
        <f t="shared" si="35"/>
        <v>0</v>
      </c>
      <c r="AL97">
        <f t="shared" si="36"/>
        <v>0</v>
      </c>
      <c r="AM97">
        <f t="shared" si="32"/>
        <v>0</v>
      </c>
      <c r="AN97">
        <f t="shared" si="33"/>
        <v>0</v>
      </c>
      <c r="AO97">
        <f t="shared" si="29"/>
        <v>0</v>
      </c>
      <c r="AP97">
        <f t="shared" si="37"/>
        <v>0</v>
      </c>
      <c r="AQ97">
        <f t="shared" si="38"/>
        <v>0</v>
      </c>
      <c r="AR97">
        <f t="shared" si="39"/>
        <v>0</v>
      </c>
      <c r="AS97" t="str">
        <f t="shared" si="40"/>
        <v/>
      </c>
      <c r="AT97" t="str">
        <f t="shared" si="41"/>
        <v>0v0</v>
      </c>
    </row>
    <row r="98" spans="1:46" x14ac:dyDescent="0.2">
      <c r="A98">
        <f t="shared" si="45"/>
        <v>97</v>
      </c>
      <c r="B98" s="9">
        <f t="shared" si="23"/>
        <v>3</v>
      </c>
      <c r="C98">
        <f t="shared" si="24"/>
        <v>0</v>
      </c>
      <c r="D98" s="6">
        <f t="shared" si="46"/>
        <v>0</v>
      </c>
      <c r="O98" s="7">
        <v>39</v>
      </c>
      <c r="V98">
        <v>99</v>
      </c>
      <c r="W98" s="9">
        <f>SUMIFS(events!T:T,events!L:L,"=DeadIce",events!U:U,"&lt;="&amp;shifts!AH98,events!V:V,"&gt;"&amp;shifts!AI98,events!D:D,"="&amp;shifts!B99)+SUMIFS(events!T:T,events!L:L,"=Timeout",events!U:U,"&lt;="&amp;shifts!AH98,events!V:V,"&gt;"&amp;shifts!AI98,events!D:D,"="&amp;shifts!B99)</f>
        <v>0</v>
      </c>
      <c r="Y98" s="9" t="str">
        <f t="shared" si="42"/>
        <v/>
      </c>
      <c r="AA98" t="str">
        <f t="shared" si="43"/>
        <v/>
      </c>
      <c r="AC98" t="str">
        <f t="shared" si="44"/>
        <v/>
      </c>
      <c r="AE98">
        <f t="shared" si="47"/>
        <v>18977</v>
      </c>
      <c r="AF98" t="str">
        <f t="shared" si="48"/>
        <v>Velodrome</v>
      </c>
      <c r="AG98" t="str">
        <f t="shared" si="49"/>
        <v>HollowBrook</v>
      </c>
      <c r="AH98" s="6">
        <f t="shared" si="30"/>
        <v>0</v>
      </c>
      <c r="AI98" s="6">
        <f t="shared" si="31"/>
        <v>0</v>
      </c>
      <c r="AJ98" s="18">
        <f t="shared" si="34"/>
        <v>0</v>
      </c>
      <c r="AK98">
        <f t="shared" si="35"/>
        <v>0</v>
      </c>
      <c r="AL98">
        <f t="shared" si="36"/>
        <v>0</v>
      </c>
      <c r="AM98">
        <f t="shared" si="32"/>
        <v>0</v>
      </c>
      <c r="AN98">
        <f t="shared" si="33"/>
        <v>0</v>
      </c>
      <c r="AO98">
        <f t="shared" si="29"/>
        <v>0</v>
      </c>
      <c r="AP98">
        <f t="shared" si="37"/>
        <v>0</v>
      </c>
      <c r="AQ98">
        <f t="shared" si="38"/>
        <v>0</v>
      </c>
      <c r="AR98">
        <f t="shared" si="39"/>
        <v>0</v>
      </c>
      <c r="AS98" t="str">
        <f t="shared" si="40"/>
        <v/>
      </c>
      <c r="AT98" t="str">
        <f t="shared" si="41"/>
        <v>0v0</v>
      </c>
    </row>
    <row r="99" spans="1:46" x14ac:dyDescent="0.2">
      <c r="A99">
        <f t="shared" si="45"/>
        <v>98</v>
      </c>
      <c r="B99" s="9">
        <f t="shared" si="23"/>
        <v>3</v>
      </c>
      <c r="C99">
        <f t="shared" si="24"/>
        <v>0</v>
      </c>
      <c r="D99" s="6">
        <f t="shared" si="46"/>
        <v>0</v>
      </c>
      <c r="O99" s="7">
        <v>39</v>
      </c>
      <c r="V99">
        <v>99</v>
      </c>
      <c r="W99" s="9">
        <f>SUMIFS(events!T:T,events!L:L,"=DeadIce",events!U:U,"&lt;="&amp;shifts!AH99,events!V:V,"&gt;"&amp;shifts!AI99,events!D:D,"="&amp;shifts!B100)+SUMIFS(events!T:T,events!L:L,"=Timeout",events!U:U,"&lt;="&amp;shifts!AH99,events!V:V,"&gt;"&amp;shifts!AI99,events!D:D,"="&amp;shifts!B100)</f>
        <v>0</v>
      </c>
      <c r="Y99" s="9" t="str">
        <f t="shared" si="42"/>
        <v/>
      </c>
      <c r="AA99" t="str">
        <f t="shared" si="43"/>
        <v/>
      </c>
      <c r="AC99" t="str">
        <f t="shared" si="44"/>
        <v/>
      </c>
      <c r="AE99">
        <f t="shared" si="47"/>
        <v>18977</v>
      </c>
      <c r="AF99" t="str">
        <f t="shared" si="48"/>
        <v>Velodrome</v>
      </c>
      <c r="AG99" t="str">
        <f t="shared" si="49"/>
        <v>HollowBrook</v>
      </c>
      <c r="AH99" s="6">
        <f t="shared" si="30"/>
        <v>0</v>
      </c>
      <c r="AI99" s="6">
        <f t="shared" si="31"/>
        <v>0</v>
      </c>
      <c r="AJ99" s="18">
        <f t="shared" si="34"/>
        <v>0</v>
      </c>
      <c r="AK99">
        <f t="shared" si="35"/>
        <v>0</v>
      </c>
      <c r="AL99">
        <f t="shared" si="36"/>
        <v>0</v>
      </c>
      <c r="AM99">
        <f t="shared" si="32"/>
        <v>0</v>
      </c>
      <c r="AN99">
        <f t="shared" si="33"/>
        <v>0</v>
      </c>
      <c r="AO99">
        <f t="shared" si="29"/>
        <v>0</v>
      </c>
      <c r="AP99">
        <f t="shared" si="37"/>
        <v>0</v>
      </c>
      <c r="AQ99">
        <f t="shared" si="38"/>
        <v>0</v>
      </c>
      <c r="AR99">
        <f t="shared" si="39"/>
        <v>0</v>
      </c>
      <c r="AS99" t="str">
        <f t="shared" si="40"/>
        <v/>
      </c>
      <c r="AT99" t="str">
        <f t="shared" si="41"/>
        <v>0v0</v>
      </c>
    </row>
    <row r="100" spans="1:46" x14ac:dyDescent="0.2">
      <c r="A100">
        <f t="shared" si="45"/>
        <v>99</v>
      </c>
      <c r="B100" s="9">
        <f t="shared" ref="B100:B163" si="50">IF(G100="PeriodStart",B99+1,B99)</f>
        <v>3</v>
      </c>
      <c r="C100">
        <f t="shared" ref="C100:C163" si="51">IF(G100&lt;&gt;"PeriodStart",E99,18)</f>
        <v>0</v>
      </c>
      <c r="D100" s="6">
        <f t="shared" si="46"/>
        <v>0</v>
      </c>
      <c r="O100" s="7">
        <v>39</v>
      </c>
      <c r="V100">
        <v>99</v>
      </c>
      <c r="W100" s="9">
        <f>SUMIFS(events!T:T,events!L:L,"=DeadIce",events!U:U,"&lt;="&amp;shifts!AH100,events!V:V,"&gt;"&amp;shifts!AI100,events!D:D,"="&amp;shifts!B101)+SUMIFS(events!T:T,events!L:L,"=Timeout",events!U:U,"&lt;="&amp;shifts!AH100,events!V:V,"&gt;"&amp;shifts!AI100,events!D:D,"="&amp;shifts!B101)</f>
        <v>0</v>
      </c>
      <c r="Y100" s="9" t="str">
        <f t="shared" si="42"/>
        <v/>
      </c>
      <c r="AA100" t="str">
        <f t="shared" si="43"/>
        <v/>
      </c>
      <c r="AC100" t="str">
        <f t="shared" si="44"/>
        <v/>
      </c>
      <c r="AE100">
        <f t="shared" si="47"/>
        <v>18977</v>
      </c>
      <c r="AF100" t="str">
        <f t="shared" si="48"/>
        <v>Velodrome</v>
      </c>
      <c r="AG100" t="str">
        <f t="shared" si="49"/>
        <v>HollowBrook</v>
      </c>
      <c r="AH100" s="6">
        <f t="shared" ref="AH100:AH131" si="52">((C100*60)+D100)</f>
        <v>0</v>
      </c>
      <c r="AI100" s="6">
        <f t="shared" ref="AI100:AI131" si="53">((E100*60)+F100)</f>
        <v>0</v>
      </c>
      <c r="AJ100" s="18">
        <f t="shared" si="34"/>
        <v>0</v>
      </c>
      <c r="AK100">
        <f t="shared" si="35"/>
        <v>0</v>
      </c>
      <c r="AL100">
        <f t="shared" si="36"/>
        <v>0</v>
      </c>
      <c r="AM100">
        <f t="shared" ref="AM100:AM131" si="54">IF(O100="",1,0)</f>
        <v>0</v>
      </c>
      <c r="AN100">
        <f t="shared" ref="AN100:AN131" si="55">IF(V100="",1,0)</f>
        <v>0</v>
      </c>
      <c r="AO100">
        <f t="shared" si="29"/>
        <v>0</v>
      </c>
      <c r="AP100">
        <f t="shared" si="37"/>
        <v>0</v>
      </c>
      <c r="AQ100">
        <f t="shared" si="38"/>
        <v>0</v>
      </c>
      <c r="AR100">
        <f t="shared" si="39"/>
        <v>0</v>
      </c>
      <c r="AS100" t="str">
        <f t="shared" si="40"/>
        <v/>
      </c>
      <c r="AT100" t="str">
        <f t="shared" si="41"/>
        <v>0v0</v>
      </c>
    </row>
    <row r="101" spans="1:46" x14ac:dyDescent="0.2">
      <c r="A101">
        <f t="shared" si="45"/>
        <v>100</v>
      </c>
      <c r="B101" s="9">
        <f t="shared" si="50"/>
        <v>3</v>
      </c>
      <c r="C101">
        <f t="shared" si="51"/>
        <v>0</v>
      </c>
      <c r="D101" s="6">
        <f t="shared" si="46"/>
        <v>0</v>
      </c>
      <c r="O101" s="7">
        <v>39</v>
      </c>
      <c r="V101">
        <v>99</v>
      </c>
      <c r="W101" s="9">
        <f>SUMIFS(events!T:T,events!L:L,"=DeadIce",events!U:U,"&lt;="&amp;shifts!AH101,events!V:V,"&gt;"&amp;shifts!AI101,events!D:D,"="&amp;shifts!B102)+SUMIFS(events!T:T,events!L:L,"=Timeout",events!U:U,"&lt;="&amp;shifts!AH101,events!V:V,"&gt;"&amp;shifts!AI101,events!D:D,"="&amp;shifts!B102)</f>
        <v>0</v>
      </c>
      <c r="Y101" s="9" t="str">
        <f t="shared" si="42"/>
        <v/>
      </c>
      <c r="AA101" t="str">
        <f t="shared" si="43"/>
        <v/>
      </c>
      <c r="AC101" t="str">
        <f t="shared" si="44"/>
        <v/>
      </c>
      <c r="AE101">
        <f t="shared" si="47"/>
        <v>18977</v>
      </c>
      <c r="AF101" t="str">
        <f t="shared" si="48"/>
        <v>Velodrome</v>
      </c>
      <c r="AG101" t="str">
        <f t="shared" si="49"/>
        <v>HollowBrook</v>
      </c>
      <c r="AH101" s="6">
        <f t="shared" si="52"/>
        <v>0</v>
      </c>
      <c r="AI101" s="6">
        <f t="shared" si="53"/>
        <v>0</v>
      </c>
      <c r="AJ101" s="18">
        <f t="shared" si="34"/>
        <v>0</v>
      </c>
      <c r="AK101">
        <f t="shared" si="35"/>
        <v>0</v>
      </c>
      <c r="AL101">
        <f t="shared" si="36"/>
        <v>0</v>
      </c>
      <c r="AM101">
        <f t="shared" si="54"/>
        <v>0</v>
      </c>
      <c r="AN101">
        <f t="shared" si="55"/>
        <v>0</v>
      </c>
      <c r="AO101">
        <f t="shared" si="29"/>
        <v>0</v>
      </c>
      <c r="AP101">
        <f t="shared" si="37"/>
        <v>0</v>
      </c>
      <c r="AQ101">
        <f t="shared" si="38"/>
        <v>0</v>
      </c>
      <c r="AR101">
        <f t="shared" si="39"/>
        <v>0</v>
      </c>
      <c r="AS101" t="str">
        <f t="shared" si="40"/>
        <v/>
      </c>
      <c r="AT101" t="str">
        <f t="shared" si="41"/>
        <v>0v0</v>
      </c>
    </row>
    <row r="102" spans="1:46" x14ac:dyDescent="0.2">
      <c r="A102">
        <f t="shared" si="45"/>
        <v>101</v>
      </c>
      <c r="B102" s="9">
        <f t="shared" si="50"/>
        <v>3</v>
      </c>
      <c r="C102">
        <f t="shared" si="51"/>
        <v>0</v>
      </c>
      <c r="D102" s="6">
        <f t="shared" si="46"/>
        <v>0</v>
      </c>
      <c r="O102" s="7">
        <v>39</v>
      </c>
      <c r="V102">
        <v>99</v>
      </c>
      <c r="W102" s="9">
        <f>SUMIFS(events!T:T,events!L:L,"=DeadIce",events!U:U,"&lt;="&amp;shifts!AH102,events!V:V,"&gt;"&amp;shifts!AI102,events!D:D,"="&amp;shifts!B103)+SUMIFS(events!T:T,events!L:L,"=Timeout",events!U:U,"&lt;="&amp;shifts!AH102,events!V:V,"&gt;"&amp;shifts!AI102,events!D:D,"="&amp;shifts!B103)</f>
        <v>0</v>
      </c>
      <c r="Y102" s="9" t="str">
        <f t="shared" si="42"/>
        <v/>
      </c>
      <c r="AA102" t="str">
        <f t="shared" si="43"/>
        <v/>
      </c>
      <c r="AC102" t="str">
        <f t="shared" si="44"/>
        <v/>
      </c>
      <c r="AE102">
        <f t="shared" si="47"/>
        <v>18977</v>
      </c>
      <c r="AF102" t="str">
        <f t="shared" si="48"/>
        <v>Velodrome</v>
      </c>
      <c r="AG102" t="str">
        <f t="shared" si="49"/>
        <v>HollowBrook</v>
      </c>
      <c r="AH102" s="6">
        <f t="shared" si="52"/>
        <v>0</v>
      </c>
      <c r="AI102" s="6">
        <f t="shared" si="53"/>
        <v>0</v>
      </c>
      <c r="AJ102" s="18">
        <f t="shared" si="34"/>
        <v>0</v>
      </c>
      <c r="AK102">
        <f t="shared" si="35"/>
        <v>0</v>
      </c>
      <c r="AL102">
        <f t="shared" si="36"/>
        <v>0</v>
      </c>
      <c r="AM102">
        <f t="shared" si="54"/>
        <v>0</v>
      </c>
      <c r="AN102">
        <f t="shared" si="55"/>
        <v>0</v>
      </c>
      <c r="AO102">
        <f t="shared" si="29"/>
        <v>0</v>
      </c>
      <c r="AP102">
        <f t="shared" si="37"/>
        <v>0</v>
      </c>
      <c r="AQ102">
        <f t="shared" si="38"/>
        <v>0</v>
      </c>
      <c r="AR102">
        <f t="shared" si="39"/>
        <v>0</v>
      </c>
      <c r="AS102" t="str">
        <f t="shared" si="40"/>
        <v/>
      </c>
      <c r="AT102" t="str">
        <f t="shared" si="41"/>
        <v>0v0</v>
      </c>
    </row>
    <row r="103" spans="1:46" x14ac:dyDescent="0.2">
      <c r="A103">
        <f t="shared" si="45"/>
        <v>102</v>
      </c>
      <c r="B103" s="9">
        <f t="shared" si="50"/>
        <v>3</v>
      </c>
      <c r="C103">
        <f t="shared" si="51"/>
        <v>0</v>
      </c>
      <c r="D103" s="6">
        <f t="shared" si="46"/>
        <v>0</v>
      </c>
      <c r="O103" s="7">
        <v>39</v>
      </c>
      <c r="V103">
        <v>99</v>
      </c>
      <c r="W103" s="9">
        <f>SUMIFS(events!T:T,events!L:L,"=DeadIce",events!U:U,"&lt;="&amp;shifts!AH103,events!V:V,"&gt;"&amp;shifts!AI103,events!D:D,"="&amp;shifts!B104)+SUMIFS(events!T:T,events!L:L,"=Timeout",events!U:U,"&lt;="&amp;shifts!AH103,events!V:V,"&gt;"&amp;shifts!AI103,events!D:D,"="&amp;shifts!B104)</f>
        <v>0</v>
      </c>
      <c r="Y103" s="9" t="str">
        <f t="shared" si="42"/>
        <v/>
      </c>
      <c r="AA103" t="str">
        <f t="shared" si="43"/>
        <v/>
      </c>
      <c r="AC103" t="str">
        <f t="shared" si="44"/>
        <v/>
      </c>
      <c r="AE103">
        <f t="shared" si="47"/>
        <v>18977</v>
      </c>
      <c r="AF103" t="str">
        <f t="shared" si="48"/>
        <v>Velodrome</v>
      </c>
      <c r="AG103" t="str">
        <f t="shared" si="49"/>
        <v>HollowBrook</v>
      </c>
      <c r="AH103" s="6">
        <f t="shared" si="52"/>
        <v>0</v>
      </c>
      <c r="AI103" s="6">
        <f t="shared" si="53"/>
        <v>0</v>
      </c>
      <c r="AJ103" s="18">
        <f t="shared" si="34"/>
        <v>0</v>
      </c>
      <c r="AK103">
        <f t="shared" si="35"/>
        <v>0</v>
      </c>
      <c r="AL103">
        <f t="shared" si="36"/>
        <v>0</v>
      </c>
      <c r="AM103">
        <f t="shared" si="54"/>
        <v>0</v>
      </c>
      <c r="AN103">
        <f t="shared" si="55"/>
        <v>0</v>
      </c>
      <c r="AO103">
        <f t="shared" si="29"/>
        <v>0</v>
      </c>
      <c r="AP103">
        <f t="shared" si="37"/>
        <v>0</v>
      </c>
      <c r="AQ103">
        <f t="shared" si="38"/>
        <v>0</v>
      </c>
      <c r="AR103">
        <f t="shared" si="39"/>
        <v>0</v>
      </c>
      <c r="AS103" t="str">
        <f t="shared" si="40"/>
        <v/>
      </c>
      <c r="AT103" t="str">
        <f t="shared" si="41"/>
        <v>0v0</v>
      </c>
    </row>
    <row r="104" spans="1:46" x14ac:dyDescent="0.2">
      <c r="A104">
        <f t="shared" si="45"/>
        <v>103</v>
      </c>
      <c r="B104" s="9">
        <f t="shared" si="50"/>
        <v>3</v>
      </c>
      <c r="C104">
        <f t="shared" si="51"/>
        <v>0</v>
      </c>
      <c r="D104" s="6">
        <f t="shared" si="46"/>
        <v>0</v>
      </c>
      <c r="O104" s="7">
        <v>39</v>
      </c>
      <c r="V104">
        <v>99</v>
      </c>
      <c r="W104" s="9">
        <f>SUMIFS(events!T:T,events!L:L,"=DeadIce",events!U:U,"&lt;="&amp;shifts!AH104,events!V:V,"&gt;"&amp;shifts!AI104,events!D:D,"="&amp;shifts!B105)+SUMIFS(events!T:T,events!L:L,"=Timeout",events!U:U,"&lt;="&amp;shifts!AH104,events!V:V,"&gt;"&amp;shifts!AI104,events!D:D,"="&amp;shifts!B105)</f>
        <v>0</v>
      </c>
      <c r="Y104" s="9" t="str">
        <f t="shared" si="42"/>
        <v/>
      </c>
      <c r="AA104" t="str">
        <f t="shared" si="43"/>
        <v/>
      </c>
      <c r="AC104" t="str">
        <f t="shared" si="44"/>
        <v/>
      </c>
      <c r="AE104">
        <f t="shared" si="47"/>
        <v>18977</v>
      </c>
      <c r="AF104" t="str">
        <f t="shared" si="48"/>
        <v>Velodrome</v>
      </c>
      <c r="AG104" t="str">
        <f t="shared" si="49"/>
        <v>HollowBrook</v>
      </c>
      <c r="AH104" s="6">
        <f t="shared" si="52"/>
        <v>0</v>
      </c>
      <c r="AI104" s="6">
        <f t="shared" si="53"/>
        <v>0</v>
      </c>
      <c r="AJ104" s="18">
        <f t="shared" si="34"/>
        <v>0</v>
      </c>
      <c r="AK104">
        <f t="shared" si="35"/>
        <v>0</v>
      </c>
      <c r="AL104">
        <f t="shared" si="36"/>
        <v>0</v>
      </c>
      <c r="AM104">
        <f t="shared" si="54"/>
        <v>0</v>
      </c>
      <c r="AN104">
        <f t="shared" si="55"/>
        <v>0</v>
      </c>
      <c r="AO104">
        <f t="shared" si="29"/>
        <v>0</v>
      </c>
      <c r="AP104">
        <f t="shared" si="37"/>
        <v>0</v>
      </c>
      <c r="AQ104">
        <f t="shared" si="38"/>
        <v>0</v>
      </c>
      <c r="AR104">
        <f t="shared" si="39"/>
        <v>0</v>
      </c>
      <c r="AS104" t="str">
        <f t="shared" si="40"/>
        <v/>
      </c>
      <c r="AT104" t="str">
        <f t="shared" si="41"/>
        <v>0v0</v>
      </c>
    </row>
    <row r="105" spans="1:46" x14ac:dyDescent="0.2">
      <c r="A105">
        <f t="shared" si="45"/>
        <v>104</v>
      </c>
      <c r="B105" s="9">
        <f t="shared" si="50"/>
        <v>3</v>
      </c>
      <c r="C105">
        <f t="shared" si="51"/>
        <v>0</v>
      </c>
      <c r="D105" s="6">
        <f t="shared" si="46"/>
        <v>0</v>
      </c>
      <c r="O105" s="7">
        <v>39</v>
      </c>
      <c r="V105">
        <v>99</v>
      </c>
      <c r="W105" s="9">
        <f>SUMIFS(events!T:T,events!L:L,"=DeadIce",events!U:U,"&lt;="&amp;shifts!AH105,events!V:V,"&gt;"&amp;shifts!AI105,events!D:D,"="&amp;shifts!B106)+SUMIFS(events!T:T,events!L:L,"=Timeout",events!U:U,"&lt;="&amp;shifts!AH105,events!V:V,"&gt;"&amp;shifts!AI105,events!D:D,"="&amp;shifts!B106)</f>
        <v>0</v>
      </c>
      <c r="Y105" s="9" t="str">
        <f t="shared" si="42"/>
        <v/>
      </c>
      <c r="AA105" t="str">
        <f t="shared" si="43"/>
        <v/>
      </c>
      <c r="AC105" t="str">
        <f t="shared" si="44"/>
        <v/>
      </c>
      <c r="AE105">
        <f t="shared" si="47"/>
        <v>18977</v>
      </c>
      <c r="AF105" t="str">
        <f t="shared" si="48"/>
        <v>Velodrome</v>
      </c>
      <c r="AG105" t="str">
        <f t="shared" si="49"/>
        <v>HollowBrook</v>
      </c>
      <c r="AH105" s="6">
        <f t="shared" si="52"/>
        <v>0</v>
      </c>
      <c r="AI105" s="6">
        <f t="shared" si="53"/>
        <v>0</v>
      </c>
      <c r="AJ105" s="18">
        <f t="shared" si="34"/>
        <v>0</v>
      </c>
      <c r="AK105">
        <f t="shared" si="35"/>
        <v>0</v>
      </c>
      <c r="AL105">
        <f t="shared" si="36"/>
        <v>0</v>
      </c>
      <c r="AM105">
        <f t="shared" si="54"/>
        <v>0</v>
      </c>
      <c r="AN105">
        <f t="shared" si="55"/>
        <v>0</v>
      </c>
      <c r="AO105">
        <f t="shared" si="29"/>
        <v>0</v>
      </c>
      <c r="AP105">
        <f t="shared" si="37"/>
        <v>0</v>
      </c>
      <c r="AQ105">
        <f t="shared" si="38"/>
        <v>0</v>
      </c>
      <c r="AR105">
        <f t="shared" si="39"/>
        <v>0</v>
      </c>
      <c r="AS105" t="str">
        <f t="shared" si="40"/>
        <v/>
      </c>
      <c r="AT105" t="str">
        <f t="shared" si="41"/>
        <v>0v0</v>
      </c>
    </row>
    <row r="106" spans="1:46" x14ac:dyDescent="0.2">
      <c r="A106">
        <f t="shared" si="45"/>
        <v>105</v>
      </c>
      <c r="B106" s="9">
        <f t="shared" si="50"/>
        <v>3</v>
      </c>
      <c r="C106">
        <f t="shared" si="51"/>
        <v>0</v>
      </c>
      <c r="D106" s="6">
        <f t="shared" si="46"/>
        <v>0</v>
      </c>
      <c r="O106" s="7">
        <v>39</v>
      </c>
      <c r="V106">
        <v>99</v>
      </c>
      <c r="W106" s="9">
        <f>SUMIFS(events!T:T,events!L:L,"=DeadIce",events!U:U,"&lt;="&amp;shifts!AH106,events!V:V,"&gt;"&amp;shifts!AI106,events!D:D,"="&amp;shifts!B107)+SUMIFS(events!T:T,events!L:L,"=Timeout",events!U:U,"&lt;="&amp;shifts!AH106,events!V:V,"&gt;"&amp;shifts!AI106,events!D:D,"="&amp;shifts!B107)</f>
        <v>0</v>
      </c>
      <c r="Y106" s="9" t="str">
        <f t="shared" si="42"/>
        <v/>
      </c>
      <c r="AA106" t="str">
        <f t="shared" si="43"/>
        <v/>
      </c>
      <c r="AC106" t="str">
        <f t="shared" si="44"/>
        <v/>
      </c>
      <c r="AE106">
        <f t="shared" si="47"/>
        <v>18977</v>
      </c>
      <c r="AF106" t="str">
        <f t="shared" si="48"/>
        <v>Velodrome</v>
      </c>
      <c r="AG106" t="str">
        <f t="shared" si="49"/>
        <v>HollowBrook</v>
      </c>
      <c r="AH106" s="6">
        <f t="shared" si="52"/>
        <v>0</v>
      </c>
      <c r="AI106" s="6">
        <f t="shared" si="53"/>
        <v>0</v>
      </c>
      <c r="AJ106" s="18">
        <f t="shared" si="34"/>
        <v>0</v>
      </c>
      <c r="AK106">
        <f t="shared" si="35"/>
        <v>0</v>
      </c>
      <c r="AL106">
        <f t="shared" si="36"/>
        <v>0</v>
      </c>
      <c r="AM106">
        <f t="shared" si="54"/>
        <v>0</v>
      </c>
      <c r="AN106">
        <f t="shared" si="55"/>
        <v>0</v>
      </c>
      <c r="AO106">
        <f t="shared" si="29"/>
        <v>0</v>
      </c>
      <c r="AP106">
        <f t="shared" si="37"/>
        <v>0</v>
      </c>
      <c r="AQ106">
        <f t="shared" si="38"/>
        <v>0</v>
      </c>
      <c r="AR106">
        <f t="shared" si="39"/>
        <v>0</v>
      </c>
      <c r="AS106" t="str">
        <f t="shared" si="40"/>
        <v/>
      </c>
      <c r="AT106" t="str">
        <f t="shared" si="41"/>
        <v>0v0</v>
      </c>
    </row>
    <row r="107" spans="1:46" x14ac:dyDescent="0.2">
      <c r="A107">
        <f t="shared" si="45"/>
        <v>106</v>
      </c>
      <c r="B107" s="9">
        <f t="shared" si="50"/>
        <v>3</v>
      </c>
      <c r="C107">
        <f t="shared" si="51"/>
        <v>0</v>
      </c>
      <c r="D107" s="6">
        <f t="shared" si="46"/>
        <v>0</v>
      </c>
      <c r="O107" s="7">
        <v>39</v>
      </c>
      <c r="V107">
        <v>99</v>
      </c>
      <c r="W107" s="9">
        <f>SUMIFS(events!T:T,events!L:L,"=DeadIce",events!U:U,"&lt;="&amp;shifts!AH107,events!V:V,"&gt;"&amp;shifts!AI107,events!D:D,"="&amp;shifts!B108)+SUMIFS(events!T:T,events!L:L,"=Timeout",events!U:U,"&lt;="&amp;shifts!AH107,events!V:V,"&gt;"&amp;shifts!AI107,events!D:D,"="&amp;shifts!B108)</f>
        <v>0</v>
      </c>
      <c r="Y107" s="9" t="str">
        <f t="shared" si="42"/>
        <v/>
      </c>
      <c r="AA107" t="str">
        <f t="shared" si="43"/>
        <v/>
      </c>
      <c r="AC107" t="str">
        <f t="shared" si="44"/>
        <v/>
      </c>
      <c r="AE107">
        <f t="shared" si="47"/>
        <v>18977</v>
      </c>
      <c r="AF107" t="str">
        <f t="shared" si="48"/>
        <v>Velodrome</v>
      </c>
      <c r="AG107" t="str">
        <f t="shared" si="49"/>
        <v>HollowBrook</v>
      </c>
      <c r="AH107" s="6">
        <f t="shared" si="52"/>
        <v>0</v>
      </c>
      <c r="AI107" s="6">
        <f t="shared" si="53"/>
        <v>0</v>
      </c>
      <c r="AJ107" s="18">
        <f t="shared" si="34"/>
        <v>0</v>
      </c>
      <c r="AK107">
        <f t="shared" si="35"/>
        <v>0</v>
      </c>
      <c r="AL107">
        <f t="shared" si="36"/>
        <v>0</v>
      </c>
      <c r="AM107">
        <f t="shared" si="54"/>
        <v>0</v>
      </c>
      <c r="AN107">
        <f t="shared" si="55"/>
        <v>0</v>
      </c>
      <c r="AO107">
        <f t="shared" si="29"/>
        <v>0</v>
      </c>
      <c r="AP107">
        <f t="shared" si="37"/>
        <v>0</v>
      </c>
      <c r="AQ107">
        <f t="shared" si="38"/>
        <v>0</v>
      </c>
      <c r="AR107">
        <f t="shared" si="39"/>
        <v>0</v>
      </c>
      <c r="AS107" t="str">
        <f t="shared" si="40"/>
        <v/>
      </c>
      <c r="AT107" t="str">
        <f t="shared" si="41"/>
        <v>0v0</v>
      </c>
    </row>
    <row r="108" spans="1:46" x14ac:dyDescent="0.2">
      <c r="A108">
        <f t="shared" si="45"/>
        <v>107</v>
      </c>
      <c r="B108" s="9">
        <f t="shared" si="50"/>
        <v>3</v>
      </c>
      <c r="C108">
        <f t="shared" si="51"/>
        <v>0</v>
      </c>
      <c r="D108" s="6">
        <f t="shared" si="46"/>
        <v>0</v>
      </c>
      <c r="O108" s="7">
        <v>39</v>
      </c>
      <c r="V108">
        <v>99</v>
      </c>
      <c r="W108" s="9">
        <f>SUMIFS(events!T:T,events!L:L,"=DeadIce",events!U:U,"&lt;="&amp;shifts!AH108,events!V:V,"&gt;"&amp;shifts!AI108,events!D:D,"="&amp;shifts!B109)+SUMIFS(events!T:T,events!L:L,"=Timeout",events!U:U,"&lt;="&amp;shifts!AH108,events!V:V,"&gt;"&amp;shifts!AI108,events!D:D,"="&amp;shifts!B109)</f>
        <v>0</v>
      </c>
      <c r="Y108" s="9" t="str">
        <f t="shared" si="42"/>
        <v/>
      </c>
      <c r="AA108" t="str">
        <f t="shared" si="43"/>
        <v/>
      </c>
      <c r="AC108" t="str">
        <f t="shared" si="44"/>
        <v/>
      </c>
      <c r="AE108">
        <f t="shared" si="47"/>
        <v>18977</v>
      </c>
      <c r="AF108" t="str">
        <f t="shared" si="48"/>
        <v>Velodrome</v>
      </c>
      <c r="AG108" t="str">
        <f t="shared" si="49"/>
        <v>HollowBrook</v>
      </c>
      <c r="AH108" s="6">
        <f t="shared" si="52"/>
        <v>0</v>
      </c>
      <c r="AI108" s="6">
        <f t="shared" si="53"/>
        <v>0</v>
      </c>
      <c r="AJ108" s="18">
        <f t="shared" si="34"/>
        <v>0</v>
      </c>
      <c r="AK108">
        <f t="shared" si="35"/>
        <v>0</v>
      </c>
      <c r="AL108">
        <f t="shared" si="36"/>
        <v>0</v>
      </c>
      <c r="AM108">
        <f t="shared" si="54"/>
        <v>0</v>
      </c>
      <c r="AN108">
        <f t="shared" si="55"/>
        <v>0</v>
      </c>
      <c r="AO108">
        <f t="shared" si="29"/>
        <v>0</v>
      </c>
      <c r="AP108">
        <f t="shared" si="37"/>
        <v>0</v>
      </c>
      <c r="AQ108">
        <f t="shared" si="38"/>
        <v>0</v>
      </c>
      <c r="AR108">
        <f t="shared" si="39"/>
        <v>0</v>
      </c>
      <c r="AS108" t="str">
        <f t="shared" si="40"/>
        <v/>
      </c>
      <c r="AT108" t="str">
        <f t="shared" si="41"/>
        <v>0v0</v>
      </c>
    </row>
    <row r="109" spans="1:46" x14ac:dyDescent="0.2">
      <c r="A109">
        <f t="shared" si="45"/>
        <v>108</v>
      </c>
      <c r="B109" s="9">
        <f t="shared" si="50"/>
        <v>3</v>
      </c>
      <c r="C109">
        <f t="shared" si="51"/>
        <v>0</v>
      </c>
      <c r="D109" s="6">
        <f t="shared" si="46"/>
        <v>0</v>
      </c>
      <c r="O109" s="7">
        <v>39</v>
      </c>
      <c r="V109">
        <v>99</v>
      </c>
      <c r="W109" s="9">
        <f>SUMIFS(events!T:T,events!L:L,"=DeadIce",events!U:U,"&lt;="&amp;shifts!AH109,events!V:V,"&gt;"&amp;shifts!AI109,events!D:D,"="&amp;shifts!B110)+SUMIFS(events!T:T,events!L:L,"=Timeout",events!U:U,"&lt;="&amp;shifts!AH109,events!V:V,"&gt;"&amp;shifts!AI109,events!D:D,"="&amp;shifts!B110)</f>
        <v>0</v>
      </c>
      <c r="Y109" s="9" t="str">
        <f t="shared" si="42"/>
        <v/>
      </c>
      <c r="AA109" t="str">
        <f t="shared" si="43"/>
        <v/>
      </c>
      <c r="AC109" t="str">
        <f t="shared" si="44"/>
        <v/>
      </c>
      <c r="AE109">
        <f t="shared" si="47"/>
        <v>18977</v>
      </c>
      <c r="AF109" t="str">
        <f t="shared" si="48"/>
        <v>Velodrome</v>
      </c>
      <c r="AG109" t="str">
        <f t="shared" si="49"/>
        <v>HollowBrook</v>
      </c>
      <c r="AH109" s="6">
        <f t="shared" si="52"/>
        <v>0</v>
      </c>
      <c r="AI109" s="6">
        <f t="shared" si="53"/>
        <v>0</v>
      </c>
      <c r="AJ109" s="18">
        <f t="shared" si="34"/>
        <v>0</v>
      </c>
      <c r="AK109">
        <f t="shared" si="35"/>
        <v>0</v>
      </c>
      <c r="AL109">
        <f t="shared" si="36"/>
        <v>0</v>
      </c>
      <c r="AM109">
        <f t="shared" si="54"/>
        <v>0</v>
      </c>
      <c r="AN109">
        <f t="shared" si="55"/>
        <v>0</v>
      </c>
      <c r="AO109">
        <f t="shared" si="29"/>
        <v>0</v>
      </c>
      <c r="AP109">
        <f t="shared" si="37"/>
        <v>0</v>
      </c>
      <c r="AQ109">
        <f t="shared" si="38"/>
        <v>0</v>
      </c>
      <c r="AR109">
        <f t="shared" si="39"/>
        <v>0</v>
      </c>
      <c r="AS109" t="str">
        <f t="shared" si="40"/>
        <v/>
      </c>
      <c r="AT109" t="str">
        <f t="shared" si="41"/>
        <v>0v0</v>
      </c>
    </row>
    <row r="110" spans="1:46" x14ac:dyDescent="0.2">
      <c r="A110">
        <f t="shared" si="45"/>
        <v>109</v>
      </c>
      <c r="B110" s="9">
        <f t="shared" si="50"/>
        <v>3</v>
      </c>
      <c r="C110">
        <f t="shared" si="51"/>
        <v>0</v>
      </c>
      <c r="D110" s="6">
        <f t="shared" si="46"/>
        <v>0</v>
      </c>
      <c r="O110" s="7">
        <v>39</v>
      </c>
      <c r="V110">
        <v>99</v>
      </c>
      <c r="W110" s="9">
        <f>SUMIFS(events!T:T,events!L:L,"=DeadIce",events!U:U,"&lt;="&amp;shifts!AH110,events!V:V,"&gt;"&amp;shifts!AI110,events!D:D,"="&amp;shifts!B111)+SUMIFS(events!T:T,events!L:L,"=Timeout",events!U:U,"&lt;="&amp;shifts!AH110,events!V:V,"&gt;"&amp;shifts!AI110,events!D:D,"="&amp;shifts!B111)</f>
        <v>0</v>
      </c>
      <c r="Y110" s="9" t="str">
        <f t="shared" si="42"/>
        <v/>
      </c>
      <c r="AA110" t="str">
        <f t="shared" si="43"/>
        <v/>
      </c>
      <c r="AC110" t="str">
        <f t="shared" si="44"/>
        <v/>
      </c>
      <c r="AE110">
        <f t="shared" si="47"/>
        <v>18977</v>
      </c>
      <c r="AF110" t="str">
        <f t="shared" si="48"/>
        <v>Velodrome</v>
      </c>
      <c r="AG110" t="str">
        <f t="shared" si="49"/>
        <v>HollowBrook</v>
      </c>
      <c r="AH110" s="6">
        <f t="shared" si="52"/>
        <v>0</v>
      </c>
      <c r="AI110" s="6">
        <f t="shared" si="53"/>
        <v>0</v>
      </c>
      <c r="AJ110" s="18">
        <f t="shared" si="34"/>
        <v>0</v>
      </c>
      <c r="AK110">
        <f t="shared" si="35"/>
        <v>0</v>
      </c>
      <c r="AL110">
        <f t="shared" si="36"/>
        <v>0</v>
      </c>
      <c r="AM110">
        <f t="shared" si="54"/>
        <v>0</v>
      </c>
      <c r="AN110">
        <f t="shared" si="55"/>
        <v>0</v>
      </c>
      <c r="AO110">
        <f t="shared" si="29"/>
        <v>0</v>
      </c>
      <c r="AP110">
        <f t="shared" si="37"/>
        <v>0</v>
      </c>
      <c r="AQ110">
        <f t="shared" si="38"/>
        <v>0</v>
      </c>
      <c r="AR110">
        <f t="shared" si="39"/>
        <v>0</v>
      </c>
      <c r="AS110" t="str">
        <f t="shared" si="40"/>
        <v/>
      </c>
      <c r="AT110" t="str">
        <f t="shared" si="41"/>
        <v>0v0</v>
      </c>
    </row>
    <row r="111" spans="1:46" x14ac:dyDescent="0.2">
      <c r="A111">
        <f t="shared" si="45"/>
        <v>110</v>
      </c>
      <c r="B111" s="9">
        <f t="shared" si="50"/>
        <v>3</v>
      </c>
      <c r="C111">
        <f t="shared" si="51"/>
        <v>0</v>
      </c>
      <c r="D111" s="6">
        <f t="shared" si="46"/>
        <v>0</v>
      </c>
      <c r="O111" s="7">
        <v>39</v>
      </c>
      <c r="V111">
        <v>99</v>
      </c>
      <c r="W111" s="9">
        <f>SUMIFS(events!T:T,events!L:L,"=DeadIce",events!U:U,"&lt;="&amp;shifts!AH111,events!V:V,"&gt;"&amp;shifts!AI111,events!D:D,"="&amp;shifts!B112)+SUMIFS(events!T:T,events!L:L,"=Timeout",events!U:U,"&lt;="&amp;shifts!AH111,events!V:V,"&gt;"&amp;shifts!AI111,events!D:D,"="&amp;shifts!B112)</f>
        <v>0</v>
      </c>
      <c r="Y111" s="9" t="str">
        <f t="shared" si="42"/>
        <v/>
      </c>
      <c r="AA111" t="str">
        <f t="shared" si="43"/>
        <v/>
      </c>
      <c r="AC111" t="str">
        <f t="shared" si="44"/>
        <v/>
      </c>
      <c r="AE111">
        <f t="shared" si="47"/>
        <v>18977</v>
      </c>
      <c r="AF111" t="str">
        <f t="shared" si="48"/>
        <v>Velodrome</v>
      </c>
      <c r="AG111" t="str">
        <f t="shared" si="49"/>
        <v>HollowBrook</v>
      </c>
      <c r="AH111" s="6">
        <f t="shared" si="52"/>
        <v>0</v>
      </c>
      <c r="AI111" s="6">
        <f t="shared" si="53"/>
        <v>0</v>
      </c>
      <c r="AJ111" s="18">
        <f t="shared" si="34"/>
        <v>0</v>
      </c>
      <c r="AK111">
        <f t="shared" si="35"/>
        <v>0</v>
      </c>
      <c r="AL111">
        <f t="shared" si="36"/>
        <v>0</v>
      </c>
      <c r="AM111">
        <f t="shared" si="54"/>
        <v>0</v>
      </c>
      <c r="AN111">
        <f t="shared" si="55"/>
        <v>0</v>
      </c>
      <c r="AO111">
        <f t="shared" si="29"/>
        <v>0</v>
      </c>
      <c r="AP111">
        <f t="shared" si="37"/>
        <v>0</v>
      </c>
      <c r="AQ111">
        <f t="shared" si="38"/>
        <v>0</v>
      </c>
      <c r="AR111">
        <f t="shared" si="39"/>
        <v>0</v>
      </c>
      <c r="AS111" t="str">
        <f t="shared" si="40"/>
        <v/>
      </c>
      <c r="AT111" t="str">
        <f t="shared" si="41"/>
        <v>0v0</v>
      </c>
    </row>
    <row r="112" spans="1:46" x14ac:dyDescent="0.2">
      <c r="A112">
        <f t="shared" si="45"/>
        <v>111</v>
      </c>
      <c r="B112" s="9">
        <f t="shared" si="50"/>
        <v>3</v>
      </c>
      <c r="C112">
        <f t="shared" si="51"/>
        <v>0</v>
      </c>
      <c r="D112" s="6">
        <f t="shared" si="46"/>
        <v>0</v>
      </c>
      <c r="O112" s="7">
        <v>39</v>
      </c>
      <c r="V112">
        <v>99</v>
      </c>
      <c r="W112" s="9">
        <f>SUMIFS(events!T:T,events!L:L,"=DeadIce",events!U:U,"&lt;="&amp;shifts!AH112,events!V:V,"&gt;"&amp;shifts!AI112,events!D:D,"="&amp;shifts!B113)+SUMIFS(events!T:T,events!L:L,"=Timeout",events!U:U,"&lt;="&amp;shifts!AH112,events!V:V,"&gt;"&amp;shifts!AI112,events!D:D,"="&amp;shifts!B113)</f>
        <v>0</v>
      </c>
      <c r="Y112" s="9" t="str">
        <f t="shared" si="42"/>
        <v/>
      </c>
      <c r="AA112" t="str">
        <f t="shared" si="43"/>
        <v/>
      </c>
      <c r="AC112" t="str">
        <f t="shared" si="44"/>
        <v/>
      </c>
      <c r="AE112">
        <f t="shared" si="47"/>
        <v>18977</v>
      </c>
      <c r="AF112" t="str">
        <f t="shared" si="48"/>
        <v>Velodrome</v>
      </c>
      <c r="AG112" t="str">
        <f t="shared" si="49"/>
        <v>HollowBrook</v>
      </c>
      <c r="AH112" s="6">
        <f t="shared" si="52"/>
        <v>0</v>
      </c>
      <c r="AI112" s="6">
        <f t="shared" si="53"/>
        <v>0</v>
      </c>
      <c r="AJ112" s="18">
        <f t="shared" si="34"/>
        <v>0</v>
      </c>
      <c r="AK112">
        <f t="shared" si="35"/>
        <v>0</v>
      </c>
      <c r="AL112">
        <f t="shared" si="36"/>
        <v>0</v>
      </c>
      <c r="AM112">
        <f t="shared" si="54"/>
        <v>0</v>
      </c>
      <c r="AN112">
        <f t="shared" si="55"/>
        <v>0</v>
      </c>
      <c r="AO112">
        <f t="shared" si="29"/>
        <v>0</v>
      </c>
      <c r="AP112">
        <f t="shared" si="37"/>
        <v>0</v>
      </c>
      <c r="AQ112">
        <f t="shared" si="38"/>
        <v>0</v>
      </c>
      <c r="AR112">
        <f t="shared" si="39"/>
        <v>0</v>
      </c>
      <c r="AS112" t="str">
        <f t="shared" si="40"/>
        <v/>
      </c>
      <c r="AT112" t="str">
        <f t="shared" si="41"/>
        <v>0v0</v>
      </c>
    </row>
    <row r="113" spans="1:46" x14ac:dyDescent="0.2">
      <c r="A113">
        <f t="shared" si="45"/>
        <v>112</v>
      </c>
      <c r="B113" s="9">
        <f t="shared" si="50"/>
        <v>3</v>
      </c>
      <c r="C113">
        <f t="shared" si="51"/>
        <v>0</v>
      </c>
      <c r="D113" s="6">
        <f t="shared" si="46"/>
        <v>0</v>
      </c>
      <c r="O113" s="7">
        <v>39</v>
      </c>
      <c r="V113">
        <v>99</v>
      </c>
      <c r="W113" s="9">
        <f>SUMIFS(events!T:T,events!L:L,"=DeadIce",events!U:U,"&lt;="&amp;shifts!AH113,events!V:V,"&gt;"&amp;shifts!AI113,events!D:D,"="&amp;shifts!B114)+SUMIFS(events!T:T,events!L:L,"=Timeout",events!U:U,"&lt;="&amp;shifts!AH113,events!V:V,"&gt;"&amp;shifts!AI113,events!D:D,"="&amp;shifts!B114)</f>
        <v>0</v>
      </c>
      <c r="Y113" s="9" t="str">
        <f t="shared" si="42"/>
        <v/>
      </c>
      <c r="AA113" t="str">
        <f t="shared" si="43"/>
        <v/>
      </c>
      <c r="AC113" t="str">
        <f t="shared" si="44"/>
        <v/>
      </c>
      <c r="AE113">
        <f t="shared" si="47"/>
        <v>18977</v>
      </c>
      <c r="AF113" t="str">
        <f t="shared" si="48"/>
        <v>Velodrome</v>
      </c>
      <c r="AG113" t="str">
        <f t="shared" si="49"/>
        <v>HollowBrook</v>
      </c>
      <c r="AH113" s="6">
        <f t="shared" si="52"/>
        <v>0</v>
      </c>
      <c r="AI113" s="6">
        <f t="shared" si="53"/>
        <v>0</v>
      </c>
      <c r="AJ113" s="18">
        <f t="shared" si="34"/>
        <v>0</v>
      </c>
      <c r="AK113">
        <f t="shared" si="35"/>
        <v>0</v>
      </c>
      <c r="AL113">
        <f t="shared" si="36"/>
        <v>0</v>
      </c>
      <c r="AM113">
        <f t="shared" si="54"/>
        <v>0</v>
      </c>
      <c r="AN113">
        <f t="shared" si="55"/>
        <v>0</v>
      </c>
      <c r="AO113">
        <f t="shared" si="29"/>
        <v>0</v>
      </c>
      <c r="AP113">
        <f t="shared" si="37"/>
        <v>0</v>
      </c>
      <c r="AQ113">
        <f t="shared" si="38"/>
        <v>0</v>
      </c>
      <c r="AR113">
        <f t="shared" si="39"/>
        <v>0</v>
      </c>
      <c r="AS113" t="str">
        <f t="shared" si="40"/>
        <v/>
      </c>
      <c r="AT113" t="str">
        <f t="shared" si="41"/>
        <v>0v0</v>
      </c>
    </row>
    <row r="114" spans="1:46" x14ac:dyDescent="0.2">
      <c r="A114">
        <f t="shared" si="45"/>
        <v>113</v>
      </c>
      <c r="B114" s="9">
        <f t="shared" si="50"/>
        <v>3</v>
      </c>
      <c r="C114">
        <f t="shared" si="51"/>
        <v>0</v>
      </c>
      <c r="D114" s="6">
        <f t="shared" si="46"/>
        <v>0</v>
      </c>
      <c r="O114" s="7">
        <v>39</v>
      </c>
      <c r="V114">
        <v>99</v>
      </c>
      <c r="W114" s="9">
        <f>SUMIFS(events!T:T,events!L:L,"=DeadIce",events!U:U,"&lt;="&amp;shifts!AH114,events!V:V,"&gt;"&amp;shifts!AI114,events!D:D,"="&amp;shifts!B115)+SUMIFS(events!T:T,events!L:L,"=Timeout",events!U:U,"&lt;="&amp;shifts!AH114,events!V:V,"&gt;"&amp;shifts!AI114,events!D:D,"="&amp;shifts!B115)</f>
        <v>0</v>
      </c>
      <c r="Y114" s="9" t="str">
        <f t="shared" si="42"/>
        <v/>
      </c>
      <c r="AA114" t="str">
        <f t="shared" si="43"/>
        <v/>
      </c>
      <c r="AC114" t="str">
        <f t="shared" si="44"/>
        <v/>
      </c>
      <c r="AE114">
        <f t="shared" si="47"/>
        <v>18977</v>
      </c>
      <c r="AF114" t="str">
        <f t="shared" si="48"/>
        <v>Velodrome</v>
      </c>
      <c r="AG114" t="str">
        <f t="shared" si="49"/>
        <v>HollowBrook</v>
      </c>
      <c r="AH114" s="6">
        <f t="shared" si="52"/>
        <v>0</v>
      </c>
      <c r="AI114" s="6">
        <f t="shared" si="53"/>
        <v>0</v>
      </c>
      <c r="AJ114" s="18">
        <f t="shared" si="34"/>
        <v>0</v>
      </c>
      <c r="AK114">
        <f t="shared" si="35"/>
        <v>0</v>
      </c>
      <c r="AL114">
        <f t="shared" si="36"/>
        <v>0</v>
      </c>
      <c r="AM114">
        <f t="shared" si="54"/>
        <v>0</v>
      </c>
      <c r="AN114">
        <f t="shared" si="55"/>
        <v>0</v>
      </c>
      <c r="AO114">
        <f t="shared" si="29"/>
        <v>0</v>
      </c>
      <c r="AP114">
        <f t="shared" si="37"/>
        <v>0</v>
      </c>
      <c r="AQ114">
        <f t="shared" si="38"/>
        <v>0</v>
      </c>
      <c r="AR114">
        <f t="shared" si="39"/>
        <v>0</v>
      </c>
      <c r="AS114" t="str">
        <f t="shared" si="40"/>
        <v/>
      </c>
      <c r="AT114" t="str">
        <f t="shared" si="41"/>
        <v>0v0</v>
      </c>
    </row>
    <row r="115" spans="1:46" x14ac:dyDescent="0.2">
      <c r="A115">
        <f t="shared" si="45"/>
        <v>114</v>
      </c>
      <c r="B115" s="9">
        <f t="shared" si="50"/>
        <v>3</v>
      </c>
      <c r="C115">
        <f t="shared" si="51"/>
        <v>0</v>
      </c>
      <c r="D115" s="6">
        <f t="shared" si="46"/>
        <v>0</v>
      </c>
      <c r="O115" s="7">
        <v>39</v>
      </c>
      <c r="V115">
        <v>99</v>
      </c>
      <c r="W115" s="9">
        <f>SUMIFS(events!T:T,events!L:L,"=DeadIce",events!U:U,"&lt;="&amp;shifts!AH115,events!V:V,"&gt;"&amp;shifts!AI115,events!D:D,"="&amp;shifts!B116)+SUMIFS(events!T:T,events!L:L,"=Timeout",events!U:U,"&lt;="&amp;shifts!AH115,events!V:V,"&gt;"&amp;shifts!AI115,events!D:D,"="&amp;shifts!B116)</f>
        <v>0</v>
      </c>
      <c r="Y115" s="9" t="str">
        <f t="shared" si="42"/>
        <v/>
      </c>
      <c r="AA115" t="str">
        <f t="shared" si="43"/>
        <v/>
      </c>
      <c r="AC115" t="str">
        <f t="shared" si="44"/>
        <v/>
      </c>
      <c r="AE115">
        <f t="shared" si="47"/>
        <v>18977</v>
      </c>
      <c r="AF115" t="str">
        <f t="shared" si="48"/>
        <v>Velodrome</v>
      </c>
      <c r="AG115" t="str">
        <f t="shared" si="49"/>
        <v>HollowBrook</v>
      </c>
      <c r="AH115" s="6">
        <f t="shared" si="52"/>
        <v>0</v>
      </c>
      <c r="AI115" s="6">
        <f t="shared" si="53"/>
        <v>0</v>
      </c>
      <c r="AJ115" s="18">
        <f t="shared" si="34"/>
        <v>0</v>
      </c>
      <c r="AK115">
        <f t="shared" si="35"/>
        <v>0</v>
      </c>
      <c r="AL115">
        <f t="shared" si="36"/>
        <v>0</v>
      </c>
      <c r="AM115">
        <f t="shared" si="54"/>
        <v>0</v>
      </c>
      <c r="AN115">
        <f t="shared" si="55"/>
        <v>0</v>
      </c>
      <c r="AO115">
        <f t="shared" si="29"/>
        <v>0</v>
      </c>
      <c r="AP115">
        <f t="shared" si="37"/>
        <v>0</v>
      </c>
      <c r="AQ115">
        <f t="shared" si="38"/>
        <v>0</v>
      </c>
      <c r="AR115">
        <f t="shared" si="39"/>
        <v>0</v>
      </c>
      <c r="AS115" t="str">
        <f t="shared" si="40"/>
        <v/>
      </c>
      <c r="AT115" t="str">
        <f t="shared" si="41"/>
        <v>0v0</v>
      </c>
    </row>
    <row r="116" spans="1:46" x14ac:dyDescent="0.2">
      <c r="A116">
        <f t="shared" si="45"/>
        <v>115</v>
      </c>
      <c r="B116" s="9">
        <f t="shared" si="50"/>
        <v>3</v>
      </c>
      <c r="C116">
        <f t="shared" si="51"/>
        <v>0</v>
      </c>
      <c r="D116" s="6">
        <f t="shared" si="46"/>
        <v>0</v>
      </c>
      <c r="O116" s="7">
        <v>39</v>
      </c>
      <c r="V116">
        <v>99</v>
      </c>
      <c r="W116" s="9">
        <f>SUMIFS(events!T:T,events!L:L,"=DeadIce",events!U:U,"&lt;="&amp;shifts!AH116,events!V:V,"&gt;"&amp;shifts!AI116,events!D:D,"="&amp;shifts!B117)+SUMIFS(events!T:T,events!L:L,"=Timeout",events!U:U,"&lt;="&amp;shifts!AH116,events!V:V,"&gt;"&amp;shifts!AI116,events!D:D,"="&amp;shifts!B117)</f>
        <v>0</v>
      </c>
      <c r="Y116" s="9" t="str">
        <f t="shared" si="42"/>
        <v/>
      </c>
      <c r="AA116" t="str">
        <f t="shared" si="43"/>
        <v/>
      </c>
      <c r="AC116" t="str">
        <f t="shared" si="44"/>
        <v/>
      </c>
      <c r="AE116">
        <f t="shared" si="47"/>
        <v>18977</v>
      </c>
      <c r="AF116" t="str">
        <f t="shared" si="48"/>
        <v>Velodrome</v>
      </c>
      <c r="AG116" t="str">
        <f t="shared" si="49"/>
        <v>HollowBrook</v>
      </c>
      <c r="AH116" s="6">
        <f t="shared" si="52"/>
        <v>0</v>
      </c>
      <c r="AI116" s="6">
        <f t="shared" si="53"/>
        <v>0</v>
      </c>
      <c r="AJ116" s="18">
        <f t="shared" si="34"/>
        <v>0</v>
      </c>
      <c r="AK116">
        <f t="shared" si="35"/>
        <v>0</v>
      </c>
      <c r="AL116">
        <f t="shared" si="36"/>
        <v>0</v>
      </c>
      <c r="AM116">
        <f t="shared" si="54"/>
        <v>0</v>
      </c>
      <c r="AN116">
        <f t="shared" si="55"/>
        <v>0</v>
      </c>
      <c r="AO116">
        <f t="shared" si="29"/>
        <v>0</v>
      </c>
      <c r="AP116">
        <f t="shared" si="37"/>
        <v>0</v>
      </c>
      <c r="AQ116">
        <f t="shared" si="38"/>
        <v>0</v>
      </c>
      <c r="AR116">
        <f t="shared" si="39"/>
        <v>0</v>
      </c>
      <c r="AS116" t="str">
        <f t="shared" si="40"/>
        <v/>
      </c>
      <c r="AT116" t="str">
        <f t="shared" si="41"/>
        <v>0v0</v>
      </c>
    </row>
    <row r="117" spans="1:46" x14ac:dyDescent="0.2">
      <c r="A117">
        <f t="shared" si="45"/>
        <v>116</v>
      </c>
      <c r="B117" s="9">
        <f t="shared" si="50"/>
        <v>3</v>
      </c>
      <c r="C117">
        <f t="shared" si="51"/>
        <v>0</v>
      </c>
      <c r="D117" s="6">
        <f t="shared" si="46"/>
        <v>0</v>
      </c>
      <c r="O117" s="7">
        <v>39</v>
      </c>
      <c r="V117">
        <v>99</v>
      </c>
      <c r="W117" s="9">
        <f>SUMIFS(events!T:T,events!L:L,"=DeadIce",events!U:U,"&lt;="&amp;shifts!AH117,events!V:V,"&gt;"&amp;shifts!AI117,events!D:D,"="&amp;shifts!B118)+SUMIFS(events!T:T,events!L:L,"=Timeout",events!U:U,"&lt;="&amp;shifts!AH117,events!V:V,"&gt;"&amp;shifts!AI117,events!D:D,"="&amp;shifts!B118)</f>
        <v>0</v>
      </c>
      <c r="Y117" s="9" t="str">
        <f t="shared" si="42"/>
        <v/>
      </c>
      <c r="AA117" t="str">
        <f t="shared" si="43"/>
        <v/>
      </c>
      <c r="AC117" t="str">
        <f t="shared" si="44"/>
        <v/>
      </c>
      <c r="AE117">
        <f t="shared" si="47"/>
        <v>18977</v>
      </c>
      <c r="AF117" t="str">
        <f t="shared" si="48"/>
        <v>Velodrome</v>
      </c>
      <c r="AG117" t="str">
        <f t="shared" si="49"/>
        <v>HollowBrook</v>
      </c>
      <c r="AH117" s="6">
        <f t="shared" si="52"/>
        <v>0</v>
      </c>
      <c r="AI117" s="6">
        <f t="shared" si="53"/>
        <v>0</v>
      </c>
      <c r="AJ117" s="18">
        <f t="shared" si="34"/>
        <v>0</v>
      </c>
      <c r="AK117">
        <f t="shared" si="35"/>
        <v>0</v>
      </c>
      <c r="AL117">
        <f t="shared" si="36"/>
        <v>0</v>
      </c>
      <c r="AM117">
        <f t="shared" si="54"/>
        <v>0</v>
      </c>
      <c r="AN117">
        <f t="shared" si="55"/>
        <v>0</v>
      </c>
      <c r="AO117">
        <f t="shared" si="29"/>
        <v>0</v>
      </c>
      <c r="AP117">
        <f t="shared" si="37"/>
        <v>0</v>
      </c>
      <c r="AQ117">
        <f t="shared" si="38"/>
        <v>0</v>
      </c>
      <c r="AR117">
        <f t="shared" si="39"/>
        <v>0</v>
      </c>
      <c r="AS117" t="str">
        <f t="shared" si="40"/>
        <v/>
      </c>
      <c r="AT117" t="str">
        <f t="shared" si="41"/>
        <v>0v0</v>
      </c>
    </row>
    <row r="118" spans="1:46" x14ac:dyDescent="0.2">
      <c r="A118">
        <f t="shared" si="45"/>
        <v>117</v>
      </c>
      <c r="B118" s="9">
        <f t="shared" si="50"/>
        <v>3</v>
      </c>
      <c r="C118">
        <f t="shared" si="51"/>
        <v>0</v>
      </c>
      <c r="D118" s="6">
        <f t="shared" si="46"/>
        <v>0</v>
      </c>
      <c r="O118" s="7">
        <v>39</v>
      </c>
      <c r="V118">
        <v>99</v>
      </c>
      <c r="W118" s="9">
        <f>SUMIFS(events!T:T,events!L:L,"=DeadIce",events!U:U,"&lt;="&amp;shifts!AH118,events!V:V,"&gt;"&amp;shifts!AI118,events!D:D,"="&amp;shifts!B119)+SUMIFS(events!T:T,events!L:L,"=Timeout",events!U:U,"&lt;="&amp;shifts!AH118,events!V:V,"&gt;"&amp;shifts!AI118,events!D:D,"="&amp;shifts!B119)</f>
        <v>0</v>
      </c>
      <c r="Y118" s="9" t="str">
        <f t="shared" si="42"/>
        <v/>
      </c>
      <c r="AA118" t="str">
        <f t="shared" si="43"/>
        <v/>
      </c>
      <c r="AC118" t="str">
        <f t="shared" si="44"/>
        <v/>
      </c>
      <c r="AE118">
        <f t="shared" si="47"/>
        <v>18977</v>
      </c>
      <c r="AF118" t="str">
        <f t="shared" si="48"/>
        <v>Velodrome</v>
      </c>
      <c r="AG118" t="str">
        <f t="shared" si="49"/>
        <v>HollowBrook</v>
      </c>
      <c r="AH118" s="6">
        <f t="shared" si="52"/>
        <v>0</v>
      </c>
      <c r="AI118" s="6">
        <f t="shared" si="53"/>
        <v>0</v>
      </c>
      <c r="AJ118" s="18">
        <f t="shared" si="34"/>
        <v>0</v>
      </c>
      <c r="AK118">
        <f t="shared" si="35"/>
        <v>0</v>
      </c>
      <c r="AL118">
        <f t="shared" si="36"/>
        <v>0</v>
      </c>
      <c r="AM118">
        <f t="shared" si="54"/>
        <v>0</v>
      </c>
      <c r="AN118">
        <f t="shared" si="55"/>
        <v>0</v>
      </c>
      <c r="AO118">
        <f t="shared" si="29"/>
        <v>0</v>
      </c>
      <c r="AP118">
        <f t="shared" si="37"/>
        <v>0</v>
      </c>
      <c r="AQ118">
        <f t="shared" si="38"/>
        <v>0</v>
      </c>
      <c r="AR118">
        <f t="shared" si="39"/>
        <v>0</v>
      </c>
      <c r="AS118" t="str">
        <f t="shared" si="40"/>
        <v/>
      </c>
      <c r="AT118" t="str">
        <f t="shared" si="41"/>
        <v>0v0</v>
      </c>
    </row>
    <row r="119" spans="1:46" x14ac:dyDescent="0.2">
      <c r="A119">
        <f t="shared" si="45"/>
        <v>118</v>
      </c>
      <c r="B119" s="9">
        <f t="shared" si="50"/>
        <v>3</v>
      </c>
      <c r="C119">
        <f t="shared" si="51"/>
        <v>0</v>
      </c>
      <c r="D119" s="6">
        <f t="shared" si="46"/>
        <v>0</v>
      </c>
      <c r="O119" s="7">
        <v>39</v>
      </c>
      <c r="V119">
        <v>99</v>
      </c>
      <c r="W119" s="9">
        <f>SUMIFS(events!T:T,events!L:L,"=DeadIce",events!U:U,"&lt;="&amp;shifts!AH119,events!V:V,"&gt;"&amp;shifts!AI119,events!D:D,"="&amp;shifts!B120)+SUMIFS(events!T:T,events!L:L,"=Timeout",events!U:U,"&lt;="&amp;shifts!AH119,events!V:V,"&gt;"&amp;shifts!AI119,events!D:D,"="&amp;shifts!B120)</f>
        <v>0</v>
      </c>
      <c r="Y119" s="9" t="str">
        <f t="shared" si="42"/>
        <v/>
      </c>
      <c r="AA119" t="str">
        <f t="shared" si="43"/>
        <v/>
      </c>
      <c r="AC119" t="str">
        <f t="shared" si="44"/>
        <v/>
      </c>
      <c r="AE119">
        <f t="shared" si="47"/>
        <v>18977</v>
      </c>
      <c r="AF119" t="str">
        <f t="shared" si="48"/>
        <v>Velodrome</v>
      </c>
      <c r="AG119" t="str">
        <f t="shared" si="49"/>
        <v>HollowBrook</v>
      </c>
      <c r="AH119" s="6">
        <f t="shared" si="52"/>
        <v>0</v>
      </c>
      <c r="AI119" s="6">
        <f t="shared" si="53"/>
        <v>0</v>
      </c>
      <c r="AJ119" s="18">
        <f t="shared" si="34"/>
        <v>0</v>
      </c>
      <c r="AK119">
        <f t="shared" si="35"/>
        <v>0</v>
      </c>
      <c r="AL119">
        <f t="shared" si="36"/>
        <v>0</v>
      </c>
      <c r="AM119">
        <f t="shared" si="54"/>
        <v>0</v>
      </c>
      <c r="AN119">
        <f t="shared" si="55"/>
        <v>0</v>
      </c>
      <c r="AO119">
        <f t="shared" si="29"/>
        <v>0</v>
      </c>
      <c r="AP119">
        <f t="shared" si="37"/>
        <v>0</v>
      </c>
      <c r="AQ119">
        <f t="shared" si="38"/>
        <v>0</v>
      </c>
      <c r="AR119">
        <f t="shared" si="39"/>
        <v>0</v>
      </c>
      <c r="AS119" t="str">
        <f t="shared" si="40"/>
        <v/>
      </c>
      <c r="AT119" t="str">
        <f t="shared" si="41"/>
        <v>0v0</v>
      </c>
    </row>
    <row r="120" spans="1:46" x14ac:dyDescent="0.2">
      <c r="A120">
        <f t="shared" si="45"/>
        <v>119</v>
      </c>
      <c r="B120" s="9">
        <f t="shared" si="50"/>
        <v>3</v>
      </c>
      <c r="C120">
        <f t="shared" si="51"/>
        <v>0</v>
      </c>
      <c r="D120" s="6">
        <f t="shared" si="46"/>
        <v>0</v>
      </c>
      <c r="O120" s="7">
        <v>39</v>
      </c>
      <c r="V120">
        <v>99</v>
      </c>
      <c r="W120" s="9">
        <f>SUMIFS(events!T:T,events!L:L,"=DeadIce",events!U:U,"&lt;="&amp;shifts!AH120,events!V:V,"&gt;"&amp;shifts!AI120,events!D:D,"="&amp;shifts!B121)+SUMIFS(events!T:T,events!L:L,"=Timeout",events!U:U,"&lt;="&amp;shifts!AH120,events!V:V,"&gt;"&amp;shifts!AI120,events!D:D,"="&amp;shifts!B121)</f>
        <v>0</v>
      </c>
      <c r="Y120" s="9" t="str">
        <f t="shared" si="42"/>
        <v/>
      </c>
      <c r="AA120" t="str">
        <f t="shared" si="43"/>
        <v/>
      </c>
      <c r="AC120" t="str">
        <f t="shared" si="44"/>
        <v/>
      </c>
      <c r="AE120">
        <f t="shared" si="47"/>
        <v>18977</v>
      </c>
      <c r="AF120" t="str">
        <f t="shared" si="48"/>
        <v>Velodrome</v>
      </c>
      <c r="AG120" t="str">
        <f t="shared" si="49"/>
        <v>HollowBrook</v>
      </c>
      <c r="AH120" s="6">
        <f t="shared" si="52"/>
        <v>0</v>
      </c>
      <c r="AI120" s="6">
        <f t="shared" si="53"/>
        <v>0</v>
      </c>
      <c r="AJ120" s="18">
        <f t="shared" si="34"/>
        <v>0</v>
      </c>
      <c r="AK120">
        <f t="shared" si="35"/>
        <v>0</v>
      </c>
      <c r="AL120">
        <f t="shared" si="36"/>
        <v>0</v>
      </c>
      <c r="AM120">
        <f t="shared" si="54"/>
        <v>0</v>
      </c>
      <c r="AN120">
        <f t="shared" si="55"/>
        <v>0</v>
      </c>
      <c r="AO120">
        <f t="shared" si="29"/>
        <v>0</v>
      </c>
      <c r="AP120">
        <f t="shared" si="37"/>
        <v>0</v>
      </c>
      <c r="AQ120">
        <f t="shared" si="38"/>
        <v>0</v>
      </c>
      <c r="AR120">
        <f t="shared" si="39"/>
        <v>0</v>
      </c>
      <c r="AS120" t="str">
        <f t="shared" si="40"/>
        <v/>
      </c>
      <c r="AT120" t="str">
        <f t="shared" si="41"/>
        <v>0v0</v>
      </c>
    </row>
    <row r="121" spans="1:46" x14ac:dyDescent="0.2">
      <c r="A121">
        <f t="shared" si="45"/>
        <v>120</v>
      </c>
      <c r="B121" s="9">
        <f t="shared" si="50"/>
        <v>3</v>
      </c>
      <c r="C121">
        <f t="shared" si="51"/>
        <v>0</v>
      </c>
      <c r="D121" s="6">
        <f t="shared" si="46"/>
        <v>0</v>
      </c>
      <c r="O121" s="7">
        <v>39</v>
      </c>
      <c r="V121">
        <v>99</v>
      </c>
      <c r="W121" s="9">
        <f>SUMIFS(events!T:T,events!L:L,"=DeadIce",events!U:U,"&lt;="&amp;shifts!AH121,events!V:V,"&gt;"&amp;shifts!AI121,events!D:D,"="&amp;shifts!B122)+SUMIFS(events!T:T,events!L:L,"=Timeout",events!U:U,"&lt;="&amp;shifts!AH121,events!V:V,"&gt;"&amp;shifts!AI121,events!D:D,"="&amp;shifts!B122)</f>
        <v>0</v>
      </c>
      <c r="Y121" s="9" t="str">
        <f t="shared" si="42"/>
        <v/>
      </c>
      <c r="AA121" t="str">
        <f t="shared" si="43"/>
        <v/>
      </c>
      <c r="AC121" t="str">
        <f t="shared" si="44"/>
        <v/>
      </c>
      <c r="AE121">
        <f t="shared" si="47"/>
        <v>18977</v>
      </c>
      <c r="AF121" t="str">
        <f t="shared" si="48"/>
        <v>Velodrome</v>
      </c>
      <c r="AG121" t="str">
        <f t="shared" si="49"/>
        <v>HollowBrook</v>
      </c>
      <c r="AH121" s="6">
        <f t="shared" si="52"/>
        <v>0</v>
      </c>
      <c r="AI121" s="6">
        <f t="shared" si="53"/>
        <v>0</v>
      </c>
      <c r="AJ121" s="18">
        <f t="shared" si="34"/>
        <v>0</v>
      </c>
      <c r="AK121">
        <f t="shared" si="35"/>
        <v>0</v>
      </c>
      <c r="AL121">
        <f t="shared" si="36"/>
        <v>0</v>
      </c>
      <c r="AM121">
        <f t="shared" si="54"/>
        <v>0</v>
      </c>
      <c r="AN121">
        <f t="shared" si="55"/>
        <v>0</v>
      </c>
      <c r="AO121">
        <f t="shared" si="29"/>
        <v>0</v>
      </c>
      <c r="AP121">
        <f t="shared" si="37"/>
        <v>0</v>
      </c>
      <c r="AQ121">
        <f t="shared" si="38"/>
        <v>0</v>
      </c>
      <c r="AR121">
        <f t="shared" si="39"/>
        <v>0</v>
      </c>
      <c r="AS121" t="str">
        <f t="shared" si="40"/>
        <v/>
      </c>
      <c r="AT121" t="str">
        <f t="shared" si="41"/>
        <v>0v0</v>
      </c>
    </row>
    <row r="122" spans="1:46" x14ac:dyDescent="0.2">
      <c r="A122">
        <f t="shared" si="45"/>
        <v>121</v>
      </c>
      <c r="B122" s="9">
        <f t="shared" si="50"/>
        <v>3</v>
      </c>
      <c r="C122">
        <f t="shared" si="51"/>
        <v>0</v>
      </c>
      <c r="D122" s="6">
        <f t="shared" si="46"/>
        <v>0</v>
      </c>
      <c r="O122" s="7">
        <v>39</v>
      </c>
      <c r="V122">
        <v>99</v>
      </c>
      <c r="W122" s="9">
        <f>SUMIFS(events!T:T,events!L:L,"=DeadIce",events!U:U,"&lt;="&amp;shifts!AH122,events!V:V,"&gt;"&amp;shifts!AI122,events!D:D,"="&amp;shifts!B123)+SUMIFS(events!T:T,events!L:L,"=Timeout",events!U:U,"&lt;="&amp;shifts!AH122,events!V:V,"&gt;"&amp;shifts!AI122,events!D:D,"="&amp;shifts!B123)</f>
        <v>0</v>
      </c>
      <c r="Y122" s="9" t="str">
        <f t="shared" si="42"/>
        <v/>
      </c>
      <c r="AA122" t="str">
        <f t="shared" si="43"/>
        <v/>
      </c>
      <c r="AC122" t="str">
        <f t="shared" si="44"/>
        <v/>
      </c>
      <c r="AE122">
        <f t="shared" si="47"/>
        <v>18977</v>
      </c>
      <c r="AF122" t="str">
        <f t="shared" si="48"/>
        <v>Velodrome</v>
      </c>
      <c r="AG122" t="str">
        <f t="shared" si="49"/>
        <v>HollowBrook</v>
      </c>
      <c r="AH122" s="6">
        <f t="shared" si="52"/>
        <v>0</v>
      </c>
      <c r="AI122" s="6">
        <f t="shared" si="53"/>
        <v>0</v>
      </c>
      <c r="AJ122" s="18">
        <f t="shared" si="34"/>
        <v>0</v>
      </c>
      <c r="AK122">
        <f t="shared" si="35"/>
        <v>0</v>
      </c>
      <c r="AL122">
        <f t="shared" si="36"/>
        <v>0</v>
      </c>
      <c r="AM122">
        <f t="shared" si="54"/>
        <v>0</v>
      </c>
      <c r="AN122">
        <f t="shared" si="55"/>
        <v>0</v>
      </c>
      <c r="AO122">
        <f t="shared" si="29"/>
        <v>0</v>
      </c>
      <c r="AP122">
        <f t="shared" si="37"/>
        <v>0</v>
      </c>
      <c r="AQ122">
        <f t="shared" si="38"/>
        <v>0</v>
      </c>
      <c r="AR122">
        <f t="shared" si="39"/>
        <v>0</v>
      </c>
      <c r="AS122" t="str">
        <f t="shared" si="40"/>
        <v/>
      </c>
      <c r="AT122" t="str">
        <f t="shared" si="41"/>
        <v>0v0</v>
      </c>
    </row>
    <row r="123" spans="1:46" x14ac:dyDescent="0.2">
      <c r="A123">
        <f t="shared" si="45"/>
        <v>122</v>
      </c>
      <c r="B123" s="9">
        <f t="shared" si="50"/>
        <v>3</v>
      </c>
      <c r="C123">
        <f t="shared" si="51"/>
        <v>0</v>
      </c>
      <c r="D123" s="6">
        <f t="shared" si="46"/>
        <v>0</v>
      </c>
      <c r="O123" s="7">
        <v>39</v>
      </c>
      <c r="V123">
        <v>99</v>
      </c>
      <c r="W123" s="9">
        <f>SUMIFS(events!T:T,events!L:L,"=DeadIce",events!U:U,"&lt;="&amp;shifts!AH123,events!V:V,"&gt;"&amp;shifts!AI123,events!D:D,"="&amp;shifts!B124)+SUMIFS(events!T:T,events!L:L,"=Timeout",events!U:U,"&lt;="&amp;shifts!AH123,events!V:V,"&gt;"&amp;shifts!AI123,events!D:D,"="&amp;shifts!B124)</f>
        <v>0</v>
      </c>
      <c r="Y123" s="9" t="str">
        <f t="shared" si="42"/>
        <v/>
      </c>
      <c r="AA123" t="str">
        <f t="shared" si="43"/>
        <v/>
      </c>
      <c r="AC123" t="str">
        <f t="shared" si="44"/>
        <v/>
      </c>
      <c r="AE123">
        <f t="shared" si="47"/>
        <v>18977</v>
      </c>
      <c r="AF123" t="str">
        <f t="shared" si="48"/>
        <v>Velodrome</v>
      </c>
      <c r="AG123" t="str">
        <f t="shared" si="49"/>
        <v>HollowBrook</v>
      </c>
      <c r="AH123" s="6">
        <f t="shared" si="52"/>
        <v>0</v>
      </c>
      <c r="AI123" s="6">
        <f t="shared" si="53"/>
        <v>0</v>
      </c>
      <c r="AJ123" s="18">
        <f t="shared" si="34"/>
        <v>0</v>
      </c>
      <c r="AK123">
        <f t="shared" si="35"/>
        <v>0</v>
      </c>
      <c r="AL123">
        <f t="shared" si="36"/>
        <v>0</v>
      </c>
      <c r="AM123">
        <f t="shared" si="54"/>
        <v>0</v>
      </c>
      <c r="AN123">
        <f t="shared" si="55"/>
        <v>0</v>
      </c>
      <c r="AO123">
        <f t="shared" si="29"/>
        <v>0</v>
      </c>
      <c r="AP123">
        <f t="shared" si="37"/>
        <v>0</v>
      </c>
      <c r="AQ123">
        <f t="shared" si="38"/>
        <v>0</v>
      </c>
      <c r="AR123">
        <f t="shared" si="39"/>
        <v>0</v>
      </c>
      <c r="AS123" t="str">
        <f t="shared" si="40"/>
        <v/>
      </c>
      <c r="AT123" t="str">
        <f t="shared" si="41"/>
        <v>0v0</v>
      </c>
    </row>
    <row r="124" spans="1:46" x14ac:dyDescent="0.2">
      <c r="A124">
        <f t="shared" si="45"/>
        <v>123</v>
      </c>
      <c r="B124" s="9">
        <f t="shared" si="50"/>
        <v>3</v>
      </c>
      <c r="C124">
        <f t="shared" si="51"/>
        <v>0</v>
      </c>
      <c r="D124" s="6">
        <f t="shared" si="46"/>
        <v>0</v>
      </c>
      <c r="O124" s="7">
        <v>39</v>
      </c>
      <c r="V124">
        <v>99</v>
      </c>
      <c r="W124" s="9">
        <f>SUMIFS(events!T:T,events!L:L,"=DeadIce",events!U:U,"&lt;="&amp;shifts!AH124,events!V:V,"&gt;"&amp;shifts!AI124,events!D:D,"="&amp;shifts!B125)+SUMIFS(events!T:T,events!L:L,"=Timeout",events!U:U,"&lt;="&amp;shifts!AH124,events!V:V,"&gt;"&amp;shifts!AI124,events!D:D,"="&amp;shifts!B125)</f>
        <v>0</v>
      </c>
      <c r="Y124" s="9" t="str">
        <f t="shared" si="42"/>
        <v/>
      </c>
      <c r="AA124" t="str">
        <f t="shared" si="43"/>
        <v/>
      </c>
      <c r="AC124" t="str">
        <f t="shared" si="44"/>
        <v/>
      </c>
      <c r="AE124">
        <f t="shared" si="47"/>
        <v>18977</v>
      </c>
      <c r="AF124" t="str">
        <f t="shared" si="48"/>
        <v>Velodrome</v>
      </c>
      <c r="AG124" t="str">
        <f t="shared" si="49"/>
        <v>HollowBrook</v>
      </c>
      <c r="AH124" s="6">
        <f t="shared" si="52"/>
        <v>0</v>
      </c>
      <c r="AI124" s="6">
        <f t="shared" si="53"/>
        <v>0</v>
      </c>
      <c r="AJ124" s="18">
        <f t="shared" si="34"/>
        <v>0</v>
      </c>
      <c r="AK124">
        <f t="shared" si="35"/>
        <v>0</v>
      </c>
      <c r="AL124">
        <f t="shared" si="36"/>
        <v>0</v>
      </c>
      <c r="AM124">
        <f t="shared" si="54"/>
        <v>0</v>
      </c>
      <c r="AN124">
        <f t="shared" si="55"/>
        <v>0</v>
      </c>
      <c r="AO124">
        <f t="shared" si="29"/>
        <v>0</v>
      </c>
      <c r="AP124">
        <f t="shared" si="37"/>
        <v>0</v>
      </c>
      <c r="AQ124">
        <f t="shared" si="38"/>
        <v>0</v>
      </c>
      <c r="AR124">
        <f t="shared" si="39"/>
        <v>0</v>
      </c>
      <c r="AS124" t="str">
        <f t="shared" si="40"/>
        <v/>
      </c>
      <c r="AT124" t="str">
        <f t="shared" si="41"/>
        <v>0v0</v>
      </c>
    </row>
    <row r="125" spans="1:46" x14ac:dyDescent="0.2">
      <c r="A125">
        <f t="shared" si="45"/>
        <v>124</v>
      </c>
      <c r="B125" s="9">
        <f t="shared" si="50"/>
        <v>3</v>
      </c>
      <c r="C125">
        <f t="shared" si="51"/>
        <v>0</v>
      </c>
      <c r="D125" s="6">
        <f t="shared" si="46"/>
        <v>0</v>
      </c>
      <c r="O125" s="7">
        <v>39</v>
      </c>
      <c r="V125">
        <v>99</v>
      </c>
      <c r="W125" s="9">
        <f>SUMIFS(events!T:T,events!L:L,"=DeadIce",events!U:U,"&lt;="&amp;shifts!AH125,events!V:V,"&gt;"&amp;shifts!AI125,events!D:D,"="&amp;shifts!B126)+SUMIFS(events!T:T,events!L:L,"=Timeout",events!U:U,"&lt;="&amp;shifts!AH125,events!V:V,"&gt;"&amp;shifts!AI125,events!D:D,"="&amp;shifts!B126)</f>
        <v>0</v>
      </c>
      <c r="Y125" s="9" t="str">
        <f t="shared" si="42"/>
        <v/>
      </c>
      <c r="AA125" t="str">
        <f t="shared" si="43"/>
        <v/>
      </c>
      <c r="AC125" t="str">
        <f t="shared" si="44"/>
        <v/>
      </c>
      <c r="AE125">
        <f t="shared" si="47"/>
        <v>18977</v>
      </c>
      <c r="AF125" t="str">
        <f t="shared" si="48"/>
        <v>Velodrome</v>
      </c>
      <c r="AG125" t="str">
        <f t="shared" si="49"/>
        <v>HollowBrook</v>
      </c>
      <c r="AH125" s="6">
        <f t="shared" si="52"/>
        <v>0</v>
      </c>
      <c r="AI125" s="6">
        <f t="shared" si="53"/>
        <v>0</v>
      </c>
      <c r="AJ125" s="18">
        <f t="shared" si="34"/>
        <v>0</v>
      </c>
      <c r="AK125">
        <f t="shared" si="35"/>
        <v>0</v>
      </c>
      <c r="AL125">
        <f t="shared" si="36"/>
        <v>0</v>
      </c>
      <c r="AM125">
        <f t="shared" si="54"/>
        <v>0</v>
      </c>
      <c r="AN125">
        <f t="shared" si="55"/>
        <v>0</v>
      </c>
      <c r="AO125">
        <f t="shared" si="29"/>
        <v>0</v>
      </c>
      <c r="AP125">
        <f t="shared" si="37"/>
        <v>0</v>
      </c>
      <c r="AQ125">
        <f t="shared" si="38"/>
        <v>0</v>
      </c>
      <c r="AR125">
        <f t="shared" si="39"/>
        <v>0</v>
      </c>
      <c r="AS125" t="str">
        <f t="shared" si="40"/>
        <v/>
      </c>
      <c r="AT125" t="str">
        <f t="shared" si="41"/>
        <v>0v0</v>
      </c>
    </row>
    <row r="126" spans="1:46" x14ac:dyDescent="0.2">
      <c r="A126">
        <f t="shared" si="45"/>
        <v>125</v>
      </c>
      <c r="B126" s="9">
        <f t="shared" si="50"/>
        <v>3</v>
      </c>
      <c r="C126">
        <f t="shared" si="51"/>
        <v>0</v>
      </c>
      <c r="D126" s="6">
        <f t="shared" si="46"/>
        <v>0</v>
      </c>
      <c r="O126" s="7">
        <v>39</v>
      </c>
      <c r="V126">
        <v>99</v>
      </c>
      <c r="W126" s="9">
        <f>SUMIFS(events!T:T,events!L:L,"=DeadIce",events!U:U,"&lt;="&amp;shifts!AH126,events!V:V,"&gt;"&amp;shifts!AI126,events!D:D,"="&amp;shifts!B127)+SUMIFS(events!T:T,events!L:L,"=Timeout",events!U:U,"&lt;="&amp;shifts!AH126,events!V:V,"&gt;"&amp;shifts!AI126,events!D:D,"="&amp;shifts!B127)</f>
        <v>0</v>
      </c>
      <c r="Y126" s="9" t="str">
        <f t="shared" si="42"/>
        <v/>
      </c>
      <c r="AA126" t="str">
        <f t="shared" si="43"/>
        <v/>
      </c>
      <c r="AC126" t="str">
        <f t="shared" si="44"/>
        <v/>
      </c>
      <c r="AE126">
        <f t="shared" si="47"/>
        <v>18977</v>
      </c>
      <c r="AF126" t="str">
        <f t="shared" si="48"/>
        <v>Velodrome</v>
      </c>
      <c r="AG126" t="str">
        <f t="shared" si="49"/>
        <v>HollowBrook</v>
      </c>
      <c r="AH126" s="6">
        <f t="shared" si="52"/>
        <v>0</v>
      </c>
      <c r="AI126" s="6">
        <f t="shared" si="53"/>
        <v>0</v>
      </c>
      <c r="AJ126" s="18">
        <f t="shared" si="34"/>
        <v>0</v>
      </c>
      <c r="AK126">
        <f t="shared" si="35"/>
        <v>0</v>
      </c>
      <c r="AL126">
        <f t="shared" si="36"/>
        <v>0</v>
      </c>
      <c r="AM126">
        <f t="shared" si="54"/>
        <v>0</v>
      </c>
      <c r="AN126">
        <f t="shared" si="55"/>
        <v>0</v>
      </c>
      <c r="AO126">
        <f t="shared" si="29"/>
        <v>0</v>
      </c>
      <c r="AP126">
        <f t="shared" si="37"/>
        <v>0</v>
      </c>
      <c r="AQ126">
        <f t="shared" si="38"/>
        <v>0</v>
      </c>
      <c r="AR126">
        <f t="shared" si="39"/>
        <v>0</v>
      </c>
      <c r="AS126" t="str">
        <f t="shared" si="40"/>
        <v/>
      </c>
      <c r="AT126" t="str">
        <f t="shared" si="41"/>
        <v>0v0</v>
      </c>
    </row>
    <row r="127" spans="1:46" x14ac:dyDescent="0.2">
      <c r="A127">
        <f t="shared" si="45"/>
        <v>126</v>
      </c>
      <c r="B127" s="9">
        <f t="shared" si="50"/>
        <v>3</v>
      </c>
      <c r="C127">
        <f t="shared" si="51"/>
        <v>0</v>
      </c>
      <c r="D127" s="6">
        <f t="shared" si="46"/>
        <v>0</v>
      </c>
      <c r="O127" s="7">
        <v>39</v>
      </c>
      <c r="V127">
        <v>99</v>
      </c>
      <c r="W127" s="9">
        <f>SUMIFS(events!T:T,events!L:L,"=DeadIce",events!U:U,"&lt;="&amp;shifts!AH127,events!V:V,"&gt;"&amp;shifts!AI127,events!D:D,"="&amp;shifts!B128)+SUMIFS(events!T:T,events!L:L,"=Timeout",events!U:U,"&lt;="&amp;shifts!AH127,events!V:V,"&gt;"&amp;shifts!AI127,events!D:D,"="&amp;shifts!B128)</f>
        <v>0</v>
      </c>
      <c r="Y127" s="9" t="str">
        <f t="shared" si="42"/>
        <v/>
      </c>
      <c r="AA127" t="str">
        <f t="shared" si="43"/>
        <v/>
      </c>
      <c r="AC127" t="str">
        <f t="shared" si="44"/>
        <v/>
      </c>
      <c r="AE127">
        <f t="shared" si="47"/>
        <v>18977</v>
      </c>
      <c r="AF127" t="str">
        <f t="shared" si="48"/>
        <v>Velodrome</v>
      </c>
      <c r="AG127" t="str">
        <f t="shared" si="49"/>
        <v>HollowBrook</v>
      </c>
      <c r="AH127" s="6">
        <f t="shared" si="52"/>
        <v>0</v>
      </c>
      <c r="AI127" s="6">
        <f t="shared" si="53"/>
        <v>0</v>
      </c>
      <c r="AJ127" s="18">
        <f t="shared" si="34"/>
        <v>0</v>
      </c>
      <c r="AK127">
        <f t="shared" si="35"/>
        <v>0</v>
      </c>
      <c r="AL127">
        <f t="shared" si="36"/>
        <v>0</v>
      </c>
      <c r="AM127">
        <f t="shared" si="54"/>
        <v>0</v>
      </c>
      <c r="AN127">
        <f t="shared" si="55"/>
        <v>0</v>
      </c>
      <c r="AO127">
        <f t="shared" si="29"/>
        <v>0</v>
      </c>
      <c r="AP127">
        <f t="shared" si="37"/>
        <v>0</v>
      </c>
      <c r="AQ127">
        <f t="shared" si="38"/>
        <v>0</v>
      </c>
      <c r="AR127">
        <f t="shared" si="39"/>
        <v>0</v>
      </c>
      <c r="AS127" t="str">
        <f t="shared" si="40"/>
        <v/>
      </c>
      <c r="AT127" t="str">
        <f t="shared" si="41"/>
        <v>0v0</v>
      </c>
    </row>
    <row r="128" spans="1:46" x14ac:dyDescent="0.2">
      <c r="A128">
        <f t="shared" si="45"/>
        <v>127</v>
      </c>
      <c r="B128" s="9">
        <f t="shared" si="50"/>
        <v>3</v>
      </c>
      <c r="C128">
        <f t="shared" si="51"/>
        <v>0</v>
      </c>
      <c r="D128" s="6">
        <f t="shared" si="46"/>
        <v>0</v>
      </c>
      <c r="O128" s="7">
        <v>39</v>
      </c>
      <c r="V128">
        <v>99</v>
      </c>
      <c r="W128" s="9">
        <f>SUMIFS(events!T:T,events!L:L,"=DeadIce",events!U:U,"&lt;="&amp;shifts!AH128,events!V:V,"&gt;"&amp;shifts!AI128,events!D:D,"="&amp;shifts!B129)+SUMIFS(events!T:T,events!L:L,"=Timeout",events!U:U,"&lt;="&amp;shifts!AH128,events!V:V,"&gt;"&amp;shifts!AI128,events!D:D,"="&amp;shifts!B129)</f>
        <v>0</v>
      </c>
      <c r="Y128" s="9" t="str">
        <f t="shared" si="42"/>
        <v/>
      </c>
      <c r="AA128" t="str">
        <f t="shared" si="43"/>
        <v/>
      </c>
      <c r="AC128" t="str">
        <f t="shared" si="44"/>
        <v/>
      </c>
      <c r="AE128">
        <f t="shared" si="47"/>
        <v>18977</v>
      </c>
      <c r="AF128" t="str">
        <f t="shared" si="48"/>
        <v>Velodrome</v>
      </c>
      <c r="AG128" t="str">
        <f t="shared" si="49"/>
        <v>HollowBrook</v>
      </c>
      <c r="AH128" s="6">
        <f t="shared" si="52"/>
        <v>0</v>
      </c>
      <c r="AI128" s="6">
        <f t="shared" si="53"/>
        <v>0</v>
      </c>
      <c r="AJ128" s="18">
        <f t="shared" si="34"/>
        <v>0</v>
      </c>
      <c r="AK128">
        <f t="shared" si="35"/>
        <v>0</v>
      </c>
      <c r="AL128">
        <f t="shared" si="36"/>
        <v>0</v>
      </c>
      <c r="AM128">
        <f t="shared" si="54"/>
        <v>0</v>
      </c>
      <c r="AN128">
        <f t="shared" si="55"/>
        <v>0</v>
      </c>
      <c r="AO128">
        <f t="shared" si="29"/>
        <v>0</v>
      </c>
      <c r="AP128">
        <f t="shared" si="37"/>
        <v>0</v>
      </c>
      <c r="AQ128">
        <f t="shared" si="38"/>
        <v>0</v>
      </c>
      <c r="AR128">
        <f t="shared" si="39"/>
        <v>0</v>
      </c>
      <c r="AS128" t="str">
        <f t="shared" si="40"/>
        <v/>
      </c>
      <c r="AT128" t="str">
        <f t="shared" si="41"/>
        <v>0v0</v>
      </c>
    </row>
    <row r="129" spans="1:46" x14ac:dyDescent="0.2">
      <c r="A129">
        <f t="shared" si="45"/>
        <v>128</v>
      </c>
      <c r="B129" s="9">
        <f t="shared" si="50"/>
        <v>3</v>
      </c>
      <c r="C129">
        <f t="shared" si="51"/>
        <v>0</v>
      </c>
      <c r="D129" s="6">
        <f t="shared" si="46"/>
        <v>0</v>
      </c>
      <c r="O129" s="7">
        <v>39</v>
      </c>
      <c r="V129">
        <v>99</v>
      </c>
      <c r="W129" s="9">
        <f>SUMIFS(events!T:T,events!L:L,"=DeadIce",events!U:U,"&lt;="&amp;shifts!AH129,events!V:V,"&gt;"&amp;shifts!AI129,events!D:D,"="&amp;shifts!B130)+SUMIFS(events!T:T,events!L:L,"=Timeout",events!U:U,"&lt;="&amp;shifts!AH129,events!V:V,"&gt;"&amp;shifts!AI129,events!D:D,"="&amp;shifts!B130)</f>
        <v>0</v>
      </c>
      <c r="Y129" s="9" t="str">
        <f t="shared" si="42"/>
        <v/>
      </c>
      <c r="AA129" t="str">
        <f t="shared" si="43"/>
        <v/>
      </c>
      <c r="AC129" t="str">
        <f t="shared" si="44"/>
        <v/>
      </c>
      <c r="AE129">
        <f t="shared" si="47"/>
        <v>18977</v>
      </c>
      <c r="AF129" t="str">
        <f t="shared" si="48"/>
        <v>Velodrome</v>
      </c>
      <c r="AG129" t="str">
        <f t="shared" si="49"/>
        <v>HollowBrook</v>
      </c>
      <c r="AH129" s="6">
        <f t="shared" si="52"/>
        <v>0</v>
      </c>
      <c r="AI129" s="6">
        <f t="shared" si="53"/>
        <v>0</v>
      </c>
      <c r="AJ129" s="18">
        <f t="shared" si="34"/>
        <v>0</v>
      </c>
      <c r="AK129">
        <f t="shared" si="35"/>
        <v>0</v>
      </c>
      <c r="AL129">
        <f t="shared" si="36"/>
        <v>0</v>
      </c>
      <c r="AM129">
        <f t="shared" si="54"/>
        <v>0</v>
      </c>
      <c r="AN129">
        <f t="shared" si="55"/>
        <v>0</v>
      </c>
      <c r="AO129">
        <f t="shared" si="29"/>
        <v>0</v>
      </c>
      <c r="AP129">
        <f t="shared" si="37"/>
        <v>0</v>
      </c>
      <c r="AQ129">
        <f t="shared" si="38"/>
        <v>0</v>
      </c>
      <c r="AR129">
        <f t="shared" si="39"/>
        <v>0</v>
      </c>
      <c r="AS129" t="str">
        <f t="shared" si="40"/>
        <v/>
      </c>
      <c r="AT129" t="str">
        <f t="shared" si="41"/>
        <v>0v0</v>
      </c>
    </row>
    <row r="130" spans="1:46" x14ac:dyDescent="0.2">
      <c r="A130">
        <f t="shared" si="45"/>
        <v>129</v>
      </c>
      <c r="B130" s="9">
        <f t="shared" si="50"/>
        <v>3</v>
      </c>
      <c r="C130">
        <f t="shared" si="51"/>
        <v>0</v>
      </c>
      <c r="D130" s="6">
        <f t="shared" si="46"/>
        <v>0</v>
      </c>
      <c r="O130" s="7">
        <v>39</v>
      </c>
      <c r="V130">
        <v>99</v>
      </c>
      <c r="W130" s="9">
        <f>SUMIFS(events!T:T,events!L:L,"=DeadIce",events!U:U,"&lt;="&amp;shifts!AH130,events!V:V,"&gt;"&amp;shifts!AI130,events!D:D,"="&amp;shifts!B131)+SUMIFS(events!T:T,events!L:L,"=Timeout",events!U:U,"&lt;="&amp;shifts!AH130,events!V:V,"&gt;"&amp;shifts!AI130,events!D:D,"="&amp;shifts!B131)</f>
        <v>0</v>
      </c>
      <c r="Y130" s="9" t="str">
        <f t="shared" si="42"/>
        <v/>
      </c>
      <c r="AA130" t="str">
        <f t="shared" si="43"/>
        <v/>
      </c>
      <c r="AC130" t="str">
        <f t="shared" si="44"/>
        <v/>
      </c>
      <c r="AE130">
        <f t="shared" si="47"/>
        <v>18977</v>
      </c>
      <c r="AF130" t="str">
        <f t="shared" si="48"/>
        <v>Velodrome</v>
      </c>
      <c r="AG130" t="str">
        <f t="shared" si="49"/>
        <v>HollowBrook</v>
      </c>
      <c r="AH130" s="6">
        <f t="shared" si="52"/>
        <v>0</v>
      </c>
      <c r="AI130" s="6">
        <f t="shared" si="53"/>
        <v>0</v>
      </c>
      <c r="AJ130" s="18">
        <f t="shared" si="34"/>
        <v>0</v>
      </c>
      <c r="AK130">
        <f t="shared" si="35"/>
        <v>0</v>
      </c>
      <c r="AL130">
        <f t="shared" si="36"/>
        <v>0</v>
      </c>
      <c r="AM130">
        <f t="shared" si="54"/>
        <v>0</v>
      </c>
      <c r="AN130">
        <f t="shared" si="55"/>
        <v>0</v>
      </c>
      <c r="AO130">
        <f t="shared" si="29"/>
        <v>0</v>
      </c>
      <c r="AP130">
        <f t="shared" si="37"/>
        <v>0</v>
      </c>
      <c r="AQ130">
        <f t="shared" si="38"/>
        <v>0</v>
      </c>
      <c r="AR130">
        <f t="shared" si="39"/>
        <v>0</v>
      </c>
      <c r="AS130" t="str">
        <f t="shared" si="40"/>
        <v/>
      </c>
      <c r="AT130" t="str">
        <f t="shared" si="41"/>
        <v>0v0</v>
      </c>
    </row>
    <row r="131" spans="1:46" x14ac:dyDescent="0.2">
      <c r="A131">
        <f t="shared" si="45"/>
        <v>130</v>
      </c>
      <c r="B131" s="9">
        <f t="shared" si="50"/>
        <v>3</v>
      </c>
      <c r="C131">
        <f t="shared" si="51"/>
        <v>0</v>
      </c>
      <c r="D131" s="6">
        <f t="shared" si="46"/>
        <v>0</v>
      </c>
      <c r="O131" s="7">
        <v>39</v>
      </c>
      <c r="V131">
        <v>99</v>
      </c>
      <c r="W131" s="9">
        <f>SUMIFS(events!T:T,events!L:L,"=DeadIce",events!U:U,"&lt;="&amp;shifts!AH131,events!V:V,"&gt;"&amp;shifts!AI131,events!D:D,"="&amp;shifts!B132)+SUMIFS(events!T:T,events!L:L,"=Timeout",events!U:U,"&lt;="&amp;shifts!AH131,events!V:V,"&gt;"&amp;shifts!AI131,events!D:D,"="&amp;shifts!B132)</f>
        <v>0</v>
      </c>
      <c r="Y131" s="9" t="str">
        <f t="shared" si="42"/>
        <v/>
      </c>
      <c r="AA131" t="str">
        <f t="shared" si="43"/>
        <v/>
      </c>
      <c r="AC131" t="str">
        <f t="shared" si="44"/>
        <v/>
      </c>
      <c r="AE131">
        <f t="shared" si="47"/>
        <v>18977</v>
      </c>
      <c r="AF131" t="str">
        <f t="shared" si="48"/>
        <v>Velodrome</v>
      </c>
      <c r="AG131" t="str">
        <f t="shared" si="49"/>
        <v>HollowBrook</v>
      </c>
      <c r="AH131" s="6">
        <f t="shared" si="52"/>
        <v>0</v>
      </c>
      <c r="AI131" s="6">
        <f t="shared" si="53"/>
        <v>0</v>
      </c>
      <c r="AJ131" s="18">
        <f t="shared" si="34"/>
        <v>0</v>
      </c>
      <c r="AK131">
        <f t="shared" si="35"/>
        <v>0</v>
      </c>
      <c r="AL131">
        <f t="shared" si="36"/>
        <v>0</v>
      </c>
      <c r="AM131">
        <f t="shared" si="54"/>
        <v>0</v>
      </c>
      <c r="AN131">
        <f t="shared" si="55"/>
        <v>0</v>
      </c>
      <c r="AO131">
        <f t="shared" ref="AO131:AO194" si="56">IF(AND($AM131&lt;&gt;1,$AK131&lt;$AL131,AN131&lt;&gt;1),1,)</f>
        <v>0</v>
      </c>
      <c r="AP131">
        <f t="shared" si="37"/>
        <v>0</v>
      </c>
      <c r="AQ131">
        <f t="shared" si="38"/>
        <v>0</v>
      </c>
      <c r="AR131">
        <f t="shared" si="39"/>
        <v>0</v>
      </c>
      <c r="AS131" t="str">
        <f t="shared" si="40"/>
        <v/>
      </c>
      <c r="AT131" t="str">
        <f t="shared" si="41"/>
        <v>0v0</v>
      </c>
    </row>
    <row r="132" spans="1:46" x14ac:dyDescent="0.2">
      <c r="A132">
        <f t="shared" si="45"/>
        <v>131</v>
      </c>
      <c r="B132" s="9">
        <f t="shared" si="50"/>
        <v>3</v>
      </c>
      <c r="C132">
        <f t="shared" si="51"/>
        <v>0</v>
      </c>
      <c r="D132" s="6">
        <f t="shared" si="46"/>
        <v>0</v>
      </c>
      <c r="O132" s="7">
        <v>39</v>
      </c>
      <c r="V132">
        <v>99</v>
      </c>
      <c r="W132" s="9">
        <f>SUMIFS(events!T:T,events!L:L,"=DeadIce",events!U:U,"&lt;="&amp;shifts!AH132,events!V:V,"&gt;"&amp;shifts!AI132,events!D:D,"="&amp;shifts!B133)+SUMIFS(events!T:T,events!L:L,"=Timeout",events!U:U,"&lt;="&amp;shifts!AH132,events!V:V,"&gt;"&amp;shifts!AI132,events!D:D,"="&amp;shifts!B133)</f>
        <v>0</v>
      </c>
      <c r="Y132" s="9" t="str">
        <f t="shared" si="42"/>
        <v/>
      </c>
      <c r="AA132" t="str">
        <f t="shared" si="43"/>
        <v/>
      </c>
      <c r="AC132" t="str">
        <f t="shared" si="44"/>
        <v/>
      </c>
      <c r="AE132">
        <f t="shared" si="47"/>
        <v>18977</v>
      </c>
      <c r="AF132" t="str">
        <f t="shared" si="48"/>
        <v>Velodrome</v>
      </c>
      <c r="AG132" t="str">
        <f t="shared" si="49"/>
        <v>HollowBrook</v>
      </c>
      <c r="AH132" s="6">
        <f t="shared" ref="AH132:AH163" si="57">((C132*60)+D132)</f>
        <v>0</v>
      </c>
      <c r="AI132" s="6">
        <f t="shared" ref="AI132:AI163" si="58">((E132*60)+F132)</f>
        <v>0</v>
      </c>
      <c r="AJ132" s="18">
        <f t="shared" si="34"/>
        <v>0</v>
      </c>
      <c r="AK132">
        <f t="shared" si="35"/>
        <v>0</v>
      </c>
      <c r="AL132">
        <f t="shared" si="36"/>
        <v>0</v>
      </c>
      <c r="AM132">
        <f t="shared" ref="AM132:AM163" si="59">IF(O132="",1,0)</f>
        <v>0</v>
      </c>
      <c r="AN132">
        <f t="shared" ref="AN132:AN163" si="60">IF(V132="",1,0)</f>
        <v>0</v>
      </c>
      <c r="AO132">
        <f t="shared" si="56"/>
        <v>0</v>
      </c>
      <c r="AP132">
        <f t="shared" si="37"/>
        <v>0</v>
      </c>
      <c r="AQ132">
        <f t="shared" si="38"/>
        <v>0</v>
      </c>
      <c r="AR132">
        <f t="shared" si="39"/>
        <v>0</v>
      </c>
      <c r="AS132" t="str">
        <f t="shared" si="40"/>
        <v/>
      </c>
      <c r="AT132" t="str">
        <f t="shared" si="41"/>
        <v>0v0</v>
      </c>
    </row>
    <row r="133" spans="1:46" x14ac:dyDescent="0.2">
      <c r="A133">
        <f t="shared" si="45"/>
        <v>132</v>
      </c>
      <c r="B133" s="9">
        <f t="shared" si="50"/>
        <v>3</v>
      </c>
      <c r="C133">
        <f t="shared" si="51"/>
        <v>0</v>
      </c>
      <c r="D133" s="6">
        <f t="shared" si="46"/>
        <v>0</v>
      </c>
      <c r="O133" s="7">
        <v>39</v>
      </c>
      <c r="V133">
        <v>99</v>
      </c>
      <c r="W133" s="9">
        <f>SUMIFS(events!T:T,events!L:L,"=DeadIce",events!U:U,"&lt;="&amp;shifts!AH133,events!V:V,"&gt;"&amp;shifts!AI133,events!D:D,"="&amp;shifts!B134)+SUMIFS(events!T:T,events!L:L,"=Timeout",events!U:U,"&lt;="&amp;shifts!AH133,events!V:V,"&gt;"&amp;shifts!AI133,events!D:D,"="&amp;shifts!B134)</f>
        <v>0</v>
      </c>
      <c r="Y133" s="9" t="str">
        <f t="shared" si="42"/>
        <v/>
      </c>
      <c r="AA133" t="str">
        <f t="shared" si="43"/>
        <v/>
      </c>
      <c r="AC133" t="str">
        <f t="shared" si="44"/>
        <v/>
      </c>
      <c r="AE133">
        <f t="shared" si="47"/>
        <v>18977</v>
      </c>
      <c r="AF133" t="str">
        <f t="shared" si="48"/>
        <v>Velodrome</v>
      </c>
      <c r="AG133" t="str">
        <f t="shared" si="49"/>
        <v>HollowBrook</v>
      </c>
      <c r="AH133" s="6">
        <f t="shared" si="57"/>
        <v>0</v>
      </c>
      <c r="AI133" s="6">
        <f t="shared" si="58"/>
        <v>0</v>
      </c>
      <c r="AJ133" s="18">
        <f t="shared" ref="AJ133:AJ196" si="61">ROUND(AH133-AI133,0)</f>
        <v>0</v>
      </c>
      <c r="AK133">
        <f t="shared" ref="AK133:AK196" si="62">COUNTIF(I133:N133,"&gt;0")</f>
        <v>0</v>
      </c>
      <c r="AL133">
        <f t="shared" ref="AL133:AL196" si="63">COUNTIF(P133:U133,"&gt;0")</f>
        <v>0</v>
      </c>
      <c r="AM133">
        <f t="shared" si="59"/>
        <v>0</v>
      </c>
      <c r="AN133">
        <f t="shared" si="60"/>
        <v>0</v>
      </c>
      <c r="AO133">
        <f t="shared" si="56"/>
        <v>0</v>
      </c>
      <c r="AP133">
        <f t="shared" ref="AP133:AP196" si="64">IF(AND($AM133&lt;&gt;1,$AK133&gt;$AL133),1,)</f>
        <v>0</v>
      </c>
      <c r="AQ133">
        <f t="shared" ref="AQ133:AQ196" si="65">IF(AO133=1,1,0)</f>
        <v>0</v>
      </c>
      <c r="AR133">
        <f t="shared" ref="AR133:AR196" si="66">IF(AP133=1,1,0)</f>
        <v>0</v>
      </c>
      <c r="AS133" t="str">
        <f t="shared" ref="AS133:AS196" si="67">IF(AND(AK133=5,AL133=5,AM133=0,AN133=0),"Full Strength",IF(AQ133=1,"Away PowerPlay",IF(AP133=1,"Home PowerPlay",IF(AM133=1,"Home EmptyNet",IF(AN133=1,"Away EmptyNet","")))))</f>
        <v/>
      </c>
      <c r="AT133" t="str">
        <f t="shared" ref="AT133:AT196" si="68">IF(AND(AM133=0,AN133=0),AK133&amp;"v"&amp;AL133,IF(AM133=1,AK133&amp;"v"&amp;AL133&amp;" Home EN",IF(AN133=1,AK133&amp;"v"&amp;AL133&amp;" Away EN","")))</f>
        <v>0v0</v>
      </c>
    </row>
    <row r="134" spans="1:46" x14ac:dyDescent="0.2">
      <c r="A134">
        <f t="shared" si="45"/>
        <v>133</v>
      </c>
      <c r="B134" s="9">
        <f t="shared" si="50"/>
        <v>3</v>
      </c>
      <c r="C134">
        <f t="shared" si="51"/>
        <v>0</v>
      </c>
      <c r="D134" s="6">
        <f t="shared" si="46"/>
        <v>0</v>
      </c>
      <c r="O134" s="7">
        <v>39</v>
      </c>
      <c r="V134">
        <v>99</v>
      </c>
      <c r="W134" s="9">
        <f>SUMIFS(events!T:T,events!L:L,"=DeadIce",events!U:U,"&lt;="&amp;shifts!AH134,events!V:V,"&gt;"&amp;shifts!AI134,events!D:D,"="&amp;shifts!B135)+SUMIFS(events!T:T,events!L:L,"=Timeout",events!U:U,"&lt;="&amp;shifts!AH134,events!V:V,"&gt;"&amp;shifts!AI134,events!D:D,"="&amp;shifts!B135)</f>
        <v>0</v>
      </c>
      <c r="Y134" s="9" t="str">
        <f t="shared" ref="Y134:Y197" si="69">IF(OR($H133="Home Goal",$H133="Away Goal",$H133="Period End"),"",IF(Z133=1,1,""))</f>
        <v/>
      </c>
      <c r="AA134" t="str">
        <f t="shared" ref="AA134:AA197" si="70">IF(OR($H133="Home Goal",$H133="Away Goal",$H133="Period End"),"",IF(AB133=1,1,""))</f>
        <v/>
      </c>
      <c r="AC134" t="str">
        <f t="shared" ref="AC134:AC197" si="71">IF(OR($H133="Home Goal",$H133="Away Goal",$H133="Period End"),1,IF(AD133=1,1,""))</f>
        <v/>
      </c>
      <c r="AE134">
        <f t="shared" si="47"/>
        <v>18977</v>
      </c>
      <c r="AF134" t="str">
        <f t="shared" si="48"/>
        <v>Velodrome</v>
      </c>
      <c r="AG134" t="str">
        <f t="shared" si="49"/>
        <v>HollowBrook</v>
      </c>
      <c r="AH134" s="6">
        <f t="shared" si="57"/>
        <v>0</v>
      </c>
      <c r="AI134" s="6">
        <f t="shared" si="58"/>
        <v>0</v>
      </c>
      <c r="AJ134" s="18">
        <f t="shared" si="61"/>
        <v>0</v>
      </c>
      <c r="AK134">
        <f t="shared" si="62"/>
        <v>0</v>
      </c>
      <c r="AL134">
        <f t="shared" si="63"/>
        <v>0</v>
      </c>
      <c r="AM134">
        <f t="shared" si="59"/>
        <v>0</v>
      </c>
      <c r="AN134">
        <f t="shared" si="60"/>
        <v>0</v>
      </c>
      <c r="AO134">
        <f t="shared" si="56"/>
        <v>0</v>
      </c>
      <c r="AP134">
        <f t="shared" si="64"/>
        <v>0</v>
      </c>
      <c r="AQ134">
        <f t="shared" si="65"/>
        <v>0</v>
      </c>
      <c r="AR134">
        <f t="shared" si="66"/>
        <v>0</v>
      </c>
      <c r="AS134" t="str">
        <f t="shared" si="67"/>
        <v/>
      </c>
      <c r="AT134" t="str">
        <f t="shared" si="68"/>
        <v>0v0</v>
      </c>
    </row>
    <row r="135" spans="1:46" x14ac:dyDescent="0.2">
      <c r="A135">
        <f t="shared" ref="A135:A198" si="72">A134+1</f>
        <v>134</v>
      </c>
      <c r="B135" s="9">
        <f t="shared" si="50"/>
        <v>3</v>
      </c>
      <c r="C135">
        <f t="shared" si="51"/>
        <v>0</v>
      </c>
      <c r="D135" s="6">
        <f t="shared" ref="D135:D198" si="73">F134</f>
        <v>0</v>
      </c>
      <c r="O135" s="7">
        <v>39</v>
      </c>
      <c r="V135">
        <v>99</v>
      </c>
      <c r="W135" s="9">
        <f>SUMIFS(events!T:T,events!L:L,"=DeadIce",events!U:U,"&lt;="&amp;shifts!AH135,events!V:V,"&gt;"&amp;shifts!AI135,events!D:D,"="&amp;shifts!B136)+SUMIFS(events!T:T,events!L:L,"=Timeout",events!U:U,"&lt;="&amp;shifts!AH135,events!V:V,"&gt;"&amp;shifts!AI135,events!D:D,"="&amp;shifts!B136)</f>
        <v>0</v>
      </c>
      <c r="Y135" s="9" t="str">
        <f t="shared" si="69"/>
        <v/>
      </c>
      <c r="AA135" t="str">
        <f t="shared" si="70"/>
        <v/>
      </c>
      <c r="AC135" t="str">
        <f t="shared" si="71"/>
        <v/>
      </c>
      <c r="AE135">
        <f t="shared" ref="AE135:AE198" si="74">AE134</f>
        <v>18977</v>
      </c>
      <c r="AF135" t="str">
        <f t="shared" ref="AF135:AF198" si="75">AF134</f>
        <v>Velodrome</v>
      </c>
      <c r="AG135" t="str">
        <f t="shared" ref="AG135:AG198" si="76">AG134</f>
        <v>HollowBrook</v>
      </c>
      <c r="AH135" s="6">
        <f t="shared" si="57"/>
        <v>0</v>
      </c>
      <c r="AI135" s="6">
        <f t="shared" si="58"/>
        <v>0</v>
      </c>
      <c r="AJ135" s="18">
        <f t="shared" si="61"/>
        <v>0</v>
      </c>
      <c r="AK135">
        <f t="shared" si="62"/>
        <v>0</v>
      </c>
      <c r="AL135">
        <f t="shared" si="63"/>
        <v>0</v>
      </c>
      <c r="AM135">
        <f t="shared" si="59"/>
        <v>0</v>
      </c>
      <c r="AN135">
        <f t="shared" si="60"/>
        <v>0</v>
      </c>
      <c r="AO135">
        <f t="shared" si="56"/>
        <v>0</v>
      </c>
      <c r="AP135">
        <f t="shared" si="64"/>
        <v>0</v>
      </c>
      <c r="AQ135">
        <f t="shared" si="65"/>
        <v>0</v>
      </c>
      <c r="AR135">
        <f t="shared" si="66"/>
        <v>0</v>
      </c>
      <c r="AS135" t="str">
        <f t="shared" si="67"/>
        <v/>
      </c>
      <c r="AT135" t="str">
        <f t="shared" si="68"/>
        <v>0v0</v>
      </c>
    </row>
    <row r="136" spans="1:46" x14ac:dyDescent="0.2">
      <c r="A136">
        <f t="shared" si="72"/>
        <v>135</v>
      </c>
      <c r="B136" s="9">
        <f t="shared" si="50"/>
        <v>3</v>
      </c>
      <c r="C136">
        <f t="shared" si="51"/>
        <v>0</v>
      </c>
      <c r="D136" s="6">
        <f t="shared" si="73"/>
        <v>0</v>
      </c>
      <c r="O136" s="7">
        <v>39</v>
      </c>
      <c r="V136">
        <v>99</v>
      </c>
      <c r="W136" s="9">
        <f>SUMIFS(events!T:T,events!L:L,"=DeadIce",events!U:U,"&lt;="&amp;shifts!AH136,events!V:V,"&gt;"&amp;shifts!AI136,events!D:D,"="&amp;shifts!B137)+SUMIFS(events!T:T,events!L:L,"=Timeout",events!U:U,"&lt;="&amp;shifts!AH136,events!V:V,"&gt;"&amp;shifts!AI136,events!D:D,"="&amp;shifts!B137)</f>
        <v>0</v>
      </c>
      <c r="Y136" s="9" t="str">
        <f t="shared" si="69"/>
        <v/>
      </c>
      <c r="AA136" t="str">
        <f t="shared" si="70"/>
        <v/>
      </c>
      <c r="AC136" t="str">
        <f t="shared" si="71"/>
        <v/>
      </c>
      <c r="AE136">
        <f t="shared" si="74"/>
        <v>18977</v>
      </c>
      <c r="AF136" t="str">
        <f t="shared" si="75"/>
        <v>Velodrome</v>
      </c>
      <c r="AG136" t="str">
        <f t="shared" si="76"/>
        <v>HollowBrook</v>
      </c>
      <c r="AH136" s="6">
        <f t="shared" si="57"/>
        <v>0</v>
      </c>
      <c r="AI136" s="6">
        <f t="shared" si="58"/>
        <v>0</v>
      </c>
      <c r="AJ136" s="18">
        <f t="shared" si="61"/>
        <v>0</v>
      </c>
      <c r="AK136">
        <f t="shared" si="62"/>
        <v>0</v>
      </c>
      <c r="AL136">
        <f t="shared" si="63"/>
        <v>0</v>
      </c>
      <c r="AM136">
        <f t="shared" si="59"/>
        <v>0</v>
      </c>
      <c r="AN136">
        <f t="shared" si="60"/>
        <v>0</v>
      </c>
      <c r="AO136">
        <f t="shared" si="56"/>
        <v>0</v>
      </c>
      <c r="AP136">
        <f t="shared" si="64"/>
        <v>0</v>
      </c>
      <c r="AQ136">
        <f t="shared" si="65"/>
        <v>0</v>
      </c>
      <c r="AR136">
        <f t="shared" si="66"/>
        <v>0</v>
      </c>
      <c r="AS136" t="str">
        <f t="shared" si="67"/>
        <v/>
      </c>
      <c r="AT136" t="str">
        <f t="shared" si="68"/>
        <v>0v0</v>
      </c>
    </row>
    <row r="137" spans="1:46" x14ac:dyDescent="0.2">
      <c r="A137">
        <f t="shared" si="72"/>
        <v>136</v>
      </c>
      <c r="B137" s="9">
        <f t="shared" si="50"/>
        <v>3</v>
      </c>
      <c r="C137">
        <f t="shared" si="51"/>
        <v>0</v>
      </c>
      <c r="D137" s="6">
        <f t="shared" si="73"/>
        <v>0</v>
      </c>
      <c r="O137" s="7">
        <v>39</v>
      </c>
      <c r="V137">
        <v>99</v>
      </c>
      <c r="W137" s="9">
        <f>SUMIFS(events!T:T,events!L:L,"=DeadIce",events!U:U,"&lt;="&amp;shifts!AH137,events!V:V,"&gt;"&amp;shifts!AI137,events!D:D,"="&amp;shifts!B138)+SUMIFS(events!T:T,events!L:L,"=Timeout",events!U:U,"&lt;="&amp;shifts!AH137,events!V:V,"&gt;"&amp;shifts!AI137,events!D:D,"="&amp;shifts!B138)</f>
        <v>0</v>
      </c>
      <c r="Y137" s="9" t="str">
        <f t="shared" si="69"/>
        <v/>
      </c>
      <c r="AA137" t="str">
        <f t="shared" si="70"/>
        <v/>
      </c>
      <c r="AC137" t="str">
        <f t="shared" si="71"/>
        <v/>
      </c>
      <c r="AE137">
        <f t="shared" si="74"/>
        <v>18977</v>
      </c>
      <c r="AF137" t="str">
        <f t="shared" si="75"/>
        <v>Velodrome</v>
      </c>
      <c r="AG137" t="str">
        <f t="shared" si="76"/>
        <v>HollowBrook</v>
      </c>
      <c r="AH137" s="6">
        <f t="shared" si="57"/>
        <v>0</v>
      </c>
      <c r="AI137" s="6">
        <f t="shared" si="58"/>
        <v>0</v>
      </c>
      <c r="AJ137" s="18">
        <f t="shared" si="61"/>
        <v>0</v>
      </c>
      <c r="AK137">
        <f t="shared" si="62"/>
        <v>0</v>
      </c>
      <c r="AL137">
        <f t="shared" si="63"/>
        <v>0</v>
      </c>
      <c r="AM137">
        <f t="shared" si="59"/>
        <v>0</v>
      </c>
      <c r="AN137">
        <f t="shared" si="60"/>
        <v>0</v>
      </c>
      <c r="AO137">
        <f t="shared" si="56"/>
        <v>0</v>
      </c>
      <c r="AP137">
        <f t="shared" si="64"/>
        <v>0</v>
      </c>
      <c r="AQ137">
        <f t="shared" si="65"/>
        <v>0</v>
      </c>
      <c r="AR137">
        <f t="shared" si="66"/>
        <v>0</v>
      </c>
      <c r="AS137" t="str">
        <f t="shared" si="67"/>
        <v/>
      </c>
      <c r="AT137" t="str">
        <f t="shared" si="68"/>
        <v>0v0</v>
      </c>
    </row>
    <row r="138" spans="1:46" x14ac:dyDescent="0.2">
      <c r="A138">
        <f t="shared" si="72"/>
        <v>137</v>
      </c>
      <c r="B138" s="9">
        <f t="shared" si="50"/>
        <v>3</v>
      </c>
      <c r="C138">
        <f t="shared" si="51"/>
        <v>0</v>
      </c>
      <c r="D138" s="6">
        <f t="shared" si="73"/>
        <v>0</v>
      </c>
      <c r="O138" s="7">
        <v>39</v>
      </c>
      <c r="V138">
        <v>99</v>
      </c>
      <c r="W138" s="9">
        <f>SUMIFS(events!T:T,events!L:L,"=DeadIce",events!U:U,"&lt;="&amp;shifts!AH138,events!V:V,"&gt;"&amp;shifts!AI138,events!D:D,"="&amp;shifts!B139)+SUMIFS(events!T:T,events!L:L,"=Timeout",events!U:U,"&lt;="&amp;shifts!AH138,events!V:V,"&gt;"&amp;shifts!AI138,events!D:D,"="&amp;shifts!B139)</f>
        <v>0</v>
      </c>
      <c r="Y138" s="9" t="str">
        <f t="shared" si="69"/>
        <v/>
      </c>
      <c r="AA138" t="str">
        <f t="shared" si="70"/>
        <v/>
      </c>
      <c r="AC138" t="str">
        <f t="shared" si="71"/>
        <v/>
      </c>
      <c r="AE138">
        <f t="shared" si="74"/>
        <v>18977</v>
      </c>
      <c r="AF138" t="str">
        <f t="shared" si="75"/>
        <v>Velodrome</v>
      </c>
      <c r="AG138" t="str">
        <f t="shared" si="76"/>
        <v>HollowBrook</v>
      </c>
      <c r="AH138" s="6">
        <f t="shared" si="57"/>
        <v>0</v>
      </c>
      <c r="AI138" s="6">
        <f t="shared" si="58"/>
        <v>0</v>
      </c>
      <c r="AJ138" s="18">
        <f t="shared" si="61"/>
        <v>0</v>
      </c>
      <c r="AK138">
        <f t="shared" si="62"/>
        <v>0</v>
      </c>
      <c r="AL138">
        <f t="shared" si="63"/>
        <v>0</v>
      </c>
      <c r="AM138">
        <f t="shared" si="59"/>
        <v>0</v>
      </c>
      <c r="AN138">
        <f t="shared" si="60"/>
        <v>0</v>
      </c>
      <c r="AO138">
        <f t="shared" si="56"/>
        <v>0</v>
      </c>
      <c r="AP138">
        <f t="shared" si="64"/>
        <v>0</v>
      </c>
      <c r="AQ138">
        <f t="shared" si="65"/>
        <v>0</v>
      </c>
      <c r="AR138">
        <f t="shared" si="66"/>
        <v>0</v>
      </c>
      <c r="AS138" t="str">
        <f t="shared" si="67"/>
        <v/>
      </c>
      <c r="AT138" t="str">
        <f t="shared" si="68"/>
        <v>0v0</v>
      </c>
    </row>
    <row r="139" spans="1:46" x14ac:dyDescent="0.2">
      <c r="A139">
        <f t="shared" si="72"/>
        <v>138</v>
      </c>
      <c r="B139" s="9">
        <f t="shared" si="50"/>
        <v>3</v>
      </c>
      <c r="C139">
        <f t="shared" si="51"/>
        <v>0</v>
      </c>
      <c r="D139" s="6">
        <f t="shared" si="73"/>
        <v>0</v>
      </c>
      <c r="O139" s="7">
        <v>39</v>
      </c>
      <c r="V139">
        <v>99</v>
      </c>
      <c r="W139" s="9">
        <f>SUMIFS(events!T:T,events!L:L,"=DeadIce",events!U:U,"&lt;="&amp;shifts!AH139,events!V:V,"&gt;"&amp;shifts!AI139,events!D:D,"="&amp;shifts!B140)+SUMIFS(events!T:T,events!L:L,"=Timeout",events!U:U,"&lt;="&amp;shifts!AH139,events!V:V,"&gt;"&amp;shifts!AI139,events!D:D,"="&amp;shifts!B140)</f>
        <v>0</v>
      </c>
      <c r="Y139" s="9" t="str">
        <f t="shared" si="69"/>
        <v/>
      </c>
      <c r="AA139" t="str">
        <f t="shared" si="70"/>
        <v/>
      </c>
      <c r="AC139" t="str">
        <f t="shared" si="71"/>
        <v/>
      </c>
      <c r="AE139">
        <f t="shared" si="74"/>
        <v>18977</v>
      </c>
      <c r="AF139" t="str">
        <f t="shared" si="75"/>
        <v>Velodrome</v>
      </c>
      <c r="AG139" t="str">
        <f t="shared" si="76"/>
        <v>HollowBrook</v>
      </c>
      <c r="AH139" s="6">
        <f t="shared" si="57"/>
        <v>0</v>
      </c>
      <c r="AI139" s="6">
        <f t="shared" si="58"/>
        <v>0</v>
      </c>
      <c r="AJ139" s="18">
        <f t="shared" si="61"/>
        <v>0</v>
      </c>
      <c r="AK139">
        <f t="shared" si="62"/>
        <v>0</v>
      </c>
      <c r="AL139">
        <f t="shared" si="63"/>
        <v>0</v>
      </c>
      <c r="AM139">
        <f t="shared" si="59"/>
        <v>0</v>
      </c>
      <c r="AN139">
        <f t="shared" si="60"/>
        <v>0</v>
      </c>
      <c r="AO139">
        <f t="shared" si="56"/>
        <v>0</v>
      </c>
      <c r="AP139">
        <f t="shared" si="64"/>
        <v>0</v>
      </c>
      <c r="AQ139">
        <f t="shared" si="65"/>
        <v>0</v>
      </c>
      <c r="AR139">
        <f t="shared" si="66"/>
        <v>0</v>
      </c>
      <c r="AS139" t="str">
        <f t="shared" si="67"/>
        <v/>
      </c>
      <c r="AT139" t="str">
        <f t="shared" si="68"/>
        <v>0v0</v>
      </c>
    </row>
    <row r="140" spans="1:46" x14ac:dyDescent="0.2">
      <c r="A140">
        <f t="shared" si="72"/>
        <v>139</v>
      </c>
      <c r="B140" s="9">
        <f t="shared" si="50"/>
        <v>3</v>
      </c>
      <c r="C140">
        <f t="shared" si="51"/>
        <v>0</v>
      </c>
      <c r="D140" s="6">
        <f t="shared" si="73"/>
        <v>0</v>
      </c>
      <c r="O140" s="7">
        <v>39</v>
      </c>
      <c r="V140">
        <v>99</v>
      </c>
      <c r="W140" s="9">
        <f>SUMIFS(events!T:T,events!L:L,"=DeadIce",events!U:U,"&lt;="&amp;shifts!AH140,events!V:V,"&gt;"&amp;shifts!AI140,events!D:D,"="&amp;shifts!B141)+SUMIFS(events!T:T,events!L:L,"=Timeout",events!U:U,"&lt;="&amp;shifts!AH140,events!V:V,"&gt;"&amp;shifts!AI140,events!D:D,"="&amp;shifts!B141)</f>
        <v>0</v>
      </c>
      <c r="Y140" s="9" t="str">
        <f t="shared" si="69"/>
        <v/>
      </c>
      <c r="AA140" t="str">
        <f t="shared" si="70"/>
        <v/>
      </c>
      <c r="AC140" t="str">
        <f t="shared" si="71"/>
        <v/>
      </c>
      <c r="AE140">
        <f t="shared" si="74"/>
        <v>18977</v>
      </c>
      <c r="AF140" t="str">
        <f t="shared" si="75"/>
        <v>Velodrome</v>
      </c>
      <c r="AG140" t="str">
        <f t="shared" si="76"/>
        <v>HollowBrook</v>
      </c>
      <c r="AH140" s="6">
        <f t="shared" si="57"/>
        <v>0</v>
      </c>
      <c r="AI140" s="6">
        <f t="shared" si="58"/>
        <v>0</v>
      </c>
      <c r="AJ140" s="18">
        <f t="shared" si="61"/>
        <v>0</v>
      </c>
      <c r="AK140">
        <f t="shared" si="62"/>
        <v>0</v>
      </c>
      <c r="AL140">
        <f t="shared" si="63"/>
        <v>0</v>
      </c>
      <c r="AM140">
        <f t="shared" si="59"/>
        <v>0</v>
      </c>
      <c r="AN140">
        <f t="shared" si="60"/>
        <v>0</v>
      </c>
      <c r="AO140">
        <f t="shared" si="56"/>
        <v>0</v>
      </c>
      <c r="AP140">
        <f t="shared" si="64"/>
        <v>0</v>
      </c>
      <c r="AQ140">
        <f t="shared" si="65"/>
        <v>0</v>
      </c>
      <c r="AR140">
        <f t="shared" si="66"/>
        <v>0</v>
      </c>
      <c r="AS140" t="str">
        <f t="shared" si="67"/>
        <v/>
      </c>
      <c r="AT140" t="str">
        <f t="shared" si="68"/>
        <v>0v0</v>
      </c>
    </row>
    <row r="141" spans="1:46" x14ac:dyDescent="0.2">
      <c r="A141">
        <f t="shared" si="72"/>
        <v>140</v>
      </c>
      <c r="B141" s="9">
        <f t="shared" si="50"/>
        <v>3</v>
      </c>
      <c r="C141">
        <f t="shared" si="51"/>
        <v>0</v>
      </c>
      <c r="D141" s="6">
        <f t="shared" si="73"/>
        <v>0</v>
      </c>
      <c r="O141" s="7">
        <v>39</v>
      </c>
      <c r="V141">
        <v>99</v>
      </c>
      <c r="W141" s="9">
        <f>SUMIFS(events!T:T,events!L:L,"=DeadIce",events!U:U,"&lt;="&amp;shifts!AH141,events!V:V,"&gt;"&amp;shifts!AI141,events!D:D,"="&amp;shifts!B142)+SUMIFS(events!T:T,events!L:L,"=Timeout",events!U:U,"&lt;="&amp;shifts!AH141,events!V:V,"&gt;"&amp;shifts!AI141,events!D:D,"="&amp;shifts!B142)</f>
        <v>0</v>
      </c>
      <c r="Y141" s="9" t="str">
        <f t="shared" si="69"/>
        <v/>
      </c>
      <c r="AA141" t="str">
        <f t="shared" si="70"/>
        <v/>
      </c>
      <c r="AC141" t="str">
        <f t="shared" si="71"/>
        <v/>
      </c>
      <c r="AE141">
        <f t="shared" si="74"/>
        <v>18977</v>
      </c>
      <c r="AF141" t="str">
        <f t="shared" si="75"/>
        <v>Velodrome</v>
      </c>
      <c r="AG141" t="str">
        <f t="shared" si="76"/>
        <v>HollowBrook</v>
      </c>
      <c r="AH141" s="6">
        <f t="shared" si="57"/>
        <v>0</v>
      </c>
      <c r="AI141" s="6">
        <f t="shared" si="58"/>
        <v>0</v>
      </c>
      <c r="AJ141" s="18">
        <f t="shared" si="61"/>
        <v>0</v>
      </c>
      <c r="AK141">
        <f t="shared" si="62"/>
        <v>0</v>
      </c>
      <c r="AL141">
        <f t="shared" si="63"/>
        <v>0</v>
      </c>
      <c r="AM141">
        <f t="shared" si="59"/>
        <v>0</v>
      </c>
      <c r="AN141">
        <f t="shared" si="60"/>
        <v>0</v>
      </c>
      <c r="AO141">
        <f t="shared" si="56"/>
        <v>0</v>
      </c>
      <c r="AP141">
        <f t="shared" si="64"/>
        <v>0</v>
      </c>
      <c r="AQ141">
        <f t="shared" si="65"/>
        <v>0</v>
      </c>
      <c r="AR141">
        <f t="shared" si="66"/>
        <v>0</v>
      </c>
      <c r="AS141" t="str">
        <f t="shared" si="67"/>
        <v/>
      </c>
      <c r="AT141" t="str">
        <f t="shared" si="68"/>
        <v>0v0</v>
      </c>
    </row>
    <row r="142" spans="1:46" x14ac:dyDescent="0.2">
      <c r="A142">
        <f t="shared" si="72"/>
        <v>141</v>
      </c>
      <c r="B142" s="9">
        <f t="shared" si="50"/>
        <v>3</v>
      </c>
      <c r="C142">
        <f t="shared" si="51"/>
        <v>0</v>
      </c>
      <c r="D142" s="6">
        <f t="shared" si="73"/>
        <v>0</v>
      </c>
      <c r="O142" s="7">
        <v>39</v>
      </c>
      <c r="V142">
        <v>99</v>
      </c>
      <c r="W142" s="9">
        <f>SUMIFS(events!T:T,events!L:L,"=DeadIce",events!U:U,"&lt;="&amp;shifts!AH142,events!V:V,"&gt;"&amp;shifts!AI142,events!D:D,"="&amp;shifts!B143)+SUMIFS(events!T:T,events!L:L,"=Timeout",events!U:U,"&lt;="&amp;shifts!AH142,events!V:V,"&gt;"&amp;shifts!AI142,events!D:D,"="&amp;shifts!B143)</f>
        <v>0</v>
      </c>
      <c r="Y142" s="9" t="str">
        <f t="shared" si="69"/>
        <v/>
      </c>
      <c r="AA142" t="str">
        <f t="shared" si="70"/>
        <v/>
      </c>
      <c r="AC142" t="str">
        <f t="shared" si="71"/>
        <v/>
      </c>
      <c r="AE142">
        <f t="shared" si="74"/>
        <v>18977</v>
      </c>
      <c r="AF142" t="str">
        <f t="shared" si="75"/>
        <v>Velodrome</v>
      </c>
      <c r="AG142" t="str">
        <f t="shared" si="76"/>
        <v>HollowBrook</v>
      </c>
      <c r="AH142" s="6">
        <f t="shared" si="57"/>
        <v>0</v>
      </c>
      <c r="AI142" s="6">
        <f t="shared" si="58"/>
        <v>0</v>
      </c>
      <c r="AJ142" s="18">
        <f t="shared" si="61"/>
        <v>0</v>
      </c>
      <c r="AK142">
        <f t="shared" si="62"/>
        <v>0</v>
      </c>
      <c r="AL142">
        <f t="shared" si="63"/>
        <v>0</v>
      </c>
      <c r="AM142">
        <f t="shared" si="59"/>
        <v>0</v>
      </c>
      <c r="AN142">
        <f t="shared" si="60"/>
        <v>0</v>
      </c>
      <c r="AO142">
        <f t="shared" si="56"/>
        <v>0</v>
      </c>
      <c r="AP142">
        <f t="shared" si="64"/>
        <v>0</v>
      </c>
      <c r="AQ142">
        <f t="shared" si="65"/>
        <v>0</v>
      </c>
      <c r="AR142">
        <f t="shared" si="66"/>
        <v>0</v>
      </c>
      <c r="AS142" t="str">
        <f t="shared" si="67"/>
        <v/>
      </c>
      <c r="AT142" t="str">
        <f t="shared" si="68"/>
        <v>0v0</v>
      </c>
    </row>
    <row r="143" spans="1:46" x14ac:dyDescent="0.2">
      <c r="A143">
        <f t="shared" si="72"/>
        <v>142</v>
      </c>
      <c r="B143" s="9">
        <f t="shared" si="50"/>
        <v>3</v>
      </c>
      <c r="C143">
        <f t="shared" si="51"/>
        <v>0</v>
      </c>
      <c r="D143" s="6">
        <f t="shared" si="73"/>
        <v>0</v>
      </c>
      <c r="O143" s="7">
        <v>39</v>
      </c>
      <c r="V143">
        <v>99</v>
      </c>
      <c r="W143" s="9">
        <f>SUMIFS(events!T:T,events!L:L,"=DeadIce",events!U:U,"&lt;="&amp;shifts!AH143,events!V:V,"&gt;"&amp;shifts!AI143,events!D:D,"="&amp;shifts!B144)+SUMIFS(events!T:T,events!L:L,"=Timeout",events!U:U,"&lt;="&amp;shifts!AH143,events!V:V,"&gt;"&amp;shifts!AI143,events!D:D,"="&amp;shifts!B144)</f>
        <v>0</v>
      </c>
      <c r="Y143" s="9" t="str">
        <f t="shared" si="69"/>
        <v/>
      </c>
      <c r="AA143" t="str">
        <f t="shared" si="70"/>
        <v/>
      </c>
      <c r="AC143" t="str">
        <f t="shared" si="71"/>
        <v/>
      </c>
      <c r="AE143">
        <f t="shared" si="74"/>
        <v>18977</v>
      </c>
      <c r="AF143" t="str">
        <f t="shared" si="75"/>
        <v>Velodrome</v>
      </c>
      <c r="AG143" t="str">
        <f t="shared" si="76"/>
        <v>HollowBrook</v>
      </c>
      <c r="AH143" s="6">
        <f t="shared" si="57"/>
        <v>0</v>
      </c>
      <c r="AI143" s="6">
        <f t="shared" si="58"/>
        <v>0</v>
      </c>
      <c r="AJ143" s="18">
        <f t="shared" si="61"/>
        <v>0</v>
      </c>
      <c r="AK143">
        <f t="shared" si="62"/>
        <v>0</v>
      </c>
      <c r="AL143">
        <f t="shared" si="63"/>
        <v>0</v>
      </c>
      <c r="AM143">
        <f t="shared" si="59"/>
        <v>0</v>
      </c>
      <c r="AN143">
        <f t="shared" si="60"/>
        <v>0</v>
      </c>
      <c r="AO143">
        <f t="shared" si="56"/>
        <v>0</v>
      </c>
      <c r="AP143">
        <f t="shared" si="64"/>
        <v>0</v>
      </c>
      <c r="AQ143">
        <f t="shared" si="65"/>
        <v>0</v>
      </c>
      <c r="AR143">
        <f t="shared" si="66"/>
        <v>0</v>
      </c>
      <c r="AS143" t="str">
        <f t="shared" si="67"/>
        <v/>
      </c>
      <c r="AT143" t="str">
        <f t="shared" si="68"/>
        <v>0v0</v>
      </c>
    </row>
    <row r="144" spans="1:46" x14ac:dyDescent="0.2">
      <c r="A144">
        <f t="shared" si="72"/>
        <v>143</v>
      </c>
      <c r="B144" s="9">
        <f t="shared" si="50"/>
        <v>3</v>
      </c>
      <c r="C144">
        <f t="shared" si="51"/>
        <v>0</v>
      </c>
      <c r="D144" s="6">
        <f t="shared" si="73"/>
        <v>0</v>
      </c>
      <c r="O144" s="7">
        <v>39</v>
      </c>
      <c r="V144">
        <v>99</v>
      </c>
      <c r="W144" s="9">
        <f>SUMIFS(events!T:T,events!L:L,"=DeadIce",events!U:U,"&lt;="&amp;shifts!AH144,events!V:V,"&gt;"&amp;shifts!AI144,events!D:D,"="&amp;shifts!B145)+SUMIFS(events!T:T,events!L:L,"=Timeout",events!U:U,"&lt;="&amp;shifts!AH144,events!V:V,"&gt;"&amp;shifts!AI144,events!D:D,"="&amp;shifts!B145)</f>
        <v>0</v>
      </c>
      <c r="Y144" s="9" t="str">
        <f t="shared" si="69"/>
        <v/>
      </c>
      <c r="AA144" t="str">
        <f t="shared" si="70"/>
        <v/>
      </c>
      <c r="AC144" t="str">
        <f t="shared" si="71"/>
        <v/>
      </c>
      <c r="AE144">
        <f t="shared" si="74"/>
        <v>18977</v>
      </c>
      <c r="AF144" t="str">
        <f t="shared" si="75"/>
        <v>Velodrome</v>
      </c>
      <c r="AG144" t="str">
        <f t="shared" si="76"/>
        <v>HollowBrook</v>
      </c>
      <c r="AH144" s="6">
        <f t="shared" si="57"/>
        <v>0</v>
      </c>
      <c r="AI144" s="6">
        <f t="shared" si="58"/>
        <v>0</v>
      </c>
      <c r="AJ144" s="18">
        <f t="shared" si="61"/>
        <v>0</v>
      </c>
      <c r="AK144">
        <f t="shared" si="62"/>
        <v>0</v>
      </c>
      <c r="AL144">
        <f t="shared" si="63"/>
        <v>0</v>
      </c>
      <c r="AM144">
        <f t="shared" si="59"/>
        <v>0</v>
      </c>
      <c r="AN144">
        <f t="shared" si="60"/>
        <v>0</v>
      </c>
      <c r="AO144">
        <f t="shared" si="56"/>
        <v>0</v>
      </c>
      <c r="AP144">
        <f t="shared" si="64"/>
        <v>0</v>
      </c>
      <c r="AQ144">
        <f t="shared" si="65"/>
        <v>0</v>
      </c>
      <c r="AR144">
        <f t="shared" si="66"/>
        <v>0</v>
      </c>
      <c r="AS144" t="str">
        <f t="shared" si="67"/>
        <v/>
      </c>
      <c r="AT144" t="str">
        <f t="shared" si="68"/>
        <v>0v0</v>
      </c>
    </row>
    <row r="145" spans="1:46" x14ac:dyDescent="0.2">
      <c r="A145">
        <f t="shared" si="72"/>
        <v>144</v>
      </c>
      <c r="B145" s="9">
        <f t="shared" si="50"/>
        <v>3</v>
      </c>
      <c r="C145">
        <f t="shared" si="51"/>
        <v>0</v>
      </c>
      <c r="D145" s="6">
        <f t="shared" si="73"/>
        <v>0</v>
      </c>
      <c r="O145" s="7">
        <v>39</v>
      </c>
      <c r="V145">
        <v>99</v>
      </c>
      <c r="W145" s="9">
        <f>SUMIFS(events!T:T,events!L:L,"=DeadIce",events!U:U,"&lt;="&amp;shifts!AH145,events!V:V,"&gt;"&amp;shifts!AI145,events!D:D,"="&amp;shifts!B146)+SUMIFS(events!T:T,events!L:L,"=Timeout",events!U:U,"&lt;="&amp;shifts!AH145,events!V:V,"&gt;"&amp;shifts!AI145,events!D:D,"="&amp;shifts!B146)</f>
        <v>0</v>
      </c>
      <c r="Y145" s="9" t="str">
        <f t="shared" si="69"/>
        <v/>
      </c>
      <c r="AA145" t="str">
        <f t="shared" si="70"/>
        <v/>
      </c>
      <c r="AC145" t="str">
        <f t="shared" si="71"/>
        <v/>
      </c>
      <c r="AE145">
        <f t="shared" si="74"/>
        <v>18977</v>
      </c>
      <c r="AF145" t="str">
        <f t="shared" si="75"/>
        <v>Velodrome</v>
      </c>
      <c r="AG145" t="str">
        <f t="shared" si="76"/>
        <v>HollowBrook</v>
      </c>
      <c r="AH145" s="6">
        <f t="shared" si="57"/>
        <v>0</v>
      </c>
      <c r="AI145" s="6">
        <f t="shared" si="58"/>
        <v>0</v>
      </c>
      <c r="AJ145" s="18">
        <f t="shared" si="61"/>
        <v>0</v>
      </c>
      <c r="AK145">
        <f t="shared" si="62"/>
        <v>0</v>
      </c>
      <c r="AL145">
        <f t="shared" si="63"/>
        <v>0</v>
      </c>
      <c r="AM145">
        <f t="shared" si="59"/>
        <v>0</v>
      </c>
      <c r="AN145">
        <f t="shared" si="60"/>
        <v>0</v>
      </c>
      <c r="AO145">
        <f t="shared" si="56"/>
        <v>0</v>
      </c>
      <c r="AP145">
        <f t="shared" si="64"/>
        <v>0</v>
      </c>
      <c r="AQ145">
        <f t="shared" si="65"/>
        <v>0</v>
      </c>
      <c r="AR145">
        <f t="shared" si="66"/>
        <v>0</v>
      </c>
      <c r="AS145" t="str">
        <f t="shared" si="67"/>
        <v/>
      </c>
      <c r="AT145" t="str">
        <f t="shared" si="68"/>
        <v>0v0</v>
      </c>
    </row>
    <row r="146" spans="1:46" x14ac:dyDescent="0.2">
      <c r="A146">
        <f t="shared" si="72"/>
        <v>145</v>
      </c>
      <c r="B146" s="9">
        <f t="shared" si="50"/>
        <v>3</v>
      </c>
      <c r="C146">
        <f t="shared" si="51"/>
        <v>0</v>
      </c>
      <c r="D146" s="6">
        <f t="shared" si="73"/>
        <v>0</v>
      </c>
      <c r="O146" s="7">
        <v>39</v>
      </c>
      <c r="V146">
        <v>99</v>
      </c>
      <c r="W146" s="9">
        <f>SUMIFS(events!T:T,events!L:L,"=DeadIce",events!U:U,"&lt;="&amp;shifts!AH146,events!V:V,"&gt;"&amp;shifts!AI146,events!D:D,"="&amp;shifts!B147)+SUMIFS(events!T:T,events!L:L,"=Timeout",events!U:U,"&lt;="&amp;shifts!AH146,events!V:V,"&gt;"&amp;shifts!AI146,events!D:D,"="&amp;shifts!B147)</f>
        <v>0</v>
      </c>
      <c r="Y146" s="9" t="str">
        <f t="shared" si="69"/>
        <v/>
      </c>
      <c r="AA146" t="str">
        <f t="shared" si="70"/>
        <v/>
      </c>
      <c r="AC146" t="str">
        <f t="shared" si="71"/>
        <v/>
      </c>
      <c r="AE146">
        <f t="shared" si="74"/>
        <v>18977</v>
      </c>
      <c r="AF146" t="str">
        <f t="shared" si="75"/>
        <v>Velodrome</v>
      </c>
      <c r="AG146" t="str">
        <f t="shared" si="76"/>
        <v>HollowBrook</v>
      </c>
      <c r="AH146" s="6">
        <f t="shared" si="57"/>
        <v>0</v>
      </c>
      <c r="AI146" s="6">
        <f t="shared" si="58"/>
        <v>0</v>
      </c>
      <c r="AJ146" s="18">
        <f t="shared" si="61"/>
        <v>0</v>
      </c>
      <c r="AK146">
        <f t="shared" si="62"/>
        <v>0</v>
      </c>
      <c r="AL146">
        <f t="shared" si="63"/>
        <v>0</v>
      </c>
      <c r="AM146">
        <f t="shared" si="59"/>
        <v>0</v>
      </c>
      <c r="AN146">
        <f t="shared" si="60"/>
        <v>0</v>
      </c>
      <c r="AO146">
        <f t="shared" si="56"/>
        <v>0</v>
      </c>
      <c r="AP146">
        <f t="shared" si="64"/>
        <v>0</v>
      </c>
      <c r="AQ146">
        <f t="shared" si="65"/>
        <v>0</v>
      </c>
      <c r="AR146">
        <f t="shared" si="66"/>
        <v>0</v>
      </c>
      <c r="AS146" t="str">
        <f t="shared" si="67"/>
        <v/>
      </c>
      <c r="AT146" t="str">
        <f t="shared" si="68"/>
        <v>0v0</v>
      </c>
    </row>
    <row r="147" spans="1:46" x14ac:dyDescent="0.2">
      <c r="A147">
        <f t="shared" si="72"/>
        <v>146</v>
      </c>
      <c r="B147" s="9">
        <f t="shared" si="50"/>
        <v>3</v>
      </c>
      <c r="C147">
        <f t="shared" si="51"/>
        <v>0</v>
      </c>
      <c r="D147" s="6">
        <f t="shared" si="73"/>
        <v>0</v>
      </c>
      <c r="O147" s="7">
        <v>39</v>
      </c>
      <c r="V147">
        <v>99</v>
      </c>
      <c r="W147" s="9">
        <f>SUMIFS(events!T:T,events!L:L,"=DeadIce",events!U:U,"&lt;="&amp;shifts!AH147,events!V:V,"&gt;"&amp;shifts!AI147,events!D:D,"="&amp;shifts!B148)+SUMIFS(events!T:T,events!L:L,"=Timeout",events!U:U,"&lt;="&amp;shifts!AH147,events!V:V,"&gt;"&amp;shifts!AI147,events!D:D,"="&amp;shifts!B148)</f>
        <v>0</v>
      </c>
      <c r="Y147" s="9" t="str">
        <f t="shared" si="69"/>
        <v/>
      </c>
      <c r="AA147" t="str">
        <f t="shared" si="70"/>
        <v/>
      </c>
      <c r="AC147" t="str">
        <f t="shared" si="71"/>
        <v/>
      </c>
      <c r="AE147">
        <f t="shared" si="74"/>
        <v>18977</v>
      </c>
      <c r="AF147" t="str">
        <f t="shared" si="75"/>
        <v>Velodrome</v>
      </c>
      <c r="AG147" t="str">
        <f t="shared" si="76"/>
        <v>HollowBrook</v>
      </c>
      <c r="AH147" s="6">
        <f t="shared" si="57"/>
        <v>0</v>
      </c>
      <c r="AI147" s="6">
        <f t="shared" si="58"/>
        <v>0</v>
      </c>
      <c r="AJ147" s="18">
        <f t="shared" si="61"/>
        <v>0</v>
      </c>
      <c r="AK147">
        <f t="shared" si="62"/>
        <v>0</v>
      </c>
      <c r="AL147">
        <f t="shared" si="63"/>
        <v>0</v>
      </c>
      <c r="AM147">
        <f t="shared" si="59"/>
        <v>0</v>
      </c>
      <c r="AN147">
        <f t="shared" si="60"/>
        <v>0</v>
      </c>
      <c r="AO147">
        <f t="shared" si="56"/>
        <v>0</v>
      </c>
      <c r="AP147">
        <f t="shared" si="64"/>
        <v>0</v>
      </c>
      <c r="AQ147">
        <f t="shared" si="65"/>
        <v>0</v>
      </c>
      <c r="AR147">
        <f t="shared" si="66"/>
        <v>0</v>
      </c>
      <c r="AS147" t="str">
        <f t="shared" si="67"/>
        <v/>
      </c>
      <c r="AT147" t="str">
        <f t="shared" si="68"/>
        <v>0v0</v>
      </c>
    </row>
    <row r="148" spans="1:46" x14ac:dyDescent="0.2">
      <c r="A148">
        <f t="shared" si="72"/>
        <v>147</v>
      </c>
      <c r="B148" s="9">
        <f t="shared" si="50"/>
        <v>3</v>
      </c>
      <c r="C148">
        <f t="shared" si="51"/>
        <v>0</v>
      </c>
      <c r="D148" s="6">
        <f t="shared" si="73"/>
        <v>0</v>
      </c>
      <c r="O148" s="7">
        <v>39</v>
      </c>
      <c r="V148">
        <v>99</v>
      </c>
      <c r="W148" s="9">
        <f>SUMIFS(events!T:T,events!L:L,"=DeadIce",events!U:U,"&lt;="&amp;shifts!AH148,events!V:V,"&gt;"&amp;shifts!AI148,events!D:D,"="&amp;shifts!B149)+SUMIFS(events!T:T,events!L:L,"=Timeout",events!U:U,"&lt;="&amp;shifts!AH148,events!V:V,"&gt;"&amp;shifts!AI148,events!D:D,"="&amp;shifts!B149)</f>
        <v>0</v>
      </c>
      <c r="Y148" s="9" t="str">
        <f t="shared" si="69"/>
        <v/>
      </c>
      <c r="AA148" t="str">
        <f t="shared" si="70"/>
        <v/>
      </c>
      <c r="AC148" t="str">
        <f t="shared" si="71"/>
        <v/>
      </c>
      <c r="AE148">
        <f t="shared" si="74"/>
        <v>18977</v>
      </c>
      <c r="AF148" t="str">
        <f t="shared" si="75"/>
        <v>Velodrome</v>
      </c>
      <c r="AG148" t="str">
        <f t="shared" si="76"/>
        <v>HollowBrook</v>
      </c>
      <c r="AH148" s="6">
        <f t="shared" si="57"/>
        <v>0</v>
      </c>
      <c r="AI148" s="6">
        <f t="shared" si="58"/>
        <v>0</v>
      </c>
      <c r="AJ148" s="18">
        <f t="shared" si="61"/>
        <v>0</v>
      </c>
      <c r="AK148">
        <f t="shared" si="62"/>
        <v>0</v>
      </c>
      <c r="AL148">
        <f t="shared" si="63"/>
        <v>0</v>
      </c>
      <c r="AM148">
        <f t="shared" si="59"/>
        <v>0</v>
      </c>
      <c r="AN148">
        <f t="shared" si="60"/>
        <v>0</v>
      </c>
      <c r="AO148">
        <f t="shared" si="56"/>
        <v>0</v>
      </c>
      <c r="AP148">
        <f t="shared" si="64"/>
        <v>0</v>
      </c>
      <c r="AQ148">
        <f t="shared" si="65"/>
        <v>0</v>
      </c>
      <c r="AR148">
        <f t="shared" si="66"/>
        <v>0</v>
      </c>
      <c r="AS148" t="str">
        <f t="shared" si="67"/>
        <v/>
      </c>
      <c r="AT148" t="str">
        <f t="shared" si="68"/>
        <v>0v0</v>
      </c>
    </row>
    <row r="149" spans="1:46" x14ac:dyDescent="0.2">
      <c r="A149">
        <f t="shared" si="72"/>
        <v>148</v>
      </c>
      <c r="B149" s="9">
        <f t="shared" si="50"/>
        <v>3</v>
      </c>
      <c r="C149">
        <f t="shared" si="51"/>
        <v>0</v>
      </c>
      <c r="D149" s="6">
        <f t="shared" si="73"/>
        <v>0</v>
      </c>
      <c r="O149" s="7">
        <v>39</v>
      </c>
      <c r="V149">
        <v>99</v>
      </c>
      <c r="W149" s="9">
        <f>SUMIFS(events!T:T,events!L:L,"=DeadIce",events!U:U,"&lt;="&amp;shifts!AH149,events!V:V,"&gt;"&amp;shifts!AI149,events!D:D,"="&amp;shifts!B150)+SUMIFS(events!T:T,events!L:L,"=Timeout",events!U:U,"&lt;="&amp;shifts!AH149,events!V:V,"&gt;"&amp;shifts!AI149,events!D:D,"="&amp;shifts!B150)</f>
        <v>0</v>
      </c>
      <c r="Y149" s="9" t="str">
        <f t="shared" si="69"/>
        <v/>
      </c>
      <c r="AA149" t="str">
        <f t="shared" si="70"/>
        <v/>
      </c>
      <c r="AC149" t="str">
        <f t="shared" si="71"/>
        <v/>
      </c>
      <c r="AE149">
        <f t="shared" si="74"/>
        <v>18977</v>
      </c>
      <c r="AF149" t="str">
        <f t="shared" si="75"/>
        <v>Velodrome</v>
      </c>
      <c r="AG149" t="str">
        <f t="shared" si="76"/>
        <v>HollowBrook</v>
      </c>
      <c r="AH149" s="6">
        <f t="shared" si="57"/>
        <v>0</v>
      </c>
      <c r="AI149" s="6">
        <f t="shared" si="58"/>
        <v>0</v>
      </c>
      <c r="AJ149" s="18">
        <f t="shared" si="61"/>
        <v>0</v>
      </c>
      <c r="AK149">
        <f t="shared" si="62"/>
        <v>0</v>
      </c>
      <c r="AL149">
        <f t="shared" si="63"/>
        <v>0</v>
      </c>
      <c r="AM149">
        <f t="shared" si="59"/>
        <v>0</v>
      </c>
      <c r="AN149">
        <f t="shared" si="60"/>
        <v>0</v>
      </c>
      <c r="AO149">
        <f t="shared" si="56"/>
        <v>0</v>
      </c>
      <c r="AP149">
        <f t="shared" si="64"/>
        <v>0</v>
      </c>
      <c r="AQ149">
        <f t="shared" si="65"/>
        <v>0</v>
      </c>
      <c r="AR149">
        <f t="shared" si="66"/>
        <v>0</v>
      </c>
      <c r="AS149" t="str">
        <f t="shared" si="67"/>
        <v/>
      </c>
      <c r="AT149" t="str">
        <f t="shared" si="68"/>
        <v>0v0</v>
      </c>
    </row>
    <row r="150" spans="1:46" x14ac:dyDescent="0.2">
      <c r="A150">
        <f t="shared" si="72"/>
        <v>149</v>
      </c>
      <c r="B150" s="9">
        <f t="shared" si="50"/>
        <v>3</v>
      </c>
      <c r="C150">
        <f t="shared" si="51"/>
        <v>0</v>
      </c>
      <c r="D150" s="6">
        <f t="shared" si="73"/>
        <v>0</v>
      </c>
      <c r="O150" s="7">
        <v>39</v>
      </c>
      <c r="V150">
        <v>99</v>
      </c>
      <c r="W150" s="9">
        <f>SUMIFS(events!T:T,events!L:L,"=DeadIce",events!U:U,"&lt;="&amp;shifts!AH150,events!V:V,"&gt;"&amp;shifts!AI150,events!D:D,"="&amp;shifts!B151)+SUMIFS(events!T:T,events!L:L,"=Timeout",events!U:U,"&lt;="&amp;shifts!AH150,events!V:V,"&gt;"&amp;shifts!AI150,events!D:D,"="&amp;shifts!B151)</f>
        <v>0</v>
      </c>
      <c r="Y150" s="9" t="str">
        <f t="shared" si="69"/>
        <v/>
      </c>
      <c r="AA150" t="str">
        <f t="shared" si="70"/>
        <v/>
      </c>
      <c r="AC150" t="str">
        <f t="shared" si="71"/>
        <v/>
      </c>
      <c r="AE150">
        <f t="shared" si="74"/>
        <v>18977</v>
      </c>
      <c r="AF150" t="str">
        <f t="shared" si="75"/>
        <v>Velodrome</v>
      </c>
      <c r="AG150" t="str">
        <f t="shared" si="76"/>
        <v>HollowBrook</v>
      </c>
      <c r="AH150" s="6">
        <f t="shared" si="57"/>
        <v>0</v>
      </c>
      <c r="AI150" s="6">
        <f t="shared" si="58"/>
        <v>0</v>
      </c>
      <c r="AJ150" s="18">
        <f t="shared" si="61"/>
        <v>0</v>
      </c>
      <c r="AK150">
        <f t="shared" si="62"/>
        <v>0</v>
      </c>
      <c r="AL150">
        <f t="shared" si="63"/>
        <v>0</v>
      </c>
      <c r="AM150">
        <f t="shared" si="59"/>
        <v>0</v>
      </c>
      <c r="AN150">
        <f t="shared" si="60"/>
        <v>0</v>
      </c>
      <c r="AO150">
        <f t="shared" si="56"/>
        <v>0</v>
      </c>
      <c r="AP150">
        <f t="shared" si="64"/>
        <v>0</v>
      </c>
      <c r="AQ150">
        <f t="shared" si="65"/>
        <v>0</v>
      </c>
      <c r="AR150">
        <f t="shared" si="66"/>
        <v>0</v>
      </c>
      <c r="AS150" t="str">
        <f t="shared" si="67"/>
        <v/>
      </c>
      <c r="AT150" t="str">
        <f t="shared" si="68"/>
        <v>0v0</v>
      </c>
    </row>
    <row r="151" spans="1:46" x14ac:dyDescent="0.2">
      <c r="A151">
        <f t="shared" si="72"/>
        <v>150</v>
      </c>
      <c r="B151" s="9">
        <f t="shared" si="50"/>
        <v>3</v>
      </c>
      <c r="C151">
        <f t="shared" si="51"/>
        <v>0</v>
      </c>
      <c r="D151" s="6">
        <f t="shared" si="73"/>
        <v>0</v>
      </c>
      <c r="O151" s="7">
        <v>39</v>
      </c>
      <c r="V151">
        <v>99</v>
      </c>
      <c r="W151" s="9">
        <f>SUMIFS(events!T:T,events!L:L,"=DeadIce",events!U:U,"&lt;="&amp;shifts!AH151,events!V:V,"&gt;"&amp;shifts!AI151,events!D:D,"="&amp;shifts!B152)+SUMIFS(events!T:T,events!L:L,"=Timeout",events!U:U,"&lt;="&amp;shifts!AH151,events!V:V,"&gt;"&amp;shifts!AI151,events!D:D,"="&amp;shifts!B152)</f>
        <v>0</v>
      </c>
      <c r="Y151" s="9" t="str">
        <f t="shared" si="69"/>
        <v/>
      </c>
      <c r="AA151" t="str">
        <f t="shared" si="70"/>
        <v/>
      </c>
      <c r="AC151" t="str">
        <f t="shared" si="71"/>
        <v/>
      </c>
      <c r="AE151">
        <f t="shared" si="74"/>
        <v>18977</v>
      </c>
      <c r="AF151" t="str">
        <f t="shared" si="75"/>
        <v>Velodrome</v>
      </c>
      <c r="AG151" t="str">
        <f t="shared" si="76"/>
        <v>HollowBrook</v>
      </c>
      <c r="AH151" s="6">
        <f t="shared" si="57"/>
        <v>0</v>
      </c>
      <c r="AI151" s="6">
        <f t="shared" si="58"/>
        <v>0</v>
      </c>
      <c r="AJ151" s="18">
        <f t="shared" si="61"/>
        <v>0</v>
      </c>
      <c r="AK151">
        <f t="shared" si="62"/>
        <v>0</v>
      </c>
      <c r="AL151">
        <f t="shared" si="63"/>
        <v>0</v>
      </c>
      <c r="AM151">
        <f t="shared" si="59"/>
        <v>0</v>
      </c>
      <c r="AN151">
        <f t="shared" si="60"/>
        <v>0</v>
      </c>
      <c r="AO151">
        <f t="shared" si="56"/>
        <v>0</v>
      </c>
      <c r="AP151">
        <f t="shared" si="64"/>
        <v>0</v>
      </c>
      <c r="AQ151">
        <f t="shared" si="65"/>
        <v>0</v>
      </c>
      <c r="AR151">
        <f t="shared" si="66"/>
        <v>0</v>
      </c>
      <c r="AS151" t="str">
        <f t="shared" si="67"/>
        <v/>
      </c>
      <c r="AT151" t="str">
        <f t="shared" si="68"/>
        <v>0v0</v>
      </c>
    </row>
    <row r="152" spans="1:46" x14ac:dyDescent="0.2">
      <c r="A152">
        <f t="shared" si="72"/>
        <v>151</v>
      </c>
      <c r="B152" s="9">
        <f t="shared" si="50"/>
        <v>3</v>
      </c>
      <c r="C152">
        <f t="shared" si="51"/>
        <v>0</v>
      </c>
      <c r="D152" s="6">
        <f t="shared" si="73"/>
        <v>0</v>
      </c>
      <c r="O152" s="7">
        <v>39</v>
      </c>
      <c r="V152">
        <v>99</v>
      </c>
      <c r="W152" s="9">
        <f>SUMIFS(events!T:T,events!L:L,"=DeadIce",events!U:U,"&lt;="&amp;shifts!AH152,events!V:V,"&gt;"&amp;shifts!AI152,events!D:D,"="&amp;shifts!B153)+SUMIFS(events!T:T,events!L:L,"=Timeout",events!U:U,"&lt;="&amp;shifts!AH152,events!V:V,"&gt;"&amp;shifts!AI152,events!D:D,"="&amp;shifts!B153)</f>
        <v>0</v>
      </c>
      <c r="Y152" s="9" t="str">
        <f t="shared" si="69"/>
        <v/>
      </c>
      <c r="AA152" t="str">
        <f t="shared" si="70"/>
        <v/>
      </c>
      <c r="AC152" t="str">
        <f t="shared" si="71"/>
        <v/>
      </c>
      <c r="AE152">
        <f t="shared" si="74"/>
        <v>18977</v>
      </c>
      <c r="AF152" t="str">
        <f t="shared" si="75"/>
        <v>Velodrome</v>
      </c>
      <c r="AG152" t="str">
        <f t="shared" si="76"/>
        <v>HollowBrook</v>
      </c>
      <c r="AH152" s="6">
        <f t="shared" si="57"/>
        <v>0</v>
      </c>
      <c r="AI152" s="6">
        <f t="shared" si="58"/>
        <v>0</v>
      </c>
      <c r="AJ152" s="18">
        <f t="shared" si="61"/>
        <v>0</v>
      </c>
      <c r="AK152">
        <f t="shared" si="62"/>
        <v>0</v>
      </c>
      <c r="AL152">
        <f t="shared" si="63"/>
        <v>0</v>
      </c>
      <c r="AM152">
        <f t="shared" si="59"/>
        <v>0</v>
      </c>
      <c r="AN152">
        <f t="shared" si="60"/>
        <v>0</v>
      </c>
      <c r="AO152">
        <f t="shared" si="56"/>
        <v>0</v>
      </c>
      <c r="AP152">
        <f t="shared" si="64"/>
        <v>0</v>
      </c>
      <c r="AQ152">
        <f t="shared" si="65"/>
        <v>0</v>
      </c>
      <c r="AR152">
        <f t="shared" si="66"/>
        <v>0</v>
      </c>
      <c r="AS152" t="str">
        <f t="shared" si="67"/>
        <v/>
      </c>
      <c r="AT152" t="str">
        <f t="shared" si="68"/>
        <v>0v0</v>
      </c>
    </row>
    <row r="153" spans="1:46" x14ac:dyDescent="0.2">
      <c r="A153">
        <f t="shared" si="72"/>
        <v>152</v>
      </c>
      <c r="B153" s="9">
        <f t="shared" si="50"/>
        <v>3</v>
      </c>
      <c r="C153">
        <f t="shared" si="51"/>
        <v>0</v>
      </c>
      <c r="D153" s="6">
        <f t="shared" si="73"/>
        <v>0</v>
      </c>
      <c r="O153" s="7">
        <v>39</v>
      </c>
      <c r="V153">
        <v>99</v>
      </c>
      <c r="W153" s="9">
        <f>SUMIFS(events!T:T,events!L:L,"=DeadIce",events!U:U,"&lt;="&amp;shifts!AH153,events!V:V,"&gt;"&amp;shifts!AI153,events!D:D,"="&amp;shifts!B154)+SUMIFS(events!T:T,events!L:L,"=Timeout",events!U:U,"&lt;="&amp;shifts!AH153,events!V:V,"&gt;"&amp;shifts!AI153,events!D:D,"="&amp;shifts!B154)</f>
        <v>0</v>
      </c>
      <c r="Y153" s="9" t="str">
        <f t="shared" si="69"/>
        <v/>
      </c>
      <c r="AA153" t="str">
        <f t="shared" si="70"/>
        <v/>
      </c>
      <c r="AC153" t="str">
        <f t="shared" si="71"/>
        <v/>
      </c>
      <c r="AE153">
        <f t="shared" si="74"/>
        <v>18977</v>
      </c>
      <c r="AF153" t="str">
        <f t="shared" si="75"/>
        <v>Velodrome</v>
      </c>
      <c r="AG153" t="str">
        <f t="shared" si="76"/>
        <v>HollowBrook</v>
      </c>
      <c r="AH153" s="6">
        <f t="shared" si="57"/>
        <v>0</v>
      </c>
      <c r="AI153" s="6">
        <f t="shared" si="58"/>
        <v>0</v>
      </c>
      <c r="AJ153" s="18">
        <f t="shared" si="61"/>
        <v>0</v>
      </c>
      <c r="AK153">
        <f t="shared" si="62"/>
        <v>0</v>
      </c>
      <c r="AL153">
        <f t="shared" si="63"/>
        <v>0</v>
      </c>
      <c r="AM153">
        <f t="shared" si="59"/>
        <v>0</v>
      </c>
      <c r="AN153">
        <f t="shared" si="60"/>
        <v>0</v>
      </c>
      <c r="AO153">
        <f t="shared" si="56"/>
        <v>0</v>
      </c>
      <c r="AP153">
        <f t="shared" si="64"/>
        <v>0</v>
      </c>
      <c r="AQ153">
        <f t="shared" si="65"/>
        <v>0</v>
      </c>
      <c r="AR153">
        <f t="shared" si="66"/>
        <v>0</v>
      </c>
      <c r="AS153" t="str">
        <f t="shared" si="67"/>
        <v/>
      </c>
      <c r="AT153" t="str">
        <f t="shared" si="68"/>
        <v>0v0</v>
      </c>
    </row>
    <row r="154" spans="1:46" x14ac:dyDescent="0.2">
      <c r="A154">
        <f t="shared" si="72"/>
        <v>153</v>
      </c>
      <c r="B154" s="9">
        <f t="shared" si="50"/>
        <v>3</v>
      </c>
      <c r="C154">
        <f t="shared" si="51"/>
        <v>0</v>
      </c>
      <c r="D154" s="6">
        <f t="shared" si="73"/>
        <v>0</v>
      </c>
      <c r="O154" s="7">
        <v>39</v>
      </c>
      <c r="V154">
        <v>99</v>
      </c>
      <c r="W154" s="9">
        <f>SUMIFS(events!T:T,events!L:L,"=DeadIce",events!U:U,"&lt;="&amp;shifts!AH154,events!V:V,"&gt;"&amp;shifts!AI154,events!D:D,"="&amp;shifts!B155)+SUMIFS(events!T:T,events!L:L,"=Timeout",events!U:U,"&lt;="&amp;shifts!AH154,events!V:V,"&gt;"&amp;shifts!AI154,events!D:D,"="&amp;shifts!B155)</f>
        <v>0</v>
      </c>
      <c r="Y154" s="9" t="str">
        <f t="shared" si="69"/>
        <v/>
      </c>
      <c r="AA154" t="str">
        <f t="shared" si="70"/>
        <v/>
      </c>
      <c r="AC154" t="str">
        <f t="shared" si="71"/>
        <v/>
      </c>
      <c r="AE154">
        <f t="shared" si="74"/>
        <v>18977</v>
      </c>
      <c r="AF154" t="str">
        <f t="shared" si="75"/>
        <v>Velodrome</v>
      </c>
      <c r="AG154" t="str">
        <f t="shared" si="76"/>
        <v>HollowBrook</v>
      </c>
      <c r="AH154" s="6">
        <f t="shared" si="57"/>
        <v>0</v>
      </c>
      <c r="AI154" s="6">
        <f t="shared" si="58"/>
        <v>0</v>
      </c>
      <c r="AJ154" s="18">
        <f t="shared" si="61"/>
        <v>0</v>
      </c>
      <c r="AK154">
        <f t="shared" si="62"/>
        <v>0</v>
      </c>
      <c r="AL154">
        <f t="shared" si="63"/>
        <v>0</v>
      </c>
      <c r="AM154">
        <f t="shared" si="59"/>
        <v>0</v>
      </c>
      <c r="AN154">
        <f t="shared" si="60"/>
        <v>0</v>
      </c>
      <c r="AO154">
        <f t="shared" si="56"/>
        <v>0</v>
      </c>
      <c r="AP154">
        <f t="shared" si="64"/>
        <v>0</v>
      </c>
      <c r="AQ154">
        <f t="shared" si="65"/>
        <v>0</v>
      </c>
      <c r="AR154">
        <f t="shared" si="66"/>
        <v>0</v>
      </c>
      <c r="AS154" t="str">
        <f t="shared" si="67"/>
        <v/>
      </c>
      <c r="AT154" t="str">
        <f t="shared" si="68"/>
        <v>0v0</v>
      </c>
    </row>
    <row r="155" spans="1:46" x14ac:dyDescent="0.2">
      <c r="A155">
        <f t="shared" si="72"/>
        <v>154</v>
      </c>
      <c r="B155" s="9">
        <f t="shared" si="50"/>
        <v>3</v>
      </c>
      <c r="C155">
        <f t="shared" si="51"/>
        <v>0</v>
      </c>
      <c r="D155" s="6">
        <f t="shared" si="73"/>
        <v>0</v>
      </c>
      <c r="O155" s="7">
        <v>39</v>
      </c>
      <c r="V155">
        <v>99</v>
      </c>
      <c r="W155" s="9">
        <f>SUMIFS(events!T:T,events!L:L,"=DeadIce",events!U:U,"&lt;="&amp;shifts!AH155,events!V:V,"&gt;"&amp;shifts!AI155,events!D:D,"="&amp;shifts!B156)+SUMIFS(events!T:T,events!L:L,"=Timeout",events!U:U,"&lt;="&amp;shifts!AH155,events!V:V,"&gt;"&amp;shifts!AI155,events!D:D,"="&amp;shifts!B156)</f>
        <v>0</v>
      </c>
      <c r="Y155" s="9" t="str">
        <f t="shared" si="69"/>
        <v/>
      </c>
      <c r="AA155" t="str">
        <f t="shared" si="70"/>
        <v/>
      </c>
      <c r="AC155" t="str">
        <f t="shared" si="71"/>
        <v/>
      </c>
      <c r="AE155">
        <f t="shared" si="74"/>
        <v>18977</v>
      </c>
      <c r="AF155" t="str">
        <f t="shared" si="75"/>
        <v>Velodrome</v>
      </c>
      <c r="AG155" t="str">
        <f t="shared" si="76"/>
        <v>HollowBrook</v>
      </c>
      <c r="AH155" s="6">
        <f t="shared" si="57"/>
        <v>0</v>
      </c>
      <c r="AI155" s="6">
        <f t="shared" si="58"/>
        <v>0</v>
      </c>
      <c r="AJ155" s="18">
        <f t="shared" si="61"/>
        <v>0</v>
      </c>
      <c r="AK155">
        <f t="shared" si="62"/>
        <v>0</v>
      </c>
      <c r="AL155">
        <f t="shared" si="63"/>
        <v>0</v>
      </c>
      <c r="AM155">
        <f t="shared" si="59"/>
        <v>0</v>
      </c>
      <c r="AN155">
        <f t="shared" si="60"/>
        <v>0</v>
      </c>
      <c r="AO155">
        <f t="shared" si="56"/>
        <v>0</v>
      </c>
      <c r="AP155">
        <f t="shared" si="64"/>
        <v>0</v>
      </c>
      <c r="AQ155">
        <f t="shared" si="65"/>
        <v>0</v>
      </c>
      <c r="AR155">
        <f t="shared" si="66"/>
        <v>0</v>
      </c>
      <c r="AS155" t="str">
        <f t="shared" si="67"/>
        <v/>
      </c>
      <c r="AT155" t="str">
        <f t="shared" si="68"/>
        <v>0v0</v>
      </c>
    </row>
    <row r="156" spans="1:46" x14ac:dyDescent="0.2">
      <c r="A156">
        <f t="shared" si="72"/>
        <v>155</v>
      </c>
      <c r="B156" s="9">
        <f t="shared" si="50"/>
        <v>3</v>
      </c>
      <c r="C156">
        <f t="shared" si="51"/>
        <v>0</v>
      </c>
      <c r="D156" s="6">
        <f t="shared" si="73"/>
        <v>0</v>
      </c>
      <c r="O156" s="7">
        <v>39</v>
      </c>
      <c r="V156">
        <v>99</v>
      </c>
      <c r="W156" s="9">
        <f>SUMIFS(events!T:T,events!L:L,"=DeadIce",events!U:U,"&lt;="&amp;shifts!AH156,events!V:V,"&gt;"&amp;shifts!AI156,events!D:D,"="&amp;shifts!B157)+SUMIFS(events!T:T,events!L:L,"=Timeout",events!U:U,"&lt;="&amp;shifts!AH156,events!V:V,"&gt;"&amp;shifts!AI156,events!D:D,"="&amp;shifts!B157)</f>
        <v>0</v>
      </c>
      <c r="Y156" s="9" t="str">
        <f t="shared" si="69"/>
        <v/>
      </c>
      <c r="AA156" t="str">
        <f t="shared" si="70"/>
        <v/>
      </c>
      <c r="AC156" t="str">
        <f t="shared" si="71"/>
        <v/>
      </c>
      <c r="AE156">
        <f t="shared" si="74"/>
        <v>18977</v>
      </c>
      <c r="AF156" t="str">
        <f t="shared" si="75"/>
        <v>Velodrome</v>
      </c>
      <c r="AG156" t="str">
        <f t="shared" si="76"/>
        <v>HollowBrook</v>
      </c>
      <c r="AH156" s="6">
        <f t="shared" si="57"/>
        <v>0</v>
      </c>
      <c r="AI156" s="6">
        <f t="shared" si="58"/>
        <v>0</v>
      </c>
      <c r="AJ156" s="18">
        <f t="shared" si="61"/>
        <v>0</v>
      </c>
      <c r="AK156">
        <f t="shared" si="62"/>
        <v>0</v>
      </c>
      <c r="AL156">
        <f t="shared" si="63"/>
        <v>0</v>
      </c>
      <c r="AM156">
        <f t="shared" si="59"/>
        <v>0</v>
      </c>
      <c r="AN156">
        <f t="shared" si="60"/>
        <v>0</v>
      </c>
      <c r="AO156">
        <f t="shared" si="56"/>
        <v>0</v>
      </c>
      <c r="AP156">
        <f t="shared" si="64"/>
        <v>0</v>
      </c>
      <c r="AQ156">
        <f t="shared" si="65"/>
        <v>0</v>
      </c>
      <c r="AR156">
        <f t="shared" si="66"/>
        <v>0</v>
      </c>
      <c r="AS156" t="str">
        <f t="shared" si="67"/>
        <v/>
      </c>
      <c r="AT156" t="str">
        <f t="shared" si="68"/>
        <v>0v0</v>
      </c>
    </row>
    <row r="157" spans="1:46" x14ac:dyDescent="0.2">
      <c r="A157">
        <f t="shared" si="72"/>
        <v>156</v>
      </c>
      <c r="B157" s="9">
        <f t="shared" si="50"/>
        <v>3</v>
      </c>
      <c r="C157">
        <f t="shared" si="51"/>
        <v>0</v>
      </c>
      <c r="D157" s="6">
        <f t="shared" si="73"/>
        <v>0</v>
      </c>
      <c r="O157" s="7">
        <v>39</v>
      </c>
      <c r="V157">
        <v>99</v>
      </c>
      <c r="W157" s="9">
        <f>SUMIFS(events!T:T,events!L:L,"=DeadIce",events!U:U,"&lt;="&amp;shifts!AH157,events!V:V,"&gt;"&amp;shifts!AI157,events!D:D,"="&amp;shifts!B158)+SUMIFS(events!T:T,events!L:L,"=Timeout",events!U:U,"&lt;="&amp;shifts!AH157,events!V:V,"&gt;"&amp;shifts!AI157,events!D:D,"="&amp;shifts!B158)</f>
        <v>0</v>
      </c>
      <c r="Y157" s="9" t="str">
        <f t="shared" si="69"/>
        <v/>
      </c>
      <c r="AA157" t="str">
        <f t="shared" si="70"/>
        <v/>
      </c>
      <c r="AC157" t="str">
        <f t="shared" si="71"/>
        <v/>
      </c>
      <c r="AE157">
        <f t="shared" si="74"/>
        <v>18977</v>
      </c>
      <c r="AF157" t="str">
        <f t="shared" si="75"/>
        <v>Velodrome</v>
      </c>
      <c r="AG157" t="str">
        <f t="shared" si="76"/>
        <v>HollowBrook</v>
      </c>
      <c r="AH157" s="6">
        <f t="shared" si="57"/>
        <v>0</v>
      </c>
      <c r="AI157" s="6">
        <f t="shared" si="58"/>
        <v>0</v>
      </c>
      <c r="AJ157" s="18">
        <f t="shared" si="61"/>
        <v>0</v>
      </c>
      <c r="AK157">
        <f t="shared" si="62"/>
        <v>0</v>
      </c>
      <c r="AL157">
        <f t="shared" si="63"/>
        <v>0</v>
      </c>
      <c r="AM157">
        <f t="shared" si="59"/>
        <v>0</v>
      </c>
      <c r="AN157">
        <f t="shared" si="60"/>
        <v>0</v>
      </c>
      <c r="AO157">
        <f t="shared" si="56"/>
        <v>0</v>
      </c>
      <c r="AP157">
        <f t="shared" si="64"/>
        <v>0</v>
      </c>
      <c r="AQ157">
        <f t="shared" si="65"/>
        <v>0</v>
      </c>
      <c r="AR157">
        <f t="shared" si="66"/>
        <v>0</v>
      </c>
      <c r="AS157" t="str">
        <f t="shared" si="67"/>
        <v/>
      </c>
      <c r="AT157" t="str">
        <f t="shared" si="68"/>
        <v>0v0</v>
      </c>
    </row>
    <row r="158" spans="1:46" x14ac:dyDescent="0.2">
      <c r="A158">
        <f t="shared" si="72"/>
        <v>157</v>
      </c>
      <c r="B158" s="9">
        <f t="shared" si="50"/>
        <v>3</v>
      </c>
      <c r="C158">
        <f t="shared" si="51"/>
        <v>0</v>
      </c>
      <c r="D158" s="6">
        <f t="shared" si="73"/>
        <v>0</v>
      </c>
      <c r="O158" s="7">
        <v>39</v>
      </c>
      <c r="V158">
        <v>99</v>
      </c>
      <c r="W158" s="9">
        <f>SUMIFS(events!T:T,events!L:L,"=DeadIce",events!U:U,"&lt;="&amp;shifts!AH158,events!V:V,"&gt;"&amp;shifts!AI158,events!D:D,"="&amp;shifts!B159)+SUMIFS(events!T:T,events!L:L,"=Timeout",events!U:U,"&lt;="&amp;shifts!AH158,events!V:V,"&gt;"&amp;shifts!AI158,events!D:D,"="&amp;shifts!B159)</f>
        <v>0</v>
      </c>
      <c r="Y158" s="9" t="str">
        <f t="shared" si="69"/>
        <v/>
      </c>
      <c r="AA158" t="str">
        <f t="shared" si="70"/>
        <v/>
      </c>
      <c r="AC158" t="str">
        <f t="shared" si="71"/>
        <v/>
      </c>
      <c r="AE158">
        <f t="shared" si="74"/>
        <v>18977</v>
      </c>
      <c r="AF158" t="str">
        <f t="shared" si="75"/>
        <v>Velodrome</v>
      </c>
      <c r="AG158" t="str">
        <f t="shared" si="76"/>
        <v>HollowBrook</v>
      </c>
      <c r="AH158" s="6">
        <f t="shared" si="57"/>
        <v>0</v>
      </c>
      <c r="AI158" s="6">
        <f t="shared" si="58"/>
        <v>0</v>
      </c>
      <c r="AJ158" s="18">
        <f t="shared" si="61"/>
        <v>0</v>
      </c>
      <c r="AK158">
        <f t="shared" si="62"/>
        <v>0</v>
      </c>
      <c r="AL158">
        <f t="shared" si="63"/>
        <v>0</v>
      </c>
      <c r="AM158">
        <f t="shared" si="59"/>
        <v>0</v>
      </c>
      <c r="AN158">
        <f t="shared" si="60"/>
        <v>0</v>
      </c>
      <c r="AO158">
        <f t="shared" si="56"/>
        <v>0</v>
      </c>
      <c r="AP158">
        <f t="shared" si="64"/>
        <v>0</v>
      </c>
      <c r="AQ158">
        <f t="shared" si="65"/>
        <v>0</v>
      </c>
      <c r="AR158">
        <f t="shared" si="66"/>
        <v>0</v>
      </c>
      <c r="AS158" t="str">
        <f t="shared" si="67"/>
        <v/>
      </c>
      <c r="AT158" t="str">
        <f t="shared" si="68"/>
        <v>0v0</v>
      </c>
    </row>
    <row r="159" spans="1:46" x14ac:dyDescent="0.2">
      <c r="A159">
        <f t="shared" si="72"/>
        <v>158</v>
      </c>
      <c r="B159" s="9">
        <f t="shared" si="50"/>
        <v>3</v>
      </c>
      <c r="C159">
        <f t="shared" si="51"/>
        <v>0</v>
      </c>
      <c r="D159" s="6">
        <f t="shared" si="73"/>
        <v>0</v>
      </c>
      <c r="O159" s="7">
        <v>39</v>
      </c>
      <c r="V159">
        <v>99</v>
      </c>
      <c r="W159" s="9">
        <f>SUMIFS(events!T:T,events!L:L,"=DeadIce",events!U:U,"&lt;="&amp;shifts!AH159,events!V:V,"&gt;"&amp;shifts!AI159,events!D:D,"="&amp;shifts!B160)+SUMIFS(events!T:T,events!L:L,"=Timeout",events!U:U,"&lt;="&amp;shifts!AH159,events!V:V,"&gt;"&amp;shifts!AI159,events!D:D,"="&amp;shifts!B160)</f>
        <v>0</v>
      </c>
      <c r="Y159" s="9" t="str">
        <f t="shared" si="69"/>
        <v/>
      </c>
      <c r="AA159" t="str">
        <f t="shared" si="70"/>
        <v/>
      </c>
      <c r="AC159" t="str">
        <f t="shared" si="71"/>
        <v/>
      </c>
      <c r="AE159">
        <f t="shared" si="74"/>
        <v>18977</v>
      </c>
      <c r="AF159" t="str">
        <f t="shared" si="75"/>
        <v>Velodrome</v>
      </c>
      <c r="AG159" t="str">
        <f t="shared" si="76"/>
        <v>HollowBrook</v>
      </c>
      <c r="AH159" s="6">
        <f t="shared" si="57"/>
        <v>0</v>
      </c>
      <c r="AI159" s="6">
        <f t="shared" si="58"/>
        <v>0</v>
      </c>
      <c r="AJ159" s="18">
        <f t="shared" si="61"/>
        <v>0</v>
      </c>
      <c r="AK159">
        <f t="shared" si="62"/>
        <v>0</v>
      </c>
      <c r="AL159">
        <f t="shared" si="63"/>
        <v>0</v>
      </c>
      <c r="AM159">
        <f t="shared" si="59"/>
        <v>0</v>
      </c>
      <c r="AN159">
        <f t="shared" si="60"/>
        <v>0</v>
      </c>
      <c r="AO159">
        <f t="shared" si="56"/>
        <v>0</v>
      </c>
      <c r="AP159">
        <f t="shared" si="64"/>
        <v>0</v>
      </c>
      <c r="AQ159">
        <f t="shared" si="65"/>
        <v>0</v>
      </c>
      <c r="AR159">
        <f t="shared" si="66"/>
        <v>0</v>
      </c>
      <c r="AS159" t="str">
        <f t="shared" si="67"/>
        <v/>
      </c>
      <c r="AT159" t="str">
        <f t="shared" si="68"/>
        <v>0v0</v>
      </c>
    </row>
    <row r="160" spans="1:46" x14ac:dyDescent="0.2">
      <c r="A160">
        <f t="shared" si="72"/>
        <v>159</v>
      </c>
      <c r="B160" s="9">
        <f t="shared" si="50"/>
        <v>3</v>
      </c>
      <c r="C160">
        <f t="shared" si="51"/>
        <v>0</v>
      </c>
      <c r="D160" s="6">
        <f t="shared" si="73"/>
        <v>0</v>
      </c>
      <c r="O160" s="7">
        <v>39</v>
      </c>
      <c r="V160">
        <v>99</v>
      </c>
      <c r="W160" s="9">
        <f>SUMIFS(events!T:T,events!L:L,"=DeadIce",events!U:U,"&lt;="&amp;shifts!AH160,events!V:V,"&gt;"&amp;shifts!AI160,events!D:D,"="&amp;shifts!B161)+SUMIFS(events!T:T,events!L:L,"=Timeout",events!U:U,"&lt;="&amp;shifts!AH160,events!V:V,"&gt;"&amp;shifts!AI160,events!D:D,"="&amp;shifts!B161)</f>
        <v>0</v>
      </c>
      <c r="Y160" s="9" t="str">
        <f t="shared" si="69"/>
        <v/>
      </c>
      <c r="AA160" t="str">
        <f t="shared" si="70"/>
        <v/>
      </c>
      <c r="AC160" t="str">
        <f t="shared" si="71"/>
        <v/>
      </c>
      <c r="AE160">
        <f t="shared" si="74"/>
        <v>18977</v>
      </c>
      <c r="AF160" t="str">
        <f t="shared" si="75"/>
        <v>Velodrome</v>
      </c>
      <c r="AG160" t="str">
        <f t="shared" si="76"/>
        <v>HollowBrook</v>
      </c>
      <c r="AH160" s="6">
        <f t="shared" si="57"/>
        <v>0</v>
      </c>
      <c r="AI160" s="6">
        <f t="shared" si="58"/>
        <v>0</v>
      </c>
      <c r="AJ160" s="18">
        <f t="shared" si="61"/>
        <v>0</v>
      </c>
      <c r="AK160">
        <f t="shared" si="62"/>
        <v>0</v>
      </c>
      <c r="AL160">
        <f t="shared" si="63"/>
        <v>0</v>
      </c>
      <c r="AM160">
        <f t="shared" si="59"/>
        <v>0</v>
      </c>
      <c r="AN160">
        <f t="shared" si="60"/>
        <v>0</v>
      </c>
      <c r="AO160">
        <f t="shared" si="56"/>
        <v>0</v>
      </c>
      <c r="AP160">
        <f t="shared" si="64"/>
        <v>0</v>
      </c>
      <c r="AQ160">
        <f t="shared" si="65"/>
        <v>0</v>
      </c>
      <c r="AR160">
        <f t="shared" si="66"/>
        <v>0</v>
      </c>
      <c r="AS160" t="str">
        <f t="shared" si="67"/>
        <v/>
      </c>
      <c r="AT160" t="str">
        <f t="shared" si="68"/>
        <v>0v0</v>
      </c>
    </row>
    <row r="161" spans="1:46" x14ac:dyDescent="0.2">
      <c r="A161">
        <f t="shared" si="72"/>
        <v>160</v>
      </c>
      <c r="B161" s="9">
        <f t="shared" si="50"/>
        <v>3</v>
      </c>
      <c r="C161">
        <f t="shared" si="51"/>
        <v>0</v>
      </c>
      <c r="D161" s="6">
        <f t="shared" si="73"/>
        <v>0</v>
      </c>
      <c r="O161" s="7">
        <v>39</v>
      </c>
      <c r="V161">
        <v>99</v>
      </c>
      <c r="W161" s="9">
        <f>SUMIFS(events!T:T,events!L:L,"=DeadIce",events!U:U,"&lt;="&amp;shifts!AH161,events!V:V,"&gt;"&amp;shifts!AI161,events!D:D,"="&amp;shifts!B162)+SUMIFS(events!T:T,events!L:L,"=Timeout",events!U:U,"&lt;="&amp;shifts!AH161,events!V:V,"&gt;"&amp;shifts!AI161,events!D:D,"="&amp;shifts!B162)</f>
        <v>0</v>
      </c>
      <c r="Y161" s="9" t="str">
        <f t="shared" si="69"/>
        <v/>
      </c>
      <c r="AA161" t="str">
        <f t="shared" si="70"/>
        <v/>
      </c>
      <c r="AC161" t="str">
        <f t="shared" si="71"/>
        <v/>
      </c>
      <c r="AE161">
        <f t="shared" si="74"/>
        <v>18977</v>
      </c>
      <c r="AF161" t="str">
        <f t="shared" si="75"/>
        <v>Velodrome</v>
      </c>
      <c r="AG161" t="str">
        <f t="shared" si="76"/>
        <v>HollowBrook</v>
      </c>
      <c r="AH161" s="6">
        <f t="shared" si="57"/>
        <v>0</v>
      </c>
      <c r="AI161" s="6">
        <f t="shared" si="58"/>
        <v>0</v>
      </c>
      <c r="AJ161" s="18">
        <f t="shared" si="61"/>
        <v>0</v>
      </c>
      <c r="AK161">
        <f t="shared" si="62"/>
        <v>0</v>
      </c>
      <c r="AL161">
        <f t="shared" si="63"/>
        <v>0</v>
      </c>
      <c r="AM161">
        <f t="shared" si="59"/>
        <v>0</v>
      </c>
      <c r="AN161">
        <f t="shared" si="60"/>
        <v>0</v>
      </c>
      <c r="AO161">
        <f t="shared" si="56"/>
        <v>0</v>
      </c>
      <c r="AP161">
        <f t="shared" si="64"/>
        <v>0</v>
      </c>
      <c r="AQ161">
        <f t="shared" si="65"/>
        <v>0</v>
      </c>
      <c r="AR161">
        <f t="shared" si="66"/>
        <v>0</v>
      </c>
      <c r="AS161" t="str">
        <f t="shared" si="67"/>
        <v/>
      </c>
      <c r="AT161" t="str">
        <f t="shared" si="68"/>
        <v>0v0</v>
      </c>
    </row>
    <row r="162" spans="1:46" x14ac:dyDescent="0.2">
      <c r="A162">
        <f t="shared" si="72"/>
        <v>161</v>
      </c>
      <c r="B162" s="9">
        <f t="shared" si="50"/>
        <v>3</v>
      </c>
      <c r="C162">
        <f t="shared" si="51"/>
        <v>0</v>
      </c>
      <c r="D162" s="6">
        <f t="shared" si="73"/>
        <v>0</v>
      </c>
      <c r="O162" s="7">
        <v>39</v>
      </c>
      <c r="V162">
        <v>99</v>
      </c>
      <c r="W162" s="9">
        <f>SUMIFS(events!T:T,events!L:L,"=DeadIce",events!U:U,"&lt;="&amp;shifts!AH162,events!V:V,"&gt;"&amp;shifts!AI162,events!D:D,"="&amp;shifts!B163)+SUMIFS(events!T:T,events!L:L,"=Timeout",events!U:U,"&lt;="&amp;shifts!AH162,events!V:V,"&gt;"&amp;shifts!AI162,events!D:D,"="&amp;shifts!B163)</f>
        <v>0</v>
      </c>
      <c r="Y162" s="9" t="str">
        <f t="shared" si="69"/>
        <v/>
      </c>
      <c r="AA162" t="str">
        <f t="shared" si="70"/>
        <v/>
      </c>
      <c r="AC162" t="str">
        <f t="shared" si="71"/>
        <v/>
      </c>
      <c r="AE162">
        <f t="shared" si="74"/>
        <v>18977</v>
      </c>
      <c r="AF162" t="str">
        <f t="shared" si="75"/>
        <v>Velodrome</v>
      </c>
      <c r="AG162" t="str">
        <f t="shared" si="76"/>
        <v>HollowBrook</v>
      </c>
      <c r="AH162" s="6">
        <f t="shared" si="57"/>
        <v>0</v>
      </c>
      <c r="AI162" s="6">
        <f t="shared" si="58"/>
        <v>0</v>
      </c>
      <c r="AJ162" s="18">
        <f t="shared" si="61"/>
        <v>0</v>
      </c>
      <c r="AK162">
        <f t="shared" si="62"/>
        <v>0</v>
      </c>
      <c r="AL162">
        <f t="shared" si="63"/>
        <v>0</v>
      </c>
      <c r="AM162">
        <f t="shared" si="59"/>
        <v>0</v>
      </c>
      <c r="AN162">
        <f t="shared" si="60"/>
        <v>0</v>
      </c>
      <c r="AO162">
        <f t="shared" si="56"/>
        <v>0</v>
      </c>
      <c r="AP162">
        <f t="shared" si="64"/>
        <v>0</v>
      </c>
      <c r="AQ162">
        <f t="shared" si="65"/>
        <v>0</v>
      </c>
      <c r="AR162">
        <f t="shared" si="66"/>
        <v>0</v>
      </c>
      <c r="AS162" t="str">
        <f t="shared" si="67"/>
        <v/>
      </c>
      <c r="AT162" t="str">
        <f t="shared" si="68"/>
        <v>0v0</v>
      </c>
    </row>
    <row r="163" spans="1:46" x14ac:dyDescent="0.2">
      <c r="A163">
        <f t="shared" si="72"/>
        <v>162</v>
      </c>
      <c r="B163" s="9">
        <f t="shared" si="50"/>
        <v>3</v>
      </c>
      <c r="C163">
        <f t="shared" si="51"/>
        <v>0</v>
      </c>
      <c r="D163" s="6">
        <f t="shared" si="73"/>
        <v>0</v>
      </c>
      <c r="O163" s="7">
        <v>39</v>
      </c>
      <c r="V163">
        <v>99</v>
      </c>
      <c r="W163" s="9">
        <f>SUMIFS(events!T:T,events!L:L,"=DeadIce",events!U:U,"&lt;="&amp;shifts!AH163,events!V:V,"&gt;"&amp;shifts!AI163,events!D:D,"="&amp;shifts!B164)+SUMIFS(events!T:T,events!L:L,"=Timeout",events!U:U,"&lt;="&amp;shifts!AH163,events!V:V,"&gt;"&amp;shifts!AI163,events!D:D,"="&amp;shifts!B164)</f>
        <v>0</v>
      </c>
      <c r="Y163" s="9" t="str">
        <f t="shared" si="69"/>
        <v/>
      </c>
      <c r="AA163" t="str">
        <f t="shared" si="70"/>
        <v/>
      </c>
      <c r="AC163" t="str">
        <f t="shared" si="71"/>
        <v/>
      </c>
      <c r="AE163">
        <f t="shared" si="74"/>
        <v>18977</v>
      </c>
      <c r="AF163" t="str">
        <f t="shared" si="75"/>
        <v>Velodrome</v>
      </c>
      <c r="AG163" t="str">
        <f t="shared" si="76"/>
        <v>HollowBrook</v>
      </c>
      <c r="AH163" s="6">
        <f t="shared" si="57"/>
        <v>0</v>
      </c>
      <c r="AI163" s="6">
        <f t="shared" si="58"/>
        <v>0</v>
      </c>
      <c r="AJ163" s="18">
        <f t="shared" si="61"/>
        <v>0</v>
      </c>
      <c r="AK163">
        <f t="shared" si="62"/>
        <v>0</v>
      </c>
      <c r="AL163">
        <f t="shared" si="63"/>
        <v>0</v>
      </c>
      <c r="AM163">
        <f t="shared" si="59"/>
        <v>0</v>
      </c>
      <c r="AN163">
        <f t="shared" si="60"/>
        <v>0</v>
      </c>
      <c r="AO163">
        <f t="shared" si="56"/>
        <v>0</v>
      </c>
      <c r="AP163">
        <f t="shared" si="64"/>
        <v>0</v>
      </c>
      <c r="AQ163">
        <f t="shared" si="65"/>
        <v>0</v>
      </c>
      <c r="AR163">
        <f t="shared" si="66"/>
        <v>0</v>
      </c>
      <c r="AS163" t="str">
        <f t="shared" si="67"/>
        <v/>
      </c>
      <c r="AT163" t="str">
        <f t="shared" si="68"/>
        <v>0v0</v>
      </c>
    </row>
    <row r="164" spans="1:46" x14ac:dyDescent="0.2">
      <c r="A164">
        <f t="shared" si="72"/>
        <v>163</v>
      </c>
      <c r="B164" s="9">
        <f t="shared" ref="B164:B203" si="77">IF(G164="PeriodStart",B163+1,B163)</f>
        <v>3</v>
      </c>
      <c r="C164">
        <f t="shared" ref="C164:C203" si="78">IF(G164&lt;&gt;"PeriodStart",E163,18)</f>
        <v>0</v>
      </c>
      <c r="D164" s="6">
        <f t="shared" si="73"/>
        <v>0</v>
      </c>
      <c r="O164" s="7">
        <v>39</v>
      </c>
      <c r="V164">
        <v>99</v>
      </c>
      <c r="W164" s="9">
        <f>SUMIFS(events!T:T,events!L:L,"=DeadIce",events!U:U,"&lt;="&amp;shifts!AH164,events!V:V,"&gt;"&amp;shifts!AI164,events!D:D,"="&amp;shifts!B165)+SUMIFS(events!T:T,events!L:L,"=Timeout",events!U:U,"&lt;="&amp;shifts!AH164,events!V:V,"&gt;"&amp;shifts!AI164,events!D:D,"="&amp;shifts!B165)</f>
        <v>0</v>
      </c>
      <c r="Y164" s="9" t="str">
        <f t="shared" si="69"/>
        <v/>
      </c>
      <c r="AA164" t="str">
        <f t="shared" si="70"/>
        <v/>
      </c>
      <c r="AC164" t="str">
        <f t="shared" si="71"/>
        <v/>
      </c>
      <c r="AE164">
        <f t="shared" si="74"/>
        <v>18977</v>
      </c>
      <c r="AF164" t="str">
        <f t="shared" si="75"/>
        <v>Velodrome</v>
      </c>
      <c r="AG164" t="str">
        <f t="shared" si="76"/>
        <v>HollowBrook</v>
      </c>
      <c r="AH164" s="6">
        <f t="shared" ref="AH164:AH195" si="79">((C164*60)+D164)</f>
        <v>0</v>
      </c>
      <c r="AI164" s="6">
        <f t="shared" ref="AI164:AI195" si="80">((E164*60)+F164)</f>
        <v>0</v>
      </c>
      <c r="AJ164" s="18">
        <f t="shared" si="61"/>
        <v>0</v>
      </c>
      <c r="AK164">
        <f t="shared" si="62"/>
        <v>0</v>
      </c>
      <c r="AL164">
        <f t="shared" si="63"/>
        <v>0</v>
      </c>
      <c r="AM164">
        <f t="shared" ref="AM164:AM195" si="81">IF(O164="",1,0)</f>
        <v>0</v>
      </c>
      <c r="AN164">
        <f t="shared" ref="AN164:AN195" si="82">IF(V164="",1,0)</f>
        <v>0</v>
      </c>
      <c r="AO164">
        <f t="shared" si="56"/>
        <v>0</v>
      </c>
      <c r="AP164">
        <f t="shared" si="64"/>
        <v>0</v>
      </c>
      <c r="AQ164">
        <f t="shared" si="65"/>
        <v>0</v>
      </c>
      <c r="AR164">
        <f t="shared" si="66"/>
        <v>0</v>
      </c>
      <c r="AS164" t="str">
        <f t="shared" si="67"/>
        <v/>
      </c>
      <c r="AT164" t="str">
        <f t="shared" si="68"/>
        <v>0v0</v>
      </c>
    </row>
    <row r="165" spans="1:46" x14ac:dyDescent="0.2">
      <c r="A165">
        <f t="shared" si="72"/>
        <v>164</v>
      </c>
      <c r="B165" s="9">
        <f t="shared" si="77"/>
        <v>3</v>
      </c>
      <c r="C165">
        <f t="shared" si="78"/>
        <v>0</v>
      </c>
      <c r="D165" s="6">
        <f t="shared" si="73"/>
        <v>0</v>
      </c>
      <c r="O165" s="7">
        <v>39</v>
      </c>
      <c r="V165">
        <v>99</v>
      </c>
      <c r="W165" s="9">
        <f>SUMIFS(events!T:T,events!L:L,"=DeadIce",events!U:U,"&lt;="&amp;shifts!AH165,events!V:V,"&gt;"&amp;shifts!AI165,events!D:D,"="&amp;shifts!B166)+SUMIFS(events!T:T,events!L:L,"=Timeout",events!U:U,"&lt;="&amp;shifts!AH165,events!V:V,"&gt;"&amp;shifts!AI165,events!D:D,"="&amp;shifts!B166)</f>
        <v>0</v>
      </c>
      <c r="Y165" s="9" t="str">
        <f t="shared" si="69"/>
        <v/>
      </c>
      <c r="AA165" t="str">
        <f t="shared" si="70"/>
        <v/>
      </c>
      <c r="AC165" t="str">
        <f t="shared" si="71"/>
        <v/>
      </c>
      <c r="AE165">
        <f t="shared" si="74"/>
        <v>18977</v>
      </c>
      <c r="AF165" t="str">
        <f t="shared" si="75"/>
        <v>Velodrome</v>
      </c>
      <c r="AG165" t="str">
        <f t="shared" si="76"/>
        <v>HollowBrook</v>
      </c>
      <c r="AH165" s="6">
        <f t="shared" si="79"/>
        <v>0</v>
      </c>
      <c r="AI165" s="6">
        <f t="shared" si="80"/>
        <v>0</v>
      </c>
      <c r="AJ165" s="18">
        <f t="shared" si="61"/>
        <v>0</v>
      </c>
      <c r="AK165">
        <f t="shared" si="62"/>
        <v>0</v>
      </c>
      <c r="AL165">
        <f t="shared" si="63"/>
        <v>0</v>
      </c>
      <c r="AM165">
        <f t="shared" si="81"/>
        <v>0</v>
      </c>
      <c r="AN165">
        <f t="shared" si="82"/>
        <v>0</v>
      </c>
      <c r="AO165">
        <f t="shared" si="56"/>
        <v>0</v>
      </c>
      <c r="AP165">
        <f t="shared" si="64"/>
        <v>0</v>
      </c>
      <c r="AQ165">
        <f t="shared" si="65"/>
        <v>0</v>
      </c>
      <c r="AR165">
        <f t="shared" si="66"/>
        <v>0</v>
      </c>
      <c r="AS165" t="str">
        <f t="shared" si="67"/>
        <v/>
      </c>
      <c r="AT165" t="str">
        <f t="shared" si="68"/>
        <v>0v0</v>
      </c>
    </row>
    <row r="166" spans="1:46" x14ac:dyDescent="0.2">
      <c r="A166">
        <f t="shared" si="72"/>
        <v>165</v>
      </c>
      <c r="B166" s="9">
        <f t="shared" si="77"/>
        <v>3</v>
      </c>
      <c r="C166">
        <f t="shared" si="78"/>
        <v>0</v>
      </c>
      <c r="D166" s="6">
        <f t="shared" si="73"/>
        <v>0</v>
      </c>
      <c r="O166" s="7">
        <v>39</v>
      </c>
      <c r="V166">
        <v>99</v>
      </c>
      <c r="W166" s="9">
        <f>SUMIFS(events!T:T,events!L:L,"=DeadIce",events!U:U,"&lt;="&amp;shifts!AH166,events!V:V,"&gt;"&amp;shifts!AI166,events!D:D,"="&amp;shifts!B167)+SUMIFS(events!T:T,events!L:L,"=Timeout",events!U:U,"&lt;="&amp;shifts!AH166,events!V:V,"&gt;"&amp;shifts!AI166,events!D:D,"="&amp;shifts!B167)</f>
        <v>0</v>
      </c>
      <c r="Y166" s="9" t="str">
        <f t="shared" si="69"/>
        <v/>
      </c>
      <c r="AA166" t="str">
        <f t="shared" si="70"/>
        <v/>
      </c>
      <c r="AC166" t="str">
        <f t="shared" si="71"/>
        <v/>
      </c>
      <c r="AE166">
        <f t="shared" si="74"/>
        <v>18977</v>
      </c>
      <c r="AF166" t="str">
        <f t="shared" si="75"/>
        <v>Velodrome</v>
      </c>
      <c r="AG166" t="str">
        <f t="shared" si="76"/>
        <v>HollowBrook</v>
      </c>
      <c r="AH166" s="6">
        <f t="shared" si="79"/>
        <v>0</v>
      </c>
      <c r="AI166" s="6">
        <f t="shared" si="80"/>
        <v>0</v>
      </c>
      <c r="AJ166" s="18">
        <f t="shared" si="61"/>
        <v>0</v>
      </c>
      <c r="AK166">
        <f t="shared" si="62"/>
        <v>0</v>
      </c>
      <c r="AL166">
        <f t="shared" si="63"/>
        <v>0</v>
      </c>
      <c r="AM166">
        <f t="shared" si="81"/>
        <v>0</v>
      </c>
      <c r="AN166">
        <f t="shared" si="82"/>
        <v>0</v>
      </c>
      <c r="AO166">
        <f t="shared" si="56"/>
        <v>0</v>
      </c>
      <c r="AP166">
        <f t="shared" si="64"/>
        <v>0</v>
      </c>
      <c r="AQ166">
        <f t="shared" si="65"/>
        <v>0</v>
      </c>
      <c r="AR166">
        <f t="shared" si="66"/>
        <v>0</v>
      </c>
      <c r="AS166" t="str">
        <f t="shared" si="67"/>
        <v/>
      </c>
      <c r="AT166" t="str">
        <f t="shared" si="68"/>
        <v>0v0</v>
      </c>
    </row>
    <row r="167" spans="1:46" x14ac:dyDescent="0.2">
      <c r="A167">
        <f t="shared" si="72"/>
        <v>166</v>
      </c>
      <c r="B167" s="9">
        <f t="shared" si="77"/>
        <v>3</v>
      </c>
      <c r="C167">
        <f t="shared" si="78"/>
        <v>0</v>
      </c>
      <c r="D167" s="6">
        <f t="shared" si="73"/>
        <v>0</v>
      </c>
      <c r="O167" s="7">
        <v>39</v>
      </c>
      <c r="V167">
        <v>99</v>
      </c>
      <c r="W167" s="9">
        <f>SUMIFS(events!T:T,events!L:L,"=DeadIce",events!U:U,"&lt;="&amp;shifts!AH167,events!V:V,"&gt;"&amp;shifts!AI167,events!D:D,"="&amp;shifts!B168)+SUMIFS(events!T:T,events!L:L,"=Timeout",events!U:U,"&lt;="&amp;shifts!AH167,events!V:V,"&gt;"&amp;shifts!AI167,events!D:D,"="&amp;shifts!B168)</f>
        <v>0</v>
      </c>
      <c r="Y167" s="9" t="str">
        <f t="shared" si="69"/>
        <v/>
      </c>
      <c r="AA167" t="str">
        <f t="shared" si="70"/>
        <v/>
      </c>
      <c r="AC167" t="str">
        <f t="shared" si="71"/>
        <v/>
      </c>
      <c r="AE167">
        <f t="shared" si="74"/>
        <v>18977</v>
      </c>
      <c r="AF167" t="str">
        <f t="shared" si="75"/>
        <v>Velodrome</v>
      </c>
      <c r="AG167" t="str">
        <f t="shared" si="76"/>
        <v>HollowBrook</v>
      </c>
      <c r="AH167" s="6">
        <f t="shared" si="79"/>
        <v>0</v>
      </c>
      <c r="AI167" s="6">
        <f t="shared" si="80"/>
        <v>0</v>
      </c>
      <c r="AJ167" s="18">
        <f t="shared" si="61"/>
        <v>0</v>
      </c>
      <c r="AK167">
        <f t="shared" si="62"/>
        <v>0</v>
      </c>
      <c r="AL167">
        <f t="shared" si="63"/>
        <v>0</v>
      </c>
      <c r="AM167">
        <f t="shared" si="81"/>
        <v>0</v>
      </c>
      <c r="AN167">
        <f t="shared" si="82"/>
        <v>0</v>
      </c>
      <c r="AO167">
        <f t="shared" si="56"/>
        <v>0</v>
      </c>
      <c r="AP167">
        <f t="shared" si="64"/>
        <v>0</v>
      </c>
      <c r="AQ167">
        <f t="shared" si="65"/>
        <v>0</v>
      </c>
      <c r="AR167">
        <f t="shared" si="66"/>
        <v>0</v>
      </c>
      <c r="AS167" t="str">
        <f t="shared" si="67"/>
        <v/>
      </c>
      <c r="AT167" t="str">
        <f t="shared" si="68"/>
        <v>0v0</v>
      </c>
    </row>
    <row r="168" spans="1:46" x14ac:dyDescent="0.2">
      <c r="A168">
        <f t="shared" si="72"/>
        <v>167</v>
      </c>
      <c r="B168" s="9">
        <f t="shared" si="77"/>
        <v>3</v>
      </c>
      <c r="C168">
        <f t="shared" si="78"/>
        <v>0</v>
      </c>
      <c r="D168" s="6">
        <f t="shared" si="73"/>
        <v>0</v>
      </c>
      <c r="O168" s="7">
        <v>39</v>
      </c>
      <c r="V168">
        <v>99</v>
      </c>
      <c r="W168" s="9">
        <f>SUMIFS(events!T:T,events!L:L,"=DeadIce",events!U:U,"&lt;="&amp;shifts!AH168,events!V:V,"&gt;"&amp;shifts!AI168,events!D:D,"="&amp;shifts!B169)+SUMIFS(events!T:T,events!L:L,"=Timeout",events!U:U,"&lt;="&amp;shifts!AH168,events!V:V,"&gt;"&amp;shifts!AI168,events!D:D,"="&amp;shifts!B169)</f>
        <v>0</v>
      </c>
      <c r="Y168" s="9" t="str">
        <f t="shared" si="69"/>
        <v/>
      </c>
      <c r="AA168" t="str">
        <f t="shared" si="70"/>
        <v/>
      </c>
      <c r="AC168" t="str">
        <f t="shared" si="71"/>
        <v/>
      </c>
      <c r="AE168">
        <f t="shared" si="74"/>
        <v>18977</v>
      </c>
      <c r="AF168" t="str">
        <f t="shared" si="75"/>
        <v>Velodrome</v>
      </c>
      <c r="AG168" t="str">
        <f t="shared" si="76"/>
        <v>HollowBrook</v>
      </c>
      <c r="AH168" s="6">
        <f t="shared" si="79"/>
        <v>0</v>
      </c>
      <c r="AI168" s="6">
        <f t="shared" si="80"/>
        <v>0</v>
      </c>
      <c r="AJ168" s="18">
        <f t="shared" si="61"/>
        <v>0</v>
      </c>
      <c r="AK168">
        <f t="shared" si="62"/>
        <v>0</v>
      </c>
      <c r="AL168">
        <f t="shared" si="63"/>
        <v>0</v>
      </c>
      <c r="AM168">
        <f t="shared" si="81"/>
        <v>0</v>
      </c>
      <c r="AN168">
        <f t="shared" si="82"/>
        <v>0</v>
      </c>
      <c r="AO168">
        <f t="shared" si="56"/>
        <v>0</v>
      </c>
      <c r="AP168">
        <f t="shared" si="64"/>
        <v>0</v>
      </c>
      <c r="AQ168">
        <f t="shared" si="65"/>
        <v>0</v>
      </c>
      <c r="AR168">
        <f t="shared" si="66"/>
        <v>0</v>
      </c>
      <c r="AS168" t="str">
        <f t="shared" si="67"/>
        <v/>
      </c>
      <c r="AT168" t="str">
        <f t="shared" si="68"/>
        <v>0v0</v>
      </c>
    </row>
    <row r="169" spans="1:46" x14ac:dyDescent="0.2">
      <c r="A169">
        <f t="shared" si="72"/>
        <v>168</v>
      </c>
      <c r="B169" s="9">
        <f t="shared" si="77"/>
        <v>3</v>
      </c>
      <c r="C169">
        <f t="shared" si="78"/>
        <v>0</v>
      </c>
      <c r="D169" s="6">
        <f t="shared" si="73"/>
        <v>0</v>
      </c>
      <c r="O169" s="7">
        <v>39</v>
      </c>
      <c r="V169">
        <v>99</v>
      </c>
      <c r="W169" s="9">
        <f>SUMIFS(events!T:T,events!L:L,"=DeadIce",events!U:U,"&lt;="&amp;shifts!AH169,events!V:V,"&gt;"&amp;shifts!AI169,events!D:D,"="&amp;shifts!B170)+SUMIFS(events!T:T,events!L:L,"=Timeout",events!U:U,"&lt;="&amp;shifts!AH169,events!V:V,"&gt;"&amp;shifts!AI169,events!D:D,"="&amp;shifts!B170)</f>
        <v>0</v>
      </c>
      <c r="Y169" s="9" t="str">
        <f t="shared" si="69"/>
        <v/>
      </c>
      <c r="AA169" t="str">
        <f t="shared" si="70"/>
        <v/>
      </c>
      <c r="AC169" t="str">
        <f t="shared" si="71"/>
        <v/>
      </c>
      <c r="AE169">
        <f t="shared" si="74"/>
        <v>18977</v>
      </c>
      <c r="AF169" t="str">
        <f t="shared" si="75"/>
        <v>Velodrome</v>
      </c>
      <c r="AG169" t="str">
        <f t="shared" si="76"/>
        <v>HollowBrook</v>
      </c>
      <c r="AH169" s="6">
        <f t="shared" si="79"/>
        <v>0</v>
      </c>
      <c r="AI169" s="6">
        <f t="shared" si="80"/>
        <v>0</v>
      </c>
      <c r="AJ169" s="18">
        <f t="shared" si="61"/>
        <v>0</v>
      </c>
      <c r="AK169">
        <f t="shared" si="62"/>
        <v>0</v>
      </c>
      <c r="AL169">
        <f t="shared" si="63"/>
        <v>0</v>
      </c>
      <c r="AM169">
        <f t="shared" si="81"/>
        <v>0</v>
      </c>
      <c r="AN169">
        <f t="shared" si="82"/>
        <v>0</v>
      </c>
      <c r="AO169">
        <f t="shared" si="56"/>
        <v>0</v>
      </c>
      <c r="AP169">
        <f t="shared" si="64"/>
        <v>0</v>
      </c>
      <c r="AQ169">
        <f t="shared" si="65"/>
        <v>0</v>
      </c>
      <c r="AR169">
        <f t="shared" si="66"/>
        <v>0</v>
      </c>
      <c r="AS169" t="str">
        <f t="shared" si="67"/>
        <v/>
      </c>
      <c r="AT169" t="str">
        <f t="shared" si="68"/>
        <v>0v0</v>
      </c>
    </row>
    <row r="170" spans="1:46" x14ac:dyDescent="0.2">
      <c r="A170">
        <f t="shared" si="72"/>
        <v>169</v>
      </c>
      <c r="B170" s="9">
        <f t="shared" si="77"/>
        <v>3</v>
      </c>
      <c r="C170">
        <f t="shared" si="78"/>
        <v>0</v>
      </c>
      <c r="D170" s="6">
        <f t="shared" si="73"/>
        <v>0</v>
      </c>
      <c r="O170" s="7">
        <v>39</v>
      </c>
      <c r="V170">
        <v>99</v>
      </c>
      <c r="W170" s="9">
        <f>SUMIFS(events!T:T,events!L:L,"=DeadIce",events!U:U,"&lt;="&amp;shifts!AH170,events!V:V,"&gt;"&amp;shifts!AI170,events!D:D,"="&amp;shifts!B171)+SUMIFS(events!T:T,events!L:L,"=Timeout",events!U:U,"&lt;="&amp;shifts!AH170,events!V:V,"&gt;"&amp;shifts!AI170,events!D:D,"="&amp;shifts!B171)</f>
        <v>0</v>
      </c>
      <c r="Y170" s="9" t="str">
        <f t="shared" si="69"/>
        <v/>
      </c>
      <c r="AA170" t="str">
        <f t="shared" si="70"/>
        <v/>
      </c>
      <c r="AC170" t="str">
        <f t="shared" si="71"/>
        <v/>
      </c>
      <c r="AE170">
        <f t="shared" si="74"/>
        <v>18977</v>
      </c>
      <c r="AF170" t="str">
        <f t="shared" si="75"/>
        <v>Velodrome</v>
      </c>
      <c r="AG170" t="str">
        <f t="shared" si="76"/>
        <v>HollowBrook</v>
      </c>
      <c r="AH170" s="6">
        <f t="shared" si="79"/>
        <v>0</v>
      </c>
      <c r="AI170" s="6">
        <f t="shared" si="80"/>
        <v>0</v>
      </c>
      <c r="AJ170" s="18">
        <f t="shared" si="61"/>
        <v>0</v>
      </c>
      <c r="AK170">
        <f t="shared" si="62"/>
        <v>0</v>
      </c>
      <c r="AL170">
        <f t="shared" si="63"/>
        <v>0</v>
      </c>
      <c r="AM170">
        <f t="shared" si="81"/>
        <v>0</v>
      </c>
      <c r="AN170">
        <f t="shared" si="82"/>
        <v>0</v>
      </c>
      <c r="AO170">
        <f t="shared" si="56"/>
        <v>0</v>
      </c>
      <c r="AP170">
        <f t="shared" si="64"/>
        <v>0</v>
      </c>
      <c r="AQ170">
        <f t="shared" si="65"/>
        <v>0</v>
      </c>
      <c r="AR170">
        <f t="shared" si="66"/>
        <v>0</v>
      </c>
      <c r="AS170" t="str">
        <f t="shared" si="67"/>
        <v/>
      </c>
      <c r="AT170" t="str">
        <f t="shared" si="68"/>
        <v>0v0</v>
      </c>
    </row>
    <row r="171" spans="1:46" x14ac:dyDescent="0.2">
      <c r="A171">
        <f t="shared" si="72"/>
        <v>170</v>
      </c>
      <c r="B171" s="9">
        <f t="shared" si="77"/>
        <v>3</v>
      </c>
      <c r="C171">
        <f t="shared" si="78"/>
        <v>0</v>
      </c>
      <c r="D171" s="6">
        <f t="shared" si="73"/>
        <v>0</v>
      </c>
      <c r="O171" s="7">
        <v>39</v>
      </c>
      <c r="V171">
        <v>99</v>
      </c>
      <c r="W171" s="9">
        <f>SUMIFS(events!T:T,events!L:L,"=DeadIce",events!U:U,"&lt;="&amp;shifts!AH171,events!V:V,"&gt;"&amp;shifts!AI171,events!D:D,"="&amp;shifts!B172)+SUMIFS(events!T:T,events!L:L,"=Timeout",events!U:U,"&lt;="&amp;shifts!AH171,events!V:V,"&gt;"&amp;shifts!AI171,events!D:D,"="&amp;shifts!B172)</f>
        <v>0</v>
      </c>
      <c r="Y171" s="9" t="str">
        <f t="shared" si="69"/>
        <v/>
      </c>
      <c r="AA171" t="str">
        <f t="shared" si="70"/>
        <v/>
      </c>
      <c r="AC171" t="str">
        <f t="shared" si="71"/>
        <v/>
      </c>
      <c r="AE171">
        <f t="shared" si="74"/>
        <v>18977</v>
      </c>
      <c r="AF171" t="str">
        <f t="shared" si="75"/>
        <v>Velodrome</v>
      </c>
      <c r="AG171" t="str">
        <f t="shared" si="76"/>
        <v>HollowBrook</v>
      </c>
      <c r="AH171" s="6">
        <f t="shared" si="79"/>
        <v>0</v>
      </c>
      <c r="AI171" s="6">
        <f t="shared" si="80"/>
        <v>0</v>
      </c>
      <c r="AJ171" s="18">
        <f t="shared" si="61"/>
        <v>0</v>
      </c>
      <c r="AK171">
        <f t="shared" si="62"/>
        <v>0</v>
      </c>
      <c r="AL171">
        <f t="shared" si="63"/>
        <v>0</v>
      </c>
      <c r="AM171">
        <f t="shared" si="81"/>
        <v>0</v>
      </c>
      <c r="AN171">
        <f t="shared" si="82"/>
        <v>0</v>
      </c>
      <c r="AO171">
        <f t="shared" si="56"/>
        <v>0</v>
      </c>
      <c r="AP171">
        <f t="shared" si="64"/>
        <v>0</v>
      </c>
      <c r="AQ171">
        <f t="shared" si="65"/>
        <v>0</v>
      </c>
      <c r="AR171">
        <f t="shared" si="66"/>
        <v>0</v>
      </c>
      <c r="AS171" t="str">
        <f t="shared" si="67"/>
        <v/>
      </c>
      <c r="AT171" t="str">
        <f t="shared" si="68"/>
        <v>0v0</v>
      </c>
    </row>
    <row r="172" spans="1:46" x14ac:dyDescent="0.2">
      <c r="A172">
        <f t="shared" si="72"/>
        <v>171</v>
      </c>
      <c r="B172" s="9">
        <f t="shared" si="77"/>
        <v>3</v>
      </c>
      <c r="C172">
        <f t="shared" si="78"/>
        <v>0</v>
      </c>
      <c r="D172" s="6">
        <f t="shared" si="73"/>
        <v>0</v>
      </c>
      <c r="O172" s="7">
        <v>39</v>
      </c>
      <c r="V172">
        <v>99</v>
      </c>
      <c r="W172" s="9">
        <f>SUMIFS(events!T:T,events!L:L,"=DeadIce",events!U:U,"&lt;="&amp;shifts!AH172,events!V:V,"&gt;"&amp;shifts!AI172,events!D:D,"="&amp;shifts!B173)+SUMIFS(events!T:T,events!L:L,"=Timeout",events!U:U,"&lt;="&amp;shifts!AH172,events!V:V,"&gt;"&amp;shifts!AI172,events!D:D,"="&amp;shifts!B173)</f>
        <v>0</v>
      </c>
      <c r="Y172" s="9" t="str">
        <f t="shared" si="69"/>
        <v/>
      </c>
      <c r="AA172" t="str">
        <f t="shared" si="70"/>
        <v/>
      </c>
      <c r="AC172" t="str">
        <f t="shared" si="71"/>
        <v/>
      </c>
      <c r="AE172">
        <f t="shared" si="74"/>
        <v>18977</v>
      </c>
      <c r="AF172" t="str">
        <f t="shared" si="75"/>
        <v>Velodrome</v>
      </c>
      <c r="AG172" t="str">
        <f t="shared" si="76"/>
        <v>HollowBrook</v>
      </c>
      <c r="AH172" s="6">
        <f t="shared" si="79"/>
        <v>0</v>
      </c>
      <c r="AI172" s="6">
        <f t="shared" si="80"/>
        <v>0</v>
      </c>
      <c r="AJ172" s="18">
        <f t="shared" si="61"/>
        <v>0</v>
      </c>
      <c r="AK172">
        <f t="shared" si="62"/>
        <v>0</v>
      </c>
      <c r="AL172">
        <f t="shared" si="63"/>
        <v>0</v>
      </c>
      <c r="AM172">
        <f t="shared" si="81"/>
        <v>0</v>
      </c>
      <c r="AN172">
        <f t="shared" si="82"/>
        <v>0</v>
      </c>
      <c r="AO172">
        <f t="shared" si="56"/>
        <v>0</v>
      </c>
      <c r="AP172">
        <f t="shared" si="64"/>
        <v>0</v>
      </c>
      <c r="AQ172">
        <f t="shared" si="65"/>
        <v>0</v>
      </c>
      <c r="AR172">
        <f t="shared" si="66"/>
        <v>0</v>
      </c>
      <c r="AS172" t="str">
        <f t="shared" si="67"/>
        <v/>
      </c>
      <c r="AT172" t="str">
        <f t="shared" si="68"/>
        <v>0v0</v>
      </c>
    </row>
    <row r="173" spans="1:46" x14ac:dyDescent="0.2">
      <c r="A173">
        <f t="shared" si="72"/>
        <v>172</v>
      </c>
      <c r="B173" s="9">
        <f t="shared" si="77"/>
        <v>3</v>
      </c>
      <c r="C173">
        <f t="shared" si="78"/>
        <v>0</v>
      </c>
      <c r="D173" s="6">
        <f t="shared" si="73"/>
        <v>0</v>
      </c>
      <c r="O173" s="7">
        <v>39</v>
      </c>
      <c r="V173">
        <v>99</v>
      </c>
      <c r="W173" s="9">
        <f>SUMIFS(events!T:T,events!L:L,"=DeadIce",events!U:U,"&lt;="&amp;shifts!AH173,events!V:V,"&gt;"&amp;shifts!AI173,events!D:D,"="&amp;shifts!B174)+SUMIFS(events!T:T,events!L:L,"=Timeout",events!U:U,"&lt;="&amp;shifts!AH173,events!V:V,"&gt;"&amp;shifts!AI173,events!D:D,"="&amp;shifts!B174)</f>
        <v>0</v>
      </c>
      <c r="Y173" s="9" t="str">
        <f t="shared" si="69"/>
        <v/>
      </c>
      <c r="AA173" t="str">
        <f t="shared" si="70"/>
        <v/>
      </c>
      <c r="AC173" t="str">
        <f t="shared" si="71"/>
        <v/>
      </c>
      <c r="AE173">
        <f t="shared" si="74"/>
        <v>18977</v>
      </c>
      <c r="AF173" t="str">
        <f t="shared" si="75"/>
        <v>Velodrome</v>
      </c>
      <c r="AG173" t="str">
        <f t="shared" si="76"/>
        <v>HollowBrook</v>
      </c>
      <c r="AH173" s="6">
        <f t="shared" si="79"/>
        <v>0</v>
      </c>
      <c r="AI173" s="6">
        <f t="shared" si="80"/>
        <v>0</v>
      </c>
      <c r="AJ173" s="18">
        <f t="shared" si="61"/>
        <v>0</v>
      </c>
      <c r="AK173">
        <f t="shared" si="62"/>
        <v>0</v>
      </c>
      <c r="AL173">
        <f t="shared" si="63"/>
        <v>0</v>
      </c>
      <c r="AM173">
        <f t="shared" si="81"/>
        <v>0</v>
      </c>
      <c r="AN173">
        <f t="shared" si="82"/>
        <v>0</v>
      </c>
      <c r="AO173">
        <f t="shared" si="56"/>
        <v>0</v>
      </c>
      <c r="AP173">
        <f t="shared" si="64"/>
        <v>0</v>
      </c>
      <c r="AQ173">
        <f t="shared" si="65"/>
        <v>0</v>
      </c>
      <c r="AR173">
        <f t="shared" si="66"/>
        <v>0</v>
      </c>
      <c r="AS173" t="str">
        <f t="shared" si="67"/>
        <v/>
      </c>
      <c r="AT173" t="str">
        <f t="shared" si="68"/>
        <v>0v0</v>
      </c>
    </row>
    <row r="174" spans="1:46" x14ac:dyDescent="0.2">
      <c r="A174">
        <f t="shared" si="72"/>
        <v>173</v>
      </c>
      <c r="B174" s="9">
        <f t="shared" si="77"/>
        <v>3</v>
      </c>
      <c r="C174">
        <f t="shared" si="78"/>
        <v>0</v>
      </c>
      <c r="D174" s="6">
        <f t="shared" si="73"/>
        <v>0</v>
      </c>
      <c r="O174" s="7">
        <v>39</v>
      </c>
      <c r="V174">
        <v>99</v>
      </c>
      <c r="W174" s="9">
        <f>SUMIFS(events!T:T,events!L:L,"=DeadIce",events!U:U,"&lt;="&amp;shifts!AH174,events!V:V,"&gt;"&amp;shifts!AI174,events!D:D,"="&amp;shifts!B175)+SUMIFS(events!T:T,events!L:L,"=Timeout",events!U:U,"&lt;="&amp;shifts!AH174,events!V:V,"&gt;"&amp;shifts!AI174,events!D:D,"="&amp;shifts!B175)</f>
        <v>0</v>
      </c>
      <c r="Y174" s="9" t="str">
        <f t="shared" si="69"/>
        <v/>
      </c>
      <c r="AA174" t="str">
        <f t="shared" si="70"/>
        <v/>
      </c>
      <c r="AC174" t="str">
        <f t="shared" si="71"/>
        <v/>
      </c>
      <c r="AE174">
        <f t="shared" si="74"/>
        <v>18977</v>
      </c>
      <c r="AF174" t="str">
        <f t="shared" si="75"/>
        <v>Velodrome</v>
      </c>
      <c r="AG174" t="str">
        <f t="shared" si="76"/>
        <v>HollowBrook</v>
      </c>
      <c r="AH174" s="6">
        <f t="shared" si="79"/>
        <v>0</v>
      </c>
      <c r="AI174" s="6">
        <f t="shared" si="80"/>
        <v>0</v>
      </c>
      <c r="AJ174" s="18">
        <f t="shared" si="61"/>
        <v>0</v>
      </c>
      <c r="AK174">
        <f t="shared" si="62"/>
        <v>0</v>
      </c>
      <c r="AL174">
        <f t="shared" si="63"/>
        <v>0</v>
      </c>
      <c r="AM174">
        <f t="shared" si="81"/>
        <v>0</v>
      </c>
      <c r="AN174">
        <f t="shared" si="82"/>
        <v>0</v>
      </c>
      <c r="AO174">
        <f t="shared" si="56"/>
        <v>0</v>
      </c>
      <c r="AP174">
        <f t="shared" si="64"/>
        <v>0</v>
      </c>
      <c r="AQ174">
        <f t="shared" si="65"/>
        <v>0</v>
      </c>
      <c r="AR174">
        <f t="shared" si="66"/>
        <v>0</v>
      </c>
      <c r="AS174" t="str">
        <f t="shared" si="67"/>
        <v/>
      </c>
      <c r="AT174" t="str">
        <f t="shared" si="68"/>
        <v>0v0</v>
      </c>
    </row>
    <row r="175" spans="1:46" x14ac:dyDescent="0.2">
      <c r="A175">
        <f t="shared" si="72"/>
        <v>174</v>
      </c>
      <c r="B175" s="9">
        <f t="shared" si="77"/>
        <v>3</v>
      </c>
      <c r="C175">
        <f t="shared" si="78"/>
        <v>0</v>
      </c>
      <c r="D175" s="6">
        <f t="shared" si="73"/>
        <v>0</v>
      </c>
      <c r="O175" s="7">
        <v>39</v>
      </c>
      <c r="V175">
        <v>99</v>
      </c>
      <c r="W175" s="9">
        <f>SUMIFS(events!T:T,events!L:L,"=DeadIce",events!U:U,"&lt;="&amp;shifts!AH175,events!V:V,"&gt;"&amp;shifts!AI175,events!D:D,"="&amp;shifts!B176)+SUMIFS(events!T:T,events!L:L,"=Timeout",events!U:U,"&lt;="&amp;shifts!AH175,events!V:V,"&gt;"&amp;shifts!AI175,events!D:D,"="&amp;shifts!B176)</f>
        <v>0</v>
      </c>
      <c r="Y175" s="9" t="str">
        <f t="shared" si="69"/>
        <v/>
      </c>
      <c r="AA175" t="str">
        <f t="shared" si="70"/>
        <v/>
      </c>
      <c r="AC175" t="str">
        <f t="shared" si="71"/>
        <v/>
      </c>
      <c r="AE175">
        <f t="shared" si="74"/>
        <v>18977</v>
      </c>
      <c r="AF175" t="str">
        <f t="shared" si="75"/>
        <v>Velodrome</v>
      </c>
      <c r="AG175" t="str">
        <f t="shared" si="76"/>
        <v>HollowBrook</v>
      </c>
      <c r="AH175" s="6">
        <f t="shared" si="79"/>
        <v>0</v>
      </c>
      <c r="AI175" s="6">
        <f t="shared" si="80"/>
        <v>0</v>
      </c>
      <c r="AJ175" s="18">
        <f t="shared" si="61"/>
        <v>0</v>
      </c>
      <c r="AK175">
        <f t="shared" si="62"/>
        <v>0</v>
      </c>
      <c r="AL175">
        <f t="shared" si="63"/>
        <v>0</v>
      </c>
      <c r="AM175">
        <f t="shared" si="81"/>
        <v>0</v>
      </c>
      <c r="AN175">
        <f t="shared" si="82"/>
        <v>0</v>
      </c>
      <c r="AO175">
        <f t="shared" si="56"/>
        <v>0</v>
      </c>
      <c r="AP175">
        <f t="shared" si="64"/>
        <v>0</v>
      </c>
      <c r="AQ175">
        <f t="shared" si="65"/>
        <v>0</v>
      </c>
      <c r="AR175">
        <f t="shared" si="66"/>
        <v>0</v>
      </c>
      <c r="AS175" t="str">
        <f t="shared" si="67"/>
        <v/>
      </c>
      <c r="AT175" t="str">
        <f t="shared" si="68"/>
        <v>0v0</v>
      </c>
    </row>
    <row r="176" spans="1:46" x14ac:dyDescent="0.2">
      <c r="A176">
        <f t="shared" si="72"/>
        <v>175</v>
      </c>
      <c r="B176" s="9">
        <f t="shared" si="77"/>
        <v>3</v>
      </c>
      <c r="C176">
        <f t="shared" si="78"/>
        <v>0</v>
      </c>
      <c r="D176" s="6">
        <f t="shared" si="73"/>
        <v>0</v>
      </c>
      <c r="O176" s="7">
        <v>39</v>
      </c>
      <c r="V176">
        <v>99</v>
      </c>
      <c r="W176" s="9">
        <f>SUMIFS(events!T:T,events!L:L,"=DeadIce",events!U:U,"&lt;="&amp;shifts!AH176,events!V:V,"&gt;"&amp;shifts!AI176,events!D:D,"="&amp;shifts!B177)+SUMIFS(events!T:T,events!L:L,"=Timeout",events!U:U,"&lt;="&amp;shifts!AH176,events!V:V,"&gt;"&amp;shifts!AI176,events!D:D,"="&amp;shifts!B177)</f>
        <v>0</v>
      </c>
      <c r="Y176" s="9" t="str">
        <f t="shared" si="69"/>
        <v/>
      </c>
      <c r="AA176" t="str">
        <f t="shared" si="70"/>
        <v/>
      </c>
      <c r="AC176" t="str">
        <f t="shared" si="71"/>
        <v/>
      </c>
      <c r="AE176">
        <f t="shared" si="74"/>
        <v>18977</v>
      </c>
      <c r="AF176" t="str">
        <f t="shared" si="75"/>
        <v>Velodrome</v>
      </c>
      <c r="AG176" t="str">
        <f t="shared" si="76"/>
        <v>HollowBrook</v>
      </c>
      <c r="AH176" s="6">
        <f t="shared" si="79"/>
        <v>0</v>
      </c>
      <c r="AI176" s="6">
        <f t="shared" si="80"/>
        <v>0</v>
      </c>
      <c r="AJ176" s="18">
        <f t="shared" si="61"/>
        <v>0</v>
      </c>
      <c r="AK176">
        <f t="shared" si="62"/>
        <v>0</v>
      </c>
      <c r="AL176">
        <f t="shared" si="63"/>
        <v>0</v>
      </c>
      <c r="AM176">
        <f t="shared" si="81"/>
        <v>0</v>
      </c>
      <c r="AN176">
        <f t="shared" si="82"/>
        <v>0</v>
      </c>
      <c r="AO176">
        <f t="shared" si="56"/>
        <v>0</v>
      </c>
      <c r="AP176">
        <f t="shared" si="64"/>
        <v>0</v>
      </c>
      <c r="AQ176">
        <f t="shared" si="65"/>
        <v>0</v>
      </c>
      <c r="AR176">
        <f t="shared" si="66"/>
        <v>0</v>
      </c>
      <c r="AS176" t="str">
        <f t="shared" si="67"/>
        <v/>
      </c>
      <c r="AT176" t="str">
        <f t="shared" si="68"/>
        <v>0v0</v>
      </c>
    </row>
    <row r="177" spans="1:46" x14ac:dyDescent="0.2">
      <c r="A177">
        <f t="shared" si="72"/>
        <v>176</v>
      </c>
      <c r="B177" s="9">
        <f t="shared" si="77"/>
        <v>3</v>
      </c>
      <c r="C177">
        <f t="shared" si="78"/>
        <v>0</v>
      </c>
      <c r="D177" s="6">
        <f t="shared" si="73"/>
        <v>0</v>
      </c>
      <c r="O177" s="7">
        <v>39</v>
      </c>
      <c r="V177">
        <v>99</v>
      </c>
      <c r="W177" s="9">
        <f>SUMIFS(events!T:T,events!L:L,"=DeadIce",events!U:U,"&lt;="&amp;shifts!AH177,events!V:V,"&gt;"&amp;shifts!AI177,events!D:D,"="&amp;shifts!B178)+SUMIFS(events!T:T,events!L:L,"=Timeout",events!U:U,"&lt;="&amp;shifts!AH177,events!V:V,"&gt;"&amp;shifts!AI177,events!D:D,"="&amp;shifts!B178)</f>
        <v>0</v>
      </c>
      <c r="Y177" s="9" t="str">
        <f t="shared" si="69"/>
        <v/>
      </c>
      <c r="AA177" t="str">
        <f t="shared" si="70"/>
        <v/>
      </c>
      <c r="AC177" t="str">
        <f t="shared" si="71"/>
        <v/>
      </c>
      <c r="AE177">
        <f t="shared" si="74"/>
        <v>18977</v>
      </c>
      <c r="AF177" t="str">
        <f t="shared" si="75"/>
        <v>Velodrome</v>
      </c>
      <c r="AG177" t="str">
        <f t="shared" si="76"/>
        <v>HollowBrook</v>
      </c>
      <c r="AH177" s="6">
        <f t="shared" si="79"/>
        <v>0</v>
      </c>
      <c r="AI177" s="6">
        <f t="shared" si="80"/>
        <v>0</v>
      </c>
      <c r="AJ177" s="18">
        <f t="shared" si="61"/>
        <v>0</v>
      </c>
      <c r="AK177">
        <f t="shared" si="62"/>
        <v>0</v>
      </c>
      <c r="AL177">
        <f t="shared" si="63"/>
        <v>0</v>
      </c>
      <c r="AM177">
        <f t="shared" si="81"/>
        <v>0</v>
      </c>
      <c r="AN177">
        <f t="shared" si="82"/>
        <v>0</v>
      </c>
      <c r="AO177">
        <f t="shared" si="56"/>
        <v>0</v>
      </c>
      <c r="AP177">
        <f t="shared" si="64"/>
        <v>0</v>
      </c>
      <c r="AQ177">
        <f t="shared" si="65"/>
        <v>0</v>
      </c>
      <c r="AR177">
        <f t="shared" si="66"/>
        <v>0</v>
      </c>
      <c r="AS177" t="str">
        <f t="shared" si="67"/>
        <v/>
      </c>
      <c r="AT177" t="str">
        <f t="shared" si="68"/>
        <v>0v0</v>
      </c>
    </row>
    <row r="178" spans="1:46" x14ac:dyDescent="0.2">
      <c r="A178">
        <f t="shared" si="72"/>
        <v>177</v>
      </c>
      <c r="B178" s="9">
        <f t="shared" si="77"/>
        <v>3</v>
      </c>
      <c r="C178">
        <f t="shared" si="78"/>
        <v>0</v>
      </c>
      <c r="D178" s="6">
        <f t="shared" si="73"/>
        <v>0</v>
      </c>
      <c r="O178" s="7">
        <v>39</v>
      </c>
      <c r="V178">
        <v>99</v>
      </c>
      <c r="W178" s="9">
        <f>SUMIFS(events!T:T,events!L:L,"=DeadIce",events!U:U,"&lt;="&amp;shifts!AH178,events!V:V,"&gt;"&amp;shifts!AI178,events!D:D,"="&amp;shifts!B179)+SUMIFS(events!T:T,events!L:L,"=Timeout",events!U:U,"&lt;="&amp;shifts!AH178,events!V:V,"&gt;"&amp;shifts!AI178,events!D:D,"="&amp;shifts!B179)</f>
        <v>0</v>
      </c>
      <c r="Y178" s="9" t="str">
        <f t="shared" si="69"/>
        <v/>
      </c>
      <c r="AA178" t="str">
        <f t="shared" si="70"/>
        <v/>
      </c>
      <c r="AC178" t="str">
        <f t="shared" si="71"/>
        <v/>
      </c>
      <c r="AE178">
        <f t="shared" si="74"/>
        <v>18977</v>
      </c>
      <c r="AF178" t="str">
        <f t="shared" si="75"/>
        <v>Velodrome</v>
      </c>
      <c r="AG178" t="str">
        <f t="shared" si="76"/>
        <v>HollowBrook</v>
      </c>
      <c r="AH178" s="6">
        <f t="shared" si="79"/>
        <v>0</v>
      </c>
      <c r="AI178" s="6">
        <f t="shared" si="80"/>
        <v>0</v>
      </c>
      <c r="AJ178" s="18">
        <f t="shared" si="61"/>
        <v>0</v>
      </c>
      <c r="AK178">
        <f t="shared" si="62"/>
        <v>0</v>
      </c>
      <c r="AL178">
        <f t="shared" si="63"/>
        <v>0</v>
      </c>
      <c r="AM178">
        <f t="shared" si="81"/>
        <v>0</v>
      </c>
      <c r="AN178">
        <f t="shared" si="82"/>
        <v>0</v>
      </c>
      <c r="AO178">
        <f t="shared" si="56"/>
        <v>0</v>
      </c>
      <c r="AP178">
        <f t="shared" si="64"/>
        <v>0</v>
      </c>
      <c r="AQ178">
        <f t="shared" si="65"/>
        <v>0</v>
      </c>
      <c r="AR178">
        <f t="shared" si="66"/>
        <v>0</v>
      </c>
      <c r="AS178" t="str">
        <f t="shared" si="67"/>
        <v/>
      </c>
      <c r="AT178" t="str">
        <f t="shared" si="68"/>
        <v>0v0</v>
      </c>
    </row>
    <row r="179" spans="1:46" x14ac:dyDescent="0.2">
      <c r="A179">
        <f t="shared" si="72"/>
        <v>178</v>
      </c>
      <c r="B179" s="9">
        <f t="shared" si="77"/>
        <v>3</v>
      </c>
      <c r="C179">
        <f t="shared" si="78"/>
        <v>0</v>
      </c>
      <c r="D179" s="6">
        <f t="shared" si="73"/>
        <v>0</v>
      </c>
      <c r="O179" s="7">
        <v>39</v>
      </c>
      <c r="V179">
        <v>99</v>
      </c>
      <c r="W179" s="9">
        <f>SUMIFS(events!T:T,events!L:L,"=DeadIce",events!U:U,"&lt;="&amp;shifts!AH179,events!V:V,"&gt;"&amp;shifts!AI179,events!D:D,"="&amp;shifts!B180)+SUMIFS(events!T:T,events!L:L,"=Timeout",events!U:U,"&lt;="&amp;shifts!AH179,events!V:V,"&gt;"&amp;shifts!AI179,events!D:D,"="&amp;shifts!B180)</f>
        <v>0</v>
      </c>
      <c r="Y179" s="9" t="str">
        <f t="shared" si="69"/>
        <v/>
      </c>
      <c r="AA179" t="str">
        <f t="shared" si="70"/>
        <v/>
      </c>
      <c r="AC179" t="str">
        <f t="shared" si="71"/>
        <v/>
      </c>
      <c r="AE179">
        <f t="shared" si="74"/>
        <v>18977</v>
      </c>
      <c r="AF179" t="str">
        <f t="shared" si="75"/>
        <v>Velodrome</v>
      </c>
      <c r="AG179" t="str">
        <f t="shared" si="76"/>
        <v>HollowBrook</v>
      </c>
      <c r="AH179" s="6">
        <f t="shared" si="79"/>
        <v>0</v>
      </c>
      <c r="AI179" s="6">
        <f t="shared" si="80"/>
        <v>0</v>
      </c>
      <c r="AJ179" s="18">
        <f t="shared" si="61"/>
        <v>0</v>
      </c>
      <c r="AK179">
        <f t="shared" si="62"/>
        <v>0</v>
      </c>
      <c r="AL179">
        <f t="shared" si="63"/>
        <v>0</v>
      </c>
      <c r="AM179">
        <f t="shared" si="81"/>
        <v>0</v>
      </c>
      <c r="AN179">
        <f t="shared" si="82"/>
        <v>0</v>
      </c>
      <c r="AO179">
        <f t="shared" si="56"/>
        <v>0</v>
      </c>
      <c r="AP179">
        <f t="shared" si="64"/>
        <v>0</v>
      </c>
      <c r="AQ179">
        <f t="shared" si="65"/>
        <v>0</v>
      </c>
      <c r="AR179">
        <f t="shared" si="66"/>
        <v>0</v>
      </c>
      <c r="AS179" t="str">
        <f t="shared" si="67"/>
        <v/>
      </c>
      <c r="AT179" t="str">
        <f t="shared" si="68"/>
        <v>0v0</v>
      </c>
    </row>
    <row r="180" spans="1:46" x14ac:dyDescent="0.2">
      <c r="A180">
        <f t="shared" si="72"/>
        <v>179</v>
      </c>
      <c r="B180" s="9">
        <f t="shared" si="77"/>
        <v>3</v>
      </c>
      <c r="C180">
        <f t="shared" si="78"/>
        <v>0</v>
      </c>
      <c r="D180" s="6">
        <f t="shared" si="73"/>
        <v>0</v>
      </c>
      <c r="O180" s="7">
        <v>39</v>
      </c>
      <c r="V180">
        <v>99</v>
      </c>
      <c r="W180" s="9">
        <f>SUMIFS(events!T:T,events!L:L,"=DeadIce",events!U:U,"&lt;="&amp;shifts!AH180,events!V:V,"&gt;"&amp;shifts!AI180,events!D:D,"="&amp;shifts!B181)+SUMIFS(events!T:T,events!L:L,"=Timeout",events!U:U,"&lt;="&amp;shifts!AH180,events!V:V,"&gt;"&amp;shifts!AI180,events!D:D,"="&amp;shifts!B181)</f>
        <v>0</v>
      </c>
      <c r="Y180" s="9" t="str">
        <f t="shared" si="69"/>
        <v/>
      </c>
      <c r="AA180" t="str">
        <f t="shared" si="70"/>
        <v/>
      </c>
      <c r="AC180" t="str">
        <f t="shared" si="71"/>
        <v/>
      </c>
      <c r="AE180">
        <f t="shared" si="74"/>
        <v>18977</v>
      </c>
      <c r="AF180" t="str">
        <f t="shared" si="75"/>
        <v>Velodrome</v>
      </c>
      <c r="AG180" t="str">
        <f t="shared" si="76"/>
        <v>HollowBrook</v>
      </c>
      <c r="AH180" s="6">
        <f t="shared" si="79"/>
        <v>0</v>
      </c>
      <c r="AI180" s="6">
        <f t="shared" si="80"/>
        <v>0</v>
      </c>
      <c r="AJ180" s="18">
        <f t="shared" si="61"/>
        <v>0</v>
      </c>
      <c r="AK180">
        <f t="shared" si="62"/>
        <v>0</v>
      </c>
      <c r="AL180">
        <f t="shared" si="63"/>
        <v>0</v>
      </c>
      <c r="AM180">
        <f t="shared" si="81"/>
        <v>0</v>
      </c>
      <c r="AN180">
        <f t="shared" si="82"/>
        <v>0</v>
      </c>
      <c r="AO180">
        <f t="shared" si="56"/>
        <v>0</v>
      </c>
      <c r="AP180">
        <f t="shared" si="64"/>
        <v>0</v>
      </c>
      <c r="AQ180">
        <f t="shared" si="65"/>
        <v>0</v>
      </c>
      <c r="AR180">
        <f t="shared" si="66"/>
        <v>0</v>
      </c>
      <c r="AS180" t="str">
        <f t="shared" si="67"/>
        <v/>
      </c>
      <c r="AT180" t="str">
        <f t="shared" si="68"/>
        <v>0v0</v>
      </c>
    </row>
    <row r="181" spans="1:46" x14ac:dyDescent="0.2">
      <c r="A181">
        <f t="shared" si="72"/>
        <v>180</v>
      </c>
      <c r="B181" s="9">
        <f t="shared" si="77"/>
        <v>3</v>
      </c>
      <c r="C181">
        <f t="shared" si="78"/>
        <v>0</v>
      </c>
      <c r="D181" s="6">
        <f t="shared" si="73"/>
        <v>0</v>
      </c>
      <c r="O181" s="7">
        <v>39</v>
      </c>
      <c r="V181">
        <v>99</v>
      </c>
      <c r="W181" s="9">
        <f>SUMIFS(events!T:T,events!L:L,"=DeadIce",events!U:U,"&lt;="&amp;shifts!AH181,events!V:V,"&gt;"&amp;shifts!AI181,events!D:D,"="&amp;shifts!B182)+SUMIFS(events!T:T,events!L:L,"=Timeout",events!U:U,"&lt;="&amp;shifts!AH181,events!V:V,"&gt;"&amp;shifts!AI181,events!D:D,"="&amp;shifts!B182)</f>
        <v>0</v>
      </c>
      <c r="Y181" s="9" t="str">
        <f t="shared" si="69"/>
        <v/>
      </c>
      <c r="AA181" t="str">
        <f t="shared" si="70"/>
        <v/>
      </c>
      <c r="AC181" t="str">
        <f t="shared" si="71"/>
        <v/>
      </c>
      <c r="AE181">
        <f t="shared" si="74"/>
        <v>18977</v>
      </c>
      <c r="AF181" t="str">
        <f t="shared" si="75"/>
        <v>Velodrome</v>
      </c>
      <c r="AG181" t="str">
        <f t="shared" si="76"/>
        <v>HollowBrook</v>
      </c>
      <c r="AH181" s="6">
        <f t="shared" si="79"/>
        <v>0</v>
      </c>
      <c r="AI181" s="6">
        <f t="shared" si="80"/>
        <v>0</v>
      </c>
      <c r="AJ181" s="18">
        <f t="shared" si="61"/>
        <v>0</v>
      </c>
      <c r="AK181">
        <f t="shared" si="62"/>
        <v>0</v>
      </c>
      <c r="AL181">
        <f t="shared" si="63"/>
        <v>0</v>
      </c>
      <c r="AM181">
        <f t="shared" si="81"/>
        <v>0</v>
      </c>
      <c r="AN181">
        <f t="shared" si="82"/>
        <v>0</v>
      </c>
      <c r="AO181">
        <f t="shared" si="56"/>
        <v>0</v>
      </c>
      <c r="AP181">
        <f t="shared" si="64"/>
        <v>0</v>
      </c>
      <c r="AQ181">
        <f t="shared" si="65"/>
        <v>0</v>
      </c>
      <c r="AR181">
        <f t="shared" si="66"/>
        <v>0</v>
      </c>
      <c r="AS181" t="str">
        <f t="shared" si="67"/>
        <v/>
      </c>
      <c r="AT181" t="str">
        <f t="shared" si="68"/>
        <v>0v0</v>
      </c>
    </row>
    <row r="182" spans="1:46" x14ac:dyDescent="0.2">
      <c r="A182">
        <f t="shared" si="72"/>
        <v>181</v>
      </c>
      <c r="B182" s="9">
        <f t="shared" si="77"/>
        <v>3</v>
      </c>
      <c r="C182">
        <f t="shared" si="78"/>
        <v>0</v>
      </c>
      <c r="D182" s="6">
        <f t="shared" si="73"/>
        <v>0</v>
      </c>
      <c r="O182" s="7">
        <v>39</v>
      </c>
      <c r="V182">
        <v>99</v>
      </c>
      <c r="W182" s="9">
        <f>SUMIFS(events!T:T,events!L:L,"=DeadIce",events!U:U,"&lt;="&amp;shifts!AH182,events!V:V,"&gt;"&amp;shifts!AI182,events!D:D,"="&amp;shifts!B183)+SUMIFS(events!T:T,events!L:L,"=Timeout",events!U:U,"&lt;="&amp;shifts!AH182,events!V:V,"&gt;"&amp;shifts!AI182,events!D:D,"="&amp;shifts!B183)</f>
        <v>0</v>
      </c>
      <c r="Y182" s="9" t="str">
        <f t="shared" si="69"/>
        <v/>
      </c>
      <c r="AA182" t="str">
        <f t="shared" si="70"/>
        <v/>
      </c>
      <c r="AC182" t="str">
        <f t="shared" si="71"/>
        <v/>
      </c>
      <c r="AE182">
        <f t="shared" si="74"/>
        <v>18977</v>
      </c>
      <c r="AF182" t="str">
        <f t="shared" si="75"/>
        <v>Velodrome</v>
      </c>
      <c r="AG182" t="str">
        <f t="shared" si="76"/>
        <v>HollowBrook</v>
      </c>
      <c r="AH182" s="6">
        <f t="shared" si="79"/>
        <v>0</v>
      </c>
      <c r="AI182" s="6">
        <f t="shared" si="80"/>
        <v>0</v>
      </c>
      <c r="AJ182" s="18">
        <f t="shared" si="61"/>
        <v>0</v>
      </c>
      <c r="AK182">
        <f t="shared" si="62"/>
        <v>0</v>
      </c>
      <c r="AL182">
        <f t="shared" si="63"/>
        <v>0</v>
      </c>
      <c r="AM182">
        <f t="shared" si="81"/>
        <v>0</v>
      </c>
      <c r="AN182">
        <f t="shared" si="82"/>
        <v>0</v>
      </c>
      <c r="AO182">
        <f t="shared" si="56"/>
        <v>0</v>
      </c>
      <c r="AP182">
        <f t="shared" si="64"/>
        <v>0</v>
      </c>
      <c r="AQ182">
        <f t="shared" si="65"/>
        <v>0</v>
      </c>
      <c r="AR182">
        <f t="shared" si="66"/>
        <v>0</v>
      </c>
      <c r="AS182" t="str">
        <f t="shared" si="67"/>
        <v/>
      </c>
      <c r="AT182" t="str">
        <f t="shared" si="68"/>
        <v>0v0</v>
      </c>
    </row>
    <row r="183" spans="1:46" x14ac:dyDescent="0.2">
      <c r="A183">
        <f t="shared" si="72"/>
        <v>182</v>
      </c>
      <c r="B183" s="9">
        <f t="shared" si="77"/>
        <v>3</v>
      </c>
      <c r="C183">
        <f t="shared" si="78"/>
        <v>0</v>
      </c>
      <c r="D183" s="6">
        <f t="shared" si="73"/>
        <v>0</v>
      </c>
      <c r="O183" s="7">
        <v>39</v>
      </c>
      <c r="V183">
        <v>99</v>
      </c>
      <c r="W183" s="9">
        <f>SUMIFS(events!T:T,events!L:L,"=DeadIce",events!U:U,"&lt;="&amp;shifts!AH183,events!V:V,"&gt;"&amp;shifts!AI183,events!D:D,"="&amp;shifts!B184)+SUMIFS(events!T:T,events!L:L,"=Timeout",events!U:U,"&lt;="&amp;shifts!AH183,events!V:V,"&gt;"&amp;shifts!AI183,events!D:D,"="&amp;shifts!B184)</f>
        <v>0</v>
      </c>
      <c r="Y183" s="9" t="str">
        <f t="shared" si="69"/>
        <v/>
      </c>
      <c r="AA183" t="str">
        <f t="shared" si="70"/>
        <v/>
      </c>
      <c r="AC183" t="str">
        <f t="shared" si="71"/>
        <v/>
      </c>
      <c r="AE183">
        <f t="shared" si="74"/>
        <v>18977</v>
      </c>
      <c r="AF183" t="str">
        <f t="shared" si="75"/>
        <v>Velodrome</v>
      </c>
      <c r="AG183" t="str">
        <f t="shared" si="76"/>
        <v>HollowBrook</v>
      </c>
      <c r="AH183" s="6">
        <f t="shared" si="79"/>
        <v>0</v>
      </c>
      <c r="AI183" s="6">
        <f t="shared" si="80"/>
        <v>0</v>
      </c>
      <c r="AJ183" s="18">
        <f t="shared" si="61"/>
        <v>0</v>
      </c>
      <c r="AK183">
        <f t="shared" si="62"/>
        <v>0</v>
      </c>
      <c r="AL183">
        <f t="shared" si="63"/>
        <v>0</v>
      </c>
      <c r="AM183">
        <f t="shared" si="81"/>
        <v>0</v>
      </c>
      <c r="AN183">
        <f t="shared" si="82"/>
        <v>0</v>
      </c>
      <c r="AO183">
        <f t="shared" si="56"/>
        <v>0</v>
      </c>
      <c r="AP183">
        <f t="shared" si="64"/>
        <v>0</v>
      </c>
      <c r="AQ183">
        <f t="shared" si="65"/>
        <v>0</v>
      </c>
      <c r="AR183">
        <f t="shared" si="66"/>
        <v>0</v>
      </c>
      <c r="AS183" t="str">
        <f t="shared" si="67"/>
        <v/>
      </c>
      <c r="AT183" t="str">
        <f t="shared" si="68"/>
        <v>0v0</v>
      </c>
    </row>
    <row r="184" spans="1:46" x14ac:dyDescent="0.2">
      <c r="A184">
        <f t="shared" si="72"/>
        <v>183</v>
      </c>
      <c r="B184" s="9">
        <f t="shared" si="77"/>
        <v>3</v>
      </c>
      <c r="C184">
        <f t="shared" si="78"/>
        <v>0</v>
      </c>
      <c r="D184" s="6">
        <f t="shared" si="73"/>
        <v>0</v>
      </c>
      <c r="O184" s="7">
        <v>39</v>
      </c>
      <c r="V184">
        <v>99</v>
      </c>
      <c r="W184" s="9">
        <f>SUMIFS(events!T:T,events!L:L,"=DeadIce",events!U:U,"&lt;="&amp;shifts!AH184,events!V:V,"&gt;"&amp;shifts!AI184,events!D:D,"="&amp;shifts!B185)+SUMIFS(events!T:T,events!L:L,"=Timeout",events!U:U,"&lt;="&amp;shifts!AH184,events!V:V,"&gt;"&amp;shifts!AI184,events!D:D,"="&amp;shifts!B185)</f>
        <v>0</v>
      </c>
      <c r="Y184" s="9" t="str">
        <f t="shared" si="69"/>
        <v/>
      </c>
      <c r="AA184" t="str">
        <f t="shared" si="70"/>
        <v/>
      </c>
      <c r="AC184" t="str">
        <f t="shared" si="71"/>
        <v/>
      </c>
      <c r="AE184">
        <f t="shared" si="74"/>
        <v>18977</v>
      </c>
      <c r="AF184" t="str">
        <f t="shared" si="75"/>
        <v>Velodrome</v>
      </c>
      <c r="AG184" t="str">
        <f t="shared" si="76"/>
        <v>HollowBrook</v>
      </c>
      <c r="AH184" s="6">
        <f t="shared" si="79"/>
        <v>0</v>
      </c>
      <c r="AI184" s="6">
        <f t="shared" si="80"/>
        <v>0</v>
      </c>
      <c r="AJ184" s="18">
        <f t="shared" si="61"/>
        <v>0</v>
      </c>
      <c r="AK184">
        <f t="shared" si="62"/>
        <v>0</v>
      </c>
      <c r="AL184">
        <f t="shared" si="63"/>
        <v>0</v>
      </c>
      <c r="AM184">
        <f t="shared" si="81"/>
        <v>0</v>
      </c>
      <c r="AN184">
        <f t="shared" si="82"/>
        <v>0</v>
      </c>
      <c r="AO184">
        <f t="shared" si="56"/>
        <v>0</v>
      </c>
      <c r="AP184">
        <f t="shared" si="64"/>
        <v>0</v>
      </c>
      <c r="AQ184">
        <f t="shared" si="65"/>
        <v>0</v>
      </c>
      <c r="AR184">
        <f t="shared" si="66"/>
        <v>0</v>
      </c>
      <c r="AS184" t="str">
        <f t="shared" si="67"/>
        <v/>
      </c>
      <c r="AT184" t="str">
        <f t="shared" si="68"/>
        <v>0v0</v>
      </c>
    </row>
    <row r="185" spans="1:46" x14ac:dyDescent="0.2">
      <c r="A185">
        <f t="shared" si="72"/>
        <v>184</v>
      </c>
      <c r="B185" s="9">
        <f t="shared" si="77"/>
        <v>3</v>
      </c>
      <c r="C185">
        <f t="shared" si="78"/>
        <v>0</v>
      </c>
      <c r="D185" s="6">
        <f t="shared" si="73"/>
        <v>0</v>
      </c>
      <c r="O185" s="7">
        <v>39</v>
      </c>
      <c r="V185">
        <v>99</v>
      </c>
      <c r="W185" s="9">
        <f>SUMIFS(events!T:T,events!L:L,"=DeadIce",events!U:U,"&lt;="&amp;shifts!AH185,events!V:V,"&gt;"&amp;shifts!AI185,events!D:D,"="&amp;shifts!B186)+SUMIFS(events!T:T,events!L:L,"=Timeout",events!U:U,"&lt;="&amp;shifts!AH185,events!V:V,"&gt;"&amp;shifts!AI185,events!D:D,"="&amp;shifts!B186)</f>
        <v>0</v>
      </c>
      <c r="Y185" s="9" t="str">
        <f t="shared" si="69"/>
        <v/>
      </c>
      <c r="AA185" t="str">
        <f t="shared" si="70"/>
        <v/>
      </c>
      <c r="AC185" t="str">
        <f t="shared" si="71"/>
        <v/>
      </c>
      <c r="AE185">
        <f t="shared" si="74"/>
        <v>18977</v>
      </c>
      <c r="AF185" t="str">
        <f t="shared" si="75"/>
        <v>Velodrome</v>
      </c>
      <c r="AG185" t="str">
        <f t="shared" si="76"/>
        <v>HollowBrook</v>
      </c>
      <c r="AH185" s="6">
        <f t="shared" si="79"/>
        <v>0</v>
      </c>
      <c r="AI185" s="6">
        <f t="shared" si="80"/>
        <v>0</v>
      </c>
      <c r="AJ185" s="18">
        <f t="shared" si="61"/>
        <v>0</v>
      </c>
      <c r="AK185">
        <f t="shared" si="62"/>
        <v>0</v>
      </c>
      <c r="AL185">
        <f t="shared" si="63"/>
        <v>0</v>
      </c>
      <c r="AM185">
        <f t="shared" si="81"/>
        <v>0</v>
      </c>
      <c r="AN185">
        <f t="shared" si="82"/>
        <v>0</v>
      </c>
      <c r="AO185">
        <f t="shared" si="56"/>
        <v>0</v>
      </c>
      <c r="AP185">
        <f t="shared" si="64"/>
        <v>0</v>
      </c>
      <c r="AQ185">
        <f t="shared" si="65"/>
        <v>0</v>
      </c>
      <c r="AR185">
        <f t="shared" si="66"/>
        <v>0</v>
      </c>
      <c r="AS185" t="str">
        <f t="shared" si="67"/>
        <v/>
      </c>
      <c r="AT185" t="str">
        <f t="shared" si="68"/>
        <v>0v0</v>
      </c>
    </row>
    <row r="186" spans="1:46" x14ac:dyDescent="0.2">
      <c r="A186">
        <f t="shared" si="72"/>
        <v>185</v>
      </c>
      <c r="B186" s="9">
        <f t="shared" si="77"/>
        <v>3</v>
      </c>
      <c r="C186">
        <f t="shared" si="78"/>
        <v>0</v>
      </c>
      <c r="D186" s="6">
        <f t="shared" si="73"/>
        <v>0</v>
      </c>
      <c r="O186" s="7">
        <v>39</v>
      </c>
      <c r="V186">
        <v>99</v>
      </c>
      <c r="W186" s="9">
        <f>SUMIFS(events!T:T,events!L:L,"=DeadIce",events!U:U,"&lt;="&amp;shifts!AH186,events!V:V,"&gt;"&amp;shifts!AI186,events!D:D,"="&amp;shifts!B187)+SUMIFS(events!T:T,events!L:L,"=Timeout",events!U:U,"&lt;="&amp;shifts!AH186,events!V:V,"&gt;"&amp;shifts!AI186,events!D:D,"="&amp;shifts!B187)</f>
        <v>0</v>
      </c>
      <c r="Y186" s="9" t="str">
        <f t="shared" si="69"/>
        <v/>
      </c>
      <c r="AA186" t="str">
        <f t="shared" si="70"/>
        <v/>
      </c>
      <c r="AC186" t="str">
        <f t="shared" si="71"/>
        <v/>
      </c>
      <c r="AE186">
        <f t="shared" si="74"/>
        <v>18977</v>
      </c>
      <c r="AF186" t="str">
        <f t="shared" si="75"/>
        <v>Velodrome</v>
      </c>
      <c r="AG186" t="str">
        <f t="shared" si="76"/>
        <v>HollowBrook</v>
      </c>
      <c r="AH186" s="6">
        <f t="shared" si="79"/>
        <v>0</v>
      </c>
      <c r="AI186" s="6">
        <f t="shared" si="80"/>
        <v>0</v>
      </c>
      <c r="AJ186" s="18">
        <f t="shared" si="61"/>
        <v>0</v>
      </c>
      <c r="AK186">
        <f t="shared" si="62"/>
        <v>0</v>
      </c>
      <c r="AL186">
        <f t="shared" si="63"/>
        <v>0</v>
      </c>
      <c r="AM186">
        <f t="shared" si="81"/>
        <v>0</v>
      </c>
      <c r="AN186">
        <f t="shared" si="82"/>
        <v>0</v>
      </c>
      <c r="AO186">
        <f t="shared" si="56"/>
        <v>0</v>
      </c>
      <c r="AP186">
        <f t="shared" si="64"/>
        <v>0</v>
      </c>
      <c r="AQ186">
        <f t="shared" si="65"/>
        <v>0</v>
      </c>
      <c r="AR186">
        <f t="shared" si="66"/>
        <v>0</v>
      </c>
      <c r="AS186" t="str">
        <f t="shared" si="67"/>
        <v/>
      </c>
      <c r="AT186" t="str">
        <f t="shared" si="68"/>
        <v>0v0</v>
      </c>
    </row>
    <row r="187" spans="1:46" x14ac:dyDescent="0.2">
      <c r="A187">
        <f t="shared" si="72"/>
        <v>186</v>
      </c>
      <c r="B187" s="9">
        <f t="shared" si="77"/>
        <v>3</v>
      </c>
      <c r="C187">
        <f t="shared" si="78"/>
        <v>0</v>
      </c>
      <c r="D187" s="6">
        <f t="shared" si="73"/>
        <v>0</v>
      </c>
      <c r="O187" s="7">
        <v>39</v>
      </c>
      <c r="V187">
        <v>99</v>
      </c>
      <c r="W187" s="9">
        <f>SUMIFS(events!T:T,events!L:L,"=DeadIce",events!U:U,"&lt;="&amp;shifts!AH187,events!V:V,"&gt;"&amp;shifts!AI187,events!D:D,"="&amp;shifts!B188)+SUMIFS(events!T:T,events!L:L,"=Timeout",events!U:U,"&lt;="&amp;shifts!AH187,events!V:V,"&gt;"&amp;shifts!AI187,events!D:D,"="&amp;shifts!B188)</f>
        <v>0</v>
      </c>
      <c r="Y187" s="9" t="str">
        <f t="shared" si="69"/>
        <v/>
      </c>
      <c r="AA187" t="str">
        <f t="shared" si="70"/>
        <v/>
      </c>
      <c r="AC187" t="str">
        <f t="shared" si="71"/>
        <v/>
      </c>
      <c r="AE187">
        <f t="shared" si="74"/>
        <v>18977</v>
      </c>
      <c r="AF187" t="str">
        <f t="shared" si="75"/>
        <v>Velodrome</v>
      </c>
      <c r="AG187" t="str">
        <f t="shared" si="76"/>
        <v>HollowBrook</v>
      </c>
      <c r="AH187" s="6">
        <f t="shared" si="79"/>
        <v>0</v>
      </c>
      <c r="AI187" s="6">
        <f t="shared" si="80"/>
        <v>0</v>
      </c>
      <c r="AJ187" s="18">
        <f t="shared" si="61"/>
        <v>0</v>
      </c>
      <c r="AK187">
        <f t="shared" si="62"/>
        <v>0</v>
      </c>
      <c r="AL187">
        <f t="shared" si="63"/>
        <v>0</v>
      </c>
      <c r="AM187">
        <f t="shared" si="81"/>
        <v>0</v>
      </c>
      <c r="AN187">
        <f t="shared" si="82"/>
        <v>0</v>
      </c>
      <c r="AO187">
        <f t="shared" si="56"/>
        <v>0</v>
      </c>
      <c r="AP187">
        <f t="shared" si="64"/>
        <v>0</v>
      </c>
      <c r="AQ187">
        <f t="shared" si="65"/>
        <v>0</v>
      </c>
      <c r="AR187">
        <f t="shared" si="66"/>
        <v>0</v>
      </c>
      <c r="AS187" t="str">
        <f t="shared" si="67"/>
        <v/>
      </c>
      <c r="AT187" t="str">
        <f t="shared" si="68"/>
        <v>0v0</v>
      </c>
    </row>
    <row r="188" spans="1:46" x14ac:dyDescent="0.2">
      <c r="A188">
        <f t="shared" si="72"/>
        <v>187</v>
      </c>
      <c r="B188" s="9">
        <f t="shared" si="77"/>
        <v>3</v>
      </c>
      <c r="C188">
        <f t="shared" si="78"/>
        <v>0</v>
      </c>
      <c r="D188" s="6">
        <f t="shared" si="73"/>
        <v>0</v>
      </c>
      <c r="O188" s="7">
        <v>39</v>
      </c>
      <c r="V188">
        <v>99</v>
      </c>
      <c r="W188" s="9">
        <f>SUMIFS(events!T:T,events!L:L,"=DeadIce",events!U:U,"&lt;="&amp;shifts!AH188,events!V:V,"&gt;"&amp;shifts!AI188,events!D:D,"="&amp;shifts!B189)+SUMIFS(events!T:T,events!L:L,"=Timeout",events!U:U,"&lt;="&amp;shifts!AH188,events!V:V,"&gt;"&amp;shifts!AI188,events!D:D,"="&amp;shifts!B189)</f>
        <v>0</v>
      </c>
      <c r="Y188" s="9" t="str">
        <f t="shared" si="69"/>
        <v/>
      </c>
      <c r="AA188" t="str">
        <f t="shared" si="70"/>
        <v/>
      </c>
      <c r="AC188" t="str">
        <f t="shared" si="71"/>
        <v/>
      </c>
      <c r="AE188">
        <f t="shared" si="74"/>
        <v>18977</v>
      </c>
      <c r="AF188" t="str">
        <f t="shared" si="75"/>
        <v>Velodrome</v>
      </c>
      <c r="AG188" t="str">
        <f t="shared" si="76"/>
        <v>HollowBrook</v>
      </c>
      <c r="AH188" s="6">
        <f t="shared" si="79"/>
        <v>0</v>
      </c>
      <c r="AI188" s="6">
        <f t="shared" si="80"/>
        <v>0</v>
      </c>
      <c r="AJ188" s="18">
        <f t="shared" si="61"/>
        <v>0</v>
      </c>
      <c r="AK188">
        <f t="shared" si="62"/>
        <v>0</v>
      </c>
      <c r="AL188">
        <f t="shared" si="63"/>
        <v>0</v>
      </c>
      <c r="AM188">
        <f t="shared" si="81"/>
        <v>0</v>
      </c>
      <c r="AN188">
        <f t="shared" si="82"/>
        <v>0</v>
      </c>
      <c r="AO188">
        <f t="shared" si="56"/>
        <v>0</v>
      </c>
      <c r="AP188">
        <f t="shared" si="64"/>
        <v>0</v>
      </c>
      <c r="AQ188">
        <f t="shared" si="65"/>
        <v>0</v>
      </c>
      <c r="AR188">
        <f t="shared" si="66"/>
        <v>0</v>
      </c>
      <c r="AS188" t="str">
        <f t="shared" si="67"/>
        <v/>
      </c>
      <c r="AT188" t="str">
        <f t="shared" si="68"/>
        <v>0v0</v>
      </c>
    </row>
    <row r="189" spans="1:46" x14ac:dyDescent="0.2">
      <c r="A189">
        <f t="shared" si="72"/>
        <v>188</v>
      </c>
      <c r="B189" s="9">
        <f t="shared" si="77"/>
        <v>3</v>
      </c>
      <c r="C189">
        <f t="shared" si="78"/>
        <v>0</v>
      </c>
      <c r="D189" s="6">
        <f t="shared" si="73"/>
        <v>0</v>
      </c>
      <c r="O189" s="7">
        <v>39</v>
      </c>
      <c r="V189">
        <v>99</v>
      </c>
      <c r="W189" s="9">
        <f>SUMIFS(events!T:T,events!L:L,"=DeadIce",events!U:U,"&lt;="&amp;shifts!AH189,events!V:V,"&gt;"&amp;shifts!AI189,events!D:D,"="&amp;shifts!B190)+SUMIFS(events!T:T,events!L:L,"=Timeout",events!U:U,"&lt;="&amp;shifts!AH189,events!V:V,"&gt;"&amp;shifts!AI189,events!D:D,"="&amp;shifts!B190)</f>
        <v>0</v>
      </c>
      <c r="Y189" s="9" t="str">
        <f t="shared" si="69"/>
        <v/>
      </c>
      <c r="AA189" t="str">
        <f t="shared" si="70"/>
        <v/>
      </c>
      <c r="AC189" t="str">
        <f t="shared" si="71"/>
        <v/>
      </c>
      <c r="AE189">
        <f t="shared" si="74"/>
        <v>18977</v>
      </c>
      <c r="AF189" t="str">
        <f t="shared" si="75"/>
        <v>Velodrome</v>
      </c>
      <c r="AG189" t="str">
        <f t="shared" si="76"/>
        <v>HollowBrook</v>
      </c>
      <c r="AH189" s="6">
        <f t="shared" si="79"/>
        <v>0</v>
      </c>
      <c r="AI189" s="6">
        <f t="shared" si="80"/>
        <v>0</v>
      </c>
      <c r="AJ189" s="18">
        <f t="shared" si="61"/>
        <v>0</v>
      </c>
      <c r="AK189">
        <f t="shared" si="62"/>
        <v>0</v>
      </c>
      <c r="AL189">
        <f t="shared" si="63"/>
        <v>0</v>
      </c>
      <c r="AM189">
        <f t="shared" si="81"/>
        <v>0</v>
      </c>
      <c r="AN189">
        <f t="shared" si="82"/>
        <v>0</v>
      </c>
      <c r="AO189">
        <f t="shared" si="56"/>
        <v>0</v>
      </c>
      <c r="AP189">
        <f t="shared" si="64"/>
        <v>0</v>
      </c>
      <c r="AQ189">
        <f t="shared" si="65"/>
        <v>0</v>
      </c>
      <c r="AR189">
        <f t="shared" si="66"/>
        <v>0</v>
      </c>
      <c r="AS189" t="str">
        <f t="shared" si="67"/>
        <v/>
      </c>
      <c r="AT189" t="str">
        <f t="shared" si="68"/>
        <v>0v0</v>
      </c>
    </row>
    <row r="190" spans="1:46" x14ac:dyDescent="0.2">
      <c r="A190">
        <f t="shared" si="72"/>
        <v>189</v>
      </c>
      <c r="B190" s="9">
        <f t="shared" si="77"/>
        <v>3</v>
      </c>
      <c r="C190">
        <f t="shared" si="78"/>
        <v>0</v>
      </c>
      <c r="D190" s="6">
        <f t="shared" si="73"/>
        <v>0</v>
      </c>
      <c r="O190" s="7">
        <v>39</v>
      </c>
      <c r="V190">
        <v>99</v>
      </c>
      <c r="W190" s="9">
        <f>SUMIFS(events!T:T,events!L:L,"=DeadIce",events!U:U,"&lt;="&amp;shifts!AH190,events!V:V,"&gt;"&amp;shifts!AI190,events!D:D,"="&amp;shifts!B191)+SUMIFS(events!T:T,events!L:L,"=Timeout",events!U:U,"&lt;="&amp;shifts!AH190,events!V:V,"&gt;"&amp;shifts!AI190,events!D:D,"="&amp;shifts!B191)</f>
        <v>0</v>
      </c>
      <c r="Y190" s="9" t="str">
        <f t="shared" si="69"/>
        <v/>
      </c>
      <c r="AA190" t="str">
        <f t="shared" si="70"/>
        <v/>
      </c>
      <c r="AC190" t="str">
        <f t="shared" si="71"/>
        <v/>
      </c>
      <c r="AE190">
        <f t="shared" si="74"/>
        <v>18977</v>
      </c>
      <c r="AF190" t="str">
        <f t="shared" si="75"/>
        <v>Velodrome</v>
      </c>
      <c r="AG190" t="str">
        <f t="shared" si="76"/>
        <v>HollowBrook</v>
      </c>
      <c r="AH190" s="6">
        <f t="shared" si="79"/>
        <v>0</v>
      </c>
      <c r="AI190" s="6">
        <f t="shared" si="80"/>
        <v>0</v>
      </c>
      <c r="AJ190" s="18">
        <f t="shared" si="61"/>
        <v>0</v>
      </c>
      <c r="AK190">
        <f t="shared" si="62"/>
        <v>0</v>
      </c>
      <c r="AL190">
        <f t="shared" si="63"/>
        <v>0</v>
      </c>
      <c r="AM190">
        <f t="shared" si="81"/>
        <v>0</v>
      </c>
      <c r="AN190">
        <f t="shared" si="82"/>
        <v>0</v>
      </c>
      <c r="AO190">
        <f t="shared" si="56"/>
        <v>0</v>
      </c>
      <c r="AP190">
        <f t="shared" si="64"/>
        <v>0</v>
      </c>
      <c r="AQ190">
        <f t="shared" si="65"/>
        <v>0</v>
      </c>
      <c r="AR190">
        <f t="shared" si="66"/>
        <v>0</v>
      </c>
      <c r="AS190" t="str">
        <f t="shared" si="67"/>
        <v/>
      </c>
      <c r="AT190" t="str">
        <f t="shared" si="68"/>
        <v>0v0</v>
      </c>
    </row>
    <row r="191" spans="1:46" x14ac:dyDescent="0.2">
      <c r="A191">
        <f t="shared" si="72"/>
        <v>190</v>
      </c>
      <c r="B191" s="9">
        <f t="shared" si="77"/>
        <v>3</v>
      </c>
      <c r="C191">
        <f t="shared" si="78"/>
        <v>0</v>
      </c>
      <c r="D191" s="6">
        <f t="shared" si="73"/>
        <v>0</v>
      </c>
      <c r="O191" s="7">
        <v>39</v>
      </c>
      <c r="V191">
        <v>99</v>
      </c>
      <c r="W191" s="9">
        <f>SUMIFS(events!T:T,events!L:L,"=DeadIce",events!U:U,"&lt;="&amp;shifts!AH191,events!V:V,"&gt;"&amp;shifts!AI191,events!D:D,"="&amp;shifts!B192)+SUMIFS(events!T:T,events!L:L,"=Timeout",events!U:U,"&lt;="&amp;shifts!AH191,events!V:V,"&gt;"&amp;shifts!AI191,events!D:D,"="&amp;shifts!B192)</f>
        <v>0</v>
      </c>
      <c r="Y191" s="9" t="str">
        <f t="shared" si="69"/>
        <v/>
      </c>
      <c r="AA191" t="str">
        <f t="shared" si="70"/>
        <v/>
      </c>
      <c r="AC191" t="str">
        <f t="shared" si="71"/>
        <v/>
      </c>
      <c r="AE191">
        <f t="shared" si="74"/>
        <v>18977</v>
      </c>
      <c r="AF191" t="str">
        <f t="shared" si="75"/>
        <v>Velodrome</v>
      </c>
      <c r="AG191" t="str">
        <f t="shared" si="76"/>
        <v>HollowBrook</v>
      </c>
      <c r="AH191" s="6">
        <f t="shared" si="79"/>
        <v>0</v>
      </c>
      <c r="AI191" s="6">
        <f t="shared" si="80"/>
        <v>0</v>
      </c>
      <c r="AJ191" s="18">
        <f t="shared" si="61"/>
        <v>0</v>
      </c>
      <c r="AK191">
        <f t="shared" si="62"/>
        <v>0</v>
      </c>
      <c r="AL191">
        <f t="shared" si="63"/>
        <v>0</v>
      </c>
      <c r="AM191">
        <f t="shared" si="81"/>
        <v>0</v>
      </c>
      <c r="AN191">
        <f t="shared" si="82"/>
        <v>0</v>
      </c>
      <c r="AO191">
        <f t="shared" si="56"/>
        <v>0</v>
      </c>
      <c r="AP191">
        <f t="shared" si="64"/>
        <v>0</v>
      </c>
      <c r="AQ191">
        <f t="shared" si="65"/>
        <v>0</v>
      </c>
      <c r="AR191">
        <f t="shared" si="66"/>
        <v>0</v>
      </c>
      <c r="AS191" t="str">
        <f t="shared" si="67"/>
        <v/>
      </c>
      <c r="AT191" t="str">
        <f t="shared" si="68"/>
        <v>0v0</v>
      </c>
    </row>
    <row r="192" spans="1:46" x14ac:dyDescent="0.2">
      <c r="A192">
        <f t="shared" si="72"/>
        <v>191</v>
      </c>
      <c r="B192" s="9">
        <f t="shared" si="77"/>
        <v>3</v>
      </c>
      <c r="C192">
        <f t="shared" si="78"/>
        <v>0</v>
      </c>
      <c r="D192" s="6">
        <f t="shared" si="73"/>
        <v>0</v>
      </c>
      <c r="O192" s="7">
        <v>39</v>
      </c>
      <c r="V192">
        <v>99</v>
      </c>
      <c r="W192" s="9">
        <f>SUMIFS(events!T:T,events!L:L,"=DeadIce",events!U:U,"&lt;="&amp;shifts!AH192,events!V:V,"&gt;"&amp;shifts!AI192,events!D:D,"="&amp;shifts!B193)+SUMIFS(events!T:T,events!L:L,"=Timeout",events!U:U,"&lt;="&amp;shifts!AH192,events!V:V,"&gt;"&amp;shifts!AI192,events!D:D,"="&amp;shifts!B193)</f>
        <v>0</v>
      </c>
      <c r="Y192" s="9" t="str">
        <f t="shared" si="69"/>
        <v/>
      </c>
      <c r="AA192" t="str">
        <f t="shared" si="70"/>
        <v/>
      </c>
      <c r="AC192" t="str">
        <f t="shared" si="71"/>
        <v/>
      </c>
      <c r="AE192">
        <f t="shared" si="74"/>
        <v>18977</v>
      </c>
      <c r="AF192" t="str">
        <f t="shared" si="75"/>
        <v>Velodrome</v>
      </c>
      <c r="AG192" t="str">
        <f t="shared" si="76"/>
        <v>HollowBrook</v>
      </c>
      <c r="AH192" s="6">
        <f t="shared" si="79"/>
        <v>0</v>
      </c>
      <c r="AI192" s="6">
        <f t="shared" si="80"/>
        <v>0</v>
      </c>
      <c r="AJ192" s="18">
        <f t="shared" si="61"/>
        <v>0</v>
      </c>
      <c r="AK192">
        <f t="shared" si="62"/>
        <v>0</v>
      </c>
      <c r="AL192">
        <f t="shared" si="63"/>
        <v>0</v>
      </c>
      <c r="AM192">
        <f t="shared" si="81"/>
        <v>0</v>
      </c>
      <c r="AN192">
        <f t="shared" si="82"/>
        <v>0</v>
      </c>
      <c r="AO192">
        <f t="shared" si="56"/>
        <v>0</v>
      </c>
      <c r="AP192">
        <f t="shared" si="64"/>
        <v>0</v>
      </c>
      <c r="AQ192">
        <f t="shared" si="65"/>
        <v>0</v>
      </c>
      <c r="AR192">
        <f t="shared" si="66"/>
        <v>0</v>
      </c>
      <c r="AS192" t="str">
        <f t="shared" si="67"/>
        <v/>
      </c>
      <c r="AT192" t="str">
        <f t="shared" si="68"/>
        <v>0v0</v>
      </c>
    </row>
    <row r="193" spans="1:46" x14ac:dyDescent="0.2">
      <c r="A193">
        <f t="shared" si="72"/>
        <v>192</v>
      </c>
      <c r="B193" s="9">
        <f t="shared" si="77"/>
        <v>3</v>
      </c>
      <c r="C193">
        <f t="shared" si="78"/>
        <v>0</v>
      </c>
      <c r="D193" s="6">
        <f t="shared" si="73"/>
        <v>0</v>
      </c>
      <c r="O193" s="7">
        <v>39</v>
      </c>
      <c r="V193">
        <v>99</v>
      </c>
      <c r="W193" s="9">
        <f>SUMIFS(events!T:T,events!L:L,"=DeadIce",events!U:U,"&lt;="&amp;shifts!AH193,events!V:V,"&gt;"&amp;shifts!AI193,events!D:D,"="&amp;shifts!B194)+SUMIFS(events!T:T,events!L:L,"=Timeout",events!U:U,"&lt;="&amp;shifts!AH193,events!V:V,"&gt;"&amp;shifts!AI193,events!D:D,"="&amp;shifts!B194)</f>
        <v>0</v>
      </c>
      <c r="Y193" s="9" t="str">
        <f t="shared" si="69"/>
        <v/>
      </c>
      <c r="AA193" t="str">
        <f t="shared" si="70"/>
        <v/>
      </c>
      <c r="AC193" t="str">
        <f t="shared" si="71"/>
        <v/>
      </c>
      <c r="AE193">
        <f t="shared" si="74"/>
        <v>18977</v>
      </c>
      <c r="AF193" t="str">
        <f t="shared" si="75"/>
        <v>Velodrome</v>
      </c>
      <c r="AG193" t="str">
        <f t="shared" si="76"/>
        <v>HollowBrook</v>
      </c>
      <c r="AH193" s="6">
        <f t="shared" si="79"/>
        <v>0</v>
      </c>
      <c r="AI193" s="6">
        <f t="shared" si="80"/>
        <v>0</v>
      </c>
      <c r="AJ193" s="18">
        <f t="shared" si="61"/>
        <v>0</v>
      </c>
      <c r="AK193">
        <f t="shared" si="62"/>
        <v>0</v>
      </c>
      <c r="AL193">
        <f t="shared" si="63"/>
        <v>0</v>
      </c>
      <c r="AM193">
        <f t="shared" si="81"/>
        <v>0</v>
      </c>
      <c r="AN193">
        <f t="shared" si="82"/>
        <v>0</v>
      </c>
      <c r="AO193">
        <f t="shared" si="56"/>
        <v>0</v>
      </c>
      <c r="AP193">
        <f t="shared" si="64"/>
        <v>0</v>
      </c>
      <c r="AQ193">
        <f t="shared" si="65"/>
        <v>0</v>
      </c>
      <c r="AR193">
        <f t="shared" si="66"/>
        <v>0</v>
      </c>
      <c r="AS193" t="str">
        <f t="shared" si="67"/>
        <v/>
      </c>
      <c r="AT193" t="str">
        <f t="shared" si="68"/>
        <v>0v0</v>
      </c>
    </row>
    <row r="194" spans="1:46" x14ac:dyDescent="0.2">
      <c r="A194">
        <f t="shared" si="72"/>
        <v>193</v>
      </c>
      <c r="B194" s="9">
        <f t="shared" si="77"/>
        <v>3</v>
      </c>
      <c r="C194">
        <f t="shared" si="78"/>
        <v>0</v>
      </c>
      <c r="D194" s="6">
        <f t="shared" si="73"/>
        <v>0</v>
      </c>
      <c r="O194" s="7">
        <v>39</v>
      </c>
      <c r="V194">
        <v>99</v>
      </c>
      <c r="W194" s="9">
        <f>SUMIFS(events!T:T,events!L:L,"=DeadIce",events!U:U,"&lt;="&amp;shifts!AH194,events!V:V,"&gt;"&amp;shifts!AI194,events!D:D,"="&amp;shifts!B195)+SUMIFS(events!T:T,events!L:L,"=Timeout",events!U:U,"&lt;="&amp;shifts!AH194,events!V:V,"&gt;"&amp;shifts!AI194,events!D:D,"="&amp;shifts!B195)</f>
        <v>0</v>
      </c>
      <c r="Y194" s="9" t="str">
        <f t="shared" si="69"/>
        <v/>
      </c>
      <c r="AA194" t="str">
        <f t="shared" si="70"/>
        <v/>
      </c>
      <c r="AC194" t="str">
        <f t="shared" si="71"/>
        <v/>
      </c>
      <c r="AE194">
        <f t="shared" si="74"/>
        <v>18977</v>
      </c>
      <c r="AF194" t="str">
        <f t="shared" si="75"/>
        <v>Velodrome</v>
      </c>
      <c r="AG194" t="str">
        <f t="shared" si="76"/>
        <v>HollowBrook</v>
      </c>
      <c r="AH194" s="6">
        <f t="shared" si="79"/>
        <v>0</v>
      </c>
      <c r="AI194" s="6">
        <f t="shared" si="80"/>
        <v>0</v>
      </c>
      <c r="AJ194" s="18">
        <f t="shared" si="61"/>
        <v>0</v>
      </c>
      <c r="AK194">
        <f t="shared" si="62"/>
        <v>0</v>
      </c>
      <c r="AL194">
        <f t="shared" si="63"/>
        <v>0</v>
      </c>
      <c r="AM194">
        <f t="shared" si="81"/>
        <v>0</v>
      </c>
      <c r="AN194">
        <f t="shared" si="82"/>
        <v>0</v>
      </c>
      <c r="AO194">
        <f t="shared" si="56"/>
        <v>0</v>
      </c>
      <c r="AP194">
        <f t="shared" si="64"/>
        <v>0</v>
      </c>
      <c r="AQ194">
        <f t="shared" si="65"/>
        <v>0</v>
      </c>
      <c r="AR194">
        <f t="shared" si="66"/>
        <v>0</v>
      </c>
      <c r="AS194" t="str">
        <f t="shared" si="67"/>
        <v/>
      </c>
      <c r="AT194" t="str">
        <f t="shared" si="68"/>
        <v>0v0</v>
      </c>
    </row>
    <row r="195" spans="1:46" x14ac:dyDescent="0.2">
      <c r="A195">
        <f t="shared" si="72"/>
        <v>194</v>
      </c>
      <c r="B195" s="9">
        <f t="shared" si="77"/>
        <v>3</v>
      </c>
      <c r="C195">
        <f t="shared" si="78"/>
        <v>0</v>
      </c>
      <c r="D195" s="6">
        <f t="shared" si="73"/>
        <v>0</v>
      </c>
      <c r="O195" s="7">
        <v>39</v>
      </c>
      <c r="V195">
        <v>99</v>
      </c>
      <c r="W195" s="9">
        <f>SUMIFS(events!T:T,events!L:L,"=DeadIce",events!U:U,"&lt;="&amp;shifts!AH195,events!V:V,"&gt;"&amp;shifts!AI195,events!D:D,"="&amp;shifts!B196)+SUMIFS(events!T:T,events!L:L,"=Timeout",events!U:U,"&lt;="&amp;shifts!AH195,events!V:V,"&gt;"&amp;shifts!AI195,events!D:D,"="&amp;shifts!B196)</f>
        <v>0</v>
      </c>
      <c r="Y195" s="9" t="str">
        <f t="shared" si="69"/>
        <v/>
      </c>
      <c r="AA195" t="str">
        <f t="shared" si="70"/>
        <v/>
      </c>
      <c r="AC195" t="str">
        <f t="shared" si="71"/>
        <v/>
      </c>
      <c r="AE195">
        <f t="shared" si="74"/>
        <v>18977</v>
      </c>
      <c r="AF195" t="str">
        <f t="shared" si="75"/>
        <v>Velodrome</v>
      </c>
      <c r="AG195" t="str">
        <f t="shared" si="76"/>
        <v>HollowBrook</v>
      </c>
      <c r="AH195" s="6">
        <f t="shared" si="79"/>
        <v>0</v>
      </c>
      <c r="AI195" s="6">
        <f t="shared" si="80"/>
        <v>0</v>
      </c>
      <c r="AJ195" s="18">
        <f t="shared" si="61"/>
        <v>0</v>
      </c>
      <c r="AK195">
        <f t="shared" si="62"/>
        <v>0</v>
      </c>
      <c r="AL195">
        <f t="shared" si="63"/>
        <v>0</v>
      </c>
      <c r="AM195">
        <f t="shared" si="81"/>
        <v>0</v>
      </c>
      <c r="AN195">
        <f t="shared" si="82"/>
        <v>0</v>
      </c>
      <c r="AO195">
        <f t="shared" ref="AO195:AO201" si="83">IF(AND($AM195&lt;&gt;1,$AK195&lt;$AL195,AN195&lt;&gt;1),1,)</f>
        <v>0</v>
      </c>
      <c r="AP195">
        <f t="shared" si="64"/>
        <v>0</v>
      </c>
      <c r="AQ195">
        <f t="shared" si="65"/>
        <v>0</v>
      </c>
      <c r="AR195">
        <f t="shared" si="66"/>
        <v>0</v>
      </c>
      <c r="AS195" t="str">
        <f t="shared" si="67"/>
        <v/>
      </c>
      <c r="AT195" t="str">
        <f t="shared" si="68"/>
        <v>0v0</v>
      </c>
    </row>
    <row r="196" spans="1:46" x14ac:dyDescent="0.2">
      <c r="A196">
        <f t="shared" si="72"/>
        <v>195</v>
      </c>
      <c r="B196" s="9">
        <f t="shared" si="77"/>
        <v>3</v>
      </c>
      <c r="C196">
        <f t="shared" si="78"/>
        <v>0</v>
      </c>
      <c r="D196" s="6">
        <f t="shared" si="73"/>
        <v>0</v>
      </c>
      <c r="O196" s="7">
        <v>39</v>
      </c>
      <c r="V196">
        <v>99</v>
      </c>
      <c r="W196" s="9">
        <f>SUMIFS(events!T:T,events!L:L,"=DeadIce",events!U:U,"&lt;="&amp;shifts!AH196,events!V:V,"&gt;"&amp;shifts!AI196,events!D:D,"="&amp;shifts!B197)+SUMIFS(events!T:T,events!L:L,"=Timeout",events!U:U,"&lt;="&amp;shifts!AH196,events!V:V,"&gt;"&amp;shifts!AI196,events!D:D,"="&amp;shifts!B197)</f>
        <v>0</v>
      </c>
      <c r="Y196" s="9" t="str">
        <f t="shared" si="69"/>
        <v/>
      </c>
      <c r="AA196" t="str">
        <f t="shared" si="70"/>
        <v/>
      </c>
      <c r="AC196" t="str">
        <f t="shared" si="71"/>
        <v/>
      </c>
      <c r="AE196">
        <f t="shared" si="74"/>
        <v>18977</v>
      </c>
      <c r="AF196" t="str">
        <f t="shared" si="75"/>
        <v>Velodrome</v>
      </c>
      <c r="AG196" t="str">
        <f t="shared" si="76"/>
        <v>HollowBrook</v>
      </c>
      <c r="AH196" s="6">
        <f t="shared" ref="AH196:AH203" si="84">((C196*60)+D196)</f>
        <v>0</v>
      </c>
      <c r="AI196" s="6">
        <f t="shared" ref="AI196:AI203" si="85">((E196*60)+F196)</f>
        <v>0</v>
      </c>
      <c r="AJ196" s="18">
        <f t="shared" si="61"/>
        <v>0</v>
      </c>
      <c r="AK196">
        <f t="shared" si="62"/>
        <v>0</v>
      </c>
      <c r="AL196">
        <f t="shared" si="63"/>
        <v>0</v>
      </c>
      <c r="AM196">
        <f t="shared" ref="AM196:AM203" si="86">IF(O196="",1,0)</f>
        <v>0</v>
      </c>
      <c r="AN196">
        <f t="shared" ref="AN196:AN203" si="87">IF(V196="",1,0)</f>
        <v>0</v>
      </c>
      <c r="AO196">
        <f t="shared" si="83"/>
        <v>0</v>
      </c>
      <c r="AP196">
        <f t="shared" si="64"/>
        <v>0</v>
      </c>
      <c r="AQ196">
        <f t="shared" si="65"/>
        <v>0</v>
      </c>
      <c r="AR196">
        <f t="shared" si="66"/>
        <v>0</v>
      </c>
      <c r="AS196" t="str">
        <f t="shared" si="67"/>
        <v/>
      </c>
      <c r="AT196" t="str">
        <f t="shared" si="68"/>
        <v>0v0</v>
      </c>
    </row>
    <row r="197" spans="1:46" x14ac:dyDescent="0.2">
      <c r="A197">
        <f t="shared" si="72"/>
        <v>196</v>
      </c>
      <c r="B197" s="9">
        <f t="shared" si="77"/>
        <v>3</v>
      </c>
      <c r="C197">
        <f t="shared" si="78"/>
        <v>0</v>
      </c>
      <c r="D197" s="6">
        <f t="shared" si="73"/>
        <v>0</v>
      </c>
      <c r="O197" s="7">
        <v>39</v>
      </c>
      <c r="V197">
        <v>99</v>
      </c>
      <c r="W197" s="9">
        <f>SUMIFS(events!T:T,events!L:L,"=DeadIce",events!U:U,"&lt;="&amp;shifts!AH197,events!V:V,"&gt;"&amp;shifts!AI197,events!D:D,"="&amp;shifts!B198)+SUMIFS(events!T:T,events!L:L,"=Timeout",events!U:U,"&lt;="&amp;shifts!AH197,events!V:V,"&gt;"&amp;shifts!AI197,events!D:D,"="&amp;shifts!B198)</f>
        <v>0</v>
      </c>
      <c r="Y197" s="9" t="str">
        <f t="shared" si="69"/>
        <v/>
      </c>
      <c r="AA197" t="str">
        <f t="shared" si="70"/>
        <v/>
      </c>
      <c r="AC197" t="str">
        <f t="shared" si="71"/>
        <v/>
      </c>
      <c r="AE197">
        <f t="shared" si="74"/>
        <v>18977</v>
      </c>
      <c r="AF197" t="str">
        <f t="shared" si="75"/>
        <v>Velodrome</v>
      </c>
      <c r="AG197" t="str">
        <f t="shared" si="76"/>
        <v>HollowBrook</v>
      </c>
      <c r="AH197" s="6">
        <f t="shared" si="84"/>
        <v>0</v>
      </c>
      <c r="AI197" s="6">
        <f t="shared" si="85"/>
        <v>0</v>
      </c>
      <c r="AJ197" s="18">
        <f t="shared" ref="AJ197:AJ203" si="88">ROUND(AH197-AI197,0)</f>
        <v>0</v>
      </c>
      <c r="AK197">
        <f t="shared" ref="AK197:AK203" si="89">COUNTIF(I197:N197,"&gt;0")</f>
        <v>0</v>
      </c>
      <c r="AL197">
        <f t="shared" ref="AL197:AL203" si="90">COUNTIF(P197:U197,"&gt;0")</f>
        <v>0</v>
      </c>
      <c r="AM197">
        <f t="shared" si="86"/>
        <v>0</v>
      </c>
      <c r="AN197">
        <f t="shared" si="87"/>
        <v>0</v>
      </c>
      <c r="AO197">
        <f t="shared" si="83"/>
        <v>0</v>
      </c>
      <c r="AP197">
        <f t="shared" ref="AP197:AP203" si="91">IF(AND($AM197&lt;&gt;1,$AK197&gt;$AL197),1,)</f>
        <v>0</v>
      </c>
      <c r="AQ197">
        <f t="shared" ref="AQ197:AQ203" si="92">IF(AO197=1,1,0)</f>
        <v>0</v>
      </c>
      <c r="AR197">
        <f t="shared" ref="AR197:AR203" si="93">IF(AP197=1,1,0)</f>
        <v>0</v>
      </c>
      <c r="AS197" t="str">
        <f t="shared" ref="AS197:AS203" si="94">IF(AND(AK197=5,AL197=5,AM197=0,AN197=0),"Full Strength",IF(AQ197=1,"Away PowerPlay",IF(AP197=1,"Home PowerPlay",IF(AM197=1,"Home EmptyNet",IF(AN197=1,"Away EmptyNet","")))))</f>
        <v/>
      </c>
      <c r="AT197" t="str">
        <f t="shared" ref="AT197:AT203" si="95">IF(AND(AM197=0,AN197=0),AK197&amp;"v"&amp;AL197,IF(AM197=1,AK197&amp;"v"&amp;AL197&amp;" Home EN",IF(AN197=1,AK197&amp;"v"&amp;AL197&amp;" Away EN","")))</f>
        <v>0v0</v>
      </c>
    </row>
    <row r="198" spans="1:46" x14ac:dyDescent="0.2">
      <c r="A198">
        <f t="shared" si="72"/>
        <v>197</v>
      </c>
      <c r="B198" s="9">
        <f t="shared" si="77"/>
        <v>3</v>
      </c>
      <c r="C198">
        <f t="shared" si="78"/>
        <v>0</v>
      </c>
      <c r="D198" s="6">
        <f t="shared" si="73"/>
        <v>0</v>
      </c>
      <c r="O198" s="7">
        <v>39</v>
      </c>
      <c r="V198">
        <v>99</v>
      </c>
      <c r="W198" s="9">
        <f>SUMIFS(events!T:T,events!L:L,"=DeadIce",events!U:U,"&lt;="&amp;shifts!AH198,events!V:V,"&gt;"&amp;shifts!AI198,events!D:D,"="&amp;shifts!B199)+SUMIFS(events!T:T,events!L:L,"=Timeout",events!U:U,"&lt;="&amp;shifts!AH198,events!V:V,"&gt;"&amp;shifts!AI198,events!D:D,"="&amp;shifts!B199)</f>
        <v>0</v>
      </c>
      <c r="Y198" s="9" t="str">
        <f t="shared" ref="Y198:Y203" si="96">IF(OR($H197="Home Goal",$H197="Away Goal",$H197="Period End"),"",IF(Z197=1,1,""))</f>
        <v/>
      </c>
      <c r="AA198" t="str">
        <f t="shared" ref="AA198:AA203" si="97">IF(OR($H197="Home Goal",$H197="Away Goal",$H197="Period End"),"",IF(AB197=1,1,""))</f>
        <v/>
      </c>
      <c r="AC198" t="str">
        <f t="shared" ref="AC198:AC203" si="98">IF(OR($H197="Home Goal",$H197="Away Goal",$H197="Period End"),1,IF(AD197=1,1,""))</f>
        <v/>
      </c>
      <c r="AE198">
        <f t="shared" si="74"/>
        <v>18977</v>
      </c>
      <c r="AF198" t="str">
        <f t="shared" si="75"/>
        <v>Velodrome</v>
      </c>
      <c r="AG198" t="str">
        <f t="shared" si="76"/>
        <v>HollowBrook</v>
      </c>
      <c r="AH198" s="6">
        <f t="shared" si="84"/>
        <v>0</v>
      </c>
      <c r="AI198" s="6">
        <f t="shared" si="85"/>
        <v>0</v>
      </c>
      <c r="AJ198" s="18">
        <f t="shared" si="88"/>
        <v>0</v>
      </c>
      <c r="AK198">
        <f t="shared" si="89"/>
        <v>0</v>
      </c>
      <c r="AL198">
        <f t="shared" si="90"/>
        <v>0</v>
      </c>
      <c r="AM198">
        <f t="shared" si="86"/>
        <v>0</v>
      </c>
      <c r="AN198">
        <f t="shared" si="87"/>
        <v>0</v>
      </c>
      <c r="AO198">
        <f t="shared" si="83"/>
        <v>0</v>
      </c>
      <c r="AP198">
        <f t="shared" si="91"/>
        <v>0</v>
      </c>
      <c r="AQ198">
        <f t="shared" si="92"/>
        <v>0</v>
      </c>
      <c r="AR198">
        <f t="shared" si="93"/>
        <v>0</v>
      </c>
      <c r="AS198" t="str">
        <f t="shared" si="94"/>
        <v/>
      </c>
      <c r="AT198" t="str">
        <f t="shared" si="95"/>
        <v>0v0</v>
      </c>
    </row>
    <row r="199" spans="1:46" x14ac:dyDescent="0.2">
      <c r="A199">
        <f t="shared" ref="A199:A203" si="99">A198+1</f>
        <v>198</v>
      </c>
      <c r="B199" s="9">
        <f t="shared" si="77"/>
        <v>3</v>
      </c>
      <c r="C199">
        <f t="shared" si="78"/>
        <v>0</v>
      </c>
      <c r="D199" s="6">
        <f t="shared" ref="D199:D203" si="100">F198</f>
        <v>0</v>
      </c>
      <c r="O199" s="7">
        <v>39</v>
      </c>
      <c r="V199">
        <v>99</v>
      </c>
      <c r="W199" s="9">
        <f>SUMIFS(events!T:T,events!L:L,"=DeadIce",events!U:U,"&lt;="&amp;shifts!AH199,events!V:V,"&gt;"&amp;shifts!AI199,events!D:D,"="&amp;shifts!B200)+SUMIFS(events!T:T,events!L:L,"=Timeout",events!U:U,"&lt;="&amp;shifts!AH199,events!V:V,"&gt;"&amp;shifts!AI199,events!D:D,"="&amp;shifts!B200)</f>
        <v>0</v>
      </c>
      <c r="Y199" s="9" t="str">
        <f t="shared" si="96"/>
        <v/>
      </c>
      <c r="AA199" t="str">
        <f t="shared" si="97"/>
        <v/>
      </c>
      <c r="AC199" t="str">
        <f t="shared" si="98"/>
        <v/>
      </c>
      <c r="AE199">
        <f t="shared" ref="AE199:AG203" si="101">AE198</f>
        <v>18977</v>
      </c>
      <c r="AF199" t="str">
        <f t="shared" si="101"/>
        <v>Velodrome</v>
      </c>
      <c r="AG199" t="str">
        <f t="shared" si="101"/>
        <v>HollowBrook</v>
      </c>
      <c r="AH199" s="6">
        <f t="shared" si="84"/>
        <v>0</v>
      </c>
      <c r="AI199" s="6">
        <f t="shared" si="85"/>
        <v>0</v>
      </c>
      <c r="AJ199" s="18">
        <f t="shared" si="88"/>
        <v>0</v>
      </c>
      <c r="AK199">
        <f t="shared" si="89"/>
        <v>0</v>
      </c>
      <c r="AL199">
        <f t="shared" si="90"/>
        <v>0</v>
      </c>
      <c r="AM199">
        <f t="shared" si="86"/>
        <v>0</v>
      </c>
      <c r="AN199">
        <f t="shared" si="87"/>
        <v>0</v>
      </c>
      <c r="AO199">
        <f t="shared" si="83"/>
        <v>0</v>
      </c>
      <c r="AP199">
        <f t="shared" si="91"/>
        <v>0</v>
      </c>
      <c r="AQ199">
        <f t="shared" si="92"/>
        <v>0</v>
      </c>
      <c r="AR199">
        <f t="shared" si="93"/>
        <v>0</v>
      </c>
      <c r="AS199" t="str">
        <f t="shared" si="94"/>
        <v/>
      </c>
      <c r="AT199" t="str">
        <f t="shared" si="95"/>
        <v>0v0</v>
      </c>
    </row>
    <row r="200" spans="1:46" x14ac:dyDescent="0.2">
      <c r="A200">
        <f t="shared" si="99"/>
        <v>199</v>
      </c>
      <c r="B200" s="9">
        <f t="shared" si="77"/>
        <v>3</v>
      </c>
      <c r="C200">
        <f t="shared" si="78"/>
        <v>0</v>
      </c>
      <c r="D200" s="6">
        <f t="shared" si="100"/>
        <v>0</v>
      </c>
      <c r="O200" s="7">
        <v>39</v>
      </c>
      <c r="V200">
        <v>99</v>
      </c>
      <c r="W200" s="9">
        <f>SUMIFS(events!T:T,events!L:L,"=DeadIce",events!U:U,"&lt;="&amp;shifts!AH200,events!V:V,"&gt;"&amp;shifts!AI200,events!D:D,"="&amp;shifts!B201)+SUMIFS(events!T:T,events!L:L,"=Timeout",events!U:U,"&lt;="&amp;shifts!AH200,events!V:V,"&gt;"&amp;shifts!AI200,events!D:D,"="&amp;shifts!B201)</f>
        <v>0</v>
      </c>
      <c r="Y200" s="9" t="str">
        <f t="shared" si="96"/>
        <v/>
      </c>
      <c r="AA200" t="str">
        <f t="shared" si="97"/>
        <v/>
      </c>
      <c r="AC200" t="str">
        <f t="shared" si="98"/>
        <v/>
      </c>
      <c r="AE200">
        <f t="shared" si="101"/>
        <v>18977</v>
      </c>
      <c r="AF200" t="str">
        <f t="shared" si="101"/>
        <v>Velodrome</v>
      </c>
      <c r="AG200" t="str">
        <f t="shared" si="101"/>
        <v>HollowBrook</v>
      </c>
      <c r="AH200" s="6">
        <f t="shared" si="84"/>
        <v>0</v>
      </c>
      <c r="AI200" s="6">
        <f t="shared" si="85"/>
        <v>0</v>
      </c>
      <c r="AJ200" s="18">
        <f t="shared" si="88"/>
        <v>0</v>
      </c>
      <c r="AK200">
        <f t="shared" si="89"/>
        <v>0</v>
      </c>
      <c r="AL200">
        <f t="shared" si="90"/>
        <v>0</v>
      </c>
      <c r="AM200">
        <f t="shared" si="86"/>
        <v>0</v>
      </c>
      <c r="AN200">
        <f t="shared" si="87"/>
        <v>0</v>
      </c>
      <c r="AO200">
        <f t="shared" si="83"/>
        <v>0</v>
      </c>
      <c r="AP200">
        <f t="shared" si="91"/>
        <v>0</v>
      </c>
      <c r="AQ200">
        <f t="shared" si="92"/>
        <v>0</v>
      </c>
      <c r="AR200">
        <f t="shared" si="93"/>
        <v>0</v>
      </c>
      <c r="AS200" t="str">
        <f t="shared" si="94"/>
        <v/>
      </c>
      <c r="AT200" t="str">
        <f t="shared" si="95"/>
        <v>0v0</v>
      </c>
    </row>
    <row r="201" spans="1:46" x14ac:dyDescent="0.2">
      <c r="A201">
        <f t="shared" si="99"/>
        <v>200</v>
      </c>
      <c r="B201" s="9">
        <f t="shared" si="77"/>
        <v>3</v>
      </c>
      <c r="C201">
        <f t="shared" si="78"/>
        <v>0</v>
      </c>
      <c r="D201" s="6">
        <f t="shared" si="100"/>
        <v>0</v>
      </c>
      <c r="O201" s="7">
        <v>39</v>
      </c>
      <c r="V201">
        <v>99</v>
      </c>
      <c r="W201" s="9">
        <f>SUMIFS(events!T:T,events!L:L,"=DeadIce",events!U:U,"&lt;="&amp;shifts!AH201,events!V:V,"&gt;"&amp;shifts!AI201,events!D:D,"="&amp;shifts!B202)+SUMIFS(events!T:T,events!L:L,"=Timeout",events!U:U,"&lt;="&amp;shifts!AH201,events!V:V,"&gt;"&amp;shifts!AI201,events!D:D,"="&amp;shifts!B202)</f>
        <v>0</v>
      </c>
      <c r="Y201" s="9" t="str">
        <f t="shared" si="96"/>
        <v/>
      </c>
      <c r="AA201" t="str">
        <f t="shared" si="97"/>
        <v/>
      </c>
      <c r="AC201" t="str">
        <f t="shared" si="98"/>
        <v/>
      </c>
      <c r="AE201">
        <f t="shared" si="101"/>
        <v>18977</v>
      </c>
      <c r="AF201" t="str">
        <f t="shared" si="101"/>
        <v>Velodrome</v>
      </c>
      <c r="AG201" t="str">
        <f t="shared" si="101"/>
        <v>HollowBrook</v>
      </c>
      <c r="AH201" s="6">
        <f t="shared" si="84"/>
        <v>0</v>
      </c>
      <c r="AI201" s="6">
        <f t="shared" si="85"/>
        <v>0</v>
      </c>
      <c r="AJ201" s="18">
        <f t="shared" si="88"/>
        <v>0</v>
      </c>
      <c r="AK201">
        <f t="shared" si="89"/>
        <v>0</v>
      </c>
      <c r="AL201">
        <f t="shared" si="90"/>
        <v>0</v>
      </c>
      <c r="AM201">
        <f t="shared" si="86"/>
        <v>0</v>
      </c>
      <c r="AN201">
        <f t="shared" si="87"/>
        <v>0</v>
      </c>
      <c r="AO201">
        <f t="shared" si="83"/>
        <v>0</v>
      </c>
      <c r="AP201">
        <f t="shared" si="91"/>
        <v>0</v>
      </c>
      <c r="AQ201">
        <f t="shared" si="92"/>
        <v>0</v>
      </c>
      <c r="AR201">
        <f t="shared" si="93"/>
        <v>0</v>
      </c>
      <c r="AS201" t="str">
        <f t="shared" si="94"/>
        <v/>
      </c>
      <c r="AT201" t="str">
        <f t="shared" si="95"/>
        <v>0v0</v>
      </c>
    </row>
    <row r="202" spans="1:46" x14ac:dyDescent="0.2">
      <c r="AH202" s="6"/>
      <c r="AI202" s="6"/>
      <c r="AJ202" s="18"/>
    </row>
    <row r="203" spans="1:46" x14ac:dyDescent="0.2">
      <c r="AH203" s="6"/>
      <c r="AI203" s="6"/>
      <c r="AJ203" s="18"/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C6BD61-2492-1B48-8640-EE7F44BD2FBE}">
          <x14:formula1>
            <xm:f>Lists!$CA:$CA</xm:f>
          </x14:formula1>
          <xm:sqref>G2:G203</xm:sqref>
        </x14:dataValidation>
        <x14:dataValidation type="list" allowBlank="1" showInputMessage="1" showErrorMessage="1" xr:uid="{F96B7B0B-A1E0-0441-9959-A79C46FEC7D1}">
          <x14:formula1>
            <xm:f>Lists!$CC:$CC</xm:f>
          </x14:formula1>
          <xm:sqref>H2:H203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53</vt:i4>
      </vt:variant>
    </vt:vector>
  </HeadingPairs>
  <TitlesOfParts>
    <vt:vector size="57" baseType="lpstr">
      <vt:lpstr>Rules</vt:lpstr>
      <vt:lpstr>Lists</vt:lpstr>
      <vt:lpstr>events</vt:lpstr>
      <vt:lpstr>shifts</vt:lpstr>
      <vt:lpstr>EventType</vt:lpstr>
      <vt:lpstr>Faceoff</vt:lpstr>
      <vt:lpstr>Goal</vt:lpstr>
      <vt:lpstr>Goal_PenaltyShot</vt:lpstr>
      <vt:lpstr>Goal_Scored</vt:lpstr>
      <vt:lpstr>Goal_Shootout</vt:lpstr>
      <vt:lpstr>LoosePuck</vt:lpstr>
      <vt:lpstr>Pass</vt:lpstr>
      <vt:lpstr>Pass_Completed</vt:lpstr>
      <vt:lpstr>Pass_Deflected</vt:lpstr>
      <vt:lpstr>Pass_Intercepted</vt:lpstr>
      <vt:lpstr>Pass_Missed</vt:lpstr>
      <vt:lpstr>Penalty</vt:lpstr>
      <vt:lpstr>Penalty_Major</vt:lpstr>
      <vt:lpstr>Penalty_Minor</vt:lpstr>
      <vt:lpstr>Penalty_Offsetting</vt:lpstr>
      <vt:lpstr>PenaltyShot_Missed</vt:lpstr>
      <vt:lpstr>PenaltyShot_OnNet</vt:lpstr>
      <vt:lpstr>PenaltyShot_Saved</vt:lpstr>
      <vt:lpstr>PenaltyShot_Shootout</vt:lpstr>
      <vt:lpstr>Play</vt:lpstr>
      <vt:lpstr>Play_Defensive</vt:lpstr>
      <vt:lpstr>Play_Offensive</vt:lpstr>
      <vt:lpstr>Rebound</vt:lpstr>
      <vt:lpstr>Save</vt:lpstr>
      <vt:lpstr>Save_Freeze</vt:lpstr>
      <vt:lpstr>Save_Played</vt:lpstr>
      <vt:lpstr>Save_Rebound</vt:lpstr>
      <vt:lpstr>Shootout_Missed</vt:lpstr>
      <vt:lpstr>Shootout_OnNet</vt:lpstr>
      <vt:lpstr>Shootout_Saved</vt:lpstr>
      <vt:lpstr>Shot</vt:lpstr>
      <vt:lpstr>Shot_Blocked</vt:lpstr>
      <vt:lpstr>Shot_BlockedSameTeam</vt:lpstr>
      <vt:lpstr>Shot_Deflected</vt:lpstr>
      <vt:lpstr>Shot_DeflectedGoal</vt:lpstr>
      <vt:lpstr>Shot_DeflectedOnNetSaved</vt:lpstr>
      <vt:lpstr>Shot_Missed</vt:lpstr>
      <vt:lpstr>Shot_OnNetGoal</vt:lpstr>
      <vt:lpstr>Shot_OnNetSaved</vt:lpstr>
      <vt:lpstr>Shot_TippedGoal</vt:lpstr>
      <vt:lpstr>Shot_TippedOnNetSaved</vt:lpstr>
      <vt:lpstr>Stoppage</vt:lpstr>
      <vt:lpstr>Stoppage_Other</vt:lpstr>
      <vt:lpstr>Stoppage_Period</vt:lpstr>
      <vt:lpstr>Stoppage_Play</vt:lpstr>
      <vt:lpstr>Turnover</vt:lpstr>
      <vt:lpstr>Turnover_Giveaway</vt:lpstr>
      <vt:lpstr>Turnover_Takeaway</vt:lpstr>
      <vt:lpstr>Zone_Entry</vt:lpstr>
      <vt:lpstr>Zone_Entry_Exit</vt:lpstr>
      <vt:lpstr>Zone_Exit</vt:lpstr>
      <vt:lpstr>Zone_Keepin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2025-08-29T17:51:06Z</dcterms:created>
  <dcterms:modified xsi:type="dcterms:W3CDTF">2025-10-11T21:55:56Z</dcterms:modified>
</cp:coreProperties>
</file>
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!temp/"/>
    </mc:Choice>
  </mc:AlternateContent>
  <xr:revisionPtr revIDLastSave="0" documentId="13_ncr:1_{F7A6F187-71F5-2749-A9FC-10552B9CF61B}" xr6:coauthVersionLast="47" xr6:coauthVersionMax="47" xr10:uidLastSave="{00000000-0000-0000-0000-000000000000}"/>
  <bookViews>
    <workbookView xWindow="4360" yWindow="680" windowWidth="30200" windowHeight="21660" activeTab="4" xr2:uid="{EF01C613-D165-2D4B-B5E8-CA54AD994DA8}"/>
  </bookViews>
  <sheets>
    <sheet name="examples" sheetId="9" r:id="rId1"/>
    <sheet name="Sheet1" sheetId="10" r:id="rId2"/>
    <sheet name="Rules" sheetId="5" r:id="rId3"/>
    <sheet name="Lists" sheetId="4" r:id="rId4"/>
    <sheet name="events" sheetId="1" r:id="rId5"/>
    <sheet name="shifts" sheetId="8" r:id="rId6"/>
    <sheet name="game_rosters" sheetId="11" r:id="rId7"/>
  </sheets>
  <definedNames>
    <definedName name="_xlnm._FilterDatabase" localSheetId="4" hidden="1">events!$F$1:$BS$860</definedName>
    <definedName name="DEfensive">Lists!$BL:$BL</definedName>
    <definedName name="EventType">Lists!$A$2:$A$16</definedName>
    <definedName name="Faceoff">Lists!$G$2:$G$1048576</definedName>
    <definedName name="Goal">Lists!$J$2:$J$1048576</definedName>
    <definedName name="Goal_PenaltyShot">Lists!$BA$2:$BA$1048576</definedName>
    <definedName name="Goal_Scored">Lists!$AY$2:$AY$1048576</definedName>
    <definedName name="Goal_Shootout">Lists!$AZ$2:$AZ$1048576</definedName>
    <definedName name="LoosePuck">Lists!$P$2:$P$1048576</definedName>
    <definedName name="Offensive">Lists!$BK:$BK</definedName>
    <definedName name="Pass">Lists!$I$2:$I$1048576</definedName>
    <definedName name="Pass_Completed">Lists!$R$2:$R$1048576</definedName>
    <definedName name="Pass_Deflected">Lists!$T$2:$T$1048576</definedName>
    <definedName name="Pass_Intercepted">Lists!$U$2:$U$1048576</definedName>
    <definedName name="Pass_Missed">Lists!$S$2:$S$1048576</definedName>
    <definedName name="Penalty">Lists!$M$2:$M$1048576</definedName>
    <definedName name="Penalty_Major">Lists!$AA$2:$AA$1048576</definedName>
    <definedName name="Penalty_Minor">Lists!$AB$2:$AB$1048576</definedName>
    <definedName name="Penalty_Offsetting">Lists!$AC$2:$AC$1048576</definedName>
    <definedName name="PenaltyShot_Missed">Lists!$AK$2:$AK$1048576</definedName>
    <definedName name="PenaltyShot_OnNet">Lists!$AJ$2:$AJ$1048576</definedName>
    <definedName name="PenaltyShot_Saved">Lists!$AL$2:$AL$1048576</definedName>
    <definedName name="PenaltyShot_Shootout">Lists!$N$2:$N$1048576</definedName>
    <definedName name="Play">Lists!$F:$F</definedName>
    <definedName name="Play_Defensive">Lists!$BE:$BE</definedName>
    <definedName name="Play_Offensive">Lists!$BD:$BD</definedName>
    <definedName name="Possession">Lists!$BF:$BF</definedName>
    <definedName name="Rebound">Lists!$BC$2:$BC$1048576</definedName>
    <definedName name="Save">Lists!$Q$2:$Q$1048576</definedName>
    <definedName name="Save_Freeze">Lists!$AN$2:$AN$1048576</definedName>
    <definedName name="Save_Played">Lists!$BB:$BB</definedName>
    <definedName name="Save_Rebound">Lists!$AM$2:$AM$1048576</definedName>
    <definedName name="Shootout_Missed">Lists!$AH$2:$AH$1048576</definedName>
    <definedName name="Shootout_OnNet">Lists!$AG$2:$AG$1048576</definedName>
    <definedName name="Shootout_Saved">Lists!$AI$2:$AI$1048576</definedName>
    <definedName name="Shot">Lists!$H$2:$H$1048576</definedName>
    <definedName name="Shot_Blocked">Lists!$AQ$2:$AQ$1048576</definedName>
    <definedName name="Shot_BlockedSameTeam">Lists!$AR$2:$AR$1048576</definedName>
    <definedName name="Shot_Deflected">Lists!$AS$2:$AS$1048576</definedName>
    <definedName name="Shot_DeflectedGoal">Lists!$AX$2:$AX$1048576</definedName>
    <definedName name="Shot_DeflectedOnNetSaved">Lists!$AT$2:$AT$1048576</definedName>
    <definedName name="Shot_Missed">Lists!$AP$2:$AP$1048576</definedName>
    <definedName name="Shot_MissedPost">Lists!$BH:$BH</definedName>
    <definedName name="Shot_OnNetGoal">Lists!$AV$2:$AV$1048576</definedName>
    <definedName name="Shot_OnNetSaved">Lists!$AO$2:$AO$1048576</definedName>
    <definedName name="Shot_TippedGoal">Lists!$AW$2:$AW$1048576</definedName>
    <definedName name="Shot_TippedOnNetSaved">Lists!$AU$2:$AU$1048576</definedName>
    <definedName name="Stoppage">Lists!$O$2:$O$1048576</definedName>
    <definedName name="Stoppage_Other">Lists!$AF$2:$AF$1048576</definedName>
    <definedName name="Stoppage_Period">Lists!$AE$2:$AE$1048576</definedName>
    <definedName name="Stoppage_Play">Lists!$AD$2:$AD$1048576</definedName>
    <definedName name="Turnover">Lists!$K$2:$K$1048576</definedName>
    <definedName name="Turnover_Giveaway">Lists!$V$2:$V$1048576</definedName>
    <definedName name="Turnover_Takeaway">Lists!$W$2:$W$1048576</definedName>
    <definedName name="Zone_Entry">Lists!$X$2:$X$1048576</definedName>
    <definedName name="Zone_Entry_Exit">Lists!$L$2:$L$1048576</definedName>
    <definedName name="Zone_EntryFailed">Lists!$BM:$BM</definedName>
    <definedName name="Zone_Exit">Lists!$Y$2:$Y$1048576</definedName>
    <definedName name="Zone_ExitFailed">Lists!$BN:$BN</definedName>
    <definedName name="Zone_Keepin">Lists!$Z$2:$Z$1048576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 a="1"/>
  <c r="X3" i="1" s="1"/>
  <c r="AJ6" i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  <c r="AJ62" i="1" s="1"/>
  <c r="AJ63" i="1" s="1"/>
  <c r="AJ64" i="1" s="1"/>
  <c r="AJ65" i="1" s="1"/>
  <c r="AJ66" i="1" s="1"/>
  <c r="AJ67" i="1" s="1"/>
  <c r="AJ68" i="1" s="1"/>
  <c r="AJ69" i="1" s="1"/>
  <c r="AJ70" i="1" s="1"/>
  <c r="AJ71" i="1" s="1"/>
  <c r="AJ72" i="1" s="1"/>
  <c r="AJ73" i="1" s="1"/>
  <c r="AJ74" i="1" s="1"/>
  <c r="AJ75" i="1" s="1"/>
  <c r="AJ76" i="1" s="1"/>
  <c r="AJ77" i="1" s="1"/>
  <c r="AJ78" i="1" s="1"/>
  <c r="AJ79" i="1" s="1"/>
  <c r="AJ80" i="1" s="1"/>
  <c r="AJ81" i="1" s="1"/>
  <c r="AJ82" i="1" s="1"/>
  <c r="AJ83" i="1" s="1"/>
  <c r="AJ84" i="1" s="1"/>
  <c r="AJ85" i="1" s="1"/>
  <c r="AJ86" i="1" s="1"/>
  <c r="AJ87" i="1" s="1"/>
  <c r="AJ88" i="1" s="1"/>
  <c r="AJ89" i="1" s="1"/>
  <c r="AJ90" i="1" s="1"/>
  <c r="AJ91" i="1" s="1"/>
  <c r="AJ92" i="1" s="1"/>
  <c r="AJ93" i="1" s="1"/>
  <c r="AJ94" i="1" s="1"/>
  <c r="AJ95" i="1" s="1"/>
  <c r="AJ96" i="1" s="1"/>
  <c r="AJ97" i="1" s="1"/>
  <c r="AJ98" i="1" s="1"/>
  <c r="AJ99" i="1" s="1"/>
  <c r="AJ100" i="1" s="1"/>
  <c r="AJ101" i="1" s="1"/>
  <c r="AJ102" i="1" s="1"/>
  <c r="AJ103" i="1" s="1"/>
  <c r="AJ104" i="1" s="1"/>
  <c r="AJ105" i="1" s="1"/>
  <c r="AJ106" i="1" s="1"/>
  <c r="AJ107" i="1" s="1"/>
  <c r="AJ108" i="1" s="1"/>
  <c r="AJ109" i="1" s="1"/>
  <c r="AJ110" i="1" s="1"/>
  <c r="AJ111" i="1" s="1"/>
  <c r="AJ112" i="1" s="1"/>
  <c r="AJ113" i="1" s="1"/>
  <c r="AJ114" i="1" s="1"/>
  <c r="AJ115" i="1" s="1"/>
  <c r="AJ116" i="1" s="1"/>
  <c r="AJ117" i="1" s="1"/>
  <c r="AJ118" i="1" s="1"/>
  <c r="AJ119" i="1" s="1"/>
  <c r="AJ120" i="1" s="1"/>
  <c r="AJ121" i="1" s="1"/>
  <c r="AJ122" i="1" s="1"/>
  <c r="AJ123" i="1" s="1"/>
  <c r="AJ124" i="1" s="1"/>
  <c r="AJ125" i="1" s="1"/>
  <c r="AJ126" i="1" s="1"/>
  <c r="AJ127" i="1" s="1"/>
  <c r="AJ128" i="1" s="1"/>
  <c r="AJ129" i="1" s="1"/>
  <c r="AJ130" i="1" s="1"/>
  <c r="AJ131" i="1" s="1"/>
  <c r="AJ132" i="1" s="1"/>
  <c r="AJ133" i="1" s="1"/>
  <c r="AJ134" i="1" s="1"/>
  <c r="AJ135" i="1" s="1"/>
  <c r="AJ136" i="1" s="1"/>
  <c r="AJ137" i="1" s="1"/>
  <c r="AJ138" i="1" s="1"/>
  <c r="AJ139" i="1" s="1"/>
  <c r="AJ140" i="1" s="1"/>
  <c r="AJ141" i="1" s="1"/>
  <c r="AJ142" i="1" s="1"/>
  <c r="AJ143" i="1" s="1"/>
  <c r="AJ144" i="1" s="1"/>
  <c r="AJ145" i="1" s="1"/>
  <c r="AJ146" i="1" s="1"/>
  <c r="AJ147" i="1" s="1"/>
  <c r="AJ148" i="1" s="1"/>
  <c r="AJ149" i="1" s="1"/>
  <c r="AJ150" i="1" s="1"/>
  <c r="AJ151" i="1" s="1"/>
  <c r="AJ152" i="1" s="1"/>
  <c r="AJ153" i="1" s="1"/>
  <c r="AJ154" i="1" s="1"/>
  <c r="AJ155" i="1" s="1"/>
  <c r="AJ156" i="1" s="1"/>
  <c r="AJ157" i="1" s="1"/>
  <c r="AJ158" i="1" s="1"/>
  <c r="AJ159" i="1" s="1"/>
  <c r="AJ160" i="1" s="1"/>
  <c r="AJ161" i="1" s="1"/>
  <c r="AJ162" i="1" s="1"/>
  <c r="AJ163" i="1" s="1"/>
  <c r="AJ164" i="1" s="1"/>
  <c r="AJ165" i="1" s="1"/>
  <c r="AJ166" i="1" s="1"/>
  <c r="AJ167" i="1" s="1"/>
  <c r="AJ168" i="1" s="1"/>
  <c r="AJ169" i="1" s="1"/>
  <c r="AJ170" i="1" s="1"/>
  <c r="AJ171" i="1" s="1"/>
  <c r="AJ172" i="1" s="1"/>
  <c r="AJ173" i="1" s="1"/>
  <c r="AJ174" i="1" s="1"/>
  <c r="AJ175" i="1" s="1"/>
  <c r="AJ176" i="1" s="1"/>
  <c r="AJ177" i="1" s="1"/>
  <c r="AJ178" i="1" s="1"/>
  <c r="AJ179" i="1" s="1"/>
  <c r="AJ180" i="1" s="1"/>
  <c r="AJ181" i="1" s="1"/>
  <c r="AJ182" i="1" s="1"/>
  <c r="AJ183" i="1" s="1"/>
  <c r="AJ184" i="1" s="1"/>
  <c r="AJ185" i="1" s="1"/>
  <c r="AJ186" i="1" s="1"/>
  <c r="AJ187" i="1" s="1"/>
  <c r="AJ188" i="1" s="1"/>
  <c r="AJ189" i="1" s="1"/>
  <c r="AJ190" i="1" s="1"/>
  <c r="AJ191" i="1" s="1"/>
  <c r="AJ192" i="1" s="1"/>
  <c r="AJ193" i="1" s="1"/>
  <c r="AJ194" i="1" s="1"/>
  <c r="AJ195" i="1" s="1"/>
  <c r="AJ196" i="1" s="1"/>
  <c r="AJ197" i="1" s="1"/>
  <c r="AJ198" i="1" s="1"/>
  <c r="AJ199" i="1" s="1"/>
  <c r="AJ200" i="1" s="1"/>
  <c r="AJ201" i="1" s="1"/>
  <c r="AJ202" i="1" s="1"/>
  <c r="AJ203" i="1" s="1"/>
  <c r="AJ204" i="1" s="1"/>
  <c r="AJ205" i="1" s="1"/>
  <c r="AJ206" i="1" s="1"/>
  <c r="AJ207" i="1" s="1"/>
  <c r="AJ208" i="1" s="1"/>
  <c r="AJ209" i="1" s="1"/>
  <c r="AJ210" i="1" s="1"/>
  <c r="AJ211" i="1" s="1"/>
  <c r="AJ212" i="1" s="1"/>
  <c r="AJ213" i="1" s="1"/>
  <c r="AJ214" i="1" s="1"/>
  <c r="AJ215" i="1" s="1"/>
  <c r="AJ216" i="1" s="1"/>
  <c r="AJ217" i="1" s="1"/>
  <c r="AJ218" i="1" s="1"/>
  <c r="AJ219" i="1" s="1"/>
  <c r="AJ220" i="1" s="1"/>
  <c r="AJ221" i="1" s="1"/>
  <c r="AJ222" i="1" s="1"/>
  <c r="AJ223" i="1" s="1"/>
  <c r="AJ224" i="1" s="1"/>
  <c r="AJ225" i="1" s="1"/>
  <c r="AJ226" i="1" s="1"/>
  <c r="AJ227" i="1" s="1"/>
  <c r="AJ228" i="1" s="1"/>
  <c r="AJ229" i="1" s="1"/>
  <c r="AJ230" i="1" s="1"/>
  <c r="AJ231" i="1" s="1"/>
  <c r="AJ232" i="1" s="1"/>
  <c r="AJ233" i="1" s="1"/>
  <c r="AJ234" i="1" s="1"/>
  <c r="AJ235" i="1" s="1"/>
  <c r="AJ236" i="1" s="1"/>
  <c r="AJ237" i="1" s="1"/>
  <c r="AJ238" i="1" s="1"/>
  <c r="AJ239" i="1" s="1"/>
  <c r="AJ240" i="1" s="1"/>
  <c r="AJ241" i="1" s="1"/>
  <c r="AJ242" i="1" s="1"/>
  <c r="AJ243" i="1" s="1"/>
  <c r="AJ244" i="1" s="1"/>
  <c r="AJ245" i="1" s="1"/>
  <c r="AJ246" i="1" s="1"/>
  <c r="AJ247" i="1" s="1"/>
  <c r="AJ248" i="1" s="1"/>
  <c r="AJ249" i="1" s="1"/>
  <c r="AJ250" i="1" s="1"/>
  <c r="AJ251" i="1" s="1"/>
  <c r="AJ252" i="1" s="1"/>
  <c r="AJ253" i="1" s="1"/>
  <c r="AJ254" i="1" s="1"/>
  <c r="AJ255" i="1" s="1"/>
  <c r="AJ256" i="1" s="1"/>
  <c r="AJ257" i="1" s="1"/>
  <c r="AJ258" i="1" s="1"/>
  <c r="AJ259" i="1" s="1"/>
  <c r="AJ260" i="1" s="1"/>
  <c r="AJ261" i="1" s="1"/>
  <c r="AJ262" i="1" s="1"/>
  <c r="AJ263" i="1" s="1"/>
  <c r="AJ264" i="1" s="1"/>
  <c r="AJ265" i="1" s="1"/>
  <c r="AJ266" i="1" s="1"/>
  <c r="AJ267" i="1" s="1"/>
  <c r="AJ268" i="1" s="1"/>
  <c r="AJ269" i="1" s="1"/>
  <c r="AJ270" i="1" s="1"/>
  <c r="AJ271" i="1" s="1"/>
  <c r="AJ272" i="1" s="1"/>
  <c r="AJ273" i="1" s="1"/>
  <c r="AJ274" i="1" s="1"/>
  <c r="AJ275" i="1" s="1"/>
  <c r="AJ276" i="1" s="1"/>
  <c r="AJ277" i="1" s="1"/>
  <c r="AJ278" i="1" s="1"/>
  <c r="AJ279" i="1" s="1"/>
  <c r="AJ280" i="1" s="1"/>
  <c r="AJ281" i="1" s="1"/>
  <c r="AJ282" i="1" s="1"/>
  <c r="AJ283" i="1" s="1"/>
  <c r="AJ284" i="1" s="1"/>
  <c r="AJ285" i="1" s="1"/>
  <c r="AJ286" i="1" s="1"/>
  <c r="AJ287" i="1" s="1"/>
  <c r="AJ288" i="1" s="1"/>
  <c r="AJ289" i="1" s="1"/>
  <c r="AJ290" i="1" s="1"/>
  <c r="AJ291" i="1" s="1"/>
  <c r="AJ292" i="1" s="1"/>
  <c r="AJ293" i="1" s="1"/>
  <c r="AJ294" i="1" s="1"/>
  <c r="AJ295" i="1" s="1"/>
  <c r="AJ296" i="1" s="1"/>
  <c r="AJ297" i="1" s="1"/>
  <c r="AJ298" i="1" s="1"/>
  <c r="AJ299" i="1" s="1"/>
  <c r="AJ300" i="1" s="1"/>
  <c r="AJ301" i="1" s="1"/>
  <c r="AJ302" i="1" s="1"/>
  <c r="AJ303" i="1" s="1"/>
  <c r="AJ304" i="1" s="1"/>
  <c r="AJ305" i="1" s="1"/>
  <c r="AJ306" i="1" s="1"/>
  <c r="AJ307" i="1" s="1"/>
  <c r="AJ308" i="1" s="1"/>
  <c r="AJ309" i="1" s="1"/>
  <c r="AJ310" i="1" s="1"/>
  <c r="AJ311" i="1" s="1"/>
  <c r="AJ312" i="1" s="1"/>
  <c r="AJ313" i="1" s="1"/>
  <c r="AJ314" i="1" s="1"/>
  <c r="AJ315" i="1" s="1"/>
  <c r="AJ316" i="1" s="1"/>
  <c r="AJ317" i="1" s="1"/>
  <c r="AJ318" i="1" s="1"/>
  <c r="AJ319" i="1" s="1"/>
  <c r="AJ320" i="1" s="1"/>
  <c r="AJ321" i="1" s="1"/>
  <c r="AJ322" i="1" s="1"/>
  <c r="AJ323" i="1" s="1"/>
  <c r="AJ324" i="1" s="1"/>
  <c r="AJ325" i="1" s="1"/>
  <c r="AJ326" i="1" s="1"/>
  <c r="AJ327" i="1" s="1"/>
  <c r="AJ328" i="1" s="1"/>
  <c r="AJ329" i="1" s="1"/>
  <c r="AJ330" i="1" s="1"/>
  <c r="AJ331" i="1" s="1"/>
  <c r="AJ332" i="1" s="1"/>
  <c r="AJ333" i="1" s="1"/>
  <c r="AJ334" i="1" s="1"/>
  <c r="AJ335" i="1" s="1"/>
  <c r="AJ336" i="1" s="1"/>
  <c r="AJ337" i="1" s="1"/>
  <c r="AJ338" i="1" s="1"/>
  <c r="AJ339" i="1" s="1"/>
  <c r="AJ340" i="1" s="1"/>
  <c r="AJ341" i="1" s="1"/>
  <c r="AJ342" i="1" s="1"/>
  <c r="AJ343" i="1" s="1"/>
  <c r="AJ344" i="1" s="1"/>
  <c r="AJ345" i="1" s="1"/>
  <c r="AJ346" i="1" s="1"/>
  <c r="AJ347" i="1" s="1"/>
  <c r="AJ348" i="1" s="1"/>
  <c r="AJ349" i="1" s="1"/>
  <c r="AJ350" i="1" s="1"/>
  <c r="AJ351" i="1" s="1"/>
  <c r="AJ352" i="1" s="1"/>
  <c r="AJ353" i="1" s="1"/>
  <c r="AJ354" i="1" s="1"/>
  <c r="AJ355" i="1" s="1"/>
  <c r="AJ356" i="1" s="1"/>
  <c r="AJ357" i="1" s="1"/>
  <c r="AJ358" i="1" s="1"/>
  <c r="AJ359" i="1" s="1"/>
  <c r="AJ360" i="1" s="1"/>
  <c r="AJ361" i="1" s="1"/>
  <c r="AJ362" i="1" s="1"/>
  <c r="AJ363" i="1" s="1"/>
  <c r="AJ364" i="1" s="1"/>
  <c r="AJ365" i="1" s="1"/>
  <c r="AJ366" i="1" s="1"/>
  <c r="AJ367" i="1" s="1"/>
  <c r="AJ368" i="1" s="1"/>
  <c r="AJ369" i="1" s="1"/>
  <c r="AJ370" i="1" s="1"/>
  <c r="AJ371" i="1" s="1"/>
  <c r="AJ372" i="1" s="1"/>
  <c r="AJ373" i="1" s="1"/>
  <c r="AJ374" i="1" s="1"/>
  <c r="AJ375" i="1" s="1"/>
  <c r="AJ376" i="1" s="1"/>
  <c r="AJ377" i="1" s="1"/>
  <c r="AJ378" i="1" s="1"/>
  <c r="AJ379" i="1" s="1"/>
  <c r="AJ380" i="1" s="1"/>
  <c r="AJ381" i="1" s="1"/>
  <c r="AJ382" i="1" s="1"/>
  <c r="AJ383" i="1" s="1"/>
  <c r="AJ384" i="1" s="1"/>
  <c r="AJ385" i="1" s="1"/>
  <c r="AJ386" i="1" s="1"/>
  <c r="AJ387" i="1" s="1"/>
  <c r="AJ388" i="1" s="1"/>
  <c r="AJ389" i="1" s="1"/>
  <c r="AJ390" i="1" s="1"/>
  <c r="AJ391" i="1" s="1"/>
  <c r="AJ392" i="1" s="1"/>
  <c r="AJ393" i="1" s="1"/>
  <c r="AJ394" i="1" s="1"/>
  <c r="AJ395" i="1" s="1"/>
  <c r="AJ396" i="1" s="1"/>
  <c r="AJ397" i="1" s="1"/>
  <c r="AJ398" i="1" s="1"/>
  <c r="AJ399" i="1" s="1"/>
  <c r="AJ400" i="1" s="1"/>
  <c r="AJ401" i="1" s="1"/>
  <c r="AJ402" i="1" s="1"/>
  <c r="AJ403" i="1" s="1"/>
  <c r="AJ404" i="1" s="1"/>
  <c r="AJ405" i="1" s="1"/>
  <c r="AJ406" i="1" s="1"/>
  <c r="AJ407" i="1" s="1"/>
  <c r="AJ408" i="1" s="1"/>
  <c r="AJ409" i="1" s="1"/>
  <c r="AJ410" i="1" s="1"/>
  <c r="AJ411" i="1" s="1"/>
  <c r="AJ412" i="1" s="1"/>
  <c r="AJ413" i="1" s="1"/>
  <c r="AJ414" i="1" s="1"/>
  <c r="AJ415" i="1" s="1"/>
  <c r="AJ416" i="1" s="1"/>
  <c r="AJ417" i="1" s="1"/>
  <c r="AJ418" i="1" s="1"/>
  <c r="AJ419" i="1" s="1"/>
  <c r="AJ420" i="1" s="1"/>
  <c r="AJ421" i="1" s="1"/>
  <c r="AJ422" i="1" s="1"/>
  <c r="AJ423" i="1" s="1"/>
  <c r="AJ424" i="1" s="1"/>
  <c r="AJ425" i="1" s="1"/>
  <c r="AJ426" i="1" s="1"/>
  <c r="AJ427" i="1" s="1"/>
  <c r="AJ428" i="1" s="1"/>
  <c r="AJ429" i="1" s="1"/>
  <c r="AJ430" i="1" s="1"/>
  <c r="AJ431" i="1" s="1"/>
  <c r="AJ432" i="1" s="1"/>
  <c r="AJ433" i="1" s="1"/>
  <c r="AJ434" i="1" s="1"/>
  <c r="AJ435" i="1" s="1"/>
  <c r="AJ436" i="1" s="1"/>
  <c r="AJ437" i="1" s="1"/>
  <c r="AJ438" i="1" s="1"/>
  <c r="AJ439" i="1" s="1"/>
  <c r="AJ440" i="1" s="1"/>
  <c r="AJ441" i="1" s="1"/>
  <c r="AJ442" i="1" s="1"/>
  <c r="AJ443" i="1" s="1"/>
  <c r="AJ444" i="1" s="1"/>
  <c r="AJ445" i="1" s="1"/>
  <c r="AJ446" i="1" s="1"/>
  <c r="AJ447" i="1" s="1"/>
  <c r="AJ448" i="1" s="1"/>
  <c r="AJ449" i="1" s="1"/>
  <c r="AJ450" i="1" s="1"/>
  <c r="AJ451" i="1" s="1"/>
  <c r="AJ452" i="1" s="1"/>
  <c r="AJ453" i="1" s="1"/>
  <c r="AJ454" i="1" s="1"/>
  <c r="AJ455" i="1" s="1"/>
  <c r="AJ456" i="1" s="1"/>
  <c r="AJ457" i="1" s="1"/>
  <c r="AJ5" i="1"/>
  <c r="AI6" i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I112" i="1" s="1"/>
  <c r="AI113" i="1" s="1"/>
  <c r="AI114" i="1" s="1"/>
  <c r="AI115" i="1" s="1"/>
  <c r="AI116" i="1" s="1"/>
  <c r="AI117" i="1" s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I265" i="1" s="1"/>
  <c r="AI266" i="1" s="1"/>
  <c r="AI267" i="1" s="1"/>
  <c r="AI268" i="1" s="1"/>
  <c r="AI269" i="1" s="1"/>
  <c r="AI270" i="1" s="1"/>
  <c r="AI271" i="1" s="1"/>
  <c r="AI272" i="1" s="1"/>
  <c r="AI273" i="1" s="1"/>
  <c r="AI274" i="1" s="1"/>
  <c r="AI275" i="1" s="1"/>
  <c r="AI276" i="1" s="1"/>
  <c r="AI277" i="1" s="1"/>
  <c r="AI278" i="1" s="1"/>
  <c r="AI279" i="1" s="1"/>
  <c r="AI280" i="1" s="1"/>
  <c r="AI281" i="1" s="1"/>
  <c r="AI282" i="1" s="1"/>
  <c r="AI283" i="1" s="1"/>
  <c r="AI284" i="1" s="1"/>
  <c r="AI285" i="1" s="1"/>
  <c r="AI286" i="1" s="1"/>
  <c r="AI287" i="1" s="1"/>
  <c r="AI288" i="1" s="1"/>
  <c r="AI289" i="1" s="1"/>
  <c r="AI290" i="1" s="1"/>
  <c r="AI291" i="1" s="1"/>
  <c r="AI292" i="1" s="1"/>
  <c r="AI293" i="1" s="1"/>
  <c r="AI294" i="1" s="1"/>
  <c r="AI295" i="1" s="1"/>
  <c r="AI296" i="1" s="1"/>
  <c r="AI297" i="1" s="1"/>
  <c r="AI298" i="1" s="1"/>
  <c r="AI299" i="1" s="1"/>
  <c r="AI300" i="1" s="1"/>
  <c r="AI301" i="1" s="1"/>
  <c r="AI302" i="1" s="1"/>
  <c r="AI303" i="1" s="1"/>
  <c r="AI304" i="1" s="1"/>
  <c r="AI305" i="1" s="1"/>
  <c r="AI306" i="1" s="1"/>
  <c r="AI307" i="1" s="1"/>
  <c r="AI308" i="1" s="1"/>
  <c r="AI309" i="1" s="1"/>
  <c r="AI310" i="1" s="1"/>
  <c r="AI311" i="1" s="1"/>
  <c r="AI312" i="1" s="1"/>
  <c r="AI313" i="1" s="1"/>
  <c r="AI314" i="1" s="1"/>
  <c r="AI315" i="1" s="1"/>
  <c r="AI316" i="1" s="1"/>
  <c r="AI317" i="1" s="1"/>
  <c r="AI318" i="1" s="1"/>
  <c r="AI319" i="1" s="1"/>
  <c r="AI320" i="1" s="1"/>
  <c r="AI321" i="1" s="1"/>
  <c r="AI322" i="1" s="1"/>
  <c r="AI323" i="1" s="1"/>
  <c r="AI324" i="1" s="1"/>
  <c r="AI325" i="1" s="1"/>
  <c r="AI326" i="1" s="1"/>
  <c r="AI327" i="1" s="1"/>
  <c r="AI328" i="1" s="1"/>
  <c r="AI329" i="1" s="1"/>
  <c r="AI330" i="1" s="1"/>
  <c r="AI331" i="1" s="1"/>
  <c r="AI332" i="1" s="1"/>
  <c r="AI333" i="1" s="1"/>
  <c r="AI334" i="1" s="1"/>
  <c r="AI335" i="1" s="1"/>
  <c r="AI336" i="1" s="1"/>
  <c r="AI337" i="1" s="1"/>
  <c r="AI338" i="1" s="1"/>
  <c r="AI339" i="1" s="1"/>
  <c r="AI340" i="1" s="1"/>
  <c r="AI341" i="1" s="1"/>
  <c r="AI342" i="1" s="1"/>
  <c r="AI343" i="1" s="1"/>
  <c r="AI344" i="1" s="1"/>
  <c r="AI345" i="1" s="1"/>
  <c r="AI346" i="1" s="1"/>
  <c r="AI347" i="1" s="1"/>
  <c r="AI348" i="1" s="1"/>
  <c r="AI349" i="1" s="1"/>
  <c r="AI350" i="1" s="1"/>
  <c r="AI351" i="1" s="1"/>
  <c r="AI352" i="1" s="1"/>
  <c r="AI353" i="1" s="1"/>
  <c r="AI354" i="1" s="1"/>
  <c r="AI355" i="1" s="1"/>
  <c r="AI356" i="1" s="1"/>
  <c r="AI357" i="1" s="1"/>
  <c r="AI358" i="1" s="1"/>
  <c r="AI359" i="1" s="1"/>
  <c r="AI360" i="1" s="1"/>
  <c r="AI361" i="1" s="1"/>
  <c r="AI362" i="1" s="1"/>
  <c r="AI363" i="1" s="1"/>
  <c r="AI364" i="1" s="1"/>
  <c r="AI365" i="1" s="1"/>
  <c r="AI366" i="1" s="1"/>
  <c r="AI367" i="1" s="1"/>
  <c r="AI368" i="1" s="1"/>
  <c r="AI369" i="1" s="1"/>
  <c r="AI370" i="1" s="1"/>
  <c r="AI371" i="1" s="1"/>
  <c r="AI372" i="1" s="1"/>
  <c r="AI373" i="1" s="1"/>
  <c r="AI374" i="1" s="1"/>
  <c r="AI375" i="1" s="1"/>
  <c r="AI376" i="1" s="1"/>
  <c r="AI377" i="1" s="1"/>
  <c r="AI378" i="1" s="1"/>
  <c r="AI379" i="1" s="1"/>
  <c r="AI380" i="1" s="1"/>
  <c r="AI381" i="1" s="1"/>
  <c r="AI382" i="1" s="1"/>
  <c r="AI383" i="1" s="1"/>
  <c r="AI384" i="1" s="1"/>
  <c r="AI385" i="1" s="1"/>
  <c r="AI386" i="1" s="1"/>
  <c r="AI387" i="1" s="1"/>
  <c r="AI388" i="1" s="1"/>
  <c r="AI389" i="1" s="1"/>
  <c r="AI390" i="1" s="1"/>
  <c r="AI391" i="1" s="1"/>
  <c r="AI392" i="1" s="1"/>
  <c r="AI393" i="1" s="1"/>
  <c r="AI394" i="1" s="1"/>
  <c r="AI395" i="1" s="1"/>
  <c r="AI396" i="1" s="1"/>
  <c r="AI397" i="1" s="1"/>
  <c r="AI398" i="1" s="1"/>
  <c r="AI399" i="1" s="1"/>
  <c r="AI400" i="1" s="1"/>
  <c r="AI401" i="1" s="1"/>
  <c r="AI402" i="1" s="1"/>
  <c r="AI403" i="1" s="1"/>
  <c r="AI404" i="1" s="1"/>
  <c r="AI405" i="1" s="1"/>
  <c r="AI406" i="1" s="1"/>
  <c r="AI407" i="1" s="1"/>
  <c r="AI408" i="1" s="1"/>
  <c r="AI409" i="1" s="1"/>
  <c r="AI410" i="1" s="1"/>
  <c r="AI411" i="1" s="1"/>
  <c r="AI412" i="1" s="1"/>
  <c r="AI413" i="1" s="1"/>
  <c r="AI414" i="1" s="1"/>
  <c r="AI415" i="1" s="1"/>
  <c r="AI416" i="1" s="1"/>
  <c r="AI417" i="1" s="1"/>
  <c r="AI418" i="1" s="1"/>
  <c r="AI419" i="1" s="1"/>
  <c r="AI420" i="1" s="1"/>
  <c r="AI421" i="1" s="1"/>
  <c r="AI422" i="1" s="1"/>
  <c r="AI423" i="1" s="1"/>
  <c r="AI424" i="1" s="1"/>
  <c r="AI425" i="1" s="1"/>
  <c r="AI426" i="1" s="1"/>
  <c r="AI427" i="1" s="1"/>
  <c r="AI428" i="1" s="1"/>
  <c r="AI429" i="1" s="1"/>
  <c r="AI430" i="1" s="1"/>
  <c r="AI431" i="1" s="1"/>
  <c r="AI432" i="1" s="1"/>
  <c r="AI433" i="1" s="1"/>
  <c r="AI434" i="1" s="1"/>
  <c r="AI435" i="1" s="1"/>
  <c r="AI436" i="1" s="1"/>
  <c r="AI437" i="1" s="1"/>
  <c r="AI438" i="1" s="1"/>
  <c r="AI439" i="1" s="1"/>
  <c r="AI440" i="1" s="1"/>
  <c r="AI441" i="1" s="1"/>
  <c r="AI442" i="1" s="1"/>
  <c r="AI443" i="1" s="1"/>
  <c r="AI444" i="1" s="1"/>
  <c r="AI445" i="1" s="1"/>
  <c r="AI446" i="1" s="1"/>
  <c r="AI447" i="1" s="1"/>
  <c r="AI448" i="1" s="1"/>
  <c r="AI449" i="1" s="1"/>
  <c r="AI450" i="1" s="1"/>
  <c r="AI451" i="1" s="1"/>
  <c r="AI452" i="1" s="1"/>
  <c r="AI453" i="1" s="1"/>
  <c r="AI454" i="1" s="1"/>
  <c r="AI455" i="1" s="1"/>
  <c r="AI456" i="1" s="1"/>
  <c r="AI457" i="1" s="1"/>
  <c r="AI458" i="1" s="1"/>
  <c r="AI459" i="1" s="1"/>
  <c r="AI460" i="1" s="1"/>
  <c r="AI461" i="1" s="1"/>
  <c r="AI462" i="1" s="1"/>
  <c r="AI463" i="1" s="1"/>
  <c r="AI464" i="1" s="1"/>
  <c r="AI465" i="1" s="1"/>
  <c r="AI466" i="1" s="1"/>
  <c r="AI467" i="1" s="1"/>
  <c r="AI468" i="1" s="1"/>
  <c r="AI469" i="1" s="1"/>
  <c r="AI470" i="1" s="1"/>
  <c r="AI471" i="1" s="1"/>
  <c r="AI472" i="1" s="1"/>
  <c r="AI473" i="1" s="1"/>
  <c r="AI474" i="1" s="1"/>
  <c r="AI475" i="1" s="1"/>
  <c r="AI476" i="1" s="1"/>
  <c r="AI477" i="1" s="1"/>
  <c r="AI478" i="1" s="1"/>
  <c r="AI479" i="1" s="1"/>
  <c r="AI480" i="1" s="1"/>
  <c r="AI481" i="1" s="1"/>
  <c r="AI482" i="1" s="1"/>
  <c r="AI483" i="1" s="1"/>
  <c r="AI484" i="1" s="1"/>
  <c r="AI485" i="1" s="1"/>
  <c r="AI486" i="1" s="1"/>
  <c r="AI487" i="1" s="1"/>
  <c r="AI488" i="1" s="1"/>
  <c r="AI489" i="1" s="1"/>
  <c r="AI490" i="1" s="1"/>
  <c r="AI491" i="1" s="1"/>
  <c r="AI492" i="1" s="1"/>
  <c r="AI493" i="1" s="1"/>
  <c r="AI494" i="1" s="1"/>
  <c r="AI495" i="1" s="1"/>
  <c r="AI496" i="1" s="1"/>
  <c r="AI497" i="1" s="1"/>
  <c r="AI498" i="1" s="1"/>
  <c r="AI499" i="1" s="1"/>
  <c r="AI500" i="1" s="1"/>
  <c r="AI501" i="1" s="1"/>
  <c r="AI502" i="1" s="1"/>
  <c r="AI503" i="1" s="1"/>
  <c r="AI504" i="1" s="1"/>
  <c r="AI505" i="1" s="1"/>
  <c r="AI506" i="1" s="1"/>
  <c r="AI507" i="1" s="1"/>
  <c r="AI508" i="1" s="1"/>
  <c r="AI509" i="1" s="1"/>
  <c r="AI510" i="1" s="1"/>
  <c r="AI511" i="1" s="1"/>
  <c r="AI512" i="1" s="1"/>
  <c r="AI513" i="1" s="1"/>
  <c r="AI514" i="1" s="1"/>
  <c r="AI515" i="1" s="1"/>
  <c r="AI516" i="1" s="1"/>
  <c r="AI517" i="1" s="1"/>
  <c r="AI518" i="1" s="1"/>
  <c r="AI519" i="1" s="1"/>
  <c r="AI520" i="1" s="1"/>
  <c r="AI521" i="1" s="1"/>
  <c r="AI522" i="1" s="1"/>
  <c r="AI523" i="1" s="1"/>
  <c r="AI524" i="1" s="1"/>
  <c r="AI525" i="1" s="1"/>
  <c r="AI526" i="1" s="1"/>
  <c r="AI527" i="1" s="1"/>
  <c r="AI528" i="1" s="1"/>
  <c r="AI529" i="1" s="1"/>
  <c r="AI530" i="1" s="1"/>
  <c r="AI531" i="1" s="1"/>
  <c r="AI532" i="1" s="1"/>
  <c r="AI533" i="1" s="1"/>
  <c r="AI534" i="1" s="1"/>
  <c r="AI535" i="1" s="1"/>
  <c r="AI536" i="1" s="1"/>
  <c r="AI537" i="1" s="1"/>
  <c r="AI538" i="1" s="1"/>
  <c r="AI539" i="1" s="1"/>
  <c r="AI540" i="1" s="1"/>
  <c r="AI541" i="1" s="1"/>
  <c r="AI542" i="1" s="1"/>
  <c r="AI543" i="1" s="1"/>
  <c r="AI544" i="1" s="1"/>
  <c r="AI545" i="1" s="1"/>
  <c r="AI546" i="1" s="1"/>
  <c r="AI547" i="1" s="1"/>
  <c r="AI548" i="1" s="1"/>
  <c r="AI549" i="1" s="1"/>
  <c r="AI550" i="1" s="1"/>
  <c r="AI551" i="1" s="1"/>
  <c r="AI552" i="1" s="1"/>
  <c r="AI553" i="1" s="1"/>
  <c r="AI554" i="1" s="1"/>
  <c r="AI555" i="1" s="1"/>
  <c r="AI556" i="1" s="1"/>
  <c r="AI557" i="1" s="1"/>
  <c r="AI558" i="1" s="1"/>
  <c r="AI559" i="1" s="1"/>
  <c r="AI560" i="1" s="1"/>
  <c r="AI561" i="1" s="1"/>
  <c r="AI562" i="1" s="1"/>
  <c r="AI563" i="1" s="1"/>
  <c r="AI564" i="1" s="1"/>
  <c r="AI565" i="1" s="1"/>
  <c r="AI566" i="1" s="1"/>
  <c r="AI567" i="1" s="1"/>
  <c r="AI568" i="1" s="1"/>
  <c r="AI569" i="1" s="1"/>
  <c r="AI570" i="1" s="1"/>
  <c r="AI571" i="1" s="1"/>
  <c r="AI572" i="1" s="1"/>
  <c r="AI573" i="1" s="1"/>
  <c r="AI574" i="1" s="1"/>
  <c r="AI575" i="1" s="1"/>
  <c r="AI576" i="1" s="1"/>
  <c r="AI577" i="1" s="1"/>
  <c r="AI578" i="1" s="1"/>
  <c r="AI579" i="1" s="1"/>
  <c r="AI580" i="1" s="1"/>
  <c r="AI581" i="1" s="1"/>
  <c r="AI582" i="1" s="1"/>
  <c r="AI583" i="1" s="1"/>
  <c r="AI584" i="1" s="1"/>
  <c r="AI585" i="1" s="1"/>
  <c r="AI586" i="1" s="1"/>
  <c r="AI587" i="1" s="1"/>
  <c r="AI588" i="1" s="1"/>
  <c r="AI589" i="1" s="1"/>
  <c r="AI590" i="1" s="1"/>
  <c r="AI591" i="1" s="1"/>
  <c r="AI592" i="1" s="1"/>
  <c r="AI593" i="1" s="1"/>
  <c r="AI594" i="1" s="1"/>
  <c r="AI595" i="1" s="1"/>
  <c r="AI596" i="1" s="1"/>
  <c r="AI597" i="1" s="1"/>
  <c r="AI598" i="1" s="1"/>
  <c r="AI599" i="1" s="1"/>
  <c r="AI600" i="1" s="1"/>
  <c r="AI601" i="1" s="1"/>
  <c r="AI602" i="1" s="1"/>
  <c r="AI603" i="1" s="1"/>
  <c r="AI604" i="1" s="1"/>
  <c r="AI605" i="1" s="1"/>
  <c r="AI606" i="1" s="1"/>
  <c r="AI607" i="1" s="1"/>
  <c r="AI608" i="1" s="1"/>
  <c r="AI609" i="1" s="1"/>
  <c r="AI610" i="1" s="1"/>
  <c r="AI611" i="1" s="1"/>
  <c r="AI612" i="1" s="1"/>
  <c r="AI613" i="1" s="1"/>
  <c r="AI614" i="1" s="1"/>
  <c r="AI615" i="1" s="1"/>
  <c r="AI616" i="1" s="1"/>
  <c r="AI617" i="1" s="1"/>
  <c r="AI618" i="1" s="1"/>
  <c r="AI619" i="1" s="1"/>
  <c r="AI620" i="1" s="1"/>
  <c r="AI621" i="1" s="1"/>
  <c r="AI622" i="1" s="1"/>
  <c r="AI623" i="1" s="1"/>
  <c r="AI624" i="1" s="1"/>
  <c r="AI625" i="1" s="1"/>
  <c r="AI626" i="1" s="1"/>
  <c r="AI627" i="1" s="1"/>
  <c r="AI628" i="1" s="1"/>
  <c r="AI629" i="1" s="1"/>
  <c r="AI630" i="1" s="1"/>
  <c r="AI631" i="1" s="1"/>
  <c r="AI632" i="1" s="1"/>
  <c r="AI633" i="1" s="1"/>
  <c r="AI634" i="1" s="1"/>
  <c r="AI635" i="1" s="1"/>
  <c r="AI636" i="1" s="1"/>
  <c r="AI637" i="1" s="1"/>
  <c r="AI638" i="1" s="1"/>
  <c r="AI639" i="1" s="1"/>
  <c r="AI640" i="1" s="1"/>
  <c r="AI641" i="1" s="1"/>
  <c r="AI642" i="1" s="1"/>
  <c r="AI643" i="1" s="1"/>
  <c r="AI644" i="1" s="1"/>
  <c r="AI645" i="1" s="1"/>
  <c r="AI646" i="1" s="1"/>
  <c r="AI647" i="1" s="1"/>
  <c r="AI648" i="1" s="1"/>
  <c r="AI649" i="1" s="1"/>
  <c r="AI650" i="1" s="1"/>
  <c r="AI651" i="1" s="1"/>
  <c r="AI652" i="1" s="1"/>
  <c r="AI653" i="1" s="1"/>
  <c r="AI654" i="1" s="1"/>
  <c r="AI655" i="1" s="1"/>
  <c r="AI656" i="1" s="1"/>
  <c r="AI657" i="1" s="1"/>
  <c r="AI658" i="1" s="1"/>
  <c r="AI659" i="1" s="1"/>
  <c r="AI660" i="1" s="1"/>
  <c r="AI661" i="1" s="1"/>
  <c r="AI662" i="1" s="1"/>
  <c r="AI663" i="1" s="1"/>
  <c r="AI664" i="1" s="1"/>
  <c r="AI665" i="1" s="1"/>
  <c r="AI666" i="1" s="1"/>
  <c r="AI667" i="1" s="1"/>
  <c r="AI668" i="1" s="1"/>
  <c r="AI669" i="1" s="1"/>
  <c r="AI670" i="1" s="1"/>
  <c r="AI671" i="1" s="1"/>
  <c r="AI672" i="1" s="1"/>
  <c r="AI673" i="1" s="1"/>
  <c r="AI674" i="1" s="1"/>
  <c r="AI675" i="1" s="1"/>
  <c r="AI676" i="1" s="1"/>
  <c r="AI677" i="1" s="1"/>
  <c r="AI678" i="1" s="1"/>
  <c r="AI679" i="1" s="1"/>
  <c r="AI680" i="1" s="1"/>
  <c r="AI681" i="1" s="1"/>
  <c r="AI682" i="1" s="1"/>
  <c r="AI683" i="1" s="1"/>
  <c r="AI684" i="1" s="1"/>
  <c r="AI685" i="1" s="1"/>
  <c r="AI686" i="1" s="1"/>
  <c r="AI687" i="1" s="1"/>
  <c r="AI688" i="1" s="1"/>
  <c r="AI689" i="1" s="1"/>
  <c r="AI690" i="1" s="1"/>
  <c r="AI691" i="1" s="1"/>
  <c r="AI692" i="1" s="1"/>
  <c r="AI693" i="1" s="1"/>
  <c r="AI694" i="1" s="1"/>
  <c r="AI695" i="1" s="1"/>
  <c r="AI696" i="1" s="1"/>
  <c r="AI697" i="1" s="1"/>
  <c r="AI698" i="1" s="1"/>
  <c r="AI699" i="1" s="1"/>
  <c r="AI700" i="1" s="1"/>
  <c r="AI701" i="1" s="1"/>
  <c r="AI702" i="1" s="1"/>
  <c r="AI703" i="1" s="1"/>
  <c r="AI704" i="1" s="1"/>
  <c r="AI705" i="1" s="1"/>
  <c r="AI706" i="1" s="1"/>
  <c r="AI707" i="1" s="1"/>
  <c r="AI708" i="1" s="1"/>
  <c r="AI709" i="1" s="1"/>
  <c r="AI710" i="1" s="1"/>
  <c r="AI711" i="1" s="1"/>
  <c r="AI712" i="1" s="1"/>
  <c r="AI713" i="1" s="1"/>
  <c r="AI714" i="1" s="1"/>
  <c r="AI715" i="1" s="1"/>
  <c r="AI716" i="1" s="1"/>
  <c r="AI717" i="1" s="1"/>
  <c r="AI718" i="1" s="1"/>
  <c r="AI719" i="1" s="1"/>
  <c r="AI720" i="1" s="1"/>
  <c r="AI721" i="1" s="1"/>
  <c r="AI722" i="1" s="1"/>
  <c r="AI723" i="1" s="1"/>
  <c r="AI724" i="1" s="1"/>
  <c r="AI725" i="1" s="1"/>
  <c r="AI726" i="1" s="1"/>
  <c r="AI727" i="1" s="1"/>
  <c r="AI728" i="1" s="1"/>
  <c r="AI729" i="1" s="1"/>
  <c r="AI730" i="1" s="1"/>
  <c r="AI731" i="1" s="1"/>
  <c r="AI732" i="1" s="1"/>
  <c r="AI733" i="1" s="1"/>
  <c r="AI734" i="1" s="1"/>
  <c r="AI735" i="1" s="1"/>
  <c r="AI736" i="1" s="1"/>
  <c r="AI737" i="1" s="1"/>
  <c r="AI738" i="1" s="1"/>
  <c r="AI739" i="1" s="1"/>
  <c r="AI740" i="1" s="1"/>
  <c r="AI741" i="1" s="1"/>
  <c r="AI742" i="1" s="1"/>
  <c r="AI743" i="1" s="1"/>
  <c r="AI744" i="1" s="1"/>
  <c r="AI745" i="1" s="1"/>
  <c r="AI746" i="1" s="1"/>
  <c r="AI747" i="1" s="1"/>
  <c r="AI748" i="1" s="1"/>
  <c r="AI749" i="1" s="1"/>
  <c r="AI750" i="1" s="1"/>
  <c r="AI751" i="1" s="1"/>
  <c r="AI752" i="1" s="1"/>
  <c r="AI753" i="1" s="1"/>
  <c r="AI754" i="1" s="1"/>
  <c r="AI755" i="1" s="1"/>
  <c r="AI756" i="1" s="1"/>
  <c r="AI757" i="1" s="1"/>
  <c r="AI758" i="1" s="1"/>
  <c r="AI759" i="1" s="1"/>
  <c r="AI760" i="1" s="1"/>
  <c r="AI761" i="1" s="1"/>
  <c r="AI762" i="1" s="1"/>
  <c r="AI763" i="1" s="1"/>
  <c r="AI764" i="1" s="1"/>
  <c r="AI765" i="1" s="1"/>
  <c r="AI766" i="1" s="1"/>
  <c r="AI767" i="1" s="1"/>
  <c r="AI768" i="1" s="1"/>
  <c r="AI769" i="1" s="1"/>
  <c r="AI770" i="1" s="1"/>
  <c r="AI771" i="1" s="1"/>
  <c r="AI772" i="1" s="1"/>
  <c r="AI773" i="1" s="1"/>
  <c r="AI774" i="1" s="1"/>
  <c r="AI775" i="1" s="1"/>
  <c r="AI776" i="1" s="1"/>
  <c r="AI777" i="1" s="1"/>
  <c r="AI778" i="1" s="1"/>
  <c r="AI779" i="1" s="1"/>
  <c r="AI780" i="1" s="1"/>
  <c r="AI781" i="1" s="1"/>
  <c r="AI782" i="1" s="1"/>
  <c r="AI783" i="1" s="1"/>
  <c r="AI784" i="1" s="1"/>
  <c r="AI785" i="1" s="1"/>
  <c r="AI786" i="1" s="1"/>
  <c r="AI787" i="1" s="1"/>
  <c r="AI788" i="1" s="1"/>
  <c r="AI789" i="1" s="1"/>
  <c r="AI790" i="1" s="1"/>
  <c r="AI791" i="1" s="1"/>
  <c r="AI792" i="1" s="1"/>
  <c r="AI793" i="1" s="1"/>
  <c r="AI794" i="1" s="1"/>
  <c r="AI795" i="1" s="1"/>
  <c r="AI796" i="1" s="1"/>
  <c r="AI797" i="1" s="1"/>
  <c r="AI798" i="1" s="1"/>
  <c r="AI799" i="1" s="1"/>
  <c r="AI800" i="1" s="1"/>
  <c r="AI801" i="1" s="1"/>
  <c r="AI802" i="1" s="1"/>
  <c r="AI803" i="1" s="1"/>
  <c r="AI804" i="1" s="1"/>
  <c r="AI805" i="1" s="1"/>
  <c r="AI806" i="1" s="1"/>
  <c r="AI807" i="1" s="1"/>
  <c r="AI808" i="1" s="1"/>
  <c r="AI809" i="1" s="1"/>
  <c r="AI810" i="1" s="1"/>
  <c r="AI811" i="1" s="1"/>
  <c r="AI812" i="1" s="1"/>
  <c r="AI813" i="1" s="1"/>
  <c r="AI814" i="1" s="1"/>
  <c r="AI815" i="1" s="1"/>
  <c r="AI816" i="1" s="1"/>
  <c r="AI817" i="1" s="1"/>
  <c r="AI818" i="1" s="1"/>
  <c r="AI819" i="1" s="1"/>
  <c r="AI820" i="1" s="1"/>
  <c r="AI821" i="1" s="1"/>
  <c r="AI822" i="1" s="1"/>
  <c r="AI823" i="1" s="1"/>
  <c r="AI824" i="1" s="1"/>
  <c r="AI825" i="1" s="1"/>
  <c r="AI826" i="1" s="1"/>
  <c r="AI827" i="1" s="1"/>
  <c r="AI828" i="1" s="1"/>
  <c r="AI829" i="1" s="1"/>
  <c r="AI830" i="1" s="1"/>
  <c r="AI831" i="1" s="1"/>
  <c r="AI832" i="1" s="1"/>
  <c r="AI833" i="1" s="1"/>
  <c r="AI834" i="1" s="1"/>
  <c r="AI835" i="1" s="1"/>
  <c r="AI836" i="1" s="1"/>
  <c r="AI837" i="1" s="1"/>
  <c r="AI838" i="1" s="1"/>
  <c r="AI839" i="1" s="1"/>
  <c r="AI840" i="1" s="1"/>
  <c r="AI841" i="1" s="1"/>
  <c r="AI842" i="1" s="1"/>
  <c r="AI843" i="1" s="1"/>
  <c r="AI844" i="1" s="1"/>
  <c r="AI845" i="1" s="1"/>
  <c r="AI846" i="1" s="1"/>
  <c r="AI847" i="1" s="1"/>
  <c r="AI848" i="1" s="1"/>
  <c r="AI849" i="1" s="1"/>
  <c r="AI850" i="1" s="1"/>
  <c r="AI851" i="1" s="1"/>
  <c r="AI852" i="1" s="1"/>
  <c r="AI853" i="1" s="1"/>
  <c r="AI854" i="1" s="1"/>
  <c r="AI855" i="1" s="1"/>
  <c r="AI856" i="1" s="1"/>
  <c r="AI857" i="1" s="1"/>
  <c r="AI858" i="1" s="1"/>
  <c r="AI859" i="1" s="1"/>
  <c r="AI860" i="1" s="1"/>
  <c r="AI5" i="1"/>
  <c r="T6" i="1"/>
  <c r="U6" i="1" s="1"/>
  <c r="T7" i="1"/>
  <c r="U7" i="1" s="1"/>
  <c r="V7" i="1"/>
  <c r="T8" i="1"/>
  <c r="T9" i="1"/>
  <c r="U9" i="1" s="1"/>
  <c r="T10" i="1"/>
  <c r="U10" i="1"/>
  <c r="V10" i="1"/>
  <c r="T11" i="1"/>
  <c r="T12" i="1"/>
  <c r="T13" i="1"/>
  <c r="T14" i="1"/>
  <c r="U14" i="1"/>
  <c r="T15" i="1"/>
  <c r="U15" i="1"/>
  <c r="V15" i="1"/>
  <c r="T16" i="1"/>
  <c r="U16" i="1"/>
  <c r="T17" i="1"/>
  <c r="T18" i="1"/>
  <c r="V18" i="1" s="1"/>
  <c r="U18" i="1"/>
  <c r="T19" i="1"/>
  <c r="U19" i="1"/>
  <c r="V19" i="1"/>
  <c r="T20" i="1"/>
  <c r="U20" i="1"/>
  <c r="V20" i="1"/>
  <c r="T21" i="1"/>
  <c r="U21" i="1"/>
  <c r="V21" i="1"/>
  <c r="T22" i="1"/>
  <c r="T23" i="1"/>
  <c r="U23" i="1" s="1"/>
  <c r="V23" i="1"/>
  <c r="T24" i="1"/>
  <c r="V24" i="1"/>
  <c r="T25" i="1"/>
  <c r="T26" i="1"/>
  <c r="U26" i="1"/>
  <c r="V26" i="1"/>
  <c r="T27" i="1"/>
  <c r="T28" i="1"/>
  <c r="T29" i="1"/>
  <c r="T30" i="1"/>
  <c r="V30" i="1" s="1"/>
  <c r="U30" i="1"/>
  <c r="T31" i="1"/>
  <c r="U31" i="1" s="1"/>
  <c r="V31" i="1"/>
  <c r="T32" i="1"/>
  <c r="U32" i="1"/>
  <c r="T33" i="1"/>
  <c r="T34" i="1"/>
  <c r="V34" i="1" s="1"/>
  <c r="U34" i="1"/>
  <c r="T35" i="1"/>
  <c r="U35" i="1"/>
  <c r="V35" i="1"/>
  <c r="T36" i="1"/>
  <c r="U36" i="1"/>
  <c r="V36" i="1"/>
  <c r="T37" i="1"/>
  <c r="U37" i="1"/>
  <c r="V37" i="1"/>
  <c r="T38" i="1"/>
  <c r="T39" i="1"/>
  <c r="U39" i="1" s="1"/>
  <c r="V39" i="1"/>
  <c r="T40" i="1"/>
  <c r="V40" i="1"/>
  <c r="T41" i="1"/>
  <c r="T42" i="1"/>
  <c r="U42" i="1"/>
  <c r="V42" i="1"/>
  <c r="T43" i="1"/>
  <c r="T44" i="1"/>
  <c r="T45" i="1"/>
  <c r="T46" i="1"/>
  <c r="V46" i="1" s="1"/>
  <c r="U46" i="1"/>
  <c r="T47" i="1"/>
  <c r="U47" i="1" s="1"/>
  <c r="V47" i="1"/>
  <c r="T48" i="1"/>
  <c r="U48" i="1"/>
  <c r="T49" i="1"/>
  <c r="U49" i="1" s="1"/>
  <c r="T50" i="1"/>
  <c r="V50" i="1" s="1"/>
  <c r="U50" i="1"/>
  <c r="T51" i="1"/>
  <c r="U51" i="1"/>
  <c r="V51" i="1"/>
  <c r="T52" i="1"/>
  <c r="U52" i="1"/>
  <c r="V52" i="1"/>
  <c r="T53" i="1"/>
  <c r="U53" i="1"/>
  <c r="V53" i="1"/>
  <c r="T54" i="1"/>
  <c r="T55" i="1"/>
  <c r="U55" i="1" s="1"/>
  <c r="V55" i="1"/>
  <c r="T56" i="1"/>
  <c r="V56" i="1"/>
  <c r="T57" i="1"/>
  <c r="T58" i="1"/>
  <c r="T59" i="1"/>
  <c r="T60" i="1"/>
  <c r="T61" i="1"/>
  <c r="T62" i="1"/>
  <c r="V62" i="1" s="1"/>
  <c r="U62" i="1"/>
  <c r="T63" i="1"/>
  <c r="U63" i="1" s="1"/>
  <c r="V63" i="1"/>
  <c r="T64" i="1"/>
  <c r="U64" i="1" s="1"/>
  <c r="T65" i="1"/>
  <c r="U65" i="1" s="1"/>
  <c r="T66" i="1"/>
  <c r="V66" i="1" s="1"/>
  <c r="U66" i="1"/>
  <c r="T67" i="1"/>
  <c r="U67" i="1"/>
  <c r="V67" i="1"/>
  <c r="T68" i="1"/>
  <c r="U68" i="1"/>
  <c r="V68" i="1"/>
  <c r="T69" i="1"/>
  <c r="U69" i="1"/>
  <c r="V69" i="1"/>
  <c r="T70" i="1"/>
  <c r="T71" i="1"/>
  <c r="U71" i="1" s="1"/>
  <c r="V71" i="1"/>
  <c r="T72" i="1"/>
  <c r="V72" i="1"/>
  <c r="T73" i="1"/>
  <c r="T74" i="1"/>
  <c r="U74" i="1"/>
  <c r="T75" i="1"/>
  <c r="T76" i="1"/>
  <c r="T77" i="1"/>
  <c r="T78" i="1"/>
  <c r="U78" i="1"/>
  <c r="T79" i="1"/>
  <c r="U79" i="1" s="1"/>
  <c r="V79" i="1"/>
  <c r="T80" i="1"/>
  <c r="U80" i="1"/>
  <c r="T81" i="1"/>
  <c r="U81" i="1" s="1"/>
  <c r="T82" i="1"/>
  <c r="V82" i="1" s="1"/>
  <c r="U82" i="1"/>
  <c r="T83" i="1"/>
  <c r="V84" i="1" s="1"/>
  <c r="U83" i="1"/>
  <c r="V83" i="1"/>
  <c r="T84" i="1"/>
  <c r="U84" i="1"/>
  <c r="T85" i="1"/>
  <c r="U85" i="1"/>
  <c r="V85" i="1"/>
  <c r="T86" i="1"/>
  <c r="T87" i="1"/>
  <c r="U87" i="1" s="1"/>
  <c r="V87" i="1"/>
  <c r="T88" i="1"/>
  <c r="U88" i="1"/>
  <c r="V88" i="1"/>
  <c r="T89" i="1"/>
  <c r="T90" i="1"/>
  <c r="U90" i="1"/>
  <c r="V90" i="1"/>
  <c r="T91" i="1"/>
  <c r="T92" i="1"/>
  <c r="T93" i="1"/>
  <c r="T94" i="1"/>
  <c r="V94" i="1" s="1"/>
  <c r="U94" i="1"/>
  <c r="T95" i="1"/>
  <c r="U95" i="1" s="1"/>
  <c r="V95" i="1"/>
  <c r="T96" i="1"/>
  <c r="U96" i="1" s="1"/>
  <c r="T97" i="1"/>
  <c r="U97" i="1" s="1"/>
  <c r="T98" i="1"/>
  <c r="V98" i="1" s="1"/>
  <c r="U98" i="1"/>
  <c r="T99" i="1"/>
  <c r="V100" i="1" s="1"/>
  <c r="U99" i="1"/>
  <c r="V99" i="1"/>
  <c r="T100" i="1"/>
  <c r="U100" i="1"/>
  <c r="T101" i="1"/>
  <c r="U101" i="1"/>
  <c r="V101" i="1"/>
  <c r="T102" i="1"/>
  <c r="V103" i="1" s="1"/>
  <c r="T103" i="1"/>
  <c r="T104" i="1"/>
  <c r="U104" i="1"/>
  <c r="V104" i="1"/>
  <c r="T105" i="1"/>
  <c r="U105" i="1" s="1"/>
  <c r="V105" i="1"/>
  <c r="T106" i="1"/>
  <c r="U106" i="1"/>
  <c r="V106" i="1"/>
  <c r="T107" i="1"/>
  <c r="U107" i="1" s="1"/>
  <c r="T108" i="1"/>
  <c r="T109" i="1"/>
  <c r="T110" i="1"/>
  <c r="V110" i="1" s="1"/>
  <c r="U110" i="1"/>
  <c r="T111" i="1"/>
  <c r="U111" i="1" s="1"/>
  <c r="V111" i="1"/>
  <c r="T112" i="1"/>
  <c r="V113" i="1" s="1"/>
  <c r="V112" i="1"/>
  <c r="T113" i="1"/>
  <c r="U113" i="1" s="1"/>
  <c r="T114" i="1"/>
  <c r="V114" i="1" s="1"/>
  <c r="U114" i="1"/>
  <c r="T115" i="1"/>
  <c r="V116" i="1" s="1"/>
  <c r="U115" i="1"/>
  <c r="V115" i="1"/>
  <c r="T116" i="1"/>
  <c r="U116" i="1"/>
  <c r="T117" i="1"/>
  <c r="U117" i="1"/>
  <c r="V117" i="1"/>
  <c r="T118" i="1"/>
  <c r="T119" i="1"/>
  <c r="V119" i="1"/>
  <c r="T120" i="1"/>
  <c r="V120" i="1"/>
  <c r="T121" i="1"/>
  <c r="U121" i="1" s="1"/>
  <c r="V121" i="1"/>
  <c r="T122" i="1"/>
  <c r="U122" i="1"/>
  <c r="V122" i="1"/>
  <c r="T123" i="1"/>
  <c r="U123" i="1"/>
  <c r="T124" i="1"/>
  <c r="T125" i="1"/>
  <c r="U125" i="1" s="1"/>
  <c r="V125" i="1"/>
  <c r="T126" i="1"/>
  <c r="V126" i="1" s="1"/>
  <c r="T127" i="1"/>
  <c r="U127" i="1" s="1"/>
  <c r="T128" i="1"/>
  <c r="U128" i="1"/>
  <c r="V128" i="1"/>
  <c r="T129" i="1"/>
  <c r="U129" i="1" s="1"/>
  <c r="V129" i="1"/>
  <c r="T130" i="1"/>
  <c r="V130" i="1" s="1"/>
  <c r="U130" i="1"/>
  <c r="T131" i="1"/>
  <c r="T132" i="1"/>
  <c r="T133" i="1"/>
  <c r="U133" i="1" s="1"/>
  <c r="V133" i="1"/>
  <c r="T134" i="1"/>
  <c r="T135" i="1"/>
  <c r="U135" i="1" s="1"/>
  <c r="V135" i="1"/>
  <c r="T136" i="1"/>
  <c r="U136" i="1"/>
  <c r="V136" i="1"/>
  <c r="T137" i="1"/>
  <c r="T138" i="1"/>
  <c r="T139" i="1"/>
  <c r="U139" i="1"/>
  <c r="T140" i="1"/>
  <c r="U140" i="1"/>
  <c r="T141" i="1"/>
  <c r="U141" i="1" s="1"/>
  <c r="T142" i="1"/>
  <c r="V142" i="1" s="1"/>
  <c r="U142" i="1"/>
  <c r="T143" i="1"/>
  <c r="U143" i="1" s="1"/>
  <c r="T144" i="1"/>
  <c r="V145" i="1" s="1"/>
  <c r="V144" i="1"/>
  <c r="T145" i="1"/>
  <c r="U145" i="1" s="1"/>
  <c r="T146" i="1"/>
  <c r="V146" i="1" s="1"/>
  <c r="U146" i="1"/>
  <c r="T147" i="1"/>
  <c r="V148" i="1" s="1"/>
  <c r="T148" i="1"/>
  <c r="T149" i="1"/>
  <c r="U149" i="1"/>
  <c r="V149" i="1"/>
  <c r="T150" i="1"/>
  <c r="T151" i="1"/>
  <c r="V151" i="1"/>
  <c r="T152" i="1"/>
  <c r="U152" i="1"/>
  <c r="T153" i="1"/>
  <c r="U153" i="1" s="1"/>
  <c r="V153" i="1"/>
  <c r="T154" i="1"/>
  <c r="U154" i="1"/>
  <c r="V154" i="1"/>
  <c r="T155" i="1"/>
  <c r="U155" i="1" s="1"/>
  <c r="T156" i="1"/>
  <c r="U156" i="1"/>
  <c r="T157" i="1"/>
  <c r="U157" i="1" s="1"/>
  <c r="T158" i="1"/>
  <c r="V158" i="1" s="1"/>
  <c r="U158" i="1"/>
  <c r="T159" i="1"/>
  <c r="U159" i="1"/>
  <c r="T160" i="1"/>
  <c r="T161" i="1"/>
  <c r="U161" i="1" s="1"/>
  <c r="V161" i="1"/>
  <c r="T162" i="1"/>
  <c r="V162" i="1" s="1"/>
  <c r="U162" i="1"/>
  <c r="T163" i="1"/>
  <c r="U163" i="1"/>
  <c r="V163" i="1"/>
  <c r="T164" i="1"/>
  <c r="U164" i="1"/>
  <c r="V164" i="1"/>
  <c r="T165" i="1"/>
  <c r="V165" i="1" s="1"/>
  <c r="T166" i="1"/>
  <c r="T167" i="1"/>
  <c r="U167" i="1" s="1"/>
  <c r="V167" i="1"/>
  <c r="T168" i="1"/>
  <c r="U168" i="1"/>
  <c r="V168" i="1"/>
  <c r="T169" i="1"/>
  <c r="U169" i="1" s="1"/>
  <c r="V169" i="1"/>
  <c r="T170" i="1"/>
  <c r="U170" i="1"/>
  <c r="V170" i="1"/>
  <c r="T171" i="1"/>
  <c r="T172" i="1"/>
  <c r="T173" i="1"/>
  <c r="U173" i="1" s="1"/>
  <c r="V173" i="1"/>
  <c r="T174" i="1"/>
  <c r="V174" i="1" s="1"/>
  <c r="U174" i="1"/>
  <c r="T175" i="1"/>
  <c r="U175" i="1" s="1"/>
  <c r="T176" i="1"/>
  <c r="U177" i="1" s="1"/>
  <c r="T177" i="1"/>
  <c r="V177" i="1"/>
  <c r="T178" i="1"/>
  <c r="V178" i="1" s="1"/>
  <c r="U178" i="1"/>
  <c r="T179" i="1"/>
  <c r="U179" i="1" s="1"/>
  <c r="T180" i="1"/>
  <c r="T181" i="1"/>
  <c r="U181" i="1" s="1"/>
  <c r="T182" i="1"/>
  <c r="T183" i="1"/>
  <c r="U183" i="1" s="1"/>
  <c r="V183" i="1"/>
  <c r="T184" i="1"/>
  <c r="U184" i="1"/>
  <c r="V184" i="1"/>
  <c r="T185" i="1"/>
  <c r="U185" i="1" s="1"/>
  <c r="V185" i="1"/>
  <c r="T186" i="1"/>
  <c r="T187" i="1"/>
  <c r="T188" i="1"/>
  <c r="U188" i="1"/>
  <c r="T189" i="1"/>
  <c r="U189" i="1" s="1"/>
  <c r="T190" i="1"/>
  <c r="V190" i="1" s="1"/>
  <c r="U190" i="1"/>
  <c r="T191" i="1"/>
  <c r="U191" i="1" s="1"/>
  <c r="V191" i="1"/>
  <c r="T192" i="1"/>
  <c r="V193" i="1" s="1"/>
  <c r="V192" i="1"/>
  <c r="T193" i="1"/>
  <c r="T194" i="1"/>
  <c r="V194" i="1" s="1"/>
  <c r="U194" i="1"/>
  <c r="T195" i="1"/>
  <c r="U195" i="1" s="1"/>
  <c r="T196" i="1"/>
  <c r="T197" i="1"/>
  <c r="U197" i="1" s="1"/>
  <c r="V197" i="1"/>
  <c r="T198" i="1"/>
  <c r="T199" i="1"/>
  <c r="U199" i="1" s="1"/>
  <c r="T200" i="1"/>
  <c r="T201" i="1"/>
  <c r="U201" i="1" s="1"/>
  <c r="T202" i="1"/>
  <c r="U202" i="1" s="1"/>
  <c r="T203" i="1"/>
  <c r="V203" i="1" s="1"/>
  <c r="U203" i="1"/>
  <c r="T204" i="1"/>
  <c r="U204" i="1"/>
  <c r="V204" i="1"/>
  <c r="T205" i="1"/>
  <c r="V205" i="1"/>
  <c r="T206" i="1"/>
  <c r="T207" i="1"/>
  <c r="U207" i="1"/>
  <c r="V207" i="1"/>
  <c r="T208" i="1"/>
  <c r="U208" i="1"/>
  <c r="V208" i="1"/>
  <c r="T209" i="1"/>
  <c r="U209" i="1" s="1"/>
  <c r="V209" i="1"/>
  <c r="T210" i="1"/>
  <c r="V210" i="1" s="1"/>
  <c r="T211" i="1"/>
  <c r="U211" i="1"/>
  <c r="V211" i="1"/>
  <c r="T212" i="1"/>
  <c r="T213" i="1"/>
  <c r="U213" i="1"/>
  <c r="V213" i="1"/>
  <c r="T214" i="1"/>
  <c r="T215" i="1"/>
  <c r="U215" i="1" s="1"/>
  <c r="V215" i="1"/>
  <c r="T216" i="1"/>
  <c r="U216" i="1"/>
  <c r="V216" i="1"/>
  <c r="T217" i="1"/>
  <c r="U217" i="1" s="1"/>
  <c r="V217" i="1"/>
  <c r="T218" i="1"/>
  <c r="U218" i="1" s="1"/>
  <c r="T219" i="1"/>
  <c r="T220" i="1"/>
  <c r="U220" i="1"/>
  <c r="V220" i="1"/>
  <c r="T221" i="1"/>
  <c r="U221" i="1" s="1"/>
  <c r="T222" i="1"/>
  <c r="V222" i="1" s="1"/>
  <c r="U222" i="1"/>
  <c r="T223" i="1"/>
  <c r="U223" i="1" s="1"/>
  <c r="V223" i="1"/>
  <c r="T224" i="1"/>
  <c r="V225" i="1" s="1"/>
  <c r="T225" i="1"/>
  <c r="T226" i="1"/>
  <c r="V226" i="1" s="1"/>
  <c r="U226" i="1"/>
  <c r="T227" i="1"/>
  <c r="T228" i="1"/>
  <c r="T229" i="1"/>
  <c r="U229" i="1" s="1"/>
  <c r="V229" i="1"/>
  <c r="T230" i="1"/>
  <c r="T231" i="1"/>
  <c r="U231" i="1" s="1"/>
  <c r="T232" i="1"/>
  <c r="T233" i="1"/>
  <c r="T234" i="1"/>
  <c r="U234" i="1" s="1"/>
  <c r="T235" i="1"/>
  <c r="V235" i="1" s="1"/>
  <c r="U235" i="1"/>
  <c r="T236" i="1"/>
  <c r="U236" i="1"/>
  <c r="V236" i="1"/>
  <c r="T237" i="1"/>
  <c r="U237" i="1" s="1"/>
  <c r="T238" i="1"/>
  <c r="T239" i="1"/>
  <c r="V239" i="1" s="1"/>
  <c r="U239" i="1"/>
  <c r="T240" i="1"/>
  <c r="U240" i="1" s="1"/>
  <c r="V240" i="1"/>
  <c r="T241" i="1"/>
  <c r="U241" i="1" s="1"/>
  <c r="V241" i="1"/>
  <c r="T242" i="1"/>
  <c r="U242" i="1"/>
  <c r="V242" i="1"/>
  <c r="T243" i="1"/>
  <c r="U243" i="1"/>
  <c r="T244" i="1"/>
  <c r="T245" i="1"/>
  <c r="T246" i="1"/>
  <c r="T247" i="1"/>
  <c r="U247" i="1"/>
  <c r="V247" i="1"/>
  <c r="T248" i="1"/>
  <c r="U248" i="1"/>
  <c r="V248" i="1"/>
  <c r="T249" i="1"/>
  <c r="V249" i="1"/>
  <c r="T250" i="1"/>
  <c r="T251" i="1"/>
  <c r="V251" i="1" s="1"/>
  <c r="U251" i="1"/>
  <c r="T252" i="1"/>
  <c r="U252" i="1"/>
  <c r="T253" i="1"/>
  <c r="U253" i="1"/>
  <c r="V253" i="1"/>
  <c r="T254" i="1"/>
  <c r="V254" i="1" s="1"/>
  <c r="U254" i="1"/>
  <c r="T255" i="1"/>
  <c r="U255" i="1"/>
  <c r="V255" i="1"/>
  <c r="T256" i="1"/>
  <c r="T257" i="1"/>
  <c r="U257" i="1" s="1"/>
  <c r="V257" i="1"/>
  <c r="T258" i="1"/>
  <c r="U258" i="1"/>
  <c r="V258" i="1"/>
  <c r="T259" i="1"/>
  <c r="U259" i="1"/>
  <c r="V259" i="1"/>
  <c r="T260" i="1"/>
  <c r="U260" i="1"/>
  <c r="V260" i="1"/>
  <c r="T261" i="1"/>
  <c r="V261" i="1" s="1"/>
  <c r="U261" i="1"/>
  <c r="T262" i="1"/>
  <c r="T263" i="1"/>
  <c r="U263" i="1"/>
  <c r="V263" i="1"/>
  <c r="T264" i="1"/>
  <c r="U264" i="1"/>
  <c r="V264" i="1"/>
  <c r="T265" i="1"/>
  <c r="U265" i="1" s="1"/>
  <c r="T266" i="1"/>
  <c r="U266" i="1" s="1"/>
  <c r="V266" i="1"/>
  <c r="T267" i="1"/>
  <c r="U267" i="1"/>
  <c r="T268" i="1"/>
  <c r="T269" i="1"/>
  <c r="U269" i="1"/>
  <c r="V269" i="1"/>
  <c r="T270" i="1"/>
  <c r="V270" i="1" s="1"/>
  <c r="U270" i="1"/>
  <c r="T271" i="1"/>
  <c r="U271" i="1"/>
  <c r="V271" i="1"/>
  <c r="T272" i="1"/>
  <c r="V272" i="1"/>
  <c r="T273" i="1"/>
  <c r="V273" i="1"/>
  <c r="T274" i="1"/>
  <c r="T275" i="1"/>
  <c r="T276" i="1"/>
  <c r="U276" i="1"/>
  <c r="V276" i="1"/>
  <c r="T277" i="1"/>
  <c r="U277" i="1" s="1"/>
  <c r="V277" i="1"/>
  <c r="T278" i="1"/>
  <c r="T279" i="1"/>
  <c r="U279" i="1" s="1"/>
  <c r="T280" i="1"/>
  <c r="T281" i="1"/>
  <c r="T282" i="1"/>
  <c r="T283" i="1"/>
  <c r="T284" i="1"/>
  <c r="U284" i="1"/>
  <c r="V284" i="1"/>
  <c r="T285" i="1"/>
  <c r="U285" i="1" s="1"/>
  <c r="V285" i="1"/>
  <c r="T286" i="1"/>
  <c r="T287" i="1"/>
  <c r="T288" i="1"/>
  <c r="T289" i="1"/>
  <c r="T290" i="1"/>
  <c r="U290" i="1"/>
  <c r="V290" i="1"/>
  <c r="T291" i="1"/>
  <c r="U291" i="1"/>
  <c r="V291" i="1"/>
  <c r="T292" i="1"/>
  <c r="T293" i="1"/>
  <c r="U293" i="1"/>
  <c r="V293" i="1"/>
  <c r="T294" i="1"/>
  <c r="T295" i="1"/>
  <c r="U295" i="1" s="1"/>
  <c r="V295" i="1"/>
  <c r="T296" i="1"/>
  <c r="U296" i="1"/>
  <c r="V296" i="1"/>
  <c r="T297" i="1"/>
  <c r="U297" i="1" s="1"/>
  <c r="V297" i="1"/>
  <c r="T298" i="1"/>
  <c r="U298" i="1"/>
  <c r="T299" i="1"/>
  <c r="T300" i="1"/>
  <c r="U300" i="1"/>
  <c r="V300" i="1"/>
  <c r="T301" i="1"/>
  <c r="U301" i="1" s="1"/>
  <c r="V301" i="1"/>
  <c r="T302" i="1"/>
  <c r="V302" i="1" s="1"/>
  <c r="U302" i="1"/>
  <c r="T303" i="1"/>
  <c r="U303" i="1"/>
  <c r="V303" i="1"/>
  <c r="T304" i="1"/>
  <c r="U304" i="1" s="1"/>
  <c r="T305" i="1"/>
  <c r="T306" i="1"/>
  <c r="V306" i="1" s="1"/>
  <c r="U306" i="1"/>
  <c r="T307" i="1"/>
  <c r="U307" i="1" s="1"/>
  <c r="V307" i="1"/>
  <c r="T308" i="1"/>
  <c r="U308" i="1"/>
  <c r="V308" i="1"/>
  <c r="T309" i="1"/>
  <c r="U309" i="1" s="1"/>
  <c r="V309" i="1"/>
  <c r="T310" i="1"/>
  <c r="T311" i="1"/>
  <c r="T312" i="1"/>
  <c r="V312" i="1" s="1"/>
  <c r="U312" i="1"/>
  <c r="T313" i="1"/>
  <c r="V313" i="1" s="1"/>
  <c r="T314" i="1"/>
  <c r="U314" i="1" s="1"/>
  <c r="V314" i="1"/>
  <c r="T315" i="1"/>
  <c r="V315" i="1" s="1"/>
  <c r="U315" i="1"/>
  <c r="T316" i="1"/>
  <c r="U316" i="1"/>
  <c r="V316" i="1"/>
  <c r="T317" i="1"/>
  <c r="U317" i="1"/>
  <c r="V317" i="1"/>
  <c r="T318" i="1"/>
  <c r="V318" i="1" s="1"/>
  <c r="U318" i="1"/>
  <c r="T319" i="1"/>
  <c r="T320" i="1"/>
  <c r="U320" i="1" s="1"/>
  <c r="V320" i="1"/>
  <c r="T321" i="1"/>
  <c r="U321" i="1" s="1"/>
  <c r="V321" i="1"/>
  <c r="T322" i="1"/>
  <c r="U322" i="1"/>
  <c r="V322" i="1"/>
  <c r="T323" i="1"/>
  <c r="T324" i="1"/>
  <c r="U324" i="1"/>
  <c r="V324" i="1"/>
  <c r="T325" i="1"/>
  <c r="U325" i="1" s="1"/>
  <c r="V325" i="1"/>
  <c r="T326" i="1"/>
  <c r="T327" i="1"/>
  <c r="U327" i="1" s="1"/>
  <c r="T328" i="1"/>
  <c r="V329" i="1" s="1"/>
  <c r="U328" i="1"/>
  <c r="V328" i="1"/>
  <c r="T329" i="1"/>
  <c r="T330" i="1"/>
  <c r="U330" i="1"/>
  <c r="V330" i="1"/>
  <c r="T331" i="1"/>
  <c r="V331" i="1" s="1"/>
  <c r="U331" i="1"/>
  <c r="T332" i="1"/>
  <c r="U332" i="1"/>
  <c r="V332" i="1"/>
  <c r="T333" i="1"/>
  <c r="U333" i="1" s="1"/>
  <c r="V333" i="1"/>
  <c r="T334" i="1"/>
  <c r="V334" i="1" s="1"/>
  <c r="T335" i="1"/>
  <c r="T336" i="1"/>
  <c r="V336" i="1"/>
  <c r="T337" i="1"/>
  <c r="U337" i="1" s="1"/>
  <c r="V337" i="1"/>
  <c r="T338" i="1"/>
  <c r="U338" i="1"/>
  <c r="V338" i="1"/>
  <c r="T339" i="1"/>
  <c r="U339" i="1" s="1"/>
  <c r="T340" i="1"/>
  <c r="T341" i="1"/>
  <c r="U341" i="1"/>
  <c r="V341" i="1"/>
  <c r="T342" i="1"/>
  <c r="T343" i="1"/>
  <c r="T344" i="1"/>
  <c r="T345" i="1"/>
  <c r="T346" i="1"/>
  <c r="U346" i="1"/>
  <c r="V346" i="1"/>
  <c r="T347" i="1"/>
  <c r="T348" i="1"/>
  <c r="T349" i="1"/>
  <c r="T350" i="1"/>
  <c r="T351" i="1"/>
  <c r="U351" i="1"/>
  <c r="V351" i="1"/>
  <c r="T352" i="1"/>
  <c r="V353" i="1" s="1"/>
  <c r="V352" i="1"/>
  <c r="T353" i="1"/>
  <c r="U353" i="1" s="1"/>
  <c r="T354" i="1"/>
  <c r="U354" i="1"/>
  <c r="V354" i="1"/>
  <c r="T355" i="1"/>
  <c r="T356" i="1"/>
  <c r="T357" i="1"/>
  <c r="U357" i="1" s="1"/>
  <c r="V357" i="1"/>
  <c r="T358" i="1"/>
  <c r="T359" i="1"/>
  <c r="U359" i="1"/>
  <c r="T360" i="1"/>
  <c r="T361" i="1"/>
  <c r="T362" i="1"/>
  <c r="U362" i="1" s="1"/>
  <c r="T363" i="1"/>
  <c r="V363" i="1" s="1"/>
  <c r="U363" i="1"/>
  <c r="T364" i="1"/>
  <c r="U364" i="1"/>
  <c r="V364" i="1"/>
  <c r="T365" i="1"/>
  <c r="U365" i="1"/>
  <c r="T366" i="1"/>
  <c r="T367" i="1"/>
  <c r="V367" i="1" s="1"/>
  <c r="U367" i="1"/>
  <c r="T368" i="1"/>
  <c r="U368" i="1" s="1"/>
  <c r="T369" i="1"/>
  <c r="U369" i="1" s="1"/>
  <c r="V369" i="1"/>
  <c r="T370" i="1"/>
  <c r="U370" i="1"/>
  <c r="V370" i="1"/>
  <c r="T371" i="1"/>
  <c r="U371" i="1"/>
  <c r="T372" i="1"/>
  <c r="T373" i="1"/>
  <c r="T374" i="1"/>
  <c r="T375" i="1"/>
  <c r="U375" i="1" s="1"/>
  <c r="V375" i="1"/>
  <c r="T376" i="1"/>
  <c r="U376" i="1"/>
  <c r="V376" i="1"/>
  <c r="T377" i="1"/>
  <c r="V377" i="1" s="1"/>
  <c r="T378" i="1"/>
  <c r="T379" i="1"/>
  <c r="V379" i="1" s="1"/>
  <c r="U379" i="1"/>
  <c r="T380" i="1"/>
  <c r="T381" i="1"/>
  <c r="U381" i="1" s="1"/>
  <c r="V381" i="1"/>
  <c r="T382" i="1"/>
  <c r="V382" i="1" s="1"/>
  <c r="U382" i="1"/>
  <c r="T383" i="1"/>
  <c r="U383" i="1" s="1"/>
  <c r="V383" i="1"/>
  <c r="T384" i="1"/>
  <c r="T385" i="1"/>
  <c r="U385" i="1" s="1"/>
  <c r="V385" i="1"/>
  <c r="T386" i="1"/>
  <c r="U386" i="1"/>
  <c r="V386" i="1"/>
  <c r="T387" i="1"/>
  <c r="U387" i="1" s="1"/>
  <c r="V387" i="1"/>
  <c r="T388" i="1"/>
  <c r="U388" i="1"/>
  <c r="V388" i="1"/>
  <c r="T389" i="1"/>
  <c r="V389" i="1" s="1"/>
  <c r="T390" i="1"/>
  <c r="T391" i="1"/>
  <c r="U391" i="1"/>
  <c r="V391" i="1"/>
  <c r="T392" i="1"/>
  <c r="U392" i="1"/>
  <c r="V392" i="1"/>
  <c r="T393" i="1"/>
  <c r="U393" i="1" s="1"/>
  <c r="T394" i="1"/>
  <c r="U394" i="1" s="1"/>
  <c r="V394" i="1"/>
  <c r="T395" i="1"/>
  <c r="U395" i="1" s="1"/>
  <c r="T396" i="1"/>
  <c r="T397" i="1"/>
  <c r="U397" i="1"/>
  <c r="V397" i="1"/>
  <c r="T398" i="1"/>
  <c r="V398" i="1" s="1"/>
  <c r="U398" i="1"/>
  <c r="T399" i="1"/>
  <c r="U399" i="1"/>
  <c r="V399" i="1"/>
  <c r="T400" i="1"/>
  <c r="U401" i="1" s="1"/>
  <c r="V400" i="1"/>
  <c r="T401" i="1"/>
  <c r="V401" i="1"/>
  <c r="T402" i="1"/>
  <c r="T403" i="1"/>
  <c r="U403" i="1"/>
  <c r="V403" i="1"/>
  <c r="T404" i="1"/>
  <c r="U404" i="1"/>
  <c r="V404" i="1"/>
  <c r="T405" i="1"/>
  <c r="U405" i="1" s="1"/>
  <c r="V405" i="1"/>
  <c r="T406" i="1"/>
  <c r="T407" i="1"/>
  <c r="U407" i="1" s="1"/>
  <c r="T408" i="1"/>
  <c r="T409" i="1"/>
  <c r="V409" i="1"/>
  <c r="T410" i="1"/>
  <c r="T411" i="1"/>
  <c r="T412" i="1"/>
  <c r="U412" i="1"/>
  <c r="V412" i="1"/>
  <c r="T413" i="1"/>
  <c r="U413" i="1" s="1"/>
  <c r="V413" i="1"/>
  <c r="T414" i="1"/>
  <c r="V415" i="1" s="1"/>
  <c r="T415" i="1"/>
  <c r="T416" i="1"/>
  <c r="T417" i="1"/>
  <c r="T418" i="1"/>
  <c r="U418" i="1"/>
  <c r="V418" i="1"/>
  <c r="T419" i="1"/>
  <c r="U419" i="1" s="1"/>
  <c r="V419" i="1"/>
  <c r="T420" i="1"/>
  <c r="T421" i="1"/>
  <c r="U421" i="1"/>
  <c r="V421" i="1"/>
  <c r="T422" i="1"/>
  <c r="T423" i="1"/>
  <c r="U423" i="1"/>
  <c r="V423" i="1"/>
  <c r="T424" i="1"/>
  <c r="U424" i="1"/>
  <c r="V424" i="1"/>
  <c r="T425" i="1"/>
  <c r="U425" i="1" s="1"/>
  <c r="V425" i="1"/>
  <c r="T426" i="1"/>
  <c r="U426" i="1" s="1"/>
  <c r="T427" i="1"/>
  <c r="T428" i="1"/>
  <c r="U428" i="1"/>
  <c r="V428" i="1"/>
  <c r="T429" i="1"/>
  <c r="U429" i="1"/>
  <c r="V429" i="1"/>
  <c r="T430" i="1"/>
  <c r="V430" i="1" s="1"/>
  <c r="U430" i="1"/>
  <c r="T431" i="1"/>
  <c r="U431" i="1" s="1"/>
  <c r="V431" i="1"/>
  <c r="T432" i="1"/>
  <c r="U432" i="1"/>
  <c r="T433" i="1"/>
  <c r="T434" i="1"/>
  <c r="U434" i="1"/>
  <c r="T435" i="1"/>
  <c r="V435" i="1"/>
  <c r="T436" i="1"/>
  <c r="U436" i="1"/>
  <c r="V436" i="1"/>
  <c r="T437" i="1"/>
  <c r="U437" i="1" s="1"/>
  <c r="T438" i="1"/>
  <c r="T439" i="1"/>
  <c r="T440" i="1"/>
  <c r="U440" i="1" s="1"/>
  <c r="T441" i="1"/>
  <c r="T442" i="1"/>
  <c r="U442" i="1" s="1"/>
  <c r="T443" i="1"/>
  <c r="V443" i="1" s="1"/>
  <c r="U443" i="1"/>
  <c r="T444" i="1"/>
  <c r="U444" i="1"/>
  <c r="V444" i="1"/>
  <c r="T445" i="1"/>
  <c r="U445" i="1"/>
  <c r="V445" i="1"/>
  <c r="T446" i="1"/>
  <c r="T447" i="1"/>
  <c r="T448" i="1"/>
  <c r="V448" i="1" s="1"/>
  <c r="T449" i="1"/>
  <c r="V449" i="1"/>
  <c r="T450" i="1"/>
  <c r="U450" i="1"/>
  <c r="V450" i="1"/>
  <c r="T451" i="1"/>
  <c r="T452" i="1"/>
  <c r="U452" i="1"/>
  <c r="V452" i="1"/>
  <c r="T453" i="1"/>
  <c r="U453" i="1" s="1"/>
  <c r="V453" i="1"/>
  <c r="T454" i="1"/>
  <c r="T455" i="1"/>
  <c r="U455" i="1" s="1"/>
  <c r="T456" i="1"/>
  <c r="V457" i="1" s="1"/>
  <c r="U456" i="1"/>
  <c r="V456" i="1"/>
  <c r="T457" i="1"/>
  <c r="T458" i="1"/>
  <c r="U458" i="1"/>
  <c r="V458" i="1"/>
  <c r="T459" i="1"/>
  <c r="V459" i="1" s="1"/>
  <c r="U459" i="1"/>
  <c r="T460" i="1"/>
  <c r="U460" i="1"/>
  <c r="V460" i="1"/>
  <c r="T461" i="1"/>
  <c r="U461" i="1" s="1"/>
  <c r="T462" i="1"/>
  <c r="U462" i="1" s="1"/>
  <c r="T463" i="1"/>
  <c r="U464" i="1" s="1"/>
  <c r="T464" i="1"/>
  <c r="V464" i="1"/>
  <c r="T465" i="1"/>
  <c r="U465" i="1" s="1"/>
  <c r="V465" i="1"/>
  <c r="T466" i="1"/>
  <c r="U466" i="1"/>
  <c r="V466" i="1"/>
  <c r="T467" i="1"/>
  <c r="U468" i="1" s="1"/>
  <c r="T468" i="1"/>
  <c r="T469" i="1"/>
  <c r="U469" i="1"/>
  <c r="V469" i="1"/>
  <c r="T470" i="1"/>
  <c r="T471" i="1"/>
  <c r="T472" i="1"/>
  <c r="U472" i="1"/>
  <c r="V472" i="1"/>
  <c r="T473" i="1"/>
  <c r="U473" i="1" s="1"/>
  <c r="V473" i="1"/>
  <c r="T474" i="1"/>
  <c r="U474" i="1" s="1"/>
  <c r="T475" i="1"/>
  <c r="T476" i="1"/>
  <c r="V476" i="1"/>
  <c r="T477" i="1"/>
  <c r="T478" i="1"/>
  <c r="U478" i="1"/>
  <c r="T479" i="1"/>
  <c r="U479" i="1"/>
  <c r="V479" i="1"/>
  <c r="T480" i="1"/>
  <c r="V481" i="1" s="1"/>
  <c r="U480" i="1"/>
  <c r="V480" i="1"/>
  <c r="T481" i="1"/>
  <c r="U481" i="1" s="1"/>
  <c r="T482" i="1"/>
  <c r="U482" i="1"/>
  <c r="V482" i="1"/>
  <c r="T483" i="1"/>
  <c r="T484" i="1"/>
  <c r="U484" i="1"/>
  <c r="V484" i="1"/>
  <c r="T485" i="1"/>
  <c r="U485" i="1"/>
  <c r="V485" i="1"/>
  <c r="T486" i="1"/>
  <c r="T487" i="1"/>
  <c r="U487" i="1" s="1"/>
  <c r="T488" i="1"/>
  <c r="T489" i="1"/>
  <c r="T490" i="1"/>
  <c r="V490" i="1"/>
  <c r="T491" i="1"/>
  <c r="V491" i="1" s="1"/>
  <c r="T492" i="1"/>
  <c r="T493" i="1"/>
  <c r="U493" i="1"/>
  <c r="T494" i="1"/>
  <c r="T495" i="1"/>
  <c r="V495" i="1" s="1"/>
  <c r="U495" i="1"/>
  <c r="T496" i="1"/>
  <c r="U496" i="1"/>
  <c r="V496" i="1"/>
  <c r="T497" i="1"/>
  <c r="U497" i="1" s="1"/>
  <c r="V497" i="1"/>
  <c r="T498" i="1"/>
  <c r="V498" i="1" s="1"/>
  <c r="T499" i="1"/>
  <c r="T500" i="1"/>
  <c r="V500" i="1"/>
  <c r="T501" i="1"/>
  <c r="U501" i="1" s="1"/>
  <c r="T502" i="1"/>
  <c r="T503" i="1"/>
  <c r="U503" i="1" s="1"/>
  <c r="T504" i="1"/>
  <c r="U504" i="1"/>
  <c r="V504" i="1"/>
  <c r="T505" i="1"/>
  <c r="V505" i="1" s="1"/>
  <c r="T506" i="1"/>
  <c r="T507" i="1"/>
  <c r="V507" i="1" s="1"/>
  <c r="U507" i="1"/>
  <c r="T508" i="1"/>
  <c r="U508" i="1"/>
  <c r="V508" i="1"/>
  <c r="T509" i="1"/>
  <c r="U509" i="1"/>
  <c r="V509" i="1"/>
  <c r="T510" i="1"/>
  <c r="V510" i="1" s="1"/>
  <c r="U510" i="1"/>
  <c r="T511" i="1"/>
  <c r="U511" i="1"/>
  <c r="V511" i="1"/>
  <c r="T512" i="1"/>
  <c r="T513" i="1"/>
  <c r="U513" i="1" s="1"/>
  <c r="V513" i="1"/>
  <c r="T514" i="1"/>
  <c r="U514" i="1"/>
  <c r="V514" i="1"/>
  <c r="T515" i="1"/>
  <c r="V515" i="1" s="1"/>
  <c r="U515" i="1"/>
  <c r="T516" i="1"/>
  <c r="U516" i="1"/>
  <c r="V516" i="1"/>
  <c r="T517" i="1"/>
  <c r="V517" i="1" s="1"/>
  <c r="T518" i="1"/>
  <c r="T519" i="1"/>
  <c r="U519" i="1"/>
  <c r="V519" i="1"/>
  <c r="T520" i="1"/>
  <c r="U520" i="1" s="1"/>
  <c r="V520" i="1"/>
  <c r="T521" i="1"/>
  <c r="U521" i="1" s="1"/>
  <c r="V521" i="1"/>
  <c r="T522" i="1"/>
  <c r="U522" i="1" s="1"/>
  <c r="V522" i="1"/>
  <c r="T523" i="1"/>
  <c r="U523" i="1" s="1"/>
  <c r="T524" i="1"/>
  <c r="T525" i="1"/>
  <c r="U525" i="1"/>
  <c r="V525" i="1"/>
  <c r="T526" i="1"/>
  <c r="V526" i="1" s="1"/>
  <c r="T527" i="1"/>
  <c r="U527" i="1" s="1"/>
  <c r="T528" i="1"/>
  <c r="U528" i="1"/>
  <c r="V528" i="1"/>
  <c r="T529" i="1"/>
  <c r="U529" i="1" s="1"/>
  <c r="V529" i="1"/>
  <c r="T530" i="1"/>
  <c r="U531" i="1" s="1"/>
  <c r="T531" i="1"/>
  <c r="T532" i="1"/>
  <c r="U532" i="1"/>
  <c r="V532" i="1"/>
  <c r="T533" i="1"/>
  <c r="U533" i="1" s="1"/>
  <c r="T534" i="1"/>
  <c r="T535" i="1"/>
  <c r="U535" i="1"/>
  <c r="V535" i="1"/>
  <c r="T536" i="1"/>
  <c r="T537" i="1"/>
  <c r="V537" i="1"/>
  <c r="T538" i="1"/>
  <c r="U538" i="1"/>
  <c r="V538" i="1"/>
  <c r="T539" i="1"/>
  <c r="V539" i="1" s="1"/>
  <c r="U539" i="1"/>
  <c r="T540" i="1"/>
  <c r="U540" i="1"/>
  <c r="T541" i="1"/>
  <c r="U541" i="1"/>
  <c r="V541" i="1"/>
  <c r="T542" i="1"/>
  <c r="V543" i="1" s="1"/>
  <c r="T543" i="1"/>
  <c r="T544" i="1"/>
  <c r="U544" i="1"/>
  <c r="V544" i="1"/>
  <c r="T545" i="1"/>
  <c r="U545" i="1" s="1"/>
  <c r="V545" i="1"/>
  <c r="T546" i="1"/>
  <c r="U546" i="1"/>
  <c r="V546" i="1"/>
  <c r="T547" i="1"/>
  <c r="T548" i="1"/>
  <c r="T549" i="1"/>
  <c r="U549" i="1"/>
  <c r="V549" i="1"/>
  <c r="T550" i="1"/>
  <c r="T551" i="1"/>
  <c r="U551" i="1"/>
  <c r="V551" i="1"/>
  <c r="T552" i="1"/>
  <c r="U552" i="1" s="1"/>
  <c r="V552" i="1"/>
  <c r="T553" i="1"/>
  <c r="U553" i="1" s="1"/>
  <c r="T554" i="1"/>
  <c r="T555" i="1"/>
  <c r="T556" i="1"/>
  <c r="U556" i="1"/>
  <c r="V556" i="1"/>
  <c r="T557" i="1"/>
  <c r="U557" i="1" s="1"/>
  <c r="V557" i="1"/>
  <c r="T558" i="1"/>
  <c r="V558" i="1" s="1"/>
  <c r="T559" i="1"/>
  <c r="U559" i="1" s="1"/>
  <c r="V559" i="1"/>
  <c r="T560" i="1"/>
  <c r="U560" i="1" s="1"/>
  <c r="T561" i="1"/>
  <c r="T562" i="1"/>
  <c r="U562" i="1" s="1"/>
  <c r="V562" i="1"/>
  <c r="T563" i="1"/>
  <c r="U563" i="1"/>
  <c r="V563" i="1"/>
  <c r="T564" i="1"/>
  <c r="U564" i="1"/>
  <c r="V564" i="1"/>
  <c r="T565" i="1"/>
  <c r="U565" i="1"/>
  <c r="V565" i="1"/>
  <c r="T566" i="1"/>
  <c r="T567" i="1"/>
  <c r="T568" i="1"/>
  <c r="V568" i="1" s="1"/>
  <c r="T569" i="1"/>
  <c r="T570" i="1"/>
  <c r="U570" i="1"/>
  <c r="V570" i="1"/>
  <c r="T571" i="1"/>
  <c r="V571" i="1" s="1"/>
  <c r="U571" i="1"/>
  <c r="T572" i="1"/>
  <c r="U572" i="1"/>
  <c r="V572" i="1"/>
  <c r="T573" i="1"/>
  <c r="U573" i="1"/>
  <c r="V573" i="1"/>
  <c r="T574" i="1"/>
  <c r="V574" i="1" s="1"/>
  <c r="T575" i="1"/>
  <c r="U575" i="1" s="1"/>
  <c r="T576" i="1"/>
  <c r="U576" i="1"/>
  <c r="V576" i="1"/>
  <c r="T577" i="1"/>
  <c r="U577" i="1" s="1"/>
  <c r="V577" i="1"/>
  <c r="T578" i="1"/>
  <c r="U578" i="1" s="1"/>
  <c r="T579" i="1"/>
  <c r="T580" i="1"/>
  <c r="U580" i="1"/>
  <c r="V580" i="1"/>
  <c r="T581" i="1"/>
  <c r="U581" i="1" s="1"/>
  <c r="T582" i="1"/>
  <c r="T583" i="1"/>
  <c r="U583" i="1"/>
  <c r="V583" i="1"/>
  <c r="T584" i="1"/>
  <c r="V585" i="1" s="1"/>
  <c r="U584" i="1"/>
  <c r="V584" i="1"/>
  <c r="T585" i="1"/>
  <c r="T586" i="1"/>
  <c r="U586" i="1"/>
  <c r="V586" i="1"/>
  <c r="T587" i="1"/>
  <c r="V587" i="1" s="1"/>
  <c r="T588" i="1"/>
  <c r="T589" i="1"/>
  <c r="U589" i="1" s="1"/>
  <c r="V589" i="1"/>
  <c r="T590" i="1"/>
  <c r="V590" i="1" s="1"/>
  <c r="T591" i="1"/>
  <c r="T592" i="1"/>
  <c r="U592" i="1"/>
  <c r="V592" i="1"/>
  <c r="T593" i="1"/>
  <c r="U593" i="1" s="1"/>
  <c r="V593" i="1"/>
  <c r="T594" i="1"/>
  <c r="V595" i="1" s="1"/>
  <c r="T595" i="1"/>
  <c r="U595" i="1" s="1"/>
  <c r="T596" i="1"/>
  <c r="U596" i="1"/>
  <c r="V596" i="1"/>
  <c r="T597" i="1"/>
  <c r="U597" i="1"/>
  <c r="V597" i="1"/>
  <c r="T598" i="1"/>
  <c r="T599" i="1"/>
  <c r="U599" i="1" s="1"/>
  <c r="V599" i="1"/>
  <c r="T600" i="1"/>
  <c r="U600" i="1" s="1"/>
  <c r="T601" i="1"/>
  <c r="V601" i="1" s="1"/>
  <c r="T602" i="1"/>
  <c r="U602" i="1" s="1"/>
  <c r="V602" i="1"/>
  <c r="T603" i="1"/>
  <c r="T604" i="1"/>
  <c r="V604" i="1"/>
  <c r="T605" i="1"/>
  <c r="U605" i="1" s="1"/>
  <c r="T606" i="1"/>
  <c r="U606" i="1"/>
  <c r="T607" i="1"/>
  <c r="V608" i="1" s="1"/>
  <c r="T608" i="1"/>
  <c r="V609" i="1" s="1"/>
  <c r="T609" i="1"/>
  <c r="U609" i="1" s="1"/>
  <c r="T610" i="1"/>
  <c r="U610" i="1"/>
  <c r="V610" i="1"/>
  <c r="T611" i="1"/>
  <c r="U611" i="1"/>
  <c r="V611" i="1"/>
  <c r="T612" i="1"/>
  <c r="U612" i="1" s="1"/>
  <c r="V612" i="1"/>
  <c r="T613" i="1"/>
  <c r="U613" i="1" s="1"/>
  <c r="T614" i="1"/>
  <c r="T615" i="1"/>
  <c r="U615" i="1"/>
  <c r="T616" i="1"/>
  <c r="V616" i="1"/>
  <c r="T617" i="1"/>
  <c r="U617" i="1" s="1"/>
  <c r="V617" i="1"/>
  <c r="T618" i="1"/>
  <c r="U618" i="1" s="1"/>
  <c r="T619" i="1"/>
  <c r="U619" i="1"/>
  <c r="T620" i="1"/>
  <c r="U620" i="1"/>
  <c r="V620" i="1"/>
  <c r="T621" i="1"/>
  <c r="T622" i="1"/>
  <c r="U622" i="1"/>
  <c r="V622" i="1"/>
  <c r="T623" i="1"/>
  <c r="U623" i="1" s="1"/>
  <c r="T624" i="1"/>
  <c r="U624" i="1"/>
  <c r="V624" i="1"/>
  <c r="T625" i="1"/>
  <c r="U625" i="1" s="1"/>
  <c r="V625" i="1"/>
  <c r="T626" i="1"/>
  <c r="U626" i="1"/>
  <c r="V626" i="1"/>
  <c r="T627" i="1"/>
  <c r="T628" i="1"/>
  <c r="U628" i="1" s="1"/>
  <c r="V628" i="1"/>
  <c r="T629" i="1"/>
  <c r="U629" i="1"/>
  <c r="V629" i="1"/>
  <c r="T630" i="1"/>
  <c r="T631" i="1"/>
  <c r="U631" i="1"/>
  <c r="V631" i="1"/>
  <c r="T632" i="1"/>
  <c r="U632" i="1" s="1"/>
  <c r="V632" i="1"/>
  <c r="T633" i="1"/>
  <c r="T634" i="1"/>
  <c r="V634" i="1" s="1"/>
  <c r="U634" i="1"/>
  <c r="T635" i="1"/>
  <c r="T636" i="1"/>
  <c r="U636" i="1"/>
  <c r="V636" i="1"/>
  <c r="T637" i="1"/>
  <c r="U637" i="1"/>
  <c r="V637" i="1"/>
  <c r="T638" i="1"/>
  <c r="U638" i="1"/>
  <c r="T639" i="1"/>
  <c r="V639" i="1"/>
  <c r="T640" i="1"/>
  <c r="U641" i="1" s="1"/>
  <c r="T641" i="1"/>
  <c r="T642" i="1"/>
  <c r="U642" i="1" s="1"/>
  <c r="V642" i="1"/>
  <c r="T643" i="1"/>
  <c r="U643" i="1" s="1"/>
  <c r="V643" i="1"/>
  <c r="T644" i="1"/>
  <c r="U645" i="1" s="1"/>
  <c r="T645" i="1"/>
  <c r="T646" i="1"/>
  <c r="T647" i="1"/>
  <c r="V648" i="1" s="1"/>
  <c r="T648" i="1"/>
  <c r="U648" i="1" s="1"/>
  <c r="T649" i="1"/>
  <c r="U649" i="1"/>
  <c r="V649" i="1"/>
  <c r="T650" i="1"/>
  <c r="T651" i="1"/>
  <c r="V651" i="1" s="1"/>
  <c r="U651" i="1"/>
  <c r="T652" i="1"/>
  <c r="U652" i="1"/>
  <c r="V652" i="1"/>
  <c r="T653" i="1"/>
  <c r="U653" i="1"/>
  <c r="V653" i="1"/>
  <c r="T654" i="1"/>
  <c r="U654" i="1" s="1"/>
  <c r="T655" i="1"/>
  <c r="U656" i="1" s="1"/>
  <c r="T656" i="1"/>
  <c r="V656" i="1"/>
  <c r="T657" i="1"/>
  <c r="U657" i="1" s="1"/>
  <c r="V657" i="1"/>
  <c r="T658" i="1"/>
  <c r="U658" i="1"/>
  <c r="V658" i="1"/>
  <c r="T659" i="1"/>
  <c r="U659" i="1"/>
  <c r="V659" i="1"/>
  <c r="T660" i="1"/>
  <c r="U660" i="1" s="1"/>
  <c r="T661" i="1"/>
  <c r="U661" i="1" s="1"/>
  <c r="T662" i="1"/>
  <c r="T663" i="1"/>
  <c r="U663" i="1" s="1"/>
  <c r="V663" i="1"/>
  <c r="T664" i="1"/>
  <c r="U664" i="1" s="1"/>
  <c r="T665" i="1"/>
  <c r="U665" i="1"/>
  <c r="V665" i="1"/>
  <c r="T666" i="1"/>
  <c r="V666" i="1" s="1"/>
  <c r="U666" i="1"/>
  <c r="T667" i="1"/>
  <c r="T668" i="1"/>
  <c r="V668" i="1"/>
  <c r="T669" i="1"/>
  <c r="U669" i="1" s="1"/>
  <c r="V669" i="1"/>
  <c r="T670" i="1"/>
  <c r="U670" i="1" s="1"/>
  <c r="T671" i="1"/>
  <c r="U671" i="1"/>
  <c r="V671" i="1"/>
  <c r="T672" i="1"/>
  <c r="V673" i="1" s="1"/>
  <c r="U672" i="1"/>
  <c r="T673" i="1"/>
  <c r="T674" i="1"/>
  <c r="U674" i="1"/>
  <c r="V674" i="1"/>
  <c r="T675" i="1"/>
  <c r="U675" i="1" s="1"/>
  <c r="V675" i="1"/>
  <c r="T676" i="1"/>
  <c r="U676" i="1" s="1"/>
  <c r="T677" i="1"/>
  <c r="U677" i="1"/>
  <c r="V677" i="1"/>
  <c r="T678" i="1"/>
  <c r="T679" i="1"/>
  <c r="V679" i="1" s="1"/>
  <c r="T680" i="1"/>
  <c r="T681" i="1"/>
  <c r="U681" i="1" s="1"/>
  <c r="T682" i="1"/>
  <c r="V682" i="1" s="1"/>
  <c r="U682" i="1"/>
  <c r="T683" i="1"/>
  <c r="U683" i="1" s="1"/>
  <c r="V683" i="1"/>
  <c r="T684" i="1"/>
  <c r="U685" i="1" s="1"/>
  <c r="T685" i="1"/>
  <c r="T686" i="1"/>
  <c r="U686" i="1" s="1"/>
  <c r="V686" i="1"/>
  <c r="T687" i="1"/>
  <c r="U687" i="1" s="1"/>
  <c r="V687" i="1"/>
  <c r="T688" i="1"/>
  <c r="U688" i="1" s="1"/>
  <c r="T689" i="1"/>
  <c r="U689" i="1"/>
  <c r="V689" i="1"/>
  <c r="T690" i="1"/>
  <c r="T691" i="1"/>
  <c r="U691" i="1" s="1"/>
  <c r="T692" i="1"/>
  <c r="U692" i="1" s="1"/>
  <c r="T693" i="1"/>
  <c r="U693" i="1" s="1"/>
  <c r="V693" i="1"/>
  <c r="T694" i="1"/>
  <c r="U694" i="1" s="1"/>
  <c r="T695" i="1"/>
  <c r="U695" i="1"/>
  <c r="T696" i="1"/>
  <c r="U696" i="1"/>
  <c r="V696" i="1"/>
  <c r="T697" i="1"/>
  <c r="U697" i="1" s="1"/>
  <c r="V697" i="1"/>
  <c r="T698" i="1"/>
  <c r="U698" i="1"/>
  <c r="V698" i="1"/>
  <c r="T699" i="1"/>
  <c r="U699" i="1"/>
  <c r="V699" i="1"/>
  <c r="T700" i="1"/>
  <c r="U701" i="1" s="1"/>
  <c r="U700" i="1"/>
  <c r="V700" i="1"/>
  <c r="T701" i="1"/>
  <c r="V701" i="1"/>
  <c r="T702" i="1"/>
  <c r="V702" i="1" s="1"/>
  <c r="U702" i="1"/>
  <c r="T703" i="1"/>
  <c r="T704" i="1"/>
  <c r="U704" i="1" s="1"/>
  <c r="T705" i="1"/>
  <c r="U705" i="1"/>
  <c r="V705" i="1"/>
  <c r="T706" i="1"/>
  <c r="T707" i="1"/>
  <c r="U707" i="1"/>
  <c r="V707" i="1"/>
  <c r="T708" i="1"/>
  <c r="V708" i="1" s="1"/>
  <c r="U708" i="1"/>
  <c r="T709" i="1"/>
  <c r="T710" i="1"/>
  <c r="U710" i="1" s="1"/>
  <c r="T711" i="1"/>
  <c r="V711" i="1" s="1"/>
  <c r="U711" i="1"/>
  <c r="T712" i="1"/>
  <c r="U712" i="1"/>
  <c r="V712" i="1"/>
  <c r="T713" i="1"/>
  <c r="U713" i="1"/>
  <c r="V713" i="1"/>
  <c r="T714" i="1"/>
  <c r="U714" i="1" s="1"/>
  <c r="T715" i="1"/>
  <c r="U715" i="1" s="1"/>
  <c r="T716" i="1"/>
  <c r="U717" i="1" s="1"/>
  <c r="V716" i="1"/>
  <c r="T717" i="1"/>
  <c r="T718" i="1"/>
  <c r="U718" i="1" s="1"/>
  <c r="V718" i="1"/>
  <c r="T719" i="1"/>
  <c r="V720" i="1" s="1"/>
  <c r="T720" i="1"/>
  <c r="U720" i="1" s="1"/>
  <c r="T721" i="1"/>
  <c r="U721" i="1"/>
  <c r="V721" i="1"/>
  <c r="T722" i="1"/>
  <c r="T723" i="1"/>
  <c r="V723" i="1" s="1"/>
  <c r="U723" i="1"/>
  <c r="T724" i="1"/>
  <c r="U724" i="1" s="1"/>
  <c r="V724" i="1"/>
  <c r="T725" i="1"/>
  <c r="V726" i="1" s="1"/>
  <c r="T726" i="1"/>
  <c r="U726" i="1" s="1"/>
  <c r="T727" i="1"/>
  <c r="V727" i="1" s="1"/>
  <c r="U727" i="1"/>
  <c r="T728" i="1"/>
  <c r="U728" i="1" s="1"/>
  <c r="V728" i="1"/>
  <c r="T729" i="1"/>
  <c r="U729" i="1" s="1"/>
  <c r="T730" i="1"/>
  <c r="U730" i="1"/>
  <c r="V730" i="1"/>
  <c r="T731" i="1"/>
  <c r="V731" i="1" s="1"/>
  <c r="U731" i="1"/>
  <c r="T732" i="1"/>
  <c r="T733" i="1"/>
  <c r="U733" i="1"/>
  <c r="V733" i="1"/>
  <c r="T734" i="1"/>
  <c r="V734" i="1" s="1"/>
  <c r="U734" i="1"/>
  <c r="T735" i="1"/>
  <c r="U735" i="1" s="1"/>
  <c r="V735" i="1"/>
  <c r="T736" i="1"/>
  <c r="V737" i="1" s="1"/>
  <c r="T737" i="1"/>
  <c r="U737" i="1" s="1"/>
  <c r="T738" i="1"/>
  <c r="U738" i="1" s="1"/>
  <c r="V738" i="1"/>
  <c r="T739" i="1"/>
  <c r="U739" i="1" s="1"/>
  <c r="V739" i="1"/>
  <c r="T740" i="1"/>
  <c r="U740" i="1" s="1"/>
  <c r="T741" i="1"/>
  <c r="U741" i="1"/>
  <c r="V741" i="1"/>
  <c r="T742" i="1"/>
  <c r="V742" i="1" s="1"/>
  <c r="U742" i="1"/>
  <c r="T743" i="1"/>
  <c r="T744" i="1"/>
  <c r="U744" i="1"/>
  <c r="V744" i="1"/>
  <c r="T745" i="1"/>
  <c r="U745" i="1"/>
  <c r="V745" i="1"/>
  <c r="T746" i="1"/>
  <c r="U746" i="1"/>
  <c r="V746" i="1"/>
  <c r="T747" i="1"/>
  <c r="U747" i="1"/>
  <c r="V747" i="1"/>
  <c r="T748" i="1"/>
  <c r="U748" i="1" s="1"/>
  <c r="T749" i="1"/>
  <c r="T750" i="1"/>
  <c r="U750" i="1" s="1"/>
  <c r="T751" i="1"/>
  <c r="U751" i="1" s="1"/>
  <c r="T752" i="1"/>
  <c r="U752" i="1"/>
  <c r="V752" i="1"/>
  <c r="T753" i="1"/>
  <c r="V753" i="1" s="1"/>
  <c r="U753" i="1"/>
  <c r="T754" i="1"/>
  <c r="T755" i="1"/>
  <c r="U755" i="1"/>
  <c r="V755" i="1"/>
  <c r="T756" i="1"/>
  <c r="U756" i="1" s="1"/>
  <c r="V756" i="1"/>
  <c r="T757" i="1"/>
  <c r="U757" i="1"/>
  <c r="V757" i="1"/>
  <c r="T758" i="1"/>
  <c r="U758" i="1"/>
  <c r="V758" i="1"/>
  <c r="T759" i="1"/>
  <c r="V759" i="1" s="1"/>
  <c r="T760" i="1"/>
  <c r="T761" i="1"/>
  <c r="U761" i="1" s="1"/>
  <c r="T762" i="1"/>
  <c r="U762" i="1"/>
  <c r="T763" i="1"/>
  <c r="U763" i="1" s="1"/>
  <c r="V763" i="1"/>
  <c r="T764" i="1"/>
  <c r="U765" i="1" s="1"/>
  <c r="T765" i="1"/>
  <c r="T766" i="1"/>
  <c r="U766" i="1"/>
  <c r="V766" i="1"/>
  <c r="T767" i="1"/>
  <c r="U767" i="1" s="1"/>
  <c r="V767" i="1"/>
  <c r="T768" i="1"/>
  <c r="U768" i="1"/>
  <c r="V768" i="1"/>
  <c r="T769" i="1"/>
  <c r="U769" i="1"/>
  <c r="V769" i="1"/>
  <c r="T770" i="1"/>
  <c r="U770" i="1" s="1"/>
  <c r="T771" i="1"/>
  <c r="T772" i="1"/>
  <c r="U772" i="1" s="1"/>
  <c r="T773" i="1"/>
  <c r="V773" i="1" s="1"/>
  <c r="U773" i="1"/>
  <c r="T774" i="1"/>
  <c r="U774" i="1" s="1"/>
  <c r="V774" i="1"/>
  <c r="T775" i="1"/>
  <c r="V775" i="1" s="1"/>
  <c r="T776" i="1"/>
  <c r="U776" i="1" s="1"/>
  <c r="T777" i="1"/>
  <c r="U777" i="1" s="1"/>
  <c r="T778" i="1"/>
  <c r="U778" i="1" s="1"/>
  <c r="T779" i="1"/>
  <c r="U779" i="1" s="1"/>
  <c r="T780" i="1"/>
  <c r="V781" i="1" s="1"/>
  <c r="U780" i="1"/>
  <c r="V780" i="1"/>
  <c r="T781" i="1"/>
  <c r="U781" i="1"/>
  <c r="T782" i="1"/>
  <c r="U782" i="1"/>
  <c r="V782" i="1"/>
  <c r="T783" i="1"/>
  <c r="U783" i="1" s="1"/>
  <c r="T784" i="1"/>
  <c r="V784" i="1" s="1"/>
  <c r="U784" i="1"/>
  <c r="T785" i="1"/>
  <c r="U785" i="1" s="1"/>
  <c r="V785" i="1"/>
  <c r="T786" i="1"/>
  <c r="U786" i="1" s="1"/>
  <c r="T787" i="1"/>
  <c r="U787" i="1" s="1"/>
  <c r="T788" i="1"/>
  <c r="U788" i="1" s="1"/>
  <c r="T789" i="1"/>
  <c r="U789" i="1" s="1"/>
  <c r="T790" i="1"/>
  <c r="U790" i="1" s="1"/>
  <c r="T791" i="1"/>
  <c r="U791" i="1"/>
  <c r="T792" i="1"/>
  <c r="V793" i="1" s="1"/>
  <c r="T793" i="1"/>
  <c r="U793" i="1" s="1"/>
  <c r="T794" i="1"/>
  <c r="U794" i="1"/>
  <c r="V794" i="1"/>
  <c r="T795" i="1"/>
  <c r="U795" i="1" s="1"/>
  <c r="V795" i="1"/>
  <c r="T796" i="1"/>
  <c r="U796" i="1"/>
  <c r="V796" i="1"/>
  <c r="T797" i="1"/>
  <c r="U797" i="1"/>
  <c r="V797" i="1"/>
  <c r="T798" i="1"/>
  <c r="U798" i="1" s="1"/>
  <c r="T799" i="1"/>
  <c r="U799" i="1" s="1"/>
  <c r="T800" i="1"/>
  <c r="U800" i="1" s="1"/>
  <c r="T801" i="1"/>
  <c r="U801" i="1" s="1"/>
  <c r="T802" i="1"/>
  <c r="V802" i="1"/>
  <c r="T803" i="1"/>
  <c r="V804" i="1" s="1"/>
  <c r="T804" i="1"/>
  <c r="U804" i="1" s="1"/>
  <c r="T805" i="1"/>
  <c r="U805" i="1"/>
  <c r="V805" i="1"/>
  <c r="T806" i="1"/>
  <c r="U806" i="1" s="1"/>
  <c r="V806" i="1"/>
  <c r="T807" i="1"/>
  <c r="V807" i="1" s="1"/>
  <c r="U807" i="1"/>
  <c r="T808" i="1"/>
  <c r="U808" i="1"/>
  <c r="V808" i="1"/>
  <c r="T809" i="1"/>
  <c r="V809" i="1" s="1"/>
  <c r="U809" i="1"/>
  <c r="T810" i="1"/>
  <c r="T811" i="1"/>
  <c r="U811" i="1" s="1"/>
  <c r="T812" i="1"/>
  <c r="U812" i="1"/>
  <c r="V812" i="1"/>
  <c r="T813" i="1"/>
  <c r="U813" i="1" s="1"/>
  <c r="V813" i="1"/>
  <c r="T814" i="1"/>
  <c r="V815" i="1" s="1"/>
  <c r="T815" i="1"/>
  <c r="U815" i="1" s="1"/>
  <c r="T816" i="1"/>
  <c r="U816" i="1"/>
  <c r="V816" i="1"/>
  <c r="T817" i="1"/>
  <c r="U817" i="1" s="1"/>
  <c r="V817" i="1"/>
  <c r="T818" i="1"/>
  <c r="U818" i="1"/>
  <c r="V818" i="1"/>
  <c r="T819" i="1"/>
  <c r="U819" i="1"/>
  <c r="V819" i="1"/>
  <c r="T820" i="1"/>
  <c r="U820" i="1" s="1"/>
  <c r="T821" i="1"/>
  <c r="U821" i="1" s="1"/>
  <c r="T822" i="1"/>
  <c r="U822" i="1" s="1"/>
  <c r="T823" i="1"/>
  <c r="U823" i="1" s="1"/>
  <c r="T824" i="1"/>
  <c r="U824" i="1"/>
  <c r="V824" i="1"/>
  <c r="T825" i="1"/>
  <c r="V825" i="1" s="1"/>
  <c r="U825" i="1"/>
  <c r="T826" i="1"/>
  <c r="T827" i="1"/>
  <c r="U827" i="1" s="1"/>
  <c r="T828" i="1"/>
  <c r="V828" i="1" s="1"/>
  <c r="U828" i="1"/>
  <c r="T829" i="1"/>
  <c r="U829" i="1" s="1"/>
  <c r="V829" i="1"/>
  <c r="T830" i="1"/>
  <c r="V831" i="1" s="1"/>
  <c r="T831" i="1"/>
  <c r="U831" i="1" s="1"/>
  <c r="T832" i="1"/>
  <c r="U832" i="1"/>
  <c r="V832" i="1"/>
  <c r="T833" i="1"/>
  <c r="U833" i="1" s="1"/>
  <c r="V833" i="1"/>
  <c r="T834" i="1"/>
  <c r="U834" i="1"/>
  <c r="V834" i="1"/>
  <c r="T835" i="1"/>
  <c r="U835" i="1"/>
  <c r="V835" i="1"/>
  <c r="T836" i="1"/>
  <c r="U836" i="1" s="1"/>
  <c r="T837" i="1"/>
  <c r="U837" i="1" s="1"/>
  <c r="T838" i="1"/>
  <c r="U838" i="1" s="1"/>
  <c r="T839" i="1"/>
  <c r="U839" i="1" s="1"/>
  <c r="T840" i="1"/>
  <c r="U840" i="1"/>
  <c r="V840" i="1"/>
  <c r="T841" i="1"/>
  <c r="V841" i="1" s="1"/>
  <c r="U841" i="1"/>
  <c r="T842" i="1"/>
  <c r="T843" i="1"/>
  <c r="U843" i="1" s="1"/>
  <c r="T844" i="1"/>
  <c r="V844" i="1" s="1"/>
  <c r="U844" i="1"/>
  <c r="T845" i="1"/>
  <c r="U845" i="1" s="1"/>
  <c r="V845" i="1"/>
  <c r="T846" i="1"/>
  <c r="V847" i="1" s="1"/>
  <c r="T847" i="1"/>
  <c r="U847" i="1" s="1"/>
  <c r="T848" i="1"/>
  <c r="U848" i="1"/>
  <c r="V848" i="1"/>
  <c r="T849" i="1"/>
  <c r="U849" i="1" s="1"/>
  <c r="V849" i="1"/>
  <c r="T850" i="1"/>
  <c r="U850" i="1"/>
  <c r="V850" i="1"/>
  <c r="T851" i="1"/>
  <c r="U851" i="1"/>
  <c r="V851" i="1"/>
  <c r="T852" i="1"/>
  <c r="U852" i="1" s="1"/>
  <c r="T853" i="1"/>
  <c r="U853" i="1" s="1"/>
  <c r="T854" i="1"/>
  <c r="U854" i="1" s="1"/>
  <c r="T855" i="1"/>
  <c r="U855" i="1" s="1"/>
  <c r="T856" i="1"/>
  <c r="U856" i="1"/>
  <c r="V856" i="1"/>
  <c r="T857" i="1"/>
  <c r="V857" i="1" s="1"/>
  <c r="U857" i="1"/>
  <c r="T858" i="1"/>
  <c r="T859" i="1"/>
  <c r="U859" i="1" s="1"/>
  <c r="T860" i="1"/>
  <c r="V860" i="1" s="1"/>
  <c r="U860" i="1"/>
  <c r="V5" i="1"/>
  <c r="T5" i="1"/>
  <c r="U5" i="1" s="1"/>
  <c r="J5" i="1"/>
  <c r="V846" i="1" l="1"/>
  <c r="V830" i="1"/>
  <c r="V814" i="1"/>
  <c r="V803" i="1"/>
  <c r="V792" i="1"/>
  <c r="V764" i="1"/>
  <c r="V736" i="1"/>
  <c r="V725" i="1"/>
  <c r="V719" i="1"/>
  <c r="V684" i="1"/>
  <c r="V647" i="1"/>
  <c r="V640" i="1"/>
  <c r="V613" i="1"/>
  <c r="V607" i="1"/>
  <c r="V600" i="1"/>
  <c r="V594" i="1"/>
  <c r="U574" i="1"/>
  <c r="U568" i="1"/>
  <c r="V554" i="1"/>
  <c r="U555" i="1"/>
  <c r="U548" i="1"/>
  <c r="V548" i="1"/>
  <c r="U526" i="1"/>
  <c r="U498" i="1"/>
  <c r="V474" i="1"/>
  <c r="V467" i="1"/>
  <c r="U454" i="1"/>
  <c r="V454" i="1"/>
  <c r="V446" i="1"/>
  <c r="U447" i="1"/>
  <c r="V447" i="1"/>
  <c r="V437" i="1"/>
  <c r="U274" i="1"/>
  <c r="V274" i="1"/>
  <c r="U275" i="1"/>
  <c r="V224" i="1"/>
  <c r="V171" i="1"/>
  <c r="V172" i="1"/>
  <c r="U137" i="1"/>
  <c r="U138" i="1"/>
  <c r="V138" i="1"/>
  <c r="U57" i="1"/>
  <c r="V57" i="1"/>
  <c r="U58" i="1"/>
  <c r="V58" i="1"/>
  <c r="U846" i="1"/>
  <c r="U830" i="1"/>
  <c r="U814" i="1"/>
  <c r="U803" i="1"/>
  <c r="U792" i="1"/>
  <c r="V786" i="1"/>
  <c r="U775" i="1"/>
  <c r="U764" i="1"/>
  <c r="U736" i="1"/>
  <c r="U725" i="1"/>
  <c r="U719" i="1"/>
  <c r="U690" i="1"/>
  <c r="V690" i="1"/>
  <c r="U684" i="1"/>
  <c r="U678" i="1"/>
  <c r="V678" i="1"/>
  <c r="U647" i="1"/>
  <c r="U640" i="1"/>
  <c r="U607" i="1"/>
  <c r="U594" i="1"/>
  <c r="U587" i="1"/>
  <c r="V553" i="1"/>
  <c r="U505" i="1"/>
  <c r="U506" i="1"/>
  <c r="V506" i="1"/>
  <c r="U467" i="1"/>
  <c r="U406" i="1"/>
  <c r="V406" i="1"/>
  <c r="V347" i="1"/>
  <c r="U347" i="1"/>
  <c r="U348" i="1"/>
  <c r="V348" i="1"/>
  <c r="V243" i="1"/>
  <c r="U244" i="1"/>
  <c r="V244" i="1"/>
  <c r="U224" i="1"/>
  <c r="V32" i="1"/>
  <c r="V33" i="1"/>
  <c r="V560" i="1"/>
  <c r="V561" i="1"/>
  <c r="V414" i="1"/>
  <c r="U414" i="1"/>
  <c r="U415" i="1"/>
  <c r="V199" i="1"/>
  <c r="U200" i="1"/>
  <c r="V200" i="1"/>
  <c r="V179" i="1"/>
  <c r="U180" i="1"/>
  <c r="V180" i="1"/>
  <c r="U646" i="1"/>
  <c r="V646" i="1"/>
  <c r="U627" i="1"/>
  <c r="V627" i="1"/>
  <c r="U566" i="1"/>
  <c r="V566" i="1"/>
  <c r="U567" i="1"/>
  <c r="V567" i="1"/>
  <c r="U489" i="1"/>
  <c r="V489" i="1"/>
  <c r="U490" i="1"/>
  <c r="U355" i="1"/>
  <c r="V355" i="1"/>
  <c r="U356" i="1"/>
  <c r="V356" i="1"/>
  <c r="U292" i="1"/>
  <c r="V292" i="1"/>
  <c r="U198" i="1"/>
  <c r="V198" i="1"/>
  <c r="V48" i="1"/>
  <c r="V49" i="1"/>
  <c r="U802" i="1"/>
  <c r="V791" i="1"/>
  <c r="V695" i="1"/>
  <c r="V645" i="1"/>
  <c r="V619" i="1"/>
  <c r="V606" i="1"/>
  <c r="V531" i="1"/>
  <c r="U517" i="1"/>
  <c r="U512" i="1"/>
  <c r="V512" i="1"/>
  <c r="V488" i="1"/>
  <c r="V365" i="1"/>
  <c r="U366" i="1"/>
  <c r="U323" i="1"/>
  <c r="V323" i="1"/>
  <c r="V298" i="1"/>
  <c r="U299" i="1"/>
  <c r="U280" i="1"/>
  <c r="V280" i="1"/>
  <c r="V281" i="1"/>
  <c r="U273" i="1"/>
  <c r="U272" i="1"/>
  <c r="U233" i="1"/>
  <c r="V233" i="1"/>
  <c r="V234" i="1"/>
  <c r="U144" i="1"/>
  <c r="U91" i="1"/>
  <c r="V91" i="1"/>
  <c r="U92" i="1"/>
  <c r="V92" i="1"/>
  <c r="U282" i="1"/>
  <c r="V282" i="1"/>
  <c r="U283" i="1"/>
  <c r="V855" i="1"/>
  <c r="V839" i="1"/>
  <c r="V823" i="1"/>
  <c r="V801" i="1"/>
  <c r="V790" i="1"/>
  <c r="V779" i="1"/>
  <c r="V751" i="1"/>
  <c r="V740" i="1"/>
  <c r="V729" i="1"/>
  <c r="U706" i="1"/>
  <c r="V706" i="1"/>
  <c r="V694" i="1"/>
  <c r="V688" i="1"/>
  <c r="V676" i="1"/>
  <c r="V670" i="1"/>
  <c r="V664" i="1"/>
  <c r="U633" i="1"/>
  <c r="V633" i="1"/>
  <c r="V618" i="1"/>
  <c r="V605" i="1"/>
  <c r="V578" i="1"/>
  <c r="V503" i="1"/>
  <c r="U384" i="1"/>
  <c r="V384" i="1"/>
  <c r="U345" i="1"/>
  <c r="V345" i="1"/>
  <c r="V279" i="1"/>
  <c r="U73" i="1"/>
  <c r="V73" i="1"/>
  <c r="V74" i="1"/>
  <c r="V762" i="1"/>
  <c r="V717" i="1"/>
  <c r="V638" i="1"/>
  <c r="U639" i="1"/>
  <c r="U598" i="1"/>
  <c r="V598" i="1"/>
  <c r="U558" i="1"/>
  <c r="U389" i="1"/>
  <c r="U373" i="1"/>
  <c r="V373" i="1"/>
  <c r="U249" i="1"/>
  <c r="U250" i="1"/>
  <c r="V250" i="1"/>
  <c r="U186" i="1"/>
  <c r="V186" i="1"/>
  <c r="U187" i="1"/>
  <c r="U644" i="1"/>
  <c r="V644" i="1"/>
  <c r="U579" i="1"/>
  <c r="V579" i="1"/>
  <c r="U530" i="1"/>
  <c r="V530" i="1"/>
  <c r="V523" i="1"/>
  <c r="U524" i="1"/>
  <c r="V524" i="1"/>
  <c r="V487" i="1"/>
  <c r="U488" i="1"/>
  <c r="U343" i="1"/>
  <c r="V343" i="1"/>
  <c r="U344" i="1"/>
  <c r="V344" i="1"/>
  <c r="V304" i="1"/>
  <c r="V305" i="1"/>
  <c r="V231" i="1"/>
  <c r="U232" i="1"/>
  <c r="V232" i="1"/>
  <c r="V107" i="1"/>
  <c r="U108" i="1"/>
  <c r="V108" i="1"/>
  <c r="V854" i="1"/>
  <c r="V838" i="1"/>
  <c r="V822" i="1"/>
  <c r="V800" i="1"/>
  <c r="V789" i="1"/>
  <c r="V778" i="1"/>
  <c r="V750" i="1"/>
  <c r="U591" i="1"/>
  <c r="V591" i="1"/>
  <c r="U502" i="1"/>
  <c r="V502" i="1"/>
  <c r="U486" i="1"/>
  <c r="V486" i="1"/>
  <c r="U471" i="1"/>
  <c r="V471" i="1"/>
  <c r="U335" i="1"/>
  <c r="V335" i="1"/>
  <c r="U336" i="1"/>
  <c r="U288" i="1"/>
  <c r="V288" i="1"/>
  <c r="V289" i="1"/>
  <c r="U230" i="1"/>
  <c r="V230" i="1"/>
  <c r="U205" i="1"/>
  <c r="U206" i="1"/>
  <c r="V123" i="1"/>
  <c r="V124" i="1"/>
  <c r="U124" i="1"/>
  <c r="V859" i="1"/>
  <c r="V843" i="1"/>
  <c r="V827" i="1"/>
  <c r="V811" i="1"/>
  <c r="V783" i="1"/>
  <c r="V772" i="1"/>
  <c r="V761" i="1"/>
  <c r="U722" i="1"/>
  <c r="V722" i="1"/>
  <c r="U716" i="1"/>
  <c r="V710" i="1"/>
  <c r="V704" i="1"/>
  <c r="V681" i="1"/>
  <c r="U650" i="1"/>
  <c r="V650" i="1"/>
  <c r="U630" i="1"/>
  <c r="V630" i="1"/>
  <c r="V623" i="1"/>
  <c r="U590" i="1"/>
  <c r="U550" i="1"/>
  <c r="V550" i="1"/>
  <c r="U536" i="1"/>
  <c r="V536" i="1"/>
  <c r="V501" i="1"/>
  <c r="U470" i="1"/>
  <c r="V470" i="1"/>
  <c r="U451" i="1"/>
  <c r="V451" i="1"/>
  <c r="V442" i="1"/>
  <c r="V434" i="1"/>
  <c r="U435" i="1"/>
  <c r="V371" i="1"/>
  <c r="U372" i="1"/>
  <c r="V372" i="1"/>
  <c r="U352" i="1"/>
  <c r="U334" i="1"/>
  <c r="V327" i="1"/>
  <c r="U151" i="1"/>
  <c r="V152" i="1"/>
  <c r="V603" i="1"/>
  <c r="U603" i="1"/>
  <c r="U604" i="1"/>
  <c r="V426" i="1"/>
  <c r="U427" i="1"/>
  <c r="U420" i="1"/>
  <c r="V420" i="1"/>
  <c r="U410" i="1"/>
  <c r="V410" i="1"/>
  <c r="U411" i="1"/>
  <c r="U402" i="1"/>
  <c r="V402" i="1"/>
  <c r="V395" i="1"/>
  <c r="U396" i="1"/>
  <c r="V396" i="1"/>
  <c r="U310" i="1"/>
  <c r="V310" i="1"/>
  <c r="U311" i="1"/>
  <c r="V311" i="1"/>
  <c r="V286" i="1"/>
  <c r="U286" i="1"/>
  <c r="U287" i="1"/>
  <c r="V287" i="1"/>
  <c r="U256" i="1"/>
  <c r="V256" i="1"/>
  <c r="V159" i="1"/>
  <c r="U160" i="1"/>
  <c r="V160" i="1"/>
  <c r="V132" i="1"/>
  <c r="U131" i="1"/>
  <c r="V131" i="1"/>
  <c r="U132" i="1"/>
  <c r="V853" i="1"/>
  <c r="V837" i="1"/>
  <c r="V821" i="1"/>
  <c r="V799" i="1"/>
  <c r="V788" i="1"/>
  <c r="V777" i="1"/>
  <c r="V749" i="1"/>
  <c r="V715" i="1"/>
  <c r="V692" i="1"/>
  <c r="V655" i="1"/>
  <c r="V542" i="1"/>
  <c r="U542" i="1"/>
  <c r="U543" i="1"/>
  <c r="V493" i="1"/>
  <c r="U494" i="1"/>
  <c r="U463" i="1"/>
  <c r="V463" i="1"/>
  <c r="U361" i="1"/>
  <c r="V361" i="1"/>
  <c r="V362" i="1"/>
  <c r="V858" i="1"/>
  <c r="V842" i="1"/>
  <c r="V826" i="1"/>
  <c r="V810" i="1"/>
  <c r="V771" i="1"/>
  <c r="V760" i="1"/>
  <c r="U749" i="1"/>
  <c r="V732" i="1"/>
  <c r="V709" i="1"/>
  <c r="V703" i="1"/>
  <c r="V680" i="1"/>
  <c r="U655" i="1"/>
  <c r="V492" i="1"/>
  <c r="U477" i="1"/>
  <c r="V477" i="1"/>
  <c r="V432" i="1"/>
  <c r="V433" i="1"/>
  <c r="V340" i="1"/>
  <c r="U227" i="1"/>
  <c r="V227" i="1"/>
  <c r="U228" i="1"/>
  <c r="V228" i="1"/>
  <c r="U212" i="1"/>
  <c r="V212" i="1"/>
  <c r="U192" i="1"/>
  <c r="U165" i="1"/>
  <c r="U858" i="1"/>
  <c r="U842" i="1"/>
  <c r="U826" i="1"/>
  <c r="U810" i="1"/>
  <c r="U771" i="1"/>
  <c r="V765" i="1"/>
  <c r="U760" i="1"/>
  <c r="V754" i="1"/>
  <c r="U743" i="1"/>
  <c r="U732" i="1"/>
  <c r="U709" i="1"/>
  <c r="U703" i="1"/>
  <c r="U680" i="1"/>
  <c r="U667" i="1"/>
  <c r="V661" i="1"/>
  <c r="U635" i="1"/>
  <c r="U582" i="1"/>
  <c r="V582" i="1"/>
  <c r="V575" i="1"/>
  <c r="V569" i="1"/>
  <c r="U534" i="1"/>
  <c r="V534" i="1"/>
  <c r="V527" i="1"/>
  <c r="U499" i="1"/>
  <c r="U492" i="1"/>
  <c r="V468" i="1"/>
  <c r="V462" i="1"/>
  <c r="V455" i="1"/>
  <c r="U449" i="1"/>
  <c r="U448" i="1"/>
  <c r="V440" i="1"/>
  <c r="V441" i="1"/>
  <c r="U408" i="1"/>
  <c r="V408" i="1"/>
  <c r="U340" i="1"/>
  <c r="V237" i="1"/>
  <c r="U238" i="1"/>
  <c r="V218" i="1"/>
  <c r="U219" i="1"/>
  <c r="U172" i="1"/>
  <c r="V852" i="1"/>
  <c r="V836" i="1"/>
  <c r="V820" i="1"/>
  <c r="V798" i="1"/>
  <c r="V787" i="1"/>
  <c r="V776" i="1"/>
  <c r="U754" i="1"/>
  <c r="V748" i="1"/>
  <c r="V743" i="1"/>
  <c r="V714" i="1"/>
  <c r="V691" i="1"/>
  <c r="V685" i="1"/>
  <c r="U673" i="1"/>
  <c r="V667" i="1"/>
  <c r="U668" i="1"/>
  <c r="V660" i="1"/>
  <c r="V654" i="1"/>
  <c r="V641" i="1"/>
  <c r="V635" i="1"/>
  <c r="V615" i="1"/>
  <c r="U616" i="1"/>
  <c r="U608" i="1"/>
  <c r="V588" i="1"/>
  <c r="V581" i="1"/>
  <c r="U569" i="1"/>
  <c r="V547" i="1"/>
  <c r="V533" i="1"/>
  <c r="V499" i="1"/>
  <c r="U500" i="1"/>
  <c r="V461" i="1"/>
  <c r="V407" i="1"/>
  <c r="U400" i="1"/>
  <c r="V359" i="1"/>
  <c r="U360" i="1"/>
  <c r="V360" i="1"/>
  <c r="V275" i="1"/>
  <c r="U245" i="1"/>
  <c r="V245" i="1"/>
  <c r="V770" i="1"/>
  <c r="U759" i="1"/>
  <c r="U679" i="1"/>
  <c r="V672" i="1"/>
  <c r="U621" i="1"/>
  <c r="V621" i="1"/>
  <c r="U614" i="1"/>
  <c r="V614" i="1"/>
  <c r="U601" i="1"/>
  <c r="U588" i="1"/>
  <c r="U554" i="1"/>
  <c r="U547" i="1"/>
  <c r="V540" i="1"/>
  <c r="U491" i="1"/>
  <c r="U483" i="1"/>
  <c r="V483" i="1"/>
  <c r="V475" i="1"/>
  <c r="U475" i="1"/>
  <c r="U476" i="1"/>
  <c r="U446" i="1"/>
  <c r="U438" i="1"/>
  <c r="V438" i="1"/>
  <c r="U439" i="1"/>
  <c r="V439" i="1"/>
  <c r="U416" i="1"/>
  <c r="V416" i="1"/>
  <c r="V417" i="1"/>
  <c r="U377" i="1"/>
  <c r="U378" i="1"/>
  <c r="V378" i="1"/>
  <c r="U358" i="1"/>
  <c r="V358" i="1"/>
  <c r="U349" i="1"/>
  <c r="V349" i="1"/>
  <c r="U350" i="1"/>
  <c r="V339" i="1"/>
  <c r="V267" i="1"/>
  <c r="U268" i="1"/>
  <c r="V268" i="1"/>
  <c r="U171" i="1"/>
  <c r="V137" i="1"/>
  <c r="U278" i="1"/>
  <c r="V278" i="1"/>
  <c r="U210" i="1"/>
  <c r="V157" i="1"/>
  <c r="U150" i="1"/>
  <c r="V150" i="1"/>
  <c r="V143" i="1"/>
  <c r="U89" i="1"/>
  <c r="V89" i="1"/>
  <c r="U22" i="1"/>
  <c r="V22" i="1"/>
  <c r="V14" i="1"/>
  <c r="V64" i="1"/>
  <c r="V65" i="1"/>
  <c r="U13" i="1"/>
  <c r="V13" i="1"/>
  <c r="V393" i="1"/>
  <c r="U326" i="1"/>
  <c r="V326" i="1"/>
  <c r="V265" i="1"/>
  <c r="V196" i="1"/>
  <c r="V176" i="1"/>
  <c r="U38" i="1"/>
  <c r="V38" i="1"/>
  <c r="U29" i="1"/>
  <c r="V29" i="1"/>
  <c r="V368" i="1"/>
  <c r="V202" i="1"/>
  <c r="U196" i="1"/>
  <c r="U176" i="1"/>
  <c r="V80" i="1"/>
  <c r="V81" i="1"/>
  <c r="U11" i="1"/>
  <c r="V11" i="1"/>
  <c r="U12" i="1"/>
  <c r="V12" i="1"/>
  <c r="V478" i="1"/>
  <c r="U417" i="1"/>
  <c r="V411" i="1"/>
  <c r="V380" i="1"/>
  <c r="U374" i="1"/>
  <c r="V374" i="1"/>
  <c r="V350" i="1"/>
  <c r="V319" i="1"/>
  <c r="U289" i="1"/>
  <c r="V283" i="1"/>
  <c r="V252" i="1"/>
  <c r="U246" i="1"/>
  <c r="V246" i="1"/>
  <c r="V221" i="1"/>
  <c r="V189" i="1"/>
  <c r="U182" i="1"/>
  <c r="V182" i="1"/>
  <c r="U148" i="1"/>
  <c r="V141" i="1"/>
  <c r="U134" i="1"/>
  <c r="V134" i="1"/>
  <c r="V127" i="1"/>
  <c r="U112" i="1"/>
  <c r="U54" i="1"/>
  <c r="V54" i="1"/>
  <c r="U45" i="1"/>
  <c r="V45" i="1"/>
  <c r="U27" i="1"/>
  <c r="V27" i="1"/>
  <c r="U28" i="1"/>
  <c r="V28" i="1"/>
  <c r="U441" i="1"/>
  <c r="U380" i="1"/>
  <c r="U319" i="1"/>
  <c r="U313" i="1"/>
  <c r="V195" i="1"/>
  <c r="V181" i="1"/>
  <c r="V175" i="1"/>
  <c r="V155" i="1"/>
  <c r="V156" i="1"/>
  <c r="V96" i="1"/>
  <c r="V97" i="1"/>
  <c r="U422" i="1"/>
  <c r="V422" i="1"/>
  <c r="U294" i="1"/>
  <c r="V294" i="1"/>
  <c r="U214" i="1"/>
  <c r="V214" i="1"/>
  <c r="V201" i="1"/>
  <c r="V147" i="1"/>
  <c r="U126" i="1"/>
  <c r="U119" i="1"/>
  <c r="U70" i="1"/>
  <c r="V70" i="1"/>
  <c r="U61" i="1"/>
  <c r="V61" i="1"/>
  <c r="U43" i="1"/>
  <c r="V43" i="1"/>
  <c r="U44" i="1"/>
  <c r="V44" i="1"/>
  <c r="U147" i="1"/>
  <c r="U118" i="1"/>
  <c r="V118" i="1"/>
  <c r="U103" i="1"/>
  <c r="V78" i="1"/>
  <c r="U342" i="1"/>
  <c r="V342" i="1"/>
  <c r="U102" i="1"/>
  <c r="V102" i="1"/>
  <c r="U77" i="1"/>
  <c r="V77" i="1"/>
  <c r="U59" i="1"/>
  <c r="V59" i="1"/>
  <c r="U60" i="1"/>
  <c r="V60" i="1"/>
  <c r="U25" i="1"/>
  <c r="V25" i="1"/>
  <c r="U537" i="1"/>
  <c r="U409" i="1"/>
  <c r="U281" i="1"/>
  <c r="V187" i="1"/>
  <c r="V188" i="1"/>
  <c r="V139" i="1"/>
  <c r="V140" i="1"/>
  <c r="U86" i="1"/>
  <c r="V86" i="1"/>
  <c r="U662" i="1"/>
  <c r="V662" i="1"/>
  <c r="U561" i="1"/>
  <c r="V555" i="1"/>
  <c r="U518" i="1"/>
  <c r="V518" i="1"/>
  <c r="V494" i="1"/>
  <c r="U433" i="1"/>
  <c r="V427" i="1"/>
  <c r="U390" i="1"/>
  <c r="V390" i="1"/>
  <c r="V366" i="1"/>
  <c r="U305" i="1"/>
  <c r="V299" i="1"/>
  <c r="U262" i="1"/>
  <c r="V262" i="1"/>
  <c r="V238" i="1"/>
  <c r="V219" i="1"/>
  <c r="U166" i="1"/>
  <c r="V166" i="1"/>
  <c r="U109" i="1"/>
  <c r="V109" i="1"/>
  <c r="U93" i="1"/>
  <c r="V93" i="1"/>
  <c r="U75" i="1"/>
  <c r="V75" i="1"/>
  <c r="U76" i="1"/>
  <c r="V76" i="1"/>
  <c r="U41" i="1"/>
  <c r="V41" i="1"/>
  <c r="U585" i="1"/>
  <c r="U457" i="1"/>
  <c r="U329" i="1"/>
  <c r="U225" i="1"/>
  <c r="V206" i="1"/>
  <c r="U193" i="1"/>
  <c r="U33" i="1"/>
  <c r="V16" i="1"/>
  <c r="U17" i="1"/>
  <c r="V17" i="1"/>
  <c r="V9" i="1"/>
  <c r="V8" i="1"/>
  <c r="U120" i="1"/>
  <c r="U72" i="1"/>
  <c r="U56" i="1"/>
  <c r="U40" i="1"/>
  <c r="U24" i="1"/>
  <c r="U8" i="1"/>
  <c r="V6" i="1"/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V5" i="8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O5" i="8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P3" i="8"/>
  <c r="Q3" i="8"/>
  <c r="R3" i="8"/>
  <c r="S3" i="8"/>
  <c r="S4" i="8" s="1"/>
  <c r="T3" i="8"/>
  <c r="T4" i="8" s="1"/>
  <c r="I3" i="8"/>
  <c r="J3" i="8"/>
  <c r="K3" i="8"/>
  <c r="L3" i="8"/>
  <c r="M3" i="8"/>
  <c r="P5" i="8"/>
  <c r="Q5" i="8"/>
  <c r="R5" i="8"/>
  <c r="S5" i="8"/>
  <c r="T5" i="8"/>
  <c r="P6" i="8"/>
  <c r="Q6" i="8"/>
  <c r="R6" i="8"/>
  <c r="S6" i="8"/>
  <c r="T6" i="8"/>
  <c r="P7" i="8"/>
  <c r="Q7" i="8"/>
  <c r="R7" i="8"/>
  <c r="S7" i="8"/>
  <c r="T7" i="8"/>
  <c r="P8" i="8"/>
  <c r="Q8" i="8"/>
  <c r="R8" i="8"/>
  <c r="S8" i="8"/>
  <c r="T8" i="8"/>
  <c r="P9" i="8"/>
  <c r="Q9" i="8"/>
  <c r="R9" i="8"/>
  <c r="S9" i="8"/>
  <c r="T9" i="8"/>
  <c r="P10" i="8"/>
  <c r="Q10" i="8"/>
  <c r="R10" i="8"/>
  <c r="S10" i="8"/>
  <c r="T10" i="8"/>
  <c r="P11" i="8"/>
  <c r="Q11" i="8"/>
  <c r="R11" i="8"/>
  <c r="S11" i="8"/>
  <c r="T11" i="8"/>
  <c r="P12" i="8"/>
  <c r="Q12" i="8"/>
  <c r="R12" i="8"/>
  <c r="S12" i="8"/>
  <c r="T12" i="8"/>
  <c r="P13" i="8"/>
  <c r="Q13" i="8"/>
  <c r="R13" i="8"/>
  <c r="S13" i="8"/>
  <c r="T13" i="8"/>
  <c r="P14" i="8"/>
  <c r="Q14" i="8"/>
  <c r="R14" i="8"/>
  <c r="S14" i="8"/>
  <c r="T14" i="8"/>
  <c r="P15" i="8"/>
  <c r="Q15" i="8"/>
  <c r="R15" i="8"/>
  <c r="S15" i="8"/>
  <c r="T15" i="8"/>
  <c r="P16" i="8"/>
  <c r="Q16" i="8"/>
  <c r="R16" i="8"/>
  <c r="S16" i="8"/>
  <c r="T16" i="8"/>
  <c r="P17" i="8"/>
  <c r="Q17" i="8"/>
  <c r="R17" i="8"/>
  <c r="S17" i="8"/>
  <c r="T17" i="8"/>
  <c r="P18" i="8"/>
  <c r="Q18" i="8"/>
  <c r="R18" i="8"/>
  <c r="S18" i="8"/>
  <c r="T18" i="8"/>
  <c r="P19" i="8"/>
  <c r="Q19" i="8"/>
  <c r="R19" i="8"/>
  <c r="S19" i="8"/>
  <c r="T19" i="8"/>
  <c r="P20" i="8"/>
  <c r="Q20" i="8"/>
  <c r="R20" i="8"/>
  <c r="S20" i="8"/>
  <c r="T20" i="8"/>
  <c r="P21" i="8"/>
  <c r="Q21" i="8"/>
  <c r="R21" i="8"/>
  <c r="S21" i="8"/>
  <c r="T21" i="8"/>
  <c r="P22" i="8"/>
  <c r="Q22" i="8"/>
  <c r="R22" i="8"/>
  <c r="S22" i="8"/>
  <c r="T22" i="8"/>
  <c r="P23" i="8"/>
  <c r="Q23" i="8"/>
  <c r="R23" i="8"/>
  <c r="S23" i="8"/>
  <c r="T23" i="8"/>
  <c r="P24" i="8"/>
  <c r="Q24" i="8"/>
  <c r="R24" i="8"/>
  <c r="S24" i="8"/>
  <c r="T24" i="8"/>
  <c r="P25" i="8"/>
  <c r="Q25" i="8"/>
  <c r="R25" i="8"/>
  <c r="S25" i="8"/>
  <c r="T25" i="8"/>
  <c r="P26" i="8"/>
  <c r="Q26" i="8"/>
  <c r="R26" i="8"/>
  <c r="S26" i="8"/>
  <c r="T26" i="8"/>
  <c r="P27" i="8"/>
  <c r="Q27" i="8"/>
  <c r="R27" i="8"/>
  <c r="S27" i="8"/>
  <c r="T27" i="8"/>
  <c r="P28" i="8"/>
  <c r="Q28" i="8"/>
  <c r="R28" i="8"/>
  <c r="S28" i="8"/>
  <c r="T28" i="8"/>
  <c r="P29" i="8"/>
  <c r="Q29" i="8"/>
  <c r="R29" i="8"/>
  <c r="S29" i="8"/>
  <c r="T29" i="8"/>
  <c r="P30" i="8"/>
  <c r="Q30" i="8"/>
  <c r="R30" i="8"/>
  <c r="S30" i="8"/>
  <c r="T30" i="8"/>
  <c r="P31" i="8"/>
  <c r="Q31" i="8"/>
  <c r="R31" i="8"/>
  <c r="S31" i="8"/>
  <c r="T31" i="8"/>
  <c r="P32" i="8"/>
  <c r="Q32" i="8"/>
  <c r="R32" i="8"/>
  <c r="S32" i="8"/>
  <c r="T32" i="8"/>
  <c r="P33" i="8"/>
  <c r="Q33" i="8"/>
  <c r="R33" i="8"/>
  <c r="S33" i="8"/>
  <c r="T33" i="8"/>
  <c r="P34" i="8"/>
  <c r="Q34" i="8"/>
  <c r="R34" i="8"/>
  <c r="S34" i="8"/>
  <c r="T34" i="8"/>
  <c r="P35" i="8"/>
  <c r="Q35" i="8"/>
  <c r="R35" i="8"/>
  <c r="S35" i="8"/>
  <c r="T35" i="8"/>
  <c r="P36" i="8"/>
  <c r="Q36" i="8"/>
  <c r="R36" i="8"/>
  <c r="S36" i="8"/>
  <c r="T36" i="8"/>
  <c r="P37" i="8"/>
  <c r="Q37" i="8"/>
  <c r="R37" i="8"/>
  <c r="S37" i="8"/>
  <c r="T37" i="8"/>
  <c r="P38" i="8"/>
  <c r="Q38" i="8"/>
  <c r="R38" i="8"/>
  <c r="S38" i="8"/>
  <c r="T38" i="8"/>
  <c r="P39" i="8"/>
  <c r="Q39" i="8"/>
  <c r="R39" i="8"/>
  <c r="S39" i="8"/>
  <c r="T39" i="8"/>
  <c r="P40" i="8"/>
  <c r="Q40" i="8"/>
  <c r="R40" i="8"/>
  <c r="S40" i="8"/>
  <c r="T40" i="8"/>
  <c r="P41" i="8"/>
  <c r="Q41" i="8"/>
  <c r="R41" i="8"/>
  <c r="S41" i="8"/>
  <c r="T41" i="8"/>
  <c r="P42" i="8"/>
  <c r="Q42" i="8"/>
  <c r="R42" i="8"/>
  <c r="S42" i="8"/>
  <c r="T42" i="8"/>
  <c r="P43" i="8"/>
  <c r="Q43" i="8"/>
  <c r="R43" i="8"/>
  <c r="S43" i="8"/>
  <c r="T43" i="8"/>
  <c r="P44" i="8"/>
  <c r="Q44" i="8"/>
  <c r="R44" i="8"/>
  <c r="S44" i="8"/>
  <c r="T44" i="8"/>
  <c r="P45" i="8"/>
  <c r="Q45" i="8"/>
  <c r="R45" i="8"/>
  <c r="S45" i="8"/>
  <c r="T45" i="8"/>
  <c r="P46" i="8"/>
  <c r="Q46" i="8"/>
  <c r="R46" i="8"/>
  <c r="S46" i="8"/>
  <c r="T46" i="8"/>
  <c r="P47" i="8"/>
  <c r="Q47" i="8"/>
  <c r="R47" i="8"/>
  <c r="S47" i="8"/>
  <c r="T47" i="8"/>
  <c r="P48" i="8"/>
  <c r="Q48" i="8"/>
  <c r="R48" i="8"/>
  <c r="S48" i="8"/>
  <c r="T48" i="8"/>
  <c r="P49" i="8"/>
  <c r="Q49" i="8"/>
  <c r="R49" i="8"/>
  <c r="S49" i="8"/>
  <c r="T49" i="8"/>
  <c r="P50" i="8"/>
  <c r="Q50" i="8"/>
  <c r="R50" i="8"/>
  <c r="S50" i="8"/>
  <c r="T50" i="8"/>
  <c r="P51" i="8"/>
  <c r="Q51" i="8"/>
  <c r="R51" i="8"/>
  <c r="S51" i="8"/>
  <c r="T51" i="8"/>
  <c r="P52" i="8"/>
  <c r="Q52" i="8"/>
  <c r="R52" i="8"/>
  <c r="S52" i="8"/>
  <c r="T52" i="8"/>
  <c r="P53" i="8"/>
  <c r="Q53" i="8"/>
  <c r="R53" i="8"/>
  <c r="S53" i="8"/>
  <c r="T53" i="8"/>
  <c r="P54" i="8"/>
  <c r="Q54" i="8"/>
  <c r="R54" i="8"/>
  <c r="S54" i="8"/>
  <c r="T54" i="8"/>
  <c r="P55" i="8"/>
  <c r="Q55" i="8"/>
  <c r="R55" i="8"/>
  <c r="S55" i="8"/>
  <c r="T55" i="8"/>
  <c r="P56" i="8"/>
  <c r="Q56" i="8"/>
  <c r="R56" i="8"/>
  <c r="S56" i="8"/>
  <c r="T56" i="8"/>
  <c r="P57" i="8"/>
  <c r="Q57" i="8"/>
  <c r="R57" i="8"/>
  <c r="S57" i="8"/>
  <c r="T57" i="8"/>
  <c r="P58" i="8"/>
  <c r="Q58" i="8"/>
  <c r="R58" i="8"/>
  <c r="S58" i="8"/>
  <c r="T58" i="8"/>
  <c r="P59" i="8"/>
  <c r="Q59" i="8"/>
  <c r="R59" i="8"/>
  <c r="S59" i="8"/>
  <c r="T59" i="8"/>
  <c r="P60" i="8"/>
  <c r="Q60" i="8"/>
  <c r="R60" i="8"/>
  <c r="S60" i="8"/>
  <c r="T60" i="8"/>
  <c r="P61" i="8"/>
  <c r="Q61" i="8"/>
  <c r="R61" i="8"/>
  <c r="S61" i="8"/>
  <c r="T61" i="8"/>
  <c r="P62" i="8"/>
  <c r="Q62" i="8"/>
  <c r="R62" i="8"/>
  <c r="S62" i="8"/>
  <c r="T62" i="8"/>
  <c r="P63" i="8"/>
  <c r="Q63" i="8"/>
  <c r="R63" i="8"/>
  <c r="S63" i="8"/>
  <c r="T63" i="8"/>
  <c r="P64" i="8"/>
  <c r="Q64" i="8"/>
  <c r="R64" i="8"/>
  <c r="S64" i="8"/>
  <c r="T64" i="8"/>
  <c r="P65" i="8"/>
  <c r="Q65" i="8"/>
  <c r="R65" i="8"/>
  <c r="S65" i="8"/>
  <c r="T65" i="8"/>
  <c r="P66" i="8"/>
  <c r="Q66" i="8"/>
  <c r="R66" i="8"/>
  <c r="S66" i="8"/>
  <c r="T66" i="8"/>
  <c r="P67" i="8"/>
  <c r="Q67" i="8"/>
  <c r="R67" i="8"/>
  <c r="S67" i="8"/>
  <c r="T67" i="8"/>
  <c r="P68" i="8"/>
  <c r="Q68" i="8"/>
  <c r="R68" i="8"/>
  <c r="S68" i="8"/>
  <c r="T68" i="8"/>
  <c r="P69" i="8"/>
  <c r="Q69" i="8"/>
  <c r="R69" i="8"/>
  <c r="S69" i="8"/>
  <c r="T69" i="8"/>
  <c r="P70" i="8"/>
  <c r="Q70" i="8"/>
  <c r="R70" i="8"/>
  <c r="S70" i="8"/>
  <c r="T70" i="8"/>
  <c r="P71" i="8"/>
  <c r="Q71" i="8"/>
  <c r="R71" i="8"/>
  <c r="S71" i="8"/>
  <c r="T71" i="8"/>
  <c r="P72" i="8"/>
  <c r="Q72" i="8"/>
  <c r="R72" i="8"/>
  <c r="S72" i="8"/>
  <c r="T72" i="8"/>
  <c r="P73" i="8"/>
  <c r="Q73" i="8"/>
  <c r="R73" i="8"/>
  <c r="S73" i="8"/>
  <c r="T73" i="8"/>
  <c r="P74" i="8"/>
  <c r="Q74" i="8"/>
  <c r="R74" i="8"/>
  <c r="S74" i="8"/>
  <c r="T74" i="8"/>
  <c r="P75" i="8"/>
  <c r="Q75" i="8"/>
  <c r="R75" i="8"/>
  <c r="S75" i="8"/>
  <c r="T75" i="8"/>
  <c r="P76" i="8"/>
  <c r="Q76" i="8"/>
  <c r="R76" i="8"/>
  <c r="S76" i="8"/>
  <c r="T76" i="8"/>
  <c r="P77" i="8"/>
  <c r="Q77" i="8"/>
  <c r="R77" i="8"/>
  <c r="S77" i="8"/>
  <c r="T77" i="8"/>
  <c r="P78" i="8"/>
  <c r="Q78" i="8"/>
  <c r="R78" i="8"/>
  <c r="S78" i="8"/>
  <c r="T78" i="8"/>
  <c r="P79" i="8"/>
  <c r="Q79" i="8"/>
  <c r="R79" i="8"/>
  <c r="S79" i="8"/>
  <c r="T79" i="8"/>
  <c r="P80" i="8"/>
  <c r="Q80" i="8"/>
  <c r="R80" i="8"/>
  <c r="S80" i="8"/>
  <c r="T80" i="8"/>
  <c r="P81" i="8"/>
  <c r="Q81" i="8"/>
  <c r="R81" i="8"/>
  <c r="S81" i="8"/>
  <c r="T81" i="8"/>
  <c r="P82" i="8"/>
  <c r="Q82" i="8"/>
  <c r="R82" i="8"/>
  <c r="S82" i="8"/>
  <c r="T82" i="8"/>
  <c r="P83" i="8"/>
  <c r="Q83" i="8"/>
  <c r="R83" i="8"/>
  <c r="S83" i="8"/>
  <c r="T83" i="8"/>
  <c r="P84" i="8"/>
  <c r="Q84" i="8"/>
  <c r="R84" i="8"/>
  <c r="S84" i="8"/>
  <c r="T84" i="8"/>
  <c r="P85" i="8"/>
  <c r="Q85" i="8"/>
  <c r="R85" i="8"/>
  <c r="S85" i="8"/>
  <c r="T85" i="8"/>
  <c r="P86" i="8"/>
  <c r="Q86" i="8"/>
  <c r="R86" i="8"/>
  <c r="S86" i="8"/>
  <c r="T86" i="8"/>
  <c r="P87" i="8"/>
  <c r="Q87" i="8"/>
  <c r="R87" i="8"/>
  <c r="S87" i="8"/>
  <c r="T87" i="8"/>
  <c r="P88" i="8"/>
  <c r="Q88" i="8"/>
  <c r="R88" i="8"/>
  <c r="S88" i="8"/>
  <c r="T88" i="8"/>
  <c r="P89" i="8"/>
  <c r="Q89" i="8"/>
  <c r="R89" i="8"/>
  <c r="S89" i="8"/>
  <c r="T89" i="8"/>
  <c r="P90" i="8"/>
  <c r="Q90" i="8"/>
  <c r="R90" i="8"/>
  <c r="S90" i="8"/>
  <c r="T90" i="8"/>
  <c r="P91" i="8"/>
  <c r="Q91" i="8"/>
  <c r="R91" i="8"/>
  <c r="S91" i="8"/>
  <c r="T91" i="8"/>
  <c r="P92" i="8"/>
  <c r="Q92" i="8"/>
  <c r="R92" i="8"/>
  <c r="S92" i="8"/>
  <c r="T92" i="8"/>
  <c r="P93" i="8"/>
  <c r="Q93" i="8"/>
  <c r="R93" i="8"/>
  <c r="S93" i="8"/>
  <c r="T93" i="8"/>
  <c r="P94" i="8"/>
  <c r="Q94" i="8"/>
  <c r="R94" i="8"/>
  <c r="S94" i="8"/>
  <c r="T94" i="8"/>
  <c r="P95" i="8"/>
  <c r="Q95" i="8"/>
  <c r="R95" i="8"/>
  <c r="S95" i="8"/>
  <c r="T95" i="8"/>
  <c r="P96" i="8"/>
  <c r="Q96" i="8"/>
  <c r="R96" i="8"/>
  <c r="S96" i="8"/>
  <c r="T96" i="8"/>
  <c r="P97" i="8"/>
  <c r="Q97" i="8"/>
  <c r="R97" i="8"/>
  <c r="S97" i="8"/>
  <c r="T97" i="8"/>
  <c r="P98" i="8"/>
  <c r="Q98" i="8"/>
  <c r="R98" i="8"/>
  <c r="S98" i="8"/>
  <c r="T98" i="8"/>
  <c r="P99" i="8"/>
  <c r="Q99" i="8"/>
  <c r="R99" i="8"/>
  <c r="S99" i="8"/>
  <c r="T99" i="8"/>
  <c r="Q4" i="8"/>
  <c r="R4" i="8"/>
  <c r="I5" i="8"/>
  <c r="J5" i="8"/>
  <c r="K5" i="8"/>
  <c r="L5" i="8"/>
  <c r="M5" i="8"/>
  <c r="I6" i="8"/>
  <c r="J6" i="8"/>
  <c r="K6" i="8"/>
  <c r="L6" i="8"/>
  <c r="M6" i="8"/>
  <c r="I7" i="8"/>
  <c r="J7" i="8"/>
  <c r="K7" i="8"/>
  <c r="L7" i="8"/>
  <c r="M7" i="8"/>
  <c r="I8" i="8"/>
  <c r="J8" i="8"/>
  <c r="K8" i="8"/>
  <c r="L8" i="8"/>
  <c r="M8" i="8"/>
  <c r="I9" i="8"/>
  <c r="J9" i="8"/>
  <c r="K9" i="8"/>
  <c r="L9" i="8"/>
  <c r="M9" i="8"/>
  <c r="I10" i="8"/>
  <c r="J10" i="8"/>
  <c r="K10" i="8"/>
  <c r="L10" i="8"/>
  <c r="M10" i="8"/>
  <c r="I11" i="8"/>
  <c r="J11" i="8"/>
  <c r="K11" i="8"/>
  <c r="L11" i="8"/>
  <c r="M11" i="8"/>
  <c r="I12" i="8"/>
  <c r="J12" i="8"/>
  <c r="K12" i="8"/>
  <c r="L12" i="8"/>
  <c r="M12" i="8"/>
  <c r="I13" i="8"/>
  <c r="J13" i="8"/>
  <c r="K13" i="8"/>
  <c r="L13" i="8"/>
  <c r="M13" i="8"/>
  <c r="I14" i="8"/>
  <c r="J14" i="8"/>
  <c r="K14" i="8"/>
  <c r="L14" i="8"/>
  <c r="M14" i="8"/>
  <c r="I15" i="8"/>
  <c r="J15" i="8"/>
  <c r="K15" i="8"/>
  <c r="L15" i="8"/>
  <c r="M15" i="8"/>
  <c r="I16" i="8"/>
  <c r="J16" i="8"/>
  <c r="K16" i="8"/>
  <c r="L16" i="8"/>
  <c r="M16" i="8"/>
  <c r="I17" i="8"/>
  <c r="J17" i="8"/>
  <c r="K17" i="8"/>
  <c r="L17" i="8"/>
  <c r="M17" i="8"/>
  <c r="I18" i="8"/>
  <c r="J18" i="8"/>
  <c r="K18" i="8"/>
  <c r="L18" i="8"/>
  <c r="M18" i="8"/>
  <c r="I19" i="8"/>
  <c r="J19" i="8"/>
  <c r="K19" i="8"/>
  <c r="L19" i="8"/>
  <c r="M19" i="8"/>
  <c r="I20" i="8"/>
  <c r="J20" i="8"/>
  <c r="K20" i="8"/>
  <c r="L20" i="8"/>
  <c r="M20" i="8"/>
  <c r="I21" i="8"/>
  <c r="J21" i="8"/>
  <c r="K21" i="8"/>
  <c r="L21" i="8"/>
  <c r="M21" i="8"/>
  <c r="I22" i="8"/>
  <c r="J22" i="8"/>
  <c r="K22" i="8"/>
  <c r="L22" i="8"/>
  <c r="M22" i="8"/>
  <c r="I23" i="8"/>
  <c r="J23" i="8"/>
  <c r="K23" i="8"/>
  <c r="L23" i="8"/>
  <c r="M23" i="8"/>
  <c r="I24" i="8"/>
  <c r="J24" i="8"/>
  <c r="K24" i="8"/>
  <c r="L24" i="8"/>
  <c r="M24" i="8"/>
  <c r="I25" i="8"/>
  <c r="J25" i="8"/>
  <c r="K25" i="8"/>
  <c r="L25" i="8"/>
  <c r="M25" i="8"/>
  <c r="I26" i="8"/>
  <c r="J26" i="8"/>
  <c r="K26" i="8"/>
  <c r="L26" i="8"/>
  <c r="M26" i="8"/>
  <c r="I27" i="8"/>
  <c r="J27" i="8"/>
  <c r="K27" i="8"/>
  <c r="L27" i="8"/>
  <c r="M27" i="8"/>
  <c r="I28" i="8"/>
  <c r="J28" i="8"/>
  <c r="K28" i="8"/>
  <c r="L28" i="8"/>
  <c r="M28" i="8"/>
  <c r="I29" i="8"/>
  <c r="J29" i="8"/>
  <c r="K29" i="8"/>
  <c r="L29" i="8"/>
  <c r="M29" i="8"/>
  <c r="I30" i="8"/>
  <c r="J30" i="8"/>
  <c r="K30" i="8"/>
  <c r="L30" i="8"/>
  <c r="M30" i="8"/>
  <c r="I31" i="8"/>
  <c r="J31" i="8"/>
  <c r="K31" i="8"/>
  <c r="L31" i="8"/>
  <c r="M31" i="8"/>
  <c r="I32" i="8"/>
  <c r="J32" i="8"/>
  <c r="K32" i="8"/>
  <c r="L32" i="8"/>
  <c r="M32" i="8"/>
  <c r="I33" i="8"/>
  <c r="J33" i="8"/>
  <c r="K33" i="8"/>
  <c r="L33" i="8"/>
  <c r="M33" i="8"/>
  <c r="I34" i="8"/>
  <c r="J34" i="8"/>
  <c r="K34" i="8"/>
  <c r="L34" i="8"/>
  <c r="M34" i="8"/>
  <c r="I35" i="8"/>
  <c r="J35" i="8"/>
  <c r="K35" i="8"/>
  <c r="L35" i="8"/>
  <c r="M35" i="8"/>
  <c r="I36" i="8"/>
  <c r="J36" i="8"/>
  <c r="K36" i="8"/>
  <c r="L36" i="8"/>
  <c r="M36" i="8"/>
  <c r="I37" i="8"/>
  <c r="J37" i="8"/>
  <c r="K37" i="8"/>
  <c r="L37" i="8"/>
  <c r="M37" i="8"/>
  <c r="I38" i="8"/>
  <c r="J38" i="8"/>
  <c r="K38" i="8"/>
  <c r="L38" i="8"/>
  <c r="M38" i="8"/>
  <c r="I39" i="8"/>
  <c r="J39" i="8"/>
  <c r="K39" i="8"/>
  <c r="L39" i="8"/>
  <c r="M39" i="8"/>
  <c r="I40" i="8"/>
  <c r="J40" i="8"/>
  <c r="K40" i="8"/>
  <c r="L40" i="8"/>
  <c r="M40" i="8"/>
  <c r="I41" i="8"/>
  <c r="J41" i="8"/>
  <c r="K41" i="8"/>
  <c r="L41" i="8"/>
  <c r="M41" i="8"/>
  <c r="I42" i="8"/>
  <c r="J42" i="8"/>
  <c r="K42" i="8"/>
  <c r="L42" i="8"/>
  <c r="M42" i="8"/>
  <c r="I43" i="8"/>
  <c r="J43" i="8"/>
  <c r="K43" i="8"/>
  <c r="L43" i="8"/>
  <c r="M43" i="8"/>
  <c r="I44" i="8"/>
  <c r="J44" i="8"/>
  <c r="K44" i="8"/>
  <c r="L44" i="8"/>
  <c r="M44" i="8"/>
  <c r="I45" i="8"/>
  <c r="J45" i="8"/>
  <c r="K45" i="8"/>
  <c r="L45" i="8"/>
  <c r="M45" i="8"/>
  <c r="I46" i="8"/>
  <c r="J46" i="8"/>
  <c r="K46" i="8"/>
  <c r="L46" i="8"/>
  <c r="M46" i="8"/>
  <c r="I47" i="8"/>
  <c r="J47" i="8"/>
  <c r="K47" i="8"/>
  <c r="L47" i="8"/>
  <c r="M47" i="8"/>
  <c r="I48" i="8"/>
  <c r="J48" i="8"/>
  <c r="K48" i="8"/>
  <c r="L48" i="8"/>
  <c r="M48" i="8"/>
  <c r="I49" i="8"/>
  <c r="J49" i="8"/>
  <c r="K49" i="8"/>
  <c r="L49" i="8"/>
  <c r="M49" i="8"/>
  <c r="I50" i="8"/>
  <c r="J50" i="8"/>
  <c r="K50" i="8"/>
  <c r="L50" i="8"/>
  <c r="M50" i="8"/>
  <c r="I51" i="8"/>
  <c r="J51" i="8"/>
  <c r="K51" i="8"/>
  <c r="L51" i="8"/>
  <c r="M51" i="8"/>
  <c r="I52" i="8"/>
  <c r="J52" i="8"/>
  <c r="K52" i="8"/>
  <c r="L52" i="8"/>
  <c r="M52" i="8"/>
  <c r="I53" i="8"/>
  <c r="J53" i="8"/>
  <c r="K53" i="8"/>
  <c r="L53" i="8"/>
  <c r="M53" i="8"/>
  <c r="I54" i="8"/>
  <c r="J54" i="8"/>
  <c r="K54" i="8"/>
  <c r="L54" i="8"/>
  <c r="M54" i="8"/>
  <c r="I55" i="8"/>
  <c r="J55" i="8"/>
  <c r="K55" i="8"/>
  <c r="L55" i="8"/>
  <c r="M55" i="8"/>
  <c r="I56" i="8"/>
  <c r="J56" i="8"/>
  <c r="K56" i="8"/>
  <c r="L56" i="8"/>
  <c r="M56" i="8"/>
  <c r="I57" i="8"/>
  <c r="J57" i="8"/>
  <c r="K57" i="8"/>
  <c r="L57" i="8"/>
  <c r="M57" i="8"/>
  <c r="I58" i="8"/>
  <c r="J58" i="8"/>
  <c r="K58" i="8"/>
  <c r="L58" i="8"/>
  <c r="M58" i="8"/>
  <c r="I59" i="8"/>
  <c r="J59" i="8"/>
  <c r="K59" i="8"/>
  <c r="L59" i="8"/>
  <c r="M59" i="8"/>
  <c r="I60" i="8"/>
  <c r="J60" i="8"/>
  <c r="K60" i="8"/>
  <c r="L60" i="8"/>
  <c r="M60" i="8"/>
  <c r="I61" i="8"/>
  <c r="J61" i="8"/>
  <c r="K61" i="8"/>
  <c r="L61" i="8"/>
  <c r="M61" i="8"/>
  <c r="I62" i="8"/>
  <c r="J62" i="8"/>
  <c r="K62" i="8"/>
  <c r="L62" i="8"/>
  <c r="M62" i="8"/>
  <c r="I63" i="8"/>
  <c r="J63" i="8"/>
  <c r="K63" i="8"/>
  <c r="L63" i="8"/>
  <c r="M63" i="8"/>
  <c r="I64" i="8"/>
  <c r="J64" i="8"/>
  <c r="K64" i="8"/>
  <c r="L64" i="8"/>
  <c r="M64" i="8"/>
  <c r="I65" i="8"/>
  <c r="J65" i="8"/>
  <c r="K65" i="8"/>
  <c r="L65" i="8"/>
  <c r="M65" i="8"/>
  <c r="I66" i="8"/>
  <c r="J66" i="8"/>
  <c r="K66" i="8"/>
  <c r="L66" i="8"/>
  <c r="M66" i="8"/>
  <c r="I67" i="8"/>
  <c r="J67" i="8"/>
  <c r="K67" i="8"/>
  <c r="L67" i="8"/>
  <c r="M67" i="8"/>
  <c r="I68" i="8"/>
  <c r="J68" i="8"/>
  <c r="K68" i="8"/>
  <c r="L68" i="8"/>
  <c r="M68" i="8"/>
  <c r="I69" i="8"/>
  <c r="J69" i="8"/>
  <c r="K69" i="8"/>
  <c r="L69" i="8"/>
  <c r="M69" i="8"/>
  <c r="I70" i="8"/>
  <c r="J70" i="8"/>
  <c r="K70" i="8"/>
  <c r="L70" i="8"/>
  <c r="M70" i="8"/>
  <c r="I71" i="8"/>
  <c r="J71" i="8"/>
  <c r="K71" i="8"/>
  <c r="L71" i="8"/>
  <c r="M71" i="8"/>
  <c r="I72" i="8"/>
  <c r="J72" i="8"/>
  <c r="K72" i="8"/>
  <c r="L72" i="8"/>
  <c r="M72" i="8"/>
  <c r="I73" i="8"/>
  <c r="J73" i="8"/>
  <c r="K73" i="8"/>
  <c r="L73" i="8"/>
  <c r="M73" i="8"/>
  <c r="I74" i="8"/>
  <c r="J74" i="8"/>
  <c r="K74" i="8"/>
  <c r="L74" i="8"/>
  <c r="M74" i="8"/>
  <c r="I75" i="8"/>
  <c r="J75" i="8"/>
  <c r="K75" i="8"/>
  <c r="L75" i="8"/>
  <c r="M75" i="8"/>
  <c r="I76" i="8"/>
  <c r="J76" i="8"/>
  <c r="K76" i="8"/>
  <c r="L76" i="8"/>
  <c r="M76" i="8"/>
  <c r="I77" i="8"/>
  <c r="J77" i="8"/>
  <c r="K77" i="8"/>
  <c r="L77" i="8"/>
  <c r="M77" i="8"/>
  <c r="I78" i="8"/>
  <c r="J78" i="8"/>
  <c r="K78" i="8"/>
  <c r="L78" i="8"/>
  <c r="M78" i="8"/>
  <c r="I79" i="8"/>
  <c r="J79" i="8"/>
  <c r="K79" i="8"/>
  <c r="L79" i="8"/>
  <c r="M79" i="8"/>
  <c r="I80" i="8"/>
  <c r="J80" i="8"/>
  <c r="K80" i="8"/>
  <c r="L80" i="8"/>
  <c r="M80" i="8"/>
  <c r="I81" i="8"/>
  <c r="J81" i="8"/>
  <c r="K81" i="8"/>
  <c r="L81" i="8"/>
  <c r="M81" i="8"/>
  <c r="I82" i="8"/>
  <c r="J82" i="8"/>
  <c r="K82" i="8"/>
  <c r="L82" i="8"/>
  <c r="M82" i="8"/>
  <c r="I83" i="8"/>
  <c r="J83" i="8"/>
  <c r="K83" i="8"/>
  <c r="L83" i="8"/>
  <c r="M83" i="8"/>
  <c r="I84" i="8"/>
  <c r="J84" i="8"/>
  <c r="K84" i="8"/>
  <c r="L84" i="8"/>
  <c r="M84" i="8"/>
  <c r="I85" i="8"/>
  <c r="J85" i="8"/>
  <c r="K85" i="8"/>
  <c r="L85" i="8"/>
  <c r="M85" i="8"/>
  <c r="I86" i="8"/>
  <c r="J86" i="8"/>
  <c r="K86" i="8"/>
  <c r="L86" i="8"/>
  <c r="M86" i="8"/>
  <c r="I87" i="8"/>
  <c r="J87" i="8"/>
  <c r="K87" i="8"/>
  <c r="L87" i="8"/>
  <c r="M87" i="8"/>
  <c r="I88" i="8"/>
  <c r="J88" i="8"/>
  <c r="K88" i="8"/>
  <c r="L88" i="8"/>
  <c r="M88" i="8"/>
  <c r="I89" i="8"/>
  <c r="J89" i="8"/>
  <c r="K89" i="8"/>
  <c r="L89" i="8"/>
  <c r="M89" i="8"/>
  <c r="I90" i="8"/>
  <c r="J90" i="8"/>
  <c r="K90" i="8"/>
  <c r="L90" i="8"/>
  <c r="M90" i="8"/>
  <c r="I91" i="8"/>
  <c r="J91" i="8"/>
  <c r="K91" i="8"/>
  <c r="L91" i="8"/>
  <c r="M91" i="8"/>
  <c r="I92" i="8"/>
  <c r="J92" i="8"/>
  <c r="K92" i="8"/>
  <c r="L92" i="8"/>
  <c r="M92" i="8"/>
  <c r="I93" i="8"/>
  <c r="J93" i="8"/>
  <c r="K93" i="8"/>
  <c r="L93" i="8"/>
  <c r="M93" i="8"/>
  <c r="I94" i="8"/>
  <c r="J94" i="8"/>
  <c r="K94" i="8"/>
  <c r="L94" i="8"/>
  <c r="M94" i="8"/>
  <c r="I95" i="8"/>
  <c r="J95" i="8"/>
  <c r="K95" i="8"/>
  <c r="L95" i="8"/>
  <c r="M95" i="8"/>
  <c r="I96" i="8"/>
  <c r="J96" i="8"/>
  <c r="K96" i="8"/>
  <c r="L96" i="8"/>
  <c r="M96" i="8"/>
  <c r="I97" i="8"/>
  <c r="J97" i="8"/>
  <c r="K97" i="8"/>
  <c r="L97" i="8"/>
  <c r="M97" i="8"/>
  <c r="I98" i="8"/>
  <c r="J98" i="8"/>
  <c r="K98" i="8"/>
  <c r="L98" i="8"/>
  <c r="M98" i="8"/>
  <c r="I99" i="8"/>
  <c r="J99" i="8"/>
  <c r="K99" i="8"/>
  <c r="L99" i="8"/>
  <c r="M99" i="8"/>
  <c r="J4" i="8"/>
  <c r="K4" i="8"/>
  <c r="L4" i="8"/>
  <c r="M4" i="8"/>
  <c r="N4" i="8"/>
  <c r="AZ3" i="8"/>
  <c r="BA3" i="8" s="1"/>
  <c r="AZ4" i="8"/>
  <c r="BA4" i="8" s="1"/>
  <c r="BB4" i="8" s="1"/>
  <c r="BC4" i="8" s="1"/>
  <c r="AZ2" i="8"/>
  <c r="AH5" i="1"/>
  <c r="AS5" i="1" s="1"/>
  <c r="AH6" i="1"/>
  <c r="AS6" i="1"/>
  <c r="AH7" i="1"/>
  <c r="AS7" i="1"/>
  <c r="AH8" i="1"/>
  <c r="AS8" i="1" s="1"/>
  <c r="AH9" i="1"/>
  <c r="AS9" i="1"/>
  <c r="AH10" i="1"/>
  <c r="AS10" i="1"/>
  <c r="AH11" i="1"/>
  <c r="AS11" i="1" s="1"/>
  <c r="AH12" i="1"/>
  <c r="AS12" i="1"/>
  <c r="AH13" i="1"/>
  <c r="AS13" i="1"/>
  <c r="AH14" i="1"/>
  <c r="AS14" i="1" s="1"/>
  <c r="AH15" i="1"/>
  <c r="AS15" i="1"/>
  <c r="AH16" i="1"/>
  <c r="AS16" i="1" s="1"/>
  <c r="AH17" i="1"/>
  <c r="AS17" i="1" s="1"/>
  <c r="AH18" i="1"/>
  <c r="AS18" i="1"/>
  <c r="AH19" i="1"/>
  <c r="AS19" i="1" s="1"/>
  <c r="AH20" i="1"/>
  <c r="AS20" i="1"/>
  <c r="AH21" i="1"/>
  <c r="AS21" i="1"/>
  <c r="AH22" i="1"/>
  <c r="AS22" i="1" s="1"/>
  <c r="AH23" i="1"/>
  <c r="AS23" i="1" s="1"/>
  <c r="AH24" i="1"/>
  <c r="AS24" i="1" s="1"/>
  <c r="AH25" i="1"/>
  <c r="AS25" i="1" s="1"/>
  <c r="AH26" i="1"/>
  <c r="AS26" i="1" s="1"/>
  <c r="AH27" i="1"/>
  <c r="AS27" i="1"/>
  <c r="AH28" i="1"/>
  <c r="AS28" i="1" s="1"/>
  <c r="AH29" i="1"/>
  <c r="AS29" i="1" s="1"/>
  <c r="AH30" i="1"/>
  <c r="AS30" i="1"/>
  <c r="AH31" i="1"/>
  <c r="AS31" i="1" s="1"/>
  <c r="AH32" i="1"/>
  <c r="AS32" i="1" s="1"/>
  <c r="AH33" i="1"/>
  <c r="AS33" i="1"/>
  <c r="AH34" i="1"/>
  <c r="AS34" i="1" s="1"/>
  <c r="AH35" i="1"/>
  <c r="AS35" i="1" s="1"/>
  <c r="AH36" i="1"/>
  <c r="AS36" i="1"/>
  <c r="AH37" i="1"/>
  <c r="AS37" i="1" s="1"/>
  <c r="AH38" i="1"/>
  <c r="AS38" i="1"/>
  <c r="AH39" i="1"/>
  <c r="AS39" i="1"/>
  <c r="AH40" i="1"/>
  <c r="AS40" i="1" s="1"/>
  <c r="AH41" i="1"/>
  <c r="AS41" i="1"/>
  <c r="AH42" i="1"/>
  <c r="AS42" i="1"/>
  <c r="AH43" i="1"/>
  <c r="AS43" i="1" s="1"/>
  <c r="AH44" i="1"/>
  <c r="AS44" i="1"/>
  <c r="AH45" i="1"/>
  <c r="AS45" i="1"/>
  <c r="AH46" i="1"/>
  <c r="AS46" i="1"/>
  <c r="AH47" i="1"/>
  <c r="AS47" i="1" s="1"/>
  <c r="AH48" i="1"/>
  <c r="AS48" i="1"/>
  <c r="AH49" i="1"/>
  <c r="AS49" i="1" s="1"/>
  <c r="AH50" i="1"/>
  <c r="AS50" i="1" s="1"/>
  <c r="AH51" i="1"/>
  <c r="AS51" i="1" s="1"/>
  <c r="AH52" i="1"/>
  <c r="AS52" i="1" s="1"/>
  <c r="AH53" i="1"/>
  <c r="AS53" i="1"/>
  <c r="AH54" i="1"/>
  <c r="AS54" i="1" s="1"/>
  <c r="AH55" i="1"/>
  <c r="AS55" i="1" s="1"/>
  <c r="AH56" i="1"/>
  <c r="AS56" i="1" s="1"/>
  <c r="AH57" i="1"/>
  <c r="AS57" i="1"/>
  <c r="AH58" i="1"/>
  <c r="AS58" i="1" s="1"/>
  <c r="AH59" i="1"/>
  <c r="AS59" i="1"/>
  <c r="AH60" i="1"/>
  <c r="AS60" i="1"/>
  <c r="AH61" i="1"/>
  <c r="AS61" i="1" s="1"/>
  <c r="AH62" i="1"/>
  <c r="AS62" i="1"/>
  <c r="AH63" i="1"/>
  <c r="AS63" i="1" s="1"/>
  <c r="AH64" i="1"/>
  <c r="AS64" i="1" s="1"/>
  <c r="AH65" i="1"/>
  <c r="AS65" i="1"/>
  <c r="AH66" i="1"/>
  <c r="AS66" i="1"/>
  <c r="AH67" i="1"/>
  <c r="AS67" i="1" s="1"/>
  <c r="AH68" i="1"/>
  <c r="AS68" i="1"/>
  <c r="AH69" i="1"/>
  <c r="AS69" i="1" s="1"/>
  <c r="AH70" i="1"/>
  <c r="AS70" i="1" s="1"/>
  <c r="AH71" i="1"/>
  <c r="AS71" i="1"/>
  <c r="AH72" i="1"/>
  <c r="AS72" i="1" s="1"/>
  <c r="AH73" i="1"/>
  <c r="AS73" i="1"/>
  <c r="AH74" i="1"/>
  <c r="AS74" i="1"/>
  <c r="AH75" i="1"/>
  <c r="AS75" i="1"/>
  <c r="AH76" i="1"/>
  <c r="AS76" i="1" s="1"/>
  <c r="AH77" i="1"/>
  <c r="AS77" i="1"/>
  <c r="AH78" i="1"/>
  <c r="AS78" i="1" s="1"/>
  <c r="AH79" i="1"/>
  <c r="AS79" i="1"/>
  <c r="AH80" i="1"/>
  <c r="AS80" i="1"/>
  <c r="AH81" i="1"/>
  <c r="AS81" i="1" s="1"/>
  <c r="AH82" i="1"/>
  <c r="AS82" i="1"/>
  <c r="AH83" i="1"/>
  <c r="AS83" i="1" s="1"/>
  <c r="AH84" i="1"/>
  <c r="AS84" i="1"/>
  <c r="AH85" i="1"/>
  <c r="AS85" i="1" s="1"/>
  <c r="AH86" i="1"/>
  <c r="AS86" i="1"/>
  <c r="AH87" i="1"/>
  <c r="AS87" i="1" s="1"/>
  <c r="AH88" i="1"/>
  <c r="AS88" i="1"/>
  <c r="AH89" i="1"/>
  <c r="AS89" i="1" s="1"/>
  <c r="AH90" i="1"/>
  <c r="AS90" i="1" s="1"/>
  <c r="AH91" i="1"/>
  <c r="AS91" i="1"/>
  <c r="AH92" i="1"/>
  <c r="AS92" i="1"/>
  <c r="AH93" i="1"/>
  <c r="AS93" i="1" s="1"/>
  <c r="AH94" i="1"/>
  <c r="AS94" i="1"/>
  <c r="AH95" i="1"/>
  <c r="AS95" i="1"/>
  <c r="AH96" i="1"/>
  <c r="AS96" i="1" s="1"/>
  <c r="AH97" i="1"/>
  <c r="AS97" i="1"/>
  <c r="AH98" i="1"/>
  <c r="AS98" i="1" s="1"/>
  <c r="AH99" i="1"/>
  <c r="AS99" i="1" s="1"/>
  <c r="AH100" i="1"/>
  <c r="AS100" i="1"/>
  <c r="AH101" i="1"/>
  <c r="AS101" i="1"/>
  <c r="AH102" i="1"/>
  <c r="AS102" i="1"/>
  <c r="AH103" i="1"/>
  <c r="AS103" i="1"/>
  <c r="AH104" i="1"/>
  <c r="AS104" i="1"/>
  <c r="AH105" i="1"/>
  <c r="AS105" i="1" s="1"/>
  <c r="AH106" i="1"/>
  <c r="AS106" i="1"/>
  <c r="AH107" i="1"/>
  <c r="AS107" i="1" s="1"/>
  <c r="AH108" i="1"/>
  <c r="AS108" i="1"/>
  <c r="AH109" i="1"/>
  <c r="AS109" i="1"/>
  <c r="AH110" i="1"/>
  <c r="AS110" i="1"/>
  <c r="AH111" i="1"/>
  <c r="AS111" i="1" s="1"/>
  <c r="AH112" i="1"/>
  <c r="AS112" i="1" s="1"/>
  <c r="AH113" i="1"/>
  <c r="AS113" i="1" s="1"/>
  <c r="AH114" i="1"/>
  <c r="AS114" i="1"/>
  <c r="AH115" i="1"/>
  <c r="AS115" i="1"/>
  <c r="AH116" i="1"/>
  <c r="AS116" i="1" s="1"/>
  <c r="AH117" i="1"/>
  <c r="AS117" i="1"/>
  <c r="AH118" i="1"/>
  <c r="AS118" i="1" s="1"/>
  <c r="AH119" i="1"/>
  <c r="AS119" i="1" s="1"/>
  <c r="AH120" i="1"/>
  <c r="AS120" i="1" s="1"/>
  <c r="AH121" i="1"/>
  <c r="AS121" i="1"/>
  <c r="AH122" i="1"/>
  <c r="AS122" i="1" s="1"/>
  <c r="AH123" i="1"/>
  <c r="AS123" i="1"/>
  <c r="AH124" i="1"/>
  <c r="AS124" i="1"/>
  <c r="AH125" i="1"/>
  <c r="AS125" i="1" s="1"/>
  <c r="AH126" i="1"/>
  <c r="AS126" i="1"/>
  <c r="AH127" i="1"/>
  <c r="AS127" i="1" s="1"/>
  <c r="AH128" i="1"/>
  <c r="AS128" i="1" s="1"/>
  <c r="AH129" i="1"/>
  <c r="AS129" i="1"/>
  <c r="AH130" i="1"/>
  <c r="AS130" i="1"/>
  <c r="AH131" i="1"/>
  <c r="AS131" i="1" s="1"/>
  <c r="AH132" i="1"/>
  <c r="AS132" i="1"/>
  <c r="AH133" i="1"/>
  <c r="AS133" i="1" s="1"/>
  <c r="AH134" i="1"/>
  <c r="AS134" i="1" s="1"/>
  <c r="AH135" i="1"/>
  <c r="AS135" i="1"/>
  <c r="AH136" i="1"/>
  <c r="AS136" i="1" s="1"/>
  <c r="AH137" i="1"/>
  <c r="AS137" i="1" s="1"/>
  <c r="AH138" i="1"/>
  <c r="AS138" i="1" s="1"/>
  <c r="AH139" i="1"/>
  <c r="AS139" i="1"/>
  <c r="AH140" i="1"/>
  <c r="AS140" i="1" s="1"/>
  <c r="AH141" i="1"/>
  <c r="AS141" i="1"/>
  <c r="AH142" i="1"/>
  <c r="AS142" i="1"/>
  <c r="AH143" i="1"/>
  <c r="AS143" i="1" s="1"/>
  <c r="AH144" i="1"/>
  <c r="AS144" i="1" s="1"/>
  <c r="AH145" i="1"/>
  <c r="AS145" i="1"/>
  <c r="AH146" i="1"/>
  <c r="AS146" i="1" s="1"/>
  <c r="AH147" i="1"/>
  <c r="AS147" i="1" s="1"/>
  <c r="AH148" i="1"/>
  <c r="AS148" i="1" s="1"/>
  <c r="AH149" i="1"/>
  <c r="AS149" i="1"/>
  <c r="AH150" i="1"/>
  <c r="AS150" i="1" s="1"/>
  <c r="AH151" i="1"/>
  <c r="AS151" i="1"/>
  <c r="AH152" i="1"/>
  <c r="AS152" i="1"/>
  <c r="AH153" i="1"/>
  <c r="AS153" i="1" s="1"/>
  <c r="AH154" i="1"/>
  <c r="AS154" i="1" s="1"/>
  <c r="AH155" i="1"/>
  <c r="AS155" i="1"/>
  <c r="AH156" i="1"/>
  <c r="AS156" i="1"/>
  <c r="AH157" i="1"/>
  <c r="AS157" i="1"/>
  <c r="AH158" i="1"/>
  <c r="AS158" i="1" s="1"/>
  <c r="AH159" i="1"/>
  <c r="AS159" i="1"/>
  <c r="AH160" i="1"/>
  <c r="AS160" i="1" s="1"/>
  <c r="AH161" i="1"/>
  <c r="AS161" i="1" s="1"/>
  <c r="AH162" i="1"/>
  <c r="AS162" i="1" s="1"/>
  <c r="AH163" i="1"/>
  <c r="AS163" i="1" s="1"/>
  <c r="AH164" i="1"/>
  <c r="AS164" i="1" s="1"/>
  <c r="AH165" i="1"/>
  <c r="AS165" i="1"/>
  <c r="AH166" i="1"/>
  <c r="AS166" i="1" s="1"/>
  <c r="AH167" i="1"/>
  <c r="AS167" i="1" s="1"/>
  <c r="AH168" i="1"/>
  <c r="AS168" i="1"/>
  <c r="AH169" i="1"/>
  <c r="AS169" i="1" s="1"/>
  <c r="AH170" i="1"/>
  <c r="AS170" i="1" s="1"/>
  <c r="AH171" i="1"/>
  <c r="AS171" i="1" s="1"/>
  <c r="AH172" i="1"/>
  <c r="AS172" i="1"/>
  <c r="AH173" i="1"/>
  <c r="AS173" i="1"/>
  <c r="AH174" i="1"/>
  <c r="AS174" i="1" s="1"/>
  <c r="AH175" i="1"/>
  <c r="AS175" i="1"/>
  <c r="AH176" i="1"/>
  <c r="AS176" i="1"/>
  <c r="AH177" i="1"/>
  <c r="AS177" i="1" s="1"/>
  <c r="AH178" i="1"/>
  <c r="AS178" i="1" s="1"/>
  <c r="AH179" i="1"/>
  <c r="AS179" i="1"/>
  <c r="AH180" i="1"/>
  <c r="AS180" i="1" s="1"/>
  <c r="AH181" i="1"/>
  <c r="AS181" i="1" s="1"/>
  <c r="AH182" i="1"/>
  <c r="AS182" i="1" s="1"/>
  <c r="AH183" i="1"/>
  <c r="AS183" i="1"/>
  <c r="AH184" i="1"/>
  <c r="AS184" i="1" s="1"/>
  <c r="AH185" i="1"/>
  <c r="AS185" i="1"/>
  <c r="AH186" i="1"/>
  <c r="AS186" i="1" s="1"/>
  <c r="AH187" i="1"/>
  <c r="AS187" i="1"/>
  <c r="AH188" i="1"/>
  <c r="AS188" i="1" s="1"/>
  <c r="AH189" i="1"/>
  <c r="AS189" i="1"/>
  <c r="AH190" i="1"/>
  <c r="AS190" i="1" s="1"/>
  <c r="AH191" i="1"/>
  <c r="AS191" i="1" s="1"/>
  <c r="AH192" i="1"/>
  <c r="AS192" i="1"/>
  <c r="AH193" i="1"/>
  <c r="AS193" i="1"/>
  <c r="AH194" i="1"/>
  <c r="AS194" i="1" s="1"/>
  <c r="AH195" i="1"/>
  <c r="AS195" i="1"/>
  <c r="AH196" i="1"/>
  <c r="AS196" i="1"/>
  <c r="AH197" i="1"/>
  <c r="AS197" i="1" s="1"/>
  <c r="AH198" i="1"/>
  <c r="AS198" i="1" s="1"/>
  <c r="AH199" i="1"/>
  <c r="AS199" i="1"/>
  <c r="AH200" i="1"/>
  <c r="AS200" i="1"/>
  <c r="AH201" i="1"/>
  <c r="AS201" i="1" s="1"/>
  <c r="AH202" i="1"/>
  <c r="AS202" i="1" s="1"/>
  <c r="AH203" i="1"/>
  <c r="AS203" i="1"/>
  <c r="AH204" i="1"/>
  <c r="AS204" i="1" s="1"/>
  <c r="AH205" i="1"/>
  <c r="AS205" i="1"/>
  <c r="AH206" i="1"/>
  <c r="AS206" i="1" s="1"/>
  <c r="AH207" i="1"/>
  <c r="AS207" i="1" s="1"/>
  <c r="AH208" i="1"/>
  <c r="AS208" i="1" s="1"/>
  <c r="AH209" i="1"/>
  <c r="AS209" i="1"/>
  <c r="AH210" i="1"/>
  <c r="AS210" i="1" s="1"/>
  <c r="AH211" i="1"/>
  <c r="AS211" i="1" s="1"/>
  <c r="AH212" i="1"/>
  <c r="AS212" i="1"/>
  <c r="AH213" i="1"/>
  <c r="AS213" i="1"/>
  <c r="AH214" i="1"/>
  <c r="AS214" i="1" s="1"/>
  <c r="AH215" i="1"/>
  <c r="AS215" i="1" s="1"/>
  <c r="AH216" i="1"/>
  <c r="AS216" i="1"/>
  <c r="AH217" i="1"/>
  <c r="AS217" i="1" s="1"/>
  <c r="AH218" i="1"/>
  <c r="AS218" i="1" s="1"/>
  <c r="AH219" i="1"/>
  <c r="AS219" i="1"/>
  <c r="AH220" i="1"/>
  <c r="AS220" i="1"/>
  <c r="AH221" i="1"/>
  <c r="AS221" i="1" s="1"/>
  <c r="AH222" i="1"/>
  <c r="AS222" i="1" s="1"/>
  <c r="AH223" i="1"/>
  <c r="AS223" i="1"/>
  <c r="AH224" i="1"/>
  <c r="AS224" i="1" s="1"/>
  <c r="AH225" i="1"/>
  <c r="AS225" i="1" s="1"/>
  <c r="AH226" i="1"/>
  <c r="AS226" i="1" s="1"/>
  <c r="AH227" i="1"/>
  <c r="AS227" i="1" s="1"/>
  <c r="AH228" i="1"/>
  <c r="AS228" i="1" s="1"/>
  <c r="AH229" i="1"/>
  <c r="AS229" i="1"/>
  <c r="AH230" i="1"/>
  <c r="AS230" i="1" s="1"/>
  <c r="AH231" i="1"/>
  <c r="AS231" i="1" s="1"/>
  <c r="AH232" i="1"/>
  <c r="AS232" i="1"/>
  <c r="AH233" i="1"/>
  <c r="AS233" i="1"/>
  <c r="AH234" i="1"/>
  <c r="AS234" i="1" s="1"/>
  <c r="AH235" i="1"/>
  <c r="AS235" i="1" s="1"/>
  <c r="AH236" i="1"/>
  <c r="AS236" i="1"/>
  <c r="AH237" i="1"/>
  <c r="AS237" i="1"/>
  <c r="AH238" i="1"/>
  <c r="AS238" i="1" s="1"/>
  <c r="AH239" i="1"/>
  <c r="AS239" i="1"/>
  <c r="AH240" i="1"/>
  <c r="AS240" i="1"/>
  <c r="AH241" i="1"/>
  <c r="AS241" i="1" s="1"/>
  <c r="AH242" i="1"/>
  <c r="AS242" i="1" s="1"/>
  <c r="AH243" i="1"/>
  <c r="AS243" i="1"/>
  <c r="AH244" i="1"/>
  <c r="AS244" i="1" s="1"/>
  <c r="AH245" i="1"/>
  <c r="AS245" i="1" s="1"/>
  <c r="AH246" i="1"/>
  <c r="AS246" i="1" s="1"/>
  <c r="AH247" i="1"/>
  <c r="AS247" i="1" s="1"/>
  <c r="AH248" i="1"/>
  <c r="AS248" i="1" s="1"/>
  <c r="AH249" i="1"/>
  <c r="AS249" i="1"/>
  <c r="AH250" i="1"/>
  <c r="AS250" i="1" s="1"/>
  <c r="AH251" i="1"/>
  <c r="AS251" i="1"/>
  <c r="AH252" i="1"/>
  <c r="AS252" i="1" s="1"/>
  <c r="AH253" i="1"/>
  <c r="AS253" i="1"/>
  <c r="AH254" i="1"/>
  <c r="AS254" i="1" s="1"/>
  <c r="AH255" i="1"/>
  <c r="AS255" i="1" s="1"/>
  <c r="AH256" i="1"/>
  <c r="AS256" i="1"/>
  <c r="AH257" i="1"/>
  <c r="AS257" i="1"/>
  <c r="AH258" i="1"/>
  <c r="AS258" i="1" s="1"/>
  <c r="AH259" i="1"/>
  <c r="AS259" i="1"/>
  <c r="AH260" i="1"/>
  <c r="AS260" i="1"/>
  <c r="AH261" i="1"/>
  <c r="AS261" i="1" s="1"/>
  <c r="AH262" i="1"/>
  <c r="AS262" i="1" s="1"/>
  <c r="AH263" i="1"/>
  <c r="AS263" i="1"/>
  <c r="AH264" i="1"/>
  <c r="AS264" i="1" s="1"/>
  <c r="AH265" i="1"/>
  <c r="AS265" i="1" s="1"/>
  <c r="AH266" i="1"/>
  <c r="AS266" i="1" s="1"/>
  <c r="AH267" i="1"/>
  <c r="AS267" i="1"/>
  <c r="AH268" i="1"/>
  <c r="AS268" i="1" s="1"/>
  <c r="AH269" i="1"/>
  <c r="AS269" i="1" s="1"/>
  <c r="AH270" i="1"/>
  <c r="AS270" i="1" s="1"/>
  <c r="AH271" i="1"/>
  <c r="AS271" i="1"/>
  <c r="AH272" i="1"/>
  <c r="AS272" i="1" s="1"/>
  <c r="AH273" i="1"/>
  <c r="AS273" i="1"/>
  <c r="AH274" i="1"/>
  <c r="AS274" i="1" s="1"/>
  <c r="AH275" i="1"/>
  <c r="AS275" i="1" s="1"/>
  <c r="AH276" i="1"/>
  <c r="AS276" i="1"/>
  <c r="AH277" i="1"/>
  <c r="AS277" i="1"/>
  <c r="AH278" i="1"/>
  <c r="AS278" i="1" s="1"/>
  <c r="AH279" i="1"/>
  <c r="AS279" i="1" s="1"/>
  <c r="AH280" i="1"/>
  <c r="AS280" i="1"/>
  <c r="AH281" i="1"/>
  <c r="AS281" i="1" s="1"/>
  <c r="AH282" i="1"/>
  <c r="AS282" i="1" s="1"/>
  <c r="AH283" i="1"/>
  <c r="AS283" i="1"/>
  <c r="AH284" i="1"/>
  <c r="AS284" i="1"/>
  <c r="AH285" i="1"/>
  <c r="AS285" i="1" s="1"/>
  <c r="AH286" i="1"/>
  <c r="AS286" i="1" s="1"/>
  <c r="AH287" i="1"/>
  <c r="AS287" i="1"/>
  <c r="AH288" i="1"/>
  <c r="AS288" i="1"/>
  <c r="AH289" i="1"/>
  <c r="AS289" i="1" s="1"/>
  <c r="AH290" i="1"/>
  <c r="AS290" i="1" s="1"/>
  <c r="AH291" i="1"/>
  <c r="AS291" i="1" s="1"/>
  <c r="AH292" i="1"/>
  <c r="AS292" i="1" s="1"/>
  <c r="AH293" i="1"/>
  <c r="AS293" i="1"/>
  <c r="AH294" i="1"/>
  <c r="AS294" i="1" s="1"/>
  <c r="AH295" i="1"/>
  <c r="AS295" i="1" s="1"/>
  <c r="AH296" i="1"/>
  <c r="AS296" i="1"/>
  <c r="AH297" i="1"/>
  <c r="AS297" i="1"/>
  <c r="AH298" i="1"/>
  <c r="AS298" i="1" s="1"/>
  <c r="AH299" i="1"/>
  <c r="AS299" i="1" s="1"/>
  <c r="AH300" i="1"/>
  <c r="AS300" i="1"/>
  <c r="AH301" i="1"/>
  <c r="AS301" i="1"/>
  <c r="AH302" i="1"/>
  <c r="AS302" i="1" s="1"/>
  <c r="AH303" i="1"/>
  <c r="AS303" i="1"/>
  <c r="AH304" i="1"/>
  <c r="AS304" i="1" s="1"/>
  <c r="AH305" i="1"/>
  <c r="AS305" i="1" s="1"/>
  <c r="AH306" i="1"/>
  <c r="AS306" i="1" s="1"/>
  <c r="AH307" i="1"/>
  <c r="AS307" i="1"/>
  <c r="AH308" i="1"/>
  <c r="AS308" i="1" s="1"/>
  <c r="AH309" i="1"/>
  <c r="AS309" i="1" s="1"/>
  <c r="AH310" i="1"/>
  <c r="AS310" i="1" s="1"/>
  <c r="AH311" i="1"/>
  <c r="AS311" i="1"/>
  <c r="AH312" i="1"/>
  <c r="AS312" i="1" s="1"/>
  <c r="AH313" i="1"/>
  <c r="AS313" i="1"/>
  <c r="AH314" i="1"/>
  <c r="AS314" i="1" s="1"/>
  <c r="AH315" i="1"/>
  <c r="AS315" i="1" s="1"/>
  <c r="AH316" i="1"/>
  <c r="AS316" i="1" s="1"/>
  <c r="AH317" i="1"/>
  <c r="AS317" i="1"/>
  <c r="AH318" i="1"/>
  <c r="AS318" i="1" s="1"/>
  <c r="AH319" i="1"/>
  <c r="AS319" i="1" s="1"/>
  <c r="AH320" i="1"/>
  <c r="AS320" i="1"/>
  <c r="AH321" i="1"/>
  <c r="AS321" i="1"/>
  <c r="AH322" i="1"/>
  <c r="AS322" i="1" s="1"/>
  <c r="AH323" i="1"/>
  <c r="AS323" i="1"/>
  <c r="AH324" i="1"/>
  <c r="AS324" i="1"/>
  <c r="AH325" i="1"/>
  <c r="AS325" i="1"/>
  <c r="AH326" i="1"/>
  <c r="AS326" i="1" s="1"/>
  <c r="AH327" i="1"/>
  <c r="AS327" i="1"/>
  <c r="AH328" i="1"/>
  <c r="AS328" i="1"/>
  <c r="AH329" i="1"/>
  <c r="AS329" i="1" s="1"/>
  <c r="AH330" i="1"/>
  <c r="AS330" i="1" s="1"/>
  <c r="AH331" i="1"/>
  <c r="AS331" i="1"/>
  <c r="AH332" i="1"/>
  <c r="AS332" i="1" s="1"/>
  <c r="AH333" i="1"/>
  <c r="AS333" i="1"/>
  <c r="AH334" i="1"/>
  <c r="AS334" i="1" s="1"/>
  <c r="AH335" i="1"/>
  <c r="AS335" i="1"/>
  <c r="AH336" i="1"/>
  <c r="AS336" i="1" s="1"/>
  <c r="AH337" i="1"/>
  <c r="AS337" i="1"/>
  <c r="AH338" i="1"/>
  <c r="AS338" i="1" s="1"/>
  <c r="AH339" i="1"/>
  <c r="AS339" i="1" s="1"/>
  <c r="AH340" i="1"/>
  <c r="AS340" i="1" s="1"/>
  <c r="AH341" i="1"/>
  <c r="AS341" i="1"/>
  <c r="AH342" i="1"/>
  <c r="AS342" i="1"/>
  <c r="AH343" i="1"/>
  <c r="AS343" i="1" s="1"/>
  <c r="AH344" i="1"/>
  <c r="AS344" i="1"/>
  <c r="AH345" i="1"/>
  <c r="AS345" i="1"/>
  <c r="AH346" i="1"/>
  <c r="AS346" i="1" s="1"/>
  <c r="AH347" i="1"/>
  <c r="AS347" i="1" s="1"/>
  <c r="AH348" i="1"/>
  <c r="AS348" i="1"/>
  <c r="AH349" i="1"/>
  <c r="AS349" i="1"/>
  <c r="AH350" i="1"/>
  <c r="AS350" i="1" s="1"/>
  <c r="AH351" i="1"/>
  <c r="AS351" i="1" s="1"/>
  <c r="AH352" i="1"/>
  <c r="AS352" i="1" s="1"/>
  <c r="AH353" i="1"/>
  <c r="AS353" i="1"/>
  <c r="AH354" i="1"/>
  <c r="AS354" i="1"/>
  <c r="AH355" i="1"/>
  <c r="AS355" i="1" s="1"/>
  <c r="AH356" i="1"/>
  <c r="AS356" i="1"/>
  <c r="AH357" i="1"/>
  <c r="AS357" i="1"/>
  <c r="AH358" i="1"/>
  <c r="AS358" i="1"/>
  <c r="AH359" i="1"/>
  <c r="AS359" i="1" s="1"/>
  <c r="AH360" i="1"/>
  <c r="AS360" i="1"/>
  <c r="AH361" i="1"/>
  <c r="AS361" i="1"/>
  <c r="AH362" i="1"/>
  <c r="AS362" i="1" s="1"/>
  <c r="AH363" i="1"/>
  <c r="AS363" i="1" s="1"/>
  <c r="AH364" i="1"/>
  <c r="AS364" i="1" s="1"/>
  <c r="AH365" i="1"/>
  <c r="AS365" i="1"/>
  <c r="AH366" i="1"/>
  <c r="AS366" i="1"/>
  <c r="AH367" i="1"/>
  <c r="AS367" i="1" s="1"/>
  <c r="AH368" i="1"/>
  <c r="AS368" i="1"/>
  <c r="AH369" i="1"/>
  <c r="AS369" i="1"/>
  <c r="AH370" i="1"/>
  <c r="AS370" i="1"/>
  <c r="AH371" i="1"/>
  <c r="AS371" i="1" s="1"/>
  <c r="AH372" i="1"/>
  <c r="AS372" i="1" s="1"/>
  <c r="AH373" i="1"/>
  <c r="AS373" i="1"/>
  <c r="AH374" i="1"/>
  <c r="AS374" i="1" s="1"/>
  <c r="AH375" i="1"/>
  <c r="AS375" i="1" s="1"/>
  <c r="AH376" i="1"/>
  <c r="AS376" i="1" s="1"/>
  <c r="AH377" i="1"/>
  <c r="AS377" i="1"/>
  <c r="AH378" i="1"/>
  <c r="AS378" i="1"/>
  <c r="AH379" i="1"/>
  <c r="AS379" i="1" s="1"/>
  <c r="AH380" i="1"/>
  <c r="AS380" i="1"/>
  <c r="AH381" i="1"/>
  <c r="AS381" i="1"/>
  <c r="AH382" i="1"/>
  <c r="AS382" i="1"/>
  <c r="AH383" i="1"/>
  <c r="AS383" i="1" s="1"/>
  <c r="AH384" i="1"/>
  <c r="AS384" i="1" s="1"/>
  <c r="AH385" i="1"/>
  <c r="AS385" i="1"/>
  <c r="AH386" i="1"/>
  <c r="AS386" i="1" s="1"/>
  <c r="AH387" i="1"/>
  <c r="AS387" i="1" s="1"/>
  <c r="AH388" i="1"/>
  <c r="AS388" i="1" s="1"/>
  <c r="AH389" i="1"/>
  <c r="AS389" i="1"/>
  <c r="AH390" i="1"/>
  <c r="AS390" i="1"/>
  <c r="AH391" i="1"/>
  <c r="AS391" i="1" s="1"/>
  <c r="AH392" i="1"/>
  <c r="AS392" i="1"/>
  <c r="AH393" i="1"/>
  <c r="AS393" i="1"/>
  <c r="AH394" i="1"/>
  <c r="AS394" i="1"/>
  <c r="AH395" i="1"/>
  <c r="AS395" i="1" s="1"/>
  <c r="AH396" i="1"/>
  <c r="AS396" i="1" s="1"/>
  <c r="AH397" i="1"/>
  <c r="AS397" i="1"/>
  <c r="AH398" i="1"/>
  <c r="AS398" i="1" s="1"/>
  <c r="AH399" i="1"/>
  <c r="AS399" i="1" s="1"/>
  <c r="AH400" i="1"/>
  <c r="AS400" i="1" s="1"/>
  <c r="AH401" i="1"/>
  <c r="AS401" i="1"/>
  <c r="AH402" i="1"/>
  <c r="AS402" i="1" s="1"/>
  <c r="AH403" i="1"/>
  <c r="AS403" i="1" s="1"/>
  <c r="AH404" i="1"/>
  <c r="AS404" i="1"/>
  <c r="AH405" i="1"/>
  <c r="AS405" i="1" s="1"/>
  <c r="AH406" i="1"/>
  <c r="AS406" i="1"/>
  <c r="AH407" i="1"/>
  <c r="AS407" i="1" s="1"/>
  <c r="AH408" i="1"/>
  <c r="AS408" i="1" s="1"/>
  <c r="AH409" i="1"/>
  <c r="AS409" i="1"/>
  <c r="AH410" i="1"/>
  <c r="AS410" i="1" s="1"/>
  <c r="AH411" i="1"/>
  <c r="AS411" i="1" s="1"/>
  <c r="AH412" i="1"/>
  <c r="AS412" i="1" s="1"/>
  <c r="AH413" i="1"/>
  <c r="AS413" i="1" s="1"/>
  <c r="AH414" i="1"/>
  <c r="AS414" i="1"/>
  <c r="AH415" i="1"/>
  <c r="AS415" i="1" s="1"/>
  <c r="AH416" i="1"/>
  <c r="AS416" i="1"/>
  <c r="AH417" i="1"/>
  <c r="AS417" i="1"/>
  <c r="AH418" i="1"/>
  <c r="AS418" i="1" s="1"/>
  <c r="AH419" i="1"/>
  <c r="AS419" i="1" s="1"/>
  <c r="AH420" i="1"/>
  <c r="AS420" i="1"/>
  <c r="AH421" i="1"/>
  <c r="AS421" i="1"/>
  <c r="AH422" i="1"/>
  <c r="AS422" i="1" s="1"/>
  <c r="AH423" i="1"/>
  <c r="AS423" i="1"/>
  <c r="AH424" i="1"/>
  <c r="AS424" i="1"/>
  <c r="AH425" i="1"/>
  <c r="AS425" i="1"/>
  <c r="AH426" i="1"/>
  <c r="AS426" i="1" s="1"/>
  <c r="AH427" i="1"/>
  <c r="AS427" i="1" s="1"/>
  <c r="AH428" i="1"/>
  <c r="AS428" i="1"/>
  <c r="AH429" i="1"/>
  <c r="AS429" i="1"/>
  <c r="AH430" i="1"/>
  <c r="AS430" i="1" s="1"/>
  <c r="AH431" i="1"/>
  <c r="AS431" i="1" s="1"/>
  <c r="AH432" i="1"/>
  <c r="AS432" i="1"/>
  <c r="AH433" i="1"/>
  <c r="AS433" i="1"/>
  <c r="AH434" i="1"/>
  <c r="AS434" i="1" s="1"/>
  <c r="AH435" i="1"/>
  <c r="AS435" i="1"/>
  <c r="AH436" i="1"/>
  <c r="AS436" i="1"/>
  <c r="AH437" i="1"/>
  <c r="AS437" i="1"/>
  <c r="AH438" i="1"/>
  <c r="AS438" i="1" s="1"/>
  <c r="AH439" i="1"/>
  <c r="AS439" i="1"/>
  <c r="AH440" i="1"/>
  <c r="AS440" i="1"/>
  <c r="AH441" i="1"/>
  <c r="AS441" i="1"/>
  <c r="AH442" i="1"/>
  <c r="AS442" i="1" s="1"/>
  <c r="AH443" i="1"/>
  <c r="AS443" i="1"/>
  <c r="AH444" i="1"/>
  <c r="AS444" i="1"/>
  <c r="AH445" i="1"/>
  <c r="AS445" i="1"/>
  <c r="AH446" i="1"/>
  <c r="AS446" i="1" s="1"/>
  <c r="AH447" i="1"/>
  <c r="AS447" i="1"/>
  <c r="AH448" i="1"/>
  <c r="AS448" i="1"/>
  <c r="AH449" i="1"/>
  <c r="AS449" i="1"/>
  <c r="AH450" i="1"/>
  <c r="AS450" i="1" s="1"/>
  <c r="AH451" i="1"/>
  <c r="AS451" i="1"/>
  <c r="AH452" i="1"/>
  <c r="AS452" i="1"/>
  <c r="AH453" i="1"/>
  <c r="AS453" i="1"/>
  <c r="AH454" i="1"/>
  <c r="AS454" i="1" s="1"/>
  <c r="AH455" i="1"/>
  <c r="AS455" i="1"/>
  <c r="AH456" i="1"/>
  <c r="AS456" i="1"/>
  <c r="AH457" i="1"/>
  <c r="AS457" i="1"/>
  <c r="AH2" i="1"/>
  <c r="AK2" i="1"/>
  <c r="AL2" i="1"/>
  <c r="AJ3" i="1"/>
  <c r="AI3" i="1"/>
  <c r="BL4" i="1"/>
  <c r="BL3" i="1"/>
  <c r="AT3" i="8"/>
  <c r="AT4" i="8" s="1"/>
  <c r="AG4" i="8"/>
  <c r="AH4" i="8"/>
  <c r="AI4" i="8" s="1"/>
  <c r="AL4" i="8"/>
  <c r="AM4" i="8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S851" i="1" l="1"/>
  <c r="S852" i="1"/>
  <c r="S853" i="1"/>
  <c r="S854" i="1"/>
  <c r="S855" i="1"/>
  <c r="S856" i="1"/>
  <c r="S857" i="1"/>
  <c r="S858" i="1"/>
  <c r="S859" i="1"/>
  <c r="S860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" i="11"/>
  <c r="X4" i="1" a="1"/>
  <c r="X4" i="1" s="1"/>
  <c r="W4" i="1" s="1" a="1"/>
  <c r="W4" i="1" s="1"/>
  <c r="D44" i="11" a="1"/>
  <c r="D44" i="11" s="1"/>
  <c r="C44" i="11" a="1"/>
  <c r="C44" i="11" s="1"/>
  <c r="AE3" i="1"/>
  <c r="AD3" i="1"/>
  <c r="AU2" i="1"/>
  <c r="AT2" i="1"/>
  <c r="AY2" i="1" a="1"/>
  <c r="AY2" i="1" s="1"/>
  <c r="AX2" i="1" a="1"/>
  <c r="AX2" i="1" s="1"/>
  <c r="AW2" i="1" a="1"/>
  <c r="AW2" i="1" s="1"/>
  <c r="AV2" i="1" a="1"/>
  <c r="AV2" i="1" s="1"/>
  <c r="N5" i="1"/>
  <c r="Q5" i="1"/>
  <c r="N6" i="1"/>
  <c r="Q6" i="1"/>
  <c r="N7" i="1"/>
  <c r="Q7" i="1"/>
  <c r="N8" i="1"/>
  <c r="Q8" i="1"/>
  <c r="N9" i="1"/>
  <c r="Q9" i="1"/>
  <c r="N10" i="1"/>
  <c r="Q10" i="1"/>
  <c r="N11" i="1"/>
  <c r="Q11" i="1"/>
  <c r="N12" i="1"/>
  <c r="Q12" i="1"/>
  <c r="N13" i="1"/>
  <c r="Q13" i="1"/>
  <c r="N14" i="1"/>
  <c r="Q14" i="1"/>
  <c r="N15" i="1"/>
  <c r="Q15" i="1"/>
  <c r="N16" i="1"/>
  <c r="Q16" i="1"/>
  <c r="N17" i="1"/>
  <c r="Q17" i="1"/>
  <c r="N18" i="1"/>
  <c r="Q18" i="1"/>
  <c r="N19" i="1"/>
  <c r="Q19" i="1"/>
  <c r="N20" i="1"/>
  <c r="Q20" i="1"/>
  <c r="N21" i="1"/>
  <c r="Q21" i="1"/>
  <c r="N22" i="1"/>
  <c r="Q22" i="1"/>
  <c r="N23" i="1"/>
  <c r="Q23" i="1"/>
  <c r="N24" i="1"/>
  <c r="Q24" i="1"/>
  <c r="N25" i="1"/>
  <c r="Q25" i="1"/>
  <c r="N26" i="1"/>
  <c r="Q26" i="1"/>
  <c r="N27" i="1"/>
  <c r="Q27" i="1"/>
  <c r="N28" i="1"/>
  <c r="Q28" i="1"/>
  <c r="N29" i="1"/>
  <c r="Q29" i="1"/>
  <c r="N30" i="1"/>
  <c r="Q30" i="1"/>
  <c r="N31" i="1"/>
  <c r="Q31" i="1"/>
  <c r="N32" i="1"/>
  <c r="Q32" i="1"/>
  <c r="N33" i="1"/>
  <c r="Q33" i="1"/>
  <c r="N34" i="1"/>
  <c r="Q34" i="1"/>
  <c r="N35" i="1"/>
  <c r="Q35" i="1"/>
  <c r="N36" i="1"/>
  <c r="Q36" i="1"/>
  <c r="N37" i="1"/>
  <c r="Q37" i="1"/>
  <c r="N38" i="1"/>
  <c r="Q38" i="1"/>
  <c r="N39" i="1"/>
  <c r="Q39" i="1"/>
  <c r="N40" i="1"/>
  <c r="Q40" i="1"/>
  <c r="N41" i="1"/>
  <c r="Q41" i="1"/>
  <c r="N42" i="1"/>
  <c r="Q42" i="1"/>
  <c r="N43" i="1"/>
  <c r="Q43" i="1"/>
  <c r="N44" i="1"/>
  <c r="Q44" i="1"/>
  <c r="N45" i="1"/>
  <c r="Q45" i="1"/>
  <c r="N46" i="1"/>
  <c r="Q46" i="1"/>
  <c r="N47" i="1"/>
  <c r="Q47" i="1"/>
  <c r="N48" i="1"/>
  <c r="Q48" i="1"/>
  <c r="N49" i="1"/>
  <c r="Q49" i="1"/>
  <c r="N50" i="1"/>
  <c r="Q50" i="1"/>
  <c r="N51" i="1"/>
  <c r="Q51" i="1"/>
  <c r="N52" i="1"/>
  <c r="Q52" i="1"/>
  <c r="N53" i="1"/>
  <c r="Q53" i="1"/>
  <c r="N54" i="1"/>
  <c r="Q54" i="1"/>
  <c r="N55" i="1"/>
  <c r="Q55" i="1"/>
  <c r="N56" i="1"/>
  <c r="Q56" i="1"/>
  <c r="N57" i="1"/>
  <c r="Q57" i="1"/>
  <c r="N58" i="1"/>
  <c r="Q58" i="1"/>
  <c r="N59" i="1"/>
  <c r="Q59" i="1"/>
  <c r="N60" i="1"/>
  <c r="Q60" i="1"/>
  <c r="N61" i="1"/>
  <c r="Q61" i="1"/>
  <c r="N62" i="1"/>
  <c r="Q62" i="1"/>
  <c r="N63" i="1"/>
  <c r="Q63" i="1"/>
  <c r="N64" i="1"/>
  <c r="Q64" i="1"/>
  <c r="N65" i="1"/>
  <c r="Q65" i="1"/>
  <c r="N66" i="1"/>
  <c r="Q66" i="1"/>
  <c r="N67" i="1"/>
  <c r="Q67" i="1"/>
  <c r="N68" i="1"/>
  <c r="Q68" i="1"/>
  <c r="N69" i="1"/>
  <c r="Q69" i="1"/>
  <c r="N70" i="1"/>
  <c r="Q70" i="1"/>
  <c r="N71" i="1"/>
  <c r="Q71" i="1"/>
  <c r="N72" i="1"/>
  <c r="Q72" i="1"/>
  <c r="N73" i="1"/>
  <c r="Q73" i="1"/>
  <c r="N74" i="1"/>
  <c r="Q74" i="1"/>
  <c r="N75" i="1"/>
  <c r="Q75" i="1"/>
  <c r="N76" i="1"/>
  <c r="Q76" i="1"/>
  <c r="N77" i="1"/>
  <c r="Q77" i="1"/>
  <c r="N78" i="1"/>
  <c r="Q78" i="1"/>
  <c r="N79" i="1"/>
  <c r="Q79" i="1"/>
  <c r="N80" i="1"/>
  <c r="Q80" i="1"/>
  <c r="N81" i="1"/>
  <c r="Q81" i="1"/>
  <c r="N82" i="1"/>
  <c r="Q82" i="1"/>
  <c r="N83" i="1"/>
  <c r="Q83" i="1"/>
  <c r="N84" i="1"/>
  <c r="Q84" i="1"/>
  <c r="N85" i="1"/>
  <c r="Q85" i="1"/>
  <c r="N86" i="1"/>
  <c r="Q86" i="1"/>
  <c r="N87" i="1"/>
  <c r="Q87" i="1"/>
  <c r="N88" i="1"/>
  <c r="Q88" i="1"/>
  <c r="N89" i="1"/>
  <c r="Q89" i="1"/>
  <c r="N90" i="1"/>
  <c r="Q90" i="1"/>
  <c r="N91" i="1"/>
  <c r="Q91" i="1"/>
  <c r="N92" i="1"/>
  <c r="Q92" i="1"/>
  <c r="N93" i="1"/>
  <c r="Q93" i="1"/>
  <c r="N94" i="1"/>
  <c r="Q94" i="1"/>
  <c r="N95" i="1"/>
  <c r="Q95" i="1"/>
  <c r="N96" i="1"/>
  <c r="Q96" i="1"/>
  <c r="N97" i="1"/>
  <c r="Q97" i="1"/>
  <c r="N98" i="1"/>
  <c r="Q98" i="1"/>
  <c r="N99" i="1"/>
  <c r="Q99" i="1"/>
  <c r="N100" i="1"/>
  <c r="Q100" i="1"/>
  <c r="N101" i="1"/>
  <c r="Q101" i="1"/>
  <c r="N102" i="1"/>
  <c r="Q102" i="1"/>
  <c r="N103" i="1"/>
  <c r="Q103" i="1"/>
  <c r="N104" i="1"/>
  <c r="Q104" i="1"/>
  <c r="N105" i="1"/>
  <c r="Q105" i="1"/>
  <c r="N106" i="1"/>
  <c r="Q106" i="1"/>
  <c r="N107" i="1"/>
  <c r="Q107" i="1"/>
  <c r="N108" i="1"/>
  <c r="Q108" i="1"/>
  <c r="N109" i="1"/>
  <c r="Q109" i="1"/>
  <c r="N110" i="1"/>
  <c r="Q110" i="1"/>
  <c r="N111" i="1"/>
  <c r="Q111" i="1"/>
  <c r="N112" i="1"/>
  <c r="Q112" i="1"/>
  <c r="N113" i="1"/>
  <c r="Q113" i="1"/>
  <c r="N114" i="1"/>
  <c r="Q114" i="1"/>
  <c r="N115" i="1"/>
  <c r="Q115" i="1"/>
  <c r="N116" i="1"/>
  <c r="Q116" i="1"/>
  <c r="N117" i="1"/>
  <c r="Q117" i="1"/>
  <c r="N118" i="1"/>
  <c r="Q118" i="1"/>
  <c r="N119" i="1"/>
  <c r="Q119" i="1"/>
  <c r="N120" i="1"/>
  <c r="Q120" i="1"/>
  <c r="N121" i="1"/>
  <c r="Q121" i="1"/>
  <c r="N122" i="1"/>
  <c r="Q122" i="1"/>
  <c r="N123" i="1"/>
  <c r="Q123" i="1"/>
  <c r="N124" i="1"/>
  <c r="Q124" i="1"/>
  <c r="N125" i="1"/>
  <c r="Q125" i="1"/>
  <c r="N126" i="1"/>
  <c r="Q126" i="1"/>
  <c r="N127" i="1"/>
  <c r="Q127" i="1"/>
  <c r="N128" i="1"/>
  <c r="Q128" i="1"/>
  <c r="N129" i="1"/>
  <c r="Q129" i="1"/>
  <c r="N130" i="1"/>
  <c r="Q130" i="1"/>
  <c r="N131" i="1"/>
  <c r="Q131" i="1"/>
  <c r="N132" i="1"/>
  <c r="Q132" i="1"/>
  <c r="N133" i="1"/>
  <c r="Q133" i="1"/>
  <c r="N134" i="1"/>
  <c r="Q134" i="1"/>
  <c r="N135" i="1"/>
  <c r="Q135" i="1"/>
  <c r="N136" i="1"/>
  <c r="Q136" i="1"/>
  <c r="N137" i="1"/>
  <c r="Q137" i="1"/>
  <c r="N138" i="1"/>
  <c r="Q138" i="1"/>
  <c r="N139" i="1"/>
  <c r="Q139" i="1"/>
  <c r="N140" i="1"/>
  <c r="Q140" i="1"/>
  <c r="N141" i="1"/>
  <c r="Q141" i="1"/>
  <c r="N142" i="1"/>
  <c r="Q142" i="1"/>
  <c r="N143" i="1"/>
  <c r="Q143" i="1"/>
  <c r="N144" i="1"/>
  <c r="Q144" i="1"/>
  <c r="N145" i="1"/>
  <c r="Q145" i="1"/>
  <c r="N146" i="1"/>
  <c r="Q146" i="1"/>
  <c r="N147" i="1"/>
  <c r="Q147" i="1"/>
  <c r="N148" i="1"/>
  <c r="Q148" i="1"/>
  <c r="N149" i="1"/>
  <c r="Q149" i="1"/>
  <c r="N150" i="1"/>
  <c r="Q150" i="1"/>
  <c r="N151" i="1"/>
  <c r="Q151" i="1"/>
  <c r="N152" i="1"/>
  <c r="Q152" i="1"/>
  <c r="N153" i="1"/>
  <c r="Q153" i="1"/>
  <c r="N154" i="1"/>
  <c r="Q154" i="1"/>
  <c r="N155" i="1"/>
  <c r="Q155" i="1"/>
  <c r="N156" i="1"/>
  <c r="Q156" i="1"/>
  <c r="N157" i="1"/>
  <c r="Q157" i="1"/>
  <c r="N158" i="1"/>
  <c r="Q158" i="1"/>
  <c r="N159" i="1"/>
  <c r="Q159" i="1"/>
  <c r="N160" i="1"/>
  <c r="Q160" i="1"/>
  <c r="N161" i="1"/>
  <c r="Q161" i="1"/>
  <c r="N162" i="1"/>
  <c r="Q162" i="1"/>
  <c r="N163" i="1"/>
  <c r="Q163" i="1"/>
  <c r="N164" i="1"/>
  <c r="Q164" i="1"/>
  <c r="N165" i="1"/>
  <c r="Q165" i="1"/>
  <c r="N166" i="1"/>
  <c r="Q166" i="1"/>
  <c r="N167" i="1"/>
  <c r="Q167" i="1"/>
  <c r="N168" i="1"/>
  <c r="Q168" i="1"/>
  <c r="N169" i="1"/>
  <c r="Q169" i="1"/>
  <c r="N170" i="1"/>
  <c r="Q170" i="1"/>
  <c r="N171" i="1"/>
  <c r="Q171" i="1"/>
  <c r="N172" i="1"/>
  <c r="Q172" i="1"/>
  <c r="N173" i="1"/>
  <c r="Q173" i="1"/>
  <c r="N174" i="1"/>
  <c r="Q174" i="1"/>
  <c r="N175" i="1"/>
  <c r="Q175" i="1"/>
  <c r="N176" i="1"/>
  <c r="Q176" i="1"/>
  <c r="N177" i="1"/>
  <c r="Q177" i="1"/>
  <c r="N178" i="1"/>
  <c r="Q178" i="1"/>
  <c r="N179" i="1"/>
  <c r="Q179" i="1"/>
  <c r="N180" i="1"/>
  <c r="Q180" i="1"/>
  <c r="N181" i="1"/>
  <c r="Q181" i="1"/>
  <c r="N182" i="1"/>
  <c r="Q182" i="1"/>
  <c r="N183" i="1"/>
  <c r="Q183" i="1"/>
  <c r="N184" i="1"/>
  <c r="Q184" i="1"/>
  <c r="N185" i="1"/>
  <c r="Q185" i="1"/>
  <c r="N186" i="1"/>
  <c r="Q186" i="1"/>
  <c r="N187" i="1"/>
  <c r="Q187" i="1"/>
  <c r="N188" i="1"/>
  <c r="Q188" i="1"/>
  <c r="N189" i="1"/>
  <c r="Q189" i="1"/>
  <c r="N190" i="1"/>
  <c r="Q190" i="1"/>
  <c r="N191" i="1"/>
  <c r="Q191" i="1"/>
  <c r="N192" i="1"/>
  <c r="Q192" i="1"/>
  <c r="N193" i="1"/>
  <c r="Q193" i="1"/>
  <c r="N194" i="1"/>
  <c r="Q194" i="1"/>
  <c r="N195" i="1"/>
  <c r="Q195" i="1"/>
  <c r="N196" i="1"/>
  <c r="Q196" i="1"/>
  <c r="N197" i="1"/>
  <c r="Q197" i="1"/>
  <c r="N198" i="1"/>
  <c r="Q198" i="1"/>
  <c r="N199" i="1"/>
  <c r="Q199" i="1"/>
  <c r="N200" i="1"/>
  <c r="Q200" i="1"/>
  <c r="N201" i="1"/>
  <c r="Q201" i="1"/>
  <c r="N202" i="1"/>
  <c r="Q202" i="1"/>
  <c r="N203" i="1"/>
  <c r="Q203" i="1"/>
  <c r="N204" i="1"/>
  <c r="Q204" i="1"/>
  <c r="N205" i="1"/>
  <c r="Q205" i="1"/>
  <c r="N206" i="1"/>
  <c r="Q206" i="1"/>
  <c r="N207" i="1"/>
  <c r="Q207" i="1"/>
  <c r="N208" i="1"/>
  <c r="Q208" i="1"/>
  <c r="N209" i="1"/>
  <c r="Q209" i="1"/>
  <c r="N210" i="1"/>
  <c r="Q210" i="1"/>
  <c r="N211" i="1"/>
  <c r="Q211" i="1"/>
  <c r="N212" i="1"/>
  <c r="Q212" i="1"/>
  <c r="N213" i="1"/>
  <c r="Q213" i="1"/>
  <c r="N214" i="1"/>
  <c r="Q214" i="1"/>
  <c r="N215" i="1"/>
  <c r="Q215" i="1"/>
  <c r="N216" i="1"/>
  <c r="Q216" i="1"/>
  <c r="N217" i="1"/>
  <c r="Q217" i="1"/>
  <c r="N218" i="1"/>
  <c r="Q218" i="1"/>
  <c r="N219" i="1"/>
  <c r="Q219" i="1"/>
  <c r="N220" i="1"/>
  <c r="Q220" i="1"/>
  <c r="N221" i="1"/>
  <c r="Q221" i="1"/>
  <c r="N222" i="1"/>
  <c r="Q222" i="1"/>
  <c r="N223" i="1"/>
  <c r="Q223" i="1"/>
  <c r="N224" i="1"/>
  <c r="Q224" i="1"/>
  <c r="N225" i="1"/>
  <c r="Q225" i="1"/>
  <c r="N226" i="1"/>
  <c r="Q226" i="1"/>
  <c r="N227" i="1"/>
  <c r="Q227" i="1"/>
  <c r="N228" i="1"/>
  <c r="Q228" i="1"/>
  <c r="N229" i="1"/>
  <c r="Q229" i="1"/>
  <c r="N230" i="1"/>
  <c r="Q230" i="1"/>
  <c r="N231" i="1"/>
  <c r="Q231" i="1"/>
  <c r="N232" i="1"/>
  <c r="Q232" i="1"/>
  <c r="N233" i="1"/>
  <c r="Q233" i="1"/>
  <c r="N234" i="1"/>
  <c r="Q234" i="1"/>
  <c r="N235" i="1"/>
  <c r="Q235" i="1"/>
  <c r="N236" i="1"/>
  <c r="Q236" i="1"/>
  <c r="N237" i="1"/>
  <c r="Q237" i="1"/>
  <c r="N238" i="1"/>
  <c r="Q238" i="1"/>
  <c r="N239" i="1"/>
  <c r="Q239" i="1"/>
  <c r="N240" i="1"/>
  <c r="Q240" i="1"/>
  <c r="N241" i="1"/>
  <c r="Q241" i="1"/>
  <c r="N242" i="1"/>
  <c r="Q242" i="1"/>
  <c r="N243" i="1"/>
  <c r="Q243" i="1"/>
  <c r="N244" i="1"/>
  <c r="Q244" i="1"/>
  <c r="N245" i="1"/>
  <c r="Q245" i="1"/>
  <c r="N246" i="1"/>
  <c r="Q246" i="1"/>
  <c r="N247" i="1"/>
  <c r="Q247" i="1"/>
  <c r="N248" i="1"/>
  <c r="Q248" i="1"/>
  <c r="N249" i="1"/>
  <c r="Q249" i="1"/>
  <c r="N250" i="1"/>
  <c r="Q250" i="1"/>
  <c r="N251" i="1"/>
  <c r="Q251" i="1"/>
  <c r="N252" i="1"/>
  <c r="Q252" i="1"/>
  <c r="N253" i="1"/>
  <c r="Q253" i="1"/>
  <c r="N254" i="1"/>
  <c r="Q254" i="1"/>
  <c r="N255" i="1"/>
  <c r="Q255" i="1"/>
  <c r="N256" i="1"/>
  <c r="Q256" i="1"/>
  <c r="N257" i="1"/>
  <c r="Q257" i="1"/>
  <c r="N258" i="1"/>
  <c r="Q258" i="1"/>
  <c r="N259" i="1"/>
  <c r="Q259" i="1"/>
  <c r="N260" i="1"/>
  <c r="Q260" i="1"/>
  <c r="N261" i="1"/>
  <c r="Q261" i="1"/>
  <c r="N262" i="1"/>
  <c r="Q262" i="1"/>
  <c r="N263" i="1"/>
  <c r="Q263" i="1"/>
  <c r="N264" i="1"/>
  <c r="Q264" i="1"/>
  <c r="N265" i="1"/>
  <c r="Q265" i="1"/>
  <c r="N266" i="1"/>
  <c r="Q266" i="1"/>
  <c r="N267" i="1"/>
  <c r="Q267" i="1"/>
  <c r="N268" i="1"/>
  <c r="Q268" i="1"/>
  <c r="N269" i="1"/>
  <c r="Q269" i="1"/>
  <c r="N270" i="1"/>
  <c r="Q270" i="1"/>
  <c r="N271" i="1"/>
  <c r="Q271" i="1"/>
  <c r="N272" i="1"/>
  <c r="Q272" i="1"/>
  <c r="N273" i="1"/>
  <c r="Q273" i="1"/>
  <c r="N274" i="1"/>
  <c r="Q274" i="1"/>
  <c r="N275" i="1"/>
  <c r="Q275" i="1"/>
  <c r="N276" i="1"/>
  <c r="Q276" i="1"/>
  <c r="N277" i="1"/>
  <c r="Q277" i="1"/>
  <c r="N278" i="1"/>
  <c r="Q278" i="1"/>
  <c r="N279" i="1"/>
  <c r="Q279" i="1"/>
  <c r="N280" i="1"/>
  <c r="Q280" i="1"/>
  <c r="N281" i="1"/>
  <c r="Q281" i="1"/>
  <c r="N282" i="1"/>
  <c r="Q282" i="1"/>
  <c r="N283" i="1"/>
  <c r="Q283" i="1"/>
  <c r="N284" i="1"/>
  <c r="Q284" i="1"/>
  <c r="N285" i="1"/>
  <c r="Q285" i="1"/>
  <c r="N286" i="1"/>
  <c r="Q286" i="1"/>
  <c r="N287" i="1"/>
  <c r="Q287" i="1"/>
  <c r="N288" i="1"/>
  <c r="Q288" i="1"/>
  <c r="N289" i="1"/>
  <c r="Q289" i="1"/>
  <c r="N290" i="1"/>
  <c r="Q290" i="1"/>
  <c r="N291" i="1"/>
  <c r="Q291" i="1"/>
  <c r="N292" i="1"/>
  <c r="Q292" i="1"/>
  <c r="N293" i="1"/>
  <c r="Q293" i="1"/>
  <c r="N294" i="1"/>
  <c r="Q294" i="1"/>
  <c r="N295" i="1"/>
  <c r="Q295" i="1"/>
  <c r="N296" i="1"/>
  <c r="Q296" i="1"/>
  <c r="N297" i="1"/>
  <c r="Q297" i="1"/>
  <c r="N298" i="1"/>
  <c r="Q298" i="1"/>
  <c r="N299" i="1"/>
  <c r="Q299" i="1"/>
  <c r="N300" i="1"/>
  <c r="Q300" i="1"/>
  <c r="N301" i="1"/>
  <c r="Q301" i="1"/>
  <c r="N302" i="1"/>
  <c r="Q302" i="1"/>
  <c r="N303" i="1"/>
  <c r="Q303" i="1"/>
  <c r="N304" i="1"/>
  <c r="Q304" i="1"/>
  <c r="N305" i="1"/>
  <c r="Q305" i="1"/>
  <c r="N306" i="1"/>
  <c r="Q306" i="1"/>
  <c r="N307" i="1"/>
  <c r="Q307" i="1"/>
  <c r="N308" i="1"/>
  <c r="Q308" i="1"/>
  <c r="N309" i="1"/>
  <c r="Q309" i="1"/>
  <c r="N310" i="1"/>
  <c r="Q310" i="1"/>
  <c r="N311" i="1"/>
  <c r="Q311" i="1"/>
  <c r="N312" i="1"/>
  <c r="Q312" i="1"/>
  <c r="N313" i="1"/>
  <c r="Q313" i="1"/>
  <c r="N314" i="1"/>
  <c r="Q314" i="1"/>
  <c r="N315" i="1"/>
  <c r="Q315" i="1"/>
  <c r="N316" i="1"/>
  <c r="Q316" i="1"/>
  <c r="N317" i="1"/>
  <c r="Q317" i="1"/>
  <c r="N318" i="1"/>
  <c r="Q318" i="1"/>
  <c r="N319" i="1"/>
  <c r="Q319" i="1"/>
  <c r="N320" i="1"/>
  <c r="Q320" i="1"/>
  <c r="N321" i="1"/>
  <c r="Q321" i="1"/>
  <c r="N322" i="1"/>
  <c r="Q322" i="1"/>
  <c r="N323" i="1"/>
  <c r="Q323" i="1"/>
  <c r="N324" i="1"/>
  <c r="Q324" i="1"/>
  <c r="N325" i="1"/>
  <c r="Q325" i="1"/>
  <c r="N326" i="1"/>
  <c r="Q326" i="1"/>
  <c r="N327" i="1"/>
  <c r="Q327" i="1"/>
  <c r="N328" i="1"/>
  <c r="Q328" i="1"/>
  <c r="N329" i="1"/>
  <c r="Q329" i="1"/>
  <c r="N330" i="1"/>
  <c r="Q330" i="1"/>
  <c r="N331" i="1"/>
  <c r="Q331" i="1"/>
  <c r="N332" i="1"/>
  <c r="Q332" i="1"/>
  <c r="N333" i="1"/>
  <c r="Q333" i="1"/>
  <c r="N334" i="1"/>
  <c r="Q334" i="1"/>
  <c r="N335" i="1"/>
  <c r="Q335" i="1"/>
  <c r="N336" i="1"/>
  <c r="Q336" i="1"/>
  <c r="N337" i="1"/>
  <c r="Q337" i="1"/>
  <c r="N338" i="1"/>
  <c r="Q338" i="1"/>
  <c r="N339" i="1"/>
  <c r="Q339" i="1"/>
  <c r="N340" i="1"/>
  <c r="Q340" i="1"/>
  <c r="N341" i="1"/>
  <c r="Q341" i="1"/>
  <c r="N342" i="1"/>
  <c r="Q342" i="1"/>
  <c r="N343" i="1"/>
  <c r="Q343" i="1"/>
  <c r="N344" i="1"/>
  <c r="Q344" i="1"/>
  <c r="N345" i="1"/>
  <c r="Q345" i="1"/>
  <c r="N346" i="1"/>
  <c r="Q346" i="1"/>
  <c r="N347" i="1"/>
  <c r="Q347" i="1"/>
  <c r="N348" i="1"/>
  <c r="Q348" i="1"/>
  <c r="N349" i="1"/>
  <c r="Q349" i="1"/>
  <c r="N350" i="1"/>
  <c r="Q350" i="1"/>
  <c r="N351" i="1"/>
  <c r="Q351" i="1"/>
  <c r="N352" i="1"/>
  <c r="Q352" i="1"/>
  <c r="N353" i="1"/>
  <c r="Q353" i="1"/>
  <c r="N354" i="1"/>
  <c r="Q354" i="1"/>
  <c r="N355" i="1"/>
  <c r="Q355" i="1"/>
  <c r="N356" i="1"/>
  <c r="Q356" i="1"/>
  <c r="N357" i="1"/>
  <c r="Q357" i="1"/>
  <c r="N358" i="1"/>
  <c r="Q358" i="1"/>
  <c r="N359" i="1"/>
  <c r="Q359" i="1"/>
  <c r="N360" i="1"/>
  <c r="Q360" i="1"/>
  <c r="N361" i="1"/>
  <c r="Q361" i="1"/>
  <c r="N362" i="1"/>
  <c r="Q362" i="1"/>
  <c r="N363" i="1"/>
  <c r="Q363" i="1"/>
  <c r="N364" i="1"/>
  <c r="Q364" i="1"/>
  <c r="N365" i="1"/>
  <c r="Q365" i="1"/>
  <c r="N366" i="1"/>
  <c r="Q366" i="1"/>
  <c r="N367" i="1"/>
  <c r="Q367" i="1"/>
  <c r="N368" i="1"/>
  <c r="Q368" i="1"/>
  <c r="N369" i="1"/>
  <c r="Q369" i="1"/>
  <c r="N370" i="1"/>
  <c r="Q370" i="1"/>
  <c r="N371" i="1"/>
  <c r="Q371" i="1"/>
  <c r="N372" i="1"/>
  <c r="Q372" i="1"/>
  <c r="N373" i="1"/>
  <c r="Q373" i="1"/>
  <c r="N374" i="1"/>
  <c r="Q374" i="1"/>
  <c r="N375" i="1"/>
  <c r="Q375" i="1"/>
  <c r="N376" i="1"/>
  <c r="Q376" i="1"/>
  <c r="N377" i="1"/>
  <c r="Q377" i="1"/>
  <c r="N378" i="1"/>
  <c r="Q378" i="1"/>
  <c r="N379" i="1"/>
  <c r="Q379" i="1"/>
  <c r="N380" i="1"/>
  <c r="Q380" i="1"/>
  <c r="N381" i="1"/>
  <c r="Q381" i="1"/>
  <c r="N382" i="1"/>
  <c r="Q382" i="1"/>
  <c r="N383" i="1"/>
  <c r="Q383" i="1"/>
  <c r="N384" i="1"/>
  <c r="Q384" i="1"/>
  <c r="N385" i="1"/>
  <c r="Q385" i="1"/>
  <c r="N386" i="1"/>
  <c r="Q386" i="1"/>
  <c r="N387" i="1"/>
  <c r="Q387" i="1"/>
  <c r="N388" i="1"/>
  <c r="Q388" i="1"/>
  <c r="N389" i="1"/>
  <c r="Q389" i="1"/>
  <c r="N390" i="1"/>
  <c r="Q390" i="1"/>
  <c r="N391" i="1"/>
  <c r="Q391" i="1"/>
  <c r="N392" i="1"/>
  <c r="Q392" i="1"/>
  <c r="N393" i="1"/>
  <c r="Q393" i="1"/>
  <c r="N394" i="1"/>
  <c r="Q394" i="1"/>
  <c r="N395" i="1"/>
  <c r="Q395" i="1"/>
  <c r="N396" i="1"/>
  <c r="Q396" i="1"/>
  <c r="N397" i="1"/>
  <c r="Q397" i="1"/>
  <c r="N398" i="1"/>
  <c r="Q398" i="1"/>
  <c r="N399" i="1"/>
  <c r="Q399" i="1"/>
  <c r="N400" i="1"/>
  <c r="Q400" i="1"/>
  <c r="N401" i="1"/>
  <c r="Q401" i="1"/>
  <c r="N402" i="1"/>
  <c r="Q402" i="1"/>
  <c r="N403" i="1"/>
  <c r="Q403" i="1"/>
  <c r="N404" i="1"/>
  <c r="Q404" i="1"/>
  <c r="N405" i="1"/>
  <c r="Q405" i="1"/>
  <c r="N406" i="1"/>
  <c r="Q406" i="1"/>
  <c r="N407" i="1"/>
  <c r="Q407" i="1"/>
  <c r="N408" i="1"/>
  <c r="Q408" i="1"/>
  <c r="N409" i="1"/>
  <c r="Q409" i="1"/>
  <c r="N410" i="1"/>
  <c r="Q410" i="1"/>
  <c r="N411" i="1"/>
  <c r="Q411" i="1"/>
  <c r="N412" i="1"/>
  <c r="Q412" i="1"/>
  <c r="N413" i="1"/>
  <c r="Q413" i="1"/>
  <c r="N414" i="1"/>
  <c r="Q414" i="1"/>
  <c r="N415" i="1"/>
  <c r="Q415" i="1"/>
  <c r="N416" i="1"/>
  <c r="Q416" i="1"/>
  <c r="N417" i="1"/>
  <c r="Q417" i="1"/>
  <c r="N418" i="1"/>
  <c r="Q418" i="1"/>
  <c r="N419" i="1"/>
  <c r="Q419" i="1"/>
  <c r="N420" i="1"/>
  <c r="Q420" i="1"/>
  <c r="N421" i="1"/>
  <c r="Q421" i="1"/>
  <c r="N422" i="1"/>
  <c r="Q422" i="1"/>
  <c r="N423" i="1"/>
  <c r="Q423" i="1"/>
  <c r="N424" i="1"/>
  <c r="Q424" i="1"/>
  <c r="N425" i="1"/>
  <c r="Q425" i="1"/>
  <c r="N426" i="1"/>
  <c r="Q426" i="1"/>
  <c r="N427" i="1"/>
  <c r="Q427" i="1"/>
  <c r="N428" i="1"/>
  <c r="Q428" i="1"/>
  <c r="N429" i="1"/>
  <c r="Q429" i="1"/>
  <c r="N430" i="1"/>
  <c r="Q430" i="1"/>
  <c r="N431" i="1"/>
  <c r="Q431" i="1"/>
  <c r="N432" i="1"/>
  <c r="Q432" i="1"/>
  <c r="N433" i="1"/>
  <c r="Q433" i="1"/>
  <c r="N434" i="1"/>
  <c r="Q434" i="1"/>
  <c r="N435" i="1"/>
  <c r="Q435" i="1"/>
  <c r="N436" i="1"/>
  <c r="Q436" i="1"/>
  <c r="N437" i="1"/>
  <c r="Q437" i="1"/>
  <c r="N438" i="1"/>
  <c r="Q438" i="1"/>
  <c r="N439" i="1"/>
  <c r="Q439" i="1"/>
  <c r="N440" i="1"/>
  <c r="Q440" i="1"/>
  <c r="N441" i="1"/>
  <c r="Q441" i="1"/>
  <c r="N442" i="1"/>
  <c r="Q442" i="1"/>
  <c r="N443" i="1"/>
  <c r="Q443" i="1"/>
  <c r="N444" i="1"/>
  <c r="Q444" i="1"/>
  <c r="N445" i="1"/>
  <c r="Q445" i="1"/>
  <c r="N446" i="1"/>
  <c r="Q446" i="1"/>
  <c r="N447" i="1"/>
  <c r="Q447" i="1"/>
  <c r="N448" i="1"/>
  <c r="Q448" i="1"/>
  <c r="N449" i="1"/>
  <c r="Q449" i="1"/>
  <c r="N450" i="1"/>
  <c r="Q450" i="1"/>
  <c r="N451" i="1"/>
  <c r="Q451" i="1"/>
  <c r="N452" i="1"/>
  <c r="Q452" i="1"/>
  <c r="N453" i="1"/>
  <c r="Q453" i="1"/>
  <c r="N454" i="1"/>
  <c r="Q454" i="1"/>
  <c r="N455" i="1"/>
  <c r="Q455" i="1"/>
  <c r="N456" i="1"/>
  <c r="Q456" i="1"/>
  <c r="N457" i="1"/>
  <c r="Q457" i="1"/>
  <c r="N458" i="1"/>
  <c r="Q458" i="1"/>
  <c r="N459" i="1"/>
  <c r="Q459" i="1"/>
  <c r="N460" i="1"/>
  <c r="Q460" i="1"/>
  <c r="N461" i="1"/>
  <c r="Q461" i="1"/>
  <c r="N462" i="1"/>
  <c r="Q462" i="1"/>
  <c r="N463" i="1"/>
  <c r="Q463" i="1"/>
  <c r="N464" i="1"/>
  <c r="Q464" i="1"/>
  <c r="N465" i="1"/>
  <c r="Q465" i="1"/>
  <c r="N466" i="1"/>
  <c r="Q466" i="1"/>
  <c r="N467" i="1"/>
  <c r="Q467" i="1"/>
  <c r="N468" i="1"/>
  <c r="Q468" i="1"/>
  <c r="N469" i="1"/>
  <c r="Q469" i="1"/>
  <c r="N470" i="1"/>
  <c r="Q470" i="1"/>
  <c r="N471" i="1"/>
  <c r="Q471" i="1"/>
  <c r="N472" i="1"/>
  <c r="Q472" i="1"/>
  <c r="N473" i="1"/>
  <c r="Q473" i="1"/>
  <c r="N474" i="1"/>
  <c r="Q474" i="1"/>
  <c r="N475" i="1"/>
  <c r="Q475" i="1"/>
  <c r="N476" i="1"/>
  <c r="Q476" i="1"/>
  <c r="N477" i="1"/>
  <c r="Q477" i="1"/>
  <c r="N478" i="1"/>
  <c r="Q478" i="1"/>
  <c r="N479" i="1"/>
  <c r="Q479" i="1"/>
  <c r="N480" i="1"/>
  <c r="Q480" i="1"/>
  <c r="N481" i="1"/>
  <c r="Q481" i="1"/>
  <c r="N482" i="1"/>
  <c r="Q482" i="1"/>
  <c r="N483" i="1"/>
  <c r="Q483" i="1"/>
  <c r="N484" i="1"/>
  <c r="Q484" i="1"/>
  <c r="N485" i="1"/>
  <c r="Q485" i="1"/>
  <c r="N486" i="1"/>
  <c r="Q486" i="1"/>
  <c r="N487" i="1"/>
  <c r="Q487" i="1"/>
  <c r="N488" i="1"/>
  <c r="Q488" i="1"/>
  <c r="N489" i="1"/>
  <c r="Q489" i="1"/>
  <c r="N490" i="1"/>
  <c r="Q490" i="1"/>
  <c r="N491" i="1"/>
  <c r="Q491" i="1"/>
  <c r="N492" i="1"/>
  <c r="Q492" i="1"/>
  <c r="N493" i="1"/>
  <c r="Q493" i="1"/>
  <c r="N494" i="1"/>
  <c r="Q494" i="1"/>
  <c r="N495" i="1"/>
  <c r="Q495" i="1"/>
  <c r="N496" i="1"/>
  <c r="Q496" i="1"/>
  <c r="N497" i="1"/>
  <c r="Q497" i="1"/>
  <c r="N498" i="1"/>
  <c r="Q498" i="1"/>
  <c r="N499" i="1"/>
  <c r="Q499" i="1"/>
  <c r="N500" i="1"/>
  <c r="Q500" i="1"/>
  <c r="N501" i="1"/>
  <c r="Q501" i="1"/>
  <c r="N502" i="1"/>
  <c r="Q502" i="1"/>
  <c r="N503" i="1"/>
  <c r="Q503" i="1"/>
  <c r="N504" i="1"/>
  <c r="Q504" i="1"/>
  <c r="N505" i="1"/>
  <c r="Q505" i="1"/>
  <c r="N506" i="1"/>
  <c r="Q506" i="1"/>
  <c r="N507" i="1"/>
  <c r="Q507" i="1"/>
  <c r="N508" i="1"/>
  <c r="Q508" i="1"/>
  <c r="N509" i="1"/>
  <c r="Q509" i="1"/>
  <c r="N510" i="1"/>
  <c r="Q510" i="1"/>
  <c r="N511" i="1"/>
  <c r="Q511" i="1"/>
  <c r="N512" i="1"/>
  <c r="Q512" i="1"/>
  <c r="N513" i="1"/>
  <c r="Q513" i="1"/>
  <c r="N514" i="1"/>
  <c r="Q514" i="1"/>
  <c r="N515" i="1"/>
  <c r="Q515" i="1"/>
  <c r="N516" i="1"/>
  <c r="Q516" i="1"/>
  <c r="N517" i="1"/>
  <c r="Q517" i="1"/>
  <c r="N518" i="1"/>
  <c r="Q518" i="1"/>
  <c r="N519" i="1"/>
  <c r="Q519" i="1"/>
  <c r="N520" i="1"/>
  <c r="Q520" i="1"/>
  <c r="N521" i="1"/>
  <c r="Q521" i="1"/>
  <c r="N522" i="1"/>
  <c r="Q522" i="1"/>
  <c r="N523" i="1"/>
  <c r="Q523" i="1"/>
  <c r="N524" i="1"/>
  <c r="Q524" i="1"/>
  <c r="N525" i="1"/>
  <c r="Q525" i="1"/>
  <c r="N526" i="1"/>
  <c r="Q526" i="1"/>
  <c r="N527" i="1"/>
  <c r="Q527" i="1"/>
  <c r="N528" i="1"/>
  <c r="Q528" i="1"/>
  <c r="N529" i="1"/>
  <c r="Q529" i="1"/>
  <c r="N530" i="1"/>
  <c r="Q530" i="1"/>
  <c r="N531" i="1"/>
  <c r="Q531" i="1"/>
  <c r="N532" i="1"/>
  <c r="Q532" i="1"/>
  <c r="N533" i="1"/>
  <c r="Q533" i="1"/>
  <c r="N534" i="1"/>
  <c r="Q534" i="1"/>
  <c r="N535" i="1"/>
  <c r="Q535" i="1"/>
  <c r="N536" i="1"/>
  <c r="Q536" i="1"/>
  <c r="N537" i="1"/>
  <c r="Q537" i="1"/>
  <c r="N538" i="1"/>
  <c r="Q538" i="1"/>
  <c r="N539" i="1"/>
  <c r="Q539" i="1"/>
  <c r="N540" i="1"/>
  <c r="Q540" i="1"/>
  <c r="N541" i="1"/>
  <c r="Q541" i="1"/>
  <c r="N542" i="1"/>
  <c r="Q542" i="1"/>
  <c r="N543" i="1"/>
  <c r="Q543" i="1"/>
  <c r="N544" i="1"/>
  <c r="Q544" i="1"/>
  <c r="N545" i="1"/>
  <c r="Q545" i="1"/>
  <c r="N546" i="1"/>
  <c r="Q546" i="1"/>
  <c r="N547" i="1"/>
  <c r="Q547" i="1"/>
  <c r="N548" i="1"/>
  <c r="Q548" i="1"/>
  <c r="N549" i="1"/>
  <c r="Q549" i="1"/>
  <c r="N550" i="1"/>
  <c r="Q550" i="1"/>
  <c r="N551" i="1"/>
  <c r="Q551" i="1"/>
  <c r="N552" i="1"/>
  <c r="Q552" i="1"/>
  <c r="N553" i="1"/>
  <c r="Q553" i="1"/>
  <c r="N554" i="1"/>
  <c r="Q554" i="1"/>
  <c r="N555" i="1"/>
  <c r="Q555" i="1"/>
  <c r="N556" i="1"/>
  <c r="Q556" i="1"/>
  <c r="N557" i="1"/>
  <c r="Q557" i="1"/>
  <c r="N558" i="1"/>
  <c r="Q558" i="1"/>
  <c r="N559" i="1"/>
  <c r="Q559" i="1"/>
  <c r="N560" i="1"/>
  <c r="Q560" i="1"/>
  <c r="N561" i="1"/>
  <c r="Q561" i="1"/>
  <c r="N562" i="1"/>
  <c r="Q562" i="1"/>
  <c r="N563" i="1"/>
  <c r="Q563" i="1"/>
  <c r="N564" i="1"/>
  <c r="Q564" i="1"/>
  <c r="N565" i="1"/>
  <c r="Q565" i="1"/>
  <c r="N566" i="1"/>
  <c r="Q566" i="1"/>
  <c r="N567" i="1"/>
  <c r="Q567" i="1"/>
  <c r="N568" i="1"/>
  <c r="Q568" i="1"/>
  <c r="N569" i="1"/>
  <c r="Q569" i="1"/>
  <c r="N570" i="1"/>
  <c r="Q570" i="1"/>
  <c r="N571" i="1"/>
  <c r="Q571" i="1"/>
  <c r="N572" i="1"/>
  <c r="Q572" i="1"/>
  <c r="N573" i="1"/>
  <c r="Q573" i="1"/>
  <c r="N574" i="1"/>
  <c r="Q574" i="1"/>
  <c r="N575" i="1"/>
  <c r="Q575" i="1"/>
  <c r="N576" i="1"/>
  <c r="Q576" i="1"/>
  <c r="N577" i="1"/>
  <c r="Q577" i="1"/>
  <c r="N578" i="1"/>
  <c r="Q578" i="1"/>
  <c r="N579" i="1"/>
  <c r="Q579" i="1"/>
  <c r="N580" i="1"/>
  <c r="Q580" i="1"/>
  <c r="N581" i="1"/>
  <c r="Q581" i="1"/>
  <c r="N582" i="1"/>
  <c r="Q582" i="1"/>
  <c r="N583" i="1"/>
  <c r="Q583" i="1"/>
  <c r="N584" i="1"/>
  <c r="Q584" i="1"/>
  <c r="N585" i="1"/>
  <c r="Q585" i="1"/>
  <c r="N586" i="1"/>
  <c r="Q586" i="1"/>
  <c r="N587" i="1"/>
  <c r="Q587" i="1"/>
  <c r="N588" i="1"/>
  <c r="Q588" i="1"/>
  <c r="N589" i="1"/>
  <c r="Q589" i="1"/>
  <c r="N590" i="1"/>
  <c r="Q590" i="1"/>
  <c r="N591" i="1"/>
  <c r="Q591" i="1"/>
  <c r="N592" i="1"/>
  <c r="Q592" i="1"/>
  <c r="N593" i="1"/>
  <c r="Q593" i="1"/>
  <c r="N594" i="1"/>
  <c r="Q594" i="1"/>
  <c r="N595" i="1"/>
  <c r="Q595" i="1"/>
  <c r="N596" i="1"/>
  <c r="Q596" i="1"/>
  <c r="N597" i="1"/>
  <c r="Q597" i="1"/>
  <c r="N598" i="1"/>
  <c r="Q598" i="1"/>
  <c r="N599" i="1"/>
  <c r="Q599" i="1"/>
  <c r="N600" i="1"/>
  <c r="Q600" i="1"/>
  <c r="N601" i="1"/>
  <c r="Q601" i="1"/>
  <c r="N602" i="1"/>
  <c r="Q602" i="1"/>
  <c r="N603" i="1"/>
  <c r="Q603" i="1"/>
  <c r="N604" i="1"/>
  <c r="Q604" i="1"/>
  <c r="N605" i="1"/>
  <c r="Q605" i="1"/>
  <c r="N606" i="1"/>
  <c r="Q606" i="1"/>
  <c r="N607" i="1"/>
  <c r="Q607" i="1"/>
  <c r="N608" i="1"/>
  <c r="Q608" i="1"/>
  <c r="N609" i="1"/>
  <c r="Q609" i="1"/>
  <c r="N610" i="1"/>
  <c r="Q610" i="1"/>
  <c r="N611" i="1"/>
  <c r="Q611" i="1"/>
  <c r="N612" i="1"/>
  <c r="Q612" i="1"/>
  <c r="N613" i="1"/>
  <c r="Q613" i="1"/>
  <c r="N614" i="1"/>
  <c r="Q614" i="1"/>
  <c r="N615" i="1"/>
  <c r="Q615" i="1"/>
  <c r="N616" i="1"/>
  <c r="Q616" i="1"/>
  <c r="N617" i="1"/>
  <c r="Q617" i="1"/>
  <c r="N618" i="1"/>
  <c r="Q618" i="1"/>
  <c r="N619" i="1"/>
  <c r="Q619" i="1"/>
  <c r="N620" i="1"/>
  <c r="Q620" i="1"/>
  <c r="N621" i="1"/>
  <c r="Q621" i="1"/>
  <c r="N622" i="1"/>
  <c r="Q622" i="1"/>
  <c r="N623" i="1"/>
  <c r="Q623" i="1"/>
  <c r="N624" i="1"/>
  <c r="Q624" i="1"/>
  <c r="N625" i="1"/>
  <c r="Q625" i="1"/>
  <c r="N626" i="1"/>
  <c r="Q626" i="1"/>
  <c r="N627" i="1"/>
  <c r="Q627" i="1"/>
  <c r="N628" i="1"/>
  <c r="Q628" i="1"/>
  <c r="N629" i="1"/>
  <c r="Q629" i="1"/>
  <c r="N630" i="1"/>
  <c r="Q630" i="1"/>
  <c r="N631" i="1"/>
  <c r="Q631" i="1"/>
  <c r="N632" i="1"/>
  <c r="Q632" i="1"/>
  <c r="N633" i="1"/>
  <c r="Q633" i="1"/>
  <c r="N634" i="1"/>
  <c r="Q634" i="1"/>
  <c r="N635" i="1"/>
  <c r="Q635" i="1"/>
  <c r="N636" i="1"/>
  <c r="Q636" i="1"/>
  <c r="N637" i="1"/>
  <c r="Q637" i="1"/>
  <c r="N638" i="1"/>
  <c r="Q638" i="1"/>
  <c r="N639" i="1"/>
  <c r="Q639" i="1"/>
  <c r="N640" i="1"/>
  <c r="Q640" i="1"/>
  <c r="N641" i="1"/>
  <c r="Q641" i="1"/>
  <c r="N642" i="1"/>
  <c r="Q642" i="1"/>
  <c r="N643" i="1"/>
  <c r="Q643" i="1"/>
  <c r="N644" i="1"/>
  <c r="Q644" i="1"/>
  <c r="N645" i="1"/>
  <c r="Q645" i="1"/>
  <c r="N646" i="1"/>
  <c r="Q646" i="1"/>
  <c r="N647" i="1"/>
  <c r="Q647" i="1"/>
  <c r="N648" i="1"/>
  <c r="Q648" i="1"/>
  <c r="N649" i="1"/>
  <c r="Q649" i="1"/>
  <c r="N650" i="1"/>
  <c r="Q650" i="1"/>
  <c r="N651" i="1"/>
  <c r="Q651" i="1"/>
  <c r="N652" i="1"/>
  <c r="Q652" i="1"/>
  <c r="N653" i="1"/>
  <c r="Q653" i="1"/>
  <c r="N654" i="1"/>
  <c r="Q654" i="1"/>
  <c r="N655" i="1"/>
  <c r="Q655" i="1"/>
  <c r="N656" i="1"/>
  <c r="Q656" i="1"/>
  <c r="N657" i="1"/>
  <c r="Q657" i="1"/>
  <c r="N658" i="1"/>
  <c r="Q658" i="1"/>
  <c r="N659" i="1"/>
  <c r="Q659" i="1"/>
  <c r="N660" i="1"/>
  <c r="Q660" i="1"/>
  <c r="N661" i="1"/>
  <c r="Q661" i="1"/>
  <c r="N662" i="1"/>
  <c r="Q662" i="1"/>
  <c r="N663" i="1"/>
  <c r="Q663" i="1"/>
  <c r="N664" i="1"/>
  <c r="Q664" i="1"/>
  <c r="N665" i="1"/>
  <c r="Q665" i="1"/>
  <c r="N666" i="1"/>
  <c r="Q666" i="1"/>
  <c r="N667" i="1"/>
  <c r="Q667" i="1"/>
  <c r="N668" i="1"/>
  <c r="Q668" i="1"/>
  <c r="N669" i="1"/>
  <c r="Q669" i="1"/>
  <c r="N670" i="1"/>
  <c r="Q670" i="1"/>
  <c r="N671" i="1"/>
  <c r="Q671" i="1"/>
  <c r="N672" i="1"/>
  <c r="Q672" i="1"/>
  <c r="N673" i="1"/>
  <c r="Q673" i="1"/>
  <c r="N674" i="1"/>
  <c r="Q674" i="1"/>
  <c r="N675" i="1"/>
  <c r="Q675" i="1"/>
  <c r="N676" i="1"/>
  <c r="Q676" i="1"/>
  <c r="N677" i="1"/>
  <c r="Q677" i="1"/>
  <c r="N678" i="1"/>
  <c r="Q678" i="1"/>
  <c r="N679" i="1"/>
  <c r="Q679" i="1"/>
  <c r="N680" i="1"/>
  <c r="Q680" i="1"/>
  <c r="N681" i="1"/>
  <c r="Q681" i="1"/>
  <c r="N682" i="1"/>
  <c r="Q682" i="1"/>
  <c r="N683" i="1"/>
  <c r="Q683" i="1"/>
  <c r="N684" i="1"/>
  <c r="Q684" i="1"/>
  <c r="N685" i="1"/>
  <c r="Q685" i="1"/>
  <c r="N686" i="1"/>
  <c r="Q686" i="1"/>
  <c r="N687" i="1"/>
  <c r="Q687" i="1"/>
  <c r="N688" i="1"/>
  <c r="Q688" i="1"/>
  <c r="N689" i="1"/>
  <c r="Q689" i="1"/>
  <c r="N690" i="1"/>
  <c r="Q690" i="1"/>
  <c r="N691" i="1"/>
  <c r="Q691" i="1"/>
  <c r="N692" i="1"/>
  <c r="Q692" i="1"/>
  <c r="N693" i="1"/>
  <c r="Q693" i="1"/>
  <c r="N694" i="1"/>
  <c r="Q694" i="1"/>
  <c r="N695" i="1"/>
  <c r="Q695" i="1"/>
  <c r="N696" i="1"/>
  <c r="Q696" i="1"/>
  <c r="N697" i="1"/>
  <c r="Q697" i="1"/>
  <c r="N698" i="1"/>
  <c r="Q698" i="1"/>
  <c r="N699" i="1"/>
  <c r="Q699" i="1"/>
  <c r="N700" i="1"/>
  <c r="Q700" i="1"/>
  <c r="N701" i="1"/>
  <c r="Q701" i="1"/>
  <c r="N702" i="1"/>
  <c r="Q702" i="1"/>
  <c r="N703" i="1"/>
  <c r="Q703" i="1"/>
  <c r="N704" i="1"/>
  <c r="Q704" i="1"/>
  <c r="N705" i="1"/>
  <c r="Q705" i="1"/>
  <c r="N706" i="1"/>
  <c r="Q706" i="1"/>
  <c r="N707" i="1"/>
  <c r="Q707" i="1"/>
  <c r="N708" i="1"/>
  <c r="Q708" i="1"/>
  <c r="N709" i="1"/>
  <c r="Q709" i="1"/>
  <c r="N710" i="1"/>
  <c r="Q710" i="1"/>
  <c r="N711" i="1"/>
  <c r="Q711" i="1"/>
  <c r="N712" i="1"/>
  <c r="Q712" i="1"/>
  <c r="N713" i="1"/>
  <c r="Q713" i="1"/>
  <c r="N714" i="1"/>
  <c r="Q714" i="1"/>
  <c r="N715" i="1"/>
  <c r="Q715" i="1"/>
  <c r="N716" i="1"/>
  <c r="Q716" i="1"/>
  <c r="N717" i="1"/>
  <c r="Q717" i="1"/>
  <c r="N718" i="1"/>
  <c r="Q718" i="1"/>
  <c r="N719" i="1"/>
  <c r="Q719" i="1"/>
  <c r="N720" i="1"/>
  <c r="Q720" i="1"/>
  <c r="N721" i="1"/>
  <c r="Q721" i="1"/>
  <c r="N722" i="1"/>
  <c r="Q722" i="1"/>
  <c r="N723" i="1"/>
  <c r="Q723" i="1"/>
  <c r="N724" i="1"/>
  <c r="Q724" i="1"/>
  <c r="N725" i="1"/>
  <c r="Q725" i="1"/>
  <c r="N726" i="1"/>
  <c r="Q726" i="1"/>
  <c r="N727" i="1"/>
  <c r="Q727" i="1"/>
  <c r="N728" i="1"/>
  <c r="Q728" i="1"/>
  <c r="N729" i="1"/>
  <c r="Q729" i="1"/>
  <c r="N730" i="1"/>
  <c r="Q730" i="1"/>
  <c r="N731" i="1"/>
  <c r="Q731" i="1"/>
  <c r="N732" i="1"/>
  <c r="Q732" i="1"/>
  <c r="N733" i="1"/>
  <c r="Q733" i="1"/>
  <c r="N734" i="1"/>
  <c r="Q734" i="1"/>
  <c r="N735" i="1"/>
  <c r="Q735" i="1"/>
  <c r="N736" i="1"/>
  <c r="Q736" i="1"/>
  <c r="N737" i="1"/>
  <c r="Q737" i="1"/>
  <c r="N738" i="1"/>
  <c r="Q738" i="1"/>
  <c r="N739" i="1"/>
  <c r="Q739" i="1"/>
  <c r="N740" i="1"/>
  <c r="Q740" i="1"/>
  <c r="N741" i="1"/>
  <c r="Q741" i="1"/>
  <c r="N742" i="1"/>
  <c r="Q742" i="1"/>
  <c r="N743" i="1"/>
  <c r="Q743" i="1"/>
  <c r="N744" i="1"/>
  <c r="Q744" i="1"/>
  <c r="N745" i="1"/>
  <c r="Q745" i="1"/>
  <c r="N746" i="1"/>
  <c r="Q746" i="1"/>
  <c r="N747" i="1"/>
  <c r="Q747" i="1"/>
  <c r="N748" i="1"/>
  <c r="Q748" i="1"/>
  <c r="N749" i="1"/>
  <c r="Q749" i="1"/>
  <c r="N750" i="1"/>
  <c r="Q750" i="1"/>
  <c r="N751" i="1"/>
  <c r="Q751" i="1"/>
  <c r="N752" i="1"/>
  <c r="Q752" i="1"/>
  <c r="N753" i="1"/>
  <c r="Q753" i="1"/>
  <c r="N754" i="1"/>
  <c r="Q754" i="1"/>
  <c r="N755" i="1"/>
  <c r="Q755" i="1"/>
  <c r="N756" i="1"/>
  <c r="Q756" i="1"/>
  <c r="N757" i="1"/>
  <c r="Q757" i="1"/>
  <c r="N758" i="1"/>
  <c r="Q758" i="1"/>
  <c r="N759" i="1"/>
  <c r="Q759" i="1"/>
  <c r="N760" i="1"/>
  <c r="Q760" i="1"/>
  <c r="N761" i="1"/>
  <c r="Q761" i="1"/>
  <c r="N762" i="1"/>
  <c r="Q762" i="1"/>
  <c r="N763" i="1"/>
  <c r="Q763" i="1"/>
  <c r="N764" i="1"/>
  <c r="Q764" i="1"/>
  <c r="N765" i="1"/>
  <c r="Q765" i="1"/>
  <c r="N766" i="1"/>
  <c r="Q766" i="1"/>
  <c r="N767" i="1"/>
  <c r="Q767" i="1"/>
  <c r="N768" i="1"/>
  <c r="Q768" i="1"/>
  <c r="N769" i="1"/>
  <c r="Q769" i="1"/>
  <c r="N770" i="1"/>
  <c r="Q770" i="1"/>
  <c r="N771" i="1"/>
  <c r="Q771" i="1"/>
  <c r="N772" i="1"/>
  <c r="Q772" i="1"/>
  <c r="N773" i="1"/>
  <c r="Q773" i="1"/>
  <c r="N774" i="1"/>
  <c r="Q774" i="1"/>
  <c r="N775" i="1"/>
  <c r="Q775" i="1"/>
  <c r="N776" i="1"/>
  <c r="Q776" i="1"/>
  <c r="N777" i="1"/>
  <c r="Q777" i="1"/>
  <c r="N778" i="1"/>
  <c r="Q778" i="1"/>
  <c r="N779" i="1"/>
  <c r="Q779" i="1"/>
  <c r="N780" i="1"/>
  <c r="Q780" i="1"/>
  <c r="N781" i="1"/>
  <c r="Q781" i="1"/>
  <c r="N782" i="1"/>
  <c r="Q782" i="1"/>
  <c r="N783" i="1"/>
  <c r="Q783" i="1"/>
  <c r="N784" i="1"/>
  <c r="Q784" i="1"/>
  <c r="N785" i="1"/>
  <c r="Q785" i="1"/>
  <c r="N786" i="1"/>
  <c r="Q786" i="1"/>
  <c r="N787" i="1"/>
  <c r="Q787" i="1"/>
  <c r="N788" i="1"/>
  <c r="Q788" i="1"/>
  <c r="N789" i="1"/>
  <c r="Q789" i="1"/>
  <c r="N790" i="1"/>
  <c r="Q790" i="1"/>
  <c r="N791" i="1"/>
  <c r="Q791" i="1"/>
  <c r="N792" i="1"/>
  <c r="Q792" i="1"/>
  <c r="N793" i="1"/>
  <c r="Q793" i="1"/>
  <c r="N794" i="1"/>
  <c r="Q794" i="1"/>
  <c r="N795" i="1"/>
  <c r="Q795" i="1"/>
  <c r="N796" i="1"/>
  <c r="Q796" i="1"/>
  <c r="N797" i="1"/>
  <c r="Q797" i="1"/>
  <c r="N798" i="1"/>
  <c r="Q798" i="1"/>
  <c r="N799" i="1"/>
  <c r="Q799" i="1"/>
  <c r="N800" i="1"/>
  <c r="Q800" i="1"/>
  <c r="N801" i="1"/>
  <c r="Q801" i="1"/>
  <c r="N802" i="1"/>
  <c r="Q802" i="1"/>
  <c r="N803" i="1"/>
  <c r="Q803" i="1"/>
  <c r="N804" i="1"/>
  <c r="Q804" i="1"/>
  <c r="N805" i="1"/>
  <c r="Q805" i="1"/>
  <c r="N806" i="1"/>
  <c r="Q806" i="1"/>
  <c r="N807" i="1"/>
  <c r="Q807" i="1"/>
  <c r="N808" i="1"/>
  <c r="Q808" i="1"/>
  <c r="N809" i="1"/>
  <c r="Q809" i="1"/>
  <c r="N810" i="1"/>
  <c r="Q810" i="1"/>
  <c r="N811" i="1"/>
  <c r="Q811" i="1"/>
  <c r="N812" i="1"/>
  <c r="Q812" i="1"/>
  <c r="N813" i="1"/>
  <c r="Q813" i="1"/>
  <c r="N814" i="1"/>
  <c r="Q814" i="1"/>
  <c r="N815" i="1"/>
  <c r="Q815" i="1"/>
  <c r="N816" i="1"/>
  <c r="Q816" i="1"/>
  <c r="N817" i="1"/>
  <c r="Q817" i="1"/>
  <c r="N818" i="1"/>
  <c r="Q818" i="1"/>
  <c r="N819" i="1"/>
  <c r="Q819" i="1"/>
  <c r="N820" i="1"/>
  <c r="Q820" i="1"/>
  <c r="N821" i="1"/>
  <c r="Q821" i="1"/>
  <c r="N822" i="1"/>
  <c r="Q822" i="1"/>
  <c r="N823" i="1"/>
  <c r="Q823" i="1"/>
  <c r="N824" i="1"/>
  <c r="Q824" i="1"/>
  <c r="N825" i="1"/>
  <c r="Q825" i="1"/>
  <c r="N826" i="1"/>
  <c r="Q826" i="1"/>
  <c r="N827" i="1"/>
  <c r="Q827" i="1"/>
  <c r="N828" i="1"/>
  <c r="Q828" i="1"/>
  <c r="N829" i="1"/>
  <c r="Q829" i="1"/>
  <c r="N830" i="1"/>
  <c r="Q830" i="1"/>
  <c r="N831" i="1"/>
  <c r="Q831" i="1"/>
  <c r="N832" i="1"/>
  <c r="Q832" i="1"/>
  <c r="N833" i="1"/>
  <c r="Q833" i="1"/>
  <c r="N834" i="1"/>
  <c r="Q834" i="1"/>
  <c r="N835" i="1"/>
  <c r="Q835" i="1"/>
  <c r="N836" i="1"/>
  <c r="Q836" i="1"/>
  <c r="N837" i="1"/>
  <c r="Q837" i="1"/>
  <c r="N838" i="1"/>
  <c r="Q838" i="1"/>
  <c r="N839" i="1"/>
  <c r="Q839" i="1"/>
  <c r="N840" i="1"/>
  <c r="Q840" i="1"/>
  <c r="N841" i="1"/>
  <c r="Q841" i="1"/>
  <c r="N842" i="1"/>
  <c r="Q842" i="1"/>
  <c r="N843" i="1"/>
  <c r="Q843" i="1"/>
  <c r="N844" i="1"/>
  <c r="Q844" i="1"/>
  <c r="N845" i="1"/>
  <c r="Q845" i="1"/>
  <c r="N846" i="1"/>
  <c r="Q846" i="1"/>
  <c r="N847" i="1"/>
  <c r="Q847" i="1"/>
  <c r="N848" i="1"/>
  <c r="Q848" i="1"/>
  <c r="N849" i="1"/>
  <c r="Q849" i="1"/>
  <c r="N850" i="1"/>
  <c r="Q850" i="1"/>
  <c r="N851" i="1"/>
  <c r="Q851" i="1"/>
  <c r="N852" i="1"/>
  <c r="Q852" i="1"/>
  <c r="N853" i="1"/>
  <c r="Q853" i="1"/>
  <c r="N854" i="1"/>
  <c r="Q854" i="1"/>
  <c r="N855" i="1"/>
  <c r="Q855" i="1"/>
  <c r="N856" i="1"/>
  <c r="Q856" i="1"/>
  <c r="N857" i="1"/>
  <c r="Q857" i="1"/>
  <c r="N858" i="1"/>
  <c r="Q858" i="1"/>
  <c r="N859" i="1"/>
  <c r="Q859" i="1"/>
  <c r="N860" i="1"/>
  <c r="Q860" i="1"/>
  <c r="S3" i="1"/>
  <c r="Q3" i="1"/>
  <c r="Q4" i="1"/>
  <c r="N3" i="1"/>
  <c r="N4" i="1"/>
  <c r="AE2" i="8"/>
  <c r="AE3" i="8" s="1"/>
  <c r="AE4" i="8" s="1"/>
  <c r="AF2" i="8"/>
  <c r="AF3" i="8" s="1"/>
  <c r="AF4" i="8" s="1"/>
  <c r="AD2" i="8"/>
  <c r="AD3" i="8" s="1"/>
  <c r="AD4" i="8" s="1"/>
  <c r="O3" i="8"/>
  <c r="AL3" i="8" s="1"/>
  <c r="V3" i="8"/>
  <c r="X3" i="8"/>
  <c r="Z3" i="8"/>
  <c r="AB3" i="8"/>
  <c r="AH3" i="8"/>
  <c r="AU3" i="8"/>
  <c r="AU4" i="8" s="1"/>
  <c r="BB3" i="1"/>
  <c r="BC3" i="1"/>
  <c r="BA3" i="1"/>
  <c r="AK4" i="1" l="1"/>
  <c r="AL4" i="1"/>
  <c r="W3" i="1" a="1"/>
  <c r="W3" i="1" s="1"/>
  <c r="S4" i="1"/>
  <c r="T3" i="1"/>
  <c r="O4" i="8"/>
  <c r="AM3" i="8"/>
  <c r="V4" i="8"/>
  <c r="AY3" i="11" a="1"/>
  <c r="AY3" i="11" s="1"/>
  <c r="AW3" i="11" a="1"/>
  <c r="AW3" i="11" s="1"/>
  <c r="AX3" i="11" a="1"/>
  <c r="AX3" i="11" s="1"/>
  <c r="AZ3" i="11" a="1"/>
  <c r="AZ3" i="11" s="1"/>
  <c r="BA3" i="11" a="1"/>
  <c r="BA3" i="11" s="1"/>
  <c r="BB3" i="11" a="1"/>
  <c r="BB3" i="11" s="1"/>
  <c r="AN3" i="1" l="1"/>
  <c r="AN4" i="1" s="1"/>
  <c r="AK3" i="1"/>
  <c r="AO3" i="1" s="1"/>
  <c r="AO4" i="1" s="1"/>
  <c r="AV3" i="1" a="1"/>
  <c r="AV3" i="1" s="1"/>
  <c r="U3" i="1"/>
  <c r="AT3" i="1" s="1"/>
  <c r="V3" i="1"/>
  <c r="AU3" i="1" s="1"/>
  <c r="AW3" i="1" a="1"/>
  <c r="AW3" i="1" s="1"/>
  <c r="T4" i="1"/>
  <c r="AW4" i="1" s="1" a="1"/>
  <c r="AW4" i="1" s="1"/>
  <c r="AX3" i="1" a="1"/>
  <c r="AX3" i="1" s="1"/>
  <c r="AY3" i="1" a="1"/>
  <c r="AY3" i="1" s="1"/>
  <c r="AM4" i="1" l="1"/>
  <c r="AQ4" i="1" s="1"/>
  <c r="AR4" i="1"/>
  <c r="AR3" i="1"/>
  <c r="AM3" i="1"/>
  <c r="AL3" i="1"/>
  <c r="AP3" i="1" s="1"/>
  <c r="AP4" i="1" s="1"/>
  <c r="AY4" i="1" a="1"/>
  <c r="AY4" i="1" s="1"/>
  <c r="AX4" i="1" a="1"/>
  <c r="AX4" i="1" s="1"/>
  <c r="AV4" i="1" a="1"/>
  <c r="AV4" i="1" s="1"/>
  <c r="U4" i="1"/>
  <c r="AT4" i="1" s="1"/>
  <c r="V4" i="1"/>
  <c r="AU4" i="1" s="1"/>
  <c r="AQ3" i="1" l="1"/>
  <c r="Y3" i="1" a="1"/>
  <c r="Y3" i="1" s="1"/>
  <c r="AH3" i="1" s="1"/>
  <c r="AG2" i="8" l="1"/>
  <c r="AA4" i="1"/>
  <c r="AB4" i="1"/>
  <c r="AC4" i="1" s="1"/>
  <c r="BQ2" i="4" a="1"/>
  <c r="BQ2" i="4" s="1"/>
  <c r="BE3" i="1"/>
  <c r="AB3" i="1"/>
  <c r="AA3" i="1"/>
  <c r="AZ3" i="1"/>
  <c r="AA2" i="1"/>
  <c r="BG3" i="1"/>
  <c r="BG4" i="1" s="1"/>
  <c r="AB2" i="1"/>
  <c r="AC2" i="1" s="1"/>
  <c r="AI2" i="1" l="1"/>
  <c r="AJ2" i="1"/>
  <c r="AP2" i="1"/>
  <c r="AN2" i="1"/>
  <c r="AO2" i="1"/>
  <c r="I4" i="8"/>
  <c r="AJ4" i="8" s="1"/>
  <c r="P4" i="8"/>
  <c r="AK4" i="8" s="1"/>
  <c r="AS4" i="8" l="1"/>
  <c r="AO4" i="8"/>
  <c r="AN4" i="8"/>
  <c r="AP4" i="8" s="1"/>
  <c r="AX4" i="8" s="1"/>
  <c r="AW4" i="8" s="1"/>
  <c r="AR2" i="1"/>
  <c r="AM2" i="1"/>
  <c r="AQ2" i="1" s="1"/>
  <c r="AR4" i="8" l="1"/>
  <c r="AV4" i="8"/>
  <c r="AY4" i="8" s="1"/>
  <c r="AQ4" i="8"/>
  <c r="AC3" i="1"/>
  <c r="AI4" i="1" l="1"/>
  <c r="AJ4" i="1"/>
  <c r="AF3" i="1"/>
  <c r="AD4" i="1"/>
  <c r="AE4" i="1"/>
  <c r="BT2" i="1"/>
  <c r="BS2" i="1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F4" i="1" l="1"/>
  <c r="BJ4" i="1"/>
  <c r="AK3" i="8"/>
  <c r="AG3" i="8"/>
  <c r="BI4" i="1" l="1"/>
  <c r="BK4" i="1"/>
  <c r="Y4" i="1" a="1"/>
  <c r="Y4" i="1" s="1"/>
  <c r="AH4" i="1" s="1"/>
  <c r="AJ3" i="8"/>
  <c r="AO3" i="8" s="1"/>
  <c r="AV3" i="8" s="1"/>
  <c r="AY3" i="8" s="1"/>
  <c r="AI3" i="8"/>
  <c r="AF2" i="1"/>
  <c r="AG2" i="1"/>
  <c r="Z3" i="1"/>
  <c r="BF3" i="1"/>
  <c r="BF4" i="1" s="1"/>
  <c r="BD2" i="1"/>
  <c r="AS2" i="1" s="1"/>
  <c r="BO2" i="1"/>
  <c r="BP2" i="1" s="1"/>
  <c r="AS4" i="1" l="1"/>
  <c r="BR4" i="1"/>
  <c r="BQ4" i="1" s="1"/>
  <c r="BT4" i="1"/>
  <c r="BS4" i="1" s="1"/>
  <c r="BT3" i="1"/>
  <c r="BS3" i="1" s="1"/>
  <c r="AS3" i="8"/>
  <c r="AN3" i="8"/>
  <c r="AP3" i="8" s="1"/>
  <c r="AX3" i="8" s="1"/>
  <c r="AW3" i="8" s="1"/>
  <c r="AQ3" i="8"/>
  <c r="BR3" i="1"/>
  <c r="BQ3" i="1" s="1"/>
  <c r="Z4" i="1"/>
  <c r="BB2" i="8"/>
  <c r="BD3" i="1"/>
  <c r="BM3" i="1"/>
  <c r="BM4" i="1" l="1"/>
  <c r="BN4" i="1" s="1"/>
  <c r="BO4" i="1" s="1"/>
  <c r="BP4" i="1" s="1"/>
  <c r="BB3" i="8"/>
  <c r="BC3" i="8" s="1"/>
  <c r="AR3" i="8"/>
  <c r="AS3" i="1"/>
  <c r="AK2" i="8"/>
  <c r="AJ2" i="8"/>
  <c r="AM2" i="8"/>
  <c r="AL2" i="8"/>
  <c r="AH2" i="8"/>
  <c r="BI3" i="1"/>
  <c r="AO2" i="8" l="1"/>
  <c r="AV2" i="8" s="1"/>
  <c r="AY2" i="8" s="1"/>
  <c r="AN2" i="8"/>
  <c r="AP2" i="8" s="1"/>
  <c r="AX2" i="8" s="1"/>
  <c r="AW2" i="8" s="1"/>
  <c r="AI2" i="8"/>
  <c r="BC2" i="8" s="1"/>
  <c r="AS2" i="8"/>
  <c r="AQ2" i="8"/>
  <c r="AR2" i="8" l="1"/>
  <c r="BJ3" i="1" l="1"/>
  <c r="BK3" i="1" l="1"/>
  <c r="BH3" i="1" a="1"/>
  <c r="BH3" i="1" s="1"/>
  <c r="BH4" i="1" s="1" a="1"/>
  <c r="BH4" i="1" s="1"/>
  <c r="BN3" i="1"/>
  <c r="BO3" i="1" s="1"/>
  <c r="BP3" i="1" s="1"/>
  <c r="X860" i="1" l="1" a="1"/>
  <c r="X860" i="1" s="1"/>
  <c r="X859" i="1" a="1"/>
  <c r="X859" i="1" s="1"/>
  <c r="X858" i="1" a="1"/>
  <c r="X858" i="1" s="1"/>
  <c r="X857" i="1" a="1"/>
  <c r="X857" i="1" s="1"/>
  <c r="X856" i="1" a="1"/>
  <c r="X856" i="1" s="1"/>
  <c r="X855" i="1" a="1"/>
  <c r="X855" i="1" s="1"/>
  <c r="X854" i="1" a="1"/>
  <c r="X854" i="1" s="1"/>
  <c r="X853" i="1" a="1"/>
  <c r="X853" i="1" s="1"/>
  <c r="X852" i="1" a="1"/>
  <c r="X852" i="1" s="1"/>
  <c r="X851" i="1" a="1"/>
  <c r="X851" i="1" s="1"/>
  <c r="X850" i="1" a="1"/>
  <c r="X850" i="1" s="1"/>
  <c r="X849" i="1" a="1"/>
  <c r="X849" i="1" s="1"/>
  <c r="X848" i="1" a="1"/>
  <c r="X848" i="1" s="1"/>
  <c r="X847" i="1" a="1"/>
  <c r="X847" i="1" s="1"/>
  <c r="X846" i="1" a="1"/>
  <c r="X846" i="1" s="1"/>
  <c r="X845" i="1" a="1"/>
  <c r="X845" i="1" s="1"/>
  <c r="X844" i="1" a="1"/>
  <c r="X844" i="1" s="1"/>
  <c r="X843" i="1" a="1"/>
  <c r="X843" i="1" s="1"/>
  <c r="X842" i="1" a="1"/>
  <c r="X842" i="1" s="1"/>
  <c r="X841" i="1" a="1"/>
  <c r="X841" i="1" s="1"/>
  <c r="X840" i="1" a="1"/>
  <c r="X840" i="1" s="1"/>
  <c r="X839" i="1" a="1"/>
  <c r="X839" i="1" s="1"/>
  <c r="X838" i="1" a="1"/>
  <c r="X838" i="1" s="1"/>
  <c r="X837" i="1" a="1"/>
  <c r="X837" i="1" s="1"/>
  <c r="X836" i="1" a="1"/>
  <c r="X836" i="1" s="1"/>
  <c r="X835" i="1" a="1"/>
  <c r="X835" i="1" s="1"/>
  <c r="X834" i="1" a="1"/>
  <c r="X834" i="1" s="1"/>
  <c r="X833" i="1" a="1"/>
  <c r="X833" i="1" s="1"/>
  <c r="X832" i="1" a="1"/>
  <c r="X832" i="1" s="1"/>
  <c r="X831" i="1" a="1"/>
  <c r="X831" i="1" s="1"/>
  <c r="X830" i="1" a="1"/>
  <c r="X830" i="1" s="1"/>
  <c r="X829" i="1" a="1"/>
  <c r="X829" i="1" s="1"/>
  <c r="X828" i="1" a="1"/>
  <c r="X828" i="1" s="1"/>
  <c r="X827" i="1" a="1"/>
  <c r="X827" i="1" s="1"/>
  <c r="X826" i="1" a="1"/>
  <c r="X826" i="1" s="1"/>
  <c r="X825" i="1" a="1"/>
  <c r="X825" i="1" s="1"/>
  <c r="X824" i="1" a="1"/>
  <c r="X824" i="1" s="1"/>
  <c r="X823" i="1" a="1"/>
  <c r="X823" i="1" s="1"/>
  <c r="X822" i="1" a="1"/>
  <c r="X822" i="1" s="1"/>
  <c r="X821" i="1" a="1"/>
  <c r="X821" i="1" s="1"/>
  <c r="X820" i="1" a="1"/>
  <c r="X820" i="1" s="1"/>
  <c r="X819" i="1" a="1"/>
  <c r="X819" i="1" s="1"/>
  <c r="X818" i="1" a="1"/>
  <c r="X818" i="1" s="1"/>
  <c r="X817" i="1" a="1"/>
  <c r="X817" i="1" s="1"/>
  <c r="X816" i="1" a="1"/>
  <c r="X816" i="1" s="1"/>
  <c r="X815" i="1" a="1"/>
  <c r="X815" i="1" s="1"/>
  <c r="X814" i="1" a="1"/>
  <c r="X814" i="1" s="1"/>
  <c r="X813" i="1" a="1"/>
  <c r="X813" i="1" s="1"/>
  <c r="X812" i="1" a="1"/>
  <c r="X812" i="1" s="1"/>
  <c r="X811" i="1" a="1"/>
  <c r="X811" i="1" s="1"/>
  <c r="X810" i="1" a="1"/>
  <c r="X810" i="1" s="1"/>
  <c r="X809" i="1" a="1"/>
  <c r="X809" i="1" s="1"/>
  <c r="X808" i="1" a="1"/>
  <c r="X808" i="1" s="1"/>
  <c r="X807" i="1" a="1"/>
  <c r="X807" i="1" s="1"/>
  <c r="X806" i="1" a="1"/>
  <c r="X806" i="1" s="1"/>
  <c r="X805" i="1" a="1"/>
  <c r="X805" i="1" s="1"/>
  <c r="X804" i="1" a="1"/>
  <c r="X804" i="1" s="1"/>
  <c r="X803" i="1" a="1"/>
  <c r="X803" i="1" s="1"/>
  <c r="X802" i="1" a="1"/>
  <c r="X802" i="1" s="1"/>
  <c r="X801" i="1" a="1"/>
  <c r="X801" i="1" s="1"/>
  <c r="X800" i="1" a="1"/>
  <c r="X800" i="1" s="1"/>
  <c r="X799" i="1" a="1"/>
  <c r="X799" i="1" s="1"/>
  <c r="X798" i="1" a="1"/>
  <c r="X798" i="1" s="1"/>
  <c r="X797" i="1" a="1"/>
  <c r="X797" i="1" s="1"/>
  <c r="X796" i="1" a="1"/>
  <c r="X796" i="1" s="1"/>
  <c r="X795" i="1" a="1"/>
  <c r="X795" i="1" s="1"/>
  <c r="X794" i="1" a="1"/>
  <c r="X794" i="1" s="1"/>
  <c r="X793" i="1" a="1"/>
  <c r="X793" i="1" s="1"/>
  <c r="X792" i="1" a="1"/>
  <c r="X792" i="1" s="1"/>
  <c r="X791" i="1" a="1"/>
  <c r="X791" i="1" s="1"/>
  <c r="X790" i="1" a="1"/>
  <c r="X790" i="1" s="1"/>
  <c r="X789" i="1" a="1"/>
  <c r="X789" i="1" s="1"/>
  <c r="X788" i="1" a="1"/>
  <c r="X788" i="1" s="1"/>
  <c r="X787" i="1" a="1"/>
  <c r="X787" i="1" s="1"/>
  <c r="X786" i="1" a="1"/>
  <c r="X786" i="1" s="1"/>
  <c r="X785" i="1" a="1"/>
  <c r="X785" i="1" s="1"/>
  <c r="X784" i="1" a="1"/>
  <c r="X784" i="1" s="1"/>
  <c r="X783" i="1" a="1"/>
  <c r="X783" i="1" s="1"/>
  <c r="X782" i="1" a="1"/>
  <c r="X782" i="1" s="1"/>
  <c r="X781" i="1" a="1"/>
  <c r="X781" i="1" s="1"/>
  <c r="X780" i="1" a="1"/>
  <c r="X780" i="1" s="1"/>
  <c r="X779" i="1" a="1"/>
  <c r="X779" i="1" s="1"/>
  <c r="X778" i="1" a="1"/>
  <c r="X778" i="1" s="1"/>
  <c r="X777" i="1" a="1"/>
  <c r="X777" i="1" s="1"/>
  <c r="X776" i="1" a="1"/>
  <c r="X776" i="1" s="1"/>
  <c r="X775" i="1" a="1"/>
  <c r="X775" i="1" s="1"/>
  <c r="X774" i="1" a="1"/>
  <c r="X774" i="1" s="1"/>
  <c r="X773" i="1" a="1"/>
  <c r="X773" i="1" s="1"/>
  <c r="X772" i="1" a="1"/>
  <c r="X772" i="1" s="1"/>
  <c r="X771" i="1" a="1"/>
  <c r="X771" i="1" s="1"/>
  <c r="X770" i="1" a="1"/>
  <c r="X770" i="1" s="1"/>
  <c r="X769" i="1" a="1"/>
  <c r="X769" i="1" s="1"/>
  <c r="X768" i="1" a="1"/>
  <c r="X768" i="1" s="1"/>
  <c r="X767" i="1" a="1"/>
  <c r="X767" i="1" s="1"/>
  <c r="X766" i="1" a="1"/>
  <c r="X766" i="1" s="1"/>
  <c r="X765" i="1" a="1"/>
  <c r="X765" i="1" s="1"/>
  <c r="X764" i="1" a="1"/>
  <c r="X764" i="1" s="1"/>
  <c r="X763" i="1" a="1"/>
  <c r="X763" i="1" s="1"/>
  <c r="X762" i="1" a="1"/>
  <c r="X762" i="1" s="1"/>
  <c r="X761" i="1" a="1"/>
  <c r="X761" i="1" s="1"/>
  <c r="X760" i="1" a="1"/>
  <c r="X760" i="1" s="1"/>
  <c r="X759" i="1" a="1"/>
  <c r="X759" i="1" s="1"/>
  <c r="X758" i="1" a="1"/>
  <c r="X758" i="1" s="1"/>
  <c r="X757" i="1" a="1"/>
  <c r="X757" i="1" s="1"/>
  <c r="X756" i="1" a="1"/>
  <c r="X756" i="1" s="1"/>
  <c r="X755" i="1" a="1"/>
  <c r="X755" i="1" s="1"/>
  <c r="X754" i="1" a="1"/>
  <c r="X754" i="1" s="1"/>
  <c r="X753" i="1" a="1"/>
  <c r="X753" i="1" s="1"/>
  <c r="X752" i="1" a="1"/>
  <c r="X752" i="1" s="1"/>
  <c r="X751" i="1" a="1"/>
  <c r="X751" i="1" s="1"/>
  <c r="X750" i="1" a="1"/>
  <c r="X750" i="1" s="1"/>
  <c r="X749" i="1" a="1"/>
  <c r="X749" i="1" s="1"/>
  <c r="X748" i="1" a="1"/>
  <c r="X748" i="1" s="1"/>
  <c r="X747" i="1" a="1"/>
  <c r="X747" i="1" s="1"/>
  <c r="X746" i="1" a="1"/>
  <c r="X746" i="1" s="1"/>
  <c r="X745" i="1" a="1"/>
  <c r="X745" i="1" s="1"/>
  <c r="X744" i="1" a="1"/>
  <c r="X744" i="1" s="1"/>
  <c r="X743" i="1" a="1"/>
  <c r="X743" i="1" s="1"/>
  <c r="X742" i="1" a="1"/>
  <c r="X742" i="1" s="1"/>
  <c r="X741" i="1" a="1"/>
  <c r="X741" i="1" s="1"/>
  <c r="X740" i="1" a="1"/>
  <c r="X740" i="1" s="1"/>
  <c r="X739" i="1" a="1"/>
  <c r="X739" i="1" s="1"/>
  <c r="X738" i="1" a="1"/>
  <c r="X738" i="1" s="1"/>
  <c r="X737" i="1" a="1"/>
  <c r="X737" i="1" s="1"/>
  <c r="X736" i="1" a="1"/>
  <c r="X736" i="1" s="1"/>
  <c r="X735" i="1" a="1"/>
  <c r="X735" i="1" s="1"/>
  <c r="X734" i="1" a="1"/>
  <c r="X734" i="1" s="1"/>
  <c r="X733" i="1" a="1"/>
  <c r="X733" i="1" s="1"/>
  <c r="X732" i="1" a="1"/>
  <c r="X732" i="1" s="1"/>
  <c r="X731" i="1" a="1"/>
  <c r="X731" i="1" s="1"/>
  <c r="X730" i="1" a="1"/>
  <c r="X730" i="1" s="1"/>
  <c r="X729" i="1" a="1"/>
  <c r="X729" i="1" s="1"/>
  <c r="X728" i="1" a="1"/>
  <c r="X728" i="1" s="1"/>
  <c r="X727" i="1" a="1"/>
  <c r="X727" i="1" s="1"/>
  <c r="X726" i="1" a="1"/>
  <c r="X726" i="1" s="1"/>
  <c r="X725" i="1" a="1"/>
  <c r="X725" i="1" s="1"/>
  <c r="X724" i="1" a="1"/>
  <c r="X724" i="1" s="1"/>
  <c r="X723" i="1" a="1"/>
  <c r="X723" i="1" s="1"/>
  <c r="X722" i="1" a="1"/>
  <c r="X722" i="1" s="1"/>
  <c r="X721" i="1" a="1"/>
  <c r="X721" i="1" s="1"/>
  <c r="X720" i="1" a="1"/>
  <c r="X720" i="1" s="1"/>
  <c r="X719" i="1" a="1"/>
  <c r="X719" i="1" s="1"/>
  <c r="X718" i="1" a="1"/>
  <c r="X718" i="1" s="1"/>
  <c r="X717" i="1" a="1"/>
  <c r="X717" i="1" s="1"/>
  <c r="X716" i="1" a="1"/>
  <c r="X716" i="1" s="1"/>
  <c r="X715" i="1" a="1"/>
  <c r="X715" i="1" s="1"/>
  <c r="X714" i="1" a="1"/>
  <c r="X714" i="1" s="1"/>
  <c r="X713" i="1" a="1"/>
  <c r="X713" i="1" s="1"/>
  <c r="X712" i="1" a="1"/>
  <c r="X712" i="1" s="1"/>
  <c r="X711" i="1" a="1"/>
  <c r="X711" i="1" s="1"/>
  <c r="X710" i="1" a="1"/>
  <c r="X710" i="1" s="1"/>
  <c r="X709" i="1" a="1"/>
  <c r="X709" i="1" s="1"/>
  <c r="X708" i="1" a="1"/>
  <c r="X708" i="1" s="1"/>
  <c r="X707" i="1" a="1"/>
  <c r="X707" i="1" s="1"/>
  <c r="X706" i="1" a="1"/>
  <c r="X706" i="1" s="1"/>
  <c r="X705" i="1" a="1"/>
  <c r="X705" i="1" s="1"/>
  <c r="X704" i="1" a="1"/>
  <c r="X704" i="1" s="1"/>
  <c r="X703" i="1" a="1"/>
  <c r="X703" i="1" s="1"/>
  <c r="X702" i="1" a="1"/>
  <c r="X702" i="1" s="1"/>
  <c r="X701" i="1" a="1"/>
  <c r="X701" i="1" s="1"/>
  <c r="X700" i="1" a="1"/>
  <c r="X700" i="1" s="1"/>
  <c r="X699" i="1" a="1"/>
  <c r="X699" i="1" s="1"/>
  <c r="X698" i="1" a="1"/>
  <c r="X698" i="1" s="1"/>
  <c r="X697" i="1" a="1"/>
  <c r="X697" i="1" s="1"/>
  <c r="X696" i="1" a="1"/>
  <c r="X696" i="1" s="1"/>
  <c r="X695" i="1" a="1"/>
  <c r="X695" i="1" s="1"/>
  <c r="X694" i="1" a="1"/>
  <c r="X694" i="1" s="1"/>
  <c r="X693" i="1" a="1"/>
  <c r="X693" i="1" s="1"/>
  <c r="X692" i="1" a="1"/>
  <c r="X692" i="1" s="1"/>
  <c r="X691" i="1" a="1"/>
  <c r="X691" i="1" s="1"/>
  <c r="X690" i="1" a="1"/>
  <c r="X690" i="1" s="1"/>
  <c r="X689" i="1" a="1"/>
  <c r="X689" i="1" s="1"/>
  <c r="X688" i="1" a="1"/>
  <c r="X688" i="1" s="1"/>
  <c r="X687" i="1" a="1"/>
  <c r="X687" i="1" s="1"/>
  <c r="X686" i="1" a="1"/>
  <c r="X686" i="1" s="1"/>
  <c r="X685" i="1" a="1"/>
  <c r="X685" i="1" s="1"/>
  <c r="X684" i="1" a="1"/>
  <c r="X684" i="1" s="1"/>
  <c r="X683" i="1" a="1"/>
  <c r="X683" i="1" s="1"/>
  <c r="X682" i="1" a="1"/>
  <c r="X682" i="1" s="1"/>
  <c r="X681" i="1" a="1"/>
  <c r="X681" i="1" s="1"/>
  <c r="X680" i="1" a="1"/>
  <c r="X680" i="1" s="1"/>
  <c r="X679" i="1" a="1"/>
  <c r="X679" i="1" s="1"/>
  <c r="X678" i="1" a="1"/>
  <c r="X678" i="1" s="1"/>
  <c r="X677" i="1" a="1"/>
  <c r="X677" i="1" s="1"/>
  <c r="X676" i="1" a="1"/>
  <c r="X676" i="1" s="1"/>
  <c r="X675" i="1" a="1"/>
  <c r="X675" i="1" s="1"/>
  <c r="X674" i="1" a="1"/>
  <c r="X674" i="1" s="1"/>
  <c r="X673" i="1" a="1"/>
  <c r="X673" i="1" s="1"/>
  <c r="X672" i="1" a="1"/>
  <c r="X672" i="1" s="1"/>
  <c r="X671" i="1" a="1"/>
  <c r="X671" i="1" s="1"/>
  <c r="X670" i="1" a="1"/>
  <c r="X670" i="1" s="1"/>
  <c r="X669" i="1" a="1"/>
  <c r="X669" i="1" s="1"/>
  <c r="X668" i="1" a="1"/>
  <c r="X668" i="1" s="1"/>
  <c r="X667" i="1" a="1"/>
  <c r="X667" i="1" s="1"/>
  <c r="X666" i="1" a="1"/>
  <c r="X666" i="1" s="1"/>
  <c r="X665" i="1" a="1"/>
  <c r="X665" i="1" s="1"/>
  <c r="X664" i="1" a="1"/>
  <c r="X664" i="1" s="1"/>
  <c r="X663" i="1" a="1"/>
  <c r="X663" i="1" s="1"/>
  <c r="X662" i="1" a="1"/>
  <c r="X662" i="1" s="1"/>
  <c r="X661" i="1" a="1"/>
  <c r="X661" i="1" s="1"/>
  <c r="X660" i="1" a="1"/>
  <c r="X660" i="1" s="1"/>
  <c r="X659" i="1" a="1"/>
  <c r="X659" i="1" s="1"/>
  <c r="X658" i="1" a="1"/>
  <c r="X658" i="1" s="1"/>
  <c r="X657" i="1" a="1"/>
  <c r="X657" i="1" s="1"/>
  <c r="X656" i="1" a="1"/>
  <c r="X656" i="1" s="1"/>
  <c r="X655" i="1" a="1"/>
  <c r="X655" i="1" s="1"/>
  <c r="X654" i="1" a="1"/>
  <c r="X654" i="1" s="1"/>
  <c r="X653" i="1" a="1"/>
  <c r="X653" i="1" s="1"/>
  <c r="X652" i="1" a="1"/>
  <c r="X652" i="1" s="1"/>
  <c r="X651" i="1" a="1"/>
  <c r="X651" i="1" s="1"/>
  <c r="X650" i="1" a="1"/>
  <c r="X650" i="1" s="1"/>
  <c r="X649" i="1" a="1"/>
  <c r="X649" i="1" s="1"/>
  <c r="X648" i="1" a="1"/>
  <c r="X648" i="1" s="1"/>
  <c r="X647" i="1" a="1"/>
  <c r="X647" i="1" s="1"/>
  <c r="X646" i="1" a="1"/>
  <c r="X646" i="1" s="1"/>
  <c r="X645" i="1" a="1"/>
  <c r="X645" i="1" s="1"/>
  <c r="X644" i="1" a="1"/>
  <c r="X644" i="1" s="1"/>
  <c r="X643" i="1" a="1"/>
  <c r="X643" i="1" s="1"/>
  <c r="X642" i="1" a="1"/>
  <c r="X642" i="1" s="1"/>
  <c r="X641" i="1" a="1"/>
  <c r="X641" i="1" s="1"/>
  <c r="X640" i="1" a="1"/>
  <c r="X640" i="1" s="1"/>
  <c r="X639" i="1" a="1"/>
  <c r="X639" i="1" s="1"/>
  <c r="X638" i="1" a="1"/>
  <c r="X638" i="1" s="1"/>
  <c r="X637" i="1" a="1"/>
  <c r="X637" i="1" s="1"/>
  <c r="X636" i="1" a="1"/>
  <c r="X636" i="1" s="1"/>
  <c r="X635" i="1" a="1"/>
  <c r="X635" i="1" s="1"/>
  <c r="X634" i="1" a="1"/>
  <c r="X634" i="1" s="1"/>
  <c r="X633" i="1" a="1"/>
  <c r="X633" i="1" s="1"/>
  <c r="X632" i="1" a="1"/>
  <c r="X632" i="1" s="1"/>
  <c r="X631" i="1" a="1"/>
  <c r="X631" i="1" s="1"/>
  <c r="X630" i="1" a="1"/>
  <c r="X630" i="1" s="1"/>
  <c r="X629" i="1" a="1"/>
  <c r="X629" i="1" s="1"/>
  <c r="X628" i="1" a="1"/>
  <c r="X628" i="1" s="1"/>
  <c r="X627" i="1" a="1"/>
  <c r="X627" i="1" s="1"/>
  <c r="X626" i="1" a="1"/>
  <c r="X626" i="1" s="1"/>
  <c r="X625" i="1" a="1"/>
  <c r="X625" i="1" s="1"/>
  <c r="X624" i="1" a="1"/>
  <c r="X624" i="1" s="1"/>
  <c r="X623" i="1" a="1"/>
  <c r="X623" i="1" s="1"/>
  <c r="X622" i="1" a="1"/>
  <c r="X622" i="1" s="1"/>
  <c r="X621" i="1" a="1"/>
  <c r="X621" i="1" s="1"/>
  <c r="X620" i="1" a="1"/>
  <c r="X620" i="1" s="1"/>
  <c r="X619" i="1" a="1"/>
  <c r="X619" i="1" s="1"/>
  <c r="X618" i="1" a="1"/>
  <c r="X618" i="1" s="1"/>
  <c r="X617" i="1" a="1"/>
  <c r="X617" i="1" s="1"/>
  <c r="X616" i="1" a="1"/>
  <c r="X616" i="1" s="1"/>
  <c r="X615" i="1" a="1"/>
  <c r="X615" i="1" s="1"/>
  <c r="X614" i="1" a="1"/>
  <c r="X614" i="1" s="1"/>
  <c r="X613" i="1" a="1"/>
  <c r="X613" i="1" s="1"/>
  <c r="X612" i="1" a="1"/>
  <c r="X612" i="1" s="1"/>
  <c r="X611" i="1" a="1"/>
  <c r="X611" i="1" s="1"/>
  <c r="X610" i="1" a="1"/>
  <c r="X610" i="1" s="1"/>
  <c r="X609" i="1" a="1"/>
  <c r="X609" i="1" s="1"/>
  <c r="X608" i="1" a="1"/>
  <c r="X608" i="1" s="1"/>
  <c r="X607" i="1" a="1"/>
  <c r="X607" i="1" s="1"/>
  <c r="X606" i="1" a="1"/>
  <c r="X606" i="1" s="1"/>
  <c r="X605" i="1" a="1"/>
  <c r="X605" i="1" s="1"/>
  <c r="X604" i="1" a="1"/>
  <c r="X604" i="1" s="1"/>
  <c r="X603" i="1" a="1"/>
  <c r="X603" i="1" s="1"/>
  <c r="X602" i="1" a="1"/>
  <c r="X602" i="1" s="1"/>
  <c r="X601" i="1" a="1"/>
  <c r="X601" i="1" s="1"/>
  <c r="X600" i="1" a="1"/>
  <c r="X600" i="1" s="1"/>
  <c r="X599" i="1" a="1"/>
  <c r="X599" i="1" s="1"/>
  <c r="X598" i="1" a="1"/>
  <c r="X598" i="1" s="1"/>
  <c r="X597" i="1" a="1"/>
  <c r="X597" i="1" s="1"/>
  <c r="X596" i="1" a="1"/>
  <c r="X596" i="1" s="1"/>
  <c r="X595" i="1" a="1"/>
  <c r="X595" i="1" s="1"/>
  <c r="X594" i="1" a="1"/>
  <c r="X594" i="1" s="1"/>
  <c r="X593" i="1" a="1"/>
  <c r="X593" i="1" s="1"/>
  <c r="X592" i="1" a="1"/>
  <c r="X592" i="1" s="1"/>
  <c r="X591" i="1" a="1"/>
  <c r="X591" i="1" s="1"/>
  <c r="X590" i="1" a="1"/>
  <c r="X590" i="1" s="1"/>
  <c r="X589" i="1" a="1"/>
  <c r="X589" i="1" s="1"/>
  <c r="X588" i="1" a="1"/>
  <c r="X588" i="1" s="1"/>
  <c r="X587" i="1" a="1"/>
  <c r="X587" i="1" s="1"/>
  <c r="X586" i="1" a="1"/>
  <c r="X586" i="1" s="1"/>
  <c r="X585" i="1" a="1"/>
  <c r="X585" i="1" s="1"/>
  <c r="X584" i="1" a="1"/>
  <c r="X584" i="1" s="1"/>
  <c r="X583" i="1" a="1"/>
  <c r="X583" i="1" s="1"/>
  <c r="X582" i="1" a="1"/>
  <c r="X582" i="1" s="1"/>
  <c r="X581" i="1" a="1"/>
  <c r="X581" i="1" s="1"/>
  <c r="X580" i="1" a="1"/>
  <c r="X580" i="1" s="1"/>
  <c r="X579" i="1" a="1"/>
  <c r="X579" i="1" s="1"/>
  <c r="X578" i="1" a="1"/>
  <c r="X578" i="1" s="1"/>
  <c r="X577" i="1" a="1"/>
  <c r="X577" i="1" s="1"/>
  <c r="X576" i="1" a="1"/>
  <c r="X576" i="1" s="1"/>
  <c r="X575" i="1" a="1"/>
  <c r="X575" i="1" s="1"/>
  <c r="X574" i="1" a="1"/>
  <c r="X574" i="1" s="1"/>
  <c r="X573" i="1" a="1"/>
  <c r="X573" i="1" s="1"/>
  <c r="X572" i="1" a="1"/>
  <c r="X572" i="1" s="1"/>
  <c r="X571" i="1" a="1"/>
  <c r="X571" i="1" s="1"/>
  <c r="X570" i="1" a="1"/>
  <c r="X570" i="1" s="1"/>
  <c r="X569" i="1" a="1"/>
  <c r="X569" i="1" s="1"/>
  <c r="X568" i="1" a="1"/>
  <c r="X568" i="1" s="1"/>
  <c r="X567" i="1" a="1"/>
  <c r="X567" i="1" s="1"/>
  <c r="X566" i="1" a="1"/>
  <c r="X566" i="1" s="1"/>
  <c r="X565" i="1" a="1"/>
  <c r="X565" i="1" s="1"/>
  <c r="X564" i="1" a="1"/>
  <c r="X564" i="1" s="1"/>
  <c r="X563" i="1" a="1"/>
  <c r="X563" i="1" s="1"/>
  <c r="X562" i="1" a="1"/>
  <c r="X562" i="1" s="1"/>
  <c r="X561" i="1" a="1"/>
  <c r="X561" i="1" s="1"/>
  <c r="X560" i="1" a="1"/>
  <c r="X560" i="1" s="1"/>
  <c r="X559" i="1" a="1"/>
  <c r="X559" i="1" s="1"/>
  <c r="X558" i="1" a="1"/>
  <c r="X558" i="1" s="1"/>
  <c r="X557" i="1" a="1"/>
  <c r="X557" i="1" s="1"/>
  <c r="X556" i="1" a="1"/>
  <c r="X556" i="1" s="1"/>
  <c r="X555" i="1" a="1"/>
  <c r="X555" i="1" s="1"/>
  <c r="X554" i="1" a="1"/>
  <c r="X554" i="1" s="1"/>
  <c r="X553" i="1" a="1"/>
  <c r="X553" i="1" s="1"/>
  <c r="X552" i="1" a="1"/>
  <c r="X552" i="1" s="1"/>
  <c r="X551" i="1" a="1"/>
  <c r="X551" i="1" s="1"/>
  <c r="X550" i="1" a="1"/>
  <c r="X550" i="1" s="1"/>
  <c r="X549" i="1" a="1"/>
  <c r="X549" i="1" s="1"/>
  <c r="X548" i="1" a="1"/>
  <c r="X548" i="1" s="1"/>
  <c r="X547" i="1" a="1"/>
  <c r="X547" i="1" s="1"/>
  <c r="X546" i="1" a="1"/>
  <c r="X546" i="1" s="1"/>
  <c r="X545" i="1" a="1"/>
  <c r="X545" i="1" s="1"/>
  <c r="X544" i="1" a="1"/>
  <c r="X544" i="1" s="1"/>
  <c r="X543" i="1" a="1"/>
  <c r="X543" i="1" s="1"/>
  <c r="X542" i="1" a="1"/>
  <c r="X542" i="1" s="1"/>
  <c r="X541" i="1" a="1"/>
  <c r="X541" i="1" s="1"/>
  <c r="X540" i="1" a="1"/>
  <c r="X540" i="1" s="1"/>
  <c r="X539" i="1" a="1"/>
  <c r="X539" i="1" s="1"/>
  <c r="X538" i="1" a="1"/>
  <c r="X538" i="1" s="1"/>
  <c r="X537" i="1" a="1"/>
  <c r="X537" i="1" s="1"/>
  <c r="X536" i="1" a="1"/>
  <c r="X536" i="1" s="1"/>
  <c r="X535" i="1" a="1"/>
  <c r="X535" i="1" s="1"/>
  <c r="X534" i="1" a="1"/>
  <c r="X534" i="1" s="1"/>
  <c r="X533" i="1" a="1"/>
  <c r="X533" i="1" s="1"/>
  <c r="X532" i="1" a="1"/>
  <c r="X532" i="1" s="1"/>
  <c r="X531" i="1" a="1"/>
  <c r="X531" i="1" s="1"/>
  <c r="X530" i="1" a="1"/>
  <c r="X530" i="1" s="1"/>
  <c r="X529" i="1" a="1"/>
  <c r="X529" i="1" s="1"/>
  <c r="X528" i="1" a="1"/>
  <c r="X528" i="1" s="1"/>
  <c r="X527" i="1" a="1"/>
  <c r="X527" i="1" s="1"/>
  <c r="X526" i="1" a="1"/>
  <c r="X526" i="1" s="1"/>
  <c r="X525" i="1" a="1"/>
  <c r="X525" i="1" s="1"/>
  <c r="X524" i="1" a="1"/>
  <c r="X524" i="1" s="1"/>
  <c r="X523" i="1" a="1"/>
  <c r="X523" i="1" s="1"/>
  <c r="X522" i="1" a="1"/>
  <c r="X522" i="1" s="1"/>
  <c r="X521" i="1" a="1"/>
  <c r="X521" i="1" s="1"/>
  <c r="X520" i="1" a="1"/>
  <c r="X520" i="1" s="1"/>
  <c r="X519" i="1" a="1"/>
  <c r="X519" i="1" s="1"/>
  <c r="X518" i="1" a="1"/>
  <c r="X518" i="1" s="1"/>
  <c r="X517" i="1" a="1"/>
  <c r="X517" i="1" s="1"/>
  <c r="X516" i="1" a="1"/>
  <c r="X516" i="1" s="1"/>
  <c r="X515" i="1" a="1"/>
  <c r="X515" i="1" s="1"/>
  <c r="X514" i="1" a="1"/>
  <c r="X514" i="1" s="1"/>
  <c r="X513" i="1" a="1"/>
  <c r="X513" i="1" s="1"/>
  <c r="X512" i="1" a="1"/>
  <c r="X512" i="1" s="1"/>
  <c r="X511" i="1" a="1"/>
  <c r="X511" i="1" s="1"/>
  <c r="X510" i="1" a="1"/>
  <c r="X510" i="1" s="1"/>
  <c r="X509" i="1" a="1"/>
  <c r="X509" i="1" s="1"/>
  <c r="X508" i="1" a="1"/>
  <c r="X508" i="1" s="1"/>
  <c r="X507" i="1" a="1"/>
  <c r="X507" i="1" s="1"/>
  <c r="X506" i="1" a="1"/>
  <c r="X506" i="1" s="1"/>
  <c r="X505" i="1" a="1"/>
  <c r="X505" i="1" s="1"/>
  <c r="X504" i="1" a="1"/>
  <c r="X504" i="1" s="1"/>
  <c r="X503" i="1" a="1"/>
  <c r="X503" i="1" s="1"/>
  <c r="X502" i="1" a="1"/>
  <c r="X502" i="1" s="1"/>
  <c r="X501" i="1" a="1"/>
  <c r="X501" i="1" s="1"/>
  <c r="X500" i="1" a="1"/>
  <c r="X500" i="1" s="1"/>
  <c r="X499" i="1" a="1"/>
  <c r="X499" i="1" s="1"/>
  <c r="X498" i="1" a="1"/>
  <c r="X498" i="1" s="1"/>
  <c r="X497" i="1" a="1"/>
  <c r="X497" i="1" s="1"/>
  <c r="X496" i="1" a="1"/>
  <c r="X496" i="1" s="1"/>
  <c r="X495" i="1" a="1"/>
  <c r="X495" i="1" s="1"/>
  <c r="X494" i="1" a="1"/>
  <c r="X494" i="1" s="1"/>
  <c r="X493" i="1" a="1"/>
  <c r="X493" i="1" s="1"/>
  <c r="X492" i="1" a="1"/>
  <c r="X492" i="1" s="1"/>
  <c r="X491" i="1" a="1"/>
  <c r="X491" i="1" s="1"/>
  <c r="X490" i="1" a="1"/>
  <c r="X490" i="1" s="1"/>
  <c r="X489" i="1" a="1"/>
  <c r="X489" i="1" s="1"/>
  <c r="X488" i="1" a="1"/>
  <c r="X488" i="1" s="1"/>
  <c r="X487" i="1" a="1"/>
  <c r="X487" i="1" s="1"/>
  <c r="X486" i="1" a="1"/>
  <c r="X486" i="1" s="1"/>
  <c r="X485" i="1" a="1"/>
  <c r="X485" i="1" s="1"/>
  <c r="X484" i="1" a="1"/>
  <c r="X484" i="1" s="1"/>
  <c r="X483" i="1" a="1"/>
  <c r="X483" i="1" s="1"/>
  <c r="X482" i="1" a="1"/>
  <c r="X482" i="1" s="1"/>
  <c r="X481" i="1" a="1"/>
  <c r="X481" i="1" s="1"/>
  <c r="X480" i="1" a="1"/>
  <c r="X480" i="1" s="1"/>
  <c r="X479" i="1" a="1"/>
  <c r="X479" i="1" s="1"/>
  <c r="X478" i="1" a="1"/>
  <c r="X478" i="1" s="1"/>
  <c r="X477" i="1" a="1"/>
  <c r="X477" i="1" s="1"/>
  <c r="X476" i="1" a="1"/>
  <c r="X476" i="1" s="1"/>
  <c r="X475" i="1" a="1"/>
  <c r="X475" i="1" s="1"/>
  <c r="X474" i="1" a="1"/>
  <c r="X474" i="1" s="1"/>
  <c r="X473" i="1" a="1"/>
  <c r="X473" i="1" s="1"/>
  <c r="X472" i="1" a="1"/>
  <c r="X472" i="1" s="1"/>
  <c r="X471" i="1" a="1"/>
  <c r="X471" i="1" s="1"/>
  <c r="X470" i="1" a="1"/>
  <c r="X470" i="1" s="1"/>
  <c r="X469" i="1" a="1"/>
  <c r="X469" i="1" s="1"/>
  <c r="X468" i="1" a="1"/>
  <c r="X468" i="1" s="1"/>
  <c r="X467" i="1" a="1"/>
  <c r="X467" i="1" s="1"/>
  <c r="X466" i="1" a="1"/>
  <c r="X466" i="1" s="1"/>
  <c r="X465" i="1" a="1"/>
  <c r="X465" i="1" s="1"/>
  <c r="X464" i="1" a="1"/>
  <c r="X464" i="1" s="1"/>
  <c r="X463" i="1" a="1"/>
  <c r="X463" i="1" s="1"/>
  <c r="X462" i="1" a="1"/>
  <c r="X462" i="1" s="1"/>
  <c r="X461" i="1" a="1"/>
  <c r="X461" i="1" s="1"/>
  <c r="X460" i="1" a="1"/>
  <c r="X460" i="1" s="1"/>
  <c r="X459" i="1" a="1"/>
  <c r="X459" i="1" s="1"/>
  <c r="X458" i="1" a="1"/>
  <c r="X458" i="1" s="1"/>
  <c r="X457" i="1" a="1"/>
  <c r="X457" i="1" s="1"/>
  <c r="X456" i="1" a="1"/>
  <c r="X456" i="1" s="1"/>
  <c r="X455" i="1" a="1"/>
  <c r="X455" i="1" s="1"/>
  <c r="X454" i="1" a="1"/>
  <c r="X454" i="1" s="1"/>
  <c r="X453" i="1" a="1"/>
  <c r="X453" i="1" s="1"/>
  <c r="X452" i="1" a="1"/>
  <c r="X452" i="1" s="1"/>
  <c r="X451" i="1" a="1"/>
  <c r="X451" i="1" s="1"/>
  <c r="X450" i="1" a="1"/>
  <c r="X450" i="1" s="1"/>
  <c r="X449" i="1" a="1"/>
  <c r="X449" i="1" s="1"/>
  <c r="X448" i="1" a="1"/>
  <c r="X448" i="1" s="1"/>
  <c r="X447" i="1" a="1"/>
  <c r="X447" i="1" s="1"/>
  <c r="X446" i="1" a="1"/>
  <c r="X446" i="1" s="1"/>
  <c r="X445" i="1" a="1"/>
  <c r="X445" i="1" s="1"/>
  <c r="X444" i="1" a="1"/>
  <c r="X444" i="1" s="1"/>
  <c r="X443" i="1" a="1"/>
  <c r="X443" i="1" s="1"/>
  <c r="X442" i="1" a="1"/>
  <c r="X442" i="1" s="1"/>
  <c r="X441" i="1" a="1"/>
  <c r="X441" i="1" s="1"/>
  <c r="X440" i="1" a="1"/>
  <c r="X440" i="1" s="1"/>
  <c r="X439" i="1" a="1"/>
  <c r="X439" i="1" s="1"/>
  <c r="X438" i="1" a="1"/>
  <c r="X438" i="1" s="1"/>
  <c r="X437" i="1" a="1"/>
  <c r="X437" i="1" s="1"/>
  <c r="X436" i="1" a="1"/>
  <c r="X436" i="1" s="1"/>
  <c r="X435" i="1" a="1"/>
  <c r="X435" i="1" s="1"/>
  <c r="X434" i="1" a="1"/>
  <c r="X434" i="1" s="1"/>
  <c r="X433" i="1" a="1"/>
  <c r="X433" i="1" s="1"/>
  <c r="X432" i="1" a="1"/>
  <c r="X432" i="1" s="1"/>
  <c r="X431" i="1" a="1"/>
  <c r="X431" i="1" s="1"/>
  <c r="X430" i="1" a="1"/>
  <c r="X430" i="1" s="1"/>
  <c r="X429" i="1" a="1"/>
  <c r="X429" i="1" s="1"/>
  <c r="X428" i="1" a="1"/>
  <c r="X428" i="1" s="1"/>
  <c r="X427" i="1" a="1"/>
  <c r="X427" i="1" s="1"/>
  <c r="X426" i="1" a="1"/>
  <c r="X426" i="1" s="1"/>
  <c r="X425" i="1" a="1"/>
  <c r="X425" i="1" s="1"/>
  <c r="X424" i="1" a="1"/>
  <c r="X424" i="1" s="1"/>
  <c r="X423" i="1" a="1"/>
  <c r="X423" i="1" s="1"/>
  <c r="X422" i="1" a="1"/>
  <c r="X422" i="1" s="1"/>
  <c r="X421" i="1" a="1"/>
  <c r="X421" i="1" s="1"/>
  <c r="X420" i="1" a="1"/>
  <c r="X420" i="1" s="1"/>
  <c r="X419" i="1" a="1"/>
  <c r="X419" i="1" s="1"/>
  <c r="X418" i="1" a="1"/>
  <c r="X418" i="1" s="1"/>
  <c r="X417" i="1" a="1"/>
  <c r="X417" i="1" s="1"/>
  <c r="X416" i="1" a="1"/>
  <c r="X416" i="1" s="1"/>
  <c r="X415" i="1" a="1"/>
  <c r="X415" i="1" s="1"/>
  <c r="X414" i="1" a="1"/>
  <c r="X414" i="1" s="1"/>
  <c r="X413" i="1" a="1"/>
  <c r="X413" i="1" s="1"/>
  <c r="X412" i="1" a="1"/>
  <c r="X412" i="1" s="1"/>
  <c r="X411" i="1" a="1"/>
  <c r="X411" i="1" s="1"/>
  <c r="X410" i="1" a="1"/>
  <c r="X410" i="1" s="1"/>
  <c r="X409" i="1" a="1"/>
  <c r="X409" i="1" s="1"/>
  <c r="X408" i="1" a="1"/>
  <c r="X408" i="1" s="1"/>
  <c r="X407" i="1" a="1"/>
  <c r="X407" i="1" s="1"/>
  <c r="X406" i="1" a="1"/>
  <c r="X406" i="1" s="1"/>
  <c r="X405" i="1" a="1"/>
  <c r="X405" i="1" s="1"/>
  <c r="X404" i="1" a="1"/>
  <c r="X404" i="1" s="1"/>
  <c r="X403" i="1" a="1"/>
  <c r="X403" i="1" s="1"/>
  <c r="X402" i="1" a="1"/>
  <c r="X402" i="1" s="1"/>
  <c r="X401" i="1" a="1"/>
  <c r="X401" i="1" s="1"/>
  <c r="X400" i="1" a="1"/>
  <c r="X400" i="1" s="1"/>
  <c r="X399" i="1" a="1"/>
  <c r="X399" i="1" s="1"/>
  <c r="X398" i="1" a="1"/>
  <c r="X398" i="1" s="1"/>
  <c r="X397" i="1" a="1"/>
  <c r="X397" i="1" s="1"/>
  <c r="X396" i="1" a="1"/>
  <c r="X396" i="1" s="1"/>
  <c r="X395" i="1" a="1"/>
  <c r="X395" i="1" s="1"/>
  <c r="X394" i="1" a="1"/>
  <c r="X394" i="1" s="1"/>
  <c r="X393" i="1" a="1"/>
  <c r="X393" i="1" s="1"/>
  <c r="X392" i="1" a="1"/>
  <c r="X392" i="1" s="1"/>
  <c r="X391" i="1" a="1"/>
  <c r="X391" i="1" s="1"/>
  <c r="X390" i="1" a="1"/>
  <c r="X390" i="1" s="1"/>
  <c r="X389" i="1" a="1"/>
  <c r="X389" i="1" s="1"/>
  <c r="X388" i="1" a="1"/>
  <c r="X388" i="1" s="1"/>
  <c r="X387" i="1" a="1"/>
  <c r="X387" i="1" s="1"/>
  <c r="X386" i="1" a="1"/>
  <c r="X386" i="1" s="1"/>
  <c r="X385" i="1" a="1"/>
  <c r="X385" i="1" s="1"/>
  <c r="X384" i="1" a="1"/>
  <c r="X384" i="1" s="1"/>
  <c r="X383" i="1" a="1"/>
  <c r="X383" i="1" s="1"/>
  <c r="X382" i="1" a="1"/>
  <c r="X382" i="1" s="1"/>
  <c r="X381" i="1" a="1"/>
  <c r="X381" i="1" s="1"/>
  <c r="X380" i="1" a="1"/>
  <c r="X380" i="1" s="1"/>
  <c r="X379" i="1" a="1"/>
  <c r="X379" i="1" s="1"/>
  <c r="X378" i="1" a="1"/>
  <c r="X378" i="1" s="1"/>
  <c r="X377" i="1" a="1"/>
  <c r="X377" i="1" s="1"/>
  <c r="X376" i="1" a="1"/>
  <c r="X376" i="1" s="1"/>
  <c r="X375" i="1" a="1"/>
  <c r="X375" i="1" s="1"/>
  <c r="X374" i="1" a="1"/>
  <c r="X374" i="1" s="1"/>
  <c r="X373" i="1" a="1"/>
  <c r="X373" i="1" s="1"/>
  <c r="X372" i="1" a="1"/>
  <c r="X372" i="1" s="1"/>
  <c r="X371" i="1" a="1"/>
  <c r="X371" i="1" s="1"/>
  <c r="X370" i="1" a="1"/>
  <c r="X370" i="1" s="1"/>
  <c r="X369" i="1" a="1"/>
  <c r="X369" i="1" s="1"/>
  <c r="X368" i="1" a="1"/>
  <c r="X368" i="1" s="1"/>
  <c r="X367" i="1" a="1"/>
  <c r="X367" i="1" s="1"/>
  <c r="X366" i="1" a="1"/>
  <c r="X366" i="1" s="1"/>
  <c r="X365" i="1" a="1"/>
  <c r="X365" i="1" s="1"/>
  <c r="X364" i="1" a="1"/>
  <c r="X364" i="1" s="1"/>
  <c r="X363" i="1" a="1"/>
  <c r="X363" i="1" s="1"/>
  <c r="X362" i="1" a="1"/>
  <c r="X362" i="1" s="1"/>
  <c r="X361" i="1" a="1"/>
  <c r="X361" i="1" s="1"/>
  <c r="X360" i="1" a="1"/>
  <c r="X360" i="1" s="1"/>
  <c r="X359" i="1" a="1"/>
  <c r="X359" i="1" s="1"/>
  <c r="X358" i="1" a="1"/>
  <c r="X358" i="1" s="1"/>
  <c r="X357" i="1" a="1"/>
  <c r="X357" i="1" s="1"/>
  <c r="X356" i="1" a="1"/>
  <c r="X356" i="1" s="1"/>
  <c r="X355" i="1" a="1"/>
  <c r="X355" i="1" s="1"/>
  <c r="X354" i="1" a="1"/>
  <c r="X354" i="1" s="1"/>
  <c r="X353" i="1" a="1"/>
  <c r="X353" i="1" s="1"/>
  <c r="X352" i="1" a="1"/>
  <c r="X352" i="1" s="1"/>
  <c r="X351" i="1" a="1"/>
  <c r="X351" i="1" s="1"/>
  <c r="X350" i="1" a="1"/>
  <c r="X350" i="1" s="1"/>
  <c r="X349" i="1" a="1"/>
  <c r="X349" i="1" s="1"/>
  <c r="X348" i="1" a="1"/>
  <c r="X348" i="1" s="1"/>
  <c r="X347" i="1" a="1"/>
  <c r="X347" i="1" s="1"/>
  <c r="X346" i="1" a="1"/>
  <c r="X346" i="1" s="1"/>
  <c r="X345" i="1" a="1"/>
  <c r="X345" i="1" s="1"/>
  <c r="X344" i="1" a="1"/>
  <c r="X344" i="1" s="1"/>
  <c r="X343" i="1" a="1"/>
  <c r="X343" i="1" s="1"/>
  <c r="X342" i="1" a="1"/>
  <c r="X342" i="1" s="1"/>
  <c r="X341" i="1" a="1"/>
  <c r="X341" i="1" s="1"/>
  <c r="X340" i="1" a="1"/>
  <c r="X340" i="1" s="1"/>
  <c r="X339" i="1" a="1"/>
  <c r="X339" i="1" s="1"/>
  <c r="X338" i="1" a="1"/>
  <c r="X338" i="1" s="1"/>
  <c r="X337" i="1" a="1"/>
  <c r="X337" i="1" s="1"/>
  <c r="X336" i="1" a="1"/>
  <c r="X336" i="1" s="1"/>
  <c r="X335" i="1" a="1"/>
  <c r="X335" i="1" s="1"/>
  <c r="X334" i="1" a="1"/>
  <c r="X334" i="1" s="1"/>
  <c r="X333" i="1" a="1"/>
  <c r="X333" i="1" s="1"/>
  <c r="X332" i="1" a="1"/>
  <c r="X332" i="1" s="1"/>
  <c r="X331" i="1" a="1"/>
  <c r="X331" i="1" s="1"/>
  <c r="X330" i="1" a="1"/>
  <c r="X330" i="1" s="1"/>
  <c r="X329" i="1" a="1"/>
  <c r="X329" i="1" s="1"/>
  <c r="X328" i="1" a="1"/>
  <c r="X328" i="1" s="1"/>
  <c r="X327" i="1" a="1"/>
  <c r="X327" i="1" s="1"/>
  <c r="X326" i="1" a="1"/>
  <c r="X326" i="1" s="1"/>
  <c r="X325" i="1" a="1"/>
  <c r="X325" i="1" s="1"/>
  <c r="X324" i="1" a="1"/>
  <c r="X324" i="1" s="1"/>
  <c r="X323" i="1" a="1"/>
  <c r="X323" i="1" s="1"/>
  <c r="X322" i="1" a="1"/>
  <c r="X322" i="1" s="1"/>
  <c r="X321" i="1" a="1"/>
  <c r="X321" i="1" s="1"/>
  <c r="X320" i="1" a="1"/>
  <c r="X320" i="1" s="1"/>
  <c r="X319" i="1" a="1"/>
  <c r="X319" i="1" s="1"/>
  <c r="X318" i="1" a="1"/>
  <c r="X318" i="1" s="1"/>
  <c r="X317" i="1" a="1"/>
  <c r="X317" i="1" s="1"/>
  <c r="X316" i="1" a="1"/>
  <c r="X316" i="1" s="1"/>
  <c r="X315" i="1" a="1"/>
  <c r="X315" i="1" s="1"/>
  <c r="X314" i="1" a="1"/>
  <c r="X314" i="1" s="1"/>
  <c r="X313" i="1" a="1"/>
  <c r="X313" i="1" s="1"/>
  <c r="X312" i="1" a="1"/>
  <c r="X312" i="1" s="1"/>
  <c r="X311" i="1" a="1"/>
  <c r="X311" i="1" s="1"/>
  <c r="X310" i="1" a="1"/>
  <c r="X310" i="1" s="1"/>
  <c r="X309" i="1" a="1"/>
  <c r="X309" i="1" s="1"/>
  <c r="X308" i="1" a="1"/>
  <c r="X308" i="1" s="1"/>
  <c r="X307" i="1" a="1"/>
  <c r="X307" i="1" s="1"/>
  <c r="X306" i="1" a="1"/>
  <c r="X306" i="1" s="1"/>
  <c r="X305" i="1" a="1"/>
  <c r="X305" i="1" s="1"/>
  <c r="X304" i="1" a="1"/>
  <c r="X304" i="1" s="1"/>
  <c r="X303" i="1" a="1"/>
  <c r="X303" i="1" s="1"/>
  <c r="X302" i="1" a="1"/>
  <c r="X302" i="1" s="1"/>
  <c r="X301" i="1" a="1"/>
  <c r="X301" i="1" s="1"/>
  <c r="X300" i="1" a="1"/>
  <c r="X300" i="1" s="1"/>
  <c r="X299" i="1" a="1"/>
  <c r="X299" i="1" s="1"/>
  <c r="X298" i="1" a="1"/>
  <c r="X298" i="1" s="1"/>
  <c r="X297" i="1" a="1"/>
  <c r="X297" i="1" s="1"/>
  <c r="X296" i="1" a="1"/>
  <c r="X296" i="1" s="1"/>
  <c r="X295" i="1" a="1"/>
  <c r="X295" i="1" s="1"/>
  <c r="X294" i="1" a="1"/>
  <c r="X294" i="1" s="1"/>
  <c r="X293" i="1" a="1"/>
  <c r="X293" i="1" s="1"/>
  <c r="X292" i="1" a="1"/>
  <c r="X292" i="1" s="1"/>
  <c r="X291" i="1" a="1"/>
  <c r="X291" i="1" s="1"/>
  <c r="X290" i="1" a="1"/>
  <c r="X290" i="1" s="1"/>
  <c r="X289" i="1" a="1"/>
  <c r="X289" i="1" s="1"/>
  <c r="X288" i="1" a="1"/>
  <c r="X288" i="1" s="1"/>
  <c r="X287" i="1" a="1"/>
  <c r="X287" i="1" s="1"/>
  <c r="X286" i="1" a="1"/>
  <c r="X286" i="1" s="1"/>
  <c r="X285" i="1" a="1"/>
  <c r="X285" i="1" s="1"/>
  <c r="X284" i="1" a="1"/>
  <c r="X284" i="1" s="1"/>
  <c r="X283" i="1" a="1"/>
  <c r="X283" i="1" s="1"/>
  <c r="X282" i="1" a="1"/>
  <c r="X282" i="1" s="1"/>
  <c r="X281" i="1" a="1"/>
  <c r="X281" i="1" s="1"/>
  <c r="X280" i="1" a="1"/>
  <c r="X280" i="1" s="1"/>
  <c r="X279" i="1" a="1"/>
  <c r="X279" i="1" s="1"/>
  <c r="X278" i="1" a="1"/>
  <c r="X278" i="1" s="1"/>
  <c r="X277" i="1" a="1"/>
  <c r="X277" i="1" s="1"/>
  <c r="X276" i="1" a="1"/>
  <c r="X276" i="1" s="1"/>
  <c r="X275" i="1" a="1"/>
  <c r="X275" i="1" s="1"/>
  <c r="X274" i="1" a="1"/>
  <c r="X274" i="1" s="1"/>
  <c r="X273" i="1" a="1"/>
  <c r="X273" i="1" s="1"/>
  <c r="X272" i="1" a="1"/>
  <c r="X272" i="1" s="1"/>
  <c r="X271" i="1" a="1"/>
  <c r="X271" i="1" s="1"/>
  <c r="X270" i="1" a="1"/>
  <c r="X270" i="1" s="1"/>
  <c r="X269" i="1" a="1"/>
  <c r="X269" i="1" s="1"/>
  <c r="X268" i="1" a="1"/>
  <c r="X268" i="1" s="1"/>
  <c r="X267" i="1" a="1"/>
  <c r="X267" i="1" s="1"/>
  <c r="X266" i="1" a="1"/>
  <c r="X266" i="1" s="1"/>
  <c r="X265" i="1" a="1"/>
  <c r="X265" i="1" s="1"/>
  <c r="X264" i="1" a="1"/>
  <c r="X264" i="1" s="1"/>
  <c r="X263" i="1" a="1"/>
  <c r="X263" i="1" s="1"/>
  <c r="X262" i="1" a="1"/>
  <c r="X262" i="1" s="1"/>
  <c r="X261" i="1" a="1"/>
  <c r="X261" i="1" s="1"/>
  <c r="X260" i="1" a="1"/>
  <c r="X260" i="1" s="1"/>
  <c r="X259" i="1" a="1"/>
  <c r="X259" i="1" s="1"/>
  <c r="X258" i="1" a="1"/>
  <c r="X258" i="1" s="1"/>
  <c r="X257" i="1" a="1"/>
  <c r="X257" i="1" s="1"/>
  <c r="X256" i="1" a="1"/>
  <c r="X256" i="1" s="1"/>
  <c r="X255" i="1" a="1"/>
  <c r="X255" i="1" s="1"/>
  <c r="X254" i="1" a="1"/>
  <c r="X254" i="1" s="1"/>
  <c r="X253" i="1" a="1"/>
  <c r="X253" i="1" s="1"/>
  <c r="X252" i="1" a="1"/>
  <c r="X252" i="1" s="1"/>
  <c r="X251" i="1" a="1"/>
  <c r="X251" i="1" s="1"/>
  <c r="X250" i="1" a="1"/>
  <c r="X250" i="1" s="1"/>
  <c r="X249" i="1" a="1"/>
  <c r="X249" i="1" s="1"/>
  <c r="X248" i="1" a="1"/>
  <c r="X248" i="1" s="1"/>
  <c r="X247" i="1" a="1"/>
  <c r="X247" i="1" s="1"/>
  <c r="X246" i="1" a="1"/>
  <c r="X246" i="1" s="1"/>
  <c r="X245" i="1" a="1"/>
  <c r="X245" i="1" s="1"/>
  <c r="X244" i="1" a="1"/>
  <c r="X244" i="1" s="1"/>
  <c r="X243" i="1" a="1"/>
  <c r="X243" i="1" s="1"/>
  <c r="X242" i="1" a="1"/>
  <c r="X242" i="1" s="1"/>
  <c r="X241" i="1" a="1"/>
  <c r="X241" i="1" s="1"/>
  <c r="X240" i="1" a="1"/>
  <c r="X240" i="1" s="1"/>
  <c r="X239" i="1" a="1"/>
  <c r="X239" i="1" s="1"/>
  <c r="X238" i="1" a="1"/>
  <c r="X238" i="1" s="1"/>
  <c r="X237" i="1" a="1"/>
  <c r="X237" i="1" s="1"/>
  <c r="X236" i="1" a="1"/>
  <c r="X236" i="1" s="1"/>
  <c r="X235" i="1" a="1"/>
  <c r="X235" i="1" s="1"/>
  <c r="X234" i="1" a="1"/>
  <c r="X234" i="1" s="1"/>
  <c r="X233" i="1" a="1"/>
  <c r="X233" i="1" s="1"/>
  <c r="X232" i="1" a="1"/>
  <c r="X232" i="1" s="1"/>
  <c r="X231" i="1" a="1"/>
  <c r="X231" i="1" s="1"/>
  <c r="X230" i="1" a="1"/>
  <c r="X230" i="1" s="1"/>
  <c r="X229" i="1" a="1"/>
  <c r="X229" i="1" s="1"/>
  <c r="X228" i="1" a="1"/>
  <c r="X228" i="1" s="1"/>
  <c r="X227" i="1" a="1"/>
  <c r="X227" i="1" s="1"/>
  <c r="X226" i="1" a="1"/>
  <c r="X226" i="1" s="1"/>
  <c r="X225" i="1" a="1"/>
  <c r="X225" i="1" s="1"/>
  <c r="X224" i="1" a="1"/>
  <c r="X224" i="1" s="1"/>
  <c r="X223" i="1" a="1"/>
  <c r="X223" i="1" s="1"/>
  <c r="X222" i="1" a="1"/>
  <c r="X222" i="1" s="1"/>
  <c r="X221" i="1" a="1"/>
  <c r="X221" i="1" s="1"/>
  <c r="X220" i="1" a="1"/>
  <c r="X220" i="1" s="1"/>
  <c r="X219" i="1" a="1"/>
  <c r="X219" i="1" s="1"/>
  <c r="X218" i="1" a="1"/>
  <c r="X218" i="1" s="1"/>
  <c r="X217" i="1" a="1"/>
  <c r="X217" i="1" s="1"/>
  <c r="X216" i="1" a="1"/>
  <c r="X216" i="1" s="1"/>
  <c r="X215" i="1" a="1"/>
  <c r="X215" i="1" s="1"/>
  <c r="X214" i="1" a="1"/>
  <c r="X214" i="1" s="1"/>
  <c r="X213" i="1" a="1"/>
  <c r="X213" i="1" s="1"/>
  <c r="X212" i="1" a="1"/>
  <c r="X212" i="1" s="1"/>
  <c r="X211" i="1" a="1"/>
  <c r="X211" i="1" s="1"/>
  <c r="X210" i="1" a="1"/>
  <c r="X210" i="1" s="1"/>
  <c r="X209" i="1" a="1"/>
  <c r="X209" i="1" s="1"/>
  <c r="X208" i="1" a="1"/>
  <c r="X208" i="1" s="1"/>
  <c r="X207" i="1" a="1"/>
  <c r="X207" i="1" s="1"/>
  <c r="X206" i="1" a="1"/>
  <c r="X206" i="1" s="1"/>
  <c r="X205" i="1" a="1"/>
  <c r="X205" i="1" s="1"/>
  <c r="X204" i="1" a="1"/>
  <c r="X204" i="1" s="1"/>
  <c r="X203" i="1" a="1"/>
  <c r="X203" i="1" s="1"/>
  <c r="X202" i="1" a="1"/>
  <c r="X202" i="1" s="1"/>
  <c r="X201" i="1" a="1"/>
  <c r="X201" i="1" s="1"/>
  <c r="X200" i="1" a="1"/>
  <c r="X200" i="1" s="1"/>
  <c r="X199" i="1" a="1"/>
  <c r="X199" i="1" s="1"/>
  <c r="X198" i="1" a="1"/>
  <c r="X198" i="1" s="1"/>
  <c r="X197" i="1" a="1"/>
  <c r="X197" i="1" s="1"/>
  <c r="X196" i="1" a="1"/>
  <c r="X196" i="1" s="1"/>
  <c r="X195" i="1" a="1"/>
  <c r="X195" i="1" s="1"/>
  <c r="X194" i="1" a="1"/>
  <c r="X194" i="1" s="1"/>
  <c r="X193" i="1" a="1"/>
  <c r="X193" i="1" s="1"/>
  <c r="X192" i="1" a="1"/>
  <c r="X192" i="1" s="1"/>
  <c r="X191" i="1" a="1"/>
  <c r="X191" i="1" s="1"/>
  <c r="X190" i="1" a="1"/>
  <c r="X190" i="1" s="1"/>
  <c r="X189" i="1" a="1"/>
  <c r="X189" i="1" s="1"/>
  <c r="X188" i="1" a="1"/>
  <c r="X188" i="1" s="1"/>
  <c r="X187" i="1" a="1"/>
  <c r="X187" i="1" s="1"/>
  <c r="X186" i="1" a="1"/>
  <c r="X186" i="1" s="1"/>
  <c r="X185" i="1" a="1"/>
  <c r="X185" i="1" s="1"/>
  <c r="X184" i="1" a="1"/>
  <c r="X184" i="1" s="1"/>
  <c r="X183" i="1" a="1"/>
  <c r="X183" i="1" s="1"/>
  <c r="X182" i="1" a="1"/>
  <c r="X182" i="1" s="1"/>
  <c r="X181" i="1" a="1"/>
  <c r="X181" i="1" s="1"/>
  <c r="X180" i="1" a="1"/>
  <c r="X180" i="1" s="1"/>
  <c r="X179" i="1" a="1"/>
  <c r="X179" i="1" s="1"/>
  <c r="X178" i="1" a="1"/>
  <c r="X178" i="1" s="1"/>
  <c r="X177" i="1" a="1"/>
  <c r="X177" i="1" s="1"/>
  <c r="X176" i="1" a="1"/>
  <c r="X176" i="1" s="1"/>
  <c r="X175" i="1" a="1"/>
  <c r="X175" i="1" s="1"/>
  <c r="X174" i="1" a="1"/>
  <c r="X174" i="1" s="1"/>
  <c r="X173" i="1" a="1"/>
  <c r="X173" i="1" s="1"/>
  <c r="X172" i="1" a="1"/>
  <c r="X172" i="1" s="1"/>
  <c r="X171" i="1" a="1"/>
  <c r="X171" i="1" s="1"/>
  <c r="X170" i="1" a="1"/>
  <c r="X170" i="1" s="1"/>
  <c r="X169" i="1" a="1"/>
  <c r="X169" i="1" s="1"/>
  <c r="X168" i="1" a="1"/>
  <c r="X168" i="1" s="1"/>
  <c r="X167" i="1" a="1"/>
  <c r="X167" i="1" s="1"/>
  <c r="X166" i="1" a="1"/>
  <c r="X166" i="1" s="1"/>
  <c r="X165" i="1" a="1"/>
  <c r="X165" i="1" s="1"/>
  <c r="X164" i="1" a="1"/>
  <c r="X164" i="1" s="1"/>
  <c r="X163" i="1" a="1"/>
  <c r="X163" i="1" s="1"/>
  <c r="X162" i="1" a="1"/>
  <c r="X162" i="1" s="1"/>
  <c r="X161" i="1" a="1"/>
  <c r="X161" i="1" s="1"/>
  <c r="X160" i="1" a="1"/>
  <c r="X160" i="1" s="1"/>
  <c r="X159" i="1" a="1"/>
  <c r="X159" i="1" s="1"/>
  <c r="X158" i="1" a="1"/>
  <c r="X158" i="1" s="1"/>
  <c r="X157" i="1" a="1"/>
  <c r="X157" i="1" s="1"/>
  <c r="X156" i="1" a="1"/>
  <c r="X156" i="1" s="1"/>
  <c r="X155" i="1" a="1"/>
  <c r="X155" i="1" s="1"/>
  <c r="X154" i="1" a="1"/>
  <c r="X154" i="1" s="1"/>
  <c r="X153" i="1" a="1"/>
  <c r="X153" i="1" s="1"/>
  <c r="X152" i="1" a="1"/>
  <c r="X152" i="1" s="1"/>
  <c r="X151" i="1" a="1"/>
  <c r="X151" i="1" s="1"/>
  <c r="X150" i="1" a="1"/>
  <c r="X150" i="1" s="1"/>
  <c r="X149" i="1" a="1"/>
  <c r="X149" i="1" s="1"/>
  <c r="X148" i="1" a="1"/>
  <c r="X148" i="1" s="1"/>
  <c r="X147" i="1" a="1"/>
  <c r="X147" i="1" s="1"/>
  <c r="X146" i="1" a="1"/>
  <c r="X146" i="1" s="1"/>
  <c r="X145" i="1" a="1"/>
  <c r="X145" i="1" s="1"/>
  <c r="X144" i="1" a="1"/>
  <c r="X144" i="1" s="1"/>
  <c r="X143" i="1" a="1"/>
  <c r="X143" i="1" s="1"/>
  <c r="X142" i="1" a="1"/>
  <c r="X142" i="1" s="1"/>
  <c r="X141" i="1" a="1"/>
  <c r="X141" i="1" s="1"/>
  <c r="X140" i="1" a="1"/>
  <c r="X140" i="1" s="1"/>
  <c r="X139" i="1" a="1"/>
  <c r="X139" i="1" s="1"/>
  <c r="X138" i="1" a="1"/>
  <c r="X138" i="1" s="1"/>
  <c r="X137" i="1" a="1"/>
  <c r="X137" i="1" s="1"/>
  <c r="X136" i="1" a="1"/>
  <c r="X136" i="1" s="1"/>
  <c r="X135" i="1" a="1"/>
  <c r="X135" i="1" s="1"/>
  <c r="X134" i="1" a="1"/>
  <c r="X134" i="1" s="1"/>
  <c r="X133" i="1" a="1"/>
  <c r="X133" i="1" s="1"/>
  <c r="X132" i="1" a="1"/>
  <c r="X132" i="1" s="1"/>
  <c r="X131" i="1" a="1"/>
  <c r="X131" i="1" s="1"/>
  <c r="X130" i="1" a="1"/>
  <c r="X130" i="1" s="1"/>
  <c r="X129" i="1" a="1"/>
  <c r="X129" i="1" s="1"/>
  <c r="X128" i="1" a="1"/>
  <c r="X128" i="1" s="1"/>
  <c r="X127" i="1" a="1"/>
  <c r="X127" i="1" s="1"/>
  <c r="X126" i="1" a="1"/>
  <c r="X126" i="1" s="1"/>
  <c r="X125" i="1" a="1"/>
  <c r="X125" i="1" s="1"/>
  <c r="X124" i="1" a="1"/>
  <c r="X124" i="1" s="1"/>
  <c r="X123" i="1" a="1"/>
  <c r="X123" i="1" s="1"/>
  <c r="X122" i="1" a="1"/>
  <c r="X122" i="1" s="1"/>
  <c r="X121" i="1" a="1"/>
  <c r="X121" i="1" s="1"/>
  <c r="X120" i="1" a="1"/>
  <c r="X120" i="1" s="1"/>
  <c r="X119" i="1" a="1"/>
  <c r="X119" i="1" s="1"/>
  <c r="X118" i="1" a="1"/>
  <c r="X118" i="1" s="1"/>
  <c r="X117" i="1" a="1"/>
  <c r="X117" i="1" s="1"/>
  <c r="X116" i="1" a="1"/>
  <c r="X116" i="1" s="1"/>
  <c r="X115" i="1" a="1"/>
  <c r="X115" i="1" s="1"/>
  <c r="X114" i="1" a="1"/>
  <c r="X114" i="1" s="1"/>
  <c r="X113" i="1" a="1"/>
  <c r="X113" i="1" s="1"/>
  <c r="X112" i="1" a="1"/>
  <c r="X112" i="1" s="1"/>
  <c r="X111" i="1" a="1"/>
  <c r="X111" i="1" s="1"/>
  <c r="X110" i="1" a="1"/>
  <c r="X110" i="1" s="1"/>
  <c r="X109" i="1" a="1"/>
  <c r="X109" i="1" s="1"/>
  <c r="X108" i="1" a="1"/>
  <c r="X108" i="1" s="1"/>
  <c r="X107" i="1" a="1"/>
  <c r="X107" i="1" s="1"/>
  <c r="X106" i="1" a="1"/>
  <c r="X106" i="1" s="1"/>
  <c r="X105" i="1" a="1"/>
  <c r="X105" i="1" s="1"/>
  <c r="X104" i="1" a="1"/>
  <c r="X104" i="1" s="1"/>
  <c r="X103" i="1" a="1"/>
  <c r="X103" i="1" s="1"/>
  <c r="X102" i="1" a="1"/>
  <c r="X102" i="1" s="1"/>
  <c r="X101" i="1" a="1"/>
  <c r="X101" i="1" s="1"/>
  <c r="X100" i="1" a="1"/>
  <c r="X100" i="1" s="1"/>
  <c r="X99" i="1" a="1"/>
  <c r="X99" i="1" s="1"/>
  <c r="X98" i="1" a="1"/>
  <c r="X98" i="1" s="1"/>
  <c r="X97" i="1" a="1"/>
  <c r="X97" i="1" s="1"/>
  <c r="X96" i="1" a="1"/>
  <c r="X96" i="1" s="1"/>
  <c r="X95" i="1" a="1"/>
  <c r="X95" i="1" s="1"/>
  <c r="X94" i="1" a="1"/>
  <c r="X94" i="1" s="1"/>
  <c r="X93" i="1" a="1"/>
  <c r="X93" i="1" s="1"/>
  <c r="X92" i="1" a="1"/>
  <c r="X92" i="1" s="1"/>
  <c r="X91" i="1" a="1"/>
  <c r="X91" i="1" s="1"/>
  <c r="X90" i="1" a="1"/>
  <c r="X90" i="1" s="1"/>
  <c r="X89" i="1" a="1"/>
  <c r="X89" i="1" s="1"/>
  <c r="X88" i="1" a="1"/>
  <c r="X88" i="1" s="1"/>
  <c r="X87" i="1" a="1"/>
  <c r="X87" i="1" s="1"/>
  <c r="X86" i="1" a="1"/>
  <c r="X86" i="1" s="1"/>
  <c r="X85" i="1" a="1"/>
  <c r="X85" i="1" s="1"/>
  <c r="X84" i="1" a="1"/>
  <c r="X84" i="1" s="1"/>
  <c r="X83" i="1" a="1"/>
  <c r="X83" i="1" s="1"/>
  <c r="X82" i="1" a="1"/>
  <c r="X82" i="1" s="1"/>
  <c r="X81" i="1" a="1"/>
  <c r="X81" i="1" s="1"/>
  <c r="X80" i="1" a="1"/>
  <c r="X80" i="1" s="1"/>
  <c r="X79" i="1" a="1"/>
  <c r="X79" i="1" s="1"/>
  <c r="X78" i="1" a="1"/>
  <c r="X78" i="1" s="1"/>
  <c r="X77" i="1" a="1"/>
  <c r="X77" i="1" s="1"/>
  <c r="X76" i="1" a="1"/>
  <c r="X76" i="1" s="1"/>
  <c r="X75" i="1" a="1"/>
  <c r="X75" i="1" s="1"/>
  <c r="X74" i="1" a="1"/>
  <c r="X74" i="1" s="1"/>
  <c r="X73" i="1" a="1"/>
  <c r="X73" i="1" s="1"/>
  <c r="X72" i="1" a="1"/>
  <c r="X72" i="1" s="1"/>
  <c r="X71" i="1" a="1"/>
  <c r="X71" i="1" s="1"/>
  <c r="X70" i="1" a="1"/>
  <c r="X70" i="1" s="1"/>
  <c r="X69" i="1" a="1"/>
  <c r="X69" i="1" s="1"/>
  <c r="X68" i="1" a="1"/>
  <c r="X68" i="1" s="1"/>
  <c r="X67" i="1" a="1"/>
  <c r="X67" i="1" s="1"/>
  <c r="X66" i="1" a="1"/>
  <c r="X66" i="1" s="1"/>
  <c r="X65" i="1" a="1"/>
  <c r="X65" i="1" s="1"/>
  <c r="X64" i="1" a="1"/>
  <c r="X64" i="1" s="1"/>
  <c r="X63" i="1" a="1"/>
  <c r="X63" i="1" s="1"/>
  <c r="X62" i="1" a="1"/>
  <c r="X62" i="1" s="1"/>
  <c r="X61" i="1" a="1"/>
  <c r="X61" i="1" s="1"/>
  <c r="X60" i="1" a="1"/>
  <c r="X60" i="1" s="1"/>
  <c r="X59" i="1" a="1"/>
  <c r="X59" i="1" s="1"/>
  <c r="X58" i="1" a="1"/>
  <c r="X58" i="1" s="1"/>
  <c r="X57" i="1" a="1"/>
  <c r="X57" i="1" s="1"/>
  <c r="X56" i="1" a="1"/>
  <c r="X56" i="1" s="1"/>
  <c r="X55" i="1" a="1"/>
  <c r="X55" i="1" s="1"/>
  <c r="X54" i="1" a="1"/>
  <c r="X54" i="1" s="1"/>
  <c r="X53" i="1" a="1"/>
  <c r="X53" i="1" s="1"/>
  <c r="X52" i="1" a="1"/>
  <c r="X52" i="1" s="1"/>
  <c r="X51" i="1" a="1"/>
  <c r="X51" i="1" s="1"/>
  <c r="X50" i="1" a="1"/>
  <c r="X50" i="1" s="1"/>
  <c r="X49" i="1" a="1"/>
  <c r="X49" i="1" s="1"/>
  <c r="X48" i="1" a="1"/>
  <c r="X48" i="1" s="1"/>
  <c r="X47" i="1" a="1"/>
  <c r="X47" i="1" s="1"/>
  <c r="X46" i="1" a="1"/>
  <c r="X46" i="1" s="1"/>
  <c r="X45" i="1" a="1"/>
  <c r="X45" i="1" s="1"/>
  <c r="X44" i="1" a="1"/>
  <c r="X44" i="1" s="1"/>
  <c r="X43" i="1" a="1"/>
  <c r="X43" i="1" s="1"/>
  <c r="X42" i="1" a="1"/>
  <c r="X42" i="1" s="1"/>
  <c r="X41" i="1" a="1"/>
  <c r="X41" i="1" s="1"/>
  <c r="X40" i="1" a="1"/>
  <c r="X40" i="1" s="1"/>
  <c r="X39" i="1" a="1"/>
  <c r="X39" i="1" s="1"/>
  <c r="X38" i="1" a="1"/>
  <c r="X38" i="1" s="1"/>
  <c r="X37" i="1" a="1"/>
  <c r="X37" i="1" s="1"/>
  <c r="X36" i="1" a="1"/>
  <c r="X36" i="1" s="1"/>
  <c r="X35" i="1" a="1"/>
  <c r="X35" i="1" s="1"/>
  <c r="X34" i="1" a="1"/>
  <c r="X34" i="1" s="1"/>
  <c r="X33" i="1" a="1"/>
  <c r="X33" i="1" s="1"/>
  <c r="X32" i="1" a="1"/>
  <c r="X32" i="1" s="1"/>
  <c r="X31" i="1" a="1"/>
  <c r="X31" i="1" s="1"/>
  <c r="X30" i="1" a="1"/>
  <c r="X30" i="1" s="1"/>
  <c r="X29" i="1" a="1"/>
  <c r="X29" i="1" s="1"/>
  <c r="X28" i="1" a="1"/>
  <c r="X28" i="1" s="1"/>
  <c r="X27" i="1" a="1"/>
  <c r="X27" i="1" s="1"/>
  <c r="X26" i="1" a="1"/>
  <c r="X26" i="1" s="1"/>
  <c r="X25" i="1" a="1"/>
  <c r="X25" i="1" s="1"/>
  <c r="X24" i="1" a="1"/>
  <c r="X24" i="1" s="1"/>
  <c r="X23" i="1" a="1"/>
  <c r="X23" i="1" s="1"/>
  <c r="X22" i="1" a="1"/>
  <c r="X22" i="1" s="1"/>
  <c r="X21" i="1" a="1"/>
  <c r="X21" i="1" s="1"/>
  <c r="X20" i="1" a="1"/>
  <c r="X20" i="1" s="1"/>
  <c r="X19" i="1" a="1"/>
  <c r="X19" i="1" s="1"/>
  <c r="X18" i="1" a="1"/>
  <c r="X18" i="1" s="1"/>
  <c r="X17" i="1" a="1"/>
  <c r="X17" i="1" s="1"/>
  <c r="X16" i="1" a="1"/>
  <c r="X16" i="1" s="1"/>
  <c r="X15" i="1" a="1"/>
  <c r="X15" i="1" s="1"/>
  <c r="X14" i="1" a="1"/>
  <c r="X14" i="1" s="1"/>
  <c r="X13" i="1" a="1"/>
  <c r="X13" i="1" s="1"/>
  <c r="X12" i="1" a="1"/>
  <c r="X12" i="1" s="1"/>
  <c r="X11" i="1" a="1"/>
  <c r="X11" i="1" s="1"/>
  <c r="X10" i="1" a="1"/>
  <c r="X10" i="1" s="1"/>
  <c r="X9" i="1" a="1"/>
  <c r="X9" i="1" s="1"/>
  <c r="X8" i="1" a="1"/>
  <c r="X8" i="1" s="1"/>
  <c r="X7" i="1" a="1"/>
  <c r="X7" i="1" s="1"/>
  <c r="X6" i="1" a="1"/>
  <c r="X6" i="1" s="1"/>
  <c r="X5" i="1" a="1"/>
  <c r="X5" i="1" s="1"/>
  <c r="W5" i="1" l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 s="1"/>
  <c r="W61" i="1" a="1"/>
  <c r="W61" i="1" s="1"/>
  <c r="W62" i="1" a="1"/>
  <c r="W62" i="1" s="1"/>
  <c r="W63" i="1" a="1"/>
  <c r="W63" i="1" s="1"/>
  <c r="W64" i="1" a="1"/>
  <c r="W64" i="1" s="1"/>
  <c r="W65" i="1" a="1"/>
  <c r="W65" i="1" s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 s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 s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 s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W104" i="1" a="1"/>
  <c r="W104" i="1" s="1"/>
  <c r="W105" i="1" a="1"/>
  <c r="W105" i="1" s="1"/>
  <c r="W106" i="1" a="1"/>
  <c r="W106" i="1" s="1"/>
  <c r="W107" i="1" a="1"/>
  <c r="W107" i="1" s="1"/>
  <c r="W108" i="1" a="1"/>
  <c r="W108" i="1" s="1"/>
  <c r="W109" i="1" a="1"/>
  <c r="W109" i="1" s="1"/>
  <c r="W110" i="1" a="1"/>
  <c r="W110" i="1" s="1"/>
  <c r="W111" i="1" a="1"/>
  <c r="W111" i="1" s="1"/>
  <c r="W112" i="1" a="1"/>
  <c r="W112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21" i="1" a="1"/>
  <c r="W121" i="1" s="1"/>
  <c r="W122" i="1" a="1"/>
  <c r="W122" i="1" s="1"/>
  <c r="W123" i="1" a="1"/>
  <c r="W123" i="1" s="1"/>
  <c r="W124" i="1" a="1"/>
  <c r="W124" i="1" s="1"/>
  <c r="W125" i="1" a="1"/>
  <c r="W125" i="1" s="1"/>
  <c r="W126" i="1" a="1"/>
  <c r="W126" i="1" s="1"/>
  <c r="W127" i="1" a="1"/>
  <c r="W127" i="1" s="1"/>
  <c r="W128" i="1" a="1"/>
  <c r="W128" i="1" s="1"/>
  <c r="W129" i="1" a="1"/>
  <c r="W129" i="1" s="1"/>
  <c r="W130" i="1" a="1"/>
  <c r="W130" i="1" s="1"/>
  <c r="W131" i="1" a="1"/>
  <c r="W131" i="1" s="1"/>
  <c r="W132" i="1" a="1"/>
  <c r="W132" i="1" s="1"/>
  <c r="W133" i="1" a="1"/>
  <c r="W133" i="1" s="1"/>
  <c r="W134" i="1" a="1"/>
  <c r="W134" i="1" s="1"/>
  <c r="W135" i="1" a="1"/>
  <c r="W135" i="1" s="1"/>
  <c r="W136" i="1" a="1"/>
  <c r="W136" i="1" s="1"/>
  <c r="W137" i="1" a="1"/>
  <c r="W137" i="1" s="1"/>
  <c r="W138" i="1" a="1"/>
  <c r="W138" i="1" s="1"/>
  <c r="W139" i="1" a="1"/>
  <c r="W139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 s="1"/>
  <c r="W145" i="1" a="1"/>
  <c r="W145" i="1" s="1"/>
  <c r="W146" i="1" a="1"/>
  <c r="W146" i="1" s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 s="1"/>
  <c r="W153" i="1" a="1"/>
  <c r="W153" i="1" s="1"/>
  <c r="W154" i="1" a="1"/>
  <c r="W154" i="1" s="1"/>
  <c r="W155" i="1" a="1"/>
  <c r="W155" i="1" s="1"/>
  <c r="W156" i="1" a="1"/>
  <c r="W156" i="1" s="1"/>
  <c r="W157" i="1" a="1"/>
  <c r="W157" i="1" s="1"/>
  <c r="W158" i="1" a="1"/>
  <c r="W158" i="1" s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 s="1"/>
  <c r="W165" i="1" a="1"/>
  <c r="W165" i="1" s="1"/>
  <c r="W166" i="1" a="1"/>
  <c r="W166" i="1" s="1"/>
  <c r="W167" i="1" a="1"/>
  <c r="W167" i="1" s="1"/>
  <c r="W168" i="1" a="1"/>
  <c r="W168" i="1" s="1"/>
  <c r="W169" i="1" a="1"/>
  <c r="W169" i="1" s="1"/>
  <c r="W170" i="1" a="1"/>
  <c r="W170" i="1" s="1"/>
  <c r="W171" i="1" a="1"/>
  <c r="W171" i="1" s="1"/>
  <c r="W172" i="1" a="1"/>
  <c r="W172" i="1" s="1"/>
  <c r="W173" i="1" a="1"/>
  <c r="W173" i="1" s="1"/>
  <c r="W174" i="1" a="1"/>
  <c r="W174" i="1" s="1"/>
  <c r="W175" i="1" a="1"/>
  <c r="W175" i="1" s="1"/>
  <c r="W176" i="1" a="1"/>
  <c r="W176" i="1" s="1"/>
  <c r="W177" i="1" a="1"/>
  <c r="W177" i="1" s="1"/>
  <c r="W178" i="1" a="1"/>
  <c r="W178" i="1" s="1"/>
  <c r="W179" i="1" a="1"/>
  <c r="W179" i="1" s="1"/>
  <c r="W180" i="1" a="1"/>
  <c r="W180" i="1" s="1"/>
  <c r="W181" i="1" a="1"/>
  <c r="W181" i="1" s="1"/>
  <c r="W182" i="1" a="1"/>
  <c r="W182" i="1" s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 s="1"/>
  <c r="W189" i="1" a="1"/>
  <c r="W189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 s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 s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 s="1"/>
  <c r="W209" i="1" a="1"/>
  <c r="W209" i="1" s="1"/>
  <c r="W210" i="1" a="1"/>
  <c r="W210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 s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232" i="1" a="1"/>
  <c r="W232" i="1" s="1"/>
  <c r="W233" i="1" a="1"/>
  <c r="W233" i="1" s="1"/>
  <c r="W234" i="1" a="1"/>
  <c r="W234" i="1" s="1"/>
  <c r="W235" i="1" a="1"/>
  <c r="W235" i="1" s="1"/>
  <c r="W236" i="1" a="1"/>
  <c r="W236" i="1" s="1"/>
  <c r="W237" i="1" a="1"/>
  <c r="W237" i="1" s="1"/>
  <c r="W238" i="1" a="1"/>
  <c r="W238" i="1" s="1"/>
  <c r="W239" i="1" a="1"/>
  <c r="W239" i="1" s="1"/>
  <c r="W240" i="1" a="1"/>
  <c r="W240" i="1" s="1"/>
  <c r="W241" i="1" a="1"/>
  <c r="W241" i="1" s="1"/>
  <c r="W242" i="1" a="1"/>
  <c r="W242" i="1" s="1"/>
  <c r="W243" i="1" a="1"/>
  <c r="W243" i="1" s="1"/>
  <c r="W244" i="1" a="1"/>
  <c r="W244" i="1" s="1"/>
  <c r="W245" i="1" a="1"/>
  <c r="W245" i="1" s="1"/>
  <c r="W246" i="1" a="1"/>
  <c r="W246" i="1" s="1"/>
  <c r="W247" i="1" a="1"/>
  <c r="W247" i="1" s="1"/>
  <c r="W248" i="1" a="1"/>
  <c r="W248" i="1" s="1"/>
  <c r="W249" i="1" a="1"/>
  <c r="W249" i="1" s="1"/>
  <c r="W250" i="1" a="1"/>
  <c r="W250" i="1" s="1"/>
  <c r="W251" i="1" a="1"/>
  <c r="W251" i="1" s="1"/>
  <c r="W252" i="1" a="1"/>
  <c r="W252" i="1" s="1"/>
  <c r="W253" i="1" a="1"/>
  <c r="W253" i="1" s="1"/>
  <c r="W254" i="1" a="1"/>
  <c r="W254" i="1" s="1"/>
  <c r="W255" i="1" a="1"/>
  <c r="W255" i="1" s="1"/>
  <c r="W256" i="1" a="1"/>
  <c r="W256" i="1" s="1"/>
  <c r="W257" i="1" a="1"/>
  <c r="W257" i="1" s="1"/>
  <c r="W258" i="1" a="1"/>
  <c r="W258" i="1" s="1"/>
  <c r="W259" i="1" a="1"/>
  <c r="W259" i="1" s="1"/>
  <c r="W260" i="1" a="1"/>
  <c r="W260" i="1" s="1"/>
  <c r="W261" i="1" a="1"/>
  <c r="W261" i="1" s="1"/>
  <c r="W262" i="1" a="1"/>
  <c r="W262" i="1" s="1"/>
  <c r="W263" i="1" a="1"/>
  <c r="W263" i="1" s="1"/>
  <c r="W264" i="1" a="1"/>
  <c r="W264" i="1" s="1"/>
  <c r="W265" i="1" a="1"/>
  <c r="W265" i="1" s="1"/>
  <c r="W266" i="1" a="1"/>
  <c r="W266" i="1" s="1"/>
  <c r="W267" i="1" a="1"/>
  <c r="W267" i="1" s="1"/>
  <c r="W268" i="1" a="1"/>
  <c r="W268" i="1" s="1"/>
  <c r="W269" i="1" a="1"/>
  <c r="W269" i="1" s="1"/>
  <c r="W270" i="1" a="1"/>
  <c r="W270" i="1" s="1"/>
  <c r="W271" i="1" a="1"/>
  <c r="W271" i="1" s="1"/>
  <c r="W272" i="1" a="1"/>
  <c r="W272" i="1" s="1"/>
  <c r="W273" i="1" a="1"/>
  <c r="W273" i="1" s="1"/>
  <c r="W274" i="1" a="1"/>
  <c r="W274" i="1" s="1"/>
  <c r="W275" i="1" a="1"/>
  <c r="W275" i="1" s="1"/>
  <c r="W276" i="1" a="1"/>
  <c r="W276" i="1" s="1"/>
  <c r="W277" i="1" a="1"/>
  <c r="W277" i="1" s="1"/>
  <c r="W278" i="1" a="1"/>
  <c r="W278" i="1" s="1"/>
  <c r="W279" i="1" a="1"/>
  <c r="W279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 s="1"/>
  <c r="W285" i="1" a="1"/>
  <c r="W285" i="1" s="1"/>
  <c r="W286" i="1" a="1"/>
  <c r="W286" i="1" s="1"/>
  <c r="W287" i="1" a="1"/>
  <c r="W287" i="1" s="1"/>
  <c r="W288" i="1" a="1"/>
  <c r="W288" i="1" s="1"/>
  <c r="W289" i="1" a="1"/>
  <c r="W289" i="1" s="1"/>
  <c r="W290" i="1" a="1"/>
  <c r="W290" i="1" s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 s="1"/>
  <c r="W303" i="1" a="1"/>
  <c r="W303" i="1" s="1"/>
  <c r="W304" i="1" a="1"/>
  <c r="W304" i="1" s="1"/>
  <c r="W305" i="1" a="1"/>
  <c r="W305" i="1" s="1"/>
  <c r="W306" i="1" a="1"/>
  <c r="W306" i="1" s="1"/>
  <c r="W307" i="1" a="1"/>
  <c r="W307" i="1" s="1"/>
  <c r="W308" i="1" a="1"/>
  <c r="W308" i="1" s="1"/>
  <c r="W309" i="1" a="1"/>
  <c r="W309" i="1" s="1"/>
  <c r="W310" i="1" a="1"/>
  <c r="W310" i="1" s="1"/>
  <c r="W311" i="1" a="1"/>
  <c r="W311" i="1" s="1"/>
  <c r="W312" i="1" a="1"/>
  <c r="W312" i="1" s="1"/>
  <c r="W313" i="1" a="1"/>
  <c r="W313" i="1" s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 s="1"/>
  <c r="W321" i="1" a="1"/>
  <c r="W321" i="1" s="1"/>
  <c r="W322" i="1" a="1"/>
  <c r="W322" i="1" s="1"/>
  <c r="W323" i="1" a="1"/>
  <c r="W323" i="1" s="1"/>
  <c r="W324" i="1" a="1"/>
  <c r="W324" i="1" s="1"/>
  <c r="W325" i="1" a="1"/>
  <c r="W325" i="1" s="1"/>
  <c r="W326" i="1" a="1"/>
  <c r="W326" i="1" s="1"/>
  <c r="W327" i="1" a="1"/>
  <c r="W327" i="1" s="1"/>
  <c r="W328" i="1" a="1"/>
  <c r="W328" i="1" s="1"/>
  <c r="W329" i="1" a="1"/>
  <c r="W329" i="1" s="1"/>
  <c r="W330" i="1" a="1"/>
  <c r="W330" i="1" s="1"/>
  <c r="W331" i="1" a="1"/>
  <c r="W331" i="1" s="1"/>
  <c r="W332" i="1" a="1"/>
  <c r="W332" i="1" s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 s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 s="1"/>
  <c r="W345" i="1" a="1"/>
  <c r="W345" i="1" s="1"/>
  <c r="W346" i="1" a="1"/>
  <c r="W346" i="1" s="1"/>
  <c r="W347" i="1" a="1"/>
  <c r="W347" i="1" s="1"/>
  <c r="W348" i="1" a="1"/>
  <c r="W348" i="1" s="1"/>
  <c r="W349" i="1" a="1"/>
  <c r="W349" i="1" s="1"/>
  <c r="W350" i="1" a="1"/>
  <c r="W350" i="1" s="1"/>
  <c r="W351" i="1" a="1"/>
  <c r="W351" i="1" s="1"/>
  <c r="W352" i="1" a="1"/>
  <c r="W352" i="1" s="1"/>
  <c r="W353" i="1" a="1"/>
  <c r="W353" i="1" s="1"/>
  <c r="W354" i="1" a="1"/>
  <c r="W354" i="1" s="1"/>
  <c r="W355" i="1" a="1"/>
  <c r="W355" i="1" s="1"/>
  <c r="W356" i="1" a="1"/>
  <c r="W356" i="1" s="1"/>
  <c r="W357" i="1" a="1"/>
  <c r="W357" i="1" s="1"/>
  <c r="W358" i="1" a="1"/>
  <c r="W358" i="1" s="1"/>
  <c r="W359" i="1" a="1"/>
  <c r="W359" i="1" s="1"/>
  <c r="W360" i="1" a="1"/>
  <c r="W360" i="1" s="1"/>
  <c r="W361" i="1" a="1"/>
  <c r="W361" i="1" s="1"/>
  <c r="W362" i="1" a="1"/>
  <c r="W362" i="1" s="1"/>
  <c r="W363" i="1" a="1"/>
  <c r="W363" i="1" s="1"/>
  <c r="W364" i="1" a="1"/>
  <c r="W364" i="1" s="1"/>
  <c r="W365" i="1" a="1"/>
  <c r="W365" i="1" s="1"/>
  <c r="W366" i="1" a="1"/>
  <c r="W366" i="1" s="1"/>
  <c r="W367" i="1" a="1"/>
  <c r="W367" i="1" s="1"/>
  <c r="W368" i="1" a="1"/>
  <c r="W368" i="1" s="1"/>
  <c r="W369" i="1" a="1"/>
  <c r="W369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 s="1"/>
  <c r="W375" i="1" a="1"/>
  <c r="W375" i="1" s="1"/>
  <c r="W376" i="1" a="1"/>
  <c r="W376" i="1" s="1"/>
  <c r="W377" i="1" a="1"/>
  <c r="W377" i="1" s="1"/>
  <c r="W378" i="1" a="1"/>
  <c r="W378" i="1" s="1"/>
  <c r="W379" i="1" a="1"/>
  <c r="W379" i="1" s="1"/>
  <c r="W380" i="1" a="1"/>
  <c r="W380" i="1" s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 s="1"/>
  <c r="W387" i="1" a="1"/>
  <c r="W387" i="1" s="1"/>
  <c r="W388" i="1" a="1"/>
  <c r="W388" i="1" s="1"/>
  <c r="W389" i="1" a="1"/>
  <c r="W389" i="1" s="1"/>
  <c r="W390" i="1" a="1"/>
  <c r="W390" i="1" s="1"/>
  <c r="W391" i="1" a="1"/>
  <c r="W391" i="1" s="1"/>
  <c r="W392" i="1" a="1"/>
  <c r="W392" i="1" s="1"/>
  <c r="W393" i="1" a="1"/>
  <c r="W393" i="1" s="1"/>
  <c r="W394" i="1" a="1"/>
  <c r="W394" i="1" s="1"/>
  <c r="W395" i="1" a="1"/>
  <c r="W395" i="1" s="1"/>
  <c r="W396" i="1" a="1"/>
  <c r="W396" i="1" s="1"/>
  <c r="W397" i="1" a="1"/>
  <c r="W397" i="1" s="1"/>
  <c r="W398" i="1" a="1"/>
  <c r="W398" i="1" s="1"/>
  <c r="W399" i="1" a="1"/>
  <c r="W399" i="1" s="1"/>
  <c r="W400" i="1" a="1"/>
  <c r="W400" i="1" s="1"/>
  <c r="W401" i="1" a="1"/>
  <c r="W401" i="1" s="1"/>
  <c r="W402" i="1" a="1"/>
  <c r="W402" i="1" s="1"/>
  <c r="W403" i="1" a="1"/>
  <c r="W403" i="1" s="1"/>
  <c r="W404" i="1" a="1"/>
  <c r="W404" i="1" s="1"/>
  <c r="W405" i="1" a="1"/>
  <c r="W405" i="1" s="1"/>
  <c r="W406" i="1" a="1"/>
  <c r="W406" i="1" s="1"/>
  <c r="W407" i="1" a="1"/>
  <c r="W407" i="1" s="1"/>
  <c r="W408" i="1" a="1"/>
  <c r="W408" i="1" s="1"/>
  <c r="W409" i="1" a="1"/>
  <c r="W409" i="1" s="1"/>
  <c r="W410" i="1" a="1"/>
  <c r="W410" i="1" s="1"/>
  <c r="W411" i="1" a="1"/>
  <c r="W411" i="1" s="1"/>
  <c r="W412" i="1" a="1"/>
  <c r="W412" i="1" s="1"/>
  <c r="W413" i="1" a="1"/>
  <c r="W413" i="1" s="1"/>
  <c r="W414" i="1" a="1"/>
  <c r="W414" i="1" s="1"/>
  <c r="W415" i="1" a="1"/>
  <c r="W415" i="1" s="1"/>
  <c r="W416" i="1" a="1"/>
  <c r="W416" i="1" s="1"/>
  <c r="W417" i="1" a="1"/>
  <c r="W417" i="1" s="1"/>
  <c r="W418" i="1" a="1"/>
  <c r="W418" i="1" s="1"/>
  <c r="W419" i="1" a="1"/>
  <c r="W419" i="1" s="1"/>
  <c r="W420" i="1" a="1"/>
  <c r="W420" i="1" s="1"/>
  <c r="W421" i="1" a="1"/>
  <c r="W421" i="1" s="1"/>
  <c r="W422" i="1" a="1"/>
  <c r="W422" i="1" s="1"/>
  <c r="W423" i="1" a="1"/>
  <c r="W423" i="1" s="1"/>
  <c r="W424" i="1" a="1"/>
  <c r="W424" i="1" s="1"/>
  <c r="W425" i="1" a="1"/>
  <c r="W425" i="1" s="1"/>
  <c r="W426" i="1" a="1"/>
  <c r="W426" i="1" s="1"/>
  <c r="W427" i="1" a="1"/>
  <c r="W427" i="1" s="1"/>
  <c r="W428" i="1" a="1"/>
  <c r="W428" i="1" s="1"/>
  <c r="W429" i="1" a="1"/>
  <c r="W429" i="1" s="1"/>
  <c r="W430" i="1" a="1"/>
  <c r="W430" i="1" s="1"/>
  <c r="W431" i="1" a="1"/>
  <c r="W431" i="1" s="1"/>
  <c r="W432" i="1" a="1"/>
  <c r="W432" i="1" s="1"/>
  <c r="W433" i="1" a="1"/>
  <c r="W433" i="1" s="1"/>
  <c r="W434" i="1" a="1"/>
  <c r="W434" i="1" s="1"/>
  <c r="W435" i="1" a="1"/>
  <c r="W435" i="1" s="1"/>
  <c r="W436" i="1" a="1"/>
  <c r="W436" i="1" s="1"/>
  <c r="W437" i="1" a="1"/>
  <c r="W437" i="1" s="1"/>
  <c r="W438" i="1" a="1"/>
  <c r="W438" i="1" s="1"/>
  <c r="W439" i="1" a="1"/>
  <c r="W439" i="1" s="1"/>
  <c r="W440" i="1" a="1"/>
  <c r="W440" i="1" s="1"/>
  <c r="W441" i="1" a="1"/>
  <c r="W441" i="1" s="1"/>
  <c r="W442" i="1" a="1"/>
  <c r="W442" i="1" s="1"/>
  <c r="W443" i="1" a="1"/>
  <c r="W443" i="1" s="1"/>
  <c r="W444" i="1" a="1"/>
  <c r="W444" i="1" s="1"/>
  <c r="W445" i="1" a="1"/>
  <c r="W445" i="1" s="1"/>
  <c r="W446" i="1" a="1"/>
  <c r="W446" i="1" s="1"/>
  <c r="W447" i="1" a="1"/>
  <c r="W447" i="1" s="1"/>
  <c r="W448" i="1" a="1"/>
  <c r="W448" i="1" s="1"/>
  <c r="W449" i="1" a="1"/>
  <c r="W449" i="1" s="1"/>
  <c r="W450" i="1" a="1"/>
  <c r="W450" i="1" s="1"/>
  <c r="W451" i="1" a="1"/>
  <c r="W451" i="1" s="1"/>
  <c r="W452" i="1" a="1"/>
  <c r="W452" i="1" s="1"/>
  <c r="W453" i="1" a="1"/>
  <c r="W453" i="1" s="1"/>
  <c r="W454" i="1" a="1"/>
  <c r="W454" i="1" s="1"/>
  <c r="W455" i="1" a="1"/>
  <c r="W455" i="1" s="1"/>
  <c r="W456" i="1" a="1"/>
  <c r="W456" i="1" s="1"/>
  <c r="W457" i="1" a="1"/>
  <c r="W457" i="1" s="1"/>
  <c r="W458" i="1" a="1"/>
  <c r="W458" i="1" s="1"/>
  <c r="W459" i="1" a="1"/>
  <c r="W459" i="1" s="1"/>
  <c r="W460" i="1" a="1"/>
  <c r="W460" i="1" s="1"/>
  <c r="W461" i="1" a="1"/>
  <c r="W461" i="1" s="1"/>
  <c r="W462" i="1" a="1"/>
  <c r="W462" i="1" s="1"/>
  <c r="W463" i="1" a="1"/>
  <c r="W463" i="1" s="1"/>
  <c r="W464" i="1" a="1"/>
  <c r="W464" i="1" s="1"/>
  <c r="W465" i="1" a="1"/>
  <c r="W465" i="1" s="1"/>
  <c r="W466" i="1" a="1"/>
  <c r="W466" i="1" s="1"/>
  <c r="W467" i="1" a="1"/>
  <c r="W467" i="1" s="1"/>
  <c r="W468" i="1" a="1"/>
  <c r="W468" i="1" s="1"/>
  <c r="W469" i="1" a="1"/>
  <c r="W469" i="1" s="1"/>
  <c r="W470" i="1" a="1"/>
  <c r="W470" i="1" s="1"/>
  <c r="W471" i="1" a="1"/>
  <c r="W471" i="1" s="1"/>
  <c r="W472" i="1" a="1"/>
  <c r="W472" i="1" s="1"/>
  <c r="W473" i="1" a="1"/>
  <c r="W473" i="1" s="1"/>
  <c r="W474" i="1" a="1"/>
  <c r="W474" i="1" s="1"/>
  <c r="W475" i="1" a="1"/>
  <c r="W475" i="1" s="1"/>
  <c r="W476" i="1" a="1"/>
  <c r="W476" i="1" s="1"/>
  <c r="W477" i="1" a="1"/>
  <c r="W477" i="1" s="1"/>
  <c r="W478" i="1" a="1"/>
  <c r="W478" i="1" s="1"/>
  <c r="W479" i="1" a="1"/>
  <c r="W479" i="1" s="1"/>
  <c r="W480" i="1" a="1"/>
  <c r="W480" i="1" s="1"/>
  <c r="W481" i="1" a="1"/>
  <c r="W481" i="1" s="1"/>
  <c r="W482" i="1" a="1"/>
  <c r="W482" i="1" s="1"/>
  <c r="W483" i="1" a="1"/>
  <c r="W483" i="1" s="1"/>
  <c r="W484" i="1" a="1"/>
  <c r="W484" i="1" s="1"/>
  <c r="W485" i="1" a="1"/>
  <c r="W485" i="1" s="1"/>
  <c r="W486" i="1" a="1"/>
  <c r="W486" i="1" s="1"/>
  <c r="W487" i="1" a="1"/>
  <c r="W487" i="1" s="1"/>
  <c r="W488" i="1" a="1"/>
  <c r="W488" i="1" s="1"/>
  <c r="W489" i="1" a="1"/>
  <c r="W489" i="1" s="1"/>
  <c r="W490" i="1" a="1"/>
  <c r="W490" i="1" s="1"/>
  <c r="W491" i="1" a="1"/>
  <c r="W491" i="1" s="1"/>
  <c r="W492" i="1" a="1"/>
  <c r="W492" i="1" s="1"/>
  <c r="W493" i="1" a="1"/>
  <c r="W493" i="1" s="1"/>
  <c r="W494" i="1" a="1"/>
  <c r="W494" i="1" s="1"/>
  <c r="W495" i="1" a="1"/>
  <c r="W495" i="1" s="1"/>
  <c r="W496" i="1" a="1"/>
  <c r="W496" i="1" s="1"/>
  <c r="W497" i="1" a="1"/>
  <c r="W497" i="1" s="1"/>
  <c r="W498" i="1" a="1"/>
  <c r="W498" i="1" s="1"/>
  <c r="W499" i="1" a="1"/>
  <c r="W499" i="1" s="1"/>
  <c r="W500" i="1" a="1"/>
  <c r="W500" i="1" s="1"/>
  <c r="W501" i="1" a="1"/>
  <c r="W501" i="1" s="1"/>
  <c r="W502" i="1" a="1"/>
  <c r="W502" i="1" s="1"/>
  <c r="W503" i="1" a="1"/>
  <c r="W503" i="1" s="1"/>
  <c r="W504" i="1" a="1"/>
  <c r="W504" i="1" s="1"/>
  <c r="W505" i="1" a="1"/>
  <c r="W505" i="1" s="1"/>
  <c r="W506" i="1" a="1"/>
  <c r="W506" i="1" s="1"/>
  <c r="W507" i="1" a="1"/>
  <c r="W507" i="1" s="1"/>
  <c r="W508" i="1" a="1"/>
  <c r="W508" i="1" s="1"/>
  <c r="W509" i="1" a="1"/>
  <c r="W509" i="1" s="1"/>
  <c r="W510" i="1" a="1"/>
  <c r="W510" i="1" s="1"/>
  <c r="W511" i="1" a="1"/>
  <c r="W511" i="1" s="1"/>
  <c r="W512" i="1" a="1"/>
  <c r="W512" i="1" s="1"/>
  <c r="W513" i="1" a="1"/>
  <c r="W513" i="1" s="1"/>
  <c r="W514" i="1" a="1"/>
  <c r="W514" i="1" s="1"/>
  <c r="W515" i="1" a="1"/>
  <c r="W515" i="1" s="1"/>
  <c r="W516" i="1" a="1"/>
  <c r="W516" i="1" s="1"/>
  <c r="W517" i="1" a="1"/>
  <c r="W517" i="1" s="1"/>
  <c r="W518" i="1" a="1"/>
  <c r="W518" i="1" s="1"/>
  <c r="W519" i="1" a="1"/>
  <c r="W519" i="1" s="1"/>
  <c r="W520" i="1" a="1"/>
  <c r="W520" i="1" s="1"/>
  <c r="W521" i="1" a="1"/>
  <c r="W521" i="1" s="1"/>
  <c r="W522" i="1" a="1"/>
  <c r="W522" i="1" s="1"/>
  <c r="W523" i="1" a="1"/>
  <c r="W523" i="1" s="1"/>
  <c r="W524" i="1" a="1"/>
  <c r="W524" i="1" s="1"/>
  <c r="W525" i="1" a="1"/>
  <c r="W525" i="1" s="1"/>
  <c r="W526" i="1" a="1"/>
  <c r="W526" i="1" s="1"/>
  <c r="W527" i="1" a="1"/>
  <c r="W527" i="1" s="1"/>
  <c r="W528" i="1" a="1"/>
  <c r="W528" i="1" s="1"/>
  <c r="W529" i="1" a="1"/>
  <c r="W529" i="1" s="1"/>
  <c r="W530" i="1" a="1"/>
  <c r="W530" i="1" s="1"/>
  <c r="W531" i="1" a="1"/>
  <c r="W531" i="1" s="1"/>
  <c r="W532" i="1" a="1"/>
  <c r="W532" i="1" s="1"/>
  <c r="W533" i="1" a="1"/>
  <c r="W533" i="1" s="1"/>
  <c r="W534" i="1" a="1"/>
  <c r="W534" i="1" s="1"/>
  <c r="W535" i="1" a="1"/>
  <c r="W535" i="1" s="1"/>
  <c r="W536" i="1" a="1"/>
  <c r="W536" i="1" s="1"/>
  <c r="W537" i="1" a="1"/>
  <c r="W537" i="1" s="1"/>
  <c r="W538" i="1" a="1"/>
  <c r="W538" i="1" s="1"/>
  <c r="W539" i="1" a="1"/>
  <c r="W539" i="1" s="1"/>
  <c r="W540" i="1" a="1"/>
  <c r="W540" i="1" s="1"/>
  <c r="W541" i="1" a="1"/>
  <c r="W541" i="1" s="1"/>
  <c r="W542" i="1" a="1"/>
  <c r="W542" i="1" s="1"/>
  <c r="W543" i="1" a="1"/>
  <c r="W543" i="1" s="1"/>
  <c r="W544" i="1" a="1"/>
  <c r="W544" i="1" s="1"/>
  <c r="W545" i="1" a="1"/>
  <c r="W545" i="1" s="1"/>
  <c r="W546" i="1" a="1"/>
  <c r="W546" i="1" s="1"/>
  <c r="W547" i="1" a="1"/>
  <c r="W547" i="1" s="1"/>
  <c r="W548" i="1" a="1"/>
  <c r="W548" i="1" s="1"/>
  <c r="W549" i="1" a="1"/>
  <c r="W549" i="1" s="1"/>
  <c r="W550" i="1" a="1"/>
  <c r="W550" i="1" s="1"/>
  <c r="W551" i="1" a="1"/>
  <c r="W551" i="1" s="1"/>
  <c r="W552" i="1" a="1"/>
  <c r="W552" i="1" s="1"/>
  <c r="W553" i="1" a="1"/>
  <c r="W553" i="1" s="1"/>
  <c r="W554" i="1" a="1"/>
  <c r="W554" i="1" s="1"/>
  <c r="W555" i="1" a="1"/>
  <c r="W555" i="1" s="1"/>
  <c r="W556" i="1" a="1"/>
  <c r="W556" i="1" s="1"/>
  <c r="W557" i="1" a="1"/>
  <c r="W557" i="1" s="1"/>
  <c r="W558" i="1" a="1"/>
  <c r="W558" i="1" s="1"/>
  <c r="W559" i="1" a="1"/>
  <c r="W559" i="1" s="1"/>
  <c r="W560" i="1" a="1"/>
  <c r="W560" i="1" s="1"/>
  <c r="W561" i="1" a="1"/>
  <c r="W561" i="1" s="1"/>
  <c r="W562" i="1" a="1"/>
  <c r="W562" i="1" s="1"/>
  <c r="W563" i="1" a="1"/>
  <c r="W563" i="1" s="1"/>
  <c r="W564" i="1" a="1"/>
  <c r="W564" i="1" s="1"/>
  <c r="W565" i="1" a="1"/>
  <c r="W565" i="1" s="1"/>
  <c r="W566" i="1" a="1"/>
  <c r="W566" i="1" s="1"/>
  <c r="W567" i="1" a="1"/>
  <c r="W567" i="1" s="1"/>
  <c r="W568" i="1" a="1"/>
  <c r="W568" i="1" s="1"/>
  <c r="W569" i="1" a="1"/>
  <c r="W569" i="1" s="1"/>
  <c r="W570" i="1" a="1"/>
  <c r="W570" i="1" s="1"/>
  <c r="W571" i="1" a="1"/>
  <c r="W571" i="1" s="1"/>
  <c r="W572" i="1" a="1"/>
  <c r="W572" i="1" s="1"/>
  <c r="W573" i="1" a="1"/>
  <c r="W573" i="1" s="1"/>
  <c r="W574" i="1" a="1"/>
  <c r="W574" i="1" s="1"/>
  <c r="W575" i="1" a="1"/>
  <c r="W575" i="1" s="1"/>
  <c r="W576" i="1" a="1"/>
  <c r="W576" i="1" s="1"/>
  <c r="W577" i="1" a="1"/>
  <c r="W577" i="1" s="1"/>
  <c r="W578" i="1" a="1"/>
  <c r="W578" i="1" s="1"/>
  <c r="W579" i="1" a="1"/>
  <c r="W579" i="1" s="1"/>
  <c r="W580" i="1" a="1"/>
  <c r="W580" i="1" s="1"/>
  <c r="W581" i="1" a="1"/>
  <c r="W581" i="1" s="1"/>
  <c r="W582" i="1" a="1"/>
  <c r="W582" i="1" s="1"/>
  <c r="W583" i="1" a="1"/>
  <c r="W583" i="1" s="1"/>
  <c r="W584" i="1" a="1"/>
  <c r="W584" i="1" s="1"/>
  <c r="W585" i="1" a="1"/>
  <c r="W585" i="1" s="1"/>
  <c r="W586" i="1" a="1"/>
  <c r="W586" i="1" s="1"/>
  <c r="W587" i="1" a="1"/>
  <c r="W587" i="1" s="1"/>
  <c r="W588" i="1" a="1"/>
  <c r="W588" i="1" s="1"/>
  <c r="W589" i="1" a="1"/>
  <c r="W589" i="1" s="1"/>
  <c r="W590" i="1" a="1"/>
  <c r="W590" i="1" s="1"/>
  <c r="W591" i="1" a="1"/>
  <c r="W591" i="1" s="1"/>
  <c r="W592" i="1" a="1"/>
  <c r="W592" i="1" s="1"/>
  <c r="W593" i="1" a="1"/>
  <c r="W593" i="1" s="1"/>
  <c r="W594" i="1" a="1"/>
  <c r="W594" i="1" s="1"/>
  <c r="W595" i="1" a="1"/>
  <c r="W595" i="1" s="1"/>
  <c r="W596" i="1" a="1"/>
  <c r="W596" i="1" s="1"/>
  <c r="W597" i="1" a="1"/>
  <c r="W597" i="1" s="1"/>
  <c r="W598" i="1" a="1"/>
  <c r="W598" i="1" s="1"/>
  <c r="W599" i="1" a="1"/>
  <c r="W599" i="1" s="1"/>
  <c r="W600" i="1" a="1"/>
  <c r="W600" i="1" s="1"/>
  <c r="W601" i="1" a="1"/>
  <c r="W601" i="1" s="1"/>
  <c r="W602" i="1" a="1"/>
  <c r="W602" i="1" s="1"/>
  <c r="W603" i="1" a="1"/>
  <c r="W603" i="1" s="1"/>
  <c r="W604" i="1" a="1"/>
  <c r="W604" i="1" s="1"/>
  <c r="W605" i="1" a="1"/>
  <c r="W605" i="1" s="1"/>
  <c r="W606" i="1" a="1"/>
  <c r="W606" i="1" s="1"/>
  <c r="W607" i="1" a="1"/>
  <c r="W607" i="1" s="1"/>
  <c r="W608" i="1" a="1"/>
  <c r="W608" i="1" s="1"/>
  <c r="W609" i="1" a="1"/>
  <c r="W609" i="1" s="1"/>
  <c r="W610" i="1" a="1"/>
  <c r="W610" i="1" s="1"/>
  <c r="W611" i="1" a="1"/>
  <c r="W611" i="1" s="1"/>
  <c r="W612" i="1" a="1"/>
  <c r="W612" i="1" s="1"/>
  <c r="W613" i="1" a="1"/>
  <c r="W613" i="1" s="1"/>
  <c r="W614" i="1" a="1"/>
  <c r="W614" i="1" s="1"/>
  <c r="W615" i="1" a="1"/>
  <c r="W615" i="1" s="1"/>
  <c r="W616" i="1" a="1"/>
  <c r="W616" i="1" s="1"/>
  <c r="W617" i="1" a="1"/>
  <c r="W617" i="1" s="1"/>
  <c r="W618" i="1" a="1"/>
  <c r="W618" i="1" s="1"/>
  <c r="W619" i="1" a="1"/>
  <c r="W619" i="1" s="1"/>
  <c r="W620" i="1" a="1"/>
  <c r="W620" i="1" s="1"/>
  <c r="W621" i="1" a="1"/>
  <c r="W621" i="1" s="1"/>
  <c r="W622" i="1" a="1"/>
  <c r="W622" i="1" s="1"/>
  <c r="W623" i="1" a="1"/>
  <c r="W623" i="1" s="1"/>
  <c r="W624" i="1" a="1"/>
  <c r="W624" i="1" s="1"/>
  <c r="W625" i="1" a="1"/>
  <c r="W625" i="1" s="1"/>
  <c r="W626" i="1" a="1"/>
  <c r="W626" i="1" s="1"/>
  <c r="W627" i="1" a="1"/>
  <c r="W627" i="1" s="1"/>
  <c r="W628" i="1" a="1"/>
  <c r="W628" i="1" s="1"/>
  <c r="W629" i="1" a="1"/>
  <c r="W629" i="1" s="1"/>
  <c r="W630" i="1" a="1"/>
  <c r="W630" i="1" s="1"/>
  <c r="W631" i="1" a="1"/>
  <c r="W631" i="1" s="1"/>
  <c r="W632" i="1" a="1"/>
  <c r="W632" i="1" s="1"/>
  <c r="W633" i="1" a="1"/>
  <c r="W633" i="1" s="1"/>
  <c r="W634" i="1" a="1"/>
  <c r="W634" i="1" s="1"/>
  <c r="W635" i="1" a="1"/>
  <c r="W635" i="1" s="1"/>
  <c r="W636" i="1" a="1"/>
  <c r="W636" i="1" s="1"/>
  <c r="W637" i="1" a="1"/>
  <c r="W637" i="1" s="1"/>
  <c r="W638" i="1" a="1"/>
  <c r="W638" i="1" s="1"/>
  <c r="W639" i="1" a="1"/>
  <c r="W639" i="1" s="1"/>
  <c r="W640" i="1" a="1"/>
  <c r="W640" i="1" s="1"/>
  <c r="W641" i="1" a="1"/>
  <c r="W641" i="1" s="1"/>
  <c r="W642" i="1" a="1"/>
  <c r="W642" i="1" s="1"/>
  <c r="W643" i="1" a="1"/>
  <c r="W643" i="1" s="1"/>
  <c r="W644" i="1" a="1"/>
  <c r="W644" i="1" s="1"/>
  <c r="W645" i="1" a="1"/>
  <c r="W645" i="1" s="1"/>
  <c r="W646" i="1" a="1"/>
  <c r="W646" i="1" s="1"/>
  <c r="W647" i="1" a="1"/>
  <c r="W647" i="1" s="1"/>
  <c r="W648" i="1" a="1"/>
  <c r="W648" i="1" s="1"/>
  <c r="W649" i="1" a="1"/>
  <c r="W649" i="1" s="1"/>
  <c r="W650" i="1" a="1"/>
  <c r="W650" i="1" s="1"/>
  <c r="W651" i="1" a="1"/>
  <c r="W651" i="1" s="1"/>
  <c r="W652" i="1" a="1"/>
  <c r="W652" i="1" s="1"/>
  <c r="W653" i="1" a="1"/>
  <c r="W653" i="1" s="1"/>
  <c r="W654" i="1" a="1"/>
  <c r="W654" i="1" s="1"/>
  <c r="W655" i="1" a="1"/>
  <c r="W655" i="1" s="1"/>
  <c r="W656" i="1" a="1"/>
  <c r="W656" i="1" s="1"/>
  <c r="W657" i="1" a="1"/>
  <c r="W657" i="1" s="1"/>
  <c r="W658" i="1" a="1"/>
  <c r="W658" i="1" s="1"/>
  <c r="W659" i="1" a="1"/>
  <c r="W659" i="1" s="1"/>
  <c r="W660" i="1" a="1"/>
  <c r="W660" i="1" s="1"/>
  <c r="W661" i="1" a="1"/>
  <c r="W661" i="1" s="1"/>
  <c r="W662" i="1" a="1"/>
  <c r="W662" i="1" s="1"/>
  <c r="W663" i="1" a="1"/>
  <c r="W663" i="1" s="1"/>
  <c r="W664" i="1" a="1"/>
  <c r="W664" i="1" s="1"/>
  <c r="W665" i="1" a="1"/>
  <c r="W665" i="1" s="1"/>
  <c r="W666" i="1" a="1"/>
  <c r="W666" i="1" s="1"/>
  <c r="W667" i="1" a="1"/>
  <c r="W667" i="1" s="1"/>
  <c r="W668" i="1" a="1"/>
  <c r="W668" i="1" s="1"/>
  <c r="W669" i="1" a="1"/>
  <c r="W669" i="1" s="1"/>
  <c r="W670" i="1" a="1"/>
  <c r="W670" i="1" s="1"/>
  <c r="W671" i="1" a="1"/>
  <c r="W671" i="1" s="1"/>
  <c r="W672" i="1" a="1"/>
  <c r="W672" i="1" s="1"/>
  <c r="W673" i="1" a="1"/>
  <c r="W673" i="1" s="1"/>
  <c r="W674" i="1" a="1"/>
  <c r="W674" i="1" s="1"/>
  <c r="W675" i="1" a="1"/>
  <c r="W675" i="1" s="1"/>
  <c r="W676" i="1" a="1"/>
  <c r="W676" i="1" s="1"/>
  <c r="W677" i="1" a="1"/>
  <c r="W677" i="1" s="1"/>
  <c r="W678" i="1" a="1"/>
  <c r="W678" i="1" s="1"/>
  <c r="W679" i="1" a="1"/>
  <c r="W679" i="1" s="1"/>
  <c r="W680" i="1" a="1"/>
  <c r="W680" i="1" s="1"/>
  <c r="W681" i="1" a="1"/>
  <c r="W681" i="1" s="1"/>
  <c r="W682" i="1" a="1"/>
  <c r="W682" i="1" s="1"/>
  <c r="W683" i="1" a="1"/>
  <c r="W683" i="1" s="1"/>
  <c r="W684" i="1" a="1"/>
  <c r="W684" i="1" s="1"/>
  <c r="W685" i="1" a="1"/>
  <c r="W685" i="1" s="1"/>
  <c r="W686" i="1" a="1"/>
  <c r="W686" i="1" s="1"/>
  <c r="W687" i="1" a="1"/>
  <c r="W687" i="1" s="1"/>
  <c r="W688" i="1" a="1"/>
  <c r="W688" i="1" s="1"/>
  <c r="W689" i="1" a="1"/>
  <c r="W689" i="1" s="1"/>
  <c r="W690" i="1" a="1"/>
  <c r="W690" i="1" s="1"/>
  <c r="W691" i="1" a="1"/>
  <c r="W691" i="1" s="1"/>
  <c r="W692" i="1" a="1"/>
  <c r="W692" i="1" s="1"/>
  <c r="W693" i="1" a="1"/>
  <c r="W693" i="1" s="1"/>
  <c r="W694" i="1" a="1"/>
  <c r="W694" i="1" s="1"/>
  <c r="W695" i="1" a="1"/>
  <c r="W695" i="1" s="1"/>
  <c r="W696" i="1" a="1"/>
  <c r="W696" i="1" s="1"/>
  <c r="W697" i="1" a="1"/>
  <c r="W697" i="1" s="1"/>
  <c r="W698" i="1" a="1"/>
  <c r="W698" i="1" s="1"/>
  <c r="W699" i="1" a="1"/>
  <c r="W699" i="1" s="1"/>
  <c r="W700" i="1" a="1"/>
  <c r="W700" i="1" s="1"/>
  <c r="W701" i="1" a="1"/>
  <c r="W701" i="1" s="1"/>
  <c r="W702" i="1" a="1"/>
  <c r="W702" i="1" s="1"/>
  <c r="W703" i="1" a="1"/>
  <c r="W703" i="1" s="1"/>
  <c r="W704" i="1" a="1"/>
  <c r="W704" i="1" s="1"/>
  <c r="W705" i="1" a="1"/>
  <c r="W705" i="1" s="1"/>
  <c r="W706" i="1" a="1"/>
  <c r="W706" i="1" s="1"/>
  <c r="W707" i="1" a="1"/>
  <c r="W707" i="1" s="1"/>
  <c r="W708" i="1" a="1"/>
  <c r="W708" i="1" s="1"/>
  <c r="W709" i="1" a="1"/>
  <c r="W709" i="1" s="1"/>
  <c r="W710" i="1" a="1"/>
  <c r="W710" i="1" s="1"/>
  <c r="W711" i="1" a="1"/>
  <c r="W711" i="1" s="1"/>
  <c r="W712" i="1" a="1"/>
  <c r="W712" i="1" s="1"/>
  <c r="W713" i="1" a="1"/>
  <c r="W713" i="1" s="1"/>
  <c r="W714" i="1" a="1"/>
  <c r="W714" i="1" s="1"/>
  <c r="W715" i="1" a="1"/>
  <c r="W715" i="1" s="1"/>
  <c r="W716" i="1" a="1"/>
  <c r="W716" i="1" s="1"/>
  <c r="W717" i="1" a="1"/>
  <c r="W717" i="1" s="1"/>
  <c r="W718" i="1" a="1"/>
  <c r="W718" i="1" s="1"/>
  <c r="W719" i="1" a="1"/>
  <c r="W719" i="1" s="1"/>
  <c r="W720" i="1" a="1"/>
  <c r="W720" i="1" s="1"/>
  <c r="W721" i="1" a="1"/>
  <c r="W721" i="1" s="1"/>
  <c r="W722" i="1" a="1"/>
  <c r="W722" i="1" s="1"/>
  <c r="W723" i="1" a="1"/>
  <c r="W723" i="1" s="1"/>
  <c r="W724" i="1" a="1"/>
  <c r="W724" i="1" s="1"/>
  <c r="W725" i="1" a="1"/>
  <c r="W725" i="1" s="1"/>
  <c r="W726" i="1" a="1"/>
  <c r="W726" i="1" s="1"/>
  <c r="W727" i="1" a="1"/>
  <c r="W727" i="1" s="1"/>
  <c r="W728" i="1" a="1"/>
  <c r="W728" i="1" s="1"/>
  <c r="W729" i="1" a="1"/>
  <c r="W729" i="1" s="1"/>
  <c r="W730" i="1" a="1"/>
  <c r="W730" i="1" s="1"/>
  <c r="W731" i="1" a="1"/>
  <c r="W731" i="1" s="1"/>
  <c r="W732" i="1" a="1"/>
  <c r="W732" i="1" s="1"/>
  <c r="W733" i="1" a="1"/>
  <c r="W733" i="1" s="1"/>
  <c r="W734" i="1" a="1"/>
  <c r="W734" i="1" s="1"/>
  <c r="W735" i="1" a="1"/>
  <c r="W735" i="1" s="1"/>
  <c r="W736" i="1" a="1"/>
  <c r="W736" i="1" s="1"/>
  <c r="W737" i="1" a="1"/>
  <c r="W737" i="1" s="1"/>
  <c r="W738" i="1" a="1"/>
  <c r="W738" i="1" s="1"/>
  <c r="W739" i="1" a="1"/>
  <c r="W739" i="1" s="1"/>
  <c r="W740" i="1" a="1"/>
  <c r="W740" i="1" s="1"/>
  <c r="W741" i="1" a="1"/>
  <c r="W741" i="1" s="1"/>
  <c r="W742" i="1" a="1"/>
  <c r="W742" i="1" s="1"/>
  <c r="W743" i="1" a="1"/>
  <c r="W743" i="1" s="1"/>
  <c r="W744" i="1" a="1"/>
  <c r="W744" i="1" s="1"/>
  <c r="W745" i="1" a="1"/>
  <c r="W745" i="1" s="1"/>
  <c r="W746" i="1" a="1"/>
  <c r="W746" i="1" s="1"/>
  <c r="W747" i="1" a="1"/>
  <c r="W747" i="1" s="1"/>
  <c r="W748" i="1" a="1"/>
  <c r="W748" i="1" s="1"/>
  <c r="W749" i="1" a="1"/>
  <c r="W749" i="1" s="1"/>
  <c r="W750" i="1" a="1"/>
  <c r="W750" i="1" s="1"/>
  <c r="W751" i="1" a="1"/>
  <c r="W751" i="1" s="1"/>
  <c r="W752" i="1" a="1"/>
  <c r="W752" i="1" s="1"/>
  <c r="W753" i="1" a="1"/>
  <c r="W753" i="1" s="1"/>
  <c r="W754" i="1" a="1"/>
  <c r="W754" i="1" s="1"/>
  <c r="W755" i="1" a="1"/>
  <c r="W755" i="1" s="1"/>
  <c r="W756" i="1" a="1"/>
  <c r="W756" i="1" s="1"/>
  <c r="W757" i="1" a="1"/>
  <c r="W757" i="1" s="1"/>
  <c r="W758" i="1" a="1"/>
  <c r="W758" i="1" s="1"/>
  <c r="W759" i="1" a="1"/>
  <c r="W759" i="1" s="1"/>
  <c r="W760" i="1" a="1"/>
  <c r="W760" i="1" s="1"/>
  <c r="W761" i="1" a="1"/>
  <c r="W761" i="1" s="1"/>
  <c r="W762" i="1" a="1"/>
  <c r="W762" i="1" s="1"/>
  <c r="W763" i="1" a="1"/>
  <c r="W763" i="1" s="1"/>
  <c r="W764" i="1" a="1"/>
  <c r="W764" i="1" s="1"/>
  <c r="W765" i="1" a="1"/>
  <c r="W765" i="1" s="1"/>
  <c r="W766" i="1" a="1"/>
  <c r="W766" i="1" s="1"/>
  <c r="W767" i="1" a="1"/>
  <c r="W767" i="1" s="1"/>
  <c r="W768" i="1" a="1"/>
  <c r="W768" i="1" s="1"/>
  <c r="W769" i="1" a="1"/>
  <c r="W769" i="1" s="1"/>
  <c r="W770" i="1" a="1"/>
  <c r="W770" i="1" s="1"/>
  <c r="W771" i="1" a="1"/>
  <c r="W771" i="1" s="1"/>
  <c r="W772" i="1" a="1"/>
  <c r="W772" i="1" s="1"/>
  <c r="W773" i="1" a="1"/>
  <c r="W773" i="1" s="1"/>
  <c r="W774" i="1" a="1"/>
  <c r="W774" i="1" s="1"/>
  <c r="W775" i="1" a="1"/>
  <c r="W775" i="1" s="1"/>
  <c r="W776" i="1" a="1"/>
  <c r="W776" i="1" s="1"/>
  <c r="W777" i="1" a="1"/>
  <c r="W777" i="1" s="1"/>
  <c r="W778" i="1" a="1"/>
  <c r="W778" i="1" s="1"/>
  <c r="W779" i="1" a="1"/>
  <c r="W779" i="1" s="1"/>
  <c r="W780" i="1" a="1"/>
  <c r="W780" i="1" s="1"/>
  <c r="W781" i="1" a="1"/>
  <c r="W781" i="1" s="1"/>
  <c r="W782" i="1" a="1"/>
  <c r="W782" i="1" s="1"/>
  <c r="W783" i="1" a="1"/>
  <c r="W783" i="1" s="1"/>
  <c r="W784" i="1" a="1"/>
  <c r="W784" i="1" s="1"/>
  <c r="W785" i="1" a="1"/>
  <c r="W785" i="1" s="1"/>
  <c r="W786" i="1" a="1"/>
  <c r="W786" i="1" s="1"/>
  <c r="W787" i="1" a="1"/>
  <c r="W787" i="1" s="1"/>
  <c r="W788" i="1" a="1"/>
  <c r="W788" i="1" s="1"/>
  <c r="W789" i="1" a="1"/>
  <c r="W789" i="1" s="1"/>
  <c r="W790" i="1" a="1"/>
  <c r="W790" i="1" s="1"/>
  <c r="W791" i="1" a="1"/>
  <c r="W791" i="1" s="1"/>
  <c r="W792" i="1" a="1"/>
  <c r="W792" i="1" s="1"/>
  <c r="W793" i="1" a="1"/>
  <c r="W793" i="1" s="1"/>
  <c r="W794" i="1" a="1"/>
  <c r="W794" i="1" s="1"/>
  <c r="W795" i="1" a="1"/>
  <c r="W795" i="1" s="1"/>
  <c r="W796" i="1" a="1"/>
  <c r="W796" i="1" s="1"/>
  <c r="W797" i="1" a="1"/>
  <c r="W797" i="1" s="1"/>
  <c r="W798" i="1" a="1"/>
  <c r="W798" i="1" s="1"/>
  <c r="W799" i="1" a="1"/>
  <c r="W799" i="1" s="1"/>
  <c r="W800" i="1" a="1"/>
  <c r="W800" i="1" s="1"/>
  <c r="W801" i="1" a="1"/>
  <c r="W801" i="1" s="1"/>
  <c r="W802" i="1" a="1"/>
  <c r="W802" i="1" s="1"/>
  <c r="W803" i="1" a="1"/>
  <c r="W803" i="1" s="1"/>
  <c r="W804" i="1" a="1"/>
  <c r="W804" i="1" s="1"/>
  <c r="W805" i="1" a="1"/>
  <c r="W805" i="1" s="1"/>
  <c r="W806" i="1" a="1"/>
  <c r="W806" i="1" s="1"/>
  <c r="W807" i="1" a="1"/>
  <c r="W807" i="1" s="1"/>
  <c r="W808" i="1" a="1"/>
  <c r="W808" i="1" s="1"/>
  <c r="W809" i="1" a="1"/>
  <c r="W809" i="1" s="1"/>
  <c r="W810" i="1" a="1"/>
  <c r="W810" i="1" s="1"/>
  <c r="W811" i="1" a="1"/>
  <c r="W811" i="1" s="1"/>
  <c r="W812" i="1" a="1"/>
  <c r="W812" i="1" s="1"/>
  <c r="W813" i="1" a="1"/>
  <c r="W813" i="1" s="1"/>
  <c r="W814" i="1" a="1"/>
  <c r="W814" i="1" s="1"/>
  <c r="W815" i="1" a="1"/>
  <c r="W815" i="1" s="1"/>
  <c r="W816" i="1" a="1"/>
  <c r="W816" i="1" s="1"/>
  <c r="W817" i="1" a="1"/>
  <c r="W817" i="1" s="1"/>
  <c r="W818" i="1" a="1"/>
  <c r="W818" i="1" s="1"/>
  <c r="W819" i="1" a="1"/>
  <c r="W819" i="1" s="1"/>
  <c r="W820" i="1" a="1"/>
  <c r="W820" i="1" s="1"/>
  <c r="W821" i="1" a="1"/>
  <c r="W821" i="1" s="1"/>
  <c r="W822" i="1" a="1"/>
  <c r="W822" i="1" s="1"/>
  <c r="W823" i="1" a="1"/>
  <c r="W823" i="1" s="1"/>
  <c r="W824" i="1" a="1"/>
  <c r="W824" i="1" s="1"/>
  <c r="W825" i="1" a="1"/>
  <c r="W825" i="1" s="1"/>
  <c r="W826" i="1" a="1"/>
  <c r="W826" i="1" s="1"/>
  <c r="W827" i="1" a="1"/>
  <c r="W827" i="1" s="1"/>
  <c r="W828" i="1" a="1"/>
  <c r="W828" i="1" s="1"/>
  <c r="W829" i="1" a="1"/>
  <c r="W829" i="1" s="1"/>
  <c r="W830" i="1" a="1"/>
  <c r="W830" i="1" s="1"/>
  <c r="W831" i="1" a="1"/>
  <c r="W831" i="1" s="1"/>
  <c r="W832" i="1" a="1"/>
  <c r="W832" i="1" s="1"/>
  <c r="W833" i="1" a="1"/>
  <c r="W833" i="1" s="1"/>
  <c r="W834" i="1" a="1"/>
  <c r="W834" i="1" s="1"/>
  <c r="W835" i="1" a="1"/>
  <c r="W835" i="1" s="1"/>
  <c r="W836" i="1" a="1"/>
  <c r="W836" i="1" s="1"/>
  <c r="W837" i="1" a="1"/>
  <c r="W837" i="1" s="1"/>
  <c r="W838" i="1" a="1"/>
  <c r="W838" i="1" s="1"/>
  <c r="W839" i="1" a="1"/>
  <c r="W839" i="1" s="1"/>
  <c r="W840" i="1" a="1"/>
  <c r="W840" i="1" s="1"/>
  <c r="W841" i="1" a="1"/>
  <c r="W841" i="1" s="1"/>
  <c r="W842" i="1" a="1"/>
  <c r="W842" i="1" s="1"/>
  <c r="W843" i="1" a="1"/>
  <c r="W843" i="1" s="1"/>
  <c r="W844" i="1" a="1"/>
  <c r="W844" i="1" s="1"/>
  <c r="W845" i="1" a="1"/>
  <c r="W845" i="1" s="1"/>
  <c r="W846" i="1" a="1"/>
  <c r="W846" i="1" s="1"/>
  <c r="W847" i="1" a="1"/>
  <c r="W847" i="1" s="1"/>
  <c r="W848" i="1" a="1"/>
  <c r="W848" i="1" s="1"/>
  <c r="W849" i="1" a="1"/>
  <c r="W849" i="1" s="1"/>
  <c r="W850" i="1" a="1"/>
  <c r="W850" i="1" s="1"/>
  <c r="W851" i="1" a="1"/>
  <c r="W851" i="1" s="1"/>
  <c r="W852" i="1" a="1"/>
  <c r="W852" i="1" s="1"/>
  <c r="W853" i="1" a="1"/>
  <c r="W853" i="1" s="1"/>
  <c r="W854" i="1" a="1"/>
  <c r="W854" i="1" s="1"/>
  <c r="W855" i="1" a="1"/>
  <c r="W855" i="1" s="1"/>
  <c r="W856" i="1" a="1"/>
  <c r="W856" i="1" s="1"/>
  <c r="W857" i="1" a="1"/>
  <c r="W857" i="1" s="1"/>
  <c r="W858" i="1" a="1"/>
  <c r="W858" i="1" s="1"/>
  <c r="W859" i="1" a="1"/>
  <c r="W859" i="1" s="1"/>
  <c r="W860" i="1" a="1"/>
  <c r="W860" i="1" s="1"/>
  <c r="AN5" i="1" l="1"/>
  <c r="AM5" i="1" s="1"/>
  <c r="AQ5" i="1" s="1"/>
  <c r="AK457" i="1"/>
  <c r="AL457" i="1"/>
  <c r="AK456" i="1"/>
  <c r="AL456" i="1"/>
  <c r="AK455" i="1"/>
  <c r="AL455" i="1"/>
  <c r="AL454" i="1"/>
  <c r="AK454" i="1"/>
  <c r="AK453" i="1"/>
  <c r="AL453" i="1"/>
  <c r="AK452" i="1"/>
  <c r="AL452" i="1"/>
  <c r="AK451" i="1"/>
  <c r="AL451" i="1"/>
  <c r="AL450" i="1"/>
  <c r="AK450" i="1"/>
  <c r="AK449" i="1"/>
  <c r="AL449" i="1"/>
  <c r="AK448" i="1"/>
  <c r="AL448" i="1"/>
  <c r="AK447" i="1"/>
  <c r="AL447" i="1"/>
  <c r="AL446" i="1"/>
  <c r="AK446" i="1"/>
  <c r="AK445" i="1"/>
  <c r="AL445" i="1"/>
  <c r="AK444" i="1"/>
  <c r="AL444" i="1"/>
  <c r="AK443" i="1"/>
  <c r="AL443" i="1"/>
  <c r="AL442" i="1"/>
  <c r="AK442" i="1"/>
  <c r="AK441" i="1"/>
  <c r="AL441" i="1"/>
  <c r="AK440" i="1"/>
  <c r="AL440" i="1"/>
  <c r="AK439" i="1"/>
  <c r="AL439" i="1"/>
  <c r="AL438" i="1"/>
  <c r="AK438" i="1"/>
  <c r="AK437" i="1"/>
  <c r="AL437" i="1"/>
  <c r="AK436" i="1"/>
  <c r="AL436" i="1"/>
  <c r="AK435" i="1"/>
  <c r="AL435" i="1"/>
  <c r="AL434" i="1"/>
  <c r="AK434" i="1"/>
  <c r="AK433" i="1"/>
  <c r="AL433" i="1"/>
  <c r="AK432" i="1"/>
  <c r="AL432" i="1"/>
  <c r="AK431" i="1"/>
  <c r="AL431" i="1"/>
  <c r="AL430" i="1"/>
  <c r="AK430" i="1"/>
  <c r="AK429" i="1"/>
  <c r="AL429" i="1"/>
  <c r="AK428" i="1"/>
  <c r="AL428" i="1"/>
  <c r="AK427" i="1"/>
  <c r="AL427" i="1"/>
  <c r="AL426" i="1"/>
  <c r="AK426" i="1"/>
  <c r="AK425" i="1"/>
  <c r="AL425" i="1"/>
  <c r="AK424" i="1"/>
  <c r="AL424" i="1"/>
  <c r="AK423" i="1"/>
  <c r="AL423" i="1"/>
  <c r="AL422" i="1"/>
  <c r="AK422" i="1"/>
  <c r="AK421" i="1"/>
  <c r="AL421" i="1"/>
  <c r="AK420" i="1"/>
  <c r="AL420" i="1"/>
  <c r="AK419" i="1"/>
  <c r="AL419" i="1"/>
  <c r="AK418" i="1"/>
  <c r="AL418" i="1"/>
  <c r="AK417" i="1"/>
  <c r="AL417" i="1"/>
  <c r="AK416" i="1"/>
  <c r="AL416" i="1"/>
  <c r="AK415" i="1"/>
  <c r="AL415" i="1"/>
  <c r="AK414" i="1"/>
  <c r="AL414" i="1"/>
  <c r="AK413" i="1"/>
  <c r="AL413" i="1"/>
  <c r="AK412" i="1"/>
  <c r="AL412" i="1"/>
  <c r="AK411" i="1"/>
  <c r="AL411" i="1"/>
  <c r="AL410" i="1"/>
  <c r="AK410" i="1"/>
  <c r="AK409" i="1"/>
  <c r="AL409" i="1"/>
  <c r="AK408" i="1"/>
  <c r="AL408" i="1"/>
  <c r="AK407" i="1"/>
  <c r="AL407" i="1"/>
  <c r="AK406" i="1"/>
  <c r="AL406" i="1"/>
  <c r="AK405" i="1"/>
  <c r="AL405" i="1"/>
  <c r="AK404" i="1"/>
  <c r="AL404" i="1"/>
  <c r="AK403" i="1"/>
  <c r="AL403" i="1"/>
  <c r="AL402" i="1"/>
  <c r="AK402" i="1"/>
  <c r="AK401" i="1"/>
  <c r="AL401" i="1"/>
  <c r="AK400" i="1"/>
  <c r="AL400" i="1"/>
  <c r="AK399" i="1"/>
  <c r="AL399" i="1"/>
  <c r="AL398" i="1"/>
  <c r="AK398" i="1"/>
  <c r="AK397" i="1"/>
  <c r="AL397" i="1"/>
  <c r="AK396" i="1"/>
  <c r="AL396" i="1"/>
  <c r="AK395" i="1"/>
  <c r="AL395" i="1"/>
  <c r="AL394" i="1"/>
  <c r="AK394" i="1"/>
  <c r="AK393" i="1"/>
  <c r="AL393" i="1"/>
  <c r="AK392" i="1"/>
  <c r="AL392" i="1"/>
  <c r="AK391" i="1"/>
  <c r="AL391" i="1"/>
  <c r="AL390" i="1"/>
  <c r="AK390" i="1"/>
  <c r="AK389" i="1"/>
  <c r="AL389" i="1"/>
  <c r="AL388" i="1"/>
  <c r="AK388" i="1"/>
  <c r="AK387" i="1"/>
  <c r="AL387" i="1"/>
  <c r="AL386" i="1"/>
  <c r="AK386" i="1"/>
  <c r="AK385" i="1"/>
  <c r="AL385" i="1"/>
  <c r="AK384" i="1"/>
  <c r="AL384" i="1"/>
  <c r="AK383" i="1"/>
  <c r="AL383" i="1"/>
  <c r="AL382" i="1"/>
  <c r="AK382" i="1"/>
  <c r="AK381" i="1"/>
  <c r="AL381" i="1"/>
  <c r="AK380" i="1"/>
  <c r="AL380" i="1"/>
  <c r="AK379" i="1"/>
  <c r="AL379" i="1"/>
  <c r="AL378" i="1"/>
  <c r="AK378" i="1"/>
  <c r="AK377" i="1"/>
  <c r="AL377" i="1"/>
  <c r="AL376" i="1"/>
  <c r="AK376" i="1"/>
  <c r="AK375" i="1"/>
  <c r="AL375" i="1"/>
  <c r="AL374" i="1"/>
  <c r="AK374" i="1"/>
  <c r="AK373" i="1"/>
  <c r="AL373" i="1"/>
  <c r="AK372" i="1"/>
  <c r="AL372" i="1"/>
  <c r="AK371" i="1"/>
  <c r="AL371" i="1"/>
  <c r="AL370" i="1"/>
  <c r="AK370" i="1"/>
  <c r="AK369" i="1"/>
  <c r="AL369" i="1"/>
  <c r="AK368" i="1"/>
  <c r="AL368" i="1"/>
  <c r="AK367" i="1"/>
  <c r="AL367" i="1"/>
  <c r="AL366" i="1"/>
  <c r="AK366" i="1"/>
  <c r="AK365" i="1"/>
  <c r="AL365" i="1"/>
  <c r="AK364" i="1"/>
  <c r="AL364" i="1"/>
  <c r="AK363" i="1"/>
  <c r="AL363" i="1"/>
  <c r="AL362" i="1"/>
  <c r="AK362" i="1"/>
  <c r="AK361" i="1"/>
  <c r="AL361" i="1"/>
  <c r="AK360" i="1"/>
  <c r="AL360" i="1"/>
  <c r="AK359" i="1"/>
  <c r="AL359" i="1"/>
  <c r="AL358" i="1"/>
  <c r="AK358" i="1"/>
  <c r="AK357" i="1"/>
  <c r="AL357" i="1"/>
  <c r="AK356" i="1"/>
  <c r="AL356" i="1"/>
  <c r="AL355" i="1"/>
  <c r="AK355" i="1"/>
  <c r="AL354" i="1"/>
  <c r="AK354" i="1"/>
  <c r="AK353" i="1"/>
  <c r="AL353" i="1"/>
  <c r="AK352" i="1"/>
  <c r="AL352" i="1"/>
  <c r="AK351" i="1"/>
  <c r="AL351" i="1"/>
  <c r="AL350" i="1"/>
  <c r="AK350" i="1"/>
  <c r="AK349" i="1"/>
  <c r="AL349" i="1"/>
  <c r="AK348" i="1"/>
  <c r="AL348" i="1"/>
  <c r="AK347" i="1"/>
  <c r="AL347" i="1"/>
  <c r="AL346" i="1"/>
  <c r="AK346" i="1"/>
  <c r="AK345" i="1"/>
  <c r="AL345" i="1"/>
  <c r="AK344" i="1"/>
  <c r="AL344" i="1"/>
  <c r="AL343" i="1"/>
  <c r="AK343" i="1"/>
  <c r="AL342" i="1"/>
  <c r="AK342" i="1"/>
  <c r="AK341" i="1"/>
  <c r="AL341" i="1"/>
  <c r="AK340" i="1"/>
  <c r="AL340" i="1"/>
  <c r="AK339" i="1"/>
  <c r="AL339" i="1"/>
  <c r="AL338" i="1"/>
  <c r="AK338" i="1"/>
  <c r="AK337" i="1"/>
  <c r="AL337" i="1"/>
  <c r="AK336" i="1"/>
  <c r="AL336" i="1"/>
  <c r="AK335" i="1"/>
  <c r="AL335" i="1"/>
  <c r="AK334" i="1"/>
  <c r="AL334" i="1"/>
  <c r="AK333" i="1"/>
  <c r="AL333" i="1"/>
  <c r="AK332" i="1"/>
  <c r="AL332" i="1"/>
  <c r="AK331" i="1"/>
  <c r="AL331" i="1"/>
  <c r="AK330" i="1"/>
  <c r="AL330" i="1"/>
  <c r="AK329" i="1"/>
  <c r="AL329" i="1"/>
  <c r="AK328" i="1"/>
  <c r="AL328" i="1"/>
  <c r="AK327" i="1"/>
  <c r="AL327" i="1"/>
  <c r="AK326" i="1"/>
  <c r="AL326" i="1"/>
  <c r="AK325" i="1"/>
  <c r="AL325" i="1"/>
  <c r="AK324" i="1"/>
  <c r="AL324" i="1"/>
  <c r="AK323" i="1"/>
  <c r="AL323" i="1"/>
  <c r="AK322" i="1"/>
  <c r="AL322" i="1"/>
  <c r="AK321" i="1"/>
  <c r="AL321" i="1"/>
  <c r="AK320" i="1"/>
  <c r="AL320" i="1"/>
  <c r="AL319" i="1"/>
  <c r="AK319" i="1"/>
  <c r="AL318" i="1"/>
  <c r="AK318" i="1"/>
  <c r="AK317" i="1"/>
  <c r="AL317" i="1"/>
  <c r="AK316" i="1"/>
  <c r="AL316" i="1"/>
  <c r="AL315" i="1"/>
  <c r="AK315" i="1"/>
  <c r="AK314" i="1"/>
  <c r="AL314" i="1"/>
  <c r="AK313" i="1"/>
  <c r="AL313" i="1"/>
  <c r="AK312" i="1"/>
  <c r="AL312" i="1"/>
  <c r="AK311" i="1"/>
  <c r="AL311" i="1"/>
  <c r="AK310" i="1"/>
  <c r="AL310" i="1"/>
  <c r="AK309" i="1"/>
  <c r="AL309" i="1"/>
  <c r="AK308" i="1"/>
  <c r="AL308" i="1"/>
  <c r="AK307" i="1"/>
  <c r="AL307" i="1"/>
  <c r="AK306" i="1"/>
  <c r="AL306" i="1"/>
  <c r="AL305" i="1"/>
  <c r="AK305" i="1"/>
  <c r="AK304" i="1"/>
  <c r="AL304" i="1"/>
  <c r="AK303" i="1"/>
  <c r="AL303" i="1"/>
  <c r="AK302" i="1"/>
  <c r="AL302" i="1"/>
  <c r="AK301" i="1"/>
  <c r="AL301" i="1"/>
  <c r="AK300" i="1"/>
  <c r="AL300" i="1"/>
  <c r="AK299" i="1"/>
  <c r="AL299" i="1"/>
  <c r="AK298" i="1"/>
  <c r="AL298" i="1"/>
  <c r="AK297" i="1"/>
  <c r="AL297" i="1"/>
  <c r="AK296" i="1"/>
  <c r="AL296" i="1"/>
  <c r="AK295" i="1"/>
  <c r="AL295" i="1"/>
  <c r="AK294" i="1"/>
  <c r="AL294" i="1"/>
  <c r="AK293" i="1"/>
  <c r="AL293" i="1"/>
  <c r="AK292" i="1"/>
  <c r="AL292" i="1"/>
  <c r="AL291" i="1"/>
  <c r="AK291" i="1"/>
  <c r="AK290" i="1"/>
  <c r="AL290" i="1"/>
  <c r="AL289" i="1"/>
  <c r="AK289" i="1"/>
  <c r="AK288" i="1"/>
  <c r="AL288" i="1"/>
  <c r="AK287" i="1"/>
  <c r="AL287" i="1"/>
  <c r="AK286" i="1"/>
  <c r="AL286" i="1"/>
  <c r="AK285" i="1"/>
  <c r="AL285" i="1"/>
  <c r="AK284" i="1"/>
  <c r="AL284" i="1"/>
  <c r="AK283" i="1"/>
  <c r="AL283" i="1"/>
  <c r="AK282" i="1"/>
  <c r="AL282" i="1"/>
  <c r="AL281" i="1"/>
  <c r="AK281" i="1"/>
  <c r="AK280" i="1"/>
  <c r="AL280" i="1"/>
  <c r="AK279" i="1"/>
  <c r="AL279" i="1"/>
  <c r="AL278" i="1"/>
  <c r="AK278" i="1"/>
  <c r="AK277" i="1"/>
  <c r="AL277" i="1"/>
  <c r="AK276" i="1"/>
  <c r="AL276" i="1"/>
  <c r="AK275" i="1"/>
  <c r="AL275" i="1"/>
  <c r="AK274" i="1"/>
  <c r="AL274" i="1"/>
  <c r="AK273" i="1"/>
  <c r="AL273" i="1"/>
  <c r="AK272" i="1"/>
  <c r="AL272" i="1"/>
  <c r="AK271" i="1"/>
  <c r="AL271" i="1"/>
  <c r="AK270" i="1"/>
  <c r="AL270" i="1"/>
  <c r="AK269" i="1"/>
  <c r="AL269" i="1"/>
  <c r="AK268" i="1"/>
  <c r="AL268" i="1"/>
  <c r="AK267" i="1"/>
  <c r="AL267" i="1"/>
  <c r="AK266" i="1"/>
  <c r="AL266" i="1"/>
  <c r="AK265" i="1"/>
  <c r="AL265" i="1"/>
  <c r="AK264" i="1"/>
  <c r="AL264" i="1"/>
  <c r="AK263" i="1"/>
  <c r="AL263" i="1"/>
  <c r="AL262" i="1"/>
  <c r="AK262" i="1"/>
  <c r="AK261" i="1"/>
  <c r="AL261" i="1"/>
  <c r="AK260" i="1"/>
  <c r="AL260" i="1"/>
  <c r="AK259" i="1"/>
  <c r="AL259" i="1"/>
  <c r="AK258" i="1"/>
  <c r="AL258" i="1"/>
  <c r="AK257" i="1"/>
  <c r="AL257" i="1"/>
  <c r="AK256" i="1"/>
  <c r="AL256" i="1"/>
  <c r="AK255" i="1"/>
  <c r="AL255" i="1"/>
  <c r="AK254" i="1"/>
  <c r="AL254" i="1"/>
  <c r="AK253" i="1"/>
  <c r="AL253" i="1"/>
  <c r="AK252" i="1"/>
  <c r="AL252" i="1"/>
  <c r="AL251" i="1"/>
  <c r="AK251" i="1"/>
  <c r="AK250" i="1"/>
  <c r="AL250" i="1"/>
  <c r="AK249" i="1"/>
  <c r="AL249" i="1"/>
  <c r="AK248" i="1"/>
  <c r="AL248" i="1"/>
  <c r="AK247" i="1"/>
  <c r="AL247" i="1"/>
  <c r="AK246" i="1"/>
  <c r="AL246" i="1"/>
  <c r="AK245" i="1"/>
  <c r="AL245" i="1"/>
  <c r="AK244" i="1"/>
  <c r="AL244" i="1"/>
  <c r="AK243" i="1"/>
  <c r="AL243" i="1"/>
  <c r="AK242" i="1"/>
  <c r="AL242" i="1"/>
  <c r="AL241" i="1"/>
  <c r="AK241" i="1"/>
  <c r="AK240" i="1"/>
  <c r="AL240" i="1"/>
  <c r="AK239" i="1"/>
  <c r="AL239" i="1"/>
  <c r="AK238" i="1"/>
  <c r="AL238" i="1"/>
  <c r="AK237" i="1"/>
  <c r="AL237" i="1"/>
  <c r="AK236" i="1"/>
  <c r="AL236" i="1"/>
  <c r="AL235" i="1"/>
  <c r="AK235" i="1"/>
  <c r="AK234" i="1"/>
  <c r="AL234" i="1"/>
  <c r="AK233" i="1"/>
  <c r="AL233" i="1"/>
  <c r="AK232" i="1"/>
  <c r="AL232" i="1"/>
  <c r="AL231" i="1"/>
  <c r="AK231" i="1"/>
  <c r="AK230" i="1"/>
  <c r="AL230" i="1"/>
  <c r="AK229" i="1"/>
  <c r="AL229" i="1"/>
  <c r="AK228" i="1"/>
  <c r="AL228" i="1"/>
  <c r="AK227" i="1"/>
  <c r="AL227" i="1"/>
  <c r="AK226" i="1"/>
  <c r="AL226" i="1"/>
  <c r="AL225" i="1"/>
  <c r="AK225" i="1"/>
  <c r="AK224" i="1"/>
  <c r="AL224" i="1"/>
  <c r="AK223" i="1"/>
  <c r="AL223" i="1"/>
  <c r="AK222" i="1"/>
  <c r="AL222" i="1"/>
  <c r="AL221" i="1"/>
  <c r="AK221" i="1"/>
  <c r="AK220" i="1"/>
  <c r="AL220" i="1"/>
  <c r="AK219" i="1"/>
  <c r="AL219" i="1"/>
  <c r="AK218" i="1"/>
  <c r="AL218" i="1"/>
  <c r="AK217" i="1"/>
  <c r="AL217" i="1"/>
  <c r="AK216" i="1"/>
  <c r="AL216" i="1"/>
  <c r="AK215" i="1"/>
  <c r="AL215" i="1"/>
  <c r="AK214" i="1"/>
  <c r="AL214" i="1"/>
  <c r="AK213" i="1"/>
  <c r="AL213" i="1"/>
  <c r="AK212" i="1"/>
  <c r="AL212" i="1"/>
  <c r="AK211" i="1"/>
  <c r="AL211" i="1"/>
  <c r="AK210" i="1"/>
  <c r="AL210" i="1"/>
  <c r="AK209" i="1"/>
  <c r="AL209" i="1"/>
  <c r="AK208" i="1"/>
  <c r="AL208" i="1"/>
  <c r="AK207" i="1"/>
  <c r="AL207" i="1"/>
  <c r="AK206" i="1"/>
  <c r="AL206" i="1"/>
  <c r="AL205" i="1"/>
  <c r="AK205" i="1"/>
  <c r="AK204" i="1"/>
  <c r="AL204" i="1"/>
  <c r="AK203" i="1"/>
  <c r="AL203" i="1"/>
  <c r="AK202" i="1"/>
  <c r="AL202" i="1"/>
  <c r="AL201" i="1"/>
  <c r="AK201" i="1"/>
  <c r="AK200" i="1"/>
  <c r="AL200" i="1"/>
  <c r="AK199" i="1"/>
  <c r="AL199" i="1"/>
  <c r="AL198" i="1"/>
  <c r="AK198" i="1"/>
  <c r="AK197" i="1"/>
  <c r="AL197" i="1"/>
  <c r="AK196" i="1"/>
  <c r="AL196" i="1"/>
  <c r="AK195" i="1"/>
  <c r="AL195" i="1"/>
  <c r="AL194" i="1"/>
  <c r="AK194" i="1"/>
  <c r="AK193" i="1"/>
  <c r="AL193" i="1"/>
  <c r="AK192" i="1"/>
  <c r="AL192" i="1"/>
  <c r="AK191" i="1"/>
  <c r="AL191" i="1"/>
  <c r="AK190" i="1"/>
  <c r="AL190" i="1"/>
  <c r="AK189" i="1"/>
  <c r="AL189" i="1"/>
  <c r="AK188" i="1"/>
  <c r="AL188" i="1"/>
  <c r="AK187" i="1"/>
  <c r="AL187" i="1"/>
  <c r="AK186" i="1"/>
  <c r="AL186" i="1"/>
  <c r="AK185" i="1"/>
  <c r="AL185" i="1"/>
  <c r="AK184" i="1"/>
  <c r="AL184" i="1"/>
  <c r="AK183" i="1"/>
  <c r="AL183" i="1"/>
  <c r="AK182" i="1"/>
  <c r="AL182" i="1"/>
  <c r="AK181" i="1"/>
  <c r="AL181" i="1"/>
  <c r="AK180" i="1"/>
  <c r="AL180" i="1"/>
  <c r="AK179" i="1"/>
  <c r="AL179" i="1"/>
  <c r="AK178" i="1"/>
  <c r="AL178" i="1"/>
  <c r="AK177" i="1"/>
  <c r="AL177" i="1"/>
  <c r="AK176" i="1"/>
  <c r="AL176" i="1"/>
  <c r="AK175" i="1"/>
  <c r="AL175" i="1"/>
  <c r="AK174" i="1"/>
  <c r="AL174" i="1"/>
  <c r="AK173" i="1"/>
  <c r="AL173" i="1"/>
  <c r="AK172" i="1"/>
  <c r="AL172" i="1"/>
  <c r="AL171" i="1"/>
  <c r="AK171" i="1"/>
  <c r="AK170" i="1"/>
  <c r="AL170" i="1"/>
  <c r="AK169" i="1"/>
  <c r="AL169" i="1"/>
  <c r="AK168" i="1"/>
  <c r="AL168" i="1"/>
  <c r="AL167" i="1"/>
  <c r="AK167" i="1"/>
  <c r="AK166" i="1"/>
  <c r="AL166" i="1"/>
  <c r="AK165" i="1"/>
  <c r="AL165" i="1"/>
  <c r="AK164" i="1"/>
  <c r="AL164" i="1"/>
  <c r="AK163" i="1"/>
  <c r="AL163" i="1"/>
  <c r="AK162" i="1"/>
  <c r="AL162" i="1"/>
  <c r="AL161" i="1"/>
  <c r="AK161" i="1"/>
  <c r="AK160" i="1"/>
  <c r="AL160" i="1"/>
  <c r="AK159" i="1"/>
  <c r="AL159" i="1"/>
  <c r="AK158" i="1"/>
  <c r="AL158" i="1"/>
  <c r="AK157" i="1"/>
  <c r="AL157" i="1"/>
  <c r="AK156" i="1"/>
  <c r="AL156" i="1"/>
  <c r="AL155" i="1"/>
  <c r="AK155" i="1"/>
  <c r="AK154" i="1"/>
  <c r="AL154" i="1"/>
  <c r="AK153" i="1"/>
  <c r="AL153" i="1"/>
  <c r="AK152" i="1"/>
  <c r="AL152" i="1"/>
  <c r="AK151" i="1"/>
  <c r="AL151" i="1"/>
  <c r="AK150" i="1"/>
  <c r="AL150" i="1"/>
  <c r="AK149" i="1"/>
  <c r="AL149" i="1"/>
  <c r="AK148" i="1"/>
  <c r="AL148" i="1"/>
  <c r="AK147" i="1"/>
  <c r="AL147" i="1"/>
  <c r="AK146" i="1"/>
  <c r="AL146" i="1"/>
  <c r="AK145" i="1"/>
  <c r="AL145" i="1"/>
  <c r="AK144" i="1"/>
  <c r="AL144" i="1"/>
  <c r="AK143" i="1"/>
  <c r="AL143" i="1"/>
  <c r="AK142" i="1"/>
  <c r="AL142" i="1"/>
  <c r="AK141" i="1"/>
  <c r="AL141" i="1"/>
  <c r="AK140" i="1"/>
  <c r="AL140" i="1"/>
  <c r="AK139" i="1"/>
  <c r="AL139" i="1"/>
  <c r="AK138" i="1"/>
  <c r="AL138" i="1"/>
  <c r="AK137" i="1"/>
  <c r="AL137" i="1"/>
  <c r="AL136" i="1"/>
  <c r="AK136" i="1"/>
  <c r="AK135" i="1"/>
  <c r="AL135" i="1"/>
  <c r="AK134" i="1"/>
  <c r="AL134" i="1"/>
  <c r="AK133" i="1"/>
  <c r="AL133" i="1"/>
  <c r="AK132" i="1"/>
  <c r="AL132" i="1"/>
  <c r="AK131" i="1"/>
  <c r="AL131" i="1"/>
  <c r="AL130" i="1"/>
  <c r="AK130" i="1"/>
  <c r="AL129" i="1"/>
  <c r="AK129" i="1"/>
  <c r="AK128" i="1"/>
  <c r="AL128" i="1"/>
  <c r="AL127" i="1"/>
  <c r="AK127" i="1"/>
  <c r="AK126" i="1"/>
  <c r="AL126" i="1"/>
  <c r="AK125" i="1"/>
  <c r="AL125" i="1"/>
  <c r="AL124" i="1"/>
  <c r="AK124" i="1"/>
  <c r="AK123" i="1"/>
  <c r="AL123" i="1"/>
  <c r="AK122" i="1"/>
  <c r="AL122" i="1"/>
  <c r="AK121" i="1"/>
  <c r="AL121" i="1"/>
  <c r="AK120" i="1"/>
  <c r="AL120" i="1"/>
  <c r="AK119" i="1"/>
  <c r="AL119" i="1"/>
  <c r="AK118" i="1"/>
  <c r="AL118" i="1"/>
  <c r="AK117" i="1"/>
  <c r="AL117" i="1"/>
  <c r="AK116" i="1"/>
  <c r="AL116" i="1"/>
  <c r="AK115" i="1"/>
  <c r="AL115" i="1"/>
  <c r="AL114" i="1"/>
  <c r="AK114" i="1"/>
  <c r="AK113" i="1"/>
  <c r="AL113" i="1"/>
  <c r="AK112" i="1"/>
  <c r="AL112" i="1"/>
  <c r="AK111" i="1"/>
  <c r="AL111" i="1"/>
  <c r="AK110" i="1"/>
  <c r="AL110" i="1"/>
  <c r="AK109" i="1"/>
  <c r="AL109" i="1"/>
  <c r="AK108" i="1"/>
  <c r="AL108" i="1"/>
  <c r="AK107" i="1"/>
  <c r="AL107" i="1"/>
  <c r="AK106" i="1"/>
  <c r="AL106" i="1"/>
  <c r="AK105" i="1"/>
  <c r="AL105" i="1"/>
  <c r="AK104" i="1"/>
  <c r="AL104" i="1"/>
  <c r="AL103" i="1"/>
  <c r="AK103" i="1"/>
  <c r="AK102" i="1"/>
  <c r="AL102" i="1"/>
  <c r="AK101" i="1"/>
  <c r="AL101" i="1"/>
  <c r="AK100" i="1"/>
  <c r="AL100" i="1"/>
  <c r="AK99" i="1"/>
  <c r="AL99" i="1"/>
  <c r="AL98" i="1"/>
  <c r="AK98" i="1"/>
  <c r="AK97" i="1"/>
  <c r="AL97" i="1"/>
  <c r="AK96" i="1"/>
  <c r="AL96" i="1"/>
  <c r="AL95" i="1"/>
  <c r="AK95" i="1"/>
  <c r="AL94" i="1"/>
  <c r="AK94" i="1"/>
  <c r="AK93" i="1"/>
  <c r="AL93" i="1"/>
  <c r="AL92" i="1"/>
  <c r="AK92" i="1"/>
  <c r="AK91" i="1"/>
  <c r="AL91" i="1"/>
  <c r="AK90" i="1"/>
  <c r="AL90" i="1"/>
  <c r="AK89" i="1"/>
  <c r="AL89" i="1"/>
  <c r="AK88" i="1"/>
  <c r="AL88" i="1"/>
  <c r="AL87" i="1"/>
  <c r="AK87" i="1"/>
  <c r="AK86" i="1"/>
  <c r="AL86" i="1"/>
  <c r="AK85" i="1"/>
  <c r="AL85" i="1"/>
  <c r="AK84" i="1"/>
  <c r="AL84" i="1"/>
  <c r="AK83" i="1"/>
  <c r="AL83" i="1"/>
  <c r="AK82" i="1"/>
  <c r="AL82" i="1"/>
  <c r="AL81" i="1"/>
  <c r="AK81" i="1"/>
  <c r="AK80" i="1"/>
  <c r="AL80" i="1"/>
  <c r="AK79" i="1"/>
  <c r="AL79" i="1"/>
  <c r="AK78" i="1"/>
  <c r="AL78" i="1"/>
  <c r="AK77" i="1"/>
  <c r="AL77" i="1"/>
  <c r="AL76" i="1"/>
  <c r="AK76" i="1"/>
  <c r="AK75" i="1"/>
  <c r="AL75" i="1"/>
  <c r="AK74" i="1"/>
  <c r="AL74" i="1"/>
  <c r="AK73" i="1"/>
  <c r="AL73" i="1"/>
  <c r="AK72" i="1"/>
  <c r="AL72" i="1"/>
  <c r="AK71" i="1"/>
  <c r="AL71" i="1"/>
  <c r="AK70" i="1"/>
  <c r="AL70" i="1"/>
  <c r="AK69" i="1"/>
  <c r="AL69" i="1"/>
  <c r="AK68" i="1"/>
  <c r="AL68" i="1"/>
  <c r="AK67" i="1"/>
  <c r="AL67" i="1"/>
  <c r="AL66" i="1"/>
  <c r="AK66" i="1"/>
  <c r="AK65" i="1"/>
  <c r="AL65" i="1"/>
  <c r="AK64" i="1"/>
  <c r="AL64" i="1"/>
  <c r="AL63" i="1"/>
  <c r="AK63" i="1"/>
  <c r="AK62" i="1"/>
  <c r="AL62" i="1"/>
  <c r="AK61" i="1"/>
  <c r="AL61" i="1"/>
  <c r="AL60" i="1"/>
  <c r="AK60" i="1"/>
  <c r="AK59" i="1"/>
  <c r="AL59" i="1"/>
  <c r="AK58" i="1"/>
  <c r="AL58" i="1"/>
  <c r="AK57" i="1"/>
  <c r="AL57" i="1"/>
  <c r="AK56" i="1"/>
  <c r="AL56" i="1"/>
  <c r="AK55" i="1"/>
  <c r="AL55" i="1"/>
  <c r="AK54" i="1"/>
  <c r="AL54" i="1"/>
  <c r="AK53" i="1"/>
  <c r="AL53" i="1"/>
  <c r="AL52" i="1"/>
  <c r="AK52" i="1"/>
  <c r="AK51" i="1"/>
  <c r="AL51" i="1"/>
  <c r="AL50" i="1"/>
  <c r="AK50" i="1"/>
  <c r="AL49" i="1"/>
  <c r="AK49" i="1"/>
  <c r="AK48" i="1"/>
  <c r="AL48" i="1"/>
  <c r="AL47" i="1"/>
  <c r="AK47" i="1"/>
  <c r="AK46" i="1"/>
  <c r="AL46" i="1"/>
  <c r="AK45" i="1"/>
  <c r="AL45" i="1"/>
  <c r="AL44" i="1"/>
  <c r="AK44" i="1"/>
  <c r="AK43" i="1"/>
  <c r="AL43" i="1"/>
  <c r="AL42" i="1"/>
  <c r="AK42" i="1"/>
  <c r="AK41" i="1"/>
  <c r="AL41" i="1"/>
  <c r="AK40" i="1"/>
  <c r="AL40" i="1"/>
  <c r="AL39" i="1"/>
  <c r="AK39" i="1"/>
  <c r="AK38" i="1"/>
  <c r="AL38" i="1"/>
  <c r="AK37" i="1"/>
  <c r="AL37" i="1"/>
  <c r="AL36" i="1"/>
  <c r="AK36" i="1"/>
  <c r="AK35" i="1"/>
  <c r="AL35" i="1"/>
  <c r="AL34" i="1"/>
  <c r="AK34" i="1"/>
  <c r="AK33" i="1"/>
  <c r="AL33" i="1"/>
  <c r="AK32" i="1"/>
  <c r="AL32" i="1"/>
  <c r="AL31" i="1"/>
  <c r="AK31" i="1"/>
  <c r="AK30" i="1"/>
  <c r="AL30" i="1"/>
  <c r="AK29" i="1"/>
  <c r="AL29" i="1"/>
  <c r="AL28" i="1"/>
  <c r="AK28" i="1"/>
  <c r="AK27" i="1"/>
  <c r="AL27" i="1"/>
  <c r="AL26" i="1"/>
  <c r="AK26" i="1"/>
  <c r="AK25" i="1"/>
  <c r="AL25" i="1"/>
  <c r="AK24" i="1"/>
  <c r="AL24" i="1"/>
  <c r="AL23" i="1"/>
  <c r="AK23" i="1"/>
  <c r="AK22" i="1"/>
  <c r="AL22" i="1"/>
  <c r="AK21" i="1"/>
  <c r="AL21" i="1"/>
  <c r="AL20" i="1"/>
  <c r="AK20" i="1"/>
  <c r="AK19" i="1"/>
  <c r="AL19" i="1"/>
  <c r="AK18" i="1"/>
  <c r="AL18" i="1"/>
  <c r="AK17" i="1"/>
  <c r="AL17" i="1"/>
  <c r="AK16" i="1"/>
  <c r="AL16" i="1"/>
  <c r="AK15" i="1"/>
  <c r="AL15" i="1"/>
  <c r="AK14" i="1"/>
  <c r="AL14" i="1"/>
  <c r="AK13" i="1"/>
  <c r="AL13" i="1"/>
  <c r="AK12" i="1"/>
  <c r="AL12" i="1"/>
  <c r="AK11" i="1"/>
  <c r="AL11" i="1"/>
  <c r="AL10" i="1"/>
  <c r="AK10" i="1"/>
  <c r="AK9" i="1"/>
  <c r="AL9" i="1"/>
  <c r="AK8" i="1"/>
  <c r="AL8" i="1"/>
  <c r="AL7" i="1"/>
  <c r="AK7" i="1"/>
  <c r="AK6" i="1"/>
  <c r="AL6" i="1"/>
  <c r="AK5" i="1"/>
  <c r="AO5" i="1" s="1"/>
  <c r="AL5" i="1"/>
  <c r="AP5" i="1" s="1"/>
  <c r="AO6" i="1" l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O182" i="1" s="1"/>
  <c r="AO183" i="1" s="1"/>
  <c r="AO184" i="1" s="1"/>
  <c r="AO185" i="1" s="1"/>
  <c r="AO186" i="1" s="1"/>
  <c r="AO187" i="1" s="1"/>
  <c r="AO188" i="1" s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O218" i="1" s="1"/>
  <c r="AO219" i="1" s="1"/>
  <c r="AO220" i="1" s="1"/>
  <c r="AO221" i="1" s="1"/>
  <c r="AO222" i="1" s="1"/>
  <c r="AO223" i="1" s="1"/>
  <c r="AO224" i="1" s="1"/>
  <c r="AO225" i="1" s="1"/>
  <c r="AO226" i="1" s="1"/>
  <c r="AO227" i="1" s="1"/>
  <c r="AO228" i="1" s="1"/>
  <c r="AO229" i="1" s="1"/>
  <c r="AO230" i="1" s="1"/>
  <c r="AO231" i="1" s="1"/>
  <c r="AO232" i="1" s="1"/>
  <c r="AO233" i="1" s="1"/>
  <c r="AO234" i="1" s="1"/>
  <c r="AO235" i="1" s="1"/>
  <c r="AO236" i="1" s="1"/>
  <c r="AO237" i="1" s="1"/>
  <c r="AO238" i="1" s="1"/>
  <c r="AO239" i="1" s="1"/>
  <c r="AO240" i="1" s="1"/>
  <c r="AO241" i="1" s="1"/>
  <c r="AO242" i="1" s="1"/>
  <c r="AO243" i="1" s="1"/>
  <c r="AO244" i="1" s="1"/>
  <c r="AO245" i="1" s="1"/>
  <c r="AO246" i="1" s="1"/>
  <c r="AO247" i="1" s="1"/>
  <c r="AO248" i="1" s="1"/>
  <c r="AO249" i="1" s="1"/>
  <c r="AO250" i="1" s="1"/>
  <c r="AO251" i="1" s="1"/>
  <c r="AO252" i="1" s="1"/>
  <c r="AO253" i="1" s="1"/>
  <c r="AO254" i="1" s="1"/>
  <c r="AO255" i="1" s="1"/>
  <c r="AO256" i="1" s="1"/>
  <c r="AO257" i="1" s="1"/>
  <c r="AO258" i="1" s="1"/>
  <c r="AO259" i="1" s="1"/>
  <c r="AO260" i="1" s="1"/>
  <c r="AO261" i="1" s="1"/>
  <c r="AO262" i="1" s="1"/>
  <c r="AO263" i="1" s="1"/>
  <c r="AO264" i="1" s="1"/>
  <c r="AO265" i="1" s="1"/>
  <c r="AO266" i="1" s="1"/>
  <c r="AO267" i="1" s="1"/>
  <c r="AO268" i="1" s="1"/>
  <c r="AO269" i="1" s="1"/>
  <c r="AO270" i="1" s="1"/>
  <c r="AO271" i="1" s="1"/>
  <c r="AO272" i="1" s="1"/>
  <c r="AO273" i="1" s="1"/>
  <c r="AO274" i="1" s="1"/>
  <c r="AO275" i="1" s="1"/>
  <c r="AO276" i="1" s="1"/>
  <c r="AO277" i="1" s="1"/>
  <c r="AO278" i="1" s="1"/>
  <c r="AO279" i="1" s="1"/>
  <c r="AO280" i="1" s="1"/>
  <c r="AO281" i="1" s="1"/>
  <c r="AO282" i="1" s="1"/>
  <c r="AO283" i="1" s="1"/>
  <c r="AO284" i="1" s="1"/>
  <c r="AO285" i="1" s="1"/>
  <c r="AO286" i="1" s="1"/>
  <c r="AO287" i="1" s="1"/>
  <c r="AO288" i="1" s="1"/>
  <c r="AO289" i="1" s="1"/>
  <c r="AO290" i="1" s="1"/>
  <c r="AO291" i="1" s="1"/>
  <c r="AO292" i="1" s="1"/>
  <c r="AO293" i="1" s="1"/>
  <c r="AO294" i="1" s="1"/>
  <c r="AO295" i="1" s="1"/>
  <c r="AO296" i="1" s="1"/>
  <c r="AO297" i="1" s="1"/>
  <c r="AO298" i="1" s="1"/>
  <c r="AO299" i="1" s="1"/>
  <c r="AO300" i="1" s="1"/>
  <c r="AO301" i="1" s="1"/>
  <c r="AO302" i="1" s="1"/>
  <c r="AO303" i="1" s="1"/>
  <c r="AO304" i="1" s="1"/>
  <c r="AO305" i="1" s="1"/>
  <c r="AO306" i="1" s="1"/>
  <c r="AO307" i="1" s="1"/>
  <c r="AO308" i="1" s="1"/>
  <c r="AO309" i="1" s="1"/>
  <c r="AO310" i="1" s="1"/>
  <c r="AO311" i="1" s="1"/>
  <c r="AO312" i="1" s="1"/>
  <c r="AO313" i="1" s="1"/>
  <c r="AO314" i="1" s="1"/>
  <c r="AO315" i="1" s="1"/>
  <c r="AO316" i="1" s="1"/>
  <c r="AO317" i="1" s="1"/>
  <c r="AO318" i="1" s="1"/>
  <c r="AO319" i="1" s="1"/>
  <c r="AO320" i="1" s="1"/>
  <c r="AO321" i="1" s="1"/>
  <c r="AO322" i="1" s="1"/>
  <c r="AO323" i="1" s="1"/>
  <c r="AO324" i="1" s="1"/>
  <c r="AO325" i="1" s="1"/>
  <c r="AO326" i="1" s="1"/>
  <c r="AO327" i="1" s="1"/>
  <c r="AO328" i="1" s="1"/>
  <c r="AO329" i="1" s="1"/>
  <c r="AO330" i="1" s="1"/>
  <c r="AO331" i="1" s="1"/>
  <c r="AO332" i="1" s="1"/>
  <c r="AO333" i="1" s="1"/>
  <c r="AO334" i="1" s="1"/>
  <c r="AO335" i="1" s="1"/>
  <c r="AO336" i="1" s="1"/>
  <c r="AO337" i="1" s="1"/>
  <c r="AO338" i="1" s="1"/>
  <c r="AO339" i="1" s="1"/>
  <c r="AO340" i="1" s="1"/>
  <c r="AO341" i="1" s="1"/>
  <c r="AO342" i="1" s="1"/>
  <c r="AO343" i="1" s="1"/>
  <c r="AO344" i="1" s="1"/>
  <c r="AO345" i="1" s="1"/>
  <c r="AO346" i="1" s="1"/>
  <c r="AO347" i="1" s="1"/>
  <c r="AO348" i="1" s="1"/>
  <c r="AO349" i="1" s="1"/>
  <c r="AO350" i="1" s="1"/>
  <c r="AO351" i="1" s="1"/>
  <c r="AO352" i="1" s="1"/>
  <c r="AO353" i="1" s="1"/>
  <c r="AO354" i="1" s="1"/>
  <c r="AO355" i="1" s="1"/>
  <c r="AO356" i="1" s="1"/>
  <c r="AO357" i="1" s="1"/>
  <c r="AO358" i="1" s="1"/>
  <c r="AO359" i="1" s="1"/>
  <c r="AO360" i="1" s="1"/>
  <c r="AO361" i="1" s="1"/>
  <c r="AO362" i="1" s="1"/>
  <c r="AO363" i="1" s="1"/>
  <c r="AO364" i="1" s="1"/>
  <c r="AO365" i="1" s="1"/>
  <c r="AO366" i="1" s="1"/>
  <c r="AO367" i="1" s="1"/>
  <c r="AO368" i="1" s="1"/>
  <c r="AO369" i="1" s="1"/>
  <c r="AO370" i="1" s="1"/>
  <c r="AO371" i="1" s="1"/>
  <c r="AO372" i="1" s="1"/>
  <c r="AO373" i="1" s="1"/>
  <c r="AO374" i="1" s="1"/>
  <c r="AO375" i="1" s="1"/>
  <c r="AO376" i="1" s="1"/>
  <c r="AO377" i="1" s="1"/>
  <c r="AO378" i="1" s="1"/>
  <c r="AO379" i="1" s="1"/>
  <c r="AO380" i="1" s="1"/>
  <c r="AO381" i="1" s="1"/>
  <c r="AO382" i="1" s="1"/>
  <c r="AO383" i="1" s="1"/>
  <c r="AO384" i="1" s="1"/>
  <c r="AO385" i="1" s="1"/>
  <c r="AO386" i="1" s="1"/>
  <c r="AO387" i="1" s="1"/>
  <c r="AO388" i="1" s="1"/>
  <c r="AO389" i="1" s="1"/>
  <c r="AO390" i="1" s="1"/>
  <c r="AO391" i="1" s="1"/>
  <c r="AO392" i="1" s="1"/>
  <c r="AO393" i="1" s="1"/>
  <c r="AO394" i="1" s="1"/>
  <c r="AO395" i="1" s="1"/>
  <c r="AO396" i="1" s="1"/>
  <c r="AO397" i="1" s="1"/>
  <c r="AO398" i="1" s="1"/>
  <c r="AO399" i="1" s="1"/>
  <c r="AO400" i="1" s="1"/>
  <c r="AO401" i="1" s="1"/>
  <c r="AO402" i="1" s="1"/>
  <c r="AO403" i="1" s="1"/>
  <c r="AO404" i="1" s="1"/>
  <c r="AO405" i="1" s="1"/>
  <c r="AO406" i="1" s="1"/>
  <c r="AO407" i="1" s="1"/>
  <c r="AO408" i="1" s="1"/>
  <c r="AO409" i="1" s="1"/>
  <c r="AO410" i="1" s="1"/>
  <c r="AO411" i="1" s="1"/>
  <c r="AO412" i="1" s="1"/>
  <c r="AO413" i="1" s="1"/>
  <c r="AO414" i="1" s="1"/>
  <c r="AO415" i="1" s="1"/>
  <c r="AO416" i="1" s="1"/>
  <c r="AO417" i="1" s="1"/>
  <c r="AO418" i="1" s="1"/>
  <c r="AO419" i="1" s="1"/>
  <c r="AO420" i="1" s="1"/>
  <c r="AO421" i="1" s="1"/>
  <c r="AO422" i="1" s="1"/>
  <c r="AO423" i="1" s="1"/>
  <c r="AO424" i="1" s="1"/>
  <c r="AO425" i="1" s="1"/>
  <c r="AO426" i="1" s="1"/>
  <c r="AO427" i="1" s="1"/>
  <c r="AO428" i="1" s="1"/>
  <c r="AO429" i="1" s="1"/>
  <c r="AO430" i="1" s="1"/>
  <c r="AO431" i="1" s="1"/>
  <c r="AO432" i="1" s="1"/>
  <c r="AO433" i="1" s="1"/>
  <c r="AO434" i="1" s="1"/>
  <c r="AO435" i="1" s="1"/>
  <c r="AO436" i="1" s="1"/>
  <c r="AO437" i="1" s="1"/>
  <c r="AO438" i="1" s="1"/>
  <c r="AO439" i="1" s="1"/>
  <c r="AO440" i="1" s="1"/>
  <c r="AO441" i="1" s="1"/>
  <c r="AO442" i="1" s="1"/>
  <c r="AO443" i="1" s="1"/>
  <c r="AO444" i="1" s="1"/>
  <c r="AO445" i="1" s="1"/>
  <c r="AO446" i="1" s="1"/>
  <c r="AO447" i="1" s="1"/>
  <c r="AO448" i="1" s="1"/>
  <c r="AO449" i="1" s="1"/>
  <c r="AO450" i="1" s="1"/>
  <c r="AO451" i="1" s="1"/>
  <c r="AO452" i="1" s="1"/>
  <c r="AO453" i="1" s="1"/>
  <c r="AO454" i="1" s="1"/>
  <c r="AO455" i="1" s="1"/>
  <c r="AO456" i="1" s="1"/>
  <c r="AO457" i="1" s="1"/>
  <c r="AP6" i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P95" i="1" s="1"/>
  <c r="AP96" i="1" s="1"/>
  <c r="AP97" i="1" s="1"/>
  <c r="AP98" i="1" s="1"/>
  <c r="AP99" i="1" s="1"/>
  <c r="AP100" i="1" s="1"/>
  <c r="AP101" i="1" s="1"/>
  <c r="AP102" i="1" s="1"/>
  <c r="AP103" i="1" s="1"/>
  <c r="AP104" i="1" s="1"/>
  <c r="AP105" i="1" s="1"/>
  <c r="AP106" i="1" s="1"/>
  <c r="AP107" i="1" s="1"/>
  <c r="AP108" i="1" s="1"/>
  <c r="AP109" i="1" s="1"/>
  <c r="AP110" i="1" s="1"/>
  <c r="AP111" i="1" s="1"/>
  <c r="AP112" i="1" s="1"/>
  <c r="AP113" i="1" s="1"/>
  <c r="AP114" i="1" s="1"/>
  <c r="AP115" i="1" s="1"/>
  <c r="AP116" i="1" s="1"/>
  <c r="AP117" i="1" s="1"/>
  <c r="AP118" i="1" s="1"/>
  <c r="AP119" i="1" s="1"/>
  <c r="AP120" i="1" s="1"/>
  <c r="AP121" i="1" s="1"/>
  <c r="AP122" i="1" s="1"/>
  <c r="AP123" i="1" s="1"/>
  <c r="AP124" i="1" s="1"/>
  <c r="AP125" i="1" s="1"/>
  <c r="AP126" i="1" s="1"/>
  <c r="AP127" i="1" s="1"/>
  <c r="AP128" i="1" s="1"/>
  <c r="AP129" i="1" s="1"/>
  <c r="AP130" i="1" s="1"/>
  <c r="AP131" i="1" s="1"/>
  <c r="AP132" i="1" s="1"/>
  <c r="AP133" i="1" s="1"/>
  <c r="AP134" i="1" s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AP145" i="1" s="1"/>
  <c r="AP146" i="1" s="1"/>
  <c r="AP147" i="1" s="1"/>
  <c r="AP148" i="1" s="1"/>
  <c r="AP149" i="1" s="1"/>
  <c r="AP150" i="1" s="1"/>
  <c r="AP151" i="1" s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AP418" i="1" s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AP451" i="1" s="1"/>
  <c r="AP452" i="1" s="1"/>
  <c r="AP453" i="1" s="1"/>
  <c r="AP454" i="1" s="1"/>
  <c r="AP455" i="1" s="1"/>
  <c r="AP456" i="1" s="1"/>
  <c r="AP457" i="1" s="1"/>
  <c r="AN6" i="1"/>
  <c r="AR5" i="1"/>
  <c r="AE14" i="11"/>
  <c r="AN7" i="1" l="1"/>
  <c r="AE10" i="11"/>
  <c r="AN8" i="1" l="1"/>
  <c r="AF23" i="11"/>
  <c r="AN9" i="1" l="1"/>
  <c r="AF20" i="11"/>
  <c r="AN10" i="1" l="1"/>
  <c r="AF19" i="11"/>
  <c r="AN11" i="1" l="1"/>
  <c r="AF27" i="11"/>
  <c r="AN12" i="1" l="1"/>
  <c r="AF22" i="11"/>
  <c r="AN13" i="1" l="1"/>
  <c r="AF29" i="11"/>
  <c r="AN14" i="1" l="1"/>
  <c r="AF17" i="11"/>
  <c r="AN15" i="1" l="1"/>
  <c r="AF11" i="11"/>
  <c r="AC11" i="11"/>
  <c r="AH11" i="11" s="1"/>
  <c r="AN16" i="1" l="1"/>
  <c r="AF15" i="11"/>
  <c r="AN17" i="1" l="1"/>
  <c r="AF25" i="11"/>
  <c r="AD25" i="11"/>
  <c r="AI25" i="11" s="1"/>
  <c r="AN18" i="1" l="1"/>
  <c r="AF26" i="11"/>
  <c r="AC26" i="11"/>
  <c r="AN19" i="1" l="1"/>
  <c r="AH26" i="11"/>
  <c r="AN20" i="1" l="1"/>
  <c r="AF21" i="11"/>
  <c r="AD21" i="11"/>
  <c r="AI21" i="11" s="1"/>
  <c r="AC21" i="11"/>
  <c r="AH21" i="11" s="1"/>
  <c r="AN21" i="1" l="1"/>
  <c r="AD13" i="11"/>
  <c r="AI13" i="11" s="1"/>
  <c r="AN22" i="1" l="1"/>
  <c r="AF24" i="11"/>
  <c r="AD24" i="11"/>
  <c r="AI24" i="11" s="1"/>
  <c r="AC24" i="11"/>
  <c r="AH24" i="11" s="1"/>
  <c r="AN23" i="1" l="1"/>
  <c r="AD28" i="11"/>
  <c r="AI28" i="11" s="1"/>
  <c r="AC28" i="11"/>
  <c r="AH28" i="11" s="1"/>
  <c r="AN24" i="1" l="1"/>
  <c r="AF16" i="11"/>
  <c r="AD16" i="11"/>
  <c r="AI16" i="11" s="1"/>
  <c r="AC16" i="11"/>
  <c r="AH16" i="11" s="1"/>
  <c r="AN25" i="1" l="1"/>
  <c r="AC18" i="11"/>
  <c r="AN26" i="1" l="1"/>
  <c r="AH18" i="11"/>
  <c r="AN27" i="1" l="1"/>
  <c r="AD18" i="11"/>
  <c r="AI18" i="11" s="1"/>
  <c r="AE6" i="11"/>
  <c r="AN28" i="1" l="1"/>
  <c r="AF3" i="11"/>
  <c r="AD6" i="11"/>
  <c r="AI6" i="11" s="1"/>
  <c r="AE15" i="11"/>
  <c r="AG15" i="11" s="1"/>
  <c r="AJ15" i="11" s="1"/>
  <c r="AF10" i="11"/>
  <c r="AG10" i="11" s="1"/>
  <c r="AJ10" i="11" s="1"/>
  <c r="AC8" i="11"/>
  <c r="AH8" i="11" s="1"/>
  <c r="AE4" i="11"/>
  <c r="AE27" i="11"/>
  <c r="AG27" i="11" s="1"/>
  <c r="AJ27" i="11" s="1"/>
  <c r="AD5" i="11"/>
  <c r="AI5" i="11" s="1"/>
  <c r="AF13" i="11"/>
  <c r="AC7" i="11"/>
  <c r="AH7" i="11" s="1"/>
  <c r="AN29" i="1" l="1"/>
  <c r="AC10" i="11"/>
  <c r="AH10" i="11" s="1"/>
  <c r="AD19" i="11"/>
  <c r="AI19" i="11" s="1"/>
  <c r="AC22" i="11"/>
  <c r="AH22" i="11" s="1"/>
  <c r="AD4" i="11"/>
  <c r="AI4" i="11" s="1"/>
  <c r="AF7" i="11"/>
  <c r="AE8" i="11"/>
  <c r="AE11" i="11"/>
  <c r="AG11" i="11" s="1"/>
  <c r="AJ11" i="11" s="1"/>
  <c r="AD26" i="11"/>
  <c r="AI26" i="11" s="1"/>
  <c r="AC5" i="11"/>
  <c r="AH5" i="11" s="1"/>
  <c r="AF6" i="11"/>
  <c r="AG6" i="11" s="1"/>
  <c r="AJ6" i="11" s="1"/>
  <c r="AD15" i="11"/>
  <c r="AI15" i="11" s="1"/>
  <c r="AD10" i="11"/>
  <c r="AI10" i="11" s="1"/>
  <c r="AF5" i="11"/>
  <c r="AC3" i="11"/>
  <c r="AH3" i="11" s="1"/>
  <c r="AD11" i="11"/>
  <c r="AI11" i="11" s="1"/>
  <c r="AE7" i="11"/>
  <c r="AC4" i="11"/>
  <c r="AH4" i="11" s="1"/>
  <c r="AF14" i="11"/>
  <c r="AG14" i="11" s="1"/>
  <c r="AJ14" i="11" s="1"/>
  <c r="AF4" i="11"/>
  <c r="AG4" i="11" s="1"/>
  <c r="AJ4" i="11" s="1"/>
  <c r="AE19" i="11"/>
  <c r="AG19" i="11" s="1"/>
  <c r="AJ19" i="11" s="1"/>
  <c r="AD9" i="11"/>
  <c r="AD7" i="11"/>
  <c r="AI7" i="11" s="1"/>
  <c r="AF9" i="11"/>
  <c r="AC6" i="11"/>
  <c r="AH6" i="11" s="1"/>
  <c r="AF8" i="11"/>
  <c r="AE5" i="11"/>
  <c r="AD8" i="11"/>
  <c r="AI8" i="11" s="1"/>
  <c r="AD22" i="11"/>
  <c r="AI22" i="11" s="1"/>
  <c r="AD14" i="11"/>
  <c r="AI14" i="11" s="1"/>
  <c r="AD27" i="11"/>
  <c r="AI27" i="11" s="1"/>
  <c r="AC14" i="11"/>
  <c r="AH14" i="11" s="1"/>
  <c r="AN30" i="1" l="1"/>
  <c r="AG7" i="11"/>
  <c r="AJ7" i="11" s="1"/>
  <c r="AD23" i="11"/>
  <c r="AI23" i="11" s="1"/>
  <c r="AG5" i="11"/>
  <c r="AJ5" i="11" s="1"/>
  <c r="AG8" i="11"/>
  <c r="AJ8" i="11" s="1"/>
  <c r="AE23" i="11"/>
  <c r="AG23" i="11" s="1"/>
  <c r="AJ23" i="11" s="1"/>
  <c r="AN31" i="1" l="1"/>
  <c r="AF12" i="11"/>
  <c r="AD12" i="11"/>
  <c r="AI12" i="11" s="1"/>
  <c r="AC12" i="11"/>
  <c r="AH12" i="11" s="1"/>
  <c r="AN32" i="1" l="1"/>
  <c r="AI9" i="11"/>
  <c r="AN33" i="1" l="1"/>
  <c r="AC27" i="11"/>
  <c r="AH27" i="11" s="1"/>
  <c r="AN34" i="1" l="1"/>
  <c r="AC23" i="11"/>
  <c r="AH23" i="11" s="1"/>
  <c r="AN35" i="1" l="1"/>
  <c r="AE13" i="11"/>
  <c r="AG13" i="11" s="1"/>
  <c r="AJ13" i="11" s="1"/>
  <c r="AC13" i="11"/>
  <c r="AH13" i="11" s="1"/>
  <c r="AN36" i="1" l="1"/>
  <c r="AE9" i="11"/>
  <c r="AG9" i="11" s="1"/>
  <c r="AJ9" i="11" s="1"/>
  <c r="AC9" i="11"/>
  <c r="AH9" i="11" s="1"/>
  <c r="AN37" i="1" l="1"/>
  <c r="AD17" i="11"/>
  <c r="AI17" i="11" s="1"/>
  <c r="AN38" i="1" l="1"/>
  <c r="AE25" i="11"/>
  <c r="AG25" i="11" s="1"/>
  <c r="AJ25" i="11" s="1"/>
  <c r="AC25" i="11"/>
  <c r="AH25" i="11" s="1"/>
  <c r="AN39" i="1" l="1"/>
  <c r="AC19" i="11"/>
  <c r="AH19" i="11" s="1"/>
  <c r="AN40" i="1" l="1"/>
  <c r="AE20" i="11"/>
  <c r="AG20" i="11" s="1"/>
  <c r="AJ20" i="11" s="1"/>
  <c r="AC20" i="11"/>
  <c r="AH20" i="11" s="1"/>
  <c r="AD20" i="11"/>
  <c r="AI20" i="11" s="1"/>
  <c r="AN41" i="1" l="1"/>
  <c r="AE22" i="11"/>
  <c r="AG22" i="11" s="1"/>
  <c r="AJ22" i="11" s="1"/>
  <c r="AN42" i="1" l="1"/>
  <c r="AE29" i="11"/>
  <c r="AG29" i="11" s="1"/>
  <c r="AJ29" i="11" s="1"/>
  <c r="AD29" i="11"/>
  <c r="AI29" i="11" s="1"/>
  <c r="AC29" i="11"/>
  <c r="AH29" i="11" s="1"/>
  <c r="AN43" i="1" l="1"/>
  <c r="AE26" i="11"/>
  <c r="AG26" i="11" s="1"/>
  <c r="AJ26" i="11" s="1"/>
  <c r="AN44" i="1" l="1"/>
  <c r="AE16" i="11"/>
  <c r="AG16" i="11" s="1"/>
  <c r="AJ16" i="11" s="1"/>
  <c r="AN45" i="1" l="1"/>
  <c r="AE21" i="11"/>
  <c r="AG21" i="11" s="1"/>
  <c r="AJ21" i="11" s="1"/>
  <c r="AN46" i="1" l="1"/>
  <c r="AE12" i="11"/>
  <c r="AG12" i="11" s="1"/>
  <c r="AJ12" i="11" s="1"/>
  <c r="AN47" i="1" l="1"/>
  <c r="AE28" i="11"/>
  <c r="AN48" i="1" l="1"/>
  <c r="AE24" i="11"/>
  <c r="AG24" i="11" s="1"/>
  <c r="AJ24" i="11" s="1"/>
  <c r="AN49" i="1" l="1"/>
  <c r="AC15" i="11"/>
  <c r="AH15" i="11" s="1"/>
  <c r="AN50" i="1" l="1"/>
  <c r="AF28" i="11"/>
  <c r="AG28" i="11" s="1"/>
  <c r="AJ28" i="11" s="1"/>
  <c r="AF18" i="11"/>
  <c r="AC17" i="11"/>
  <c r="AH17" i="11" s="1"/>
  <c r="AE18" i="11"/>
  <c r="AE17" i="11"/>
  <c r="AG17" i="11" s="1"/>
  <c r="AJ17" i="11" s="1"/>
  <c r="AE3" i="11"/>
  <c r="AG3" i="11" s="1"/>
  <c r="AJ3" i="11" s="1"/>
  <c r="AD3" i="11"/>
  <c r="AI3" i="11" s="1"/>
  <c r="AN51" i="1" l="1"/>
  <c r="AG18" i="11"/>
  <c r="AJ18" i="11" s="1"/>
  <c r="AR6" i="1"/>
  <c r="AN52" i="1" l="1"/>
  <c r="W2" i="8"/>
  <c r="AN53" i="1" l="1"/>
  <c r="AM6" i="1"/>
  <c r="AQ6" i="1" l="1"/>
  <c r="AR7" i="1" s="1"/>
  <c r="AN54" i="1"/>
  <c r="AM7" i="1"/>
  <c r="AQ7" i="1" l="1"/>
  <c r="AN55" i="1"/>
  <c r="AM8" i="1"/>
  <c r="AQ8" i="1" l="1"/>
  <c r="AR8" i="1"/>
  <c r="AN56" i="1"/>
  <c r="AM9" i="1"/>
  <c r="AQ9" i="1" l="1"/>
  <c r="AR10" i="1" s="1"/>
  <c r="AR9" i="1"/>
  <c r="AN57" i="1"/>
  <c r="AM10" i="1"/>
  <c r="AQ10" i="1" l="1"/>
  <c r="AR11" i="1" s="1"/>
  <c r="AN58" i="1"/>
  <c r="AM11" i="1"/>
  <c r="AQ11" i="1" l="1"/>
  <c r="AN59" i="1"/>
  <c r="AM12" i="1"/>
  <c r="AQ12" i="1" l="1"/>
  <c r="AR12" i="1"/>
  <c r="AN60" i="1"/>
  <c r="AM13" i="1"/>
  <c r="AQ13" i="1" l="1"/>
  <c r="AR13" i="1"/>
  <c r="AN61" i="1"/>
  <c r="AM14" i="1"/>
  <c r="AQ14" i="1" l="1"/>
  <c r="AR14" i="1"/>
  <c r="AN62" i="1"/>
  <c r="AM15" i="1"/>
  <c r="AQ15" i="1" l="1"/>
  <c r="AR16" i="1" s="1"/>
  <c r="AR15" i="1"/>
  <c r="AN63" i="1"/>
  <c r="AM16" i="1"/>
  <c r="AQ16" i="1" l="1"/>
  <c r="AR17" i="1" s="1"/>
  <c r="AN64" i="1"/>
  <c r="AM17" i="1"/>
  <c r="AQ17" i="1" l="1"/>
  <c r="AN65" i="1"/>
  <c r="AM18" i="1"/>
  <c r="AQ18" i="1" l="1"/>
  <c r="AR18" i="1"/>
  <c r="AN66" i="1"/>
  <c r="AM19" i="1"/>
  <c r="AQ19" i="1" l="1"/>
  <c r="AR19" i="1"/>
  <c r="AN67" i="1"/>
  <c r="AM20" i="1"/>
  <c r="AQ20" i="1" l="1"/>
  <c r="AR21" i="1" s="1"/>
  <c r="AR20" i="1"/>
  <c r="AN68" i="1"/>
  <c r="AM21" i="1"/>
  <c r="AQ21" i="1" l="1"/>
  <c r="AN69" i="1"/>
  <c r="AM22" i="1"/>
  <c r="AQ22" i="1" l="1"/>
  <c r="AR22" i="1"/>
  <c r="AN70" i="1"/>
  <c r="AM23" i="1"/>
  <c r="AQ23" i="1" l="1"/>
  <c r="AR24" i="1" s="1"/>
  <c r="AR23" i="1"/>
  <c r="AN71" i="1"/>
  <c r="AM24" i="1"/>
  <c r="AQ24" i="1" l="1"/>
  <c r="AN72" i="1"/>
  <c r="AM25" i="1"/>
  <c r="AQ25" i="1" l="1"/>
  <c r="AR25" i="1"/>
  <c r="AN73" i="1"/>
  <c r="AM26" i="1"/>
  <c r="AQ26" i="1" l="1"/>
  <c r="AR27" i="1" s="1"/>
  <c r="AR26" i="1"/>
  <c r="AN74" i="1"/>
  <c r="AM27" i="1"/>
  <c r="AQ27" i="1" l="1"/>
  <c r="AN75" i="1"/>
  <c r="AM28" i="1"/>
  <c r="AQ28" i="1" l="1"/>
  <c r="AR28" i="1"/>
  <c r="AN76" i="1"/>
  <c r="AM29" i="1"/>
  <c r="AQ29" i="1" l="1"/>
  <c r="AR29" i="1"/>
  <c r="AN77" i="1"/>
  <c r="AM30" i="1"/>
  <c r="AQ30" i="1" l="1"/>
  <c r="AR30" i="1"/>
  <c r="AN78" i="1"/>
  <c r="AM31" i="1"/>
  <c r="AQ31" i="1" l="1"/>
  <c r="AR32" i="1" s="1"/>
  <c r="AR31" i="1"/>
  <c r="AN79" i="1"/>
  <c r="AM32" i="1"/>
  <c r="AQ32" i="1" l="1"/>
  <c r="AN80" i="1"/>
  <c r="AM33" i="1"/>
  <c r="AQ33" i="1" l="1"/>
  <c r="AR33" i="1"/>
  <c r="AN81" i="1"/>
  <c r="AM34" i="1"/>
  <c r="AQ34" i="1" l="1"/>
  <c r="AR34" i="1"/>
  <c r="AN82" i="1"/>
  <c r="AM35" i="1"/>
  <c r="AQ35" i="1" l="1"/>
  <c r="AR35" i="1"/>
  <c r="AN83" i="1"/>
  <c r="AM36" i="1"/>
  <c r="AQ36" i="1" l="1"/>
  <c r="AR36" i="1"/>
  <c r="AN84" i="1"/>
  <c r="AM37" i="1"/>
  <c r="AQ37" i="1" l="1"/>
  <c r="AR38" i="1" s="1"/>
  <c r="AR37" i="1"/>
  <c r="AN85" i="1"/>
  <c r="AM38" i="1"/>
  <c r="AQ38" i="1" l="1"/>
  <c r="AN86" i="1"/>
  <c r="AM39" i="1"/>
  <c r="AQ39" i="1" l="1"/>
  <c r="AR39" i="1"/>
  <c r="AN87" i="1"/>
  <c r="AM40" i="1"/>
  <c r="AQ40" i="1" l="1"/>
  <c r="AR41" i="1"/>
  <c r="AR40" i="1"/>
  <c r="AN88" i="1"/>
  <c r="AM41" i="1"/>
  <c r="AQ41" i="1" l="1"/>
  <c r="AN89" i="1"/>
  <c r="AM42" i="1"/>
  <c r="AQ42" i="1" l="1"/>
  <c r="AR42" i="1"/>
  <c r="AN90" i="1"/>
  <c r="AM43" i="1"/>
  <c r="AQ43" i="1" l="1"/>
  <c r="AR43" i="1"/>
  <c r="AN91" i="1"/>
  <c r="AM44" i="1"/>
  <c r="AQ44" i="1" l="1"/>
  <c r="AR44" i="1"/>
  <c r="AN92" i="1"/>
  <c r="AM45" i="1"/>
  <c r="AQ45" i="1" l="1"/>
  <c r="AR46" i="1" s="1"/>
  <c r="AR45" i="1"/>
  <c r="AN93" i="1"/>
  <c r="AM46" i="1"/>
  <c r="AQ46" i="1" l="1"/>
  <c r="AN94" i="1"/>
  <c r="AM47" i="1"/>
  <c r="AQ47" i="1" l="1"/>
  <c r="AR47" i="1"/>
  <c r="AN95" i="1"/>
  <c r="AM48" i="1"/>
  <c r="AQ48" i="1" l="1"/>
  <c r="AR48" i="1"/>
  <c r="AN96" i="1"/>
  <c r="AM49" i="1"/>
  <c r="AQ49" i="1" l="1"/>
  <c r="AR49" i="1"/>
  <c r="AN97" i="1"/>
  <c r="AM50" i="1"/>
  <c r="AQ50" i="1" l="1"/>
  <c r="AR50" i="1"/>
  <c r="AN98" i="1"/>
  <c r="AM51" i="1"/>
  <c r="AQ51" i="1" l="1"/>
  <c r="AR51" i="1"/>
  <c r="AN99" i="1"/>
  <c r="AM52" i="1"/>
  <c r="AQ52" i="1" l="1"/>
  <c r="AR52" i="1"/>
  <c r="AN100" i="1"/>
  <c r="AM53" i="1"/>
  <c r="AQ53" i="1" l="1"/>
  <c r="AR53" i="1"/>
  <c r="AN101" i="1"/>
  <c r="AM54" i="1"/>
  <c r="AQ54" i="1" l="1"/>
  <c r="AR55" i="1"/>
  <c r="AR54" i="1"/>
  <c r="AN102" i="1"/>
  <c r="AM55" i="1"/>
  <c r="AQ55" i="1" l="1"/>
  <c r="AN103" i="1"/>
  <c r="AM56" i="1"/>
  <c r="AQ56" i="1" l="1"/>
  <c r="AR57" i="1"/>
  <c r="AR56" i="1"/>
  <c r="AN104" i="1"/>
  <c r="AM57" i="1"/>
  <c r="AQ57" i="1" l="1"/>
  <c r="AN105" i="1"/>
  <c r="AM58" i="1"/>
  <c r="AQ58" i="1" l="1"/>
  <c r="AR58" i="1"/>
  <c r="AN106" i="1"/>
  <c r="AM59" i="1"/>
  <c r="AQ59" i="1" l="1"/>
  <c r="AR59" i="1"/>
  <c r="AN107" i="1"/>
  <c r="AM60" i="1"/>
  <c r="AQ60" i="1" l="1"/>
  <c r="AR61" i="1" s="1"/>
  <c r="AR60" i="1"/>
  <c r="AN108" i="1"/>
  <c r="AM61" i="1"/>
  <c r="AQ61" i="1" l="1"/>
  <c r="AN109" i="1"/>
  <c r="AM62" i="1"/>
  <c r="AQ62" i="1" l="1"/>
  <c r="AR62" i="1"/>
  <c r="AN110" i="1"/>
  <c r="AM63" i="1"/>
  <c r="AQ63" i="1" l="1"/>
  <c r="AR63" i="1"/>
  <c r="AN111" i="1"/>
  <c r="AM64" i="1"/>
  <c r="AQ64" i="1" l="1"/>
  <c r="AR64" i="1"/>
  <c r="AN112" i="1"/>
  <c r="AM65" i="1"/>
  <c r="AQ65" i="1" l="1"/>
  <c r="AR65" i="1"/>
  <c r="AN113" i="1"/>
  <c r="AM66" i="1"/>
  <c r="AQ66" i="1" l="1"/>
  <c r="AR66" i="1"/>
  <c r="AN114" i="1"/>
  <c r="AM67" i="1"/>
  <c r="AQ67" i="1" l="1"/>
  <c r="AR67" i="1"/>
  <c r="AN115" i="1"/>
  <c r="AM68" i="1"/>
  <c r="AQ68" i="1" l="1"/>
  <c r="AR68" i="1"/>
  <c r="AN116" i="1"/>
  <c r="AM69" i="1"/>
  <c r="AQ69" i="1" l="1"/>
  <c r="AR69" i="1"/>
  <c r="AN117" i="1"/>
  <c r="AM70" i="1"/>
  <c r="AQ70" i="1" l="1"/>
  <c r="AR70" i="1"/>
  <c r="AN118" i="1"/>
  <c r="AM71" i="1"/>
  <c r="AQ71" i="1" l="1"/>
  <c r="AR71" i="1"/>
  <c r="AN119" i="1"/>
  <c r="AM72" i="1"/>
  <c r="AQ72" i="1" l="1"/>
  <c r="AR72" i="1"/>
  <c r="AN120" i="1"/>
  <c r="AM73" i="1"/>
  <c r="AQ73" i="1" l="1"/>
  <c r="AR74" i="1" s="1"/>
  <c r="AR73" i="1"/>
  <c r="AN121" i="1"/>
  <c r="AM74" i="1"/>
  <c r="AQ74" i="1" l="1"/>
  <c r="AN122" i="1"/>
  <c r="AM75" i="1"/>
  <c r="AQ75" i="1" l="1"/>
  <c r="AR76" i="1"/>
  <c r="AR75" i="1"/>
  <c r="AN123" i="1"/>
  <c r="AM76" i="1"/>
  <c r="AQ76" i="1" l="1"/>
  <c r="AN124" i="1"/>
  <c r="AM77" i="1"/>
  <c r="AQ77" i="1" l="1"/>
  <c r="AR77" i="1"/>
  <c r="AN125" i="1"/>
  <c r="AM78" i="1"/>
  <c r="AQ78" i="1" l="1"/>
  <c r="AR78" i="1"/>
  <c r="AN126" i="1"/>
  <c r="AM79" i="1"/>
  <c r="AQ79" i="1" l="1"/>
  <c r="AR79" i="1"/>
  <c r="AN127" i="1"/>
  <c r="AM80" i="1"/>
  <c r="AQ80" i="1" l="1"/>
  <c r="AR80" i="1"/>
  <c r="AN128" i="1"/>
  <c r="AM81" i="1"/>
  <c r="AQ81" i="1" l="1"/>
  <c r="AR81" i="1"/>
  <c r="AN129" i="1"/>
  <c r="AM82" i="1"/>
  <c r="AQ82" i="1" l="1"/>
  <c r="AR82" i="1"/>
  <c r="AN130" i="1"/>
  <c r="AM83" i="1"/>
  <c r="AQ83" i="1" l="1"/>
  <c r="AR83" i="1"/>
  <c r="AN131" i="1"/>
  <c r="AM84" i="1"/>
  <c r="AQ84" i="1" l="1"/>
  <c r="AR84" i="1"/>
  <c r="AN132" i="1"/>
  <c r="AM85" i="1"/>
  <c r="AQ85" i="1" l="1"/>
  <c r="AR85" i="1"/>
  <c r="AN133" i="1"/>
  <c r="AM86" i="1"/>
  <c r="AQ86" i="1" l="1"/>
  <c r="AR86" i="1"/>
  <c r="AN134" i="1"/>
  <c r="AM87" i="1"/>
  <c r="AQ87" i="1" l="1"/>
  <c r="AR87" i="1"/>
  <c r="AN135" i="1"/>
  <c r="AM88" i="1"/>
  <c r="AQ88" i="1" l="1"/>
  <c r="AR88" i="1"/>
  <c r="AN136" i="1"/>
  <c r="AM89" i="1"/>
  <c r="AQ89" i="1" l="1"/>
  <c r="AR89" i="1"/>
  <c r="AN137" i="1"/>
  <c r="AM90" i="1"/>
  <c r="AQ90" i="1" l="1"/>
  <c r="AR91" i="1" s="1"/>
  <c r="AR90" i="1"/>
  <c r="AN138" i="1"/>
  <c r="AM91" i="1"/>
  <c r="AQ91" i="1" l="1"/>
  <c r="AN139" i="1"/>
  <c r="AM92" i="1"/>
  <c r="AQ92" i="1" l="1"/>
  <c r="AR93" i="1"/>
  <c r="AR92" i="1"/>
  <c r="AN140" i="1"/>
  <c r="AM93" i="1"/>
  <c r="AQ93" i="1" l="1"/>
  <c r="AN141" i="1"/>
  <c r="AM94" i="1"/>
  <c r="AQ94" i="1" l="1"/>
  <c r="AR95" i="1"/>
  <c r="AR94" i="1"/>
  <c r="AN142" i="1"/>
  <c r="AM95" i="1"/>
  <c r="AQ95" i="1" l="1"/>
  <c r="AN143" i="1"/>
  <c r="AM96" i="1"/>
  <c r="AQ96" i="1" l="1"/>
  <c r="AR97" i="1" s="1"/>
  <c r="AR96" i="1"/>
  <c r="AN144" i="1"/>
  <c r="AM97" i="1"/>
  <c r="AQ97" i="1" s="1"/>
  <c r="AR98" i="1" l="1"/>
  <c r="AN145" i="1"/>
  <c r="AM98" i="1"/>
  <c r="AQ98" i="1" l="1"/>
  <c r="AN146" i="1"/>
  <c r="AM99" i="1"/>
  <c r="AQ99" i="1" l="1"/>
  <c r="AR100" i="1"/>
  <c r="AR99" i="1"/>
  <c r="AN147" i="1"/>
  <c r="AM100" i="1"/>
  <c r="AQ100" i="1" l="1"/>
  <c r="AN148" i="1"/>
  <c r="AM101" i="1"/>
  <c r="AQ101" i="1" l="1"/>
  <c r="AR101" i="1"/>
  <c r="AN149" i="1"/>
  <c r="AM102" i="1"/>
  <c r="AQ102" i="1" l="1"/>
  <c r="AR102" i="1"/>
  <c r="AN150" i="1"/>
  <c r="AM103" i="1"/>
  <c r="AQ103" i="1" l="1"/>
  <c r="AR104" i="1"/>
  <c r="AR103" i="1"/>
  <c r="AN151" i="1"/>
  <c r="AM104" i="1"/>
  <c r="AQ104" i="1" l="1"/>
  <c r="AN152" i="1"/>
  <c r="AM105" i="1"/>
  <c r="AQ105" i="1" l="1"/>
  <c r="AR105" i="1"/>
  <c r="AN153" i="1"/>
  <c r="AM106" i="1"/>
  <c r="AQ106" i="1" l="1"/>
  <c r="AR106" i="1"/>
  <c r="AN154" i="1"/>
  <c r="AM107" i="1"/>
  <c r="AQ107" i="1" l="1"/>
  <c r="AR107" i="1"/>
  <c r="AN155" i="1"/>
  <c r="AM108" i="1"/>
  <c r="AQ108" i="1" l="1"/>
  <c r="AR108" i="1"/>
  <c r="AN156" i="1"/>
  <c r="AM109" i="1"/>
  <c r="AQ109" i="1" l="1"/>
  <c r="AR109" i="1"/>
  <c r="AN157" i="1"/>
  <c r="AM110" i="1"/>
  <c r="AQ110" i="1" l="1"/>
  <c r="AR110" i="1"/>
  <c r="AN158" i="1"/>
  <c r="AM111" i="1"/>
  <c r="AQ111" i="1" l="1"/>
  <c r="AR111" i="1"/>
  <c r="AN159" i="1"/>
  <c r="AM112" i="1"/>
  <c r="AQ112" i="1" l="1"/>
  <c r="AR112" i="1"/>
  <c r="AN160" i="1"/>
  <c r="AM113" i="1"/>
  <c r="AQ113" i="1" l="1"/>
  <c r="AR113" i="1"/>
  <c r="AN161" i="1"/>
  <c r="AM114" i="1"/>
  <c r="AQ114" i="1" l="1"/>
  <c r="AR114" i="1"/>
  <c r="AN162" i="1"/>
  <c r="AM115" i="1"/>
  <c r="AQ115" i="1" l="1"/>
  <c r="AR115" i="1"/>
  <c r="AN163" i="1"/>
  <c r="AM116" i="1"/>
  <c r="AQ116" i="1" l="1"/>
  <c r="AR116" i="1"/>
  <c r="AN164" i="1"/>
  <c r="AM117" i="1"/>
  <c r="AQ117" i="1" l="1"/>
  <c r="AR117" i="1"/>
  <c r="AN165" i="1"/>
  <c r="AM118" i="1"/>
  <c r="AQ118" i="1" l="1"/>
  <c r="AR119" i="1" s="1"/>
  <c r="AR118" i="1"/>
  <c r="AN166" i="1"/>
  <c r="AM119" i="1"/>
  <c r="AQ119" i="1" l="1"/>
  <c r="AN167" i="1"/>
  <c r="AM120" i="1"/>
  <c r="AQ120" i="1" l="1"/>
  <c r="AR120" i="1"/>
  <c r="AN168" i="1"/>
  <c r="AM121" i="1"/>
  <c r="AQ121" i="1" l="1"/>
  <c r="AR121" i="1"/>
  <c r="AN169" i="1"/>
  <c r="AM122" i="1"/>
  <c r="AQ122" i="1" l="1"/>
  <c r="AR123" i="1" s="1"/>
  <c r="AR122" i="1"/>
  <c r="AN170" i="1"/>
  <c r="AM123" i="1"/>
  <c r="AQ123" i="1" l="1"/>
  <c r="AN171" i="1"/>
  <c r="AM124" i="1"/>
  <c r="AQ124" i="1" l="1"/>
  <c r="AR125" i="1" s="1"/>
  <c r="AR124" i="1"/>
  <c r="AN172" i="1"/>
  <c r="AM125" i="1"/>
  <c r="AQ125" i="1" l="1"/>
  <c r="AN173" i="1"/>
  <c r="AM126" i="1"/>
  <c r="AQ126" i="1" l="1"/>
  <c r="AR126" i="1"/>
  <c r="AN174" i="1"/>
  <c r="AM127" i="1"/>
  <c r="AQ127" i="1" l="1"/>
  <c r="AR127" i="1"/>
  <c r="AN175" i="1"/>
  <c r="AM128" i="1"/>
  <c r="AQ128" i="1" l="1"/>
  <c r="AR128" i="1"/>
  <c r="AN176" i="1"/>
  <c r="AM129" i="1"/>
  <c r="AQ129" i="1" l="1"/>
  <c r="AR129" i="1"/>
  <c r="AN177" i="1"/>
  <c r="AM130" i="1"/>
  <c r="AQ130" i="1" l="1"/>
  <c r="AR130" i="1"/>
  <c r="AN178" i="1"/>
  <c r="AM131" i="1"/>
  <c r="AQ131" i="1" l="1"/>
  <c r="AR131" i="1"/>
  <c r="AN179" i="1"/>
  <c r="AM132" i="1"/>
  <c r="AQ132" i="1" l="1"/>
  <c r="AR132" i="1"/>
  <c r="AN180" i="1"/>
  <c r="AM133" i="1"/>
  <c r="AQ133" i="1" l="1"/>
  <c r="AR133" i="1"/>
  <c r="AN181" i="1"/>
  <c r="AM134" i="1"/>
  <c r="AQ134" i="1" l="1"/>
  <c r="AR134" i="1"/>
  <c r="AN182" i="1"/>
  <c r="AM135" i="1"/>
  <c r="AQ135" i="1" l="1"/>
  <c r="AR135" i="1"/>
  <c r="AN183" i="1"/>
  <c r="AM136" i="1"/>
  <c r="AQ136" i="1" l="1"/>
  <c r="AR136" i="1"/>
  <c r="AN184" i="1"/>
  <c r="AM137" i="1"/>
  <c r="AQ137" i="1" l="1"/>
  <c r="AR137" i="1"/>
  <c r="AN185" i="1"/>
  <c r="AM138" i="1"/>
  <c r="AQ138" i="1" l="1"/>
  <c r="AR138" i="1"/>
  <c r="AN186" i="1"/>
  <c r="AM139" i="1"/>
  <c r="AQ139" i="1" l="1"/>
  <c r="AR139" i="1"/>
  <c r="AN187" i="1"/>
  <c r="AM140" i="1"/>
  <c r="AQ140" i="1" l="1"/>
  <c r="AR140" i="1"/>
  <c r="AN188" i="1"/>
  <c r="AM141" i="1"/>
  <c r="AQ141" i="1" l="1"/>
  <c r="AR141" i="1"/>
  <c r="AN189" i="1"/>
  <c r="AM142" i="1"/>
  <c r="AQ142" i="1" l="1"/>
  <c r="AR143" i="1"/>
  <c r="AR142" i="1"/>
  <c r="AN190" i="1"/>
  <c r="AM143" i="1"/>
  <c r="AQ143" i="1" l="1"/>
  <c r="AN191" i="1"/>
  <c r="AM144" i="1"/>
  <c r="AQ144" i="1" l="1"/>
  <c r="AR144" i="1"/>
  <c r="AN192" i="1"/>
  <c r="AM145" i="1"/>
  <c r="AQ145" i="1" l="1"/>
  <c r="AR145" i="1"/>
  <c r="AN193" i="1"/>
  <c r="AM146" i="1"/>
  <c r="AQ146" i="1" l="1"/>
  <c r="AR147" i="1"/>
  <c r="AR146" i="1"/>
  <c r="AN194" i="1"/>
  <c r="AM147" i="1"/>
  <c r="AQ147" i="1" l="1"/>
  <c r="AN195" i="1"/>
  <c r="AM148" i="1"/>
  <c r="AQ148" i="1" l="1"/>
  <c r="AR149" i="1"/>
  <c r="AR148" i="1"/>
  <c r="AN196" i="1"/>
  <c r="AM149" i="1"/>
  <c r="AQ149" i="1" l="1"/>
  <c r="AN197" i="1"/>
  <c r="AM150" i="1"/>
  <c r="AQ150" i="1" l="1"/>
  <c r="AR150" i="1"/>
  <c r="AN198" i="1"/>
  <c r="AM151" i="1"/>
  <c r="AQ151" i="1" l="1"/>
  <c r="AR151" i="1"/>
  <c r="AN199" i="1"/>
  <c r="AM152" i="1"/>
  <c r="AQ152" i="1" l="1"/>
  <c r="AR152" i="1"/>
  <c r="AN200" i="1"/>
  <c r="AM153" i="1"/>
  <c r="AQ153" i="1" l="1"/>
  <c r="AR153" i="1"/>
  <c r="AN201" i="1"/>
  <c r="AM154" i="1"/>
  <c r="AQ154" i="1" l="1"/>
  <c r="AR154" i="1"/>
  <c r="AN202" i="1"/>
  <c r="AM155" i="1"/>
  <c r="AQ155" i="1" l="1"/>
  <c r="AR155" i="1"/>
  <c r="AN203" i="1"/>
  <c r="AM156" i="1"/>
  <c r="AQ156" i="1" l="1"/>
  <c r="AR156" i="1"/>
  <c r="AN204" i="1"/>
  <c r="AM157" i="1"/>
  <c r="AQ157" i="1" l="1"/>
  <c r="AR157" i="1"/>
  <c r="AN205" i="1"/>
  <c r="AM158" i="1"/>
  <c r="AQ158" i="1" l="1"/>
  <c r="AR159" i="1" s="1"/>
  <c r="AR158" i="1"/>
  <c r="AN206" i="1"/>
  <c r="AM159" i="1"/>
  <c r="AQ159" i="1" l="1"/>
  <c r="AN207" i="1"/>
  <c r="AM160" i="1"/>
  <c r="AQ160" i="1" l="1"/>
  <c r="AR160" i="1"/>
  <c r="AN208" i="1"/>
  <c r="AM161" i="1"/>
  <c r="AQ161" i="1" l="1"/>
  <c r="AR162" i="1"/>
  <c r="AR161" i="1"/>
  <c r="AN209" i="1"/>
  <c r="AM162" i="1"/>
  <c r="AQ162" i="1" l="1"/>
  <c r="AN210" i="1"/>
  <c r="AM163" i="1"/>
  <c r="AQ163" i="1" l="1"/>
  <c r="AR163" i="1"/>
  <c r="AN211" i="1"/>
  <c r="AM164" i="1"/>
  <c r="AQ164" i="1" l="1"/>
  <c r="AR165" i="1" s="1"/>
  <c r="AR164" i="1"/>
  <c r="AN212" i="1"/>
  <c r="AM165" i="1"/>
  <c r="AQ165" i="1" l="1"/>
  <c r="AR166" i="1" s="1"/>
  <c r="AN213" i="1"/>
  <c r="AM166" i="1"/>
  <c r="AQ166" i="1" l="1"/>
  <c r="AR167" i="1"/>
  <c r="AN214" i="1"/>
  <c r="AM167" i="1"/>
  <c r="AQ167" i="1" l="1"/>
  <c r="AN215" i="1"/>
  <c r="AM168" i="1"/>
  <c r="AQ168" i="1" l="1"/>
  <c r="AR169" i="1" s="1"/>
  <c r="AR168" i="1"/>
  <c r="AN216" i="1"/>
  <c r="AM169" i="1"/>
  <c r="AQ169" i="1" l="1"/>
  <c r="AN217" i="1"/>
  <c r="AM170" i="1"/>
  <c r="AQ170" i="1" l="1"/>
  <c r="AR170" i="1"/>
  <c r="AN218" i="1"/>
  <c r="AM171" i="1"/>
  <c r="AQ171" i="1" l="1"/>
  <c r="AR171" i="1"/>
  <c r="AN219" i="1"/>
  <c r="AM172" i="1"/>
  <c r="AQ172" i="1" l="1"/>
  <c r="AR172" i="1"/>
  <c r="AN220" i="1"/>
  <c r="AM173" i="1"/>
  <c r="AQ173" i="1" l="1"/>
  <c r="AR174" i="1" s="1"/>
  <c r="AR173" i="1"/>
  <c r="AN221" i="1"/>
  <c r="AM174" i="1"/>
  <c r="AQ174" i="1" l="1"/>
  <c r="AN222" i="1"/>
  <c r="AM175" i="1"/>
  <c r="AQ175" i="1" l="1"/>
  <c r="AR175" i="1"/>
  <c r="AN223" i="1"/>
  <c r="AM176" i="1"/>
  <c r="AQ176" i="1" l="1"/>
  <c r="AR176" i="1"/>
  <c r="AN224" i="1"/>
  <c r="AM177" i="1"/>
  <c r="AQ177" i="1" l="1"/>
  <c r="AR177" i="1"/>
  <c r="AN225" i="1"/>
  <c r="AM178" i="1"/>
  <c r="AQ178" i="1" l="1"/>
  <c r="AR178" i="1"/>
  <c r="AN226" i="1"/>
  <c r="AM179" i="1"/>
  <c r="AQ179" i="1" l="1"/>
  <c r="AR179" i="1"/>
  <c r="AN227" i="1"/>
  <c r="AM180" i="1"/>
  <c r="AQ180" i="1" l="1"/>
  <c r="AR180" i="1"/>
  <c r="AN228" i="1"/>
  <c r="AM181" i="1"/>
  <c r="AQ181" i="1" l="1"/>
  <c r="AR181" i="1"/>
  <c r="AN229" i="1"/>
  <c r="AM182" i="1"/>
  <c r="AQ182" i="1" l="1"/>
  <c r="AR182" i="1"/>
  <c r="AN230" i="1"/>
  <c r="AM183" i="1"/>
  <c r="AQ183" i="1" l="1"/>
  <c r="AR183" i="1"/>
  <c r="AN231" i="1"/>
  <c r="AM184" i="1"/>
  <c r="AQ184" i="1" l="1"/>
  <c r="AR185" i="1" s="1"/>
  <c r="AR184" i="1"/>
  <c r="AN232" i="1"/>
  <c r="AM185" i="1"/>
  <c r="AQ185" i="1" l="1"/>
  <c r="AN233" i="1"/>
  <c r="AM186" i="1"/>
  <c r="AQ186" i="1" l="1"/>
  <c r="AR187" i="1"/>
  <c r="AR186" i="1"/>
  <c r="AN234" i="1"/>
  <c r="AM187" i="1"/>
  <c r="AQ187" i="1" l="1"/>
  <c r="AN235" i="1"/>
  <c r="AM188" i="1"/>
  <c r="AQ188" i="1" l="1"/>
  <c r="AR188" i="1"/>
  <c r="AN236" i="1"/>
  <c r="AM189" i="1"/>
  <c r="AQ189" i="1" l="1"/>
  <c r="AR189" i="1"/>
  <c r="AN237" i="1"/>
  <c r="AM190" i="1"/>
  <c r="AQ190" i="1" l="1"/>
  <c r="AR190" i="1"/>
  <c r="AN238" i="1"/>
  <c r="AM191" i="1"/>
  <c r="AQ191" i="1" l="1"/>
  <c r="AR192" i="1"/>
  <c r="AR191" i="1"/>
  <c r="AN239" i="1"/>
  <c r="AM192" i="1"/>
  <c r="AQ192" i="1" l="1"/>
  <c r="AN240" i="1"/>
  <c r="AM193" i="1"/>
  <c r="AQ193" i="1" l="1"/>
  <c r="AR193" i="1"/>
  <c r="AN241" i="1"/>
  <c r="AM194" i="1"/>
  <c r="AQ194" i="1" l="1"/>
  <c r="AR194" i="1"/>
  <c r="AN242" i="1"/>
  <c r="AM195" i="1"/>
  <c r="AQ195" i="1" l="1"/>
  <c r="AR195" i="1"/>
  <c r="AN243" i="1"/>
  <c r="AM196" i="1"/>
  <c r="AQ196" i="1" l="1"/>
  <c r="AR196" i="1"/>
  <c r="AN244" i="1"/>
  <c r="AM197" i="1"/>
  <c r="AQ197" i="1" l="1"/>
  <c r="AR197" i="1"/>
  <c r="AN245" i="1"/>
  <c r="AM198" i="1"/>
  <c r="AQ198" i="1" l="1"/>
  <c r="AR199" i="1"/>
  <c r="AR198" i="1"/>
  <c r="AN246" i="1"/>
  <c r="AM199" i="1"/>
  <c r="AQ199" i="1" l="1"/>
  <c r="AN247" i="1"/>
  <c r="AM200" i="1"/>
  <c r="AQ200" i="1" l="1"/>
  <c r="AR200" i="1"/>
  <c r="AN248" i="1"/>
  <c r="AM201" i="1"/>
  <c r="AQ201" i="1" l="1"/>
  <c r="AR201" i="1"/>
  <c r="AN249" i="1"/>
  <c r="AM202" i="1"/>
  <c r="AQ202" i="1" l="1"/>
  <c r="AR202" i="1"/>
  <c r="AN250" i="1"/>
  <c r="AM203" i="1"/>
  <c r="AQ203" i="1" l="1"/>
  <c r="AR204" i="1"/>
  <c r="AR203" i="1"/>
  <c r="AN251" i="1"/>
  <c r="AM204" i="1"/>
  <c r="AQ204" i="1" s="1"/>
  <c r="AR205" i="1" l="1"/>
  <c r="AN252" i="1"/>
  <c r="AM205" i="1"/>
  <c r="AQ205" i="1" l="1"/>
  <c r="AN253" i="1"/>
  <c r="AM206" i="1"/>
  <c r="AQ206" i="1" l="1"/>
  <c r="AR207" i="1" s="1"/>
  <c r="AR206" i="1"/>
  <c r="AN254" i="1"/>
  <c r="AM207" i="1"/>
  <c r="AQ207" i="1" l="1"/>
  <c r="AN255" i="1"/>
  <c r="AM208" i="1"/>
  <c r="AQ208" i="1" l="1"/>
  <c r="AR208" i="1"/>
  <c r="AN256" i="1"/>
  <c r="AM209" i="1"/>
  <c r="AQ209" i="1" l="1"/>
  <c r="AR209" i="1"/>
  <c r="AN257" i="1"/>
  <c r="AM210" i="1"/>
  <c r="AQ210" i="1" l="1"/>
  <c r="AR210" i="1"/>
  <c r="AN258" i="1"/>
  <c r="AM211" i="1"/>
  <c r="AQ211" i="1" l="1"/>
  <c r="AR211" i="1"/>
  <c r="AN259" i="1"/>
  <c r="AM212" i="1"/>
  <c r="AQ212" i="1" l="1"/>
  <c r="AR212" i="1"/>
  <c r="AN260" i="1"/>
  <c r="AM213" i="1"/>
  <c r="AQ213" i="1" l="1"/>
  <c r="AR213" i="1"/>
  <c r="AN261" i="1"/>
  <c r="AM214" i="1"/>
  <c r="AQ214" i="1" l="1"/>
  <c r="AR214" i="1"/>
  <c r="AN262" i="1"/>
  <c r="AM215" i="1"/>
  <c r="AQ215" i="1" l="1"/>
  <c r="AR215" i="1"/>
  <c r="AN263" i="1"/>
  <c r="AM216" i="1"/>
  <c r="AQ216" i="1" l="1"/>
  <c r="AR216" i="1"/>
  <c r="AN264" i="1"/>
  <c r="AM217" i="1"/>
  <c r="AQ217" i="1" l="1"/>
  <c r="AR217" i="1"/>
  <c r="AN265" i="1"/>
  <c r="AM218" i="1"/>
  <c r="AQ218" i="1" l="1"/>
  <c r="AR218" i="1"/>
  <c r="AN266" i="1"/>
  <c r="AM219" i="1"/>
  <c r="AQ219" i="1" l="1"/>
  <c r="AR219" i="1"/>
  <c r="AN267" i="1"/>
  <c r="AM220" i="1"/>
  <c r="AQ220" i="1" l="1"/>
  <c r="AR220" i="1"/>
  <c r="AN268" i="1"/>
  <c r="AM221" i="1"/>
  <c r="AQ221" i="1" l="1"/>
  <c r="AR222" i="1"/>
  <c r="AR221" i="1"/>
  <c r="AN269" i="1"/>
  <c r="AM222" i="1"/>
  <c r="AQ222" i="1" l="1"/>
  <c r="AN270" i="1"/>
  <c r="AM223" i="1"/>
  <c r="AQ223" i="1" l="1"/>
  <c r="AR223" i="1"/>
  <c r="AN271" i="1"/>
  <c r="AM224" i="1"/>
  <c r="AQ224" i="1" l="1"/>
  <c r="AR224" i="1"/>
  <c r="AN272" i="1"/>
  <c r="AM225" i="1"/>
  <c r="AQ225" i="1" l="1"/>
  <c r="AR226" i="1" s="1"/>
  <c r="AR225" i="1"/>
  <c r="AN273" i="1"/>
  <c r="AM226" i="1"/>
  <c r="AQ226" i="1" l="1"/>
  <c r="AN274" i="1"/>
  <c r="AM227" i="1"/>
  <c r="AQ227" i="1" l="1"/>
  <c r="AR228" i="1" s="1"/>
  <c r="AR227" i="1"/>
  <c r="AN275" i="1"/>
  <c r="AM228" i="1"/>
  <c r="AQ228" i="1" l="1"/>
  <c r="AN276" i="1"/>
  <c r="AM229" i="1"/>
  <c r="AQ229" i="1" l="1"/>
  <c r="AR230" i="1"/>
  <c r="AR229" i="1"/>
  <c r="AN277" i="1"/>
  <c r="AM230" i="1"/>
  <c r="AQ230" i="1" l="1"/>
  <c r="AN278" i="1"/>
  <c r="AM231" i="1"/>
  <c r="AQ231" i="1" l="1"/>
  <c r="AR231" i="1"/>
  <c r="AN279" i="1"/>
  <c r="AM232" i="1"/>
  <c r="AQ232" i="1" l="1"/>
  <c r="AR232" i="1"/>
  <c r="AN280" i="1"/>
  <c r="AM233" i="1"/>
  <c r="AQ233" i="1" l="1"/>
  <c r="AR234" i="1" s="1"/>
  <c r="AR233" i="1"/>
  <c r="AN281" i="1"/>
  <c r="AM234" i="1"/>
  <c r="AQ234" i="1" l="1"/>
  <c r="AN282" i="1"/>
  <c r="AM235" i="1"/>
  <c r="AQ235" i="1" l="1"/>
  <c r="AR235" i="1"/>
  <c r="AN283" i="1"/>
  <c r="AM236" i="1"/>
  <c r="AQ236" i="1" l="1"/>
  <c r="AR236" i="1"/>
  <c r="AN284" i="1"/>
  <c r="AM237" i="1"/>
  <c r="AQ237" i="1" l="1"/>
  <c r="AR237" i="1"/>
  <c r="AN285" i="1"/>
  <c r="AM238" i="1"/>
  <c r="AQ238" i="1" l="1"/>
  <c r="AR239" i="1"/>
  <c r="AR238" i="1"/>
  <c r="AN286" i="1"/>
  <c r="AM239" i="1"/>
  <c r="AQ239" i="1" l="1"/>
  <c r="AN287" i="1"/>
  <c r="AM240" i="1"/>
  <c r="AQ240" i="1" l="1"/>
  <c r="AR240" i="1"/>
  <c r="AN288" i="1"/>
  <c r="AM241" i="1"/>
  <c r="AQ241" i="1" l="1"/>
  <c r="AR241" i="1"/>
  <c r="AN289" i="1"/>
  <c r="AM242" i="1"/>
  <c r="AQ242" i="1" l="1"/>
  <c r="AR242" i="1"/>
  <c r="AN290" i="1"/>
  <c r="AM243" i="1"/>
  <c r="AQ243" i="1" l="1"/>
  <c r="AR243" i="1"/>
  <c r="AN291" i="1"/>
  <c r="AM244" i="1"/>
  <c r="AQ244" i="1" l="1"/>
  <c r="AR244" i="1"/>
  <c r="AN292" i="1"/>
  <c r="AM245" i="1"/>
  <c r="AQ245" i="1" l="1"/>
  <c r="AR246" i="1" s="1"/>
  <c r="AR245" i="1"/>
  <c r="AN293" i="1"/>
  <c r="AM246" i="1"/>
  <c r="AQ246" i="1" l="1"/>
  <c r="AN294" i="1"/>
  <c r="AM247" i="1"/>
  <c r="AQ247" i="1" l="1"/>
  <c r="AR247" i="1"/>
  <c r="AN295" i="1"/>
  <c r="AM248" i="1"/>
  <c r="AQ248" i="1" l="1"/>
  <c r="AR248" i="1"/>
  <c r="AN296" i="1"/>
  <c r="AM249" i="1"/>
  <c r="AQ249" i="1" l="1"/>
  <c r="AR249" i="1"/>
  <c r="AN297" i="1"/>
  <c r="AM250" i="1"/>
  <c r="AQ250" i="1" l="1"/>
  <c r="AR250" i="1"/>
  <c r="AN298" i="1"/>
  <c r="AM251" i="1"/>
  <c r="AQ251" i="1" l="1"/>
  <c r="AR251" i="1"/>
  <c r="AN299" i="1"/>
  <c r="AM252" i="1"/>
  <c r="AQ252" i="1" l="1"/>
  <c r="AR252" i="1"/>
  <c r="AN300" i="1"/>
  <c r="AM253" i="1"/>
  <c r="AQ253" i="1" l="1"/>
  <c r="AR253" i="1"/>
  <c r="AN301" i="1"/>
  <c r="AM254" i="1"/>
  <c r="AQ254" i="1" l="1"/>
  <c r="AR254" i="1"/>
  <c r="AN302" i="1"/>
  <c r="AM255" i="1"/>
  <c r="AQ255" i="1" l="1"/>
  <c r="AR255" i="1"/>
  <c r="AN303" i="1"/>
  <c r="AM256" i="1"/>
  <c r="AQ256" i="1" l="1"/>
  <c r="AR256" i="1"/>
  <c r="AN304" i="1"/>
  <c r="AM257" i="1"/>
  <c r="AQ257" i="1" l="1"/>
  <c r="AR257" i="1"/>
  <c r="AN305" i="1"/>
  <c r="AM258" i="1"/>
  <c r="AQ258" i="1" l="1"/>
  <c r="AR258" i="1"/>
  <c r="AN306" i="1"/>
  <c r="AM259" i="1"/>
  <c r="AQ259" i="1" l="1"/>
  <c r="AR259" i="1"/>
  <c r="AN307" i="1"/>
  <c r="AM260" i="1"/>
  <c r="AQ260" i="1" l="1"/>
  <c r="AR260" i="1"/>
  <c r="AN308" i="1"/>
  <c r="AM261" i="1"/>
  <c r="AQ261" i="1" l="1"/>
  <c r="AR261" i="1"/>
  <c r="AN309" i="1"/>
  <c r="AM262" i="1"/>
  <c r="AQ262" i="1" l="1"/>
  <c r="AR262" i="1"/>
  <c r="AN310" i="1"/>
  <c r="AM263" i="1"/>
  <c r="AQ263" i="1" l="1"/>
  <c r="AR263" i="1"/>
  <c r="AN311" i="1"/>
  <c r="AM264" i="1"/>
  <c r="AQ264" i="1" l="1"/>
  <c r="AR264" i="1"/>
  <c r="AN312" i="1"/>
  <c r="AM265" i="1"/>
  <c r="AQ265" i="1" l="1"/>
  <c r="AR265" i="1"/>
  <c r="AN313" i="1"/>
  <c r="AM266" i="1"/>
  <c r="AQ266" i="1" l="1"/>
  <c r="AR266" i="1"/>
  <c r="AN314" i="1"/>
  <c r="AM267" i="1"/>
  <c r="AQ267" i="1" l="1"/>
  <c r="AR267" i="1"/>
  <c r="AN315" i="1"/>
  <c r="AM268" i="1"/>
  <c r="AQ268" i="1" l="1"/>
  <c r="AR268" i="1"/>
  <c r="AN316" i="1"/>
  <c r="AM269" i="1"/>
  <c r="AQ269" i="1" l="1"/>
  <c r="AR270" i="1" s="1"/>
  <c r="AR269" i="1"/>
  <c r="AN317" i="1"/>
  <c r="AM270" i="1"/>
  <c r="AQ270" i="1" l="1"/>
  <c r="AN318" i="1"/>
  <c r="AM271" i="1"/>
  <c r="AQ271" i="1" l="1"/>
  <c r="AR272" i="1"/>
  <c r="AR271" i="1"/>
  <c r="AN319" i="1"/>
  <c r="AM272" i="1"/>
  <c r="AQ272" i="1" l="1"/>
  <c r="AN320" i="1"/>
  <c r="AM273" i="1"/>
  <c r="AQ273" i="1" l="1"/>
  <c r="AR273" i="1"/>
  <c r="AN321" i="1"/>
  <c r="AM274" i="1"/>
  <c r="AQ274" i="1" l="1"/>
  <c r="AR274" i="1"/>
  <c r="AN322" i="1"/>
  <c r="AM275" i="1"/>
  <c r="AQ275" i="1" l="1"/>
  <c r="AR275" i="1"/>
  <c r="AN323" i="1"/>
  <c r="AM276" i="1"/>
  <c r="AQ276" i="1" l="1"/>
  <c r="AR276" i="1"/>
  <c r="AN324" i="1"/>
  <c r="AM277" i="1"/>
  <c r="AQ277" i="1" l="1"/>
  <c r="AR277" i="1"/>
  <c r="AN325" i="1"/>
  <c r="AM278" i="1"/>
  <c r="AQ278" i="1" l="1"/>
  <c r="AR278" i="1"/>
  <c r="AN326" i="1"/>
  <c r="AM279" i="1"/>
  <c r="AQ279" i="1" l="1"/>
  <c r="AR279" i="1"/>
  <c r="AN327" i="1"/>
  <c r="AM280" i="1"/>
  <c r="AQ280" i="1" l="1"/>
  <c r="AR280" i="1"/>
  <c r="AN328" i="1"/>
  <c r="AM281" i="1"/>
  <c r="AQ281" i="1" l="1"/>
  <c r="AR281" i="1"/>
  <c r="AN329" i="1"/>
  <c r="AM282" i="1"/>
  <c r="AQ282" i="1" l="1"/>
  <c r="AR282" i="1"/>
  <c r="AN330" i="1"/>
  <c r="AM283" i="1"/>
  <c r="AQ283" i="1" l="1"/>
  <c r="AR283" i="1"/>
  <c r="AN331" i="1"/>
  <c r="AM284" i="1"/>
  <c r="AQ284" i="1" l="1"/>
  <c r="AR284" i="1"/>
  <c r="AN332" i="1"/>
  <c r="AM285" i="1"/>
  <c r="AQ285" i="1" l="1"/>
  <c r="AR285" i="1"/>
  <c r="AN333" i="1"/>
  <c r="AM286" i="1"/>
  <c r="AQ286" i="1" l="1"/>
  <c r="AR286" i="1"/>
  <c r="AN334" i="1"/>
  <c r="AM287" i="1"/>
  <c r="AQ287" i="1" l="1"/>
  <c r="AR287" i="1"/>
  <c r="AN335" i="1"/>
  <c r="AM288" i="1"/>
  <c r="AQ288" i="1" l="1"/>
  <c r="AR288" i="1"/>
  <c r="AN336" i="1"/>
  <c r="AM289" i="1"/>
  <c r="AQ289" i="1" l="1"/>
  <c r="AR289" i="1"/>
  <c r="AN337" i="1"/>
  <c r="AM290" i="1"/>
  <c r="AQ290" i="1" l="1"/>
  <c r="AR290" i="1"/>
  <c r="AN338" i="1"/>
  <c r="AM291" i="1"/>
  <c r="AQ291" i="1" l="1"/>
  <c r="AR291" i="1"/>
  <c r="AN339" i="1"/>
  <c r="AM292" i="1"/>
  <c r="AQ292" i="1" l="1"/>
  <c r="AR292" i="1"/>
  <c r="AN340" i="1"/>
  <c r="AM293" i="1"/>
  <c r="AQ293" i="1" l="1"/>
  <c r="AR293" i="1"/>
  <c r="AN341" i="1"/>
  <c r="AM294" i="1"/>
  <c r="AQ294" i="1" l="1"/>
  <c r="AR294" i="1"/>
  <c r="AN342" i="1"/>
  <c r="AM295" i="1"/>
  <c r="AQ295" i="1" l="1"/>
  <c r="AR295" i="1"/>
  <c r="AR296" i="1"/>
  <c r="AN343" i="1"/>
  <c r="AM296" i="1"/>
  <c r="AQ296" i="1" l="1"/>
  <c r="AN344" i="1"/>
  <c r="AM297" i="1"/>
  <c r="AQ297" i="1" l="1"/>
  <c r="AR297" i="1"/>
  <c r="AN345" i="1"/>
  <c r="AM298" i="1"/>
  <c r="AQ298" i="1" l="1"/>
  <c r="AR299" i="1"/>
  <c r="AR298" i="1"/>
  <c r="AN346" i="1"/>
  <c r="AM299" i="1"/>
  <c r="AQ299" i="1" l="1"/>
  <c r="AN347" i="1"/>
  <c r="AM300" i="1"/>
  <c r="AQ300" i="1" l="1"/>
  <c r="AR301" i="1"/>
  <c r="AR300" i="1"/>
  <c r="AN348" i="1"/>
  <c r="AM301" i="1"/>
  <c r="AQ301" i="1" l="1"/>
  <c r="AN349" i="1"/>
  <c r="AM302" i="1"/>
  <c r="AQ302" i="1" l="1"/>
  <c r="AR303" i="1" s="1"/>
  <c r="AR302" i="1"/>
  <c r="AN350" i="1"/>
  <c r="AM303" i="1"/>
  <c r="AQ303" i="1" l="1"/>
  <c r="AR304" i="1" s="1"/>
  <c r="AN351" i="1"/>
  <c r="AM304" i="1"/>
  <c r="AQ304" i="1" l="1"/>
  <c r="AR305" i="1" s="1"/>
  <c r="AN352" i="1"/>
  <c r="AM305" i="1"/>
  <c r="AQ305" i="1" l="1"/>
  <c r="AR306" i="1" s="1"/>
  <c r="AN353" i="1"/>
  <c r="AM306" i="1"/>
  <c r="AQ306" i="1" l="1"/>
  <c r="AR307" i="1" s="1"/>
  <c r="AN354" i="1"/>
  <c r="AM307" i="1"/>
  <c r="AQ307" i="1" l="1"/>
  <c r="AN355" i="1"/>
  <c r="AM308" i="1"/>
  <c r="AQ308" i="1" l="1"/>
  <c r="AR308" i="1"/>
  <c r="AN356" i="1"/>
  <c r="AM309" i="1"/>
  <c r="AQ309" i="1" l="1"/>
  <c r="AR309" i="1"/>
  <c r="AN357" i="1"/>
  <c r="AM310" i="1"/>
  <c r="AQ310" i="1" l="1"/>
  <c r="AR310" i="1"/>
  <c r="AN358" i="1"/>
  <c r="AM311" i="1"/>
  <c r="AQ311" i="1" l="1"/>
  <c r="AR311" i="1"/>
  <c r="AN359" i="1"/>
  <c r="AM312" i="1"/>
  <c r="AQ312" i="1" l="1"/>
  <c r="AR312" i="1"/>
  <c r="AN360" i="1"/>
  <c r="AM313" i="1"/>
  <c r="AQ313" i="1" l="1"/>
  <c r="AR313" i="1"/>
  <c r="AN361" i="1"/>
  <c r="AM314" i="1"/>
  <c r="AQ314" i="1" l="1"/>
  <c r="AR314" i="1"/>
  <c r="AN362" i="1"/>
  <c r="AM315" i="1"/>
  <c r="AQ315" i="1" l="1"/>
  <c r="AR315" i="1"/>
  <c r="AN363" i="1"/>
  <c r="AM316" i="1"/>
  <c r="AQ316" i="1" l="1"/>
  <c r="AR316" i="1"/>
  <c r="AN364" i="1"/>
  <c r="AM317" i="1"/>
  <c r="AQ317" i="1" l="1"/>
  <c r="AR317" i="1"/>
  <c r="AN365" i="1"/>
  <c r="AM318" i="1"/>
  <c r="AQ318" i="1" l="1"/>
  <c r="AR318" i="1"/>
  <c r="AN366" i="1"/>
  <c r="AM319" i="1"/>
  <c r="AQ319" i="1" l="1"/>
  <c r="AR319" i="1"/>
  <c r="AN367" i="1"/>
  <c r="AM320" i="1"/>
  <c r="AQ320" i="1" l="1"/>
  <c r="AR321" i="1" s="1"/>
  <c r="AR320" i="1"/>
  <c r="AN368" i="1"/>
  <c r="AM321" i="1"/>
  <c r="AQ321" i="1" l="1"/>
  <c r="AN369" i="1"/>
  <c r="AM322" i="1"/>
  <c r="AQ322" i="1" l="1"/>
  <c r="AR323" i="1" s="1"/>
  <c r="AR322" i="1"/>
  <c r="AN370" i="1"/>
  <c r="AM323" i="1"/>
  <c r="AQ323" i="1" l="1"/>
  <c r="AN371" i="1"/>
  <c r="AM324" i="1"/>
  <c r="AQ324" i="1" l="1"/>
  <c r="AR324" i="1"/>
  <c r="AN372" i="1"/>
  <c r="AM325" i="1"/>
  <c r="AQ325" i="1" l="1"/>
  <c r="AR325" i="1"/>
  <c r="AN373" i="1"/>
  <c r="AM326" i="1"/>
  <c r="AQ326" i="1" l="1"/>
  <c r="AR326" i="1"/>
  <c r="AN374" i="1"/>
  <c r="AM327" i="1"/>
  <c r="AQ327" i="1" l="1"/>
  <c r="AR327" i="1"/>
  <c r="AN375" i="1"/>
  <c r="AM328" i="1"/>
  <c r="AQ328" i="1" l="1"/>
  <c r="AR328" i="1"/>
  <c r="AN376" i="1"/>
  <c r="AM329" i="1"/>
  <c r="AQ329" i="1" l="1"/>
  <c r="AR329" i="1"/>
  <c r="AN377" i="1"/>
  <c r="AM330" i="1"/>
  <c r="AQ330" i="1" l="1"/>
  <c r="AR330" i="1"/>
  <c r="AN378" i="1"/>
  <c r="AM331" i="1"/>
  <c r="AQ331" i="1" l="1"/>
  <c r="AR331" i="1"/>
  <c r="AN379" i="1"/>
  <c r="AM332" i="1"/>
  <c r="AQ332" i="1" l="1"/>
  <c r="AR332" i="1"/>
  <c r="AN380" i="1"/>
  <c r="AM333" i="1"/>
  <c r="AQ333" i="1" l="1"/>
  <c r="AR333" i="1"/>
  <c r="AN381" i="1"/>
  <c r="AM334" i="1"/>
  <c r="AQ334" i="1" l="1"/>
  <c r="AR335" i="1"/>
  <c r="AR334" i="1"/>
  <c r="AN382" i="1"/>
  <c r="AM335" i="1"/>
  <c r="AQ335" i="1" l="1"/>
  <c r="AN383" i="1"/>
  <c r="AM336" i="1"/>
  <c r="AQ336" i="1" l="1"/>
  <c r="AR336" i="1"/>
  <c r="AN384" i="1"/>
  <c r="AM337" i="1"/>
  <c r="AQ337" i="1" l="1"/>
  <c r="AR337" i="1"/>
  <c r="AN385" i="1"/>
  <c r="AM338" i="1"/>
  <c r="AQ338" i="1" l="1"/>
  <c r="AR338" i="1"/>
  <c r="AN386" i="1"/>
  <c r="AM339" i="1"/>
  <c r="AQ339" i="1" l="1"/>
  <c r="AR339" i="1"/>
  <c r="AN387" i="1"/>
  <c r="AM340" i="1"/>
  <c r="AQ340" i="1" l="1"/>
  <c r="AR340" i="1"/>
  <c r="AN388" i="1"/>
  <c r="AM341" i="1"/>
  <c r="AQ341" i="1" l="1"/>
  <c r="AR341" i="1"/>
  <c r="AN389" i="1"/>
  <c r="AM342" i="1"/>
  <c r="AQ342" i="1" l="1"/>
  <c r="AR343" i="1" s="1"/>
  <c r="AR342" i="1"/>
  <c r="AN390" i="1"/>
  <c r="AM343" i="1"/>
  <c r="AQ343" i="1" l="1"/>
  <c r="AN391" i="1"/>
  <c r="AM344" i="1"/>
  <c r="AQ344" i="1" l="1"/>
  <c r="AR344" i="1"/>
  <c r="AN392" i="1"/>
  <c r="AM345" i="1"/>
  <c r="AQ345" i="1" l="1"/>
  <c r="AR345" i="1"/>
  <c r="AN393" i="1"/>
  <c r="AM346" i="1"/>
  <c r="AQ346" i="1" l="1"/>
  <c r="AR346" i="1"/>
  <c r="AN394" i="1"/>
  <c r="AM347" i="1"/>
  <c r="AQ347" i="1" l="1"/>
  <c r="AR347" i="1"/>
  <c r="AN395" i="1"/>
  <c r="AM348" i="1"/>
  <c r="AQ348" i="1" l="1"/>
  <c r="AR348" i="1"/>
  <c r="AN396" i="1"/>
  <c r="AM349" i="1"/>
  <c r="AQ349" i="1" l="1"/>
  <c r="AR350" i="1"/>
  <c r="AR349" i="1"/>
  <c r="AN397" i="1"/>
  <c r="AM350" i="1"/>
  <c r="AQ350" i="1" l="1"/>
  <c r="AN398" i="1"/>
  <c r="AM351" i="1"/>
  <c r="AQ351" i="1" l="1"/>
  <c r="AR351" i="1"/>
  <c r="AN399" i="1"/>
  <c r="AM352" i="1"/>
  <c r="AQ352" i="1" l="1"/>
  <c r="AR352" i="1"/>
  <c r="AN400" i="1"/>
  <c r="AM353" i="1"/>
  <c r="AQ353" i="1" l="1"/>
  <c r="AR353" i="1"/>
  <c r="AN401" i="1"/>
  <c r="AM354" i="1"/>
  <c r="AQ354" i="1" l="1"/>
  <c r="AR354" i="1"/>
  <c r="AN402" i="1"/>
  <c r="AM355" i="1"/>
  <c r="AQ355" i="1" l="1"/>
  <c r="AR355" i="1"/>
  <c r="AN403" i="1"/>
  <c r="AM356" i="1"/>
  <c r="AQ356" i="1" l="1"/>
  <c r="AR356" i="1"/>
  <c r="AN404" i="1"/>
  <c r="AM357" i="1"/>
  <c r="AQ357" i="1" l="1"/>
  <c r="AR357" i="1"/>
  <c r="AN405" i="1"/>
  <c r="AM358" i="1"/>
  <c r="AQ358" i="1" l="1"/>
  <c r="AR358" i="1"/>
  <c r="AN406" i="1"/>
  <c r="AM359" i="1"/>
  <c r="AQ359" i="1" l="1"/>
  <c r="AR359" i="1"/>
  <c r="AN407" i="1"/>
  <c r="AM360" i="1"/>
  <c r="AQ360" i="1" l="1"/>
  <c r="AR361" i="1"/>
  <c r="AR360" i="1"/>
  <c r="AN408" i="1"/>
  <c r="AM361" i="1"/>
  <c r="AQ361" i="1" l="1"/>
  <c r="AN409" i="1"/>
  <c r="AM362" i="1"/>
  <c r="AQ362" i="1" l="1"/>
  <c r="AR362" i="1"/>
  <c r="AN410" i="1"/>
  <c r="AM363" i="1"/>
  <c r="AQ363" i="1" l="1"/>
  <c r="AR363" i="1"/>
  <c r="AN411" i="1"/>
  <c r="AM364" i="1"/>
  <c r="AQ364" i="1" l="1"/>
  <c r="AR364" i="1"/>
  <c r="AN412" i="1"/>
  <c r="AM365" i="1"/>
  <c r="AQ365" i="1" l="1"/>
  <c r="AR365" i="1"/>
  <c r="AN413" i="1"/>
  <c r="AM366" i="1"/>
  <c r="AQ366" i="1" l="1"/>
  <c r="AR367" i="1"/>
  <c r="AR366" i="1"/>
  <c r="AN414" i="1"/>
  <c r="AM367" i="1"/>
  <c r="AQ367" i="1" l="1"/>
  <c r="AN415" i="1"/>
  <c r="AM368" i="1"/>
  <c r="AQ368" i="1" l="1"/>
  <c r="AR369" i="1"/>
  <c r="AR368" i="1"/>
  <c r="AN416" i="1"/>
  <c r="AM369" i="1"/>
  <c r="AQ369" i="1" l="1"/>
  <c r="AN417" i="1"/>
  <c r="AM370" i="1"/>
  <c r="AQ370" i="1" l="1"/>
  <c r="AR370" i="1"/>
  <c r="AN418" i="1"/>
  <c r="AM371" i="1"/>
  <c r="AQ371" i="1" l="1"/>
  <c r="AR371" i="1"/>
  <c r="AN419" i="1"/>
  <c r="AM372" i="1"/>
  <c r="AQ372" i="1" l="1"/>
  <c r="AR373" i="1"/>
  <c r="AR372" i="1"/>
  <c r="AN420" i="1"/>
  <c r="AM373" i="1"/>
  <c r="AQ373" i="1" l="1"/>
  <c r="AN421" i="1"/>
  <c r="AM374" i="1"/>
  <c r="AQ374" i="1" l="1"/>
  <c r="AR374" i="1"/>
  <c r="AN422" i="1"/>
  <c r="AM375" i="1"/>
  <c r="AQ375" i="1" l="1"/>
  <c r="AR375" i="1"/>
  <c r="AN423" i="1"/>
  <c r="AM376" i="1"/>
  <c r="AQ376" i="1" l="1"/>
  <c r="AR377" i="1"/>
  <c r="AR376" i="1"/>
  <c r="AN424" i="1"/>
  <c r="AM377" i="1"/>
  <c r="AQ377" i="1" l="1"/>
  <c r="AN425" i="1"/>
  <c r="AM378" i="1"/>
  <c r="AQ378" i="1" l="1"/>
  <c r="AR378" i="1"/>
  <c r="AN426" i="1"/>
  <c r="AM379" i="1"/>
  <c r="AQ379" i="1" l="1"/>
  <c r="AR379" i="1"/>
  <c r="AN427" i="1"/>
  <c r="AM380" i="1"/>
  <c r="AQ380" i="1" l="1"/>
  <c r="AR380" i="1"/>
  <c r="AN428" i="1"/>
  <c r="AM381" i="1"/>
  <c r="AQ381" i="1" l="1"/>
  <c r="AR381" i="1"/>
  <c r="AN429" i="1"/>
  <c r="AM382" i="1"/>
  <c r="AQ382" i="1" l="1"/>
  <c r="AR382" i="1"/>
  <c r="AN430" i="1"/>
  <c r="AM383" i="1"/>
  <c r="AQ383" i="1" l="1"/>
  <c r="AR383" i="1"/>
  <c r="AN431" i="1"/>
  <c r="AM384" i="1"/>
  <c r="AQ384" i="1" l="1"/>
  <c r="AR384" i="1"/>
  <c r="AN432" i="1"/>
  <c r="AM385" i="1"/>
  <c r="AQ385" i="1" l="1"/>
  <c r="AR385" i="1"/>
  <c r="AN433" i="1"/>
  <c r="AM386" i="1"/>
  <c r="AQ386" i="1" l="1"/>
  <c r="AR386" i="1"/>
  <c r="AN434" i="1"/>
  <c r="AM387" i="1"/>
  <c r="AQ387" i="1" l="1"/>
  <c r="AR387" i="1"/>
  <c r="AN435" i="1"/>
  <c r="AM388" i="1"/>
  <c r="AQ388" i="1" l="1"/>
  <c r="AR388" i="1"/>
  <c r="AN436" i="1"/>
  <c r="AM389" i="1"/>
  <c r="AQ389" i="1" l="1"/>
  <c r="AR390" i="1" s="1"/>
  <c r="AR389" i="1"/>
  <c r="AN437" i="1"/>
  <c r="AM390" i="1"/>
  <c r="AQ390" i="1" l="1"/>
  <c r="AN438" i="1"/>
  <c r="AM391" i="1"/>
  <c r="AQ391" i="1" l="1"/>
  <c r="AR391" i="1"/>
  <c r="AN439" i="1"/>
  <c r="AM392" i="1"/>
  <c r="AQ392" i="1" l="1"/>
  <c r="AR393" i="1"/>
  <c r="AR392" i="1"/>
  <c r="AN440" i="1"/>
  <c r="AM393" i="1"/>
  <c r="AQ393" i="1" l="1"/>
  <c r="AN441" i="1"/>
  <c r="AM394" i="1"/>
  <c r="AQ394" i="1" l="1"/>
  <c r="AR394" i="1"/>
  <c r="AN442" i="1"/>
  <c r="AM395" i="1"/>
  <c r="AQ395" i="1" l="1"/>
  <c r="AR395" i="1"/>
  <c r="AN443" i="1"/>
  <c r="AM396" i="1"/>
  <c r="AQ396" i="1" l="1"/>
  <c r="AR397" i="1" s="1"/>
  <c r="AR396" i="1"/>
  <c r="AN444" i="1"/>
  <c r="AM397" i="1"/>
  <c r="AQ397" i="1" l="1"/>
  <c r="AN445" i="1"/>
  <c r="AM398" i="1"/>
  <c r="AQ398" i="1" l="1"/>
  <c r="AR398" i="1"/>
  <c r="AN446" i="1"/>
  <c r="AM399" i="1"/>
  <c r="AQ399" i="1" l="1"/>
  <c r="AR399" i="1"/>
  <c r="AN447" i="1"/>
  <c r="AM400" i="1"/>
  <c r="AQ400" i="1" l="1"/>
  <c r="AR400" i="1"/>
  <c r="AN448" i="1"/>
  <c r="AM401" i="1"/>
  <c r="AQ401" i="1" l="1"/>
  <c r="AR401" i="1"/>
  <c r="AN449" i="1"/>
  <c r="AM402" i="1"/>
  <c r="AQ402" i="1" l="1"/>
  <c r="AR402" i="1"/>
  <c r="AN450" i="1"/>
  <c r="AM403" i="1"/>
  <c r="AQ403" i="1" l="1"/>
  <c r="AR403" i="1"/>
  <c r="AN451" i="1"/>
  <c r="AM404" i="1"/>
  <c r="AQ404" i="1" l="1"/>
  <c r="AR404" i="1"/>
  <c r="AN452" i="1"/>
  <c r="AM405" i="1"/>
  <c r="AQ405" i="1" l="1"/>
  <c r="AR405" i="1"/>
  <c r="AN453" i="1"/>
  <c r="AM406" i="1"/>
  <c r="AQ406" i="1" l="1"/>
  <c r="AR407" i="1"/>
  <c r="AR406" i="1"/>
  <c r="AN454" i="1"/>
  <c r="AM407" i="1"/>
  <c r="AQ407" i="1" l="1"/>
  <c r="AN455" i="1"/>
  <c r="AM408" i="1"/>
  <c r="AQ408" i="1" l="1"/>
  <c r="AR408" i="1"/>
  <c r="AN456" i="1"/>
  <c r="AM409" i="1"/>
  <c r="AQ409" i="1" l="1"/>
  <c r="AR410" i="1"/>
  <c r="AR409" i="1"/>
  <c r="AN457" i="1"/>
  <c r="AM410" i="1"/>
  <c r="AQ410" i="1" l="1"/>
  <c r="AM411" i="1"/>
  <c r="AQ411" i="1" l="1"/>
  <c r="AR411" i="1"/>
  <c r="AM412" i="1"/>
  <c r="AQ412" i="1" l="1"/>
  <c r="AR412" i="1"/>
  <c r="AM413" i="1"/>
  <c r="AQ413" i="1" l="1"/>
  <c r="AR414" i="1"/>
  <c r="AR413" i="1"/>
  <c r="AM414" i="1"/>
  <c r="AQ414" i="1" l="1"/>
  <c r="AM415" i="1"/>
  <c r="AQ415" i="1" l="1"/>
  <c r="AR415" i="1"/>
  <c r="AM416" i="1"/>
  <c r="AQ416" i="1" l="1"/>
  <c r="AR416" i="1"/>
  <c r="AM417" i="1"/>
  <c r="AQ417" i="1" l="1"/>
  <c r="AR417" i="1"/>
  <c r="AM418" i="1"/>
  <c r="AQ418" i="1" l="1"/>
  <c r="AR418" i="1"/>
  <c r="AM419" i="1"/>
  <c r="AQ419" i="1" l="1"/>
  <c r="AR419" i="1"/>
  <c r="AM420" i="1"/>
  <c r="AQ420" i="1" l="1"/>
  <c r="AR420" i="1"/>
  <c r="AM421" i="1"/>
  <c r="AQ421" i="1" l="1"/>
  <c r="AR421" i="1"/>
  <c r="AM422" i="1"/>
  <c r="AQ422" i="1" l="1"/>
  <c r="AR423" i="1"/>
  <c r="AR422" i="1"/>
  <c r="AM423" i="1"/>
  <c r="AQ423" i="1" l="1"/>
  <c r="AM424" i="1"/>
  <c r="AQ424" i="1" l="1"/>
  <c r="AR425" i="1"/>
  <c r="AR424" i="1"/>
  <c r="AM425" i="1"/>
  <c r="AQ425" i="1" l="1"/>
  <c r="AM426" i="1"/>
  <c r="AQ426" i="1" l="1"/>
  <c r="AR427" i="1"/>
  <c r="AR426" i="1"/>
  <c r="AM427" i="1"/>
  <c r="AQ427" i="1" l="1"/>
  <c r="AM428" i="1"/>
  <c r="AQ428" i="1" l="1"/>
  <c r="AR428" i="1"/>
  <c r="AM429" i="1"/>
  <c r="AQ429" i="1" l="1"/>
  <c r="AR429" i="1"/>
  <c r="AM430" i="1"/>
  <c r="AQ430" i="1" l="1"/>
  <c r="AR430" i="1"/>
  <c r="AM431" i="1"/>
  <c r="AQ431" i="1" l="1"/>
  <c r="AR431" i="1"/>
  <c r="AM432" i="1"/>
  <c r="AQ432" i="1" l="1"/>
  <c r="AR432" i="1"/>
  <c r="AM433" i="1"/>
  <c r="AQ433" i="1" l="1"/>
  <c r="AR434" i="1"/>
  <c r="AR433" i="1"/>
  <c r="AM434" i="1"/>
  <c r="AQ434" i="1" l="1"/>
  <c r="AM435" i="1"/>
  <c r="AQ435" i="1" l="1"/>
  <c r="AR435" i="1"/>
  <c r="AM436" i="1"/>
  <c r="AQ436" i="1" l="1"/>
  <c r="AR436" i="1"/>
  <c r="AM437" i="1"/>
  <c r="AQ437" i="1" l="1"/>
  <c r="AR437" i="1"/>
  <c r="AM438" i="1"/>
  <c r="AQ438" i="1" l="1"/>
  <c r="AR439" i="1" s="1"/>
  <c r="AR438" i="1"/>
  <c r="AM439" i="1"/>
  <c r="AQ439" i="1" l="1"/>
  <c r="AM440" i="1"/>
  <c r="AQ440" i="1" l="1"/>
  <c r="AR441" i="1" s="1"/>
  <c r="AR440" i="1"/>
  <c r="AM441" i="1"/>
  <c r="AQ441" i="1" l="1"/>
  <c r="AM442" i="1"/>
  <c r="AQ442" i="1" l="1"/>
  <c r="AR443" i="1" s="1"/>
  <c r="AR442" i="1"/>
  <c r="AM443" i="1"/>
  <c r="AQ443" i="1" l="1"/>
  <c r="AM444" i="1"/>
  <c r="AQ444" i="1" l="1"/>
  <c r="AR444" i="1"/>
  <c r="AM445" i="1"/>
  <c r="AQ445" i="1" l="1"/>
  <c r="AR445" i="1"/>
  <c r="AM446" i="1"/>
  <c r="AQ446" i="1" l="1"/>
  <c r="AR446" i="1"/>
  <c r="AM447" i="1"/>
  <c r="AQ447" i="1" l="1"/>
  <c r="AR447" i="1"/>
  <c r="AM448" i="1"/>
  <c r="AQ448" i="1" l="1"/>
  <c r="AR449" i="1"/>
  <c r="AR448" i="1"/>
  <c r="AM449" i="1"/>
  <c r="AQ449" i="1" l="1"/>
  <c r="AM450" i="1"/>
  <c r="AQ450" i="1" l="1"/>
  <c r="AR450" i="1"/>
  <c r="AM451" i="1"/>
  <c r="AQ451" i="1" l="1"/>
  <c r="AR452" i="1"/>
  <c r="AR451" i="1"/>
  <c r="AM452" i="1"/>
  <c r="AQ452" i="1" l="1"/>
  <c r="AM453" i="1"/>
  <c r="AQ453" i="1" l="1"/>
  <c r="AR453" i="1"/>
  <c r="AM454" i="1"/>
  <c r="AQ454" i="1" l="1"/>
  <c r="AR454" i="1"/>
  <c r="AM455" i="1"/>
  <c r="AQ455" i="1" l="1"/>
  <c r="AR455" i="1"/>
  <c r="AM456" i="1"/>
  <c r="AQ456" i="1" l="1"/>
  <c r="AR456" i="1"/>
  <c r="AM457" i="1"/>
  <c r="AQ457" i="1" l="1"/>
  <c r="AR457" i="1"/>
  <c r="AS3" i="11" l="1" a="1"/>
  <c r="AS3" i="11" s="1"/>
  <c r="AR3" i="11" a="1"/>
  <c r="AR3" i="11" s="1"/>
  <c r="AP3" i="11" a="1"/>
  <c r="AP3" i="11" s="1"/>
  <c r="AT3" i="11" a="1"/>
  <c r="AT3" i="11" s="1"/>
  <c r="AO3" i="11" a="1"/>
  <c r="AO3" i="11" s="1"/>
  <c r="AQ3" i="11" a="1"/>
  <c r="AQ3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<sst xmlns="http://schemas.openxmlformats.org/spreadsheetml/2006/main" count="2733" uniqueCount="1039">
  <si>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</si>
  <si>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</si>
  <si>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</si>
  <si>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</si>
  <si>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</si>
  <si>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</si>
  <si>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</si>
  <si>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</si>
  <si>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</si>
  <si>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</si>
  <si>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</si>
  <si>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</si>
  <si>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</si>
  <si>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</si>
  <si>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</si>
  <si>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</si>
  <si>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</si>
  <si>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</si>
  <si>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</si>
  <si>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</si>
  <si>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</si>
  <si>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</si>
  <si>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</si>
  <si>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</si>
  <si>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</si>
  <si>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</si>
  <si>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</si>
  <si>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</si>
  <si>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</si>
  <si>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</si>
  <si>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</si>
  <si>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</si>
  <si>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</si>
  <si>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</si>
  <si>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</si>
  <si>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</si>
  <si>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</si>
  <si>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</si>
  <si>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</si>
  <si>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</si>
  <si>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</si>
  <si>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</si>
  <si>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</si>
  <si>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</si>
  <si>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</si>
  <si>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</si>
  <si>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</si>
  <si>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</si>
  <si>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</si>
  <si>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</si>
  <si>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</si>
  <si>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</si>
  <si>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</si>
  <si>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</si>
  <si>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</si>
  <si>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</si>
  <si>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</si>
  <si>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</si>
  <si>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</si>
  <si>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</si>
  <si>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</si>
  <si>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</si>
  <si>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</si>
  <si>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</si>
  <si>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</si>
  <si>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</si>
  <si>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</si>
  <si>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</si>
  <si>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</si>
  <si>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</si>
  <si>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</si>
  <si>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</si>
  <si>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</si>
  <si>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</si>
  <si>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</si>
  <si>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</si>
  <si>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</si>
  <si>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</si>
  <si>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</si>
  <si>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</si>
  <si>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</si>
  <si>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</si>
  <si>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</si>
  <si>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</si>
  <si>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</si>
  <si>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</si>
  <si>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</si>
  <si>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</si>
  <si>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</si>
  <si>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</si>
  <si>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</si>
  <si>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</si>
  <si>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</si>
  <si>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</si>
  <si>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</si>
  <si>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</si>
  <si>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</si>
  <si>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</si>
  <si>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</si>
  <si>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</si>
  <si>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</si>
  <si>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</si>
  <si>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</si>
  <si>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</si>
  <si>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</si>
  <si>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</si>
  <si>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</si>
  <si>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</si>
  <si>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</si>
  <si>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</si>
  <si>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</si>
  <si>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</si>
  <si>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</si>
  <si>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</si>
  <si>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</si>
  <si>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</si>
  <si>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</si>
  <si>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</si>
  <si>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</si>
  <si>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</si>
  <si>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</si>
  <si>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</si>
  <si>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</si>
  <si>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</si>
  <si>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</si>
  <si>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</si>
  <si>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</si>
  <si>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</si>
  <si>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</si>
  <si>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</si>
  <si>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</si>
  <si>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</si>
  <si>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</si>
  <si>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</si>
  <si>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</si>
  <si>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</si>
  <si>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</si>
  <si>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</si>
  <si>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</si>
  <si>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</si>
  <si>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</si>
  <si>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</si>
  <si>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</si>
  <si>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</si>
  <si>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</si>
  <si>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</si>
  <si>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</si>
  <si>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</si>
  <si>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</si>
  <si>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</si>
  <si>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</si>
  <si>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</si>
  <si>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</si>
  <si>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</si>
  <si>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</si>
  <si>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</si>
  <si>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</si>
  <si>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</si>
  <si>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</si>
  <si>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</si>
  <si>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</si>
  <si>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</si>
  <si>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</si>
  <si>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</si>
  <si>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</si>
  <si>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</si>
  <si>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</si>
  <si>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Save-Rebound</t>
  </si>
  <si>
    <t>Save-Freeze</t>
  </si>
  <si>
    <t>ZoneEntry-Other</t>
  </si>
  <si>
    <t>ZoneExit-Other</t>
  </si>
  <si>
    <t>PenaltyShot/Shootout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</si>
  <si>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</si>
  <si>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</si>
  <si>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</si>
  <si>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</si>
  <si>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</si>
  <si>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</si>
  <si>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</si>
  <si>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</si>
  <si>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</si>
  <si>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</si>
  <si>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</si>
  <si>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</si>
  <si>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</si>
  <si>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</si>
  <si>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</si>
  <si>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</si>
  <si>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</si>
  <si>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</si>
  <si>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</si>
  <si>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</si>
  <si>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</si>
  <si>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</si>
  <si>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</si>
  <si>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</si>
  <si>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</si>
  <si>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</si>
  <si>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</si>
  <si>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</si>
  <si>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</si>
  <si>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</si>
  <si>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</si>
  <si>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</si>
  <si>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</si>
  <si>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</si>
  <si>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</si>
  <si>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</si>
  <si>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</si>
  <si>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</si>
  <si>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</si>
  <si>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</si>
  <si>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</si>
  <si>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</si>
  <si>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</si>
  <si>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</si>
  <si>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</si>
  <si>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</si>
  <si>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</si>
  <si>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</si>
  <si>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</si>
  <si>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</si>
  <si>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</si>
  <si>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</si>
  <si>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</si>
  <si>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</si>
  <si>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</si>
  <si>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</si>
  <si>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</si>
  <si>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</si>
  <si>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</si>
  <si>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</si>
  <si>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</si>
  <si>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</si>
  <si>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</si>
  <si>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</si>
  <si>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</si>
  <si>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</si>
  <si>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</si>
  <si>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</si>
  <si>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</si>
  <si>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</si>
  <si>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</si>
  <si>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</si>
  <si>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</si>
  <si>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</si>
  <si>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</si>
  <si>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</si>
  <si>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</si>
  <si>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</si>
  <si>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</si>
  <si>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-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</si>
  <si>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</si>
  <si>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</si>
  <si>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</si>
  <si>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</si>
  <si>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</si>
  <si>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</si>
  <si>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</si>
  <si>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</si>
  <si>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</si>
  <si>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</si>
  <si>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</si>
  <si>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</si>
  <si>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</si>
  <si>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</si>
  <si>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</si>
  <si>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</si>
  <si>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</si>
  <si>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</si>
  <si>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</si>
  <si>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</si>
  <si>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</si>
  <si>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</si>
  <si>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</si>
  <si>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</si>
  <si>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</si>
  <si>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</si>
  <si>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</si>
  <si>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</si>
  <si>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</si>
  <si>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</si>
  <si>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</si>
  <si>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</si>
  <si>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</si>
  <si>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</si>
  <si>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</si>
  <si>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</si>
  <si>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</si>
  <si>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</si>
  <si>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</si>
  <si>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</si>
  <si>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</si>
  <si>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</si>
  <si>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</si>
  <si>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</si>
  <si>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</si>
  <si>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</si>
  <si>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</si>
  <si>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</si>
  <si>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</si>
  <si>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</si>
  <si>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</si>
  <si>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</si>
  <si>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</si>
  <si>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</si>
  <si>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</si>
  <si>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</si>
  <si>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</si>
  <si>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</si>
  <si>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</si>
  <si>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</si>
  <si>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</si>
  <si>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</si>
  <si>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</si>
  <si>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</si>
  <si>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</si>
  <si>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</si>
  <si>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</si>
  <si>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</si>
  <si>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</si>
  <si>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</si>
  <si>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</si>
  <si>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</si>
  <si>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</si>
  <si>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</si>
  <si>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</si>
  <si>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</si>
  <si>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</si>
  <si>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</si>
  <si>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</si>
  <si>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</si>
  <si>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</si>
  <si>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</si>
  <si>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</si>
  <si>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</si>
  <si>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</si>
  <si>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</si>
  <si>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</si>
  <si>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</si>
  <si>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</si>
  <si>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</si>
  <si>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</si>
  <si>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</si>
  <si>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</si>
  <si>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</si>
  <si>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</si>
  <si>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</si>
  <si>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</si>
  <si>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</si>
  <si>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</si>
  <si>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</si>
  <si>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</si>
  <si>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</si>
  <si>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</si>
  <si>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</si>
  <si>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</si>
  <si>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</si>
  <si>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</si>
  <si>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</si>
  <si>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</si>
  <si>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</si>
  <si>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</si>
  <si>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</si>
  <si>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</si>
  <si>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</si>
  <si>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</si>
  <si>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</si>
  <si>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</si>
  <si>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</si>
  <si>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</si>
  <si>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</si>
  <si>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</si>
  <si>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</si>
  <si>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</si>
  <si>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</si>
  <si>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</si>
  <si>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</si>
  <si>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</si>
  <si>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</si>
  <si>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</si>
  <si>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</si>
  <si>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</si>
  <si>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</si>
  <si>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</si>
  <si>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</si>
  <si>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</si>
  <si>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</si>
  <si>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</si>
  <si>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</si>
  <si>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</si>
  <si>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</si>
  <si>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</si>
  <si>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</si>
  <si>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</si>
  <si>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</si>
  <si>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</si>
  <si>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</si>
  <si>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</si>
  <si>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</si>
  <si>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</si>
  <si>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</si>
  <si>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</si>
  <si>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</si>
  <si>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</si>
  <si>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</si>
  <si>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</si>
  <si>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</si>
  <si>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</si>
  <si>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</si>
  <si>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</si>
  <si>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</si>
  <si>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</si>
  <si>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00</t>
  </si>
  <si>
    <t>ZoneEntry-CausedTurnover</t>
  </si>
  <si>
    <t>ZoneExit-CausedTurnover</t>
  </si>
  <si>
    <t>Save-Shoulder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</si>
  <si>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</si>
  <si>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</si>
  <si>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</si>
  <si>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</si>
  <si>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</si>
  <si>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</si>
  <si>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</si>
  <si>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</si>
  <si>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</si>
  <si>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</si>
  <si>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</si>
  <si>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</si>
  <si>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</si>
  <si>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</si>
  <si>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</si>
  <si>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</si>
  <si>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</si>
  <si>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</si>
  <si>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</si>
  <si>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</si>
  <si>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</si>
  <si>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</si>
  <si>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</si>
  <si>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</si>
  <si>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</si>
  <si>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</si>
  <si>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</si>
  <si>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</si>
  <si>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</si>
  <si>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</si>
  <si>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</si>
  <si>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</si>
  <si>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successful</t>
  </si>
  <si>
    <t>Breakout</t>
  </si>
  <si>
    <t>play_detail1</t>
  </si>
  <si>
    <t>play_detail2</t>
  </si>
  <si>
    <t>play_detail_successful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</si>
  <si>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</si>
  <si>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</si>
  <si>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</si>
  <si>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</si>
  <si>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</si>
  <si>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</si>
  <si>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</si>
  <si>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</si>
  <si>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</si>
  <si>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</si>
  <si>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</si>
  <si>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</si>
  <si>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</si>
  <si>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</si>
  <si>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</si>
  <si>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</si>
  <si>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</si>
  <si>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</si>
  <si>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</si>
  <si>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</si>
  <si>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</si>
  <si>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</si>
  <si>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</si>
  <si>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</si>
  <si>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</si>
  <si>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</si>
  <si>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</si>
  <si>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</si>
  <si>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</si>
  <si>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</si>
  <si>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</si>
  <si>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</si>
  <si>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</si>
  <si>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</si>
  <si>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</si>
  <si>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</si>
  <si>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</si>
  <si>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</si>
  <si>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</si>
  <si>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</si>
  <si>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</si>
  <si>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</si>
  <si>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</si>
  <si>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</si>
  <si>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</si>
  <si>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</si>
  <si>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</si>
  <si>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</si>
  <si>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</si>
  <si>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</si>
  <si>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</si>
  <si>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</si>
  <si>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</si>
  <si>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</si>
  <si>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</si>
  <si>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pre_shot_pass</t>
  </si>
  <si>
    <t>failed_entry</t>
  </si>
  <si>
    <t>failed_exit</t>
  </si>
  <si>
    <t>botched_retreivals</t>
  </si>
  <si>
    <t>retreival_lead_to_breakout</t>
  </si>
  <si>
    <t>possession_change</t>
  </si>
  <si>
    <t>side_of_puck</t>
  </si>
  <si>
    <t>Offensive</t>
  </si>
  <si>
    <t>Defensive</t>
  </si>
  <si>
    <t>linked_event_index</t>
  </si>
  <si>
    <t>DelayedPenalty</t>
  </si>
  <si>
    <t>Offset Penalty</t>
  </si>
  <si>
    <t>Velodrome</t>
  </si>
  <si>
    <t>Team_</t>
  </si>
  <si>
    <t>ZoneEntry-PenaltyKillClear</t>
  </si>
  <si>
    <t>ZoneExit-PenaltyKillClear</t>
  </si>
  <si>
    <t>play_tag1</t>
  </si>
  <si>
    <t>play_tag2</t>
  </si>
  <si>
    <t>Cycle</t>
  </si>
  <si>
    <t>Rush</t>
  </si>
  <si>
    <t>Zone_Change</t>
  </si>
  <si>
    <t>Slot</t>
  </si>
  <si>
    <t>LowToHigh</t>
  </si>
  <si>
    <t>HighToLow</t>
  </si>
  <si>
    <t>CrossIce</t>
  </si>
  <si>
    <t>forced_forcer</t>
  </si>
  <si>
    <t>pressured_pressurer</t>
  </si>
  <si>
    <t>high_danger</t>
  </si>
  <si>
    <t>Dump/RimInZone</t>
  </si>
  <si>
    <t>AssistPrimary</t>
  </si>
  <si>
    <t>AssistSecondary</t>
  </si>
  <si>
    <t>OpenIceDeke</t>
  </si>
  <si>
    <t>PuckRetrievalDumpIn</t>
  </si>
  <si>
    <t>PuckRetrievalShot</t>
  </si>
  <si>
    <t>PuckRetreivalTurnover</t>
  </si>
  <si>
    <t>PuckRetreivalPass</t>
  </si>
  <si>
    <t>EndToEndRush</t>
  </si>
  <si>
    <t>FrontofNet</t>
  </si>
  <si>
    <t>DumpInAttempt</t>
  </si>
  <si>
    <t>CutBack</t>
  </si>
  <si>
    <t>GiveAndGo</t>
  </si>
  <si>
    <t>Wheel</t>
  </si>
  <si>
    <t>Reverse</t>
  </si>
  <si>
    <t>QuickUp</t>
  </si>
  <si>
    <t>Screen</t>
  </si>
  <si>
    <t>ForecedOutside</t>
  </si>
  <si>
    <t>Zone</t>
  </si>
  <si>
    <t>BlockedShot</t>
  </si>
  <si>
    <t>PassIntercepted</t>
  </si>
  <si>
    <t>ClearingAttempt</t>
  </si>
  <si>
    <t>Pressure</t>
  </si>
  <si>
    <t>ZoneEntryDenial</t>
  </si>
  <si>
    <t>ZoneExitDenial</t>
  </si>
  <si>
    <t>PenaltyKillClear</t>
  </si>
  <si>
    <t>ManOnMan</t>
  </si>
  <si>
    <t>Tracker</t>
  </si>
  <si>
    <t>Surf</t>
  </si>
  <si>
    <t>InShotPassLane</t>
  </si>
  <si>
    <t>StickCheck</t>
  </si>
  <si>
    <t>OffensivePlay_Possession-DriveMiddle</t>
  </si>
  <si>
    <t>OffensivePlay_Zone-Breakout</t>
  </si>
  <si>
    <t>OffensivePlay_Possession-CutBack</t>
  </si>
  <si>
    <t>OffensivePlay_Zone-Dump/RimInZone</t>
  </si>
  <si>
    <t>Defensive_PlayShot-BlockedShot</t>
  </si>
  <si>
    <t>OffensivePlay_Zone-PuckRetrievalShot</t>
  </si>
  <si>
    <t>Regroup</t>
  </si>
  <si>
    <t>Counter</t>
  </si>
  <si>
    <t>SecondTouch</t>
  </si>
  <si>
    <t>ZoneExit</t>
  </si>
  <si>
    <t>ZoneEntry</t>
  </si>
  <si>
    <t>PuckRecoveryDumpIn</t>
  </si>
  <si>
    <t>PuckRecoveryShot</t>
  </si>
  <si>
    <t>PuckRecoveryTurnover</t>
  </si>
  <si>
    <t>PuckRecoveryPass</t>
  </si>
  <si>
    <t>PuckRetrievalRebound</t>
  </si>
  <si>
    <t>ForcedDumpin/Clear</t>
  </si>
  <si>
    <t>PuckRecoveryRebound</t>
  </si>
  <si>
    <t>PuckRetrieval</t>
  </si>
  <si>
    <t>PuckRecovery</t>
  </si>
  <si>
    <t>Pass-OneTouch</t>
  </si>
  <si>
    <t>Pass-SecondTouch</t>
  </si>
  <si>
    <t>Pass-QuickUp</t>
  </si>
  <si>
    <t>Pass-GiveAndGo</t>
  </si>
  <si>
    <t>Pass-Reverse</t>
  </si>
  <si>
    <t>ReceiverMissed</t>
  </si>
  <si>
    <t>u</t>
  </si>
  <si>
    <t>s</t>
  </si>
  <si>
    <t>AssistTertiary</t>
  </si>
  <si>
    <t>Context</t>
  </si>
  <si>
    <t>Dumpin</t>
  </si>
  <si>
    <t>Clear</t>
  </si>
  <si>
    <t>OffensivePlay_Zone-PuckRetreivalTurnover</t>
  </si>
  <si>
    <t>Defensive_PlayPossession-PokeCheck</t>
  </si>
  <si>
    <t>Defensive_PlayPossession-StickCheck</t>
  </si>
  <si>
    <t>OffensivePlay_Zone-DumpChase</t>
  </si>
  <si>
    <t>OffensivePlay_Zone-PuckRetrievalDumpIn</t>
  </si>
  <si>
    <t>Defensive_PlayPass-InShotPassLane</t>
  </si>
  <si>
    <t>Defensive_PlayPass-PassIntercepted</t>
  </si>
  <si>
    <t>OffensivePlay_Zone-PuckRetreivalPass</t>
  </si>
  <si>
    <t>OffensivePlay_Possession-DriveWide</t>
  </si>
  <si>
    <t>Defensive_PlayPossession-FroceWide</t>
  </si>
  <si>
    <t>Offensive_Zone-AttemptedKeepin</t>
  </si>
  <si>
    <t>OffensivePlay_Zone-PuckRecoveryShot</t>
  </si>
  <si>
    <t>Defensive_Zone-AttemptedBreakOutPass</t>
  </si>
  <si>
    <t>Defensive_Zone-AttemptedBreakOutRush</t>
  </si>
  <si>
    <t>Defensive_Zone-AttemptedBreakOutClear</t>
  </si>
  <si>
    <t>Offensive_Zone-AttemptedEntryPass</t>
  </si>
  <si>
    <t>Offensive_Zone-AttemptedEntryDumpIn</t>
  </si>
  <si>
    <t>Offensive_Zone-AttemptedEntryRush</t>
  </si>
  <si>
    <t>OffensivePlay_Zone-PuckRecoveryTurnover</t>
  </si>
  <si>
    <t>OffensivePlay_Pass-ReceiverMissed</t>
  </si>
  <si>
    <t>OffensivePlay_Zone-PuckRecoveryPass</t>
  </si>
  <si>
    <t>zone_change_index</t>
  </si>
  <si>
    <t>OffensivePlay_Possession-Chip</t>
  </si>
  <si>
    <t>Defensive_PlayZone-PuckRecoveryDumpIn</t>
  </si>
  <si>
    <t>OffensivePlay_Possession-OpenIceDeke</t>
  </si>
  <si>
    <t>Defensive_PlayPossession-BeatDeke</t>
  </si>
  <si>
    <t>Defensive_PlayPossession-Pressure</t>
  </si>
  <si>
    <t>OffensivePlay_Possession-Deke</t>
  </si>
  <si>
    <t>Defensive_PlayShot-FrontofNet</t>
  </si>
  <si>
    <t>OffensivePlay_Possession-FrontofNet</t>
  </si>
  <si>
    <t>OffensivePlay_Possession-CrashNet</t>
  </si>
  <si>
    <t>Defensive_PlayPossession-SeperateFromPuck</t>
  </si>
  <si>
    <t>Defensive_PlayZone-PuckRecoveryTurnover</t>
  </si>
  <si>
    <t>OffensivePlay_Possession-Delay</t>
  </si>
  <si>
    <t>Defensive_PlayPossession-BeatMiddle</t>
  </si>
  <si>
    <t>Defensive_PlayZone-PuckRetrievalShot</t>
  </si>
  <si>
    <t>OffensivePlay_Pass-Reverse</t>
  </si>
  <si>
    <t>Defensive_PlayPossession-BeatWide</t>
  </si>
  <si>
    <t>context</t>
  </si>
  <si>
    <t>LeadToBreakout</t>
  </si>
  <si>
    <t>LeadToZoneEntry</t>
  </si>
  <si>
    <t>LeadToTurnover</t>
  </si>
  <si>
    <t>LeadToShot</t>
  </si>
  <si>
    <t>LeadToGoal</t>
  </si>
  <si>
    <t>LeadToPenalty</t>
  </si>
  <si>
    <t>LeadToFailedBreakout</t>
  </si>
  <si>
    <t>LeadToFailedZoneEntry</t>
  </si>
  <si>
    <t>Defensive_PlayPossession-Surf</t>
  </si>
  <si>
    <t>OffensivePlay_Pass-QuickUp</t>
  </si>
  <si>
    <t>linked_event_id</t>
  </si>
  <si>
    <t>zone_change_id</t>
  </si>
  <si>
    <t>Defensive_PlayShot-BoxOut</t>
  </si>
  <si>
    <t>OffensivePlay_Zone-PuckRecoveryRebound</t>
  </si>
  <si>
    <t>OffensivePlay_Possession-DriveCorner</t>
  </si>
  <si>
    <t>OffensivePlay_Pass-SecondTouch</t>
  </si>
  <si>
    <t>OffensivePlay_Zone-DumpInAttempt</t>
  </si>
  <si>
    <t>Zone_Entryfailed</t>
  </si>
  <si>
    <t>Zone_ExitFailed</t>
  </si>
  <si>
    <t>Zone_KeepinFailed</t>
  </si>
  <si>
    <t>Zone-EntryFailed</t>
  </si>
  <si>
    <t>Zone-ExitFailed</t>
  </si>
  <si>
    <t>Zone-KeepinFailed</t>
  </si>
  <si>
    <t>Defensive_PlayPossession-Backcheck</t>
  </si>
  <si>
    <t>OffensivePlay_Possession-DriveNetMiddle</t>
  </si>
  <si>
    <t>OffensivePlay_Possession-DriveNetWide</t>
  </si>
  <si>
    <t>Defensive_PlayPossession-Contain</t>
  </si>
  <si>
    <t>Defensive_PlayPossession-BeatSpeed</t>
  </si>
  <si>
    <t>OffensivePlay_Possession-Other</t>
  </si>
  <si>
    <t>OffensivePlay_Possession-Speed</t>
  </si>
  <si>
    <t>Defensive_PlayPossession-Zone</t>
  </si>
  <si>
    <t>Defensive_PlayPossession-ManOnMan</t>
  </si>
  <si>
    <t>OffensivePlay_Possession-EndToEndRush</t>
  </si>
  <si>
    <t>Defensive_PlayPossession-Tracker</t>
  </si>
  <si>
    <t>OffensivePlay_Possession-Wheel</t>
  </si>
  <si>
    <t>OffensivePlay_Possession-ForecedOutside</t>
  </si>
  <si>
    <t>OffensivePlay_Pass-AssistPrimary</t>
  </si>
  <si>
    <t>OffensivePlay_Pass-AssistSecondary</t>
  </si>
  <si>
    <t>OffensivePlay_Pass-AssistTertiary</t>
  </si>
  <si>
    <t>OffensivePlay_Pass-GiveAndGo</t>
  </si>
  <si>
    <t>Defensive_PlayZone-ClearingAttempt</t>
  </si>
  <si>
    <t>Defensive_PlayZone-ZoneEntryDenial</t>
  </si>
  <si>
    <t>Defensive_PlayZone-ZoneExitDenial</t>
  </si>
  <si>
    <t>Defensive_PlayZone-PenaltyKillClear</t>
  </si>
  <si>
    <t>Defensive_PlayZone-PuckRetrievalDumpIn</t>
  </si>
  <si>
    <t>OffensivePlay_Shot-Screen</t>
  </si>
  <si>
    <t>Defensive_PlayZone-PuckRetreivalTurnover</t>
  </si>
  <si>
    <t>Defensive_PlayZone-PuckRetreivalPass</t>
  </si>
  <si>
    <t>OffensivePlay_Zone-Forecheck</t>
  </si>
  <si>
    <t>Defensive_PlayZone-PuckRetrievalRebound</t>
  </si>
  <si>
    <t>Defensive_PlayZone-PuckRecoveryShot</t>
  </si>
  <si>
    <t>OffensivePlay_Zone-Cycle</t>
  </si>
  <si>
    <t>Defensive_PlayZone-PuckRecoveryPass</t>
  </si>
  <si>
    <t>Defensive_PlayZone-PuckRecoveryRebound</t>
  </si>
  <si>
    <t>Defensive_PlayZone-ForcedDumpin/Clear</t>
  </si>
  <si>
    <t>OffensivePlay_Zone-PuckRetreivalRebound</t>
  </si>
  <si>
    <t>OffensivePlay_Zone-PuckRetreivalShot</t>
  </si>
  <si>
    <t>OffensivePlay_Zone-PuckRecoveryDumpIn</t>
  </si>
  <si>
    <t>Definition</t>
  </si>
  <si>
    <t>Next Event</t>
  </si>
  <si>
    <t>Linked Events</t>
  </si>
  <si>
    <t>Uses</t>
  </si>
  <si>
    <t>Pass, Turnover, Attempted Failed, Keepins</t>
  </si>
  <si>
    <t>Save Freeze</t>
  </si>
  <si>
    <t>Shot, Stoppage, Deadice</t>
  </si>
  <si>
    <t>Shot, Save</t>
  </si>
  <si>
    <t>Pass, Shot, Play</t>
  </si>
  <si>
    <t>Successful/Unsuccessful</t>
  </si>
  <si>
    <t>Successful Def</t>
  </si>
  <si>
    <t>Possession on zone entry when on breakaway</t>
  </si>
  <si>
    <t>Puck reterived after opp team touch/turnover'</t>
  </si>
  <si>
    <t>Puck recovered after same team touch/turnover</t>
  </si>
  <si>
    <t>Circle back in Nzone/Dzone</t>
  </si>
  <si>
    <t>Cut to middle of ice</t>
  </si>
  <si>
    <t>drive wide either foreced /unforced</t>
  </si>
  <si>
    <t>drive to offensive corner forced/unforced</t>
  </si>
  <si>
    <t>drive to slot from middle</t>
  </si>
  <si>
    <t>drive to slot from wide</t>
  </si>
  <si>
    <t>crash net for rebound</t>
  </si>
  <si>
    <t>dumped into ozone form ozone/nzone</t>
  </si>
  <si>
    <t>offensive players crashing puck after dumpin</t>
  </si>
  <si>
    <t>s/u</t>
  </si>
  <si>
    <t>successful if positive play made next</t>
  </si>
  <si>
    <t>sucessful if next play positive</t>
  </si>
  <si>
    <t>successful if next play positive</t>
  </si>
  <si>
    <t>tracking_event_index</t>
  </si>
  <si>
    <t>linked_event_index_</t>
  </si>
  <si>
    <t>ZoneEntry-Shot</t>
  </si>
  <si>
    <t>ZoneExit-Shot</t>
  </si>
  <si>
    <t>role_abrev_binary</t>
  </si>
  <si>
    <t>x</t>
  </si>
  <si>
    <t>Shot_MissedPost</t>
  </si>
  <si>
    <t>a</t>
  </si>
  <si>
    <t>17</t>
  </si>
  <si>
    <t>56</t>
  </si>
  <si>
    <t>n</t>
  </si>
  <si>
    <t>h</t>
  </si>
  <si>
    <t>d</t>
  </si>
  <si>
    <t>46</t>
  </si>
  <si>
    <t>31</t>
  </si>
  <si>
    <t>26</t>
  </si>
  <si>
    <t>25</t>
  </si>
  <si>
    <t>21</t>
  </si>
  <si>
    <t>0</t>
  </si>
  <si>
    <t>18</t>
  </si>
  <si>
    <t>15</t>
  </si>
  <si>
    <t>14</t>
  </si>
  <si>
    <t>12</t>
  </si>
  <si>
    <t>07</t>
  </si>
  <si>
    <t>01</t>
  </si>
  <si>
    <t>39</t>
  </si>
  <si>
    <t>35</t>
  </si>
  <si>
    <t>49</t>
  </si>
  <si>
    <t>5</t>
  </si>
  <si>
    <t>55</t>
  </si>
  <si>
    <t>11</t>
  </si>
  <si>
    <t>0.01</t>
  </si>
  <si>
    <t/>
  </si>
  <si>
    <t>GapControl</t>
  </si>
  <si>
    <t>BeatFake</t>
  </si>
  <si>
    <t>ForcedTurnover</t>
  </si>
  <si>
    <t>ForcedLostPossession</t>
  </si>
  <si>
    <t>ForcedMissedShot</t>
  </si>
  <si>
    <t>ForcedMissedPass</t>
  </si>
  <si>
    <t>FakeShot</t>
  </si>
  <si>
    <t>LoosePuckBattleWon</t>
  </si>
  <si>
    <t>LoosePuckBattleLost</t>
  </si>
  <si>
    <t>AttemptedKeepin</t>
  </si>
  <si>
    <t>AttemptedBreakOutPass</t>
  </si>
  <si>
    <t>AttemptedBreakOutRush</t>
  </si>
  <si>
    <t>AttemptedBreakOutClear</t>
  </si>
  <si>
    <t>AttemptedEntryDumpIn</t>
  </si>
  <si>
    <t>AttemptedEntryPass</t>
  </si>
  <si>
    <t>AttemptedEntryRush</t>
  </si>
  <si>
    <t>CededZoneExit</t>
  </si>
  <si>
    <t>CededZoneEntry</t>
  </si>
  <si>
    <t>PuckRetreivalFaceoff</t>
  </si>
  <si>
    <t>PuckRecoveryFaceoff</t>
  </si>
  <si>
    <t>PuckRetreivalOther</t>
  </si>
  <si>
    <t>PuckRecoveryOther</t>
  </si>
  <si>
    <t>RegroupClear</t>
  </si>
  <si>
    <t>RegroupDumpin</t>
  </si>
  <si>
    <t>ZoneKeepin</t>
  </si>
  <si>
    <t>PassDeflected</t>
  </si>
  <si>
    <t>StoppedDeke</t>
  </si>
  <si>
    <t>MisplayedPuck</t>
  </si>
  <si>
    <t>LostPuck</t>
  </si>
  <si>
    <t>ForceWide</t>
  </si>
  <si>
    <t>AttemptedBlockedShot</t>
  </si>
  <si>
    <t>team_</t>
  </si>
  <si>
    <t>player_game_number</t>
  </si>
  <si>
    <t>role_abrev_binary_</t>
  </si>
  <si>
    <t>event_team_zone_</t>
  </si>
  <si>
    <t>event_type_</t>
  </si>
  <si>
    <t>team_venue</t>
  </si>
  <si>
    <t>team_venue_abv</t>
  </si>
  <si>
    <t>home_team_zone_</t>
  </si>
  <si>
    <t>away_team_zone_</t>
  </si>
  <si>
    <t>team_venue_</t>
  </si>
  <si>
    <t>team_venue_abv_</t>
  </si>
  <si>
    <t>event_successful</t>
  </si>
  <si>
    <t>event_successful_</t>
  </si>
  <si>
    <t>period</t>
  </si>
  <si>
    <t>event_index_</t>
  </si>
  <si>
    <t>Shootout_OnNet</t>
  </si>
  <si>
    <t>Shootout_Missed</t>
  </si>
  <si>
    <t>Shootout_Saved</t>
  </si>
  <si>
    <t>Zone_EntryFailed</t>
  </si>
  <si>
    <t>play_details</t>
  </si>
  <si>
    <t>DelayedOffside</t>
  </si>
  <si>
    <t>DeflectedShot</t>
  </si>
  <si>
    <t>player_id</t>
  </si>
  <si>
    <t>player_team</t>
  </si>
  <si>
    <t>index</t>
  </si>
  <si>
    <t>team_game_id</t>
  </si>
  <si>
    <t>opp_team_game_id</t>
  </si>
  <si>
    <t>player_game_id</t>
  </si>
  <si>
    <t>team_name</t>
  </si>
  <si>
    <t>opp_team_name</t>
  </si>
  <si>
    <t>n_player_url</t>
  </si>
  <si>
    <t>player_position</t>
  </si>
  <si>
    <t>games_played</t>
  </si>
  <si>
    <t>goals</t>
  </si>
  <si>
    <t>assist</t>
  </si>
  <si>
    <t>goals_against</t>
  </si>
  <si>
    <t>pim</t>
  </si>
  <si>
    <t>shutouts</t>
  </si>
  <si>
    <t>team_id</t>
  </si>
  <si>
    <t>opp_team_id</t>
  </si>
  <si>
    <t>key</t>
  </si>
  <si>
    <t>player_full_name</t>
  </si>
  <si>
    <t>date</t>
  </si>
  <si>
    <t>season</t>
  </si>
  <si>
    <t>sub</t>
  </si>
  <si>
    <t>skill_rating</t>
  </si>
  <si>
    <t>Away Team Goals</t>
  </si>
  <si>
    <t>Home Team Goals</t>
  </si>
  <si>
    <t>Home Team Assists</t>
  </si>
  <si>
    <t>Home Team Penalties</t>
  </si>
  <si>
    <t>Away Team Assists</t>
  </si>
  <si>
    <t>Away Team Penalties</t>
  </si>
  <si>
    <t>=FILTER([BLB_Tables.xlsx]fact_gameroster!$A:$Z,[BLB_Tables.xlsx]fact_gameroster!$B:$B=events!$AS$2)'</t>
  </si>
  <si>
    <t>In cell B3</t>
  </si>
  <si>
    <t>Goals</t>
  </si>
  <si>
    <t>Penalties</t>
  </si>
  <si>
    <t>AssistP</t>
  </si>
  <si>
    <t>AssistS</t>
  </si>
  <si>
    <t>Total Assists</t>
  </si>
  <si>
    <t>Goal Diff</t>
  </si>
  <si>
    <t>Penalty Diff</t>
  </si>
  <si>
    <t>Assist Diff</t>
  </si>
  <si>
    <t>Platinum</t>
  </si>
  <si>
    <t>18969N10008</t>
  </si>
  <si>
    <t>18969N10010</t>
  </si>
  <si>
    <t>18969N10008P100023</t>
  </si>
  <si>
    <t>home</t>
  </si>
  <si>
    <t>Alex Considine – 4</t>
  </si>
  <si>
    <t>Defense</t>
  </si>
  <si>
    <t>N10008</t>
  </si>
  <si>
    <t>N10010</t>
  </si>
  <si>
    <t>18969Platinum3</t>
  </si>
  <si>
    <t>Alex Considine</t>
  </si>
  <si>
    <t>P100023</t>
  </si>
  <si>
    <t>18969N10008P100030</t>
  </si>
  <si>
    <t>Jesse Chambless (S) – 5</t>
  </si>
  <si>
    <t>18969Platinum8</t>
  </si>
  <si>
    <t>Jesse Chambless</t>
  </si>
  <si>
    <t>P100030</t>
  </si>
  <si>
    <t>18969N10008P100027</t>
  </si>
  <si>
    <t>Karen Zietlow (A) – 2</t>
  </si>
  <si>
    <t>Forward</t>
  </si>
  <si>
    <t>18969Platinum12</t>
  </si>
  <si>
    <t>Karen Zietlow</t>
  </si>
  <si>
    <t>P100027</t>
  </si>
  <si>
    <t>18969N10008P100025</t>
  </si>
  <si>
    <t>Andrew Marshall – 4</t>
  </si>
  <si>
    <t>18969Platinum21</t>
  </si>
  <si>
    <t>Andrew Marshall</t>
  </si>
  <si>
    <t>P100025</t>
  </si>
  <si>
    <t>18969N10008P100022</t>
  </si>
  <si>
    <t>Chris Dube – 4</t>
  </si>
  <si>
    <t>18969Platinum34</t>
  </si>
  <si>
    <t>Chris Dube</t>
  </si>
  <si>
    <t>P100022</t>
  </si>
  <si>
    <t>18969N10008P100117</t>
  </si>
  <si>
    <t>Keegan Mantaro – 6</t>
  </si>
  <si>
    <t>18969Platinum45</t>
  </si>
  <si>
    <t>Keegan Mantaro</t>
  </si>
  <si>
    <t>P100117</t>
  </si>
  <si>
    <t>18969N10008P100210</t>
  </si>
  <si>
    <t>Josh Simonds – 4</t>
  </si>
  <si>
    <t>18969Platinum47</t>
  </si>
  <si>
    <t>Josh Simonds</t>
  </si>
  <si>
    <t>P100210</t>
  </si>
  <si>
    <t>18969N10008P100192</t>
  </si>
  <si>
    <t>Chris Premo – 5</t>
  </si>
  <si>
    <t>18969Platinum53</t>
  </si>
  <si>
    <t>Chris Premo</t>
  </si>
  <si>
    <t>P100192</t>
  </si>
  <si>
    <t>18969N10008P100107</t>
  </si>
  <si>
    <t>Matt Quinn – 3</t>
  </si>
  <si>
    <t>18969Platinum78</t>
  </si>
  <si>
    <t>Matt Quinn</t>
  </si>
  <si>
    <t>P100107</t>
  </si>
  <si>
    <t>18969N10008P100110</t>
  </si>
  <si>
    <t>JoLyn Maly – 2</t>
  </si>
  <si>
    <t>18969Platinum82</t>
  </si>
  <si>
    <t>JoLyn Maly</t>
  </si>
  <si>
    <t>P100110</t>
  </si>
  <si>
    <t>18969N10008P100222</t>
  </si>
  <si>
    <t>Joshua Blumberg – 3</t>
  </si>
  <si>
    <t>18969Platinum86</t>
  </si>
  <si>
    <t>Joshua Blumberg</t>
  </si>
  <si>
    <t>P100222</t>
  </si>
  <si>
    <t>18969N10008P100024</t>
  </si>
  <si>
    <t>John Thien – 3</t>
  </si>
  <si>
    <t>18969Platinum20</t>
  </si>
  <si>
    <t>John Thien</t>
  </si>
  <si>
    <t>P100024</t>
  </si>
  <si>
    <t>18969N10008P100202</t>
  </si>
  <si>
    <t>5 – Francis Forte (G)</t>
  </si>
  <si>
    <t>Goalie</t>
  </si>
  <si>
    <t>18969Platinum99</t>
  </si>
  <si>
    <t>Francis Forte</t>
  </si>
  <si>
    <t>P100202</t>
  </si>
  <si>
    <t>18969N10010P100105</t>
  </si>
  <si>
    <t>away</t>
  </si>
  <si>
    <t>Ronnie Pinnell (C) – 4</t>
  </si>
  <si>
    <t>18969Velodrome9</t>
  </si>
  <si>
    <t>Ronnie Pinnell</t>
  </si>
  <si>
    <t>P100105</t>
  </si>
  <si>
    <t>18969N10010P100132</t>
  </si>
  <si>
    <t>Nick Ciampoli – 4</t>
  </si>
  <si>
    <t>18969Velodrome14</t>
  </si>
  <si>
    <t>Nick Ciampoli</t>
  </si>
  <si>
    <t>P100132</t>
  </si>
  <si>
    <t>18969N10010P100108</t>
  </si>
  <si>
    <t>Robert Mayfield (S) – 3</t>
  </si>
  <si>
    <t>18969Velodrome22</t>
  </si>
  <si>
    <t>Robert Mayfield</t>
  </si>
  <si>
    <t>P100108</t>
  </si>
  <si>
    <t>18969N10010P100016</t>
  </si>
  <si>
    <t>Wyatt Crandall – 5</t>
  </si>
  <si>
    <t>18969Velodrome39</t>
  </si>
  <si>
    <t>Wyatt Crandall</t>
  </si>
  <si>
    <t>P100016</t>
  </si>
  <si>
    <t>18969N10010P100201</t>
  </si>
  <si>
    <t>Garrett Ashcroft – 5</t>
  </si>
  <si>
    <t>18969Velodrome42</t>
  </si>
  <si>
    <t>Garrett Ashcroft</t>
  </si>
  <si>
    <t>P100201</t>
  </si>
  <si>
    <t>18969N10010P100161</t>
  </si>
  <si>
    <t>Galen Wood – 5</t>
  </si>
  <si>
    <t>18969Velodrome49</t>
  </si>
  <si>
    <t>Galen Wood</t>
  </si>
  <si>
    <t>P100161</t>
  </si>
  <si>
    <t>18969N10010P100070</t>
  </si>
  <si>
    <t>Hayden Perea – 4</t>
  </si>
  <si>
    <t>18969Velodrome52</t>
  </si>
  <si>
    <t>Hayden Perea</t>
  </si>
  <si>
    <t>P100070</t>
  </si>
  <si>
    <t>18969N10010P100064</t>
  </si>
  <si>
    <t>James Rynearson – 3</t>
  </si>
  <si>
    <t>18969Velodrome55</t>
  </si>
  <si>
    <t>James Rynearson</t>
  </si>
  <si>
    <t>P100064</t>
  </si>
  <si>
    <t>18969N10010P100224</t>
  </si>
  <si>
    <t>Kaitlyn Shain – 3</t>
  </si>
  <si>
    <t>18969Velodrome61</t>
  </si>
  <si>
    <t>Kaitlyn Shain</t>
  </si>
  <si>
    <t>P100224</t>
  </si>
  <si>
    <t>18969N10010P100001</t>
  </si>
  <si>
    <t>Sam Downs (A) – 6</t>
  </si>
  <si>
    <t>18969Velodrome70</t>
  </si>
  <si>
    <t>Sam Downs</t>
  </si>
  <si>
    <t>P100001</t>
  </si>
  <si>
    <t>18969N10010P100039</t>
  </si>
  <si>
    <t>Nicole Downs – 2</t>
  </si>
  <si>
    <t>18969Velodrome75</t>
  </si>
  <si>
    <t>Nicole Downs</t>
  </si>
  <si>
    <t>P100039</t>
  </si>
  <si>
    <t>18969N10010P100198</t>
  </si>
  <si>
    <t>Maxwell Donaty – 4</t>
  </si>
  <si>
    <t>18969Velodrome84</t>
  </si>
  <si>
    <t>Maxwell Donaty</t>
  </si>
  <si>
    <t>P100198</t>
  </si>
  <si>
    <t>18969N10010P100002</t>
  </si>
  <si>
    <t>Kevin White – 4</t>
  </si>
  <si>
    <t>18969Velodrome91</t>
  </si>
  <si>
    <t>Kevin White</t>
  </si>
  <si>
    <t>P100002</t>
  </si>
  <si>
    <t>18969N10010P100093</t>
  </si>
  <si>
    <t>Pat Major – 3</t>
  </si>
  <si>
    <t>18969Velodrome93</t>
  </si>
  <si>
    <t>Pat Major</t>
  </si>
  <si>
    <t>P100093</t>
  </si>
  <si>
    <t>play_detail_2</t>
  </si>
  <si>
    <t>play_detail1_</t>
  </si>
  <si>
    <t>play_detail2_</t>
  </si>
  <si>
    <t>play_detail_successful_</t>
  </si>
  <si>
    <t>pressured_pressurer_</t>
  </si>
  <si>
    <t>event_index_flag_</t>
  </si>
  <si>
    <t>linked_event_index_flag_</t>
  </si>
  <si>
    <t>sequence_index_flag_</t>
  </si>
  <si>
    <t>play_index_flag_</t>
  </si>
  <si>
    <t>AttemptedTip/Deflection</t>
  </si>
  <si>
    <t>sequence_index_</t>
  </si>
  <si>
    <t>play_index_</t>
  </si>
  <si>
    <t>Home</t>
  </si>
  <si>
    <t>Away</t>
  </si>
  <si>
    <t>player_game_number_</t>
  </si>
  <si>
    <t>venue</t>
  </si>
  <si>
    <t>38</t>
  </si>
  <si>
    <t>PuckRecoveryRetreivalDumpIn</t>
  </si>
  <si>
    <t>PuckRecoveryRetreivalFaceoff</t>
  </si>
  <si>
    <t>PuckRecoveryRetreivalOther</t>
  </si>
  <si>
    <t>PuckRecoveryRetreivalPass</t>
  </si>
  <si>
    <t>PuckRecoveryRetreivalRebound</t>
  </si>
  <si>
    <t>PuckRecoveryRetreivalShot</t>
  </si>
  <si>
    <t>PuckRecoveryRetreivalTurnover</t>
  </si>
  <si>
    <t>PuckRecoveryRetreivalAttemptedClear</t>
  </si>
  <si>
    <t>PuckRecoveryRetreivalClear</t>
  </si>
  <si>
    <t>PuckRecoveryRetreivalLoosePuckBattle</t>
  </si>
  <si>
    <t>RecoveryRetreivalDumpIn</t>
  </si>
  <si>
    <t>RecoveryRetreivalFaceoff</t>
  </si>
  <si>
    <t>RecoveryRetreivalOther</t>
  </si>
  <si>
    <t>RecoveryRetreivalPass</t>
  </si>
  <si>
    <t>RecoveryRetreivalRebound</t>
  </si>
  <si>
    <t>RecoveryRetreivalShot</t>
  </si>
  <si>
    <t>RecoveryRetreivalTurnover</t>
  </si>
  <si>
    <t>RecoveryRetrievalDumpIn</t>
  </si>
  <si>
    <t>RecoveryRetrievalShot</t>
  </si>
  <si>
    <t>AttemptedShot</t>
  </si>
  <si>
    <t>AttemptedPass</t>
  </si>
  <si>
    <t>PassForTip</t>
  </si>
  <si>
    <t>home_team_plus</t>
  </si>
  <si>
    <t>home_team_minus</t>
  </si>
  <si>
    <t>away_team_plus</t>
  </si>
  <si>
    <t>away_team_minus</t>
  </si>
  <si>
    <t>event_team_zone2_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</si>
</sst>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6" borderId="0" xfId="0" applyFont="1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5" borderId="1" xfId="0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0" fillId="0" borderId="0" xfId="0" quotePrefix="1"/>
    <xf numFmtId="164" fontId="0" fillId="0" borderId="0" xfId="1" applyNumberFormat="1" applyFont="1" applyFill="1"/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 wrapText="1"/>
    </xf>
    <xf numFmtId="49" fontId="0" fillId="8" borderId="0" xfId="0" applyNumberFormat="1" applyFill="1"/>
    <xf numFmtId="0" fontId="0" fillId="8" borderId="0" xfId="0" applyFill="1"/>
    <xf numFmtId="49" fontId="3" fillId="8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/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9AB4-E8FF-9D43-AA82-D735CBAF8F65}">
  <dimension ref="A1:AY66"/>
  <sheetViews>
    <sheetView workbookViewId="0">
      <selection activeCell="G4" sqref="G4"/>
    </sheetView>
  </sheetViews>
  <sheetFormatPr baseColWidth="10" defaultRowHeight="16" x14ac:dyDescent="0.2"/>
  <sheetData>
    <row r="1" spans="1:5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18" t="s">
        <v>396</v>
      </c>
      <c r="AW1" s="18" t="s">
        <v>403</v>
      </c>
      <c r="AX1" s="2" t="s">
        <v>404</v>
      </c>
      <c r="AY1" s="2" t="s">
        <v>405</v>
      </c>
    </row>
    <row r="2" spans="1:51" x14ac:dyDescent="0.2">
      <c r="A2">
        <v>40</v>
      </c>
      <c r="B2">
        <v>1</v>
      </c>
      <c r="C2">
        <v>2</v>
      </c>
      <c r="D2" t="s">
        <v>747</v>
      </c>
      <c r="E2">
        <v>0</v>
      </c>
      <c r="F2" t="s">
        <v>750</v>
      </c>
      <c r="G2" t="s">
        <v>289</v>
      </c>
      <c r="H2" t="s">
        <v>341</v>
      </c>
      <c r="I2">
        <v>42</v>
      </c>
      <c r="J2">
        <v>14</v>
      </c>
      <c r="K2">
        <v>61</v>
      </c>
      <c r="L2">
        <v>22</v>
      </c>
      <c r="M2">
        <v>9</v>
      </c>
      <c r="O2">
        <v>39</v>
      </c>
      <c r="P2">
        <v>91</v>
      </c>
      <c r="Q2">
        <v>80</v>
      </c>
      <c r="R2">
        <v>89</v>
      </c>
      <c r="S2">
        <v>4</v>
      </c>
      <c r="T2">
        <v>25</v>
      </c>
      <c r="V2">
        <v>30</v>
      </c>
      <c r="Y2">
        <v>1</v>
      </c>
    </row>
    <row r="3" spans="1:51" x14ac:dyDescent="0.2">
      <c r="A3">
        <v>41</v>
      </c>
      <c r="B3">
        <v>1</v>
      </c>
      <c r="C3">
        <v>0</v>
      </c>
      <c r="D3" t="s">
        <v>750</v>
      </c>
      <c r="E3">
        <v>0</v>
      </c>
      <c r="F3" t="s">
        <v>755</v>
      </c>
      <c r="G3" t="s">
        <v>289</v>
      </c>
      <c r="H3" t="s">
        <v>292</v>
      </c>
      <c r="I3">
        <v>42</v>
      </c>
      <c r="J3">
        <v>14</v>
      </c>
      <c r="K3">
        <v>61</v>
      </c>
      <c r="L3">
        <v>22</v>
      </c>
      <c r="M3">
        <v>9</v>
      </c>
      <c r="O3">
        <v>39</v>
      </c>
      <c r="P3">
        <v>77</v>
      </c>
      <c r="Q3">
        <v>13</v>
      </c>
      <c r="R3">
        <v>68</v>
      </c>
      <c r="S3">
        <v>4</v>
      </c>
      <c r="T3">
        <v>25</v>
      </c>
      <c r="V3">
        <v>30</v>
      </c>
      <c r="Y3">
        <v>1</v>
      </c>
    </row>
    <row r="4" spans="1:51" x14ac:dyDescent="0.2">
      <c r="A4">
        <v>42</v>
      </c>
      <c r="B4">
        <v>1</v>
      </c>
      <c r="G4" t="s">
        <v>393</v>
      </c>
    </row>
    <row r="5" spans="1:51" x14ac:dyDescent="0.2">
      <c r="A5">
        <v>43</v>
      </c>
      <c r="B5">
        <v>2</v>
      </c>
      <c r="C5">
        <v>18</v>
      </c>
      <c r="D5">
        <v>0</v>
      </c>
      <c r="E5">
        <v>17</v>
      </c>
      <c r="F5" t="s">
        <v>743</v>
      </c>
      <c r="G5" t="s">
        <v>284</v>
      </c>
      <c r="H5" t="s">
        <v>341</v>
      </c>
      <c r="I5">
        <v>70</v>
      </c>
      <c r="J5">
        <v>14</v>
      </c>
      <c r="K5">
        <v>55</v>
      </c>
      <c r="L5">
        <v>91</v>
      </c>
      <c r="M5">
        <v>84</v>
      </c>
      <c r="O5">
        <v>39</v>
      </c>
      <c r="P5">
        <v>77</v>
      </c>
      <c r="Q5">
        <v>13</v>
      </c>
      <c r="R5">
        <v>68</v>
      </c>
      <c r="S5">
        <v>44</v>
      </c>
      <c r="T5">
        <v>18</v>
      </c>
      <c r="V5">
        <v>30</v>
      </c>
      <c r="Y5">
        <v>1</v>
      </c>
    </row>
    <row r="8" spans="1:51" x14ac:dyDescent="0.2">
      <c r="A8">
        <v>105</v>
      </c>
      <c r="B8">
        <v>3</v>
      </c>
      <c r="C8">
        <v>1</v>
      </c>
      <c r="D8" t="s">
        <v>748</v>
      </c>
      <c r="E8">
        <v>0</v>
      </c>
      <c r="F8" t="s">
        <v>751</v>
      </c>
      <c r="I8">
        <v>42</v>
      </c>
      <c r="J8">
        <v>24</v>
      </c>
      <c r="K8">
        <v>61</v>
      </c>
      <c r="L8">
        <v>91</v>
      </c>
      <c r="M8">
        <v>84</v>
      </c>
      <c r="O8">
        <v>39</v>
      </c>
      <c r="P8">
        <v>77</v>
      </c>
      <c r="Q8">
        <v>12</v>
      </c>
      <c r="R8">
        <v>68</v>
      </c>
      <c r="S8">
        <v>44</v>
      </c>
      <c r="T8">
        <v>18</v>
      </c>
      <c r="V8">
        <v>30</v>
      </c>
      <c r="AA8">
        <v>1</v>
      </c>
    </row>
    <row r="9" spans="1:51" x14ac:dyDescent="0.2">
      <c r="A9">
        <v>106</v>
      </c>
      <c r="B9">
        <v>3</v>
      </c>
      <c r="C9">
        <v>0</v>
      </c>
      <c r="D9" t="s">
        <v>751</v>
      </c>
      <c r="E9">
        <v>0</v>
      </c>
      <c r="F9" t="s">
        <v>755</v>
      </c>
      <c r="H9" t="s">
        <v>400</v>
      </c>
      <c r="I9">
        <v>42</v>
      </c>
      <c r="J9">
        <v>24</v>
      </c>
      <c r="K9">
        <v>61</v>
      </c>
      <c r="L9">
        <v>91</v>
      </c>
      <c r="M9">
        <v>84</v>
      </c>
      <c r="O9">
        <v>39</v>
      </c>
      <c r="P9">
        <v>77</v>
      </c>
      <c r="Q9">
        <v>12</v>
      </c>
      <c r="R9">
        <v>56</v>
      </c>
      <c r="S9">
        <v>44</v>
      </c>
      <c r="T9">
        <v>18</v>
      </c>
      <c r="U9">
        <v>3</v>
      </c>
      <c r="AA9">
        <v>1</v>
      </c>
    </row>
    <row r="10" spans="1:51" x14ac:dyDescent="0.2">
      <c r="A10">
        <v>107</v>
      </c>
      <c r="B10">
        <v>3</v>
      </c>
      <c r="C10">
        <v>0</v>
      </c>
      <c r="D10" t="s">
        <v>755</v>
      </c>
    </row>
    <row r="25" spans="1:42" ht="34" x14ac:dyDescent="0.2">
      <c r="A25" s="20" t="s">
        <v>242</v>
      </c>
      <c r="B25" s="20" t="s">
        <v>725</v>
      </c>
      <c r="C25" s="20" t="s">
        <v>518</v>
      </c>
      <c r="D25" s="20" t="s">
        <v>724</v>
      </c>
      <c r="E25" s="23" t="s">
        <v>243</v>
      </c>
      <c r="F25" s="23" t="s">
        <v>244</v>
      </c>
      <c r="G25" s="29" t="s">
        <v>621</v>
      </c>
      <c r="H25" s="1" t="s">
        <v>0</v>
      </c>
      <c r="I25" s="21" t="s">
        <v>409</v>
      </c>
      <c r="J25" s="21" t="s">
        <v>410</v>
      </c>
      <c r="K25" s="21" t="s">
        <v>411</v>
      </c>
      <c r="L25" s="22" t="s">
        <v>412</v>
      </c>
      <c r="M25" s="1" t="s">
        <v>252</v>
      </c>
      <c r="N25" s="1" t="s">
        <v>253</v>
      </c>
      <c r="O25" s="1" t="s">
        <v>254</v>
      </c>
      <c r="P25" s="7" t="s">
        <v>255</v>
      </c>
      <c r="Q25" s="20" t="s">
        <v>522</v>
      </c>
      <c r="R25" s="20" t="s">
        <v>4</v>
      </c>
      <c r="S25" s="20" t="s">
        <v>728</v>
      </c>
      <c r="T25" s="20" t="s">
        <v>369</v>
      </c>
      <c r="U25" s="20" t="s">
        <v>406</v>
      </c>
      <c r="V25" s="20" t="s">
        <v>407</v>
      </c>
      <c r="W25" s="20" t="s">
        <v>408</v>
      </c>
      <c r="X25" s="23" t="s">
        <v>449</v>
      </c>
      <c r="Y25" s="20" t="s">
        <v>451</v>
      </c>
      <c r="Z25" s="20" t="s">
        <v>452</v>
      </c>
      <c r="AA25" s="23" t="s">
        <v>453</v>
      </c>
      <c r="AB25" s="23" t="s">
        <v>638</v>
      </c>
      <c r="AC25" s="23" t="s">
        <v>525</v>
      </c>
      <c r="AD25" s="23" t="s">
        <v>526</v>
      </c>
      <c r="AE25" s="23" t="s">
        <v>536</v>
      </c>
      <c r="AF25" s="20" t="s">
        <v>454</v>
      </c>
      <c r="AG25" s="1" t="s">
        <v>455</v>
      </c>
      <c r="AH25" s="1" t="s">
        <v>456</v>
      </c>
      <c r="AI25" s="20" t="s">
        <v>534</v>
      </c>
      <c r="AJ25" s="20" t="s">
        <v>535</v>
      </c>
    </row>
    <row r="27" spans="1:42" x14ac:dyDescent="0.2">
      <c r="A27">
        <v>599</v>
      </c>
      <c r="B27" t="s">
        <v>756</v>
      </c>
      <c r="C27" t="s">
        <v>756</v>
      </c>
      <c r="D27" t="s">
        <v>756</v>
      </c>
      <c r="H27">
        <v>1</v>
      </c>
      <c r="I27" t="s">
        <v>742</v>
      </c>
      <c r="J27" t="s">
        <v>748</v>
      </c>
      <c r="Q27" t="s">
        <v>731</v>
      </c>
      <c r="R27">
        <v>13</v>
      </c>
      <c r="S27">
        <v>1</v>
      </c>
      <c r="T27" t="s">
        <v>367</v>
      </c>
      <c r="U27" t="s">
        <v>6</v>
      </c>
      <c r="V27" t="s">
        <v>181</v>
      </c>
      <c r="W27" t="s">
        <v>53</v>
      </c>
      <c r="X27" t="s">
        <v>594</v>
      </c>
      <c r="AF27" t="s">
        <v>368</v>
      </c>
      <c r="AJ27">
        <v>1</v>
      </c>
      <c r="AM27" t="s">
        <v>6</v>
      </c>
      <c r="AN27" t="s">
        <v>181</v>
      </c>
      <c r="AP27" t="s">
        <v>516</v>
      </c>
    </row>
    <row r="28" spans="1:42" x14ac:dyDescent="0.2">
      <c r="A28">
        <v>599</v>
      </c>
      <c r="B28" t="s">
        <v>756</v>
      </c>
      <c r="C28" t="s">
        <v>756</v>
      </c>
      <c r="D28" t="s">
        <v>756</v>
      </c>
      <c r="H28">
        <v>1</v>
      </c>
      <c r="R28">
        <v>9</v>
      </c>
      <c r="T28" t="s">
        <v>368</v>
      </c>
      <c r="Y28" t="s">
        <v>602</v>
      </c>
      <c r="AA28" t="s">
        <v>595</v>
      </c>
      <c r="AJ28">
        <v>1</v>
      </c>
      <c r="AM28" t="s">
        <v>6</v>
      </c>
      <c r="AN28" t="s">
        <v>181</v>
      </c>
      <c r="AP28" t="s">
        <v>517</v>
      </c>
    </row>
    <row r="29" spans="1:42" x14ac:dyDescent="0.2">
      <c r="A29">
        <v>600</v>
      </c>
      <c r="B29" t="s">
        <v>756</v>
      </c>
      <c r="C29" t="s">
        <v>756</v>
      </c>
      <c r="D29" t="s">
        <v>756</v>
      </c>
      <c r="H29">
        <v>1</v>
      </c>
      <c r="I29" t="s">
        <v>742</v>
      </c>
      <c r="J29" t="s">
        <v>413</v>
      </c>
      <c r="T29" t="s">
        <v>368</v>
      </c>
      <c r="U29" t="s">
        <v>11</v>
      </c>
      <c r="V29" t="s">
        <v>177</v>
      </c>
      <c r="W29" t="s">
        <v>39</v>
      </c>
      <c r="AM29" t="s">
        <v>11</v>
      </c>
      <c r="AN29" t="s">
        <v>177</v>
      </c>
      <c r="AP29" t="s">
        <v>756</v>
      </c>
    </row>
    <row r="30" spans="1:42" x14ac:dyDescent="0.2">
      <c r="A30">
        <v>601</v>
      </c>
      <c r="B30" t="s">
        <v>756</v>
      </c>
      <c r="C30" t="s">
        <v>756</v>
      </c>
      <c r="D30" t="s">
        <v>756</v>
      </c>
      <c r="H30">
        <v>2</v>
      </c>
      <c r="I30" t="s">
        <v>733</v>
      </c>
      <c r="J30" t="s">
        <v>737</v>
      </c>
      <c r="K30" t="s">
        <v>753</v>
      </c>
      <c r="L30" t="s">
        <v>749</v>
      </c>
      <c r="T30" t="s">
        <v>368</v>
      </c>
      <c r="U30" t="s">
        <v>393</v>
      </c>
      <c r="AM30" t="s">
        <v>393</v>
      </c>
      <c r="AN30" t="s">
        <v>756</v>
      </c>
      <c r="AP30" t="s">
        <v>756</v>
      </c>
    </row>
    <row r="31" spans="1:42" x14ac:dyDescent="0.2">
      <c r="A31">
        <v>602</v>
      </c>
      <c r="B31" t="s">
        <v>756</v>
      </c>
      <c r="C31" t="s">
        <v>756</v>
      </c>
      <c r="D31" t="s">
        <v>756</v>
      </c>
      <c r="H31">
        <v>2</v>
      </c>
      <c r="I31" t="s">
        <v>743</v>
      </c>
      <c r="J31" t="s">
        <v>413</v>
      </c>
      <c r="Q31" t="s">
        <v>735</v>
      </c>
      <c r="R31">
        <v>70</v>
      </c>
      <c r="S31">
        <v>1</v>
      </c>
      <c r="T31" t="s">
        <v>367</v>
      </c>
      <c r="U31" t="s">
        <v>5</v>
      </c>
      <c r="V31" t="s">
        <v>197</v>
      </c>
      <c r="AF31" t="s">
        <v>734</v>
      </c>
      <c r="AM31" t="s">
        <v>5</v>
      </c>
      <c r="AN31" t="s">
        <v>197</v>
      </c>
      <c r="AP31" t="s">
        <v>516</v>
      </c>
    </row>
    <row r="34" spans="1:42" x14ac:dyDescent="0.2">
      <c r="A34">
        <v>1438</v>
      </c>
      <c r="B34">
        <v>223</v>
      </c>
      <c r="H34">
        <v>3</v>
      </c>
      <c r="I34" t="s">
        <v>752</v>
      </c>
      <c r="J34" t="s">
        <v>753</v>
      </c>
      <c r="Q34" t="s">
        <v>735</v>
      </c>
      <c r="R34">
        <v>61</v>
      </c>
      <c r="S34">
        <v>1</v>
      </c>
      <c r="T34" t="s">
        <v>367</v>
      </c>
      <c r="U34" t="s">
        <v>6</v>
      </c>
      <c r="V34" t="s">
        <v>240</v>
      </c>
      <c r="AF34" t="s">
        <v>368</v>
      </c>
      <c r="AM34" t="s">
        <v>6</v>
      </c>
      <c r="AN34" t="s">
        <v>240</v>
      </c>
      <c r="AP34" t="s">
        <v>516</v>
      </c>
    </row>
    <row r="35" spans="1:42" x14ac:dyDescent="0.2">
      <c r="A35">
        <v>1438</v>
      </c>
      <c r="B35">
        <v>223</v>
      </c>
      <c r="H35">
        <v>3</v>
      </c>
      <c r="R35">
        <v>30</v>
      </c>
      <c r="T35" t="s">
        <v>368</v>
      </c>
      <c r="AM35" t="s">
        <v>6</v>
      </c>
      <c r="AN35" t="s">
        <v>240</v>
      </c>
      <c r="AP35" t="s">
        <v>517</v>
      </c>
    </row>
    <row r="36" spans="1:42" x14ac:dyDescent="0.2">
      <c r="A36">
        <v>1439</v>
      </c>
      <c r="B36">
        <v>223</v>
      </c>
      <c r="H36">
        <v>3</v>
      </c>
      <c r="I36" t="s">
        <v>752</v>
      </c>
      <c r="J36" t="s">
        <v>753</v>
      </c>
      <c r="Q36" t="s">
        <v>735</v>
      </c>
      <c r="R36">
        <v>61</v>
      </c>
      <c r="S36">
        <v>1</v>
      </c>
      <c r="T36" t="s">
        <v>367</v>
      </c>
      <c r="U36" t="s">
        <v>8</v>
      </c>
      <c r="V36" t="s">
        <v>213</v>
      </c>
      <c r="W36" t="s">
        <v>216</v>
      </c>
      <c r="AF36" t="s">
        <v>368</v>
      </c>
      <c r="AM36" t="s">
        <v>8</v>
      </c>
      <c r="AN36" t="s">
        <v>213</v>
      </c>
      <c r="AP36" t="s">
        <v>516</v>
      </c>
    </row>
    <row r="37" spans="1:42" x14ac:dyDescent="0.2">
      <c r="A37">
        <v>1439</v>
      </c>
      <c r="B37">
        <v>223</v>
      </c>
      <c r="H37">
        <v>3</v>
      </c>
      <c r="R37">
        <v>30</v>
      </c>
      <c r="T37" t="s">
        <v>368</v>
      </c>
      <c r="AM37" t="s">
        <v>8</v>
      </c>
      <c r="AN37" t="s">
        <v>213</v>
      </c>
      <c r="AP37" t="s">
        <v>517</v>
      </c>
    </row>
    <row r="38" spans="1:42" x14ac:dyDescent="0.2">
      <c r="A38">
        <v>1440</v>
      </c>
      <c r="B38">
        <v>223</v>
      </c>
      <c r="H38">
        <v>3</v>
      </c>
      <c r="I38" t="s">
        <v>752</v>
      </c>
      <c r="J38" t="s">
        <v>753</v>
      </c>
      <c r="Q38" t="s">
        <v>735</v>
      </c>
      <c r="R38">
        <v>61</v>
      </c>
      <c r="S38">
        <v>1</v>
      </c>
      <c r="T38" t="s">
        <v>367</v>
      </c>
      <c r="U38" t="s">
        <v>11</v>
      </c>
      <c r="V38" t="s">
        <v>187</v>
      </c>
      <c r="W38" t="s">
        <v>40</v>
      </c>
      <c r="AF38" t="s">
        <v>368</v>
      </c>
      <c r="AJ38">
        <v>1</v>
      </c>
      <c r="AM38" t="s">
        <v>11</v>
      </c>
      <c r="AN38" t="s">
        <v>187</v>
      </c>
      <c r="AP38" t="s">
        <v>756</v>
      </c>
    </row>
    <row r="39" spans="1:42" x14ac:dyDescent="0.2">
      <c r="A39">
        <v>1441</v>
      </c>
      <c r="B39">
        <v>223</v>
      </c>
      <c r="H39">
        <v>3</v>
      </c>
      <c r="I39" t="s">
        <v>752</v>
      </c>
      <c r="J39" t="s">
        <v>753</v>
      </c>
      <c r="K39" t="s">
        <v>752</v>
      </c>
      <c r="L39" t="s">
        <v>738</v>
      </c>
      <c r="Q39" t="s">
        <v>735</v>
      </c>
      <c r="R39">
        <v>61</v>
      </c>
      <c r="S39">
        <v>1</v>
      </c>
      <c r="T39" t="s">
        <v>367</v>
      </c>
      <c r="U39" t="s">
        <v>241</v>
      </c>
      <c r="AF39" t="s">
        <v>368</v>
      </c>
      <c r="AJ39">
        <v>1</v>
      </c>
      <c r="AM39" t="s">
        <v>241</v>
      </c>
      <c r="AN39" t="s">
        <v>756</v>
      </c>
      <c r="AP39" t="s">
        <v>756</v>
      </c>
    </row>
    <row r="43" spans="1:42" x14ac:dyDescent="0.2">
      <c r="A43">
        <v>1590</v>
      </c>
      <c r="H43">
        <v>3</v>
      </c>
      <c r="I43" t="s">
        <v>742</v>
      </c>
      <c r="J43" t="s">
        <v>739</v>
      </c>
      <c r="Q43" t="s">
        <v>735</v>
      </c>
      <c r="R43">
        <v>84</v>
      </c>
      <c r="S43">
        <v>1</v>
      </c>
      <c r="T43" t="s">
        <v>367</v>
      </c>
      <c r="U43" t="s">
        <v>417</v>
      </c>
      <c r="AF43" t="s">
        <v>736</v>
      </c>
      <c r="AJ43">
        <v>1</v>
      </c>
      <c r="AM43" t="s">
        <v>417</v>
      </c>
      <c r="AN43" t="s">
        <v>756</v>
      </c>
      <c r="AP43" t="s">
        <v>516</v>
      </c>
    </row>
    <row r="44" spans="1:42" x14ac:dyDescent="0.2">
      <c r="A44">
        <v>1590</v>
      </c>
      <c r="H44">
        <v>3</v>
      </c>
      <c r="R44">
        <v>3</v>
      </c>
      <c r="T44" t="s">
        <v>368</v>
      </c>
      <c r="AJ44">
        <v>1</v>
      </c>
      <c r="AM44" t="s">
        <v>417</v>
      </c>
      <c r="AN44" t="s">
        <v>756</v>
      </c>
      <c r="AP44" t="s">
        <v>517</v>
      </c>
    </row>
    <row r="45" spans="1:42" x14ac:dyDescent="0.2">
      <c r="A45">
        <v>1591</v>
      </c>
      <c r="B45">
        <v>247</v>
      </c>
      <c r="H45">
        <v>3</v>
      </c>
      <c r="I45" t="s">
        <v>742</v>
      </c>
      <c r="J45" t="s">
        <v>740</v>
      </c>
      <c r="Q45" t="s">
        <v>731</v>
      </c>
      <c r="R45">
        <v>18</v>
      </c>
      <c r="S45">
        <v>1</v>
      </c>
      <c r="T45" t="s">
        <v>367</v>
      </c>
      <c r="U45" t="s">
        <v>6</v>
      </c>
      <c r="V45" t="s">
        <v>205</v>
      </c>
      <c r="W45" t="s">
        <v>51</v>
      </c>
      <c r="X45" t="s">
        <v>595</v>
      </c>
      <c r="AF45" t="s">
        <v>368</v>
      </c>
      <c r="AM45" t="s">
        <v>6</v>
      </c>
      <c r="AN45" t="s">
        <v>205</v>
      </c>
      <c r="AP45" t="s">
        <v>516</v>
      </c>
    </row>
    <row r="46" spans="1:42" x14ac:dyDescent="0.2">
      <c r="A46">
        <v>1591</v>
      </c>
      <c r="B46">
        <v>247</v>
      </c>
      <c r="H46">
        <v>3</v>
      </c>
      <c r="R46">
        <v>77</v>
      </c>
      <c r="S46">
        <v>1</v>
      </c>
      <c r="T46" t="s">
        <v>367</v>
      </c>
      <c r="Y46" t="s">
        <v>684</v>
      </c>
      <c r="AM46" t="s">
        <v>6</v>
      </c>
      <c r="AN46" t="s">
        <v>205</v>
      </c>
      <c r="AP46" t="s">
        <v>516</v>
      </c>
    </row>
    <row r="47" spans="1:42" x14ac:dyDescent="0.2">
      <c r="A47">
        <v>1591</v>
      </c>
      <c r="B47">
        <v>247</v>
      </c>
      <c r="H47">
        <v>3</v>
      </c>
      <c r="R47">
        <v>39</v>
      </c>
      <c r="T47" t="s">
        <v>368</v>
      </c>
      <c r="AM47" t="s">
        <v>6</v>
      </c>
      <c r="AN47" t="s">
        <v>205</v>
      </c>
      <c r="AP47" t="s">
        <v>517</v>
      </c>
    </row>
    <row r="48" spans="1:42" x14ac:dyDescent="0.2">
      <c r="A48">
        <v>1592</v>
      </c>
      <c r="B48">
        <v>247</v>
      </c>
      <c r="H48">
        <v>3</v>
      </c>
      <c r="I48" t="s">
        <v>742</v>
      </c>
      <c r="J48" t="s">
        <v>740</v>
      </c>
      <c r="Q48" t="s">
        <v>735</v>
      </c>
      <c r="R48">
        <v>39</v>
      </c>
      <c r="S48">
        <v>1</v>
      </c>
      <c r="T48" t="s">
        <v>367</v>
      </c>
      <c r="U48" t="s">
        <v>15</v>
      </c>
      <c r="V48" t="s">
        <v>179</v>
      </c>
      <c r="W48" t="s">
        <v>95</v>
      </c>
      <c r="AF48" t="s">
        <v>736</v>
      </c>
      <c r="AM48" t="s">
        <v>15</v>
      </c>
      <c r="AN48" t="s">
        <v>179</v>
      </c>
      <c r="AP48" t="s">
        <v>517</v>
      </c>
    </row>
    <row r="49" spans="1:42" x14ac:dyDescent="0.2">
      <c r="A49">
        <v>1592</v>
      </c>
      <c r="B49">
        <v>247</v>
      </c>
      <c r="H49">
        <v>3</v>
      </c>
      <c r="R49">
        <v>18</v>
      </c>
      <c r="T49" t="s">
        <v>368</v>
      </c>
      <c r="AM49" t="s">
        <v>15</v>
      </c>
      <c r="AN49" t="s">
        <v>179</v>
      </c>
      <c r="AP49" t="s">
        <v>516</v>
      </c>
    </row>
    <row r="50" spans="1:42" x14ac:dyDescent="0.2">
      <c r="A50">
        <v>1592</v>
      </c>
      <c r="B50">
        <v>247</v>
      </c>
      <c r="H50">
        <v>3</v>
      </c>
      <c r="R50">
        <v>77</v>
      </c>
      <c r="T50" t="s">
        <v>368</v>
      </c>
      <c r="Y50" t="s">
        <v>684</v>
      </c>
      <c r="AM50" t="s">
        <v>15</v>
      </c>
      <c r="AN50" t="s">
        <v>179</v>
      </c>
      <c r="AP50" t="s">
        <v>516</v>
      </c>
    </row>
    <row r="51" spans="1:42" x14ac:dyDescent="0.2">
      <c r="A51">
        <v>1593</v>
      </c>
      <c r="B51">
        <v>247</v>
      </c>
      <c r="H51">
        <v>3</v>
      </c>
      <c r="I51" t="s">
        <v>742</v>
      </c>
      <c r="J51" t="s">
        <v>740</v>
      </c>
      <c r="Q51" t="s">
        <v>735</v>
      </c>
      <c r="R51">
        <v>39</v>
      </c>
      <c r="S51">
        <v>1</v>
      </c>
      <c r="T51" t="s">
        <v>367</v>
      </c>
      <c r="AF51" t="s">
        <v>736</v>
      </c>
      <c r="AM51" t="s">
        <v>756</v>
      </c>
      <c r="AN51" t="s">
        <v>756</v>
      </c>
      <c r="AP51" t="s">
        <v>516</v>
      </c>
    </row>
    <row r="52" spans="1:42" x14ac:dyDescent="0.2">
      <c r="A52">
        <v>1594</v>
      </c>
      <c r="H52">
        <v>3</v>
      </c>
      <c r="I52" t="s">
        <v>742</v>
      </c>
      <c r="J52" t="s">
        <v>741</v>
      </c>
      <c r="Q52" t="s">
        <v>731</v>
      </c>
      <c r="R52">
        <v>56</v>
      </c>
      <c r="S52">
        <v>1</v>
      </c>
      <c r="T52" t="s">
        <v>367</v>
      </c>
      <c r="U52" t="s">
        <v>13</v>
      </c>
      <c r="V52" t="s">
        <v>587</v>
      </c>
      <c r="X52" t="s">
        <v>594</v>
      </c>
      <c r="Y52" t="s">
        <v>611</v>
      </c>
      <c r="AA52" t="s">
        <v>594</v>
      </c>
      <c r="AF52" t="s">
        <v>368</v>
      </c>
      <c r="AM52" t="s">
        <v>13</v>
      </c>
      <c r="AN52" t="s">
        <v>587</v>
      </c>
      <c r="AP52" t="s">
        <v>516</v>
      </c>
    </row>
    <row r="53" spans="1:42" x14ac:dyDescent="0.2">
      <c r="A53">
        <v>1595</v>
      </c>
      <c r="H53">
        <v>3</v>
      </c>
      <c r="I53" t="s">
        <v>742</v>
      </c>
      <c r="J53" t="s">
        <v>741</v>
      </c>
      <c r="Q53" t="s">
        <v>731</v>
      </c>
      <c r="R53">
        <v>56</v>
      </c>
      <c r="S53">
        <v>1</v>
      </c>
      <c r="T53" t="s">
        <v>367</v>
      </c>
      <c r="U53" t="s">
        <v>7</v>
      </c>
      <c r="V53" t="s">
        <v>182</v>
      </c>
      <c r="W53" t="s">
        <v>68</v>
      </c>
      <c r="X53" t="s">
        <v>594</v>
      </c>
      <c r="Y53" t="s">
        <v>654</v>
      </c>
      <c r="AA53" t="s">
        <v>594</v>
      </c>
      <c r="AF53" t="s">
        <v>368</v>
      </c>
      <c r="AJ53">
        <v>1</v>
      </c>
      <c r="AM53" t="s">
        <v>7</v>
      </c>
      <c r="AN53" t="s">
        <v>182</v>
      </c>
      <c r="AP53" t="s">
        <v>516</v>
      </c>
    </row>
    <row r="54" spans="1:42" x14ac:dyDescent="0.2">
      <c r="A54">
        <v>1595</v>
      </c>
      <c r="H54">
        <v>3</v>
      </c>
      <c r="R54">
        <v>3</v>
      </c>
      <c r="S54">
        <v>1</v>
      </c>
      <c r="T54" t="s">
        <v>367</v>
      </c>
      <c r="AM54" t="s">
        <v>7</v>
      </c>
      <c r="AN54" t="s">
        <v>182</v>
      </c>
      <c r="AP54" t="s">
        <v>516</v>
      </c>
    </row>
    <row r="55" spans="1:42" x14ac:dyDescent="0.2">
      <c r="A55">
        <v>1595</v>
      </c>
      <c r="H55">
        <v>3</v>
      </c>
      <c r="R55">
        <v>91</v>
      </c>
      <c r="T55" t="s">
        <v>368</v>
      </c>
      <c r="AJ55">
        <v>1</v>
      </c>
      <c r="AM55" t="s">
        <v>7</v>
      </c>
      <c r="AN55" t="s">
        <v>182</v>
      </c>
      <c r="AP55" t="s">
        <v>517</v>
      </c>
    </row>
    <row r="56" spans="1:42" x14ac:dyDescent="0.2">
      <c r="A56">
        <v>1596</v>
      </c>
      <c r="H56">
        <v>3</v>
      </c>
      <c r="I56" t="s">
        <v>742</v>
      </c>
      <c r="J56" t="s">
        <v>741</v>
      </c>
      <c r="Q56" t="s">
        <v>735</v>
      </c>
      <c r="S56">
        <v>1</v>
      </c>
      <c r="T56" t="s">
        <v>367</v>
      </c>
      <c r="U56" t="s">
        <v>238</v>
      </c>
      <c r="V56" t="s">
        <v>184</v>
      </c>
      <c r="W56" t="s">
        <v>378</v>
      </c>
      <c r="AF56" t="s">
        <v>736</v>
      </c>
      <c r="AM56" t="s">
        <v>238</v>
      </c>
      <c r="AN56" t="s">
        <v>184</v>
      </c>
      <c r="AP56" t="s">
        <v>516</v>
      </c>
    </row>
    <row r="57" spans="1:42" x14ac:dyDescent="0.2">
      <c r="A57">
        <v>1597</v>
      </c>
      <c r="H57">
        <v>3</v>
      </c>
      <c r="I57" t="s">
        <v>742</v>
      </c>
      <c r="J57" t="s">
        <v>732</v>
      </c>
      <c r="K57" t="s">
        <v>742</v>
      </c>
      <c r="L57" t="s">
        <v>744</v>
      </c>
      <c r="Q57" t="s">
        <v>731</v>
      </c>
      <c r="R57">
        <v>44</v>
      </c>
      <c r="S57">
        <v>1</v>
      </c>
      <c r="T57" t="s">
        <v>367</v>
      </c>
      <c r="U57" t="s">
        <v>13</v>
      </c>
      <c r="V57" t="s">
        <v>587</v>
      </c>
      <c r="X57" t="s">
        <v>595</v>
      </c>
      <c r="Y57" t="s">
        <v>618</v>
      </c>
      <c r="AA57" t="s">
        <v>595</v>
      </c>
      <c r="AF57" t="s">
        <v>734</v>
      </c>
      <c r="AM57" t="s">
        <v>13</v>
      </c>
      <c r="AN57" t="s">
        <v>587</v>
      </c>
      <c r="AP57" t="s">
        <v>516</v>
      </c>
    </row>
    <row r="58" spans="1:42" x14ac:dyDescent="0.2">
      <c r="A58">
        <v>1598</v>
      </c>
      <c r="H58">
        <v>3</v>
      </c>
      <c r="I58" t="s">
        <v>742</v>
      </c>
      <c r="J58" t="s">
        <v>744</v>
      </c>
      <c r="Q58" t="s">
        <v>731</v>
      </c>
      <c r="R58">
        <v>44</v>
      </c>
      <c r="S58">
        <v>1</v>
      </c>
      <c r="T58" t="s">
        <v>367</v>
      </c>
      <c r="U58" t="s">
        <v>7</v>
      </c>
      <c r="V58" t="s">
        <v>172</v>
      </c>
      <c r="W58" t="s">
        <v>68</v>
      </c>
      <c r="X58" t="s">
        <v>595</v>
      </c>
      <c r="AF58" t="s">
        <v>734</v>
      </c>
      <c r="AM58" t="s">
        <v>7</v>
      </c>
      <c r="AN58" t="s">
        <v>172</v>
      </c>
      <c r="AP58" t="s">
        <v>516</v>
      </c>
    </row>
    <row r="59" spans="1:42" x14ac:dyDescent="0.2">
      <c r="A59">
        <v>1598</v>
      </c>
      <c r="H59">
        <v>3</v>
      </c>
      <c r="R59">
        <v>18</v>
      </c>
      <c r="S59">
        <v>1</v>
      </c>
      <c r="T59" t="s">
        <v>367</v>
      </c>
      <c r="AM59" t="s">
        <v>7</v>
      </c>
      <c r="AN59" t="s">
        <v>172</v>
      </c>
      <c r="AP59" t="s">
        <v>516</v>
      </c>
    </row>
    <row r="60" spans="1:42" x14ac:dyDescent="0.2">
      <c r="A60">
        <v>1599</v>
      </c>
      <c r="H60">
        <v>3</v>
      </c>
      <c r="I60" t="s">
        <v>742</v>
      </c>
      <c r="J60" t="s">
        <v>745</v>
      </c>
      <c r="Q60" t="s">
        <v>731</v>
      </c>
      <c r="R60">
        <v>18</v>
      </c>
      <c r="S60">
        <v>1</v>
      </c>
      <c r="T60" t="s">
        <v>367</v>
      </c>
      <c r="U60" t="s">
        <v>238</v>
      </c>
      <c r="V60" t="s">
        <v>174</v>
      </c>
      <c r="W60" t="s">
        <v>85</v>
      </c>
      <c r="X60" t="s">
        <v>594</v>
      </c>
      <c r="AF60" t="s">
        <v>368</v>
      </c>
      <c r="AJ60">
        <v>1</v>
      </c>
      <c r="AM60" t="s">
        <v>238</v>
      </c>
      <c r="AN60" t="s">
        <v>174</v>
      </c>
      <c r="AP60" t="s">
        <v>516</v>
      </c>
    </row>
    <row r="61" spans="1:42" x14ac:dyDescent="0.2">
      <c r="A61">
        <v>1599</v>
      </c>
      <c r="H61">
        <v>3</v>
      </c>
      <c r="R61">
        <v>24</v>
      </c>
      <c r="T61" t="s">
        <v>368</v>
      </c>
      <c r="AJ61">
        <v>1</v>
      </c>
      <c r="AM61" t="s">
        <v>238</v>
      </c>
      <c r="AN61" t="s">
        <v>174</v>
      </c>
      <c r="AP61" t="s">
        <v>517</v>
      </c>
    </row>
    <row r="62" spans="1:42" x14ac:dyDescent="0.2">
      <c r="A62">
        <v>1600</v>
      </c>
      <c r="H62">
        <v>3</v>
      </c>
      <c r="I62" t="s">
        <v>742</v>
      </c>
      <c r="J62" t="s">
        <v>746</v>
      </c>
      <c r="Q62" t="s">
        <v>735</v>
      </c>
      <c r="R62">
        <v>24</v>
      </c>
      <c r="S62">
        <v>1</v>
      </c>
      <c r="T62" t="s">
        <v>367</v>
      </c>
      <c r="U62" t="s">
        <v>9</v>
      </c>
      <c r="V62" t="s">
        <v>183</v>
      </c>
      <c r="W62" t="s">
        <v>79</v>
      </c>
      <c r="X62" t="s">
        <v>595</v>
      </c>
      <c r="Y62" t="s">
        <v>631</v>
      </c>
      <c r="AA62" t="s">
        <v>595</v>
      </c>
      <c r="AF62" t="s">
        <v>736</v>
      </c>
      <c r="AJ62">
        <v>1</v>
      </c>
      <c r="AM62" t="s">
        <v>9</v>
      </c>
      <c r="AN62" t="s">
        <v>183</v>
      </c>
      <c r="AP62" t="s">
        <v>517</v>
      </c>
    </row>
    <row r="63" spans="1:42" x14ac:dyDescent="0.2">
      <c r="A63">
        <v>1600</v>
      </c>
      <c r="H63">
        <v>3</v>
      </c>
      <c r="R63">
        <v>91</v>
      </c>
      <c r="S63">
        <v>1</v>
      </c>
      <c r="T63" t="s">
        <v>367</v>
      </c>
      <c r="Y63" t="s">
        <v>602</v>
      </c>
      <c r="AA63" t="s">
        <v>595</v>
      </c>
      <c r="AJ63">
        <v>1</v>
      </c>
      <c r="AM63" t="s">
        <v>9</v>
      </c>
      <c r="AN63" t="s">
        <v>183</v>
      </c>
      <c r="AP63" t="s">
        <v>517</v>
      </c>
    </row>
    <row r="64" spans="1:42" x14ac:dyDescent="0.2">
      <c r="A64">
        <v>1600</v>
      </c>
      <c r="H64">
        <v>3</v>
      </c>
      <c r="R64">
        <v>18</v>
      </c>
      <c r="T64" t="s">
        <v>368</v>
      </c>
      <c r="AJ64">
        <v>1</v>
      </c>
      <c r="AM64" t="s">
        <v>9</v>
      </c>
      <c r="AN64" t="s">
        <v>183</v>
      </c>
      <c r="AP64" t="s">
        <v>516</v>
      </c>
    </row>
    <row r="65" spans="1:42" x14ac:dyDescent="0.2">
      <c r="A65">
        <v>1601</v>
      </c>
      <c r="B65">
        <v>248</v>
      </c>
      <c r="H65">
        <v>3</v>
      </c>
      <c r="I65" t="s">
        <v>742</v>
      </c>
      <c r="J65" t="s">
        <v>754</v>
      </c>
      <c r="Q65" t="s">
        <v>735</v>
      </c>
      <c r="R65">
        <v>84</v>
      </c>
      <c r="S65">
        <v>1</v>
      </c>
      <c r="T65" t="s">
        <v>367</v>
      </c>
      <c r="U65" t="s">
        <v>10</v>
      </c>
      <c r="V65" t="s">
        <v>175</v>
      </c>
      <c r="W65" t="s">
        <v>139</v>
      </c>
      <c r="AF65" t="s">
        <v>736</v>
      </c>
      <c r="AM65" t="s">
        <v>10</v>
      </c>
      <c r="AN65" t="s">
        <v>175</v>
      </c>
      <c r="AP65" t="s">
        <v>516</v>
      </c>
    </row>
    <row r="66" spans="1:42" x14ac:dyDescent="0.2">
      <c r="A66">
        <v>1602</v>
      </c>
      <c r="B66">
        <v>248</v>
      </c>
      <c r="H66">
        <v>3</v>
      </c>
      <c r="I66" t="s">
        <v>742</v>
      </c>
      <c r="J66" t="s">
        <v>754</v>
      </c>
      <c r="K66" t="s">
        <v>742</v>
      </c>
      <c r="L66" t="s">
        <v>413</v>
      </c>
      <c r="Q66" t="s">
        <v>735</v>
      </c>
      <c r="R66">
        <v>84</v>
      </c>
      <c r="S66">
        <v>1</v>
      </c>
      <c r="T66" t="s">
        <v>367</v>
      </c>
      <c r="U66" t="s">
        <v>11</v>
      </c>
      <c r="V66" t="s">
        <v>177</v>
      </c>
      <c r="W66" t="s">
        <v>39</v>
      </c>
      <c r="AF66" t="s">
        <v>736</v>
      </c>
      <c r="AM66" t="s">
        <v>11</v>
      </c>
      <c r="AN66" t="s">
        <v>177</v>
      </c>
      <c r="AP66" t="s">
        <v>756</v>
      </c>
    </row>
  </sheetData>
  <conditionalFormatting sqref="A25:AJ25">
    <cfRule type="expression" dxfId="7" priority="1" stopIfTrue="1">
      <formula>$A25&lt;$A26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47B2-7444-B245-A004-A349BFD42DF6}">
  <dimension ref="A1:C72"/>
  <sheetViews>
    <sheetView workbookViewId="0">
      <selection activeCell="A7" sqref="A7"/>
    </sheetView>
  </sheetViews>
  <sheetFormatPr baseColWidth="10" defaultRowHeight="16" x14ac:dyDescent="0.2"/>
  <cols>
    <col min="1" max="1" width="57.6640625" customWidth="1"/>
    <col min="3" max="3" width="18.83203125" customWidth="1"/>
  </cols>
  <sheetData>
    <row r="1" spans="1:3" ht="17" x14ac:dyDescent="0.2">
      <c r="A1" s="30" t="s">
        <v>356</v>
      </c>
      <c r="C1" s="33" t="s">
        <v>638</v>
      </c>
    </row>
    <row r="2" spans="1:3" ht="17" x14ac:dyDescent="0.2">
      <c r="A2" s="31" t="s">
        <v>357</v>
      </c>
      <c r="C2" s="33" t="s">
        <v>525</v>
      </c>
    </row>
    <row r="3" spans="1:3" ht="17" x14ac:dyDescent="0.2">
      <c r="A3" s="31" t="s">
        <v>358</v>
      </c>
      <c r="C3" s="33" t="s">
        <v>526</v>
      </c>
    </row>
    <row r="4" spans="1:3" ht="17" x14ac:dyDescent="0.2">
      <c r="A4" s="31" t="s">
        <v>256</v>
      </c>
      <c r="C4" s="33" t="s">
        <v>536</v>
      </c>
    </row>
    <row r="5" spans="1:3" x14ac:dyDescent="0.2">
      <c r="A5" s="32" t="s">
        <v>245</v>
      </c>
    </row>
    <row r="6" spans="1:3" x14ac:dyDescent="0.2">
      <c r="A6" s="31" t="s">
        <v>370</v>
      </c>
    </row>
    <row r="7" spans="1:3" x14ac:dyDescent="0.2">
      <c r="A7" s="30" t="s">
        <v>397</v>
      </c>
    </row>
    <row r="8" spans="1:3" x14ac:dyDescent="0.2">
      <c r="A8" s="31" t="s">
        <v>396</v>
      </c>
    </row>
    <row r="9" spans="1:3" x14ac:dyDescent="0.2">
      <c r="A9" s="31" t="s">
        <v>403</v>
      </c>
    </row>
    <row r="10" spans="1:3" x14ac:dyDescent="0.2">
      <c r="A10" s="31" t="s">
        <v>394</v>
      </c>
    </row>
    <row r="11" spans="1:3" x14ac:dyDescent="0.2">
      <c r="A11" s="31" t="s">
        <v>395</v>
      </c>
    </row>
    <row r="12" spans="1:3" x14ac:dyDescent="0.2">
      <c r="A12" s="31" t="s">
        <v>459</v>
      </c>
    </row>
    <row r="13" spans="1:3" x14ac:dyDescent="0.2">
      <c r="A13" s="31" t="s">
        <v>649</v>
      </c>
    </row>
    <row r="14" spans="1:3" x14ac:dyDescent="0.2">
      <c r="A14" s="31" t="s">
        <v>460</v>
      </c>
    </row>
    <row r="15" spans="1:3" x14ac:dyDescent="0.2">
      <c r="A15" s="31" t="s">
        <v>461</v>
      </c>
    </row>
    <row r="16" spans="1:3" x14ac:dyDescent="0.2">
      <c r="A16" s="31" t="s">
        <v>650</v>
      </c>
    </row>
    <row r="17" spans="1:1" x14ac:dyDescent="0.2">
      <c r="A17" s="31" t="s">
        <v>457</v>
      </c>
    </row>
    <row r="18" spans="1:1" x14ac:dyDescent="0.2">
      <c r="A18" s="31" t="s">
        <v>458</v>
      </c>
    </row>
    <row r="19" spans="1:1" x14ac:dyDescent="0.2">
      <c r="A19" s="31" t="s">
        <v>462</v>
      </c>
    </row>
    <row r="20" spans="1:1" x14ac:dyDescent="0.2">
      <c r="A20" s="31" t="s">
        <v>463</v>
      </c>
    </row>
    <row r="21" spans="1:1" x14ac:dyDescent="0.2">
      <c r="A21" s="31" t="s">
        <v>464</v>
      </c>
    </row>
    <row r="22" spans="1:1" x14ac:dyDescent="0.2">
      <c r="A22" s="31" t="s">
        <v>465</v>
      </c>
    </row>
    <row r="23" spans="1:1" x14ac:dyDescent="0.2">
      <c r="A23" s="31" t="s">
        <v>466</v>
      </c>
    </row>
    <row r="24" spans="1:1" x14ac:dyDescent="0.2">
      <c r="A24" s="31" t="s">
        <v>466</v>
      </c>
    </row>
    <row r="25" spans="1:1" x14ac:dyDescent="0.2">
      <c r="A25" s="31" t="s">
        <v>467</v>
      </c>
    </row>
    <row r="26" spans="1:1" x14ac:dyDescent="0.2">
      <c r="A26" s="31" t="s">
        <v>468</v>
      </c>
    </row>
    <row r="27" spans="1:1" x14ac:dyDescent="0.2">
      <c r="A27" s="31" t="s">
        <v>469</v>
      </c>
    </row>
    <row r="28" spans="1:1" x14ac:dyDescent="0.2">
      <c r="A28" s="31" t="s">
        <v>470</v>
      </c>
    </row>
    <row r="29" spans="1:1" x14ac:dyDescent="0.2">
      <c r="A29" s="31" t="s">
        <v>471</v>
      </c>
    </row>
    <row r="30" spans="1:1" x14ac:dyDescent="0.2">
      <c r="A30" s="31" t="s">
        <v>473</v>
      </c>
    </row>
    <row r="31" spans="1:1" x14ac:dyDescent="0.2">
      <c r="A31" s="31" t="s">
        <v>472</v>
      </c>
    </row>
    <row r="32" spans="1:1" x14ac:dyDescent="0.2">
      <c r="A32" s="31" t="s">
        <v>474</v>
      </c>
    </row>
    <row r="33" spans="1:1" x14ac:dyDescent="0.2">
      <c r="A33" s="31" t="s">
        <v>475</v>
      </c>
    </row>
    <row r="34" spans="1:1" x14ac:dyDescent="0.2">
      <c r="A34" s="31" t="s">
        <v>476</v>
      </c>
    </row>
    <row r="35" spans="1:1" x14ac:dyDescent="0.2">
      <c r="A35" s="31" t="s">
        <v>477</v>
      </c>
    </row>
    <row r="36" spans="1:1" x14ac:dyDescent="0.2">
      <c r="A36" s="31" t="s">
        <v>478</v>
      </c>
    </row>
    <row r="37" spans="1:1" x14ac:dyDescent="0.2">
      <c r="A37" s="31" t="s">
        <v>479</v>
      </c>
    </row>
    <row r="38" spans="1:1" x14ac:dyDescent="0.2">
      <c r="A38" s="31" t="s">
        <v>480</v>
      </c>
    </row>
    <row r="39" spans="1:1" x14ac:dyDescent="0.2">
      <c r="A39" s="31" t="s">
        <v>481</v>
      </c>
    </row>
    <row r="40" spans="1:1" x14ac:dyDescent="0.2">
      <c r="A40" s="31" t="s">
        <v>482</v>
      </c>
    </row>
    <row r="41" spans="1:1" x14ac:dyDescent="0.2">
      <c r="A41" s="31" t="s">
        <v>483</v>
      </c>
    </row>
    <row r="42" spans="1:1" x14ac:dyDescent="0.2">
      <c r="A42" s="31" t="s">
        <v>484</v>
      </c>
    </row>
    <row r="43" spans="1:1" x14ac:dyDescent="0.2">
      <c r="A43" s="31" t="s">
        <v>485</v>
      </c>
    </row>
    <row r="44" spans="1:1" x14ac:dyDescent="0.2">
      <c r="A44" s="31" t="s">
        <v>486</v>
      </c>
    </row>
    <row r="45" spans="1:1" x14ac:dyDescent="0.2">
      <c r="A45" s="31" t="s">
        <v>487</v>
      </c>
    </row>
    <row r="46" spans="1:1" x14ac:dyDescent="0.2">
      <c r="A46" s="31" t="s">
        <v>488</v>
      </c>
    </row>
    <row r="47" spans="1:1" x14ac:dyDescent="0.2">
      <c r="A47" s="31" t="s">
        <v>489</v>
      </c>
    </row>
    <row r="48" spans="1:1" x14ac:dyDescent="0.2">
      <c r="A48" s="31" t="s">
        <v>490</v>
      </c>
    </row>
    <row r="49" spans="1:1" x14ac:dyDescent="0.2">
      <c r="A49" s="31" t="s">
        <v>491</v>
      </c>
    </row>
    <row r="50" spans="1:1" x14ac:dyDescent="0.2">
      <c r="A50" s="31" t="s">
        <v>492</v>
      </c>
    </row>
    <row r="51" spans="1:1" x14ac:dyDescent="0.2">
      <c r="A51" s="31" t="s">
        <v>493</v>
      </c>
    </row>
    <row r="52" spans="1:1" x14ac:dyDescent="0.2">
      <c r="A52" s="31" t="s">
        <v>494</v>
      </c>
    </row>
    <row r="53" spans="1:1" x14ac:dyDescent="0.2">
      <c r="A53" s="31" t="s">
        <v>495</v>
      </c>
    </row>
    <row r="54" spans="1:1" x14ac:dyDescent="0.2">
      <c r="A54" s="31" t="s">
        <v>497</v>
      </c>
    </row>
    <row r="55" spans="1:1" x14ac:dyDescent="0.2">
      <c r="A55" s="31" t="s">
        <v>496</v>
      </c>
    </row>
    <row r="56" spans="1:1" x14ac:dyDescent="0.2">
      <c r="A56" s="31" t="s">
        <v>498</v>
      </c>
    </row>
    <row r="57" spans="1:1" x14ac:dyDescent="0.2">
      <c r="A57" s="31" t="s">
        <v>499</v>
      </c>
    </row>
    <row r="58" spans="1:1" x14ac:dyDescent="0.2">
      <c r="A58" s="31" t="s">
        <v>500</v>
      </c>
    </row>
    <row r="59" spans="1:1" x14ac:dyDescent="0.2">
      <c r="A59" s="31" t="s">
        <v>501</v>
      </c>
    </row>
    <row r="60" spans="1:1" x14ac:dyDescent="0.2">
      <c r="A60" s="31" t="s">
        <v>502</v>
      </c>
    </row>
    <row r="61" spans="1:1" x14ac:dyDescent="0.2">
      <c r="A61" s="31" t="s">
        <v>503</v>
      </c>
    </row>
    <row r="62" spans="1:1" x14ac:dyDescent="0.2">
      <c r="A62" s="31" t="s">
        <v>504</v>
      </c>
    </row>
    <row r="63" spans="1:1" x14ac:dyDescent="0.2">
      <c r="A63" s="31" t="s">
        <v>505</v>
      </c>
    </row>
    <row r="64" spans="1:1" x14ac:dyDescent="0.2">
      <c r="A64" s="31" t="s">
        <v>506</v>
      </c>
    </row>
    <row r="65" spans="1:1" x14ac:dyDescent="0.2">
      <c r="A65" s="31" t="s">
        <v>507</v>
      </c>
    </row>
    <row r="66" spans="1:1" x14ac:dyDescent="0.2">
      <c r="A66" s="31" t="s">
        <v>508</v>
      </c>
    </row>
    <row r="67" spans="1:1" x14ac:dyDescent="0.2">
      <c r="A67" s="31" t="s">
        <v>509</v>
      </c>
    </row>
    <row r="68" spans="1:1" x14ac:dyDescent="0.2">
      <c r="A68" s="31" t="s">
        <v>510</v>
      </c>
    </row>
    <row r="69" spans="1:1" x14ac:dyDescent="0.2">
      <c r="A69" s="31" t="s">
        <v>511</v>
      </c>
    </row>
    <row r="70" spans="1:1" x14ac:dyDescent="0.2">
      <c r="A70" s="31" t="s">
        <v>513</v>
      </c>
    </row>
    <row r="71" spans="1:1" x14ac:dyDescent="0.2">
      <c r="A71" s="31" t="s">
        <v>512</v>
      </c>
    </row>
    <row r="72" spans="1:1" x14ac:dyDescent="0.2">
      <c r="A72" s="31" t="s">
        <v>514</v>
      </c>
    </row>
  </sheetData>
  <conditionalFormatting sqref="A1:A72">
    <cfRule type="expression" dxfId="6" priority="2" stopIfTrue="1">
      <formula>$A1&lt;$A2</formula>
    </cfRule>
  </conditionalFormatting>
  <conditionalFormatting sqref="C1:C4">
    <cfRule type="expression" dxfId="5" priority="1" stopIfTrue="1">
      <formula>$A1&lt;$A2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BU147"/>
  <sheetViews>
    <sheetView topLeftCell="E1" workbookViewId="0">
      <pane ySplit="1" topLeftCell="A9" activePane="bottomLeft" state="frozen"/>
      <selection pane="bottomLeft" activeCell="P48" sqref="P48"/>
    </sheetView>
  </sheetViews>
  <sheetFormatPr baseColWidth="10" defaultRowHeight="16" x14ac:dyDescent="0.2"/>
  <cols>
    <col min="1" max="1" width="20.6640625" style="26" bestFit="1" customWidth="1"/>
    <col min="2" max="4" width="20" customWidth="1"/>
    <col min="5" max="5" width="35.1640625" bestFit="1" customWidth="1"/>
    <col min="6" max="7" width="12" customWidth="1"/>
    <col min="8" max="8" width="35.1640625" customWidth="1"/>
    <col min="9" max="9" width="3.5" customWidth="1"/>
    <col min="10" max="10" width="21" style="26" bestFit="1" customWidth="1"/>
    <col min="11" max="17" width="26.6640625" customWidth="1"/>
    <col min="18" max="18" width="4" customWidth="1"/>
    <col min="19" max="19" width="32.83203125" style="26" bestFit="1" customWidth="1"/>
    <col min="21" max="22" width="24" customWidth="1"/>
    <col min="23" max="26" width="21" customWidth="1"/>
    <col min="27" max="27" width="4.5" customWidth="1"/>
    <col min="28" max="28" width="36.6640625" style="26" bestFit="1" customWidth="1"/>
    <col min="36" max="36" width="4" customWidth="1"/>
    <col min="37" max="37" width="39" style="26" bestFit="1" customWidth="1"/>
    <col min="45" max="45" width="4.5" customWidth="1"/>
    <col min="46" max="46" width="9.83203125" style="26" bestFit="1" customWidth="1"/>
    <col min="52" max="52" width="10.83203125" style="26"/>
    <col min="58" max="58" width="20.1640625" style="26" bestFit="1" customWidth="1"/>
    <col min="65" max="65" width="17.1640625" style="26" bestFit="1" customWidth="1"/>
    <col min="70" max="70" width="33.33203125" style="26" bestFit="1" customWidth="1"/>
  </cols>
  <sheetData>
    <row r="1" spans="1:73" s="24" customFormat="1" x14ac:dyDescent="0.2">
      <c r="A1" s="25" t="s">
        <v>1</v>
      </c>
      <c r="B1" s="24" t="s">
        <v>697</v>
      </c>
      <c r="C1" s="24" t="s">
        <v>698</v>
      </c>
      <c r="D1" s="24" t="s">
        <v>700</v>
      </c>
      <c r="E1" s="24" t="s">
        <v>699</v>
      </c>
      <c r="F1" s="24" t="s">
        <v>706</v>
      </c>
      <c r="G1" s="24" t="s">
        <v>707</v>
      </c>
      <c r="J1" s="25" t="s">
        <v>50</v>
      </c>
      <c r="K1" s="24" t="s">
        <v>697</v>
      </c>
      <c r="L1" s="24" t="s">
        <v>698</v>
      </c>
      <c r="M1" s="24" t="s">
        <v>700</v>
      </c>
      <c r="N1" s="24" t="s">
        <v>699</v>
      </c>
      <c r="O1" s="24" t="s">
        <v>706</v>
      </c>
      <c r="P1" s="24" t="s">
        <v>707</v>
      </c>
      <c r="S1" s="25" t="s">
        <v>142</v>
      </c>
      <c r="T1" s="24" t="s">
        <v>697</v>
      </c>
      <c r="U1" s="24" t="s">
        <v>698</v>
      </c>
      <c r="V1" s="24" t="s">
        <v>700</v>
      </c>
      <c r="W1" s="24" t="s">
        <v>699</v>
      </c>
      <c r="X1" s="24" t="s">
        <v>706</v>
      </c>
      <c r="Y1" s="24" t="s">
        <v>707</v>
      </c>
      <c r="AC1" s="24" t="s">
        <v>697</v>
      </c>
      <c r="AD1" s="24" t="s">
        <v>698</v>
      </c>
      <c r="AE1" s="24" t="s">
        <v>700</v>
      </c>
      <c r="AF1" s="24" t="s">
        <v>699</v>
      </c>
      <c r="AG1" s="24" t="s">
        <v>706</v>
      </c>
      <c r="AH1" s="24" t="s">
        <v>707</v>
      </c>
      <c r="AL1" s="24" t="s">
        <v>697</v>
      </c>
      <c r="AM1" s="24" t="s">
        <v>698</v>
      </c>
      <c r="AN1" s="24" t="s">
        <v>700</v>
      </c>
      <c r="AO1" s="24" t="s">
        <v>699</v>
      </c>
      <c r="AP1" s="24" t="s">
        <v>699</v>
      </c>
      <c r="AQ1" s="24" t="s">
        <v>706</v>
      </c>
      <c r="AR1" s="24" t="s">
        <v>707</v>
      </c>
      <c r="AT1" s="25" t="s">
        <v>525</v>
      </c>
      <c r="AU1" s="24" t="s">
        <v>697</v>
      </c>
      <c r="AV1" s="24" t="s">
        <v>698</v>
      </c>
      <c r="AW1" s="24" t="s">
        <v>700</v>
      </c>
      <c r="AX1" s="24" t="s">
        <v>699</v>
      </c>
      <c r="AZ1" s="25" t="s">
        <v>526</v>
      </c>
      <c r="BA1" s="24" t="s">
        <v>697</v>
      </c>
      <c r="BB1" s="24" t="s">
        <v>698</v>
      </c>
      <c r="BC1" s="24" t="s">
        <v>700</v>
      </c>
      <c r="BD1" s="24" t="s">
        <v>699</v>
      </c>
      <c r="BF1" s="25" t="s">
        <v>597</v>
      </c>
      <c r="BG1" s="24" t="s">
        <v>697</v>
      </c>
      <c r="BH1" s="24" t="s">
        <v>698</v>
      </c>
      <c r="BI1" s="24" t="s">
        <v>700</v>
      </c>
      <c r="BJ1" s="24" t="s">
        <v>699</v>
      </c>
      <c r="BM1" s="25" t="s">
        <v>343</v>
      </c>
      <c r="BN1" s="24" t="s">
        <v>697</v>
      </c>
      <c r="BO1" s="24" t="s">
        <v>698</v>
      </c>
      <c r="BP1" s="24" t="s">
        <v>699</v>
      </c>
      <c r="BR1" s="25" t="s">
        <v>344</v>
      </c>
      <c r="BS1" s="24" t="s">
        <v>697</v>
      </c>
      <c r="BT1" s="24" t="s">
        <v>698</v>
      </c>
      <c r="BU1" s="24" t="s">
        <v>699</v>
      </c>
    </row>
    <row r="2" spans="1:73" x14ac:dyDescent="0.2">
      <c r="A2" s="26" t="s">
        <v>5</v>
      </c>
      <c r="J2" s="26" t="s">
        <v>5</v>
      </c>
      <c r="S2" s="26" t="s">
        <v>171</v>
      </c>
      <c r="AB2" s="25" t="s">
        <v>516</v>
      </c>
      <c r="AH2" t="s">
        <v>722</v>
      </c>
      <c r="AK2" s="25" t="s">
        <v>517</v>
      </c>
      <c r="AR2" t="s">
        <v>722</v>
      </c>
      <c r="AT2" s="26" t="s">
        <v>531</v>
      </c>
      <c r="AZ2" s="26" t="s">
        <v>528</v>
      </c>
      <c r="BF2" s="26" t="s">
        <v>639</v>
      </c>
      <c r="BM2" s="26" t="s">
        <v>284</v>
      </c>
      <c r="BR2" s="26" t="s">
        <v>251</v>
      </c>
    </row>
    <row r="3" spans="1:73" x14ac:dyDescent="0.2">
      <c r="A3" s="26" t="s">
        <v>6</v>
      </c>
      <c r="E3" t="s">
        <v>15</v>
      </c>
      <c r="J3" s="26" t="s">
        <v>17</v>
      </c>
      <c r="S3" s="26" t="s">
        <v>176</v>
      </c>
      <c r="X3" t="s">
        <v>595</v>
      </c>
      <c r="AB3" s="26" t="s">
        <v>568</v>
      </c>
      <c r="AK3" s="26" t="s">
        <v>601</v>
      </c>
      <c r="AT3" s="26" t="s">
        <v>532</v>
      </c>
      <c r="AZ3" s="26" t="s">
        <v>527</v>
      </c>
      <c r="BF3" s="26" t="s">
        <v>640</v>
      </c>
      <c r="BM3" s="26" t="s">
        <v>286</v>
      </c>
      <c r="BR3" s="26" t="s">
        <v>291</v>
      </c>
    </row>
    <row r="4" spans="1:73" x14ac:dyDescent="0.2">
      <c r="A4" s="26" t="s">
        <v>7</v>
      </c>
      <c r="J4" s="26" t="s">
        <v>18</v>
      </c>
      <c r="S4" s="26" t="s">
        <v>186</v>
      </c>
      <c r="X4" t="s">
        <v>594</v>
      </c>
      <c r="AB4" s="26" t="s">
        <v>608</v>
      </c>
      <c r="AK4" s="26" t="s">
        <v>631</v>
      </c>
      <c r="AT4" s="26" t="s">
        <v>533</v>
      </c>
      <c r="AZ4" s="26" t="s">
        <v>154</v>
      </c>
      <c r="BF4" s="26" t="s">
        <v>641</v>
      </c>
      <c r="BM4" s="26" t="s">
        <v>287</v>
      </c>
      <c r="BR4" s="26" t="s">
        <v>292</v>
      </c>
    </row>
    <row r="5" spans="1:73" x14ac:dyDescent="0.2">
      <c r="A5" s="26" t="s">
        <v>8</v>
      </c>
      <c r="E5" t="s">
        <v>6</v>
      </c>
      <c r="J5" s="26" t="s">
        <v>19</v>
      </c>
      <c r="S5" s="26" t="s">
        <v>195</v>
      </c>
      <c r="X5" t="s">
        <v>595</v>
      </c>
      <c r="AB5" s="26" t="s">
        <v>653</v>
      </c>
      <c r="AK5" s="26" t="s">
        <v>662</v>
      </c>
      <c r="AT5" s="26" t="s">
        <v>530</v>
      </c>
      <c r="AZ5" s="26" t="s">
        <v>598</v>
      </c>
      <c r="BF5" s="26" t="s">
        <v>642</v>
      </c>
      <c r="BM5" s="26" t="s">
        <v>288</v>
      </c>
      <c r="BR5" s="26" t="s">
        <v>293</v>
      </c>
    </row>
    <row r="6" spans="1:73" x14ac:dyDescent="0.2">
      <c r="A6" s="26" t="s">
        <v>9</v>
      </c>
      <c r="E6" t="s">
        <v>705</v>
      </c>
      <c r="J6" s="27" t="s">
        <v>20</v>
      </c>
      <c r="S6" s="26" t="s">
        <v>200</v>
      </c>
      <c r="X6" t="s">
        <v>595</v>
      </c>
      <c r="AB6" s="26" t="s">
        <v>663</v>
      </c>
      <c r="AK6" s="26" t="s">
        <v>609</v>
      </c>
      <c r="AZ6" s="26" t="s">
        <v>574</v>
      </c>
      <c r="BF6" s="26" t="s">
        <v>643</v>
      </c>
      <c r="BM6" s="26" t="s">
        <v>289</v>
      </c>
      <c r="BR6" s="26" t="s">
        <v>294</v>
      </c>
    </row>
    <row r="7" spans="1:73" x14ac:dyDescent="0.2">
      <c r="A7" s="26" t="s">
        <v>238</v>
      </c>
      <c r="E7" t="s">
        <v>701</v>
      </c>
      <c r="J7" s="26" t="s">
        <v>21</v>
      </c>
      <c r="S7" s="26" t="s">
        <v>202</v>
      </c>
      <c r="X7" t="s">
        <v>594</v>
      </c>
      <c r="AB7" s="26" t="s">
        <v>664</v>
      </c>
      <c r="AK7" s="26" t="s">
        <v>665</v>
      </c>
      <c r="AZ7" s="26" t="s">
        <v>575</v>
      </c>
      <c r="BF7" s="26" t="s">
        <v>644</v>
      </c>
      <c r="BM7" s="26" t="s">
        <v>290</v>
      </c>
      <c r="BR7" s="26" t="s">
        <v>295</v>
      </c>
    </row>
    <row r="8" spans="1:73" x14ac:dyDescent="0.2">
      <c r="A8" s="26" t="s">
        <v>10</v>
      </c>
      <c r="J8" s="26" t="s">
        <v>22</v>
      </c>
      <c r="S8" s="26" t="s">
        <v>203</v>
      </c>
      <c r="X8" t="s">
        <v>595</v>
      </c>
      <c r="AB8" s="26" t="s">
        <v>630</v>
      </c>
      <c r="AK8" s="26" t="s">
        <v>634</v>
      </c>
      <c r="AZ8" s="26" t="s">
        <v>577</v>
      </c>
      <c r="BF8" s="26" t="s">
        <v>645</v>
      </c>
      <c r="BM8" s="26" t="s">
        <v>393</v>
      </c>
      <c r="BR8" s="26" t="s">
        <v>296</v>
      </c>
    </row>
    <row r="9" spans="1:73" x14ac:dyDescent="0.2">
      <c r="A9" s="26" t="s">
        <v>237</v>
      </c>
      <c r="J9" s="26" t="s">
        <v>23</v>
      </c>
      <c r="AB9" s="26" t="s">
        <v>633</v>
      </c>
      <c r="AK9" s="26" t="s">
        <v>637</v>
      </c>
      <c r="AZ9" s="26" t="s">
        <v>578</v>
      </c>
      <c r="BF9" s="26" t="s">
        <v>646</v>
      </c>
      <c r="BM9" s="26" t="s">
        <v>519</v>
      </c>
      <c r="BR9" s="26" t="s">
        <v>285</v>
      </c>
    </row>
    <row r="10" spans="1:73" x14ac:dyDescent="0.2">
      <c r="A10" s="26" t="s">
        <v>11</v>
      </c>
      <c r="E10" t="s">
        <v>702</v>
      </c>
      <c r="J10" s="26" t="s">
        <v>24</v>
      </c>
      <c r="S10" s="26" t="s">
        <v>177</v>
      </c>
      <c r="AB10" s="26" t="s">
        <v>627</v>
      </c>
      <c r="AK10" s="26" t="s">
        <v>625</v>
      </c>
      <c r="AZ10" s="26" t="s">
        <v>599</v>
      </c>
      <c r="BM10" s="26" t="s">
        <v>287</v>
      </c>
      <c r="BR10" s="26" t="s">
        <v>297</v>
      </c>
    </row>
    <row r="11" spans="1:73" x14ac:dyDescent="0.2">
      <c r="A11" s="26" t="s">
        <v>12</v>
      </c>
      <c r="J11" s="28" t="s">
        <v>25</v>
      </c>
      <c r="S11" s="26" t="s">
        <v>187</v>
      </c>
      <c r="AB11" s="26" t="s">
        <v>622</v>
      </c>
      <c r="AK11" s="26" t="s">
        <v>666</v>
      </c>
      <c r="BR11" s="26" t="s">
        <v>298</v>
      </c>
    </row>
    <row r="12" spans="1:73" x14ac:dyDescent="0.2">
      <c r="A12" s="26" t="s">
        <v>13</v>
      </c>
      <c r="J12" s="26" t="s">
        <v>26</v>
      </c>
      <c r="S12" s="26" t="s">
        <v>196</v>
      </c>
      <c r="AB12" s="26" t="s">
        <v>667</v>
      </c>
      <c r="AK12" s="26" t="s">
        <v>626</v>
      </c>
      <c r="BR12" s="26" t="s">
        <v>299</v>
      </c>
    </row>
    <row r="13" spans="1:73" x14ac:dyDescent="0.2">
      <c r="A13" s="26" t="s">
        <v>14</v>
      </c>
      <c r="J13" s="26" t="s">
        <v>27</v>
      </c>
      <c r="S13" s="26" t="s">
        <v>402</v>
      </c>
      <c r="AB13" s="26" t="s">
        <v>668</v>
      </c>
      <c r="AK13" s="26" t="s">
        <v>669</v>
      </c>
      <c r="BR13" s="26" t="s">
        <v>300</v>
      </c>
    </row>
    <row r="14" spans="1:73" x14ac:dyDescent="0.2">
      <c r="A14" s="26" t="s">
        <v>15</v>
      </c>
      <c r="E14" t="s">
        <v>703</v>
      </c>
      <c r="J14" s="26" t="s">
        <v>28</v>
      </c>
      <c r="AB14" s="26" t="s">
        <v>624</v>
      </c>
      <c r="AK14" s="26" t="s">
        <v>670</v>
      </c>
      <c r="BR14" s="26" t="s">
        <v>301</v>
      </c>
    </row>
    <row r="15" spans="1:73" x14ac:dyDescent="0.2">
      <c r="A15" s="26" t="s">
        <v>16</v>
      </c>
      <c r="J15" s="26" t="s">
        <v>29</v>
      </c>
      <c r="S15" s="26" t="s">
        <v>179</v>
      </c>
      <c r="AB15" s="26" t="s">
        <v>671</v>
      </c>
      <c r="AK15" s="26" t="s">
        <v>672</v>
      </c>
      <c r="BR15" s="26" t="s">
        <v>302</v>
      </c>
    </row>
    <row r="16" spans="1:73" x14ac:dyDescent="0.2">
      <c r="A16" s="26" t="s">
        <v>231</v>
      </c>
      <c r="E16" t="s">
        <v>704</v>
      </c>
      <c r="J16" s="26" t="s">
        <v>30</v>
      </c>
      <c r="S16" s="26" t="s">
        <v>189</v>
      </c>
      <c r="AB16" s="26" t="s">
        <v>629</v>
      </c>
      <c r="AK16" s="26" t="s">
        <v>647</v>
      </c>
      <c r="BR16" s="26" t="s">
        <v>303</v>
      </c>
    </row>
    <row r="17" spans="1:70" x14ac:dyDescent="0.2">
      <c r="A17" s="26" t="s">
        <v>241</v>
      </c>
      <c r="J17" s="26" t="s">
        <v>31</v>
      </c>
      <c r="S17" s="26" t="s">
        <v>384</v>
      </c>
      <c r="AB17" s="26" t="s">
        <v>570</v>
      </c>
      <c r="AK17" s="26" t="s">
        <v>602</v>
      </c>
      <c r="BR17" s="26" t="s">
        <v>304</v>
      </c>
    </row>
    <row r="18" spans="1:70" x14ac:dyDescent="0.2">
      <c r="A18" s="26" t="s">
        <v>230</v>
      </c>
      <c r="J18" s="26" t="s">
        <v>32</v>
      </c>
      <c r="AB18" s="26" t="s">
        <v>673</v>
      </c>
      <c r="AK18" s="26" t="s">
        <v>606</v>
      </c>
      <c r="BR18" s="26" t="s">
        <v>305</v>
      </c>
    </row>
    <row r="19" spans="1:70" x14ac:dyDescent="0.2">
      <c r="A19" s="26" t="s">
        <v>392</v>
      </c>
      <c r="J19" s="26" t="s">
        <v>33</v>
      </c>
      <c r="S19" s="26" t="s">
        <v>65</v>
      </c>
      <c r="X19" t="s">
        <v>720</v>
      </c>
      <c r="AB19" s="26" t="s">
        <v>674</v>
      </c>
      <c r="AK19" s="26" t="s">
        <v>605</v>
      </c>
      <c r="BR19" s="26" t="s">
        <v>306</v>
      </c>
    </row>
    <row r="20" spans="1:70" x14ac:dyDescent="0.2">
      <c r="A20" s="26" t="s">
        <v>393</v>
      </c>
      <c r="J20" s="26" t="s">
        <v>34</v>
      </c>
      <c r="S20" s="26" t="s">
        <v>66</v>
      </c>
      <c r="X20" t="s">
        <v>720</v>
      </c>
      <c r="AB20" s="26" t="s">
        <v>675</v>
      </c>
      <c r="AK20" s="26" t="s">
        <v>651</v>
      </c>
      <c r="BR20" s="26" t="s">
        <v>307</v>
      </c>
    </row>
    <row r="21" spans="1:70" x14ac:dyDescent="0.2">
      <c r="A21" s="26" t="s">
        <v>398</v>
      </c>
      <c r="J21" s="26" t="s">
        <v>35</v>
      </c>
      <c r="S21" s="26" t="s">
        <v>67</v>
      </c>
      <c r="X21" t="s">
        <v>720</v>
      </c>
      <c r="AB21" s="26" t="s">
        <v>676</v>
      </c>
      <c r="AK21" s="26" t="s">
        <v>572</v>
      </c>
      <c r="BR21" s="26" t="s">
        <v>308</v>
      </c>
    </row>
    <row r="22" spans="1:70" x14ac:dyDescent="0.2">
      <c r="A22" s="26" t="s">
        <v>287</v>
      </c>
      <c r="J22" s="26" t="s">
        <v>656</v>
      </c>
      <c r="S22" s="26" t="s">
        <v>68</v>
      </c>
      <c r="X22" t="s">
        <v>720</v>
      </c>
      <c r="AB22" s="26" t="s">
        <v>677</v>
      </c>
      <c r="AK22" s="26" t="s">
        <v>628</v>
      </c>
      <c r="BR22" s="26" t="s">
        <v>309</v>
      </c>
    </row>
    <row r="23" spans="1:70" x14ac:dyDescent="0.2">
      <c r="A23" s="26" t="s">
        <v>400</v>
      </c>
      <c r="J23" s="26" t="s">
        <v>657</v>
      </c>
      <c r="S23" s="26" t="s">
        <v>69</v>
      </c>
      <c r="X23" t="s">
        <v>720</v>
      </c>
      <c r="AB23" s="26" t="s">
        <v>678</v>
      </c>
      <c r="AK23" s="26" t="s">
        <v>679</v>
      </c>
      <c r="BR23" s="26" t="s">
        <v>310</v>
      </c>
    </row>
    <row r="24" spans="1:70" x14ac:dyDescent="0.2">
      <c r="A24" s="26" t="s">
        <v>417</v>
      </c>
      <c r="J24" s="26" t="s">
        <v>658</v>
      </c>
      <c r="S24" s="26" t="s">
        <v>371</v>
      </c>
      <c r="X24" t="s">
        <v>720</v>
      </c>
      <c r="AB24" s="26" t="s">
        <v>636</v>
      </c>
      <c r="AK24" s="26" t="s">
        <v>680</v>
      </c>
      <c r="BR24" s="26" t="s">
        <v>311</v>
      </c>
    </row>
    <row r="25" spans="1:70" x14ac:dyDescent="0.2">
      <c r="A25" s="26" t="s">
        <v>529</v>
      </c>
      <c r="J25" s="26" t="s">
        <v>10</v>
      </c>
      <c r="S25" s="26" t="s">
        <v>372</v>
      </c>
      <c r="X25" t="s">
        <v>720</v>
      </c>
      <c r="AB25" s="26" t="s">
        <v>648</v>
      </c>
      <c r="AK25" s="26" t="s">
        <v>681</v>
      </c>
      <c r="BR25" s="26" t="s">
        <v>312</v>
      </c>
    </row>
    <row r="26" spans="1:70" x14ac:dyDescent="0.2">
      <c r="J26" s="26" t="s">
        <v>36</v>
      </c>
      <c r="S26" s="26" t="s">
        <v>381</v>
      </c>
      <c r="X26" t="s">
        <v>720</v>
      </c>
      <c r="AB26" s="26" t="s">
        <v>654</v>
      </c>
      <c r="AK26" s="26" t="s">
        <v>682</v>
      </c>
      <c r="BR26" s="26" t="s">
        <v>313</v>
      </c>
    </row>
    <row r="27" spans="1:70" x14ac:dyDescent="0.2">
      <c r="J27" s="26" t="s">
        <v>37</v>
      </c>
      <c r="S27" s="26" t="s">
        <v>385</v>
      </c>
      <c r="X27" t="s">
        <v>720</v>
      </c>
      <c r="AB27" s="26" t="s">
        <v>619</v>
      </c>
      <c r="AK27" s="26" t="s">
        <v>683</v>
      </c>
      <c r="BR27" s="26" t="s">
        <v>314</v>
      </c>
    </row>
    <row r="28" spans="1:70" x14ac:dyDescent="0.2">
      <c r="J28" s="26" t="s">
        <v>38</v>
      </c>
      <c r="S28" s="26" t="s">
        <v>444</v>
      </c>
      <c r="X28" t="s">
        <v>720</v>
      </c>
      <c r="AB28" s="26" t="s">
        <v>684</v>
      </c>
      <c r="AK28" s="26" t="s">
        <v>635</v>
      </c>
      <c r="BR28" s="26" t="s">
        <v>315</v>
      </c>
    </row>
    <row r="29" spans="1:70" x14ac:dyDescent="0.2">
      <c r="J29" s="26" t="s">
        <v>39</v>
      </c>
      <c r="S29" s="26" t="s">
        <v>445</v>
      </c>
      <c r="X29" t="s">
        <v>720</v>
      </c>
      <c r="AB29" s="26" t="s">
        <v>569</v>
      </c>
      <c r="AK29" s="26" t="s">
        <v>685</v>
      </c>
      <c r="BR29" s="26" t="s">
        <v>316</v>
      </c>
    </row>
    <row r="30" spans="1:70" x14ac:dyDescent="0.2">
      <c r="J30" s="26" t="s">
        <v>40</v>
      </c>
      <c r="S30" s="28" t="s">
        <v>588</v>
      </c>
      <c r="X30" t="s">
        <v>720</v>
      </c>
      <c r="AB30" s="26" t="s">
        <v>603</v>
      </c>
      <c r="AK30" s="26" t="s">
        <v>686</v>
      </c>
      <c r="BR30" s="26" t="s">
        <v>317</v>
      </c>
    </row>
    <row r="31" spans="1:70" x14ac:dyDescent="0.2">
      <c r="J31" s="26" t="s">
        <v>41</v>
      </c>
      <c r="S31" s="28" t="s">
        <v>589</v>
      </c>
      <c r="X31" t="s">
        <v>720</v>
      </c>
      <c r="AB31" s="26" t="s">
        <v>687</v>
      </c>
      <c r="AK31" s="26" t="s">
        <v>688</v>
      </c>
      <c r="BR31" s="26" t="s">
        <v>318</v>
      </c>
    </row>
    <row r="32" spans="1:70" x14ac:dyDescent="0.2">
      <c r="J32" s="26" t="s">
        <v>42</v>
      </c>
      <c r="S32" s="28" t="s">
        <v>590</v>
      </c>
      <c r="X32" t="s">
        <v>720</v>
      </c>
      <c r="AB32" s="26" t="s">
        <v>571</v>
      </c>
      <c r="AK32" s="26" t="s">
        <v>623</v>
      </c>
      <c r="BR32" s="26" t="s">
        <v>319</v>
      </c>
    </row>
    <row r="33" spans="10:70" x14ac:dyDescent="0.2">
      <c r="J33" s="26" t="s">
        <v>43</v>
      </c>
      <c r="S33" s="28" t="s">
        <v>591</v>
      </c>
      <c r="X33" t="s">
        <v>720</v>
      </c>
      <c r="AB33" s="26" t="s">
        <v>655</v>
      </c>
      <c r="AK33" s="26" t="s">
        <v>689</v>
      </c>
      <c r="BR33" s="26" t="s">
        <v>320</v>
      </c>
    </row>
    <row r="34" spans="10:70" x14ac:dyDescent="0.2">
      <c r="J34" s="26" t="s">
        <v>44</v>
      </c>
      <c r="S34" s="28" t="s">
        <v>592</v>
      </c>
      <c r="X34" t="s">
        <v>720</v>
      </c>
      <c r="AB34" s="26" t="s">
        <v>569</v>
      </c>
      <c r="AK34" s="26" t="s">
        <v>632</v>
      </c>
      <c r="BR34" s="26" t="s">
        <v>321</v>
      </c>
    </row>
    <row r="35" spans="10:70" x14ac:dyDescent="0.2">
      <c r="J35" s="26" t="s">
        <v>45</v>
      </c>
      <c r="S35" s="28" t="s">
        <v>70</v>
      </c>
      <c r="X35" t="s">
        <v>720</v>
      </c>
      <c r="AB35" s="26" t="s">
        <v>690</v>
      </c>
      <c r="AK35" s="26" t="s">
        <v>691</v>
      </c>
      <c r="BR35" s="26" t="s">
        <v>322</v>
      </c>
    </row>
    <row r="36" spans="10:70" x14ac:dyDescent="0.2">
      <c r="J36" s="26" t="s">
        <v>46</v>
      </c>
      <c r="AB36" s="26" t="s">
        <v>604</v>
      </c>
      <c r="AK36" s="26" t="s">
        <v>692</v>
      </c>
      <c r="BR36" s="26" t="s">
        <v>323</v>
      </c>
    </row>
    <row r="37" spans="10:70" x14ac:dyDescent="0.2">
      <c r="J37" s="26" t="s">
        <v>47</v>
      </c>
      <c r="S37" s="26" t="s">
        <v>71</v>
      </c>
      <c r="AB37" s="26" t="s">
        <v>573</v>
      </c>
      <c r="AK37" s="26" t="s">
        <v>693</v>
      </c>
      <c r="BR37" s="26" t="s">
        <v>324</v>
      </c>
    </row>
    <row r="38" spans="10:70" x14ac:dyDescent="0.2">
      <c r="J38" s="26" t="s">
        <v>48</v>
      </c>
      <c r="S38" s="26" t="s">
        <v>72</v>
      </c>
      <c r="AB38" s="26" t="s">
        <v>600</v>
      </c>
      <c r="AK38" s="26" t="s">
        <v>610</v>
      </c>
      <c r="BR38" s="26" t="s">
        <v>325</v>
      </c>
    </row>
    <row r="39" spans="10:70" x14ac:dyDescent="0.2">
      <c r="J39" s="26" t="s">
        <v>49</v>
      </c>
      <c r="S39" s="26" t="s">
        <v>73</v>
      </c>
      <c r="AB39" s="26" t="s">
        <v>607</v>
      </c>
      <c r="AK39" s="26" t="s">
        <v>612</v>
      </c>
      <c r="BR39" s="26" t="s">
        <v>326</v>
      </c>
    </row>
    <row r="40" spans="10:70" x14ac:dyDescent="0.2">
      <c r="J40" s="26" t="s">
        <v>167</v>
      </c>
      <c r="S40" s="26" t="s">
        <v>74</v>
      </c>
      <c r="AB40" s="26" t="s">
        <v>694</v>
      </c>
      <c r="AK40" s="26" t="s">
        <v>613</v>
      </c>
      <c r="BR40" s="26" t="s">
        <v>327</v>
      </c>
    </row>
    <row r="41" spans="10:70" x14ac:dyDescent="0.2">
      <c r="J41" s="26" t="s">
        <v>168</v>
      </c>
      <c r="S41" s="26" t="s">
        <v>75</v>
      </c>
      <c r="AB41" s="26" t="s">
        <v>695</v>
      </c>
      <c r="AK41" s="26" t="s">
        <v>614</v>
      </c>
      <c r="BR41" s="26" t="s">
        <v>328</v>
      </c>
    </row>
    <row r="42" spans="10:70" x14ac:dyDescent="0.2">
      <c r="J42" s="26" t="s">
        <v>15</v>
      </c>
      <c r="S42" s="26" t="s">
        <v>446</v>
      </c>
      <c r="AB42" s="26" t="s">
        <v>696</v>
      </c>
      <c r="AK42" s="26" t="s">
        <v>616</v>
      </c>
      <c r="BR42" s="26" t="s">
        <v>329</v>
      </c>
    </row>
    <row r="43" spans="10:70" x14ac:dyDescent="0.2">
      <c r="J43" s="26" t="s">
        <v>241</v>
      </c>
      <c r="S43" s="26" t="s">
        <v>76</v>
      </c>
      <c r="AB43" s="26" t="s">
        <v>611</v>
      </c>
      <c r="AK43" s="26" t="s">
        <v>615</v>
      </c>
      <c r="BR43" s="26" t="s">
        <v>330</v>
      </c>
    </row>
    <row r="44" spans="10:70" x14ac:dyDescent="0.2">
      <c r="J44" s="26" t="s">
        <v>230</v>
      </c>
      <c r="S44" s="26" t="s">
        <v>77</v>
      </c>
      <c r="AB44" s="26" t="s">
        <v>618</v>
      </c>
      <c r="AK44" s="26" t="s">
        <v>617</v>
      </c>
      <c r="BR44" s="26" t="s">
        <v>331</v>
      </c>
    </row>
    <row r="45" spans="10:70" x14ac:dyDescent="0.2">
      <c r="J45" s="26" t="s">
        <v>399</v>
      </c>
      <c r="S45" s="26" t="s">
        <v>354</v>
      </c>
      <c r="AB45" s="26" t="s">
        <v>620</v>
      </c>
      <c r="BR45" s="26" t="s">
        <v>332</v>
      </c>
    </row>
    <row r="46" spans="10:70" x14ac:dyDescent="0.2">
      <c r="J46" s="26" t="s">
        <v>418</v>
      </c>
      <c r="K46" t="s">
        <v>708</v>
      </c>
      <c r="S46" s="26" t="s">
        <v>365</v>
      </c>
      <c r="AB46" s="26" t="s">
        <v>652</v>
      </c>
      <c r="BR46" s="26" t="s">
        <v>333</v>
      </c>
    </row>
    <row r="47" spans="10:70" x14ac:dyDescent="0.2">
      <c r="J47" s="26" t="s">
        <v>586</v>
      </c>
      <c r="K47" t="s">
        <v>709</v>
      </c>
      <c r="O47" t="s">
        <v>720</v>
      </c>
      <c r="P47" t="s">
        <v>723</v>
      </c>
      <c r="S47" s="26" t="s">
        <v>383</v>
      </c>
      <c r="AB47" s="26" t="s">
        <v>610</v>
      </c>
      <c r="BR47" s="26" t="s">
        <v>334</v>
      </c>
    </row>
    <row r="48" spans="10:70" x14ac:dyDescent="0.2">
      <c r="J48" s="26" t="s">
        <v>587</v>
      </c>
      <c r="K48" t="s">
        <v>710</v>
      </c>
      <c r="O48" t="s">
        <v>720</v>
      </c>
      <c r="S48" s="26" t="s">
        <v>391</v>
      </c>
      <c r="AB48" s="26" t="s">
        <v>612</v>
      </c>
      <c r="BR48" s="26" t="s">
        <v>335</v>
      </c>
    </row>
    <row r="49" spans="10:70" x14ac:dyDescent="0.2">
      <c r="J49" s="26" t="s">
        <v>574</v>
      </c>
      <c r="K49" t="s">
        <v>711</v>
      </c>
      <c r="O49" t="s">
        <v>720</v>
      </c>
      <c r="S49" s="26" t="s">
        <v>78</v>
      </c>
      <c r="AB49" s="26" t="s">
        <v>613</v>
      </c>
      <c r="BR49" s="26" t="s">
        <v>336</v>
      </c>
    </row>
    <row r="50" spans="10:70" x14ac:dyDescent="0.2">
      <c r="O50" t="s">
        <v>720</v>
      </c>
      <c r="AB50" s="26" t="s">
        <v>614</v>
      </c>
      <c r="BR50" s="26" t="s">
        <v>337</v>
      </c>
    </row>
    <row r="51" spans="10:70" x14ac:dyDescent="0.2">
      <c r="S51" s="26" t="s">
        <v>79</v>
      </c>
      <c r="AB51" s="26" t="s">
        <v>616</v>
      </c>
      <c r="BR51" s="26" t="s">
        <v>338</v>
      </c>
    </row>
    <row r="52" spans="10:70" x14ac:dyDescent="0.2">
      <c r="S52" s="26" t="s">
        <v>80</v>
      </c>
      <c r="AB52" s="26" t="s">
        <v>615</v>
      </c>
      <c r="BR52" s="26" t="s">
        <v>339</v>
      </c>
    </row>
    <row r="53" spans="10:70" x14ac:dyDescent="0.2">
      <c r="S53" s="26" t="s">
        <v>81</v>
      </c>
      <c r="AB53" s="26" t="s">
        <v>617</v>
      </c>
      <c r="BR53" s="26" t="s">
        <v>340</v>
      </c>
    </row>
    <row r="54" spans="10:70" x14ac:dyDescent="0.2">
      <c r="S54" s="26" t="s">
        <v>82</v>
      </c>
      <c r="BR54" s="26" t="s">
        <v>341</v>
      </c>
    </row>
    <row r="55" spans="10:70" x14ac:dyDescent="0.2">
      <c r="S55" s="26" t="s">
        <v>83</v>
      </c>
      <c r="BR55" s="26" t="s">
        <v>342</v>
      </c>
    </row>
    <row r="56" spans="10:70" x14ac:dyDescent="0.2">
      <c r="S56" s="26" t="s">
        <v>355</v>
      </c>
      <c r="BR56" s="26" t="s">
        <v>290</v>
      </c>
    </row>
    <row r="57" spans="10:70" x14ac:dyDescent="0.2">
      <c r="S57" s="26" t="s">
        <v>366</v>
      </c>
      <c r="BR57" s="26" t="s">
        <v>520</v>
      </c>
    </row>
    <row r="58" spans="10:70" x14ac:dyDescent="0.2">
      <c r="S58" s="26" t="s">
        <v>84</v>
      </c>
      <c r="BR58" s="26" t="s">
        <v>400</v>
      </c>
    </row>
    <row r="60" spans="10:70" x14ac:dyDescent="0.2">
      <c r="S60" s="26" t="s">
        <v>659</v>
      </c>
      <c r="X60" t="s">
        <v>720</v>
      </c>
    </row>
    <row r="61" spans="10:70" x14ac:dyDescent="0.2">
      <c r="S61" s="26" t="s">
        <v>85</v>
      </c>
      <c r="X61" t="s">
        <v>720</v>
      </c>
    </row>
    <row r="62" spans="10:70" x14ac:dyDescent="0.2">
      <c r="S62" s="26" t="s">
        <v>86</v>
      </c>
      <c r="X62" t="s">
        <v>720</v>
      </c>
    </row>
    <row r="63" spans="10:70" x14ac:dyDescent="0.2">
      <c r="S63" s="26" t="s">
        <v>87</v>
      </c>
      <c r="X63" t="s">
        <v>720</v>
      </c>
    </row>
    <row r="64" spans="10:70" x14ac:dyDescent="0.2">
      <c r="S64" s="26" t="s">
        <v>373</v>
      </c>
      <c r="X64" t="s">
        <v>720</v>
      </c>
    </row>
    <row r="65" spans="19:24" x14ac:dyDescent="0.2">
      <c r="S65" s="26" t="s">
        <v>375</v>
      </c>
      <c r="X65" t="s">
        <v>720</v>
      </c>
    </row>
    <row r="66" spans="19:24" x14ac:dyDescent="0.2">
      <c r="S66" s="26" t="s">
        <v>390</v>
      </c>
      <c r="X66" t="s">
        <v>720</v>
      </c>
    </row>
    <row r="67" spans="19:24" x14ac:dyDescent="0.2">
      <c r="S67" s="26" t="s">
        <v>377</v>
      </c>
      <c r="X67" t="s">
        <v>720</v>
      </c>
    </row>
    <row r="68" spans="19:24" x14ac:dyDescent="0.2">
      <c r="S68" s="26" t="s">
        <v>379</v>
      </c>
      <c r="X68" t="s">
        <v>720</v>
      </c>
    </row>
    <row r="69" spans="19:24" x14ac:dyDescent="0.2">
      <c r="S69" s="26" t="s">
        <v>382</v>
      </c>
      <c r="X69" t="s">
        <v>720</v>
      </c>
    </row>
    <row r="70" spans="19:24" x14ac:dyDescent="0.2">
      <c r="S70" s="26" t="s">
        <v>414</v>
      </c>
      <c r="X70" t="s">
        <v>720</v>
      </c>
    </row>
    <row r="71" spans="19:24" x14ac:dyDescent="0.2">
      <c r="S71" s="26" t="s">
        <v>523</v>
      </c>
      <c r="X71" t="s">
        <v>720</v>
      </c>
    </row>
    <row r="72" spans="19:24" x14ac:dyDescent="0.2">
      <c r="S72" s="26" t="s">
        <v>169</v>
      </c>
      <c r="X72" t="s">
        <v>720</v>
      </c>
    </row>
    <row r="74" spans="19:24" x14ac:dyDescent="0.2">
      <c r="S74" s="26" t="s">
        <v>660</v>
      </c>
      <c r="X74" t="s">
        <v>720</v>
      </c>
    </row>
    <row r="75" spans="19:24" x14ac:dyDescent="0.2">
      <c r="S75" s="26" t="s">
        <v>88</v>
      </c>
      <c r="X75" t="s">
        <v>720</v>
      </c>
    </row>
    <row r="76" spans="19:24" x14ac:dyDescent="0.2">
      <c r="S76" s="26" t="s">
        <v>89</v>
      </c>
      <c r="X76" t="s">
        <v>720</v>
      </c>
    </row>
    <row r="77" spans="19:24" x14ac:dyDescent="0.2">
      <c r="S77" s="26" t="s">
        <v>90</v>
      </c>
      <c r="X77" t="s">
        <v>720</v>
      </c>
    </row>
    <row r="78" spans="19:24" x14ac:dyDescent="0.2">
      <c r="S78" s="26" t="s">
        <v>374</v>
      </c>
      <c r="X78" t="s">
        <v>720</v>
      </c>
    </row>
    <row r="79" spans="19:24" x14ac:dyDescent="0.2">
      <c r="S79" s="26" t="s">
        <v>376</v>
      </c>
      <c r="X79" t="s">
        <v>720</v>
      </c>
    </row>
    <row r="80" spans="19:24" x14ac:dyDescent="0.2">
      <c r="S80" s="26" t="s">
        <v>378</v>
      </c>
      <c r="X80" t="s">
        <v>720</v>
      </c>
    </row>
    <row r="81" spans="19:25" x14ac:dyDescent="0.2">
      <c r="S81" s="26" t="s">
        <v>380</v>
      </c>
      <c r="X81" t="s">
        <v>720</v>
      </c>
    </row>
    <row r="82" spans="19:25" x14ac:dyDescent="0.2">
      <c r="S82" s="26" t="s">
        <v>415</v>
      </c>
      <c r="X82" t="s">
        <v>720</v>
      </c>
    </row>
    <row r="83" spans="19:25" x14ac:dyDescent="0.2">
      <c r="S83" s="26" t="s">
        <v>524</v>
      </c>
      <c r="X83" t="s">
        <v>720</v>
      </c>
    </row>
    <row r="84" spans="19:25" x14ac:dyDescent="0.2">
      <c r="S84" s="26" t="s">
        <v>170</v>
      </c>
      <c r="X84" t="s">
        <v>720</v>
      </c>
    </row>
    <row r="86" spans="19:25" x14ac:dyDescent="0.2">
      <c r="S86" s="26" t="s">
        <v>661</v>
      </c>
      <c r="X86" t="s">
        <v>720</v>
      </c>
    </row>
    <row r="87" spans="19:25" x14ac:dyDescent="0.2">
      <c r="S87" s="26" t="s">
        <v>91</v>
      </c>
      <c r="X87" t="s">
        <v>720</v>
      </c>
    </row>
    <row r="88" spans="19:25" x14ac:dyDescent="0.2">
      <c r="S88" s="26" t="s">
        <v>92</v>
      </c>
      <c r="X88" t="s">
        <v>720</v>
      </c>
    </row>
    <row r="89" spans="19:25" x14ac:dyDescent="0.2">
      <c r="S89" s="26" t="s">
        <v>93</v>
      </c>
      <c r="X89" t="s">
        <v>720</v>
      </c>
    </row>
    <row r="91" spans="19:25" x14ac:dyDescent="0.2">
      <c r="S91" s="26" t="s">
        <v>2</v>
      </c>
      <c r="Y91" t="s">
        <v>721</v>
      </c>
    </row>
    <row r="92" spans="19:25" x14ac:dyDescent="0.2">
      <c r="S92" s="26" t="s">
        <v>143</v>
      </c>
      <c r="T92" t="s">
        <v>712</v>
      </c>
      <c r="X92" t="s">
        <v>720</v>
      </c>
    </row>
    <row r="93" spans="19:25" x14ac:dyDescent="0.2">
      <c r="S93" s="26" t="s">
        <v>144</v>
      </c>
      <c r="T93" t="s">
        <v>713</v>
      </c>
      <c r="X93" t="s">
        <v>720</v>
      </c>
    </row>
    <row r="94" spans="19:25" x14ac:dyDescent="0.2">
      <c r="S94" s="26" t="s">
        <v>145</v>
      </c>
      <c r="T94" t="s">
        <v>714</v>
      </c>
      <c r="X94" t="s">
        <v>720</v>
      </c>
    </row>
    <row r="95" spans="19:25" x14ac:dyDescent="0.2">
      <c r="S95" s="26" t="s">
        <v>146</v>
      </c>
      <c r="T95" t="s">
        <v>715</v>
      </c>
      <c r="X95" t="s">
        <v>720</v>
      </c>
    </row>
    <row r="96" spans="19:25" x14ac:dyDescent="0.2">
      <c r="S96" s="26" t="s">
        <v>147</v>
      </c>
      <c r="T96" t="s">
        <v>716</v>
      </c>
      <c r="X96" t="s">
        <v>720</v>
      </c>
    </row>
    <row r="97" spans="19:25" x14ac:dyDescent="0.2">
      <c r="S97" s="26" t="s">
        <v>148</v>
      </c>
      <c r="T97" t="s">
        <v>717</v>
      </c>
      <c r="X97" t="s">
        <v>720</v>
      </c>
    </row>
    <row r="98" spans="19:25" x14ac:dyDescent="0.2">
      <c r="S98" s="26" t="s">
        <v>149</v>
      </c>
      <c r="X98" t="s">
        <v>720</v>
      </c>
    </row>
    <row r="99" spans="19:25" x14ac:dyDescent="0.2">
      <c r="S99" s="26" t="s">
        <v>150</v>
      </c>
      <c r="X99" t="s">
        <v>720</v>
      </c>
    </row>
    <row r="100" spans="19:25" x14ac:dyDescent="0.2">
      <c r="S100" s="26" t="s">
        <v>151</v>
      </c>
      <c r="X100" t="s">
        <v>720</v>
      </c>
    </row>
    <row r="101" spans="19:25" x14ac:dyDescent="0.2">
      <c r="S101" s="26" t="s">
        <v>152</v>
      </c>
      <c r="X101" t="s">
        <v>720</v>
      </c>
    </row>
    <row r="102" spans="19:25" x14ac:dyDescent="0.2">
      <c r="S102" s="26" t="s">
        <v>153</v>
      </c>
      <c r="T102" t="s">
        <v>718</v>
      </c>
      <c r="X102" t="s">
        <v>720</v>
      </c>
    </row>
    <row r="103" spans="19:25" x14ac:dyDescent="0.2">
      <c r="S103" s="26" t="s">
        <v>154</v>
      </c>
      <c r="T103" t="s">
        <v>719</v>
      </c>
      <c r="X103" t="s">
        <v>720</v>
      </c>
    </row>
    <row r="104" spans="19:25" x14ac:dyDescent="0.2">
      <c r="S104" s="26" t="s">
        <v>155</v>
      </c>
      <c r="X104" t="s">
        <v>720</v>
      </c>
    </row>
    <row r="106" spans="19:25" x14ac:dyDescent="0.2">
      <c r="S106" s="26" t="s">
        <v>3</v>
      </c>
      <c r="Y106" t="s">
        <v>721</v>
      </c>
    </row>
    <row r="107" spans="19:25" x14ac:dyDescent="0.2">
      <c r="S107" s="26" t="s">
        <v>156</v>
      </c>
      <c r="X107" t="s">
        <v>720</v>
      </c>
    </row>
    <row r="108" spans="19:25" x14ac:dyDescent="0.2">
      <c r="S108" s="26" t="s">
        <v>157</v>
      </c>
      <c r="X108" t="s">
        <v>720</v>
      </c>
    </row>
    <row r="109" spans="19:25" x14ac:dyDescent="0.2">
      <c r="S109" s="26" t="s">
        <v>158</v>
      </c>
      <c r="X109" t="s">
        <v>720</v>
      </c>
    </row>
    <row r="110" spans="19:25" x14ac:dyDescent="0.2">
      <c r="S110" s="26" t="s">
        <v>159</v>
      </c>
      <c r="X110" t="s">
        <v>720</v>
      </c>
    </row>
    <row r="111" spans="19:25" x14ac:dyDescent="0.2">
      <c r="S111" s="26" t="s">
        <v>160</v>
      </c>
      <c r="X111" t="s">
        <v>720</v>
      </c>
    </row>
    <row r="112" spans="19:25" x14ac:dyDescent="0.2">
      <c r="S112" s="26" t="s">
        <v>161</v>
      </c>
      <c r="X112" t="s">
        <v>720</v>
      </c>
    </row>
    <row r="113" spans="19:24" x14ac:dyDescent="0.2">
      <c r="S113" s="26" t="s">
        <v>162</v>
      </c>
      <c r="X113" t="s">
        <v>720</v>
      </c>
    </row>
    <row r="114" spans="19:24" x14ac:dyDescent="0.2">
      <c r="S114" s="26" t="s">
        <v>163</v>
      </c>
      <c r="X114" t="s">
        <v>720</v>
      </c>
    </row>
    <row r="115" spans="19:24" x14ac:dyDescent="0.2">
      <c r="S115" s="26" t="s">
        <v>164</v>
      </c>
      <c r="X115" t="s">
        <v>720</v>
      </c>
    </row>
    <row r="116" spans="19:24" x14ac:dyDescent="0.2">
      <c r="S116" s="26" t="s">
        <v>165</v>
      </c>
      <c r="X116" t="s">
        <v>720</v>
      </c>
    </row>
    <row r="117" spans="19:24" x14ac:dyDescent="0.2">
      <c r="S117" s="26" t="s">
        <v>166</v>
      </c>
      <c r="X117" t="s">
        <v>720</v>
      </c>
    </row>
    <row r="118" spans="19:24" x14ac:dyDescent="0.2">
      <c r="S118" s="26" t="s">
        <v>152</v>
      </c>
      <c r="X118" t="s">
        <v>720</v>
      </c>
    </row>
    <row r="120" spans="19:24" x14ac:dyDescent="0.2">
      <c r="S120" s="26" t="s">
        <v>51</v>
      </c>
      <c r="X120" t="s">
        <v>720</v>
      </c>
    </row>
    <row r="121" spans="19:24" x14ac:dyDescent="0.2">
      <c r="S121" s="26" t="s">
        <v>52</v>
      </c>
      <c r="X121" t="s">
        <v>720</v>
      </c>
    </row>
    <row r="122" spans="19:24" x14ac:dyDescent="0.2">
      <c r="S122" s="26" t="s">
        <v>53</v>
      </c>
      <c r="X122" t="s">
        <v>720</v>
      </c>
    </row>
    <row r="123" spans="19:24" x14ac:dyDescent="0.2">
      <c r="S123" s="26" t="s">
        <v>55</v>
      </c>
      <c r="X123" t="s">
        <v>720</v>
      </c>
    </row>
    <row r="124" spans="19:24" x14ac:dyDescent="0.2">
      <c r="S124" s="26" t="s">
        <v>56</v>
      </c>
      <c r="X124" t="s">
        <v>720</v>
      </c>
    </row>
    <row r="125" spans="19:24" x14ac:dyDescent="0.2">
      <c r="S125" s="26" t="s">
        <v>57</v>
      </c>
      <c r="X125" t="s">
        <v>720</v>
      </c>
    </row>
    <row r="126" spans="19:24" x14ac:dyDescent="0.2">
      <c r="S126" s="26" t="s">
        <v>58</v>
      </c>
      <c r="X126" t="s">
        <v>720</v>
      </c>
    </row>
    <row r="127" spans="19:24" x14ac:dyDescent="0.2">
      <c r="S127" s="26" t="s">
        <v>59</v>
      </c>
      <c r="X127" t="s">
        <v>720</v>
      </c>
    </row>
    <row r="128" spans="19:24" x14ac:dyDescent="0.2">
      <c r="S128" s="26" t="s">
        <v>60</v>
      </c>
      <c r="X128" t="s">
        <v>720</v>
      </c>
    </row>
    <row r="129" spans="19:24" x14ac:dyDescent="0.2">
      <c r="S129" s="26" t="s">
        <v>54</v>
      </c>
      <c r="X129" t="s">
        <v>720</v>
      </c>
    </row>
    <row r="130" spans="19:24" x14ac:dyDescent="0.2">
      <c r="S130" s="26" t="s">
        <v>64</v>
      </c>
      <c r="X130" t="s">
        <v>720</v>
      </c>
    </row>
    <row r="132" spans="19:24" x14ac:dyDescent="0.2">
      <c r="S132" s="26" t="s">
        <v>94</v>
      </c>
    </row>
    <row r="133" spans="19:24" x14ac:dyDescent="0.2">
      <c r="S133" s="26" t="s">
        <v>95</v>
      </c>
    </row>
    <row r="134" spans="19:24" x14ac:dyDescent="0.2">
      <c r="S134" s="26" t="s">
        <v>96</v>
      </c>
    </row>
    <row r="135" spans="19:24" x14ac:dyDescent="0.2">
      <c r="S135" s="26" t="s">
        <v>97</v>
      </c>
    </row>
    <row r="136" spans="19:24" x14ac:dyDescent="0.2">
      <c r="S136" s="26" t="s">
        <v>98</v>
      </c>
    </row>
    <row r="137" spans="19:24" x14ac:dyDescent="0.2">
      <c r="S137" s="26" t="s">
        <v>99</v>
      </c>
    </row>
    <row r="138" spans="19:24" x14ac:dyDescent="0.2">
      <c r="S138" s="26" t="s">
        <v>100</v>
      </c>
    </row>
    <row r="139" spans="19:24" x14ac:dyDescent="0.2">
      <c r="S139" s="26" t="s">
        <v>101</v>
      </c>
    </row>
    <row r="140" spans="19:24" x14ac:dyDescent="0.2">
      <c r="S140" s="26" t="s">
        <v>416</v>
      </c>
    </row>
    <row r="141" spans="19:24" x14ac:dyDescent="0.2">
      <c r="S141" s="26" t="s">
        <v>443</v>
      </c>
    </row>
    <row r="142" spans="19:24" x14ac:dyDescent="0.2">
      <c r="S142" s="26" t="s">
        <v>102</v>
      </c>
    </row>
    <row r="144" spans="19:24" x14ac:dyDescent="0.2">
      <c r="S144" s="26" t="s">
        <v>232</v>
      </c>
    </row>
    <row r="145" spans="19:19" x14ac:dyDescent="0.2">
      <c r="S145" s="26" t="s">
        <v>233</v>
      </c>
    </row>
    <row r="146" spans="19:19" x14ac:dyDescent="0.2">
      <c r="S146" s="26" t="s">
        <v>234</v>
      </c>
    </row>
    <row r="147" spans="19:19" x14ac:dyDescent="0.2">
      <c r="S147" s="26" t="s">
        <v>235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BQ139"/>
  <sheetViews>
    <sheetView topLeftCell="BA109" workbookViewId="0">
      <selection activeCell="BK140" sqref="BK140"/>
    </sheetView>
  </sheetViews>
  <sheetFormatPr baseColWidth="10" defaultRowHeight="16" x14ac:dyDescent="0.2"/>
  <cols>
    <col min="1" max="1" width="13.5" customWidth="1"/>
    <col min="7" max="7" width="16.6640625" customWidth="1"/>
    <col min="8" max="8" width="25.5" customWidth="1"/>
    <col min="9" max="9" width="16.5" customWidth="1"/>
    <col min="14" max="14" width="19.33203125" customWidth="1"/>
    <col min="15" max="15" width="19.6640625" customWidth="1"/>
    <col min="16" max="16" width="18.5" customWidth="1"/>
    <col min="17" max="17" width="17.33203125" customWidth="1"/>
    <col min="22" max="22" width="18.5" customWidth="1"/>
    <col min="24" max="24" width="23.83203125" bestFit="1" customWidth="1"/>
    <col min="27" max="27" width="28.83203125" bestFit="1" customWidth="1"/>
    <col min="29" max="29" width="27.5" customWidth="1"/>
    <col min="32" max="32" width="21.5" customWidth="1"/>
    <col min="41" max="41" width="24.33203125" customWidth="1"/>
    <col min="63" max="63" width="32.33203125" customWidth="1"/>
    <col min="64" max="64" width="32" bestFit="1" customWidth="1"/>
    <col min="65" max="65" width="23.83203125" bestFit="1" customWidth="1"/>
    <col min="69" max="69" width="21" customWidth="1"/>
  </cols>
  <sheetData>
    <row r="1" spans="1:69" s="2" customFormat="1" ht="51" x14ac:dyDescent="0.2">
      <c r="A1" s="2" t="s">
        <v>1</v>
      </c>
      <c r="B1" s="2" t="s">
        <v>50</v>
      </c>
      <c r="C1" s="2" t="s">
        <v>142</v>
      </c>
      <c r="D1" s="2" t="s">
        <v>2</v>
      </c>
      <c r="E1" s="2" t="s">
        <v>3</v>
      </c>
      <c r="F1" s="2" t="s">
        <v>230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238</v>
      </c>
      <c r="M1" s="2" t="s">
        <v>10</v>
      </c>
      <c r="N1" s="2" t="s">
        <v>171</v>
      </c>
      <c r="O1" s="2" t="s">
        <v>11</v>
      </c>
      <c r="P1" s="2" t="s">
        <v>14</v>
      </c>
      <c r="Q1" s="2" t="s">
        <v>15</v>
      </c>
      <c r="R1" s="2" t="s">
        <v>172</v>
      </c>
      <c r="S1" s="2" t="s">
        <v>182</v>
      </c>
      <c r="T1" s="2" t="s">
        <v>192</v>
      </c>
      <c r="U1" s="2" t="s">
        <v>199</v>
      </c>
      <c r="V1" s="2" t="s">
        <v>173</v>
      </c>
      <c r="W1" s="2" t="s">
        <v>183</v>
      </c>
      <c r="X1" s="2" t="s">
        <v>174</v>
      </c>
      <c r="Y1" s="2" t="s">
        <v>184</v>
      </c>
      <c r="Z1" s="2" t="s">
        <v>193</v>
      </c>
      <c r="AA1" s="2" t="s">
        <v>194</v>
      </c>
      <c r="AB1" s="2" t="s">
        <v>175</v>
      </c>
      <c r="AC1" s="2" t="s">
        <v>185</v>
      </c>
      <c r="AD1" s="2" t="s">
        <v>187</v>
      </c>
      <c r="AE1" s="2" t="s">
        <v>177</v>
      </c>
      <c r="AF1" s="2" t="s">
        <v>196</v>
      </c>
      <c r="AG1" s="2" t="s">
        <v>803</v>
      </c>
      <c r="AH1" s="2" t="s">
        <v>804</v>
      </c>
      <c r="AI1" s="2" t="s">
        <v>805</v>
      </c>
      <c r="AJ1" s="2" t="s">
        <v>176</v>
      </c>
      <c r="AK1" s="2" t="s">
        <v>186</v>
      </c>
      <c r="AL1" s="2" t="s">
        <v>195</v>
      </c>
      <c r="AM1" s="2" t="s">
        <v>179</v>
      </c>
      <c r="AN1" s="2" t="s">
        <v>189</v>
      </c>
      <c r="AO1" s="2" t="s">
        <v>205</v>
      </c>
      <c r="AP1" s="2" t="s">
        <v>181</v>
      </c>
      <c r="AQ1" s="2" t="s">
        <v>191</v>
      </c>
      <c r="AR1" s="2" t="s">
        <v>198</v>
      </c>
      <c r="AS1" s="2" t="s">
        <v>201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213</v>
      </c>
      <c r="AZ1" s="2" t="s">
        <v>214</v>
      </c>
      <c r="BA1" s="2" t="s">
        <v>215</v>
      </c>
      <c r="BB1" s="2" t="s">
        <v>384</v>
      </c>
      <c r="BC1" s="2" t="s">
        <v>231</v>
      </c>
      <c r="BD1" s="2" t="s">
        <v>388</v>
      </c>
      <c r="BE1" s="2" t="s">
        <v>389</v>
      </c>
      <c r="BF1" t="s">
        <v>13</v>
      </c>
      <c r="BG1" t="s">
        <v>5</v>
      </c>
      <c r="BH1" s="2" t="s">
        <v>730</v>
      </c>
      <c r="BI1" s="2" t="s">
        <v>343</v>
      </c>
      <c r="BJ1" s="2" t="s">
        <v>344</v>
      </c>
      <c r="BK1" s="2" t="s">
        <v>516</v>
      </c>
      <c r="BL1" s="2" t="s">
        <v>517</v>
      </c>
      <c r="BM1" s="2" t="s">
        <v>806</v>
      </c>
      <c r="BN1" s="2" t="s">
        <v>657</v>
      </c>
      <c r="BO1" s="2" t="s">
        <v>658</v>
      </c>
      <c r="BQ1" s="2" t="s">
        <v>807</v>
      </c>
    </row>
    <row r="2" spans="1:69" x14ac:dyDescent="0.2">
      <c r="F2" t="s">
        <v>388</v>
      </c>
      <c r="G2" t="s">
        <v>180</v>
      </c>
      <c r="H2" t="s">
        <v>205</v>
      </c>
      <c r="I2" t="s">
        <v>172</v>
      </c>
      <c r="J2" t="s">
        <v>213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65</v>
      </c>
      <c r="S2" t="s">
        <v>65</v>
      </c>
      <c r="T2" t="s">
        <v>65</v>
      </c>
      <c r="U2" t="s">
        <v>65</v>
      </c>
      <c r="V2" t="s">
        <v>71</v>
      </c>
      <c r="W2" t="s">
        <v>79</v>
      </c>
      <c r="X2" t="s">
        <v>85</v>
      </c>
      <c r="Y2" t="s">
        <v>88</v>
      </c>
      <c r="Z2" t="s">
        <v>91</v>
      </c>
      <c r="AA2" t="s">
        <v>122</v>
      </c>
      <c r="AB2" t="s">
        <v>122</v>
      </c>
      <c r="AC2" t="s">
        <v>122</v>
      </c>
      <c r="AD2" t="s">
        <v>106</v>
      </c>
      <c r="AE2" t="s">
        <v>103</v>
      </c>
      <c r="AF2" t="s">
        <v>111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94</v>
      </c>
      <c r="AN2" t="s">
        <v>94</v>
      </c>
      <c r="AO2" t="s">
        <v>51</v>
      </c>
      <c r="AP2" t="s">
        <v>51</v>
      </c>
      <c r="AQ2" t="s">
        <v>51</v>
      </c>
      <c r="AR2" t="s">
        <v>51</v>
      </c>
      <c r="AS2" t="s">
        <v>62</v>
      </c>
      <c r="AT2" t="s">
        <v>62</v>
      </c>
      <c r="AU2" t="s">
        <v>54</v>
      </c>
      <c r="AV2" t="s">
        <v>51</v>
      </c>
      <c r="AX2" t="s">
        <v>62</v>
      </c>
      <c r="AY2" t="s">
        <v>216</v>
      </c>
      <c r="AZ2" t="s">
        <v>216</v>
      </c>
      <c r="BA2" t="s">
        <v>216</v>
      </c>
      <c r="BB2" t="s">
        <v>94</v>
      </c>
      <c r="BC2" t="s">
        <v>232</v>
      </c>
      <c r="BE2" t="s">
        <v>432</v>
      </c>
      <c r="BF2" t="s">
        <v>418</v>
      </c>
      <c r="BG2" t="s">
        <v>6</v>
      </c>
      <c r="BH2" t="s">
        <v>51</v>
      </c>
      <c r="BI2" t="s">
        <v>284</v>
      </c>
      <c r="BJ2" t="s">
        <v>251</v>
      </c>
      <c r="BK2" t="s">
        <v>538</v>
      </c>
      <c r="BL2" t="s">
        <v>787</v>
      </c>
      <c r="BM2" t="s">
        <v>85</v>
      </c>
      <c r="BN2" t="s">
        <v>88</v>
      </c>
      <c r="BO2" t="s">
        <v>91</v>
      </c>
      <c r="BQ2" t="str" cm="1">
        <f t="array" ref="BQ2:BQ113">_xlfn._xlws.SORT(_xlfn.UNIQUE(BK2:BK1000))</f>
        <v>AssistPrimary</v>
      </c>
    </row>
    <row r="3" spans="1:69" x14ac:dyDescent="0.2">
      <c r="A3" t="s">
        <v>5</v>
      </c>
      <c r="B3" t="s">
        <v>5</v>
      </c>
      <c r="C3" t="s">
        <v>51</v>
      </c>
      <c r="D3" t="s">
        <v>143</v>
      </c>
      <c r="E3" t="s">
        <v>156</v>
      </c>
      <c r="F3" t="s">
        <v>389</v>
      </c>
      <c r="G3" t="s">
        <v>190</v>
      </c>
      <c r="H3" t="s">
        <v>181</v>
      </c>
      <c r="I3" t="s">
        <v>182</v>
      </c>
      <c r="J3" t="s">
        <v>214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 t="s">
        <v>189</v>
      </c>
      <c r="R3" t="s">
        <v>66</v>
      </c>
      <c r="S3" t="s">
        <v>66</v>
      </c>
      <c r="T3" t="s">
        <v>66</v>
      </c>
      <c r="U3" t="s">
        <v>66</v>
      </c>
      <c r="V3" t="s">
        <v>72</v>
      </c>
      <c r="W3" t="s">
        <v>80</v>
      </c>
      <c r="X3" t="s">
        <v>86</v>
      </c>
      <c r="Y3" t="s">
        <v>89</v>
      </c>
      <c r="Z3" t="s">
        <v>92</v>
      </c>
      <c r="AA3" t="s">
        <v>123</v>
      </c>
      <c r="AB3" t="s">
        <v>123</v>
      </c>
      <c r="AC3" t="s">
        <v>123</v>
      </c>
      <c r="AD3" t="s">
        <v>107</v>
      </c>
      <c r="AE3" t="s">
        <v>104</v>
      </c>
      <c r="AF3" t="s">
        <v>114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95</v>
      </c>
      <c r="AN3" t="s">
        <v>95</v>
      </c>
      <c r="AO3" t="s">
        <v>52</v>
      </c>
      <c r="AP3" t="s">
        <v>52</v>
      </c>
      <c r="AQ3" t="s">
        <v>52</v>
      </c>
      <c r="AR3" t="s">
        <v>52</v>
      </c>
      <c r="AS3" t="s">
        <v>51</v>
      </c>
      <c r="AT3" t="s">
        <v>51</v>
      </c>
      <c r="AU3" t="s">
        <v>51</v>
      </c>
      <c r="AV3" t="s">
        <v>52</v>
      </c>
      <c r="AW3" t="s">
        <v>51</v>
      </c>
      <c r="AX3" t="s">
        <v>51</v>
      </c>
      <c r="AY3" t="s">
        <v>217</v>
      </c>
      <c r="AZ3" t="s">
        <v>217</v>
      </c>
      <c r="BA3" t="s">
        <v>217</v>
      </c>
      <c r="BB3" t="s">
        <v>95</v>
      </c>
      <c r="BC3" t="s">
        <v>233</v>
      </c>
      <c r="BD3" t="s">
        <v>419</v>
      </c>
      <c r="BE3" t="s">
        <v>433</v>
      </c>
      <c r="BF3" t="s">
        <v>586</v>
      </c>
      <c r="BG3" t="s">
        <v>7</v>
      </c>
      <c r="BH3" t="s">
        <v>52</v>
      </c>
      <c r="BI3" t="s">
        <v>286</v>
      </c>
      <c r="BJ3" t="s">
        <v>291</v>
      </c>
      <c r="BK3" t="s">
        <v>539</v>
      </c>
      <c r="BL3" t="s">
        <v>769</v>
      </c>
      <c r="BM3" t="s">
        <v>86</v>
      </c>
      <c r="BN3" t="s">
        <v>89</v>
      </c>
      <c r="BO3" t="s">
        <v>92</v>
      </c>
      <c r="BQ3" t="str">
        <v>AssistSecondary</v>
      </c>
    </row>
    <row r="4" spans="1:69" x14ac:dyDescent="0.2">
      <c r="A4" t="s">
        <v>6</v>
      </c>
      <c r="B4" t="s">
        <v>17</v>
      </c>
      <c r="C4" t="s">
        <v>52</v>
      </c>
      <c r="D4" t="s">
        <v>144</v>
      </c>
      <c r="E4" t="s">
        <v>157</v>
      </c>
      <c r="G4" t="s">
        <v>197</v>
      </c>
      <c r="H4" t="s">
        <v>191</v>
      </c>
      <c r="I4" t="s">
        <v>192</v>
      </c>
      <c r="J4" t="s">
        <v>215</v>
      </c>
      <c r="L4" t="s">
        <v>193</v>
      </c>
      <c r="M4" t="s">
        <v>194</v>
      </c>
      <c r="N4" t="s">
        <v>195</v>
      </c>
      <c r="O4" s="3" t="s">
        <v>196</v>
      </c>
      <c r="Q4" t="s">
        <v>384</v>
      </c>
      <c r="R4" t="s">
        <v>67</v>
      </c>
      <c r="S4" t="s">
        <v>67</v>
      </c>
      <c r="T4" t="s">
        <v>67</v>
      </c>
      <c r="U4" t="s">
        <v>67</v>
      </c>
      <c r="V4" t="s">
        <v>73</v>
      </c>
      <c r="W4" t="s">
        <v>81</v>
      </c>
      <c r="X4" t="s">
        <v>87</v>
      </c>
      <c r="Y4" t="s">
        <v>90</v>
      </c>
      <c r="Z4" t="s">
        <v>93</v>
      </c>
      <c r="AA4" t="s">
        <v>124</v>
      </c>
      <c r="AB4" t="s">
        <v>124</v>
      </c>
      <c r="AC4" t="s">
        <v>124</v>
      </c>
      <c r="AD4" t="s">
        <v>109</v>
      </c>
      <c r="AE4" t="s">
        <v>39</v>
      </c>
      <c r="AF4" t="s">
        <v>115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96</v>
      </c>
      <c r="AN4" t="s">
        <v>96</v>
      </c>
      <c r="AO4" t="s">
        <v>53</v>
      </c>
      <c r="AP4" t="s">
        <v>53</v>
      </c>
      <c r="AQ4" t="s">
        <v>53</v>
      </c>
      <c r="AR4" t="s">
        <v>53</v>
      </c>
      <c r="AS4" t="s">
        <v>52</v>
      </c>
      <c r="AT4" t="s">
        <v>52</v>
      </c>
      <c r="AU4" t="s">
        <v>52</v>
      </c>
      <c r="AV4" t="s">
        <v>53</v>
      </c>
      <c r="AW4" t="s">
        <v>52</v>
      </c>
      <c r="AX4" t="s">
        <v>52</v>
      </c>
      <c r="AY4" t="s">
        <v>218</v>
      </c>
      <c r="AZ4" t="s">
        <v>218</v>
      </c>
      <c r="BA4" t="s">
        <v>218</v>
      </c>
      <c r="BB4" t="s">
        <v>96</v>
      </c>
      <c r="BC4" t="s">
        <v>234</v>
      </c>
      <c r="BD4" t="s">
        <v>420</v>
      </c>
      <c r="BE4" t="s">
        <v>434</v>
      </c>
      <c r="BF4" t="s">
        <v>587</v>
      </c>
      <c r="BG4" t="s">
        <v>8</v>
      </c>
      <c r="BH4" t="s">
        <v>53</v>
      </c>
      <c r="BI4" t="s">
        <v>287</v>
      </c>
      <c r="BJ4" t="s">
        <v>292</v>
      </c>
      <c r="BK4" t="s">
        <v>596</v>
      </c>
      <c r="BL4" t="s">
        <v>767</v>
      </c>
      <c r="BM4" t="s">
        <v>87</v>
      </c>
      <c r="BN4" t="s">
        <v>90</v>
      </c>
      <c r="BO4" t="s">
        <v>93</v>
      </c>
      <c r="BQ4" t="str">
        <v>AssistTertiary</v>
      </c>
    </row>
    <row r="5" spans="1:69" x14ac:dyDescent="0.2">
      <c r="A5" t="s">
        <v>7</v>
      </c>
      <c r="B5" t="s">
        <v>18</v>
      </c>
      <c r="C5" t="s">
        <v>53</v>
      </c>
      <c r="D5" t="s">
        <v>145</v>
      </c>
      <c r="E5" t="s">
        <v>158</v>
      </c>
      <c r="G5" t="s">
        <v>236</v>
      </c>
      <c r="H5" t="s">
        <v>198</v>
      </c>
      <c r="I5" t="s">
        <v>199</v>
      </c>
      <c r="L5" t="s">
        <v>656</v>
      </c>
      <c r="N5" t="s">
        <v>200</v>
      </c>
      <c r="O5" t="s">
        <v>402</v>
      </c>
      <c r="R5" t="s">
        <v>68</v>
      </c>
      <c r="S5" t="s">
        <v>68</v>
      </c>
      <c r="T5" t="s">
        <v>68</v>
      </c>
      <c r="U5" t="s">
        <v>68</v>
      </c>
      <c r="V5" t="s">
        <v>74</v>
      </c>
      <c r="W5" t="s">
        <v>82</v>
      </c>
      <c r="X5" t="s">
        <v>373</v>
      </c>
      <c r="Y5" t="s">
        <v>374</v>
      </c>
      <c r="AA5" t="s">
        <v>125</v>
      </c>
      <c r="AB5" t="s">
        <v>125</v>
      </c>
      <c r="AC5" t="s">
        <v>125</v>
      </c>
      <c r="AD5" t="s">
        <v>110</v>
      </c>
      <c r="AF5" t="s">
        <v>118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97</v>
      </c>
      <c r="AN5" t="s">
        <v>97</v>
      </c>
      <c r="AO5" t="s">
        <v>55</v>
      </c>
      <c r="AP5" t="s">
        <v>55</v>
      </c>
      <c r="AQ5" t="s">
        <v>55</v>
      </c>
      <c r="AR5" t="s">
        <v>55</v>
      </c>
      <c r="AS5" t="s">
        <v>53</v>
      </c>
      <c r="AT5" t="s">
        <v>53</v>
      </c>
      <c r="AU5" t="s">
        <v>53</v>
      </c>
      <c r="AV5" t="s">
        <v>55</v>
      </c>
      <c r="AW5" t="s">
        <v>53</v>
      </c>
      <c r="AX5" t="s">
        <v>53</v>
      </c>
      <c r="AY5" t="s">
        <v>219</v>
      </c>
      <c r="AZ5" t="s">
        <v>220</v>
      </c>
      <c r="BA5" t="s">
        <v>220</v>
      </c>
      <c r="BB5" t="s">
        <v>97</v>
      </c>
      <c r="BC5" t="s">
        <v>235</v>
      </c>
      <c r="BD5" t="s">
        <v>421</v>
      </c>
      <c r="BE5" t="s">
        <v>435</v>
      </c>
      <c r="BF5" t="s">
        <v>574</v>
      </c>
      <c r="BG5" t="s">
        <v>9</v>
      </c>
      <c r="BH5" t="s">
        <v>55</v>
      </c>
      <c r="BI5" t="s">
        <v>288</v>
      </c>
      <c r="BJ5" t="s">
        <v>293</v>
      </c>
      <c r="BK5" t="s">
        <v>769</v>
      </c>
      <c r="BL5" t="s">
        <v>768</v>
      </c>
      <c r="BM5" t="s">
        <v>373</v>
      </c>
      <c r="BN5" t="s">
        <v>374</v>
      </c>
      <c r="BQ5" t="str">
        <v>AttemptedBlockedShot</v>
      </c>
    </row>
    <row r="6" spans="1:69" x14ac:dyDescent="0.2">
      <c r="A6" t="s">
        <v>8</v>
      </c>
      <c r="B6" t="s">
        <v>19</v>
      </c>
      <c r="C6" t="s">
        <v>54</v>
      </c>
      <c r="D6" t="s">
        <v>146</v>
      </c>
      <c r="E6" t="s">
        <v>159</v>
      </c>
      <c r="G6" t="s">
        <v>401</v>
      </c>
      <c r="H6" t="s">
        <v>201</v>
      </c>
      <c r="L6" t="s">
        <v>657</v>
      </c>
      <c r="N6" t="s">
        <v>202</v>
      </c>
      <c r="R6" t="s">
        <v>69</v>
      </c>
      <c r="S6" t="s">
        <v>69</v>
      </c>
      <c r="T6" t="s">
        <v>69</v>
      </c>
      <c r="U6" t="s">
        <v>69</v>
      </c>
      <c r="V6" t="s">
        <v>75</v>
      </c>
      <c r="W6" t="s">
        <v>83</v>
      </c>
      <c r="X6" t="s">
        <v>375</v>
      </c>
      <c r="Y6" t="s">
        <v>376</v>
      </c>
      <c r="AA6" t="s">
        <v>126</v>
      </c>
      <c r="AB6" t="s">
        <v>126</v>
      </c>
      <c r="AC6" t="s">
        <v>126</v>
      </c>
      <c r="AD6" t="s">
        <v>112</v>
      </c>
      <c r="AF6" t="s">
        <v>119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98</v>
      </c>
      <c r="AN6" t="s">
        <v>98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55</v>
      </c>
      <c r="AU6" t="s">
        <v>55</v>
      </c>
      <c r="AV6" t="s">
        <v>56</v>
      </c>
      <c r="AW6" t="s">
        <v>55</v>
      </c>
      <c r="AX6" t="s">
        <v>55</v>
      </c>
      <c r="AY6" t="s">
        <v>220</v>
      </c>
      <c r="AZ6" t="s">
        <v>221</v>
      </c>
      <c r="BA6" t="s">
        <v>221</v>
      </c>
      <c r="BB6" t="s">
        <v>98</v>
      </c>
      <c r="BD6" t="s">
        <v>422</v>
      </c>
      <c r="BE6" t="s">
        <v>436</v>
      </c>
      <c r="BG6" t="s">
        <v>238</v>
      </c>
      <c r="BH6" t="s">
        <v>56</v>
      </c>
      <c r="BI6" t="s">
        <v>289</v>
      </c>
      <c r="BJ6" t="s">
        <v>294</v>
      </c>
      <c r="BK6" t="s">
        <v>767</v>
      </c>
      <c r="BL6" t="s">
        <v>770</v>
      </c>
      <c r="BM6" t="s">
        <v>375</v>
      </c>
      <c r="BN6" t="s">
        <v>376</v>
      </c>
      <c r="BQ6" t="str">
        <v>AttemptedBreakOutClear</v>
      </c>
    </row>
    <row r="7" spans="1:69" x14ac:dyDescent="0.2">
      <c r="A7" t="s">
        <v>9</v>
      </c>
      <c r="B7" t="s">
        <v>20</v>
      </c>
      <c r="C7" t="s">
        <v>55</v>
      </c>
      <c r="D7" t="s">
        <v>147</v>
      </c>
      <c r="E7" t="s">
        <v>160</v>
      </c>
      <c r="H7" t="s">
        <v>206</v>
      </c>
      <c r="L7" t="s">
        <v>658</v>
      </c>
      <c r="N7" t="s">
        <v>203</v>
      </c>
      <c r="R7" t="s">
        <v>371</v>
      </c>
      <c r="S7" t="s">
        <v>371</v>
      </c>
      <c r="T7" t="s">
        <v>371</v>
      </c>
      <c r="U7" t="s">
        <v>371</v>
      </c>
      <c r="V7" t="s">
        <v>446</v>
      </c>
      <c r="W7" t="s">
        <v>355</v>
      </c>
      <c r="X7" t="s">
        <v>390</v>
      </c>
      <c r="Y7" t="s">
        <v>378</v>
      </c>
      <c r="AA7" t="s">
        <v>127</v>
      </c>
      <c r="AB7" t="s">
        <v>127</v>
      </c>
      <c r="AC7" t="s">
        <v>127</v>
      </c>
      <c r="AD7" t="s">
        <v>113</v>
      </c>
      <c r="AF7" t="s">
        <v>120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99</v>
      </c>
      <c r="AN7" t="s">
        <v>99</v>
      </c>
      <c r="AO7" t="s">
        <v>57</v>
      </c>
      <c r="AP7" t="s">
        <v>57</v>
      </c>
      <c r="AQ7" t="s">
        <v>57</v>
      </c>
      <c r="AR7" t="s">
        <v>57</v>
      </c>
      <c r="AS7" t="s">
        <v>56</v>
      </c>
      <c r="AT7" t="s">
        <v>56</v>
      </c>
      <c r="AU7" t="s">
        <v>56</v>
      </c>
      <c r="AV7" t="s">
        <v>57</v>
      </c>
      <c r="AW7" t="s">
        <v>56</v>
      </c>
      <c r="AX7" t="s">
        <v>56</v>
      </c>
      <c r="AY7" t="s">
        <v>221</v>
      </c>
      <c r="AZ7" t="s">
        <v>222</v>
      </c>
      <c r="BA7" t="s">
        <v>222</v>
      </c>
      <c r="BB7" t="s">
        <v>99</v>
      </c>
      <c r="BD7" t="s">
        <v>423</v>
      </c>
      <c r="BE7" t="s">
        <v>437</v>
      </c>
      <c r="BG7" t="s">
        <v>10</v>
      </c>
      <c r="BH7" t="s">
        <v>57</v>
      </c>
      <c r="BI7" t="s">
        <v>290</v>
      </c>
      <c r="BJ7" t="s">
        <v>295</v>
      </c>
      <c r="BK7" t="s">
        <v>768</v>
      </c>
      <c r="BL7" t="s">
        <v>771</v>
      </c>
      <c r="BM7" t="s">
        <v>390</v>
      </c>
      <c r="BN7" t="s">
        <v>378</v>
      </c>
      <c r="BQ7" t="str">
        <v>AttemptedBreakOutPass</v>
      </c>
    </row>
    <row r="8" spans="1:69" x14ac:dyDescent="0.2">
      <c r="A8" t="s">
        <v>238</v>
      </c>
      <c r="B8" t="s">
        <v>21</v>
      </c>
      <c r="C8" t="s">
        <v>56</v>
      </c>
      <c r="D8" t="s">
        <v>148</v>
      </c>
      <c r="E8" t="s">
        <v>161</v>
      </c>
      <c r="H8" t="s">
        <v>204</v>
      </c>
      <c r="R8" t="s">
        <v>372</v>
      </c>
      <c r="S8" t="s">
        <v>372</v>
      </c>
      <c r="T8" t="s">
        <v>372</v>
      </c>
      <c r="U8" t="s">
        <v>372</v>
      </c>
      <c r="V8" t="s">
        <v>76</v>
      </c>
      <c r="W8" t="s">
        <v>366</v>
      </c>
      <c r="X8" t="s">
        <v>377</v>
      </c>
      <c r="Y8" t="s">
        <v>380</v>
      </c>
      <c r="AA8" t="s">
        <v>128</v>
      </c>
      <c r="AB8" t="s">
        <v>128</v>
      </c>
      <c r="AC8" t="s">
        <v>128</v>
      </c>
      <c r="AD8" t="s">
        <v>116</v>
      </c>
      <c r="AF8" t="s">
        <v>121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100</v>
      </c>
      <c r="AN8" t="s">
        <v>100</v>
      </c>
      <c r="AO8" t="s">
        <v>58</v>
      </c>
      <c r="AP8" t="s">
        <v>58</v>
      </c>
      <c r="AQ8" t="s">
        <v>58</v>
      </c>
      <c r="AR8" t="s">
        <v>58</v>
      </c>
      <c r="AS8" t="s">
        <v>57</v>
      </c>
      <c r="AT8" t="s">
        <v>57</v>
      </c>
      <c r="AU8" t="s">
        <v>57</v>
      </c>
      <c r="AV8" t="s">
        <v>58</v>
      </c>
      <c r="AW8" t="s">
        <v>57</v>
      </c>
      <c r="AX8" t="s">
        <v>57</v>
      </c>
      <c r="AY8" t="s">
        <v>222</v>
      </c>
      <c r="AZ8" t="s">
        <v>223</v>
      </c>
      <c r="BA8" t="s">
        <v>223</v>
      </c>
      <c r="BB8" t="s">
        <v>100</v>
      </c>
      <c r="BD8" t="s">
        <v>424</v>
      </c>
      <c r="BE8" t="s">
        <v>438</v>
      </c>
      <c r="BG8" t="s">
        <v>237</v>
      </c>
      <c r="BH8" t="s">
        <v>58</v>
      </c>
      <c r="BI8" t="s">
        <v>393</v>
      </c>
      <c r="BJ8" t="s">
        <v>296</v>
      </c>
      <c r="BK8" t="s">
        <v>770</v>
      </c>
      <c r="BL8" t="s">
        <v>772</v>
      </c>
      <c r="BM8" t="s">
        <v>377</v>
      </c>
      <c r="BN8" t="s">
        <v>380</v>
      </c>
      <c r="BQ8" t="str">
        <v>AttemptedBreakOutRush</v>
      </c>
    </row>
    <row r="9" spans="1:69" x14ac:dyDescent="0.2">
      <c r="A9" t="s">
        <v>10</v>
      </c>
      <c r="B9" t="s">
        <v>22</v>
      </c>
      <c r="C9" t="s">
        <v>57</v>
      </c>
      <c r="D9" t="s">
        <v>149</v>
      </c>
      <c r="E9" t="s">
        <v>162</v>
      </c>
      <c r="H9" t="s">
        <v>207</v>
      </c>
      <c r="R9" t="s">
        <v>381</v>
      </c>
      <c r="S9" t="s">
        <v>381</v>
      </c>
      <c r="T9" t="s">
        <v>381</v>
      </c>
      <c r="U9" t="s">
        <v>381</v>
      </c>
      <c r="V9" t="s">
        <v>77</v>
      </c>
      <c r="W9" t="s">
        <v>84</v>
      </c>
      <c r="X9" t="s">
        <v>379</v>
      </c>
      <c r="Y9" t="s">
        <v>415</v>
      </c>
      <c r="AA9" t="s">
        <v>129</v>
      </c>
      <c r="AB9" t="s">
        <v>129</v>
      </c>
      <c r="AC9" t="s">
        <v>129</v>
      </c>
      <c r="AD9" t="s">
        <v>108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101</v>
      </c>
      <c r="AN9" t="s">
        <v>101</v>
      </c>
      <c r="AO9" t="s">
        <v>59</v>
      </c>
      <c r="AP9" t="s">
        <v>59</v>
      </c>
      <c r="AQ9" t="s">
        <v>59</v>
      </c>
      <c r="AR9" t="s">
        <v>59</v>
      </c>
      <c r="AS9" t="s">
        <v>58</v>
      </c>
      <c r="AT9" t="s">
        <v>58</v>
      </c>
      <c r="AU9" t="s">
        <v>58</v>
      </c>
      <c r="AV9" t="s">
        <v>59</v>
      </c>
      <c r="AW9" t="s">
        <v>58</v>
      </c>
      <c r="AX9" t="s">
        <v>58</v>
      </c>
      <c r="AY9" t="s">
        <v>223</v>
      </c>
      <c r="AZ9" t="s">
        <v>224</v>
      </c>
      <c r="BA9" t="s">
        <v>224</v>
      </c>
      <c r="BB9" t="s">
        <v>101</v>
      </c>
      <c r="BD9" t="s">
        <v>425</v>
      </c>
      <c r="BE9" t="s">
        <v>439</v>
      </c>
      <c r="BG9" t="s">
        <v>11</v>
      </c>
      <c r="BH9" t="s">
        <v>59</v>
      </c>
      <c r="BI9" t="s">
        <v>519</v>
      </c>
      <c r="BJ9" t="s">
        <v>285</v>
      </c>
      <c r="BK9" t="s">
        <v>771</v>
      </c>
      <c r="BL9" t="s">
        <v>766</v>
      </c>
      <c r="BM9" t="s">
        <v>379</v>
      </c>
      <c r="BN9" t="s">
        <v>415</v>
      </c>
      <c r="BQ9" t="str">
        <v>AttemptedEntryDumpIn</v>
      </c>
    </row>
    <row r="10" spans="1:69" x14ac:dyDescent="0.2">
      <c r="A10" t="s">
        <v>237</v>
      </c>
      <c r="B10" t="s">
        <v>23</v>
      </c>
      <c r="C10" t="s">
        <v>58</v>
      </c>
      <c r="D10" t="s">
        <v>150</v>
      </c>
      <c r="E10" t="s">
        <v>163</v>
      </c>
      <c r="H10" t="s">
        <v>208</v>
      </c>
      <c r="R10" t="s">
        <v>385</v>
      </c>
      <c r="S10" t="s">
        <v>385</v>
      </c>
      <c r="T10" t="s">
        <v>385</v>
      </c>
      <c r="U10" t="s">
        <v>385</v>
      </c>
      <c r="V10" t="s">
        <v>354</v>
      </c>
      <c r="X10" t="s">
        <v>382</v>
      </c>
      <c r="Y10" t="s">
        <v>524</v>
      </c>
      <c r="AA10" t="s">
        <v>130</v>
      </c>
      <c r="AB10" t="s">
        <v>130</v>
      </c>
      <c r="AC10" t="s">
        <v>130</v>
      </c>
      <c r="AD10" t="s">
        <v>105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416</v>
      </c>
      <c r="AN10" t="s">
        <v>416</v>
      </c>
      <c r="AO10" t="s">
        <v>60</v>
      </c>
      <c r="AP10" t="s">
        <v>60</v>
      </c>
      <c r="AQ10" t="s">
        <v>60</v>
      </c>
      <c r="AR10" t="s">
        <v>60</v>
      </c>
      <c r="AS10" t="s">
        <v>59</v>
      </c>
      <c r="AT10" t="s">
        <v>59</v>
      </c>
      <c r="AU10" t="s">
        <v>59</v>
      </c>
      <c r="AV10" t="s">
        <v>60</v>
      </c>
      <c r="AW10" t="s">
        <v>59</v>
      </c>
      <c r="AX10" t="s">
        <v>59</v>
      </c>
      <c r="AY10" t="s">
        <v>224</v>
      </c>
      <c r="AZ10" t="s">
        <v>225</v>
      </c>
      <c r="BA10" t="s">
        <v>225</v>
      </c>
      <c r="BB10" t="s">
        <v>102</v>
      </c>
      <c r="BD10" t="s">
        <v>447</v>
      </c>
      <c r="BE10" t="s">
        <v>440</v>
      </c>
      <c r="BG10" t="s">
        <v>12</v>
      </c>
      <c r="BH10" t="s">
        <v>60</v>
      </c>
      <c r="BI10" t="s">
        <v>287</v>
      </c>
      <c r="BJ10" t="s">
        <v>297</v>
      </c>
      <c r="BK10" t="s">
        <v>772</v>
      </c>
      <c r="BL10" t="s">
        <v>159</v>
      </c>
      <c r="BM10" t="s">
        <v>382</v>
      </c>
      <c r="BN10" t="s">
        <v>524</v>
      </c>
      <c r="BQ10" t="str">
        <v>AttemptedEntryPass</v>
      </c>
    </row>
    <row r="11" spans="1:69" x14ac:dyDescent="0.2">
      <c r="A11" t="s">
        <v>11</v>
      </c>
      <c r="B11" t="s">
        <v>24</v>
      </c>
      <c r="C11" t="s">
        <v>59</v>
      </c>
      <c r="D11" t="s">
        <v>151</v>
      </c>
      <c r="E11" t="s">
        <v>164</v>
      </c>
      <c r="H11" t="s">
        <v>211</v>
      </c>
      <c r="R11" t="s">
        <v>444</v>
      </c>
      <c r="S11" t="s">
        <v>444</v>
      </c>
      <c r="T11" t="s">
        <v>444</v>
      </c>
      <c r="U11" t="s">
        <v>444</v>
      </c>
      <c r="V11" t="s">
        <v>365</v>
      </c>
      <c r="X11" t="s">
        <v>414</v>
      </c>
      <c r="Y11" t="s">
        <v>727</v>
      </c>
      <c r="AA11" t="s">
        <v>131</v>
      </c>
      <c r="AB11" t="s">
        <v>131</v>
      </c>
      <c r="AC11" t="s">
        <v>131</v>
      </c>
      <c r="AD11" t="s">
        <v>41</v>
      </c>
      <c r="AG11" t="s">
        <v>54</v>
      </c>
      <c r="AH11" t="s">
        <v>54</v>
      </c>
      <c r="AI11" t="s">
        <v>64</v>
      </c>
      <c r="AJ11" t="s">
        <v>64</v>
      </c>
      <c r="AK11" t="s">
        <v>64</v>
      </c>
      <c r="AL11" t="s">
        <v>64</v>
      </c>
      <c r="AM11" t="s">
        <v>443</v>
      </c>
      <c r="AN11" t="s">
        <v>443</v>
      </c>
      <c r="AO11" t="s">
        <v>61</v>
      </c>
      <c r="AP11" t="s">
        <v>61</v>
      </c>
      <c r="AQ11" t="s">
        <v>61</v>
      </c>
      <c r="AR11" t="s">
        <v>61</v>
      </c>
      <c r="AS11" t="s">
        <v>60</v>
      </c>
      <c r="AT11" t="s">
        <v>60</v>
      </c>
      <c r="AU11" t="s">
        <v>60</v>
      </c>
      <c r="AV11" t="s">
        <v>61</v>
      </c>
      <c r="AW11" t="s">
        <v>60</v>
      </c>
      <c r="AX11" t="s">
        <v>60</v>
      </c>
      <c r="AY11" t="s">
        <v>225</v>
      </c>
      <c r="AZ11" t="s">
        <v>229</v>
      </c>
      <c r="BA11" t="s">
        <v>229</v>
      </c>
      <c r="BD11" t="s">
        <v>426</v>
      </c>
      <c r="BE11" t="s">
        <v>441</v>
      </c>
      <c r="BG11" t="s">
        <v>13</v>
      </c>
      <c r="BH11" t="s">
        <v>61</v>
      </c>
      <c r="BJ11" t="s">
        <v>298</v>
      </c>
      <c r="BK11" t="s">
        <v>766</v>
      </c>
      <c r="BL11" t="s">
        <v>164</v>
      </c>
      <c r="BM11" t="s">
        <v>414</v>
      </c>
      <c r="BN11" t="s">
        <v>170</v>
      </c>
      <c r="BQ11" t="str">
        <v>AttemptedEntryRush</v>
      </c>
    </row>
    <row r="12" spans="1:69" x14ac:dyDescent="0.2">
      <c r="A12" t="s">
        <v>12</v>
      </c>
      <c r="B12" t="s">
        <v>25</v>
      </c>
      <c r="C12" t="s">
        <v>60</v>
      </c>
      <c r="D12" t="s">
        <v>152</v>
      </c>
      <c r="E12" t="s">
        <v>165</v>
      </c>
      <c r="H12" t="s">
        <v>212</v>
      </c>
      <c r="R12" t="s">
        <v>445</v>
      </c>
      <c r="S12" t="s">
        <v>445</v>
      </c>
      <c r="T12" t="s">
        <v>445</v>
      </c>
      <c r="U12" t="s">
        <v>445</v>
      </c>
      <c r="V12" t="s">
        <v>383</v>
      </c>
      <c r="X12" t="s">
        <v>523</v>
      </c>
      <c r="Y12" t="s">
        <v>170</v>
      </c>
      <c r="AA12" t="s">
        <v>132</v>
      </c>
      <c r="AB12" t="s">
        <v>132</v>
      </c>
      <c r="AC12" t="s">
        <v>132</v>
      </c>
      <c r="AD12" t="s">
        <v>40</v>
      </c>
      <c r="AG12" t="s">
        <v>64</v>
      </c>
      <c r="AH12" t="s">
        <v>64</v>
      </c>
      <c r="AM12" t="s">
        <v>102</v>
      </c>
      <c r="AN12" t="s">
        <v>102</v>
      </c>
      <c r="AO12" t="s">
        <v>63</v>
      </c>
      <c r="AP12" t="s">
        <v>63</v>
      </c>
      <c r="AQ12" t="s">
        <v>63</v>
      </c>
      <c r="AR12" t="s">
        <v>63</v>
      </c>
      <c r="AS12" t="s">
        <v>61</v>
      </c>
      <c r="AT12" t="s">
        <v>61</v>
      </c>
      <c r="AU12" t="s">
        <v>61</v>
      </c>
      <c r="AV12" t="s">
        <v>63</v>
      </c>
      <c r="AW12" t="s">
        <v>61</v>
      </c>
      <c r="AX12" t="s">
        <v>61</v>
      </c>
      <c r="AY12" t="s">
        <v>226</v>
      </c>
      <c r="BD12" t="s">
        <v>427</v>
      </c>
      <c r="BE12" t="s">
        <v>442</v>
      </c>
      <c r="BG12" t="s">
        <v>14</v>
      </c>
      <c r="BH12" t="s">
        <v>63</v>
      </c>
      <c r="BJ12" t="s">
        <v>299</v>
      </c>
      <c r="BK12" t="s">
        <v>450</v>
      </c>
      <c r="BL12" t="s">
        <v>758</v>
      </c>
      <c r="BM12" t="s">
        <v>523</v>
      </c>
      <c r="BQ12" t="str">
        <v>AttemptedKeepin</v>
      </c>
    </row>
    <row r="13" spans="1:69" x14ac:dyDescent="0.2">
      <c r="A13" t="s">
        <v>13</v>
      </c>
      <c r="B13" t="s">
        <v>26</v>
      </c>
      <c r="C13" t="s">
        <v>61</v>
      </c>
      <c r="D13" t="s">
        <v>153</v>
      </c>
      <c r="E13" t="s">
        <v>166</v>
      </c>
      <c r="H13" t="s">
        <v>240</v>
      </c>
      <c r="R13" t="s">
        <v>588</v>
      </c>
      <c r="S13" t="s">
        <v>70</v>
      </c>
      <c r="T13" t="s">
        <v>70</v>
      </c>
      <c r="U13" t="s">
        <v>70</v>
      </c>
      <c r="V13" t="s">
        <v>391</v>
      </c>
      <c r="X13" t="s">
        <v>726</v>
      </c>
      <c r="AA13" t="s">
        <v>134</v>
      </c>
      <c r="AB13" t="s">
        <v>133</v>
      </c>
      <c r="AC13" t="s">
        <v>133</v>
      </c>
      <c r="AO13" t="s">
        <v>54</v>
      </c>
      <c r="AP13" t="s">
        <v>204</v>
      </c>
      <c r="AQ13" t="s">
        <v>204</v>
      </c>
      <c r="AR13" t="s">
        <v>204</v>
      </c>
      <c r="AS13" t="s">
        <v>63</v>
      </c>
      <c r="AT13" t="s">
        <v>63</v>
      </c>
      <c r="AU13" t="s">
        <v>63</v>
      </c>
      <c r="AV13" t="s">
        <v>64</v>
      </c>
      <c r="AW13" t="s">
        <v>63</v>
      </c>
      <c r="AX13" t="s">
        <v>63</v>
      </c>
      <c r="AY13" t="s">
        <v>227</v>
      </c>
      <c r="BD13" t="s">
        <v>428</v>
      </c>
      <c r="BE13" t="s">
        <v>448</v>
      </c>
      <c r="BG13" t="s">
        <v>15</v>
      </c>
      <c r="BH13" t="s">
        <v>204</v>
      </c>
      <c r="BJ13" t="s">
        <v>300</v>
      </c>
      <c r="BK13" t="s">
        <v>450</v>
      </c>
      <c r="BL13" t="s">
        <v>162</v>
      </c>
      <c r="BM13" t="s">
        <v>169</v>
      </c>
      <c r="BQ13" t="str">
        <v>AttemptedPass</v>
      </c>
    </row>
    <row r="14" spans="1:69" x14ac:dyDescent="0.2">
      <c r="A14" t="s">
        <v>14</v>
      </c>
      <c r="B14" t="s">
        <v>27</v>
      </c>
      <c r="C14" t="s">
        <v>62</v>
      </c>
      <c r="D14" t="s">
        <v>154</v>
      </c>
      <c r="E14" t="s">
        <v>152</v>
      </c>
      <c r="H14" t="s">
        <v>730</v>
      </c>
      <c r="R14" t="s">
        <v>589</v>
      </c>
      <c r="S14" t="s">
        <v>589</v>
      </c>
      <c r="T14" t="s">
        <v>589</v>
      </c>
      <c r="U14" t="s">
        <v>589</v>
      </c>
      <c r="V14" t="s">
        <v>78</v>
      </c>
      <c r="X14" t="s">
        <v>169</v>
      </c>
      <c r="AA14" t="s">
        <v>135</v>
      </c>
      <c r="AB14" t="s">
        <v>134</v>
      </c>
      <c r="AC14" t="s">
        <v>134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62</v>
      </c>
      <c r="AW14" t="s">
        <v>64</v>
      </c>
      <c r="AX14" t="s">
        <v>64</v>
      </c>
      <c r="AY14" t="s">
        <v>228</v>
      </c>
      <c r="BD14" t="s">
        <v>429</v>
      </c>
      <c r="BE14" t="s">
        <v>427</v>
      </c>
      <c r="BG14" t="s">
        <v>16</v>
      </c>
      <c r="BH14" t="s">
        <v>64</v>
      </c>
      <c r="BJ14" t="s">
        <v>301</v>
      </c>
      <c r="BK14" t="s">
        <v>774</v>
      </c>
      <c r="BL14" t="s">
        <v>165</v>
      </c>
      <c r="BQ14" t="str">
        <v>AttemptedShot</v>
      </c>
    </row>
    <row r="15" spans="1:69" x14ac:dyDescent="0.2">
      <c r="A15" t="s">
        <v>15</v>
      </c>
      <c r="B15" t="s">
        <v>28</v>
      </c>
      <c r="C15" t="s">
        <v>63</v>
      </c>
      <c r="D15" t="s">
        <v>155</v>
      </c>
      <c r="R15" t="s">
        <v>590</v>
      </c>
      <c r="S15" t="s">
        <v>590</v>
      </c>
      <c r="T15" t="s">
        <v>590</v>
      </c>
      <c r="U15" t="s">
        <v>590</v>
      </c>
      <c r="AA15" t="s">
        <v>136</v>
      </c>
      <c r="AB15" t="s">
        <v>135</v>
      </c>
      <c r="AC15" t="s">
        <v>135</v>
      </c>
      <c r="AV15" t="s">
        <v>54</v>
      </c>
      <c r="AY15" t="s">
        <v>229</v>
      </c>
      <c r="BD15" t="s">
        <v>430</v>
      </c>
      <c r="BG15" t="s">
        <v>231</v>
      </c>
      <c r="BJ15" t="s">
        <v>302</v>
      </c>
      <c r="BK15" t="s">
        <v>773</v>
      </c>
      <c r="BL15" t="s">
        <v>163</v>
      </c>
      <c r="BQ15" t="str">
        <v>AttemptedTip/Deflection</v>
      </c>
    </row>
    <row r="16" spans="1:69" x14ac:dyDescent="0.2">
      <c r="A16" t="s">
        <v>16</v>
      </c>
      <c r="B16" t="s">
        <v>29</v>
      </c>
      <c r="C16" t="s">
        <v>64</v>
      </c>
      <c r="R16" t="s">
        <v>591</v>
      </c>
      <c r="S16" t="s">
        <v>591</v>
      </c>
      <c r="T16" t="s">
        <v>591</v>
      </c>
      <c r="U16" t="s">
        <v>591</v>
      </c>
      <c r="AA16" t="s">
        <v>138</v>
      </c>
      <c r="AB16" t="s">
        <v>136</v>
      </c>
      <c r="AC16" t="s">
        <v>136</v>
      </c>
      <c r="BD16" t="s">
        <v>431</v>
      </c>
      <c r="BJ16" t="s">
        <v>303</v>
      </c>
      <c r="BK16" t="s">
        <v>151</v>
      </c>
      <c r="BL16" t="s">
        <v>556</v>
      </c>
      <c r="BQ16" t="str">
        <v>Backcheck</v>
      </c>
    </row>
    <row r="17" spans="1:69" x14ac:dyDescent="0.2">
      <c r="A17" t="s">
        <v>231</v>
      </c>
      <c r="B17" t="s">
        <v>30</v>
      </c>
      <c r="C17" t="s">
        <v>65</v>
      </c>
      <c r="R17" t="s">
        <v>592</v>
      </c>
      <c r="S17" t="s">
        <v>592</v>
      </c>
      <c r="T17" t="s">
        <v>592</v>
      </c>
      <c r="U17" t="s">
        <v>592</v>
      </c>
      <c r="AA17" t="s">
        <v>139</v>
      </c>
      <c r="AB17" t="s">
        <v>137</v>
      </c>
      <c r="AC17" t="s">
        <v>137</v>
      </c>
      <c r="BJ17" t="s">
        <v>304</v>
      </c>
      <c r="BK17" t="s">
        <v>148</v>
      </c>
      <c r="BL17" t="s">
        <v>166</v>
      </c>
      <c r="BQ17" t="str">
        <v>BeatDeke</v>
      </c>
    </row>
    <row r="18" spans="1:69" x14ac:dyDescent="0.2">
      <c r="A18" t="s">
        <v>241</v>
      </c>
      <c r="B18" t="s">
        <v>31</v>
      </c>
      <c r="C18" t="s">
        <v>66</v>
      </c>
      <c r="R18" t="s">
        <v>70</v>
      </c>
      <c r="S18" t="s">
        <v>70</v>
      </c>
      <c r="T18" t="s">
        <v>70</v>
      </c>
      <c r="U18" t="s">
        <v>70</v>
      </c>
      <c r="AA18" t="s">
        <v>141</v>
      </c>
      <c r="AB18" t="s">
        <v>138</v>
      </c>
      <c r="AC18" t="s">
        <v>138</v>
      </c>
      <c r="BJ18" t="s">
        <v>305</v>
      </c>
      <c r="BK18" t="s">
        <v>548</v>
      </c>
      <c r="BL18" t="s">
        <v>774</v>
      </c>
      <c r="BQ18" t="str">
        <v>BeatFake</v>
      </c>
    </row>
    <row r="19" spans="1:69" x14ac:dyDescent="0.2">
      <c r="A19" t="s">
        <v>230</v>
      </c>
      <c r="B19" t="s">
        <v>32</v>
      </c>
      <c r="C19" t="s">
        <v>67</v>
      </c>
      <c r="AB19" t="s">
        <v>139</v>
      </c>
      <c r="AC19" t="s">
        <v>139</v>
      </c>
      <c r="BJ19" t="s">
        <v>306</v>
      </c>
      <c r="BK19" t="s">
        <v>527</v>
      </c>
      <c r="BL19" t="s">
        <v>773</v>
      </c>
      <c r="BQ19" t="str">
        <v>BeatMiddle</v>
      </c>
    </row>
    <row r="20" spans="1:69" x14ac:dyDescent="0.2">
      <c r="A20" t="s">
        <v>392</v>
      </c>
      <c r="B20" t="s">
        <v>33</v>
      </c>
      <c r="C20" t="s">
        <v>68</v>
      </c>
      <c r="AB20" t="s">
        <v>140</v>
      </c>
      <c r="AC20" t="s">
        <v>140</v>
      </c>
      <c r="BJ20" t="s">
        <v>307</v>
      </c>
      <c r="BK20" t="s">
        <v>150</v>
      </c>
      <c r="BL20" t="s">
        <v>558</v>
      </c>
      <c r="BQ20" t="str">
        <v>BeatSpeed</v>
      </c>
    </row>
    <row r="21" spans="1:69" x14ac:dyDescent="0.2">
      <c r="A21" t="s">
        <v>393</v>
      </c>
      <c r="B21" t="s">
        <v>34</v>
      </c>
      <c r="C21" t="s">
        <v>69</v>
      </c>
      <c r="AB21" t="s">
        <v>141</v>
      </c>
      <c r="AC21" t="s">
        <v>141</v>
      </c>
      <c r="BJ21" t="s">
        <v>308</v>
      </c>
      <c r="BK21" t="s">
        <v>149</v>
      </c>
      <c r="BL21" t="s">
        <v>161</v>
      </c>
      <c r="BQ21" t="str">
        <v>BeatWide</v>
      </c>
    </row>
    <row r="22" spans="1:69" x14ac:dyDescent="0.2">
      <c r="A22" t="s">
        <v>398</v>
      </c>
      <c r="B22" t="s">
        <v>35</v>
      </c>
      <c r="C22" t="s">
        <v>70</v>
      </c>
      <c r="BJ22" t="s">
        <v>309</v>
      </c>
      <c r="BK22" t="s">
        <v>145</v>
      </c>
      <c r="BL22" t="s">
        <v>584</v>
      </c>
      <c r="BQ22" t="str">
        <v>BlockedShot</v>
      </c>
    </row>
    <row r="23" spans="1:69" x14ac:dyDescent="0.2">
      <c r="A23" t="s">
        <v>287</v>
      </c>
      <c r="B23" t="s">
        <v>10</v>
      </c>
      <c r="C23" t="s">
        <v>71</v>
      </c>
      <c r="BJ23" t="s">
        <v>310</v>
      </c>
      <c r="BK23" t="s">
        <v>143</v>
      </c>
      <c r="BL23" t="s">
        <v>760</v>
      </c>
      <c r="BQ23" t="str">
        <v>BoxOut</v>
      </c>
    </row>
    <row r="24" spans="1:69" x14ac:dyDescent="0.2">
      <c r="A24" t="s">
        <v>400</v>
      </c>
      <c r="B24" t="s">
        <v>36</v>
      </c>
      <c r="C24" t="s">
        <v>72</v>
      </c>
      <c r="BJ24" t="s">
        <v>311</v>
      </c>
      <c r="BK24" t="s">
        <v>146</v>
      </c>
      <c r="BL24" t="s">
        <v>762</v>
      </c>
      <c r="BQ24" t="str">
        <v>Breakout</v>
      </c>
    </row>
    <row r="25" spans="1:69" x14ac:dyDescent="0.2">
      <c r="A25" t="s">
        <v>417</v>
      </c>
      <c r="B25" t="s">
        <v>37</v>
      </c>
      <c r="C25" t="s">
        <v>73</v>
      </c>
      <c r="BJ25" t="s">
        <v>312</v>
      </c>
      <c r="BK25" t="s">
        <v>147</v>
      </c>
      <c r="BL25" t="s">
        <v>761</v>
      </c>
      <c r="BQ25" t="str">
        <v>CededZoneEntry</v>
      </c>
    </row>
    <row r="26" spans="1:69" x14ac:dyDescent="0.2">
      <c r="A26" t="s">
        <v>529</v>
      </c>
      <c r="B26" t="s">
        <v>38</v>
      </c>
      <c r="C26" t="s">
        <v>74</v>
      </c>
      <c r="BJ26" t="s">
        <v>313</v>
      </c>
      <c r="BK26" t="s">
        <v>144</v>
      </c>
      <c r="BL26" t="s">
        <v>759</v>
      </c>
      <c r="BQ26" t="str">
        <v>CededZoneExit</v>
      </c>
    </row>
    <row r="27" spans="1:69" x14ac:dyDescent="0.2">
      <c r="B27" t="s">
        <v>39</v>
      </c>
      <c r="C27" t="s">
        <v>75</v>
      </c>
      <c r="BJ27" t="s">
        <v>314</v>
      </c>
      <c r="BK27" t="s">
        <v>537</v>
      </c>
      <c r="BL27" t="s">
        <v>786</v>
      </c>
      <c r="BQ27" t="str">
        <v>Chip</v>
      </c>
    </row>
    <row r="28" spans="1:69" x14ac:dyDescent="0.2">
      <c r="B28" t="s">
        <v>40</v>
      </c>
      <c r="C28" t="s">
        <v>76</v>
      </c>
      <c r="BJ28" t="s">
        <v>315</v>
      </c>
      <c r="BK28" t="s">
        <v>153</v>
      </c>
      <c r="BL28" t="s">
        <v>154</v>
      </c>
      <c r="BQ28" t="str">
        <v>ClearingAttempt</v>
      </c>
    </row>
    <row r="29" spans="1:69" x14ac:dyDescent="0.2">
      <c r="B29" t="s">
        <v>41</v>
      </c>
      <c r="C29" t="s">
        <v>77</v>
      </c>
      <c r="BJ29" t="s">
        <v>316</v>
      </c>
      <c r="BK29" t="s">
        <v>547</v>
      </c>
      <c r="BL29" t="s">
        <v>546</v>
      </c>
      <c r="BQ29" t="str">
        <v>Contain</v>
      </c>
    </row>
    <row r="30" spans="1:69" x14ac:dyDescent="0.2">
      <c r="B30" t="s">
        <v>42</v>
      </c>
      <c r="C30" t="s">
        <v>78</v>
      </c>
      <c r="BJ30" t="s">
        <v>317</v>
      </c>
      <c r="BK30" t="s">
        <v>545</v>
      </c>
      <c r="BL30" t="s">
        <v>757</v>
      </c>
      <c r="BQ30" t="str">
        <v>CrashNet</v>
      </c>
    </row>
    <row r="31" spans="1:69" x14ac:dyDescent="0.2">
      <c r="B31" t="s">
        <v>43</v>
      </c>
      <c r="C31" t="s">
        <v>79</v>
      </c>
      <c r="BJ31" t="s">
        <v>318</v>
      </c>
      <c r="BK31" t="s">
        <v>763</v>
      </c>
      <c r="BL31" t="s">
        <v>566</v>
      </c>
      <c r="BQ31" t="str">
        <v>CutBack</v>
      </c>
    </row>
    <row r="32" spans="1:69" x14ac:dyDescent="0.2">
      <c r="B32" t="s">
        <v>44</v>
      </c>
      <c r="C32" t="s">
        <v>80</v>
      </c>
      <c r="BJ32" t="s">
        <v>319</v>
      </c>
      <c r="BK32" t="s">
        <v>554</v>
      </c>
      <c r="BL32" t="s">
        <v>765</v>
      </c>
      <c r="BQ32" t="str">
        <v>Cycle</v>
      </c>
    </row>
    <row r="33" spans="2:69" x14ac:dyDescent="0.2">
      <c r="B33" t="s">
        <v>45</v>
      </c>
      <c r="C33" t="s">
        <v>81</v>
      </c>
      <c r="BJ33" t="s">
        <v>320</v>
      </c>
      <c r="BK33" t="s">
        <v>154</v>
      </c>
      <c r="BL33" t="s">
        <v>764</v>
      </c>
      <c r="BQ33" t="str">
        <v>DeflectedShot</v>
      </c>
    </row>
    <row r="34" spans="2:69" x14ac:dyDescent="0.2">
      <c r="B34" t="s">
        <v>46</v>
      </c>
      <c r="C34" t="s">
        <v>82</v>
      </c>
      <c r="BJ34" t="s">
        <v>321</v>
      </c>
      <c r="BK34" t="s">
        <v>546</v>
      </c>
      <c r="BL34" t="s">
        <v>563</v>
      </c>
      <c r="BQ34" t="str">
        <v>Deke</v>
      </c>
    </row>
    <row r="35" spans="2:69" x14ac:dyDescent="0.2">
      <c r="B35" t="s">
        <v>47</v>
      </c>
      <c r="C35" t="s">
        <v>83</v>
      </c>
      <c r="BJ35" t="s">
        <v>322</v>
      </c>
      <c r="BK35" t="s">
        <v>549</v>
      </c>
      <c r="BL35" t="s">
        <v>782</v>
      </c>
      <c r="BQ35" t="str">
        <v>Delay</v>
      </c>
    </row>
    <row r="36" spans="2:69" x14ac:dyDescent="0.2">
      <c r="B36" t="s">
        <v>48</v>
      </c>
      <c r="C36" t="s">
        <v>84</v>
      </c>
      <c r="BJ36" t="s">
        <v>323</v>
      </c>
      <c r="BK36" t="s">
        <v>765</v>
      </c>
      <c r="BL36" t="s">
        <v>557</v>
      </c>
      <c r="BQ36" t="str">
        <v>DelayedOffside</v>
      </c>
    </row>
    <row r="37" spans="2:69" x14ac:dyDescent="0.2">
      <c r="B37" t="s">
        <v>49</v>
      </c>
      <c r="C37" t="s">
        <v>85</v>
      </c>
      <c r="BJ37" t="s">
        <v>324</v>
      </c>
      <c r="BK37" t="s">
        <v>764</v>
      </c>
      <c r="BL37" t="s">
        <v>562</v>
      </c>
      <c r="BQ37" t="str">
        <v>DriveCorner</v>
      </c>
    </row>
    <row r="38" spans="2:69" x14ac:dyDescent="0.2">
      <c r="B38" t="s">
        <v>167</v>
      </c>
      <c r="C38" t="s">
        <v>86</v>
      </c>
      <c r="BJ38" t="s">
        <v>325</v>
      </c>
      <c r="BK38" t="s">
        <v>785</v>
      </c>
      <c r="BL38" t="s">
        <v>156</v>
      </c>
      <c r="BQ38" t="str">
        <v>DriveMiddle</v>
      </c>
    </row>
    <row r="39" spans="2:69" x14ac:dyDescent="0.2">
      <c r="B39" t="s">
        <v>168</v>
      </c>
      <c r="C39" t="s">
        <v>87</v>
      </c>
      <c r="BJ39" t="s">
        <v>326</v>
      </c>
      <c r="BK39" t="s">
        <v>784</v>
      </c>
      <c r="BL39" t="s">
        <v>559</v>
      </c>
      <c r="BQ39" t="str">
        <v>DriveNetMiddle</v>
      </c>
    </row>
    <row r="40" spans="2:69" x14ac:dyDescent="0.2">
      <c r="B40" t="s">
        <v>15</v>
      </c>
      <c r="C40" t="s">
        <v>88</v>
      </c>
      <c r="BJ40" t="s">
        <v>327</v>
      </c>
      <c r="BK40" t="s">
        <v>540</v>
      </c>
      <c r="BL40" t="s">
        <v>579</v>
      </c>
      <c r="BQ40" t="str">
        <v>DriveNetWide</v>
      </c>
    </row>
    <row r="41" spans="2:69" x14ac:dyDescent="0.2">
      <c r="B41" t="s">
        <v>241</v>
      </c>
      <c r="C41" t="s">
        <v>89</v>
      </c>
      <c r="BJ41" t="s">
        <v>328</v>
      </c>
      <c r="BK41" t="s">
        <v>152</v>
      </c>
      <c r="BL41" t="s">
        <v>776</v>
      </c>
      <c r="BQ41" t="str">
        <v>DriveWide</v>
      </c>
    </row>
    <row r="42" spans="2:69" x14ac:dyDescent="0.2">
      <c r="B42" t="s">
        <v>230</v>
      </c>
      <c r="C42" t="s">
        <v>90</v>
      </c>
      <c r="BJ42" t="s">
        <v>329</v>
      </c>
      <c r="BK42" t="s">
        <v>1022</v>
      </c>
      <c r="BL42" t="s">
        <v>778</v>
      </c>
      <c r="BQ42" t="str">
        <v>Dump/RimInZone</v>
      </c>
    </row>
    <row r="43" spans="2:69" x14ac:dyDescent="0.2">
      <c r="B43" t="s">
        <v>399</v>
      </c>
      <c r="C43" t="s">
        <v>91</v>
      </c>
      <c r="BJ43" t="s">
        <v>330</v>
      </c>
      <c r="BK43" t="s">
        <v>1023</v>
      </c>
      <c r="BL43" t="s">
        <v>582</v>
      </c>
      <c r="BQ43" t="str">
        <v>DumpChase</v>
      </c>
    </row>
    <row r="44" spans="2:69" x14ac:dyDescent="0.2">
      <c r="C44" t="s">
        <v>92</v>
      </c>
      <c r="BJ44" t="s">
        <v>331</v>
      </c>
      <c r="BK44" t="s">
        <v>1024</v>
      </c>
      <c r="BL44" t="s">
        <v>585</v>
      </c>
      <c r="BQ44" t="str">
        <v>DumpInAttempt</v>
      </c>
    </row>
    <row r="45" spans="2:69" x14ac:dyDescent="0.2">
      <c r="C45" t="s">
        <v>93</v>
      </c>
      <c r="BJ45" t="s">
        <v>332</v>
      </c>
      <c r="BK45" t="s">
        <v>1025</v>
      </c>
      <c r="BL45" t="s">
        <v>580</v>
      </c>
      <c r="BQ45" t="str">
        <v>EndToEndRush</v>
      </c>
    </row>
    <row r="46" spans="2:69" x14ac:dyDescent="0.2">
      <c r="C46" t="s">
        <v>94</v>
      </c>
      <c r="BJ46" t="s">
        <v>333</v>
      </c>
      <c r="BK46" t="s">
        <v>1026</v>
      </c>
      <c r="BL46" t="s">
        <v>581</v>
      </c>
      <c r="BQ46" t="str">
        <v>FakeShot</v>
      </c>
    </row>
    <row r="47" spans="2:69" x14ac:dyDescent="0.2">
      <c r="C47" t="s">
        <v>95</v>
      </c>
      <c r="BJ47" t="s">
        <v>334</v>
      </c>
      <c r="BK47" t="s">
        <v>1027</v>
      </c>
      <c r="BL47" t="s">
        <v>775</v>
      </c>
      <c r="BQ47" t="str">
        <v>ForcedDumpin/Clear</v>
      </c>
    </row>
    <row r="48" spans="2:69" x14ac:dyDescent="0.2">
      <c r="C48" t="s">
        <v>96</v>
      </c>
      <c r="BJ48" t="s">
        <v>335</v>
      </c>
      <c r="BK48" t="s">
        <v>1028</v>
      </c>
      <c r="BL48" t="s">
        <v>777</v>
      </c>
      <c r="BQ48" t="str">
        <v>ForcedLostPossession</v>
      </c>
    </row>
    <row r="49" spans="3:69" x14ac:dyDescent="0.2">
      <c r="C49" t="s">
        <v>97</v>
      </c>
      <c r="BJ49" t="s">
        <v>336</v>
      </c>
      <c r="BK49" t="s">
        <v>1023</v>
      </c>
      <c r="BL49" t="s">
        <v>544</v>
      </c>
      <c r="BQ49" t="str">
        <v>ForcedMissedPass</v>
      </c>
    </row>
    <row r="50" spans="3:69" x14ac:dyDescent="0.2">
      <c r="C50" t="s">
        <v>98</v>
      </c>
      <c r="BJ50" t="s">
        <v>337</v>
      </c>
      <c r="BK50" t="s">
        <v>1024</v>
      </c>
      <c r="BL50" t="s">
        <v>543</v>
      </c>
      <c r="BQ50" t="str">
        <v>ForcedMissedShot</v>
      </c>
    </row>
    <row r="51" spans="3:69" x14ac:dyDescent="0.2">
      <c r="C51" t="s">
        <v>99</v>
      </c>
      <c r="BJ51" t="s">
        <v>338</v>
      </c>
      <c r="BK51" t="s">
        <v>1025</v>
      </c>
      <c r="BL51" t="s">
        <v>541</v>
      </c>
      <c r="BQ51" t="str">
        <v>ForcedTurnover</v>
      </c>
    </row>
    <row r="52" spans="3:69" x14ac:dyDescent="0.2">
      <c r="C52" t="s">
        <v>100</v>
      </c>
      <c r="BJ52" t="s">
        <v>339</v>
      </c>
      <c r="BK52" t="s">
        <v>1026</v>
      </c>
      <c r="BL52" t="s">
        <v>583</v>
      </c>
      <c r="BQ52" t="str">
        <v>ForceWide</v>
      </c>
    </row>
    <row r="53" spans="3:69" x14ac:dyDescent="0.2">
      <c r="C53" t="s">
        <v>101</v>
      </c>
      <c r="BJ53" t="s">
        <v>340</v>
      </c>
      <c r="BK53" t="s">
        <v>1027</v>
      </c>
      <c r="BL53" t="s">
        <v>542</v>
      </c>
      <c r="BQ53" t="str">
        <v>ForecedOutside</v>
      </c>
    </row>
    <row r="54" spans="3:69" x14ac:dyDescent="0.2">
      <c r="C54" t="s">
        <v>102</v>
      </c>
      <c r="BJ54" t="s">
        <v>341</v>
      </c>
      <c r="BK54" t="s">
        <v>1028</v>
      </c>
      <c r="BL54" t="s">
        <v>779</v>
      </c>
      <c r="BQ54" t="str">
        <v>Forecheck</v>
      </c>
    </row>
    <row r="55" spans="3:69" x14ac:dyDescent="0.2">
      <c r="C55" t="s">
        <v>103</v>
      </c>
      <c r="BJ55" t="s">
        <v>342</v>
      </c>
      <c r="BK55" t="s">
        <v>1029</v>
      </c>
      <c r="BL55" t="s">
        <v>158</v>
      </c>
      <c r="BQ55" t="str">
        <v>FrontofNet</v>
      </c>
    </row>
    <row r="56" spans="3:69" x14ac:dyDescent="0.2">
      <c r="C56" t="s">
        <v>104</v>
      </c>
      <c r="BJ56" t="s">
        <v>290</v>
      </c>
      <c r="BK56" t="s">
        <v>1030</v>
      </c>
      <c r="BL56" t="s">
        <v>567</v>
      </c>
      <c r="BQ56" t="str">
        <v>GapControl</v>
      </c>
    </row>
    <row r="57" spans="3:69" x14ac:dyDescent="0.2">
      <c r="C57" t="s">
        <v>39</v>
      </c>
      <c r="BJ57" t="s">
        <v>520</v>
      </c>
      <c r="BK57" t="s">
        <v>552</v>
      </c>
      <c r="BL57" t="s">
        <v>783</v>
      </c>
      <c r="BQ57" t="str">
        <v>GiveAndGo</v>
      </c>
    </row>
    <row r="58" spans="3:69" x14ac:dyDescent="0.2">
      <c r="C58" t="s">
        <v>105</v>
      </c>
      <c r="BJ58" t="s">
        <v>400</v>
      </c>
      <c r="BK58" t="s">
        <v>593</v>
      </c>
      <c r="BL58" t="s">
        <v>565</v>
      </c>
      <c r="BQ58" t="str">
        <v>InShotPassLane</v>
      </c>
    </row>
    <row r="59" spans="3:69" x14ac:dyDescent="0.2">
      <c r="C59" t="s">
        <v>41</v>
      </c>
      <c r="BK59" t="s">
        <v>574</v>
      </c>
      <c r="BL59" t="s">
        <v>564</v>
      </c>
      <c r="BQ59" t="str">
        <v>LoosePuckBattleLost</v>
      </c>
    </row>
    <row r="60" spans="3:69" x14ac:dyDescent="0.2">
      <c r="C60" t="s">
        <v>106</v>
      </c>
      <c r="BK60" t="s">
        <v>780</v>
      </c>
      <c r="BL60" t="s">
        <v>555</v>
      </c>
      <c r="BQ60" t="str">
        <v>LoosePuckBattleWon</v>
      </c>
    </row>
    <row r="61" spans="3:69" x14ac:dyDescent="0.2">
      <c r="C61" t="s">
        <v>107</v>
      </c>
      <c r="BK61" t="s">
        <v>551</v>
      </c>
      <c r="BL61" t="s">
        <v>560</v>
      </c>
      <c r="BQ61" t="str">
        <v>LostPuck</v>
      </c>
    </row>
    <row r="62" spans="3:69" x14ac:dyDescent="0.2">
      <c r="C62" t="s">
        <v>108</v>
      </c>
      <c r="BK62" t="s">
        <v>553</v>
      </c>
      <c r="BL62" t="s">
        <v>561</v>
      </c>
      <c r="BQ62" t="str">
        <v>ManOnMan</v>
      </c>
    </row>
    <row r="63" spans="3:69" x14ac:dyDescent="0.2">
      <c r="C63" t="s">
        <v>109</v>
      </c>
      <c r="BK63" t="s">
        <v>576</v>
      </c>
      <c r="BQ63" t="str">
        <v>MisplayedPuck</v>
      </c>
    </row>
    <row r="64" spans="3:69" x14ac:dyDescent="0.2">
      <c r="C64" t="s">
        <v>110</v>
      </c>
      <c r="BK64" t="s">
        <v>155</v>
      </c>
      <c r="BQ64" t="str">
        <v>OpenIceDeke</v>
      </c>
    </row>
    <row r="65" spans="3:69" x14ac:dyDescent="0.2">
      <c r="C65" t="s">
        <v>111</v>
      </c>
      <c r="BK65" t="s">
        <v>550</v>
      </c>
      <c r="BQ65" t="str">
        <v>Other</v>
      </c>
    </row>
    <row r="66" spans="3:69" x14ac:dyDescent="0.2">
      <c r="C66" t="s">
        <v>112</v>
      </c>
      <c r="BK66" t="s">
        <v>781</v>
      </c>
      <c r="BQ66" t="str">
        <v>PassDeflected</v>
      </c>
    </row>
    <row r="67" spans="3:69" x14ac:dyDescent="0.2">
      <c r="C67" t="s">
        <v>113</v>
      </c>
      <c r="BK67" t="s">
        <v>787</v>
      </c>
      <c r="BQ67" t="str">
        <v>PassForTip</v>
      </c>
    </row>
    <row r="68" spans="3:69" x14ac:dyDescent="0.2">
      <c r="C68" t="s">
        <v>114</v>
      </c>
      <c r="BK68" t="s">
        <v>769</v>
      </c>
      <c r="BQ68" t="str">
        <v>PassIntercepted</v>
      </c>
    </row>
    <row r="69" spans="3:69" x14ac:dyDescent="0.2">
      <c r="C69" t="s">
        <v>115</v>
      </c>
      <c r="BK69" t="s">
        <v>767</v>
      </c>
      <c r="BQ69" t="str">
        <v>PenaltyKillClear</v>
      </c>
    </row>
    <row r="70" spans="3:69" x14ac:dyDescent="0.2">
      <c r="C70" t="s">
        <v>116</v>
      </c>
      <c r="BK70" t="s">
        <v>768</v>
      </c>
      <c r="BQ70" t="str">
        <v>PokeCheck</v>
      </c>
    </row>
    <row r="71" spans="3:69" x14ac:dyDescent="0.2">
      <c r="C71" t="s">
        <v>117</v>
      </c>
      <c r="BK71" t="s">
        <v>770</v>
      </c>
      <c r="BQ71" t="str">
        <v>Pressure</v>
      </c>
    </row>
    <row r="72" spans="3:69" x14ac:dyDescent="0.2">
      <c r="C72" t="s">
        <v>118</v>
      </c>
      <c r="BK72" t="s">
        <v>771</v>
      </c>
      <c r="BQ72" t="str">
        <v>PuckRecoveryRetreivalAttemptedClear</v>
      </c>
    </row>
    <row r="73" spans="3:69" x14ac:dyDescent="0.2">
      <c r="C73" t="s">
        <v>119</v>
      </c>
      <c r="BK73" t="s">
        <v>772</v>
      </c>
      <c r="BQ73" t="str">
        <v>PuckRecoveryRetreivalClear</v>
      </c>
    </row>
    <row r="74" spans="3:69" x14ac:dyDescent="0.2">
      <c r="C74" t="s">
        <v>120</v>
      </c>
      <c r="BK74" t="s">
        <v>766</v>
      </c>
      <c r="BQ74" t="str">
        <v>PuckRecoveryRetreivalDumpIn</v>
      </c>
    </row>
    <row r="75" spans="3:69" x14ac:dyDescent="0.2">
      <c r="C75" t="s">
        <v>121</v>
      </c>
      <c r="BK75" t="s">
        <v>159</v>
      </c>
      <c r="BQ75" t="str">
        <v>PuckRecoveryRetreivalFaceoff</v>
      </c>
    </row>
    <row r="76" spans="3:69" x14ac:dyDescent="0.2">
      <c r="C76" t="s">
        <v>122</v>
      </c>
      <c r="BK76" t="s">
        <v>164</v>
      </c>
      <c r="BQ76" t="str">
        <v>PuckRecoveryRetreivalLoosePuckBattle</v>
      </c>
    </row>
    <row r="77" spans="3:69" x14ac:dyDescent="0.2">
      <c r="C77" t="s">
        <v>123</v>
      </c>
      <c r="BK77" t="s">
        <v>758</v>
      </c>
      <c r="BQ77" t="str">
        <v>PuckRecoveryRetreivalOther</v>
      </c>
    </row>
    <row r="78" spans="3:69" x14ac:dyDescent="0.2">
      <c r="C78" t="s">
        <v>124</v>
      </c>
      <c r="BK78" t="s">
        <v>162</v>
      </c>
      <c r="BQ78" t="str">
        <v>PuckRecoveryRetreivalPass</v>
      </c>
    </row>
    <row r="79" spans="3:69" x14ac:dyDescent="0.2">
      <c r="C79" t="s">
        <v>125</v>
      </c>
      <c r="BK79" t="s">
        <v>165</v>
      </c>
      <c r="BQ79" t="str">
        <v>PuckRecoveryRetreivalRebound</v>
      </c>
    </row>
    <row r="80" spans="3:69" x14ac:dyDescent="0.2">
      <c r="C80" t="s">
        <v>126</v>
      </c>
      <c r="BK80" t="s">
        <v>163</v>
      </c>
      <c r="BQ80" t="str">
        <v>PuckRecoveryRetreivalShot</v>
      </c>
    </row>
    <row r="81" spans="3:69" x14ac:dyDescent="0.2">
      <c r="C81" t="s">
        <v>127</v>
      </c>
      <c r="BK81" t="s">
        <v>556</v>
      </c>
      <c r="BQ81" t="str">
        <v>PuckRecoveryRetreivalTurnover</v>
      </c>
    </row>
    <row r="82" spans="3:69" x14ac:dyDescent="0.2">
      <c r="C82" t="s">
        <v>128</v>
      </c>
      <c r="BK82" t="s">
        <v>166</v>
      </c>
      <c r="BQ82" t="str">
        <v>PuckRetrievalDumpIn</v>
      </c>
    </row>
    <row r="83" spans="3:69" x14ac:dyDescent="0.2">
      <c r="C83" t="s">
        <v>129</v>
      </c>
      <c r="BK83" t="s">
        <v>774</v>
      </c>
      <c r="BQ83" t="str">
        <v>PuckRetrievalRebound</v>
      </c>
    </row>
    <row r="84" spans="3:69" x14ac:dyDescent="0.2">
      <c r="C84" t="s">
        <v>130</v>
      </c>
      <c r="BK84" t="s">
        <v>773</v>
      </c>
      <c r="BQ84" t="str">
        <v>PuckRetrievalShot</v>
      </c>
    </row>
    <row r="85" spans="3:69" x14ac:dyDescent="0.2">
      <c r="C85" t="s">
        <v>131</v>
      </c>
      <c r="BK85" t="s">
        <v>558</v>
      </c>
      <c r="BQ85" t="str">
        <v>QuickUp</v>
      </c>
    </row>
    <row r="86" spans="3:69" x14ac:dyDescent="0.2">
      <c r="C86" t="s">
        <v>132</v>
      </c>
      <c r="BK86" t="s">
        <v>161</v>
      </c>
      <c r="BQ86" t="str">
        <v>ReceiverMissed</v>
      </c>
    </row>
    <row r="87" spans="3:69" x14ac:dyDescent="0.2">
      <c r="C87" t="s">
        <v>133</v>
      </c>
      <c r="BK87" t="s">
        <v>584</v>
      </c>
      <c r="BQ87" t="str">
        <v>RecoveryRetreivalDumpIn</v>
      </c>
    </row>
    <row r="88" spans="3:69" x14ac:dyDescent="0.2">
      <c r="C88" t="s">
        <v>134</v>
      </c>
      <c r="BK88" t="s">
        <v>760</v>
      </c>
      <c r="BQ88" t="str">
        <v>RecoveryRetreivalFaceoff</v>
      </c>
    </row>
    <row r="89" spans="3:69" x14ac:dyDescent="0.2">
      <c r="C89" t="s">
        <v>135</v>
      </c>
      <c r="BK89" t="s">
        <v>762</v>
      </c>
      <c r="BQ89" t="str">
        <v>RecoveryRetreivalOther</v>
      </c>
    </row>
    <row r="90" spans="3:69" x14ac:dyDescent="0.2">
      <c r="C90" t="s">
        <v>136</v>
      </c>
      <c r="BK90" t="s">
        <v>761</v>
      </c>
      <c r="BQ90" t="str">
        <v>RecoveryRetreivalPass</v>
      </c>
    </row>
    <row r="91" spans="3:69" x14ac:dyDescent="0.2">
      <c r="C91" t="s">
        <v>137</v>
      </c>
      <c r="BK91" t="s">
        <v>759</v>
      </c>
      <c r="BQ91" t="str">
        <v>RecoveryRetreivalRebound</v>
      </c>
    </row>
    <row r="92" spans="3:69" x14ac:dyDescent="0.2">
      <c r="C92" t="s">
        <v>138</v>
      </c>
      <c r="BK92" t="s">
        <v>786</v>
      </c>
      <c r="BQ92" t="str">
        <v>RecoveryRetreivalShot</v>
      </c>
    </row>
    <row r="93" spans="3:69" x14ac:dyDescent="0.2">
      <c r="C93" t="s">
        <v>139</v>
      </c>
      <c r="BK93" t="s">
        <v>154</v>
      </c>
      <c r="BQ93" t="str">
        <v>RecoveryRetreivalTurnover</v>
      </c>
    </row>
    <row r="94" spans="3:69" x14ac:dyDescent="0.2">
      <c r="C94" t="s">
        <v>140</v>
      </c>
      <c r="BK94" t="s">
        <v>546</v>
      </c>
      <c r="BQ94" t="str">
        <v>RecoveryRetrievalDumpIn</v>
      </c>
    </row>
    <row r="95" spans="3:69" x14ac:dyDescent="0.2">
      <c r="C95" t="s">
        <v>141</v>
      </c>
      <c r="BK95" t="s">
        <v>757</v>
      </c>
      <c r="BQ95" t="str">
        <v>RecoveryRetrievalShot</v>
      </c>
    </row>
    <row r="96" spans="3:69" x14ac:dyDescent="0.2">
      <c r="C96" t="s">
        <v>241</v>
      </c>
      <c r="BK96" t="s">
        <v>566</v>
      </c>
      <c r="BQ96" t="str">
        <v>Regroup</v>
      </c>
    </row>
    <row r="97" spans="3:69" x14ac:dyDescent="0.2">
      <c r="C97" t="s">
        <v>386</v>
      </c>
      <c r="BK97" t="s">
        <v>765</v>
      </c>
      <c r="BQ97" t="str">
        <v>RegroupClear</v>
      </c>
    </row>
    <row r="98" spans="3:69" x14ac:dyDescent="0.2">
      <c r="C98" t="s">
        <v>387</v>
      </c>
      <c r="BK98" t="s">
        <v>764</v>
      </c>
      <c r="BQ98" t="str">
        <v>RegroupDumpin</v>
      </c>
    </row>
    <row r="99" spans="3:69" x14ac:dyDescent="0.2">
      <c r="BK99" t="s">
        <v>563</v>
      </c>
      <c r="BQ99" t="str">
        <v>Reverse</v>
      </c>
    </row>
    <row r="100" spans="3:69" x14ac:dyDescent="0.2">
      <c r="BK100" t="s">
        <v>782</v>
      </c>
      <c r="BQ100" t="str">
        <v>Screen</v>
      </c>
    </row>
    <row r="101" spans="3:69" x14ac:dyDescent="0.2">
      <c r="BK101" t="s">
        <v>557</v>
      </c>
      <c r="BQ101" t="str">
        <v>SecondTouch</v>
      </c>
    </row>
    <row r="102" spans="3:69" x14ac:dyDescent="0.2">
      <c r="BK102" t="s">
        <v>562</v>
      </c>
      <c r="BQ102" t="str">
        <v>SeperateFromPuck</v>
      </c>
    </row>
    <row r="103" spans="3:69" x14ac:dyDescent="0.2">
      <c r="BK103" t="s">
        <v>156</v>
      </c>
      <c r="BQ103" t="str">
        <v>Speed</v>
      </c>
    </row>
    <row r="104" spans="3:69" x14ac:dyDescent="0.2">
      <c r="BK104" t="s">
        <v>559</v>
      </c>
      <c r="BQ104" t="str">
        <v>StickCheck</v>
      </c>
    </row>
    <row r="105" spans="3:69" x14ac:dyDescent="0.2">
      <c r="BK105" t="s">
        <v>1012</v>
      </c>
      <c r="BQ105" t="str">
        <v>StoppedDeke</v>
      </c>
    </row>
    <row r="106" spans="3:69" x14ac:dyDescent="0.2">
      <c r="BK106" t="s">
        <v>1013</v>
      </c>
      <c r="BQ106" t="str">
        <v>Surf</v>
      </c>
    </row>
    <row r="107" spans="3:69" x14ac:dyDescent="0.2">
      <c r="BK107" t="s">
        <v>1014</v>
      </c>
      <c r="BQ107" t="str">
        <v>Tracker</v>
      </c>
    </row>
    <row r="108" spans="3:69" x14ac:dyDescent="0.2">
      <c r="BK108" t="s">
        <v>1015</v>
      </c>
      <c r="BQ108" t="str">
        <v>Wheel</v>
      </c>
    </row>
    <row r="109" spans="3:69" x14ac:dyDescent="0.2">
      <c r="BK109" t="s">
        <v>1016</v>
      </c>
      <c r="BQ109" t="str">
        <v>Zone</v>
      </c>
    </row>
    <row r="110" spans="3:69" x14ac:dyDescent="0.2">
      <c r="BK110" t="s">
        <v>1017</v>
      </c>
      <c r="BQ110" t="str">
        <v>ZoneEntryDenial</v>
      </c>
    </row>
    <row r="111" spans="3:69" x14ac:dyDescent="0.2">
      <c r="BK111" t="s">
        <v>1018</v>
      </c>
      <c r="BQ111" t="str">
        <v>ZoneExitDenial</v>
      </c>
    </row>
    <row r="112" spans="3:69" x14ac:dyDescent="0.2">
      <c r="BK112" t="s">
        <v>1013</v>
      </c>
      <c r="BQ112" t="str">
        <v>ZoneKeepin</v>
      </c>
    </row>
    <row r="113" spans="63:69" x14ac:dyDescent="0.2">
      <c r="BK113" t="s">
        <v>1014</v>
      </c>
      <c r="BQ113">
        <v>0</v>
      </c>
    </row>
    <row r="114" spans="63:69" x14ac:dyDescent="0.2">
      <c r="BK114" t="s">
        <v>1015</v>
      </c>
    </row>
    <row r="115" spans="63:69" x14ac:dyDescent="0.2">
      <c r="BK115" t="s">
        <v>1018</v>
      </c>
    </row>
    <row r="116" spans="63:69" x14ac:dyDescent="0.2">
      <c r="BK116" t="s">
        <v>541</v>
      </c>
    </row>
    <row r="117" spans="63:69" x14ac:dyDescent="0.2">
      <c r="BK117" t="s">
        <v>583</v>
      </c>
    </row>
    <row r="118" spans="63:69" x14ac:dyDescent="0.2">
      <c r="BK118" t="s">
        <v>542</v>
      </c>
    </row>
    <row r="119" spans="63:69" x14ac:dyDescent="0.2">
      <c r="BK119" t="s">
        <v>779</v>
      </c>
    </row>
    <row r="120" spans="63:69" x14ac:dyDescent="0.2">
      <c r="BK120" t="s">
        <v>158</v>
      </c>
    </row>
    <row r="121" spans="63:69" x14ac:dyDescent="0.2">
      <c r="BK121" t="s">
        <v>567</v>
      </c>
    </row>
    <row r="122" spans="63:69" x14ac:dyDescent="0.2">
      <c r="BK122" t="s">
        <v>783</v>
      </c>
    </row>
    <row r="123" spans="63:69" x14ac:dyDescent="0.2">
      <c r="BK123" t="s">
        <v>565</v>
      </c>
    </row>
    <row r="124" spans="63:69" x14ac:dyDescent="0.2">
      <c r="BK124" t="s">
        <v>564</v>
      </c>
    </row>
    <row r="125" spans="63:69" x14ac:dyDescent="0.2">
      <c r="BK125" t="s">
        <v>555</v>
      </c>
    </row>
    <row r="126" spans="63:69" x14ac:dyDescent="0.2">
      <c r="BK126" t="s">
        <v>560</v>
      </c>
    </row>
    <row r="127" spans="63:69" x14ac:dyDescent="0.2">
      <c r="BK127" t="s">
        <v>561</v>
      </c>
    </row>
    <row r="128" spans="63:69" x14ac:dyDescent="0.2">
      <c r="BK128" t="s">
        <v>808</v>
      </c>
    </row>
    <row r="129" spans="63:63" x14ac:dyDescent="0.2">
      <c r="BK129" t="s">
        <v>809</v>
      </c>
    </row>
    <row r="130" spans="63:63" x14ac:dyDescent="0.2">
      <c r="BK130" t="s">
        <v>1019</v>
      </c>
    </row>
    <row r="131" spans="63:63" x14ac:dyDescent="0.2">
      <c r="BK131" t="s">
        <v>1019</v>
      </c>
    </row>
    <row r="132" spans="63:63" x14ac:dyDescent="0.2">
      <c r="BK132" t="s">
        <v>1020</v>
      </c>
    </row>
    <row r="133" spans="63:63" x14ac:dyDescent="0.2">
      <c r="BK133" t="s">
        <v>1020</v>
      </c>
    </row>
    <row r="134" spans="63:63" x14ac:dyDescent="0.2">
      <c r="BK134" t="s">
        <v>1021</v>
      </c>
    </row>
    <row r="135" spans="63:63" x14ac:dyDescent="0.2">
      <c r="BK135" t="s">
        <v>1021</v>
      </c>
    </row>
    <row r="136" spans="63:63" x14ac:dyDescent="0.2">
      <c r="BK136" t="s">
        <v>1004</v>
      </c>
    </row>
    <row r="137" spans="63:63" x14ac:dyDescent="0.2">
      <c r="BK137" t="s">
        <v>1031</v>
      </c>
    </row>
    <row r="138" spans="63:63" x14ac:dyDescent="0.2">
      <c r="BK138" t="s">
        <v>1032</v>
      </c>
    </row>
    <row r="139" spans="63:63" x14ac:dyDescent="0.2">
      <c r="BK139" t="s">
        <v>1033</v>
      </c>
    </row>
  </sheetData>
  <sortState xmlns:xlrd2="http://schemas.microsoft.com/office/spreadsheetml/2017/richdata2" ref="BL2:BL60">
    <sortCondition ref="BL2:BL60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sheetPr>
    <tabColor theme="7"/>
  </sheetPr>
  <dimension ref="A1:BT860"/>
  <sheetViews>
    <sheetView tabSelected="1" zoomScale="90" zoomScaleNormal="90" workbookViewId="0">
      <pane ySplit="1" topLeftCell="A2" activePane="bottomLeft" state="frozen"/>
      <selection pane="bottomLeft" activeCell="L8" sqref="L8"/>
    </sheetView>
  </sheetViews>
  <sheetFormatPr baseColWidth="10" defaultRowHeight="16" x14ac:dyDescent="0.2"/>
  <cols>
    <col min="1" max="1" width="5.33203125" customWidth="1"/>
    <col min="2" max="2" width="6.33203125" style="51" customWidth="1"/>
    <col min="3" max="3" width="6" style="51" customWidth="1"/>
    <col min="4" max="4" width="6" style="27" customWidth="1"/>
    <col min="5" max="5" width="7.1640625" customWidth="1"/>
    <col min="6" max="6" width="8.6640625" style="46" customWidth="1"/>
    <col min="7" max="7" width="7.5" customWidth="1"/>
    <col min="8" max="8" width="7.1640625" style="46" customWidth="1"/>
    <col min="9" max="10" width="7.6640625" style="46" customWidth="1"/>
    <col min="11" max="11" width="17.6640625" customWidth="1"/>
    <col min="12" max="12" width="18.83203125" customWidth="1"/>
    <col min="13" max="13" width="14.33203125" customWidth="1"/>
    <col min="14" max="14" width="11.5" customWidth="1"/>
    <col min="15" max="15" width="27.1640625" customWidth="1"/>
    <col min="16" max="16" width="13.83203125" customWidth="1"/>
    <col min="17" max="17" width="10" customWidth="1"/>
    <col min="18" max="18" width="8" style="27" customWidth="1"/>
    <col min="19" max="19" width="9.1640625" customWidth="1"/>
    <col min="20" max="20" width="8.33203125" customWidth="1"/>
    <col min="21" max="21" width="5.33203125" customWidth="1"/>
    <col min="22" max="22" width="6" customWidth="1"/>
    <col min="23" max="24" width="11" customWidth="1"/>
    <col min="25" max="25" width="8.1640625" customWidth="1"/>
    <col min="26" max="26" width="10.5" customWidth="1"/>
    <col min="27" max="27" width="12" customWidth="1"/>
    <col min="28" max="28" width="12.6640625" customWidth="1"/>
    <col min="29" max="29" width="17.1640625" customWidth="1"/>
    <col min="30" max="30" width="10.5" customWidth="1"/>
    <col min="31" max="31" width="10.33203125" customWidth="1"/>
    <col min="32" max="33" width="10.83203125" customWidth="1"/>
    <col min="34" max="35" width="8.33203125" customWidth="1"/>
    <col min="36" max="36" width="15.1640625" customWidth="1"/>
    <col min="37" max="37" width="10.5" customWidth="1"/>
    <col min="38" max="40" width="10.33203125" customWidth="1"/>
    <col min="41" max="41" width="18.33203125" customWidth="1"/>
    <col min="42" max="44" width="15.1640625" customWidth="1"/>
    <col min="45" max="45" width="12" customWidth="1"/>
    <col min="46" max="47" width="17.1640625" customWidth="1"/>
    <col min="48" max="51" width="13.33203125" customWidth="1"/>
    <col min="52" max="52" width="7" style="6" customWidth="1"/>
    <col min="53" max="53" width="7.6640625" customWidth="1"/>
    <col min="54" max="54" width="8.1640625" customWidth="1"/>
    <col min="55" max="55" width="10.1640625" customWidth="1"/>
    <col min="56" max="56" width="13.5" customWidth="1"/>
    <col min="57" max="57" width="15.5" customWidth="1"/>
    <col min="58" max="58" width="15.1640625" customWidth="1"/>
    <col min="59" max="59" width="13.33203125" customWidth="1"/>
    <col min="60" max="60" width="10.83203125" customWidth="1"/>
    <col min="61" max="61" width="11.83203125" customWidth="1"/>
    <col min="62" max="63" width="10.83203125" customWidth="1"/>
    <col min="64" max="64" width="12.5" customWidth="1"/>
    <col min="65" max="66" width="12.83203125" customWidth="1"/>
    <col min="67" max="68" width="10.83203125" customWidth="1"/>
    <col min="69" max="69" width="22" customWidth="1"/>
    <col min="70" max="70" width="12.5" customWidth="1"/>
  </cols>
  <sheetData>
    <row r="1" spans="1:72" s="1" customFormat="1" ht="85" x14ac:dyDescent="0.2">
      <c r="A1" s="20" t="s">
        <v>1000</v>
      </c>
      <c r="B1" s="50" t="s">
        <v>1002</v>
      </c>
      <c r="C1" s="50" t="s">
        <v>1003</v>
      </c>
      <c r="D1" s="36" t="s">
        <v>1001</v>
      </c>
      <c r="E1" s="21" t="s">
        <v>409</v>
      </c>
      <c r="F1" s="44" t="s">
        <v>410</v>
      </c>
      <c r="G1" s="21" t="s">
        <v>411</v>
      </c>
      <c r="H1" s="47" t="s">
        <v>412</v>
      </c>
      <c r="I1" s="49" t="s">
        <v>1009</v>
      </c>
      <c r="J1" s="49" t="s">
        <v>791</v>
      </c>
      <c r="K1" s="20" t="s">
        <v>792</v>
      </c>
      <c r="L1" s="20" t="s">
        <v>407</v>
      </c>
      <c r="M1" s="20" t="s">
        <v>408</v>
      </c>
      <c r="N1" s="20" t="s">
        <v>800</v>
      </c>
      <c r="O1" s="20" t="s">
        <v>996</v>
      </c>
      <c r="P1" s="20" t="s">
        <v>997</v>
      </c>
      <c r="Q1" s="20" t="s">
        <v>998</v>
      </c>
      <c r="R1" s="36" t="s">
        <v>999</v>
      </c>
      <c r="S1" s="1" t="s">
        <v>802</v>
      </c>
      <c r="T1" s="1" t="s">
        <v>725</v>
      </c>
      <c r="U1" s="1" t="s">
        <v>1005</v>
      </c>
      <c r="V1" s="1" t="s">
        <v>1006</v>
      </c>
      <c r="W1" s="20" t="s">
        <v>788</v>
      </c>
      <c r="X1" s="1" t="s">
        <v>789</v>
      </c>
      <c r="Y1" s="1" t="s">
        <v>790</v>
      </c>
      <c r="Z1" s="34" t="s">
        <v>801</v>
      </c>
      <c r="AA1" s="1" t="s">
        <v>242</v>
      </c>
      <c r="AB1" s="1" t="s">
        <v>518</v>
      </c>
      <c r="AC1" s="1" t="s">
        <v>724</v>
      </c>
      <c r="AD1" s="36" t="s">
        <v>252</v>
      </c>
      <c r="AE1" s="36" t="s">
        <v>253</v>
      </c>
      <c r="AF1" s="36" t="s">
        <v>254</v>
      </c>
      <c r="AG1" s="36" t="s">
        <v>255</v>
      </c>
      <c r="AH1" s="36" t="s">
        <v>369</v>
      </c>
      <c r="AI1" s="36" t="s">
        <v>1038</v>
      </c>
      <c r="AJ1" s="36" t="s">
        <v>454</v>
      </c>
      <c r="AK1" s="36" t="s">
        <v>795</v>
      </c>
      <c r="AL1" s="36" t="s">
        <v>796</v>
      </c>
      <c r="AM1" s="36" t="s">
        <v>797</v>
      </c>
      <c r="AN1" s="36" t="s">
        <v>798</v>
      </c>
      <c r="AO1" s="36" t="s">
        <v>455</v>
      </c>
      <c r="AP1" s="36" t="s">
        <v>456</v>
      </c>
      <c r="AQ1" s="36" t="s">
        <v>793</v>
      </c>
      <c r="AR1" s="36" t="s">
        <v>794</v>
      </c>
      <c r="AS1" s="36" t="s">
        <v>515</v>
      </c>
      <c r="AT1" s="36" t="s">
        <v>243</v>
      </c>
      <c r="AU1" s="36" t="s">
        <v>244</v>
      </c>
      <c r="AV1" s="36" t="s">
        <v>451</v>
      </c>
      <c r="AW1" s="36" t="s">
        <v>995</v>
      </c>
      <c r="AX1" s="36" t="s">
        <v>453</v>
      </c>
      <c r="AY1" s="36" t="s">
        <v>535</v>
      </c>
      <c r="AZ1" s="43" t="s">
        <v>621</v>
      </c>
      <c r="BA1" s="36" t="s">
        <v>248</v>
      </c>
      <c r="BB1" s="36" t="s">
        <v>249</v>
      </c>
      <c r="BC1" s="36" t="s">
        <v>250</v>
      </c>
      <c r="BD1" s="36" t="s">
        <v>239</v>
      </c>
      <c r="BE1" s="36" t="s">
        <v>246</v>
      </c>
      <c r="BF1" s="36" t="s">
        <v>247</v>
      </c>
      <c r="BG1" s="36" t="s">
        <v>799</v>
      </c>
      <c r="BH1" s="36" t="s">
        <v>256</v>
      </c>
      <c r="BI1" s="35" t="s">
        <v>356</v>
      </c>
      <c r="BJ1" s="36" t="s">
        <v>357</v>
      </c>
      <c r="BK1" s="36" t="s">
        <v>358</v>
      </c>
      <c r="BL1" s="35" t="s">
        <v>397</v>
      </c>
      <c r="BM1" s="36" t="s">
        <v>396</v>
      </c>
      <c r="BN1" s="36" t="s">
        <v>403</v>
      </c>
      <c r="BO1" s="36" t="s">
        <v>394</v>
      </c>
      <c r="BP1" s="36" t="s">
        <v>395</v>
      </c>
      <c r="BQ1" s="36" t="s">
        <v>245</v>
      </c>
      <c r="BR1" s="36" t="s">
        <v>370</v>
      </c>
      <c r="BS1" s="36" t="s">
        <v>810</v>
      </c>
      <c r="BT1" s="36" t="s">
        <v>811</v>
      </c>
    </row>
    <row r="2" spans="1:72" ht="16" customHeight="1" x14ac:dyDescent="0.2">
      <c r="E2" s="4"/>
      <c r="F2" s="45"/>
      <c r="G2" s="4"/>
      <c r="H2" s="48"/>
      <c r="K2" t="s">
        <v>287</v>
      </c>
      <c r="S2">
        <v>0</v>
      </c>
      <c r="Y2" t="s">
        <v>729</v>
      </c>
      <c r="Z2" s="6">
        <v>1</v>
      </c>
      <c r="AA2">
        <f t="shared" ref="AA2:AA4" si="0">S2+1000</f>
        <v>1000</v>
      </c>
      <c r="AB2" t="str">
        <f t="shared" ref="AB2:AB4" si="1">IF(T2&lt;&gt;"",9000+T2,"")</f>
        <v/>
      </c>
      <c r="AC2">
        <f t="shared" ref="AC2:AC4" si="2">IF(AB2&lt;&gt;"",AB2,S2+1000)</f>
        <v>1000</v>
      </c>
      <c r="AF2" t="str">
        <f>IF(G2&lt;&gt;"",G2,IF($S2=$S1,AF1,""))</f>
        <v/>
      </c>
      <c r="AG2" t="str">
        <f>IF(H2&lt;&gt;"",H2,IF($S2=$S1,AG1,""))</f>
        <v/>
      </c>
      <c r="AH2" t="str">
        <f>IF(Y2="x","",IF(Y2=1,"e","o"))</f>
        <v/>
      </c>
      <c r="AI2" t="str">
        <f>IF($J2&lt;&gt;"",$J2,IF($AC2=$AC1,AI1,""))</f>
        <v/>
      </c>
      <c r="AJ2" t="str">
        <f>IF($J2&lt;&gt;"",$J2,IF($AC2=$AC1,AJ1,""))</f>
        <v/>
      </c>
      <c r="AK2" t="str">
        <f>IF($W2="","",IF($AI2="","",IF($W2="h",$AI2,IF($AI2="n","n",IF(AND($W2="a",$AI2="d"),"o",IF(AND($W2="a",$AI2="o"),"d"))))))</f>
        <v/>
      </c>
      <c r="AL2" t="str">
        <f>IF($W2="","",IF(J2="","",IF(AK2="n","n",IF(AK2="d","o",IF(AK2="o","d","")))))</f>
        <v/>
      </c>
      <c r="AM2" t="str">
        <f>IF(AN2="H","Home",IF(AN2="A","Away",""))</f>
        <v/>
      </c>
      <c r="AN2" t="str">
        <f>IF($W2&lt;&gt;"",$W2,IF($AC2=$AC1,AN1,""))</f>
        <v/>
      </c>
      <c r="AO2" t="str">
        <f t="shared" ref="AO2:AR3" si="3">IF(AK2&lt;&gt;"",AK2,IF($AC2=$AC1,AO1,""))</f>
        <v/>
      </c>
      <c r="AP2" t="str">
        <f t="shared" si="3"/>
        <v/>
      </c>
      <c r="AQ2" t="str">
        <f t="shared" si="3"/>
        <v/>
      </c>
      <c r="AR2" t="str">
        <f t="shared" si="3"/>
        <v/>
      </c>
      <c r="AS2" t="str">
        <f>IF(AND(AH2="e",OR(BD2="Save",BE2="Turnover_Takeaway",BE2="Play_Defensive")),"Defensive",IF(AND(AH2="o",OR(BD2="Save",BE2="Turnover_Takeaway",BE2="Play_Defensive")),"Offensive",IF(OR(BD2="Deadice",BD2="Stoppage",BD2="Intermission"),"",IF(AH2="e","Offensive",IF(AH2="o","Defensive","")))))</f>
        <v/>
      </c>
      <c r="AT2" t="str">
        <f>IF(U2&lt;&gt;"",U2+5000,"")</f>
        <v/>
      </c>
      <c r="AU2" t="str">
        <f>IF(V2&lt;&gt;"",V2+6000,"")</f>
        <v/>
      </c>
      <c r="AV2" t="str" cm="1">
        <f t="array" ref="AV2">IFERROR(IF(O2&lt;&gt;"",O2,IF(OR($S2="",$T2=""),"",IF(O2&lt;&gt;"",O2,IF($T2&lt;&gt;"",_xlfn._xlws.FILTER(O:O,($BT:$BT=$BT2)*($I:$I=$I2)*($T:$T=$T2)*($S:$S=_xlfn.MINIFS($S:$S,$T:$T,"="&amp;$T2)),"")))))&amp;"",IF(O2="","",""))&amp;""</f>
        <v/>
      </c>
      <c r="AW2" t="str" cm="1">
        <f t="array" ref="AW2">IFERROR(IF(P2&lt;&gt;"",P2,IF(OR($S2="",$T2=""),"",IF($T2&lt;&gt;"",_xlfn._xlws.FILTER(P:P,($BT:$BT=$BT2)*($I:$I=$I2)*($T:$T=$T2)*($S:$S=_xlfn.MINIFS($S:$S,$T:$T,"="&amp;$T2)),""))))&amp;"",IF(P2="","",""))&amp;""</f>
        <v/>
      </c>
      <c r="AX2" t="str" cm="1">
        <f t="array" ref="AX2">IFERROR(IF(Q2&lt;&gt;"",Q2,IF(OR($S2="",$T2=""),"",IF($T2&lt;&gt;"",_xlfn._xlws.FILTER(Q:Q,($BT:$BT=$BT2)*($I:$I=$I2)*($T:$T=$T2)*($S:$S=_xlfn.MINIFS($S:$S,$T:$T,"="&amp;$T2)),""))))&amp;"",IF(Q2="","",""))&amp;""</f>
        <v/>
      </c>
      <c r="AY2" t="str" cm="1">
        <f t="array" ref="AY2">IFERROR(IF(R2&lt;&gt;"",R2,IF(OR($S2="",$T2=""),"",IF($T2&lt;&gt;"",_xlfn._xlws.FILTER(R:R,($BT:$BT=$BT2)*($I:$I=$I2)*($T:$T=$T2)*($S:$S=_xlfn.MINIFS($S:$S,$T:$T,"="&amp;$T2)),""))))&amp;"",IF(R2="","",""))&amp;""</f>
        <v/>
      </c>
      <c r="AZ2" s="6">
        <v>1</v>
      </c>
      <c r="BA2" s="41">
        <v>18969</v>
      </c>
      <c r="BB2" s="41" t="s">
        <v>850</v>
      </c>
      <c r="BC2" s="41" t="s">
        <v>521</v>
      </c>
      <c r="BD2" t="str">
        <f>IF(K2&lt;&gt;"",K2,IF(S2=S1,K2,""))</f>
        <v>GameStart</v>
      </c>
      <c r="BI2" s="15"/>
      <c r="BL2" s="15"/>
      <c r="BM2">
        <v>0</v>
      </c>
      <c r="BN2">
        <v>0</v>
      </c>
      <c r="BO2">
        <f>IF(BN2&lt;5,0,BN2-5)</f>
        <v>0</v>
      </c>
      <c r="BP2" s="17">
        <f>BO2+BI2+5</f>
        <v>5</v>
      </c>
      <c r="BS2" t="str">
        <f>IFERROR(VLOOKUP(BA2&amp;BT2&amp;I2,game_rosters!U:W,3,FALSE),"")</f>
        <v/>
      </c>
      <c r="BT2" t="str">
        <f>IF(AQ2="","",IF(AND(AQ2="Away",AH2="e"),BC2,IF(AND(AQ2="Home",AH2="e"),BB2,IF(AND(AQ2="Away",AH2="o"),BB2,IF(AND(AQ2="Home",AH2="o"),BC2)))))</f>
        <v/>
      </c>
    </row>
    <row r="3" spans="1:72" ht="16" customHeight="1" x14ac:dyDescent="0.2">
      <c r="A3">
        <v>1</v>
      </c>
      <c r="E3" s="4" t="s">
        <v>743</v>
      </c>
      <c r="F3" s="45" t="s">
        <v>413</v>
      </c>
      <c r="G3" s="4"/>
      <c r="H3" s="48"/>
      <c r="I3" s="46">
        <v>53</v>
      </c>
      <c r="J3" s="46" t="s">
        <v>734</v>
      </c>
      <c r="K3" t="s">
        <v>5</v>
      </c>
      <c r="L3" t="s">
        <v>401</v>
      </c>
      <c r="N3" t="str">
        <f t="shared" ref="N3:N4" si="4">IF(K3="","",IF(K3="Goal","s",IF(AND(K3="Zone_Entry_Exit",OR(ISNUMBER(SEARCH("fail",L3)),ISNUMBER(SEARCH("FromExitClear",M3)),ISNUMBER(SEARCH("miss",M3)))),"u",IF(AND(K3="Zone_Entry_Exit",OR(NOT(ISNUMBER(SEARCH("fail",L3))),NOT(ISNUMBER(SEARCH("FromExitClear",M3))),NOT(ISNUMBER(SEARCH("miss",M3))))),"s",IF(AND(OR(K3="Shot",K3="Pass"),OR(ISNUMBER(SEARCH("complete",L3)),ISNUMBER(SEARCH("goal",L3)),ISNUMBER(SEARCH("OnNet",L3)))),"s",IF(L3="Turnover_Giveaway","u",IF(AND(OR(K3="Shot",K3="Pass"),OR(ISNUMBER(SEARCH("fail",L3)),NOT(ISNUMBER(SEARCH("complete",L3))),NOT(ISNUMBER(SEARCH("OnNet",L3))))),"u","")))))))</f>
        <v/>
      </c>
      <c r="Q3" t="str">
        <f t="shared" ref="Q3:Q4" si="5">IF(O3="","",IF(AND(N3&lt;&gt;"",OR(O3&lt;&gt;"",P3&lt;&gt;"")),N3,IF(OR(ISNUMBER(SEARCH("attemp",O3)),ISNUMBER(SEARCH("mis",O3)),ISNUMBER(SEARCH("fail",O3)),ISNUMBER(SEARCH("loss",O3)),ISNUMBER(SEARCH("lost",O3)),ISNUMBER(SEARCH("attemp",P3)),ISNUMBER(SEARCH("mis",P3)),ISNUMBER(SEARCH("fail",P3)),ISNUMBER(SEARCH("loss",P3)),ISNUMBER(SEARCH("lost",P3))),"u","")))</f>
        <v/>
      </c>
      <c r="S3">
        <f>IF(A3=1,MAX($S$2:$S2)+1,IF($I3&lt;&gt;"",$S2,""))</f>
        <v>1</v>
      </c>
      <c r="T3" t="str">
        <f>IF(D3=1,MAX($T$2:$T2)+1,IF(S3=S2,$T2,IF(D3="x",T2,IF(D2="x","",""))))</f>
        <v/>
      </c>
      <c r="U3" t="str">
        <f>IF(B3=1,MAX($U$2:$U2)+1,IF(AND($T3&lt;&gt;"",$T3=$T2),$U2,IF(B3="x",U2,"")))</f>
        <v/>
      </c>
      <c r="V3" t="str">
        <f>IF(C3=1,MAX($V$2:$V2)+1,IF(AND($T3&lt;&gt;"",$T3=$T2),$U2,IF(C3="x",V2,"")))</f>
        <v/>
      </c>
      <c r="W3" t="str" cm="1">
        <f t="array" ref="W3">_xlfn._xlws.FILTER(game_rosters!AB:AB,(game_rosters!J:J=events!X3)*(K3&lt;&gt;""))</f>
        <v>h</v>
      </c>
      <c r="X3" cm="1">
        <f t="array" ref="X3">IF($I3&lt;&gt;"",$I3,INDEX($I$1:$I3,ROW()-COUNTIFS($T$1:$T3,"="&amp;$T3,$S$1:$S3,"&lt;"&amp;$S3)))</f>
        <v>53</v>
      </c>
      <c r="Y3" cm="1">
        <f t="array" ref="Y3">IFERROR(IF(_xlfn._xlws.FILTER(game_rosters!$J:$J,(game_rosters!$G:$G=events!$AM3)*(game_rosters!$J:$J=events!$X3))&gt;0,1,""),"")</f>
        <v>1</v>
      </c>
      <c r="Z3" s="6">
        <f t="shared" ref="Z3:Z4" si="6">IF(K3="Intermission",Z2+1,Z2)</f>
        <v>1</v>
      </c>
      <c r="AA3">
        <f t="shared" si="0"/>
        <v>1001</v>
      </c>
      <c r="AB3" t="str">
        <f t="shared" si="1"/>
        <v/>
      </c>
      <c r="AC3">
        <f t="shared" si="2"/>
        <v>1001</v>
      </c>
      <c r="AD3" t="str">
        <f>IF(E3&lt;&gt;"",E3,IF($AC3=$AC2,AD2,IF(AF2&lt;&gt;"",AF2,IF(AD2&lt;&gt;"",AD2,""))))</f>
        <v>18</v>
      </c>
      <c r="AE3" t="str">
        <f>IF(F3&lt;&gt;"",F3,IF($AC3=$AC2,AE2,IF(AG2&lt;&gt;"",AG2,IF(AE2&lt;&gt;"",AE2,""))))</f>
        <v>00</v>
      </c>
      <c r="AF3" t="str">
        <f>IF(G3&lt;&gt;"",G3,IF($AC3=$AC2,AF2,IF(H3="","",AD3)))</f>
        <v/>
      </c>
      <c r="AH3" t="str">
        <f>IF(Y3="x","",IF(Y3=1,"e","o"))</f>
        <v>e</v>
      </c>
      <c r="AI3" t="str">
        <f>IF($J3&lt;&gt;"",$J3,IF($AC3=$AC2,AI2,""))</f>
        <v>n</v>
      </c>
      <c r="AJ3" t="str">
        <f>IF($J3&lt;&gt;"",$J3,IF($AC3=$AC2,AJ2,""))</f>
        <v>n</v>
      </c>
      <c r="AK3" t="str">
        <f>IF($W3="","",IF($AI3="","",IF($W3="h",$AI3,IF($AI3="n","n",IF(AND($W3="a",$AI3="d"),"o",IF(AND($W3="a",$AI3="o"),"d"))))))</f>
        <v>n</v>
      </c>
      <c r="AL3" t="str">
        <f>IF($W3="","",IF(J3="","",IF(AK3="n","n",IF(AK3="d","o",IF(AK3="o","d","")))))</f>
        <v>n</v>
      </c>
      <c r="AM3" t="str">
        <f>IF(AN3="H","Home",IF(AN3="A","Away",""))</f>
        <v>Home</v>
      </c>
      <c r="AN3" t="str">
        <f>IF($W3&lt;&gt;"",$W3,IF($AC3=$AC2,AN2,""))</f>
        <v>h</v>
      </c>
      <c r="AO3" t="str">
        <f t="shared" si="3"/>
        <v>n</v>
      </c>
      <c r="AP3" t="str">
        <f t="shared" si="3"/>
        <v>n</v>
      </c>
      <c r="AQ3" t="str">
        <f t="shared" si="3"/>
        <v>Home</v>
      </c>
      <c r="AR3" t="str">
        <f t="shared" si="3"/>
        <v>h</v>
      </c>
      <c r="AS3" t="str">
        <f>IF(AND(AH3="e",OR(BD3="Save",BE3="Turnover_Takeaway",BE3="Play_Defensive")),"Defensive",IF(AND(AH3="o",OR(BD3="Save",BE3="Turnover_Takeaway",BE3="Play_Defensive")),"Offensive",IF(OR(BD3="Deadice",BD3="Stoppage",BD3="Intermission"),"",IF(AH3="e","Offensive",IF(AH3="o","Defensive","")))))</f>
        <v>Offensive</v>
      </c>
      <c r="AT3" t="str">
        <f>IF(U3&lt;&gt;"",U3+5000,"")</f>
        <v/>
      </c>
      <c r="AU3" t="str">
        <f>IF(V3&lt;&gt;"",V3+6000,"")</f>
        <v/>
      </c>
      <c r="AV3" t="str" cm="1">
        <f t="array" ref="AV3">IFERROR(IF(O3&lt;&gt;"",O3,IF(OR($S3="",$T3=""),"",IF(O3&lt;&gt;"",O3,IF($T3&lt;&gt;"",_xlfn._xlws.FILTER(O:O,($BT:$BT=$BT3)*($I:$I=$I3)*($T:$T=$T3)*($S:$S=_xlfn.MINIFS($S:$S,$T:$T,"="&amp;$T3)),"")))))&amp;"",IF(O3="","",""))&amp;""</f>
        <v/>
      </c>
      <c r="AW3" t="str" cm="1">
        <f t="array" ref="AW3">IFERROR(IF(P3&lt;&gt;"",P3,IF(OR($S3="",$T3=""),"",IF($T3&lt;&gt;"",_xlfn._xlws.FILTER(P:P,($BT:$BT=$BT3)*($I:$I=$I3)*($T:$T=$T3)*($S:$S=_xlfn.MINIFS($S:$S,$T:$T,"="&amp;$T3)),""))))&amp;"",IF(P3="","",""))&amp;""</f>
        <v/>
      </c>
      <c r="AX3" t="str" cm="1">
        <f t="array" ref="AX3">IFERROR(IF(Q3&lt;&gt;"",Q3,IF(OR($S3="",$T3=""),"",IF($T3&lt;&gt;"",_xlfn._xlws.FILTER(Q:Q,($BT:$BT=$BT3)*($I:$I=$I3)*($T:$T=$T3)*($S:$S=_xlfn.MINIFS($S:$S,$T:$T,"="&amp;$T3)),""))))&amp;"",IF(Q3="","",""))&amp;""</f>
        <v/>
      </c>
      <c r="AY3" t="str" cm="1">
        <f t="array" ref="AY3">IFERROR(IF(R3&lt;&gt;"",R3,IF(OR($S3="",$T3=""),"",IF($T3&lt;&gt;"",_xlfn._xlws.FILTER(R:R,($BT:$BT=$BT3)*($I:$I=$I3)*($T:$T=$T3)*($S:$S=_xlfn.MINIFS($S:$S,$T:$T,"="&amp;$T3)),""))))&amp;"",IF(R3="","",""))&amp;""</f>
        <v/>
      </c>
      <c r="AZ3" s="6">
        <f>IF(OR(L3="Zone_Entry",L3="Zone_Exit"),AZ2+1,AZ2)</f>
        <v>1</v>
      </c>
      <c r="BA3">
        <f>BA2</f>
        <v>18969</v>
      </c>
      <c r="BB3" t="str">
        <f t="shared" ref="BB3:BC3" si="7">BB2</f>
        <v>Platinum</v>
      </c>
      <c r="BC3" t="str">
        <f t="shared" si="7"/>
        <v>Velodrome</v>
      </c>
      <c r="BD3" t="str">
        <f>IF($K3&lt;&gt;"",$K3,IF($S3=$S2,BD2,""))</f>
        <v>Faceoff</v>
      </c>
      <c r="BE3" t="str">
        <f>IF(L3&lt;&gt;"",L3,IF($S3=$S2,BE2,""))</f>
        <v>Faceoff_GameStart</v>
      </c>
      <c r="BF3" t="str">
        <f>IF(M3&lt;&gt;"",M3,IF($S3=$S2,BF2,""))</f>
        <v/>
      </c>
      <c r="BG3" t="str">
        <f>IF($N3&lt;&gt;"",$N3,IF($S3=$S2,BG2,""))</f>
        <v/>
      </c>
      <c r="BH3" cm="1">
        <f t="array" ref="BH3">IFERROR(_xlfn._xlws.FILTER(shifts!A:A,(shifts!B:B=events!Z3)*(shifts!AG:AG&gt;=events!BJ3)*(shifts!AH:AH&lt;=events!BK3)),BH2)</f>
        <v>1</v>
      </c>
      <c r="BI3" s="15">
        <f>IF(AND(AF3="",AG3=""),0,((AD3*60)+AE3)-((AF3*60)+AG3))</f>
        <v>0</v>
      </c>
      <c r="BJ3">
        <f>(AD3*60)+AE3</f>
        <v>1080</v>
      </c>
      <c r="BK3">
        <f>IF(AND(AF3="",AG3=""),BJ3,((AF3*60)+AG3))</f>
        <v>1080</v>
      </c>
      <c r="BL3" s="15">
        <f>SUMIFS(BI$2:BI3,K$2:K3,"=Intermission")+SUMIFS(BI$2:BI3,K$2:K3,"=Timeout")</f>
        <v>0</v>
      </c>
      <c r="BM3">
        <f>IF(Z3=1,0,IF(Z3=2,1080+BL3,IF(Z3=3,(1080*2)+BL3,0)))</f>
        <v>0</v>
      </c>
      <c r="BN3" s="19">
        <f>IF(K3="Intermission",BN2,((1080)-((AD3*60)+AE3))+BM3)</f>
        <v>0</v>
      </c>
      <c r="BO3">
        <f>IF(BN3&lt;5,0,BN3-5)</f>
        <v>0</v>
      </c>
      <c r="BP3" s="17">
        <f>BO3+BI3+5</f>
        <v>5</v>
      </c>
      <c r="BQ3" t="str">
        <f>IF(AH3="e","event_team_player_"&amp;BR3,IF(AH3="o","opp_team_player_"&amp;BR3,""))</f>
        <v>event_team_player_1</v>
      </c>
      <c r="BR3">
        <f>COUNTIFS(S$3:S3,"="&amp;S3,AH$3:AH3,"="&amp;AH3)</f>
        <v>1</v>
      </c>
      <c r="BS3" t="str">
        <f>IFERROR(VLOOKUP(BA3&amp;BT3&amp;X3,game_rosters!U:W,3,FALSE),"")</f>
        <v>P100192</v>
      </c>
      <c r="BT3" t="str">
        <f>IF(AQ3="","",IF(AND(AQ3="Away",AH3="e"),BC3,IF(AND(AQ3="Home",AH3="e"),BB3,IF(AND(AQ3="Away",AH3="o"),BB3,IF(AND(AQ3="Home",AH3="o"),BC3)))))</f>
        <v>Platinum</v>
      </c>
    </row>
    <row r="4" spans="1:72" x14ac:dyDescent="0.2">
      <c r="E4" s="4"/>
      <c r="F4" s="45"/>
      <c r="G4" s="4"/>
      <c r="H4" s="48"/>
      <c r="I4" s="46">
        <v>21</v>
      </c>
      <c r="N4" t="str">
        <f t="shared" si="4"/>
        <v/>
      </c>
      <c r="Q4" t="str">
        <f t="shared" si="5"/>
        <v/>
      </c>
      <c r="S4">
        <f>IF(A4=1,MAX($S$2:$S3)+1,IF($I4&lt;&gt;"",$S3,""))</f>
        <v>1</v>
      </c>
      <c r="T4" t="str">
        <f>IF(D4=1,MAX($T$2:$T3)+1,IF(S4=S3,$T3,IF(D4="x",T3,IF(D3="x","",""))))</f>
        <v/>
      </c>
      <c r="U4" t="str">
        <f>IF(B4=1,MAX($U$2:$U3)+1,IF(AND($T4&lt;&gt;"",$T4=$T3),$U3,IF(B4="x",U3,"")))</f>
        <v/>
      </c>
      <c r="V4" t="str">
        <f>IF(C4=1,MAX($V$2:$V3)+1,IF(AND($T4&lt;&gt;"",$T4=$T3),$U3,IF(C4="x",V3,"")))</f>
        <v/>
      </c>
      <c r="W4" t="str" cm="1">
        <f t="array" ref="W4">IFERROR(_xlfn._xlws.FILTER(game_rosters!AB:AB,(game_rosters!J:J=events!X4)*(K4&lt;&gt;"")),"")</f>
        <v/>
      </c>
      <c r="X4" cm="1">
        <f t="array" ref="X4">IF($I4&lt;&gt;"",$I4,INDEX($I:$I,ROW()-COUNTIFS($T:$T,"="&amp;$T4,$S:$S,"&lt;&gt;"&amp;$S4)))</f>
        <v>21</v>
      </c>
      <c r="Y4" cm="1">
        <f t="array" ref="Y4">IFERROR(IF(_xlfn._xlws.FILTER(game_rosters!$J:$J,(game_rosters!$G:$G=events!$AM4)*(game_rosters!$J:$J=events!$X4))&gt;0,1,""),"")</f>
        <v>1</v>
      </c>
      <c r="Z4" s="6">
        <f t="shared" si="6"/>
        <v>1</v>
      </c>
      <c r="AA4">
        <f t="shared" si="0"/>
        <v>1001</v>
      </c>
      <c r="AB4" t="str">
        <f t="shared" si="1"/>
        <v/>
      </c>
      <c r="AC4">
        <f t="shared" si="2"/>
        <v>1001</v>
      </c>
      <c r="AD4" t="str">
        <f>IF(E4&lt;&gt;"",E4,IF($AC4=$AC3,AD3,IF(AF3&lt;&gt;"",AF3,IF(AD3&lt;&gt;"",AD3,""))))</f>
        <v>18</v>
      </c>
      <c r="AE4" t="str">
        <f>IF(F4&lt;&gt;"",F4,IF($AC4=$AC3,AE3,IF(AG3&lt;&gt;"",AG3,IF(AE3&lt;&gt;"",AE3,""))))</f>
        <v>00</v>
      </c>
      <c r="AF4" t="str">
        <f>IF(G4&lt;&gt;"",G4,IF($AC4=$AC3,AF3,IF(H4="","",AD4)))</f>
        <v/>
      </c>
      <c r="AH4" t="str">
        <f t="shared" ref="AH4" si="8">IF(Y4="x","",IF(Y4=1,"e","o"))</f>
        <v>e</v>
      </c>
      <c r="AI4" t="str">
        <f t="shared" ref="AI4" si="9">IF($J4&lt;&gt;"",$J4,IF($AC4=$AC3,AI3,""))</f>
        <v>n</v>
      </c>
      <c r="AJ4" t="str">
        <f t="shared" ref="AJ4" si="10">IF($J4&lt;&gt;"",$J4,IF($AC4=$AC3,AJ3,""))</f>
        <v>n</v>
      </c>
      <c r="AK4" t="str">
        <f t="shared" ref="AK4" si="11">IF($W4="","",IF($AI4="","",IF($W4="h",$AI4,IF($AI4="n","n",IF(AND($W4="a",$AI4="d"),"o",IF(AND($W4="a",$AI4="o"),"d"))))))</f>
        <v/>
      </c>
      <c r="AL4" t="str">
        <f t="shared" ref="AL4" si="12">IF($W4="","",IF(J4="","",IF(AK4="n","n",IF(AK4="d","o",IF(AK4="o","d","")))))</f>
        <v/>
      </c>
      <c r="AM4" t="str">
        <f>IF(AN4="H","Home",IF(AN4="A","Away",""))</f>
        <v>Home</v>
      </c>
      <c r="AN4" t="str">
        <f>IF($W4&lt;&gt;"",$W4,IF($AC4=AC3,AN3,""))</f>
        <v>h</v>
      </c>
      <c r="AO4" t="str">
        <f>IF(AK4&lt;&gt;"",AK4,IF($AC4=AC3,AO3,""))</f>
        <v>n</v>
      </c>
      <c r="AP4" t="str">
        <f>IF(AL4&lt;&gt;"",AL4,IF($AC4=AC3,AP3,""))</f>
        <v>n</v>
      </c>
      <c r="AQ4" t="str">
        <f>IF(AM4&lt;&gt;"",AM4,IF($AC4=#REF!,#REF!,""))</f>
        <v>Home</v>
      </c>
      <c r="AR4" t="str">
        <f>IF(AN4&lt;&gt;"",AN4,IF($AC4=AC3,AQ3,""))</f>
        <v>h</v>
      </c>
      <c r="AS4" t="str">
        <f t="shared" ref="AS4" si="13">IF(AND(AH4="e",OR(BD4="Save",BE4="Turnover_Takeaway",BE4="Play_Defensive")),"Defensive",IF(AND(AH4="o",OR(BD4="Save",BE4="Turnover_Takeaway",BE4="Play_Defensive")),"Offensive",IF(OR(BD4="Deadice",BD4="Stoppage",BD4="Intermission"),"",IF(AH4="e","Offensive",IF(AH4="o","Defensive","")))))</f>
        <v>Offensive</v>
      </c>
      <c r="AT4" t="str">
        <f t="shared" ref="AT4" si="14">IF(U4&lt;&gt;"",U4+5000,"")</f>
        <v/>
      </c>
      <c r="AU4" t="str">
        <f t="shared" ref="AU4" si="15">IF(V4&lt;&gt;"",V4+6000,"")</f>
        <v/>
      </c>
      <c r="AV4" t="str" cm="1">
        <f t="array" ref="AV4">IFERROR(IF(O4&lt;&gt;"",O4,IF(OR($S4="",$T4=""),"",IF(O4&lt;&gt;"",O4,IF($T4&lt;&gt;"",_xlfn._xlws.FILTER(O:O,($BT:$BT=$BT4)*($I:$I=$I4)*($T:$T=$T4)*($S:$S=_xlfn.MINIFS($S:$S,$T:$T,"="&amp;$T4)),"")))))&amp;"",IF(O4="","",""))&amp;""</f>
        <v/>
      </c>
      <c r="AW4" t="str" cm="1">
        <f t="array" ref="AW4">IFERROR(IF(P4&lt;&gt;"",P4,IF(OR($S4="",$T4=""),"",IF($T4&lt;&gt;"",_xlfn._xlws.FILTER(P:P,($BT:$BT=$BT4)*($I:$I=$I4)*($T:$T=$T4)*($S:$S=_xlfn.MINIFS($S:$S,$T:$T,"="&amp;$T4)),""))))&amp;"",IF(P4="","",""))&amp;""</f>
        <v/>
      </c>
      <c r="AX4" t="str" cm="1">
        <f t="array" ref="AX4">IFERROR(IF(Q4&lt;&gt;"",Q4,IF(OR($S4="",$T4=""),"",IF($T4&lt;&gt;"",_xlfn._xlws.FILTER(Q:Q,($BT:$BT=$BT4)*($I:$I=$I4)*($T:$T=$T4)*($S:$S=_xlfn.MINIFS($S:$S,$T:$T,"="&amp;$T4)),""))))&amp;"",IF(Q4="","",""))&amp;""</f>
        <v/>
      </c>
      <c r="AY4" t="str" cm="1">
        <f t="array" ref="AY4">IFERROR(IF(R4&lt;&gt;"",R4,IF(OR($S4="",$T4=""),"",IF($T4&lt;&gt;"",_xlfn._xlws.FILTER(R:R,($BT:$BT=$BT4)*($I:$I=$I4)*($T:$T=$T4)*($S:$S=_xlfn.MINIFS($S:$S,$T:$T,"="&amp;$T4)),""))))&amp;"",IF(R4="","",""))&amp;""</f>
        <v/>
      </c>
      <c r="BF4" t="str">
        <f t="shared" ref="BF4" si="16">IF(M4&lt;&gt;"",M4,IF($S4=$S3,BF3,""))</f>
        <v/>
      </c>
      <c r="BG4" t="str">
        <f t="shared" ref="BG4" si="17">IF($N4&lt;&gt;"",$N4,IF($S4=$S3,BG3,""))</f>
        <v/>
      </c>
      <c r="BH4" cm="1">
        <f t="array" ref="BH4">IFERROR(_xlfn._xlws.FILTER(shifts!A:A,(shifts!B:B=events!Z4)*(shifts!AG:AG&gt;=events!BJ4)*(shifts!AH:AH&lt;=events!BK4)),BH3)</f>
        <v>1</v>
      </c>
      <c r="BI4" s="15">
        <f t="shared" ref="BI4" si="18">IF(AND(AF4="",AG4=""),0,((AD4*60)+AE4)-((AF4*60)+AG4))</f>
        <v>0</v>
      </c>
      <c r="BJ4">
        <f t="shared" ref="BJ4" si="19">(AD4*60)+AE4</f>
        <v>1080</v>
      </c>
      <c r="BK4">
        <f t="shared" ref="BK4" si="20">IF(AND(AF4="",AG4=""),BJ4,((AF4*60)+AG4))</f>
        <v>1080</v>
      </c>
      <c r="BL4" s="15">
        <f>SUMIFS(BI$2:BI4,K$2:K4,"=Intermission")+SUMIFS(BI$2:BI4,K$2:K4,"=Timeout")</f>
        <v>0</v>
      </c>
      <c r="BM4">
        <f t="shared" ref="BM4" si="21">IF(Z4=1,0,IF(Z4=2,1080+BL4,IF(Z4=3,(1080*2)+BL4,0)))</f>
        <v>0</v>
      </c>
      <c r="BN4" s="19">
        <f t="shared" ref="BN4" si="22">IF(K4="Intermission",BN3,((1080)-((AD4*60)+AE4))+BM4)</f>
        <v>0</v>
      </c>
      <c r="BO4">
        <f t="shared" ref="BO4" si="23">IF(BN4&lt;5,0,BN4-5)</f>
        <v>0</v>
      </c>
      <c r="BP4" s="17">
        <f t="shared" ref="BP4" si="24">BO4+BI4+5</f>
        <v>5</v>
      </c>
      <c r="BQ4" t="str">
        <f t="shared" ref="BQ4" si="25">IF(AH4="e","event_team_player_"&amp;BR4,IF(AH4="o","opp_team_player_"&amp;BR4,""))</f>
        <v>event_team_player_2</v>
      </c>
      <c r="BR4">
        <f>COUNTIFS(S$3:S4,"="&amp;S4,AH$3:AH4,"="&amp;AH4)</f>
        <v>2</v>
      </c>
      <c r="BS4" t="str">
        <f>IFERROR(VLOOKUP(BA4&amp;BT4&amp;X4,game_rosters!U:W,3,FALSE),"")</f>
        <v/>
      </c>
      <c r="BT4">
        <f t="shared" ref="BT4" si="26">IF(AQ4="","",IF(AND(AQ4="Away",AH4="e"),BC4,IF(AND(AQ4="Home",AH4="e"),BB4,IF(AND(AQ4="Away",AH4="o"),BB4,IF(AND(AQ4="Home",AH4="o"),BC4)))))</f>
        <v>0</v>
      </c>
    </row>
    <row r="5" spans="1:72" x14ac:dyDescent="0.2">
      <c r="A5" t="str">
        <f t="shared" ref="A5:A68" si="27">IF(K5&lt;&gt;"",1,IF(D5="x","x",""))</f>
        <v/>
      </c>
      <c r="E5" s="4"/>
      <c r="F5" s="45"/>
      <c r="G5" s="4"/>
      <c r="H5" s="48"/>
      <c r="J5" s="46" t="str">
        <f>IF(OR(K5="Goal",K5="Shot",L5="Zone_Entry",M5="Stoppage-Goal",M4="Stoppage-Goal"),"o",IF(OR(K5="Save",K5="Rebound",L5="Zone_Exit",M5="Stoppage-GoalieStoppage",M4="Stoppage-GoalieStoppage"),"d",IF(OR(L5="Faceoff_AfterGoal",L5="Faceoff_PeriodStart",698="Faceoff_GameStart",M4="Stoppage-Goal"),"n","")))</f>
        <v/>
      </c>
      <c r="N5" t="str">
        <f t="shared" ref="N5:N20" si="28">IF(K5="","",IF(K5="Goal","s",IF(AND(K5="Zone_Entry_Exit",OR(ISNUMBER(SEARCH("fail",L5)),ISNUMBER(SEARCH("FromExitClear",M5)),ISNUMBER(SEARCH("miss",M5)))),"u",IF(AND(K5="Zone_Entry_Exit",OR(NOT(ISNUMBER(SEARCH("fail",L5))),NOT(ISNUMBER(SEARCH("FromExitClear",M5))),NOT(ISNUMBER(SEARCH("miss",M5))))),"s",IF(AND(OR(K5="Shot",K5="Pass"),OR(ISNUMBER(SEARCH("complete",L5)),ISNUMBER(SEARCH("goal",L5)),ISNUMBER(SEARCH("OnNet",L5)))),"s",IF(L5="Turnover_Giveaway","u",IF(AND(OR(K5="Shot",K5="Pass"),OR(ISNUMBER(SEARCH("fail",L5)),NOT(ISNUMBER(SEARCH("complete",L5))),NOT(ISNUMBER(SEARCH("OnNet",L5))))),"u","")))))))</f>
        <v/>
      </c>
      <c r="Q5" t="str">
        <f t="shared" ref="Q5:Q15" si="29">IF(O5="","",IF(AND(N5&lt;&gt;"",OR(O5&lt;&gt;"",P5&lt;&gt;"")),N5,IF(OR(ISNUMBER(SEARCH("attemp",O5)),ISNUMBER(SEARCH("beat",O5)),ISNUMBER(SEARCH("mis",O5)),ISNUMBER(SEARCH("fail",O5)),ISNUMBER(SEARCH("loss",O5)),ISNUMBER(SEARCH("lost",O5)),ISNUMBER(SEARCH("attemp",P5)),ISNUMBER(SEARCH("mis",P5)),ISNUMBER(SEARCH("fail",P5)),ISNUMBER(SEARCH("loss",P5)),ISNUMBER(SEARCH("beat",P5)),ISNUMBER(SEARCH("lost",P5))),"u","")))</f>
        <v/>
      </c>
      <c r="S5" t="str">
        <f>IF(A5=1,MAX(S$2:S4)+1,IF(OR(I5&lt;&gt;"",A5="x"),#REF!,""))</f>
        <v/>
      </c>
      <c r="T5" t="str">
        <f>IF(D5=1,MAX($T$2:$T4)+1,IF(S5=$S4,$S4,IF($D5="x",T4,IF($D4="x","",""))))</f>
        <v/>
      </c>
      <c r="U5" t="str">
        <f>IF(B5=1,MAX($U$2:$U4)+1,IF(AND($T5&lt;&gt;"",$T5=$T4),$U4,IF(B5="x",U4,"")))</f>
        <v/>
      </c>
      <c r="V5" t="str">
        <f>IF(C5=1,MAX($V$2:$V4)+1,IF(AND($T5&lt;&gt;"",$T5=$T4),$U4,IF(C5="x",V4,"")))</f>
        <v/>
      </c>
      <c r="W5" t="str" cm="1">
        <f t="array" ref="W5">IFERROR(_xlfn._xlws.FILTER(game_rosters!AB:AB,(game_rosters!J:J=events!X5)*(K5&lt;&gt;"")),"")</f>
        <v/>
      </c>
      <c r="X5" t="str" cm="1">
        <f t="array" ref="X5">IF(S5="","",IF($I5&lt;&gt;"",$I5,INDEX($I$2:$I4,ROW()-COUNTIFS($T$2:$T4,"="&amp;$T5,$S$2:$S4,"&lt;&gt;"&amp;$S5)-1)))</f>
        <v/>
      </c>
      <c r="Z5" s="6"/>
      <c r="AH5" t="str">
        <f t="shared" ref="AH5:AH63" si="30">IF(Y5="x","",IF(Y5=1,"e","o"))</f>
        <v>o</v>
      </c>
      <c r="AI5" t="str">
        <f>IF($J5&lt;&gt;"",$J5,IF($AC5=$AC4,AI4,""))</f>
        <v/>
      </c>
      <c r="AJ5" t="str">
        <f>IF($J5&lt;&gt;"",$J5,IF($AC5=AC4,AJ4,""))</f>
        <v/>
      </c>
      <c r="AK5" t="str">
        <f t="shared" ref="AK5:AK63" si="31">IF($W5="","",IF($AI5="","",IF($W5="h",$AI5,IF($AI5="n","n",IF(AND($W5="a",$AI5="d"),"o",IF(AND($W5="a",$AI5="o"),"d"))))))</f>
        <v/>
      </c>
      <c r="AL5" t="str">
        <f t="shared" ref="AL5:AL63" si="32">IF($W5="","",IF(J5="","",IF(AK5="n","n",IF(AK5="d","o",IF(AK5="o","d","")))))</f>
        <v/>
      </c>
      <c r="AM5" t="str">
        <f>IF(AN5="H","Home",IF(AN5="A","Away",""))</f>
        <v/>
      </c>
      <c r="AN5" t="str">
        <f>IF($W5&lt;&gt;"",$W5,IF($AC5=AC4,AN4,""))</f>
        <v/>
      </c>
      <c r="AO5" t="str">
        <f>IF(AK5&lt;&gt;"",AK5,IF($AC5=AC4,AO4,""))</f>
        <v/>
      </c>
      <c r="AP5" t="str">
        <f>IF(AL5&lt;&gt;"",AL5,IF($AC5=AC4,AP4,""))</f>
        <v/>
      </c>
      <c r="AQ5" t="str">
        <f>IF(AM5&lt;&gt;"",AM5,IF($AC5=AC4,AQ4,""))</f>
        <v/>
      </c>
      <c r="AR5" t="str">
        <f>IF(AN5&lt;&gt;"",AN5,IF($AC5=AC4,AQ4,""))</f>
        <v/>
      </c>
      <c r="AS5" t="str">
        <f t="shared" ref="AS5:AS63" si="33">IF(AND(AH5="e",OR(BD5="Save",BE5="Turnover_Takeaway",BE5="Play_Defensive")),"Defensive",IF(AND(AH5="o",OR(BD5="Save",BE5="Turnover_Takeaway",BE5="Play_Defensive")),"Offensive",IF(OR(BD5="Deadice",BD5="Stoppage",BD5="Intermission"),"",IF(AH5="e","Offensive",IF(AH5="o","Defensive","")))))</f>
        <v>Defensive</v>
      </c>
      <c r="BI5" s="40"/>
      <c r="BL5" s="40"/>
      <c r="BN5" s="19"/>
      <c r="BP5" s="17"/>
    </row>
    <row r="6" spans="1:72" x14ac:dyDescent="0.2">
      <c r="A6" t="str">
        <f t="shared" si="27"/>
        <v/>
      </c>
      <c r="E6" s="4"/>
      <c r="F6" s="45"/>
      <c r="G6" s="4"/>
      <c r="H6" s="48"/>
      <c r="J6" s="46" t="str">
        <f t="shared" ref="J6:J69" si="34">IF(OR(K6="Goal",K6="Shot",L6="Zone_Entry",M6="Stoppage-Goal",M5="Stoppage-Goal"),"o",IF(OR(K6="Save",K6="Rebound",L6="Zone_Exit",M6="Stoppage-GoalieStoppage",M5="Stoppage-GoalieStoppage"),"d",IF(OR(L6="Faceoff_AfterGoal",L6="Faceoff_PeriodStart",698="Faceoff_GameStart",M5="Stoppage-Goal"),"n","")))</f>
        <v/>
      </c>
      <c r="N6" t="str">
        <f t="shared" si="28"/>
        <v/>
      </c>
      <c r="Q6" t="str">
        <f t="shared" si="29"/>
        <v/>
      </c>
      <c r="S6" t="str">
        <f>IF(A6=1,MAX(S$2:S5)+1,IF(OR(I6&lt;&gt;"",A6="x"),S5,""))</f>
        <v/>
      </c>
      <c r="T6" t="str">
        <f>IF(D6=1,MAX($T$2:$T5)+1,IF(S6=$S5,$S5,IF($D6="x",T5,IF($D5="x","",""))))</f>
        <v/>
      </c>
      <c r="U6" t="str">
        <f>IF(B6=1,MAX($U$2:$U5)+1,IF(AND($T6&lt;&gt;"",$T6=$T5),$U5,IF(B6="x",U5,"")))</f>
        <v/>
      </c>
      <c r="V6" t="str">
        <f>IF(C6=1,MAX($V$2:$V5)+1,IF(AND($T6&lt;&gt;"",$T6=$T5),$U5,IF(C6="x",V5,"")))</f>
        <v/>
      </c>
      <c r="W6" t="str" cm="1">
        <f t="array" ref="W6">IFERROR(_xlfn._xlws.FILTER(game_rosters!AB:AB,(game_rosters!J:J=events!X6)*(K6&lt;&gt;"")),"")</f>
        <v/>
      </c>
      <c r="X6" t="str" cm="1">
        <f t="array" ref="X6">IF(S6="","",IF($I6&lt;&gt;"",$I6,INDEX($I$2:$I5,ROW()-COUNTIFS($T$2:$T5,"="&amp;$T6,$S$2:$S5,"&lt;&gt;"&amp;$S6)-1)))</f>
        <v/>
      </c>
      <c r="Z6" s="6"/>
      <c r="AH6" t="str">
        <f t="shared" si="30"/>
        <v>o</v>
      </c>
      <c r="AI6" t="str">
        <f t="shared" ref="AI6:AI69" si="35">IF($J6&lt;&gt;"",$J6,IF($AC6=$AC5,AI5,""))</f>
        <v/>
      </c>
      <c r="AJ6" t="str">
        <f t="shared" ref="AJ6:AJ69" si="36">IF($J6&lt;&gt;"",$J6,IF($AC6=AC5,AJ5,""))</f>
        <v/>
      </c>
      <c r="AK6" t="str">
        <f t="shared" si="31"/>
        <v/>
      </c>
      <c r="AL6" t="str">
        <f t="shared" si="32"/>
        <v/>
      </c>
      <c r="AM6" t="str">
        <f t="shared" ref="AM6:AM63" si="37">IF(AN6="H","Home",IF(AN6="A","Away",""))</f>
        <v/>
      </c>
      <c r="AN6" t="str">
        <f t="shared" ref="AN6:AN69" si="38">IF($W6&lt;&gt;"",$W6,IF($AC6=AC5,AN5,""))</f>
        <v/>
      </c>
      <c r="AO6" t="str">
        <f t="shared" ref="AO6:AO69" si="39">IF(AK6&lt;&gt;"",AK6,IF($AC6=AC5,AO5,""))</f>
        <v/>
      </c>
      <c r="AP6" t="str">
        <f t="shared" ref="AP6:AP69" si="40">IF(AL6&lt;&gt;"",AL6,IF($AC6=AC5,AP5,""))</f>
        <v/>
      </c>
      <c r="AQ6" t="str">
        <f t="shared" ref="AQ6:AQ69" si="41">IF(AM6&lt;&gt;"",AM6,IF($AC6=AC5,AQ5,""))</f>
        <v/>
      </c>
      <c r="AR6" t="str">
        <f t="shared" ref="AR6:AR69" si="42">IF(AN6&lt;&gt;"",AN6,IF($AC6=AC5,AQ5,""))</f>
        <v/>
      </c>
      <c r="AS6" t="str">
        <f t="shared" si="33"/>
        <v>Defensive</v>
      </c>
      <c r="BI6" s="40"/>
      <c r="BL6" s="40"/>
      <c r="BN6" s="19"/>
      <c r="BP6" s="17"/>
    </row>
    <row r="7" spans="1:72" x14ac:dyDescent="0.2">
      <c r="A7" t="str">
        <f t="shared" si="27"/>
        <v/>
      </c>
      <c r="E7" s="4"/>
      <c r="F7" s="45"/>
      <c r="G7" s="4"/>
      <c r="H7" s="48"/>
      <c r="J7" s="46" t="str">
        <f t="shared" si="34"/>
        <v/>
      </c>
      <c r="N7" t="str">
        <f t="shared" si="28"/>
        <v/>
      </c>
      <c r="Q7" t="str">
        <f t="shared" si="29"/>
        <v/>
      </c>
      <c r="S7" t="str">
        <f>IF(A7=1,MAX(S$2:S6)+1,IF(OR(I7&lt;&gt;"",A7="x"),S6,""))</f>
        <v/>
      </c>
      <c r="T7" t="str">
        <f>IF(D7=1,MAX($T$2:$T6)+1,IF(S7=$S6,$S6,IF($D7="x",T6,IF($D6="x","",""))))</f>
        <v/>
      </c>
      <c r="U7" t="str">
        <f>IF(B7=1,MAX($U$2:$U6)+1,IF(AND($T7&lt;&gt;"",$T7=$T6),$U6,IF(B7="x",U6,"")))</f>
        <v/>
      </c>
      <c r="V7" t="str">
        <f>IF(C7=1,MAX($V$2:$V6)+1,IF(AND($T7&lt;&gt;"",$T7=$T6),$U6,IF(C7="x",V6,"")))</f>
        <v/>
      </c>
      <c r="W7" t="str" cm="1">
        <f t="array" ref="W7">IFERROR(_xlfn._xlws.FILTER(game_rosters!AB:AB,(game_rosters!J:J=events!X7)*(K7&lt;&gt;"")),"")</f>
        <v/>
      </c>
      <c r="X7" t="str" cm="1">
        <f t="array" ref="X7">IF(S7="","",IF($I7&lt;&gt;"",$I7,INDEX($I$2:$I6,ROW()-COUNTIFS($T$2:$T6,"="&amp;$T7,$S$2:$S6,"&lt;&gt;"&amp;$S7)-1)))</f>
        <v/>
      </c>
      <c r="Z7" s="6"/>
      <c r="AH7" t="str">
        <f t="shared" si="30"/>
        <v>o</v>
      </c>
      <c r="AI7" t="str">
        <f t="shared" si="35"/>
        <v/>
      </c>
      <c r="AJ7" t="str">
        <f t="shared" si="36"/>
        <v/>
      </c>
      <c r="AK7" t="str">
        <f t="shared" si="31"/>
        <v/>
      </c>
      <c r="AL7" t="str">
        <f t="shared" si="32"/>
        <v/>
      </c>
      <c r="AM7" t="str">
        <f t="shared" si="37"/>
        <v/>
      </c>
      <c r="AN7" t="str">
        <f t="shared" si="38"/>
        <v/>
      </c>
      <c r="AO7" t="str">
        <f t="shared" si="39"/>
        <v/>
      </c>
      <c r="AP7" t="str">
        <f t="shared" si="40"/>
        <v/>
      </c>
      <c r="AQ7" t="str">
        <f t="shared" si="41"/>
        <v/>
      </c>
      <c r="AR7" t="str">
        <f t="shared" si="42"/>
        <v/>
      </c>
      <c r="AS7" t="str">
        <f t="shared" si="33"/>
        <v>Defensive</v>
      </c>
      <c r="BI7" s="40"/>
      <c r="BL7" s="40"/>
      <c r="BN7" s="19"/>
      <c r="BP7" s="17"/>
    </row>
    <row r="8" spans="1:72" x14ac:dyDescent="0.2">
      <c r="A8" t="str">
        <f t="shared" si="27"/>
        <v/>
      </c>
      <c r="E8" s="4"/>
      <c r="F8" s="45"/>
      <c r="G8" s="4"/>
      <c r="H8" s="48"/>
      <c r="J8" s="46" t="str">
        <f t="shared" si="34"/>
        <v/>
      </c>
      <c r="N8" t="str">
        <f t="shared" si="28"/>
        <v/>
      </c>
      <c r="Q8" t="str">
        <f t="shared" si="29"/>
        <v/>
      </c>
      <c r="S8" t="str">
        <f>IF(A8=1,MAX(S$2:S7)+1,IF(OR(I8&lt;&gt;"",A8="x"),S7,""))</f>
        <v/>
      </c>
      <c r="T8" t="str">
        <f>IF(D8=1,MAX($T$2:$T7)+1,IF(S8=$S7,$S7,IF($D8="x",T7,IF($D7="x","",""))))</f>
        <v/>
      </c>
      <c r="U8" t="str">
        <f>IF(B8=1,MAX($U$2:$U7)+1,IF(AND($T8&lt;&gt;"",$T8=$T7),$U7,IF(B8="x",U7,"")))</f>
        <v/>
      </c>
      <c r="V8" t="str">
        <f>IF(C8=1,MAX($V$2:$V7)+1,IF(AND($T8&lt;&gt;"",$T8=$T7),$U7,IF(C8="x",V7,"")))</f>
        <v/>
      </c>
      <c r="W8" t="str" cm="1">
        <f t="array" ref="W8">IFERROR(_xlfn._xlws.FILTER(game_rosters!AB:AB,(game_rosters!J:J=events!X8)*(K8&lt;&gt;"")),"")</f>
        <v/>
      </c>
      <c r="X8" t="str" cm="1">
        <f t="array" ref="X8">IF(S8="","",IF($I8&lt;&gt;"",$I8,INDEX($I$2:$I7,ROW()-COUNTIFS($T$2:$T7,"="&amp;$T8,$S$2:$S7,"&lt;&gt;"&amp;$S8)-1)))</f>
        <v/>
      </c>
      <c r="Z8" s="6"/>
      <c r="AH8" t="str">
        <f t="shared" si="30"/>
        <v>o</v>
      </c>
      <c r="AI8" t="str">
        <f t="shared" si="35"/>
        <v/>
      </c>
      <c r="AJ8" t="str">
        <f t="shared" si="36"/>
        <v/>
      </c>
      <c r="AK8" t="str">
        <f t="shared" si="31"/>
        <v/>
      </c>
      <c r="AL8" t="str">
        <f t="shared" si="32"/>
        <v/>
      </c>
      <c r="AM8" t="str">
        <f t="shared" si="37"/>
        <v/>
      </c>
      <c r="AN8" t="str">
        <f t="shared" si="38"/>
        <v/>
      </c>
      <c r="AO8" t="str">
        <f t="shared" si="39"/>
        <v/>
      </c>
      <c r="AP8" t="str">
        <f t="shared" si="40"/>
        <v/>
      </c>
      <c r="AQ8" t="str">
        <f t="shared" si="41"/>
        <v/>
      </c>
      <c r="AR8" t="str">
        <f t="shared" si="42"/>
        <v/>
      </c>
      <c r="AS8" t="str">
        <f t="shared" si="33"/>
        <v>Defensive</v>
      </c>
      <c r="BI8" s="40"/>
      <c r="BL8" s="40"/>
      <c r="BN8" s="19"/>
      <c r="BP8" s="17"/>
    </row>
    <row r="9" spans="1:72" x14ac:dyDescent="0.2">
      <c r="A9" t="str">
        <f t="shared" si="27"/>
        <v/>
      </c>
      <c r="E9" s="4"/>
      <c r="F9" s="45"/>
      <c r="G9" s="4"/>
      <c r="H9" s="48"/>
      <c r="J9" s="46" t="str">
        <f t="shared" si="34"/>
        <v/>
      </c>
      <c r="N9" t="str">
        <f t="shared" si="28"/>
        <v/>
      </c>
      <c r="Q9" t="str">
        <f t="shared" si="29"/>
        <v/>
      </c>
      <c r="S9" t="str">
        <f>IF(A9=1,MAX(S$2:S8)+1,IF(OR(I9&lt;&gt;"",A9="x"),S8,""))</f>
        <v/>
      </c>
      <c r="T9" t="str">
        <f>IF(D9=1,MAX($T$2:$T8)+1,IF(S9=$S8,$S8,IF($D9="x",T8,IF($D8="x","",""))))</f>
        <v/>
      </c>
      <c r="U9" t="str">
        <f>IF(B9=1,MAX($U$2:$U8)+1,IF(AND($T9&lt;&gt;"",$T9=$T8),$U8,IF(B9="x",U8,"")))</f>
        <v/>
      </c>
      <c r="V9" t="str">
        <f>IF(C9=1,MAX($V$2:$V8)+1,IF(AND($T9&lt;&gt;"",$T9=$T8),$U8,IF(C9="x",V8,"")))</f>
        <v/>
      </c>
      <c r="W9" t="str" cm="1">
        <f t="array" ref="W9">IFERROR(_xlfn._xlws.FILTER(game_rosters!AB:AB,(game_rosters!J:J=events!X9)*(K9&lt;&gt;"")),"")</f>
        <v/>
      </c>
      <c r="X9" t="str" cm="1">
        <f t="array" ref="X9">IF(S9="","",IF($I9&lt;&gt;"",$I9,INDEX($I$2:$I8,ROW()-COUNTIFS($T$2:$T8,"="&amp;$T9,$S$2:$S8,"&lt;&gt;"&amp;$S9)-1)))</f>
        <v/>
      </c>
      <c r="Z9" s="6"/>
      <c r="AH9" t="str">
        <f t="shared" si="30"/>
        <v>o</v>
      </c>
      <c r="AI9" t="str">
        <f t="shared" si="35"/>
        <v/>
      </c>
      <c r="AJ9" t="str">
        <f t="shared" si="36"/>
        <v/>
      </c>
      <c r="AK9" t="str">
        <f t="shared" si="31"/>
        <v/>
      </c>
      <c r="AL9" t="str">
        <f t="shared" si="32"/>
        <v/>
      </c>
      <c r="AM9" t="str">
        <f t="shared" si="37"/>
        <v/>
      </c>
      <c r="AN9" t="str">
        <f t="shared" si="38"/>
        <v/>
      </c>
      <c r="AO9" t="str">
        <f t="shared" si="39"/>
        <v/>
      </c>
      <c r="AP9" t="str">
        <f t="shared" si="40"/>
        <v/>
      </c>
      <c r="AQ9" t="str">
        <f t="shared" si="41"/>
        <v/>
      </c>
      <c r="AR9" t="str">
        <f t="shared" si="42"/>
        <v/>
      </c>
      <c r="AS9" t="str">
        <f t="shared" si="33"/>
        <v>Defensive</v>
      </c>
      <c r="BI9" s="40"/>
      <c r="BL9" s="40"/>
      <c r="BN9" s="19"/>
      <c r="BP9" s="17"/>
    </row>
    <row r="10" spans="1:72" x14ac:dyDescent="0.2">
      <c r="A10" t="str">
        <f t="shared" si="27"/>
        <v/>
      </c>
      <c r="E10" s="4"/>
      <c r="F10" s="45"/>
      <c r="G10" s="4"/>
      <c r="H10" s="48"/>
      <c r="J10" s="46" t="str">
        <f t="shared" si="34"/>
        <v/>
      </c>
      <c r="N10" t="str">
        <f t="shared" si="28"/>
        <v/>
      </c>
      <c r="Q10" t="str">
        <f t="shared" si="29"/>
        <v/>
      </c>
      <c r="S10" t="str">
        <f>IF(A10=1,MAX(S$2:S9)+1,IF(OR(I10&lt;&gt;"",A10="x"),S9,""))</f>
        <v/>
      </c>
      <c r="T10" t="str">
        <f>IF(D10=1,MAX($T$2:$T9)+1,IF(S10=$S9,$S9,IF($D10="x",T9,IF($D9="x","",""))))</f>
        <v/>
      </c>
      <c r="U10" t="str">
        <f>IF(B10=1,MAX($U$2:$U9)+1,IF(AND($T10&lt;&gt;"",$T10=$T9),$U9,IF(B10="x",U9,"")))</f>
        <v/>
      </c>
      <c r="V10" t="str">
        <f>IF(C10=1,MAX($V$2:$V9)+1,IF(AND($T10&lt;&gt;"",$T10=$T9),$U9,IF(C10="x",V9,"")))</f>
        <v/>
      </c>
      <c r="W10" t="str" cm="1">
        <f t="array" ref="W10">IFERROR(_xlfn._xlws.FILTER(game_rosters!AB:AB,(game_rosters!J:J=events!X10)*(K10&lt;&gt;"")),"")</f>
        <v/>
      </c>
      <c r="X10" t="str" cm="1">
        <f t="array" ref="X10">IF(S10="","",IF($I10&lt;&gt;"",$I10,INDEX($I$2:$I9,ROW()-COUNTIFS($T$2:$T9,"="&amp;$T10,$S$2:$S9,"&lt;&gt;"&amp;$S10)-1)))</f>
        <v/>
      </c>
      <c r="Z10" s="6"/>
      <c r="AH10" t="str">
        <f t="shared" si="30"/>
        <v>o</v>
      </c>
      <c r="AI10" t="str">
        <f t="shared" si="35"/>
        <v/>
      </c>
      <c r="AJ10" t="str">
        <f t="shared" si="36"/>
        <v/>
      </c>
      <c r="AK10" t="str">
        <f t="shared" si="31"/>
        <v/>
      </c>
      <c r="AL10" t="str">
        <f t="shared" si="32"/>
        <v/>
      </c>
      <c r="AM10" t="str">
        <f t="shared" si="37"/>
        <v/>
      </c>
      <c r="AN10" t="str">
        <f t="shared" si="38"/>
        <v/>
      </c>
      <c r="AO10" t="str">
        <f t="shared" si="39"/>
        <v/>
      </c>
      <c r="AP10" t="str">
        <f t="shared" si="40"/>
        <v/>
      </c>
      <c r="AQ10" t="str">
        <f t="shared" si="41"/>
        <v/>
      </c>
      <c r="AR10" t="str">
        <f t="shared" si="42"/>
        <v/>
      </c>
      <c r="AS10" t="str">
        <f t="shared" si="33"/>
        <v>Defensive</v>
      </c>
      <c r="BI10" s="40"/>
      <c r="BL10" s="40"/>
      <c r="BN10" s="19"/>
      <c r="BP10" s="17"/>
    </row>
    <row r="11" spans="1:72" x14ac:dyDescent="0.2">
      <c r="A11" t="str">
        <f t="shared" si="27"/>
        <v/>
      </c>
      <c r="E11" s="4"/>
      <c r="F11" s="45"/>
      <c r="G11" s="4"/>
      <c r="H11" s="48"/>
      <c r="J11" s="46" t="str">
        <f t="shared" si="34"/>
        <v/>
      </c>
      <c r="N11" t="str">
        <f t="shared" si="28"/>
        <v/>
      </c>
      <c r="Q11" t="str">
        <f t="shared" si="29"/>
        <v/>
      </c>
      <c r="S11" t="str">
        <f>IF(A11=1,MAX(S$2:S10)+1,IF(OR(I11&lt;&gt;"",A11="x"),S10,""))</f>
        <v/>
      </c>
      <c r="T11" t="str">
        <f>IF(D11=1,MAX($T$2:$T10)+1,IF(S11=$S10,$S10,IF($D11="x",T10,IF($D10="x","",""))))</f>
        <v/>
      </c>
      <c r="U11" t="str">
        <f>IF(B11=1,MAX($U$2:$U10)+1,IF(AND($T11&lt;&gt;"",$T11=$T10),$U10,IF(B11="x",U10,"")))</f>
        <v/>
      </c>
      <c r="V11" t="str">
        <f>IF(C11=1,MAX($V$2:$V10)+1,IF(AND($T11&lt;&gt;"",$T11=$T10),$U10,IF(C11="x",V10,"")))</f>
        <v/>
      </c>
      <c r="W11" t="str" cm="1">
        <f t="array" ref="W11">IFERROR(_xlfn._xlws.FILTER(game_rosters!AB:AB,(game_rosters!J:J=events!X11)*(K11&lt;&gt;"")),"")</f>
        <v/>
      </c>
      <c r="X11" t="str" cm="1">
        <f t="array" ref="X11">IF(S11="","",IF($I11&lt;&gt;"",$I11,INDEX($I$2:$I10,ROW()-COUNTIFS($T$2:$T10,"="&amp;$T11,$S$2:$S10,"&lt;&gt;"&amp;$S11)-1)))</f>
        <v/>
      </c>
      <c r="Z11" s="6"/>
      <c r="AH11" t="str">
        <f t="shared" si="30"/>
        <v>o</v>
      </c>
      <c r="AI11" t="str">
        <f t="shared" si="35"/>
        <v/>
      </c>
      <c r="AJ11" t="str">
        <f t="shared" si="36"/>
        <v/>
      </c>
      <c r="AK11" t="str">
        <f t="shared" si="31"/>
        <v/>
      </c>
      <c r="AL11" t="str">
        <f t="shared" si="32"/>
        <v/>
      </c>
      <c r="AM11" t="str">
        <f t="shared" si="37"/>
        <v/>
      </c>
      <c r="AN11" t="str">
        <f t="shared" si="38"/>
        <v/>
      </c>
      <c r="AO11" t="str">
        <f t="shared" si="39"/>
        <v/>
      </c>
      <c r="AP11" t="str">
        <f t="shared" si="40"/>
        <v/>
      </c>
      <c r="AQ11" t="str">
        <f t="shared" si="41"/>
        <v/>
      </c>
      <c r="AR11" t="str">
        <f t="shared" si="42"/>
        <v/>
      </c>
      <c r="AS11" t="str">
        <f t="shared" si="33"/>
        <v>Defensive</v>
      </c>
      <c r="BI11" s="40"/>
      <c r="BL11" s="40"/>
      <c r="BN11" s="19"/>
      <c r="BP11" s="17"/>
    </row>
    <row r="12" spans="1:72" x14ac:dyDescent="0.2">
      <c r="A12" t="str">
        <f t="shared" si="27"/>
        <v/>
      </c>
      <c r="E12" s="4"/>
      <c r="F12" s="45"/>
      <c r="G12" s="4"/>
      <c r="H12" s="48"/>
      <c r="J12" s="46" t="str">
        <f t="shared" si="34"/>
        <v/>
      </c>
      <c r="N12" t="str">
        <f t="shared" si="28"/>
        <v/>
      </c>
      <c r="Q12" t="str">
        <f t="shared" si="29"/>
        <v/>
      </c>
      <c r="S12" t="str">
        <f>IF(A12=1,MAX(S$2:S11)+1,IF(OR(I12&lt;&gt;"",A12="x"),S11,""))</f>
        <v/>
      </c>
      <c r="T12" t="str">
        <f>IF(D12=1,MAX($T$2:$T11)+1,IF(S12=$S11,$S11,IF($D12="x",T11,IF($D11="x","",""))))</f>
        <v/>
      </c>
      <c r="U12" t="str">
        <f>IF(B12=1,MAX($U$2:$U11)+1,IF(AND($T12&lt;&gt;"",$T12=$T11),$U11,IF(B12="x",U11,"")))</f>
        <v/>
      </c>
      <c r="V12" t="str">
        <f>IF(C12=1,MAX($V$2:$V11)+1,IF(AND($T12&lt;&gt;"",$T12=$T11),$U11,IF(C12="x",V11,"")))</f>
        <v/>
      </c>
      <c r="W12" t="str" cm="1">
        <f t="array" ref="W12">IFERROR(_xlfn._xlws.FILTER(game_rosters!AB:AB,(game_rosters!J:J=events!X12)*(K12&lt;&gt;"")),"")</f>
        <v/>
      </c>
      <c r="X12" t="str" cm="1">
        <f t="array" ref="X12">IF(S12="","",IF($I12&lt;&gt;"",$I12,INDEX($I$2:$I11,ROW()-COUNTIFS($T$2:$T11,"="&amp;$T12,$S$2:$S11,"&lt;&gt;"&amp;$S12)-1)))</f>
        <v/>
      </c>
      <c r="Z12" s="6"/>
      <c r="AH12" t="str">
        <f t="shared" si="30"/>
        <v>o</v>
      </c>
      <c r="AI12" t="str">
        <f t="shared" si="35"/>
        <v/>
      </c>
      <c r="AJ12" t="str">
        <f t="shared" si="36"/>
        <v/>
      </c>
      <c r="AK12" t="str">
        <f t="shared" si="31"/>
        <v/>
      </c>
      <c r="AL12" t="str">
        <f t="shared" si="32"/>
        <v/>
      </c>
      <c r="AM12" t="str">
        <f t="shared" si="37"/>
        <v/>
      </c>
      <c r="AN12" t="str">
        <f t="shared" si="38"/>
        <v/>
      </c>
      <c r="AO12" t="str">
        <f t="shared" si="39"/>
        <v/>
      </c>
      <c r="AP12" t="str">
        <f t="shared" si="40"/>
        <v/>
      </c>
      <c r="AQ12" t="str">
        <f t="shared" si="41"/>
        <v/>
      </c>
      <c r="AR12" t="str">
        <f t="shared" si="42"/>
        <v/>
      </c>
      <c r="AS12" t="str">
        <f t="shared" si="33"/>
        <v>Defensive</v>
      </c>
      <c r="BI12" s="40"/>
      <c r="BL12" s="40"/>
      <c r="BN12" s="19"/>
      <c r="BP12" s="17"/>
    </row>
    <row r="13" spans="1:72" x14ac:dyDescent="0.2">
      <c r="A13" t="str">
        <f t="shared" si="27"/>
        <v/>
      </c>
      <c r="E13" s="4"/>
      <c r="F13" s="45"/>
      <c r="G13" s="4"/>
      <c r="H13" s="48"/>
      <c r="J13" s="46" t="str">
        <f t="shared" si="34"/>
        <v/>
      </c>
      <c r="N13" t="str">
        <f t="shared" si="28"/>
        <v/>
      </c>
      <c r="Q13" t="str">
        <f t="shared" si="29"/>
        <v/>
      </c>
      <c r="S13" t="str">
        <f>IF(A13=1,MAX(S$2:S12)+1,IF(OR(I13&lt;&gt;"",A13="x"),S12,""))</f>
        <v/>
      </c>
      <c r="T13" t="str">
        <f>IF(D13=1,MAX($T$2:$T12)+1,IF(S13=$S12,$S12,IF($D13="x",T12,IF($D12="x","",""))))</f>
        <v/>
      </c>
      <c r="U13" t="str">
        <f>IF(B13=1,MAX($U$2:$U12)+1,IF(AND($T13&lt;&gt;"",$T13=$T12),$U12,IF(B13="x",U12,"")))</f>
        <v/>
      </c>
      <c r="V13" t="str">
        <f>IF(C13=1,MAX($V$2:$V12)+1,IF(AND($T13&lt;&gt;"",$T13=$T12),$U12,IF(C13="x",V12,"")))</f>
        <v/>
      </c>
      <c r="W13" t="str" cm="1">
        <f t="array" ref="W13">IFERROR(_xlfn._xlws.FILTER(game_rosters!AB:AB,(game_rosters!J:J=events!X13)*(K13&lt;&gt;"")),"")</f>
        <v/>
      </c>
      <c r="X13" t="str" cm="1">
        <f t="array" ref="X13">IF(S13="","",IF($I13&lt;&gt;"",$I13,INDEX($I$2:$I12,ROW()-COUNTIFS($T$2:$T12,"="&amp;$T13,$S$2:$S12,"&lt;&gt;"&amp;$S13)-1)))</f>
        <v/>
      </c>
      <c r="Z13" s="6"/>
      <c r="AH13" t="str">
        <f t="shared" si="30"/>
        <v>o</v>
      </c>
      <c r="AI13" t="str">
        <f t="shared" si="35"/>
        <v/>
      </c>
      <c r="AJ13" t="str">
        <f t="shared" si="36"/>
        <v/>
      </c>
      <c r="AK13" t="str">
        <f t="shared" si="31"/>
        <v/>
      </c>
      <c r="AL13" t="str">
        <f t="shared" si="32"/>
        <v/>
      </c>
      <c r="AM13" t="str">
        <f t="shared" si="37"/>
        <v/>
      </c>
      <c r="AN13" t="str">
        <f t="shared" si="38"/>
        <v/>
      </c>
      <c r="AO13" t="str">
        <f t="shared" si="39"/>
        <v/>
      </c>
      <c r="AP13" t="str">
        <f t="shared" si="40"/>
        <v/>
      </c>
      <c r="AQ13" t="str">
        <f t="shared" si="41"/>
        <v/>
      </c>
      <c r="AR13" t="str">
        <f t="shared" si="42"/>
        <v/>
      </c>
      <c r="AS13" t="str">
        <f t="shared" si="33"/>
        <v>Defensive</v>
      </c>
      <c r="BI13" s="40"/>
      <c r="BL13" s="40"/>
      <c r="BN13" s="19"/>
      <c r="BP13" s="17"/>
    </row>
    <row r="14" spans="1:72" x14ac:dyDescent="0.2">
      <c r="A14" t="str">
        <f t="shared" si="27"/>
        <v/>
      </c>
      <c r="E14" s="4"/>
      <c r="F14" s="45"/>
      <c r="G14" s="4"/>
      <c r="H14" s="48"/>
      <c r="J14" s="46" t="str">
        <f t="shared" si="34"/>
        <v/>
      </c>
      <c r="N14" t="str">
        <f t="shared" si="28"/>
        <v/>
      </c>
      <c r="Q14" t="str">
        <f t="shared" si="29"/>
        <v/>
      </c>
      <c r="S14" t="str">
        <f>IF(A14=1,MAX(S$2:S13)+1,IF(OR(I14&lt;&gt;"",A14="x"),S13,""))</f>
        <v/>
      </c>
      <c r="T14" t="str">
        <f>IF(D14=1,MAX($T$2:$T13)+1,IF(S14=$S13,$S13,IF($D14="x",T13,IF($D13="x","",""))))</f>
        <v/>
      </c>
      <c r="U14" t="str">
        <f>IF(B14=1,MAX($U$2:$U13)+1,IF(AND($T14&lt;&gt;"",$T14=$T13),$U13,IF(B14="x",U13,"")))</f>
        <v/>
      </c>
      <c r="V14" t="str">
        <f>IF(C14=1,MAX($V$2:$V13)+1,IF(AND($T14&lt;&gt;"",$T14=$T13),$U13,IF(C14="x",V13,"")))</f>
        <v/>
      </c>
      <c r="W14" t="str" cm="1">
        <f t="array" ref="W14">IFERROR(_xlfn._xlws.FILTER(game_rosters!AB:AB,(game_rosters!J:J=events!X14)*(K14&lt;&gt;"")),"")</f>
        <v/>
      </c>
      <c r="X14" t="str" cm="1">
        <f t="array" ref="X14">IF(S14="","",IF($I14&lt;&gt;"",$I14,INDEX($I$2:$I13,ROW()-COUNTIFS($T$2:$T13,"="&amp;$T14,$S$2:$S13,"&lt;&gt;"&amp;$S14)-1)))</f>
        <v/>
      </c>
      <c r="Z14" s="6"/>
      <c r="AH14" t="str">
        <f t="shared" si="30"/>
        <v>o</v>
      </c>
      <c r="AI14" t="str">
        <f t="shared" si="35"/>
        <v/>
      </c>
      <c r="AJ14" t="str">
        <f t="shared" si="36"/>
        <v/>
      </c>
      <c r="AK14" t="str">
        <f t="shared" si="31"/>
        <v/>
      </c>
      <c r="AL14" t="str">
        <f t="shared" si="32"/>
        <v/>
      </c>
      <c r="AM14" t="str">
        <f t="shared" si="37"/>
        <v/>
      </c>
      <c r="AN14" t="str">
        <f t="shared" si="38"/>
        <v/>
      </c>
      <c r="AO14" t="str">
        <f t="shared" si="39"/>
        <v/>
      </c>
      <c r="AP14" t="str">
        <f t="shared" si="40"/>
        <v/>
      </c>
      <c r="AQ14" t="str">
        <f t="shared" si="41"/>
        <v/>
      </c>
      <c r="AR14" t="str">
        <f t="shared" si="42"/>
        <v/>
      </c>
      <c r="AS14" t="str">
        <f t="shared" si="33"/>
        <v>Defensive</v>
      </c>
      <c r="BI14" s="40"/>
      <c r="BL14" s="40"/>
      <c r="BN14" s="19"/>
      <c r="BP14" s="17"/>
    </row>
    <row r="15" spans="1:72" x14ac:dyDescent="0.2">
      <c r="A15" t="str">
        <f t="shared" si="27"/>
        <v/>
      </c>
      <c r="E15" s="4"/>
      <c r="F15" s="45"/>
      <c r="G15" s="4"/>
      <c r="H15" s="48"/>
      <c r="J15" s="46" t="str">
        <f t="shared" si="34"/>
        <v/>
      </c>
      <c r="N15" t="str">
        <f t="shared" si="28"/>
        <v/>
      </c>
      <c r="Q15" t="str">
        <f t="shared" si="29"/>
        <v/>
      </c>
      <c r="S15" t="str">
        <f>IF(A15=1,MAX(S$2:S14)+1,IF(OR(I15&lt;&gt;"",A15="x"),S14,""))</f>
        <v/>
      </c>
      <c r="T15" t="str">
        <f>IF(D15=1,MAX($T$2:$T14)+1,IF(S15=$S14,$S14,IF($D15="x",T14,IF($D14="x","",""))))</f>
        <v/>
      </c>
      <c r="U15" t="str">
        <f>IF(B15=1,MAX($U$2:$U14)+1,IF(AND($T15&lt;&gt;"",$T15=$T14),$U14,IF(B15="x",U14,"")))</f>
        <v/>
      </c>
      <c r="V15" t="str">
        <f>IF(C15=1,MAX($V$2:$V14)+1,IF(AND($T15&lt;&gt;"",$T15=$T14),$U14,IF(C15="x",V14,"")))</f>
        <v/>
      </c>
      <c r="W15" t="str" cm="1">
        <f t="array" ref="W15">IFERROR(_xlfn._xlws.FILTER(game_rosters!AB:AB,(game_rosters!J:J=events!X15)*(K15&lt;&gt;"")),"")</f>
        <v/>
      </c>
      <c r="X15" t="str" cm="1">
        <f t="array" ref="X15">IF(S15="","",IF($I15&lt;&gt;"",$I15,INDEX($I$2:$I14,ROW()-COUNTIFS($T$2:$T14,"="&amp;$T15,$S$2:$S14,"&lt;&gt;"&amp;$S15)-1)))</f>
        <v/>
      </c>
      <c r="Z15" s="6"/>
      <c r="AH15" t="str">
        <f t="shared" si="30"/>
        <v>o</v>
      </c>
      <c r="AI15" t="str">
        <f t="shared" si="35"/>
        <v/>
      </c>
      <c r="AJ15" t="str">
        <f t="shared" si="36"/>
        <v/>
      </c>
      <c r="AK15" t="str">
        <f t="shared" si="31"/>
        <v/>
      </c>
      <c r="AL15" t="str">
        <f t="shared" si="32"/>
        <v/>
      </c>
      <c r="AM15" t="str">
        <f t="shared" si="37"/>
        <v/>
      </c>
      <c r="AN15" t="str">
        <f t="shared" si="38"/>
        <v/>
      </c>
      <c r="AO15" t="str">
        <f t="shared" si="39"/>
        <v/>
      </c>
      <c r="AP15" t="str">
        <f t="shared" si="40"/>
        <v/>
      </c>
      <c r="AQ15" t="str">
        <f t="shared" si="41"/>
        <v/>
      </c>
      <c r="AR15" t="str">
        <f t="shared" si="42"/>
        <v/>
      </c>
      <c r="AS15" t="str">
        <f t="shared" si="33"/>
        <v>Defensive</v>
      </c>
      <c r="BI15" s="40"/>
      <c r="BL15" s="40"/>
      <c r="BN15" s="19"/>
      <c r="BP15" s="17"/>
    </row>
    <row r="16" spans="1:72" x14ac:dyDescent="0.2">
      <c r="A16" t="str">
        <f t="shared" si="27"/>
        <v/>
      </c>
      <c r="E16" s="4"/>
      <c r="F16" s="45"/>
      <c r="G16" s="4"/>
      <c r="H16" s="48"/>
      <c r="J16" s="46" t="str">
        <f t="shared" si="34"/>
        <v/>
      </c>
      <c r="N16" t="str">
        <f t="shared" si="28"/>
        <v/>
      </c>
      <c r="Q16" t="str">
        <f t="shared" ref="Q16:Q79" si="43">IF(O16="","",IF(AND(N16&lt;&gt;"",OR(O16&lt;&gt;"",P16&lt;&gt;"")),N16,IF(OR(ISNUMBER(SEARCH("attemp",O16)),ISNUMBER(SEARCH("beat",O16)),ISNUMBER(SEARCH("mis",O16)),ISNUMBER(SEARCH("fail",O16)),ISNUMBER(SEARCH("loss",O16)),ISNUMBER(SEARCH("lost",O16)),ISNUMBER(SEARCH("attemp",P16)),ISNUMBER(SEARCH("mis",P16)),ISNUMBER(SEARCH("fail",P16)),ISNUMBER(SEARCH("loss",P16)),ISNUMBER(SEARCH("beat",P16)),ISNUMBER(SEARCH("lost",P16))),"u","")))</f>
        <v/>
      </c>
      <c r="S16" t="str">
        <f>IF(A16=1,MAX(S$2:S15)+1,IF(OR(I16&lt;&gt;"",A16="x"),S15,""))</f>
        <v/>
      </c>
      <c r="T16" t="str">
        <f>IF(D16=1,MAX($T$2:$T15)+1,IF(S16=$S15,$S15,IF($D16="x",T15,IF($D15="x","",""))))</f>
        <v/>
      </c>
      <c r="U16" t="str">
        <f>IF(B16=1,MAX($U$2:$U15)+1,IF(AND($T16&lt;&gt;"",$T16=$T15),$U15,IF(B16="x",U15,"")))</f>
        <v/>
      </c>
      <c r="V16" t="str">
        <f>IF(C16=1,MAX($V$2:$V15)+1,IF(AND($T16&lt;&gt;"",$T16=$T15),$U15,IF(C16="x",V15,"")))</f>
        <v/>
      </c>
      <c r="W16" t="str" cm="1">
        <f t="array" ref="W16">IFERROR(_xlfn._xlws.FILTER(game_rosters!AB:AB,(game_rosters!J:J=events!X16)*(K16&lt;&gt;"")),"")</f>
        <v/>
      </c>
      <c r="X16" t="str" cm="1">
        <f t="array" ref="X16">IF(S16="","",IF($I16&lt;&gt;"",$I16,INDEX($I$2:$I15,ROW()-COUNTIFS($T$2:$T15,"="&amp;$T16,$S$2:$S15,"&lt;&gt;"&amp;$S16)-1)))</f>
        <v/>
      </c>
      <c r="Z16" s="6"/>
      <c r="AH16" t="str">
        <f t="shared" si="30"/>
        <v>o</v>
      </c>
      <c r="AI16" t="str">
        <f t="shared" si="35"/>
        <v/>
      </c>
      <c r="AJ16" t="str">
        <f t="shared" si="36"/>
        <v/>
      </c>
      <c r="AK16" t="str">
        <f t="shared" si="31"/>
        <v/>
      </c>
      <c r="AL16" t="str">
        <f t="shared" si="32"/>
        <v/>
      </c>
      <c r="AM16" t="str">
        <f t="shared" si="37"/>
        <v/>
      </c>
      <c r="AN16" t="str">
        <f t="shared" si="38"/>
        <v/>
      </c>
      <c r="AO16" t="str">
        <f t="shared" si="39"/>
        <v/>
      </c>
      <c r="AP16" t="str">
        <f t="shared" si="40"/>
        <v/>
      </c>
      <c r="AQ16" t="str">
        <f t="shared" si="41"/>
        <v/>
      </c>
      <c r="AR16" t="str">
        <f t="shared" si="42"/>
        <v/>
      </c>
      <c r="AS16" t="str">
        <f t="shared" si="33"/>
        <v>Defensive</v>
      </c>
      <c r="BI16" s="40"/>
      <c r="BL16" s="40"/>
      <c r="BN16" s="19"/>
      <c r="BP16" s="17"/>
    </row>
    <row r="17" spans="1:68" x14ac:dyDescent="0.2">
      <c r="A17" t="str">
        <f t="shared" si="27"/>
        <v/>
      </c>
      <c r="E17" s="4"/>
      <c r="F17" s="45"/>
      <c r="G17" s="4"/>
      <c r="H17" s="48"/>
      <c r="J17" s="46" t="str">
        <f t="shared" si="34"/>
        <v/>
      </c>
      <c r="N17" t="str">
        <f t="shared" si="28"/>
        <v/>
      </c>
      <c r="Q17" t="str">
        <f t="shared" si="43"/>
        <v/>
      </c>
      <c r="S17" t="str">
        <f>IF(A17=1,MAX(S$2:S16)+1,IF(OR(I17&lt;&gt;"",A17="x"),S16,""))</f>
        <v/>
      </c>
      <c r="T17" t="str">
        <f>IF(D17=1,MAX($T$2:$T16)+1,IF(S17=$S16,$S16,IF($D17="x",T16,IF($D16="x","",""))))</f>
        <v/>
      </c>
      <c r="U17" t="str">
        <f>IF(B17=1,MAX($U$2:$U16)+1,IF(AND($T17&lt;&gt;"",$T17=$T16),$U16,IF(B17="x",U16,"")))</f>
        <v/>
      </c>
      <c r="V17" t="str">
        <f>IF(C17=1,MAX($V$2:$V16)+1,IF(AND($T17&lt;&gt;"",$T17=$T16),$U16,IF(C17="x",V16,"")))</f>
        <v/>
      </c>
      <c r="W17" t="str" cm="1">
        <f t="array" ref="W17">IFERROR(_xlfn._xlws.FILTER(game_rosters!AB:AB,(game_rosters!J:J=events!X17)*(K17&lt;&gt;"")),"")</f>
        <v/>
      </c>
      <c r="X17" t="str" cm="1">
        <f t="array" ref="X17">IF(S17="","",IF($I17&lt;&gt;"",$I17,INDEX($I$2:$I16,ROW()-COUNTIFS($T$2:$T16,"="&amp;$T17,$S$2:$S16,"&lt;&gt;"&amp;$S17)-1)))</f>
        <v/>
      </c>
      <c r="Z17" s="6"/>
      <c r="AH17" t="str">
        <f t="shared" si="30"/>
        <v>o</v>
      </c>
      <c r="AI17" t="str">
        <f t="shared" si="35"/>
        <v/>
      </c>
      <c r="AJ17" t="str">
        <f t="shared" si="36"/>
        <v/>
      </c>
      <c r="AK17" t="str">
        <f t="shared" si="31"/>
        <v/>
      </c>
      <c r="AL17" t="str">
        <f t="shared" si="32"/>
        <v/>
      </c>
      <c r="AM17" t="str">
        <f t="shared" si="37"/>
        <v/>
      </c>
      <c r="AN17" t="str">
        <f t="shared" si="38"/>
        <v/>
      </c>
      <c r="AO17" t="str">
        <f t="shared" si="39"/>
        <v/>
      </c>
      <c r="AP17" t="str">
        <f t="shared" si="40"/>
        <v/>
      </c>
      <c r="AQ17" t="str">
        <f t="shared" si="41"/>
        <v/>
      </c>
      <c r="AR17" t="str">
        <f t="shared" si="42"/>
        <v/>
      </c>
      <c r="AS17" t="str">
        <f t="shared" si="33"/>
        <v>Defensive</v>
      </c>
      <c r="BI17" s="40"/>
      <c r="BL17" s="40"/>
      <c r="BN17" s="19"/>
      <c r="BP17" s="17"/>
    </row>
    <row r="18" spans="1:68" x14ac:dyDescent="0.2">
      <c r="A18" t="str">
        <f t="shared" si="27"/>
        <v/>
      </c>
      <c r="E18" s="4"/>
      <c r="F18" s="45"/>
      <c r="G18" s="4"/>
      <c r="H18" s="48"/>
      <c r="J18" s="46" t="str">
        <f t="shared" si="34"/>
        <v/>
      </c>
      <c r="N18" t="str">
        <f t="shared" si="28"/>
        <v/>
      </c>
      <c r="Q18" t="str">
        <f t="shared" si="43"/>
        <v/>
      </c>
      <c r="S18" t="str">
        <f>IF(A18=1,MAX(S$2:S17)+1,IF(OR(I18&lt;&gt;"",A18="x"),S17,""))</f>
        <v/>
      </c>
      <c r="T18" t="str">
        <f>IF(D18=1,MAX($T$2:$T17)+1,IF(S18=$S17,$S17,IF($D18="x",T17,IF($D17="x","",""))))</f>
        <v/>
      </c>
      <c r="U18" t="str">
        <f>IF(B18=1,MAX($U$2:$U17)+1,IF(AND($T18&lt;&gt;"",$T18=$T17),$U17,IF(B18="x",U17,"")))</f>
        <v/>
      </c>
      <c r="V18" t="str">
        <f>IF(C18=1,MAX($V$2:$V17)+1,IF(AND($T18&lt;&gt;"",$T18=$T17),$U17,IF(C18="x",V17,"")))</f>
        <v/>
      </c>
      <c r="W18" t="str" cm="1">
        <f t="array" ref="W18">IFERROR(_xlfn._xlws.FILTER(game_rosters!AB:AB,(game_rosters!J:J=events!X18)*(K18&lt;&gt;"")),"")</f>
        <v/>
      </c>
      <c r="X18" t="str" cm="1">
        <f t="array" ref="X18">IF(S18="","",IF($I18&lt;&gt;"",$I18,INDEX($I$2:$I17,ROW()-COUNTIFS($T$2:$T17,"="&amp;$T18,$S$2:$S17,"&lt;&gt;"&amp;$S18)-1)))</f>
        <v/>
      </c>
      <c r="Z18" s="6"/>
      <c r="AH18" t="str">
        <f t="shared" si="30"/>
        <v>o</v>
      </c>
      <c r="AI18" t="str">
        <f t="shared" si="35"/>
        <v/>
      </c>
      <c r="AJ18" t="str">
        <f t="shared" si="36"/>
        <v/>
      </c>
      <c r="AK18" t="str">
        <f t="shared" si="31"/>
        <v/>
      </c>
      <c r="AL18" t="str">
        <f t="shared" si="32"/>
        <v/>
      </c>
      <c r="AM18" t="str">
        <f t="shared" si="37"/>
        <v/>
      </c>
      <c r="AN18" t="str">
        <f t="shared" si="38"/>
        <v/>
      </c>
      <c r="AO18" t="str">
        <f t="shared" si="39"/>
        <v/>
      </c>
      <c r="AP18" t="str">
        <f t="shared" si="40"/>
        <v/>
      </c>
      <c r="AQ18" t="str">
        <f t="shared" si="41"/>
        <v/>
      </c>
      <c r="AR18" t="str">
        <f t="shared" si="42"/>
        <v/>
      </c>
      <c r="AS18" t="str">
        <f t="shared" si="33"/>
        <v>Defensive</v>
      </c>
      <c r="BI18" s="40"/>
      <c r="BL18" s="40"/>
      <c r="BN18" s="19"/>
      <c r="BP18" s="17"/>
    </row>
    <row r="19" spans="1:68" x14ac:dyDescent="0.2">
      <c r="A19" t="str">
        <f t="shared" si="27"/>
        <v/>
      </c>
      <c r="E19" s="4"/>
      <c r="F19" s="45"/>
      <c r="G19" s="4"/>
      <c r="H19" s="48"/>
      <c r="J19" s="46" t="str">
        <f t="shared" si="34"/>
        <v/>
      </c>
      <c r="N19" t="str">
        <f t="shared" si="28"/>
        <v/>
      </c>
      <c r="Q19" t="str">
        <f t="shared" si="43"/>
        <v/>
      </c>
      <c r="S19" t="str">
        <f>IF(A19=1,MAX(S$2:S18)+1,IF(OR(I19&lt;&gt;"",A19="x"),S18,""))</f>
        <v/>
      </c>
      <c r="T19" t="str">
        <f>IF(D19=1,MAX($T$2:$T18)+1,IF(S19=$S18,$S18,IF($D19="x",T18,IF($D18="x","",""))))</f>
        <v/>
      </c>
      <c r="U19" t="str">
        <f>IF(B19=1,MAX($U$2:$U18)+1,IF(AND($T19&lt;&gt;"",$T19=$T18),$U18,IF(B19="x",U18,"")))</f>
        <v/>
      </c>
      <c r="V19" t="str">
        <f>IF(C19=1,MAX($V$2:$V18)+1,IF(AND($T19&lt;&gt;"",$T19=$T18),$U18,IF(C19="x",V18,"")))</f>
        <v/>
      </c>
      <c r="W19" t="str" cm="1">
        <f t="array" ref="W19">IFERROR(_xlfn._xlws.FILTER(game_rosters!AB:AB,(game_rosters!J:J=events!X19)*(K19&lt;&gt;"")),"")</f>
        <v/>
      </c>
      <c r="X19" t="str" cm="1">
        <f t="array" ref="X19">IF(S19="","",IF($I19&lt;&gt;"",$I19,INDEX($I$2:$I18,ROW()-COUNTIFS($T$2:$T18,"="&amp;$T19,$S$2:$S18,"&lt;&gt;"&amp;$S19)-1)))</f>
        <v/>
      </c>
      <c r="Z19" s="6"/>
      <c r="AH19" t="str">
        <f t="shared" si="30"/>
        <v>o</v>
      </c>
      <c r="AI19" t="str">
        <f t="shared" si="35"/>
        <v/>
      </c>
      <c r="AJ19" t="str">
        <f t="shared" si="36"/>
        <v/>
      </c>
      <c r="AK19" t="str">
        <f t="shared" si="31"/>
        <v/>
      </c>
      <c r="AL19" t="str">
        <f t="shared" si="32"/>
        <v/>
      </c>
      <c r="AM19" t="str">
        <f t="shared" si="37"/>
        <v/>
      </c>
      <c r="AN19" t="str">
        <f t="shared" si="38"/>
        <v/>
      </c>
      <c r="AO19" t="str">
        <f t="shared" si="39"/>
        <v/>
      </c>
      <c r="AP19" t="str">
        <f t="shared" si="40"/>
        <v/>
      </c>
      <c r="AQ19" t="str">
        <f t="shared" si="41"/>
        <v/>
      </c>
      <c r="AR19" t="str">
        <f t="shared" si="42"/>
        <v/>
      </c>
      <c r="AS19" t="str">
        <f t="shared" si="33"/>
        <v>Defensive</v>
      </c>
      <c r="BI19" s="40"/>
      <c r="BL19" s="40"/>
      <c r="BN19" s="19"/>
      <c r="BP19" s="17"/>
    </row>
    <row r="20" spans="1:68" x14ac:dyDescent="0.2">
      <c r="A20" t="str">
        <f t="shared" si="27"/>
        <v/>
      </c>
      <c r="E20" s="4"/>
      <c r="F20" s="45"/>
      <c r="G20" s="4"/>
      <c r="H20" s="48"/>
      <c r="J20" s="46" t="str">
        <f t="shared" si="34"/>
        <v/>
      </c>
      <c r="N20" t="str">
        <f t="shared" si="28"/>
        <v/>
      </c>
      <c r="Q20" t="str">
        <f t="shared" si="43"/>
        <v/>
      </c>
      <c r="S20" t="str">
        <f>IF(A20=1,MAX(S$2:S19)+1,IF(OR(I20&lt;&gt;"",A20="x"),S19,""))</f>
        <v/>
      </c>
      <c r="T20" t="str">
        <f>IF(D20=1,MAX($T$2:$T19)+1,IF(S20=$S19,$S19,IF($D20="x",T19,IF($D19="x","",""))))</f>
        <v/>
      </c>
      <c r="U20" t="str">
        <f>IF(B20=1,MAX($U$2:$U19)+1,IF(AND($T20&lt;&gt;"",$T20=$T19),$U19,IF(B20="x",U19,"")))</f>
        <v/>
      </c>
      <c r="V20" t="str">
        <f>IF(C20=1,MAX($V$2:$V19)+1,IF(AND($T20&lt;&gt;"",$T20=$T19),$U19,IF(C20="x",V19,"")))</f>
        <v/>
      </c>
      <c r="W20" t="str" cm="1">
        <f t="array" ref="W20">IFERROR(_xlfn._xlws.FILTER(game_rosters!AB:AB,(game_rosters!J:J=events!X20)*(K20&lt;&gt;"")),"")</f>
        <v/>
      </c>
      <c r="X20" t="str" cm="1">
        <f t="array" ref="X20">IF(S20="","",IF($I20&lt;&gt;"",$I20,INDEX($I$2:$I19,ROW()-COUNTIFS($T$2:$T19,"="&amp;$T20,$S$2:$S19,"&lt;&gt;"&amp;$S20)-1)))</f>
        <v/>
      </c>
      <c r="Z20" s="6"/>
      <c r="AH20" t="str">
        <f t="shared" si="30"/>
        <v>o</v>
      </c>
      <c r="AI20" t="str">
        <f t="shared" si="35"/>
        <v/>
      </c>
      <c r="AJ20" t="str">
        <f t="shared" si="36"/>
        <v/>
      </c>
      <c r="AK20" t="str">
        <f t="shared" si="31"/>
        <v/>
      </c>
      <c r="AL20" t="str">
        <f t="shared" si="32"/>
        <v/>
      </c>
      <c r="AM20" t="str">
        <f t="shared" si="37"/>
        <v/>
      </c>
      <c r="AN20" t="str">
        <f t="shared" si="38"/>
        <v/>
      </c>
      <c r="AO20" t="str">
        <f t="shared" si="39"/>
        <v/>
      </c>
      <c r="AP20" t="str">
        <f t="shared" si="40"/>
        <v/>
      </c>
      <c r="AQ20" t="str">
        <f t="shared" si="41"/>
        <v/>
      </c>
      <c r="AR20" t="str">
        <f t="shared" si="42"/>
        <v/>
      </c>
      <c r="AS20" t="str">
        <f t="shared" si="33"/>
        <v>Defensive</v>
      </c>
      <c r="BI20" s="40"/>
      <c r="BL20" s="40"/>
      <c r="BN20" s="19"/>
      <c r="BP20" s="17"/>
    </row>
    <row r="21" spans="1:68" x14ac:dyDescent="0.2">
      <c r="A21" t="str">
        <f t="shared" si="27"/>
        <v/>
      </c>
      <c r="E21" s="4"/>
      <c r="F21" s="45"/>
      <c r="G21" s="4"/>
      <c r="H21" s="48"/>
      <c r="J21" s="46" t="str">
        <f t="shared" si="34"/>
        <v/>
      </c>
      <c r="N21" t="str">
        <f t="shared" ref="N21:N84" si="44">IF(K21="","",IF(K21="Goal","s",IF(AND(K21="Zone_Entry_Exit",OR(ISNUMBER(SEARCH("fail",L21)),ISNUMBER(SEARCH("FromExitClear",M21)),ISNUMBER(SEARCH("miss",M21)))),"u",IF(AND(K21="Zone_Entry_Exit",OR(NOT(ISNUMBER(SEARCH("fail",L21))),NOT(ISNUMBER(SEARCH("FromExitClear",M21))),NOT(ISNUMBER(SEARCH("miss",M21))))),"s",IF(AND(OR(K21="Shot",K21="Pass"),OR(ISNUMBER(SEARCH("complete",L21)),ISNUMBER(SEARCH("goal",L21)),ISNUMBER(SEARCH("OnNet",L21)))),"s",IF(L21="Turnover_Giveaway","u",IF(AND(OR(K21="Shot",K21="Pass"),OR(ISNUMBER(SEARCH("fail",L21)),NOT(ISNUMBER(SEARCH("complete",L21))),NOT(ISNUMBER(SEARCH("OnNet",L21))))),"u","")))))))</f>
        <v/>
      </c>
      <c r="Q21" t="str">
        <f t="shared" si="43"/>
        <v/>
      </c>
      <c r="S21" t="str">
        <f>IF(A21=1,MAX(S$2:S20)+1,IF(OR(I21&lt;&gt;"",A21="x"),S20,""))</f>
        <v/>
      </c>
      <c r="T21" t="str">
        <f>IF(D21=1,MAX($T$2:$T20)+1,IF(S21=$S20,$S20,IF($D21="x",T20,IF($D20="x","",""))))</f>
        <v/>
      </c>
      <c r="U21" t="str">
        <f>IF(B21=1,MAX($U$2:$U20)+1,IF(AND($T21&lt;&gt;"",$T21=$T20),$U20,IF(B21="x",U20,"")))</f>
        <v/>
      </c>
      <c r="V21" t="str">
        <f>IF(C21=1,MAX($V$2:$V20)+1,IF(AND($T21&lt;&gt;"",$T21=$T20),$U20,IF(C21="x",V20,"")))</f>
        <v/>
      </c>
      <c r="W21" t="str" cm="1">
        <f t="array" ref="W21">IFERROR(_xlfn._xlws.FILTER(game_rosters!AB:AB,(game_rosters!J:J=events!X21)*(K21&lt;&gt;"")),"")</f>
        <v/>
      </c>
      <c r="X21" t="str" cm="1">
        <f t="array" ref="X21">IF(S21="","",IF($I21&lt;&gt;"",$I21,INDEX($I$2:$I20,ROW()-COUNTIFS($T$2:$T20,"="&amp;$T21,$S$2:$S20,"&lt;&gt;"&amp;$S21)-1)))</f>
        <v/>
      </c>
      <c r="Z21" s="6"/>
      <c r="AH21" t="str">
        <f t="shared" si="30"/>
        <v>o</v>
      </c>
      <c r="AI21" t="str">
        <f t="shared" si="35"/>
        <v/>
      </c>
      <c r="AJ21" t="str">
        <f t="shared" si="36"/>
        <v/>
      </c>
      <c r="AK21" t="str">
        <f t="shared" si="31"/>
        <v/>
      </c>
      <c r="AL21" t="str">
        <f t="shared" si="32"/>
        <v/>
      </c>
      <c r="AM21" t="str">
        <f t="shared" si="37"/>
        <v/>
      </c>
      <c r="AN21" t="str">
        <f t="shared" si="38"/>
        <v/>
      </c>
      <c r="AO21" t="str">
        <f t="shared" si="39"/>
        <v/>
      </c>
      <c r="AP21" t="str">
        <f t="shared" si="40"/>
        <v/>
      </c>
      <c r="AQ21" t="str">
        <f t="shared" si="41"/>
        <v/>
      </c>
      <c r="AR21" t="str">
        <f t="shared" si="42"/>
        <v/>
      </c>
      <c r="AS21" t="str">
        <f t="shared" si="33"/>
        <v>Defensive</v>
      </c>
      <c r="BI21" s="40"/>
      <c r="BL21" s="40"/>
      <c r="BN21" s="19"/>
      <c r="BP21" s="17"/>
    </row>
    <row r="22" spans="1:68" x14ac:dyDescent="0.2">
      <c r="A22" t="str">
        <f t="shared" si="27"/>
        <v/>
      </c>
      <c r="E22" s="4"/>
      <c r="F22" s="45"/>
      <c r="G22" s="4"/>
      <c r="H22" s="48"/>
      <c r="J22" s="46" t="str">
        <f t="shared" si="34"/>
        <v/>
      </c>
      <c r="N22" t="str">
        <f t="shared" si="44"/>
        <v/>
      </c>
      <c r="Q22" t="str">
        <f t="shared" si="43"/>
        <v/>
      </c>
      <c r="S22" t="str">
        <f>IF(A22=1,MAX(S$2:S21)+1,IF(OR(I22&lt;&gt;"",A22="x"),S21,""))</f>
        <v/>
      </c>
      <c r="T22" t="str">
        <f>IF(D22=1,MAX($T$2:$T21)+1,IF(S22=$S21,$S21,IF($D22="x",T21,IF($D21="x","",""))))</f>
        <v/>
      </c>
      <c r="U22" t="str">
        <f>IF(B22=1,MAX($U$2:$U21)+1,IF(AND($T22&lt;&gt;"",$T22=$T21),$U21,IF(B22="x",U21,"")))</f>
        <v/>
      </c>
      <c r="V22" t="str">
        <f>IF(C22=1,MAX($V$2:$V21)+1,IF(AND($T22&lt;&gt;"",$T22=$T21),$U21,IF(C22="x",V21,"")))</f>
        <v/>
      </c>
      <c r="W22" t="str" cm="1">
        <f t="array" ref="W22">IFERROR(_xlfn._xlws.FILTER(game_rosters!AB:AB,(game_rosters!J:J=events!X22)*(K22&lt;&gt;"")),"")</f>
        <v/>
      </c>
      <c r="X22" t="str" cm="1">
        <f t="array" ref="X22">IF(S22="","",IF($I22&lt;&gt;"",$I22,INDEX($I$2:$I21,ROW()-COUNTIFS($T$2:$T21,"="&amp;$T22,$S$2:$S21,"&lt;&gt;"&amp;$S22)-1)))</f>
        <v/>
      </c>
      <c r="Z22" s="6"/>
      <c r="AH22" t="str">
        <f t="shared" si="30"/>
        <v>o</v>
      </c>
      <c r="AI22" t="str">
        <f t="shared" si="35"/>
        <v/>
      </c>
      <c r="AJ22" t="str">
        <f t="shared" si="36"/>
        <v/>
      </c>
      <c r="AK22" t="str">
        <f t="shared" si="31"/>
        <v/>
      </c>
      <c r="AL22" t="str">
        <f t="shared" si="32"/>
        <v/>
      </c>
      <c r="AM22" t="str">
        <f t="shared" si="37"/>
        <v/>
      </c>
      <c r="AN22" t="str">
        <f t="shared" si="38"/>
        <v/>
      </c>
      <c r="AO22" t="str">
        <f t="shared" si="39"/>
        <v/>
      </c>
      <c r="AP22" t="str">
        <f t="shared" si="40"/>
        <v/>
      </c>
      <c r="AQ22" t="str">
        <f t="shared" si="41"/>
        <v/>
      </c>
      <c r="AR22" t="str">
        <f t="shared" si="42"/>
        <v/>
      </c>
      <c r="AS22" t="str">
        <f t="shared" si="33"/>
        <v>Defensive</v>
      </c>
      <c r="BI22" s="40"/>
      <c r="BL22" s="40"/>
      <c r="BN22" s="19"/>
      <c r="BP22" s="17"/>
    </row>
    <row r="23" spans="1:68" x14ac:dyDescent="0.2">
      <c r="A23" t="str">
        <f t="shared" si="27"/>
        <v/>
      </c>
      <c r="E23" s="4"/>
      <c r="F23" s="45"/>
      <c r="G23" s="4"/>
      <c r="H23" s="48"/>
      <c r="J23" s="46" t="str">
        <f t="shared" si="34"/>
        <v/>
      </c>
      <c r="N23" t="str">
        <f t="shared" si="44"/>
        <v/>
      </c>
      <c r="Q23" t="str">
        <f t="shared" si="43"/>
        <v/>
      </c>
      <c r="S23" t="str">
        <f>IF(A23=1,MAX(S$2:S22)+1,IF(OR(I23&lt;&gt;"",A23="x"),S22,""))</f>
        <v/>
      </c>
      <c r="T23" t="str">
        <f>IF(D23=1,MAX($T$2:$T22)+1,IF(S23=$S22,$S22,IF($D23="x",T22,IF($D22="x","",""))))</f>
        <v/>
      </c>
      <c r="U23" t="str">
        <f>IF(B23=1,MAX($U$2:$U22)+1,IF(AND($T23&lt;&gt;"",$T23=$T22),$U22,IF(B23="x",U22,"")))</f>
        <v/>
      </c>
      <c r="V23" t="str">
        <f>IF(C23=1,MAX($V$2:$V22)+1,IF(AND($T23&lt;&gt;"",$T23=$T22),$U22,IF(C23="x",V22,"")))</f>
        <v/>
      </c>
      <c r="W23" t="str" cm="1">
        <f t="array" ref="W23">IFERROR(_xlfn._xlws.FILTER(game_rosters!AB:AB,(game_rosters!J:J=events!X23)*(K23&lt;&gt;"")),"")</f>
        <v/>
      </c>
      <c r="X23" t="str" cm="1">
        <f t="array" ref="X23">IF(S23="","",IF($I23&lt;&gt;"",$I23,INDEX($I$2:$I22,ROW()-COUNTIFS($T$2:$T22,"="&amp;$T23,$S$2:$S22,"&lt;&gt;"&amp;$S23)-1)))</f>
        <v/>
      </c>
      <c r="Z23" s="6"/>
      <c r="AH23" t="str">
        <f t="shared" si="30"/>
        <v>o</v>
      </c>
      <c r="AI23" t="str">
        <f t="shared" si="35"/>
        <v/>
      </c>
      <c r="AJ23" t="str">
        <f t="shared" si="36"/>
        <v/>
      </c>
      <c r="AK23" t="str">
        <f t="shared" si="31"/>
        <v/>
      </c>
      <c r="AL23" t="str">
        <f t="shared" si="32"/>
        <v/>
      </c>
      <c r="AM23" t="str">
        <f t="shared" si="37"/>
        <v/>
      </c>
      <c r="AN23" t="str">
        <f t="shared" si="38"/>
        <v/>
      </c>
      <c r="AO23" t="str">
        <f t="shared" si="39"/>
        <v/>
      </c>
      <c r="AP23" t="str">
        <f t="shared" si="40"/>
        <v/>
      </c>
      <c r="AQ23" t="str">
        <f t="shared" si="41"/>
        <v/>
      </c>
      <c r="AR23" t="str">
        <f t="shared" si="42"/>
        <v/>
      </c>
      <c r="AS23" t="str">
        <f t="shared" si="33"/>
        <v>Defensive</v>
      </c>
      <c r="BI23" s="40"/>
      <c r="BL23" s="40"/>
      <c r="BN23" s="19"/>
      <c r="BP23" s="17"/>
    </row>
    <row r="24" spans="1:68" x14ac:dyDescent="0.2">
      <c r="A24" t="str">
        <f t="shared" si="27"/>
        <v/>
      </c>
      <c r="E24" s="4"/>
      <c r="F24" s="45"/>
      <c r="G24" s="4"/>
      <c r="H24" s="48"/>
      <c r="J24" s="46" t="str">
        <f t="shared" si="34"/>
        <v/>
      </c>
      <c r="N24" t="str">
        <f t="shared" si="44"/>
        <v/>
      </c>
      <c r="Q24" t="str">
        <f t="shared" si="43"/>
        <v/>
      </c>
      <c r="S24" t="str">
        <f>IF(A24=1,MAX(S$2:S23)+1,IF(OR(I24&lt;&gt;"",A24="x"),S23,""))</f>
        <v/>
      </c>
      <c r="T24" t="str">
        <f>IF(D24=1,MAX($T$2:$T23)+1,IF(S24=$S23,$S23,IF($D24="x",T23,IF($D23="x","",""))))</f>
        <v/>
      </c>
      <c r="U24" t="str">
        <f>IF(B24=1,MAX($U$2:$U23)+1,IF(AND($T24&lt;&gt;"",$T24=$T23),$U23,IF(B24="x",U23,"")))</f>
        <v/>
      </c>
      <c r="V24" t="str">
        <f>IF(C24=1,MAX($V$2:$V23)+1,IF(AND($T24&lt;&gt;"",$T24=$T23),$U23,IF(C24="x",V23,"")))</f>
        <v/>
      </c>
      <c r="W24" t="str" cm="1">
        <f t="array" ref="W24">IFERROR(_xlfn._xlws.FILTER(game_rosters!AB:AB,(game_rosters!J:J=events!X24)*(K24&lt;&gt;"")),"")</f>
        <v/>
      </c>
      <c r="X24" t="str" cm="1">
        <f t="array" ref="X24">IF(S24="","",IF($I24&lt;&gt;"",$I24,INDEX($I$2:$I23,ROW()-COUNTIFS($T$2:$T23,"="&amp;$T24,$S$2:$S23,"&lt;&gt;"&amp;$S24)-1)))</f>
        <v/>
      </c>
      <c r="Z24" s="6"/>
      <c r="AH24" t="str">
        <f t="shared" si="30"/>
        <v>o</v>
      </c>
      <c r="AI24" t="str">
        <f t="shared" si="35"/>
        <v/>
      </c>
      <c r="AJ24" t="str">
        <f t="shared" si="36"/>
        <v/>
      </c>
      <c r="AK24" t="str">
        <f t="shared" si="31"/>
        <v/>
      </c>
      <c r="AL24" t="str">
        <f t="shared" si="32"/>
        <v/>
      </c>
      <c r="AM24" t="str">
        <f t="shared" si="37"/>
        <v/>
      </c>
      <c r="AN24" t="str">
        <f t="shared" si="38"/>
        <v/>
      </c>
      <c r="AO24" t="str">
        <f t="shared" si="39"/>
        <v/>
      </c>
      <c r="AP24" t="str">
        <f t="shared" si="40"/>
        <v/>
      </c>
      <c r="AQ24" t="str">
        <f t="shared" si="41"/>
        <v/>
      </c>
      <c r="AR24" t="str">
        <f t="shared" si="42"/>
        <v/>
      </c>
      <c r="AS24" t="str">
        <f t="shared" si="33"/>
        <v>Defensive</v>
      </c>
      <c r="BI24" s="40"/>
      <c r="BL24" s="40"/>
      <c r="BN24" s="19"/>
      <c r="BP24" s="17"/>
    </row>
    <row r="25" spans="1:68" x14ac:dyDescent="0.2">
      <c r="A25" t="str">
        <f t="shared" si="27"/>
        <v/>
      </c>
      <c r="E25" s="4"/>
      <c r="F25" s="45"/>
      <c r="G25" s="4"/>
      <c r="H25" s="48"/>
      <c r="J25" s="46" t="str">
        <f t="shared" si="34"/>
        <v/>
      </c>
      <c r="N25" t="str">
        <f t="shared" si="44"/>
        <v/>
      </c>
      <c r="Q25" t="str">
        <f t="shared" si="43"/>
        <v/>
      </c>
      <c r="S25" t="str">
        <f>IF(A25=1,MAX(S$2:S24)+1,IF(OR(I25&lt;&gt;"",A25="x"),S24,""))</f>
        <v/>
      </c>
      <c r="T25" t="str">
        <f>IF(D25=1,MAX($T$2:$T24)+1,IF(S25=$S24,$S24,IF($D25="x",T24,IF($D24="x","",""))))</f>
        <v/>
      </c>
      <c r="U25" t="str">
        <f>IF(B25=1,MAX($U$2:$U24)+1,IF(AND($T25&lt;&gt;"",$T25=$T24),$U24,IF(B25="x",U24,"")))</f>
        <v/>
      </c>
      <c r="V25" t="str">
        <f>IF(C25=1,MAX($V$2:$V24)+1,IF(AND($T25&lt;&gt;"",$T25=$T24),$U24,IF(C25="x",V24,"")))</f>
        <v/>
      </c>
      <c r="W25" t="str" cm="1">
        <f t="array" ref="W25">IFERROR(_xlfn._xlws.FILTER(game_rosters!AB:AB,(game_rosters!J:J=events!X25)*(K25&lt;&gt;"")),"")</f>
        <v/>
      </c>
      <c r="X25" t="str" cm="1">
        <f t="array" ref="X25">IF(S25="","",IF($I25&lt;&gt;"",$I25,INDEX($I$2:$I24,ROW()-COUNTIFS($T$2:$T24,"="&amp;$T25,$S$2:$S24,"&lt;&gt;"&amp;$S25)-1)))</f>
        <v/>
      </c>
      <c r="Z25" s="6"/>
      <c r="AH25" t="str">
        <f t="shared" si="30"/>
        <v>o</v>
      </c>
      <c r="AI25" t="str">
        <f t="shared" si="35"/>
        <v/>
      </c>
      <c r="AJ25" t="str">
        <f t="shared" si="36"/>
        <v/>
      </c>
      <c r="AK25" t="str">
        <f t="shared" si="31"/>
        <v/>
      </c>
      <c r="AL25" t="str">
        <f t="shared" si="32"/>
        <v/>
      </c>
      <c r="AM25" t="str">
        <f t="shared" si="37"/>
        <v/>
      </c>
      <c r="AN25" t="str">
        <f t="shared" si="38"/>
        <v/>
      </c>
      <c r="AO25" t="str">
        <f t="shared" si="39"/>
        <v/>
      </c>
      <c r="AP25" t="str">
        <f t="shared" si="40"/>
        <v/>
      </c>
      <c r="AQ25" t="str">
        <f t="shared" si="41"/>
        <v/>
      </c>
      <c r="AR25" t="str">
        <f t="shared" si="42"/>
        <v/>
      </c>
      <c r="AS25" t="str">
        <f t="shared" si="33"/>
        <v>Defensive</v>
      </c>
      <c r="BI25" s="40"/>
      <c r="BL25" s="40"/>
      <c r="BN25" s="19"/>
      <c r="BP25" s="17"/>
    </row>
    <row r="26" spans="1:68" x14ac:dyDescent="0.2">
      <c r="A26" t="str">
        <f t="shared" si="27"/>
        <v/>
      </c>
      <c r="E26" s="4"/>
      <c r="F26" s="45"/>
      <c r="G26" s="4"/>
      <c r="H26" s="48"/>
      <c r="J26" s="46" t="str">
        <f t="shared" si="34"/>
        <v/>
      </c>
      <c r="N26" t="str">
        <f t="shared" si="44"/>
        <v/>
      </c>
      <c r="Q26" t="str">
        <f t="shared" si="43"/>
        <v/>
      </c>
      <c r="S26" t="str">
        <f>IF(A26=1,MAX(S$2:S25)+1,IF(OR(I26&lt;&gt;"",A26="x"),S25,""))</f>
        <v/>
      </c>
      <c r="T26" t="str">
        <f>IF(D26=1,MAX($T$2:$T25)+1,IF(S26=$S25,$S25,IF($D26="x",T25,IF($D25="x","",""))))</f>
        <v/>
      </c>
      <c r="U26" t="str">
        <f>IF(B26=1,MAX($U$2:$U25)+1,IF(AND($T26&lt;&gt;"",$T26=$T25),$U25,IF(B26="x",U25,"")))</f>
        <v/>
      </c>
      <c r="V26" t="str">
        <f>IF(C26=1,MAX($V$2:$V25)+1,IF(AND($T26&lt;&gt;"",$T26=$T25),$U25,IF(C26="x",V25,"")))</f>
        <v/>
      </c>
      <c r="W26" t="str" cm="1">
        <f t="array" ref="W26">IFERROR(_xlfn._xlws.FILTER(game_rosters!AB:AB,(game_rosters!J:J=events!X26)*(K26&lt;&gt;"")),"")</f>
        <v/>
      </c>
      <c r="X26" t="str" cm="1">
        <f t="array" ref="X26">IF(S26="","",IF($I26&lt;&gt;"",$I26,INDEX($I$2:$I25,ROW()-COUNTIFS($T$2:$T25,"="&amp;$T26,$S$2:$S25,"&lt;&gt;"&amp;$S26)-1)))</f>
        <v/>
      </c>
      <c r="Z26" s="6"/>
      <c r="AH26" t="str">
        <f t="shared" si="30"/>
        <v>o</v>
      </c>
      <c r="AI26" t="str">
        <f t="shared" si="35"/>
        <v/>
      </c>
      <c r="AJ26" t="str">
        <f t="shared" si="36"/>
        <v/>
      </c>
      <c r="AK26" t="str">
        <f t="shared" si="31"/>
        <v/>
      </c>
      <c r="AL26" t="str">
        <f t="shared" si="32"/>
        <v/>
      </c>
      <c r="AM26" t="str">
        <f t="shared" si="37"/>
        <v/>
      </c>
      <c r="AN26" t="str">
        <f t="shared" si="38"/>
        <v/>
      </c>
      <c r="AO26" t="str">
        <f t="shared" si="39"/>
        <v/>
      </c>
      <c r="AP26" t="str">
        <f t="shared" si="40"/>
        <v/>
      </c>
      <c r="AQ26" t="str">
        <f t="shared" si="41"/>
        <v/>
      </c>
      <c r="AR26" t="str">
        <f t="shared" si="42"/>
        <v/>
      </c>
      <c r="AS26" t="str">
        <f t="shared" si="33"/>
        <v>Defensive</v>
      </c>
      <c r="BI26" s="40"/>
      <c r="BL26" s="40"/>
      <c r="BN26" s="19"/>
      <c r="BP26" s="17"/>
    </row>
    <row r="27" spans="1:68" x14ac:dyDescent="0.2">
      <c r="A27" t="str">
        <f t="shared" si="27"/>
        <v/>
      </c>
      <c r="E27" s="4"/>
      <c r="F27" s="45"/>
      <c r="G27" s="4"/>
      <c r="H27" s="48"/>
      <c r="J27" s="46" t="str">
        <f t="shared" si="34"/>
        <v/>
      </c>
      <c r="N27" t="str">
        <f t="shared" si="44"/>
        <v/>
      </c>
      <c r="Q27" t="str">
        <f t="shared" si="43"/>
        <v/>
      </c>
      <c r="S27" t="str">
        <f>IF(A27=1,MAX(S$2:S26)+1,IF(OR(I27&lt;&gt;"",A27="x"),S26,""))</f>
        <v/>
      </c>
      <c r="T27" t="str">
        <f>IF(D27=1,MAX($T$2:$T26)+1,IF(S27=$S26,$S26,IF($D27="x",T26,IF($D26="x","",""))))</f>
        <v/>
      </c>
      <c r="U27" t="str">
        <f>IF(B27=1,MAX($U$2:$U26)+1,IF(AND($T27&lt;&gt;"",$T27=$T26),$U26,IF(B27="x",U26,"")))</f>
        <v/>
      </c>
      <c r="V27" t="str">
        <f>IF(C27=1,MAX($V$2:$V26)+1,IF(AND($T27&lt;&gt;"",$T27=$T26),$U26,IF(C27="x",V26,"")))</f>
        <v/>
      </c>
      <c r="W27" t="str" cm="1">
        <f t="array" ref="W27">IFERROR(_xlfn._xlws.FILTER(game_rosters!AB:AB,(game_rosters!J:J=events!X27)*(K27&lt;&gt;"")),"")</f>
        <v/>
      </c>
      <c r="X27" t="str" cm="1">
        <f t="array" ref="X27">IF(S27="","",IF($I27&lt;&gt;"",$I27,INDEX($I$2:$I26,ROW()-COUNTIFS($T$2:$T26,"="&amp;$T27,$S$2:$S26,"&lt;&gt;"&amp;$S27)-1)))</f>
        <v/>
      </c>
      <c r="Z27" s="6"/>
      <c r="AH27" t="str">
        <f t="shared" si="30"/>
        <v>o</v>
      </c>
      <c r="AI27" t="str">
        <f t="shared" si="35"/>
        <v/>
      </c>
      <c r="AJ27" t="str">
        <f t="shared" si="36"/>
        <v/>
      </c>
      <c r="AK27" t="str">
        <f t="shared" si="31"/>
        <v/>
      </c>
      <c r="AL27" t="str">
        <f t="shared" si="32"/>
        <v/>
      </c>
      <c r="AM27" t="str">
        <f t="shared" si="37"/>
        <v/>
      </c>
      <c r="AN27" t="str">
        <f t="shared" si="38"/>
        <v/>
      </c>
      <c r="AO27" t="str">
        <f t="shared" si="39"/>
        <v/>
      </c>
      <c r="AP27" t="str">
        <f t="shared" si="40"/>
        <v/>
      </c>
      <c r="AQ27" t="str">
        <f t="shared" si="41"/>
        <v/>
      </c>
      <c r="AR27" t="str">
        <f t="shared" si="42"/>
        <v/>
      </c>
      <c r="AS27" t="str">
        <f t="shared" si="33"/>
        <v>Defensive</v>
      </c>
      <c r="BI27" s="40"/>
      <c r="BL27" s="40"/>
      <c r="BN27" s="19"/>
      <c r="BP27" s="17"/>
    </row>
    <row r="28" spans="1:68" x14ac:dyDescent="0.2">
      <c r="A28" t="str">
        <f t="shared" si="27"/>
        <v/>
      </c>
      <c r="E28" s="4"/>
      <c r="F28" s="45"/>
      <c r="G28" s="4"/>
      <c r="H28" s="48"/>
      <c r="J28" s="46" t="str">
        <f t="shared" si="34"/>
        <v/>
      </c>
      <c r="N28" t="str">
        <f t="shared" si="44"/>
        <v/>
      </c>
      <c r="Q28" t="str">
        <f t="shared" si="43"/>
        <v/>
      </c>
      <c r="S28" t="str">
        <f>IF(A28=1,MAX(S$2:S27)+1,IF(OR(I28&lt;&gt;"",A28="x"),S27,""))</f>
        <v/>
      </c>
      <c r="T28" t="str">
        <f>IF(D28=1,MAX($T$2:$T27)+1,IF(S28=$S27,$S27,IF($D28="x",T27,IF($D27="x","",""))))</f>
        <v/>
      </c>
      <c r="U28" t="str">
        <f>IF(B28=1,MAX($U$2:$U27)+1,IF(AND($T28&lt;&gt;"",$T28=$T27),$U27,IF(B28="x",U27,"")))</f>
        <v/>
      </c>
      <c r="V28" t="str">
        <f>IF(C28=1,MAX($V$2:$V27)+1,IF(AND($T28&lt;&gt;"",$T28=$T27),$U27,IF(C28="x",V27,"")))</f>
        <v/>
      </c>
      <c r="W28" t="str" cm="1">
        <f t="array" ref="W28">IFERROR(_xlfn._xlws.FILTER(game_rosters!AB:AB,(game_rosters!J:J=events!X28)*(K28&lt;&gt;"")),"")</f>
        <v/>
      </c>
      <c r="X28" t="str" cm="1">
        <f t="array" ref="X28">IF(S28="","",IF($I28&lt;&gt;"",$I28,INDEX($I$2:$I27,ROW()-COUNTIFS($T$2:$T27,"="&amp;$T28,$S$2:$S27,"&lt;&gt;"&amp;$S28)-1)))</f>
        <v/>
      </c>
      <c r="Z28" s="6"/>
      <c r="AH28" t="str">
        <f t="shared" si="30"/>
        <v>o</v>
      </c>
      <c r="AI28" t="str">
        <f t="shared" si="35"/>
        <v/>
      </c>
      <c r="AJ28" t="str">
        <f t="shared" si="36"/>
        <v/>
      </c>
      <c r="AK28" t="str">
        <f t="shared" si="31"/>
        <v/>
      </c>
      <c r="AL28" t="str">
        <f t="shared" si="32"/>
        <v/>
      </c>
      <c r="AM28" t="str">
        <f t="shared" si="37"/>
        <v/>
      </c>
      <c r="AN28" t="str">
        <f t="shared" si="38"/>
        <v/>
      </c>
      <c r="AO28" t="str">
        <f t="shared" si="39"/>
        <v/>
      </c>
      <c r="AP28" t="str">
        <f t="shared" si="40"/>
        <v/>
      </c>
      <c r="AQ28" t="str">
        <f t="shared" si="41"/>
        <v/>
      </c>
      <c r="AR28" t="str">
        <f t="shared" si="42"/>
        <v/>
      </c>
      <c r="AS28" t="str">
        <f t="shared" si="33"/>
        <v>Defensive</v>
      </c>
      <c r="BI28" s="40"/>
      <c r="BL28" s="40"/>
      <c r="BN28" s="19"/>
      <c r="BP28" s="17"/>
    </row>
    <row r="29" spans="1:68" x14ac:dyDescent="0.2">
      <c r="A29" t="str">
        <f t="shared" si="27"/>
        <v/>
      </c>
      <c r="E29" s="4"/>
      <c r="F29" s="45"/>
      <c r="G29" s="4"/>
      <c r="H29" s="48"/>
      <c r="J29" s="46" t="str">
        <f t="shared" si="34"/>
        <v/>
      </c>
      <c r="N29" t="str">
        <f t="shared" si="44"/>
        <v/>
      </c>
      <c r="Q29" t="str">
        <f t="shared" si="43"/>
        <v/>
      </c>
      <c r="S29" t="str">
        <f>IF(A29=1,MAX(S$2:S28)+1,IF(OR(I29&lt;&gt;"",A29="x"),S28,""))</f>
        <v/>
      </c>
      <c r="T29" t="str">
        <f>IF(D29=1,MAX($T$2:$T28)+1,IF(S29=$S28,$S28,IF($D29="x",T28,IF($D28="x","",""))))</f>
        <v/>
      </c>
      <c r="U29" t="str">
        <f>IF(B29=1,MAX($U$2:$U28)+1,IF(AND($T29&lt;&gt;"",$T29=$T28),$U28,IF(B29="x",U28,"")))</f>
        <v/>
      </c>
      <c r="V29" t="str">
        <f>IF(C29=1,MAX($V$2:$V28)+1,IF(AND($T29&lt;&gt;"",$T29=$T28),$U28,IF(C29="x",V28,"")))</f>
        <v/>
      </c>
      <c r="W29" t="str" cm="1">
        <f t="array" ref="W29">IFERROR(_xlfn._xlws.FILTER(game_rosters!AB:AB,(game_rosters!J:J=events!X29)*(K29&lt;&gt;"")),"")</f>
        <v/>
      </c>
      <c r="X29" t="str" cm="1">
        <f t="array" ref="X29">IF(S29="","",IF($I29&lt;&gt;"",$I29,INDEX($I$2:$I28,ROW()-COUNTIFS($T$2:$T28,"="&amp;$T29,$S$2:$S28,"&lt;&gt;"&amp;$S29)-1)))</f>
        <v/>
      </c>
      <c r="Z29" s="6"/>
      <c r="AH29" t="str">
        <f t="shared" si="30"/>
        <v>o</v>
      </c>
      <c r="AI29" t="str">
        <f t="shared" si="35"/>
        <v/>
      </c>
      <c r="AJ29" t="str">
        <f t="shared" si="36"/>
        <v/>
      </c>
      <c r="AK29" t="str">
        <f t="shared" si="31"/>
        <v/>
      </c>
      <c r="AL29" t="str">
        <f t="shared" si="32"/>
        <v/>
      </c>
      <c r="AM29" t="str">
        <f t="shared" si="37"/>
        <v/>
      </c>
      <c r="AN29" t="str">
        <f t="shared" si="38"/>
        <v/>
      </c>
      <c r="AO29" t="str">
        <f t="shared" si="39"/>
        <v/>
      </c>
      <c r="AP29" t="str">
        <f t="shared" si="40"/>
        <v/>
      </c>
      <c r="AQ29" t="str">
        <f t="shared" si="41"/>
        <v/>
      </c>
      <c r="AR29" t="str">
        <f t="shared" si="42"/>
        <v/>
      </c>
      <c r="AS29" t="str">
        <f t="shared" si="33"/>
        <v>Defensive</v>
      </c>
      <c r="BI29" s="40"/>
      <c r="BL29" s="40"/>
      <c r="BN29" s="19"/>
      <c r="BP29" s="17"/>
    </row>
    <row r="30" spans="1:68" x14ac:dyDescent="0.2">
      <c r="A30" t="str">
        <f t="shared" si="27"/>
        <v/>
      </c>
      <c r="E30" s="4"/>
      <c r="F30" s="45"/>
      <c r="G30" s="4"/>
      <c r="H30" s="48"/>
      <c r="J30" s="46" t="str">
        <f t="shared" si="34"/>
        <v/>
      </c>
      <c r="N30" t="str">
        <f t="shared" si="44"/>
        <v/>
      </c>
      <c r="Q30" t="str">
        <f t="shared" si="43"/>
        <v/>
      </c>
      <c r="S30" t="str">
        <f>IF(A30=1,MAX(S$2:S29)+1,IF(OR(I30&lt;&gt;"",A30="x"),S29,""))</f>
        <v/>
      </c>
      <c r="T30" t="str">
        <f>IF(D30=1,MAX($T$2:$T29)+1,IF(S30=$S29,$S29,IF($D30="x",T29,IF($D29="x","",""))))</f>
        <v/>
      </c>
      <c r="U30" t="str">
        <f>IF(B30=1,MAX($U$2:$U29)+1,IF(AND($T30&lt;&gt;"",$T30=$T29),$U29,IF(B30="x",U29,"")))</f>
        <v/>
      </c>
      <c r="V30" t="str">
        <f>IF(C30=1,MAX($V$2:$V29)+1,IF(AND($T30&lt;&gt;"",$T30=$T29),$U29,IF(C30="x",V29,"")))</f>
        <v/>
      </c>
      <c r="W30" t="str" cm="1">
        <f t="array" ref="W30">IFERROR(_xlfn._xlws.FILTER(game_rosters!AB:AB,(game_rosters!J:J=events!X30)*(K30&lt;&gt;"")),"")</f>
        <v/>
      </c>
      <c r="X30" t="str" cm="1">
        <f t="array" ref="X30">IF(S30="","",IF($I30&lt;&gt;"",$I30,INDEX($I$2:$I29,ROW()-COUNTIFS($T$2:$T29,"="&amp;$T30,$S$2:$S29,"&lt;&gt;"&amp;$S30)-1)))</f>
        <v/>
      </c>
      <c r="Z30" s="6"/>
      <c r="AH30" t="str">
        <f t="shared" si="30"/>
        <v>o</v>
      </c>
      <c r="AI30" t="str">
        <f t="shared" si="35"/>
        <v/>
      </c>
      <c r="AJ30" t="str">
        <f t="shared" si="36"/>
        <v/>
      </c>
      <c r="AK30" t="str">
        <f t="shared" si="31"/>
        <v/>
      </c>
      <c r="AL30" t="str">
        <f t="shared" si="32"/>
        <v/>
      </c>
      <c r="AM30" t="str">
        <f t="shared" si="37"/>
        <v/>
      </c>
      <c r="AN30" t="str">
        <f t="shared" si="38"/>
        <v/>
      </c>
      <c r="AO30" t="str">
        <f t="shared" si="39"/>
        <v/>
      </c>
      <c r="AP30" t="str">
        <f t="shared" si="40"/>
        <v/>
      </c>
      <c r="AQ30" t="str">
        <f t="shared" si="41"/>
        <v/>
      </c>
      <c r="AR30" t="str">
        <f t="shared" si="42"/>
        <v/>
      </c>
      <c r="AS30" t="str">
        <f t="shared" si="33"/>
        <v>Defensive</v>
      </c>
      <c r="BI30" s="40"/>
      <c r="BL30" s="40"/>
      <c r="BN30" s="19"/>
      <c r="BP30" s="17"/>
    </row>
    <row r="31" spans="1:68" x14ac:dyDescent="0.2">
      <c r="A31" t="str">
        <f t="shared" si="27"/>
        <v/>
      </c>
      <c r="E31" s="4"/>
      <c r="F31" s="45"/>
      <c r="G31" s="4"/>
      <c r="H31" s="48"/>
      <c r="J31" s="46" t="str">
        <f t="shared" si="34"/>
        <v/>
      </c>
      <c r="N31" t="str">
        <f t="shared" si="44"/>
        <v/>
      </c>
      <c r="Q31" t="str">
        <f t="shared" si="43"/>
        <v/>
      </c>
      <c r="S31" t="str">
        <f>IF(A31=1,MAX(S$2:S30)+1,IF(OR(I31&lt;&gt;"",A31="x"),S30,""))</f>
        <v/>
      </c>
      <c r="T31" t="str">
        <f>IF(D31=1,MAX($T$2:$T30)+1,IF(S31=$S30,$S30,IF($D31="x",T30,IF($D30="x","",""))))</f>
        <v/>
      </c>
      <c r="U31" t="str">
        <f>IF(B31=1,MAX($U$2:$U30)+1,IF(AND($T31&lt;&gt;"",$T31=$T30),$U30,IF(B31="x",U30,"")))</f>
        <v/>
      </c>
      <c r="V31" t="str">
        <f>IF(C31=1,MAX($V$2:$V30)+1,IF(AND($T31&lt;&gt;"",$T31=$T30),$U30,IF(C31="x",V30,"")))</f>
        <v/>
      </c>
      <c r="W31" t="str" cm="1">
        <f t="array" ref="W31">IFERROR(_xlfn._xlws.FILTER(game_rosters!AB:AB,(game_rosters!J:J=events!X31)*(K31&lt;&gt;"")),"")</f>
        <v/>
      </c>
      <c r="X31" t="str" cm="1">
        <f t="array" ref="X31">IF(S31="","",IF($I31&lt;&gt;"",$I31,INDEX($I$2:$I30,ROW()-COUNTIFS($T$2:$T30,"="&amp;$T31,$S$2:$S30,"&lt;&gt;"&amp;$S31)-1)))</f>
        <v/>
      </c>
      <c r="Z31" s="6"/>
      <c r="AH31" t="str">
        <f t="shared" si="30"/>
        <v>o</v>
      </c>
      <c r="AI31" t="str">
        <f t="shared" si="35"/>
        <v/>
      </c>
      <c r="AJ31" t="str">
        <f t="shared" si="36"/>
        <v/>
      </c>
      <c r="AK31" t="str">
        <f t="shared" si="31"/>
        <v/>
      </c>
      <c r="AL31" t="str">
        <f t="shared" si="32"/>
        <v/>
      </c>
      <c r="AM31" t="str">
        <f t="shared" si="37"/>
        <v/>
      </c>
      <c r="AN31" t="str">
        <f t="shared" si="38"/>
        <v/>
      </c>
      <c r="AO31" t="str">
        <f t="shared" si="39"/>
        <v/>
      </c>
      <c r="AP31" t="str">
        <f t="shared" si="40"/>
        <v/>
      </c>
      <c r="AQ31" t="str">
        <f t="shared" si="41"/>
        <v/>
      </c>
      <c r="AR31" t="str">
        <f t="shared" si="42"/>
        <v/>
      </c>
      <c r="AS31" t="str">
        <f t="shared" si="33"/>
        <v>Defensive</v>
      </c>
      <c r="BI31" s="40"/>
      <c r="BL31" s="40"/>
      <c r="BN31" s="19"/>
      <c r="BP31" s="17"/>
    </row>
    <row r="32" spans="1:68" x14ac:dyDescent="0.2">
      <c r="A32" t="str">
        <f t="shared" si="27"/>
        <v/>
      </c>
      <c r="E32" s="4"/>
      <c r="F32" s="45"/>
      <c r="G32" s="4"/>
      <c r="H32" s="48"/>
      <c r="J32" s="46" t="str">
        <f t="shared" si="34"/>
        <v/>
      </c>
      <c r="N32" t="str">
        <f t="shared" si="44"/>
        <v/>
      </c>
      <c r="Q32" t="str">
        <f t="shared" si="43"/>
        <v/>
      </c>
      <c r="S32" t="str">
        <f>IF(A32=1,MAX(S$2:S31)+1,IF(OR(I32&lt;&gt;"",A32="x"),S31,""))</f>
        <v/>
      </c>
      <c r="T32" t="str">
        <f>IF(D32=1,MAX($T$2:$T31)+1,IF(S32=$S31,$S31,IF($D32="x",T31,IF($D31="x","",""))))</f>
        <v/>
      </c>
      <c r="U32" t="str">
        <f>IF(B32=1,MAX($U$2:$U31)+1,IF(AND($T32&lt;&gt;"",$T32=$T31),$U31,IF(B32="x",U31,"")))</f>
        <v/>
      </c>
      <c r="V32" t="str">
        <f>IF(C32=1,MAX($V$2:$V31)+1,IF(AND($T32&lt;&gt;"",$T32=$T31),$U31,IF(C32="x",V31,"")))</f>
        <v/>
      </c>
      <c r="W32" t="str" cm="1">
        <f t="array" ref="W32">IFERROR(_xlfn._xlws.FILTER(game_rosters!AB:AB,(game_rosters!J:J=events!X32)*(K32&lt;&gt;"")),"")</f>
        <v/>
      </c>
      <c r="X32" t="str" cm="1">
        <f t="array" ref="X32">IF(S32="","",IF($I32&lt;&gt;"",$I32,INDEX($I$2:$I31,ROW()-COUNTIFS($T$2:$T31,"="&amp;$T32,$S$2:$S31,"&lt;&gt;"&amp;$S32)-1)))</f>
        <v/>
      </c>
      <c r="Z32" s="6"/>
      <c r="AH32" t="str">
        <f t="shared" si="30"/>
        <v>o</v>
      </c>
      <c r="AI32" t="str">
        <f t="shared" si="35"/>
        <v/>
      </c>
      <c r="AJ32" t="str">
        <f t="shared" si="36"/>
        <v/>
      </c>
      <c r="AK32" t="str">
        <f t="shared" si="31"/>
        <v/>
      </c>
      <c r="AL32" t="str">
        <f t="shared" si="32"/>
        <v/>
      </c>
      <c r="AM32" t="str">
        <f t="shared" si="37"/>
        <v/>
      </c>
      <c r="AN32" t="str">
        <f t="shared" si="38"/>
        <v/>
      </c>
      <c r="AO32" t="str">
        <f t="shared" si="39"/>
        <v/>
      </c>
      <c r="AP32" t="str">
        <f t="shared" si="40"/>
        <v/>
      </c>
      <c r="AQ32" t="str">
        <f t="shared" si="41"/>
        <v/>
      </c>
      <c r="AR32" t="str">
        <f t="shared" si="42"/>
        <v/>
      </c>
      <c r="AS32" t="str">
        <f t="shared" si="33"/>
        <v>Defensive</v>
      </c>
      <c r="BI32" s="40"/>
      <c r="BL32" s="40"/>
      <c r="BN32" s="19"/>
      <c r="BP32" s="17"/>
    </row>
    <row r="33" spans="1:68" x14ac:dyDescent="0.2">
      <c r="A33" t="str">
        <f t="shared" si="27"/>
        <v/>
      </c>
      <c r="E33" s="4"/>
      <c r="F33" s="45"/>
      <c r="G33" s="4"/>
      <c r="H33" s="48"/>
      <c r="J33" s="46" t="str">
        <f t="shared" si="34"/>
        <v/>
      </c>
      <c r="N33" t="str">
        <f t="shared" si="44"/>
        <v/>
      </c>
      <c r="Q33" t="str">
        <f t="shared" si="43"/>
        <v/>
      </c>
      <c r="S33" t="str">
        <f>IF(A33=1,MAX(S$2:S32)+1,IF(OR(I33&lt;&gt;"",A33="x"),S32,""))</f>
        <v/>
      </c>
      <c r="T33" t="str">
        <f>IF(D33=1,MAX($T$2:$T32)+1,IF(S33=$S32,$S32,IF($D33="x",T32,IF($D32="x","",""))))</f>
        <v/>
      </c>
      <c r="U33" t="str">
        <f>IF(B33=1,MAX($U$2:$U32)+1,IF(AND($T33&lt;&gt;"",$T33=$T32),$U32,IF(B33="x",U32,"")))</f>
        <v/>
      </c>
      <c r="V33" t="str">
        <f>IF(C33=1,MAX($V$2:$V32)+1,IF(AND($T33&lt;&gt;"",$T33=$T32),$U32,IF(C33="x",V32,"")))</f>
        <v/>
      </c>
      <c r="W33" t="str" cm="1">
        <f t="array" ref="W33">IFERROR(_xlfn._xlws.FILTER(game_rosters!AB:AB,(game_rosters!J:J=events!X33)*(K33&lt;&gt;"")),"")</f>
        <v/>
      </c>
      <c r="X33" t="str" cm="1">
        <f t="array" ref="X33">IF(S33="","",IF($I33&lt;&gt;"",$I33,INDEX($I$2:$I32,ROW()-COUNTIFS($T$2:$T32,"="&amp;$T33,$S$2:$S32,"&lt;&gt;"&amp;$S33)-1)))</f>
        <v/>
      </c>
      <c r="Z33" s="6"/>
      <c r="AH33" t="str">
        <f t="shared" si="30"/>
        <v>o</v>
      </c>
      <c r="AI33" t="str">
        <f t="shared" si="35"/>
        <v/>
      </c>
      <c r="AJ33" t="str">
        <f t="shared" si="36"/>
        <v/>
      </c>
      <c r="AK33" t="str">
        <f t="shared" si="31"/>
        <v/>
      </c>
      <c r="AL33" t="str">
        <f t="shared" si="32"/>
        <v/>
      </c>
      <c r="AM33" t="str">
        <f t="shared" si="37"/>
        <v/>
      </c>
      <c r="AN33" t="str">
        <f t="shared" si="38"/>
        <v/>
      </c>
      <c r="AO33" t="str">
        <f t="shared" si="39"/>
        <v/>
      </c>
      <c r="AP33" t="str">
        <f t="shared" si="40"/>
        <v/>
      </c>
      <c r="AQ33" t="str">
        <f t="shared" si="41"/>
        <v/>
      </c>
      <c r="AR33" t="str">
        <f t="shared" si="42"/>
        <v/>
      </c>
      <c r="AS33" t="str">
        <f t="shared" si="33"/>
        <v>Defensive</v>
      </c>
      <c r="BI33" s="40"/>
      <c r="BL33" s="40"/>
      <c r="BN33" s="19"/>
      <c r="BP33" s="17"/>
    </row>
    <row r="34" spans="1:68" x14ac:dyDescent="0.2">
      <c r="A34" t="str">
        <f t="shared" si="27"/>
        <v/>
      </c>
      <c r="E34" s="4"/>
      <c r="F34" s="45"/>
      <c r="G34" s="4"/>
      <c r="H34" s="48"/>
      <c r="J34" s="46" t="str">
        <f t="shared" si="34"/>
        <v/>
      </c>
      <c r="N34" t="str">
        <f t="shared" si="44"/>
        <v/>
      </c>
      <c r="Q34" t="str">
        <f t="shared" si="43"/>
        <v/>
      </c>
      <c r="S34" t="str">
        <f>IF(A34=1,MAX(S$2:S33)+1,IF(OR(I34&lt;&gt;"",A34="x"),S33,""))</f>
        <v/>
      </c>
      <c r="T34" t="str">
        <f>IF(D34=1,MAX($T$2:$T33)+1,IF(S34=$S33,$S33,IF($D34="x",T33,IF($D33="x","",""))))</f>
        <v/>
      </c>
      <c r="U34" t="str">
        <f>IF(B34=1,MAX($U$2:$U33)+1,IF(AND($T34&lt;&gt;"",$T34=$T33),$U33,IF(B34="x",U33,"")))</f>
        <v/>
      </c>
      <c r="V34" t="str">
        <f>IF(C34=1,MAX($V$2:$V33)+1,IF(AND($T34&lt;&gt;"",$T34=$T33),$U33,IF(C34="x",V33,"")))</f>
        <v/>
      </c>
      <c r="W34" t="str" cm="1">
        <f t="array" ref="W34">IFERROR(_xlfn._xlws.FILTER(game_rosters!AB:AB,(game_rosters!J:J=events!X34)*(K34&lt;&gt;"")),"")</f>
        <v/>
      </c>
      <c r="X34" t="str" cm="1">
        <f t="array" ref="X34">IF(S34="","",IF($I34&lt;&gt;"",$I34,INDEX($I$2:$I33,ROW()-COUNTIFS($T$2:$T33,"="&amp;$T34,$S$2:$S33,"&lt;&gt;"&amp;$S34)-1)))</f>
        <v/>
      </c>
      <c r="Z34" s="6"/>
      <c r="AH34" t="str">
        <f t="shared" si="30"/>
        <v>o</v>
      </c>
      <c r="AI34" t="str">
        <f t="shared" si="35"/>
        <v/>
      </c>
      <c r="AJ34" t="str">
        <f t="shared" si="36"/>
        <v/>
      </c>
      <c r="AK34" t="str">
        <f t="shared" si="31"/>
        <v/>
      </c>
      <c r="AL34" t="str">
        <f t="shared" si="32"/>
        <v/>
      </c>
      <c r="AM34" t="str">
        <f t="shared" si="37"/>
        <v/>
      </c>
      <c r="AN34" t="str">
        <f t="shared" si="38"/>
        <v/>
      </c>
      <c r="AO34" t="str">
        <f t="shared" si="39"/>
        <v/>
      </c>
      <c r="AP34" t="str">
        <f t="shared" si="40"/>
        <v/>
      </c>
      <c r="AQ34" t="str">
        <f t="shared" si="41"/>
        <v/>
      </c>
      <c r="AR34" t="str">
        <f t="shared" si="42"/>
        <v/>
      </c>
      <c r="AS34" t="str">
        <f t="shared" si="33"/>
        <v>Defensive</v>
      </c>
      <c r="BI34" s="40"/>
      <c r="BL34" s="40"/>
      <c r="BN34" s="19"/>
      <c r="BP34" s="17"/>
    </row>
    <row r="35" spans="1:68" x14ac:dyDescent="0.2">
      <c r="A35" t="str">
        <f t="shared" si="27"/>
        <v/>
      </c>
      <c r="E35" s="4"/>
      <c r="F35" s="45"/>
      <c r="G35" s="4"/>
      <c r="H35" s="48"/>
      <c r="J35" s="46" t="str">
        <f t="shared" si="34"/>
        <v/>
      </c>
      <c r="N35" t="str">
        <f t="shared" si="44"/>
        <v/>
      </c>
      <c r="Q35" t="str">
        <f t="shared" si="43"/>
        <v/>
      </c>
      <c r="S35" t="str">
        <f>IF(A35=1,MAX(S$2:S34)+1,IF(OR(I35&lt;&gt;"",A35="x"),S34,""))</f>
        <v/>
      </c>
      <c r="T35" t="str">
        <f>IF(D35=1,MAX($T$2:$T34)+1,IF(S35=$S34,$S34,IF($D35="x",T34,IF($D34="x","",""))))</f>
        <v/>
      </c>
      <c r="U35" t="str">
        <f>IF(B35=1,MAX($U$2:$U34)+1,IF(AND($T35&lt;&gt;"",$T35=$T34),$U34,IF(B35="x",U34,"")))</f>
        <v/>
      </c>
      <c r="V35" t="str">
        <f>IF(C35=1,MAX($V$2:$V34)+1,IF(AND($T35&lt;&gt;"",$T35=$T34),$U34,IF(C35="x",V34,"")))</f>
        <v/>
      </c>
      <c r="W35" t="str" cm="1">
        <f t="array" ref="W35">IFERROR(_xlfn._xlws.FILTER(game_rosters!AB:AB,(game_rosters!J:J=events!X35)*(K35&lt;&gt;"")),"")</f>
        <v/>
      </c>
      <c r="X35" t="str" cm="1">
        <f t="array" ref="X35">IF(S35="","",IF($I35&lt;&gt;"",$I35,INDEX($I$2:$I34,ROW()-COUNTIFS($T$2:$T34,"="&amp;$T35,$S$2:$S34,"&lt;&gt;"&amp;$S35)-1)))</f>
        <v/>
      </c>
      <c r="Z35" s="6"/>
      <c r="AH35" t="str">
        <f t="shared" si="30"/>
        <v>o</v>
      </c>
      <c r="AI35" t="str">
        <f t="shared" si="35"/>
        <v/>
      </c>
      <c r="AJ35" t="str">
        <f t="shared" si="36"/>
        <v/>
      </c>
      <c r="AK35" t="str">
        <f t="shared" si="31"/>
        <v/>
      </c>
      <c r="AL35" t="str">
        <f t="shared" si="32"/>
        <v/>
      </c>
      <c r="AM35" t="str">
        <f t="shared" si="37"/>
        <v/>
      </c>
      <c r="AN35" t="str">
        <f t="shared" si="38"/>
        <v/>
      </c>
      <c r="AO35" t="str">
        <f t="shared" si="39"/>
        <v/>
      </c>
      <c r="AP35" t="str">
        <f t="shared" si="40"/>
        <v/>
      </c>
      <c r="AQ35" t="str">
        <f t="shared" si="41"/>
        <v/>
      </c>
      <c r="AR35" t="str">
        <f t="shared" si="42"/>
        <v/>
      </c>
      <c r="AS35" t="str">
        <f t="shared" si="33"/>
        <v>Defensive</v>
      </c>
      <c r="BI35" s="40"/>
      <c r="BL35" s="40"/>
      <c r="BN35" s="19"/>
      <c r="BP35" s="17"/>
    </row>
    <row r="36" spans="1:68" x14ac:dyDescent="0.2">
      <c r="A36" t="str">
        <f t="shared" si="27"/>
        <v/>
      </c>
      <c r="E36" s="4"/>
      <c r="F36" s="45"/>
      <c r="G36" s="4"/>
      <c r="H36" s="48"/>
      <c r="J36" s="46" t="str">
        <f t="shared" si="34"/>
        <v/>
      </c>
      <c r="N36" t="str">
        <f t="shared" si="44"/>
        <v/>
      </c>
      <c r="Q36" t="str">
        <f t="shared" si="43"/>
        <v/>
      </c>
      <c r="S36" t="str">
        <f>IF(A36=1,MAX(S$2:S35)+1,IF(OR(I36&lt;&gt;"",A36="x"),S35,""))</f>
        <v/>
      </c>
      <c r="T36" t="str">
        <f>IF(D36=1,MAX($T$2:$T35)+1,IF(S36=$S35,$S35,IF($D36="x",T35,IF($D35="x","",""))))</f>
        <v/>
      </c>
      <c r="U36" t="str">
        <f>IF(B36=1,MAX($U$2:$U35)+1,IF(AND($T36&lt;&gt;"",$T36=$T35),$U35,IF(B36="x",U35,"")))</f>
        <v/>
      </c>
      <c r="V36" t="str">
        <f>IF(C36=1,MAX($V$2:$V35)+1,IF(AND($T36&lt;&gt;"",$T36=$T35),$U35,IF(C36="x",V35,"")))</f>
        <v/>
      </c>
      <c r="W36" t="str" cm="1">
        <f t="array" ref="W36">IFERROR(_xlfn._xlws.FILTER(game_rosters!AB:AB,(game_rosters!J:J=events!X36)*(K36&lt;&gt;"")),"")</f>
        <v/>
      </c>
      <c r="X36" t="str" cm="1">
        <f t="array" ref="X36">IF(S36="","",IF($I36&lt;&gt;"",$I36,INDEX($I$2:$I35,ROW()-COUNTIFS($T$2:$T35,"="&amp;$T36,$S$2:$S35,"&lt;&gt;"&amp;$S36)-1)))</f>
        <v/>
      </c>
      <c r="Z36" s="6"/>
      <c r="AH36" t="str">
        <f t="shared" si="30"/>
        <v>o</v>
      </c>
      <c r="AI36" t="str">
        <f t="shared" si="35"/>
        <v/>
      </c>
      <c r="AJ36" t="str">
        <f t="shared" si="36"/>
        <v/>
      </c>
      <c r="AK36" t="str">
        <f t="shared" si="31"/>
        <v/>
      </c>
      <c r="AL36" t="str">
        <f t="shared" si="32"/>
        <v/>
      </c>
      <c r="AM36" t="str">
        <f t="shared" si="37"/>
        <v/>
      </c>
      <c r="AN36" t="str">
        <f t="shared" si="38"/>
        <v/>
      </c>
      <c r="AO36" t="str">
        <f t="shared" si="39"/>
        <v/>
      </c>
      <c r="AP36" t="str">
        <f t="shared" si="40"/>
        <v/>
      </c>
      <c r="AQ36" t="str">
        <f t="shared" si="41"/>
        <v/>
      </c>
      <c r="AR36" t="str">
        <f t="shared" si="42"/>
        <v/>
      </c>
      <c r="AS36" t="str">
        <f t="shared" si="33"/>
        <v>Defensive</v>
      </c>
      <c r="BI36" s="40"/>
      <c r="BL36" s="40"/>
      <c r="BN36" s="19"/>
      <c r="BP36" s="17"/>
    </row>
    <row r="37" spans="1:68" x14ac:dyDescent="0.2">
      <c r="A37" t="str">
        <f t="shared" si="27"/>
        <v/>
      </c>
      <c r="E37" s="4"/>
      <c r="F37" s="45"/>
      <c r="G37" s="4"/>
      <c r="H37" s="48"/>
      <c r="J37" s="46" t="str">
        <f t="shared" si="34"/>
        <v/>
      </c>
      <c r="N37" t="str">
        <f t="shared" si="44"/>
        <v/>
      </c>
      <c r="Q37" t="str">
        <f t="shared" si="43"/>
        <v/>
      </c>
      <c r="S37" t="str">
        <f>IF(A37=1,MAX(S$2:S36)+1,IF(OR(I37&lt;&gt;"",A37="x"),S36,""))</f>
        <v/>
      </c>
      <c r="T37" t="str">
        <f>IF(D37=1,MAX($T$2:$T36)+1,IF(S37=$S36,$S36,IF($D37="x",T36,IF($D36="x","",""))))</f>
        <v/>
      </c>
      <c r="U37" t="str">
        <f>IF(B37=1,MAX($U$2:$U36)+1,IF(AND($T37&lt;&gt;"",$T37=$T36),$U36,IF(B37="x",U36,"")))</f>
        <v/>
      </c>
      <c r="V37" t="str">
        <f>IF(C37=1,MAX($V$2:$V36)+1,IF(AND($T37&lt;&gt;"",$T37=$T36),$U36,IF(C37="x",V36,"")))</f>
        <v/>
      </c>
      <c r="W37" t="str" cm="1">
        <f t="array" ref="W37">IFERROR(_xlfn._xlws.FILTER(game_rosters!AB:AB,(game_rosters!J:J=events!X37)*(K37&lt;&gt;"")),"")</f>
        <v/>
      </c>
      <c r="X37" t="str" cm="1">
        <f t="array" ref="X37">IF(S37="","",IF($I37&lt;&gt;"",$I37,INDEX($I$2:$I36,ROW()-COUNTIFS($T$2:$T36,"="&amp;$T37,$S$2:$S36,"&lt;&gt;"&amp;$S37)-1)))</f>
        <v/>
      </c>
      <c r="Z37" s="6"/>
      <c r="AH37" t="str">
        <f t="shared" si="30"/>
        <v>o</v>
      </c>
      <c r="AI37" t="str">
        <f t="shared" si="35"/>
        <v/>
      </c>
      <c r="AJ37" t="str">
        <f t="shared" si="36"/>
        <v/>
      </c>
      <c r="AK37" t="str">
        <f t="shared" si="31"/>
        <v/>
      </c>
      <c r="AL37" t="str">
        <f t="shared" si="32"/>
        <v/>
      </c>
      <c r="AM37" t="str">
        <f t="shared" si="37"/>
        <v/>
      </c>
      <c r="AN37" t="str">
        <f t="shared" si="38"/>
        <v/>
      </c>
      <c r="AO37" t="str">
        <f t="shared" si="39"/>
        <v/>
      </c>
      <c r="AP37" t="str">
        <f t="shared" si="40"/>
        <v/>
      </c>
      <c r="AQ37" t="str">
        <f t="shared" si="41"/>
        <v/>
      </c>
      <c r="AR37" t="str">
        <f t="shared" si="42"/>
        <v/>
      </c>
      <c r="AS37" t="str">
        <f t="shared" si="33"/>
        <v>Defensive</v>
      </c>
      <c r="BI37" s="40"/>
      <c r="BL37" s="40"/>
      <c r="BN37" s="19"/>
      <c r="BP37" s="17"/>
    </row>
    <row r="38" spans="1:68" x14ac:dyDescent="0.2">
      <c r="A38" t="str">
        <f t="shared" si="27"/>
        <v/>
      </c>
      <c r="E38" s="4"/>
      <c r="F38" s="45"/>
      <c r="G38" s="4"/>
      <c r="H38" s="48"/>
      <c r="J38" s="46" t="str">
        <f t="shared" si="34"/>
        <v/>
      </c>
      <c r="N38" t="str">
        <f t="shared" si="44"/>
        <v/>
      </c>
      <c r="Q38" t="str">
        <f t="shared" si="43"/>
        <v/>
      </c>
      <c r="S38" t="str">
        <f>IF(A38=1,MAX(S$2:S37)+1,IF(OR(I38&lt;&gt;"",A38="x"),S37,""))</f>
        <v/>
      </c>
      <c r="T38" t="str">
        <f>IF(D38=1,MAX($T$2:$T37)+1,IF(S38=$S37,$S37,IF($D38="x",T37,IF($D37="x","",""))))</f>
        <v/>
      </c>
      <c r="U38" t="str">
        <f>IF(B38=1,MAX($U$2:$U37)+1,IF(AND($T38&lt;&gt;"",$T38=$T37),$U37,IF(B38="x",U37,"")))</f>
        <v/>
      </c>
      <c r="V38" t="str">
        <f>IF(C38=1,MAX($V$2:$V37)+1,IF(AND($T38&lt;&gt;"",$T38=$T37),$U37,IF(C38="x",V37,"")))</f>
        <v/>
      </c>
      <c r="W38" t="str" cm="1">
        <f t="array" ref="W38">IFERROR(_xlfn._xlws.FILTER(game_rosters!AB:AB,(game_rosters!J:J=events!X38)*(K38&lt;&gt;"")),"")</f>
        <v/>
      </c>
      <c r="X38" t="str" cm="1">
        <f t="array" ref="X38">IF(S38="","",IF($I38&lt;&gt;"",$I38,INDEX($I$2:$I37,ROW()-COUNTIFS($T$2:$T37,"="&amp;$T38,$S$2:$S37,"&lt;&gt;"&amp;$S38)-1)))</f>
        <v/>
      </c>
      <c r="Z38" s="6"/>
      <c r="AH38" t="str">
        <f t="shared" si="30"/>
        <v>o</v>
      </c>
      <c r="AI38" t="str">
        <f t="shared" si="35"/>
        <v/>
      </c>
      <c r="AJ38" t="str">
        <f t="shared" si="36"/>
        <v/>
      </c>
      <c r="AK38" t="str">
        <f t="shared" si="31"/>
        <v/>
      </c>
      <c r="AL38" t="str">
        <f t="shared" si="32"/>
        <v/>
      </c>
      <c r="AM38" t="str">
        <f t="shared" si="37"/>
        <v/>
      </c>
      <c r="AN38" t="str">
        <f t="shared" si="38"/>
        <v/>
      </c>
      <c r="AO38" t="str">
        <f t="shared" si="39"/>
        <v/>
      </c>
      <c r="AP38" t="str">
        <f t="shared" si="40"/>
        <v/>
      </c>
      <c r="AQ38" t="str">
        <f t="shared" si="41"/>
        <v/>
      </c>
      <c r="AR38" t="str">
        <f t="shared" si="42"/>
        <v/>
      </c>
      <c r="AS38" t="str">
        <f t="shared" si="33"/>
        <v>Defensive</v>
      </c>
      <c r="BI38" s="40"/>
      <c r="BL38" s="40"/>
      <c r="BN38" s="19"/>
      <c r="BP38" s="17"/>
    </row>
    <row r="39" spans="1:68" x14ac:dyDescent="0.2">
      <c r="A39" t="str">
        <f t="shared" si="27"/>
        <v/>
      </c>
      <c r="E39" s="4"/>
      <c r="F39" s="45"/>
      <c r="G39" s="4"/>
      <c r="H39" s="48"/>
      <c r="J39" s="46" t="str">
        <f t="shared" si="34"/>
        <v/>
      </c>
      <c r="N39" t="str">
        <f t="shared" si="44"/>
        <v/>
      </c>
      <c r="Q39" t="str">
        <f t="shared" si="43"/>
        <v/>
      </c>
      <c r="S39" t="str">
        <f>IF(A39=1,MAX(S$2:S38)+1,IF(OR(I39&lt;&gt;"",A39="x"),S38,""))</f>
        <v/>
      </c>
      <c r="T39" t="str">
        <f>IF(D39=1,MAX($T$2:$T38)+1,IF(S39=$S38,$S38,IF($D39="x",T38,IF($D38="x","",""))))</f>
        <v/>
      </c>
      <c r="U39" t="str">
        <f>IF(B39=1,MAX($U$2:$U38)+1,IF(AND($T39&lt;&gt;"",$T39=$T38),$U38,IF(B39="x",U38,"")))</f>
        <v/>
      </c>
      <c r="V39" t="str">
        <f>IF(C39=1,MAX($V$2:$V38)+1,IF(AND($T39&lt;&gt;"",$T39=$T38),$U38,IF(C39="x",V38,"")))</f>
        <v/>
      </c>
      <c r="W39" t="str" cm="1">
        <f t="array" ref="W39">IFERROR(_xlfn._xlws.FILTER(game_rosters!AB:AB,(game_rosters!J:J=events!X39)*(K39&lt;&gt;"")),"")</f>
        <v/>
      </c>
      <c r="X39" t="str" cm="1">
        <f t="array" ref="X39">IF(S39="","",IF($I39&lt;&gt;"",$I39,INDEX($I$2:$I38,ROW()-COUNTIFS($T$2:$T38,"="&amp;$T39,$S$2:$S38,"&lt;&gt;"&amp;$S39)-1)))</f>
        <v/>
      </c>
      <c r="Z39" s="6"/>
      <c r="AH39" t="str">
        <f t="shared" si="30"/>
        <v>o</v>
      </c>
      <c r="AI39" t="str">
        <f t="shared" si="35"/>
        <v/>
      </c>
      <c r="AJ39" t="str">
        <f t="shared" si="36"/>
        <v/>
      </c>
      <c r="AK39" t="str">
        <f t="shared" si="31"/>
        <v/>
      </c>
      <c r="AL39" t="str">
        <f t="shared" si="32"/>
        <v/>
      </c>
      <c r="AM39" t="str">
        <f t="shared" si="37"/>
        <v/>
      </c>
      <c r="AN39" t="str">
        <f t="shared" si="38"/>
        <v/>
      </c>
      <c r="AO39" t="str">
        <f t="shared" si="39"/>
        <v/>
      </c>
      <c r="AP39" t="str">
        <f t="shared" si="40"/>
        <v/>
      </c>
      <c r="AQ39" t="str">
        <f t="shared" si="41"/>
        <v/>
      </c>
      <c r="AR39" t="str">
        <f t="shared" si="42"/>
        <v/>
      </c>
      <c r="AS39" t="str">
        <f t="shared" si="33"/>
        <v>Defensive</v>
      </c>
      <c r="BI39" s="40"/>
      <c r="BL39" s="40"/>
      <c r="BN39" s="19"/>
      <c r="BP39" s="17"/>
    </row>
    <row r="40" spans="1:68" x14ac:dyDescent="0.2">
      <c r="A40" t="str">
        <f t="shared" si="27"/>
        <v/>
      </c>
      <c r="E40" s="4"/>
      <c r="F40" s="45"/>
      <c r="G40" s="4"/>
      <c r="H40" s="48"/>
      <c r="J40" s="46" t="str">
        <f t="shared" si="34"/>
        <v/>
      </c>
      <c r="N40" t="str">
        <f t="shared" si="44"/>
        <v/>
      </c>
      <c r="Q40" t="str">
        <f t="shared" si="43"/>
        <v/>
      </c>
      <c r="S40" t="str">
        <f>IF(A40=1,MAX(S$2:S39)+1,IF(OR(I40&lt;&gt;"",A40="x"),S39,""))</f>
        <v/>
      </c>
      <c r="T40" t="str">
        <f>IF(D40=1,MAX($T$2:$T39)+1,IF(S40=$S39,$S39,IF($D40="x",T39,IF($D39="x","",""))))</f>
        <v/>
      </c>
      <c r="U40" t="str">
        <f>IF(B40=1,MAX($U$2:$U39)+1,IF(AND($T40&lt;&gt;"",$T40=$T39),$U39,IF(B40="x",U39,"")))</f>
        <v/>
      </c>
      <c r="V40" t="str">
        <f>IF(C40=1,MAX($V$2:$V39)+1,IF(AND($T40&lt;&gt;"",$T40=$T39),$U39,IF(C40="x",V39,"")))</f>
        <v/>
      </c>
      <c r="W40" t="str" cm="1">
        <f t="array" ref="W40">IFERROR(_xlfn._xlws.FILTER(game_rosters!AB:AB,(game_rosters!J:J=events!X40)*(K40&lt;&gt;"")),"")</f>
        <v/>
      </c>
      <c r="X40" t="str" cm="1">
        <f t="array" ref="X40">IF(S40="","",IF($I40&lt;&gt;"",$I40,INDEX($I$2:$I39,ROW()-COUNTIFS($T$2:$T39,"="&amp;$T40,$S$2:$S39,"&lt;&gt;"&amp;$S40)-1)))</f>
        <v/>
      </c>
      <c r="Z40" s="6"/>
      <c r="AH40" t="str">
        <f t="shared" si="30"/>
        <v>o</v>
      </c>
      <c r="AI40" t="str">
        <f t="shared" si="35"/>
        <v/>
      </c>
      <c r="AJ40" t="str">
        <f t="shared" si="36"/>
        <v/>
      </c>
      <c r="AK40" t="str">
        <f t="shared" si="31"/>
        <v/>
      </c>
      <c r="AL40" t="str">
        <f t="shared" si="32"/>
        <v/>
      </c>
      <c r="AM40" t="str">
        <f t="shared" si="37"/>
        <v/>
      </c>
      <c r="AN40" t="str">
        <f t="shared" si="38"/>
        <v/>
      </c>
      <c r="AO40" t="str">
        <f t="shared" si="39"/>
        <v/>
      </c>
      <c r="AP40" t="str">
        <f t="shared" si="40"/>
        <v/>
      </c>
      <c r="AQ40" t="str">
        <f t="shared" si="41"/>
        <v/>
      </c>
      <c r="AR40" t="str">
        <f t="shared" si="42"/>
        <v/>
      </c>
      <c r="AS40" t="str">
        <f t="shared" si="33"/>
        <v>Defensive</v>
      </c>
      <c r="BI40" s="40"/>
      <c r="BL40" s="40"/>
      <c r="BN40" s="19"/>
      <c r="BP40" s="17"/>
    </row>
    <row r="41" spans="1:68" x14ac:dyDescent="0.2">
      <c r="A41" t="str">
        <f t="shared" si="27"/>
        <v/>
      </c>
      <c r="E41" s="4"/>
      <c r="F41" s="45"/>
      <c r="G41" s="4"/>
      <c r="H41" s="48"/>
      <c r="J41" s="46" t="str">
        <f t="shared" si="34"/>
        <v/>
      </c>
      <c r="N41" t="str">
        <f t="shared" si="44"/>
        <v/>
      </c>
      <c r="Q41" t="str">
        <f t="shared" si="43"/>
        <v/>
      </c>
      <c r="S41" t="str">
        <f>IF(A41=1,MAX(S$2:S40)+1,IF(OR(I41&lt;&gt;"",A41="x"),S40,""))</f>
        <v/>
      </c>
      <c r="T41" t="str">
        <f>IF(D41=1,MAX($T$2:$T40)+1,IF(S41=$S40,$S40,IF($D41="x",T40,IF($D40="x","",""))))</f>
        <v/>
      </c>
      <c r="U41" t="str">
        <f>IF(B41=1,MAX($U$2:$U40)+1,IF(AND($T41&lt;&gt;"",$T41=$T40),$U40,IF(B41="x",U40,"")))</f>
        <v/>
      </c>
      <c r="V41" t="str">
        <f>IF(C41=1,MAX($V$2:$V40)+1,IF(AND($T41&lt;&gt;"",$T41=$T40),$U40,IF(C41="x",V40,"")))</f>
        <v/>
      </c>
      <c r="W41" t="str" cm="1">
        <f t="array" ref="W41">IFERROR(_xlfn._xlws.FILTER(game_rosters!AB:AB,(game_rosters!J:J=events!X41)*(K41&lt;&gt;"")),"")</f>
        <v/>
      </c>
      <c r="X41" t="str" cm="1">
        <f t="array" ref="X41">IF(S41="","",IF($I41&lt;&gt;"",$I41,INDEX($I$2:$I40,ROW()-COUNTIFS($T$2:$T40,"="&amp;$T41,$S$2:$S40,"&lt;&gt;"&amp;$S41)-1)))</f>
        <v/>
      </c>
      <c r="Z41" s="6"/>
      <c r="AH41" t="str">
        <f t="shared" si="30"/>
        <v>o</v>
      </c>
      <c r="AI41" t="str">
        <f t="shared" si="35"/>
        <v/>
      </c>
      <c r="AJ41" t="str">
        <f t="shared" si="36"/>
        <v/>
      </c>
      <c r="AK41" t="str">
        <f t="shared" si="31"/>
        <v/>
      </c>
      <c r="AL41" t="str">
        <f t="shared" si="32"/>
        <v/>
      </c>
      <c r="AM41" t="str">
        <f t="shared" si="37"/>
        <v/>
      </c>
      <c r="AN41" t="str">
        <f t="shared" si="38"/>
        <v/>
      </c>
      <c r="AO41" t="str">
        <f t="shared" si="39"/>
        <v/>
      </c>
      <c r="AP41" t="str">
        <f t="shared" si="40"/>
        <v/>
      </c>
      <c r="AQ41" t="str">
        <f t="shared" si="41"/>
        <v/>
      </c>
      <c r="AR41" t="str">
        <f t="shared" si="42"/>
        <v/>
      </c>
      <c r="AS41" t="str">
        <f t="shared" si="33"/>
        <v>Defensive</v>
      </c>
      <c r="BI41" s="40"/>
      <c r="BL41" s="40"/>
      <c r="BN41" s="19"/>
      <c r="BP41" s="17"/>
    </row>
    <row r="42" spans="1:68" x14ac:dyDescent="0.2">
      <c r="A42" t="str">
        <f t="shared" si="27"/>
        <v/>
      </c>
      <c r="E42" s="4"/>
      <c r="F42" s="45"/>
      <c r="G42" s="4"/>
      <c r="H42" s="48"/>
      <c r="J42" s="46" t="str">
        <f t="shared" si="34"/>
        <v/>
      </c>
      <c r="N42" t="str">
        <f t="shared" si="44"/>
        <v/>
      </c>
      <c r="Q42" t="str">
        <f t="shared" si="43"/>
        <v/>
      </c>
      <c r="S42" t="str">
        <f>IF(A42=1,MAX(S$2:S41)+1,IF(OR(I42&lt;&gt;"",A42="x"),S41,""))</f>
        <v/>
      </c>
      <c r="T42" t="str">
        <f>IF(D42=1,MAX($T$2:$T41)+1,IF(S42=$S41,$S41,IF($D42="x",T41,IF($D41="x","",""))))</f>
        <v/>
      </c>
      <c r="U42" t="str">
        <f>IF(B42=1,MAX($U$2:$U41)+1,IF(AND($T42&lt;&gt;"",$T42=$T41),$U41,IF(B42="x",U41,"")))</f>
        <v/>
      </c>
      <c r="V42" t="str">
        <f>IF(C42=1,MAX($V$2:$V41)+1,IF(AND($T42&lt;&gt;"",$T42=$T41),$U41,IF(C42="x",V41,"")))</f>
        <v/>
      </c>
      <c r="W42" t="str" cm="1">
        <f t="array" ref="W42">IFERROR(_xlfn._xlws.FILTER(game_rosters!AB:AB,(game_rosters!J:J=events!X42)*(K42&lt;&gt;"")),"")</f>
        <v/>
      </c>
      <c r="X42" t="str" cm="1">
        <f t="array" ref="X42">IF(S42="","",IF($I42&lt;&gt;"",$I42,INDEX($I$2:$I41,ROW()-COUNTIFS($T$2:$T41,"="&amp;$T42,$S$2:$S41,"&lt;&gt;"&amp;$S42)-1)))</f>
        <v/>
      </c>
      <c r="Z42" s="6"/>
      <c r="AH42" t="str">
        <f t="shared" si="30"/>
        <v>o</v>
      </c>
      <c r="AI42" t="str">
        <f t="shared" si="35"/>
        <v/>
      </c>
      <c r="AJ42" t="str">
        <f t="shared" si="36"/>
        <v/>
      </c>
      <c r="AK42" t="str">
        <f t="shared" si="31"/>
        <v/>
      </c>
      <c r="AL42" t="str">
        <f t="shared" si="32"/>
        <v/>
      </c>
      <c r="AM42" t="str">
        <f t="shared" si="37"/>
        <v/>
      </c>
      <c r="AN42" t="str">
        <f t="shared" si="38"/>
        <v/>
      </c>
      <c r="AO42" t="str">
        <f t="shared" si="39"/>
        <v/>
      </c>
      <c r="AP42" t="str">
        <f t="shared" si="40"/>
        <v/>
      </c>
      <c r="AQ42" t="str">
        <f t="shared" si="41"/>
        <v/>
      </c>
      <c r="AR42" t="str">
        <f t="shared" si="42"/>
        <v/>
      </c>
      <c r="AS42" t="str">
        <f t="shared" si="33"/>
        <v>Defensive</v>
      </c>
      <c r="BI42" s="40"/>
      <c r="BL42" s="40"/>
      <c r="BN42" s="19"/>
      <c r="BP42" s="17"/>
    </row>
    <row r="43" spans="1:68" x14ac:dyDescent="0.2">
      <c r="A43" t="str">
        <f t="shared" si="27"/>
        <v/>
      </c>
      <c r="E43" s="4"/>
      <c r="F43" s="45"/>
      <c r="G43" s="4"/>
      <c r="H43" s="48"/>
      <c r="J43" s="46" t="str">
        <f t="shared" si="34"/>
        <v/>
      </c>
      <c r="N43" t="str">
        <f t="shared" si="44"/>
        <v/>
      </c>
      <c r="Q43" t="str">
        <f t="shared" si="43"/>
        <v/>
      </c>
      <c r="S43" t="str">
        <f>IF(A43=1,MAX(S$2:S42)+1,IF(OR(I43&lt;&gt;"",A43="x"),S42,""))</f>
        <v/>
      </c>
      <c r="T43" t="str">
        <f>IF(D43=1,MAX($T$2:$T42)+1,IF(S43=$S42,$S42,IF($D43="x",T42,IF($D42="x","",""))))</f>
        <v/>
      </c>
      <c r="U43" t="str">
        <f>IF(B43=1,MAX($U$2:$U42)+1,IF(AND($T43&lt;&gt;"",$T43=$T42),$U42,IF(B43="x",U42,"")))</f>
        <v/>
      </c>
      <c r="V43" t="str">
        <f>IF(C43=1,MAX($V$2:$V42)+1,IF(AND($T43&lt;&gt;"",$T43=$T42),$U42,IF(C43="x",V42,"")))</f>
        <v/>
      </c>
      <c r="W43" t="str" cm="1">
        <f t="array" ref="W43">IFERROR(_xlfn._xlws.FILTER(game_rosters!AB:AB,(game_rosters!J:J=events!X43)*(K43&lt;&gt;"")),"")</f>
        <v/>
      </c>
      <c r="X43" t="str" cm="1">
        <f t="array" ref="X43">IF(S43="","",IF($I43&lt;&gt;"",$I43,INDEX($I$2:$I42,ROW()-COUNTIFS($T$2:$T42,"="&amp;$T43,$S$2:$S42,"&lt;&gt;"&amp;$S43)-1)))</f>
        <v/>
      </c>
      <c r="Z43" s="6"/>
      <c r="AH43" t="str">
        <f t="shared" si="30"/>
        <v>o</v>
      </c>
      <c r="AI43" t="str">
        <f t="shared" si="35"/>
        <v/>
      </c>
      <c r="AJ43" t="str">
        <f t="shared" si="36"/>
        <v/>
      </c>
      <c r="AK43" t="str">
        <f t="shared" si="31"/>
        <v/>
      </c>
      <c r="AL43" t="str">
        <f t="shared" si="32"/>
        <v/>
      </c>
      <c r="AM43" t="str">
        <f t="shared" si="37"/>
        <v/>
      </c>
      <c r="AN43" t="str">
        <f t="shared" si="38"/>
        <v/>
      </c>
      <c r="AO43" t="str">
        <f t="shared" si="39"/>
        <v/>
      </c>
      <c r="AP43" t="str">
        <f t="shared" si="40"/>
        <v/>
      </c>
      <c r="AQ43" t="str">
        <f t="shared" si="41"/>
        <v/>
      </c>
      <c r="AR43" t="str">
        <f t="shared" si="42"/>
        <v/>
      </c>
      <c r="AS43" t="str">
        <f t="shared" si="33"/>
        <v>Defensive</v>
      </c>
      <c r="BI43" s="40"/>
      <c r="BL43" s="40"/>
      <c r="BN43" s="19"/>
      <c r="BP43" s="17"/>
    </row>
    <row r="44" spans="1:68" x14ac:dyDescent="0.2">
      <c r="A44" t="str">
        <f t="shared" si="27"/>
        <v/>
      </c>
      <c r="E44" s="4"/>
      <c r="F44" s="45"/>
      <c r="G44" s="4"/>
      <c r="H44" s="48"/>
      <c r="J44" s="46" t="str">
        <f t="shared" si="34"/>
        <v/>
      </c>
      <c r="N44" t="str">
        <f t="shared" si="44"/>
        <v/>
      </c>
      <c r="Q44" t="str">
        <f t="shared" si="43"/>
        <v/>
      </c>
      <c r="S44" t="str">
        <f>IF(A44=1,MAX(S$2:S43)+1,IF(OR(I44&lt;&gt;"",A44="x"),S43,""))</f>
        <v/>
      </c>
      <c r="T44" t="str">
        <f>IF(D44=1,MAX($T$2:$T43)+1,IF(S44=$S43,$S43,IF($D44="x",T43,IF($D43="x","",""))))</f>
        <v/>
      </c>
      <c r="U44" t="str">
        <f>IF(B44=1,MAX($U$2:$U43)+1,IF(AND($T44&lt;&gt;"",$T44=$T43),$U43,IF(B44="x",U43,"")))</f>
        <v/>
      </c>
      <c r="V44" t="str">
        <f>IF(C44=1,MAX($V$2:$V43)+1,IF(AND($T44&lt;&gt;"",$T44=$T43),$U43,IF(C44="x",V43,"")))</f>
        <v/>
      </c>
      <c r="W44" t="str" cm="1">
        <f t="array" ref="W44">IFERROR(_xlfn._xlws.FILTER(game_rosters!AB:AB,(game_rosters!J:J=events!X44)*(K44&lt;&gt;"")),"")</f>
        <v/>
      </c>
      <c r="X44" t="str" cm="1">
        <f t="array" ref="X44">IF(S44="","",IF($I44&lt;&gt;"",$I44,INDEX($I$2:$I43,ROW()-COUNTIFS($T$2:$T43,"="&amp;$T44,$S$2:$S43,"&lt;&gt;"&amp;$S44)-1)))</f>
        <v/>
      </c>
      <c r="Z44" s="6"/>
      <c r="AH44" t="str">
        <f t="shared" si="30"/>
        <v>o</v>
      </c>
      <c r="AI44" t="str">
        <f t="shared" si="35"/>
        <v/>
      </c>
      <c r="AJ44" t="str">
        <f t="shared" si="36"/>
        <v/>
      </c>
      <c r="AK44" t="str">
        <f t="shared" si="31"/>
        <v/>
      </c>
      <c r="AL44" t="str">
        <f t="shared" si="32"/>
        <v/>
      </c>
      <c r="AM44" t="str">
        <f t="shared" si="37"/>
        <v/>
      </c>
      <c r="AN44" t="str">
        <f t="shared" si="38"/>
        <v/>
      </c>
      <c r="AO44" t="str">
        <f t="shared" si="39"/>
        <v/>
      </c>
      <c r="AP44" t="str">
        <f t="shared" si="40"/>
        <v/>
      </c>
      <c r="AQ44" t="str">
        <f t="shared" si="41"/>
        <v/>
      </c>
      <c r="AR44" t="str">
        <f t="shared" si="42"/>
        <v/>
      </c>
      <c r="AS44" t="str">
        <f t="shared" si="33"/>
        <v>Defensive</v>
      </c>
      <c r="BI44" s="40"/>
      <c r="BL44" s="40"/>
      <c r="BN44" s="19"/>
      <c r="BP44" s="17"/>
    </row>
    <row r="45" spans="1:68" x14ac:dyDescent="0.2">
      <c r="A45" t="str">
        <f t="shared" si="27"/>
        <v/>
      </c>
      <c r="E45" s="4"/>
      <c r="F45" s="45"/>
      <c r="G45" s="4"/>
      <c r="H45" s="48"/>
      <c r="J45" s="46" t="str">
        <f t="shared" si="34"/>
        <v/>
      </c>
      <c r="N45" t="str">
        <f t="shared" si="44"/>
        <v/>
      </c>
      <c r="Q45" t="str">
        <f t="shared" si="43"/>
        <v/>
      </c>
      <c r="S45" t="str">
        <f>IF(A45=1,MAX(S$2:S44)+1,IF(OR(I45&lt;&gt;"",A45="x"),S44,""))</f>
        <v/>
      </c>
      <c r="T45" t="str">
        <f>IF(D45=1,MAX($T$2:$T44)+1,IF(S45=$S44,$S44,IF($D45="x",T44,IF($D44="x","",""))))</f>
        <v/>
      </c>
      <c r="U45" t="str">
        <f>IF(B45=1,MAX($U$2:$U44)+1,IF(AND($T45&lt;&gt;"",$T45=$T44),$U44,IF(B45="x",U44,"")))</f>
        <v/>
      </c>
      <c r="V45" t="str">
        <f>IF(C45=1,MAX($V$2:$V44)+1,IF(AND($T45&lt;&gt;"",$T45=$T44),$U44,IF(C45="x",V44,"")))</f>
        <v/>
      </c>
      <c r="W45" t="str" cm="1">
        <f t="array" ref="W45">IFERROR(_xlfn._xlws.FILTER(game_rosters!AB:AB,(game_rosters!J:J=events!X45)*(K45&lt;&gt;"")),"")</f>
        <v/>
      </c>
      <c r="X45" t="str" cm="1">
        <f t="array" ref="X45">IF(S45="","",IF($I45&lt;&gt;"",$I45,INDEX($I$2:$I44,ROW()-COUNTIFS($T$2:$T44,"="&amp;$T45,$S$2:$S44,"&lt;&gt;"&amp;$S45)-1)))</f>
        <v/>
      </c>
      <c r="Z45" s="6"/>
      <c r="AH45" t="str">
        <f t="shared" si="30"/>
        <v>o</v>
      </c>
      <c r="AI45" t="str">
        <f t="shared" si="35"/>
        <v/>
      </c>
      <c r="AJ45" t="str">
        <f t="shared" si="36"/>
        <v/>
      </c>
      <c r="AK45" t="str">
        <f t="shared" si="31"/>
        <v/>
      </c>
      <c r="AL45" t="str">
        <f t="shared" si="32"/>
        <v/>
      </c>
      <c r="AM45" t="str">
        <f t="shared" si="37"/>
        <v/>
      </c>
      <c r="AN45" t="str">
        <f t="shared" si="38"/>
        <v/>
      </c>
      <c r="AO45" t="str">
        <f t="shared" si="39"/>
        <v/>
      </c>
      <c r="AP45" t="str">
        <f t="shared" si="40"/>
        <v/>
      </c>
      <c r="AQ45" t="str">
        <f t="shared" si="41"/>
        <v/>
      </c>
      <c r="AR45" t="str">
        <f t="shared" si="42"/>
        <v/>
      </c>
      <c r="AS45" t="str">
        <f t="shared" si="33"/>
        <v>Defensive</v>
      </c>
      <c r="BI45" s="40"/>
      <c r="BL45" s="40"/>
      <c r="BN45" s="19"/>
      <c r="BP45" s="17"/>
    </row>
    <row r="46" spans="1:68" x14ac:dyDescent="0.2">
      <c r="A46" t="str">
        <f t="shared" si="27"/>
        <v/>
      </c>
      <c r="E46" s="4"/>
      <c r="F46" s="45"/>
      <c r="G46" s="4"/>
      <c r="H46" s="48"/>
      <c r="J46" s="46" t="str">
        <f t="shared" si="34"/>
        <v/>
      </c>
      <c r="N46" t="str">
        <f t="shared" si="44"/>
        <v/>
      </c>
      <c r="Q46" t="str">
        <f t="shared" si="43"/>
        <v/>
      </c>
      <c r="S46" t="str">
        <f>IF(A46=1,MAX(S$2:S45)+1,IF(OR(I46&lt;&gt;"",A46="x"),S45,""))</f>
        <v/>
      </c>
      <c r="T46" t="str">
        <f>IF(D46=1,MAX($T$2:$T45)+1,IF(S46=$S45,$S45,IF($D46="x",T45,IF($D45="x","",""))))</f>
        <v/>
      </c>
      <c r="U46" t="str">
        <f>IF(B46=1,MAX($U$2:$U45)+1,IF(AND($T46&lt;&gt;"",$T46=$T45),$U45,IF(B46="x",U45,"")))</f>
        <v/>
      </c>
      <c r="V46" t="str">
        <f>IF(C46=1,MAX($V$2:$V45)+1,IF(AND($T46&lt;&gt;"",$T46=$T45),$U45,IF(C46="x",V45,"")))</f>
        <v/>
      </c>
      <c r="W46" t="str" cm="1">
        <f t="array" ref="W46">IFERROR(_xlfn._xlws.FILTER(game_rosters!AB:AB,(game_rosters!J:J=events!X46)*(K46&lt;&gt;"")),"")</f>
        <v/>
      </c>
      <c r="X46" t="str" cm="1">
        <f t="array" ref="X46">IF(S46="","",IF($I46&lt;&gt;"",$I46,INDEX($I$2:$I45,ROW()-COUNTIFS($T$2:$T45,"="&amp;$T46,$S$2:$S45,"&lt;&gt;"&amp;$S46)-1)))</f>
        <v/>
      </c>
      <c r="Z46" s="6"/>
      <c r="AH46" t="str">
        <f t="shared" si="30"/>
        <v>o</v>
      </c>
      <c r="AI46" t="str">
        <f t="shared" si="35"/>
        <v/>
      </c>
      <c r="AJ46" t="str">
        <f t="shared" si="36"/>
        <v/>
      </c>
      <c r="AK46" t="str">
        <f t="shared" si="31"/>
        <v/>
      </c>
      <c r="AL46" t="str">
        <f t="shared" si="32"/>
        <v/>
      </c>
      <c r="AM46" t="str">
        <f t="shared" si="37"/>
        <v/>
      </c>
      <c r="AN46" t="str">
        <f t="shared" si="38"/>
        <v/>
      </c>
      <c r="AO46" t="str">
        <f t="shared" si="39"/>
        <v/>
      </c>
      <c r="AP46" t="str">
        <f t="shared" si="40"/>
        <v/>
      </c>
      <c r="AQ46" t="str">
        <f t="shared" si="41"/>
        <v/>
      </c>
      <c r="AR46" t="str">
        <f t="shared" si="42"/>
        <v/>
      </c>
      <c r="AS46" t="str">
        <f t="shared" si="33"/>
        <v>Defensive</v>
      </c>
      <c r="BI46" s="40"/>
      <c r="BL46" s="40"/>
      <c r="BN46" s="19"/>
      <c r="BP46" s="17"/>
    </row>
    <row r="47" spans="1:68" x14ac:dyDescent="0.2">
      <c r="A47" t="str">
        <f t="shared" si="27"/>
        <v/>
      </c>
      <c r="E47" s="4"/>
      <c r="F47" s="45"/>
      <c r="G47" s="4"/>
      <c r="H47" s="48"/>
      <c r="J47" s="46" t="str">
        <f t="shared" si="34"/>
        <v/>
      </c>
      <c r="N47" t="str">
        <f t="shared" si="44"/>
        <v/>
      </c>
      <c r="Q47" t="str">
        <f t="shared" si="43"/>
        <v/>
      </c>
      <c r="S47" t="str">
        <f>IF(A47=1,MAX(S$2:S46)+1,IF(OR(I47&lt;&gt;"",A47="x"),S46,""))</f>
        <v/>
      </c>
      <c r="T47" t="str">
        <f>IF(D47=1,MAX($T$2:$T46)+1,IF(S47=$S46,$S46,IF($D47="x",T46,IF($D46="x","",""))))</f>
        <v/>
      </c>
      <c r="U47" t="str">
        <f>IF(B47=1,MAX($U$2:$U46)+1,IF(AND($T47&lt;&gt;"",$T47=$T46),$U46,IF(B47="x",U46,"")))</f>
        <v/>
      </c>
      <c r="V47" t="str">
        <f>IF(C47=1,MAX($V$2:$V46)+1,IF(AND($T47&lt;&gt;"",$T47=$T46),$U46,IF(C47="x",V46,"")))</f>
        <v/>
      </c>
      <c r="W47" t="str" cm="1">
        <f t="array" ref="W47">IFERROR(_xlfn._xlws.FILTER(game_rosters!AB:AB,(game_rosters!J:J=events!X47)*(K47&lt;&gt;"")),"")</f>
        <v/>
      </c>
      <c r="X47" t="str" cm="1">
        <f t="array" ref="X47">IF(S47="","",IF($I47&lt;&gt;"",$I47,INDEX($I$2:$I46,ROW()-COUNTIFS($T$2:$T46,"="&amp;$T47,$S$2:$S46,"&lt;&gt;"&amp;$S47)-1)))</f>
        <v/>
      </c>
      <c r="Z47" s="6"/>
      <c r="AH47" t="str">
        <f t="shared" si="30"/>
        <v>o</v>
      </c>
      <c r="AI47" t="str">
        <f t="shared" si="35"/>
        <v/>
      </c>
      <c r="AJ47" t="str">
        <f t="shared" si="36"/>
        <v/>
      </c>
      <c r="AK47" t="str">
        <f t="shared" si="31"/>
        <v/>
      </c>
      <c r="AL47" t="str">
        <f t="shared" si="32"/>
        <v/>
      </c>
      <c r="AM47" t="str">
        <f t="shared" si="37"/>
        <v/>
      </c>
      <c r="AN47" t="str">
        <f t="shared" si="38"/>
        <v/>
      </c>
      <c r="AO47" t="str">
        <f t="shared" si="39"/>
        <v/>
      </c>
      <c r="AP47" t="str">
        <f t="shared" si="40"/>
        <v/>
      </c>
      <c r="AQ47" t="str">
        <f t="shared" si="41"/>
        <v/>
      </c>
      <c r="AR47" t="str">
        <f t="shared" si="42"/>
        <v/>
      </c>
      <c r="AS47" t="str">
        <f t="shared" si="33"/>
        <v>Defensive</v>
      </c>
      <c r="BI47" s="40"/>
      <c r="BL47" s="40"/>
      <c r="BN47" s="19"/>
      <c r="BP47" s="17"/>
    </row>
    <row r="48" spans="1:68" x14ac:dyDescent="0.2">
      <c r="A48" t="str">
        <f t="shared" si="27"/>
        <v/>
      </c>
      <c r="E48" s="4"/>
      <c r="F48" s="45"/>
      <c r="G48" s="4"/>
      <c r="H48" s="48"/>
      <c r="J48" s="46" t="str">
        <f t="shared" si="34"/>
        <v/>
      </c>
      <c r="N48" t="str">
        <f t="shared" si="44"/>
        <v/>
      </c>
      <c r="Q48" t="str">
        <f t="shared" si="43"/>
        <v/>
      </c>
      <c r="S48" t="str">
        <f>IF(A48=1,MAX(S$2:S47)+1,IF(OR(I48&lt;&gt;"",A48="x"),S47,""))</f>
        <v/>
      </c>
      <c r="T48" t="str">
        <f>IF(D48=1,MAX($T$2:$T47)+1,IF(S48=$S47,$S47,IF($D48="x",T47,IF($D47="x","",""))))</f>
        <v/>
      </c>
      <c r="U48" t="str">
        <f>IF(B48=1,MAX($U$2:$U47)+1,IF(AND($T48&lt;&gt;"",$T48=$T47),$U47,IF(B48="x",U47,"")))</f>
        <v/>
      </c>
      <c r="V48" t="str">
        <f>IF(C48=1,MAX($V$2:$V47)+1,IF(AND($T48&lt;&gt;"",$T48=$T47),$U47,IF(C48="x",V47,"")))</f>
        <v/>
      </c>
      <c r="W48" t="str" cm="1">
        <f t="array" ref="W48">IFERROR(_xlfn._xlws.FILTER(game_rosters!AB:AB,(game_rosters!J:J=events!X48)*(K48&lt;&gt;"")),"")</f>
        <v/>
      </c>
      <c r="X48" t="str" cm="1">
        <f t="array" ref="X48">IF(S48="","",IF($I48&lt;&gt;"",$I48,INDEX($I$2:$I47,ROW()-COUNTIFS($T$2:$T47,"="&amp;$T48,$S$2:$S47,"&lt;&gt;"&amp;$S48)-1)))</f>
        <v/>
      </c>
      <c r="Z48" s="6"/>
      <c r="AH48" t="str">
        <f t="shared" si="30"/>
        <v>o</v>
      </c>
      <c r="AI48" t="str">
        <f t="shared" si="35"/>
        <v/>
      </c>
      <c r="AJ48" t="str">
        <f t="shared" si="36"/>
        <v/>
      </c>
      <c r="AK48" t="str">
        <f t="shared" si="31"/>
        <v/>
      </c>
      <c r="AL48" t="str">
        <f t="shared" si="32"/>
        <v/>
      </c>
      <c r="AM48" t="str">
        <f t="shared" si="37"/>
        <v/>
      </c>
      <c r="AN48" t="str">
        <f t="shared" si="38"/>
        <v/>
      </c>
      <c r="AO48" t="str">
        <f t="shared" si="39"/>
        <v/>
      </c>
      <c r="AP48" t="str">
        <f t="shared" si="40"/>
        <v/>
      </c>
      <c r="AQ48" t="str">
        <f t="shared" si="41"/>
        <v/>
      </c>
      <c r="AR48" t="str">
        <f t="shared" si="42"/>
        <v/>
      </c>
      <c r="AS48" t="str">
        <f t="shared" si="33"/>
        <v>Defensive</v>
      </c>
      <c r="BI48" s="40"/>
      <c r="BL48" s="40"/>
      <c r="BN48" s="19"/>
      <c r="BP48" s="17"/>
    </row>
    <row r="49" spans="1:68" x14ac:dyDescent="0.2">
      <c r="A49" t="str">
        <f t="shared" si="27"/>
        <v/>
      </c>
      <c r="E49" s="4"/>
      <c r="F49" s="45"/>
      <c r="G49" s="4"/>
      <c r="H49" s="48"/>
      <c r="J49" s="46" t="str">
        <f t="shared" si="34"/>
        <v/>
      </c>
      <c r="N49" t="str">
        <f t="shared" si="44"/>
        <v/>
      </c>
      <c r="Q49" t="str">
        <f t="shared" si="43"/>
        <v/>
      </c>
      <c r="S49" t="str">
        <f>IF(A49=1,MAX(S$2:S48)+1,IF(OR(I49&lt;&gt;"",A49="x"),S48,""))</f>
        <v/>
      </c>
      <c r="T49" t="str">
        <f>IF(D49=1,MAX($T$2:$T48)+1,IF(S49=$S48,$S48,IF($D49="x",T48,IF($D48="x","",""))))</f>
        <v/>
      </c>
      <c r="U49" t="str">
        <f>IF(B49=1,MAX($U$2:$U48)+1,IF(AND($T49&lt;&gt;"",$T49=$T48),$U48,IF(B49="x",U48,"")))</f>
        <v/>
      </c>
      <c r="V49" t="str">
        <f>IF(C49=1,MAX($V$2:$V48)+1,IF(AND($T49&lt;&gt;"",$T49=$T48),$U48,IF(C49="x",V48,"")))</f>
        <v/>
      </c>
      <c r="W49" t="str" cm="1">
        <f t="array" ref="W49">IFERROR(_xlfn._xlws.FILTER(game_rosters!AB:AB,(game_rosters!J:J=events!X49)*(K49&lt;&gt;"")),"")</f>
        <v/>
      </c>
      <c r="X49" t="str" cm="1">
        <f t="array" ref="X49">IF(S49="","",IF($I49&lt;&gt;"",$I49,INDEX($I$2:$I48,ROW()-COUNTIFS($T$2:$T48,"="&amp;$T49,$S$2:$S48,"&lt;&gt;"&amp;$S49)-1)))</f>
        <v/>
      </c>
      <c r="Z49" s="6"/>
      <c r="AH49" t="str">
        <f t="shared" si="30"/>
        <v>o</v>
      </c>
      <c r="AI49" t="str">
        <f t="shared" si="35"/>
        <v/>
      </c>
      <c r="AJ49" t="str">
        <f t="shared" si="36"/>
        <v/>
      </c>
      <c r="AK49" t="str">
        <f t="shared" si="31"/>
        <v/>
      </c>
      <c r="AL49" t="str">
        <f t="shared" si="32"/>
        <v/>
      </c>
      <c r="AM49" t="str">
        <f t="shared" si="37"/>
        <v/>
      </c>
      <c r="AN49" t="str">
        <f t="shared" si="38"/>
        <v/>
      </c>
      <c r="AO49" t="str">
        <f t="shared" si="39"/>
        <v/>
      </c>
      <c r="AP49" t="str">
        <f t="shared" si="40"/>
        <v/>
      </c>
      <c r="AQ49" t="str">
        <f t="shared" si="41"/>
        <v/>
      </c>
      <c r="AR49" t="str">
        <f t="shared" si="42"/>
        <v/>
      </c>
      <c r="AS49" t="str">
        <f t="shared" si="33"/>
        <v>Defensive</v>
      </c>
      <c r="BI49" s="40"/>
      <c r="BL49" s="40"/>
      <c r="BN49" s="19"/>
      <c r="BP49" s="17"/>
    </row>
    <row r="50" spans="1:68" x14ac:dyDescent="0.2">
      <c r="A50" t="str">
        <f t="shared" si="27"/>
        <v/>
      </c>
      <c r="E50" s="4"/>
      <c r="F50" s="45"/>
      <c r="G50" s="4"/>
      <c r="H50" s="48"/>
      <c r="J50" s="46" t="str">
        <f t="shared" si="34"/>
        <v/>
      </c>
      <c r="N50" t="str">
        <f t="shared" si="44"/>
        <v/>
      </c>
      <c r="Q50" t="str">
        <f t="shared" si="43"/>
        <v/>
      </c>
      <c r="S50" t="str">
        <f>IF(A50=1,MAX(S$2:S49)+1,IF(OR(I50&lt;&gt;"",A50="x"),S49,""))</f>
        <v/>
      </c>
      <c r="T50" t="str">
        <f>IF(D50=1,MAX($T$2:$T49)+1,IF(S50=$S49,$S49,IF($D50="x",T49,IF($D49="x","",""))))</f>
        <v/>
      </c>
      <c r="U50" t="str">
        <f>IF(B50=1,MAX($U$2:$U49)+1,IF(AND($T50&lt;&gt;"",$T50=$T49),$U49,IF(B50="x",U49,"")))</f>
        <v/>
      </c>
      <c r="V50" t="str">
        <f>IF(C50=1,MAX($V$2:$V49)+1,IF(AND($T50&lt;&gt;"",$T50=$T49),$U49,IF(C50="x",V49,"")))</f>
        <v/>
      </c>
      <c r="W50" t="str" cm="1">
        <f t="array" ref="W50">IFERROR(_xlfn._xlws.FILTER(game_rosters!AB:AB,(game_rosters!J:J=events!X50)*(K50&lt;&gt;"")),"")</f>
        <v/>
      </c>
      <c r="X50" t="str" cm="1">
        <f t="array" ref="X50">IF(S50="","",IF($I50&lt;&gt;"",$I50,INDEX($I$2:$I49,ROW()-COUNTIFS($T$2:$T49,"="&amp;$T50,$S$2:$S49,"&lt;&gt;"&amp;$S50)-1)))</f>
        <v/>
      </c>
      <c r="Z50" s="6"/>
      <c r="AH50" t="str">
        <f t="shared" si="30"/>
        <v>o</v>
      </c>
      <c r="AI50" t="str">
        <f t="shared" si="35"/>
        <v/>
      </c>
      <c r="AJ50" t="str">
        <f t="shared" si="36"/>
        <v/>
      </c>
      <c r="AK50" t="str">
        <f t="shared" si="31"/>
        <v/>
      </c>
      <c r="AL50" t="str">
        <f t="shared" si="32"/>
        <v/>
      </c>
      <c r="AM50" t="str">
        <f t="shared" si="37"/>
        <v/>
      </c>
      <c r="AN50" t="str">
        <f t="shared" si="38"/>
        <v/>
      </c>
      <c r="AO50" t="str">
        <f t="shared" si="39"/>
        <v/>
      </c>
      <c r="AP50" t="str">
        <f t="shared" si="40"/>
        <v/>
      </c>
      <c r="AQ50" t="str">
        <f t="shared" si="41"/>
        <v/>
      </c>
      <c r="AR50" t="str">
        <f t="shared" si="42"/>
        <v/>
      </c>
      <c r="AS50" t="str">
        <f t="shared" si="33"/>
        <v>Defensive</v>
      </c>
      <c r="BI50" s="40"/>
      <c r="BL50" s="40"/>
      <c r="BN50" s="19"/>
      <c r="BP50" s="17"/>
    </row>
    <row r="51" spans="1:68" x14ac:dyDescent="0.2">
      <c r="A51" t="str">
        <f t="shared" si="27"/>
        <v/>
      </c>
      <c r="E51" s="4"/>
      <c r="F51" s="45"/>
      <c r="G51" s="4"/>
      <c r="H51" s="48"/>
      <c r="J51" s="46" t="str">
        <f t="shared" si="34"/>
        <v/>
      </c>
      <c r="N51" t="str">
        <f t="shared" si="44"/>
        <v/>
      </c>
      <c r="Q51" t="str">
        <f t="shared" si="43"/>
        <v/>
      </c>
      <c r="S51" t="str">
        <f>IF(A51=1,MAX(S$2:S50)+1,IF(OR(I51&lt;&gt;"",A51="x"),S50,""))</f>
        <v/>
      </c>
      <c r="T51" t="str">
        <f>IF(D51=1,MAX($T$2:$T50)+1,IF(S51=$S50,$S50,IF($D51="x",T50,IF($D50="x","",""))))</f>
        <v/>
      </c>
      <c r="U51" t="str">
        <f>IF(B51=1,MAX($U$2:$U50)+1,IF(AND($T51&lt;&gt;"",$T51=$T50),$U50,IF(B51="x",U50,"")))</f>
        <v/>
      </c>
      <c r="V51" t="str">
        <f>IF(C51=1,MAX($V$2:$V50)+1,IF(AND($T51&lt;&gt;"",$T51=$T50),$U50,IF(C51="x",V50,"")))</f>
        <v/>
      </c>
      <c r="W51" t="str" cm="1">
        <f t="array" ref="W51">IFERROR(_xlfn._xlws.FILTER(game_rosters!AB:AB,(game_rosters!J:J=events!X51)*(K51&lt;&gt;"")),"")</f>
        <v/>
      </c>
      <c r="X51" t="str" cm="1">
        <f t="array" ref="X51">IF(S51="","",IF($I51&lt;&gt;"",$I51,INDEX($I$2:$I50,ROW()-COUNTIFS($T$2:$T50,"="&amp;$T51,$S$2:$S50,"&lt;&gt;"&amp;$S51)-1)))</f>
        <v/>
      </c>
      <c r="Z51" s="6"/>
      <c r="AH51" t="str">
        <f t="shared" si="30"/>
        <v>o</v>
      </c>
      <c r="AI51" t="str">
        <f t="shared" si="35"/>
        <v/>
      </c>
      <c r="AJ51" t="str">
        <f t="shared" si="36"/>
        <v/>
      </c>
      <c r="AK51" t="str">
        <f t="shared" si="31"/>
        <v/>
      </c>
      <c r="AL51" t="str">
        <f t="shared" si="32"/>
        <v/>
      </c>
      <c r="AM51" t="str">
        <f t="shared" si="37"/>
        <v/>
      </c>
      <c r="AN51" t="str">
        <f t="shared" si="38"/>
        <v/>
      </c>
      <c r="AO51" t="str">
        <f t="shared" si="39"/>
        <v/>
      </c>
      <c r="AP51" t="str">
        <f t="shared" si="40"/>
        <v/>
      </c>
      <c r="AQ51" t="str">
        <f t="shared" si="41"/>
        <v/>
      </c>
      <c r="AR51" t="str">
        <f t="shared" si="42"/>
        <v/>
      </c>
      <c r="AS51" t="str">
        <f t="shared" si="33"/>
        <v>Defensive</v>
      </c>
      <c r="BI51" s="40"/>
      <c r="BL51" s="40"/>
      <c r="BN51" s="19"/>
      <c r="BP51" s="17"/>
    </row>
    <row r="52" spans="1:68" x14ac:dyDescent="0.2">
      <c r="A52" t="str">
        <f t="shared" si="27"/>
        <v/>
      </c>
      <c r="E52" s="4"/>
      <c r="F52" s="45"/>
      <c r="G52" s="4"/>
      <c r="H52" s="48"/>
      <c r="J52" s="46" t="str">
        <f t="shared" si="34"/>
        <v/>
      </c>
      <c r="N52" t="str">
        <f t="shared" si="44"/>
        <v/>
      </c>
      <c r="Q52" t="str">
        <f t="shared" si="43"/>
        <v/>
      </c>
      <c r="S52" t="str">
        <f>IF(A52=1,MAX(S$2:S51)+1,IF(OR(I52&lt;&gt;"",A52="x"),S51,""))</f>
        <v/>
      </c>
      <c r="T52" t="str">
        <f>IF(D52=1,MAX($T$2:$T51)+1,IF(S52=$S51,$S51,IF($D52="x",T51,IF($D51="x","",""))))</f>
        <v/>
      </c>
      <c r="U52" t="str">
        <f>IF(B52=1,MAX($U$2:$U51)+1,IF(AND($T52&lt;&gt;"",$T52=$T51),$U51,IF(B52="x",U51,"")))</f>
        <v/>
      </c>
      <c r="V52" t="str">
        <f>IF(C52=1,MAX($V$2:$V51)+1,IF(AND($T52&lt;&gt;"",$T52=$T51),$U51,IF(C52="x",V51,"")))</f>
        <v/>
      </c>
      <c r="W52" t="str" cm="1">
        <f t="array" ref="W52">IFERROR(_xlfn._xlws.FILTER(game_rosters!AB:AB,(game_rosters!J:J=events!X52)*(K52&lt;&gt;"")),"")</f>
        <v/>
      </c>
      <c r="X52" t="str" cm="1">
        <f t="array" ref="X52">IF(S52="","",IF($I52&lt;&gt;"",$I52,INDEX($I$2:$I51,ROW()-COUNTIFS($T$2:$T51,"="&amp;$T52,$S$2:$S51,"&lt;&gt;"&amp;$S52)-1)))</f>
        <v/>
      </c>
      <c r="Z52" s="6"/>
      <c r="AH52" t="str">
        <f t="shared" si="30"/>
        <v>o</v>
      </c>
      <c r="AI52" t="str">
        <f t="shared" si="35"/>
        <v/>
      </c>
      <c r="AJ52" t="str">
        <f t="shared" si="36"/>
        <v/>
      </c>
      <c r="AK52" t="str">
        <f t="shared" si="31"/>
        <v/>
      </c>
      <c r="AL52" t="str">
        <f t="shared" si="32"/>
        <v/>
      </c>
      <c r="AM52" t="str">
        <f t="shared" si="37"/>
        <v/>
      </c>
      <c r="AN52" t="str">
        <f t="shared" si="38"/>
        <v/>
      </c>
      <c r="AO52" t="str">
        <f t="shared" si="39"/>
        <v/>
      </c>
      <c r="AP52" t="str">
        <f t="shared" si="40"/>
        <v/>
      </c>
      <c r="AQ52" t="str">
        <f t="shared" si="41"/>
        <v/>
      </c>
      <c r="AR52" t="str">
        <f t="shared" si="42"/>
        <v/>
      </c>
      <c r="AS52" t="str">
        <f t="shared" si="33"/>
        <v>Defensive</v>
      </c>
      <c r="BI52" s="40"/>
      <c r="BL52" s="40"/>
      <c r="BN52" s="19"/>
      <c r="BP52" s="17"/>
    </row>
    <row r="53" spans="1:68" x14ac:dyDescent="0.2">
      <c r="A53" t="str">
        <f t="shared" si="27"/>
        <v/>
      </c>
      <c r="E53" s="4"/>
      <c r="F53" s="45"/>
      <c r="G53" s="4"/>
      <c r="H53" s="48"/>
      <c r="J53" s="46" t="str">
        <f t="shared" si="34"/>
        <v/>
      </c>
      <c r="N53" t="str">
        <f t="shared" si="44"/>
        <v/>
      </c>
      <c r="Q53" t="str">
        <f t="shared" si="43"/>
        <v/>
      </c>
      <c r="S53" t="str">
        <f>IF(A53=1,MAX(S$2:S52)+1,IF(OR(I53&lt;&gt;"",A53="x"),S52,""))</f>
        <v/>
      </c>
      <c r="T53" t="str">
        <f>IF(D53=1,MAX($T$2:$T52)+1,IF(S53=$S52,$S52,IF($D53="x",T52,IF($D52="x","",""))))</f>
        <v/>
      </c>
      <c r="U53" t="str">
        <f>IF(B53=1,MAX($U$2:$U52)+1,IF(AND($T53&lt;&gt;"",$T53=$T52),$U52,IF(B53="x",U52,"")))</f>
        <v/>
      </c>
      <c r="V53" t="str">
        <f>IF(C53=1,MAX($V$2:$V52)+1,IF(AND($T53&lt;&gt;"",$T53=$T52),$U52,IF(C53="x",V52,"")))</f>
        <v/>
      </c>
      <c r="W53" t="str" cm="1">
        <f t="array" ref="W53">IFERROR(_xlfn._xlws.FILTER(game_rosters!AB:AB,(game_rosters!J:J=events!X53)*(K53&lt;&gt;"")),"")</f>
        <v/>
      </c>
      <c r="X53" t="str" cm="1">
        <f t="array" ref="X53">IF(S53="","",IF($I53&lt;&gt;"",$I53,INDEX($I$2:$I52,ROW()-COUNTIFS($T$2:$T52,"="&amp;$T53,$S$2:$S52,"&lt;&gt;"&amp;$S53)-1)))</f>
        <v/>
      </c>
      <c r="Z53" s="6"/>
      <c r="AH53" t="str">
        <f t="shared" si="30"/>
        <v>o</v>
      </c>
      <c r="AI53" t="str">
        <f t="shared" si="35"/>
        <v/>
      </c>
      <c r="AJ53" t="str">
        <f t="shared" si="36"/>
        <v/>
      </c>
      <c r="AK53" t="str">
        <f t="shared" si="31"/>
        <v/>
      </c>
      <c r="AL53" t="str">
        <f t="shared" si="32"/>
        <v/>
      </c>
      <c r="AM53" t="str">
        <f t="shared" si="37"/>
        <v/>
      </c>
      <c r="AN53" t="str">
        <f t="shared" si="38"/>
        <v/>
      </c>
      <c r="AO53" t="str">
        <f t="shared" si="39"/>
        <v/>
      </c>
      <c r="AP53" t="str">
        <f t="shared" si="40"/>
        <v/>
      </c>
      <c r="AQ53" t="str">
        <f t="shared" si="41"/>
        <v/>
      </c>
      <c r="AR53" t="str">
        <f t="shared" si="42"/>
        <v/>
      </c>
      <c r="AS53" t="str">
        <f t="shared" si="33"/>
        <v>Defensive</v>
      </c>
      <c r="BI53" s="40"/>
      <c r="BL53" s="40"/>
      <c r="BN53" s="19"/>
      <c r="BP53" s="17"/>
    </row>
    <row r="54" spans="1:68" x14ac:dyDescent="0.2">
      <c r="A54" t="str">
        <f t="shared" si="27"/>
        <v/>
      </c>
      <c r="E54" s="4"/>
      <c r="F54" s="45"/>
      <c r="G54" s="4"/>
      <c r="H54" s="48"/>
      <c r="J54" s="46" t="str">
        <f t="shared" si="34"/>
        <v/>
      </c>
      <c r="N54" t="str">
        <f t="shared" si="44"/>
        <v/>
      </c>
      <c r="Q54" t="str">
        <f t="shared" si="43"/>
        <v/>
      </c>
      <c r="S54" t="str">
        <f>IF(A54=1,MAX(S$2:S53)+1,IF(OR(I54&lt;&gt;"",A54="x"),S53,""))</f>
        <v/>
      </c>
      <c r="T54" t="str">
        <f>IF(D54=1,MAX($T$2:$T53)+1,IF(S54=$S53,$S53,IF($D54="x",T53,IF($D53="x","",""))))</f>
        <v/>
      </c>
      <c r="U54" t="str">
        <f>IF(B54=1,MAX($U$2:$U53)+1,IF(AND($T54&lt;&gt;"",$T54=$T53),$U53,IF(B54="x",U53,"")))</f>
        <v/>
      </c>
      <c r="V54" t="str">
        <f>IF(C54=1,MAX($V$2:$V53)+1,IF(AND($T54&lt;&gt;"",$T54=$T53),$U53,IF(C54="x",V53,"")))</f>
        <v/>
      </c>
      <c r="W54" t="str" cm="1">
        <f t="array" ref="W54">IFERROR(_xlfn._xlws.FILTER(game_rosters!AB:AB,(game_rosters!J:J=events!X54)*(K54&lt;&gt;"")),"")</f>
        <v/>
      </c>
      <c r="X54" t="str" cm="1">
        <f t="array" ref="X54">IF(S54="","",IF($I54&lt;&gt;"",$I54,INDEX($I$2:$I53,ROW()-COUNTIFS($T$2:$T53,"="&amp;$T54,$S$2:$S53,"&lt;&gt;"&amp;$S54)-1)))</f>
        <v/>
      </c>
      <c r="Z54" s="6"/>
      <c r="AH54" t="str">
        <f t="shared" si="30"/>
        <v>o</v>
      </c>
      <c r="AI54" t="str">
        <f t="shared" si="35"/>
        <v/>
      </c>
      <c r="AJ54" t="str">
        <f t="shared" si="36"/>
        <v/>
      </c>
      <c r="AK54" t="str">
        <f t="shared" si="31"/>
        <v/>
      </c>
      <c r="AL54" t="str">
        <f t="shared" si="32"/>
        <v/>
      </c>
      <c r="AM54" t="str">
        <f t="shared" si="37"/>
        <v/>
      </c>
      <c r="AN54" t="str">
        <f t="shared" si="38"/>
        <v/>
      </c>
      <c r="AO54" t="str">
        <f t="shared" si="39"/>
        <v/>
      </c>
      <c r="AP54" t="str">
        <f t="shared" si="40"/>
        <v/>
      </c>
      <c r="AQ54" t="str">
        <f t="shared" si="41"/>
        <v/>
      </c>
      <c r="AR54" t="str">
        <f t="shared" si="42"/>
        <v/>
      </c>
      <c r="AS54" t="str">
        <f t="shared" si="33"/>
        <v>Defensive</v>
      </c>
      <c r="BI54" s="40"/>
      <c r="BL54" s="40"/>
      <c r="BN54" s="19"/>
      <c r="BP54" s="17"/>
    </row>
    <row r="55" spans="1:68" x14ac:dyDescent="0.2">
      <c r="A55" t="str">
        <f t="shared" si="27"/>
        <v/>
      </c>
      <c r="E55" s="4"/>
      <c r="F55" s="45"/>
      <c r="G55" s="4"/>
      <c r="H55" s="48"/>
      <c r="J55" s="46" t="str">
        <f t="shared" si="34"/>
        <v/>
      </c>
      <c r="N55" t="str">
        <f t="shared" si="44"/>
        <v/>
      </c>
      <c r="Q55" t="str">
        <f t="shared" si="43"/>
        <v/>
      </c>
      <c r="S55" t="str">
        <f>IF(A55=1,MAX(S$2:S54)+1,IF(OR(I55&lt;&gt;"",A55="x"),S54,""))</f>
        <v/>
      </c>
      <c r="T55" t="str">
        <f>IF(D55=1,MAX($T$2:$T54)+1,IF(S55=$S54,$S54,IF($D55="x",T54,IF($D54="x","",""))))</f>
        <v/>
      </c>
      <c r="U55" t="str">
        <f>IF(B55=1,MAX($U$2:$U54)+1,IF(AND($T55&lt;&gt;"",$T55=$T54),$U54,IF(B55="x",U54,"")))</f>
        <v/>
      </c>
      <c r="V55" t="str">
        <f>IF(C55=1,MAX($V$2:$V54)+1,IF(AND($T55&lt;&gt;"",$T55=$T54),$U54,IF(C55="x",V54,"")))</f>
        <v/>
      </c>
      <c r="W55" t="str" cm="1">
        <f t="array" ref="W55">IFERROR(_xlfn._xlws.FILTER(game_rosters!AB:AB,(game_rosters!J:J=events!X55)*(K55&lt;&gt;"")),"")</f>
        <v/>
      </c>
      <c r="X55" t="str" cm="1">
        <f t="array" ref="X55">IF(S55="","",IF($I55&lt;&gt;"",$I55,INDEX($I$2:$I54,ROW()-COUNTIFS($T$2:$T54,"="&amp;$T55,$S$2:$S54,"&lt;&gt;"&amp;$S55)-1)))</f>
        <v/>
      </c>
      <c r="Z55" s="6"/>
      <c r="AH55" t="str">
        <f t="shared" si="30"/>
        <v>o</v>
      </c>
      <c r="AI55" t="str">
        <f t="shared" si="35"/>
        <v/>
      </c>
      <c r="AJ55" t="str">
        <f t="shared" si="36"/>
        <v/>
      </c>
      <c r="AK55" t="str">
        <f t="shared" si="31"/>
        <v/>
      </c>
      <c r="AL55" t="str">
        <f t="shared" si="32"/>
        <v/>
      </c>
      <c r="AM55" t="str">
        <f t="shared" si="37"/>
        <v/>
      </c>
      <c r="AN55" t="str">
        <f t="shared" si="38"/>
        <v/>
      </c>
      <c r="AO55" t="str">
        <f t="shared" si="39"/>
        <v/>
      </c>
      <c r="AP55" t="str">
        <f t="shared" si="40"/>
        <v/>
      </c>
      <c r="AQ55" t="str">
        <f t="shared" si="41"/>
        <v/>
      </c>
      <c r="AR55" t="str">
        <f t="shared" si="42"/>
        <v/>
      </c>
      <c r="AS55" t="str">
        <f t="shared" si="33"/>
        <v>Defensive</v>
      </c>
      <c r="BI55" s="40"/>
      <c r="BL55" s="40"/>
      <c r="BN55" s="19"/>
      <c r="BP55" s="17"/>
    </row>
    <row r="56" spans="1:68" x14ac:dyDescent="0.2">
      <c r="A56" t="str">
        <f t="shared" si="27"/>
        <v/>
      </c>
      <c r="E56" s="4"/>
      <c r="F56" s="45"/>
      <c r="G56" s="4"/>
      <c r="H56" s="48"/>
      <c r="J56" s="46" t="str">
        <f t="shared" si="34"/>
        <v/>
      </c>
      <c r="N56" t="str">
        <f t="shared" si="44"/>
        <v/>
      </c>
      <c r="Q56" t="str">
        <f t="shared" si="43"/>
        <v/>
      </c>
      <c r="S56" t="str">
        <f>IF(A56=1,MAX(S$2:S55)+1,IF(OR(I56&lt;&gt;"",A56="x"),S55,""))</f>
        <v/>
      </c>
      <c r="T56" t="str">
        <f>IF(D56=1,MAX($T$2:$T55)+1,IF(S56=$S55,$S55,IF($D56="x",T55,IF($D55="x","",""))))</f>
        <v/>
      </c>
      <c r="U56" t="str">
        <f>IF(B56=1,MAX($U$2:$U55)+1,IF(AND($T56&lt;&gt;"",$T56=$T55),$U55,IF(B56="x",U55,"")))</f>
        <v/>
      </c>
      <c r="V56" t="str">
        <f>IF(C56=1,MAX($V$2:$V55)+1,IF(AND($T56&lt;&gt;"",$T56=$T55),$U55,IF(C56="x",V55,"")))</f>
        <v/>
      </c>
      <c r="W56" t="str" cm="1">
        <f t="array" ref="W56">IFERROR(_xlfn._xlws.FILTER(game_rosters!AB:AB,(game_rosters!J:J=events!X56)*(K56&lt;&gt;"")),"")</f>
        <v/>
      </c>
      <c r="X56" t="str" cm="1">
        <f t="array" ref="X56">IF(S56="","",IF($I56&lt;&gt;"",$I56,INDEX($I$2:$I55,ROW()-COUNTIFS($T$2:$T55,"="&amp;$T56,$S$2:$S55,"&lt;&gt;"&amp;$S56)-1)))</f>
        <v/>
      </c>
      <c r="Z56" s="6"/>
      <c r="AH56" t="str">
        <f t="shared" si="30"/>
        <v>o</v>
      </c>
      <c r="AI56" t="str">
        <f t="shared" si="35"/>
        <v/>
      </c>
      <c r="AJ56" t="str">
        <f t="shared" si="36"/>
        <v/>
      </c>
      <c r="AK56" t="str">
        <f t="shared" si="31"/>
        <v/>
      </c>
      <c r="AL56" t="str">
        <f t="shared" si="32"/>
        <v/>
      </c>
      <c r="AM56" t="str">
        <f t="shared" si="37"/>
        <v/>
      </c>
      <c r="AN56" t="str">
        <f t="shared" si="38"/>
        <v/>
      </c>
      <c r="AO56" t="str">
        <f t="shared" si="39"/>
        <v/>
      </c>
      <c r="AP56" t="str">
        <f t="shared" si="40"/>
        <v/>
      </c>
      <c r="AQ56" t="str">
        <f t="shared" si="41"/>
        <v/>
      </c>
      <c r="AR56" t="str">
        <f t="shared" si="42"/>
        <v/>
      </c>
      <c r="AS56" t="str">
        <f t="shared" si="33"/>
        <v>Defensive</v>
      </c>
      <c r="BI56" s="40"/>
      <c r="BL56" s="40"/>
      <c r="BN56" s="19"/>
      <c r="BP56" s="17"/>
    </row>
    <row r="57" spans="1:68" x14ac:dyDescent="0.2">
      <c r="A57" t="str">
        <f t="shared" si="27"/>
        <v/>
      </c>
      <c r="E57" s="4"/>
      <c r="F57" s="45"/>
      <c r="G57" s="4"/>
      <c r="H57" s="48"/>
      <c r="J57" s="46" t="str">
        <f t="shared" si="34"/>
        <v/>
      </c>
      <c r="N57" t="str">
        <f t="shared" si="44"/>
        <v/>
      </c>
      <c r="Q57" t="str">
        <f t="shared" si="43"/>
        <v/>
      </c>
      <c r="S57" t="str">
        <f>IF(A57=1,MAX(S$2:S56)+1,IF(OR(I57&lt;&gt;"",A57="x"),S56,""))</f>
        <v/>
      </c>
      <c r="T57" t="str">
        <f>IF(D57=1,MAX($T$2:$T56)+1,IF(S57=$S56,$S56,IF($D57="x",T56,IF($D56="x","",""))))</f>
        <v/>
      </c>
      <c r="U57" t="str">
        <f>IF(B57=1,MAX($U$2:$U56)+1,IF(AND($T57&lt;&gt;"",$T57=$T56),$U56,IF(B57="x",U56,"")))</f>
        <v/>
      </c>
      <c r="V57" t="str">
        <f>IF(C57=1,MAX($V$2:$V56)+1,IF(AND($T57&lt;&gt;"",$T57=$T56),$U56,IF(C57="x",V56,"")))</f>
        <v/>
      </c>
      <c r="W57" t="str" cm="1">
        <f t="array" ref="W57">IFERROR(_xlfn._xlws.FILTER(game_rosters!AB:AB,(game_rosters!J:J=events!X57)*(K57&lt;&gt;"")),"")</f>
        <v/>
      </c>
      <c r="X57" t="str" cm="1">
        <f t="array" ref="X57">IF(S57="","",IF($I57&lt;&gt;"",$I57,INDEX($I$2:$I56,ROW()-COUNTIFS($T$2:$T56,"="&amp;$T57,$S$2:$S56,"&lt;&gt;"&amp;$S57)-1)))</f>
        <v/>
      </c>
      <c r="Z57" s="6"/>
      <c r="AH57" t="str">
        <f t="shared" si="30"/>
        <v>o</v>
      </c>
      <c r="AI57" t="str">
        <f t="shared" si="35"/>
        <v/>
      </c>
      <c r="AJ57" t="str">
        <f t="shared" si="36"/>
        <v/>
      </c>
      <c r="AK57" t="str">
        <f t="shared" si="31"/>
        <v/>
      </c>
      <c r="AL57" t="str">
        <f t="shared" si="32"/>
        <v/>
      </c>
      <c r="AM57" t="str">
        <f t="shared" si="37"/>
        <v/>
      </c>
      <c r="AN57" t="str">
        <f t="shared" si="38"/>
        <v/>
      </c>
      <c r="AO57" t="str">
        <f t="shared" si="39"/>
        <v/>
      </c>
      <c r="AP57" t="str">
        <f t="shared" si="40"/>
        <v/>
      </c>
      <c r="AQ57" t="str">
        <f t="shared" si="41"/>
        <v/>
      </c>
      <c r="AR57" t="str">
        <f t="shared" si="42"/>
        <v/>
      </c>
      <c r="AS57" t="str">
        <f t="shared" si="33"/>
        <v>Defensive</v>
      </c>
      <c r="BI57" s="40"/>
      <c r="BL57" s="40"/>
      <c r="BN57" s="19"/>
      <c r="BP57" s="17"/>
    </row>
    <row r="58" spans="1:68" x14ac:dyDescent="0.2">
      <c r="A58" t="str">
        <f t="shared" si="27"/>
        <v/>
      </c>
      <c r="E58" s="4"/>
      <c r="F58" s="45"/>
      <c r="G58" s="4"/>
      <c r="H58" s="48"/>
      <c r="J58" s="46" t="str">
        <f t="shared" si="34"/>
        <v/>
      </c>
      <c r="N58" t="str">
        <f t="shared" si="44"/>
        <v/>
      </c>
      <c r="Q58" t="str">
        <f t="shared" si="43"/>
        <v/>
      </c>
      <c r="S58" t="str">
        <f>IF(A58=1,MAX(S$2:S57)+1,IF(OR(I58&lt;&gt;"",A58="x"),S57,""))</f>
        <v/>
      </c>
      <c r="T58" t="str">
        <f>IF(D58=1,MAX($T$2:$T57)+1,IF(S58=$S57,$S57,IF($D58="x",T57,IF($D57="x","",""))))</f>
        <v/>
      </c>
      <c r="U58" t="str">
        <f>IF(B58=1,MAX($U$2:$U57)+1,IF(AND($T58&lt;&gt;"",$T58=$T57),$U57,IF(B58="x",U57,"")))</f>
        <v/>
      </c>
      <c r="V58" t="str">
        <f>IF(C58=1,MAX($V$2:$V57)+1,IF(AND($T58&lt;&gt;"",$T58=$T57),$U57,IF(C58="x",V57,"")))</f>
        <v/>
      </c>
      <c r="W58" t="str" cm="1">
        <f t="array" ref="W58">IFERROR(_xlfn._xlws.FILTER(game_rosters!AB:AB,(game_rosters!J:J=events!X58)*(K58&lt;&gt;"")),"")</f>
        <v/>
      </c>
      <c r="X58" t="str" cm="1">
        <f t="array" ref="X58">IF(S58="","",IF($I58&lt;&gt;"",$I58,INDEX($I$2:$I57,ROW()-COUNTIFS($T$2:$T57,"="&amp;$T58,$S$2:$S57,"&lt;&gt;"&amp;$S58)-1)))</f>
        <v/>
      </c>
      <c r="Z58" s="6"/>
      <c r="AH58" t="str">
        <f t="shared" si="30"/>
        <v>o</v>
      </c>
      <c r="AI58" t="str">
        <f t="shared" si="35"/>
        <v/>
      </c>
      <c r="AJ58" t="str">
        <f t="shared" si="36"/>
        <v/>
      </c>
      <c r="AK58" t="str">
        <f t="shared" si="31"/>
        <v/>
      </c>
      <c r="AL58" t="str">
        <f t="shared" si="32"/>
        <v/>
      </c>
      <c r="AM58" t="str">
        <f t="shared" si="37"/>
        <v/>
      </c>
      <c r="AN58" t="str">
        <f t="shared" si="38"/>
        <v/>
      </c>
      <c r="AO58" t="str">
        <f t="shared" si="39"/>
        <v/>
      </c>
      <c r="AP58" t="str">
        <f t="shared" si="40"/>
        <v/>
      </c>
      <c r="AQ58" t="str">
        <f t="shared" si="41"/>
        <v/>
      </c>
      <c r="AR58" t="str">
        <f t="shared" si="42"/>
        <v/>
      </c>
      <c r="AS58" t="str">
        <f t="shared" si="33"/>
        <v>Defensive</v>
      </c>
      <c r="BI58" s="40"/>
      <c r="BL58" s="40"/>
      <c r="BN58" s="19"/>
      <c r="BP58" s="17"/>
    </row>
    <row r="59" spans="1:68" x14ac:dyDescent="0.2">
      <c r="A59" t="str">
        <f t="shared" si="27"/>
        <v/>
      </c>
      <c r="E59" s="4"/>
      <c r="F59" s="45"/>
      <c r="G59" s="4"/>
      <c r="H59" s="48"/>
      <c r="J59" s="46" t="str">
        <f t="shared" si="34"/>
        <v/>
      </c>
      <c r="N59" t="str">
        <f t="shared" si="44"/>
        <v/>
      </c>
      <c r="Q59" t="str">
        <f t="shared" si="43"/>
        <v/>
      </c>
      <c r="S59" t="str">
        <f>IF(A59=1,MAX(S$2:S58)+1,IF(OR(I59&lt;&gt;"",A59="x"),S58,""))</f>
        <v/>
      </c>
      <c r="T59" t="str">
        <f>IF(D59=1,MAX($T$2:$T58)+1,IF(S59=$S58,$S58,IF($D59="x",T58,IF($D58="x","",""))))</f>
        <v/>
      </c>
      <c r="U59" t="str">
        <f>IF(B59=1,MAX($U$2:$U58)+1,IF(AND($T59&lt;&gt;"",$T59=$T58),$U58,IF(B59="x",U58,"")))</f>
        <v/>
      </c>
      <c r="V59" t="str">
        <f>IF(C59=1,MAX($V$2:$V58)+1,IF(AND($T59&lt;&gt;"",$T59=$T58),$U58,IF(C59="x",V58,"")))</f>
        <v/>
      </c>
      <c r="W59" t="str" cm="1">
        <f t="array" ref="W59">IFERROR(_xlfn._xlws.FILTER(game_rosters!AB:AB,(game_rosters!J:J=events!X59)*(K59&lt;&gt;"")),"")</f>
        <v/>
      </c>
      <c r="X59" t="str" cm="1">
        <f t="array" ref="X59">IF(S59="","",IF($I59&lt;&gt;"",$I59,INDEX($I$2:$I58,ROW()-COUNTIFS($T$2:$T58,"="&amp;$T59,$S$2:$S58,"&lt;&gt;"&amp;$S59)-1)))</f>
        <v/>
      </c>
      <c r="Z59" s="6"/>
      <c r="AH59" t="str">
        <f t="shared" si="30"/>
        <v>o</v>
      </c>
      <c r="AI59" t="str">
        <f t="shared" si="35"/>
        <v/>
      </c>
      <c r="AJ59" t="str">
        <f t="shared" si="36"/>
        <v/>
      </c>
      <c r="AK59" t="str">
        <f t="shared" si="31"/>
        <v/>
      </c>
      <c r="AL59" t="str">
        <f t="shared" si="32"/>
        <v/>
      </c>
      <c r="AM59" t="str">
        <f t="shared" si="37"/>
        <v/>
      </c>
      <c r="AN59" t="str">
        <f t="shared" si="38"/>
        <v/>
      </c>
      <c r="AO59" t="str">
        <f t="shared" si="39"/>
        <v/>
      </c>
      <c r="AP59" t="str">
        <f t="shared" si="40"/>
        <v/>
      </c>
      <c r="AQ59" t="str">
        <f t="shared" si="41"/>
        <v/>
      </c>
      <c r="AR59" t="str">
        <f t="shared" si="42"/>
        <v/>
      </c>
      <c r="AS59" t="str">
        <f t="shared" si="33"/>
        <v>Defensive</v>
      </c>
      <c r="BI59" s="40"/>
      <c r="BL59" s="40"/>
      <c r="BN59" s="19"/>
      <c r="BP59" s="17"/>
    </row>
    <row r="60" spans="1:68" x14ac:dyDescent="0.2">
      <c r="A60" t="str">
        <f t="shared" si="27"/>
        <v/>
      </c>
      <c r="E60" s="4"/>
      <c r="F60" s="45"/>
      <c r="G60" s="4"/>
      <c r="H60" s="48"/>
      <c r="J60" s="46" t="str">
        <f t="shared" si="34"/>
        <v/>
      </c>
      <c r="N60" t="str">
        <f t="shared" si="44"/>
        <v/>
      </c>
      <c r="Q60" t="str">
        <f t="shared" si="43"/>
        <v/>
      </c>
      <c r="S60" t="str">
        <f>IF(A60=1,MAX(S$2:S59)+1,IF(OR(I60&lt;&gt;"",A60="x"),S59,""))</f>
        <v/>
      </c>
      <c r="T60" t="str">
        <f>IF(D60=1,MAX($T$2:$T59)+1,IF(S60=$S59,$S59,IF($D60="x",T59,IF($D59="x","",""))))</f>
        <v/>
      </c>
      <c r="U60" t="str">
        <f>IF(B60=1,MAX($U$2:$U59)+1,IF(AND($T60&lt;&gt;"",$T60=$T59),$U59,IF(B60="x",U59,"")))</f>
        <v/>
      </c>
      <c r="V60" t="str">
        <f>IF(C60=1,MAX($V$2:$V59)+1,IF(AND($T60&lt;&gt;"",$T60=$T59),$U59,IF(C60="x",V59,"")))</f>
        <v/>
      </c>
      <c r="W60" t="str" cm="1">
        <f t="array" ref="W60">IFERROR(_xlfn._xlws.FILTER(game_rosters!AB:AB,(game_rosters!J:J=events!X60)*(K60&lt;&gt;"")),"")</f>
        <v/>
      </c>
      <c r="X60" t="str" cm="1">
        <f t="array" ref="X60">IF(S60="","",IF($I60&lt;&gt;"",$I60,INDEX($I$2:$I59,ROW()-COUNTIFS($T$2:$T59,"="&amp;$T60,$S$2:$S59,"&lt;&gt;"&amp;$S60)-1)))</f>
        <v/>
      </c>
      <c r="Z60" s="6"/>
      <c r="AH60" t="str">
        <f t="shared" si="30"/>
        <v>o</v>
      </c>
      <c r="AI60" t="str">
        <f t="shared" si="35"/>
        <v/>
      </c>
      <c r="AJ60" t="str">
        <f t="shared" si="36"/>
        <v/>
      </c>
      <c r="AK60" t="str">
        <f t="shared" si="31"/>
        <v/>
      </c>
      <c r="AL60" t="str">
        <f t="shared" si="32"/>
        <v/>
      </c>
      <c r="AM60" t="str">
        <f t="shared" si="37"/>
        <v/>
      </c>
      <c r="AN60" t="str">
        <f t="shared" si="38"/>
        <v/>
      </c>
      <c r="AO60" t="str">
        <f t="shared" si="39"/>
        <v/>
      </c>
      <c r="AP60" t="str">
        <f t="shared" si="40"/>
        <v/>
      </c>
      <c r="AQ60" t="str">
        <f t="shared" si="41"/>
        <v/>
      </c>
      <c r="AR60" t="str">
        <f t="shared" si="42"/>
        <v/>
      </c>
      <c r="AS60" t="str">
        <f t="shared" si="33"/>
        <v>Defensive</v>
      </c>
      <c r="BI60" s="40"/>
      <c r="BL60" s="40"/>
      <c r="BN60" s="19"/>
      <c r="BP60" s="17"/>
    </row>
    <row r="61" spans="1:68" x14ac:dyDescent="0.2">
      <c r="A61" t="str">
        <f t="shared" si="27"/>
        <v/>
      </c>
      <c r="E61" s="4"/>
      <c r="F61" s="45"/>
      <c r="G61" s="4"/>
      <c r="H61" s="48"/>
      <c r="J61" s="46" t="str">
        <f t="shared" si="34"/>
        <v/>
      </c>
      <c r="N61" t="str">
        <f t="shared" si="44"/>
        <v/>
      </c>
      <c r="Q61" t="str">
        <f t="shared" si="43"/>
        <v/>
      </c>
      <c r="S61" t="str">
        <f>IF(A61=1,MAX(S$2:S60)+1,IF(OR(I61&lt;&gt;"",A61="x"),S60,""))</f>
        <v/>
      </c>
      <c r="T61" t="str">
        <f>IF(D61=1,MAX($T$2:$T60)+1,IF(S61=$S60,$S60,IF($D61="x",T60,IF($D60="x","",""))))</f>
        <v/>
      </c>
      <c r="U61" t="str">
        <f>IF(B61=1,MAX($U$2:$U60)+1,IF(AND($T61&lt;&gt;"",$T61=$T60),$U60,IF(B61="x",U60,"")))</f>
        <v/>
      </c>
      <c r="V61" t="str">
        <f>IF(C61=1,MAX($V$2:$V60)+1,IF(AND($T61&lt;&gt;"",$T61=$T60),$U60,IF(C61="x",V60,"")))</f>
        <v/>
      </c>
      <c r="W61" t="str" cm="1">
        <f t="array" ref="W61">IFERROR(_xlfn._xlws.FILTER(game_rosters!AB:AB,(game_rosters!J:J=events!X61)*(K61&lt;&gt;"")),"")</f>
        <v/>
      </c>
      <c r="X61" t="str" cm="1">
        <f t="array" ref="X61">IF(S61="","",IF($I61&lt;&gt;"",$I61,INDEX($I$2:$I60,ROW()-COUNTIFS($T$2:$T60,"="&amp;$T61,$S$2:$S60,"&lt;&gt;"&amp;$S61)-1)))</f>
        <v/>
      </c>
      <c r="Z61" s="6"/>
      <c r="AH61" t="str">
        <f t="shared" si="30"/>
        <v>o</v>
      </c>
      <c r="AI61" t="str">
        <f t="shared" si="35"/>
        <v/>
      </c>
      <c r="AJ61" t="str">
        <f t="shared" si="36"/>
        <v/>
      </c>
      <c r="AK61" t="str">
        <f t="shared" si="31"/>
        <v/>
      </c>
      <c r="AL61" t="str">
        <f t="shared" si="32"/>
        <v/>
      </c>
      <c r="AM61" t="str">
        <f t="shared" si="37"/>
        <v/>
      </c>
      <c r="AN61" t="str">
        <f t="shared" si="38"/>
        <v/>
      </c>
      <c r="AO61" t="str">
        <f t="shared" si="39"/>
        <v/>
      </c>
      <c r="AP61" t="str">
        <f t="shared" si="40"/>
        <v/>
      </c>
      <c r="AQ61" t="str">
        <f t="shared" si="41"/>
        <v/>
      </c>
      <c r="AR61" t="str">
        <f t="shared" si="42"/>
        <v/>
      </c>
      <c r="AS61" t="str">
        <f t="shared" si="33"/>
        <v>Defensive</v>
      </c>
      <c r="BI61" s="40"/>
      <c r="BL61" s="40"/>
      <c r="BN61" s="19"/>
      <c r="BP61" s="17"/>
    </row>
    <row r="62" spans="1:68" x14ac:dyDescent="0.2">
      <c r="A62" t="str">
        <f t="shared" si="27"/>
        <v/>
      </c>
      <c r="E62" s="4"/>
      <c r="F62" s="45"/>
      <c r="G62" s="4"/>
      <c r="H62" s="48"/>
      <c r="J62" s="46" t="str">
        <f t="shared" si="34"/>
        <v/>
      </c>
      <c r="N62" t="str">
        <f t="shared" si="44"/>
        <v/>
      </c>
      <c r="Q62" t="str">
        <f t="shared" si="43"/>
        <v/>
      </c>
      <c r="S62" t="str">
        <f>IF(A62=1,MAX(S$2:S61)+1,IF(OR(I62&lt;&gt;"",A62="x"),S61,""))</f>
        <v/>
      </c>
      <c r="T62" t="str">
        <f>IF(D62=1,MAX($T$2:$T61)+1,IF(S62=$S61,$S61,IF($D62="x",T61,IF($D61="x","",""))))</f>
        <v/>
      </c>
      <c r="U62" t="str">
        <f>IF(B62=1,MAX($U$2:$U61)+1,IF(AND($T62&lt;&gt;"",$T62=$T61),$U61,IF(B62="x",U61,"")))</f>
        <v/>
      </c>
      <c r="V62" t="str">
        <f>IF(C62=1,MAX($V$2:$V61)+1,IF(AND($T62&lt;&gt;"",$T62=$T61),$U61,IF(C62="x",V61,"")))</f>
        <v/>
      </c>
      <c r="W62" t="str" cm="1">
        <f t="array" ref="W62">IFERROR(_xlfn._xlws.FILTER(game_rosters!AB:AB,(game_rosters!J:J=events!X62)*(K62&lt;&gt;"")),"")</f>
        <v/>
      </c>
      <c r="X62" t="str" cm="1">
        <f t="array" ref="X62">IF(S62="","",IF($I62&lt;&gt;"",$I62,INDEX($I$2:$I61,ROW()-COUNTIFS($T$2:$T61,"="&amp;$T62,$S$2:$S61,"&lt;&gt;"&amp;$S62)-1)))</f>
        <v/>
      </c>
      <c r="Z62" s="6"/>
      <c r="AH62" t="str">
        <f t="shared" si="30"/>
        <v>o</v>
      </c>
      <c r="AI62" t="str">
        <f t="shared" si="35"/>
        <v/>
      </c>
      <c r="AJ62" t="str">
        <f t="shared" si="36"/>
        <v/>
      </c>
      <c r="AK62" t="str">
        <f t="shared" si="31"/>
        <v/>
      </c>
      <c r="AL62" t="str">
        <f t="shared" si="32"/>
        <v/>
      </c>
      <c r="AM62" t="str">
        <f t="shared" si="37"/>
        <v/>
      </c>
      <c r="AN62" t="str">
        <f t="shared" si="38"/>
        <v/>
      </c>
      <c r="AO62" t="str">
        <f t="shared" si="39"/>
        <v/>
      </c>
      <c r="AP62" t="str">
        <f t="shared" si="40"/>
        <v/>
      </c>
      <c r="AQ62" t="str">
        <f t="shared" si="41"/>
        <v/>
      </c>
      <c r="AR62" t="str">
        <f t="shared" si="42"/>
        <v/>
      </c>
      <c r="AS62" t="str">
        <f t="shared" si="33"/>
        <v>Defensive</v>
      </c>
      <c r="BI62" s="40"/>
      <c r="BL62" s="40"/>
      <c r="BN62" s="19"/>
      <c r="BP62" s="17"/>
    </row>
    <row r="63" spans="1:68" x14ac:dyDescent="0.2">
      <c r="A63" t="str">
        <f t="shared" si="27"/>
        <v/>
      </c>
      <c r="E63" s="4"/>
      <c r="F63" s="45"/>
      <c r="G63" s="4"/>
      <c r="H63" s="48"/>
      <c r="J63" s="46" t="str">
        <f t="shared" si="34"/>
        <v/>
      </c>
      <c r="N63" t="str">
        <f t="shared" si="44"/>
        <v/>
      </c>
      <c r="Q63" t="str">
        <f t="shared" si="43"/>
        <v/>
      </c>
      <c r="S63" t="str">
        <f>IF(A63=1,MAX(S$2:S62)+1,IF(OR(I63&lt;&gt;"",A63="x"),S62,""))</f>
        <v/>
      </c>
      <c r="T63" t="str">
        <f>IF(D63=1,MAX($T$2:$T62)+1,IF(S63=$S62,$S62,IF($D63="x",T62,IF($D62="x","",""))))</f>
        <v/>
      </c>
      <c r="U63" t="str">
        <f>IF(B63=1,MAX($U$2:$U62)+1,IF(AND($T63&lt;&gt;"",$T63=$T62),$U62,IF(B63="x",U62,"")))</f>
        <v/>
      </c>
      <c r="V63" t="str">
        <f>IF(C63=1,MAX($V$2:$V62)+1,IF(AND($T63&lt;&gt;"",$T63=$T62),$U62,IF(C63="x",V62,"")))</f>
        <v/>
      </c>
      <c r="W63" t="str" cm="1">
        <f t="array" ref="W63">IFERROR(_xlfn._xlws.FILTER(game_rosters!AB:AB,(game_rosters!J:J=events!X63)*(K63&lt;&gt;"")),"")</f>
        <v/>
      </c>
      <c r="X63" t="str" cm="1">
        <f t="array" ref="X63">IF(S63="","",IF($I63&lt;&gt;"",$I63,INDEX($I$2:$I62,ROW()-COUNTIFS($T$2:$T62,"="&amp;$T63,$S$2:$S62,"&lt;&gt;"&amp;$S63)-1)))</f>
        <v/>
      </c>
      <c r="Z63" s="6"/>
      <c r="AH63" t="str">
        <f t="shared" si="30"/>
        <v>o</v>
      </c>
      <c r="AI63" t="str">
        <f t="shared" si="35"/>
        <v/>
      </c>
      <c r="AJ63" t="str">
        <f t="shared" si="36"/>
        <v/>
      </c>
      <c r="AK63" t="str">
        <f t="shared" si="31"/>
        <v/>
      </c>
      <c r="AL63" t="str">
        <f t="shared" si="32"/>
        <v/>
      </c>
      <c r="AM63" t="str">
        <f t="shared" si="37"/>
        <v/>
      </c>
      <c r="AN63" t="str">
        <f t="shared" si="38"/>
        <v/>
      </c>
      <c r="AO63" t="str">
        <f t="shared" si="39"/>
        <v/>
      </c>
      <c r="AP63" t="str">
        <f t="shared" si="40"/>
        <v/>
      </c>
      <c r="AQ63" t="str">
        <f t="shared" si="41"/>
        <v/>
      </c>
      <c r="AR63" t="str">
        <f t="shared" si="42"/>
        <v/>
      </c>
      <c r="AS63" t="str">
        <f t="shared" si="33"/>
        <v>Defensive</v>
      </c>
      <c r="BI63" s="40"/>
      <c r="BL63" s="40"/>
      <c r="BN63" s="19"/>
      <c r="BP63" s="17"/>
    </row>
    <row r="64" spans="1:68" x14ac:dyDescent="0.2">
      <c r="A64" t="str">
        <f t="shared" si="27"/>
        <v/>
      </c>
      <c r="E64" s="4"/>
      <c r="F64" s="45"/>
      <c r="G64" s="4"/>
      <c r="H64" s="48"/>
      <c r="J64" s="46" t="str">
        <f t="shared" si="34"/>
        <v/>
      </c>
      <c r="N64" t="str">
        <f t="shared" si="44"/>
        <v/>
      </c>
      <c r="Q64" t="str">
        <f t="shared" si="43"/>
        <v/>
      </c>
      <c r="S64" t="str">
        <f>IF(A64=1,MAX(S$2:S63)+1,IF(OR(I64&lt;&gt;"",A64="x"),S63,""))</f>
        <v/>
      </c>
      <c r="T64" t="str">
        <f>IF(D64=1,MAX($T$2:$T63)+1,IF(S64=$S63,$S63,IF($D64="x",T63,IF($D63="x","",""))))</f>
        <v/>
      </c>
      <c r="U64" t="str">
        <f>IF(B64=1,MAX($U$2:$U63)+1,IF(AND($T64&lt;&gt;"",$T64=$T63),$U63,IF(B64="x",U63,"")))</f>
        <v/>
      </c>
      <c r="V64" t="str">
        <f>IF(C64=1,MAX($V$2:$V63)+1,IF(AND($T64&lt;&gt;"",$T64=$T63),$U63,IF(C64="x",V63,"")))</f>
        <v/>
      </c>
      <c r="W64" t="str" cm="1">
        <f t="array" ref="W64">IFERROR(_xlfn._xlws.FILTER(game_rosters!AB:AB,(game_rosters!J:J=events!X64)*(K64&lt;&gt;"")),"")</f>
        <v/>
      </c>
      <c r="X64" t="str" cm="1">
        <f t="array" ref="X64">IF(S64="","",IF($I64&lt;&gt;"",$I64,INDEX($I$2:$I63,ROW()-COUNTIFS($T$2:$T63,"="&amp;$T64,$S$2:$S63,"&lt;&gt;"&amp;$S64)-1)))</f>
        <v/>
      </c>
      <c r="Z64" s="6"/>
      <c r="AH64" t="str">
        <f t="shared" ref="AH64:AH127" si="45">IF(Y64="x","",IF(Y64=1,"e","o"))</f>
        <v>o</v>
      </c>
      <c r="AI64" t="str">
        <f t="shared" si="35"/>
        <v/>
      </c>
      <c r="AJ64" t="str">
        <f t="shared" si="36"/>
        <v/>
      </c>
      <c r="AK64" t="str">
        <f t="shared" ref="AK64:AK127" si="46">IF($W64="","",IF($AI64="","",IF($W64="h",$AI64,IF($AI64="n","n",IF(AND($W64="a",$AI64="d"),"o",IF(AND($W64="a",$AI64="o"),"d"))))))</f>
        <v/>
      </c>
      <c r="AL64" t="str">
        <f t="shared" ref="AL64:AL127" si="47">IF($W64="","",IF(J64="","",IF(AK64="n","n",IF(AK64="d","o",IF(AK64="o","d","")))))</f>
        <v/>
      </c>
      <c r="AM64" t="str">
        <f t="shared" ref="AM64:AM127" si="48">IF(AN64="H","Home",IF(AN64="A","Away",""))</f>
        <v/>
      </c>
      <c r="AN64" t="str">
        <f t="shared" si="38"/>
        <v/>
      </c>
      <c r="AO64" t="str">
        <f t="shared" si="39"/>
        <v/>
      </c>
      <c r="AP64" t="str">
        <f t="shared" si="40"/>
        <v/>
      </c>
      <c r="AQ64" t="str">
        <f t="shared" si="41"/>
        <v/>
      </c>
      <c r="AR64" t="str">
        <f t="shared" si="42"/>
        <v/>
      </c>
      <c r="AS64" t="str">
        <f t="shared" ref="AS64:AS127" si="49">IF(AND(AH64="e",OR(BD64="Save",BE64="Turnover_Takeaway",BE64="Play_Defensive")),"Defensive",IF(AND(AH64="o",OR(BD64="Save",BE64="Turnover_Takeaway",BE64="Play_Defensive")),"Offensive",IF(OR(BD64="Deadice",BD64="Stoppage",BD64="Intermission"),"",IF(AH64="e","Offensive",IF(AH64="o","Defensive","")))))</f>
        <v>Defensive</v>
      </c>
      <c r="BI64" s="40"/>
      <c r="BL64" s="40"/>
      <c r="BN64" s="19"/>
      <c r="BP64" s="17"/>
    </row>
    <row r="65" spans="1:68" x14ac:dyDescent="0.2">
      <c r="A65" t="str">
        <f t="shared" si="27"/>
        <v/>
      </c>
      <c r="E65" s="4"/>
      <c r="F65" s="45"/>
      <c r="G65" s="4"/>
      <c r="H65" s="48"/>
      <c r="J65" s="46" t="str">
        <f t="shared" si="34"/>
        <v/>
      </c>
      <c r="N65" t="str">
        <f t="shared" si="44"/>
        <v/>
      </c>
      <c r="Q65" t="str">
        <f t="shared" si="43"/>
        <v/>
      </c>
      <c r="S65" t="str">
        <f>IF(A65=1,MAX(S$2:S64)+1,IF(OR(I65&lt;&gt;"",A65="x"),S64,""))</f>
        <v/>
      </c>
      <c r="T65" t="str">
        <f>IF(D65=1,MAX($T$2:$T64)+1,IF(S65=$S64,$S64,IF($D65="x",T64,IF($D64="x","",""))))</f>
        <v/>
      </c>
      <c r="U65" t="str">
        <f>IF(B65=1,MAX($U$2:$U64)+1,IF(AND($T65&lt;&gt;"",$T65=$T64),$U64,IF(B65="x",U64,"")))</f>
        <v/>
      </c>
      <c r="V65" t="str">
        <f>IF(C65=1,MAX($V$2:$V64)+1,IF(AND($T65&lt;&gt;"",$T65=$T64),$U64,IF(C65="x",V64,"")))</f>
        <v/>
      </c>
      <c r="W65" t="str" cm="1">
        <f t="array" ref="W65">IFERROR(_xlfn._xlws.FILTER(game_rosters!AB:AB,(game_rosters!J:J=events!X65)*(K65&lt;&gt;"")),"")</f>
        <v/>
      </c>
      <c r="X65" t="str" cm="1">
        <f t="array" ref="X65">IF(S65="","",IF($I65&lt;&gt;"",$I65,INDEX($I$2:$I64,ROW()-COUNTIFS($T$2:$T64,"="&amp;$T65,$S$2:$S64,"&lt;&gt;"&amp;$S65)-1)))</f>
        <v/>
      </c>
      <c r="Z65" s="6"/>
      <c r="AH65" t="str">
        <f t="shared" si="45"/>
        <v>o</v>
      </c>
      <c r="AI65" t="str">
        <f t="shared" si="35"/>
        <v/>
      </c>
      <c r="AJ65" t="str">
        <f t="shared" si="36"/>
        <v/>
      </c>
      <c r="AK65" t="str">
        <f t="shared" si="46"/>
        <v/>
      </c>
      <c r="AL65" t="str">
        <f t="shared" si="47"/>
        <v/>
      </c>
      <c r="AM65" t="str">
        <f t="shared" si="48"/>
        <v/>
      </c>
      <c r="AN65" t="str">
        <f t="shared" si="38"/>
        <v/>
      </c>
      <c r="AO65" t="str">
        <f t="shared" si="39"/>
        <v/>
      </c>
      <c r="AP65" t="str">
        <f t="shared" si="40"/>
        <v/>
      </c>
      <c r="AQ65" t="str">
        <f t="shared" si="41"/>
        <v/>
      </c>
      <c r="AR65" t="str">
        <f t="shared" si="42"/>
        <v/>
      </c>
      <c r="AS65" t="str">
        <f t="shared" si="49"/>
        <v>Defensive</v>
      </c>
      <c r="BI65" s="40"/>
      <c r="BL65" s="40"/>
      <c r="BN65" s="19"/>
      <c r="BP65" s="17"/>
    </row>
    <row r="66" spans="1:68" x14ac:dyDescent="0.2">
      <c r="A66" t="str">
        <f t="shared" si="27"/>
        <v/>
      </c>
      <c r="E66" s="4"/>
      <c r="F66" s="45"/>
      <c r="G66" s="4"/>
      <c r="H66" s="48"/>
      <c r="J66" s="46" t="str">
        <f t="shared" si="34"/>
        <v/>
      </c>
      <c r="N66" t="str">
        <f t="shared" si="44"/>
        <v/>
      </c>
      <c r="Q66" t="str">
        <f t="shared" si="43"/>
        <v/>
      </c>
      <c r="S66" t="str">
        <f>IF(A66=1,MAX(S$2:S65)+1,IF(OR(I66&lt;&gt;"",A66="x"),S65,""))</f>
        <v/>
      </c>
      <c r="T66" t="str">
        <f>IF(D66=1,MAX($T$2:$T65)+1,IF(S66=$S65,$S65,IF($D66="x",T65,IF($D65="x","",""))))</f>
        <v/>
      </c>
      <c r="U66" t="str">
        <f>IF(B66=1,MAX($U$2:$U65)+1,IF(AND($T66&lt;&gt;"",$T66=$T65),$U65,IF(B66="x",U65,"")))</f>
        <v/>
      </c>
      <c r="V66" t="str">
        <f>IF(C66=1,MAX($V$2:$V65)+1,IF(AND($T66&lt;&gt;"",$T66=$T65),$U65,IF(C66="x",V65,"")))</f>
        <v/>
      </c>
      <c r="W66" t="str" cm="1">
        <f t="array" ref="W66">IFERROR(_xlfn._xlws.FILTER(game_rosters!AB:AB,(game_rosters!J:J=events!X66)*(K66&lt;&gt;"")),"")</f>
        <v/>
      </c>
      <c r="X66" t="str" cm="1">
        <f t="array" ref="X66">IF(S66="","",IF($I66&lt;&gt;"",$I66,INDEX($I$2:$I65,ROW()-COUNTIFS($T$2:$T65,"="&amp;$T66,$S$2:$S65,"&lt;&gt;"&amp;$S66)-1)))</f>
        <v/>
      </c>
      <c r="Z66" s="6"/>
      <c r="AH66" t="str">
        <f t="shared" si="45"/>
        <v>o</v>
      </c>
      <c r="AI66" t="str">
        <f t="shared" si="35"/>
        <v/>
      </c>
      <c r="AJ66" t="str">
        <f t="shared" si="36"/>
        <v/>
      </c>
      <c r="AK66" t="str">
        <f t="shared" si="46"/>
        <v/>
      </c>
      <c r="AL66" t="str">
        <f t="shared" si="47"/>
        <v/>
      </c>
      <c r="AM66" t="str">
        <f t="shared" si="48"/>
        <v/>
      </c>
      <c r="AN66" t="str">
        <f t="shared" si="38"/>
        <v/>
      </c>
      <c r="AO66" t="str">
        <f t="shared" si="39"/>
        <v/>
      </c>
      <c r="AP66" t="str">
        <f t="shared" si="40"/>
        <v/>
      </c>
      <c r="AQ66" t="str">
        <f t="shared" si="41"/>
        <v/>
      </c>
      <c r="AR66" t="str">
        <f t="shared" si="42"/>
        <v/>
      </c>
      <c r="AS66" t="str">
        <f t="shared" si="49"/>
        <v>Defensive</v>
      </c>
      <c r="BI66" s="40"/>
      <c r="BL66" s="40"/>
      <c r="BN66" s="19"/>
      <c r="BP66" s="17"/>
    </row>
    <row r="67" spans="1:68" x14ac:dyDescent="0.2">
      <c r="A67" t="str">
        <f t="shared" si="27"/>
        <v/>
      </c>
      <c r="E67" s="4"/>
      <c r="F67" s="45"/>
      <c r="G67" s="4"/>
      <c r="H67" s="48"/>
      <c r="J67" s="46" t="str">
        <f t="shared" si="34"/>
        <v/>
      </c>
      <c r="N67" t="str">
        <f t="shared" si="44"/>
        <v/>
      </c>
      <c r="Q67" t="str">
        <f t="shared" si="43"/>
        <v/>
      </c>
      <c r="S67" t="str">
        <f>IF(A67=1,MAX(S$2:S66)+1,IF(OR(I67&lt;&gt;"",A67="x"),S66,""))</f>
        <v/>
      </c>
      <c r="T67" t="str">
        <f>IF(D67=1,MAX($T$2:$T66)+1,IF(S67=$S66,$S66,IF($D67="x",T66,IF($D66="x","",""))))</f>
        <v/>
      </c>
      <c r="U67" t="str">
        <f>IF(B67=1,MAX($U$2:$U66)+1,IF(AND($T67&lt;&gt;"",$T67=$T66),$U66,IF(B67="x",U66,"")))</f>
        <v/>
      </c>
      <c r="V67" t="str">
        <f>IF(C67=1,MAX($V$2:$V66)+1,IF(AND($T67&lt;&gt;"",$T67=$T66),$U66,IF(C67="x",V66,"")))</f>
        <v/>
      </c>
      <c r="W67" t="str" cm="1">
        <f t="array" ref="W67">IFERROR(_xlfn._xlws.FILTER(game_rosters!AB:AB,(game_rosters!J:J=events!X67)*(K67&lt;&gt;"")),"")</f>
        <v/>
      </c>
      <c r="X67" t="str" cm="1">
        <f t="array" ref="X67">IF(S67="","",IF($I67&lt;&gt;"",$I67,INDEX($I$2:$I66,ROW()-COUNTIFS($T$2:$T66,"="&amp;$T67,$S$2:$S66,"&lt;&gt;"&amp;$S67)-1)))</f>
        <v/>
      </c>
      <c r="Z67" s="6"/>
      <c r="AH67" t="str">
        <f t="shared" si="45"/>
        <v>o</v>
      </c>
      <c r="AI67" t="str">
        <f t="shared" si="35"/>
        <v/>
      </c>
      <c r="AJ67" t="str">
        <f t="shared" si="36"/>
        <v/>
      </c>
      <c r="AK67" t="str">
        <f t="shared" si="46"/>
        <v/>
      </c>
      <c r="AL67" t="str">
        <f t="shared" si="47"/>
        <v/>
      </c>
      <c r="AM67" t="str">
        <f t="shared" si="48"/>
        <v/>
      </c>
      <c r="AN67" t="str">
        <f t="shared" si="38"/>
        <v/>
      </c>
      <c r="AO67" t="str">
        <f t="shared" si="39"/>
        <v/>
      </c>
      <c r="AP67" t="str">
        <f t="shared" si="40"/>
        <v/>
      </c>
      <c r="AQ67" t="str">
        <f t="shared" si="41"/>
        <v/>
      </c>
      <c r="AR67" t="str">
        <f t="shared" si="42"/>
        <v/>
      </c>
      <c r="AS67" t="str">
        <f t="shared" si="49"/>
        <v>Defensive</v>
      </c>
      <c r="BI67" s="40"/>
      <c r="BL67" s="40"/>
      <c r="BN67" s="19"/>
      <c r="BP67" s="17"/>
    </row>
    <row r="68" spans="1:68" x14ac:dyDescent="0.2">
      <c r="A68" t="str">
        <f t="shared" si="27"/>
        <v/>
      </c>
      <c r="E68" s="4"/>
      <c r="F68" s="45"/>
      <c r="G68" s="4"/>
      <c r="H68" s="48"/>
      <c r="J68" s="46" t="str">
        <f t="shared" si="34"/>
        <v/>
      </c>
      <c r="N68" t="str">
        <f t="shared" si="44"/>
        <v/>
      </c>
      <c r="Q68" t="str">
        <f t="shared" si="43"/>
        <v/>
      </c>
      <c r="S68" t="str">
        <f>IF(A68=1,MAX(S$2:S67)+1,IF(OR(I68&lt;&gt;"",A68="x"),S67,""))</f>
        <v/>
      </c>
      <c r="T68" t="str">
        <f>IF(D68=1,MAX($T$2:$T67)+1,IF(S68=$S67,$S67,IF($D68="x",T67,IF($D67="x","",""))))</f>
        <v/>
      </c>
      <c r="U68" t="str">
        <f>IF(B68=1,MAX($U$2:$U67)+1,IF(AND($T68&lt;&gt;"",$T68=$T67),$U67,IF(B68="x",U67,"")))</f>
        <v/>
      </c>
      <c r="V68" t="str">
        <f>IF(C68=1,MAX($V$2:$V67)+1,IF(AND($T68&lt;&gt;"",$T68=$T67),$U67,IF(C68="x",V67,"")))</f>
        <v/>
      </c>
      <c r="W68" t="str" cm="1">
        <f t="array" ref="W68">IFERROR(_xlfn._xlws.FILTER(game_rosters!AB:AB,(game_rosters!J:J=events!X68)*(K68&lt;&gt;"")),"")</f>
        <v/>
      </c>
      <c r="X68" t="str" cm="1">
        <f t="array" ref="X68">IF(S68="","",IF($I68&lt;&gt;"",$I68,INDEX($I$2:$I67,ROW()-COUNTIFS($T$2:$T67,"="&amp;$T68,$S$2:$S67,"&lt;&gt;"&amp;$S68)-1)))</f>
        <v/>
      </c>
      <c r="Z68" s="6"/>
      <c r="AH68" t="str">
        <f t="shared" si="45"/>
        <v>o</v>
      </c>
      <c r="AI68" t="str">
        <f t="shared" si="35"/>
        <v/>
      </c>
      <c r="AJ68" t="str">
        <f t="shared" si="36"/>
        <v/>
      </c>
      <c r="AK68" t="str">
        <f t="shared" si="46"/>
        <v/>
      </c>
      <c r="AL68" t="str">
        <f t="shared" si="47"/>
        <v/>
      </c>
      <c r="AM68" t="str">
        <f t="shared" si="48"/>
        <v/>
      </c>
      <c r="AN68" t="str">
        <f t="shared" si="38"/>
        <v/>
      </c>
      <c r="AO68" t="str">
        <f t="shared" si="39"/>
        <v/>
      </c>
      <c r="AP68" t="str">
        <f t="shared" si="40"/>
        <v/>
      </c>
      <c r="AQ68" t="str">
        <f t="shared" si="41"/>
        <v/>
      </c>
      <c r="AR68" t="str">
        <f t="shared" si="42"/>
        <v/>
      </c>
      <c r="AS68" t="str">
        <f t="shared" si="49"/>
        <v>Defensive</v>
      </c>
      <c r="BI68" s="40"/>
      <c r="BL68" s="40"/>
      <c r="BN68" s="19"/>
      <c r="BP68" s="17"/>
    </row>
    <row r="69" spans="1:68" x14ac:dyDescent="0.2">
      <c r="A69" t="str">
        <f t="shared" ref="A69:A132" si="50">IF(K69&lt;&gt;"",1,IF(D69="x","x",""))</f>
        <v/>
      </c>
      <c r="E69" s="4"/>
      <c r="F69" s="45"/>
      <c r="G69" s="4"/>
      <c r="H69" s="48"/>
      <c r="J69" s="46" t="str">
        <f t="shared" si="34"/>
        <v/>
      </c>
      <c r="N69" t="str">
        <f t="shared" si="44"/>
        <v/>
      </c>
      <c r="Q69" t="str">
        <f t="shared" si="43"/>
        <v/>
      </c>
      <c r="S69" t="str">
        <f>IF(A69=1,MAX(S$2:S68)+1,IF(OR(I69&lt;&gt;"",A69="x"),S68,""))</f>
        <v/>
      </c>
      <c r="T69" t="str">
        <f>IF(D69=1,MAX($T$2:$T68)+1,IF(S69=$S68,$S68,IF($D69="x",T68,IF($D68="x","",""))))</f>
        <v/>
      </c>
      <c r="U69" t="str">
        <f>IF(B69=1,MAX($U$2:$U68)+1,IF(AND($T69&lt;&gt;"",$T69=$T68),$U68,IF(B69="x",U68,"")))</f>
        <v/>
      </c>
      <c r="V69" t="str">
        <f>IF(C69=1,MAX($V$2:$V68)+1,IF(AND($T69&lt;&gt;"",$T69=$T68),$U68,IF(C69="x",V68,"")))</f>
        <v/>
      </c>
      <c r="W69" t="str" cm="1">
        <f t="array" ref="W69">IFERROR(_xlfn._xlws.FILTER(game_rosters!AB:AB,(game_rosters!J:J=events!X69)*(K69&lt;&gt;"")),"")</f>
        <v/>
      </c>
      <c r="X69" t="str" cm="1">
        <f t="array" ref="X69">IF(S69="","",IF($I69&lt;&gt;"",$I69,INDEX($I$2:$I68,ROW()-COUNTIFS($T$2:$T68,"="&amp;$T69,$S$2:$S68,"&lt;&gt;"&amp;$S69)-1)))</f>
        <v/>
      </c>
      <c r="Z69" s="6"/>
      <c r="AH69" t="str">
        <f t="shared" si="45"/>
        <v>o</v>
      </c>
      <c r="AI69" t="str">
        <f t="shared" si="35"/>
        <v/>
      </c>
      <c r="AJ69" t="str">
        <f t="shared" si="36"/>
        <v/>
      </c>
      <c r="AK69" t="str">
        <f t="shared" si="46"/>
        <v/>
      </c>
      <c r="AL69" t="str">
        <f t="shared" si="47"/>
        <v/>
      </c>
      <c r="AM69" t="str">
        <f t="shared" si="48"/>
        <v/>
      </c>
      <c r="AN69" t="str">
        <f t="shared" si="38"/>
        <v/>
      </c>
      <c r="AO69" t="str">
        <f t="shared" si="39"/>
        <v/>
      </c>
      <c r="AP69" t="str">
        <f t="shared" si="40"/>
        <v/>
      </c>
      <c r="AQ69" t="str">
        <f t="shared" si="41"/>
        <v/>
      </c>
      <c r="AR69" t="str">
        <f t="shared" si="42"/>
        <v/>
      </c>
      <c r="AS69" t="str">
        <f t="shared" si="49"/>
        <v>Defensive</v>
      </c>
      <c r="BI69" s="40"/>
      <c r="BL69" s="40"/>
      <c r="BN69" s="19"/>
      <c r="BP69" s="17"/>
    </row>
    <row r="70" spans="1:68" x14ac:dyDescent="0.2">
      <c r="A70" t="str">
        <f t="shared" si="50"/>
        <v/>
      </c>
      <c r="E70" s="4"/>
      <c r="F70" s="45"/>
      <c r="G70" s="4"/>
      <c r="H70" s="48"/>
      <c r="J70" s="46" t="str">
        <f t="shared" ref="J70:J133" si="51">IF(OR(K70="Goal",K70="Shot",L70="Zone_Entry",M70="Stoppage-Goal",M69="Stoppage-Goal"),"o",IF(OR(K70="Save",K70="Rebound",L70="Zone_Exit",M70="Stoppage-GoalieStoppage",M69="Stoppage-GoalieStoppage"),"d",IF(OR(L70="Faceoff_AfterGoal",L70="Faceoff_PeriodStart",698="Faceoff_GameStart",M69="Stoppage-Goal"),"n","")))</f>
        <v/>
      </c>
      <c r="N70" t="str">
        <f t="shared" si="44"/>
        <v/>
      </c>
      <c r="Q70" t="str">
        <f t="shared" si="43"/>
        <v/>
      </c>
      <c r="S70" t="str">
        <f>IF(A70=1,MAX(S$2:S69)+1,IF(OR(I70&lt;&gt;"",A70="x"),S69,""))</f>
        <v/>
      </c>
      <c r="T70" t="str">
        <f>IF(D70=1,MAX($T$2:$T69)+1,IF(S70=$S69,$S69,IF($D70="x",T69,IF($D69="x","",""))))</f>
        <v/>
      </c>
      <c r="U70" t="str">
        <f>IF(B70=1,MAX($U$2:$U69)+1,IF(AND($T70&lt;&gt;"",$T70=$T69),$U69,IF(B70="x",U69,"")))</f>
        <v/>
      </c>
      <c r="V70" t="str">
        <f>IF(C70=1,MAX($V$2:$V69)+1,IF(AND($T70&lt;&gt;"",$T70=$T69),$U69,IF(C70="x",V69,"")))</f>
        <v/>
      </c>
      <c r="W70" t="str" cm="1">
        <f t="array" ref="W70">IFERROR(_xlfn._xlws.FILTER(game_rosters!AB:AB,(game_rosters!J:J=events!X70)*(K70&lt;&gt;"")),"")</f>
        <v/>
      </c>
      <c r="X70" t="str" cm="1">
        <f t="array" ref="X70">IF(S70="","",IF($I70&lt;&gt;"",$I70,INDEX($I$2:$I69,ROW()-COUNTIFS($T$2:$T69,"="&amp;$T70,$S$2:$S69,"&lt;&gt;"&amp;$S70)-1)))</f>
        <v/>
      </c>
      <c r="Z70" s="6"/>
      <c r="AH70" t="str">
        <f t="shared" si="45"/>
        <v>o</v>
      </c>
      <c r="AI70" t="str">
        <f t="shared" ref="AI70:AI133" si="52">IF($J70&lt;&gt;"",$J70,IF($AC70=$AC69,AI69,""))</f>
        <v/>
      </c>
      <c r="AJ70" t="str">
        <f t="shared" ref="AJ70:AJ133" si="53">IF($J70&lt;&gt;"",$J70,IF($AC70=AC69,AJ69,""))</f>
        <v/>
      </c>
      <c r="AK70" t="str">
        <f t="shared" si="46"/>
        <v/>
      </c>
      <c r="AL70" t="str">
        <f t="shared" si="47"/>
        <v/>
      </c>
      <c r="AM70" t="str">
        <f t="shared" si="48"/>
        <v/>
      </c>
      <c r="AN70" t="str">
        <f t="shared" ref="AN70:AN133" si="54">IF($W70&lt;&gt;"",$W70,IF($AC70=AC69,AN69,""))</f>
        <v/>
      </c>
      <c r="AO70" t="str">
        <f t="shared" ref="AO70:AO133" si="55">IF(AK70&lt;&gt;"",AK70,IF($AC70=AC69,AO69,""))</f>
        <v/>
      </c>
      <c r="AP70" t="str">
        <f t="shared" ref="AP70:AP133" si="56">IF(AL70&lt;&gt;"",AL70,IF($AC70=AC69,AP69,""))</f>
        <v/>
      </c>
      <c r="AQ70" t="str">
        <f t="shared" ref="AQ70:AQ133" si="57">IF(AM70&lt;&gt;"",AM70,IF($AC70=AC69,AQ69,""))</f>
        <v/>
      </c>
      <c r="AR70" t="str">
        <f t="shared" ref="AR70:AR133" si="58">IF(AN70&lt;&gt;"",AN70,IF($AC70=AC69,AQ69,""))</f>
        <v/>
      </c>
      <c r="AS70" t="str">
        <f t="shared" si="49"/>
        <v>Defensive</v>
      </c>
      <c r="BI70" s="40"/>
      <c r="BL70" s="40"/>
      <c r="BN70" s="19"/>
      <c r="BP70" s="17"/>
    </row>
    <row r="71" spans="1:68" x14ac:dyDescent="0.2">
      <c r="A71" t="str">
        <f t="shared" si="50"/>
        <v/>
      </c>
      <c r="E71" s="4"/>
      <c r="F71" s="45"/>
      <c r="G71" s="4"/>
      <c r="H71" s="48"/>
      <c r="J71" s="46" t="str">
        <f t="shared" si="51"/>
        <v/>
      </c>
      <c r="N71" t="str">
        <f t="shared" si="44"/>
        <v/>
      </c>
      <c r="Q71" t="str">
        <f t="shared" si="43"/>
        <v/>
      </c>
      <c r="S71" t="str">
        <f>IF(A71=1,MAX(S$2:S70)+1,IF(OR(I71&lt;&gt;"",A71="x"),S70,""))</f>
        <v/>
      </c>
      <c r="T71" t="str">
        <f>IF(D71=1,MAX($T$2:$T70)+1,IF(S71=$S70,$S70,IF($D71="x",T70,IF($D70="x","",""))))</f>
        <v/>
      </c>
      <c r="U71" t="str">
        <f>IF(B71=1,MAX($U$2:$U70)+1,IF(AND($T71&lt;&gt;"",$T71=$T70),$U70,IF(B71="x",U70,"")))</f>
        <v/>
      </c>
      <c r="V71" t="str">
        <f>IF(C71=1,MAX($V$2:$V70)+1,IF(AND($T71&lt;&gt;"",$T71=$T70),$U70,IF(C71="x",V70,"")))</f>
        <v/>
      </c>
      <c r="W71" t="str" cm="1">
        <f t="array" ref="W71">IFERROR(_xlfn._xlws.FILTER(game_rosters!AB:AB,(game_rosters!J:J=events!X71)*(K71&lt;&gt;"")),"")</f>
        <v/>
      </c>
      <c r="X71" t="str" cm="1">
        <f t="array" ref="X71">IF(S71="","",IF($I71&lt;&gt;"",$I71,INDEX($I$2:$I70,ROW()-COUNTIFS($T$2:$T70,"="&amp;$T71,$S$2:$S70,"&lt;&gt;"&amp;$S71)-1)))</f>
        <v/>
      </c>
      <c r="Z71" s="6"/>
      <c r="AH71" t="str">
        <f t="shared" si="45"/>
        <v>o</v>
      </c>
      <c r="AI71" t="str">
        <f t="shared" si="52"/>
        <v/>
      </c>
      <c r="AJ71" t="str">
        <f t="shared" si="53"/>
        <v/>
      </c>
      <c r="AK71" t="str">
        <f t="shared" si="46"/>
        <v/>
      </c>
      <c r="AL71" t="str">
        <f t="shared" si="47"/>
        <v/>
      </c>
      <c r="AM71" t="str">
        <f t="shared" si="48"/>
        <v/>
      </c>
      <c r="AN71" t="str">
        <f t="shared" si="54"/>
        <v/>
      </c>
      <c r="AO71" t="str">
        <f t="shared" si="55"/>
        <v/>
      </c>
      <c r="AP71" t="str">
        <f t="shared" si="56"/>
        <v/>
      </c>
      <c r="AQ71" t="str">
        <f t="shared" si="57"/>
        <v/>
      </c>
      <c r="AR71" t="str">
        <f t="shared" si="58"/>
        <v/>
      </c>
      <c r="AS71" t="str">
        <f t="shared" si="49"/>
        <v>Defensive</v>
      </c>
      <c r="BI71" s="40"/>
      <c r="BL71" s="40"/>
      <c r="BN71" s="19"/>
      <c r="BP71" s="17"/>
    </row>
    <row r="72" spans="1:68" x14ac:dyDescent="0.2">
      <c r="A72" t="str">
        <f t="shared" si="50"/>
        <v/>
      </c>
      <c r="E72" s="4"/>
      <c r="F72" s="45"/>
      <c r="G72" s="4"/>
      <c r="H72" s="48"/>
      <c r="J72" s="46" t="str">
        <f t="shared" si="51"/>
        <v/>
      </c>
      <c r="N72" t="str">
        <f t="shared" si="44"/>
        <v/>
      </c>
      <c r="Q72" t="str">
        <f t="shared" si="43"/>
        <v/>
      </c>
      <c r="S72" t="str">
        <f>IF(A72=1,MAX(S$2:S71)+1,IF(OR(I72&lt;&gt;"",A72="x"),S71,""))</f>
        <v/>
      </c>
      <c r="T72" t="str">
        <f>IF(D72=1,MAX($T$2:$T71)+1,IF(S72=$S71,$S71,IF($D72="x",T71,IF($D71="x","",""))))</f>
        <v/>
      </c>
      <c r="U72" t="str">
        <f>IF(B72=1,MAX($U$2:$U71)+1,IF(AND($T72&lt;&gt;"",$T72=$T71),$U71,IF(B72="x",U71,"")))</f>
        <v/>
      </c>
      <c r="V72" t="str">
        <f>IF(C72=1,MAX($V$2:$V71)+1,IF(AND($T72&lt;&gt;"",$T72=$T71),$U71,IF(C72="x",V71,"")))</f>
        <v/>
      </c>
      <c r="W72" t="str" cm="1">
        <f t="array" ref="W72">IFERROR(_xlfn._xlws.FILTER(game_rosters!AB:AB,(game_rosters!J:J=events!X72)*(K72&lt;&gt;"")),"")</f>
        <v/>
      </c>
      <c r="X72" t="str" cm="1">
        <f t="array" ref="X72">IF(S72="","",IF($I72&lt;&gt;"",$I72,INDEX($I$2:$I71,ROW()-COUNTIFS($T$2:$T71,"="&amp;$T72,$S$2:$S71,"&lt;&gt;"&amp;$S72)-1)))</f>
        <v/>
      </c>
      <c r="Z72" s="6"/>
      <c r="AH72" t="str">
        <f t="shared" si="45"/>
        <v>o</v>
      </c>
      <c r="AI72" t="str">
        <f t="shared" si="52"/>
        <v/>
      </c>
      <c r="AJ72" t="str">
        <f t="shared" si="53"/>
        <v/>
      </c>
      <c r="AK72" t="str">
        <f t="shared" si="46"/>
        <v/>
      </c>
      <c r="AL72" t="str">
        <f t="shared" si="47"/>
        <v/>
      </c>
      <c r="AM72" t="str">
        <f t="shared" si="48"/>
        <v/>
      </c>
      <c r="AN72" t="str">
        <f t="shared" si="54"/>
        <v/>
      </c>
      <c r="AO72" t="str">
        <f t="shared" si="55"/>
        <v/>
      </c>
      <c r="AP72" t="str">
        <f t="shared" si="56"/>
        <v/>
      </c>
      <c r="AQ72" t="str">
        <f t="shared" si="57"/>
        <v/>
      </c>
      <c r="AR72" t="str">
        <f t="shared" si="58"/>
        <v/>
      </c>
      <c r="AS72" t="str">
        <f t="shared" si="49"/>
        <v>Defensive</v>
      </c>
      <c r="BI72" s="40"/>
      <c r="BL72" s="40"/>
      <c r="BN72" s="19"/>
      <c r="BP72" s="17"/>
    </row>
    <row r="73" spans="1:68" x14ac:dyDescent="0.2">
      <c r="A73" t="str">
        <f t="shared" si="50"/>
        <v/>
      </c>
      <c r="E73" s="4"/>
      <c r="F73" s="45"/>
      <c r="G73" s="4"/>
      <c r="H73" s="48"/>
      <c r="J73" s="46" t="str">
        <f t="shared" si="51"/>
        <v/>
      </c>
      <c r="N73" t="str">
        <f t="shared" si="44"/>
        <v/>
      </c>
      <c r="Q73" t="str">
        <f t="shared" si="43"/>
        <v/>
      </c>
      <c r="S73" t="str">
        <f>IF(A73=1,MAX(S$2:S72)+1,IF(OR(I73&lt;&gt;"",A73="x"),S72,""))</f>
        <v/>
      </c>
      <c r="T73" t="str">
        <f>IF(D73=1,MAX($T$2:$T72)+1,IF(S73=$S72,$S72,IF($D73="x",T72,IF($D72="x","",""))))</f>
        <v/>
      </c>
      <c r="U73" t="str">
        <f>IF(B73=1,MAX($U$2:$U72)+1,IF(AND($T73&lt;&gt;"",$T73=$T72),$U72,IF(B73="x",U72,"")))</f>
        <v/>
      </c>
      <c r="V73" t="str">
        <f>IF(C73=1,MAX($V$2:$V72)+1,IF(AND($T73&lt;&gt;"",$T73=$T72),$U72,IF(C73="x",V72,"")))</f>
        <v/>
      </c>
      <c r="W73" t="str" cm="1">
        <f t="array" ref="W73">IFERROR(_xlfn._xlws.FILTER(game_rosters!AB:AB,(game_rosters!J:J=events!X73)*(K73&lt;&gt;"")),"")</f>
        <v/>
      </c>
      <c r="X73" t="str" cm="1">
        <f t="array" ref="X73">IF(S73="","",IF($I73&lt;&gt;"",$I73,INDEX($I$2:$I72,ROW()-COUNTIFS($T$2:$T72,"="&amp;$T73,$S$2:$S72,"&lt;&gt;"&amp;$S73)-1)))</f>
        <v/>
      </c>
      <c r="Z73" s="6"/>
      <c r="AH73" t="str">
        <f t="shared" si="45"/>
        <v>o</v>
      </c>
      <c r="AI73" t="str">
        <f t="shared" si="52"/>
        <v/>
      </c>
      <c r="AJ73" t="str">
        <f t="shared" si="53"/>
        <v/>
      </c>
      <c r="AK73" t="str">
        <f t="shared" si="46"/>
        <v/>
      </c>
      <c r="AL73" t="str">
        <f t="shared" si="47"/>
        <v/>
      </c>
      <c r="AM73" t="str">
        <f t="shared" si="48"/>
        <v/>
      </c>
      <c r="AN73" t="str">
        <f t="shared" si="54"/>
        <v/>
      </c>
      <c r="AO73" t="str">
        <f t="shared" si="55"/>
        <v/>
      </c>
      <c r="AP73" t="str">
        <f t="shared" si="56"/>
        <v/>
      </c>
      <c r="AQ73" t="str">
        <f t="shared" si="57"/>
        <v/>
      </c>
      <c r="AR73" t="str">
        <f t="shared" si="58"/>
        <v/>
      </c>
      <c r="AS73" t="str">
        <f t="shared" si="49"/>
        <v>Defensive</v>
      </c>
      <c r="BI73" s="40"/>
      <c r="BL73" s="40"/>
      <c r="BN73" s="19"/>
      <c r="BP73" s="17"/>
    </row>
    <row r="74" spans="1:68" x14ac:dyDescent="0.2">
      <c r="A74" t="str">
        <f t="shared" si="50"/>
        <v/>
      </c>
      <c r="E74" s="4"/>
      <c r="F74" s="45"/>
      <c r="G74" s="4"/>
      <c r="H74" s="48"/>
      <c r="J74" s="46" t="str">
        <f t="shared" si="51"/>
        <v/>
      </c>
      <c r="N74" t="str">
        <f t="shared" si="44"/>
        <v/>
      </c>
      <c r="Q74" t="str">
        <f t="shared" si="43"/>
        <v/>
      </c>
      <c r="S74" t="str">
        <f>IF(A74=1,MAX(S$2:S73)+1,IF(OR(I74&lt;&gt;"",A74="x"),S73,""))</f>
        <v/>
      </c>
      <c r="T74" t="str">
        <f>IF(D74=1,MAX($T$2:$T73)+1,IF(S74=$S73,$S73,IF($D74="x",T73,IF($D73="x","",""))))</f>
        <v/>
      </c>
      <c r="U74" t="str">
        <f>IF(B74=1,MAX($U$2:$U73)+1,IF(AND($T74&lt;&gt;"",$T74=$T73),$U73,IF(B74="x",U73,"")))</f>
        <v/>
      </c>
      <c r="V74" t="str">
        <f>IF(C74=1,MAX($V$2:$V73)+1,IF(AND($T74&lt;&gt;"",$T74=$T73),$U73,IF(C74="x",V73,"")))</f>
        <v/>
      </c>
      <c r="W74" t="str" cm="1">
        <f t="array" ref="W74">IFERROR(_xlfn._xlws.FILTER(game_rosters!AB:AB,(game_rosters!J:J=events!X74)*(K74&lt;&gt;"")),"")</f>
        <v/>
      </c>
      <c r="X74" t="str" cm="1">
        <f t="array" ref="X74">IF(S74="","",IF($I74&lt;&gt;"",$I74,INDEX($I$2:$I73,ROW()-COUNTIFS($T$2:$T73,"="&amp;$T74,$S$2:$S73,"&lt;&gt;"&amp;$S74)-1)))</f>
        <v/>
      </c>
      <c r="Z74" s="6"/>
      <c r="AH74" t="str">
        <f t="shared" si="45"/>
        <v>o</v>
      </c>
      <c r="AI74" t="str">
        <f t="shared" si="52"/>
        <v/>
      </c>
      <c r="AJ74" t="str">
        <f t="shared" si="53"/>
        <v/>
      </c>
      <c r="AK74" t="str">
        <f t="shared" si="46"/>
        <v/>
      </c>
      <c r="AL74" t="str">
        <f t="shared" si="47"/>
        <v/>
      </c>
      <c r="AM74" t="str">
        <f t="shared" si="48"/>
        <v/>
      </c>
      <c r="AN74" t="str">
        <f t="shared" si="54"/>
        <v/>
      </c>
      <c r="AO74" t="str">
        <f t="shared" si="55"/>
        <v/>
      </c>
      <c r="AP74" t="str">
        <f t="shared" si="56"/>
        <v/>
      </c>
      <c r="AQ74" t="str">
        <f t="shared" si="57"/>
        <v/>
      </c>
      <c r="AR74" t="str">
        <f t="shared" si="58"/>
        <v/>
      </c>
      <c r="AS74" t="str">
        <f t="shared" si="49"/>
        <v>Defensive</v>
      </c>
      <c r="BI74" s="40"/>
      <c r="BL74" s="40"/>
      <c r="BN74" s="19"/>
      <c r="BP74" s="17"/>
    </row>
    <row r="75" spans="1:68" x14ac:dyDescent="0.2">
      <c r="A75" t="str">
        <f t="shared" si="50"/>
        <v/>
      </c>
      <c r="E75" s="4"/>
      <c r="F75" s="45"/>
      <c r="G75" s="4"/>
      <c r="H75" s="48"/>
      <c r="J75" s="46" t="str">
        <f t="shared" si="51"/>
        <v/>
      </c>
      <c r="N75" t="str">
        <f t="shared" si="44"/>
        <v/>
      </c>
      <c r="Q75" t="str">
        <f t="shared" si="43"/>
        <v/>
      </c>
      <c r="S75" t="str">
        <f>IF(A75=1,MAX(S$2:S74)+1,IF(OR(I75&lt;&gt;"",A75="x"),S74,""))</f>
        <v/>
      </c>
      <c r="T75" t="str">
        <f>IF(D75=1,MAX($T$2:$T74)+1,IF(S75=$S74,$S74,IF($D75="x",T74,IF($D74="x","",""))))</f>
        <v/>
      </c>
      <c r="U75" t="str">
        <f>IF(B75=1,MAX($U$2:$U74)+1,IF(AND($T75&lt;&gt;"",$T75=$T74),$U74,IF(B75="x",U74,"")))</f>
        <v/>
      </c>
      <c r="V75" t="str">
        <f>IF(C75=1,MAX($V$2:$V74)+1,IF(AND($T75&lt;&gt;"",$T75=$T74),$U74,IF(C75="x",V74,"")))</f>
        <v/>
      </c>
      <c r="W75" t="str" cm="1">
        <f t="array" ref="W75">IFERROR(_xlfn._xlws.FILTER(game_rosters!AB:AB,(game_rosters!J:J=events!X75)*(K75&lt;&gt;"")),"")</f>
        <v/>
      </c>
      <c r="X75" t="str" cm="1">
        <f t="array" ref="X75">IF(S75="","",IF($I75&lt;&gt;"",$I75,INDEX($I$2:$I74,ROW()-COUNTIFS($T$2:$T74,"="&amp;$T75,$S$2:$S74,"&lt;&gt;"&amp;$S75)-1)))</f>
        <v/>
      </c>
      <c r="Z75" s="6"/>
      <c r="AH75" t="str">
        <f t="shared" si="45"/>
        <v>o</v>
      </c>
      <c r="AI75" t="str">
        <f t="shared" si="52"/>
        <v/>
      </c>
      <c r="AJ75" t="str">
        <f t="shared" si="53"/>
        <v/>
      </c>
      <c r="AK75" t="str">
        <f t="shared" si="46"/>
        <v/>
      </c>
      <c r="AL75" t="str">
        <f t="shared" si="47"/>
        <v/>
      </c>
      <c r="AM75" t="str">
        <f t="shared" si="48"/>
        <v/>
      </c>
      <c r="AN75" t="str">
        <f t="shared" si="54"/>
        <v/>
      </c>
      <c r="AO75" t="str">
        <f t="shared" si="55"/>
        <v/>
      </c>
      <c r="AP75" t="str">
        <f t="shared" si="56"/>
        <v/>
      </c>
      <c r="AQ75" t="str">
        <f t="shared" si="57"/>
        <v/>
      </c>
      <c r="AR75" t="str">
        <f t="shared" si="58"/>
        <v/>
      </c>
      <c r="AS75" t="str">
        <f t="shared" si="49"/>
        <v>Defensive</v>
      </c>
      <c r="BI75" s="40"/>
      <c r="BL75" s="40"/>
      <c r="BN75" s="19"/>
      <c r="BP75" s="17"/>
    </row>
    <row r="76" spans="1:68" x14ac:dyDescent="0.2">
      <c r="A76" t="str">
        <f t="shared" si="50"/>
        <v/>
      </c>
      <c r="E76" s="4"/>
      <c r="F76" s="45"/>
      <c r="G76" s="4"/>
      <c r="H76" s="48"/>
      <c r="J76" s="46" t="str">
        <f t="shared" si="51"/>
        <v/>
      </c>
      <c r="N76" t="str">
        <f t="shared" si="44"/>
        <v/>
      </c>
      <c r="Q76" t="str">
        <f t="shared" si="43"/>
        <v/>
      </c>
      <c r="S76" t="str">
        <f>IF(A76=1,MAX(S$2:S75)+1,IF(OR(I76&lt;&gt;"",A76="x"),S75,""))</f>
        <v/>
      </c>
      <c r="T76" t="str">
        <f>IF(D76=1,MAX($T$2:$T75)+1,IF(S76=$S75,$S75,IF($D76="x",T75,IF($D75="x","",""))))</f>
        <v/>
      </c>
      <c r="U76" t="str">
        <f>IF(B76=1,MAX($U$2:$U75)+1,IF(AND($T76&lt;&gt;"",$T76=$T75),$U75,IF(B76="x",U75,"")))</f>
        <v/>
      </c>
      <c r="V76" t="str">
        <f>IF(C76=1,MAX($V$2:$V75)+1,IF(AND($T76&lt;&gt;"",$T76=$T75),$U75,IF(C76="x",V75,"")))</f>
        <v/>
      </c>
      <c r="W76" t="str" cm="1">
        <f t="array" ref="W76">IFERROR(_xlfn._xlws.FILTER(game_rosters!AB:AB,(game_rosters!J:J=events!X76)*(K76&lt;&gt;"")),"")</f>
        <v/>
      </c>
      <c r="X76" t="str" cm="1">
        <f t="array" ref="X76">IF(S76="","",IF($I76&lt;&gt;"",$I76,INDEX($I$2:$I75,ROW()-COUNTIFS($T$2:$T75,"="&amp;$T76,$S$2:$S75,"&lt;&gt;"&amp;$S76)-1)))</f>
        <v/>
      </c>
      <c r="Z76" s="6"/>
      <c r="AH76" t="str">
        <f t="shared" si="45"/>
        <v>o</v>
      </c>
      <c r="AI76" t="str">
        <f t="shared" si="52"/>
        <v/>
      </c>
      <c r="AJ76" t="str">
        <f t="shared" si="53"/>
        <v/>
      </c>
      <c r="AK76" t="str">
        <f t="shared" si="46"/>
        <v/>
      </c>
      <c r="AL76" t="str">
        <f t="shared" si="47"/>
        <v/>
      </c>
      <c r="AM76" t="str">
        <f t="shared" si="48"/>
        <v/>
      </c>
      <c r="AN76" t="str">
        <f t="shared" si="54"/>
        <v/>
      </c>
      <c r="AO76" t="str">
        <f t="shared" si="55"/>
        <v/>
      </c>
      <c r="AP76" t="str">
        <f t="shared" si="56"/>
        <v/>
      </c>
      <c r="AQ76" t="str">
        <f t="shared" si="57"/>
        <v/>
      </c>
      <c r="AR76" t="str">
        <f t="shared" si="58"/>
        <v/>
      </c>
      <c r="AS76" t="str">
        <f t="shared" si="49"/>
        <v>Defensive</v>
      </c>
      <c r="BI76" s="40"/>
      <c r="BL76" s="40"/>
      <c r="BN76" s="19"/>
      <c r="BP76" s="17"/>
    </row>
    <row r="77" spans="1:68" x14ac:dyDescent="0.2">
      <c r="A77" t="str">
        <f t="shared" si="50"/>
        <v/>
      </c>
      <c r="E77" s="4"/>
      <c r="F77" s="45"/>
      <c r="G77" s="4"/>
      <c r="H77" s="48"/>
      <c r="J77" s="46" t="str">
        <f t="shared" si="51"/>
        <v/>
      </c>
      <c r="N77" t="str">
        <f t="shared" si="44"/>
        <v/>
      </c>
      <c r="Q77" t="str">
        <f t="shared" si="43"/>
        <v/>
      </c>
      <c r="S77" t="str">
        <f>IF(A77=1,MAX(S$2:S76)+1,IF(OR(I77&lt;&gt;"",A77="x"),S76,""))</f>
        <v/>
      </c>
      <c r="T77" t="str">
        <f>IF(D77=1,MAX($T$2:$T76)+1,IF(S77=$S76,$S76,IF($D77="x",T76,IF($D76="x","",""))))</f>
        <v/>
      </c>
      <c r="U77" t="str">
        <f>IF(B77=1,MAX($U$2:$U76)+1,IF(AND($T77&lt;&gt;"",$T77=$T76),$U76,IF(B77="x",U76,"")))</f>
        <v/>
      </c>
      <c r="V77" t="str">
        <f>IF(C77=1,MAX($V$2:$V76)+1,IF(AND($T77&lt;&gt;"",$T77=$T76),$U76,IF(C77="x",V76,"")))</f>
        <v/>
      </c>
      <c r="W77" t="str" cm="1">
        <f t="array" ref="W77">IFERROR(_xlfn._xlws.FILTER(game_rosters!AB:AB,(game_rosters!J:J=events!X77)*(K77&lt;&gt;"")),"")</f>
        <v/>
      </c>
      <c r="X77" t="str" cm="1">
        <f t="array" ref="X77">IF(S77="","",IF($I77&lt;&gt;"",$I77,INDEX($I$2:$I76,ROW()-COUNTIFS($T$2:$T76,"="&amp;$T77,$S$2:$S76,"&lt;&gt;"&amp;$S77)-1)))</f>
        <v/>
      </c>
      <c r="Z77" s="6"/>
      <c r="AH77" t="str">
        <f t="shared" si="45"/>
        <v>o</v>
      </c>
      <c r="AI77" t="str">
        <f t="shared" si="52"/>
        <v/>
      </c>
      <c r="AJ77" t="str">
        <f t="shared" si="53"/>
        <v/>
      </c>
      <c r="AK77" t="str">
        <f t="shared" si="46"/>
        <v/>
      </c>
      <c r="AL77" t="str">
        <f t="shared" si="47"/>
        <v/>
      </c>
      <c r="AM77" t="str">
        <f t="shared" si="48"/>
        <v/>
      </c>
      <c r="AN77" t="str">
        <f t="shared" si="54"/>
        <v/>
      </c>
      <c r="AO77" t="str">
        <f t="shared" si="55"/>
        <v/>
      </c>
      <c r="AP77" t="str">
        <f t="shared" si="56"/>
        <v/>
      </c>
      <c r="AQ77" t="str">
        <f t="shared" si="57"/>
        <v/>
      </c>
      <c r="AR77" t="str">
        <f t="shared" si="58"/>
        <v/>
      </c>
      <c r="AS77" t="str">
        <f t="shared" si="49"/>
        <v>Defensive</v>
      </c>
      <c r="BI77" s="40"/>
      <c r="BL77" s="40"/>
      <c r="BN77" s="19"/>
      <c r="BP77" s="17"/>
    </row>
    <row r="78" spans="1:68" x14ac:dyDescent="0.2">
      <c r="A78" t="str">
        <f t="shared" si="50"/>
        <v/>
      </c>
      <c r="E78" s="4"/>
      <c r="F78" s="45"/>
      <c r="G78" s="4"/>
      <c r="H78" s="48"/>
      <c r="J78" s="46" t="str">
        <f t="shared" si="51"/>
        <v/>
      </c>
      <c r="N78" t="str">
        <f t="shared" si="44"/>
        <v/>
      </c>
      <c r="Q78" t="str">
        <f t="shared" si="43"/>
        <v/>
      </c>
      <c r="S78" t="str">
        <f>IF(A78=1,MAX(S$2:S77)+1,IF(OR(I78&lt;&gt;"",A78="x"),S77,""))</f>
        <v/>
      </c>
      <c r="T78" t="str">
        <f>IF(D78=1,MAX($T$2:$T77)+1,IF(S78=$S77,$S77,IF($D78="x",T77,IF($D77="x","",""))))</f>
        <v/>
      </c>
      <c r="U78" t="str">
        <f>IF(B78=1,MAX($U$2:$U77)+1,IF(AND($T78&lt;&gt;"",$T78=$T77),$U77,IF(B78="x",U77,"")))</f>
        <v/>
      </c>
      <c r="V78" t="str">
        <f>IF(C78=1,MAX($V$2:$V77)+1,IF(AND($T78&lt;&gt;"",$T78=$T77),$U77,IF(C78="x",V77,"")))</f>
        <v/>
      </c>
      <c r="W78" t="str" cm="1">
        <f t="array" ref="W78">IFERROR(_xlfn._xlws.FILTER(game_rosters!AB:AB,(game_rosters!J:J=events!X78)*(K78&lt;&gt;"")),"")</f>
        <v/>
      </c>
      <c r="X78" t="str" cm="1">
        <f t="array" ref="X78">IF(S78="","",IF($I78&lt;&gt;"",$I78,INDEX($I$2:$I77,ROW()-COUNTIFS($T$2:$T77,"="&amp;$T78,$S$2:$S77,"&lt;&gt;"&amp;$S78)-1)))</f>
        <v/>
      </c>
      <c r="Z78" s="6"/>
      <c r="AH78" t="str">
        <f t="shared" si="45"/>
        <v>o</v>
      </c>
      <c r="AI78" t="str">
        <f t="shared" si="52"/>
        <v/>
      </c>
      <c r="AJ78" t="str">
        <f t="shared" si="53"/>
        <v/>
      </c>
      <c r="AK78" t="str">
        <f t="shared" si="46"/>
        <v/>
      </c>
      <c r="AL78" t="str">
        <f t="shared" si="47"/>
        <v/>
      </c>
      <c r="AM78" t="str">
        <f t="shared" si="48"/>
        <v/>
      </c>
      <c r="AN78" t="str">
        <f t="shared" si="54"/>
        <v/>
      </c>
      <c r="AO78" t="str">
        <f t="shared" si="55"/>
        <v/>
      </c>
      <c r="AP78" t="str">
        <f t="shared" si="56"/>
        <v/>
      </c>
      <c r="AQ78" t="str">
        <f t="shared" si="57"/>
        <v/>
      </c>
      <c r="AR78" t="str">
        <f t="shared" si="58"/>
        <v/>
      </c>
      <c r="AS78" t="str">
        <f t="shared" si="49"/>
        <v>Defensive</v>
      </c>
      <c r="BI78" s="40"/>
      <c r="BL78" s="40"/>
      <c r="BN78" s="19"/>
      <c r="BP78" s="17"/>
    </row>
    <row r="79" spans="1:68" x14ac:dyDescent="0.2">
      <c r="A79" t="str">
        <f t="shared" si="50"/>
        <v/>
      </c>
      <c r="E79" s="4"/>
      <c r="F79" s="45"/>
      <c r="G79" s="4"/>
      <c r="H79" s="48"/>
      <c r="J79" s="46" t="str">
        <f t="shared" si="51"/>
        <v/>
      </c>
      <c r="N79" t="str">
        <f t="shared" si="44"/>
        <v/>
      </c>
      <c r="Q79" t="str">
        <f t="shared" si="43"/>
        <v/>
      </c>
      <c r="S79" t="str">
        <f>IF(A79=1,MAX(S$2:S78)+1,IF(OR(I79&lt;&gt;"",A79="x"),S78,""))</f>
        <v/>
      </c>
      <c r="T79" t="str">
        <f>IF(D79=1,MAX($T$2:$T78)+1,IF(S79=$S78,$S78,IF($D79="x",T78,IF($D78="x","",""))))</f>
        <v/>
      </c>
      <c r="U79" t="str">
        <f>IF(B79=1,MAX($U$2:$U78)+1,IF(AND($T79&lt;&gt;"",$T79=$T78),$U78,IF(B79="x",U78,"")))</f>
        <v/>
      </c>
      <c r="V79" t="str">
        <f>IF(C79=1,MAX($V$2:$V78)+1,IF(AND($T79&lt;&gt;"",$T79=$T78),$U78,IF(C79="x",V78,"")))</f>
        <v/>
      </c>
      <c r="W79" t="str" cm="1">
        <f t="array" ref="W79">IFERROR(_xlfn._xlws.FILTER(game_rosters!AB:AB,(game_rosters!J:J=events!X79)*(K79&lt;&gt;"")),"")</f>
        <v/>
      </c>
      <c r="X79" t="str" cm="1">
        <f t="array" ref="X79">IF(S79="","",IF($I79&lt;&gt;"",$I79,INDEX($I$2:$I78,ROW()-COUNTIFS($T$2:$T78,"="&amp;$T79,$S$2:$S78,"&lt;&gt;"&amp;$S79)-1)))</f>
        <v/>
      </c>
      <c r="Z79" s="6"/>
      <c r="AH79" t="str">
        <f t="shared" si="45"/>
        <v>o</v>
      </c>
      <c r="AI79" t="str">
        <f t="shared" si="52"/>
        <v/>
      </c>
      <c r="AJ79" t="str">
        <f t="shared" si="53"/>
        <v/>
      </c>
      <c r="AK79" t="str">
        <f t="shared" si="46"/>
        <v/>
      </c>
      <c r="AL79" t="str">
        <f t="shared" si="47"/>
        <v/>
      </c>
      <c r="AM79" t="str">
        <f t="shared" si="48"/>
        <v/>
      </c>
      <c r="AN79" t="str">
        <f t="shared" si="54"/>
        <v/>
      </c>
      <c r="AO79" t="str">
        <f t="shared" si="55"/>
        <v/>
      </c>
      <c r="AP79" t="str">
        <f t="shared" si="56"/>
        <v/>
      </c>
      <c r="AQ79" t="str">
        <f t="shared" si="57"/>
        <v/>
      </c>
      <c r="AR79" t="str">
        <f t="shared" si="58"/>
        <v/>
      </c>
      <c r="AS79" t="str">
        <f t="shared" si="49"/>
        <v>Defensive</v>
      </c>
      <c r="BI79" s="40"/>
      <c r="BL79" s="40"/>
      <c r="BN79" s="19"/>
      <c r="BP79" s="17"/>
    </row>
    <row r="80" spans="1:68" x14ac:dyDescent="0.2">
      <c r="A80" t="str">
        <f t="shared" si="50"/>
        <v/>
      </c>
      <c r="E80" s="4"/>
      <c r="F80" s="45"/>
      <c r="G80" s="4"/>
      <c r="H80" s="48"/>
      <c r="J80" s="46" t="str">
        <f t="shared" si="51"/>
        <v/>
      </c>
      <c r="N80" t="str">
        <f t="shared" si="44"/>
        <v/>
      </c>
      <c r="Q80" t="str">
        <f t="shared" ref="Q80:Q143" si="59">IF(O80="","",IF(AND(N80&lt;&gt;"",OR(O80&lt;&gt;"",P80&lt;&gt;"")),N80,IF(OR(ISNUMBER(SEARCH("attemp",O80)),ISNUMBER(SEARCH("beat",O80)),ISNUMBER(SEARCH("mis",O80)),ISNUMBER(SEARCH("fail",O80)),ISNUMBER(SEARCH("loss",O80)),ISNUMBER(SEARCH("lost",O80)),ISNUMBER(SEARCH("attemp",P80)),ISNUMBER(SEARCH("mis",P80)),ISNUMBER(SEARCH("fail",P80)),ISNUMBER(SEARCH("loss",P80)),ISNUMBER(SEARCH("beat",P80)),ISNUMBER(SEARCH("lost",P80))),"u","")))</f>
        <v/>
      </c>
      <c r="S80" t="str">
        <f>IF(A80=1,MAX(S$2:S79)+1,IF(OR(I80&lt;&gt;"",A80="x"),S79,""))</f>
        <v/>
      </c>
      <c r="T80" t="str">
        <f>IF(D80=1,MAX($T$2:$T79)+1,IF(S80=$S79,$S79,IF($D80="x",T79,IF($D79="x","",""))))</f>
        <v/>
      </c>
      <c r="U80" t="str">
        <f>IF(B80=1,MAX($U$2:$U79)+1,IF(AND($T80&lt;&gt;"",$T80=$T79),$U79,IF(B80="x",U79,"")))</f>
        <v/>
      </c>
      <c r="V80" t="str">
        <f>IF(C80=1,MAX($V$2:$V79)+1,IF(AND($T80&lt;&gt;"",$T80=$T79),$U79,IF(C80="x",V79,"")))</f>
        <v/>
      </c>
      <c r="W80" t="str" cm="1">
        <f t="array" ref="W80">IFERROR(_xlfn._xlws.FILTER(game_rosters!AB:AB,(game_rosters!J:J=events!X80)*(K80&lt;&gt;"")),"")</f>
        <v/>
      </c>
      <c r="X80" t="str" cm="1">
        <f t="array" ref="X80">IF(S80="","",IF($I80&lt;&gt;"",$I80,INDEX($I$2:$I79,ROW()-COUNTIFS($T$2:$T79,"="&amp;$T80,$S$2:$S79,"&lt;&gt;"&amp;$S80)-1)))</f>
        <v/>
      </c>
      <c r="Z80" s="6"/>
      <c r="AH80" t="str">
        <f t="shared" si="45"/>
        <v>o</v>
      </c>
      <c r="AI80" t="str">
        <f t="shared" si="52"/>
        <v/>
      </c>
      <c r="AJ80" t="str">
        <f t="shared" si="53"/>
        <v/>
      </c>
      <c r="AK80" t="str">
        <f t="shared" si="46"/>
        <v/>
      </c>
      <c r="AL80" t="str">
        <f t="shared" si="47"/>
        <v/>
      </c>
      <c r="AM80" t="str">
        <f t="shared" si="48"/>
        <v/>
      </c>
      <c r="AN80" t="str">
        <f t="shared" si="54"/>
        <v/>
      </c>
      <c r="AO80" t="str">
        <f t="shared" si="55"/>
        <v/>
      </c>
      <c r="AP80" t="str">
        <f t="shared" si="56"/>
        <v/>
      </c>
      <c r="AQ80" t="str">
        <f t="shared" si="57"/>
        <v/>
      </c>
      <c r="AR80" t="str">
        <f t="shared" si="58"/>
        <v/>
      </c>
      <c r="AS80" t="str">
        <f t="shared" si="49"/>
        <v>Defensive</v>
      </c>
      <c r="BI80" s="40"/>
      <c r="BL80" s="40"/>
      <c r="BN80" s="19"/>
      <c r="BP80" s="17"/>
    </row>
    <row r="81" spans="1:68" x14ac:dyDescent="0.2">
      <c r="A81" t="str">
        <f t="shared" si="50"/>
        <v/>
      </c>
      <c r="E81" s="4"/>
      <c r="F81" s="45"/>
      <c r="G81" s="4"/>
      <c r="H81" s="48"/>
      <c r="J81" s="46" t="str">
        <f t="shared" si="51"/>
        <v/>
      </c>
      <c r="N81" t="str">
        <f t="shared" si="44"/>
        <v/>
      </c>
      <c r="Q81" t="str">
        <f t="shared" si="59"/>
        <v/>
      </c>
      <c r="S81" t="str">
        <f>IF(A81=1,MAX(S$2:S80)+1,IF(OR(I81&lt;&gt;"",A81="x"),S80,""))</f>
        <v/>
      </c>
      <c r="T81" t="str">
        <f>IF(D81=1,MAX($T$2:$T80)+1,IF(S81=$S80,$S80,IF($D81="x",T80,IF($D80="x","",""))))</f>
        <v/>
      </c>
      <c r="U81" t="str">
        <f>IF(B81=1,MAX($U$2:$U80)+1,IF(AND($T81&lt;&gt;"",$T81=$T80),$U80,IF(B81="x",U80,"")))</f>
        <v/>
      </c>
      <c r="V81" t="str">
        <f>IF(C81=1,MAX($V$2:$V80)+1,IF(AND($T81&lt;&gt;"",$T81=$T80),$U80,IF(C81="x",V80,"")))</f>
        <v/>
      </c>
      <c r="W81" t="str" cm="1">
        <f t="array" ref="W81">IFERROR(_xlfn._xlws.FILTER(game_rosters!AB:AB,(game_rosters!J:J=events!X81)*(K81&lt;&gt;"")),"")</f>
        <v/>
      </c>
      <c r="X81" t="str" cm="1">
        <f t="array" ref="X81">IF(S81="","",IF($I81&lt;&gt;"",$I81,INDEX($I$2:$I80,ROW()-COUNTIFS($T$2:$T80,"="&amp;$T81,$S$2:$S80,"&lt;&gt;"&amp;$S81)-1)))</f>
        <v/>
      </c>
      <c r="Z81" s="6"/>
      <c r="AH81" t="str">
        <f t="shared" si="45"/>
        <v>o</v>
      </c>
      <c r="AI81" t="str">
        <f t="shared" si="52"/>
        <v/>
      </c>
      <c r="AJ81" t="str">
        <f t="shared" si="53"/>
        <v/>
      </c>
      <c r="AK81" t="str">
        <f t="shared" si="46"/>
        <v/>
      </c>
      <c r="AL81" t="str">
        <f t="shared" si="47"/>
        <v/>
      </c>
      <c r="AM81" t="str">
        <f t="shared" si="48"/>
        <v/>
      </c>
      <c r="AN81" t="str">
        <f t="shared" si="54"/>
        <v/>
      </c>
      <c r="AO81" t="str">
        <f t="shared" si="55"/>
        <v/>
      </c>
      <c r="AP81" t="str">
        <f t="shared" si="56"/>
        <v/>
      </c>
      <c r="AQ81" t="str">
        <f t="shared" si="57"/>
        <v/>
      </c>
      <c r="AR81" t="str">
        <f t="shared" si="58"/>
        <v/>
      </c>
      <c r="AS81" t="str">
        <f t="shared" si="49"/>
        <v>Defensive</v>
      </c>
      <c r="BI81" s="40"/>
      <c r="BL81" s="40"/>
      <c r="BN81" s="19"/>
      <c r="BP81" s="17"/>
    </row>
    <row r="82" spans="1:68" x14ac:dyDescent="0.2">
      <c r="A82" t="str">
        <f t="shared" si="50"/>
        <v/>
      </c>
      <c r="E82" s="4"/>
      <c r="F82" s="45"/>
      <c r="G82" s="4"/>
      <c r="H82" s="48"/>
      <c r="J82" s="46" t="str">
        <f t="shared" si="51"/>
        <v/>
      </c>
      <c r="N82" t="str">
        <f t="shared" si="44"/>
        <v/>
      </c>
      <c r="Q82" t="str">
        <f t="shared" si="59"/>
        <v/>
      </c>
      <c r="S82" t="str">
        <f>IF(A82=1,MAX(S$2:S81)+1,IF(OR(I82&lt;&gt;"",A82="x"),S81,""))</f>
        <v/>
      </c>
      <c r="T82" t="str">
        <f>IF(D82=1,MAX($T$2:$T81)+1,IF(S82=$S81,$S81,IF($D82="x",T81,IF($D81="x","",""))))</f>
        <v/>
      </c>
      <c r="U82" t="str">
        <f>IF(B82=1,MAX($U$2:$U81)+1,IF(AND($T82&lt;&gt;"",$T82=$T81),$U81,IF(B82="x",U81,"")))</f>
        <v/>
      </c>
      <c r="V82" t="str">
        <f>IF(C82=1,MAX($V$2:$V81)+1,IF(AND($T82&lt;&gt;"",$T82=$T81),$U81,IF(C82="x",V81,"")))</f>
        <v/>
      </c>
      <c r="W82" t="str" cm="1">
        <f t="array" ref="W82">IFERROR(_xlfn._xlws.FILTER(game_rosters!AB:AB,(game_rosters!J:J=events!X82)*(K82&lt;&gt;"")),"")</f>
        <v/>
      </c>
      <c r="X82" t="str" cm="1">
        <f t="array" ref="X82">IF(S82="","",IF($I82&lt;&gt;"",$I82,INDEX($I$2:$I81,ROW()-COUNTIFS($T$2:$T81,"="&amp;$T82,$S$2:$S81,"&lt;&gt;"&amp;$S82)-1)))</f>
        <v/>
      </c>
      <c r="Z82" s="6"/>
      <c r="AH82" t="str">
        <f t="shared" si="45"/>
        <v>o</v>
      </c>
      <c r="AI82" t="str">
        <f t="shared" si="52"/>
        <v/>
      </c>
      <c r="AJ82" t="str">
        <f t="shared" si="53"/>
        <v/>
      </c>
      <c r="AK82" t="str">
        <f t="shared" si="46"/>
        <v/>
      </c>
      <c r="AL82" t="str">
        <f t="shared" si="47"/>
        <v/>
      </c>
      <c r="AM82" t="str">
        <f t="shared" si="48"/>
        <v/>
      </c>
      <c r="AN82" t="str">
        <f t="shared" si="54"/>
        <v/>
      </c>
      <c r="AO82" t="str">
        <f t="shared" si="55"/>
        <v/>
      </c>
      <c r="AP82" t="str">
        <f t="shared" si="56"/>
        <v/>
      </c>
      <c r="AQ82" t="str">
        <f t="shared" si="57"/>
        <v/>
      </c>
      <c r="AR82" t="str">
        <f t="shared" si="58"/>
        <v/>
      </c>
      <c r="AS82" t="str">
        <f t="shared" si="49"/>
        <v>Defensive</v>
      </c>
      <c r="BI82" s="40"/>
      <c r="BL82" s="40"/>
      <c r="BN82" s="19"/>
      <c r="BP82" s="17"/>
    </row>
    <row r="83" spans="1:68" x14ac:dyDescent="0.2">
      <c r="A83" t="str">
        <f t="shared" si="50"/>
        <v/>
      </c>
      <c r="E83" s="4"/>
      <c r="F83" s="45"/>
      <c r="G83" s="4"/>
      <c r="H83" s="48"/>
      <c r="J83" s="46" t="str">
        <f t="shared" si="51"/>
        <v/>
      </c>
      <c r="N83" t="str">
        <f t="shared" si="44"/>
        <v/>
      </c>
      <c r="Q83" t="str">
        <f t="shared" si="59"/>
        <v/>
      </c>
      <c r="S83" t="str">
        <f>IF(A83=1,MAX(S$2:S82)+1,IF(OR(I83&lt;&gt;"",A83="x"),S82,""))</f>
        <v/>
      </c>
      <c r="T83" t="str">
        <f>IF(D83=1,MAX($T$2:$T82)+1,IF(S83=$S82,$S82,IF($D83="x",T82,IF($D82="x","",""))))</f>
        <v/>
      </c>
      <c r="U83" t="str">
        <f>IF(B83=1,MAX($U$2:$U82)+1,IF(AND($T83&lt;&gt;"",$T83=$T82),$U82,IF(B83="x",U82,"")))</f>
        <v/>
      </c>
      <c r="V83" t="str">
        <f>IF(C83=1,MAX($V$2:$V82)+1,IF(AND($T83&lt;&gt;"",$T83=$T82),$U82,IF(C83="x",V82,"")))</f>
        <v/>
      </c>
      <c r="W83" t="str" cm="1">
        <f t="array" ref="W83">IFERROR(_xlfn._xlws.FILTER(game_rosters!AB:AB,(game_rosters!J:J=events!X83)*(K83&lt;&gt;"")),"")</f>
        <v/>
      </c>
      <c r="X83" t="str" cm="1">
        <f t="array" ref="X83">IF(S83="","",IF($I83&lt;&gt;"",$I83,INDEX($I$2:$I82,ROW()-COUNTIFS($T$2:$T82,"="&amp;$T83,$S$2:$S82,"&lt;&gt;"&amp;$S83)-1)))</f>
        <v/>
      </c>
      <c r="Z83" s="6"/>
      <c r="AH83" t="str">
        <f t="shared" si="45"/>
        <v>o</v>
      </c>
      <c r="AI83" t="str">
        <f t="shared" si="52"/>
        <v/>
      </c>
      <c r="AJ83" t="str">
        <f t="shared" si="53"/>
        <v/>
      </c>
      <c r="AK83" t="str">
        <f t="shared" si="46"/>
        <v/>
      </c>
      <c r="AL83" t="str">
        <f t="shared" si="47"/>
        <v/>
      </c>
      <c r="AM83" t="str">
        <f t="shared" si="48"/>
        <v/>
      </c>
      <c r="AN83" t="str">
        <f t="shared" si="54"/>
        <v/>
      </c>
      <c r="AO83" t="str">
        <f t="shared" si="55"/>
        <v/>
      </c>
      <c r="AP83" t="str">
        <f t="shared" si="56"/>
        <v/>
      </c>
      <c r="AQ83" t="str">
        <f t="shared" si="57"/>
        <v/>
      </c>
      <c r="AR83" t="str">
        <f t="shared" si="58"/>
        <v/>
      </c>
      <c r="AS83" t="str">
        <f t="shared" si="49"/>
        <v>Defensive</v>
      </c>
      <c r="BI83" s="40"/>
      <c r="BL83" s="40"/>
      <c r="BN83" s="19"/>
      <c r="BP83" s="17"/>
    </row>
    <row r="84" spans="1:68" x14ac:dyDescent="0.2">
      <c r="A84" t="str">
        <f t="shared" si="50"/>
        <v/>
      </c>
      <c r="E84" s="4"/>
      <c r="F84" s="45"/>
      <c r="G84" s="4"/>
      <c r="H84" s="48"/>
      <c r="J84" s="46" t="str">
        <f t="shared" si="51"/>
        <v/>
      </c>
      <c r="N84" t="str">
        <f t="shared" si="44"/>
        <v/>
      </c>
      <c r="Q84" t="str">
        <f t="shared" si="59"/>
        <v/>
      </c>
      <c r="S84" t="str">
        <f>IF(A84=1,MAX(S$2:S83)+1,IF(OR(I84&lt;&gt;"",A84="x"),S83,""))</f>
        <v/>
      </c>
      <c r="T84" t="str">
        <f>IF(D84=1,MAX($T$2:$T83)+1,IF(S84=$S83,$S83,IF($D84="x",T83,IF($D83="x","",""))))</f>
        <v/>
      </c>
      <c r="U84" t="str">
        <f>IF(B84=1,MAX($U$2:$U83)+1,IF(AND($T84&lt;&gt;"",$T84=$T83),$U83,IF(B84="x",U83,"")))</f>
        <v/>
      </c>
      <c r="V84" t="str">
        <f>IF(C84=1,MAX($V$2:$V83)+1,IF(AND($T84&lt;&gt;"",$T84=$T83),$U83,IF(C84="x",V83,"")))</f>
        <v/>
      </c>
      <c r="W84" t="str" cm="1">
        <f t="array" ref="W84">IFERROR(_xlfn._xlws.FILTER(game_rosters!AB:AB,(game_rosters!J:J=events!X84)*(K84&lt;&gt;"")),"")</f>
        <v/>
      </c>
      <c r="X84" t="str" cm="1">
        <f t="array" ref="X84">IF(S84="","",IF($I84&lt;&gt;"",$I84,INDEX($I$2:$I83,ROW()-COUNTIFS($T$2:$T83,"="&amp;$T84,$S$2:$S83,"&lt;&gt;"&amp;$S84)-1)))</f>
        <v/>
      </c>
      <c r="Z84" s="6"/>
      <c r="AH84" t="str">
        <f t="shared" si="45"/>
        <v>o</v>
      </c>
      <c r="AI84" t="str">
        <f t="shared" si="52"/>
        <v/>
      </c>
      <c r="AJ84" t="str">
        <f t="shared" si="53"/>
        <v/>
      </c>
      <c r="AK84" t="str">
        <f t="shared" si="46"/>
        <v/>
      </c>
      <c r="AL84" t="str">
        <f t="shared" si="47"/>
        <v/>
      </c>
      <c r="AM84" t="str">
        <f t="shared" si="48"/>
        <v/>
      </c>
      <c r="AN84" t="str">
        <f t="shared" si="54"/>
        <v/>
      </c>
      <c r="AO84" t="str">
        <f t="shared" si="55"/>
        <v/>
      </c>
      <c r="AP84" t="str">
        <f t="shared" si="56"/>
        <v/>
      </c>
      <c r="AQ84" t="str">
        <f t="shared" si="57"/>
        <v/>
      </c>
      <c r="AR84" t="str">
        <f t="shared" si="58"/>
        <v/>
      </c>
      <c r="AS84" t="str">
        <f t="shared" si="49"/>
        <v>Defensive</v>
      </c>
      <c r="BI84" s="40"/>
      <c r="BL84" s="40"/>
      <c r="BN84" s="19"/>
      <c r="BP84" s="17"/>
    </row>
    <row r="85" spans="1:68" x14ac:dyDescent="0.2">
      <c r="A85" t="str">
        <f t="shared" si="50"/>
        <v/>
      </c>
      <c r="E85" s="4"/>
      <c r="F85" s="45"/>
      <c r="G85" s="4"/>
      <c r="H85" s="48"/>
      <c r="J85" s="46" t="str">
        <f t="shared" si="51"/>
        <v/>
      </c>
      <c r="N85" t="str">
        <f t="shared" ref="N85:N148" si="60">IF(K85="","",IF(K85="Goal","s",IF(AND(K85="Zone_Entry_Exit",OR(ISNUMBER(SEARCH("fail",L85)),ISNUMBER(SEARCH("FromExitClear",M85)),ISNUMBER(SEARCH("miss",M85)))),"u",IF(AND(K85="Zone_Entry_Exit",OR(NOT(ISNUMBER(SEARCH("fail",L85))),NOT(ISNUMBER(SEARCH("FromExitClear",M85))),NOT(ISNUMBER(SEARCH("miss",M85))))),"s",IF(AND(OR(K85="Shot",K85="Pass"),OR(ISNUMBER(SEARCH("complete",L85)),ISNUMBER(SEARCH("goal",L85)),ISNUMBER(SEARCH("OnNet",L85)))),"s",IF(L85="Turnover_Giveaway","u",IF(AND(OR(K85="Shot",K85="Pass"),OR(ISNUMBER(SEARCH("fail",L85)),NOT(ISNUMBER(SEARCH("complete",L85))),NOT(ISNUMBER(SEARCH("OnNet",L85))))),"u","")))))))</f>
        <v/>
      </c>
      <c r="Q85" t="str">
        <f t="shared" si="59"/>
        <v/>
      </c>
      <c r="S85" t="str">
        <f>IF(A85=1,MAX(S$2:S84)+1,IF(OR(I85&lt;&gt;"",A85="x"),S84,""))</f>
        <v/>
      </c>
      <c r="T85" t="str">
        <f>IF(D85=1,MAX($T$2:$T84)+1,IF(S85=$S84,$S84,IF($D85="x",T84,IF($D84="x","",""))))</f>
        <v/>
      </c>
      <c r="U85" t="str">
        <f>IF(B85=1,MAX($U$2:$U84)+1,IF(AND($T85&lt;&gt;"",$T85=$T84),$U84,IF(B85="x",U84,"")))</f>
        <v/>
      </c>
      <c r="V85" t="str">
        <f>IF(C85=1,MAX($V$2:$V84)+1,IF(AND($T85&lt;&gt;"",$T85=$T84),$U84,IF(C85="x",V84,"")))</f>
        <v/>
      </c>
      <c r="W85" t="str" cm="1">
        <f t="array" ref="W85">IFERROR(_xlfn._xlws.FILTER(game_rosters!AB:AB,(game_rosters!J:J=events!X85)*(K85&lt;&gt;"")),"")</f>
        <v/>
      </c>
      <c r="X85" t="str" cm="1">
        <f t="array" ref="X85">IF(S85="","",IF($I85&lt;&gt;"",$I85,INDEX($I$2:$I84,ROW()-COUNTIFS($T$2:$T84,"="&amp;$T85,$S$2:$S84,"&lt;&gt;"&amp;$S85)-1)))</f>
        <v/>
      </c>
      <c r="Z85" s="6"/>
      <c r="AH85" t="str">
        <f t="shared" si="45"/>
        <v>o</v>
      </c>
      <c r="AI85" t="str">
        <f t="shared" si="52"/>
        <v/>
      </c>
      <c r="AJ85" t="str">
        <f t="shared" si="53"/>
        <v/>
      </c>
      <c r="AK85" t="str">
        <f t="shared" si="46"/>
        <v/>
      </c>
      <c r="AL85" t="str">
        <f t="shared" si="47"/>
        <v/>
      </c>
      <c r="AM85" t="str">
        <f t="shared" si="48"/>
        <v/>
      </c>
      <c r="AN85" t="str">
        <f t="shared" si="54"/>
        <v/>
      </c>
      <c r="AO85" t="str">
        <f t="shared" si="55"/>
        <v/>
      </c>
      <c r="AP85" t="str">
        <f t="shared" si="56"/>
        <v/>
      </c>
      <c r="AQ85" t="str">
        <f t="shared" si="57"/>
        <v/>
      </c>
      <c r="AR85" t="str">
        <f t="shared" si="58"/>
        <v/>
      </c>
      <c r="AS85" t="str">
        <f t="shared" si="49"/>
        <v>Defensive</v>
      </c>
      <c r="BI85" s="40"/>
      <c r="BL85" s="40"/>
      <c r="BN85" s="19"/>
      <c r="BP85" s="17"/>
    </row>
    <row r="86" spans="1:68" x14ac:dyDescent="0.2">
      <c r="A86" t="str">
        <f t="shared" si="50"/>
        <v/>
      </c>
      <c r="E86" s="4"/>
      <c r="F86" s="45"/>
      <c r="G86" s="4"/>
      <c r="H86" s="48"/>
      <c r="J86" s="46" t="str">
        <f t="shared" si="51"/>
        <v/>
      </c>
      <c r="N86" t="str">
        <f t="shared" si="60"/>
        <v/>
      </c>
      <c r="Q86" t="str">
        <f t="shared" si="59"/>
        <v/>
      </c>
      <c r="S86" t="str">
        <f>IF(A86=1,MAX(S$2:S85)+1,IF(OR(I86&lt;&gt;"",A86="x"),S85,""))</f>
        <v/>
      </c>
      <c r="T86" t="str">
        <f>IF(D86=1,MAX($T$2:$T85)+1,IF(S86=$S85,$S85,IF($D86="x",T85,IF($D85="x","",""))))</f>
        <v/>
      </c>
      <c r="U86" t="str">
        <f>IF(B86=1,MAX($U$2:$U85)+1,IF(AND($T86&lt;&gt;"",$T86=$T85),$U85,IF(B86="x",U85,"")))</f>
        <v/>
      </c>
      <c r="V86" t="str">
        <f>IF(C86=1,MAX($V$2:$V85)+1,IF(AND($T86&lt;&gt;"",$T86=$T85),$U85,IF(C86="x",V85,"")))</f>
        <v/>
      </c>
      <c r="W86" t="str" cm="1">
        <f t="array" ref="W86">IFERROR(_xlfn._xlws.FILTER(game_rosters!AB:AB,(game_rosters!J:J=events!X86)*(K86&lt;&gt;"")),"")</f>
        <v/>
      </c>
      <c r="X86" t="str" cm="1">
        <f t="array" ref="X86">IF(S86="","",IF($I86&lt;&gt;"",$I86,INDEX($I$2:$I85,ROW()-COUNTIFS($T$2:$T85,"="&amp;$T86,$S$2:$S85,"&lt;&gt;"&amp;$S86)-1)))</f>
        <v/>
      </c>
      <c r="Z86" s="6"/>
      <c r="AH86" t="str">
        <f t="shared" si="45"/>
        <v>o</v>
      </c>
      <c r="AI86" t="str">
        <f t="shared" si="52"/>
        <v/>
      </c>
      <c r="AJ86" t="str">
        <f t="shared" si="53"/>
        <v/>
      </c>
      <c r="AK86" t="str">
        <f t="shared" si="46"/>
        <v/>
      </c>
      <c r="AL86" t="str">
        <f t="shared" si="47"/>
        <v/>
      </c>
      <c r="AM86" t="str">
        <f t="shared" si="48"/>
        <v/>
      </c>
      <c r="AN86" t="str">
        <f t="shared" si="54"/>
        <v/>
      </c>
      <c r="AO86" t="str">
        <f t="shared" si="55"/>
        <v/>
      </c>
      <c r="AP86" t="str">
        <f t="shared" si="56"/>
        <v/>
      </c>
      <c r="AQ86" t="str">
        <f t="shared" si="57"/>
        <v/>
      </c>
      <c r="AR86" t="str">
        <f t="shared" si="58"/>
        <v/>
      </c>
      <c r="AS86" t="str">
        <f t="shared" si="49"/>
        <v>Defensive</v>
      </c>
      <c r="BI86" s="40"/>
      <c r="BL86" s="40"/>
      <c r="BN86" s="19"/>
      <c r="BP86" s="17"/>
    </row>
    <row r="87" spans="1:68" x14ac:dyDescent="0.2">
      <c r="A87" t="str">
        <f t="shared" si="50"/>
        <v/>
      </c>
      <c r="E87" s="4"/>
      <c r="F87" s="45"/>
      <c r="G87" s="4"/>
      <c r="H87" s="48"/>
      <c r="J87" s="46" t="str">
        <f t="shared" si="51"/>
        <v/>
      </c>
      <c r="N87" t="str">
        <f t="shared" si="60"/>
        <v/>
      </c>
      <c r="Q87" t="str">
        <f t="shared" si="59"/>
        <v/>
      </c>
      <c r="S87" t="str">
        <f>IF(A87=1,MAX(S$2:S86)+1,IF(OR(I87&lt;&gt;"",A87="x"),S86,""))</f>
        <v/>
      </c>
      <c r="T87" t="str">
        <f>IF(D87=1,MAX($T$2:$T86)+1,IF(S87=$S86,$S86,IF($D87="x",T86,IF($D86="x","",""))))</f>
        <v/>
      </c>
      <c r="U87" t="str">
        <f>IF(B87=1,MAX($U$2:$U86)+1,IF(AND($T87&lt;&gt;"",$T87=$T86),$U86,IF(B87="x",U86,"")))</f>
        <v/>
      </c>
      <c r="V87" t="str">
        <f>IF(C87=1,MAX($V$2:$V86)+1,IF(AND($T87&lt;&gt;"",$T87=$T86),$U86,IF(C87="x",V86,"")))</f>
        <v/>
      </c>
      <c r="W87" t="str" cm="1">
        <f t="array" ref="W87">IFERROR(_xlfn._xlws.FILTER(game_rosters!AB:AB,(game_rosters!J:J=events!X87)*(K87&lt;&gt;"")),"")</f>
        <v/>
      </c>
      <c r="X87" t="str" cm="1">
        <f t="array" ref="X87">IF(S87="","",IF($I87&lt;&gt;"",$I87,INDEX($I$2:$I86,ROW()-COUNTIFS($T$2:$T86,"="&amp;$T87,$S$2:$S86,"&lt;&gt;"&amp;$S87)-1)))</f>
        <v/>
      </c>
      <c r="Z87" s="6"/>
      <c r="AH87" t="str">
        <f t="shared" si="45"/>
        <v>o</v>
      </c>
      <c r="AI87" t="str">
        <f t="shared" si="52"/>
        <v/>
      </c>
      <c r="AJ87" t="str">
        <f t="shared" si="53"/>
        <v/>
      </c>
      <c r="AK87" t="str">
        <f t="shared" si="46"/>
        <v/>
      </c>
      <c r="AL87" t="str">
        <f t="shared" si="47"/>
        <v/>
      </c>
      <c r="AM87" t="str">
        <f t="shared" si="48"/>
        <v/>
      </c>
      <c r="AN87" t="str">
        <f t="shared" si="54"/>
        <v/>
      </c>
      <c r="AO87" t="str">
        <f t="shared" si="55"/>
        <v/>
      </c>
      <c r="AP87" t="str">
        <f t="shared" si="56"/>
        <v/>
      </c>
      <c r="AQ87" t="str">
        <f t="shared" si="57"/>
        <v/>
      </c>
      <c r="AR87" t="str">
        <f t="shared" si="58"/>
        <v/>
      </c>
      <c r="AS87" t="str">
        <f t="shared" si="49"/>
        <v>Defensive</v>
      </c>
      <c r="BI87" s="40"/>
      <c r="BL87" s="40"/>
      <c r="BN87" s="19"/>
      <c r="BP87" s="17"/>
    </row>
    <row r="88" spans="1:68" x14ac:dyDescent="0.2">
      <c r="A88" t="str">
        <f t="shared" si="50"/>
        <v/>
      </c>
      <c r="E88" s="4"/>
      <c r="F88" s="45"/>
      <c r="G88" s="4"/>
      <c r="H88" s="48"/>
      <c r="J88" s="46" t="str">
        <f t="shared" si="51"/>
        <v/>
      </c>
      <c r="N88" t="str">
        <f t="shared" si="60"/>
        <v/>
      </c>
      <c r="Q88" t="str">
        <f t="shared" si="59"/>
        <v/>
      </c>
      <c r="S88" t="str">
        <f>IF(A88=1,MAX(S$2:S87)+1,IF(OR(I88&lt;&gt;"",A88="x"),S87,""))</f>
        <v/>
      </c>
      <c r="T88" t="str">
        <f>IF(D88=1,MAX($T$2:$T87)+1,IF(S88=$S87,$S87,IF($D88="x",T87,IF($D87="x","",""))))</f>
        <v/>
      </c>
      <c r="U88" t="str">
        <f>IF(B88=1,MAX($U$2:$U87)+1,IF(AND($T88&lt;&gt;"",$T88=$T87),$U87,IF(B88="x",U87,"")))</f>
        <v/>
      </c>
      <c r="V88" t="str">
        <f>IF(C88=1,MAX($V$2:$V87)+1,IF(AND($T88&lt;&gt;"",$T88=$T87),$U87,IF(C88="x",V87,"")))</f>
        <v/>
      </c>
      <c r="W88" t="str" cm="1">
        <f t="array" ref="W88">IFERROR(_xlfn._xlws.FILTER(game_rosters!AB:AB,(game_rosters!J:J=events!X88)*(K88&lt;&gt;"")),"")</f>
        <v/>
      </c>
      <c r="X88" t="str" cm="1">
        <f t="array" ref="X88">IF(S88="","",IF($I88&lt;&gt;"",$I88,INDEX($I$2:$I87,ROW()-COUNTIFS($T$2:$T87,"="&amp;$T88,$S$2:$S87,"&lt;&gt;"&amp;$S88)-1)))</f>
        <v/>
      </c>
      <c r="Z88" s="6"/>
      <c r="AH88" t="str">
        <f t="shared" si="45"/>
        <v>o</v>
      </c>
      <c r="AI88" t="str">
        <f t="shared" si="52"/>
        <v/>
      </c>
      <c r="AJ88" t="str">
        <f t="shared" si="53"/>
        <v/>
      </c>
      <c r="AK88" t="str">
        <f t="shared" si="46"/>
        <v/>
      </c>
      <c r="AL88" t="str">
        <f t="shared" si="47"/>
        <v/>
      </c>
      <c r="AM88" t="str">
        <f t="shared" si="48"/>
        <v/>
      </c>
      <c r="AN88" t="str">
        <f t="shared" si="54"/>
        <v/>
      </c>
      <c r="AO88" t="str">
        <f t="shared" si="55"/>
        <v/>
      </c>
      <c r="AP88" t="str">
        <f t="shared" si="56"/>
        <v/>
      </c>
      <c r="AQ88" t="str">
        <f t="shared" si="57"/>
        <v/>
      </c>
      <c r="AR88" t="str">
        <f t="shared" si="58"/>
        <v/>
      </c>
      <c r="AS88" t="str">
        <f t="shared" si="49"/>
        <v>Defensive</v>
      </c>
      <c r="BI88" s="40"/>
      <c r="BL88" s="40"/>
      <c r="BN88" s="19"/>
      <c r="BP88" s="17"/>
    </row>
    <row r="89" spans="1:68" x14ac:dyDescent="0.2">
      <c r="A89" t="str">
        <f t="shared" si="50"/>
        <v/>
      </c>
      <c r="E89" s="4"/>
      <c r="F89" s="45"/>
      <c r="G89" s="4"/>
      <c r="H89" s="48"/>
      <c r="J89" s="46" t="str">
        <f t="shared" si="51"/>
        <v/>
      </c>
      <c r="N89" t="str">
        <f t="shared" si="60"/>
        <v/>
      </c>
      <c r="Q89" t="str">
        <f t="shared" si="59"/>
        <v/>
      </c>
      <c r="S89" t="str">
        <f>IF(A89=1,MAX(S$2:S88)+1,IF(OR(I89&lt;&gt;"",A89="x"),S88,""))</f>
        <v/>
      </c>
      <c r="T89" t="str">
        <f>IF(D89=1,MAX($T$2:$T88)+1,IF(S89=$S88,$S88,IF($D89="x",T88,IF($D88="x","",""))))</f>
        <v/>
      </c>
      <c r="U89" t="str">
        <f>IF(B89=1,MAX($U$2:$U88)+1,IF(AND($T89&lt;&gt;"",$T89=$T88),$U88,IF(B89="x",U88,"")))</f>
        <v/>
      </c>
      <c r="V89" t="str">
        <f>IF(C89=1,MAX($V$2:$V88)+1,IF(AND($T89&lt;&gt;"",$T89=$T88),$U88,IF(C89="x",V88,"")))</f>
        <v/>
      </c>
      <c r="W89" t="str" cm="1">
        <f t="array" ref="W89">IFERROR(_xlfn._xlws.FILTER(game_rosters!AB:AB,(game_rosters!J:J=events!X89)*(K89&lt;&gt;"")),"")</f>
        <v/>
      </c>
      <c r="X89" t="str" cm="1">
        <f t="array" ref="X89">IF(S89="","",IF($I89&lt;&gt;"",$I89,INDEX($I$2:$I88,ROW()-COUNTIFS($T$2:$T88,"="&amp;$T89,$S$2:$S88,"&lt;&gt;"&amp;$S89)-1)))</f>
        <v/>
      </c>
      <c r="Z89" s="6"/>
      <c r="AH89" t="str">
        <f t="shared" si="45"/>
        <v>o</v>
      </c>
      <c r="AI89" t="str">
        <f t="shared" si="52"/>
        <v/>
      </c>
      <c r="AJ89" t="str">
        <f t="shared" si="53"/>
        <v/>
      </c>
      <c r="AK89" t="str">
        <f t="shared" si="46"/>
        <v/>
      </c>
      <c r="AL89" t="str">
        <f t="shared" si="47"/>
        <v/>
      </c>
      <c r="AM89" t="str">
        <f t="shared" si="48"/>
        <v/>
      </c>
      <c r="AN89" t="str">
        <f t="shared" si="54"/>
        <v/>
      </c>
      <c r="AO89" t="str">
        <f t="shared" si="55"/>
        <v/>
      </c>
      <c r="AP89" t="str">
        <f t="shared" si="56"/>
        <v/>
      </c>
      <c r="AQ89" t="str">
        <f t="shared" si="57"/>
        <v/>
      </c>
      <c r="AR89" t="str">
        <f t="shared" si="58"/>
        <v/>
      </c>
      <c r="AS89" t="str">
        <f t="shared" si="49"/>
        <v>Defensive</v>
      </c>
      <c r="BI89" s="40"/>
      <c r="BL89" s="40"/>
      <c r="BN89" s="19"/>
      <c r="BP89" s="17"/>
    </row>
    <row r="90" spans="1:68" x14ac:dyDescent="0.2">
      <c r="A90" t="str">
        <f t="shared" si="50"/>
        <v/>
      </c>
      <c r="E90" s="4"/>
      <c r="F90" s="45"/>
      <c r="G90" s="4"/>
      <c r="H90" s="48"/>
      <c r="J90" s="46" t="str">
        <f t="shared" si="51"/>
        <v/>
      </c>
      <c r="N90" t="str">
        <f t="shared" si="60"/>
        <v/>
      </c>
      <c r="Q90" t="str">
        <f t="shared" si="59"/>
        <v/>
      </c>
      <c r="S90" t="str">
        <f>IF(A90=1,MAX(S$2:S89)+1,IF(OR(I90&lt;&gt;"",A90="x"),S89,""))</f>
        <v/>
      </c>
      <c r="T90" t="str">
        <f>IF(D90=1,MAX($T$2:$T89)+1,IF(S90=$S89,$S89,IF($D90="x",T89,IF($D89="x","",""))))</f>
        <v/>
      </c>
      <c r="U90" t="str">
        <f>IF(B90=1,MAX($U$2:$U89)+1,IF(AND($T90&lt;&gt;"",$T90=$T89),$U89,IF(B90="x",U89,"")))</f>
        <v/>
      </c>
      <c r="V90" t="str">
        <f>IF(C90=1,MAX($V$2:$V89)+1,IF(AND($T90&lt;&gt;"",$T90=$T89),$U89,IF(C90="x",V89,"")))</f>
        <v/>
      </c>
      <c r="W90" t="str" cm="1">
        <f t="array" ref="W90">IFERROR(_xlfn._xlws.FILTER(game_rosters!AB:AB,(game_rosters!J:J=events!X90)*(K90&lt;&gt;"")),"")</f>
        <v/>
      </c>
      <c r="X90" t="str" cm="1">
        <f t="array" ref="X90">IF(S90="","",IF($I90&lt;&gt;"",$I90,INDEX($I$2:$I89,ROW()-COUNTIFS($T$2:$T89,"="&amp;$T90,$S$2:$S89,"&lt;&gt;"&amp;$S90)-1)))</f>
        <v/>
      </c>
      <c r="Z90" s="6"/>
      <c r="AH90" t="str">
        <f t="shared" si="45"/>
        <v>o</v>
      </c>
      <c r="AI90" t="str">
        <f t="shared" si="52"/>
        <v/>
      </c>
      <c r="AJ90" t="str">
        <f t="shared" si="53"/>
        <v/>
      </c>
      <c r="AK90" t="str">
        <f t="shared" si="46"/>
        <v/>
      </c>
      <c r="AL90" t="str">
        <f t="shared" si="47"/>
        <v/>
      </c>
      <c r="AM90" t="str">
        <f t="shared" si="48"/>
        <v/>
      </c>
      <c r="AN90" t="str">
        <f t="shared" si="54"/>
        <v/>
      </c>
      <c r="AO90" t="str">
        <f t="shared" si="55"/>
        <v/>
      </c>
      <c r="AP90" t="str">
        <f t="shared" si="56"/>
        <v/>
      </c>
      <c r="AQ90" t="str">
        <f t="shared" si="57"/>
        <v/>
      </c>
      <c r="AR90" t="str">
        <f t="shared" si="58"/>
        <v/>
      </c>
      <c r="AS90" t="str">
        <f t="shared" si="49"/>
        <v>Defensive</v>
      </c>
      <c r="BI90" s="40"/>
      <c r="BL90" s="40"/>
      <c r="BN90" s="19"/>
      <c r="BP90" s="17"/>
    </row>
    <row r="91" spans="1:68" x14ac:dyDescent="0.2">
      <c r="A91" t="str">
        <f t="shared" si="50"/>
        <v/>
      </c>
      <c r="E91" s="4"/>
      <c r="F91" s="45"/>
      <c r="G91" s="4"/>
      <c r="H91" s="48"/>
      <c r="J91" s="46" t="str">
        <f t="shared" si="51"/>
        <v/>
      </c>
      <c r="N91" t="str">
        <f t="shared" si="60"/>
        <v/>
      </c>
      <c r="Q91" t="str">
        <f t="shared" si="59"/>
        <v/>
      </c>
      <c r="S91" t="str">
        <f>IF(A91=1,MAX(S$2:S90)+1,IF(OR(I91&lt;&gt;"",A91="x"),S90,""))</f>
        <v/>
      </c>
      <c r="T91" t="str">
        <f>IF(D91=1,MAX($T$2:$T90)+1,IF(S91=$S90,$S90,IF($D91="x",T90,IF($D90="x","",""))))</f>
        <v/>
      </c>
      <c r="U91" t="str">
        <f>IF(B91=1,MAX($U$2:$U90)+1,IF(AND($T91&lt;&gt;"",$T91=$T90),$U90,IF(B91="x",U90,"")))</f>
        <v/>
      </c>
      <c r="V91" t="str">
        <f>IF(C91=1,MAX($V$2:$V90)+1,IF(AND($T91&lt;&gt;"",$T91=$T90),$U90,IF(C91="x",V90,"")))</f>
        <v/>
      </c>
      <c r="W91" t="str" cm="1">
        <f t="array" ref="W91">IFERROR(_xlfn._xlws.FILTER(game_rosters!AB:AB,(game_rosters!J:J=events!X91)*(K91&lt;&gt;"")),"")</f>
        <v/>
      </c>
      <c r="X91" t="str" cm="1">
        <f t="array" ref="X91">IF(S91="","",IF($I91&lt;&gt;"",$I91,INDEX($I$2:$I90,ROW()-COUNTIFS($T$2:$T90,"="&amp;$T91,$S$2:$S90,"&lt;&gt;"&amp;$S91)-1)))</f>
        <v/>
      </c>
      <c r="Z91" s="6"/>
      <c r="AH91" t="str">
        <f t="shared" si="45"/>
        <v>o</v>
      </c>
      <c r="AI91" t="str">
        <f t="shared" si="52"/>
        <v/>
      </c>
      <c r="AJ91" t="str">
        <f t="shared" si="53"/>
        <v/>
      </c>
      <c r="AK91" t="str">
        <f t="shared" si="46"/>
        <v/>
      </c>
      <c r="AL91" t="str">
        <f t="shared" si="47"/>
        <v/>
      </c>
      <c r="AM91" t="str">
        <f t="shared" si="48"/>
        <v/>
      </c>
      <c r="AN91" t="str">
        <f t="shared" si="54"/>
        <v/>
      </c>
      <c r="AO91" t="str">
        <f t="shared" si="55"/>
        <v/>
      </c>
      <c r="AP91" t="str">
        <f t="shared" si="56"/>
        <v/>
      </c>
      <c r="AQ91" t="str">
        <f t="shared" si="57"/>
        <v/>
      </c>
      <c r="AR91" t="str">
        <f t="shared" si="58"/>
        <v/>
      </c>
      <c r="AS91" t="str">
        <f t="shared" si="49"/>
        <v>Defensive</v>
      </c>
      <c r="BI91" s="40"/>
      <c r="BL91" s="40"/>
      <c r="BN91" s="19"/>
      <c r="BP91" s="17"/>
    </row>
    <row r="92" spans="1:68" x14ac:dyDescent="0.2">
      <c r="A92" t="str">
        <f t="shared" si="50"/>
        <v/>
      </c>
      <c r="E92" s="4"/>
      <c r="F92" s="45"/>
      <c r="G92" s="4"/>
      <c r="H92" s="48"/>
      <c r="J92" s="46" t="str">
        <f t="shared" si="51"/>
        <v/>
      </c>
      <c r="N92" t="str">
        <f t="shared" si="60"/>
        <v/>
      </c>
      <c r="Q92" t="str">
        <f t="shared" si="59"/>
        <v/>
      </c>
      <c r="S92" t="str">
        <f>IF(A92=1,MAX(S$2:S91)+1,IF(OR(I92&lt;&gt;"",A92="x"),S91,""))</f>
        <v/>
      </c>
      <c r="T92" t="str">
        <f>IF(D92=1,MAX($T$2:$T91)+1,IF(S92=$S91,$S91,IF($D92="x",T91,IF($D91="x","",""))))</f>
        <v/>
      </c>
      <c r="U92" t="str">
        <f>IF(B92=1,MAX($U$2:$U91)+1,IF(AND($T92&lt;&gt;"",$T92=$T91),$U91,IF(B92="x",U91,"")))</f>
        <v/>
      </c>
      <c r="V92" t="str">
        <f>IF(C92=1,MAX($V$2:$V91)+1,IF(AND($T92&lt;&gt;"",$T92=$T91),$U91,IF(C92="x",V91,"")))</f>
        <v/>
      </c>
      <c r="W92" t="str" cm="1">
        <f t="array" ref="W92">IFERROR(_xlfn._xlws.FILTER(game_rosters!AB:AB,(game_rosters!J:J=events!X92)*(K92&lt;&gt;"")),"")</f>
        <v/>
      </c>
      <c r="X92" t="str" cm="1">
        <f t="array" ref="X92">IF(S92="","",IF($I92&lt;&gt;"",$I92,INDEX($I$2:$I91,ROW()-COUNTIFS($T$2:$T91,"="&amp;$T92,$S$2:$S91,"&lt;&gt;"&amp;$S92)-1)))</f>
        <v/>
      </c>
      <c r="Z92" s="6"/>
      <c r="AH92" t="str">
        <f t="shared" si="45"/>
        <v>o</v>
      </c>
      <c r="AI92" t="str">
        <f t="shared" si="52"/>
        <v/>
      </c>
      <c r="AJ92" t="str">
        <f t="shared" si="53"/>
        <v/>
      </c>
      <c r="AK92" t="str">
        <f t="shared" si="46"/>
        <v/>
      </c>
      <c r="AL92" t="str">
        <f t="shared" si="47"/>
        <v/>
      </c>
      <c r="AM92" t="str">
        <f t="shared" si="48"/>
        <v/>
      </c>
      <c r="AN92" t="str">
        <f t="shared" si="54"/>
        <v/>
      </c>
      <c r="AO92" t="str">
        <f t="shared" si="55"/>
        <v/>
      </c>
      <c r="AP92" t="str">
        <f t="shared" si="56"/>
        <v/>
      </c>
      <c r="AQ92" t="str">
        <f t="shared" si="57"/>
        <v/>
      </c>
      <c r="AR92" t="str">
        <f t="shared" si="58"/>
        <v/>
      </c>
      <c r="AS92" t="str">
        <f t="shared" si="49"/>
        <v>Defensive</v>
      </c>
      <c r="BI92" s="40"/>
      <c r="BL92" s="40"/>
      <c r="BN92" s="19"/>
      <c r="BP92" s="17"/>
    </row>
    <row r="93" spans="1:68" x14ac:dyDescent="0.2">
      <c r="A93" t="str">
        <f t="shared" si="50"/>
        <v/>
      </c>
      <c r="E93" s="4"/>
      <c r="F93" s="45"/>
      <c r="G93" s="4"/>
      <c r="H93" s="48"/>
      <c r="J93" s="46" t="str">
        <f t="shared" si="51"/>
        <v/>
      </c>
      <c r="N93" t="str">
        <f t="shared" si="60"/>
        <v/>
      </c>
      <c r="Q93" t="str">
        <f t="shared" si="59"/>
        <v/>
      </c>
      <c r="S93" t="str">
        <f>IF(A93=1,MAX(S$2:S92)+1,IF(OR(I93&lt;&gt;"",A93="x"),S92,""))</f>
        <v/>
      </c>
      <c r="T93" t="str">
        <f>IF(D93=1,MAX($T$2:$T92)+1,IF(S93=$S92,$S92,IF($D93="x",T92,IF($D92="x","",""))))</f>
        <v/>
      </c>
      <c r="U93" t="str">
        <f>IF(B93=1,MAX($U$2:$U92)+1,IF(AND($T93&lt;&gt;"",$T93=$T92),$U92,IF(B93="x",U92,"")))</f>
        <v/>
      </c>
      <c r="V93" t="str">
        <f>IF(C93=1,MAX($V$2:$V92)+1,IF(AND($T93&lt;&gt;"",$T93=$T92),$U92,IF(C93="x",V92,"")))</f>
        <v/>
      </c>
      <c r="W93" t="str" cm="1">
        <f t="array" ref="W93">IFERROR(_xlfn._xlws.FILTER(game_rosters!AB:AB,(game_rosters!J:J=events!X93)*(K93&lt;&gt;"")),"")</f>
        <v/>
      </c>
      <c r="X93" t="str" cm="1">
        <f t="array" ref="X93">IF(S93="","",IF($I93&lt;&gt;"",$I93,INDEX($I$2:$I92,ROW()-COUNTIFS($T$2:$T92,"="&amp;$T93,$S$2:$S92,"&lt;&gt;"&amp;$S93)-1)))</f>
        <v/>
      </c>
      <c r="Z93" s="6"/>
      <c r="AH93" t="str">
        <f t="shared" si="45"/>
        <v>o</v>
      </c>
      <c r="AI93" t="str">
        <f t="shared" si="52"/>
        <v/>
      </c>
      <c r="AJ93" t="str">
        <f t="shared" si="53"/>
        <v/>
      </c>
      <c r="AK93" t="str">
        <f t="shared" si="46"/>
        <v/>
      </c>
      <c r="AL93" t="str">
        <f t="shared" si="47"/>
        <v/>
      </c>
      <c r="AM93" t="str">
        <f t="shared" si="48"/>
        <v/>
      </c>
      <c r="AN93" t="str">
        <f t="shared" si="54"/>
        <v/>
      </c>
      <c r="AO93" t="str">
        <f t="shared" si="55"/>
        <v/>
      </c>
      <c r="AP93" t="str">
        <f t="shared" si="56"/>
        <v/>
      </c>
      <c r="AQ93" t="str">
        <f t="shared" si="57"/>
        <v/>
      </c>
      <c r="AR93" t="str">
        <f t="shared" si="58"/>
        <v/>
      </c>
      <c r="AS93" t="str">
        <f t="shared" si="49"/>
        <v>Defensive</v>
      </c>
      <c r="BI93" s="40"/>
      <c r="BL93" s="40"/>
      <c r="BN93" s="19"/>
      <c r="BP93" s="17"/>
    </row>
    <row r="94" spans="1:68" x14ac:dyDescent="0.2">
      <c r="A94" t="str">
        <f t="shared" si="50"/>
        <v/>
      </c>
      <c r="E94" s="4"/>
      <c r="F94" s="45"/>
      <c r="G94" s="4"/>
      <c r="H94" s="48"/>
      <c r="J94" s="46" t="str">
        <f t="shared" si="51"/>
        <v/>
      </c>
      <c r="N94" t="str">
        <f t="shared" si="60"/>
        <v/>
      </c>
      <c r="Q94" t="str">
        <f t="shared" si="59"/>
        <v/>
      </c>
      <c r="S94" t="str">
        <f>IF(A94=1,MAX(S$2:S93)+1,IF(OR(I94&lt;&gt;"",A94="x"),S93,""))</f>
        <v/>
      </c>
      <c r="T94" t="str">
        <f>IF(D94=1,MAX($T$2:$T93)+1,IF(S94=$S93,$S93,IF($D94="x",T93,IF($D93="x","",""))))</f>
        <v/>
      </c>
      <c r="U94" t="str">
        <f>IF(B94=1,MAX($U$2:$U93)+1,IF(AND($T94&lt;&gt;"",$T94=$T93),$U93,IF(B94="x",U93,"")))</f>
        <v/>
      </c>
      <c r="V94" t="str">
        <f>IF(C94=1,MAX($V$2:$V93)+1,IF(AND($T94&lt;&gt;"",$T94=$T93),$U93,IF(C94="x",V93,"")))</f>
        <v/>
      </c>
      <c r="W94" t="str" cm="1">
        <f t="array" ref="W94">IFERROR(_xlfn._xlws.FILTER(game_rosters!AB:AB,(game_rosters!J:J=events!X94)*(K94&lt;&gt;"")),"")</f>
        <v/>
      </c>
      <c r="X94" t="str" cm="1">
        <f t="array" ref="X94">IF(S94="","",IF($I94&lt;&gt;"",$I94,INDEX($I$2:$I93,ROW()-COUNTIFS($T$2:$T93,"="&amp;$T94,$S$2:$S93,"&lt;&gt;"&amp;$S94)-1)))</f>
        <v/>
      </c>
      <c r="Z94" s="6"/>
      <c r="AH94" t="str">
        <f t="shared" si="45"/>
        <v>o</v>
      </c>
      <c r="AI94" t="str">
        <f t="shared" si="52"/>
        <v/>
      </c>
      <c r="AJ94" t="str">
        <f t="shared" si="53"/>
        <v/>
      </c>
      <c r="AK94" t="str">
        <f t="shared" si="46"/>
        <v/>
      </c>
      <c r="AL94" t="str">
        <f t="shared" si="47"/>
        <v/>
      </c>
      <c r="AM94" t="str">
        <f t="shared" si="48"/>
        <v/>
      </c>
      <c r="AN94" t="str">
        <f t="shared" si="54"/>
        <v/>
      </c>
      <c r="AO94" t="str">
        <f t="shared" si="55"/>
        <v/>
      </c>
      <c r="AP94" t="str">
        <f t="shared" si="56"/>
        <v/>
      </c>
      <c r="AQ94" t="str">
        <f t="shared" si="57"/>
        <v/>
      </c>
      <c r="AR94" t="str">
        <f t="shared" si="58"/>
        <v/>
      </c>
      <c r="AS94" t="str">
        <f t="shared" si="49"/>
        <v>Defensive</v>
      </c>
      <c r="BI94" s="40"/>
      <c r="BL94" s="40"/>
      <c r="BN94" s="19"/>
      <c r="BP94" s="17"/>
    </row>
    <row r="95" spans="1:68" x14ac:dyDescent="0.2">
      <c r="A95" t="str">
        <f t="shared" si="50"/>
        <v/>
      </c>
      <c r="E95" s="4"/>
      <c r="F95" s="45"/>
      <c r="G95" s="4"/>
      <c r="H95" s="48"/>
      <c r="J95" s="46" t="str">
        <f t="shared" si="51"/>
        <v/>
      </c>
      <c r="N95" t="str">
        <f t="shared" si="60"/>
        <v/>
      </c>
      <c r="Q95" t="str">
        <f t="shared" si="59"/>
        <v/>
      </c>
      <c r="S95" t="str">
        <f>IF(A95=1,MAX(S$2:S94)+1,IF(OR(I95&lt;&gt;"",A95="x"),S94,""))</f>
        <v/>
      </c>
      <c r="T95" t="str">
        <f>IF(D95=1,MAX($T$2:$T94)+1,IF(S95=$S94,$S94,IF($D95="x",T94,IF($D94="x","",""))))</f>
        <v/>
      </c>
      <c r="U95" t="str">
        <f>IF(B95=1,MAX($U$2:$U94)+1,IF(AND($T95&lt;&gt;"",$T95=$T94),$U94,IF(B95="x",U94,"")))</f>
        <v/>
      </c>
      <c r="V95" t="str">
        <f>IF(C95=1,MAX($V$2:$V94)+1,IF(AND($T95&lt;&gt;"",$T95=$T94),$U94,IF(C95="x",V94,"")))</f>
        <v/>
      </c>
      <c r="W95" t="str" cm="1">
        <f t="array" ref="W95">IFERROR(_xlfn._xlws.FILTER(game_rosters!AB:AB,(game_rosters!J:J=events!X95)*(K95&lt;&gt;"")),"")</f>
        <v/>
      </c>
      <c r="X95" t="str" cm="1">
        <f t="array" ref="X95">IF(S95="","",IF($I95&lt;&gt;"",$I95,INDEX($I$2:$I94,ROW()-COUNTIFS($T$2:$T94,"="&amp;$T95,$S$2:$S94,"&lt;&gt;"&amp;$S95)-1)))</f>
        <v/>
      </c>
      <c r="Z95" s="6"/>
      <c r="AH95" t="str">
        <f t="shared" si="45"/>
        <v>o</v>
      </c>
      <c r="AI95" t="str">
        <f t="shared" si="52"/>
        <v/>
      </c>
      <c r="AJ95" t="str">
        <f t="shared" si="53"/>
        <v/>
      </c>
      <c r="AK95" t="str">
        <f t="shared" si="46"/>
        <v/>
      </c>
      <c r="AL95" t="str">
        <f t="shared" si="47"/>
        <v/>
      </c>
      <c r="AM95" t="str">
        <f t="shared" si="48"/>
        <v/>
      </c>
      <c r="AN95" t="str">
        <f t="shared" si="54"/>
        <v/>
      </c>
      <c r="AO95" t="str">
        <f t="shared" si="55"/>
        <v/>
      </c>
      <c r="AP95" t="str">
        <f t="shared" si="56"/>
        <v/>
      </c>
      <c r="AQ95" t="str">
        <f t="shared" si="57"/>
        <v/>
      </c>
      <c r="AR95" t="str">
        <f t="shared" si="58"/>
        <v/>
      </c>
      <c r="AS95" t="str">
        <f t="shared" si="49"/>
        <v>Defensive</v>
      </c>
      <c r="BI95" s="40"/>
      <c r="BL95" s="40"/>
      <c r="BN95" s="19"/>
      <c r="BP95" s="17"/>
    </row>
    <row r="96" spans="1:68" x14ac:dyDescent="0.2">
      <c r="A96" t="str">
        <f t="shared" si="50"/>
        <v/>
      </c>
      <c r="E96" s="4"/>
      <c r="F96" s="45"/>
      <c r="G96" s="4"/>
      <c r="H96" s="48"/>
      <c r="J96" s="46" t="str">
        <f t="shared" si="51"/>
        <v/>
      </c>
      <c r="N96" t="str">
        <f t="shared" si="60"/>
        <v/>
      </c>
      <c r="Q96" t="str">
        <f t="shared" si="59"/>
        <v/>
      </c>
      <c r="S96" t="str">
        <f>IF(A96=1,MAX(S$2:S95)+1,IF(OR(I96&lt;&gt;"",A96="x"),S95,""))</f>
        <v/>
      </c>
      <c r="T96" t="str">
        <f>IF(D96=1,MAX($T$2:$T95)+1,IF(S96=$S95,$S95,IF($D96="x",T95,IF($D95="x","",""))))</f>
        <v/>
      </c>
      <c r="U96" t="str">
        <f>IF(B96=1,MAX($U$2:$U95)+1,IF(AND($T96&lt;&gt;"",$T96=$T95),$U95,IF(B96="x",U95,"")))</f>
        <v/>
      </c>
      <c r="V96" t="str">
        <f>IF(C96=1,MAX($V$2:$V95)+1,IF(AND($T96&lt;&gt;"",$T96=$T95),$U95,IF(C96="x",V95,"")))</f>
        <v/>
      </c>
      <c r="W96" t="str" cm="1">
        <f t="array" ref="W96">IFERROR(_xlfn._xlws.FILTER(game_rosters!AB:AB,(game_rosters!J:J=events!X96)*(K96&lt;&gt;"")),"")</f>
        <v/>
      </c>
      <c r="X96" t="str" cm="1">
        <f t="array" ref="X96">IF(S96="","",IF($I96&lt;&gt;"",$I96,INDEX($I$2:$I95,ROW()-COUNTIFS($T$2:$T95,"="&amp;$T96,$S$2:$S95,"&lt;&gt;"&amp;$S96)-1)))</f>
        <v/>
      </c>
      <c r="Z96" s="6"/>
      <c r="AH96" t="str">
        <f t="shared" si="45"/>
        <v>o</v>
      </c>
      <c r="AI96" t="str">
        <f t="shared" si="52"/>
        <v/>
      </c>
      <c r="AJ96" t="str">
        <f t="shared" si="53"/>
        <v/>
      </c>
      <c r="AK96" t="str">
        <f t="shared" si="46"/>
        <v/>
      </c>
      <c r="AL96" t="str">
        <f t="shared" si="47"/>
        <v/>
      </c>
      <c r="AM96" t="str">
        <f t="shared" si="48"/>
        <v/>
      </c>
      <c r="AN96" t="str">
        <f t="shared" si="54"/>
        <v/>
      </c>
      <c r="AO96" t="str">
        <f t="shared" si="55"/>
        <v/>
      </c>
      <c r="AP96" t="str">
        <f t="shared" si="56"/>
        <v/>
      </c>
      <c r="AQ96" t="str">
        <f t="shared" si="57"/>
        <v/>
      </c>
      <c r="AR96" t="str">
        <f t="shared" si="58"/>
        <v/>
      </c>
      <c r="AS96" t="str">
        <f t="shared" si="49"/>
        <v>Defensive</v>
      </c>
      <c r="BI96" s="40"/>
      <c r="BL96" s="40"/>
      <c r="BN96" s="19"/>
      <c r="BP96" s="17"/>
    </row>
    <row r="97" spans="1:68" x14ac:dyDescent="0.2">
      <c r="A97" t="str">
        <f t="shared" si="50"/>
        <v/>
      </c>
      <c r="E97" s="4"/>
      <c r="F97" s="45"/>
      <c r="G97" s="4"/>
      <c r="H97" s="48"/>
      <c r="J97" s="46" t="str">
        <f t="shared" si="51"/>
        <v/>
      </c>
      <c r="N97" t="str">
        <f t="shared" si="60"/>
        <v/>
      </c>
      <c r="Q97" t="str">
        <f t="shared" si="59"/>
        <v/>
      </c>
      <c r="S97" t="str">
        <f>IF(A97=1,MAX(S$2:S96)+1,IF(OR(I97&lt;&gt;"",A97="x"),S96,""))</f>
        <v/>
      </c>
      <c r="T97" t="str">
        <f>IF(D97=1,MAX($T$2:$T96)+1,IF(S97=$S96,$S96,IF($D97="x",T96,IF($D96="x","",""))))</f>
        <v/>
      </c>
      <c r="U97" t="str">
        <f>IF(B97=1,MAX($U$2:$U96)+1,IF(AND($T97&lt;&gt;"",$T97=$T96),$U96,IF(B97="x",U96,"")))</f>
        <v/>
      </c>
      <c r="V97" t="str">
        <f>IF(C97=1,MAX($V$2:$V96)+1,IF(AND($T97&lt;&gt;"",$T97=$T96),$U96,IF(C97="x",V96,"")))</f>
        <v/>
      </c>
      <c r="W97" t="str" cm="1">
        <f t="array" ref="W97">IFERROR(_xlfn._xlws.FILTER(game_rosters!AB:AB,(game_rosters!J:J=events!X97)*(K97&lt;&gt;"")),"")</f>
        <v/>
      </c>
      <c r="X97" t="str" cm="1">
        <f t="array" ref="X97">IF(S97="","",IF($I97&lt;&gt;"",$I97,INDEX($I$2:$I96,ROW()-COUNTIFS($T$2:$T96,"="&amp;$T97,$S$2:$S96,"&lt;&gt;"&amp;$S97)-1)))</f>
        <v/>
      </c>
      <c r="Z97" s="6"/>
      <c r="AH97" t="str">
        <f t="shared" si="45"/>
        <v>o</v>
      </c>
      <c r="AI97" t="str">
        <f t="shared" si="52"/>
        <v/>
      </c>
      <c r="AJ97" t="str">
        <f t="shared" si="53"/>
        <v/>
      </c>
      <c r="AK97" t="str">
        <f t="shared" si="46"/>
        <v/>
      </c>
      <c r="AL97" t="str">
        <f t="shared" si="47"/>
        <v/>
      </c>
      <c r="AM97" t="str">
        <f t="shared" si="48"/>
        <v/>
      </c>
      <c r="AN97" t="str">
        <f t="shared" si="54"/>
        <v/>
      </c>
      <c r="AO97" t="str">
        <f t="shared" si="55"/>
        <v/>
      </c>
      <c r="AP97" t="str">
        <f t="shared" si="56"/>
        <v/>
      </c>
      <c r="AQ97" t="str">
        <f t="shared" si="57"/>
        <v/>
      </c>
      <c r="AR97" t="str">
        <f t="shared" si="58"/>
        <v/>
      </c>
      <c r="AS97" t="str">
        <f t="shared" si="49"/>
        <v>Defensive</v>
      </c>
      <c r="BI97" s="40"/>
      <c r="BL97" s="40"/>
      <c r="BN97" s="19"/>
      <c r="BP97" s="17"/>
    </row>
    <row r="98" spans="1:68" x14ac:dyDescent="0.2">
      <c r="A98" t="str">
        <f t="shared" si="50"/>
        <v/>
      </c>
      <c r="E98" s="4"/>
      <c r="F98" s="45"/>
      <c r="G98" s="4"/>
      <c r="H98" s="48"/>
      <c r="J98" s="46" t="str">
        <f t="shared" si="51"/>
        <v/>
      </c>
      <c r="N98" t="str">
        <f t="shared" si="60"/>
        <v/>
      </c>
      <c r="Q98" t="str">
        <f t="shared" si="59"/>
        <v/>
      </c>
      <c r="S98" t="str">
        <f>IF(A98=1,MAX(S$2:S97)+1,IF(OR(I98&lt;&gt;"",A98="x"),S97,""))</f>
        <v/>
      </c>
      <c r="T98" t="str">
        <f>IF(D98=1,MAX($T$2:$T97)+1,IF(S98=$S97,$S97,IF($D98="x",T97,IF($D97="x","",""))))</f>
        <v/>
      </c>
      <c r="U98" t="str">
        <f>IF(B98=1,MAX($U$2:$U97)+1,IF(AND($T98&lt;&gt;"",$T98=$T97),$U97,IF(B98="x",U97,"")))</f>
        <v/>
      </c>
      <c r="V98" t="str">
        <f>IF(C98=1,MAX($V$2:$V97)+1,IF(AND($T98&lt;&gt;"",$T98=$T97),$U97,IF(C98="x",V97,"")))</f>
        <v/>
      </c>
      <c r="W98" t="str" cm="1">
        <f t="array" ref="W98">IFERROR(_xlfn._xlws.FILTER(game_rosters!AB:AB,(game_rosters!J:J=events!X98)*(K98&lt;&gt;"")),"")</f>
        <v/>
      </c>
      <c r="X98" t="str" cm="1">
        <f t="array" ref="X98">IF(S98="","",IF($I98&lt;&gt;"",$I98,INDEX($I$2:$I97,ROW()-COUNTIFS($T$2:$T97,"="&amp;$T98,$S$2:$S97,"&lt;&gt;"&amp;$S98)-1)))</f>
        <v/>
      </c>
      <c r="Z98" s="6"/>
      <c r="AH98" t="str">
        <f t="shared" si="45"/>
        <v>o</v>
      </c>
      <c r="AI98" t="str">
        <f t="shared" si="52"/>
        <v/>
      </c>
      <c r="AJ98" t="str">
        <f t="shared" si="53"/>
        <v/>
      </c>
      <c r="AK98" t="str">
        <f t="shared" si="46"/>
        <v/>
      </c>
      <c r="AL98" t="str">
        <f t="shared" si="47"/>
        <v/>
      </c>
      <c r="AM98" t="str">
        <f t="shared" si="48"/>
        <v/>
      </c>
      <c r="AN98" t="str">
        <f t="shared" si="54"/>
        <v/>
      </c>
      <c r="AO98" t="str">
        <f t="shared" si="55"/>
        <v/>
      </c>
      <c r="AP98" t="str">
        <f t="shared" si="56"/>
        <v/>
      </c>
      <c r="AQ98" t="str">
        <f t="shared" si="57"/>
        <v/>
      </c>
      <c r="AR98" t="str">
        <f t="shared" si="58"/>
        <v/>
      </c>
      <c r="AS98" t="str">
        <f t="shared" si="49"/>
        <v>Defensive</v>
      </c>
      <c r="BI98" s="40"/>
      <c r="BL98" s="40"/>
      <c r="BN98" s="19"/>
      <c r="BP98" s="17"/>
    </row>
    <row r="99" spans="1:68" x14ac:dyDescent="0.2">
      <c r="A99" t="str">
        <f t="shared" si="50"/>
        <v/>
      </c>
      <c r="E99" s="4"/>
      <c r="F99" s="45"/>
      <c r="G99" s="4"/>
      <c r="H99" s="48"/>
      <c r="J99" s="46" t="str">
        <f t="shared" si="51"/>
        <v/>
      </c>
      <c r="N99" t="str">
        <f t="shared" si="60"/>
        <v/>
      </c>
      <c r="Q99" t="str">
        <f t="shared" si="59"/>
        <v/>
      </c>
      <c r="S99" t="str">
        <f>IF(A99=1,MAX(S$2:S98)+1,IF(OR(I99&lt;&gt;"",A99="x"),S98,""))</f>
        <v/>
      </c>
      <c r="T99" t="str">
        <f>IF(D99=1,MAX($T$2:$T98)+1,IF(S99=$S98,$S98,IF($D99="x",T98,IF($D98="x","",""))))</f>
        <v/>
      </c>
      <c r="U99" t="str">
        <f>IF(B99=1,MAX($U$2:$U98)+1,IF(AND($T99&lt;&gt;"",$T99=$T98),$U98,IF(B99="x",U98,"")))</f>
        <v/>
      </c>
      <c r="V99" t="str">
        <f>IF(C99=1,MAX($V$2:$V98)+1,IF(AND($T99&lt;&gt;"",$T99=$T98),$U98,IF(C99="x",V98,"")))</f>
        <v/>
      </c>
      <c r="W99" t="str" cm="1">
        <f t="array" ref="W99">IFERROR(_xlfn._xlws.FILTER(game_rosters!AB:AB,(game_rosters!J:J=events!X99)*(K99&lt;&gt;"")),"")</f>
        <v/>
      </c>
      <c r="X99" t="str" cm="1">
        <f t="array" ref="X99">IF(S99="","",IF($I99&lt;&gt;"",$I99,INDEX($I$2:$I98,ROW()-COUNTIFS($T$2:$T98,"="&amp;$T99,$S$2:$S98,"&lt;&gt;"&amp;$S99)-1)))</f>
        <v/>
      </c>
      <c r="Z99" s="6"/>
      <c r="AH99" t="str">
        <f t="shared" si="45"/>
        <v>o</v>
      </c>
      <c r="AI99" t="str">
        <f t="shared" si="52"/>
        <v/>
      </c>
      <c r="AJ99" t="str">
        <f t="shared" si="53"/>
        <v/>
      </c>
      <c r="AK99" t="str">
        <f t="shared" si="46"/>
        <v/>
      </c>
      <c r="AL99" t="str">
        <f t="shared" si="47"/>
        <v/>
      </c>
      <c r="AM99" t="str">
        <f t="shared" si="48"/>
        <v/>
      </c>
      <c r="AN99" t="str">
        <f t="shared" si="54"/>
        <v/>
      </c>
      <c r="AO99" t="str">
        <f t="shared" si="55"/>
        <v/>
      </c>
      <c r="AP99" t="str">
        <f t="shared" si="56"/>
        <v/>
      </c>
      <c r="AQ99" t="str">
        <f t="shared" si="57"/>
        <v/>
      </c>
      <c r="AR99" t="str">
        <f t="shared" si="58"/>
        <v/>
      </c>
      <c r="AS99" t="str">
        <f t="shared" si="49"/>
        <v>Defensive</v>
      </c>
      <c r="BI99" s="40"/>
      <c r="BL99" s="40"/>
      <c r="BN99" s="19"/>
      <c r="BP99" s="17"/>
    </row>
    <row r="100" spans="1:68" x14ac:dyDescent="0.2">
      <c r="A100" t="str">
        <f t="shared" si="50"/>
        <v/>
      </c>
      <c r="E100" s="4"/>
      <c r="F100" s="45"/>
      <c r="G100" s="4"/>
      <c r="H100" s="48"/>
      <c r="J100" s="46" t="str">
        <f t="shared" si="51"/>
        <v/>
      </c>
      <c r="N100" t="str">
        <f t="shared" si="60"/>
        <v/>
      </c>
      <c r="Q100" t="str">
        <f t="shared" si="59"/>
        <v/>
      </c>
      <c r="S100" t="str">
        <f>IF(A100=1,MAX(S$2:S99)+1,IF(OR(I100&lt;&gt;"",A100="x"),S99,""))</f>
        <v/>
      </c>
      <c r="T100" t="str">
        <f>IF(D100=1,MAX($T$2:$T99)+1,IF(S100=$S99,$S99,IF($D100="x",T99,IF($D99="x","",""))))</f>
        <v/>
      </c>
      <c r="U100" t="str">
        <f>IF(B100=1,MAX($U$2:$U99)+1,IF(AND($T100&lt;&gt;"",$T100=$T99),$U99,IF(B100="x",U99,"")))</f>
        <v/>
      </c>
      <c r="V100" t="str">
        <f>IF(C100=1,MAX($V$2:$V99)+1,IF(AND($T100&lt;&gt;"",$T100=$T99),$U99,IF(C100="x",V99,"")))</f>
        <v/>
      </c>
      <c r="W100" t="str" cm="1">
        <f t="array" ref="W100">IFERROR(_xlfn._xlws.FILTER(game_rosters!AB:AB,(game_rosters!J:J=events!X100)*(K100&lt;&gt;"")),"")</f>
        <v/>
      </c>
      <c r="X100" t="str" cm="1">
        <f t="array" ref="X100">IF(S100="","",IF($I100&lt;&gt;"",$I100,INDEX($I$2:$I99,ROW()-COUNTIFS($T$2:$T99,"="&amp;$T100,$S$2:$S99,"&lt;&gt;"&amp;$S100)-1)))</f>
        <v/>
      </c>
      <c r="Z100" s="6"/>
      <c r="AH100" t="str">
        <f t="shared" si="45"/>
        <v>o</v>
      </c>
      <c r="AI100" t="str">
        <f t="shared" si="52"/>
        <v/>
      </c>
      <c r="AJ100" t="str">
        <f t="shared" si="53"/>
        <v/>
      </c>
      <c r="AK100" t="str">
        <f t="shared" si="46"/>
        <v/>
      </c>
      <c r="AL100" t="str">
        <f t="shared" si="47"/>
        <v/>
      </c>
      <c r="AM100" t="str">
        <f t="shared" si="48"/>
        <v/>
      </c>
      <c r="AN100" t="str">
        <f t="shared" si="54"/>
        <v/>
      </c>
      <c r="AO100" t="str">
        <f t="shared" si="55"/>
        <v/>
      </c>
      <c r="AP100" t="str">
        <f t="shared" si="56"/>
        <v/>
      </c>
      <c r="AQ100" t="str">
        <f t="shared" si="57"/>
        <v/>
      </c>
      <c r="AR100" t="str">
        <f t="shared" si="58"/>
        <v/>
      </c>
      <c r="AS100" t="str">
        <f t="shared" si="49"/>
        <v>Defensive</v>
      </c>
      <c r="BI100" s="40"/>
      <c r="BL100" s="40"/>
      <c r="BN100" s="19"/>
      <c r="BP100" s="17"/>
    </row>
    <row r="101" spans="1:68" x14ac:dyDescent="0.2">
      <c r="A101" t="str">
        <f t="shared" si="50"/>
        <v/>
      </c>
      <c r="E101" s="4"/>
      <c r="F101" s="45"/>
      <c r="G101" s="4"/>
      <c r="H101" s="48"/>
      <c r="J101" s="46" t="str">
        <f t="shared" si="51"/>
        <v/>
      </c>
      <c r="N101" t="str">
        <f t="shared" si="60"/>
        <v/>
      </c>
      <c r="Q101" t="str">
        <f t="shared" si="59"/>
        <v/>
      </c>
      <c r="S101" t="str">
        <f>IF(A101=1,MAX(S$2:S100)+1,IF(OR(I101&lt;&gt;"",A101="x"),S100,""))</f>
        <v/>
      </c>
      <c r="T101" t="str">
        <f>IF(D101=1,MAX($T$2:$T100)+1,IF(S101=$S100,$S100,IF($D101="x",T100,IF($D100="x","",""))))</f>
        <v/>
      </c>
      <c r="U101" t="str">
        <f>IF(B101=1,MAX($U$2:$U100)+1,IF(AND($T101&lt;&gt;"",$T101=$T100),$U100,IF(B101="x",U100,"")))</f>
        <v/>
      </c>
      <c r="V101" t="str">
        <f>IF(C101=1,MAX($V$2:$V100)+1,IF(AND($T101&lt;&gt;"",$T101=$T100),$U100,IF(C101="x",V100,"")))</f>
        <v/>
      </c>
      <c r="W101" t="str" cm="1">
        <f t="array" ref="W101">IFERROR(_xlfn._xlws.FILTER(game_rosters!AB:AB,(game_rosters!J:J=events!X101)*(K101&lt;&gt;"")),"")</f>
        <v/>
      </c>
      <c r="X101" t="str" cm="1">
        <f t="array" ref="X101">IF(S101="","",IF($I101&lt;&gt;"",$I101,INDEX($I$2:$I100,ROW()-COUNTIFS($T$2:$T100,"="&amp;$T101,$S$2:$S100,"&lt;&gt;"&amp;$S101)-1)))</f>
        <v/>
      </c>
      <c r="Z101" s="6"/>
      <c r="AH101" t="str">
        <f t="shared" si="45"/>
        <v>o</v>
      </c>
      <c r="AI101" t="str">
        <f t="shared" si="52"/>
        <v/>
      </c>
      <c r="AJ101" t="str">
        <f t="shared" si="53"/>
        <v/>
      </c>
      <c r="AK101" t="str">
        <f t="shared" si="46"/>
        <v/>
      </c>
      <c r="AL101" t="str">
        <f t="shared" si="47"/>
        <v/>
      </c>
      <c r="AM101" t="str">
        <f t="shared" si="48"/>
        <v/>
      </c>
      <c r="AN101" t="str">
        <f t="shared" si="54"/>
        <v/>
      </c>
      <c r="AO101" t="str">
        <f t="shared" si="55"/>
        <v/>
      </c>
      <c r="AP101" t="str">
        <f t="shared" si="56"/>
        <v/>
      </c>
      <c r="AQ101" t="str">
        <f t="shared" si="57"/>
        <v/>
      </c>
      <c r="AR101" t="str">
        <f t="shared" si="58"/>
        <v/>
      </c>
      <c r="AS101" t="str">
        <f t="shared" si="49"/>
        <v>Defensive</v>
      </c>
      <c r="BI101" s="40"/>
      <c r="BL101" s="40"/>
      <c r="BN101" s="19"/>
      <c r="BP101" s="17"/>
    </row>
    <row r="102" spans="1:68" x14ac:dyDescent="0.2">
      <c r="A102" t="str">
        <f t="shared" si="50"/>
        <v/>
      </c>
      <c r="E102" s="4"/>
      <c r="F102" s="45"/>
      <c r="G102" s="4"/>
      <c r="H102" s="48"/>
      <c r="J102" s="46" t="str">
        <f t="shared" si="51"/>
        <v/>
      </c>
      <c r="N102" t="str">
        <f t="shared" si="60"/>
        <v/>
      </c>
      <c r="Q102" t="str">
        <f t="shared" si="59"/>
        <v/>
      </c>
      <c r="S102" t="str">
        <f>IF(A102=1,MAX(S$2:S101)+1,IF(OR(I102&lt;&gt;"",A102="x"),S101,""))</f>
        <v/>
      </c>
      <c r="T102" t="str">
        <f>IF(D102=1,MAX($T$2:$T101)+1,IF(S102=$S101,$S101,IF($D102="x",T101,IF($D101="x","",""))))</f>
        <v/>
      </c>
      <c r="U102" t="str">
        <f>IF(B102=1,MAX($U$2:$U101)+1,IF(AND($T102&lt;&gt;"",$T102=$T101),$U101,IF(B102="x",U101,"")))</f>
        <v/>
      </c>
      <c r="V102" t="str">
        <f>IF(C102=1,MAX($V$2:$V101)+1,IF(AND($T102&lt;&gt;"",$T102=$T101),$U101,IF(C102="x",V101,"")))</f>
        <v/>
      </c>
      <c r="W102" t="str" cm="1">
        <f t="array" ref="W102">IFERROR(_xlfn._xlws.FILTER(game_rosters!AB:AB,(game_rosters!J:J=events!X102)*(K102&lt;&gt;"")),"")</f>
        <v/>
      </c>
      <c r="X102" t="str" cm="1">
        <f t="array" ref="X102">IF(S102="","",IF($I102&lt;&gt;"",$I102,INDEX($I$2:$I101,ROW()-COUNTIFS($T$2:$T101,"="&amp;$T102,$S$2:$S101,"&lt;&gt;"&amp;$S102)-1)))</f>
        <v/>
      </c>
      <c r="Z102" s="6"/>
      <c r="AH102" t="str">
        <f t="shared" si="45"/>
        <v>o</v>
      </c>
      <c r="AI102" t="str">
        <f t="shared" si="52"/>
        <v/>
      </c>
      <c r="AJ102" t="str">
        <f t="shared" si="53"/>
        <v/>
      </c>
      <c r="AK102" t="str">
        <f t="shared" si="46"/>
        <v/>
      </c>
      <c r="AL102" t="str">
        <f t="shared" si="47"/>
        <v/>
      </c>
      <c r="AM102" t="str">
        <f t="shared" si="48"/>
        <v/>
      </c>
      <c r="AN102" t="str">
        <f t="shared" si="54"/>
        <v/>
      </c>
      <c r="AO102" t="str">
        <f t="shared" si="55"/>
        <v/>
      </c>
      <c r="AP102" t="str">
        <f t="shared" si="56"/>
        <v/>
      </c>
      <c r="AQ102" t="str">
        <f t="shared" si="57"/>
        <v/>
      </c>
      <c r="AR102" t="str">
        <f t="shared" si="58"/>
        <v/>
      </c>
      <c r="AS102" t="str">
        <f t="shared" si="49"/>
        <v>Defensive</v>
      </c>
      <c r="BI102" s="40"/>
      <c r="BL102" s="40"/>
      <c r="BN102" s="19"/>
      <c r="BP102" s="17"/>
    </row>
    <row r="103" spans="1:68" x14ac:dyDescent="0.2">
      <c r="A103" t="str">
        <f t="shared" si="50"/>
        <v/>
      </c>
      <c r="E103" s="4"/>
      <c r="F103" s="45"/>
      <c r="G103" s="4"/>
      <c r="H103" s="48"/>
      <c r="J103" s="46" t="str">
        <f t="shared" si="51"/>
        <v/>
      </c>
      <c r="N103" t="str">
        <f t="shared" si="60"/>
        <v/>
      </c>
      <c r="Q103" t="str">
        <f t="shared" si="59"/>
        <v/>
      </c>
      <c r="S103" t="str">
        <f>IF(A103=1,MAX(S$2:S102)+1,IF(OR(I103&lt;&gt;"",A103="x"),S102,""))</f>
        <v/>
      </c>
      <c r="T103" t="str">
        <f>IF(D103=1,MAX($T$2:$T102)+1,IF(S103=$S102,$S102,IF($D103="x",T102,IF($D102="x","",""))))</f>
        <v/>
      </c>
      <c r="U103" t="str">
        <f>IF(B103=1,MAX($U$2:$U102)+1,IF(AND($T103&lt;&gt;"",$T103=$T102),$U102,IF(B103="x",U102,"")))</f>
        <v/>
      </c>
      <c r="V103" t="str">
        <f>IF(C103=1,MAX($V$2:$V102)+1,IF(AND($T103&lt;&gt;"",$T103=$T102),$U102,IF(C103="x",V102,"")))</f>
        <v/>
      </c>
      <c r="W103" t="str" cm="1">
        <f t="array" ref="W103">IFERROR(_xlfn._xlws.FILTER(game_rosters!AB:AB,(game_rosters!J:J=events!X103)*(K103&lt;&gt;"")),"")</f>
        <v/>
      </c>
      <c r="X103" t="str" cm="1">
        <f t="array" ref="X103">IF(S103="","",IF($I103&lt;&gt;"",$I103,INDEX($I$2:$I102,ROW()-COUNTIFS($T$2:$T102,"="&amp;$T103,$S$2:$S102,"&lt;&gt;"&amp;$S103)-1)))</f>
        <v/>
      </c>
      <c r="Z103" s="6"/>
      <c r="AH103" t="str">
        <f t="shared" si="45"/>
        <v>o</v>
      </c>
      <c r="AI103" t="str">
        <f t="shared" si="52"/>
        <v/>
      </c>
      <c r="AJ103" t="str">
        <f t="shared" si="53"/>
        <v/>
      </c>
      <c r="AK103" t="str">
        <f t="shared" si="46"/>
        <v/>
      </c>
      <c r="AL103" t="str">
        <f t="shared" si="47"/>
        <v/>
      </c>
      <c r="AM103" t="str">
        <f t="shared" si="48"/>
        <v/>
      </c>
      <c r="AN103" t="str">
        <f t="shared" si="54"/>
        <v/>
      </c>
      <c r="AO103" t="str">
        <f t="shared" si="55"/>
        <v/>
      </c>
      <c r="AP103" t="str">
        <f t="shared" si="56"/>
        <v/>
      </c>
      <c r="AQ103" t="str">
        <f t="shared" si="57"/>
        <v/>
      </c>
      <c r="AR103" t="str">
        <f t="shared" si="58"/>
        <v/>
      </c>
      <c r="AS103" t="str">
        <f t="shared" si="49"/>
        <v>Defensive</v>
      </c>
      <c r="BI103" s="40"/>
      <c r="BL103" s="40"/>
      <c r="BN103" s="19"/>
      <c r="BP103" s="17"/>
    </row>
    <row r="104" spans="1:68" x14ac:dyDescent="0.2">
      <c r="A104" t="str">
        <f t="shared" si="50"/>
        <v/>
      </c>
      <c r="E104" s="4"/>
      <c r="F104" s="45"/>
      <c r="G104" s="4"/>
      <c r="H104" s="48"/>
      <c r="J104" s="46" t="str">
        <f t="shared" si="51"/>
        <v/>
      </c>
      <c r="N104" t="str">
        <f t="shared" si="60"/>
        <v/>
      </c>
      <c r="Q104" t="str">
        <f t="shared" si="59"/>
        <v/>
      </c>
      <c r="S104" t="str">
        <f>IF(A104=1,MAX(S$2:S103)+1,IF(OR(I104&lt;&gt;"",A104="x"),S103,""))</f>
        <v/>
      </c>
      <c r="T104" t="str">
        <f>IF(D104=1,MAX($T$2:$T103)+1,IF(S104=$S103,$S103,IF($D104="x",T103,IF($D103="x","",""))))</f>
        <v/>
      </c>
      <c r="U104" t="str">
        <f>IF(B104=1,MAX($U$2:$U103)+1,IF(AND($T104&lt;&gt;"",$T104=$T103),$U103,IF(B104="x",U103,"")))</f>
        <v/>
      </c>
      <c r="V104" t="str">
        <f>IF(C104=1,MAX($V$2:$V103)+1,IF(AND($T104&lt;&gt;"",$T104=$T103),$U103,IF(C104="x",V103,"")))</f>
        <v/>
      </c>
      <c r="W104" t="str" cm="1">
        <f t="array" ref="W104">IFERROR(_xlfn._xlws.FILTER(game_rosters!AB:AB,(game_rosters!J:J=events!X104)*(K104&lt;&gt;"")),"")</f>
        <v/>
      </c>
      <c r="X104" t="str" cm="1">
        <f t="array" ref="X104">IF(S104="","",IF($I104&lt;&gt;"",$I104,INDEX($I$2:$I103,ROW()-COUNTIFS($T$2:$T103,"="&amp;$T104,$S$2:$S103,"&lt;&gt;"&amp;$S104)-1)))</f>
        <v/>
      </c>
      <c r="Z104" s="6"/>
      <c r="AH104" t="str">
        <f t="shared" si="45"/>
        <v>o</v>
      </c>
      <c r="AI104" t="str">
        <f t="shared" si="52"/>
        <v/>
      </c>
      <c r="AJ104" t="str">
        <f t="shared" si="53"/>
        <v/>
      </c>
      <c r="AK104" t="str">
        <f t="shared" si="46"/>
        <v/>
      </c>
      <c r="AL104" t="str">
        <f t="shared" si="47"/>
        <v/>
      </c>
      <c r="AM104" t="str">
        <f t="shared" si="48"/>
        <v/>
      </c>
      <c r="AN104" t="str">
        <f t="shared" si="54"/>
        <v/>
      </c>
      <c r="AO104" t="str">
        <f t="shared" si="55"/>
        <v/>
      </c>
      <c r="AP104" t="str">
        <f t="shared" si="56"/>
        <v/>
      </c>
      <c r="AQ104" t="str">
        <f t="shared" si="57"/>
        <v/>
      </c>
      <c r="AR104" t="str">
        <f t="shared" si="58"/>
        <v/>
      </c>
      <c r="AS104" t="str">
        <f t="shared" si="49"/>
        <v>Defensive</v>
      </c>
      <c r="BI104" s="40"/>
      <c r="BL104" s="40"/>
      <c r="BN104" s="19"/>
      <c r="BP104" s="17"/>
    </row>
    <row r="105" spans="1:68" x14ac:dyDescent="0.2">
      <c r="A105" t="str">
        <f t="shared" si="50"/>
        <v/>
      </c>
      <c r="E105" s="4"/>
      <c r="F105" s="45"/>
      <c r="G105" s="4"/>
      <c r="H105" s="48"/>
      <c r="J105" s="46" t="str">
        <f t="shared" si="51"/>
        <v/>
      </c>
      <c r="N105" t="str">
        <f t="shared" si="60"/>
        <v/>
      </c>
      <c r="Q105" t="str">
        <f t="shared" si="59"/>
        <v/>
      </c>
      <c r="S105" t="str">
        <f>IF(A105=1,MAX(S$2:S104)+1,IF(OR(I105&lt;&gt;"",A105="x"),S104,""))</f>
        <v/>
      </c>
      <c r="T105" t="str">
        <f>IF(D105=1,MAX($T$2:$T104)+1,IF(S105=$S104,$S104,IF($D105="x",T104,IF($D104="x","",""))))</f>
        <v/>
      </c>
      <c r="U105" t="str">
        <f>IF(B105=1,MAX($U$2:$U104)+1,IF(AND($T105&lt;&gt;"",$T105=$T104),$U104,IF(B105="x",U104,"")))</f>
        <v/>
      </c>
      <c r="V105" t="str">
        <f>IF(C105=1,MAX($V$2:$V104)+1,IF(AND($T105&lt;&gt;"",$T105=$T104),$U104,IF(C105="x",V104,"")))</f>
        <v/>
      </c>
      <c r="W105" t="str" cm="1">
        <f t="array" ref="W105">IFERROR(_xlfn._xlws.FILTER(game_rosters!AB:AB,(game_rosters!J:J=events!X105)*(K105&lt;&gt;"")),"")</f>
        <v/>
      </c>
      <c r="X105" t="str" cm="1">
        <f t="array" ref="X105">IF(S105="","",IF($I105&lt;&gt;"",$I105,INDEX($I$2:$I104,ROW()-COUNTIFS($T$2:$T104,"="&amp;$T105,$S$2:$S104,"&lt;&gt;"&amp;$S105)-1)))</f>
        <v/>
      </c>
      <c r="Z105" s="6"/>
      <c r="AH105" t="str">
        <f t="shared" si="45"/>
        <v>o</v>
      </c>
      <c r="AI105" t="str">
        <f t="shared" si="52"/>
        <v/>
      </c>
      <c r="AJ105" t="str">
        <f t="shared" si="53"/>
        <v/>
      </c>
      <c r="AK105" t="str">
        <f t="shared" si="46"/>
        <v/>
      </c>
      <c r="AL105" t="str">
        <f t="shared" si="47"/>
        <v/>
      </c>
      <c r="AM105" t="str">
        <f t="shared" si="48"/>
        <v/>
      </c>
      <c r="AN105" t="str">
        <f t="shared" si="54"/>
        <v/>
      </c>
      <c r="AO105" t="str">
        <f t="shared" si="55"/>
        <v/>
      </c>
      <c r="AP105" t="str">
        <f t="shared" si="56"/>
        <v/>
      </c>
      <c r="AQ105" t="str">
        <f t="shared" si="57"/>
        <v/>
      </c>
      <c r="AR105" t="str">
        <f t="shared" si="58"/>
        <v/>
      </c>
      <c r="AS105" t="str">
        <f t="shared" si="49"/>
        <v>Defensive</v>
      </c>
      <c r="BI105" s="40"/>
      <c r="BL105" s="40"/>
      <c r="BN105" s="19"/>
      <c r="BP105" s="17"/>
    </row>
    <row r="106" spans="1:68" x14ac:dyDescent="0.2">
      <c r="A106" t="str">
        <f t="shared" si="50"/>
        <v/>
      </c>
      <c r="E106" s="4"/>
      <c r="F106" s="45"/>
      <c r="G106" s="4"/>
      <c r="H106" s="48"/>
      <c r="J106" s="46" t="str">
        <f t="shared" si="51"/>
        <v/>
      </c>
      <c r="N106" t="str">
        <f t="shared" si="60"/>
        <v/>
      </c>
      <c r="Q106" t="str">
        <f t="shared" si="59"/>
        <v/>
      </c>
      <c r="S106" t="str">
        <f>IF(A106=1,MAX(S$2:S105)+1,IF(OR(I106&lt;&gt;"",A106="x"),S105,""))</f>
        <v/>
      </c>
      <c r="T106" t="str">
        <f>IF(D106=1,MAX($T$2:$T105)+1,IF(S106=$S105,$S105,IF($D106="x",T105,IF($D105="x","",""))))</f>
        <v/>
      </c>
      <c r="U106" t="str">
        <f>IF(B106=1,MAX($U$2:$U105)+1,IF(AND($T106&lt;&gt;"",$T106=$T105),$U105,IF(B106="x",U105,"")))</f>
        <v/>
      </c>
      <c r="V106" t="str">
        <f>IF(C106=1,MAX($V$2:$V105)+1,IF(AND($T106&lt;&gt;"",$T106=$T105),$U105,IF(C106="x",V105,"")))</f>
        <v/>
      </c>
      <c r="W106" t="str" cm="1">
        <f t="array" ref="W106">IFERROR(_xlfn._xlws.FILTER(game_rosters!AB:AB,(game_rosters!J:J=events!X106)*(K106&lt;&gt;"")),"")</f>
        <v/>
      </c>
      <c r="X106" t="str" cm="1">
        <f t="array" ref="X106">IF(S106="","",IF($I106&lt;&gt;"",$I106,INDEX($I$2:$I105,ROW()-COUNTIFS($T$2:$T105,"="&amp;$T106,$S$2:$S105,"&lt;&gt;"&amp;$S106)-1)))</f>
        <v/>
      </c>
      <c r="Z106" s="6"/>
      <c r="AH106" t="str">
        <f t="shared" si="45"/>
        <v>o</v>
      </c>
      <c r="AI106" t="str">
        <f t="shared" si="52"/>
        <v/>
      </c>
      <c r="AJ106" t="str">
        <f t="shared" si="53"/>
        <v/>
      </c>
      <c r="AK106" t="str">
        <f t="shared" si="46"/>
        <v/>
      </c>
      <c r="AL106" t="str">
        <f t="shared" si="47"/>
        <v/>
      </c>
      <c r="AM106" t="str">
        <f t="shared" si="48"/>
        <v/>
      </c>
      <c r="AN106" t="str">
        <f t="shared" si="54"/>
        <v/>
      </c>
      <c r="AO106" t="str">
        <f t="shared" si="55"/>
        <v/>
      </c>
      <c r="AP106" t="str">
        <f t="shared" si="56"/>
        <v/>
      </c>
      <c r="AQ106" t="str">
        <f t="shared" si="57"/>
        <v/>
      </c>
      <c r="AR106" t="str">
        <f t="shared" si="58"/>
        <v/>
      </c>
      <c r="AS106" t="str">
        <f t="shared" si="49"/>
        <v>Defensive</v>
      </c>
      <c r="BI106" s="40"/>
      <c r="BL106" s="40"/>
      <c r="BN106" s="19"/>
      <c r="BP106" s="17"/>
    </row>
    <row r="107" spans="1:68" x14ac:dyDescent="0.2">
      <c r="A107" t="str">
        <f t="shared" si="50"/>
        <v/>
      </c>
      <c r="E107" s="4"/>
      <c r="F107" s="45"/>
      <c r="G107" s="4"/>
      <c r="H107" s="48"/>
      <c r="J107" s="46" t="str">
        <f t="shared" si="51"/>
        <v/>
      </c>
      <c r="N107" t="str">
        <f t="shared" si="60"/>
        <v/>
      </c>
      <c r="Q107" t="str">
        <f t="shared" si="59"/>
        <v/>
      </c>
      <c r="S107" t="str">
        <f>IF(A107=1,MAX(S$2:S106)+1,IF(OR(I107&lt;&gt;"",A107="x"),S106,""))</f>
        <v/>
      </c>
      <c r="T107" t="str">
        <f>IF(D107=1,MAX($T$2:$T106)+1,IF(S107=$S106,$S106,IF($D107="x",T106,IF($D106="x","",""))))</f>
        <v/>
      </c>
      <c r="U107" t="str">
        <f>IF(B107=1,MAX($U$2:$U106)+1,IF(AND($T107&lt;&gt;"",$T107=$T106),$U106,IF(B107="x",U106,"")))</f>
        <v/>
      </c>
      <c r="V107" t="str">
        <f>IF(C107=1,MAX($V$2:$V106)+1,IF(AND($T107&lt;&gt;"",$T107=$T106),$U106,IF(C107="x",V106,"")))</f>
        <v/>
      </c>
      <c r="W107" t="str" cm="1">
        <f t="array" ref="W107">IFERROR(_xlfn._xlws.FILTER(game_rosters!AB:AB,(game_rosters!J:J=events!X107)*(K107&lt;&gt;"")),"")</f>
        <v/>
      </c>
      <c r="X107" t="str" cm="1">
        <f t="array" ref="X107">IF(S107="","",IF($I107&lt;&gt;"",$I107,INDEX($I$2:$I106,ROW()-COUNTIFS($T$2:$T106,"="&amp;$T107,$S$2:$S106,"&lt;&gt;"&amp;$S107)-1)))</f>
        <v/>
      </c>
      <c r="Z107" s="6"/>
      <c r="AH107" t="str">
        <f t="shared" si="45"/>
        <v>o</v>
      </c>
      <c r="AI107" t="str">
        <f t="shared" si="52"/>
        <v/>
      </c>
      <c r="AJ107" t="str">
        <f t="shared" si="53"/>
        <v/>
      </c>
      <c r="AK107" t="str">
        <f t="shared" si="46"/>
        <v/>
      </c>
      <c r="AL107" t="str">
        <f t="shared" si="47"/>
        <v/>
      </c>
      <c r="AM107" t="str">
        <f t="shared" si="48"/>
        <v/>
      </c>
      <c r="AN107" t="str">
        <f t="shared" si="54"/>
        <v/>
      </c>
      <c r="AO107" t="str">
        <f t="shared" si="55"/>
        <v/>
      </c>
      <c r="AP107" t="str">
        <f t="shared" si="56"/>
        <v/>
      </c>
      <c r="AQ107" t="str">
        <f t="shared" si="57"/>
        <v/>
      </c>
      <c r="AR107" t="str">
        <f t="shared" si="58"/>
        <v/>
      </c>
      <c r="AS107" t="str">
        <f t="shared" si="49"/>
        <v>Defensive</v>
      </c>
      <c r="BI107" s="40"/>
      <c r="BL107" s="40"/>
      <c r="BN107" s="19"/>
      <c r="BP107" s="17"/>
    </row>
    <row r="108" spans="1:68" x14ac:dyDescent="0.2">
      <c r="A108" t="str">
        <f t="shared" si="50"/>
        <v/>
      </c>
      <c r="E108" s="4"/>
      <c r="F108" s="45"/>
      <c r="G108" s="4"/>
      <c r="H108" s="48"/>
      <c r="J108" s="46" t="str">
        <f t="shared" si="51"/>
        <v/>
      </c>
      <c r="N108" t="str">
        <f t="shared" si="60"/>
        <v/>
      </c>
      <c r="Q108" t="str">
        <f t="shared" si="59"/>
        <v/>
      </c>
      <c r="S108" t="str">
        <f>IF(A108=1,MAX(S$2:S107)+1,IF(OR(I108&lt;&gt;"",A108="x"),S107,""))</f>
        <v/>
      </c>
      <c r="T108" t="str">
        <f>IF(D108=1,MAX($T$2:$T107)+1,IF(S108=$S107,$S107,IF($D108="x",T107,IF($D107="x","",""))))</f>
        <v/>
      </c>
      <c r="U108" t="str">
        <f>IF(B108=1,MAX($U$2:$U107)+1,IF(AND($T108&lt;&gt;"",$T108=$T107),$U107,IF(B108="x",U107,"")))</f>
        <v/>
      </c>
      <c r="V108" t="str">
        <f>IF(C108=1,MAX($V$2:$V107)+1,IF(AND($T108&lt;&gt;"",$T108=$T107),$U107,IF(C108="x",V107,"")))</f>
        <v/>
      </c>
      <c r="W108" t="str" cm="1">
        <f t="array" ref="W108">IFERROR(_xlfn._xlws.FILTER(game_rosters!AB:AB,(game_rosters!J:J=events!X108)*(K108&lt;&gt;"")),"")</f>
        <v/>
      </c>
      <c r="X108" t="str" cm="1">
        <f t="array" ref="X108">IF(S108="","",IF($I108&lt;&gt;"",$I108,INDEX($I$2:$I107,ROW()-COUNTIFS($T$2:$T107,"="&amp;$T108,$S$2:$S107,"&lt;&gt;"&amp;$S108)-1)))</f>
        <v/>
      </c>
      <c r="Z108" s="6"/>
      <c r="AH108" t="str">
        <f t="shared" si="45"/>
        <v>o</v>
      </c>
      <c r="AI108" t="str">
        <f t="shared" si="52"/>
        <v/>
      </c>
      <c r="AJ108" t="str">
        <f t="shared" si="53"/>
        <v/>
      </c>
      <c r="AK108" t="str">
        <f t="shared" si="46"/>
        <v/>
      </c>
      <c r="AL108" t="str">
        <f t="shared" si="47"/>
        <v/>
      </c>
      <c r="AM108" t="str">
        <f t="shared" si="48"/>
        <v/>
      </c>
      <c r="AN108" t="str">
        <f t="shared" si="54"/>
        <v/>
      </c>
      <c r="AO108" t="str">
        <f t="shared" si="55"/>
        <v/>
      </c>
      <c r="AP108" t="str">
        <f t="shared" si="56"/>
        <v/>
      </c>
      <c r="AQ108" t="str">
        <f t="shared" si="57"/>
        <v/>
      </c>
      <c r="AR108" t="str">
        <f t="shared" si="58"/>
        <v/>
      </c>
      <c r="AS108" t="str">
        <f t="shared" si="49"/>
        <v>Defensive</v>
      </c>
      <c r="BI108" s="40"/>
      <c r="BL108" s="40"/>
      <c r="BN108" s="19"/>
      <c r="BP108" s="17"/>
    </row>
    <row r="109" spans="1:68" x14ac:dyDescent="0.2">
      <c r="A109" t="str">
        <f t="shared" si="50"/>
        <v/>
      </c>
      <c r="E109" s="4"/>
      <c r="F109" s="45"/>
      <c r="G109" s="4"/>
      <c r="H109" s="48"/>
      <c r="J109" s="46" t="str">
        <f t="shared" si="51"/>
        <v/>
      </c>
      <c r="N109" t="str">
        <f t="shared" si="60"/>
        <v/>
      </c>
      <c r="Q109" t="str">
        <f t="shared" si="59"/>
        <v/>
      </c>
      <c r="S109" t="str">
        <f>IF(A109=1,MAX(S$2:S108)+1,IF(OR(I109&lt;&gt;"",A109="x"),S108,""))</f>
        <v/>
      </c>
      <c r="T109" t="str">
        <f>IF(D109=1,MAX($T$2:$T108)+1,IF(S109=$S108,$S108,IF($D109="x",T108,IF($D108="x","",""))))</f>
        <v/>
      </c>
      <c r="U109" t="str">
        <f>IF(B109=1,MAX($U$2:$U108)+1,IF(AND($T109&lt;&gt;"",$T109=$T108),$U108,IF(B109="x",U108,"")))</f>
        <v/>
      </c>
      <c r="V109" t="str">
        <f>IF(C109=1,MAX($V$2:$V108)+1,IF(AND($T109&lt;&gt;"",$T109=$T108),$U108,IF(C109="x",V108,"")))</f>
        <v/>
      </c>
      <c r="W109" t="str" cm="1">
        <f t="array" ref="W109">IFERROR(_xlfn._xlws.FILTER(game_rosters!AB:AB,(game_rosters!J:J=events!X109)*(K109&lt;&gt;"")),"")</f>
        <v/>
      </c>
      <c r="X109" t="str" cm="1">
        <f t="array" ref="X109">IF(S109="","",IF($I109&lt;&gt;"",$I109,INDEX($I$2:$I108,ROW()-COUNTIFS($T$2:$T108,"="&amp;$T109,$S$2:$S108,"&lt;&gt;"&amp;$S109)-1)))</f>
        <v/>
      </c>
      <c r="Z109" s="6"/>
      <c r="AH109" t="str">
        <f t="shared" si="45"/>
        <v>o</v>
      </c>
      <c r="AI109" t="str">
        <f t="shared" si="52"/>
        <v/>
      </c>
      <c r="AJ109" t="str">
        <f t="shared" si="53"/>
        <v/>
      </c>
      <c r="AK109" t="str">
        <f t="shared" si="46"/>
        <v/>
      </c>
      <c r="AL109" t="str">
        <f t="shared" si="47"/>
        <v/>
      </c>
      <c r="AM109" t="str">
        <f t="shared" si="48"/>
        <v/>
      </c>
      <c r="AN109" t="str">
        <f t="shared" si="54"/>
        <v/>
      </c>
      <c r="AO109" t="str">
        <f t="shared" si="55"/>
        <v/>
      </c>
      <c r="AP109" t="str">
        <f t="shared" si="56"/>
        <v/>
      </c>
      <c r="AQ109" t="str">
        <f t="shared" si="57"/>
        <v/>
      </c>
      <c r="AR109" t="str">
        <f t="shared" si="58"/>
        <v/>
      </c>
      <c r="AS109" t="str">
        <f t="shared" si="49"/>
        <v>Defensive</v>
      </c>
      <c r="BI109" s="40"/>
      <c r="BL109" s="40"/>
      <c r="BN109" s="19"/>
      <c r="BP109" s="17"/>
    </row>
    <row r="110" spans="1:68" x14ac:dyDescent="0.2">
      <c r="A110" t="str">
        <f t="shared" si="50"/>
        <v/>
      </c>
      <c r="E110" s="4"/>
      <c r="F110" s="45"/>
      <c r="G110" s="4"/>
      <c r="H110" s="48"/>
      <c r="J110" s="46" t="str">
        <f t="shared" si="51"/>
        <v/>
      </c>
      <c r="N110" t="str">
        <f t="shared" si="60"/>
        <v/>
      </c>
      <c r="Q110" t="str">
        <f t="shared" si="59"/>
        <v/>
      </c>
      <c r="S110" t="str">
        <f>IF(A110=1,MAX(S$2:S109)+1,IF(OR(I110&lt;&gt;"",A110="x"),S109,""))</f>
        <v/>
      </c>
      <c r="T110" t="str">
        <f>IF(D110=1,MAX($T$2:$T109)+1,IF(S110=$S109,$S109,IF($D110="x",T109,IF($D109="x","",""))))</f>
        <v/>
      </c>
      <c r="U110" t="str">
        <f>IF(B110=1,MAX($U$2:$U109)+1,IF(AND($T110&lt;&gt;"",$T110=$T109),$U109,IF(B110="x",U109,"")))</f>
        <v/>
      </c>
      <c r="V110" t="str">
        <f>IF(C110=1,MAX($V$2:$V109)+1,IF(AND($T110&lt;&gt;"",$T110=$T109),$U109,IF(C110="x",V109,"")))</f>
        <v/>
      </c>
      <c r="W110" t="str" cm="1">
        <f t="array" ref="W110">IFERROR(_xlfn._xlws.FILTER(game_rosters!AB:AB,(game_rosters!J:J=events!X110)*(K110&lt;&gt;"")),"")</f>
        <v/>
      </c>
      <c r="X110" t="str" cm="1">
        <f t="array" ref="X110">IF(S110="","",IF($I110&lt;&gt;"",$I110,INDEX($I$2:$I109,ROW()-COUNTIFS($T$2:$T109,"="&amp;$T110,$S$2:$S109,"&lt;&gt;"&amp;$S110)-1)))</f>
        <v/>
      </c>
      <c r="Z110" s="6"/>
      <c r="AH110" t="str">
        <f t="shared" si="45"/>
        <v>o</v>
      </c>
      <c r="AI110" t="str">
        <f t="shared" si="52"/>
        <v/>
      </c>
      <c r="AJ110" t="str">
        <f t="shared" si="53"/>
        <v/>
      </c>
      <c r="AK110" t="str">
        <f t="shared" si="46"/>
        <v/>
      </c>
      <c r="AL110" t="str">
        <f t="shared" si="47"/>
        <v/>
      </c>
      <c r="AM110" t="str">
        <f t="shared" si="48"/>
        <v/>
      </c>
      <c r="AN110" t="str">
        <f t="shared" si="54"/>
        <v/>
      </c>
      <c r="AO110" t="str">
        <f t="shared" si="55"/>
        <v/>
      </c>
      <c r="AP110" t="str">
        <f t="shared" si="56"/>
        <v/>
      </c>
      <c r="AQ110" t="str">
        <f t="shared" si="57"/>
        <v/>
      </c>
      <c r="AR110" t="str">
        <f t="shared" si="58"/>
        <v/>
      </c>
      <c r="AS110" t="str">
        <f t="shared" si="49"/>
        <v>Defensive</v>
      </c>
      <c r="BI110" s="40"/>
      <c r="BL110" s="40"/>
      <c r="BN110" s="19"/>
      <c r="BP110" s="17"/>
    </row>
    <row r="111" spans="1:68" x14ac:dyDescent="0.2">
      <c r="A111" t="str">
        <f t="shared" si="50"/>
        <v/>
      </c>
      <c r="E111" s="4"/>
      <c r="F111" s="45"/>
      <c r="G111" s="4"/>
      <c r="H111" s="48"/>
      <c r="J111" s="46" t="str">
        <f t="shared" si="51"/>
        <v/>
      </c>
      <c r="N111" t="str">
        <f t="shared" si="60"/>
        <v/>
      </c>
      <c r="Q111" t="str">
        <f t="shared" si="59"/>
        <v/>
      </c>
      <c r="S111" t="str">
        <f>IF(A111=1,MAX(S$2:S110)+1,IF(OR(I111&lt;&gt;"",A111="x"),S110,""))</f>
        <v/>
      </c>
      <c r="T111" t="str">
        <f>IF(D111=1,MAX($T$2:$T110)+1,IF(S111=$S110,$S110,IF($D111="x",T110,IF($D110="x","",""))))</f>
        <v/>
      </c>
      <c r="U111" t="str">
        <f>IF(B111=1,MAX($U$2:$U110)+1,IF(AND($T111&lt;&gt;"",$T111=$T110),$U110,IF(B111="x",U110,"")))</f>
        <v/>
      </c>
      <c r="V111" t="str">
        <f>IF(C111=1,MAX($V$2:$V110)+1,IF(AND($T111&lt;&gt;"",$T111=$T110),$U110,IF(C111="x",V110,"")))</f>
        <v/>
      </c>
      <c r="W111" t="str" cm="1">
        <f t="array" ref="W111">IFERROR(_xlfn._xlws.FILTER(game_rosters!AB:AB,(game_rosters!J:J=events!X111)*(K111&lt;&gt;"")),"")</f>
        <v/>
      </c>
      <c r="X111" t="str" cm="1">
        <f t="array" ref="X111">IF(S111="","",IF($I111&lt;&gt;"",$I111,INDEX($I$2:$I110,ROW()-COUNTIFS($T$2:$T110,"="&amp;$T111,$S$2:$S110,"&lt;&gt;"&amp;$S111)-1)))</f>
        <v/>
      </c>
      <c r="Z111" s="6"/>
      <c r="AH111" t="str">
        <f t="shared" si="45"/>
        <v>o</v>
      </c>
      <c r="AI111" t="str">
        <f t="shared" si="52"/>
        <v/>
      </c>
      <c r="AJ111" t="str">
        <f t="shared" si="53"/>
        <v/>
      </c>
      <c r="AK111" t="str">
        <f t="shared" si="46"/>
        <v/>
      </c>
      <c r="AL111" t="str">
        <f t="shared" si="47"/>
        <v/>
      </c>
      <c r="AM111" t="str">
        <f t="shared" si="48"/>
        <v/>
      </c>
      <c r="AN111" t="str">
        <f t="shared" si="54"/>
        <v/>
      </c>
      <c r="AO111" t="str">
        <f t="shared" si="55"/>
        <v/>
      </c>
      <c r="AP111" t="str">
        <f t="shared" si="56"/>
        <v/>
      </c>
      <c r="AQ111" t="str">
        <f t="shared" si="57"/>
        <v/>
      </c>
      <c r="AR111" t="str">
        <f t="shared" si="58"/>
        <v/>
      </c>
      <c r="AS111" t="str">
        <f t="shared" si="49"/>
        <v>Defensive</v>
      </c>
      <c r="BI111" s="40"/>
      <c r="BL111" s="40"/>
      <c r="BN111" s="19"/>
      <c r="BP111" s="17"/>
    </row>
    <row r="112" spans="1:68" x14ac:dyDescent="0.2">
      <c r="A112" t="str">
        <f t="shared" si="50"/>
        <v/>
      </c>
      <c r="E112" s="4"/>
      <c r="F112" s="45"/>
      <c r="G112" s="4"/>
      <c r="H112" s="48"/>
      <c r="J112" s="46" t="str">
        <f t="shared" si="51"/>
        <v/>
      </c>
      <c r="N112" t="str">
        <f t="shared" si="60"/>
        <v/>
      </c>
      <c r="Q112" t="str">
        <f t="shared" si="59"/>
        <v/>
      </c>
      <c r="S112" t="str">
        <f>IF(A112=1,MAX(S$2:S111)+1,IF(OR(I112&lt;&gt;"",A112="x"),S111,""))</f>
        <v/>
      </c>
      <c r="T112" t="str">
        <f>IF(D112=1,MAX($T$2:$T111)+1,IF(S112=$S111,$S111,IF($D112="x",T111,IF($D111="x","",""))))</f>
        <v/>
      </c>
      <c r="U112" t="str">
        <f>IF(B112=1,MAX($U$2:$U111)+1,IF(AND($T112&lt;&gt;"",$T112=$T111),$U111,IF(B112="x",U111,"")))</f>
        <v/>
      </c>
      <c r="V112" t="str">
        <f>IF(C112=1,MAX($V$2:$V111)+1,IF(AND($T112&lt;&gt;"",$T112=$T111),$U111,IF(C112="x",V111,"")))</f>
        <v/>
      </c>
      <c r="W112" t="str" cm="1">
        <f t="array" ref="W112">IFERROR(_xlfn._xlws.FILTER(game_rosters!AB:AB,(game_rosters!J:J=events!X112)*(K112&lt;&gt;"")),"")</f>
        <v/>
      </c>
      <c r="X112" t="str" cm="1">
        <f t="array" ref="X112">IF(S112="","",IF($I112&lt;&gt;"",$I112,INDEX($I$2:$I111,ROW()-COUNTIFS($T$2:$T111,"="&amp;$T112,$S$2:$S111,"&lt;&gt;"&amp;$S112)-1)))</f>
        <v/>
      </c>
      <c r="Z112" s="6"/>
      <c r="AH112" t="str">
        <f t="shared" si="45"/>
        <v>o</v>
      </c>
      <c r="AI112" t="str">
        <f t="shared" si="52"/>
        <v/>
      </c>
      <c r="AJ112" t="str">
        <f t="shared" si="53"/>
        <v/>
      </c>
      <c r="AK112" t="str">
        <f t="shared" si="46"/>
        <v/>
      </c>
      <c r="AL112" t="str">
        <f t="shared" si="47"/>
        <v/>
      </c>
      <c r="AM112" t="str">
        <f t="shared" si="48"/>
        <v/>
      </c>
      <c r="AN112" t="str">
        <f t="shared" si="54"/>
        <v/>
      </c>
      <c r="AO112" t="str">
        <f t="shared" si="55"/>
        <v/>
      </c>
      <c r="AP112" t="str">
        <f t="shared" si="56"/>
        <v/>
      </c>
      <c r="AQ112" t="str">
        <f t="shared" si="57"/>
        <v/>
      </c>
      <c r="AR112" t="str">
        <f t="shared" si="58"/>
        <v/>
      </c>
      <c r="AS112" t="str">
        <f t="shared" si="49"/>
        <v>Defensive</v>
      </c>
      <c r="BI112" s="40"/>
      <c r="BL112" s="40"/>
      <c r="BN112" s="19"/>
      <c r="BP112" s="17"/>
    </row>
    <row r="113" spans="1:68" x14ac:dyDescent="0.2">
      <c r="A113" t="str">
        <f t="shared" si="50"/>
        <v/>
      </c>
      <c r="E113" s="4"/>
      <c r="F113" s="45"/>
      <c r="G113" s="4"/>
      <c r="H113" s="48"/>
      <c r="J113" s="46" t="str">
        <f t="shared" si="51"/>
        <v/>
      </c>
      <c r="N113" t="str">
        <f t="shared" si="60"/>
        <v/>
      </c>
      <c r="Q113" t="str">
        <f t="shared" si="59"/>
        <v/>
      </c>
      <c r="S113" t="str">
        <f>IF(A113=1,MAX(S$2:S112)+1,IF(OR(I113&lt;&gt;"",A113="x"),S112,""))</f>
        <v/>
      </c>
      <c r="T113" t="str">
        <f>IF(D113=1,MAX($T$2:$T112)+1,IF(S113=$S112,$S112,IF($D113="x",T112,IF($D112="x","",""))))</f>
        <v/>
      </c>
      <c r="U113" t="str">
        <f>IF(B113=1,MAX($U$2:$U112)+1,IF(AND($T113&lt;&gt;"",$T113=$T112),$U112,IF(B113="x",U112,"")))</f>
        <v/>
      </c>
      <c r="V113" t="str">
        <f>IF(C113=1,MAX($V$2:$V112)+1,IF(AND($T113&lt;&gt;"",$T113=$T112),$U112,IF(C113="x",V112,"")))</f>
        <v/>
      </c>
      <c r="W113" t="str" cm="1">
        <f t="array" ref="W113">IFERROR(_xlfn._xlws.FILTER(game_rosters!AB:AB,(game_rosters!J:J=events!X113)*(K113&lt;&gt;"")),"")</f>
        <v/>
      </c>
      <c r="X113" t="str" cm="1">
        <f t="array" ref="X113">IF(S113="","",IF($I113&lt;&gt;"",$I113,INDEX($I$2:$I112,ROW()-COUNTIFS($T$2:$T112,"="&amp;$T113,$S$2:$S112,"&lt;&gt;"&amp;$S113)-1)))</f>
        <v/>
      </c>
      <c r="Z113" s="6"/>
      <c r="AH113" t="str">
        <f t="shared" si="45"/>
        <v>o</v>
      </c>
      <c r="AI113" t="str">
        <f t="shared" si="52"/>
        <v/>
      </c>
      <c r="AJ113" t="str">
        <f t="shared" si="53"/>
        <v/>
      </c>
      <c r="AK113" t="str">
        <f t="shared" si="46"/>
        <v/>
      </c>
      <c r="AL113" t="str">
        <f t="shared" si="47"/>
        <v/>
      </c>
      <c r="AM113" t="str">
        <f t="shared" si="48"/>
        <v/>
      </c>
      <c r="AN113" t="str">
        <f t="shared" si="54"/>
        <v/>
      </c>
      <c r="AO113" t="str">
        <f t="shared" si="55"/>
        <v/>
      </c>
      <c r="AP113" t="str">
        <f t="shared" si="56"/>
        <v/>
      </c>
      <c r="AQ113" t="str">
        <f t="shared" si="57"/>
        <v/>
      </c>
      <c r="AR113" t="str">
        <f t="shared" si="58"/>
        <v/>
      </c>
      <c r="AS113" t="str">
        <f t="shared" si="49"/>
        <v>Defensive</v>
      </c>
      <c r="BI113" s="40"/>
      <c r="BL113" s="40"/>
      <c r="BN113" s="19"/>
      <c r="BP113" s="17"/>
    </row>
    <row r="114" spans="1:68" x14ac:dyDescent="0.2">
      <c r="A114" t="str">
        <f t="shared" si="50"/>
        <v/>
      </c>
      <c r="E114" s="4"/>
      <c r="F114" s="45"/>
      <c r="G114" s="4"/>
      <c r="H114" s="48"/>
      <c r="J114" s="46" t="str">
        <f t="shared" si="51"/>
        <v/>
      </c>
      <c r="N114" t="str">
        <f t="shared" si="60"/>
        <v/>
      </c>
      <c r="Q114" t="str">
        <f t="shared" si="59"/>
        <v/>
      </c>
      <c r="S114" t="str">
        <f>IF(A114=1,MAX(S$2:S113)+1,IF(OR(I114&lt;&gt;"",A114="x"),S113,""))</f>
        <v/>
      </c>
      <c r="T114" t="str">
        <f>IF(D114=1,MAX($T$2:$T113)+1,IF(S114=$S113,$S113,IF($D114="x",T113,IF($D113="x","",""))))</f>
        <v/>
      </c>
      <c r="U114" t="str">
        <f>IF(B114=1,MAX($U$2:$U113)+1,IF(AND($T114&lt;&gt;"",$T114=$T113),$U113,IF(B114="x",U113,"")))</f>
        <v/>
      </c>
      <c r="V114" t="str">
        <f>IF(C114=1,MAX($V$2:$V113)+1,IF(AND($T114&lt;&gt;"",$T114=$T113),$U113,IF(C114="x",V113,"")))</f>
        <v/>
      </c>
      <c r="W114" t="str" cm="1">
        <f t="array" ref="W114">IFERROR(_xlfn._xlws.FILTER(game_rosters!AB:AB,(game_rosters!J:J=events!X114)*(K114&lt;&gt;"")),"")</f>
        <v/>
      </c>
      <c r="X114" t="str" cm="1">
        <f t="array" ref="X114">IF(S114="","",IF($I114&lt;&gt;"",$I114,INDEX($I$2:$I113,ROW()-COUNTIFS($T$2:$T113,"="&amp;$T114,$S$2:$S113,"&lt;&gt;"&amp;$S114)-1)))</f>
        <v/>
      </c>
      <c r="Z114" s="6"/>
      <c r="AH114" t="str">
        <f t="shared" si="45"/>
        <v>o</v>
      </c>
      <c r="AI114" t="str">
        <f t="shared" si="52"/>
        <v/>
      </c>
      <c r="AJ114" t="str">
        <f t="shared" si="53"/>
        <v/>
      </c>
      <c r="AK114" t="str">
        <f t="shared" si="46"/>
        <v/>
      </c>
      <c r="AL114" t="str">
        <f t="shared" si="47"/>
        <v/>
      </c>
      <c r="AM114" t="str">
        <f t="shared" si="48"/>
        <v/>
      </c>
      <c r="AN114" t="str">
        <f t="shared" si="54"/>
        <v/>
      </c>
      <c r="AO114" t="str">
        <f t="shared" si="55"/>
        <v/>
      </c>
      <c r="AP114" t="str">
        <f t="shared" si="56"/>
        <v/>
      </c>
      <c r="AQ114" t="str">
        <f t="shared" si="57"/>
        <v/>
      </c>
      <c r="AR114" t="str">
        <f t="shared" si="58"/>
        <v/>
      </c>
      <c r="AS114" t="str">
        <f t="shared" si="49"/>
        <v>Defensive</v>
      </c>
      <c r="BI114" s="40"/>
      <c r="BL114" s="40"/>
      <c r="BN114" s="19"/>
      <c r="BP114" s="17"/>
    </row>
    <row r="115" spans="1:68" x14ac:dyDescent="0.2">
      <c r="A115" t="str">
        <f t="shared" si="50"/>
        <v/>
      </c>
      <c r="E115" s="4"/>
      <c r="F115" s="45"/>
      <c r="G115" s="4"/>
      <c r="H115" s="48"/>
      <c r="J115" s="46" t="str">
        <f t="shared" si="51"/>
        <v/>
      </c>
      <c r="N115" t="str">
        <f t="shared" si="60"/>
        <v/>
      </c>
      <c r="Q115" t="str">
        <f t="shared" si="59"/>
        <v/>
      </c>
      <c r="S115" t="str">
        <f>IF(A115=1,MAX(S$2:S114)+1,IF(OR(I115&lt;&gt;"",A115="x"),S114,""))</f>
        <v/>
      </c>
      <c r="T115" t="str">
        <f>IF(D115=1,MAX($T$2:$T114)+1,IF(S115=$S114,$S114,IF($D115="x",T114,IF($D114="x","",""))))</f>
        <v/>
      </c>
      <c r="U115" t="str">
        <f>IF(B115=1,MAX($U$2:$U114)+1,IF(AND($T115&lt;&gt;"",$T115=$T114),$U114,IF(B115="x",U114,"")))</f>
        <v/>
      </c>
      <c r="V115" t="str">
        <f>IF(C115=1,MAX($V$2:$V114)+1,IF(AND($T115&lt;&gt;"",$T115=$T114),$U114,IF(C115="x",V114,"")))</f>
        <v/>
      </c>
      <c r="W115" t="str" cm="1">
        <f t="array" ref="W115">IFERROR(_xlfn._xlws.FILTER(game_rosters!AB:AB,(game_rosters!J:J=events!X115)*(K115&lt;&gt;"")),"")</f>
        <v/>
      </c>
      <c r="X115" t="str" cm="1">
        <f t="array" ref="X115">IF(S115="","",IF($I115&lt;&gt;"",$I115,INDEX($I$2:$I114,ROW()-COUNTIFS($T$2:$T114,"="&amp;$T115,$S$2:$S114,"&lt;&gt;"&amp;$S115)-1)))</f>
        <v/>
      </c>
      <c r="Z115" s="6"/>
      <c r="AH115" t="str">
        <f t="shared" si="45"/>
        <v>o</v>
      </c>
      <c r="AI115" t="str">
        <f t="shared" si="52"/>
        <v/>
      </c>
      <c r="AJ115" t="str">
        <f t="shared" si="53"/>
        <v/>
      </c>
      <c r="AK115" t="str">
        <f t="shared" si="46"/>
        <v/>
      </c>
      <c r="AL115" t="str">
        <f t="shared" si="47"/>
        <v/>
      </c>
      <c r="AM115" t="str">
        <f t="shared" si="48"/>
        <v/>
      </c>
      <c r="AN115" t="str">
        <f t="shared" si="54"/>
        <v/>
      </c>
      <c r="AO115" t="str">
        <f t="shared" si="55"/>
        <v/>
      </c>
      <c r="AP115" t="str">
        <f t="shared" si="56"/>
        <v/>
      </c>
      <c r="AQ115" t="str">
        <f t="shared" si="57"/>
        <v/>
      </c>
      <c r="AR115" t="str">
        <f t="shared" si="58"/>
        <v/>
      </c>
      <c r="AS115" t="str">
        <f t="shared" si="49"/>
        <v>Defensive</v>
      </c>
      <c r="BI115" s="40"/>
      <c r="BL115" s="40"/>
      <c r="BN115" s="19"/>
      <c r="BP115" s="17"/>
    </row>
    <row r="116" spans="1:68" x14ac:dyDescent="0.2">
      <c r="A116" t="str">
        <f t="shared" si="50"/>
        <v/>
      </c>
      <c r="E116" s="4"/>
      <c r="F116" s="45"/>
      <c r="G116" s="4"/>
      <c r="H116" s="48"/>
      <c r="J116" s="46" t="str">
        <f t="shared" si="51"/>
        <v/>
      </c>
      <c r="N116" t="str">
        <f t="shared" si="60"/>
        <v/>
      </c>
      <c r="Q116" t="str">
        <f t="shared" si="59"/>
        <v/>
      </c>
      <c r="S116" t="str">
        <f>IF(A116=1,MAX(S$2:S115)+1,IF(OR(I116&lt;&gt;"",A116="x"),S115,""))</f>
        <v/>
      </c>
      <c r="T116" t="str">
        <f>IF(D116=1,MAX($T$2:$T115)+1,IF(S116=$S115,$S115,IF($D116="x",T115,IF($D115="x","",""))))</f>
        <v/>
      </c>
      <c r="U116" t="str">
        <f>IF(B116=1,MAX($U$2:$U115)+1,IF(AND($T116&lt;&gt;"",$T116=$T115),$U115,IF(B116="x",U115,"")))</f>
        <v/>
      </c>
      <c r="V116" t="str">
        <f>IF(C116=1,MAX($V$2:$V115)+1,IF(AND($T116&lt;&gt;"",$T116=$T115),$U115,IF(C116="x",V115,"")))</f>
        <v/>
      </c>
      <c r="W116" t="str" cm="1">
        <f t="array" ref="W116">IFERROR(_xlfn._xlws.FILTER(game_rosters!AB:AB,(game_rosters!J:J=events!X116)*(K116&lt;&gt;"")),"")</f>
        <v/>
      </c>
      <c r="X116" t="str" cm="1">
        <f t="array" ref="X116">IF(S116="","",IF($I116&lt;&gt;"",$I116,INDEX($I$2:$I115,ROW()-COUNTIFS($T$2:$T115,"="&amp;$T116,$S$2:$S115,"&lt;&gt;"&amp;$S116)-1)))</f>
        <v/>
      </c>
      <c r="Z116" s="6"/>
      <c r="AH116" t="str">
        <f t="shared" si="45"/>
        <v>o</v>
      </c>
      <c r="AI116" t="str">
        <f t="shared" si="52"/>
        <v/>
      </c>
      <c r="AJ116" t="str">
        <f t="shared" si="53"/>
        <v/>
      </c>
      <c r="AK116" t="str">
        <f t="shared" si="46"/>
        <v/>
      </c>
      <c r="AL116" t="str">
        <f t="shared" si="47"/>
        <v/>
      </c>
      <c r="AM116" t="str">
        <f t="shared" si="48"/>
        <v/>
      </c>
      <c r="AN116" t="str">
        <f t="shared" si="54"/>
        <v/>
      </c>
      <c r="AO116" t="str">
        <f t="shared" si="55"/>
        <v/>
      </c>
      <c r="AP116" t="str">
        <f t="shared" si="56"/>
        <v/>
      </c>
      <c r="AQ116" t="str">
        <f t="shared" si="57"/>
        <v/>
      </c>
      <c r="AR116" t="str">
        <f t="shared" si="58"/>
        <v/>
      </c>
      <c r="AS116" t="str">
        <f t="shared" si="49"/>
        <v>Defensive</v>
      </c>
      <c r="BI116" s="40"/>
      <c r="BL116" s="40"/>
      <c r="BN116" s="19"/>
      <c r="BP116" s="17"/>
    </row>
    <row r="117" spans="1:68" x14ac:dyDescent="0.2">
      <c r="A117" t="str">
        <f t="shared" si="50"/>
        <v/>
      </c>
      <c r="E117" s="4"/>
      <c r="F117" s="45"/>
      <c r="G117" s="4"/>
      <c r="H117" s="48"/>
      <c r="J117" s="46" t="str">
        <f t="shared" si="51"/>
        <v/>
      </c>
      <c r="N117" t="str">
        <f t="shared" si="60"/>
        <v/>
      </c>
      <c r="Q117" t="str">
        <f t="shared" si="59"/>
        <v/>
      </c>
      <c r="S117" t="str">
        <f>IF(A117=1,MAX(S$2:S116)+1,IF(OR(I117&lt;&gt;"",A117="x"),S116,""))</f>
        <v/>
      </c>
      <c r="T117" t="str">
        <f>IF(D117=1,MAX($T$2:$T116)+1,IF(S117=$S116,$S116,IF($D117="x",T116,IF($D116="x","",""))))</f>
        <v/>
      </c>
      <c r="U117" t="str">
        <f>IF(B117=1,MAX($U$2:$U116)+1,IF(AND($T117&lt;&gt;"",$T117=$T116),$U116,IF(B117="x",U116,"")))</f>
        <v/>
      </c>
      <c r="V117" t="str">
        <f>IF(C117=1,MAX($V$2:$V116)+1,IF(AND($T117&lt;&gt;"",$T117=$T116),$U116,IF(C117="x",V116,"")))</f>
        <v/>
      </c>
      <c r="W117" t="str" cm="1">
        <f t="array" ref="W117">IFERROR(_xlfn._xlws.FILTER(game_rosters!AB:AB,(game_rosters!J:J=events!X117)*(K117&lt;&gt;"")),"")</f>
        <v/>
      </c>
      <c r="X117" t="str" cm="1">
        <f t="array" ref="X117">IF(S117="","",IF($I117&lt;&gt;"",$I117,INDEX($I$2:$I116,ROW()-COUNTIFS($T$2:$T116,"="&amp;$T117,$S$2:$S116,"&lt;&gt;"&amp;$S117)-1)))</f>
        <v/>
      </c>
      <c r="Z117" s="6"/>
      <c r="AH117" t="str">
        <f t="shared" si="45"/>
        <v>o</v>
      </c>
      <c r="AI117" t="str">
        <f t="shared" si="52"/>
        <v/>
      </c>
      <c r="AJ117" t="str">
        <f t="shared" si="53"/>
        <v/>
      </c>
      <c r="AK117" t="str">
        <f t="shared" si="46"/>
        <v/>
      </c>
      <c r="AL117" t="str">
        <f t="shared" si="47"/>
        <v/>
      </c>
      <c r="AM117" t="str">
        <f t="shared" si="48"/>
        <v/>
      </c>
      <c r="AN117" t="str">
        <f t="shared" si="54"/>
        <v/>
      </c>
      <c r="AO117" t="str">
        <f t="shared" si="55"/>
        <v/>
      </c>
      <c r="AP117" t="str">
        <f t="shared" si="56"/>
        <v/>
      </c>
      <c r="AQ117" t="str">
        <f t="shared" si="57"/>
        <v/>
      </c>
      <c r="AR117" t="str">
        <f t="shared" si="58"/>
        <v/>
      </c>
      <c r="AS117" t="str">
        <f t="shared" si="49"/>
        <v>Defensive</v>
      </c>
      <c r="BI117" s="40"/>
      <c r="BL117" s="40"/>
      <c r="BN117" s="19"/>
      <c r="BP117" s="17"/>
    </row>
    <row r="118" spans="1:68" x14ac:dyDescent="0.2">
      <c r="A118" t="str">
        <f t="shared" si="50"/>
        <v/>
      </c>
      <c r="E118" s="4"/>
      <c r="F118" s="45"/>
      <c r="G118" s="4"/>
      <c r="H118" s="48"/>
      <c r="J118" s="46" t="str">
        <f t="shared" si="51"/>
        <v/>
      </c>
      <c r="N118" t="str">
        <f t="shared" si="60"/>
        <v/>
      </c>
      <c r="Q118" t="str">
        <f t="shared" si="59"/>
        <v/>
      </c>
      <c r="S118" t="str">
        <f>IF(A118=1,MAX(S$2:S117)+1,IF(OR(I118&lt;&gt;"",A118="x"),S117,""))</f>
        <v/>
      </c>
      <c r="T118" t="str">
        <f>IF(D118=1,MAX($T$2:$T117)+1,IF(S118=$S117,$S117,IF($D118="x",T117,IF($D117="x","",""))))</f>
        <v/>
      </c>
      <c r="U118" t="str">
        <f>IF(B118=1,MAX($U$2:$U117)+1,IF(AND($T118&lt;&gt;"",$T118=$T117),$U117,IF(B118="x",U117,"")))</f>
        <v/>
      </c>
      <c r="V118" t="str">
        <f>IF(C118=1,MAX($V$2:$V117)+1,IF(AND($T118&lt;&gt;"",$T118=$T117),$U117,IF(C118="x",V117,"")))</f>
        <v/>
      </c>
      <c r="W118" t="str" cm="1">
        <f t="array" ref="W118">IFERROR(_xlfn._xlws.FILTER(game_rosters!AB:AB,(game_rosters!J:J=events!X118)*(K118&lt;&gt;"")),"")</f>
        <v/>
      </c>
      <c r="X118" t="str" cm="1">
        <f t="array" ref="X118">IF(S118="","",IF($I118&lt;&gt;"",$I118,INDEX($I$2:$I117,ROW()-COUNTIFS($T$2:$T117,"="&amp;$T118,$S$2:$S117,"&lt;&gt;"&amp;$S118)-1)))</f>
        <v/>
      </c>
      <c r="Z118" s="6"/>
      <c r="AH118" t="str">
        <f t="shared" si="45"/>
        <v>o</v>
      </c>
      <c r="AI118" t="str">
        <f t="shared" si="52"/>
        <v/>
      </c>
      <c r="AJ118" t="str">
        <f t="shared" si="53"/>
        <v/>
      </c>
      <c r="AK118" t="str">
        <f t="shared" si="46"/>
        <v/>
      </c>
      <c r="AL118" t="str">
        <f t="shared" si="47"/>
        <v/>
      </c>
      <c r="AM118" t="str">
        <f t="shared" si="48"/>
        <v/>
      </c>
      <c r="AN118" t="str">
        <f t="shared" si="54"/>
        <v/>
      </c>
      <c r="AO118" t="str">
        <f t="shared" si="55"/>
        <v/>
      </c>
      <c r="AP118" t="str">
        <f t="shared" si="56"/>
        <v/>
      </c>
      <c r="AQ118" t="str">
        <f t="shared" si="57"/>
        <v/>
      </c>
      <c r="AR118" t="str">
        <f t="shared" si="58"/>
        <v/>
      </c>
      <c r="AS118" t="str">
        <f t="shared" si="49"/>
        <v>Defensive</v>
      </c>
      <c r="BI118" s="40"/>
      <c r="BL118" s="40"/>
      <c r="BN118" s="19"/>
      <c r="BP118" s="17"/>
    </row>
    <row r="119" spans="1:68" x14ac:dyDescent="0.2">
      <c r="A119" t="str">
        <f t="shared" si="50"/>
        <v/>
      </c>
      <c r="E119" s="4"/>
      <c r="F119" s="45"/>
      <c r="G119" s="4"/>
      <c r="H119" s="48"/>
      <c r="J119" s="46" t="str">
        <f t="shared" si="51"/>
        <v/>
      </c>
      <c r="N119" t="str">
        <f t="shared" si="60"/>
        <v/>
      </c>
      <c r="Q119" t="str">
        <f t="shared" si="59"/>
        <v/>
      </c>
      <c r="S119" t="str">
        <f>IF(A119=1,MAX(S$2:S118)+1,IF(OR(I119&lt;&gt;"",A119="x"),S118,""))</f>
        <v/>
      </c>
      <c r="T119" t="str">
        <f>IF(D119=1,MAX($T$2:$T118)+1,IF(S119=$S118,$S118,IF($D119="x",T118,IF($D118="x","",""))))</f>
        <v/>
      </c>
      <c r="U119" t="str">
        <f>IF(B119=1,MAX($U$2:$U118)+1,IF(AND($T119&lt;&gt;"",$T119=$T118),$U118,IF(B119="x",U118,"")))</f>
        <v/>
      </c>
      <c r="V119" t="str">
        <f>IF(C119=1,MAX($V$2:$V118)+1,IF(AND($T119&lt;&gt;"",$T119=$T118),$U118,IF(C119="x",V118,"")))</f>
        <v/>
      </c>
      <c r="W119" t="str" cm="1">
        <f t="array" ref="W119">IFERROR(_xlfn._xlws.FILTER(game_rosters!AB:AB,(game_rosters!J:J=events!X119)*(K119&lt;&gt;"")),"")</f>
        <v/>
      </c>
      <c r="X119" t="str" cm="1">
        <f t="array" ref="X119">IF(S119="","",IF($I119&lt;&gt;"",$I119,INDEX($I$2:$I118,ROW()-COUNTIFS($T$2:$T118,"="&amp;$T119,$S$2:$S118,"&lt;&gt;"&amp;$S119)-1)))</f>
        <v/>
      </c>
      <c r="Z119" s="6"/>
      <c r="AH119" t="str">
        <f t="shared" si="45"/>
        <v>o</v>
      </c>
      <c r="AI119" t="str">
        <f t="shared" si="52"/>
        <v/>
      </c>
      <c r="AJ119" t="str">
        <f t="shared" si="53"/>
        <v/>
      </c>
      <c r="AK119" t="str">
        <f t="shared" si="46"/>
        <v/>
      </c>
      <c r="AL119" t="str">
        <f t="shared" si="47"/>
        <v/>
      </c>
      <c r="AM119" t="str">
        <f t="shared" si="48"/>
        <v/>
      </c>
      <c r="AN119" t="str">
        <f t="shared" si="54"/>
        <v/>
      </c>
      <c r="AO119" t="str">
        <f t="shared" si="55"/>
        <v/>
      </c>
      <c r="AP119" t="str">
        <f t="shared" si="56"/>
        <v/>
      </c>
      <c r="AQ119" t="str">
        <f t="shared" si="57"/>
        <v/>
      </c>
      <c r="AR119" t="str">
        <f t="shared" si="58"/>
        <v/>
      </c>
      <c r="AS119" t="str">
        <f t="shared" si="49"/>
        <v>Defensive</v>
      </c>
      <c r="BI119" s="40"/>
      <c r="BL119" s="40"/>
      <c r="BN119" s="19"/>
      <c r="BP119" s="17"/>
    </row>
    <row r="120" spans="1:68" x14ac:dyDescent="0.2">
      <c r="A120" t="str">
        <f t="shared" si="50"/>
        <v/>
      </c>
      <c r="E120" s="4"/>
      <c r="F120" s="45"/>
      <c r="G120" s="4"/>
      <c r="H120" s="48"/>
      <c r="J120" s="46" t="str">
        <f t="shared" si="51"/>
        <v/>
      </c>
      <c r="N120" t="str">
        <f t="shared" si="60"/>
        <v/>
      </c>
      <c r="Q120" t="str">
        <f t="shared" si="59"/>
        <v/>
      </c>
      <c r="S120" t="str">
        <f>IF(A120=1,MAX(S$2:S119)+1,IF(OR(I120&lt;&gt;"",A120="x"),S119,""))</f>
        <v/>
      </c>
      <c r="T120" t="str">
        <f>IF(D120=1,MAX($T$2:$T119)+1,IF(S120=$S119,$S119,IF($D120="x",T119,IF($D119="x","",""))))</f>
        <v/>
      </c>
      <c r="U120" t="str">
        <f>IF(B120=1,MAX($U$2:$U119)+1,IF(AND($T120&lt;&gt;"",$T120=$T119),$U119,IF(B120="x",U119,"")))</f>
        <v/>
      </c>
      <c r="V120" t="str">
        <f>IF(C120=1,MAX($V$2:$V119)+1,IF(AND($T120&lt;&gt;"",$T120=$T119),$U119,IF(C120="x",V119,"")))</f>
        <v/>
      </c>
      <c r="W120" t="str" cm="1">
        <f t="array" ref="W120">IFERROR(_xlfn._xlws.FILTER(game_rosters!AB:AB,(game_rosters!J:J=events!X120)*(K120&lt;&gt;"")),"")</f>
        <v/>
      </c>
      <c r="X120" t="str" cm="1">
        <f t="array" ref="X120">IF(S120="","",IF($I120&lt;&gt;"",$I120,INDEX($I$2:$I119,ROW()-COUNTIFS($T$2:$T119,"="&amp;$T120,$S$2:$S119,"&lt;&gt;"&amp;$S120)-1)))</f>
        <v/>
      </c>
      <c r="Z120" s="6"/>
      <c r="AH120" t="str">
        <f t="shared" si="45"/>
        <v>o</v>
      </c>
      <c r="AI120" t="str">
        <f t="shared" si="52"/>
        <v/>
      </c>
      <c r="AJ120" t="str">
        <f t="shared" si="53"/>
        <v/>
      </c>
      <c r="AK120" t="str">
        <f t="shared" si="46"/>
        <v/>
      </c>
      <c r="AL120" t="str">
        <f t="shared" si="47"/>
        <v/>
      </c>
      <c r="AM120" t="str">
        <f t="shared" si="48"/>
        <v/>
      </c>
      <c r="AN120" t="str">
        <f t="shared" si="54"/>
        <v/>
      </c>
      <c r="AO120" t="str">
        <f t="shared" si="55"/>
        <v/>
      </c>
      <c r="AP120" t="str">
        <f t="shared" si="56"/>
        <v/>
      </c>
      <c r="AQ120" t="str">
        <f t="shared" si="57"/>
        <v/>
      </c>
      <c r="AR120" t="str">
        <f t="shared" si="58"/>
        <v/>
      </c>
      <c r="AS120" t="str">
        <f t="shared" si="49"/>
        <v>Defensive</v>
      </c>
      <c r="BI120" s="40"/>
      <c r="BL120" s="40"/>
      <c r="BN120" s="19"/>
      <c r="BP120" s="17"/>
    </row>
    <row r="121" spans="1:68" x14ac:dyDescent="0.2">
      <c r="A121" t="str">
        <f t="shared" si="50"/>
        <v/>
      </c>
      <c r="E121" s="4"/>
      <c r="F121" s="45"/>
      <c r="G121" s="4"/>
      <c r="H121" s="48"/>
      <c r="J121" s="46" t="str">
        <f t="shared" si="51"/>
        <v/>
      </c>
      <c r="N121" t="str">
        <f t="shared" si="60"/>
        <v/>
      </c>
      <c r="Q121" t="str">
        <f t="shared" si="59"/>
        <v/>
      </c>
      <c r="S121" t="str">
        <f>IF(A121=1,MAX(S$2:S120)+1,IF(OR(I121&lt;&gt;"",A121="x"),S120,""))</f>
        <v/>
      </c>
      <c r="T121" t="str">
        <f>IF(D121=1,MAX($T$2:$T120)+1,IF(S121=$S120,$S120,IF($D121="x",T120,IF($D120="x","",""))))</f>
        <v/>
      </c>
      <c r="U121" t="str">
        <f>IF(B121=1,MAX($U$2:$U120)+1,IF(AND($T121&lt;&gt;"",$T121=$T120),$U120,IF(B121="x",U120,"")))</f>
        <v/>
      </c>
      <c r="V121" t="str">
        <f>IF(C121=1,MAX($V$2:$V120)+1,IF(AND($T121&lt;&gt;"",$T121=$T120),$U120,IF(C121="x",V120,"")))</f>
        <v/>
      </c>
      <c r="W121" t="str" cm="1">
        <f t="array" ref="W121">IFERROR(_xlfn._xlws.FILTER(game_rosters!AB:AB,(game_rosters!J:J=events!X121)*(K121&lt;&gt;"")),"")</f>
        <v/>
      </c>
      <c r="X121" t="str" cm="1">
        <f t="array" ref="X121">IF(S121="","",IF($I121&lt;&gt;"",$I121,INDEX($I$2:$I120,ROW()-COUNTIFS($T$2:$T120,"="&amp;$T121,$S$2:$S120,"&lt;&gt;"&amp;$S121)-1)))</f>
        <v/>
      </c>
      <c r="Z121" s="6"/>
      <c r="AH121" t="str">
        <f t="shared" si="45"/>
        <v>o</v>
      </c>
      <c r="AI121" t="str">
        <f t="shared" si="52"/>
        <v/>
      </c>
      <c r="AJ121" t="str">
        <f t="shared" si="53"/>
        <v/>
      </c>
      <c r="AK121" t="str">
        <f t="shared" si="46"/>
        <v/>
      </c>
      <c r="AL121" t="str">
        <f t="shared" si="47"/>
        <v/>
      </c>
      <c r="AM121" t="str">
        <f t="shared" si="48"/>
        <v/>
      </c>
      <c r="AN121" t="str">
        <f t="shared" si="54"/>
        <v/>
      </c>
      <c r="AO121" t="str">
        <f t="shared" si="55"/>
        <v/>
      </c>
      <c r="AP121" t="str">
        <f t="shared" si="56"/>
        <v/>
      </c>
      <c r="AQ121" t="str">
        <f t="shared" si="57"/>
        <v/>
      </c>
      <c r="AR121" t="str">
        <f t="shared" si="58"/>
        <v/>
      </c>
      <c r="AS121" t="str">
        <f t="shared" si="49"/>
        <v>Defensive</v>
      </c>
      <c r="BI121" s="40"/>
      <c r="BL121" s="40"/>
      <c r="BN121" s="19"/>
      <c r="BP121" s="17"/>
    </row>
    <row r="122" spans="1:68" x14ac:dyDescent="0.2">
      <c r="A122" t="str">
        <f t="shared" si="50"/>
        <v/>
      </c>
      <c r="E122" s="4"/>
      <c r="F122" s="45"/>
      <c r="G122" s="4"/>
      <c r="H122" s="48"/>
      <c r="J122" s="46" t="str">
        <f t="shared" si="51"/>
        <v/>
      </c>
      <c r="N122" t="str">
        <f t="shared" si="60"/>
        <v/>
      </c>
      <c r="Q122" t="str">
        <f t="shared" si="59"/>
        <v/>
      </c>
      <c r="S122" t="str">
        <f>IF(A122=1,MAX(S$2:S121)+1,IF(OR(I122&lt;&gt;"",A122="x"),S121,""))</f>
        <v/>
      </c>
      <c r="T122" t="str">
        <f>IF(D122=1,MAX($T$2:$T121)+1,IF(S122=$S121,$S121,IF($D122="x",T121,IF($D121="x","",""))))</f>
        <v/>
      </c>
      <c r="U122" t="str">
        <f>IF(B122=1,MAX($U$2:$U121)+1,IF(AND($T122&lt;&gt;"",$T122=$T121),$U121,IF(B122="x",U121,"")))</f>
        <v/>
      </c>
      <c r="V122" t="str">
        <f>IF(C122=1,MAX($V$2:$V121)+1,IF(AND($T122&lt;&gt;"",$T122=$T121),$U121,IF(C122="x",V121,"")))</f>
        <v/>
      </c>
      <c r="W122" t="str" cm="1">
        <f t="array" ref="W122">IFERROR(_xlfn._xlws.FILTER(game_rosters!AB:AB,(game_rosters!J:J=events!X122)*(K122&lt;&gt;"")),"")</f>
        <v/>
      </c>
      <c r="X122" t="str" cm="1">
        <f t="array" ref="X122">IF(S122="","",IF($I122&lt;&gt;"",$I122,INDEX($I$2:$I121,ROW()-COUNTIFS($T$2:$T121,"="&amp;$T122,$S$2:$S121,"&lt;&gt;"&amp;$S122)-1)))</f>
        <v/>
      </c>
      <c r="Z122" s="6"/>
      <c r="AH122" t="str">
        <f t="shared" si="45"/>
        <v>o</v>
      </c>
      <c r="AI122" t="str">
        <f t="shared" si="52"/>
        <v/>
      </c>
      <c r="AJ122" t="str">
        <f t="shared" si="53"/>
        <v/>
      </c>
      <c r="AK122" t="str">
        <f t="shared" si="46"/>
        <v/>
      </c>
      <c r="AL122" t="str">
        <f t="shared" si="47"/>
        <v/>
      </c>
      <c r="AM122" t="str">
        <f t="shared" si="48"/>
        <v/>
      </c>
      <c r="AN122" t="str">
        <f t="shared" si="54"/>
        <v/>
      </c>
      <c r="AO122" t="str">
        <f t="shared" si="55"/>
        <v/>
      </c>
      <c r="AP122" t="str">
        <f t="shared" si="56"/>
        <v/>
      </c>
      <c r="AQ122" t="str">
        <f t="shared" si="57"/>
        <v/>
      </c>
      <c r="AR122" t="str">
        <f t="shared" si="58"/>
        <v/>
      </c>
      <c r="AS122" t="str">
        <f t="shared" si="49"/>
        <v>Defensive</v>
      </c>
      <c r="BI122" s="40"/>
      <c r="BL122" s="40"/>
      <c r="BN122" s="19"/>
      <c r="BP122" s="17"/>
    </row>
    <row r="123" spans="1:68" x14ac:dyDescent="0.2">
      <c r="A123" t="str">
        <f t="shared" si="50"/>
        <v/>
      </c>
      <c r="E123" s="4"/>
      <c r="F123" s="45"/>
      <c r="G123" s="4"/>
      <c r="H123" s="48"/>
      <c r="J123" s="46" t="str">
        <f t="shared" si="51"/>
        <v/>
      </c>
      <c r="N123" t="str">
        <f t="shared" si="60"/>
        <v/>
      </c>
      <c r="Q123" t="str">
        <f t="shared" si="59"/>
        <v/>
      </c>
      <c r="S123" t="str">
        <f>IF(A123=1,MAX(S$2:S122)+1,IF(OR(I123&lt;&gt;"",A123="x"),S122,""))</f>
        <v/>
      </c>
      <c r="T123" t="str">
        <f>IF(D123=1,MAX($T$2:$T122)+1,IF(S123=$S122,$S122,IF($D123="x",T122,IF($D122="x","",""))))</f>
        <v/>
      </c>
      <c r="U123" t="str">
        <f>IF(B123=1,MAX($U$2:$U122)+1,IF(AND($T123&lt;&gt;"",$T123=$T122),$U122,IF(B123="x",U122,"")))</f>
        <v/>
      </c>
      <c r="V123" t="str">
        <f>IF(C123=1,MAX($V$2:$V122)+1,IF(AND($T123&lt;&gt;"",$T123=$T122),$U122,IF(C123="x",V122,"")))</f>
        <v/>
      </c>
      <c r="W123" t="str" cm="1">
        <f t="array" ref="W123">IFERROR(_xlfn._xlws.FILTER(game_rosters!AB:AB,(game_rosters!J:J=events!X123)*(K123&lt;&gt;"")),"")</f>
        <v/>
      </c>
      <c r="X123" t="str" cm="1">
        <f t="array" ref="X123">IF(S123="","",IF($I123&lt;&gt;"",$I123,INDEX($I$2:$I122,ROW()-COUNTIFS($T$2:$T122,"="&amp;$T123,$S$2:$S122,"&lt;&gt;"&amp;$S123)-1)))</f>
        <v/>
      </c>
      <c r="Z123" s="6"/>
      <c r="AH123" t="str">
        <f t="shared" si="45"/>
        <v>o</v>
      </c>
      <c r="AI123" t="str">
        <f t="shared" si="52"/>
        <v/>
      </c>
      <c r="AJ123" t="str">
        <f t="shared" si="53"/>
        <v/>
      </c>
      <c r="AK123" t="str">
        <f t="shared" si="46"/>
        <v/>
      </c>
      <c r="AL123" t="str">
        <f t="shared" si="47"/>
        <v/>
      </c>
      <c r="AM123" t="str">
        <f t="shared" si="48"/>
        <v/>
      </c>
      <c r="AN123" t="str">
        <f t="shared" si="54"/>
        <v/>
      </c>
      <c r="AO123" t="str">
        <f t="shared" si="55"/>
        <v/>
      </c>
      <c r="AP123" t="str">
        <f t="shared" si="56"/>
        <v/>
      </c>
      <c r="AQ123" t="str">
        <f t="shared" si="57"/>
        <v/>
      </c>
      <c r="AR123" t="str">
        <f t="shared" si="58"/>
        <v/>
      </c>
      <c r="AS123" t="str">
        <f t="shared" si="49"/>
        <v>Defensive</v>
      </c>
      <c r="BI123" s="40"/>
      <c r="BL123" s="40"/>
      <c r="BN123" s="19"/>
      <c r="BP123" s="17"/>
    </row>
    <row r="124" spans="1:68" x14ac:dyDescent="0.2">
      <c r="A124" t="str">
        <f t="shared" si="50"/>
        <v/>
      </c>
      <c r="E124" s="4"/>
      <c r="F124" s="45"/>
      <c r="G124" s="4"/>
      <c r="H124" s="48"/>
      <c r="J124" s="46" t="str">
        <f t="shared" si="51"/>
        <v/>
      </c>
      <c r="N124" t="str">
        <f t="shared" si="60"/>
        <v/>
      </c>
      <c r="Q124" t="str">
        <f t="shared" si="59"/>
        <v/>
      </c>
      <c r="S124" t="str">
        <f>IF(A124=1,MAX(S$2:S123)+1,IF(OR(I124&lt;&gt;"",A124="x"),S123,""))</f>
        <v/>
      </c>
      <c r="T124" t="str">
        <f>IF(D124=1,MAX($T$2:$T123)+1,IF(S124=$S123,$S123,IF($D124="x",T123,IF($D123="x","",""))))</f>
        <v/>
      </c>
      <c r="U124" t="str">
        <f>IF(B124=1,MAX($U$2:$U123)+1,IF(AND($T124&lt;&gt;"",$T124=$T123),$U123,IF(B124="x",U123,"")))</f>
        <v/>
      </c>
      <c r="V124" t="str">
        <f>IF(C124=1,MAX($V$2:$V123)+1,IF(AND($T124&lt;&gt;"",$T124=$T123),$U123,IF(C124="x",V123,"")))</f>
        <v/>
      </c>
      <c r="W124" t="str" cm="1">
        <f t="array" ref="W124">IFERROR(_xlfn._xlws.FILTER(game_rosters!AB:AB,(game_rosters!J:J=events!X124)*(K124&lt;&gt;"")),"")</f>
        <v/>
      </c>
      <c r="X124" t="str" cm="1">
        <f t="array" ref="X124">IF(S124="","",IF($I124&lt;&gt;"",$I124,INDEX($I$2:$I123,ROW()-COUNTIFS($T$2:$T123,"="&amp;$T124,$S$2:$S123,"&lt;&gt;"&amp;$S124)-1)))</f>
        <v/>
      </c>
      <c r="Z124" s="6"/>
      <c r="AH124" t="str">
        <f t="shared" si="45"/>
        <v>o</v>
      </c>
      <c r="AI124" t="str">
        <f t="shared" si="52"/>
        <v/>
      </c>
      <c r="AJ124" t="str">
        <f t="shared" si="53"/>
        <v/>
      </c>
      <c r="AK124" t="str">
        <f t="shared" si="46"/>
        <v/>
      </c>
      <c r="AL124" t="str">
        <f t="shared" si="47"/>
        <v/>
      </c>
      <c r="AM124" t="str">
        <f t="shared" si="48"/>
        <v/>
      </c>
      <c r="AN124" t="str">
        <f t="shared" si="54"/>
        <v/>
      </c>
      <c r="AO124" t="str">
        <f t="shared" si="55"/>
        <v/>
      </c>
      <c r="AP124" t="str">
        <f t="shared" si="56"/>
        <v/>
      </c>
      <c r="AQ124" t="str">
        <f t="shared" si="57"/>
        <v/>
      </c>
      <c r="AR124" t="str">
        <f t="shared" si="58"/>
        <v/>
      </c>
      <c r="AS124" t="str">
        <f t="shared" si="49"/>
        <v>Defensive</v>
      </c>
      <c r="BI124" s="40"/>
      <c r="BL124" s="40"/>
      <c r="BN124" s="19"/>
      <c r="BP124" s="17"/>
    </row>
    <row r="125" spans="1:68" x14ac:dyDescent="0.2">
      <c r="A125" t="str">
        <f t="shared" si="50"/>
        <v/>
      </c>
      <c r="E125" s="4"/>
      <c r="F125" s="45"/>
      <c r="G125" s="4"/>
      <c r="H125" s="48"/>
      <c r="J125" s="46" t="str">
        <f t="shared" si="51"/>
        <v/>
      </c>
      <c r="N125" t="str">
        <f t="shared" si="60"/>
        <v/>
      </c>
      <c r="Q125" t="str">
        <f t="shared" si="59"/>
        <v/>
      </c>
      <c r="S125" t="str">
        <f>IF(A125=1,MAX(S$2:S124)+1,IF(OR(I125&lt;&gt;"",A125="x"),S124,""))</f>
        <v/>
      </c>
      <c r="T125" t="str">
        <f>IF(D125=1,MAX($T$2:$T124)+1,IF(S125=$S124,$S124,IF($D125="x",T124,IF($D124="x","",""))))</f>
        <v/>
      </c>
      <c r="U125" t="str">
        <f>IF(B125=1,MAX($U$2:$U124)+1,IF(AND($T125&lt;&gt;"",$T125=$T124),$U124,IF(B125="x",U124,"")))</f>
        <v/>
      </c>
      <c r="V125" t="str">
        <f>IF(C125=1,MAX($V$2:$V124)+1,IF(AND($T125&lt;&gt;"",$T125=$T124),$U124,IF(C125="x",V124,"")))</f>
        <v/>
      </c>
      <c r="W125" t="str" cm="1">
        <f t="array" ref="W125">IFERROR(_xlfn._xlws.FILTER(game_rosters!AB:AB,(game_rosters!J:J=events!X125)*(K125&lt;&gt;"")),"")</f>
        <v/>
      </c>
      <c r="X125" t="str" cm="1">
        <f t="array" ref="X125">IF(S125="","",IF($I125&lt;&gt;"",$I125,INDEX($I$2:$I124,ROW()-COUNTIFS($T$2:$T124,"="&amp;$T125,$S$2:$S124,"&lt;&gt;"&amp;$S125)-1)))</f>
        <v/>
      </c>
      <c r="Z125" s="6"/>
      <c r="AH125" t="str">
        <f t="shared" si="45"/>
        <v>o</v>
      </c>
      <c r="AI125" t="str">
        <f t="shared" si="52"/>
        <v/>
      </c>
      <c r="AJ125" t="str">
        <f t="shared" si="53"/>
        <v/>
      </c>
      <c r="AK125" t="str">
        <f t="shared" si="46"/>
        <v/>
      </c>
      <c r="AL125" t="str">
        <f t="shared" si="47"/>
        <v/>
      </c>
      <c r="AM125" t="str">
        <f t="shared" si="48"/>
        <v/>
      </c>
      <c r="AN125" t="str">
        <f t="shared" si="54"/>
        <v/>
      </c>
      <c r="AO125" t="str">
        <f t="shared" si="55"/>
        <v/>
      </c>
      <c r="AP125" t="str">
        <f t="shared" si="56"/>
        <v/>
      </c>
      <c r="AQ125" t="str">
        <f t="shared" si="57"/>
        <v/>
      </c>
      <c r="AR125" t="str">
        <f t="shared" si="58"/>
        <v/>
      </c>
      <c r="AS125" t="str">
        <f t="shared" si="49"/>
        <v>Defensive</v>
      </c>
      <c r="BI125" s="40"/>
      <c r="BL125" s="40"/>
      <c r="BN125" s="19"/>
      <c r="BP125" s="17"/>
    </row>
    <row r="126" spans="1:68" x14ac:dyDescent="0.2">
      <c r="A126" t="str">
        <f t="shared" si="50"/>
        <v/>
      </c>
      <c r="E126" s="4"/>
      <c r="F126" s="45"/>
      <c r="G126" s="4"/>
      <c r="H126" s="48"/>
      <c r="J126" s="46" t="str">
        <f t="shared" si="51"/>
        <v/>
      </c>
      <c r="N126" t="str">
        <f t="shared" si="60"/>
        <v/>
      </c>
      <c r="Q126" t="str">
        <f t="shared" si="59"/>
        <v/>
      </c>
      <c r="S126" t="str">
        <f>IF(A126=1,MAX(S$2:S125)+1,IF(OR(I126&lt;&gt;"",A126="x"),S125,""))</f>
        <v/>
      </c>
      <c r="T126" t="str">
        <f>IF(D126=1,MAX($T$2:$T125)+1,IF(S126=$S125,$S125,IF($D126="x",T125,IF($D125="x","",""))))</f>
        <v/>
      </c>
      <c r="U126" t="str">
        <f>IF(B126=1,MAX($U$2:$U125)+1,IF(AND($T126&lt;&gt;"",$T126=$T125),$U125,IF(B126="x",U125,"")))</f>
        <v/>
      </c>
      <c r="V126" t="str">
        <f>IF(C126=1,MAX($V$2:$V125)+1,IF(AND($T126&lt;&gt;"",$T126=$T125),$U125,IF(C126="x",V125,"")))</f>
        <v/>
      </c>
      <c r="W126" t="str" cm="1">
        <f t="array" ref="W126">IFERROR(_xlfn._xlws.FILTER(game_rosters!AB:AB,(game_rosters!J:J=events!X126)*(K126&lt;&gt;"")),"")</f>
        <v/>
      </c>
      <c r="X126" t="str" cm="1">
        <f t="array" ref="X126">IF(S126="","",IF($I126&lt;&gt;"",$I126,INDEX($I$2:$I125,ROW()-COUNTIFS($T$2:$T125,"="&amp;$T126,$S$2:$S125,"&lt;&gt;"&amp;$S126)-1)))</f>
        <v/>
      </c>
      <c r="Z126" s="6"/>
      <c r="AH126" t="str">
        <f t="shared" si="45"/>
        <v>o</v>
      </c>
      <c r="AI126" t="str">
        <f t="shared" si="52"/>
        <v/>
      </c>
      <c r="AJ126" t="str">
        <f t="shared" si="53"/>
        <v/>
      </c>
      <c r="AK126" t="str">
        <f t="shared" si="46"/>
        <v/>
      </c>
      <c r="AL126" t="str">
        <f t="shared" si="47"/>
        <v/>
      </c>
      <c r="AM126" t="str">
        <f t="shared" si="48"/>
        <v/>
      </c>
      <c r="AN126" t="str">
        <f t="shared" si="54"/>
        <v/>
      </c>
      <c r="AO126" t="str">
        <f t="shared" si="55"/>
        <v/>
      </c>
      <c r="AP126" t="str">
        <f t="shared" si="56"/>
        <v/>
      </c>
      <c r="AQ126" t="str">
        <f t="shared" si="57"/>
        <v/>
      </c>
      <c r="AR126" t="str">
        <f t="shared" si="58"/>
        <v/>
      </c>
      <c r="AS126" t="str">
        <f t="shared" si="49"/>
        <v>Defensive</v>
      </c>
      <c r="BI126" s="40"/>
      <c r="BL126" s="40"/>
      <c r="BN126" s="19"/>
      <c r="BP126" s="17"/>
    </row>
    <row r="127" spans="1:68" x14ac:dyDescent="0.2">
      <c r="A127" t="str">
        <f t="shared" si="50"/>
        <v/>
      </c>
      <c r="E127" s="4"/>
      <c r="F127" s="45"/>
      <c r="G127" s="4"/>
      <c r="H127" s="48"/>
      <c r="J127" s="46" t="str">
        <f t="shared" si="51"/>
        <v/>
      </c>
      <c r="N127" t="str">
        <f t="shared" si="60"/>
        <v/>
      </c>
      <c r="Q127" t="str">
        <f t="shared" si="59"/>
        <v/>
      </c>
      <c r="S127" t="str">
        <f>IF(A127=1,MAX(S$2:S126)+1,IF(OR(I127&lt;&gt;"",A127="x"),S126,""))</f>
        <v/>
      </c>
      <c r="T127" t="str">
        <f>IF(D127=1,MAX($T$2:$T126)+1,IF(S127=$S126,$S126,IF($D127="x",T126,IF($D126="x","",""))))</f>
        <v/>
      </c>
      <c r="U127" t="str">
        <f>IF(B127=1,MAX($U$2:$U126)+1,IF(AND($T127&lt;&gt;"",$T127=$T126),$U126,IF(B127="x",U126,"")))</f>
        <v/>
      </c>
      <c r="V127" t="str">
        <f>IF(C127=1,MAX($V$2:$V126)+1,IF(AND($T127&lt;&gt;"",$T127=$T126),$U126,IF(C127="x",V126,"")))</f>
        <v/>
      </c>
      <c r="W127" t="str" cm="1">
        <f t="array" ref="W127">IFERROR(_xlfn._xlws.FILTER(game_rosters!AB:AB,(game_rosters!J:J=events!X127)*(K127&lt;&gt;"")),"")</f>
        <v/>
      </c>
      <c r="X127" t="str" cm="1">
        <f t="array" ref="X127">IF(S127="","",IF($I127&lt;&gt;"",$I127,INDEX($I$2:$I126,ROW()-COUNTIFS($T$2:$T126,"="&amp;$T127,$S$2:$S126,"&lt;&gt;"&amp;$S127)-1)))</f>
        <v/>
      </c>
      <c r="Z127" s="6"/>
      <c r="AH127" t="str">
        <f t="shared" si="45"/>
        <v>o</v>
      </c>
      <c r="AI127" t="str">
        <f t="shared" si="52"/>
        <v/>
      </c>
      <c r="AJ127" t="str">
        <f t="shared" si="53"/>
        <v/>
      </c>
      <c r="AK127" t="str">
        <f t="shared" si="46"/>
        <v/>
      </c>
      <c r="AL127" t="str">
        <f t="shared" si="47"/>
        <v/>
      </c>
      <c r="AM127" t="str">
        <f t="shared" si="48"/>
        <v/>
      </c>
      <c r="AN127" t="str">
        <f t="shared" si="54"/>
        <v/>
      </c>
      <c r="AO127" t="str">
        <f t="shared" si="55"/>
        <v/>
      </c>
      <c r="AP127" t="str">
        <f t="shared" si="56"/>
        <v/>
      </c>
      <c r="AQ127" t="str">
        <f t="shared" si="57"/>
        <v/>
      </c>
      <c r="AR127" t="str">
        <f t="shared" si="58"/>
        <v/>
      </c>
      <c r="AS127" t="str">
        <f t="shared" si="49"/>
        <v>Defensive</v>
      </c>
      <c r="BI127" s="40"/>
      <c r="BL127" s="40"/>
      <c r="BN127" s="19"/>
      <c r="BP127" s="17"/>
    </row>
    <row r="128" spans="1:68" x14ac:dyDescent="0.2">
      <c r="A128" t="str">
        <f t="shared" si="50"/>
        <v/>
      </c>
      <c r="E128" s="4"/>
      <c r="F128" s="45"/>
      <c r="G128" s="4"/>
      <c r="H128" s="48"/>
      <c r="J128" s="46" t="str">
        <f t="shared" si="51"/>
        <v/>
      </c>
      <c r="N128" t="str">
        <f t="shared" si="60"/>
        <v/>
      </c>
      <c r="Q128" t="str">
        <f t="shared" si="59"/>
        <v/>
      </c>
      <c r="S128" t="str">
        <f>IF(A128=1,MAX(S$2:S127)+1,IF(OR(I128&lt;&gt;"",A128="x"),S127,""))</f>
        <v/>
      </c>
      <c r="T128" t="str">
        <f>IF(D128=1,MAX($T$2:$T127)+1,IF(S128=$S127,$S127,IF($D128="x",T127,IF($D127="x","",""))))</f>
        <v/>
      </c>
      <c r="U128" t="str">
        <f>IF(B128=1,MAX($U$2:$U127)+1,IF(AND($T128&lt;&gt;"",$T128=$T127),$U127,IF(B128="x",U127,"")))</f>
        <v/>
      </c>
      <c r="V128" t="str">
        <f>IF(C128=1,MAX($V$2:$V127)+1,IF(AND($T128&lt;&gt;"",$T128=$T127),$U127,IF(C128="x",V127,"")))</f>
        <v/>
      </c>
      <c r="W128" t="str" cm="1">
        <f t="array" ref="W128">IFERROR(_xlfn._xlws.FILTER(game_rosters!AB:AB,(game_rosters!J:J=events!X128)*(K128&lt;&gt;"")),"")</f>
        <v/>
      </c>
      <c r="X128" t="str" cm="1">
        <f t="array" ref="X128">IF(S128="","",IF($I128&lt;&gt;"",$I128,INDEX($I$2:$I127,ROW()-COUNTIFS($T$2:$T127,"="&amp;$T128,$S$2:$S127,"&lt;&gt;"&amp;$S128)-1)))</f>
        <v/>
      </c>
      <c r="Z128" s="6"/>
      <c r="AH128" t="str">
        <f t="shared" ref="AH128:AH191" si="61">IF(Y128="x","",IF(Y128=1,"e","o"))</f>
        <v>o</v>
      </c>
      <c r="AI128" t="str">
        <f t="shared" si="52"/>
        <v/>
      </c>
      <c r="AJ128" t="str">
        <f t="shared" si="53"/>
        <v/>
      </c>
      <c r="AK128" t="str">
        <f t="shared" ref="AK128:AK191" si="62">IF($W128="","",IF($AI128="","",IF($W128="h",$AI128,IF($AI128="n","n",IF(AND($W128="a",$AI128="d"),"o",IF(AND($W128="a",$AI128="o"),"d"))))))</f>
        <v/>
      </c>
      <c r="AL128" t="str">
        <f t="shared" ref="AL128:AL191" si="63">IF($W128="","",IF(J128="","",IF(AK128="n","n",IF(AK128="d","o",IF(AK128="o","d","")))))</f>
        <v/>
      </c>
      <c r="AM128" t="str">
        <f t="shared" ref="AM128:AM191" si="64">IF(AN128="H","Home",IF(AN128="A","Away",""))</f>
        <v/>
      </c>
      <c r="AN128" t="str">
        <f t="shared" si="54"/>
        <v/>
      </c>
      <c r="AO128" t="str">
        <f t="shared" si="55"/>
        <v/>
      </c>
      <c r="AP128" t="str">
        <f t="shared" si="56"/>
        <v/>
      </c>
      <c r="AQ128" t="str">
        <f t="shared" si="57"/>
        <v/>
      </c>
      <c r="AR128" t="str">
        <f t="shared" si="58"/>
        <v/>
      </c>
      <c r="AS128" t="str">
        <f t="shared" ref="AS128:AS191" si="65">IF(AND(AH128="e",OR(BD128="Save",BE128="Turnover_Takeaway",BE128="Play_Defensive")),"Defensive",IF(AND(AH128="o",OR(BD128="Save",BE128="Turnover_Takeaway",BE128="Play_Defensive")),"Offensive",IF(OR(BD128="Deadice",BD128="Stoppage",BD128="Intermission"),"",IF(AH128="e","Offensive",IF(AH128="o","Defensive","")))))</f>
        <v>Defensive</v>
      </c>
      <c r="BI128" s="40"/>
      <c r="BL128" s="40"/>
      <c r="BN128" s="19"/>
      <c r="BP128" s="17"/>
    </row>
    <row r="129" spans="1:68" x14ac:dyDescent="0.2">
      <c r="A129" t="str">
        <f t="shared" si="50"/>
        <v/>
      </c>
      <c r="E129" s="4"/>
      <c r="F129" s="45"/>
      <c r="G129" s="4"/>
      <c r="H129" s="48"/>
      <c r="J129" s="46" t="str">
        <f t="shared" si="51"/>
        <v/>
      </c>
      <c r="N129" t="str">
        <f t="shared" si="60"/>
        <v/>
      </c>
      <c r="Q129" t="str">
        <f t="shared" si="59"/>
        <v/>
      </c>
      <c r="S129" t="str">
        <f>IF(A129=1,MAX(S$2:S128)+1,IF(OR(I129&lt;&gt;"",A129="x"),S128,""))</f>
        <v/>
      </c>
      <c r="T129" t="str">
        <f>IF(D129=1,MAX($T$2:$T128)+1,IF(S129=$S128,$S128,IF($D129="x",T128,IF($D128="x","",""))))</f>
        <v/>
      </c>
      <c r="U129" t="str">
        <f>IF(B129=1,MAX($U$2:$U128)+1,IF(AND($T129&lt;&gt;"",$T129=$T128),$U128,IF(B129="x",U128,"")))</f>
        <v/>
      </c>
      <c r="V129" t="str">
        <f>IF(C129=1,MAX($V$2:$V128)+1,IF(AND($T129&lt;&gt;"",$T129=$T128),$U128,IF(C129="x",V128,"")))</f>
        <v/>
      </c>
      <c r="W129" t="str" cm="1">
        <f t="array" ref="W129">IFERROR(_xlfn._xlws.FILTER(game_rosters!AB:AB,(game_rosters!J:J=events!X129)*(K129&lt;&gt;"")),"")</f>
        <v/>
      </c>
      <c r="X129" t="str" cm="1">
        <f t="array" ref="X129">IF(S129="","",IF($I129&lt;&gt;"",$I129,INDEX($I$2:$I128,ROW()-COUNTIFS($T$2:$T128,"="&amp;$T129,$S$2:$S128,"&lt;&gt;"&amp;$S129)-1)))</f>
        <v/>
      </c>
      <c r="Z129" s="6"/>
      <c r="AH129" t="str">
        <f t="shared" si="61"/>
        <v>o</v>
      </c>
      <c r="AI129" t="str">
        <f t="shared" si="52"/>
        <v/>
      </c>
      <c r="AJ129" t="str">
        <f t="shared" si="53"/>
        <v/>
      </c>
      <c r="AK129" t="str">
        <f t="shared" si="62"/>
        <v/>
      </c>
      <c r="AL129" t="str">
        <f t="shared" si="63"/>
        <v/>
      </c>
      <c r="AM129" t="str">
        <f t="shared" si="64"/>
        <v/>
      </c>
      <c r="AN129" t="str">
        <f t="shared" si="54"/>
        <v/>
      </c>
      <c r="AO129" t="str">
        <f t="shared" si="55"/>
        <v/>
      </c>
      <c r="AP129" t="str">
        <f t="shared" si="56"/>
        <v/>
      </c>
      <c r="AQ129" t="str">
        <f t="shared" si="57"/>
        <v/>
      </c>
      <c r="AR129" t="str">
        <f t="shared" si="58"/>
        <v/>
      </c>
      <c r="AS129" t="str">
        <f t="shared" si="65"/>
        <v>Defensive</v>
      </c>
      <c r="BI129" s="40"/>
      <c r="BL129" s="40"/>
      <c r="BN129" s="19"/>
      <c r="BP129" s="17"/>
    </row>
    <row r="130" spans="1:68" x14ac:dyDescent="0.2">
      <c r="A130" t="str">
        <f t="shared" si="50"/>
        <v/>
      </c>
      <c r="E130" s="4"/>
      <c r="F130" s="45"/>
      <c r="G130" s="4"/>
      <c r="H130" s="48"/>
      <c r="J130" s="46" t="str">
        <f t="shared" si="51"/>
        <v/>
      </c>
      <c r="N130" t="str">
        <f t="shared" si="60"/>
        <v/>
      </c>
      <c r="Q130" t="str">
        <f t="shared" si="59"/>
        <v/>
      </c>
      <c r="S130" t="str">
        <f>IF(A130=1,MAX(S$2:S129)+1,IF(OR(I130&lt;&gt;"",A130="x"),S129,""))</f>
        <v/>
      </c>
      <c r="T130" t="str">
        <f>IF(D130=1,MAX($T$2:$T129)+1,IF(S130=$S129,$S129,IF($D130="x",T129,IF($D129="x","",""))))</f>
        <v/>
      </c>
      <c r="U130" t="str">
        <f>IF(B130=1,MAX($U$2:$U129)+1,IF(AND($T130&lt;&gt;"",$T130=$T129),$U129,IF(B130="x",U129,"")))</f>
        <v/>
      </c>
      <c r="V130" t="str">
        <f>IF(C130=1,MAX($V$2:$V129)+1,IF(AND($T130&lt;&gt;"",$T130=$T129),$U129,IF(C130="x",V129,"")))</f>
        <v/>
      </c>
      <c r="W130" t="str" cm="1">
        <f t="array" ref="W130">IFERROR(_xlfn._xlws.FILTER(game_rosters!AB:AB,(game_rosters!J:J=events!X130)*(K130&lt;&gt;"")),"")</f>
        <v/>
      </c>
      <c r="X130" t="str" cm="1">
        <f t="array" ref="X130">IF(S130="","",IF($I130&lt;&gt;"",$I130,INDEX($I$2:$I129,ROW()-COUNTIFS($T$2:$T129,"="&amp;$T130,$S$2:$S129,"&lt;&gt;"&amp;$S130)-1)))</f>
        <v/>
      </c>
      <c r="Z130" s="6"/>
      <c r="AH130" t="str">
        <f t="shared" si="61"/>
        <v>o</v>
      </c>
      <c r="AI130" t="str">
        <f t="shared" si="52"/>
        <v/>
      </c>
      <c r="AJ130" t="str">
        <f t="shared" si="53"/>
        <v/>
      </c>
      <c r="AK130" t="str">
        <f t="shared" si="62"/>
        <v/>
      </c>
      <c r="AL130" t="str">
        <f t="shared" si="63"/>
        <v/>
      </c>
      <c r="AM130" t="str">
        <f t="shared" si="64"/>
        <v/>
      </c>
      <c r="AN130" t="str">
        <f t="shared" si="54"/>
        <v/>
      </c>
      <c r="AO130" t="str">
        <f t="shared" si="55"/>
        <v/>
      </c>
      <c r="AP130" t="str">
        <f t="shared" si="56"/>
        <v/>
      </c>
      <c r="AQ130" t="str">
        <f t="shared" si="57"/>
        <v/>
      </c>
      <c r="AR130" t="str">
        <f t="shared" si="58"/>
        <v/>
      </c>
      <c r="AS130" t="str">
        <f t="shared" si="65"/>
        <v>Defensive</v>
      </c>
      <c r="BI130" s="40"/>
      <c r="BL130" s="40"/>
      <c r="BN130" s="19"/>
      <c r="BP130" s="17"/>
    </row>
    <row r="131" spans="1:68" x14ac:dyDescent="0.2">
      <c r="A131" t="str">
        <f t="shared" si="50"/>
        <v/>
      </c>
      <c r="E131" s="4"/>
      <c r="F131" s="45"/>
      <c r="G131" s="4"/>
      <c r="H131" s="48"/>
      <c r="J131" s="46" t="str">
        <f t="shared" si="51"/>
        <v/>
      </c>
      <c r="N131" t="str">
        <f t="shared" si="60"/>
        <v/>
      </c>
      <c r="Q131" t="str">
        <f t="shared" si="59"/>
        <v/>
      </c>
      <c r="S131" t="str">
        <f>IF(A131=1,MAX(S$2:S130)+1,IF(OR(I131&lt;&gt;"",A131="x"),S130,""))</f>
        <v/>
      </c>
      <c r="T131" t="str">
        <f>IF(D131=1,MAX($T$2:$T130)+1,IF(S131=$S130,$S130,IF($D131="x",T130,IF($D130="x","",""))))</f>
        <v/>
      </c>
      <c r="U131" t="str">
        <f>IF(B131=1,MAX($U$2:$U130)+1,IF(AND($T131&lt;&gt;"",$T131=$T130),$U130,IF(B131="x",U130,"")))</f>
        <v/>
      </c>
      <c r="V131" t="str">
        <f>IF(C131=1,MAX($V$2:$V130)+1,IF(AND($T131&lt;&gt;"",$T131=$T130),$U130,IF(C131="x",V130,"")))</f>
        <v/>
      </c>
      <c r="W131" t="str" cm="1">
        <f t="array" ref="W131">IFERROR(_xlfn._xlws.FILTER(game_rosters!AB:AB,(game_rosters!J:J=events!X131)*(K131&lt;&gt;"")),"")</f>
        <v/>
      </c>
      <c r="X131" t="str" cm="1">
        <f t="array" ref="X131">IF(S131="","",IF($I131&lt;&gt;"",$I131,INDEX($I$2:$I130,ROW()-COUNTIFS($T$2:$T130,"="&amp;$T131,$S$2:$S130,"&lt;&gt;"&amp;$S131)-1)))</f>
        <v/>
      </c>
      <c r="Z131" s="6"/>
      <c r="AH131" t="str">
        <f t="shared" si="61"/>
        <v>o</v>
      </c>
      <c r="AI131" t="str">
        <f t="shared" si="52"/>
        <v/>
      </c>
      <c r="AJ131" t="str">
        <f t="shared" si="53"/>
        <v/>
      </c>
      <c r="AK131" t="str">
        <f t="shared" si="62"/>
        <v/>
      </c>
      <c r="AL131" t="str">
        <f t="shared" si="63"/>
        <v/>
      </c>
      <c r="AM131" t="str">
        <f t="shared" si="64"/>
        <v/>
      </c>
      <c r="AN131" t="str">
        <f t="shared" si="54"/>
        <v/>
      </c>
      <c r="AO131" t="str">
        <f t="shared" si="55"/>
        <v/>
      </c>
      <c r="AP131" t="str">
        <f t="shared" si="56"/>
        <v/>
      </c>
      <c r="AQ131" t="str">
        <f t="shared" si="57"/>
        <v/>
      </c>
      <c r="AR131" t="str">
        <f t="shared" si="58"/>
        <v/>
      </c>
      <c r="AS131" t="str">
        <f t="shared" si="65"/>
        <v>Defensive</v>
      </c>
      <c r="BI131" s="40"/>
      <c r="BL131" s="40"/>
      <c r="BN131" s="19"/>
      <c r="BP131" s="17"/>
    </row>
    <row r="132" spans="1:68" x14ac:dyDescent="0.2">
      <c r="A132" t="str">
        <f t="shared" si="50"/>
        <v/>
      </c>
      <c r="E132" s="4"/>
      <c r="F132" s="45"/>
      <c r="G132" s="4"/>
      <c r="H132" s="48"/>
      <c r="J132" s="46" t="str">
        <f t="shared" si="51"/>
        <v/>
      </c>
      <c r="N132" t="str">
        <f t="shared" si="60"/>
        <v/>
      </c>
      <c r="Q132" t="str">
        <f t="shared" si="59"/>
        <v/>
      </c>
      <c r="S132" t="str">
        <f>IF(A132=1,MAX(S$2:S131)+1,IF(OR(I132&lt;&gt;"",A132="x"),S131,""))</f>
        <v/>
      </c>
      <c r="T132" t="str">
        <f>IF(D132=1,MAX($T$2:$T131)+1,IF(S132=$S131,$S131,IF($D132="x",T131,IF($D131="x","",""))))</f>
        <v/>
      </c>
      <c r="U132" t="str">
        <f>IF(B132=1,MAX($U$2:$U131)+1,IF(AND($T132&lt;&gt;"",$T132=$T131),$U131,IF(B132="x",U131,"")))</f>
        <v/>
      </c>
      <c r="V132" t="str">
        <f>IF(C132=1,MAX($V$2:$V131)+1,IF(AND($T132&lt;&gt;"",$T132=$T131),$U131,IF(C132="x",V131,"")))</f>
        <v/>
      </c>
      <c r="W132" t="str" cm="1">
        <f t="array" ref="W132">IFERROR(_xlfn._xlws.FILTER(game_rosters!AB:AB,(game_rosters!J:J=events!X132)*(K132&lt;&gt;"")),"")</f>
        <v/>
      </c>
      <c r="X132" t="str" cm="1">
        <f t="array" ref="X132">IF(S132="","",IF($I132&lt;&gt;"",$I132,INDEX($I$2:$I131,ROW()-COUNTIFS($T$2:$T131,"="&amp;$T132,$S$2:$S131,"&lt;&gt;"&amp;$S132)-1)))</f>
        <v/>
      </c>
      <c r="Z132" s="6"/>
      <c r="AH132" t="str">
        <f t="shared" si="61"/>
        <v>o</v>
      </c>
      <c r="AI132" t="str">
        <f t="shared" si="52"/>
        <v/>
      </c>
      <c r="AJ132" t="str">
        <f t="shared" si="53"/>
        <v/>
      </c>
      <c r="AK132" t="str">
        <f t="shared" si="62"/>
        <v/>
      </c>
      <c r="AL132" t="str">
        <f t="shared" si="63"/>
        <v/>
      </c>
      <c r="AM132" t="str">
        <f t="shared" si="64"/>
        <v/>
      </c>
      <c r="AN132" t="str">
        <f t="shared" si="54"/>
        <v/>
      </c>
      <c r="AO132" t="str">
        <f t="shared" si="55"/>
        <v/>
      </c>
      <c r="AP132" t="str">
        <f t="shared" si="56"/>
        <v/>
      </c>
      <c r="AQ132" t="str">
        <f t="shared" si="57"/>
        <v/>
      </c>
      <c r="AR132" t="str">
        <f t="shared" si="58"/>
        <v/>
      </c>
      <c r="AS132" t="str">
        <f t="shared" si="65"/>
        <v>Defensive</v>
      </c>
      <c r="BI132" s="40"/>
      <c r="BL132" s="40"/>
      <c r="BN132" s="19"/>
      <c r="BP132" s="17"/>
    </row>
    <row r="133" spans="1:68" x14ac:dyDescent="0.2">
      <c r="A133" t="str">
        <f t="shared" ref="A133:A196" si="66">IF(K133&lt;&gt;"",1,IF(D133="x","x",""))</f>
        <v/>
      </c>
      <c r="E133" s="4"/>
      <c r="F133" s="45"/>
      <c r="G133" s="4"/>
      <c r="H133" s="48"/>
      <c r="J133" s="46" t="str">
        <f t="shared" si="51"/>
        <v/>
      </c>
      <c r="N133" t="str">
        <f t="shared" si="60"/>
        <v/>
      </c>
      <c r="Q133" t="str">
        <f t="shared" si="59"/>
        <v/>
      </c>
      <c r="S133" t="str">
        <f>IF(A133=1,MAX(S$2:S132)+1,IF(OR(I133&lt;&gt;"",A133="x"),S132,""))</f>
        <v/>
      </c>
      <c r="T133" t="str">
        <f>IF(D133=1,MAX($T$2:$T132)+1,IF(S133=$S132,$S132,IF($D133="x",T132,IF($D132="x","",""))))</f>
        <v/>
      </c>
      <c r="U133" t="str">
        <f>IF(B133=1,MAX($U$2:$U132)+1,IF(AND($T133&lt;&gt;"",$T133=$T132),$U132,IF(B133="x",U132,"")))</f>
        <v/>
      </c>
      <c r="V133" t="str">
        <f>IF(C133=1,MAX($V$2:$V132)+1,IF(AND($T133&lt;&gt;"",$T133=$T132),$U132,IF(C133="x",V132,"")))</f>
        <v/>
      </c>
      <c r="W133" t="str" cm="1">
        <f t="array" ref="W133">IFERROR(_xlfn._xlws.FILTER(game_rosters!AB:AB,(game_rosters!J:J=events!X133)*(K133&lt;&gt;"")),"")</f>
        <v/>
      </c>
      <c r="X133" t="str" cm="1">
        <f t="array" ref="X133">IF(S133="","",IF($I133&lt;&gt;"",$I133,INDEX($I$2:$I132,ROW()-COUNTIFS($T$2:$T132,"="&amp;$T133,$S$2:$S132,"&lt;&gt;"&amp;$S133)-1)))</f>
        <v/>
      </c>
      <c r="Z133" s="6"/>
      <c r="AH133" t="str">
        <f t="shared" si="61"/>
        <v>o</v>
      </c>
      <c r="AI133" t="str">
        <f t="shared" si="52"/>
        <v/>
      </c>
      <c r="AJ133" t="str">
        <f t="shared" si="53"/>
        <v/>
      </c>
      <c r="AK133" t="str">
        <f t="shared" si="62"/>
        <v/>
      </c>
      <c r="AL133" t="str">
        <f t="shared" si="63"/>
        <v/>
      </c>
      <c r="AM133" t="str">
        <f t="shared" si="64"/>
        <v/>
      </c>
      <c r="AN133" t="str">
        <f t="shared" si="54"/>
        <v/>
      </c>
      <c r="AO133" t="str">
        <f t="shared" si="55"/>
        <v/>
      </c>
      <c r="AP133" t="str">
        <f t="shared" si="56"/>
        <v/>
      </c>
      <c r="AQ133" t="str">
        <f t="shared" si="57"/>
        <v/>
      </c>
      <c r="AR133" t="str">
        <f t="shared" si="58"/>
        <v/>
      </c>
      <c r="AS133" t="str">
        <f t="shared" si="65"/>
        <v>Defensive</v>
      </c>
      <c r="BI133" s="40"/>
      <c r="BL133" s="40"/>
      <c r="BN133" s="19"/>
      <c r="BP133" s="17"/>
    </row>
    <row r="134" spans="1:68" x14ac:dyDescent="0.2">
      <c r="A134" t="str">
        <f t="shared" si="66"/>
        <v/>
      </c>
      <c r="E134" s="4"/>
      <c r="F134" s="45"/>
      <c r="G134" s="4"/>
      <c r="H134" s="48"/>
      <c r="J134" s="46" t="str">
        <f t="shared" ref="J134:J197" si="67">IF(OR(K134="Goal",K134="Shot",L134="Zone_Entry",M134="Stoppage-Goal",M133="Stoppage-Goal"),"o",IF(OR(K134="Save",K134="Rebound",L134="Zone_Exit",M134="Stoppage-GoalieStoppage",M133="Stoppage-GoalieStoppage"),"d",IF(OR(L134="Faceoff_AfterGoal",L134="Faceoff_PeriodStart",698="Faceoff_GameStart",M133="Stoppage-Goal"),"n","")))</f>
        <v/>
      </c>
      <c r="N134" t="str">
        <f t="shared" si="60"/>
        <v/>
      </c>
      <c r="Q134" t="str">
        <f t="shared" si="59"/>
        <v/>
      </c>
      <c r="S134" t="str">
        <f>IF(A134=1,MAX(S$2:S133)+1,IF(OR(I134&lt;&gt;"",A134="x"),S133,""))</f>
        <v/>
      </c>
      <c r="T134" t="str">
        <f>IF(D134=1,MAX($T$2:$T133)+1,IF(S134=$S133,$S133,IF($D134="x",T133,IF($D133="x","",""))))</f>
        <v/>
      </c>
      <c r="U134" t="str">
        <f>IF(B134=1,MAX($U$2:$U133)+1,IF(AND($T134&lt;&gt;"",$T134=$T133),$U133,IF(B134="x",U133,"")))</f>
        <v/>
      </c>
      <c r="V134" t="str">
        <f>IF(C134=1,MAX($V$2:$V133)+1,IF(AND($T134&lt;&gt;"",$T134=$T133),$U133,IF(C134="x",V133,"")))</f>
        <v/>
      </c>
      <c r="W134" t="str" cm="1">
        <f t="array" ref="W134">IFERROR(_xlfn._xlws.FILTER(game_rosters!AB:AB,(game_rosters!J:J=events!X134)*(K134&lt;&gt;"")),"")</f>
        <v/>
      </c>
      <c r="X134" t="str" cm="1">
        <f t="array" ref="X134">IF(S134="","",IF($I134&lt;&gt;"",$I134,INDEX($I$2:$I133,ROW()-COUNTIFS($T$2:$T133,"="&amp;$T134,$S$2:$S133,"&lt;&gt;"&amp;$S134)-1)))</f>
        <v/>
      </c>
      <c r="Z134" s="6"/>
      <c r="AH134" t="str">
        <f t="shared" si="61"/>
        <v>o</v>
      </c>
      <c r="AI134" t="str">
        <f t="shared" ref="AI134:AI197" si="68">IF($J134&lt;&gt;"",$J134,IF($AC134=$AC133,AI133,""))</f>
        <v/>
      </c>
      <c r="AJ134" t="str">
        <f t="shared" ref="AJ134:AJ197" si="69">IF($J134&lt;&gt;"",$J134,IF($AC134=AC133,AJ133,""))</f>
        <v/>
      </c>
      <c r="AK134" t="str">
        <f t="shared" si="62"/>
        <v/>
      </c>
      <c r="AL134" t="str">
        <f t="shared" si="63"/>
        <v/>
      </c>
      <c r="AM134" t="str">
        <f t="shared" si="64"/>
        <v/>
      </c>
      <c r="AN134" t="str">
        <f t="shared" ref="AN134:AN197" si="70">IF($W134&lt;&gt;"",$W134,IF($AC134=AC133,AN133,""))</f>
        <v/>
      </c>
      <c r="AO134" t="str">
        <f t="shared" ref="AO134:AO197" si="71">IF(AK134&lt;&gt;"",AK134,IF($AC134=AC133,AO133,""))</f>
        <v/>
      </c>
      <c r="AP134" t="str">
        <f t="shared" ref="AP134:AP197" si="72">IF(AL134&lt;&gt;"",AL134,IF($AC134=AC133,AP133,""))</f>
        <v/>
      </c>
      <c r="AQ134" t="str">
        <f t="shared" ref="AQ134:AQ197" si="73">IF(AM134&lt;&gt;"",AM134,IF($AC134=AC133,AQ133,""))</f>
        <v/>
      </c>
      <c r="AR134" t="str">
        <f t="shared" ref="AR134:AR197" si="74">IF(AN134&lt;&gt;"",AN134,IF($AC134=AC133,AQ133,""))</f>
        <v/>
      </c>
      <c r="AS134" t="str">
        <f t="shared" si="65"/>
        <v>Defensive</v>
      </c>
      <c r="BI134" s="40"/>
      <c r="BL134" s="40"/>
      <c r="BN134" s="19"/>
      <c r="BP134" s="17"/>
    </row>
    <row r="135" spans="1:68" x14ac:dyDescent="0.2">
      <c r="A135" t="str">
        <f t="shared" si="66"/>
        <v/>
      </c>
      <c r="E135" s="4"/>
      <c r="F135" s="45"/>
      <c r="G135" s="4"/>
      <c r="H135" s="48"/>
      <c r="J135" s="46" t="str">
        <f t="shared" si="67"/>
        <v/>
      </c>
      <c r="N135" t="str">
        <f t="shared" si="60"/>
        <v/>
      </c>
      <c r="Q135" t="str">
        <f t="shared" si="59"/>
        <v/>
      </c>
      <c r="S135" t="str">
        <f>IF(A135=1,MAX(S$2:S134)+1,IF(OR(I135&lt;&gt;"",A135="x"),S134,""))</f>
        <v/>
      </c>
      <c r="T135" t="str">
        <f>IF(D135=1,MAX($T$2:$T134)+1,IF(S135=$S134,$S134,IF($D135="x",T134,IF($D134="x","",""))))</f>
        <v/>
      </c>
      <c r="U135" t="str">
        <f>IF(B135=1,MAX($U$2:$U134)+1,IF(AND($T135&lt;&gt;"",$T135=$T134),$U134,IF(B135="x",U134,"")))</f>
        <v/>
      </c>
      <c r="V135" t="str">
        <f>IF(C135=1,MAX($V$2:$V134)+1,IF(AND($T135&lt;&gt;"",$T135=$T134),$U134,IF(C135="x",V134,"")))</f>
        <v/>
      </c>
      <c r="W135" t="str" cm="1">
        <f t="array" ref="W135">IFERROR(_xlfn._xlws.FILTER(game_rosters!AB:AB,(game_rosters!J:J=events!X135)*(K135&lt;&gt;"")),"")</f>
        <v/>
      </c>
      <c r="X135" t="str" cm="1">
        <f t="array" ref="X135">IF(S135="","",IF($I135&lt;&gt;"",$I135,INDEX($I$2:$I134,ROW()-COUNTIFS($T$2:$T134,"="&amp;$T135,$S$2:$S134,"&lt;&gt;"&amp;$S135)-1)))</f>
        <v/>
      </c>
      <c r="Z135" s="6"/>
      <c r="AH135" t="str">
        <f t="shared" si="61"/>
        <v>o</v>
      </c>
      <c r="AI135" t="str">
        <f t="shared" si="68"/>
        <v/>
      </c>
      <c r="AJ135" t="str">
        <f t="shared" si="69"/>
        <v/>
      </c>
      <c r="AK135" t="str">
        <f t="shared" si="62"/>
        <v/>
      </c>
      <c r="AL135" t="str">
        <f t="shared" si="63"/>
        <v/>
      </c>
      <c r="AM135" t="str">
        <f t="shared" si="64"/>
        <v/>
      </c>
      <c r="AN135" t="str">
        <f t="shared" si="70"/>
        <v/>
      </c>
      <c r="AO135" t="str">
        <f t="shared" si="71"/>
        <v/>
      </c>
      <c r="AP135" t="str">
        <f t="shared" si="72"/>
        <v/>
      </c>
      <c r="AQ135" t="str">
        <f t="shared" si="73"/>
        <v/>
      </c>
      <c r="AR135" t="str">
        <f t="shared" si="74"/>
        <v/>
      </c>
      <c r="AS135" t="str">
        <f t="shared" si="65"/>
        <v>Defensive</v>
      </c>
      <c r="BI135" s="40"/>
      <c r="BL135" s="40"/>
      <c r="BN135" s="19"/>
      <c r="BP135" s="17"/>
    </row>
    <row r="136" spans="1:68" x14ac:dyDescent="0.2">
      <c r="A136" t="str">
        <f t="shared" si="66"/>
        <v/>
      </c>
      <c r="E136" s="4"/>
      <c r="F136" s="45"/>
      <c r="G136" s="4"/>
      <c r="H136" s="48"/>
      <c r="J136" s="46" t="str">
        <f t="shared" si="67"/>
        <v/>
      </c>
      <c r="N136" t="str">
        <f t="shared" si="60"/>
        <v/>
      </c>
      <c r="Q136" t="str">
        <f t="shared" si="59"/>
        <v/>
      </c>
      <c r="S136" t="str">
        <f>IF(A136=1,MAX(S$2:S135)+1,IF(OR(I136&lt;&gt;"",A136="x"),S135,""))</f>
        <v/>
      </c>
      <c r="T136" t="str">
        <f>IF(D136=1,MAX($T$2:$T135)+1,IF(S136=$S135,$S135,IF($D136="x",T135,IF($D135="x","",""))))</f>
        <v/>
      </c>
      <c r="U136" t="str">
        <f>IF(B136=1,MAX($U$2:$U135)+1,IF(AND($T136&lt;&gt;"",$T136=$T135),$U135,IF(B136="x",U135,"")))</f>
        <v/>
      </c>
      <c r="V136" t="str">
        <f>IF(C136=1,MAX($V$2:$V135)+1,IF(AND($T136&lt;&gt;"",$T136=$T135),$U135,IF(C136="x",V135,"")))</f>
        <v/>
      </c>
      <c r="W136" t="str" cm="1">
        <f t="array" ref="W136">IFERROR(_xlfn._xlws.FILTER(game_rosters!AB:AB,(game_rosters!J:J=events!X136)*(K136&lt;&gt;"")),"")</f>
        <v/>
      </c>
      <c r="X136" t="str" cm="1">
        <f t="array" ref="X136">IF(S136="","",IF($I136&lt;&gt;"",$I136,INDEX($I$2:$I135,ROW()-COUNTIFS($T$2:$T135,"="&amp;$T136,$S$2:$S135,"&lt;&gt;"&amp;$S136)-1)))</f>
        <v/>
      </c>
      <c r="Z136" s="6"/>
      <c r="AH136" t="str">
        <f t="shared" si="61"/>
        <v>o</v>
      </c>
      <c r="AI136" t="str">
        <f t="shared" si="68"/>
        <v/>
      </c>
      <c r="AJ136" t="str">
        <f t="shared" si="69"/>
        <v/>
      </c>
      <c r="AK136" t="str">
        <f t="shared" si="62"/>
        <v/>
      </c>
      <c r="AL136" t="str">
        <f t="shared" si="63"/>
        <v/>
      </c>
      <c r="AM136" t="str">
        <f t="shared" si="64"/>
        <v/>
      </c>
      <c r="AN136" t="str">
        <f t="shared" si="70"/>
        <v/>
      </c>
      <c r="AO136" t="str">
        <f t="shared" si="71"/>
        <v/>
      </c>
      <c r="AP136" t="str">
        <f t="shared" si="72"/>
        <v/>
      </c>
      <c r="AQ136" t="str">
        <f t="shared" si="73"/>
        <v/>
      </c>
      <c r="AR136" t="str">
        <f t="shared" si="74"/>
        <v/>
      </c>
      <c r="AS136" t="str">
        <f t="shared" si="65"/>
        <v>Defensive</v>
      </c>
      <c r="BI136" s="40"/>
      <c r="BL136" s="40"/>
      <c r="BN136" s="19"/>
      <c r="BP136" s="17"/>
    </row>
    <row r="137" spans="1:68" x14ac:dyDescent="0.2">
      <c r="A137" t="str">
        <f t="shared" si="66"/>
        <v/>
      </c>
      <c r="E137" s="4"/>
      <c r="F137" s="45"/>
      <c r="G137" s="4"/>
      <c r="H137" s="48"/>
      <c r="J137" s="46" t="str">
        <f t="shared" si="67"/>
        <v/>
      </c>
      <c r="N137" t="str">
        <f t="shared" si="60"/>
        <v/>
      </c>
      <c r="Q137" t="str">
        <f t="shared" si="59"/>
        <v/>
      </c>
      <c r="S137" t="str">
        <f>IF(A137=1,MAX(S$2:S136)+1,IF(OR(I137&lt;&gt;"",A137="x"),S136,""))</f>
        <v/>
      </c>
      <c r="T137" t="str">
        <f>IF(D137=1,MAX($T$2:$T136)+1,IF(S137=$S136,$S136,IF($D137="x",T136,IF($D136="x","",""))))</f>
        <v/>
      </c>
      <c r="U137" t="str">
        <f>IF(B137=1,MAX($U$2:$U136)+1,IF(AND($T137&lt;&gt;"",$T137=$T136),$U136,IF(B137="x",U136,"")))</f>
        <v/>
      </c>
      <c r="V137" t="str">
        <f>IF(C137=1,MAX($V$2:$V136)+1,IF(AND($T137&lt;&gt;"",$T137=$T136),$U136,IF(C137="x",V136,"")))</f>
        <v/>
      </c>
      <c r="W137" t="str" cm="1">
        <f t="array" ref="W137">IFERROR(_xlfn._xlws.FILTER(game_rosters!AB:AB,(game_rosters!J:J=events!X137)*(K137&lt;&gt;"")),"")</f>
        <v/>
      </c>
      <c r="X137" t="str" cm="1">
        <f t="array" ref="X137">IF(S137="","",IF($I137&lt;&gt;"",$I137,INDEX($I$2:$I136,ROW()-COUNTIFS($T$2:$T136,"="&amp;$T137,$S$2:$S136,"&lt;&gt;"&amp;$S137)-1)))</f>
        <v/>
      </c>
      <c r="Z137" s="6"/>
      <c r="AH137" t="str">
        <f t="shared" si="61"/>
        <v>o</v>
      </c>
      <c r="AI137" t="str">
        <f t="shared" si="68"/>
        <v/>
      </c>
      <c r="AJ137" t="str">
        <f t="shared" si="69"/>
        <v/>
      </c>
      <c r="AK137" t="str">
        <f t="shared" si="62"/>
        <v/>
      </c>
      <c r="AL137" t="str">
        <f t="shared" si="63"/>
        <v/>
      </c>
      <c r="AM137" t="str">
        <f t="shared" si="64"/>
        <v/>
      </c>
      <c r="AN137" t="str">
        <f t="shared" si="70"/>
        <v/>
      </c>
      <c r="AO137" t="str">
        <f t="shared" si="71"/>
        <v/>
      </c>
      <c r="AP137" t="str">
        <f t="shared" si="72"/>
        <v/>
      </c>
      <c r="AQ137" t="str">
        <f t="shared" si="73"/>
        <v/>
      </c>
      <c r="AR137" t="str">
        <f t="shared" si="74"/>
        <v/>
      </c>
      <c r="AS137" t="str">
        <f t="shared" si="65"/>
        <v>Defensive</v>
      </c>
      <c r="BI137" s="40"/>
      <c r="BL137" s="40"/>
      <c r="BN137" s="19"/>
      <c r="BP137" s="17"/>
    </row>
    <row r="138" spans="1:68" x14ac:dyDescent="0.2">
      <c r="A138" t="str">
        <f t="shared" si="66"/>
        <v/>
      </c>
      <c r="E138" s="4"/>
      <c r="F138" s="45"/>
      <c r="G138" s="4"/>
      <c r="H138" s="48"/>
      <c r="J138" s="46" t="str">
        <f t="shared" si="67"/>
        <v/>
      </c>
      <c r="N138" t="str">
        <f t="shared" si="60"/>
        <v/>
      </c>
      <c r="Q138" t="str">
        <f t="shared" si="59"/>
        <v/>
      </c>
      <c r="S138" t="str">
        <f>IF(A138=1,MAX(S$2:S137)+1,IF(OR(I138&lt;&gt;"",A138="x"),S137,""))</f>
        <v/>
      </c>
      <c r="T138" t="str">
        <f>IF(D138=1,MAX($T$2:$T137)+1,IF(S138=$S137,$S137,IF($D138="x",T137,IF($D137="x","",""))))</f>
        <v/>
      </c>
      <c r="U138" t="str">
        <f>IF(B138=1,MAX($U$2:$U137)+1,IF(AND($T138&lt;&gt;"",$T138=$T137),$U137,IF(B138="x",U137,"")))</f>
        <v/>
      </c>
      <c r="V138" t="str">
        <f>IF(C138=1,MAX($V$2:$V137)+1,IF(AND($T138&lt;&gt;"",$T138=$T137),$U137,IF(C138="x",V137,"")))</f>
        <v/>
      </c>
      <c r="W138" t="str" cm="1">
        <f t="array" ref="W138">IFERROR(_xlfn._xlws.FILTER(game_rosters!AB:AB,(game_rosters!J:J=events!X138)*(K138&lt;&gt;"")),"")</f>
        <v/>
      </c>
      <c r="X138" t="str" cm="1">
        <f t="array" ref="X138">IF(S138="","",IF($I138&lt;&gt;"",$I138,INDEX($I$2:$I137,ROW()-COUNTIFS($T$2:$T137,"="&amp;$T138,$S$2:$S137,"&lt;&gt;"&amp;$S138)-1)))</f>
        <v/>
      </c>
      <c r="Z138" s="6"/>
      <c r="AH138" t="str">
        <f t="shared" si="61"/>
        <v>o</v>
      </c>
      <c r="AI138" t="str">
        <f t="shared" si="68"/>
        <v/>
      </c>
      <c r="AJ138" t="str">
        <f t="shared" si="69"/>
        <v/>
      </c>
      <c r="AK138" t="str">
        <f t="shared" si="62"/>
        <v/>
      </c>
      <c r="AL138" t="str">
        <f t="shared" si="63"/>
        <v/>
      </c>
      <c r="AM138" t="str">
        <f t="shared" si="64"/>
        <v/>
      </c>
      <c r="AN138" t="str">
        <f t="shared" si="70"/>
        <v/>
      </c>
      <c r="AO138" t="str">
        <f t="shared" si="71"/>
        <v/>
      </c>
      <c r="AP138" t="str">
        <f t="shared" si="72"/>
        <v/>
      </c>
      <c r="AQ138" t="str">
        <f t="shared" si="73"/>
        <v/>
      </c>
      <c r="AR138" t="str">
        <f t="shared" si="74"/>
        <v/>
      </c>
      <c r="AS138" t="str">
        <f t="shared" si="65"/>
        <v>Defensive</v>
      </c>
      <c r="BI138" s="40"/>
      <c r="BL138" s="40"/>
      <c r="BN138" s="19"/>
      <c r="BP138" s="17"/>
    </row>
    <row r="139" spans="1:68" x14ac:dyDescent="0.2">
      <c r="A139" t="str">
        <f t="shared" si="66"/>
        <v/>
      </c>
      <c r="E139" s="4"/>
      <c r="F139" s="45"/>
      <c r="G139" s="4"/>
      <c r="H139" s="48"/>
      <c r="J139" s="46" t="str">
        <f t="shared" si="67"/>
        <v/>
      </c>
      <c r="N139" t="str">
        <f t="shared" si="60"/>
        <v/>
      </c>
      <c r="Q139" t="str">
        <f t="shared" si="59"/>
        <v/>
      </c>
      <c r="S139" t="str">
        <f>IF(A139=1,MAX(S$2:S138)+1,IF(OR(I139&lt;&gt;"",A139="x"),S138,""))</f>
        <v/>
      </c>
      <c r="T139" t="str">
        <f>IF(D139=1,MAX($T$2:$T138)+1,IF(S139=$S138,$S138,IF($D139="x",T138,IF($D138="x","",""))))</f>
        <v/>
      </c>
      <c r="U139" t="str">
        <f>IF(B139=1,MAX($U$2:$U138)+1,IF(AND($T139&lt;&gt;"",$T139=$T138),$U138,IF(B139="x",U138,"")))</f>
        <v/>
      </c>
      <c r="V139" t="str">
        <f>IF(C139=1,MAX($V$2:$V138)+1,IF(AND($T139&lt;&gt;"",$T139=$T138),$U138,IF(C139="x",V138,"")))</f>
        <v/>
      </c>
      <c r="W139" t="str" cm="1">
        <f t="array" ref="W139">IFERROR(_xlfn._xlws.FILTER(game_rosters!AB:AB,(game_rosters!J:J=events!X139)*(K139&lt;&gt;"")),"")</f>
        <v/>
      </c>
      <c r="X139" t="str" cm="1">
        <f t="array" ref="X139">IF(S139="","",IF($I139&lt;&gt;"",$I139,INDEX($I$2:$I138,ROW()-COUNTIFS($T$2:$T138,"="&amp;$T139,$S$2:$S138,"&lt;&gt;"&amp;$S139)-1)))</f>
        <v/>
      </c>
      <c r="Z139" s="6"/>
      <c r="AH139" t="str">
        <f t="shared" si="61"/>
        <v>o</v>
      </c>
      <c r="AI139" t="str">
        <f t="shared" si="68"/>
        <v/>
      </c>
      <c r="AJ139" t="str">
        <f t="shared" si="69"/>
        <v/>
      </c>
      <c r="AK139" t="str">
        <f t="shared" si="62"/>
        <v/>
      </c>
      <c r="AL139" t="str">
        <f t="shared" si="63"/>
        <v/>
      </c>
      <c r="AM139" t="str">
        <f t="shared" si="64"/>
        <v/>
      </c>
      <c r="AN139" t="str">
        <f t="shared" si="70"/>
        <v/>
      </c>
      <c r="AO139" t="str">
        <f t="shared" si="71"/>
        <v/>
      </c>
      <c r="AP139" t="str">
        <f t="shared" si="72"/>
        <v/>
      </c>
      <c r="AQ139" t="str">
        <f t="shared" si="73"/>
        <v/>
      </c>
      <c r="AR139" t="str">
        <f t="shared" si="74"/>
        <v/>
      </c>
      <c r="AS139" t="str">
        <f t="shared" si="65"/>
        <v>Defensive</v>
      </c>
      <c r="BI139" s="40"/>
      <c r="BL139" s="40"/>
      <c r="BN139" s="19"/>
      <c r="BP139" s="17"/>
    </row>
    <row r="140" spans="1:68" x14ac:dyDescent="0.2">
      <c r="A140" t="str">
        <f t="shared" si="66"/>
        <v/>
      </c>
      <c r="E140" s="4"/>
      <c r="F140" s="45"/>
      <c r="G140" s="4"/>
      <c r="H140" s="48"/>
      <c r="J140" s="46" t="str">
        <f t="shared" si="67"/>
        <v/>
      </c>
      <c r="N140" t="str">
        <f t="shared" si="60"/>
        <v/>
      </c>
      <c r="Q140" t="str">
        <f t="shared" si="59"/>
        <v/>
      </c>
      <c r="S140" t="str">
        <f>IF(A140=1,MAX(S$2:S139)+1,IF(OR(I140&lt;&gt;"",A140="x"),S139,""))</f>
        <v/>
      </c>
      <c r="T140" t="str">
        <f>IF(D140=1,MAX($T$2:$T139)+1,IF(S140=$S139,$S139,IF($D140="x",T139,IF($D139="x","",""))))</f>
        <v/>
      </c>
      <c r="U140" t="str">
        <f>IF(B140=1,MAX($U$2:$U139)+1,IF(AND($T140&lt;&gt;"",$T140=$T139),$U139,IF(B140="x",U139,"")))</f>
        <v/>
      </c>
      <c r="V140" t="str">
        <f>IF(C140=1,MAX($V$2:$V139)+1,IF(AND($T140&lt;&gt;"",$T140=$T139),$U139,IF(C140="x",V139,"")))</f>
        <v/>
      </c>
      <c r="W140" t="str" cm="1">
        <f t="array" ref="W140">IFERROR(_xlfn._xlws.FILTER(game_rosters!AB:AB,(game_rosters!J:J=events!X140)*(K140&lt;&gt;"")),"")</f>
        <v/>
      </c>
      <c r="X140" t="str" cm="1">
        <f t="array" ref="X140">IF(S140="","",IF($I140&lt;&gt;"",$I140,INDEX($I$2:$I139,ROW()-COUNTIFS($T$2:$T139,"="&amp;$T140,$S$2:$S139,"&lt;&gt;"&amp;$S140)-1)))</f>
        <v/>
      </c>
      <c r="Z140" s="6"/>
      <c r="AH140" t="str">
        <f t="shared" si="61"/>
        <v>o</v>
      </c>
      <c r="AI140" t="str">
        <f t="shared" si="68"/>
        <v/>
      </c>
      <c r="AJ140" t="str">
        <f t="shared" si="69"/>
        <v/>
      </c>
      <c r="AK140" t="str">
        <f t="shared" si="62"/>
        <v/>
      </c>
      <c r="AL140" t="str">
        <f t="shared" si="63"/>
        <v/>
      </c>
      <c r="AM140" t="str">
        <f t="shared" si="64"/>
        <v/>
      </c>
      <c r="AN140" t="str">
        <f t="shared" si="70"/>
        <v/>
      </c>
      <c r="AO140" t="str">
        <f t="shared" si="71"/>
        <v/>
      </c>
      <c r="AP140" t="str">
        <f t="shared" si="72"/>
        <v/>
      </c>
      <c r="AQ140" t="str">
        <f t="shared" si="73"/>
        <v/>
      </c>
      <c r="AR140" t="str">
        <f t="shared" si="74"/>
        <v/>
      </c>
      <c r="AS140" t="str">
        <f t="shared" si="65"/>
        <v>Defensive</v>
      </c>
      <c r="BI140" s="40"/>
      <c r="BL140" s="40"/>
      <c r="BN140" s="19"/>
      <c r="BP140" s="17"/>
    </row>
    <row r="141" spans="1:68" x14ac:dyDescent="0.2">
      <c r="A141" t="str">
        <f t="shared" si="66"/>
        <v/>
      </c>
      <c r="E141" s="4"/>
      <c r="F141" s="45"/>
      <c r="G141" s="4"/>
      <c r="H141" s="48"/>
      <c r="J141" s="46" t="str">
        <f t="shared" si="67"/>
        <v/>
      </c>
      <c r="N141" t="str">
        <f t="shared" si="60"/>
        <v/>
      </c>
      <c r="Q141" t="str">
        <f t="shared" si="59"/>
        <v/>
      </c>
      <c r="S141" t="str">
        <f>IF(A141=1,MAX(S$2:S140)+1,IF(OR(I141&lt;&gt;"",A141="x"),S140,""))</f>
        <v/>
      </c>
      <c r="T141" t="str">
        <f>IF(D141=1,MAX($T$2:$T140)+1,IF(S141=$S140,$S140,IF($D141="x",T140,IF($D140="x","",""))))</f>
        <v/>
      </c>
      <c r="U141" t="str">
        <f>IF(B141=1,MAX($U$2:$U140)+1,IF(AND($T141&lt;&gt;"",$T141=$T140),$U140,IF(B141="x",U140,"")))</f>
        <v/>
      </c>
      <c r="V141" t="str">
        <f>IF(C141=1,MAX($V$2:$V140)+1,IF(AND($T141&lt;&gt;"",$T141=$T140),$U140,IF(C141="x",V140,"")))</f>
        <v/>
      </c>
      <c r="W141" t="str" cm="1">
        <f t="array" ref="W141">IFERROR(_xlfn._xlws.FILTER(game_rosters!AB:AB,(game_rosters!J:J=events!X141)*(K141&lt;&gt;"")),"")</f>
        <v/>
      </c>
      <c r="X141" t="str" cm="1">
        <f t="array" ref="X141">IF(S141="","",IF($I141&lt;&gt;"",$I141,INDEX($I$2:$I140,ROW()-COUNTIFS($T$2:$T140,"="&amp;$T141,$S$2:$S140,"&lt;&gt;"&amp;$S141)-1)))</f>
        <v/>
      </c>
      <c r="Z141" s="6"/>
      <c r="AH141" t="str">
        <f t="shared" si="61"/>
        <v>o</v>
      </c>
      <c r="AI141" t="str">
        <f t="shared" si="68"/>
        <v/>
      </c>
      <c r="AJ141" t="str">
        <f t="shared" si="69"/>
        <v/>
      </c>
      <c r="AK141" t="str">
        <f t="shared" si="62"/>
        <v/>
      </c>
      <c r="AL141" t="str">
        <f t="shared" si="63"/>
        <v/>
      </c>
      <c r="AM141" t="str">
        <f t="shared" si="64"/>
        <v/>
      </c>
      <c r="AN141" t="str">
        <f t="shared" si="70"/>
        <v/>
      </c>
      <c r="AO141" t="str">
        <f t="shared" si="71"/>
        <v/>
      </c>
      <c r="AP141" t="str">
        <f t="shared" si="72"/>
        <v/>
      </c>
      <c r="AQ141" t="str">
        <f t="shared" si="73"/>
        <v/>
      </c>
      <c r="AR141" t="str">
        <f t="shared" si="74"/>
        <v/>
      </c>
      <c r="AS141" t="str">
        <f t="shared" si="65"/>
        <v>Defensive</v>
      </c>
      <c r="BI141" s="40"/>
      <c r="BL141" s="40"/>
      <c r="BN141" s="19"/>
      <c r="BP141" s="17"/>
    </row>
    <row r="142" spans="1:68" x14ac:dyDescent="0.2">
      <c r="A142" t="str">
        <f t="shared" si="66"/>
        <v/>
      </c>
      <c r="E142" s="4"/>
      <c r="F142" s="45"/>
      <c r="G142" s="4"/>
      <c r="H142" s="48"/>
      <c r="J142" s="46" t="str">
        <f t="shared" si="67"/>
        <v/>
      </c>
      <c r="N142" t="str">
        <f t="shared" si="60"/>
        <v/>
      </c>
      <c r="Q142" t="str">
        <f t="shared" si="59"/>
        <v/>
      </c>
      <c r="S142" t="str">
        <f>IF(A142=1,MAX(S$2:S141)+1,IF(OR(I142&lt;&gt;"",A142="x"),S141,""))</f>
        <v/>
      </c>
      <c r="T142" t="str">
        <f>IF(D142=1,MAX($T$2:$T141)+1,IF(S142=$S141,$S141,IF($D142="x",T141,IF($D141="x","",""))))</f>
        <v/>
      </c>
      <c r="U142" t="str">
        <f>IF(B142=1,MAX($U$2:$U141)+1,IF(AND($T142&lt;&gt;"",$T142=$T141),$U141,IF(B142="x",U141,"")))</f>
        <v/>
      </c>
      <c r="V142" t="str">
        <f>IF(C142=1,MAX($V$2:$V141)+1,IF(AND($T142&lt;&gt;"",$T142=$T141),$U141,IF(C142="x",V141,"")))</f>
        <v/>
      </c>
      <c r="W142" t="str" cm="1">
        <f t="array" ref="W142">IFERROR(_xlfn._xlws.FILTER(game_rosters!AB:AB,(game_rosters!J:J=events!X142)*(K142&lt;&gt;"")),"")</f>
        <v/>
      </c>
      <c r="X142" t="str" cm="1">
        <f t="array" ref="X142">IF(S142="","",IF($I142&lt;&gt;"",$I142,INDEX($I$2:$I141,ROW()-COUNTIFS($T$2:$T141,"="&amp;$T142,$S$2:$S141,"&lt;&gt;"&amp;$S142)-1)))</f>
        <v/>
      </c>
      <c r="Z142" s="6"/>
      <c r="AH142" t="str">
        <f t="shared" si="61"/>
        <v>o</v>
      </c>
      <c r="AI142" t="str">
        <f t="shared" si="68"/>
        <v/>
      </c>
      <c r="AJ142" t="str">
        <f t="shared" si="69"/>
        <v/>
      </c>
      <c r="AK142" t="str">
        <f t="shared" si="62"/>
        <v/>
      </c>
      <c r="AL142" t="str">
        <f t="shared" si="63"/>
        <v/>
      </c>
      <c r="AM142" t="str">
        <f t="shared" si="64"/>
        <v/>
      </c>
      <c r="AN142" t="str">
        <f t="shared" si="70"/>
        <v/>
      </c>
      <c r="AO142" t="str">
        <f t="shared" si="71"/>
        <v/>
      </c>
      <c r="AP142" t="str">
        <f t="shared" si="72"/>
        <v/>
      </c>
      <c r="AQ142" t="str">
        <f t="shared" si="73"/>
        <v/>
      </c>
      <c r="AR142" t="str">
        <f t="shared" si="74"/>
        <v/>
      </c>
      <c r="AS142" t="str">
        <f t="shared" si="65"/>
        <v>Defensive</v>
      </c>
      <c r="BI142" s="40"/>
      <c r="BL142" s="40"/>
      <c r="BN142" s="19"/>
      <c r="BP142" s="17"/>
    </row>
    <row r="143" spans="1:68" x14ac:dyDescent="0.2">
      <c r="A143" t="str">
        <f t="shared" si="66"/>
        <v/>
      </c>
      <c r="E143" s="4"/>
      <c r="F143" s="45"/>
      <c r="G143" s="4"/>
      <c r="H143" s="48"/>
      <c r="J143" s="46" t="str">
        <f t="shared" si="67"/>
        <v/>
      </c>
      <c r="N143" t="str">
        <f t="shared" si="60"/>
        <v/>
      </c>
      <c r="Q143" t="str">
        <f t="shared" si="59"/>
        <v/>
      </c>
      <c r="S143" t="str">
        <f>IF(A143=1,MAX(S$2:S142)+1,IF(OR(I143&lt;&gt;"",A143="x"),S142,""))</f>
        <v/>
      </c>
      <c r="T143" t="str">
        <f>IF(D143=1,MAX($T$2:$T142)+1,IF(S143=$S142,$S142,IF($D143="x",T142,IF($D142="x","",""))))</f>
        <v/>
      </c>
      <c r="U143" t="str">
        <f>IF(B143=1,MAX($U$2:$U142)+1,IF(AND($T143&lt;&gt;"",$T143=$T142),$U142,IF(B143="x",U142,"")))</f>
        <v/>
      </c>
      <c r="V143" t="str">
        <f>IF(C143=1,MAX($V$2:$V142)+1,IF(AND($T143&lt;&gt;"",$T143=$T142),$U142,IF(C143="x",V142,"")))</f>
        <v/>
      </c>
      <c r="W143" t="str" cm="1">
        <f t="array" ref="W143">IFERROR(_xlfn._xlws.FILTER(game_rosters!AB:AB,(game_rosters!J:J=events!X143)*(K143&lt;&gt;"")),"")</f>
        <v/>
      </c>
      <c r="X143" t="str" cm="1">
        <f t="array" ref="X143">IF(S143="","",IF($I143&lt;&gt;"",$I143,INDEX($I$2:$I142,ROW()-COUNTIFS($T$2:$T142,"="&amp;$T143,$S$2:$S142,"&lt;&gt;"&amp;$S143)-1)))</f>
        <v/>
      </c>
      <c r="Z143" s="6"/>
      <c r="AH143" t="str">
        <f t="shared" si="61"/>
        <v>o</v>
      </c>
      <c r="AI143" t="str">
        <f t="shared" si="68"/>
        <v/>
      </c>
      <c r="AJ143" t="str">
        <f t="shared" si="69"/>
        <v/>
      </c>
      <c r="AK143" t="str">
        <f t="shared" si="62"/>
        <v/>
      </c>
      <c r="AL143" t="str">
        <f t="shared" si="63"/>
        <v/>
      </c>
      <c r="AM143" t="str">
        <f t="shared" si="64"/>
        <v/>
      </c>
      <c r="AN143" t="str">
        <f t="shared" si="70"/>
        <v/>
      </c>
      <c r="AO143" t="str">
        <f t="shared" si="71"/>
        <v/>
      </c>
      <c r="AP143" t="str">
        <f t="shared" si="72"/>
        <v/>
      </c>
      <c r="AQ143" t="str">
        <f t="shared" si="73"/>
        <v/>
      </c>
      <c r="AR143" t="str">
        <f t="shared" si="74"/>
        <v/>
      </c>
      <c r="AS143" t="str">
        <f t="shared" si="65"/>
        <v>Defensive</v>
      </c>
      <c r="BI143" s="40"/>
      <c r="BL143" s="40"/>
      <c r="BN143" s="19"/>
      <c r="BP143" s="17"/>
    </row>
    <row r="144" spans="1:68" x14ac:dyDescent="0.2">
      <c r="A144" t="str">
        <f t="shared" si="66"/>
        <v/>
      </c>
      <c r="E144" s="4"/>
      <c r="F144" s="45"/>
      <c r="G144" s="4"/>
      <c r="H144" s="48"/>
      <c r="J144" s="46" t="str">
        <f t="shared" si="67"/>
        <v/>
      </c>
      <c r="N144" t="str">
        <f t="shared" si="60"/>
        <v/>
      </c>
      <c r="Q144" t="str">
        <f t="shared" ref="Q144:Q207" si="75">IF(O144="","",IF(AND(N144&lt;&gt;"",OR(O144&lt;&gt;"",P144&lt;&gt;"")),N144,IF(OR(ISNUMBER(SEARCH("attemp",O144)),ISNUMBER(SEARCH("beat",O144)),ISNUMBER(SEARCH("mis",O144)),ISNUMBER(SEARCH("fail",O144)),ISNUMBER(SEARCH("loss",O144)),ISNUMBER(SEARCH("lost",O144)),ISNUMBER(SEARCH("attemp",P144)),ISNUMBER(SEARCH("mis",P144)),ISNUMBER(SEARCH("fail",P144)),ISNUMBER(SEARCH("loss",P144)),ISNUMBER(SEARCH("beat",P144)),ISNUMBER(SEARCH("lost",P144))),"u","")))</f>
        <v/>
      </c>
      <c r="S144" t="str">
        <f>IF(A144=1,MAX(S$2:S143)+1,IF(OR(I144&lt;&gt;"",A144="x"),S143,""))</f>
        <v/>
      </c>
      <c r="T144" t="str">
        <f>IF(D144=1,MAX($T$2:$T143)+1,IF(S144=$S143,$S143,IF($D144="x",T143,IF($D143="x","",""))))</f>
        <v/>
      </c>
      <c r="U144" t="str">
        <f>IF(B144=1,MAX($U$2:$U143)+1,IF(AND($T144&lt;&gt;"",$T144=$T143),$U143,IF(B144="x",U143,"")))</f>
        <v/>
      </c>
      <c r="V144" t="str">
        <f>IF(C144=1,MAX($V$2:$V143)+1,IF(AND($T144&lt;&gt;"",$T144=$T143),$U143,IF(C144="x",V143,"")))</f>
        <v/>
      </c>
      <c r="W144" t="str" cm="1">
        <f t="array" ref="W144">IFERROR(_xlfn._xlws.FILTER(game_rosters!AB:AB,(game_rosters!J:J=events!X144)*(K144&lt;&gt;"")),"")</f>
        <v/>
      </c>
      <c r="X144" t="str" cm="1">
        <f t="array" ref="X144">IF(S144="","",IF($I144&lt;&gt;"",$I144,INDEX($I$2:$I143,ROW()-COUNTIFS($T$2:$T143,"="&amp;$T144,$S$2:$S143,"&lt;&gt;"&amp;$S144)-1)))</f>
        <v/>
      </c>
      <c r="Z144" s="6"/>
      <c r="AH144" t="str">
        <f t="shared" si="61"/>
        <v>o</v>
      </c>
      <c r="AI144" t="str">
        <f t="shared" si="68"/>
        <v/>
      </c>
      <c r="AJ144" t="str">
        <f t="shared" si="69"/>
        <v/>
      </c>
      <c r="AK144" t="str">
        <f t="shared" si="62"/>
        <v/>
      </c>
      <c r="AL144" t="str">
        <f t="shared" si="63"/>
        <v/>
      </c>
      <c r="AM144" t="str">
        <f t="shared" si="64"/>
        <v/>
      </c>
      <c r="AN144" t="str">
        <f t="shared" si="70"/>
        <v/>
      </c>
      <c r="AO144" t="str">
        <f t="shared" si="71"/>
        <v/>
      </c>
      <c r="AP144" t="str">
        <f t="shared" si="72"/>
        <v/>
      </c>
      <c r="AQ144" t="str">
        <f t="shared" si="73"/>
        <v/>
      </c>
      <c r="AR144" t="str">
        <f t="shared" si="74"/>
        <v/>
      </c>
      <c r="AS144" t="str">
        <f t="shared" si="65"/>
        <v>Defensive</v>
      </c>
      <c r="BI144" s="40"/>
      <c r="BL144" s="40"/>
      <c r="BN144" s="19"/>
      <c r="BP144" s="17"/>
    </row>
    <row r="145" spans="1:68" x14ac:dyDescent="0.2">
      <c r="A145" t="str">
        <f t="shared" si="66"/>
        <v/>
      </c>
      <c r="E145" s="4"/>
      <c r="F145" s="45"/>
      <c r="G145" s="4"/>
      <c r="H145" s="48"/>
      <c r="J145" s="46" t="str">
        <f t="shared" si="67"/>
        <v/>
      </c>
      <c r="N145" t="str">
        <f t="shared" si="60"/>
        <v/>
      </c>
      <c r="Q145" t="str">
        <f t="shared" si="75"/>
        <v/>
      </c>
      <c r="S145" t="str">
        <f>IF(A145=1,MAX(S$2:S144)+1,IF(OR(I145&lt;&gt;"",A145="x"),S144,""))</f>
        <v/>
      </c>
      <c r="T145" t="str">
        <f>IF(D145=1,MAX($T$2:$T144)+1,IF(S145=$S144,$S144,IF($D145="x",T144,IF($D144="x","",""))))</f>
        <v/>
      </c>
      <c r="U145" t="str">
        <f>IF(B145=1,MAX($U$2:$U144)+1,IF(AND($T145&lt;&gt;"",$T145=$T144),$U144,IF(B145="x",U144,"")))</f>
        <v/>
      </c>
      <c r="V145" t="str">
        <f>IF(C145=1,MAX($V$2:$V144)+1,IF(AND($T145&lt;&gt;"",$T145=$T144),$U144,IF(C145="x",V144,"")))</f>
        <v/>
      </c>
      <c r="W145" t="str" cm="1">
        <f t="array" ref="W145">IFERROR(_xlfn._xlws.FILTER(game_rosters!AB:AB,(game_rosters!J:J=events!X145)*(K145&lt;&gt;"")),"")</f>
        <v/>
      </c>
      <c r="X145" t="str" cm="1">
        <f t="array" ref="X145">IF(S145="","",IF($I145&lt;&gt;"",$I145,INDEX($I$2:$I144,ROW()-COUNTIFS($T$2:$T144,"="&amp;$T145,$S$2:$S144,"&lt;&gt;"&amp;$S145)-1)))</f>
        <v/>
      </c>
      <c r="Z145" s="6"/>
      <c r="AH145" t="str">
        <f t="shared" si="61"/>
        <v>o</v>
      </c>
      <c r="AI145" t="str">
        <f t="shared" si="68"/>
        <v/>
      </c>
      <c r="AJ145" t="str">
        <f t="shared" si="69"/>
        <v/>
      </c>
      <c r="AK145" t="str">
        <f t="shared" si="62"/>
        <v/>
      </c>
      <c r="AL145" t="str">
        <f t="shared" si="63"/>
        <v/>
      </c>
      <c r="AM145" t="str">
        <f t="shared" si="64"/>
        <v/>
      </c>
      <c r="AN145" t="str">
        <f t="shared" si="70"/>
        <v/>
      </c>
      <c r="AO145" t="str">
        <f t="shared" si="71"/>
        <v/>
      </c>
      <c r="AP145" t="str">
        <f t="shared" si="72"/>
        <v/>
      </c>
      <c r="AQ145" t="str">
        <f t="shared" si="73"/>
        <v/>
      </c>
      <c r="AR145" t="str">
        <f t="shared" si="74"/>
        <v/>
      </c>
      <c r="AS145" t="str">
        <f t="shared" si="65"/>
        <v>Defensive</v>
      </c>
      <c r="BI145" s="40"/>
      <c r="BL145" s="40"/>
      <c r="BN145" s="19"/>
      <c r="BP145" s="17"/>
    </row>
    <row r="146" spans="1:68" x14ac:dyDescent="0.2">
      <c r="A146" t="str">
        <f t="shared" si="66"/>
        <v/>
      </c>
      <c r="E146" s="4"/>
      <c r="F146" s="45"/>
      <c r="G146" s="4"/>
      <c r="H146" s="48"/>
      <c r="J146" s="46" t="str">
        <f t="shared" si="67"/>
        <v/>
      </c>
      <c r="N146" t="str">
        <f t="shared" si="60"/>
        <v/>
      </c>
      <c r="Q146" t="str">
        <f t="shared" si="75"/>
        <v/>
      </c>
      <c r="S146" t="str">
        <f>IF(A146=1,MAX(S$2:S145)+1,IF(OR(I146&lt;&gt;"",A146="x"),S145,""))</f>
        <v/>
      </c>
      <c r="T146" t="str">
        <f>IF(D146=1,MAX($T$2:$T145)+1,IF(S146=$S145,$S145,IF($D146="x",T145,IF($D145="x","",""))))</f>
        <v/>
      </c>
      <c r="U146" t="str">
        <f>IF(B146=1,MAX($U$2:$U145)+1,IF(AND($T146&lt;&gt;"",$T146=$T145),$U145,IF(B146="x",U145,"")))</f>
        <v/>
      </c>
      <c r="V146" t="str">
        <f>IF(C146=1,MAX($V$2:$V145)+1,IF(AND($T146&lt;&gt;"",$T146=$T145),$U145,IF(C146="x",V145,"")))</f>
        <v/>
      </c>
      <c r="W146" t="str" cm="1">
        <f t="array" ref="W146">IFERROR(_xlfn._xlws.FILTER(game_rosters!AB:AB,(game_rosters!J:J=events!X146)*(K146&lt;&gt;"")),"")</f>
        <v/>
      </c>
      <c r="X146" t="str" cm="1">
        <f t="array" ref="X146">IF(S146="","",IF($I146&lt;&gt;"",$I146,INDEX($I$2:$I145,ROW()-COUNTIFS($T$2:$T145,"="&amp;$T146,$S$2:$S145,"&lt;&gt;"&amp;$S146)-1)))</f>
        <v/>
      </c>
      <c r="Z146" s="6"/>
      <c r="AH146" t="str">
        <f t="shared" si="61"/>
        <v>o</v>
      </c>
      <c r="AI146" t="str">
        <f t="shared" si="68"/>
        <v/>
      </c>
      <c r="AJ146" t="str">
        <f t="shared" si="69"/>
        <v/>
      </c>
      <c r="AK146" t="str">
        <f t="shared" si="62"/>
        <v/>
      </c>
      <c r="AL146" t="str">
        <f t="shared" si="63"/>
        <v/>
      </c>
      <c r="AM146" t="str">
        <f t="shared" si="64"/>
        <v/>
      </c>
      <c r="AN146" t="str">
        <f t="shared" si="70"/>
        <v/>
      </c>
      <c r="AO146" t="str">
        <f t="shared" si="71"/>
        <v/>
      </c>
      <c r="AP146" t="str">
        <f t="shared" si="72"/>
        <v/>
      </c>
      <c r="AQ146" t="str">
        <f t="shared" si="73"/>
        <v/>
      </c>
      <c r="AR146" t="str">
        <f t="shared" si="74"/>
        <v/>
      </c>
      <c r="AS146" t="str">
        <f t="shared" si="65"/>
        <v>Defensive</v>
      </c>
      <c r="BI146" s="40"/>
      <c r="BL146" s="40"/>
      <c r="BN146" s="19"/>
      <c r="BP146" s="17"/>
    </row>
    <row r="147" spans="1:68" x14ac:dyDescent="0.2">
      <c r="A147" t="str">
        <f t="shared" si="66"/>
        <v/>
      </c>
      <c r="E147" s="4"/>
      <c r="F147" s="45"/>
      <c r="G147" s="4"/>
      <c r="H147" s="48"/>
      <c r="J147" s="46" t="str">
        <f t="shared" si="67"/>
        <v/>
      </c>
      <c r="N147" t="str">
        <f t="shared" si="60"/>
        <v/>
      </c>
      <c r="Q147" t="str">
        <f t="shared" si="75"/>
        <v/>
      </c>
      <c r="S147" t="str">
        <f>IF(A147=1,MAX(S$2:S146)+1,IF(OR(I147&lt;&gt;"",A147="x"),S146,""))</f>
        <v/>
      </c>
      <c r="T147" t="str">
        <f>IF(D147=1,MAX($T$2:$T146)+1,IF(S147=$S146,$S146,IF($D147="x",T146,IF($D146="x","",""))))</f>
        <v/>
      </c>
      <c r="U147" t="str">
        <f>IF(B147=1,MAX($U$2:$U146)+1,IF(AND($T147&lt;&gt;"",$T147=$T146),$U146,IF(B147="x",U146,"")))</f>
        <v/>
      </c>
      <c r="V147" t="str">
        <f>IF(C147=1,MAX($V$2:$V146)+1,IF(AND($T147&lt;&gt;"",$T147=$T146),$U146,IF(C147="x",V146,"")))</f>
        <v/>
      </c>
      <c r="W147" t="str" cm="1">
        <f t="array" ref="W147">IFERROR(_xlfn._xlws.FILTER(game_rosters!AB:AB,(game_rosters!J:J=events!X147)*(K147&lt;&gt;"")),"")</f>
        <v/>
      </c>
      <c r="X147" t="str" cm="1">
        <f t="array" ref="X147">IF(S147="","",IF($I147&lt;&gt;"",$I147,INDEX($I$2:$I146,ROW()-COUNTIFS($T$2:$T146,"="&amp;$T147,$S$2:$S146,"&lt;&gt;"&amp;$S147)-1)))</f>
        <v/>
      </c>
      <c r="Z147" s="6"/>
      <c r="AH147" t="str">
        <f t="shared" si="61"/>
        <v>o</v>
      </c>
      <c r="AI147" t="str">
        <f t="shared" si="68"/>
        <v/>
      </c>
      <c r="AJ147" t="str">
        <f t="shared" si="69"/>
        <v/>
      </c>
      <c r="AK147" t="str">
        <f t="shared" si="62"/>
        <v/>
      </c>
      <c r="AL147" t="str">
        <f t="shared" si="63"/>
        <v/>
      </c>
      <c r="AM147" t="str">
        <f t="shared" si="64"/>
        <v/>
      </c>
      <c r="AN147" t="str">
        <f t="shared" si="70"/>
        <v/>
      </c>
      <c r="AO147" t="str">
        <f t="shared" si="71"/>
        <v/>
      </c>
      <c r="AP147" t="str">
        <f t="shared" si="72"/>
        <v/>
      </c>
      <c r="AQ147" t="str">
        <f t="shared" si="73"/>
        <v/>
      </c>
      <c r="AR147" t="str">
        <f t="shared" si="74"/>
        <v/>
      </c>
      <c r="AS147" t="str">
        <f t="shared" si="65"/>
        <v>Defensive</v>
      </c>
      <c r="BI147" s="40"/>
      <c r="BL147" s="40"/>
      <c r="BN147" s="19"/>
      <c r="BP147" s="17"/>
    </row>
    <row r="148" spans="1:68" x14ac:dyDescent="0.2">
      <c r="A148" t="str">
        <f t="shared" si="66"/>
        <v/>
      </c>
      <c r="E148" s="4"/>
      <c r="F148" s="45"/>
      <c r="G148" s="4"/>
      <c r="H148" s="48"/>
      <c r="J148" s="46" t="str">
        <f t="shared" si="67"/>
        <v/>
      </c>
      <c r="N148" t="str">
        <f t="shared" si="60"/>
        <v/>
      </c>
      <c r="Q148" t="str">
        <f t="shared" si="75"/>
        <v/>
      </c>
      <c r="S148" t="str">
        <f>IF(A148=1,MAX(S$2:S147)+1,IF(OR(I148&lt;&gt;"",A148="x"),S147,""))</f>
        <v/>
      </c>
      <c r="T148" t="str">
        <f>IF(D148=1,MAX($T$2:$T147)+1,IF(S148=$S147,$S147,IF($D148="x",T147,IF($D147="x","",""))))</f>
        <v/>
      </c>
      <c r="U148" t="str">
        <f>IF(B148=1,MAX($U$2:$U147)+1,IF(AND($T148&lt;&gt;"",$T148=$T147),$U147,IF(B148="x",U147,"")))</f>
        <v/>
      </c>
      <c r="V148" t="str">
        <f>IF(C148=1,MAX($V$2:$V147)+1,IF(AND($T148&lt;&gt;"",$T148=$T147),$U147,IF(C148="x",V147,"")))</f>
        <v/>
      </c>
      <c r="W148" t="str" cm="1">
        <f t="array" ref="W148">IFERROR(_xlfn._xlws.FILTER(game_rosters!AB:AB,(game_rosters!J:J=events!X148)*(K148&lt;&gt;"")),"")</f>
        <v/>
      </c>
      <c r="X148" t="str" cm="1">
        <f t="array" ref="X148">IF(S148="","",IF($I148&lt;&gt;"",$I148,INDEX($I$2:$I147,ROW()-COUNTIFS($T$2:$T147,"="&amp;$T148,$S$2:$S147,"&lt;&gt;"&amp;$S148)-1)))</f>
        <v/>
      </c>
      <c r="Z148" s="6"/>
      <c r="AH148" t="str">
        <f t="shared" si="61"/>
        <v>o</v>
      </c>
      <c r="AI148" t="str">
        <f t="shared" si="68"/>
        <v/>
      </c>
      <c r="AJ148" t="str">
        <f t="shared" si="69"/>
        <v/>
      </c>
      <c r="AK148" t="str">
        <f t="shared" si="62"/>
        <v/>
      </c>
      <c r="AL148" t="str">
        <f t="shared" si="63"/>
        <v/>
      </c>
      <c r="AM148" t="str">
        <f t="shared" si="64"/>
        <v/>
      </c>
      <c r="AN148" t="str">
        <f t="shared" si="70"/>
        <v/>
      </c>
      <c r="AO148" t="str">
        <f t="shared" si="71"/>
        <v/>
      </c>
      <c r="AP148" t="str">
        <f t="shared" si="72"/>
        <v/>
      </c>
      <c r="AQ148" t="str">
        <f t="shared" si="73"/>
        <v/>
      </c>
      <c r="AR148" t="str">
        <f t="shared" si="74"/>
        <v/>
      </c>
      <c r="AS148" t="str">
        <f t="shared" si="65"/>
        <v>Defensive</v>
      </c>
      <c r="BI148" s="40"/>
      <c r="BL148" s="40"/>
      <c r="BN148" s="19"/>
      <c r="BP148" s="17"/>
    </row>
    <row r="149" spans="1:68" x14ac:dyDescent="0.2">
      <c r="A149" t="str">
        <f t="shared" si="66"/>
        <v/>
      </c>
      <c r="E149" s="4"/>
      <c r="F149" s="45"/>
      <c r="G149" s="4"/>
      <c r="H149" s="48"/>
      <c r="J149" s="46" t="str">
        <f t="shared" si="67"/>
        <v/>
      </c>
      <c r="N149" t="str">
        <f t="shared" ref="N149:N212" si="76">IF(K149="","",IF(K149="Goal","s",IF(AND(K149="Zone_Entry_Exit",OR(ISNUMBER(SEARCH("fail",L149)),ISNUMBER(SEARCH("FromExitClear",M149)),ISNUMBER(SEARCH("miss",M149)))),"u",IF(AND(K149="Zone_Entry_Exit",OR(NOT(ISNUMBER(SEARCH("fail",L149))),NOT(ISNUMBER(SEARCH("FromExitClear",M149))),NOT(ISNUMBER(SEARCH("miss",M149))))),"s",IF(AND(OR(K149="Shot",K149="Pass"),OR(ISNUMBER(SEARCH("complete",L149)),ISNUMBER(SEARCH("goal",L149)),ISNUMBER(SEARCH("OnNet",L149)))),"s",IF(L149="Turnover_Giveaway","u",IF(AND(OR(K149="Shot",K149="Pass"),OR(ISNUMBER(SEARCH("fail",L149)),NOT(ISNUMBER(SEARCH("complete",L149))),NOT(ISNUMBER(SEARCH("OnNet",L149))))),"u","")))))))</f>
        <v/>
      </c>
      <c r="Q149" t="str">
        <f t="shared" si="75"/>
        <v/>
      </c>
      <c r="S149" t="str">
        <f>IF(A149=1,MAX(S$2:S148)+1,IF(OR(I149&lt;&gt;"",A149="x"),S148,""))</f>
        <v/>
      </c>
      <c r="T149" t="str">
        <f>IF(D149=1,MAX($T$2:$T148)+1,IF(S149=$S148,$S148,IF($D149="x",T148,IF($D148="x","",""))))</f>
        <v/>
      </c>
      <c r="U149" t="str">
        <f>IF(B149=1,MAX($U$2:$U148)+1,IF(AND($T149&lt;&gt;"",$T149=$T148),$U148,IF(B149="x",U148,"")))</f>
        <v/>
      </c>
      <c r="V149" t="str">
        <f>IF(C149=1,MAX($V$2:$V148)+1,IF(AND($T149&lt;&gt;"",$T149=$T148),$U148,IF(C149="x",V148,"")))</f>
        <v/>
      </c>
      <c r="W149" t="str" cm="1">
        <f t="array" ref="W149">IFERROR(_xlfn._xlws.FILTER(game_rosters!AB:AB,(game_rosters!J:J=events!X149)*(K149&lt;&gt;"")),"")</f>
        <v/>
      </c>
      <c r="X149" t="str" cm="1">
        <f t="array" ref="X149">IF(S149="","",IF($I149&lt;&gt;"",$I149,INDEX($I$2:$I148,ROW()-COUNTIFS($T$2:$T148,"="&amp;$T149,$S$2:$S148,"&lt;&gt;"&amp;$S149)-1)))</f>
        <v/>
      </c>
      <c r="Z149" s="6"/>
      <c r="AH149" t="str">
        <f t="shared" si="61"/>
        <v>o</v>
      </c>
      <c r="AI149" t="str">
        <f t="shared" si="68"/>
        <v/>
      </c>
      <c r="AJ149" t="str">
        <f t="shared" si="69"/>
        <v/>
      </c>
      <c r="AK149" t="str">
        <f t="shared" si="62"/>
        <v/>
      </c>
      <c r="AL149" t="str">
        <f t="shared" si="63"/>
        <v/>
      </c>
      <c r="AM149" t="str">
        <f t="shared" si="64"/>
        <v/>
      </c>
      <c r="AN149" t="str">
        <f t="shared" si="70"/>
        <v/>
      </c>
      <c r="AO149" t="str">
        <f t="shared" si="71"/>
        <v/>
      </c>
      <c r="AP149" t="str">
        <f t="shared" si="72"/>
        <v/>
      </c>
      <c r="AQ149" t="str">
        <f t="shared" si="73"/>
        <v/>
      </c>
      <c r="AR149" t="str">
        <f t="shared" si="74"/>
        <v/>
      </c>
      <c r="AS149" t="str">
        <f t="shared" si="65"/>
        <v>Defensive</v>
      </c>
      <c r="BI149" s="40"/>
      <c r="BL149" s="40"/>
      <c r="BN149" s="19"/>
      <c r="BP149" s="17"/>
    </row>
    <row r="150" spans="1:68" x14ac:dyDescent="0.2">
      <c r="A150" t="str">
        <f t="shared" si="66"/>
        <v/>
      </c>
      <c r="E150" s="4"/>
      <c r="F150" s="45"/>
      <c r="G150" s="4"/>
      <c r="H150" s="48"/>
      <c r="J150" s="46" t="str">
        <f t="shared" si="67"/>
        <v/>
      </c>
      <c r="N150" t="str">
        <f t="shared" si="76"/>
        <v/>
      </c>
      <c r="Q150" t="str">
        <f t="shared" si="75"/>
        <v/>
      </c>
      <c r="S150" t="str">
        <f>IF(A150=1,MAX(S$2:S149)+1,IF(OR(I150&lt;&gt;"",A150="x"),S149,""))</f>
        <v/>
      </c>
      <c r="T150" t="str">
        <f>IF(D150=1,MAX($T$2:$T149)+1,IF(S150=$S149,$S149,IF($D150="x",T149,IF($D149="x","",""))))</f>
        <v/>
      </c>
      <c r="U150" t="str">
        <f>IF(B150=1,MAX($U$2:$U149)+1,IF(AND($T150&lt;&gt;"",$T150=$T149),$U149,IF(B150="x",U149,"")))</f>
        <v/>
      </c>
      <c r="V150" t="str">
        <f>IF(C150=1,MAX($V$2:$V149)+1,IF(AND($T150&lt;&gt;"",$T150=$T149),$U149,IF(C150="x",V149,"")))</f>
        <v/>
      </c>
      <c r="W150" t="str" cm="1">
        <f t="array" ref="W150">IFERROR(_xlfn._xlws.FILTER(game_rosters!AB:AB,(game_rosters!J:J=events!X150)*(K150&lt;&gt;"")),"")</f>
        <v/>
      </c>
      <c r="X150" t="str" cm="1">
        <f t="array" ref="X150">IF(S150="","",IF($I150&lt;&gt;"",$I150,INDEX($I$2:$I149,ROW()-COUNTIFS($T$2:$T149,"="&amp;$T150,$S$2:$S149,"&lt;&gt;"&amp;$S150)-1)))</f>
        <v/>
      </c>
      <c r="Z150" s="6"/>
      <c r="AH150" t="str">
        <f t="shared" si="61"/>
        <v>o</v>
      </c>
      <c r="AI150" t="str">
        <f t="shared" si="68"/>
        <v/>
      </c>
      <c r="AJ150" t="str">
        <f t="shared" si="69"/>
        <v/>
      </c>
      <c r="AK150" t="str">
        <f t="shared" si="62"/>
        <v/>
      </c>
      <c r="AL150" t="str">
        <f t="shared" si="63"/>
        <v/>
      </c>
      <c r="AM150" t="str">
        <f t="shared" si="64"/>
        <v/>
      </c>
      <c r="AN150" t="str">
        <f t="shared" si="70"/>
        <v/>
      </c>
      <c r="AO150" t="str">
        <f t="shared" si="71"/>
        <v/>
      </c>
      <c r="AP150" t="str">
        <f t="shared" si="72"/>
        <v/>
      </c>
      <c r="AQ150" t="str">
        <f t="shared" si="73"/>
        <v/>
      </c>
      <c r="AR150" t="str">
        <f t="shared" si="74"/>
        <v/>
      </c>
      <c r="AS150" t="str">
        <f t="shared" si="65"/>
        <v>Defensive</v>
      </c>
      <c r="BI150" s="40"/>
      <c r="BL150" s="40"/>
      <c r="BN150" s="19"/>
      <c r="BP150" s="17"/>
    </row>
    <row r="151" spans="1:68" x14ac:dyDescent="0.2">
      <c r="A151" t="str">
        <f t="shared" si="66"/>
        <v/>
      </c>
      <c r="E151" s="4"/>
      <c r="F151" s="45"/>
      <c r="G151" s="4"/>
      <c r="H151" s="48"/>
      <c r="J151" s="46" t="str">
        <f t="shared" si="67"/>
        <v/>
      </c>
      <c r="N151" t="str">
        <f t="shared" si="76"/>
        <v/>
      </c>
      <c r="Q151" t="str">
        <f t="shared" si="75"/>
        <v/>
      </c>
      <c r="S151" t="str">
        <f>IF(A151=1,MAX(S$2:S150)+1,IF(OR(I151&lt;&gt;"",A151="x"),S150,""))</f>
        <v/>
      </c>
      <c r="T151" t="str">
        <f>IF(D151=1,MAX($T$2:$T150)+1,IF(S151=$S150,$S150,IF($D151="x",T150,IF($D150="x","",""))))</f>
        <v/>
      </c>
      <c r="U151" t="str">
        <f>IF(B151=1,MAX($U$2:$U150)+1,IF(AND($T151&lt;&gt;"",$T151=$T150),$U150,IF(B151="x",U150,"")))</f>
        <v/>
      </c>
      <c r="V151" t="str">
        <f>IF(C151=1,MAX($V$2:$V150)+1,IF(AND($T151&lt;&gt;"",$T151=$T150),$U150,IF(C151="x",V150,"")))</f>
        <v/>
      </c>
      <c r="W151" t="str" cm="1">
        <f t="array" ref="W151">IFERROR(_xlfn._xlws.FILTER(game_rosters!AB:AB,(game_rosters!J:J=events!X151)*(K151&lt;&gt;"")),"")</f>
        <v/>
      </c>
      <c r="X151" t="str" cm="1">
        <f t="array" ref="X151">IF(S151="","",IF($I151&lt;&gt;"",$I151,INDEX($I$2:$I150,ROW()-COUNTIFS($T$2:$T150,"="&amp;$T151,$S$2:$S150,"&lt;&gt;"&amp;$S151)-1)))</f>
        <v/>
      </c>
      <c r="Z151" s="6"/>
      <c r="AH151" t="str">
        <f t="shared" si="61"/>
        <v>o</v>
      </c>
      <c r="AI151" t="str">
        <f t="shared" si="68"/>
        <v/>
      </c>
      <c r="AJ151" t="str">
        <f t="shared" si="69"/>
        <v/>
      </c>
      <c r="AK151" t="str">
        <f t="shared" si="62"/>
        <v/>
      </c>
      <c r="AL151" t="str">
        <f t="shared" si="63"/>
        <v/>
      </c>
      <c r="AM151" t="str">
        <f t="shared" si="64"/>
        <v/>
      </c>
      <c r="AN151" t="str">
        <f t="shared" si="70"/>
        <v/>
      </c>
      <c r="AO151" t="str">
        <f t="shared" si="71"/>
        <v/>
      </c>
      <c r="AP151" t="str">
        <f t="shared" si="72"/>
        <v/>
      </c>
      <c r="AQ151" t="str">
        <f t="shared" si="73"/>
        <v/>
      </c>
      <c r="AR151" t="str">
        <f t="shared" si="74"/>
        <v/>
      </c>
      <c r="AS151" t="str">
        <f t="shared" si="65"/>
        <v>Defensive</v>
      </c>
      <c r="BI151" s="40"/>
      <c r="BL151" s="40"/>
      <c r="BN151" s="19"/>
      <c r="BP151" s="17"/>
    </row>
    <row r="152" spans="1:68" x14ac:dyDescent="0.2">
      <c r="A152" t="str">
        <f t="shared" si="66"/>
        <v/>
      </c>
      <c r="E152" s="4"/>
      <c r="F152" s="45"/>
      <c r="G152" s="4"/>
      <c r="H152" s="48"/>
      <c r="J152" s="46" t="str">
        <f t="shared" si="67"/>
        <v/>
      </c>
      <c r="N152" t="str">
        <f t="shared" si="76"/>
        <v/>
      </c>
      <c r="Q152" t="str">
        <f t="shared" si="75"/>
        <v/>
      </c>
      <c r="S152" t="str">
        <f>IF(A152=1,MAX(S$2:S151)+1,IF(OR(I152&lt;&gt;"",A152="x"),S151,""))</f>
        <v/>
      </c>
      <c r="T152" t="str">
        <f>IF(D152=1,MAX($T$2:$T151)+1,IF(S152=$S151,$S151,IF($D152="x",T151,IF($D151="x","",""))))</f>
        <v/>
      </c>
      <c r="U152" t="str">
        <f>IF(B152=1,MAX($U$2:$U151)+1,IF(AND($T152&lt;&gt;"",$T152=$T151),$U151,IF(B152="x",U151,"")))</f>
        <v/>
      </c>
      <c r="V152" t="str">
        <f>IF(C152=1,MAX($V$2:$V151)+1,IF(AND($T152&lt;&gt;"",$T152=$T151),$U151,IF(C152="x",V151,"")))</f>
        <v/>
      </c>
      <c r="W152" t="str" cm="1">
        <f t="array" ref="W152">IFERROR(_xlfn._xlws.FILTER(game_rosters!AB:AB,(game_rosters!J:J=events!X152)*(K152&lt;&gt;"")),"")</f>
        <v/>
      </c>
      <c r="X152" t="str" cm="1">
        <f t="array" ref="X152">IF(S152="","",IF($I152&lt;&gt;"",$I152,INDEX($I$2:$I151,ROW()-COUNTIFS($T$2:$T151,"="&amp;$T152,$S$2:$S151,"&lt;&gt;"&amp;$S152)-1)))</f>
        <v/>
      </c>
      <c r="Z152" s="6"/>
      <c r="AH152" t="str">
        <f t="shared" si="61"/>
        <v>o</v>
      </c>
      <c r="AI152" t="str">
        <f t="shared" si="68"/>
        <v/>
      </c>
      <c r="AJ152" t="str">
        <f t="shared" si="69"/>
        <v/>
      </c>
      <c r="AK152" t="str">
        <f t="shared" si="62"/>
        <v/>
      </c>
      <c r="AL152" t="str">
        <f t="shared" si="63"/>
        <v/>
      </c>
      <c r="AM152" t="str">
        <f t="shared" si="64"/>
        <v/>
      </c>
      <c r="AN152" t="str">
        <f t="shared" si="70"/>
        <v/>
      </c>
      <c r="AO152" t="str">
        <f t="shared" si="71"/>
        <v/>
      </c>
      <c r="AP152" t="str">
        <f t="shared" si="72"/>
        <v/>
      </c>
      <c r="AQ152" t="str">
        <f t="shared" si="73"/>
        <v/>
      </c>
      <c r="AR152" t="str">
        <f t="shared" si="74"/>
        <v/>
      </c>
      <c r="AS152" t="str">
        <f t="shared" si="65"/>
        <v>Defensive</v>
      </c>
      <c r="BI152" s="40"/>
      <c r="BL152" s="40"/>
      <c r="BN152" s="19"/>
      <c r="BP152" s="17"/>
    </row>
    <row r="153" spans="1:68" x14ac:dyDescent="0.2">
      <c r="A153" t="str">
        <f t="shared" si="66"/>
        <v/>
      </c>
      <c r="E153" s="4"/>
      <c r="F153" s="45"/>
      <c r="G153" s="4"/>
      <c r="H153" s="48"/>
      <c r="J153" s="46" t="str">
        <f t="shared" si="67"/>
        <v/>
      </c>
      <c r="N153" t="str">
        <f t="shared" si="76"/>
        <v/>
      </c>
      <c r="Q153" t="str">
        <f t="shared" si="75"/>
        <v/>
      </c>
      <c r="S153" t="str">
        <f>IF(A153=1,MAX(S$2:S152)+1,IF(OR(I153&lt;&gt;"",A153="x"),S152,""))</f>
        <v/>
      </c>
      <c r="T153" t="str">
        <f>IF(D153=1,MAX($T$2:$T152)+1,IF(S153=$S152,$S152,IF($D153="x",T152,IF($D152="x","",""))))</f>
        <v/>
      </c>
      <c r="U153" t="str">
        <f>IF(B153=1,MAX($U$2:$U152)+1,IF(AND($T153&lt;&gt;"",$T153=$T152),$U152,IF(B153="x",U152,"")))</f>
        <v/>
      </c>
      <c r="V153" t="str">
        <f>IF(C153=1,MAX($V$2:$V152)+1,IF(AND($T153&lt;&gt;"",$T153=$T152),$U152,IF(C153="x",V152,"")))</f>
        <v/>
      </c>
      <c r="W153" t="str" cm="1">
        <f t="array" ref="W153">IFERROR(_xlfn._xlws.FILTER(game_rosters!AB:AB,(game_rosters!J:J=events!X153)*(K153&lt;&gt;"")),"")</f>
        <v/>
      </c>
      <c r="X153" t="str" cm="1">
        <f t="array" ref="X153">IF(S153="","",IF($I153&lt;&gt;"",$I153,INDEX($I$2:$I152,ROW()-COUNTIFS($T$2:$T152,"="&amp;$T153,$S$2:$S152,"&lt;&gt;"&amp;$S153)-1)))</f>
        <v/>
      </c>
      <c r="Z153" s="6"/>
      <c r="AH153" t="str">
        <f t="shared" si="61"/>
        <v>o</v>
      </c>
      <c r="AI153" t="str">
        <f t="shared" si="68"/>
        <v/>
      </c>
      <c r="AJ153" t="str">
        <f t="shared" si="69"/>
        <v/>
      </c>
      <c r="AK153" t="str">
        <f t="shared" si="62"/>
        <v/>
      </c>
      <c r="AL153" t="str">
        <f t="shared" si="63"/>
        <v/>
      </c>
      <c r="AM153" t="str">
        <f t="shared" si="64"/>
        <v/>
      </c>
      <c r="AN153" t="str">
        <f t="shared" si="70"/>
        <v/>
      </c>
      <c r="AO153" t="str">
        <f t="shared" si="71"/>
        <v/>
      </c>
      <c r="AP153" t="str">
        <f t="shared" si="72"/>
        <v/>
      </c>
      <c r="AQ153" t="str">
        <f t="shared" si="73"/>
        <v/>
      </c>
      <c r="AR153" t="str">
        <f t="shared" si="74"/>
        <v/>
      </c>
      <c r="AS153" t="str">
        <f t="shared" si="65"/>
        <v>Defensive</v>
      </c>
      <c r="BI153" s="40"/>
      <c r="BL153" s="40"/>
      <c r="BN153" s="19"/>
      <c r="BP153" s="17"/>
    </row>
    <row r="154" spans="1:68" x14ac:dyDescent="0.2">
      <c r="A154" t="str">
        <f t="shared" si="66"/>
        <v/>
      </c>
      <c r="E154" s="4"/>
      <c r="F154" s="45"/>
      <c r="G154" s="4"/>
      <c r="H154" s="48"/>
      <c r="J154" s="46" t="str">
        <f t="shared" si="67"/>
        <v/>
      </c>
      <c r="N154" t="str">
        <f t="shared" si="76"/>
        <v/>
      </c>
      <c r="Q154" t="str">
        <f t="shared" si="75"/>
        <v/>
      </c>
      <c r="S154" t="str">
        <f>IF(A154=1,MAX(S$2:S153)+1,IF(OR(I154&lt;&gt;"",A154="x"),S153,""))</f>
        <v/>
      </c>
      <c r="T154" t="str">
        <f>IF(D154=1,MAX($T$2:$T153)+1,IF(S154=$S153,$S153,IF($D154="x",T153,IF($D153="x","",""))))</f>
        <v/>
      </c>
      <c r="U154" t="str">
        <f>IF(B154=1,MAX($U$2:$U153)+1,IF(AND($T154&lt;&gt;"",$T154=$T153),$U153,IF(B154="x",U153,"")))</f>
        <v/>
      </c>
      <c r="V154" t="str">
        <f>IF(C154=1,MAX($V$2:$V153)+1,IF(AND($T154&lt;&gt;"",$T154=$T153),$U153,IF(C154="x",V153,"")))</f>
        <v/>
      </c>
      <c r="W154" t="str" cm="1">
        <f t="array" ref="W154">IFERROR(_xlfn._xlws.FILTER(game_rosters!AB:AB,(game_rosters!J:J=events!X154)*(K154&lt;&gt;"")),"")</f>
        <v/>
      </c>
      <c r="X154" t="str" cm="1">
        <f t="array" ref="X154">IF(S154="","",IF($I154&lt;&gt;"",$I154,INDEX($I$2:$I153,ROW()-COUNTIFS($T$2:$T153,"="&amp;$T154,$S$2:$S153,"&lt;&gt;"&amp;$S154)-1)))</f>
        <v/>
      </c>
      <c r="Z154" s="6"/>
      <c r="AH154" t="str">
        <f t="shared" si="61"/>
        <v>o</v>
      </c>
      <c r="AI154" t="str">
        <f t="shared" si="68"/>
        <v/>
      </c>
      <c r="AJ154" t="str">
        <f t="shared" si="69"/>
        <v/>
      </c>
      <c r="AK154" t="str">
        <f t="shared" si="62"/>
        <v/>
      </c>
      <c r="AL154" t="str">
        <f t="shared" si="63"/>
        <v/>
      </c>
      <c r="AM154" t="str">
        <f t="shared" si="64"/>
        <v/>
      </c>
      <c r="AN154" t="str">
        <f t="shared" si="70"/>
        <v/>
      </c>
      <c r="AO154" t="str">
        <f t="shared" si="71"/>
        <v/>
      </c>
      <c r="AP154" t="str">
        <f t="shared" si="72"/>
        <v/>
      </c>
      <c r="AQ154" t="str">
        <f t="shared" si="73"/>
        <v/>
      </c>
      <c r="AR154" t="str">
        <f t="shared" si="74"/>
        <v/>
      </c>
      <c r="AS154" t="str">
        <f t="shared" si="65"/>
        <v>Defensive</v>
      </c>
      <c r="BI154" s="40"/>
      <c r="BL154" s="40"/>
      <c r="BN154" s="19"/>
      <c r="BP154" s="17"/>
    </row>
    <row r="155" spans="1:68" x14ac:dyDescent="0.2">
      <c r="A155" t="str">
        <f t="shared" si="66"/>
        <v/>
      </c>
      <c r="E155" s="4"/>
      <c r="F155" s="45"/>
      <c r="G155" s="4"/>
      <c r="H155" s="48"/>
      <c r="J155" s="46" t="str">
        <f t="shared" si="67"/>
        <v/>
      </c>
      <c r="N155" t="str">
        <f t="shared" si="76"/>
        <v/>
      </c>
      <c r="Q155" t="str">
        <f t="shared" si="75"/>
        <v/>
      </c>
      <c r="S155" t="str">
        <f>IF(A155=1,MAX(S$2:S154)+1,IF(OR(I155&lt;&gt;"",A155="x"),S154,""))</f>
        <v/>
      </c>
      <c r="T155" t="str">
        <f>IF(D155=1,MAX($T$2:$T154)+1,IF(S155=$S154,$S154,IF($D155="x",T154,IF($D154="x","",""))))</f>
        <v/>
      </c>
      <c r="U155" t="str">
        <f>IF(B155=1,MAX($U$2:$U154)+1,IF(AND($T155&lt;&gt;"",$T155=$T154),$U154,IF(B155="x",U154,"")))</f>
        <v/>
      </c>
      <c r="V155" t="str">
        <f>IF(C155=1,MAX($V$2:$V154)+1,IF(AND($T155&lt;&gt;"",$T155=$T154),$U154,IF(C155="x",V154,"")))</f>
        <v/>
      </c>
      <c r="W155" t="str" cm="1">
        <f t="array" ref="W155">IFERROR(_xlfn._xlws.FILTER(game_rosters!AB:AB,(game_rosters!J:J=events!X155)*(K155&lt;&gt;"")),"")</f>
        <v/>
      </c>
      <c r="X155" t="str" cm="1">
        <f t="array" ref="X155">IF(S155="","",IF($I155&lt;&gt;"",$I155,INDEX($I$2:$I154,ROW()-COUNTIFS($T$2:$T154,"="&amp;$T155,$S$2:$S154,"&lt;&gt;"&amp;$S155)-1)))</f>
        <v/>
      </c>
      <c r="Z155" s="6"/>
      <c r="AH155" t="str">
        <f t="shared" si="61"/>
        <v>o</v>
      </c>
      <c r="AI155" t="str">
        <f t="shared" si="68"/>
        <v/>
      </c>
      <c r="AJ155" t="str">
        <f t="shared" si="69"/>
        <v/>
      </c>
      <c r="AK155" t="str">
        <f t="shared" si="62"/>
        <v/>
      </c>
      <c r="AL155" t="str">
        <f t="shared" si="63"/>
        <v/>
      </c>
      <c r="AM155" t="str">
        <f t="shared" si="64"/>
        <v/>
      </c>
      <c r="AN155" t="str">
        <f t="shared" si="70"/>
        <v/>
      </c>
      <c r="AO155" t="str">
        <f t="shared" si="71"/>
        <v/>
      </c>
      <c r="AP155" t="str">
        <f t="shared" si="72"/>
        <v/>
      </c>
      <c r="AQ155" t="str">
        <f t="shared" si="73"/>
        <v/>
      </c>
      <c r="AR155" t="str">
        <f t="shared" si="74"/>
        <v/>
      </c>
      <c r="AS155" t="str">
        <f t="shared" si="65"/>
        <v>Defensive</v>
      </c>
      <c r="BI155" s="40"/>
      <c r="BL155" s="40"/>
      <c r="BN155" s="19"/>
      <c r="BP155" s="17"/>
    </row>
    <row r="156" spans="1:68" x14ac:dyDescent="0.2">
      <c r="A156" t="str">
        <f t="shared" si="66"/>
        <v/>
      </c>
      <c r="E156" s="4"/>
      <c r="F156" s="45"/>
      <c r="G156" s="4"/>
      <c r="H156" s="48"/>
      <c r="J156" s="46" t="str">
        <f t="shared" si="67"/>
        <v/>
      </c>
      <c r="N156" t="str">
        <f t="shared" si="76"/>
        <v/>
      </c>
      <c r="Q156" t="str">
        <f t="shared" si="75"/>
        <v/>
      </c>
      <c r="S156" t="str">
        <f>IF(A156=1,MAX(S$2:S155)+1,IF(OR(I156&lt;&gt;"",A156="x"),S155,""))</f>
        <v/>
      </c>
      <c r="T156" t="str">
        <f>IF(D156=1,MAX($T$2:$T155)+1,IF(S156=$S155,$S155,IF($D156="x",T155,IF($D155="x","",""))))</f>
        <v/>
      </c>
      <c r="U156" t="str">
        <f>IF(B156=1,MAX($U$2:$U155)+1,IF(AND($T156&lt;&gt;"",$T156=$T155),$U155,IF(B156="x",U155,"")))</f>
        <v/>
      </c>
      <c r="V156" t="str">
        <f>IF(C156=1,MAX($V$2:$V155)+1,IF(AND($T156&lt;&gt;"",$T156=$T155),$U155,IF(C156="x",V155,"")))</f>
        <v/>
      </c>
      <c r="W156" t="str" cm="1">
        <f t="array" ref="W156">IFERROR(_xlfn._xlws.FILTER(game_rosters!AB:AB,(game_rosters!J:J=events!X156)*(K156&lt;&gt;"")),"")</f>
        <v/>
      </c>
      <c r="X156" t="str" cm="1">
        <f t="array" ref="X156">IF(S156="","",IF($I156&lt;&gt;"",$I156,INDEX($I$2:$I155,ROW()-COUNTIFS($T$2:$T155,"="&amp;$T156,$S$2:$S155,"&lt;&gt;"&amp;$S156)-1)))</f>
        <v/>
      </c>
      <c r="Z156" s="6"/>
      <c r="AH156" t="str">
        <f t="shared" si="61"/>
        <v>o</v>
      </c>
      <c r="AI156" t="str">
        <f t="shared" si="68"/>
        <v/>
      </c>
      <c r="AJ156" t="str">
        <f t="shared" si="69"/>
        <v/>
      </c>
      <c r="AK156" t="str">
        <f t="shared" si="62"/>
        <v/>
      </c>
      <c r="AL156" t="str">
        <f t="shared" si="63"/>
        <v/>
      </c>
      <c r="AM156" t="str">
        <f t="shared" si="64"/>
        <v/>
      </c>
      <c r="AN156" t="str">
        <f t="shared" si="70"/>
        <v/>
      </c>
      <c r="AO156" t="str">
        <f t="shared" si="71"/>
        <v/>
      </c>
      <c r="AP156" t="str">
        <f t="shared" si="72"/>
        <v/>
      </c>
      <c r="AQ156" t="str">
        <f t="shared" si="73"/>
        <v/>
      </c>
      <c r="AR156" t="str">
        <f t="shared" si="74"/>
        <v/>
      </c>
      <c r="AS156" t="str">
        <f t="shared" si="65"/>
        <v>Defensive</v>
      </c>
      <c r="BI156" s="40"/>
      <c r="BL156" s="40"/>
      <c r="BN156" s="19"/>
      <c r="BP156" s="17"/>
    </row>
    <row r="157" spans="1:68" x14ac:dyDescent="0.2">
      <c r="A157" t="str">
        <f t="shared" si="66"/>
        <v/>
      </c>
      <c r="E157" s="4"/>
      <c r="F157" s="45"/>
      <c r="G157" s="4"/>
      <c r="H157" s="48"/>
      <c r="J157" s="46" t="str">
        <f t="shared" si="67"/>
        <v/>
      </c>
      <c r="N157" t="str">
        <f t="shared" si="76"/>
        <v/>
      </c>
      <c r="Q157" t="str">
        <f t="shared" si="75"/>
        <v/>
      </c>
      <c r="S157" t="str">
        <f>IF(A157=1,MAX(S$2:S156)+1,IF(OR(I157&lt;&gt;"",A157="x"),S156,""))</f>
        <v/>
      </c>
      <c r="T157" t="str">
        <f>IF(D157=1,MAX($T$2:$T156)+1,IF(S157=$S156,$S156,IF($D157="x",T156,IF($D156="x","",""))))</f>
        <v/>
      </c>
      <c r="U157" t="str">
        <f>IF(B157=1,MAX($U$2:$U156)+1,IF(AND($T157&lt;&gt;"",$T157=$T156),$U156,IF(B157="x",U156,"")))</f>
        <v/>
      </c>
      <c r="V157" t="str">
        <f>IF(C157=1,MAX($V$2:$V156)+1,IF(AND($T157&lt;&gt;"",$T157=$T156),$U156,IF(C157="x",V156,"")))</f>
        <v/>
      </c>
      <c r="W157" t="str" cm="1">
        <f t="array" ref="W157">IFERROR(_xlfn._xlws.FILTER(game_rosters!AB:AB,(game_rosters!J:J=events!X157)*(K157&lt;&gt;"")),"")</f>
        <v/>
      </c>
      <c r="X157" t="str" cm="1">
        <f t="array" ref="X157">IF(S157="","",IF($I157&lt;&gt;"",$I157,INDEX($I$2:$I156,ROW()-COUNTIFS($T$2:$T156,"="&amp;$T157,$S$2:$S156,"&lt;&gt;"&amp;$S157)-1)))</f>
        <v/>
      </c>
      <c r="Z157" s="6"/>
      <c r="AH157" t="str">
        <f t="shared" si="61"/>
        <v>o</v>
      </c>
      <c r="AI157" t="str">
        <f t="shared" si="68"/>
        <v/>
      </c>
      <c r="AJ157" t="str">
        <f t="shared" si="69"/>
        <v/>
      </c>
      <c r="AK157" t="str">
        <f t="shared" si="62"/>
        <v/>
      </c>
      <c r="AL157" t="str">
        <f t="shared" si="63"/>
        <v/>
      </c>
      <c r="AM157" t="str">
        <f t="shared" si="64"/>
        <v/>
      </c>
      <c r="AN157" t="str">
        <f t="shared" si="70"/>
        <v/>
      </c>
      <c r="AO157" t="str">
        <f t="shared" si="71"/>
        <v/>
      </c>
      <c r="AP157" t="str">
        <f t="shared" si="72"/>
        <v/>
      </c>
      <c r="AQ157" t="str">
        <f t="shared" si="73"/>
        <v/>
      </c>
      <c r="AR157" t="str">
        <f t="shared" si="74"/>
        <v/>
      </c>
      <c r="AS157" t="str">
        <f t="shared" si="65"/>
        <v>Defensive</v>
      </c>
      <c r="BI157" s="40"/>
      <c r="BL157" s="40"/>
      <c r="BN157" s="19"/>
      <c r="BP157" s="17"/>
    </row>
    <row r="158" spans="1:68" x14ac:dyDescent="0.2">
      <c r="A158" t="str">
        <f t="shared" si="66"/>
        <v/>
      </c>
      <c r="E158" s="4"/>
      <c r="F158" s="45"/>
      <c r="G158" s="4"/>
      <c r="H158" s="48"/>
      <c r="J158" s="46" t="str">
        <f t="shared" si="67"/>
        <v/>
      </c>
      <c r="N158" t="str">
        <f t="shared" si="76"/>
        <v/>
      </c>
      <c r="Q158" t="str">
        <f t="shared" si="75"/>
        <v/>
      </c>
      <c r="S158" t="str">
        <f>IF(A158=1,MAX(S$2:S157)+1,IF(OR(I158&lt;&gt;"",A158="x"),S157,""))</f>
        <v/>
      </c>
      <c r="T158" t="str">
        <f>IF(D158=1,MAX($T$2:$T157)+1,IF(S158=$S157,$S157,IF($D158="x",T157,IF($D157="x","",""))))</f>
        <v/>
      </c>
      <c r="U158" t="str">
        <f>IF(B158=1,MAX($U$2:$U157)+1,IF(AND($T158&lt;&gt;"",$T158=$T157),$U157,IF(B158="x",U157,"")))</f>
        <v/>
      </c>
      <c r="V158" t="str">
        <f>IF(C158=1,MAX($V$2:$V157)+1,IF(AND($T158&lt;&gt;"",$T158=$T157),$U157,IF(C158="x",V157,"")))</f>
        <v/>
      </c>
      <c r="W158" t="str" cm="1">
        <f t="array" ref="W158">IFERROR(_xlfn._xlws.FILTER(game_rosters!AB:AB,(game_rosters!J:J=events!X158)*(K158&lt;&gt;"")),"")</f>
        <v/>
      </c>
      <c r="X158" t="str" cm="1">
        <f t="array" ref="X158">IF(S158="","",IF($I158&lt;&gt;"",$I158,INDEX($I$2:$I157,ROW()-COUNTIFS($T$2:$T157,"="&amp;$T158,$S$2:$S157,"&lt;&gt;"&amp;$S158)-1)))</f>
        <v/>
      </c>
      <c r="Z158" s="6"/>
      <c r="AH158" t="str">
        <f t="shared" si="61"/>
        <v>o</v>
      </c>
      <c r="AI158" t="str">
        <f t="shared" si="68"/>
        <v/>
      </c>
      <c r="AJ158" t="str">
        <f t="shared" si="69"/>
        <v/>
      </c>
      <c r="AK158" t="str">
        <f t="shared" si="62"/>
        <v/>
      </c>
      <c r="AL158" t="str">
        <f t="shared" si="63"/>
        <v/>
      </c>
      <c r="AM158" t="str">
        <f t="shared" si="64"/>
        <v/>
      </c>
      <c r="AN158" t="str">
        <f t="shared" si="70"/>
        <v/>
      </c>
      <c r="AO158" t="str">
        <f t="shared" si="71"/>
        <v/>
      </c>
      <c r="AP158" t="str">
        <f t="shared" si="72"/>
        <v/>
      </c>
      <c r="AQ158" t="str">
        <f t="shared" si="73"/>
        <v/>
      </c>
      <c r="AR158" t="str">
        <f t="shared" si="74"/>
        <v/>
      </c>
      <c r="AS158" t="str">
        <f t="shared" si="65"/>
        <v>Defensive</v>
      </c>
      <c r="BI158" s="40"/>
      <c r="BL158" s="40"/>
      <c r="BN158" s="19"/>
      <c r="BP158" s="17"/>
    </row>
    <row r="159" spans="1:68" x14ac:dyDescent="0.2">
      <c r="A159" t="str">
        <f t="shared" si="66"/>
        <v/>
      </c>
      <c r="E159" s="4"/>
      <c r="F159" s="45"/>
      <c r="G159" s="4"/>
      <c r="H159" s="48"/>
      <c r="J159" s="46" t="str">
        <f t="shared" si="67"/>
        <v/>
      </c>
      <c r="N159" t="str">
        <f t="shared" si="76"/>
        <v/>
      </c>
      <c r="Q159" t="str">
        <f t="shared" si="75"/>
        <v/>
      </c>
      <c r="S159" t="str">
        <f>IF(A159=1,MAX(S$2:S158)+1,IF(OR(I159&lt;&gt;"",A159="x"),S158,""))</f>
        <v/>
      </c>
      <c r="T159" t="str">
        <f>IF(D159=1,MAX($T$2:$T158)+1,IF(S159=$S158,$S158,IF($D159="x",T158,IF($D158="x","",""))))</f>
        <v/>
      </c>
      <c r="U159" t="str">
        <f>IF(B159=1,MAX($U$2:$U158)+1,IF(AND($T159&lt;&gt;"",$T159=$T158),$U158,IF(B159="x",U158,"")))</f>
        <v/>
      </c>
      <c r="V159" t="str">
        <f>IF(C159=1,MAX($V$2:$V158)+1,IF(AND($T159&lt;&gt;"",$T159=$T158),$U158,IF(C159="x",V158,"")))</f>
        <v/>
      </c>
      <c r="W159" t="str" cm="1">
        <f t="array" ref="W159">IFERROR(_xlfn._xlws.FILTER(game_rosters!AB:AB,(game_rosters!J:J=events!X159)*(K159&lt;&gt;"")),"")</f>
        <v/>
      </c>
      <c r="X159" t="str" cm="1">
        <f t="array" ref="X159">IF(S159="","",IF($I159&lt;&gt;"",$I159,INDEX($I$2:$I158,ROW()-COUNTIFS($T$2:$T158,"="&amp;$T159,$S$2:$S158,"&lt;&gt;"&amp;$S159)-1)))</f>
        <v/>
      </c>
      <c r="Z159" s="6"/>
      <c r="AH159" t="str">
        <f t="shared" si="61"/>
        <v>o</v>
      </c>
      <c r="AI159" t="str">
        <f t="shared" si="68"/>
        <v/>
      </c>
      <c r="AJ159" t="str">
        <f t="shared" si="69"/>
        <v/>
      </c>
      <c r="AK159" t="str">
        <f t="shared" si="62"/>
        <v/>
      </c>
      <c r="AL159" t="str">
        <f t="shared" si="63"/>
        <v/>
      </c>
      <c r="AM159" t="str">
        <f t="shared" si="64"/>
        <v/>
      </c>
      <c r="AN159" t="str">
        <f t="shared" si="70"/>
        <v/>
      </c>
      <c r="AO159" t="str">
        <f t="shared" si="71"/>
        <v/>
      </c>
      <c r="AP159" t="str">
        <f t="shared" si="72"/>
        <v/>
      </c>
      <c r="AQ159" t="str">
        <f t="shared" si="73"/>
        <v/>
      </c>
      <c r="AR159" t="str">
        <f t="shared" si="74"/>
        <v/>
      </c>
      <c r="AS159" t="str">
        <f t="shared" si="65"/>
        <v>Defensive</v>
      </c>
      <c r="BI159" s="40"/>
      <c r="BL159" s="40"/>
      <c r="BN159" s="19"/>
      <c r="BP159" s="17"/>
    </row>
    <row r="160" spans="1:68" x14ac:dyDescent="0.2">
      <c r="A160" t="str">
        <f t="shared" si="66"/>
        <v/>
      </c>
      <c r="E160" s="4"/>
      <c r="F160" s="45"/>
      <c r="G160" s="4"/>
      <c r="H160" s="48"/>
      <c r="J160" s="46" t="str">
        <f t="shared" si="67"/>
        <v/>
      </c>
      <c r="N160" t="str">
        <f t="shared" si="76"/>
        <v/>
      </c>
      <c r="Q160" t="str">
        <f t="shared" si="75"/>
        <v/>
      </c>
      <c r="S160" t="str">
        <f>IF(A160=1,MAX(S$2:S159)+1,IF(OR(I160&lt;&gt;"",A160="x"),S159,""))</f>
        <v/>
      </c>
      <c r="T160" t="str">
        <f>IF(D160=1,MAX($T$2:$T159)+1,IF(S160=$S159,$S159,IF($D160="x",T159,IF($D159="x","",""))))</f>
        <v/>
      </c>
      <c r="U160" t="str">
        <f>IF(B160=1,MAX($U$2:$U159)+1,IF(AND($T160&lt;&gt;"",$T160=$T159),$U159,IF(B160="x",U159,"")))</f>
        <v/>
      </c>
      <c r="V160" t="str">
        <f>IF(C160=1,MAX($V$2:$V159)+1,IF(AND($T160&lt;&gt;"",$T160=$T159),$U159,IF(C160="x",V159,"")))</f>
        <v/>
      </c>
      <c r="W160" t="str" cm="1">
        <f t="array" ref="W160">IFERROR(_xlfn._xlws.FILTER(game_rosters!AB:AB,(game_rosters!J:J=events!X160)*(K160&lt;&gt;"")),"")</f>
        <v/>
      </c>
      <c r="X160" t="str" cm="1">
        <f t="array" ref="X160">IF(S160="","",IF($I160&lt;&gt;"",$I160,INDEX($I$2:$I159,ROW()-COUNTIFS($T$2:$T159,"="&amp;$T160,$S$2:$S159,"&lt;&gt;"&amp;$S160)-1)))</f>
        <v/>
      </c>
      <c r="Z160" s="6"/>
      <c r="AH160" t="str">
        <f t="shared" si="61"/>
        <v>o</v>
      </c>
      <c r="AI160" t="str">
        <f t="shared" si="68"/>
        <v/>
      </c>
      <c r="AJ160" t="str">
        <f t="shared" si="69"/>
        <v/>
      </c>
      <c r="AK160" t="str">
        <f t="shared" si="62"/>
        <v/>
      </c>
      <c r="AL160" t="str">
        <f t="shared" si="63"/>
        <v/>
      </c>
      <c r="AM160" t="str">
        <f t="shared" si="64"/>
        <v/>
      </c>
      <c r="AN160" t="str">
        <f t="shared" si="70"/>
        <v/>
      </c>
      <c r="AO160" t="str">
        <f t="shared" si="71"/>
        <v/>
      </c>
      <c r="AP160" t="str">
        <f t="shared" si="72"/>
        <v/>
      </c>
      <c r="AQ160" t="str">
        <f t="shared" si="73"/>
        <v/>
      </c>
      <c r="AR160" t="str">
        <f t="shared" si="74"/>
        <v/>
      </c>
      <c r="AS160" t="str">
        <f t="shared" si="65"/>
        <v>Defensive</v>
      </c>
      <c r="BI160" s="40"/>
      <c r="BL160" s="40"/>
      <c r="BN160" s="19"/>
      <c r="BP160" s="17"/>
    </row>
    <row r="161" spans="1:68" x14ac:dyDescent="0.2">
      <c r="A161" t="str">
        <f t="shared" si="66"/>
        <v/>
      </c>
      <c r="E161" s="4"/>
      <c r="F161" s="45"/>
      <c r="G161" s="4"/>
      <c r="H161" s="48"/>
      <c r="J161" s="46" t="str">
        <f t="shared" si="67"/>
        <v/>
      </c>
      <c r="N161" t="str">
        <f t="shared" si="76"/>
        <v/>
      </c>
      <c r="Q161" t="str">
        <f t="shared" si="75"/>
        <v/>
      </c>
      <c r="S161" t="str">
        <f>IF(A161=1,MAX(S$2:S160)+1,IF(OR(I161&lt;&gt;"",A161="x"),S160,""))</f>
        <v/>
      </c>
      <c r="T161" t="str">
        <f>IF(D161=1,MAX($T$2:$T160)+1,IF(S161=$S160,$S160,IF($D161="x",T160,IF($D160="x","",""))))</f>
        <v/>
      </c>
      <c r="U161" t="str">
        <f>IF(B161=1,MAX($U$2:$U160)+1,IF(AND($T161&lt;&gt;"",$T161=$T160),$U160,IF(B161="x",U160,"")))</f>
        <v/>
      </c>
      <c r="V161" t="str">
        <f>IF(C161=1,MAX($V$2:$V160)+1,IF(AND($T161&lt;&gt;"",$T161=$T160),$U160,IF(C161="x",V160,"")))</f>
        <v/>
      </c>
      <c r="W161" t="str" cm="1">
        <f t="array" ref="W161">IFERROR(_xlfn._xlws.FILTER(game_rosters!AB:AB,(game_rosters!J:J=events!X161)*(K161&lt;&gt;"")),"")</f>
        <v/>
      </c>
      <c r="X161" t="str" cm="1">
        <f t="array" ref="X161">IF(S161="","",IF($I161&lt;&gt;"",$I161,INDEX($I$2:$I160,ROW()-COUNTIFS($T$2:$T160,"="&amp;$T161,$S$2:$S160,"&lt;&gt;"&amp;$S161)-1)))</f>
        <v/>
      </c>
      <c r="Z161" s="6"/>
      <c r="AH161" t="str">
        <f t="shared" si="61"/>
        <v>o</v>
      </c>
      <c r="AI161" t="str">
        <f t="shared" si="68"/>
        <v/>
      </c>
      <c r="AJ161" t="str">
        <f t="shared" si="69"/>
        <v/>
      </c>
      <c r="AK161" t="str">
        <f t="shared" si="62"/>
        <v/>
      </c>
      <c r="AL161" t="str">
        <f t="shared" si="63"/>
        <v/>
      </c>
      <c r="AM161" t="str">
        <f t="shared" si="64"/>
        <v/>
      </c>
      <c r="AN161" t="str">
        <f t="shared" si="70"/>
        <v/>
      </c>
      <c r="AO161" t="str">
        <f t="shared" si="71"/>
        <v/>
      </c>
      <c r="AP161" t="str">
        <f t="shared" si="72"/>
        <v/>
      </c>
      <c r="AQ161" t="str">
        <f t="shared" si="73"/>
        <v/>
      </c>
      <c r="AR161" t="str">
        <f t="shared" si="74"/>
        <v/>
      </c>
      <c r="AS161" t="str">
        <f t="shared" si="65"/>
        <v>Defensive</v>
      </c>
      <c r="BI161" s="40"/>
      <c r="BL161" s="40"/>
      <c r="BN161" s="19"/>
      <c r="BP161" s="17"/>
    </row>
    <row r="162" spans="1:68" x14ac:dyDescent="0.2">
      <c r="A162" t="str">
        <f t="shared" si="66"/>
        <v/>
      </c>
      <c r="E162" s="4"/>
      <c r="F162" s="45"/>
      <c r="G162" s="4"/>
      <c r="H162" s="48"/>
      <c r="J162" s="46" t="str">
        <f t="shared" si="67"/>
        <v/>
      </c>
      <c r="N162" t="str">
        <f t="shared" si="76"/>
        <v/>
      </c>
      <c r="Q162" t="str">
        <f t="shared" si="75"/>
        <v/>
      </c>
      <c r="S162" t="str">
        <f>IF(A162=1,MAX(S$2:S161)+1,IF(OR(I162&lt;&gt;"",A162="x"),S161,""))</f>
        <v/>
      </c>
      <c r="T162" t="str">
        <f>IF(D162=1,MAX($T$2:$T161)+1,IF(S162=$S161,$S161,IF($D162="x",T161,IF($D161="x","",""))))</f>
        <v/>
      </c>
      <c r="U162" t="str">
        <f>IF(B162=1,MAX($U$2:$U161)+1,IF(AND($T162&lt;&gt;"",$T162=$T161),$U161,IF(B162="x",U161,"")))</f>
        <v/>
      </c>
      <c r="V162" t="str">
        <f>IF(C162=1,MAX($V$2:$V161)+1,IF(AND($T162&lt;&gt;"",$T162=$T161),$U161,IF(C162="x",V161,"")))</f>
        <v/>
      </c>
      <c r="W162" t="str" cm="1">
        <f t="array" ref="W162">IFERROR(_xlfn._xlws.FILTER(game_rosters!AB:AB,(game_rosters!J:J=events!X162)*(K162&lt;&gt;"")),"")</f>
        <v/>
      </c>
      <c r="X162" t="str" cm="1">
        <f t="array" ref="X162">IF(S162="","",IF($I162&lt;&gt;"",$I162,INDEX($I$2:$I161,ROW()-COUNTIFS($T$2:$T161,"="&amp;$T162,$S$2:$S161,"&lt;&gt;"&amp;$S162)-1)))</f>
        <v/>
      </c>
      <c r="Z162" s="6"/>
      <c r="AH162" t="str">
        <f t="shared" si="61"/>
        <v>o</v>
      </c>
      <c r="AI162" t="str">
        <f t="shared" si="68"/>
        <v/>
      </c>
      <c r="AJ162" t="str">
        <f t="shared" si="69"/>
        <v/>
      </c>
      <c r="AK162" t="str">
        <f t="shared" si="62"/>
        <v/>
      </c>
      <c r="AL162" t="str">
        <f t="shared" si="63"/>
        <v/>
      </c>
      <c r="AM162" t="str">
        <f t="shared" si="64"/>
        <v/>
      </c>
      <c r="AN162" t="str">
        <f t="shared" si="70"/>
        <v/>
      </c>
      <c r="AO162" t="str">
        <f t="shared" si="71"/>
        <v/>
      </c>
      <c r="AP162" t="str">
        <f t="shared" si="72"/>
        <v/>
      </c>
      <c r="AQ162" t="str">
        <f t="shared" si="73"/>
        <v/>
      </c>
      <c r="AR162" t="str">
        <f t="shared" si="74"/>
        <v/>
      </c>
      <c r="AS162" t="str">
        <f t="shared" si="65"/>
        <v>Defensive</v>
      </c>
      <c r="BI162" s="40"/>
      <c r="BL162" s="40"/>
      <c r="BN162" s="19"/>
      <c r="BP162" s="17"/>
    </row>
    <row r="163" spans="1:68" x14ac:dyDescent="0.2">
      <c r="A163" t="str">
        <f t="shared" si="66"/>
        <v/>
      </c>
      <c r="E163" s="4"/>
      <c r="F163" s="45"/>
      <c r="G163" s="4"/>
      <c r="H163" s="48"/>
      <c r="J163" s="46" t="str">
        <f t="shared" si="67"/>
        <v/>
      </c>
      <c r="N163" t="str">
        <f t="shared" si="76"/>
        <v/>
      </c>
      <c r="Q163" t="str">
        <f t="shared" si="75"/>
        <v/>
      </c>
      <c r="S163" t="str">
        <f>IF(A163=1,MAX(S$2:S162)+1,IF(OR(I163&lt;&gt;"",A163="x"),S162,""))</f>
        <v/>
      </c>
      <c r="T163" t="str">
        <f>IF(D163=1,MAX($T$2:$T162)+1,IF(S163=$S162,$S162,IF($D163="x",T162,IF($D162="x","",""))))</f>
        <v/>
      </c>
      <c r="U163" t="str">
        <f>IF(B163=1,MAX($U$2:$U162)+1,IF(AND($T163&lt;&gt;"",$T163=$T162),$U162,IF(B163="x",U162,"")))</f>
        <v/>
      </c>
      <c r="V163" t="str">
        <f>IF(C163=1,MAX($V$2:$V162)+1,IF(AND($T163&lt;&gt;"",$T163=$T162),$U162,IF(C163="x",V162,"")))</f>
        <v/>
      </c>
      <c r="W163" t="str" cm="1">
        <f t="array" ref="W163">IFERROR(_xlfn._xlws.FILTER(game_rosters!AB:AB,(game_rosters!J:J=events!X163)*(K163&lt;&gt;"")),"")</f>
        <v/>
      </c>
      <c r="X163" t="str" cm="1">
        <f t="array" ref="X163">IF(S163="","",IF($I163&lt;&gt;"",$I163,INDEX($I$2:$I162,ROW()-COUNTIFS($T$2:$T162,"="&amp;$T163,$S$2:$S162,"&lt;&gt;"&amp;$S163)-1)))</f>
        <v/>
      </c>
      <c r="Z163" s="6"/>
      <c r="AH163" t="str">
        <f t="shared" si="61"/>
        <v>o</v>
      </c>
      <c r="AI163" t="str">
        <f t="shared" si="68"/>
        <v/>
      </c>
      <c r="AJ163" t="str">
        <f t="shared" si="69"/>
        <v/>
      </c>
      <c r="AK163" t="str">
        <f t="shared" si="62"/>
        <v/>
      </c>
      <c r="AL163" t="str">
        <f t="shared" si="63"/>
        <v/>
      </c>
      <c r="AM163" t="str">
        <f t="shared" si="64"/>
        <v/>
      </c>
      <c r="AN163" t="str">
        <f t="shared" si="70"/>
        <v/>
      </c>
      <c r="AO163" t="str">
        <f t="shared" si="71"/>
        <v/>
      </c>
      <c r="AP163" t="str">
        <f t="shared" si="72"/>
        <v/>
      </c>
      <c r="AQ163" t="str">
        <f t="shared" si="73"/>
        <v/>
      </c>
      <c r="AR163" t="str">
        <f t="shared" si="74"/>
        <v/>
      </c>
      <c r="AS163" t="str">
        <f t="shared" si="65"/>
        <v>Defensive</v>
      </c>
      <c r="BI163" s="40"/>
      <c r="BL163" s="40"/>
      <c r="BN163" s="19"/>
      <c r="BP163" s="17"/>
    </row>
    <row r="164" spans="1:68" x14ac:dyDescent="0.2">
      <c r="A164" t="str">
        <f t="shared" si="66"/>
        <v/>
      </c>
      <c r="E164" s="4"/>
      <c r="F164" s="45"/>
      <c r="G164" s="4"/>
      <c r="H164" s="48"/>
      <c r="J164" s="46" t="str">
        <f t="shared" si="67"/>
        <v/>
      </c>
      <c r="N164" t="str">
        <f t="shared" si="76"/>
        <v/>
      </c>
      <c r="Q164" t="str">
        <f t="shared" si="75"/>
        <v/>
      </c>
      <c r="S164" t="str">
        <f>IF(A164=1,MAX(S$2:S163)+1,IF(OR(I164&lt;&gt;"",A164="x"),S163,""))</f>
        <v/>
      </c>
      <c r="T164" t="str">
        <f>IF(D164=1,MAX($T$2:$T163)+1,IF(S164=$S163,$S163,IF($D164="x",T163,IF($D163="x","",""))))</f>
        <v/>
      </c>
      <c r="U164" t="str">
        <f>IF(B164=1,MAX($U$2:$U163)+1,IF(AND($T164&lt;&gt;"",$T164=$T163),$U163,IF(B164="x",U163,"")))</f>
        <v/>
      </c>
      <c r="V164" t="str">
        <f>IF(C164=1,MAX($V$2:$V163)+1,IF(AND($T164&lt;&gt;"",$T164=$T163),$U163,IF(C164="x",V163,"")))</f>
        <v/>
      </c>
      <c r="W164" t="str" cm="1">
        <f t="array" ref="W164">IFERROR(_xlfn._xlws.FILTER(game_rosters!AB:AB,(game_rosters!J:J=events!X164)*(K164&lt;&gt;"")),"")</f>
        <v/>
      </c>
      <c r="X164" t="str" cm="1">
        <f t="array" ref="X164">IF(S164="","",IF($I164&lt;&gt;"",$I164,INDEX($I$2:$I163,ROW()-COUNTIFS($T$2:$T163,"="&amp;$T164,$S$2:$S163,"&lt;&gt;"&amp;$S164)-1)))</f>
        <v/>
      </c>
      <c r="Z164" s="6"/>
      <c r="AH164" t="str">
        <f t="shared" si="61"/>
        <v>o</v>
      </c>
      <c r="AI164" t="str">
        <f t="shared" si="68"/>
        <v/>
      </c>
      <c r="AJ164" t="str">
        <f t="shared" si="69"/>
        <v/>
      </c>
      <c r="AK164" t="str">
        <f t="shared" si="62"/>
        <v/>
      </c>
      <c r="AL164" t="str">
        <f t="shared" si="63"/>
        <v/>
      </c>
      <c r="AM164" t="str">
        <f t="shared" si="64"/>
        <v/>
      </c>
      <c r="AN164" t="str">
        <f t="shared" si="70"/>
        <v/>
      </c>
      <c r="AO164" t="str">
        <f t="shared" si="71"/>
        <v/>
      </c>
      <c r="AP164" t="str">
        <f t="shared" si="72"/>
        <v/>
      </c>
      <c r="AQ164" t="str">
        <f t="shared" si="73"/>
        <v/>
      </c>
      <c r="AR164" t="str">
        <f t="shared" si="74"/>
        <v/>
      </c>
      <c r="AS164" t="str">
        <f t="shared" si="65"/>
        <v>Defensive</v>
      </c>
      <c r="BI164" s="40"/>
      <c r="BL164" s="40"/>
      <c r="BN164" s="19"/>
      <c r="BP164" s="17"/>
    </row>
    <row r="165" spans="1:68" x14ac:dyDescent="0.2">
      <c r="A165" t="str">
        <f t="shared" si="66"/>
        <v/>
      </c>
      <c r="E165" s="4"/>
      <c r="F165" s="45"/>
      <c r="G165" s="4"/>
      <c r="H165" s="48"/>
      <c r="J165" s="46" t="str">
        <f t="shared" si="67"/>
        <v/>
      </c>
      <c r="N165" t="str">
        <f t="shared" si="76"/>
        <v/>
      </c>
      <c r="Q165" t="str">
        <f t="shared" si="75"/>
        <v/>
      </c>
      <c r="S165" t="str">
        <f>IF(A165=1,MAX(S$2:S164)+1,IF(OR(I165&lt;&gt;"",A165="x"),S164,""))</f>
        <v/>
      </c>
      <c r="T165" t="str">
        <f>IF(D165=1,MAX($T$2:$T164)+1,IF(S165=$S164,$S164,IF($D165="x",T164,IF($D164="x","",""))))</f>
        <v/>
      </c>
      <c r="U165" t="str">
        <f>IF(B165=1,MAX($U$2:$U164)+1,IF(AND($T165&lt;&gt;"",$T165=$T164),$U164,IF(B165="x",U164,"")))</f>
        <v/>
      </c>
      <c r="V165" t="str">
        <f>IF(C165=1,MAX($V$2:$V164)+1,IF(AND($T165&lt;&gt;"",$T165=$T164),$U164,IF(C165="x",V164,"")))</f>
        <v/>
      </c>
      <c r="W165" t="str" cm="1">
        <f t="array" ref="W165">IFERROR(_xlfn._xlws.FILTER(game_rosters!AB:AB,(game_rosters!J:J=events!X165)*(K165&lt;&gt;"")),"")</f>
        <v/>
      </c>
      <c r="X165" t="str" cm="1">
        <f t="array" ref="X165">IF(S165="","",IF($I165&lt;&gt;"",$I165,INDEX($I$2:$I164,ROW()-COUNTIFS($T$2:$T164,"="&amp;$T165,$S$2:$S164,"&lt;&gt;"&amp;$S165)-1)))</f>
        <v/>
      </c>
      <c r="Z165" s="6"/>
      <c r="AH165" t="str">
        <f t="shared" si="61"/>
        <v>o</v>
      </c>
      <c r="AI165" t="str">
        <f t="shared" si="68"/>
        <v/>
      </c>
      <c r="AJ165" t="str">
        <f t="shared" si="69"/>
        <v/>
      </c>
      <c r="AK165" t="str">
        <f t="shared" si="62"/>
        <v/>
      </c>
      <c r="AL165" t="str">
        <f t="shared" si="63"/>
        <v/>
      </c>
      <c r="AM165" t="str">
        <f t="shared" si="64"/>
        <v/>
      </c>
      <c r="AN165" t="str">
        <f t="shared" si="70"/>
        <v/>
      </c>
      <c r="AO165" t="str">
        <f t="shared" si="71"/>
        <v/>
      </c>
      <c r="AP165" t="str">
        <f t="shared" si="72"/>
        <v/>
      </c>
      <c r="AQ165" t="str">
        <f t="shared" si="73"/>
        <v/>
      </c>
      <c r="AR165" t="str">
        <f t="shared" si="74"/>
        <v/>
      </c>
      <c r="AS165" t="str">
        <f t="shared" si="65"/>
        <v>Defensive</v>
      </c>
      <c r="BI165" s="40"/>
      <c r="BL165" s="40"/>
      <c r="BN165" s="19"/>
      <c r="BP165" s="17"/>
    </row>
    <row r="166" spans="1:68" x14ac:dyDescent="0.2">
      <c r="A166" t="str">
        <f t="shared" si="66"/>
        <v/>
      </c>
      <c r="E166" s="4"/>
      <c r="F166" s="45"/>
      <c r="G166" s="4"/>
      <c r="H166" s="48"/>
      <c r="J166" s="46" t="str">
        <f t="shared" si="67"/>
        <v/>
      </c>
      <c r="N166" t="str">
        <f t="shared" si="76"/>
        <v/>
      </c>
      <c r="Q166" t="str">
        <f t="shared" si="75"/>
        <v/>
      </c>
      <c r="S166" t="str">
        <f>IF(A166=1,MAX(S$2:S165)+1,IF(OR(I166&lt;&gt;"",A166="x"),S165,""))</f>
        <v/>
      </c>
      <c r="T166" t="str">
        <f>IF(D166=1,MAX($T$2:$T165)+1,IF(S166=$S165,$S165,IF($D166="x",T165,IF($D165="x","",""))))</f>
        <v/>
      </c>
      <c r="U166" t="str">
        <f>IF(B166=1,MAX($U$2:$U165)+1,IF(AND($T166&lt;&gt;"",$T166=$T165),$U165,IF(B166="x",U165,"")))</f>
        <v/>
      </c>
      <c r="V166" t="str">
        <f>IF(C166=1,MAX($V$2:$V165)+1,IF(AND($T166&lt;&gt;"",$T166=$T165),$U165,IF(C166="x",V165,"")))</f>
        <v/>
      </c>
      <c r="W166" t="str" cm="1">
        <f t="array" ref="W166">IFERROR(_xlfn._xlws.FILTER(game_rosters!AB:AB,(game_rosters!J:J=events!X166)*(K166&lt;&gt;"")),"")</f>
        <v/>
      </c>
      <c r="X166" t="str" cm="1">
        <f t="array" ref="X166">IF(S166="","",IF($I166&lt;&gt;"",$I166,INDEX($I$2:$I165,ROW()-COUNTIFS($T$2:$T165,"="&amp;$T166,$S$2:$S165,"&lt;&gt;"&amp;$S166)-1)))</f>
        <v/>
      </c>
      <c r="Z166" s="6"/>
      <c r="AH166" t="str">
        <f t="shared" si="61"/>
        <v>o</v>
      </c>
      <c r="AI166" t="str">
        <f t="shared" si="68"/>
        <v/>
      </c>
      <c r="AJ166" t="str">
        <f t="shared" si="69"/>
        <v/>
      </c>
      <c r="AK166" t="str">
        <f t="shared" si="62"/>
        <v/>
      </c>
      <c r="AL166" t="str">
        <f t="shared" si="63"/>
        <v/>
      </c>
      <c r="AM166" t="str">
        <f t="shared" si="64"/>
        <v/>
      </c>
      <c r="AN166" t="str">
        <f t="shared" si="70"/>
        <v/>
      </c>
      <c r="AO166" t="str">
        <f t="shared" si="71"/>
        <v/>
      </c>
      <c r="AP166" t="str">
        <f t="shared" si="72"/>
        <v/>
      </c>
      <c r="AQ166" t="str">
        <f t="shared" si="73"/>
        <v/>
      </c>
      <c r="AR166" t="str">
        <f t="shared" si="74"/>
        <v/>
      </c>
      <c r="AS166" t="str">
        <f t="shared" si="65"/>
        <v>Defensive</v>
      </c>
      <c r="BI166" s="40"/>
      <c r="BL166" s="40"/>
      <c r="BN166" s="19"/>
      <c r="BP166" s="17"/>
    </row>
    <row r="167" spans="1:68" x14ac:dyDescent="0.2">
      <c r="A167" t="str">
        <f t="shared" si="66"/>
        <v/>
      </c>
      <c r="E167" s="4"/>
      <c r="F167" s="45"/>
      <c r="G167" s="4"/>
      <c r="H167" s="48"/>
      <c r="J167" s="46" t="str">
        <f t="shared" si="67"/>
        <v/>
      </c>
      <c r="N167" t="str">
        <f t="shared" si="76"/>
        <v/>
      </c>
      <c r="Q167" t="str">
        <f t="shared" si="75"/>
        <v/>
      </c>
      <c r="S167" t="str">
        <f>IF(A167=1,MAX(S$2:S166)+1,IF(OR(I167&lt;&gt;"",A167="x"),S166,""))</f>
        <v/>
      </c>
      <c r="T167" t="str">
        <f>IF(D167=1,MAX($T$2:$T166)+1,IF(S167=$S166,$S166,IF($D167="x",T166,IF($D166="x","",""))))</f>
        <v/>
      </c>
      <c r="U167" t="str">
        <f>IF(B167=1,MAX($U$2:$U166)+1,IF(AND($T167&lt;&gt;"",$T167=$T166),$U166,IF(B167="x",U166,"")))</f>
        <v/>
      </c>
      <c r="V167" t="str">
        <f>IF(C167=1,MAX($V$2:$V166)+1,IF(AND($T167&lt;&gt;"",$T167=$T166),$U166,IF(C167="x",V166,"")))</f>
        <v/>
      </c>
      <c r="W167" t="str" cm="1">
        <f t="array" ref="W167">IFERROR(_xlfn._xlws.FILTER(game_rosters!AB:AB,(game_rosters!J:J=events!X167)*(K167&lt;&gt;"")),"")</f>
        <v/>
      </c>
      <c r="X167" t="str" cm="1">
        <f t="array" ref="X167">IF(S167="","",IF($I167&lt;&gt;"",$I167,INDEX($I$2:$I166,ROW()-COUNTIFS($T$2:$T166,"="&amp;$T167,$S$2:$S166,"&lt;&gt;"&amp;$S167)-1)))</f>
        <v/>
      </c>
      <c r="Z167" s="6"/>
      <c r="AH167" t="str">
        <f t="shared" si="61"/>
        <v>o</v>
      </c>
      <c r="AI167" t="str">
        <f t="shared" si="68"/>
        <v/>
      </c>
      <c r="AJ167" t="str">
        <f t="shared" si="69"/>
        <v/>
      </c>
      <c r="AK167" t="str">
        <f t="shared" si="62"/>
        <v/>
      </c>
      <c r="AL167" t="str">
        <f t="shared" si="63"/>
        <v/>
      </c>
      <c r="AM167" t="str">
        <f t="shared" si="64"/>
        <v/>
      </c>
      <c r="AN167" t="str">
        <f t="shared" si="70"/>
        <v/>
      </c>
      <c r="AO167" t="str">
        <f t="shared" si="71"/>
        <v/>
      </c>
      <c r="AP167" t="str">
        <f t="shared" si="72"/>
        <v/>
      </c>
      <c r="AQ167" t="str">
        <f t="shared" si="73"/>
        <v/>
      </c>
      <c r="AR167" t="str">
        <f t="shared" si="74"/>
        <v/>
      </c>
      <c r="AS167" t="str">
        <f t="shared" si="65"/>
        <v>Defensive</v>
      </c>
      <c r="BI167" s="40"/>
      <c r="BL167" s="40"/>
      <c r="BN167" s="19"/>
      <c r="BP167" s="17"/>
    </row>
    <row r="168" spans="1:68" x14ac:dyDescent="0.2">
      <c r="A168" t="str">
        <f t="shared" si="66"/>
        <v/>
      </c>
      <c r="E168" s="4"/>
      <c r="F168" s="45"/>
      <c r="G168" s="4"/>
      <c r="H168" s="48"/>
      <c r="J168" s="46" t="str">
        <f t="shared" si="67"/>
        <v/>
      </c>
      <c r="N168" t="str">
        <f t="shared" si="76"/>
        <v/>
      </c>
      <c r="Q168" t="str">
        <f t="shared" si="75"/>
        <v/>
      </c>
      <c r="S168" t="str">
        <f>IF(A168=1,MAX(S$2:S167)+1,IF(OR(I168&lt;&gt;"",A168="x"),S167,""))</f>
        <v/>
      </c>
      <c r="T168" t="str">
        <f>IF(D168=1,MAX($T$2:$T167)+1,IF(S168=$S167,$S167,IF($D168="x",T167,IF($D167="x","",""))))</f>
        <v/>
      </c>
      <c r="U168" t="str">
        <f>IF(B168=1,MAX($U$2:$U167)+1,IF(AND($T168&lt;&gt;"",$T168=$T167),$U167,IF(B168="x",U167,"")))</f>
        <v/>
      </c>
      <c r="V168" t="str">
        <f>IF(C168=1,MAX($V$2:$V167)+1,IF(AND($T168&lt;&gt;"",$T168=$T167),$U167,IF(C168="x",V167,"")))</f>
        <v/>
      </c>
      <c r="W168" t="str" cm="1">
        <f t="array" ref="W168">IFERROR(_xlfn._xlws.FILTER(game_rosters!AB:AB,(game_rosters!J:J=events!X168)*(K168&lt;&gt;"")),"")</f>
        <v/>
      </c>
      <c r="X168" t="str" cm="1">
        <f t="array" ref="X168">IF(S168="","",IF($I168&lt;&gt;"",$I168,INDEX($I$2:$I167,ROW()-COUNTIFS($T$2:$T167,"="&amp;$T168,$S$2:$S167,"&lt;&gt;"&amp;$S168)-1)))</f>
        <v/>
      </c>
      <c r="Z168" s="6"/>
      <c r="AH168" t="str">
        <f t="shared" si="61"/>
        <v>o</v>
      </c>
      <c r="AI168" t="str">
        <f t="shared" si="68"/>
        <v/>
      </c>
      <c r="AJ168" t="str">
        <f t="shared" si="69"/>
        <v/>
      </c>
      <c r="AK168" t="str">
        <f t="shared" si="62"/>
        <v/>
      </c>
      <c r="AL168" t="str">
        <f t="shared" si="63"/>
        <v/>
      </c>
      <c r="AM168" t="str">
        <f t="shared" si="64"/>
        <v/>
      </c>
      <c r="AN168" t="str">
        <f t="shared" si="70"/>
        <v/>
      </c>
      <c r="AO168" t="str">
        <f t="shared" si="71"/>
        <v/>
      </c>
      <c r="AP168" t="str">
        <f t="shared" si="72"/>
        <v/>
      </c>
      <c r="AQ168" t="str">
        <f t="shared" si="73"/>
        <v/>
      </c>
      <c r="AR168" t="str">
        <f t="shared" si="74"/>
        <v/>
      </c>
      <c r="AS168" t="str">
        <f t="shared" si="65"/>
        <v>Defensive</v>
      </c>
      <c r="BI168" s="40"/>
      <c r="BL168" s="40"/>
      <c r="BN168" s="19"/>
      <c r="BP168" s="17"/>
    </row>
    <row r="169" spans="1:68" x14ac:dyDescent="0.2">
      <c r="A169" t="str">
        <f t="shared" si="66"/>
        <v/>
      </c>
      <c r="E169" s="4"/>
      <c r="F169" s="45"/>
      <c r="G169" s="4"/>
      <c r="H169" s="48"/>
      <c r="J169" s="46" t="str">
        <f t="shared" si="67"/>
        <v/>
      </c>
      <c r="N169" t="str">
        <f t="shared" si="76"/>
        <v/>
      </c>
      <c r="Q169" t="str">
        <f t="shared" si="75"/>
        <v/>
      </c>
      <c r="S169" t="str">
        <f>IF(A169=1,MAX(S$2:S168)+1,IF(OR(I169&lt;&gt;"",A169="x"),S168,""))</f>
        <v/>
      </c>
      <c r="T169" t="str">
        <f>IF(D169=1,MAX($T$2:$T168)+1,IF(S169=$S168,$S168,IF($D169="x",T168,IF($D168="x","",""))))</f>
        <v/>
      </c>
      <c r="U169" t="str">
        <f>IF(B169=1,MAX($U$2:$U168)+1,IF(AND($T169&lt;&gt;"",$T169=$T168),$U168,IF(B169="x",U168,"")))</f>
        <v/>
      </c>
      <c r="V169" t="str">
        <f>IF(C169=1,MAX($V$2:$V168)+1,IF(AND($T169&lt;&gt;"",$T169=$T168),$U168,IF(C169="x",V168,"")))</f>
        <v/>
      </c>
      <c r="W169" t="str" cm="1">
        <f t="array" ref="W169">IFERROR(_xlfn._xlws.FILTER(game_rosters!AB:AB,(game_rosters!J:J=events!X169)*(K169&lt;&gt;"")),"")</f>
        <v/>
      </c>
      <c r="X169" t="str" cm="1">
        <f t="array" ref="X169">IF(S169="","",IF($I169&lt;&gt;"",$I169,INDEX($I$2:$I168,ROW()-COUNTIFS($T$2:$T168,"="&amp;$T169,$S$2:$S168,"&lt;&gt;"&amp;$S169)-1)))</f>
        <v/>
      </c>
      <c r="Z169" s="6"/>
      <c r="AH169" t="str">
        <f t="shared" si="61"/>
        <v>o</v>
      </c>
      <c r="AI169" t="str">
        <f t="shared" si="68"/>
        <v/>
      </c>
      <c r="AJ169" t="str">
        <f t="shared" si="69"/>
        <v/>
      </c>
      <c r="AK169" t="str">
        <f t="shared" si="62"/>
        <v/>
      </c>
      <c r="AL169" t="str">
        <f t="shared" si="63"/>
        <v/>
      </c>
      <c r="AM169" t="str">
        <f t="shared" si="64"/>
        <v/>
      </c>
      <c r="AN169" t="str">
        <f t="shared" si="70"/>
        <v/>
      </c>
      <c r="AO169" t="str">
        <f t="shared" si="71"/>
        <v/>
      </c>
      <c r="AP169" t="str">
        <f t="shared" si="72"/>
        <v/>
      </c>
      <c r="AQ169" t="str">
        <f t="shared" si="73"/>
        <v/>
      </c>
      <c r="AR169" t="str">
        <f t="shared" si="74"/>
        <v/>
      </c>
      <c r="AS169" t="str">
        <f t="shared" si="65"/>
        <v>Defensive</v>
      </c>
      <c r="BI169" s="40"/>
      <c r="BL169" s="40"/>
      <c r="BN169" s="19"/>
      <c r="BP169" s="17"/>
    </row>
    <row r="170" spans="1:68" x14ac:dyDescent="0.2">
      <c r="A170" t="str">
        <f t="shared" si="66"/>
        <v/>
      </c>
      <c r="E170" s="4"/>
      <c r="F170" s="45"/>
      <c r="G170" s="4"/>
      <c r="H170" s="48"/>
      <c r="J170" s="46" t="str">
        <f t="shared" si="67"/>
        <v/>
      </c>
      <c r="N170" t="str">
        <f t="shared" si="76"/>
        <v/>
      </c>
      <c r="Q170" t="str">
        <f t="shared" si="75"/>
        <v/>
      </c>
      <c r="S170" t="str">
        <f>IF(A170=1,MAX(S$2:S169)+1,IF(OR(I170&lt;&gt;"",A170="x"),S169,""))</f>
        <v/>
      </c>
      <c r="T170" t="str">
        <f>IF(D170=1,MAX($T$2:$T169)+1,IF(S170=$S169,$S169,IF($D170="x",T169,IF($D169="x","",""))))</f>
        <v/>
      </c>
      <c r="U170" t="str">
        <f>IF(B170=1,MAX($U$2:$U169)+1,IF(AND($T170&lt;&gt;"",$T170=$T169),$U169,IF(B170="x",U169,"")))</f>
        <v/>
      </c>
      <c r="V170" t="str">
        <f>IF(C170=1,MAX($V$2:$V169)+1,IF(AND($T170&lt;&gt;"",$T170=$T169),$U169,IF(C170="x",V169,"")))</f>
        <v/>
      </c>
      <c r="W170" t="str" cm="1">
        <f t="array" ref="W170">IFERROR(_xlfn._xlws.FILTER(game_rosters!AB:AB,(game_rosters!J:J=events!X170)*(K170&lt;&gt;"")),"")</f>
        <v/>
      </c>
      <c r="X170" t="str" cm="1">
        <f t="array" ref="X170">IF(S170="","",IF($I170&lt;&gt;"",$I170,INDEX($I$2:$I169,ROW()-COUNTIFS($T$2:$T169,"="&amp;$T170,$S$2:$S169,"&lt;&gt;"&amp;$S170)-1)))</f>
        <v/>
      </c>
      <c r="Z170" s="6"/>
      <c r="AH170" t="str">
        <f t="shared" si="61"/>
        <v>o</v>
      </c>
      <c r="AI170" t="str">
        <f t="shared" si="68"/>
        <v/>
      </c>
      <c r="AJ170" t="str">
        <f t="shared" si="69"/>
        <v/>
      </c>
      <c r="AK170" t="str">
        <f t="shared" si="62"/>
        <v/>
      </c>
      <c r="AL170" t="str">
        <f t="shared" si="63"/>
        <v/>
      </c>
      <c r="AM170" t="str">
        <f t="shared" si="64"/>
        <v/>
      </c>
      <c r="AN170" t="str">
        <f t="shared" si="70"/>
        <v/>
      </c>
      <c r="AO170" t="str">
        <f t="shared" si="71"/>
        <v/>
      </c>
      <c r="AP170" t="str">
        <f t="shared" si="72"/>
        <v/>
      </c>
      <c r="AQ170" t="str">
        <f t="shared" si="73"/>
        <v/>
      </c>
      <c r="AR170" t="str">
        <f t="shared" si="74"/>
        <v/>
      </c>
      <c r="AS170" t="str">
        <f t="shared" si="65"/>
        <v>Defensive</v>
      </c>
      <c r="BI170" s="40"/>
      <c r="BL170" s="40"/>
      <c r="BN170" s="19"/>
      <c r="BP170" s="17"/>
    </row>
    <row r="171" spans="1:68" x14ac:dyDescent="0.2">
      <c r="A171" t="str">
        <f t="shared" si="66"/>
        <v/>
      </c>
      <c r="E171" s="4"/>
      <c r="F171" s="45"/>
      <c r="G171" s="4"/>
      <c r="H171" s="48"/>
      <c r="J171" s="46" t="str">
        <f t="shared" si="67"/>
        <v/>
      </c>
      <c r="N171" t="str">
        <f t="shared" si="76"/>
        <v/>
      </c>
      <c r="Q171" t="str">
        <f t="shared" si="75"/>
        <v/>
      </c>
      <c r="S171" t="str">
        <f>IF(A171=1,MAX(S$2:S170)+1,IF(OR(I171&lt;&gt;"",A171="x"),S170,""))</f>
        <v/>
      </c>
      <c r="T171" t="str">
        <f>IF(D171=1,MAX($T$2:$T170)+1,IF(S171=$S170,$S170,IF($D171="x",T170,IF($D170="x","",""))))</f>
        <v/>
      </c>
      <c r="U171" t="str">
        <f>IF(B171=1,MAX($U$2:$U170)+1,IF(AND($T171&lt;&gt;"",$T171=$T170),$U170,IF(B171="x",U170,"")))</f>
        <v/>
      </c>
      <c r="V171" t="str">
        <f>IF(C171=1,MAX($V$2:$V170)+1,IF(AND($T171&lt;&gt;"",$T171=$T170),$U170,IF(C171="x",V170,"")))</f>
        <v/>
      </c>
      <c r="W171" t="str" cm="1">
        <f t="array" ref="W171">IFERROR(_xlfn._xlws.FILTER(game_rosters!AB:AB,(game_rosters!J:J=events!X171)*(K171&lt;&gt;"")),"")</f>
        <v/>
      </c>
      <c r="X171" t="str" cm="1">
        <f t="array" ref="X171">IF(S171="","",IF($I171&lt;&gt;"",$I171,INDEX($I$2:$I170,ROW()-COUNTIFS($T$2:$T170,"="&amp;$T171,$S$2:$S170,"&lt;&gt;"&amp;$S171)-1)))</f>
        <v/>
      </c>
      <c r="Z171" s="6"/>
      <c r="AH171" t="str">
        <f t="shared" si="61"/>
        <v>o</v>
      </c>
      <c r="AI171" t="str">
        <f t="shared" si="68"/>
        <v/>
      </c>
      <c r="AJ171" t="str">
        <f t="shared" si="69"/>
        <v/>
      </c>
      <c r="AK171" t="str">
        <f t="shared" si="62"/>
        <v/>
      </c>
      <c r="AL171" t="str">
        <f t="shared" si="63"/>
        <v/>
      </c>
      <c r="AM171" t="str">
        <f t="shared" si="64"/>
        <v/>
      </c>
      <c r="AN171" t="str">
        <f t="shared" si="70"/>
        <v/>
      </c>
      <c r="AO171" t="str">
        <f t="shared" si="71"/>
        <v/>
      </c>
      <c r="AP171" t="str">
        <f t="shared" si="72"/>
        <v/>
      </c>
      <c r="AQ171" t="str">
        <f t="shared" si="73"/>
        <v/>
      </c>
      <c r="AR171" t="str">
        <f t="shared" si="74"/>
        <v/>
      </c>
      <c r="AS171" t="str">
        <f t="shared" si="65"/>
        <v>Defensive</v>
      </c>
      <c r="BI171" s="40"/>
      <c r="BL171" s="40"/>
      <c r="BN171" s="19"/>
      <c r="BP171" s="17"/>
    </row>
    <row r="172" spans="1:68" x14ac:dyDescent="0.2">
      <c r="A172" t="str">
        <f t="shared" si="66"/>
        <v/>
      </c>
      <c r="E172" s="4"/>
      <c r="F172" s="45"/>
      <c r="G172" s="4"/>
      <c r="H172" s="48"/>
      <c r="J172" s="46" t="str">
        <f t="shared" si="67"/>
        <v/>
      </c>
      <c r="N172" t="str">
        <f t="shared" si="76"/>
        <v/>
      </c>
      <c r="Q172" t="str">
        <f t="shared" si="75"/>
        <v/>
      </c>
      <c r="S172" t="str">
        <f>IF(A172=1,MAX(S$2:S171)+1,IF(OR(I172&lt;&gt;"",A172="x"),S171,""))</f>
        <v/>
      </c>
      <c r="T172" t="str">
        <f>IF(D172=1,MAX($T$2:$T171)+1,IF(S172=$S171,$S171,IF($D172="x",T171,IF($D171="x","",""))))</f>
        <v/>
      </c>
      <c r="U172" t="str">
        <f>IF(B172=1,MAX($U$2:$U171)+1,IF(AND($T172&lt;&gt;"",$T172=$T171),$U171,IF(B172="x",U171,"")))</f>
        <v/>
      </c>
      <c r="V172" t="str">
        <f>IF(C172=1,MAX($V$2:$V171)+1,IF(AND($T172&lt;&gt;"",$T172=$T171),$U171,IF(C172="x",V171,"")))</f>
        <v/>
      </c>
      <c r="W172" t="str" cm="1">
        <f t="array" ref="W172">IFERROR(_xlfn._xlws.FILTER(game_rosters!AB:AB,(game_rosters!J:J=events!X172)*(K172&lt;&gt;"")),"")</f>
        <v/>
      </c>
      <c r="X172" t="str" cm="1">
        <f t="array" ref="X172">IF(S172="","",IF($I172&lt;&gt;"",$I172,INDEX($I$2:$I171,ROW()-COUNTIFS($T$2:$T171,"="&amp;$T172,$S$2:$S171,"&lt;&gt;"&amp;$S172)-1)))</f>
        <v/>
      </c>
      <c r="Z172" s="6"/>
      <c r="AH172" t="str">
        <f t="shared" si="61"/>
        <v>o</v>
      </c>
      <c r="AI172" t="str">
        <f t="shared" si="68"/>
        <v/>
      </c>
      <c r="AJ172" t="str">
        <f t="shared" si="69"/>
        <v/>
      </c>
      <c r="AK172" t="str">
        <f t="shared" si="62"/>
        <v/>
      </c>
      <c r="AL172" t="str">
        <f t="shared" si="63"/>
        <v/>
      </c>
      <c r="AM172" t="str">
        <f t="shared" si="64"/>
        <v/>
      </c>
      <c r="AN172" t="str">
        <f t="shared" si="70"/>
        <v/>
      </c>
      <c r="AO172" t="str">
        <f t="shared" si="71"/>
        <v/>
      </c>
      <c r="AP172" t="str">
        <f t="shared" si="72"/>
        <v/>
      </c>
      <c r="AQ172" t="str">
        <f t="shared" si="73"/>
        <v/>
      </c>
      <c r="AR172" t="str">
        <f t="shared" si="74"/>
        <v/>
      </c>
      <c r="AS172" t="str">
        <f t="shared" si="65"/>
        <v>Defensive</v>
      </c>
      <c r="BI172" s="40"/>
      <c r="BL172" s="40"/>
      <c r="BN172" s="19"/>
      <c r="BP172" s="17"/>
    </row>
    <row r="173" spans="1:68" x14ac:dyDescent="0.2">
      <c r="A173" t="str">
        <f t="shared" si="66"/>
        <v/>
      </c>
      <c r="E173" s="4"/>
      <c r="F173" s="45"/>
      <c r="G173" s="4"/>
      <c r="H173" s="48"/>
      <c r="J173" s="46" t="str">
        <f t="shared" si="67"/>
        <v/>
      </c>
      <c r="N173" t="str">
        <f t="shared" si="76"/>
        <v/>
      </c>
      <c r="Q173" t="str">
        <f t="shared" si="75"/>
        <v/>
      </c>
      <c r="S173" t="str">
        <f>IF(A173=1,MAX(S$2:S172)+1,IF(OR(I173&lt;&gt;"",A173="x"),S172,""))</f>
        <v/>
      </c>
      <c r="T173" t="str">
        <f>IF(D173=1,MAX($T$2:$T172)+1,IF(S173=$S172,$S172,IF($D173="x",T172,IF($D172="x","",""))))</f>
        <v/>
      </c>
      <c r="U173" t="str">
        <f>IF(B173=1,MAX($U$2:$U172)+1,IF(AND($T173&lt;&gt;"",$T173=$T172),$U172,IF(B173="x",U172,"")))</f>
        <v/>
      </c>
      <c r="V173" t="str">
        <f>IF(C173=1,MAX($V$2:$V172)+1,IF(AND($T173&lt;&gt;"",$T173=$T172),$U172,IF(C173="x",V172,"")))</f>
        <v/>
      </c>
      <c r="W173" t="str" cm="1">
        <f t="array" ref="W173">IFERROR(_xlfn._xlws.FILTER(game_rosters!AB:AB,(game_rosters!J:J=events!X173)*(K173&lt;&gt;"")),"")</f>
        <v/>
      </c>
      <c r="X173" t="str" cm="1">
        <f t="array" ref="X173">IF(S173="","",IF($I173&lt;&gt;"",$I173,INDEX($I$2:$I172,ROW()-COUNTIFS($T$2:$T172,"="&amp;$T173,$S$2:$S172,"&lt;&gt;"&amp;$S173)-1)))</f>
        <v/>
      </c>
      <c r="Z173" s="6"/>
      <c r="AH173" t="str">
        <f t="shared" si="61"/>
        <v>o</v>
      </c>
      <c r="AI173" t="str">
        <f t="shared" si="68"/>
        <v/>
      </c>
      <c r="AJ173" t="str">
        <f t="shared" si="69"/>
        <v/>
      </c>
      <c r="AK173" t="str">
        <f t="shared" si="62"/>
        <v/>
      </c>
      <c r="AL173" t="str">
        <f t="shared" si="63"/>
        <v/>
      </c>
      <c r="AM173" t="str">
        <f t="shared" si="64"/>
        <v/>
      </c>
      <c r="AN173" t="str">
        <f t="shared" si="70"/>
        <v/>
      </c>
      <c r="AO173" t="str">
        <f t="shared" si="71"/>
        <v/>
      </c>
      <c r="AP173" t="str">
        <f t="shared" si="72"/>
        <v/>
      </c>
      <c r="AQ173" t="str">
        <f t="shared" si="73"/>
        <v/>
      </c>
      <c r="AR173" t="str">
        <f t="shared" si="74"/>
        <v/>
      </c>
      <c r="AS173" t="str">
        <f t="shared" si="65"/>
        <v>Defensive</v>
      </c>
      <c r="BI173" s="40"/>
      <c r="BL173" s="40"/>
      <c r="BN173" s="19"/>
      <c r="BP173" s="17"/>
    </row>
    <row r="174" spans="1:68" x14ac:dyDescent="0.2">
      <c r="A174" t="str">
        <f t="shared" si="66"/>
        <v/>
      </c>
      <c r="E174" s="4"/>
      <c r="F174" s="45"/>
      <c r="G174" s="4"/>
      <c r="H174" s="48"/>
      <c r="J174" s="46" t="str">
        <f t="shared" si="67"/>
        <v/>
      </c>
      <c r="N174" t="str">
        <f t="shared" si="76"/>
        <v/>
      </c>
      <c r="Q174" t="str">
        <f t="shared" si="75"/>
        <v/>
      </c>
      <c r="S174" t="str">
        <f>IF(A174=1,MAX(S$2:S173)+1,IF(OR(I174&lt;&gt;"",A174="x"),S173,""))</f>
        <v/>
      </c>
      <c r="T174" t="str">
        <f>IF(D174=1,MAX($T$2:$T173)+1,IF(S174=$S173,$S173,IF($D174="x",T173,IF($D173="x","",""))))</f>
        <v/>
      </c>
      <c r="U174" t="str">
        <f>IF(B174=1,MAX($U$2:$U173)+1,IF(AND($T174&lt;&gt;"",$T174=$T173),$U173,IF(B174="x",U173,"")))</f>
        <v/>
      </c>
      <c r="V174" t="str">
        <f>IF(C174=1,MAX($V$2:$V173)+1,IF(AND($T174&lt;&gt;"",$T174=$T173),$U173,IF(C174="x",V173,"")))</f>
        <v/>
      </c>
      <c r="W174" t="str" cm="1">
        <f t="array" ref="W174">IFERROR(_xlfn._xlws.FILTER(game_rosters!AB:AB,(game_rosters!J:J=events!X174)*(K174&lt;&gt;"")),"")</f>
        <v/>
      </c>
      <c r="X174" t="str" cm="1">
        <f t="array" ref="X174">IF(S174="","",IF($I174&lt;&gt;"",$I174,INDEX($I$2:$I173,ROW()-COUNTIFS($T$2:$T173,"="&amp;$T174,$S$2:$S173,"&lt;&gt;"&amp;$S174)-1)))</f>
        <v/>
      </c>
      <c r="Z174" s="6"/>
      <c r="AH174" t="str">
        <f t="shared" si="61"/>
        <v>o</v>
      </c>
      <c r="AI174" t="str">
        <f t="shared" si="68"/>
        <v/>
      </c>
      <c r="AJ174" t="str">
        <f t="shared" si="69"/>
        <v/>
      </c>
      <c r="AK174" t="str">
        <f t="shared" si="62"/>
        <v/>
      </c>
      <c r="AL174" t="str">
        <f t="shared" si="63"/>
        <v/>
      </c>
      <c r="AM174" t="str">
        <f t="shared" si="64"/>
        <v/>
      </c>
      <c r="AN174" t="str">
        <f t="shared" si="70"/>
        <v/>
      </c>
      <c r="AO174" t="str">
        <f t="shared" si="71"/>
        <v/>
      </c>
      <c r="AP174" t="str">
        <f t="shared" si="72"/>
        <v/>
      </c>
      <c r="AQ174" t="str">
        <f t="shared" si="73"/>
        <v/>
      </c>
      <c r="AR174" t="str">
        <f t="shared" si="74"/>
        <v/>
      </c>
      <c r="AS174" t="str">
        <f t="shared" si="65"/>
        <v>Defensive</v>
      </c>
      <c r="BI174" s="40"/>
      <c r="BL174" s="40"/>
      <c r="BN174" s="19"/>
      <c r="BP174" s="17"/>
    </row>
    <row r="175" spans="1:68" x14ac:dyDescent="0.2">
      <c r="A175" t="str">
        <f t="shared" si="66"/>
        <v/>
      </c>
      <c r="E175" s="4"/>
      <c r="F175" s="45"/>
      <c r="G175" s="4"/>
      <c r="H175" s="48"/>
      <c r="J175" s="46" t="str">
        <f t="shared" si="67"/>
        <v/>
      </c>
      <c r="N175" t="str">
        <f t="shared" si="76"/>
        <v/>
      </c>
      <c r="Q175" t="str">
        <f t="shared" si="75"/>
        <v/>
      </c>
      <c r="S175" t="str">
        <f>IF(A175=1,MAX(S$2:S174)+1,IF(OR(I175&lt;&gt;"",A175="x"),S174,""))</f>
        <v/>
      </c>
      <c r="T175" t="str">
        <f>IF(D175=1,MAX($T$2:$T174)+1,IF(S175=$S174,$S174,IF($D175="x",T174,IF($D174="x","",""))))</f>
        <v/>
      </c>
      <c r="U175" t="str">
        <f>IF(B175=1,MAX($U$2:$U174)+1,IF(AND($T175&lt;&gt;"",$T175=$T174),$U174,IF(B175="x",U174,"")))</f>
        <v/>
      </c>
      <c r="V175" t="str">
        <f>IF(C175=1,MAX($V$2:$V174)+1,IF(AND($T175&lt;&gt;"",$T175=$T174),$U174,IF(C175="x",V174,"")))</f>
        <v/>
      </c>
      <c r="W175" t="str" cm="1">
        <f t="array" ref="W175">IFERROR(_xlfn._xlws.FILTER(game_rosters!AB:AB,(game_rosters!J:J=events!X175)*(K175&lt;&gt;"")),"")</f>
        <v/>
      </c>
      <c r="X175" t="str" cm="1">
        <f t="array" ref="X175">IF(S175="","",IF($I175&lt;&gt;"",$I175,INDEX($I$2:$I174,ROW()-COUNTIFS($T$2:$T174,"="&amp;$T175,$S$2:$S174,"&lt;&gt;"&amp;$S175)-1)))</f>
        <v/>
      </c>
      <c r="Z175" s="6"/>
      <c r="AH175" t="str">
        <f t="shared" si="61"/>
        <v>o</v>
      </c>
      <c r="AI175" t="str">
        <f t="shared" si="68"/>
        <v/>
      </c>
      <c r="AJ175" t="str">
        <f t="shared" si="69"/>
        <v/>
      </c>
      <c r="AK175" t="str">
        <f t="shared" si="62"/>
        <v/>
      </c>
      <c r="AL175" t="str">
        <f t="shared" si="63"/>
        <v/>
      </c>
      <c r="AM175" t="str">
        <f t="shared" si="64"/>
        <v/>
      </c>
      <c r="AN175" t="str">
        <f t="shared" si="70"/>
        <v/>
      </c>
      <c r="AO175" t="str">
        <f t="shared" si="71"/>
        <v/>
      </c>
      <c r="AP175" t="str">
        <f t="shared" si="72"/>
        <v/>
      </c>
      <c r="AQ175" t="str">
        <f t="shared" si="73"/>
        <v/>
      </c>
      <c r="AR175" t="str">
        <f t="shared" si="74"/>
        <v/>
      </c>
      <c r="AS175" t="str">
        <f t="shared" si="65"/>
        <v>Defensive</v>
      </c>
      <c r="BI175" s="40"/>
      <c r="BL175" s="40"/>
      <c r="BN175" s="19"/>
      <c r="BP175" s="17"/>
    </row>
    <row r="176" spans="1:68" x14ac:dyDescent="0.2">
      <c r="A176" t="str">
        <f t="shared" si="66"/>
        <v/>
      </c>
      <c r="E176" s="4"/>
      <c r="F176" s="45"/>
      <c r="G176" s="4"/>
      <c r="H176" s="48"/>
      <c r="J176" s="46" t="str">
        <f t="shared" si="67"/>
        <v/>
      </c>
      <c r="N176" t="str">
        <f t="shared" si="76"/>
        <v/>
      </c>
      <c r="Q176" t="str">
        <f t="shared" si="75"/>
        <v/>
      </c>
      <c r="S176" t="str">
        <f>IF(A176=1,MAX(S$2:S175)+1,IF(OR(I176&lt;&gt;"",A176="x"),S175,""))</f>
        <v/>
      </c>
      <c r="T176" t="str">
        <f>IF(D176=1,MAX($T$2:$T175)+1,IF(S176=$S175,$S175,IF($D176="x",T175,IF($D175="x","",""))))</f>
        <v/>
      </c>
      <c r="U176" t="str">
        <f>IF(B176=1,MAX($U$2:$U175)+1,IF(AND($T176&lt;&gt;"",$T176=$T175),$U175,IF(B176="x",U175,"")))</f>
        <v/>
      </c>
      <c r="V176" t="str">
        <f>IF(C176=1,MAX($V$2:$V175)+1,IF(AND($T176&lt;&gt;"",$T176=$T175),$U175,IF(C176="x",V175,"")))</f>
        <v/>
      </c>
      <c r="W176" t="str" cm="1">
        <f t="array" ref="W176">IFERROR(_xlfn._xlws.FILTER(game_rosters!AB:AB,(game_rosters!J:J=events!X176)*(K176&lt;&gt;"")),"")</f>
        <v/>
      </c>
      <c r="X176" t="str" cm="1">
        <f t="array" ref="X176">IF(S176="","",IF($I176&lt;&gt;"",$I176,INDEX($I$2:$I175,ROW()-COUNTIFS($T$2:$T175,"="&amp;$T176,$S$2:$S175,"&lt;&gt;"&amp;$S176)-1)))</f>
        <v/>
      </c>
      <c r="Z176" s="6"/>
      <c r="AH176" t="str">
        <f t="shared" si="61"/>
        <v>o</v>
      </c>
      <c r="AI176" t="str">
        <f t="shared" si="68"/>
        <v/>
      </c>
      <c r="AJ176" t="str">
        <f t="shared" si="69"/>
        <v/>
      </c>
      <c r="AK176" t="str">
        <f t="shared" si="62"/>
        <v/>
      </c>
      <c r="AL176" t="str">
        <f t="shared" si="63"/>
        <v/>
      </c>
      <c r="AM176" t="str">
        <f t="shared" si="64"/>
        <v/>
      </c>
      <c r="AN176" t="str">
        <f t="shared" si="70"/>
        <v/>
      </c>
      <c r="AO176" t="str">
        <f t="shared" si="71"/>
        <v/>
      </c>
      <c r="AP176" t="str">
        <f t="shared" si="72"/>
        <v/>
      </c>
      <c r="AQ176" t="str">
        <f t="shared" si="73"/>
        <v/>
      </c>
      <c r="AR176" t="str">
        <f t="shared" si="74"/>
        <v/>
      </c>
      <c r="AS176" t="str">
        <f t="shared" si="65"/>
        <v>Defensive</v>
      </c>
      <c r="BI176" s="40"/>
      <c r="BL176" s="40"/>
      <c r="BN176" s="19"/>
      <c r="BP176" s="17"/>
    </row>
    <row r="177" spans="1:68" x14ac:dyDescent="0.2">
      <c r="A177" t="str">
        <f t="shared" si="66"/>
        <v/>
      </c>
      <c r="E177" s="4"/>
      <c r="F177" s="45"/>
      <c r="G177" s="4"/>
      <c r="H177" s="48"/>
      <c r="J177" s="46" t="str">
        <f t="shared" si="67"/>
        <v/>
      </c>
      <c r="N177" t="str">
        <f t="shared" si="76"/>
        <v/>
      </c>
      <c r="Q177" t="str">
        <f t="shared" si="75"/>
        <v/>
      </c>
      <c r="S177" t="str">
        <f>IF(A177=1,MAX(S$2:S176)+1,IF(OR(I177&lt;&gt;"",A177="x"),S176,""))</f>
        <v/>
      </c>
      <c r="T177" t="str">
        <f>IF(D177=1,MAX($T$2:$T176)+1,IF(S177=$S176,$S176,IF($D177="x",T176,IF($D176="x","",""))))</f>
        <v/>
      </c>
      <c r="U177" t="str">
        <f>IF(B177=1,MAX($U$2:$U176)+1,IF(AND($T177&lt;&gt;"",$T177=$T176),$U176,IF(B177="x",U176,"")))</f>
        <v/>
      </c>
      <c r="V177" t="str">
        <f>IF(C177=1,MAX($V$2:$V176)+1,IF(AND($T177&lt;&gt;"",$T177=$T176),$U176,IF(C177="x",V176,"")))</f>
        <v/>
      </c>
      <c r="W177" t="str" cm="1">
        <f t="array" ref="W177">IFERROR(_xlfn._xlws.FILTER(game_rosters!AB:AB,(game_rosters!J:J=events!X177)*(K177&lt;&gt;"")),"")</f>
        <v/>
      </c>
      <c r="X177" t="str" cm="1">
        <f t="array" ref="X177">IF(S177="","",IF($I177&lt;&gt;"",$I177,INDEX($I$2:$I176,ROW()-COUNTIFS($T$2:$T176,"="&amp;$T177,$S$2:$S176,"&lt;&gt;"&amp;$S177)-1)))</f>
        <v/>
      </c>
      <c r="Z177" s="6"/>
      <c r="AH177" t="str">
        <f t="shared" si="61"/>
        <v>o</v>
      </c>
      <c r="AI177" t="str">
        <f t="shared" si="68"/>
        <v/>
      </c>
      <c r="AJ177" t="str">
        <f t="shared" si="69"/>
        <v/>
      </c>
      <c r="AK177" t="str">
        <f t="shared" si="62"/>
        <v/>
      </c>
      <c r="AL177" t="str">
        <f t="shared" si="63"/>
        <v/>
      </c>
      <c r="AM177" t="str">
        <f t="shared" si="64"/>
        <v/>
      </c>
      <c r="AN177" t="str">
        <f t="shared" si="70"/>
        <v/>
      </c>
      <c r="AO177" t="str">
        <f t="shared" si="71"/>
        <v/>
      </c>
      <c r="AP177" t="str">
        <f t="shared" si="72"/>
        <v/>
      </c>
      <c r="AQ177" t="str">
        <f t="shared" si="73"/>
        <v/>
      </c>
      <c r="AR177" t="str">
        <f t="shared" si="74"/>
        <v/>
      </c>
      <c r="AS177" t="str">
        <f t="shared" si="65"/>
        <v>Defensive</v>
      </c>
      <c r="BI177" s="40"/>
      <c r="BL177" s="40"/>
      <c r="BN177" s="19"/>
      <c r="BP177" s="17"/>
    </row>
    <row r="178" spans="1:68" x14ac:dyDescent="0.2">
      <c r="A178" t="str">
        <f t="shared" si="66"/>
        <v/>
      </c>
      <c r="E178" s="4"/>
      <c r="F178" s="45"/>
      <c r="G178" s="4"/>
      <c r="H178" s="48"/>
      <c r="J178" s="46" t="str">
        <f t="shared" si="67"/>
        <v/>
      </c>
      <c r="N178" t="str">
        <f t="shared" si="76"/>
        <v/>
      </c>
      <c r="Q178" t="str">
        <f t="shared" si="75"/>
        <v/>
      </c>
      <c r="S178" t="str">
        <f>IF(A178=1,MAX(S$2:S177)+1,IF(OR(I178&lt;&gt;"",A178="x"),S177,""))</f>
        <v/>
      </c>
      <c r="T178" t="str">
        <f>IF(D178=1,MAX($T$2:$T177)+1,IF(S178=$S177,$S177,IF($D178="x",T177,IF($D177="x","",""))))</f>
        <v/>
      </c>
      <c r="U178" t="str">
        <f>IF(B178=1,MAX($U$2:$U177)+1,IF(AND($T178&lt;&gt;"",$T178=$T177),$U177,IF(B178="x",U177,"")))</f>
        <v/>
      </c>
      <c r="V178" t="str">
        <f>IF(C178=1,MAX($V$2:$V177)+1,IF(AND($T178&lt;&gt;"",$T178=$T177),$U177,IF(C178="x",V177,"")))</f>
        <v/>
      </c>
      <c r="W178" t="str" cm="1">
        <f t="array" ref="W178">IFERROR(_xlfn._xlws.FILTER(game_rosters!AB:AB,(game_rosters!J:J=events!X178)*(K178&lt;&gt;"")),"")</f>
        <v/>
      </c>
      <c r="X178" t="str" cm="1">
        <f t="array" ref="X178">IF(S178="","",IF($I178&lt;&gt;"",$I178,INDEX($I$2:$I177,ROW()-COUNTIFS($T$2:$T177,"="&amp;$T178,$S$2:$S177,"&lt;&gt;"&amp;$S178)-1)))</f>
        <v/>
      </c>
      <c r="Z178" s="6"/>
      <c r="AH178" t="str">
        <f t="shared" si="61"/>
        <v>o</v>
      </c>
      <c r="AI178" t="str">
        <f t="shared" si="68"/>
        <v/>
      </c>
      <c r="AJ178" t="str">
        <f t="shared" si="69"/>
        <v/>
      </c>
      <c r="AK178" t="str">
        <f t="shared" si="62"/>
        <v/>
      </c>
      <c r="AL178" t="str">
        <f t="shared" si="63"/>
        <v/>
      </c>
      <c r="AM178" t="str">
        <f t="shared" si="64"/>
        <v/>
      </c>
      <c r="AN178" t="str">
        <f t="shared" si="70"/>
        <v/>
      </c>
      <c r="AO178" t="str">
        <f t="shared" si="71"/>
        <v/>
      </c>
      <c r="AP178" t="str">
        <f t="shared" si="72"/>
        <v/>
      </c>
      <c r="AQ178" t="str">
        <f t="shared" si="73"/>
        <v/>
      </c>
      <c r="AR178" t="str">
        <f t="shared" si="74"/>
        <v/>
      </c>
      <c r="AS178" t="str">
        <f t="shared" si="65"/>
        <v>Defensive</v>
      </c>
      <c r="BI178" s="40"/>
      <c r="BL178" s="40"/>
      <c r="BN178" s="19"/>
      <c r="BP178" s="17"/>
    </row>
    <row r="179" spans="1:68" x14ac:dyDescent="0.2">
      <c r="A179" t="str">
        <f t="shared" si="66"/>
        <v/>
      </c>
      <c r="E179" s="4"/>
      <c r="F179" s="45"/>
      <c r="G179" s="4"/>
      <c r="H179" s="48"/>
      <c r="J179" s="46" t="str">
        <f t="shared" si="67"/>
        <v/>
      </c>
      <c r="N179" t="str">
        <f t="shared" si="76"/>
        <v/>
      </c>
      <c r="Q179" t="str">
        <f t="shared" si="75"/>
        <v/>
      </c>
      <c r="S179" t="str">
        <f>IF(A179=1,MAX(S$2:S178)+1,IF(OR(I179&lt;&gt;"",A179="x"),S178,""))</f>
        <v/>
      </c>
      <c r="T179" t="str">
        <f>IF(D179=1,MAX($T$2:$T178)+1,IF(S179=$S178,$S178,IF($D179="x",T178,IF($D178="x","",""))))</f>
        <v/>
      </c>
      <c r="U179" t="str">
        <f>IF(B179=1,MAX($U$2:$U178)+1,IF(AND($T179&lt;&gt;"",$T179=$T178),$U178,IF(B179="x",U178,"")))</f>
        <v/>
      </c>
      <c r="V179" t="str">
        <f>IF(C179=1,MAX($V$2:$V178)+1,IF(AND($T179&lt;&gt;"",$T179=$T178),$U178,IF(C179="x",V178,"")))</f>
        <v/>
      </c>
      <c r="W179" t="str" cm="1">
        <f t="array" ref="W179">IFERROR(_xlfn._xlws.FILTER(game_rosters!AB:AB,(game_rosters!J:J=events!X179)*(K179&lt;&gt;"")),"")</f>
        <v/>
      </c>
      <c r="X179" t="str" cm="1">
        <f t="array" ref="X179">IF(S179="","",IF($I179&lt;&gt;"",$I179,INDEX($I$2:$I178,ROW()-COUNTIFS($T$2:$T178,"="&amp;$T179,$S$2:$S178,"&lt;&gt;"&amp;$S179)-1)))</f>
        <v/>
      </c>
      <c r="Z179" s="6"/>
      <c r="AH179" t="str">
        <f t="shared" si="61"/>
        <v>o</v>
      </c>
      <c r="AI179" t="str">
        <f t="shared" si="68"/>
        <v/>
      </c>
      <c r="AJ179" t="str">
        <f t="shared" si="69"/>
        <v/>
      </c>
      <c r="AK179" t="str">
        <f t="shared" si="62"/>
        <v/>
      </c>
      <c r="AL179" t="str">
        <f t="shared" si="63"/>
        <v/>
      </c>
      <c r="AM179" t="str">
        <f t="shared" si="64"/>
        <v/>
      </c>
      <c r="AN179" t="str">
        <f t="shared" si="70"/>
        <v/>
      </c>
      <c r="AO179" t="str">
        <f t="shared" si="71"/>
        <v/>
      </c>
      <c r="AP179" t="str">
        <f t="shared" si="72"/>
        <v/>
      </c>
      <c r="AQ179" t="str">
        <f t="shared" si="73"/>
        <v/>
      </c>
      <c r="AR179" t="str">
        <f t="shared" si="74"/>
        <v/>
      </c>
      <c r="AS179" t="str">
        <f t="shared" si="65"/>
        <v>Defensive</v>
      </c>
      <c r="BI179" s="40"/>
      <c r="BL179" s="40"/>
      <c r="BN179" s="19"/>
      <c r="BP179" s="17"/>
    </row>
    <row r="180" spans="1:68" x14ac:dyDescent="0.2">
      <c r="A180" t="str">
        <f t="shared" si="66"/>
        <v/>
      </c>
      <c r="E180" s="4"/>
      <c r="F180" s="45"/>
      <c r="G180" s="4"/>
      <c r="H180" s="48"/>
      <c r="J180" s="46" t="str">
        <f t="shared" si="67"/>
        <v/>
      </c>
      <c r="N180" t="str">
        <f t="shared" si="76"/>
        <v/>
      </c>
      <c r="Q180" t="str">
        <f t="shared" si="75"/>
        <v/>
      </c>
      <c r="S180" t="str">
        <f>IF(A180=1,MAX(S$2:S179)+1,IF(OR(I180&lt;&gt;"",A180="x"),S179,""))</f>
        <v/>
      </c>
      <c r="T180" t="str">
        <f>IF(D180=1,MAX($T$2:$T179)+1,IF(S180=$S179,$S179,IF($D180="x",T179,IF($D179="x","",""))))</f>
        <v/>
      </c>
      <c r="U180" t="str">
        <f>IF(B180=1,MAX($U$2:$U179)+1,IF(AND($T180&lt;&gt;"",$T180=$T179),$U179,IF(B180="x",U179,"")))</f>
        <v/>
      </c>
      <c r="V180" t="str">
        <f>IF(C180=1,MAX($V$2:$V179)+1,IF(AND($T180&lt;&gt;"",$T180=$T179),$U179,IF(C180="x",V179,"")))</f>
        <v/>
      </c>
      <c r="W180" t="str" cm="1">
        <f t="array" ref="W180">IFERROR(_xlfn._xlws.FILTER(game_rosters!AB:AB,(game_rosters!J:J=events!X180)*(K180&lt;&gt;"")),"")</f>
        <v/>
      </c>
      <c r="X180" t="str" cm="1">
        <f t="array" ref="X180">IF(S180="","",IF($I180&lt;&gt;"",$I180,INDEX($I$2:$I179,ROW()-COUNTIFS($T$2:$T179,"="&amp;$T180,$S$2:$S179,"&lt;&gt;"&amp;$S180)-1)))</f>
        <v/>
      </c>
      <c r="Z180" s="6"/>
      <c r="AH180" t="str">
        <f t="shared" si="61"/>
        <v>o</v>
      </c>
      <c r="AI180" t="str">
        <f t="shared" si="68"/>
        <v/>
      </c>
      <c r="AJ180" t="str">
        <f t="shared" si="69"/>
        <v/>
      </c>
      <c r="AK180" t="str">
        <f t="shared" si="62"/>
        <v/>
      </c>
      <c r="AL180" t="str">
        <f t="shared" si="63"/>
        <v/>
      </c>
      <c r="AM180" t="str">
        <f t="shared" si="64"/>
        <v/>
      </c>
      <c r="AN180" t="str">
        <f t="shared" si="70"/>
        <v/>
      </c>
      <c r="AO180" t="str">
        <f t="shared" si="71"/>
        <v/>
      </c>
      <c r="AP180" t="str">
        <f t="shared" si="72"/>
        <v/>
      </c>
      <c r="AQ180" t="str">
        <f t="shared" si="73"/>
        <v/>
      </c>
      <c r="AR180" t="str">
        <f t="shared" si="74"/>
        <v/>
      </c>
      <c r="AS180" t="str">
        <f t="shared" si="65"/>
        <v>Defensive</v>
      </c>
      <c r="BI180" s="40"/>
      <c r="BL180" s="40"/>
      <c r="BN180" s="19"/>
      <c r="BP180" s="17"/>
    </row>
    <row r="181" spans="1:68" x14ac:dyDescent="0.2">
      <c r="A181" t="str">
        <f t="shared" si="66"/>
        <v/>
      </c>
      <c r="E181" s="4"/>
      <c r="F181" s="45"/>
      <c r="G181" s="4"/>
      <c r="H181" s="48"/>
      <c r="J181" s="46" t="str">
        <f t="shared" si="67"/>
        <v/>
      </c>
      <c r="N181" t="str">
        <f t="shared" si="76"/>
        <v/>
      </c>
      <c r="Q181" t="str">
        <f t="shared" si="75"/>
        <v/>
      </c>
      <c r="S181" t="str">
        <f>IF(A181=1,MAX(S$2:S180)+1,IF(OR(I181&lt;&gt;"",A181="x"),S180,""))</f>
        <v/>
      </c>
      <c r="T181" t="str">
        <f>IF(D181=1,MAX($T$2:$T180)+1,IF(S181=$S180,$S180,IF($D181="x",T180,IF($D180="x","",""))))</f>
        <v/>
      </c>
      <c r="U181" t="str">
        <f>IF(B181=1,MAX($U$2:$U180)+1,IF(AND($T181&lt;&gt;"",$T181=$T180),$U180,IF(B181="x",U180,"")))</f>
        <v/>
      </c>
      <c r="V181" t="str">
        <f>IF(C181=1,MAX($V$2:$V180)+1,IF(AND($T181&lt;&gt;"",$T181=$T180),$U180,IF(C181="x",V180,"")))</f>
        <v/>
      </c>
      <c r="W181" t="str" cm="1">
        <f t="array" ref="W181">IFERROR(_xlfn._xlws.FILTER(game_rosters!AB:AB,(game_rosters!J:J=events!X181)*(K181&lt;&gt;"")),"")</f>
        <v/>
      </c>
      <c r="X181" t="str" cm="1">
        <f t="array" ref="X181">IF(S181="","",IF($I181&lt;&gt;"",$I181,INDEX($I$2:$I180,ROW()-COUNTIFS($T$2:$T180,"="&amp;$T181,$S$2:$S180,"&lt;&gt;"&amp;$S181)-1)))</f>
        <v/>
      </c>
      <c r="Z181" s="6"/>
      <c r="AH181" t="str">
        <f t="shared" si="61"/>
        <v>o</v>
      </c>
      <c r="AI181" t="str">
        <f t="shared" si="68"/>
        <v/>
      </c>
      <c r="AJ181" t="str">
        <f t="shared" si="69"/>
        <v/>
      </c>
      <c r="AK181" t="str">
        <f t="shared" si="62"/>
        <v/>
      </c>
      <c r="AL181" t="str">
        <f t="shared" si="63"/>
        <v/>
      </c>
      <c r="AM181" t="str">
        <f t="shared" si="64"/>
        <v/>
      </c>
      <c r="AN181" t="str">
        <f t="shared" si="70"/>
        <v/>
      </c>
      <c r="AO181" t="str">
        <f t="shared" si="71"/>
        <v/>
      </c>
      <c r="AP181" t="str">
        <f t="shared" si="72"/>
        <v/>
      </c>
      <c r="AQ181" t="str">
        <f t="shared" si="73"/>
        <v/>
      </c>
      <c r="AR181" t="str">
        <f t="shared" si="74"/>
        <v/>
      </c>
      <c r="AS181" t="str">
        <f t="shared" si="65"/>
        <v>Defensive</v>
      </c>
      <c r="BI181" s="40"/>
      <c r="BL181" s="40"/>
      <c r="BN181" s="19"/>
      <c r="BP181" s="17"/>
    </row>
    <row r="182" spans="1:68" x14ac:dyDescent="0.2">
      <c r="A182" t="str">
        <f t="shared" si="66"/>
        <v/>
      </c>
      <c r="E182" s="4"/>
      <c r="F182" s="45"/>
      <c r="G182" s="4"/>
      <c r="H182" s="48"/>
      <c r="J182" s="46" t="str">
        <f t="shared" si="67"/>
        <v/>
      </c>
      <c r="N182" t="str">
        <f t="shared" si="76"/>
        <v/>
      </c>
      <c r="Q182" t="str">
        <f t="shared" si="75"/>
        <v/>
      </c>
      <c r="S182" t="str">
        <f>IF(A182=1,MAX(S$2:S181)+1,IF(OR(I182&lt;&gt;"",A182="x"),S181,""))</f>
        <v/>
      </c>
      <c r="T182" t="str">
        <f>IF(D182=1,MAX($T$2:$T181)+1,IF(S182=$S181,$S181,IF($D182="x",T181,IF($D181="x","",""))))</f>
        <v/>
      </c>
      <c r="U182" t="str">
        <f>IF(B182=1,MAX($U$2:$U181)+1,IF(AND($T182&lt;&gt;"",$T182=$T181),$U181,IF(B182="x",U181,"")))</f>
        <v/>
      </c>
      <c r="V182" t="str">
        <f>IF(C182=1,MAX($V$2:$V181)+1,IF(AND($T182&lt;&gt;"",$T182=$T181),$U181,IF(C182="x",V181,"")))</f>
        <v/>
      </c>
      <c r="W182" t="str" cm="1">
        <f t="array" ref="W182">IFERROR(_xlfn._xlws.FILTER(game_rosters!AB:AB,(game_rosters!J:J=events!X182)*(K182&lt;&gt;"")),"")</f>
        <v/>
      </c>
      <c r="X182" t="str" cm="1">
        <f t="array" ref="X182">IF(S182="","",IF($I182&lt;&gt;"",$I182,INDEX($I$2:$I181,ROW()-COUNTIFS($T$2:$T181,"="&amp;$T182,$S$2:$S181,"&lt;&gt;"&amp;$S182)-1)))</f>
        <v/>
      </c>
      <c r="Z182" s="6"/>
      <c r="AH182" t="str">
        <f t="shared" si="61"/>
        <v>o</v>
      </c>
      <c r="AI182" t="str">
        <f t="shared" si="68"/>
        <v/>
      </c>
      <c r="AJ182" t="str">
        <f t="shared" si="69"/>
        <v/>
      </c>
      <c r="AK182" t="str">
        <f t="shared" si="62"/>
        <v/>
      </c>
      <c r="AL182" t="str">
        <f t="shared" si="63"/>
        <v/>
      </c>
      <c r="AM182" t="str">
        <f t="shared" si="64"/>
        <v/>
      </c>
      <c r="AN182" t="str">
        <f t="shared" si="70"/>
        <v/>
      </c>
      <c r="AO182" t="str">
        <f t="shared" si="71"/>
        <v/>
      </c>
      <c r="AP182" t="str">
        <f t="shared" si="72"/>
        <v/>
      </c>
      <c r="AQ182" t="str">
        <f t="shared" si="73"/>
        <v/>
      </c>
      <c r="AR182" t="str">
        <f t="shared" si="74"/>
        <v/>
      </c>
      <c r="AS182" t="str">
        <f t="shared" si="65"/>
        <v>Defensive</v>
      </c>
      <c r="BI182" s="40"/>
      <c r="BL182" s="40"/>
      <c r="BN182" s="19"/>
      <c r="BP182" s="17"/>
    </row>
    <row r="183" spans="1:68" x14ac:dyDescent="0.2">
      <c r="A183" t="str">
        <f t="shared" si="66"/>
        <v/>
      </c>
      <c r="E183" s="4"/>
      <c r="F183" s="45"/>
      <c r="G183" s="4"/>
      <c r="H183" s="48"/>
      <c r="J183" s="46" t="str">
        <f t="shared" si="67"/>
        <v/>
      </c>
      <c r="N183" t="str">
        <f t="shared" si="76"/>
        <v/>
      </c>
      <c r="Q183" t="str">
        <f t="shared" si="75"/>
        <v/>
      </c>
      <c r="S183" t="str">
        <f>IF(A183=1,MAX(S$2:S182)+1,IF(OR(I183&lt;&gt;"",A183="x"),S182,""))</f>
        <v/>
      </c>
      <c r="T183" t="str">
        <f>IF(D183=1,MAX($T$2:$T182)+1,IF(S183=$S182,$S182,IF($D183="x",T182,IF($D182="x","",""))))</f>
        <v/>
      </c>
      <c r="U183" t="str">
        <f>IF(B183=1,MAX($U$2:$U182)+1,IF(AND($T183&lt;&gt;"",$T183=$T182),$U182,IF(B183="x",U182,"")))</f>
        <v/>
      </c>
      <c r="V183" t="str">
        <f>IF(C183=1,MAX($V$2:$V182)+1,IF(AND($T183&lt;&gt;"",$T183=$T182),$U182,IF(C183="x",V182,"")))</f>
        <v/>
      </c>
      <c r="W183" t="str" cm="1">
        <f t="array" ref="W183">IFERROR(_xlfn._xlws.FILTER(game_rosters!AB:AB,(game_rosters!J:J=events!X183)*(K183&lt;&gt;"")),"")</f>
        <v/>
      </c>
      <c r="X183" t="str" cm="1">
        <f t="array" ref="X183">IF(S183="","",IF($I183&lt;&gt;"",$I183,INDEX($I$2:$I182,ROW()-COUNTIFS($T$2:$T182,"="&amp;$T183,$S$2:$S182,"&lt;&gt;"&amp;$S183)-1)))</f>
        <v/>
      </c>
      <c r="Z183" s="6"/>
      <c r="AH183" t="str">
        <f t="shared" si="61"/>
        <v>o</v>
      </c>
      <c r="AI183" t="str">
        <f t="shared" si="68"/>
        <v/>
      </c>
      <c r="AJ183" t="str">
        <f t="shared" si="69"/>
        <v/>
      </c>
      <c r="AK183" t="str">
        <f t="shared" si="62"/>
        <v/>
      </c>
      <c r="AL183" t="str">
        <f t="shared" si="63"/>
        <v/>
      </c>
      <c r="AM183" t="str">
        <f t="shared" si="64"/>
        <v/>
      </c>
      <c r="AN183" t="str">
        <f t="shared" si="70"/>
        <v/>
      </c>
      <c r="AO183" t="str">
        <f t="shared" si="71"/>
        <v/>
      </c>
      <c r="AP183" t="str">
        <f t="shared" si="72"/>
        <v/>
      </c>
      <c r="AQ183" t="str">
        <f t="shared" si="73"/>
        <v/>
      </c>
      <c r="AR183" t="str">
        <f t="shared" si="74"/>
        <v/>
      </c>
      <c r="AS183" t="str">
        <f t="shared" si="65"/>
        <v>Defensive</v>
      </c>
      <c r="BI183" s="40"/>
      <c r="BL183" s="40"/>
      <c r="BN183" s="19"/>
      <c r="BP183" s="17"/>
    </row>
    <row r="184" spans="1:68" x14ac:dyDescent="0.2">
      <c r="A184" t="str">
        <f t="shared" si="66"/>
        <v/>
      </c>
      <c r="E184" s="4"/>
      <c r="F184" s="45"/>
      <c r="G184" s="4"/>
      <c r="H184" s="48"/>
      <c r="J184" s="46" t="str">
        <f t="shared" si="67"/>
        <v/>
      </c>
      <c r="N184" t="str">
        <f t="shared" si="76"/>
        <v/>
      </c>
      <c r="Q184" t="str">
        <f t="shared" si="75"/>
        <v/>
      </c>
      <c r="S184" t="str">
        <f>IF(A184=1,MAX(S$2:S183)+1,IF(OR(I184&lt;&gt;"",A184="x"),S183,""))</f>
        <v/>
      </c>
      <c r="T184" t="str">
        <f>IF(D184=1,MAX($T$2:$T183)+1,IF(S184=$S183,$S183,IF($D184="x",T183,IF($D183="x","",""))))</f>
        <v/>
      </c>
      <c r="U184" t="str">
        <f>IF(B184=1,MAX($U$2:$U183)+1,IF(AND($T184&lt;&gt;"",$T184=$T183),$U183,IF(B184="x",U183,"")))</f>
        <v/>
      </c>
      <c r="V184" t="str">
        <f>IF(C184=1,MAX($V$2:$V183)+1,IF(AND($T184&lt;&gt;"",$T184=$T183),$U183,IF(C184="x",V183,"")))</f>
        <v/>
      </c>
      <c r="W184" t="str" cm="1">
        <f t="array" ref="W184">IFERROR(_xlfn._xlws.FILTER(game_rosters!AB:AB,(game_rosters!J:J=events!X184)*(K184&lt;&gt;"")),"")</f>
        <v/>
      </c>
      <c r="X184" t="str" cm="1">
        <f t="array" ref="X184">IF(S184="","",IF($I184&lt;&gt;"",$I184,INDEX($I$2:$I183,ROW()-COUNTIFS($T$2:$T183,"="&amp;$T184,$S$2:$S183,"&lt;&gt;"&amp;$S184)-1)))</f>
        <v/>
      </c>
      <c r="Z184" s="6"/>
      <c r="AH184" t="str">
        <f t="shared" si="61"/>
        <v>o</v>
      </c>
      <c r="AI184" t="str">
        <f t="shared" si="68"/>
        <v/>
      </c>
      <c r="AJ184" t="str">
        <f t="shared" si="69"/>
        <v/>
      </c>
      <c r="AK184" t="str">
        <f t="shared" si="62"/>
        <v/>
      </c>
      <c r="AL184" t="str">
        <f t="shared" si="63"/>
        <v/>
      </c>
      <c r="AM184" t="str">
        <f t="shared" si="64"/>
        <v/>
      </c>
      <c r="AN184" t="str">
        <f t="shared" si="70"/>
        <v/>
      </c>
      <c r="AO184" t="str">
        <f t="shared" si="71"/>
        <v/>
      </c>
      <c r="AP184" t="str">
        <f t="shared" si="72"/>
        <v/>
      </c>
      <c r="AQ184" t="str">
        <f t="shared" si="73"/>
        <v/>
      </c>
      <c r="AR184" t="str">
        <f t="shared" si="74"/>
        <v/>
      </c>
      <c r="AS184" t="str">
        <f t="shared" si="65"/>
        <v>Defensive</v>
      </c>
      <c r="BI184" s="40"/>
      <c r="BL184" s="40"/>
      <c r="BN184" s="19"/>
      <c r="BP184" s="17"/>
    </row>
    <row r="185" spans="1:68" x14ac:dyDescent="0.2">
      <c r="A185" t="str">
        <f t="shared" si="66"/>
        <v/>
      </c>
      <c r="E185" s="4"/>
      <c r="F185" s="45"/>
      <c r="G185" s="4"/>
      <c r="H185" s="48"/>
      <c r="J185" s="46" t="str">
        <f t="shared" si="67"/>
        <v/>
      </c>
      <c r="N185" t="str">
        <f t="shared" si="76"/>
        <v/>
      </c>
      <c r="Q185" t="str">
        <f t="shared" si="75"/>
        <v/>
      </c>
      <c r="S185" t="str">
        <f>IF(A185=1,MAX(S$2:S184)+1,IF(OR(I185&lt;&gt;"",A185="x"),S184,""))</f>
        <v/>
      </c>
      <c r="T185" t="str">
        <f>IF(D185=1,MAX($T$2:$T184)+1,IF(S185=$S184,$S184,IF($D185="x",T184,IF($D184="x","",""))))</f>
        <v/>
      </c>
      <c r="U185" t="str">
        <f>IF(B185=1,MAX($U$2:$U184)+1,IF(AND($T185&lt;&gt;"",$T185=$T184),$U184,IF(B185="x",U184,"")))</f>
        <v/>
      </c>
      <c r="V185" t="str">
        <f>IF(C185=1,MAX($V$2:$V184)+1,IF(AND($T185&lt;&gt;"",$T185=$T184),$U184,IF(C185="x",V184,"")))</f>
        <v/>
      </c>
      <c r="W185" t="str" cm="1">
        <f t="array" ref="W185">IFERROR(_xlfn._xlws.FILTER(game_rosters!AB:AB,(game_rosters!J:J=events!X185)*(K185&lt;&gt;"")),"")</f>
        <v/>
      </c>
      <c r="X185" t="str" cm="1">
        <f t="array" ref="X185">IF(S185="","",IF($I185&lt;&gt;"",$I185,INDEX($I$2:$I184,ROW()-COUNTIFS($T$2:$T184,"="&amp;$T185,$S$2:$S184,"&lt;&gt;"&amp;$S185)-1)))</f>
        <v/>
      </c>
      <c r="Z185" s="6"/>
      <c r="AH185" t="str">
        <f t="shared" si="61"/>
        <v>o</v>
      </c>
      <c r="AI185" t="str">
        <f t="shared" si="68"/>
        <v/>
      </c>
      <c r="AJ185" t="str">
        <f t="shared" si="69"/>
        <v/>
      </c>
      <c r="AK185" t="str">
        <f t="shared" si="62"/>
        <v/>
      </c>
      <c r="AL185" t="str">
        <f t="shared" si="63"/>
        <v/>
      </c>
      <c r="AM185" t="str">
        <f t="shared" si="64"/>
        <v/>
      </c>
      <c r="AN185" t="str">
        <f t="shared" si="70"/>
        <v/>
      </c>
      <c r="AO185" t="str">
        <f t="shared" si="71"/>
        <v/>
      </c>
      <c r="AP185" t="str">
        <f t="shared" si="72"/>
        <v/>
      </c>
      <c r="AQ185" t="str">
        <f t="shared" si="73"/>
        <v/>
      </c>
      <c r="AR185" t="str">
        <f t="shared" si="74"/>
        <v/>
      </c>
      <c r="AS185" t="str">
        <f t="shared" si="65"/>
        <v>Defensive</v>
      </c>
      <c r="BI185" s="40"/>
      <c r="BL185" s="40"/>
      <c r="BN185" s="19"/>
      <c r="BP185" s="17"/>
    </row>
    <row r="186" spans="1:68" x14ac:dyDescent="0.2">
      <c r="A186" t="str">
        <f t="shared" si="66"/>
        <v/>
      </c>
      <c r="E186" s="4"/>
      <c r="F186" s="45"/>
      <c r="G186" s="4"/>
      <c r="H186" s="48"/>
      <c r="J186" s="46" t="str">
        <f t="shared" si="67"/>
        <v/>
      </c>
      <c r="N186" t="str">
        <f t="shared" si="76"/>
        <v/>
      </c>
      <c r="Q186" t="str">
        <f t="shared" si="75"/>
        <v/>
      </c>
      <c r="S186" t="str">
        <f>IF(A186=1,MAX(S$2:S185)+1,IF(OR(I186&lt;&gt;"",A186="x"),S185,""))</f>
        <v/>
      </c>
      <c r="T186" t="str">
        <f>IF(D186=1,MAX($T$2:$T185)+1,IF(S186=$S185,$S185,IF($D186="x",T185,IF($D185="x","",""))))</f>
        <v/>
      </c>
      <c r="U186" t="str">
        <f>IF(B186=1,MAX($U$2:$U185)+1,IF(AND($T186&lt;&gt;"",$T186=$T185),$U185,IF(B186="x",U185,"")))</f>
        <v/>
      </c>
      <c r="V186" t="str">
        <f>IF(C186=1,MAX($V$2:$V185)+1,IF(AND($T186&lt;&gt;"",$T186=$T185),$U185,IF(C186="x",V185,"")))</f>
        <v/>
      </c>
      <c r="W186" t="str" cm="1">
        <f t="array" ref="W186">IFERROR(_xlfn._xlws.FILTER(game_rosters!AB:AB,(game_rosters!J:J=events!X186)*(K186&lt;&gt;"")),"")</f>
        <v/>
      </c>
      <c r="X186" t="str" cm="1">
        <f t="array" ref="X186">IF(S186="","",IF($I186&lt;&gt;"",$I186,INDEX($I$2:$I185,ROW()-COUNTIFS($T$2:$T185,"="&amp;$T186,$S$2:$S185,"&lt;&gt;"&amp;$S186)-1)))</f>
        <v/>
      </c>
      <c r="Z186" s="6"/>
      <c r="AH186" t="str">
        <f t="shared" si="61"/>
        <v>o</v>
      </c>
      <c r="AI186" t="str">
        <f t="shared" si="68"/>
        <v/>
      </c>
      <c r="AJ186" t="str">
        <f t="shared" si="69"/>
        <v/>
      </c>
      <c r="AK186" t="str">
        <f t="shared" si="62"/>
        <v/>
      </c>
      <c r="AL186" t="str">
        <f t="shared" si="63"/>
        <v/>
      </c>
      <c r="AM186" t="str">
        <f t="shared" si="64"/>
        <v/>
      </c>
      <c r="AN186" t="str">
        <f t="shared" si="70"/>
        <v/>
      </c>
      <c r="AO186" t="str">
        <f t="shared" si="71"/>
        <v/>
      </c>
      <c r="AP186" t="str">
        <f t="shared" si="72"/>
        <v/>
      </c>
      <c r="AQ186" t="str">
        <f t="shared" si="73"/>
        <v/>
      </c>
      <c r="AR186" t="str">
        <f t="shared" si="74"/>
        <v/>
      </c>
      <c r="AS186" t="str">
        <f t="shared" si="65"/>
        <v>Defensive</v>
      </c>
      <c r="BI186" s="40"/>
      <c r="BL186" s="40"/>
      <c r="BN186" s="19"/>
      <c r="BP186" s="17"/>
    </row>
    <row r="187" spans="1:68" x14ac:dyDescent="0.2">
      <c r="A187" t="str">
        <f t="shared" si="66"/>
        <v/>
      </c>
      <c r="E187" s="4"/>
      <c r="F187" s="45"/>
      <c r="G187" s="4"/>
      <c r="H187" s="48"/>
      <c r="J187" s="46" t="str">
        <f t="shared" si="67"/>
        <v/>
      </c>
      <c r="N187" t="str">
        <f t="shared" si="76"/>
        <v/>
      </c>
      <c r="Q187" t="str">
        <f t="shared" si="75"/>
        <v/>
      </c>
      <c r="S187" t="str">
        <f>IF(A187=1,MAX(S$2:S186)+1,IF(OR(I187&lt;&gt;"",A187="x"),S186,""))</f>
        <v/>
      </c>
      <c r="T187" t="str">
        <f>IF(D187=1,MAX($T$2:$T186)+1,IF(S187=$S186,$S186,IF($D187="x",T186,IF($D186="x","",""))))</f>
        <v/>
      </c>
      <c r="U187" t="str">
        <f>IF(B187=1,MAX($U$2:$U186)+1,IF(AND($T187&lt;&gt;"",$T187=$T186),$U186,IF(B187="x",U186,"")))</f>
        <v/>
      </c>
      <c r="V187" t="str">
        <f>IF(C187=1,MAX($V$2:$V186)+1,IF(AND($T187&lt;&gt;"",$T187=$T186),$U186,IF(C187="x",V186,"")))</f>
        <v/>
      </c>
      <c r="W187" t="str" cm="1">
        <f t="array" ref="W187">IFERROR(_xlfn._xlws.FILTER(game_rosters!AB:AB,(game_rosters!J:J=events!X187)*(K187&lt;&gt;"")),"")</f>
        <v/>
      </c>
      <c r="X187" t="str" cm="1">
        <f t="array" ref="X187">IF(S187="","",IF($I187&lt;&gt;"",$I187,INDEX($I$2:$I186,ROW()-COUNTIFS($T$2:$T186,"="&amp;$T187,$S$2:$S186,"&lt;&gt;"&amp;$S187)-1)))</f>
        <v/>
      </c>
      <c r="Z187" s="6"/>
      <c r="AH187" t="str">
        <f t="shared" si="61"/>
        <v>o</v>
      </c>
      <c r="AI187" t="str">
        <f t="shared" si="68"/>
        <v/>
      </c>
      <c r="AJ187" t="str">
        <f t="shared" si="69"/>
        <v/>
      </c>
      <c r="AK187" t="str">
        <f t="shared" si="62"/>
        <v/>
      </c>
      <c r="AL187" t="str">
        <f t="shared" si="63"/>
        <v/>
      </c>
      <c r="AM187" t="str">
        <f t="shared" si="64"/>
        <v/>
      </c>
      <c r="AN187" t="str">
        <f t="shared" si="70"/>
        <v/>
      </c>
      <c r="AO187" t="str">
        <f t="shared" si="71"/>
        <v/>
      </c>
      <c r="AP187" t="str">
        <f t="shared" si="72"/>
        <v/>
      </c>
      <c r="AQ187" t="str">
        <f t="shared" si="73"/>
        <v/>
      </c>
      <c r="AR187" t="str">
        <f t="shared" si="74"/>
        <v/>
      </c>
      <c r="AS187" t="str">
        <f t="shared" si="65"/>
        <v>Defensive</v>
      </c>
      <c r="BI187" s="40"/>
      <c r="BL187" s="40"/>
      <c r="BN187" s="19"/>
      <c r="BP187" s="17"/>
    </row>
    <row r="188" spans="1:68" x14ac:dyDescent="0.2">
      <c r="A188" t="str">
        <f t="shared" si="66"/>
        <v/>
      </c>
      <c r="E188" s="4"/>
      <c r="F188" s="45"/>
      <c r="G188" s="4"/>
      <c r="H188" s="48"/>
      <c r="J188" s="46" t="str">
        <f t="shared" si="67"/>
        <v/>
      </c>
      <c r="N188" t="str">
        <f t="shared" si="76"/>
        <v/>
      </c>
      <c r="Q188" t="str">
        <f t="shared" si="75"/>
        <v/>
      </c>
      <c r="S188" t="str">
        <f>IF(A188=1,MAX(S$2:S187)+1,IF(OR(I188&lt;&gt;"",A188="x"),S187,""))</f>
        <v/>
      </c>
      <c r="T188" t="str">
        <f>IF(D188=1,MAX($T$2:$T187)+1,IF(S188=$S187,$S187,IF($D188="x",T187,IF($D187="x","",""))))</f>
        <v/>
      </c>
      <c r="U188" t="str">
        <f>IF(B188=1,MAX($U$2:$U187)+1,IF(AND($T188&lt;&gt;"",$T188=$T187),$U187,IF(B188="x",U187,"")))</f>
        <v/>
      </c>
      <c r="V188" t="str">
        <f>IF(C188=1,MAX($V$2:$V187)+1,IF(AND($T188&lt;&gt;"",$T188=$T187),$U187,IF(C188="x",V187,"")))</f>
        <v/>
      </c>
      <c r="W188" t="str" cm="1">
        <f t="array" ref="W188">IFERROR(_xlfn._xlws.FILTER(game_rosters!AB:AB,(game_rosters!J:J=events!X188)*(K188&lt;&gt;"")),"")</f>
        <v/>
      </c>
      <c r="X188" t="str" cm="1">
        <f t="array" ref="X188">IF(S188="","",IF($I188&lt;&gt;"",$I188,INDEX($I$2:$I187,ROW()-COUNTIFS($T$2:$T187,"="&amp;$T188,$S$2:$S187,"&lt;&gt;"&amp;$S188)-1)))</f>
        <v/>
      </c>
      <c r="Z188" s="6"/>
      <c r="AH188" t="str">
        <f t="shared" si="61"/>
        <v>o</v>
      </c>
      <c r="AI188" t="str">
        <f t="shared" si="68"/>
        <v/>
      </c>
      <c r="AJ188" t="str">
        <f t="shared" si="69"/>
        <v/>
      </c>
      <c r="AK188" t="str">
        <f t="shared" si="62"/>
        <v/>
      </c>
      <c r="AL188" t="str">
        <f t="shared" si="63"/>
        <v/>
      </c>
      <c r="AM188" t="str">
        <f t="shared" si="64"/>
        <v/>
      </c>
      <c r="AN188" t="str">
        <f t="shared" si="70"/>
        <v/>
      </c>
      <c r="AO188" t="str">
        <f t="shared" si="71"/>
        <v/>
      </c>
      <c r="AP188" t="str">
        <f t="shared" si="72"/>
        <v/>
      </c>
      <c r="AQ188" t="str">
        <f t="shared" si="73"/>
        <v/>
      </c>
      <c r="AR188" t="str">
        <f t="shared" si="74"/>
        <v/>
      </c>
      <c r="AS188" t="str">
        <f t="shared" si="65"/>
        <v>Defensive</v>
      </c>
      <c r="BI188" s="40"/>
      <c r="BL188" s="40"/>
      <c r="BN188" s="19"/>
      <c r="BP188" s="17"/>
    </row>
    <row r="189" spans="1:68" x14ac:dyDescent="0.2">
      <c r="A189" t="str">
        <f t="shared" si="66"/>
        <v/>
      </c>
      <c r="E189" s="4"/>
      <c r="F189" s="45"/>
      <c r="G189" s="4"/>
      <c r="H189" s="48"/>
      <c r="J189" s="46" t="str">
        <f t="shared" si="67"/>
        <v/>
      </c>
      <c r="N189" t="str">
        <f t="shared" si="76"/>
        <v/>
      </c>
      <c r="Q189" t="str">
        <f t="shared" si="75"/>
        <v/>
      </c>
      <c r="S189" t="str">
        <f>IF(A189=1,MAX(S$2:S188)+1,IF(OR(I189&lt;&gt;"",A189="x"),S188,""))</f>
        <v/>
      </c>
      <c r="T189" t="str">
        <f>IF(D189=1,MAX($T$2:$T188)+1,IF(S189=$S188,$S188,IF($D189="x",T188,IF($D188="x","",""))))</f>
        <v/>
      </c>
      <c r="U189" t="str">
        <f>IF(B189=1,MAX($U$2:$U188)+1,IF(AND($T189&lt;&gt;"",$T189=$T188),$U188,IF(B189="x",U188,"")))</f>
        <v/>
      </c>
      <c r="V189" t="str">
        <f>IF(C189=1,MAX($V$2:$V188)+1,IF(AND($T189&lt;&gt;"",$T189=$T188),$U188,IF(C189="x",V188,"")))</f>
        <v/>
      </c>
      <c r="W189" t="str" cm="1">
        <f t="array" ref="W189">IFERROR(_xlfn._xlws.FILTER(game_rosters!AB:AB,(game_rosters!J:J=events!X189)*(K189&lt;&gt;"")),"")</f>
        <v/>
      </c>
      <c r="X189" t="str" cm="1">
        <f t="array" ref="X189">IF(S189="","",IF($I189&lt;&gt;"",$I189,INDEX($I$2:$I188,ROW()-COUNTIFS($T$2:$T188,"="&amp;$T189,$S$2:$S188,"&lt;&gt;"&amp;$S189)-1)))</f>
        <v/>
      </c>
      <c r="Z189" s="6"/>
      <c r="AH189" t="str">
        <f t="shared" si="61"/>
        <v>o</v>
      </c>
      <c r="AI189" t="str">
        <f t="shared" si="68"/>
        <v/>
      </c>
      <c r="AJ189" t="str">
        <f t="shared" si="69"/>
        <v/>
      </c>
      <c r="AK189" t="str">
        <f t="shared" si="62"/>
        <v/>
      </c>
      <c r="AL189" t="str">
        <f t="shared" si="63"/>
        <v/>
      </c>
      <c r="AM189" t="str">
        <f t="shared" si="64"/>
        <v/>
      </c>
      <c r="AN189" t="str">
        <f t="shared" si="70"/>
        <v/>
      </c>
      <c r="AO189" t="str">
        <f t="shared" si="71"/>
        <v/>
      </c>
      <c r="AP189" t="str">
        <f t="shared" si="72"/>
        <v/>
      </c>
      <c r="AQ189" t="str">
        <f t="shared" si="73"/>
        <v/>
      </c>
      <c r="AR189" t="str">
        <f t="shared" si="74"/>
        <v/>
      </c>
      <c r="AS189" t="str">
        <f t="shared" si="65"/>
        <v>Defensive</v>
      </c>
      <c r="BI189" s="40"/>
      <c r="BL189" s="40"/>
      <c r="BN189" s="19"/>
      <c r="BP189" s="17"/>
    </row>
    <row r="190" spans="1:68" x14ac:dyDescent="0.2">
      <c r="A190" t="str">
        <f t="shared" si="66"/>
        <v/>
      </c>
      <c r="E190" s="4"/>
      <c r="F190" s="45"/>
      <c r="G190" s="4"/>
      <c r="H190" s="48"/>
      <c r="J190" s="46" t="str">
        <f t="shared" si="67"/>
        <v/>
      </c>
      <c r="N190" t="str">
        <f t="shared" si="76"/>
        <v/>
      </c>
      <c r="Q190" t="str">
        <f t="shared" si="75"/>
        <v/>
      </c>
      <c r="S190" t="str">
        <f>IF(A190=1,MAX(S$2:S189)+1,IF(OR(I190&lt;&gt;"",A190="x"),S189,""))</f>
        <v/>
      </c>
      <c r="T190" t="str">
        <f>IF(D190=1,MAX($T$2:$T189)+1,IF(S190=$S189,$S189,IF($D190="x",T189,IF($D189="x","",""))))</f>
        <v/>
      </c>
      <c r="U190" t="str">
        <f>IF(B190=1,MAX($U$2:$U189)+1,IF(AND($T190&lt;&gt;"",$T190=$T189),$U189,IF(B190="x",U189,"")))</f>
        <v/>
      </c>
      <c r="V190" t="str">
        <f>IF(C190=1,MAX($V$2:$V189)+1,IF(AND($T190&lt;&gt;"",$T190=$T189),$U189,IF(C190="x",V189,"")))</f>
        <v/>
      </c>
      <c r="W190" t="str" cm="1">
        <f t="array" ref="W190">IFERROR(_xlfn._xlws.FILTER(game_rosters!AB:AB,(game_rosters!J:J=events!X190)*(K190&lt;&gt;"")),"")</f>
        <v/>
      </c>
      <c r="X190" t="str" cm="1">
        <f t="array" ref="X190">IF(S190="","",IF($I190&lt;&gt;"",$I190,INDEX($I$2:$I189,ROW()-COUNTIFS($T$2:$T189,"="&amp;$T190,$S$2:$S189,"&lt;&gt;"&amp;$S190)-1)))</f>
        <v/>
      </c>
      <c r="Z190" s="6"/>
      <c r="AH190" t="str">
        <f t="shared" si="61"/>
        <v>o</v>
      </c>
      <c r="AI190" t="str">
        <f t="shared" si="68"/>
        <v/>
      </c>
      <c r="AJ190" t="str">
        <f t="shared" si="69"/>
        <v/>
      </c>
      <c r="AK190" t="str">
        <f t="shared" si="62"/>
        <v/>
      </c>
      <c r="AL190" t="str">
        <f t="shared" si="63"/>
        <v/>
      </c>
      <c r="AM190" t="str">
        <f t="shared" si="64"/>
        <v/>
      </c>
      <c r="AN190" t="str">
        <f t="shared" si="70"/>
        <v/>
      </c>
      <c r="AO190" t="str">
        <f t="shared" si="71"/>
        <v/>
      </c>
      <c r="AP190" t="str">
        <f t="shared" si="72"/>
        <v/>
      </c>
      <c r="AQ190" t="str">
        <f t="shared" si="73"/>
        <v/>
      </c>
      <c r="AR190" t="str">
        <f t="shared" si="74"/>
        <v/>
      </c>
      <c r="AS190" t="str">
        <f t="shared" si="65"/>
        <v>Defensive</v>
      </c>
      <c r="BI190" s="40"/>
      <c r="BL190" s="40"/>
      <c r="BN190" s="19"/>
      <c r="BP190" s="17"/>
    </row>
    <row r="191" spans="1:68" x14ac:dyDescent="0.2">
      <c r="A191" t="str">
        <f t="shared" si="66"/>
        <v/>
      </c>
      <c r="E191" s="4"/>
      <c r="F191" s="45"/>
      <c r="G191" s="4"/>
      <c r="H191" s="48"/>
      <c r="J191" s="46" t="str">
        <f t="shared" si="67"/>
        <v/>
      </c>
      <c r="N191" t="str">
        <f t="shared" si="76"/>
        <v/>
      </c>
      <c r="Q191" t="str">
        <f t="shared" si="75"/>
        <v/>
      </c>
      <c r="S191" t="str">
        <f>IF(A191=1,MAX(S$2:S190)+1,IF(OR(I191&lt;&gt;"",A191="x"),S190,""))</f>
        <v/>
      </c>
      <c r="T191" t="str">
        <f>IF(D191=1,MAX($T$2:$T190)+1,IF(S191=$S190,$S190,IF($D191="x",T190,IF($D190="x","",""))))</f>
        <v/>
      </c>
      <c r="U191" t="str">
        <f>IF(B191=1,MAX($U$2:$U190)+1,IF(AND($T191&lt;&gt;"",$T191=$T190),$U190,IF(B191="x",U190,"")))</f>
        <v/>
      </c>
      <c r="V191" t="str">
        <f>IF(C191=1,MAX($V$2:$V190)+1,IF(AND($T191&lt;&gt;"",$T191=$T190),$U190,IF(C191="x",V190,"")))</f>
        <v/>
      </c>
      <c r="W191" t="str" cm="1">
        <f t="array" ref="W191">IFERROR(_xlfn._xlws.FILTER(game_rosters!AB:AB,(game_rosters!J:J=events!X191)*(K191&lt;&gt;"")),"")</f>
        <v/>
      </c>
      <c r="X191" t="str" cm="1">
        <f t="array" ref="X191">IF(S191="","",IF($I191&lt;&gt;"",$I191,INDEX($I$2:$I190,ROW()-COUNTIFS($T$2:$T190,"="&amp;$T191,$S$2:$S190,"&lt;&gt;"&amp;$S191)-1)))</f>
        <v/>
      </c>
      <c r="Z191" s="6"/>
      <c r="AH191" t="str">
        <f t="shared" si="61"/>
        <v>o</v>
      </c>
      <c r="AI191" t="str">
        <f t="shared" si="68"/>
        <v/>
      </c>
      <c r="AJ191" t="str">
        <f t="shared" si="69"/>
        <v/>
      </c>
      <c r="AK191" t="str">
        <f t="shared" si="62"/>
        <v/>
      </c>
      <c r="AL191" t="str">
        <f t="shared" si="63"/>
        <v/>
      </c>
      <c r="AM191" t="str">
        <f t="shared" si="64"/>
        <v/>
      </c>
      <c r="AN191" t="str">
        <f t="shared" si="70"/>
        <v/>
      </c>
      <c r="AO191" t="str">
        <f t="shared" si="71"/>
        <v/>
      </c>
      <c r="AP191" t="str">
        <f t="shared" si="72"/>
        <v/>
      </c>
      <c r="AQ191" t="str">
        <f t="shared" si="73"/>
        <v/>
      </c>
      <c r="AR191" t="str">
        <f t="shared" si="74"/>
        <v/>
      </c>
      <c r="AS191" t="str">
        <f t="shared" si="65"/>
        <v>Defensive</v>
      </c>
      <c r="BI191" s="40"/>
      <c r="BL191" s="40"/>
      <c r="BN191" s="19"/>
      <c r="BP191" s="17"/>
    </row>
    <row r="192" spans="1:68" x14ac:dyDescent="0.2">
      <c r="A192" t="str">
        <f t="shared" si="66"/>
        <v/>
      </c>
      <c r="E192" s="4"/>
      <c r="F192" s="45"/>
      <c r="G192" s="4"/>
      <c r="H192" s="48"/>
      <c r="J192" s="46" t="str">
        <f t="shared" si="67"/>
        <v/>
      </c>
      <c r="N192" t="str">
        <f t="shared" si="76"/>
        <v/>
      </c>
      <c r="Q192" t="str">
        <f t="shared" si="75"/>
        <v/>
      </c>
      <c r="S192" t="str">
        <f>IF(A192=1,MAX(S$2:S191)+1,IF(OR(I192&lt;&gt;"",A192="x"),S191,""))</f>
        <v/>
      </c>
      <c r="T192" t="str">
        <f>IF(D192=1,MAX($T$2:$T191)+1,IF(S192=$S191,$S191,IF($D192="x",T191,IF($D191="x","",""))))</f>
        <v/>
      </c>
      <c r="U192" t="str">
        <f>IF(B192=1,MAX($U$2:$U191)+1,IF(AND($T192&lt;&gt;"",$T192=$T191),$U191,IF(B192="x",U191,"")))</f>
        <v/>
      </c>
      <c r="V192" t="str">
        <f>IF(C192=1,MAX($V$2:$V191)+1,IF(AND($T192&lt;&gt;"",$T192=$T191),$U191,IF(C192="x",V191,"")))</f>
        <v/>
      </c>
      <c r="W192" t="str" cm="1">
        <f t="array" ref="W192">IFERROR(_xlfn._xlws.FILTER(game_rosters!AB:AB,(game_rosters!J:J=events!X192)*(K192&lt;&gt;"")),"")</f>
        <v/>
      </c>
      <c r="X192" t="str" cm="1">
        <f t="array" ref="X192">IF(S192="","",IF($I192&lt;&gt;"",$I192,INDEX($I$2:$I191,ROW()-COUNTIFS($T$2:$T191,"="&amp;$T192,$S$2:$S191,"&lt;&gt;"&amp;$S192)-1)))</f>
        <v/>
      </c>
      <c r="Z192" s="6"/>
      <c r="AH192" t="str">
        <f t="shared" ref="AH192:AH255" si="77">IF(Y192="x","",IF(Y192=1,"e","o"))</f>
        <v>o</v>
      </c>
      <c r="AI192" t="str">
        <f t="shared" si="68"/>
        <v/>
      </c>
      <c r="AJ192" t="str">
        <f t="shared" si="69"/>
        <v/>
      </c>
      <c r="AK192" t="str">
        <f t="shared" ref="AK192:AK255" si="78">IF($W192="","",IF($AI192="","",IF($W192="h",$AI192,IF($AI192="n","n",IF(AND($W192="a",$AI192="d"),"o",IF(AND($W192="a",$AI192="o"),"d"))))))</f>
        <v/>
      </c>
      <c r="AL192" t="str">
        <f t="shared" ref="AL192:AL255" si="79">IF($W192="","",IF(J192="","",IF(AK192="n","n",IF(AK192="d","o",IF(AK192="o","d","")))))</f>
        <v/>
      </c>
      <c r="AM192" t="str">
        <f t="shared" ref="AM192:AM255" si="80">IF(AN192="H","Home",IF(AN192="A","Away",""))</f>
        <v/>
      </c>
      <c r="AN192" t="str">
        <f t="shared" si="70"/>
        <v/>
      </c>
      <c r="AO192" t="str">
        <f t="shared" si="71"/>
        <v/>
      </c>
      <c r="AP192" t="str">
        <f t="shared" si="72"/>
        <v/>
      </c>
      <c r="AQ192" t="str">
        <f t="shared" si="73"/>
        <v/>
      </c>
      <c r="AR192" t="str">
        <f t="shared" si="74"/>
        <v/>
      </c>
      <c r="AS192" t="str">
        <f t="shared" ref="AS192:AS255" si="81">IF(AND(AH192="e",OR(BD192="Save",BE192="Turnover_Takeaway",BE192="Play_Defensive")),"Defensive",IF(AND(AH192="o",OR(BD192="Save",BE192="Turnover_Takeaway",BE192="Play_Defensive")),"Offensive",IF(OR(BD192="Deadice",BD192="Stoppage",BD192="Intermission"),"",IF(AH192="e","Offensive",IF(AH192="o","Defensive","")))))</f>
        <v>Defensive</v>
      </c>
      <c r="BI192" s="40"/>
      <c r="BL192" s="40"/>
      <c r="BN192" s="19"/>
      <c r="BP192" s="17"/>
    </row>
    <row r="193" spans="1:68" x14ac:dyDescent="0.2">
      <c r="A193" t="str">
        <f t="shared" si="66"/>
        <v/>
      </c>
      <c r="E193" s="4"/>
      <c r="F193" s="45"/>
      <c r="G193" s="4"/>
      <c r="H193" s="48"/>
      <c r="J193" s="46" t="str">
        <f t="shared" si="67"/>
        <v/>
      </c>
      <c r="N193" t="str">
        <f t="shared" si="76"/>
        <v/>
      </c>
      <c r="Q193" t="str">
        <f t="shared" si="75"/>
        <v/>
      </c>
      <c r="S193" t="str">
        <f>IF(A193=1,MAX(S$2:S192)+1,IF(OR(I193&lt;&gt;"",A193="x"),S192,""))</f>
        <v/>
      </c>
      <c r="T193" t="str">
        <f>IF(D193=1,MAX($T$2:$T192)+1,IF(S193=$S192,$S192,IF($D193="x",T192,IF($D192="x","",""))))</f>
        <v/>
      </c>
      <c r="U193" t="str">
        <f>IF(B193=1,MAX($U$2:$U192)+1,IF(AND($T193&lt;&gt;"",$T193=$T192),$U192,IF(B193="x",U192,"")))</f>
        <v/>
      </c>
      <c r="V193" t="str">
        <f>IF(C193=1,MAX($V$2:$V192)+1,IF(AND($T193&lt;&gt;"",$T193=$T192),$U192,IF(C193="x",V192,"")))</f>
        <v/>
      </c>
      <c r="W193" t="str" cm="1">
        <f t="array" ref="W193">IFERROR(_xlfn._xlws.FILTER(game_rosters!AB:AB,(game_rosters!J:J=events!X193)*(K193&lt;&gt;"")),"")</f>
        <v/>
      </c>
      <c r="X193" t="str" cm="1">
        <f t="array" ref="X193">IF(S193="","",IF($I193&lt;&gt;"",$I193,INDEX($I$2:$I192,ROW()-COUNTIFS($T$2:$T192,"="&amp;$T193,$S$2:$S192,"&lt;&gt;"&amp;$S193)-1)))</f>
        <v/>
      </c>
      <c r="Z193" s="6"/>
      <c r="AH193" t="str">
        <f t="shared" si="77"/>
        <v>o</v>
      </c>
      <c r="AI193" t="str">
        <f t="shared" si="68"/>
        <v/>
      </c>
      <c r="AJ193" t="str">
        <f t="shared" si="69"/>
        <v/>
      </c>
      <c r="AK193" t="str">
        <f t="shared" si="78"/>
        <v/>
      </c>
      <c r="AL193" t="str">
        <f t="shared" si="79"/>
        <v/>
      </c>
      <c r="AM193" t="str">
        <f t="shared" si="80"/>
        <v/>
      </c>
      <c r="AN193" t="str">
        <f t="shared" si="70"/>
        <v/>
      </c>
      <c r="AO193" t="str">
        <f t="shared" si="71"/>
        <v/>
      </c>
      <c r="AP193" t="str">
        <f t="shared" si="72"/>
        <v/>
      </c>
      <c r="AQ193" t="str">
        <f t="shared" si="73"/>
        <v/>
      </c>
      <c r="AR193" t="str">
        <f t="shared" si="74"/>
        <v/>
      </c>
      <c r="AS193" t="str">
        <f t="shared" si="81"/>
        <v>Defensive</v>
      </c>
      <c r="BI193" s="40"/>
      <c r="BL193" s="40"/>
      <c r="BN193" s="19"/>
      <c r="BP193" s="17"/>
    </row>
    <row r="194" spans="1:68" x14ac:dyDescent="0.2">
      <c r="A194" t="str">
        <f t="shared" si="66"/>
        <v/>
      </c>
      <c r="E194" s="4"/>
      <c r="F194" s="45"/>
      <c r="G194" s="4"/>
      <c r="H194" s="48"/>
      <c r="J194" s="46" t="str">
        <f t="shared" si="67"/>
        <v/>
      </c>
      <c r="N194" t="str">
        <f t="shared" si="76"/>
        <v/>
      </c>
      <c r="Q194" t="str">
        <f t="shared" si="75"/>
        <v/>
      </c>
      <c r="S194" t="str">
        <f>IF(A194=1,MAX(S$2:S193)+1,IF(OR(I194&lt;&gt;"",A194="x"),S193,""))</f>
        <v/>
      </c>
      <c r="T194" t="str">
        <f>IF(D194=1,MAX($T$2:$T193)+1,IF(S194=$S193,$S193,IF($D194="x",T193,IF($D193="x","",""))))</f>
        <v/>
      </c>
      <c r="U194" t="str">
        <f>IF(B194=1,MAX($U$2:$U193)+1,IF(AND($T194&lt;&gt;"",$T194=$T193),$U193,IF(B194="x",U193,"")))</f>
        <v/>
      </c>
      <c r="V194" t="str">
        <f>IF(C194=1,MAX($V$2:$V193)+1,IF(AND($T194&lt;&gt;"",$T194=$T193),$U193,IF(C194="x",V193,"")))</f>
        <v/>
      </c>
      <c r="W194" t="str" cm="1">
        <f t="array" ref="W194">IFERROR(_xlfn._xlws.FILTER(game_rosters!AB:AB,(game_rosters!J:J=events!X194)*(K194&lt;&gt;"")),"")</f>
        <v/>
      </c>
      <c r="X194" t="str" cm="1">
        <f t="array" ref="X194">IF(S194="","",IF($I194&lt;&gt;"",$I194,INDEX($I$2:$I193,ROW()-COUNTIFS($T$2:$T193,"="&amp;$T194,$S$2:$S193,"&lt;&gt;"&amp;$S194)-1)))</f>
        <v/>
      </c>
      <c r="Z194" s="6"/>
      <c r="AH194" t="str">
        <f t="shared" si="77"/>
        <v>o</v>
      </c>
      <c r="AI194" t="str">
        <f t="shared" si="68"/>
        <v/>
      </c>
      <c r="AJ194" t="str">
        <f t="shared" si="69"/>
        <v/>
      </c>
      <c r="AK194" t="str">
        <f t="shared" si="78"/>
        <v/>
      </c>
      <c r="AL194" t="str">
        <f t="shared" si="79"/>
        <v/>
      </c>
      <c r="AM194" t="str">
        <f t="shared" si="80"/>
        <v/>
      </c>
      <c r="AN194" t="str">
        <f t="shared" si="70"/>
        <v/>
      </c>
      <c r="AO194" t="str">
        <f t="shared" si="71"/>
        <v/>
      </c>
      <c r="AP194" t="str">
        <f t="shared" si="72"/>
        <v/>
      </c>
      <c r="AQ194" t="str">
        <f t="shared" si="73"/>
        <v/>
      </c>
      <c r="AR194" t="str">
        <f t="shared" si="74"/>
        <v/>
      </c>
      <c r="AS194" t="str">
        <f t="shared" si="81"/>
        <v>Defensive</v>
      </c>
      <c r="BI194" s="40"/>
      <c r="BL194" s="40"/>
      <c r="BN194" s="19"/>
      <c r="BP194" s="17"/>
    </row>
    <row r="195" spans="1:68" x14ac:dyDescent="0.2">
      <c r="A195" t="str">
        <f t="shared" si="66"/>
        <v/>
      </c>
      <c r="E195" s="4"/>
      <c r="F195" s="45"/>
      <c r="G195" s="4"/>
      <c r="H195" s="48"/>
      <c r="J195" s="46" t="str">
        <f t="shared" si="67"/>
        <v/>
      </c>
      <c r="N195" t="str">
        <f t="shared" si="76"/>
        <v/>
      </c>
      <c r="Q195" t="str">
        <f t="shared" si="75"/>
        <v/>
      </c>
      <c r="S195" t="str">
        <f>IF(A195=1,MAX(S$2:S194)+1,IF(OR(I195&lt;&gt;"",A195="x"),S194,""))</f>
        <v/>
      </c>
      <c r="T195" t="str">
        <f>IF(D195=1,MAX($T$2:$T194)+1,IF(S195=$S194,$S194,IF($D195="x",T194,IF($D194="x","",""))))</f>
        <v/>
      </c>
      <c r="U195" t="str">
        <f>IF(B195=1,MAX($U$2:$U194)+1,IF(AND($T195&lt;&gt;"",$T195=$T194),$U194,IF(B195="x",U194,"")))</f>
        <v/>
      </c>
      <c r="V195" t="str">
        <f>IF(C195=1,MAX($V$2:$V194)+1,IF(AND($T195&lt;&gt;"",$T195=$T194),$U194,IF(C195="x",V194,"")))</f>
        <v/>
      </c>
      <c r="W195" t="str" cm="1">
        <f t="array" ref="W195">IFERROR(_xlfn._xlws.FILTER(game_rosters!AB:AB,(game_rosters!J:J=events!X195)*(K195&lt;&gt;"")),"")</f>
        <v/>
      </c>
      <c r="X195" t="str" cm="1">
        <f t="array" ref="X195">IF(S195="","",IF($I195&lt;&gt;"",$I195,INDEX($I$2:$I194,ROW()-COUNTIFS($T$2:$T194,"="&amp;$T195,$S$2:$S194,"&lt;&gt;"&amp;$S195)-1)))</f>
        <v/>
      </c>
      <c r="Z195" s="6"/>
      <c r="AH195" t="str">
        <f t="shared" si="77"/>
        <v>o</v>
      </c>
      <c r="AI195" t="str">
        <f t="shared" si="68"/>
        <v/>
      </c>
      <c r="AJ195" t="str">
        <f t="shared" si="69"/>
        <v/>
      </c>
      <c r="AK195" t="str">
        <f t="shared" si="78"/>
        <v/>
      </c>
      <c r="AL195" t="str">
        <f t="shared" si="79"/>
        <v/>
      </c>
      <c r="AM195" t="str">
        <f t="shared" si="80"/>
        <v/>
      </c>
      <c r="AN195" t="str">
        <f t="shared" si="70"/>
        <v/>
      </c>
      <c r="AO195" t="str">
        <f t="shared" si="71"/>
        <v/>
      </c>
      <c r="AP195" t="str">
        <f t="shared" si="72"/>
        <v/>
      </c>
      <c r="AQ195" t="str">
        <f t="shared" si="73"/>
        <v/>
      </c>
      <c r="AR195" t="str">
        <f t="shared" si="74"/>
        <v/>
      </c>
      <c r="AS195" t="str">
        <f t="shared" si="81"/>
        <v>Defensive</v>
      </c>
      <c r="BI195" s="40"/>
      <c r="BL195" s="40"/>
      <c r="BN195" s="19"/>
      <c r="BP195" s="17"/>
    </row>
    <row r="196" spans="1:68" x14ac:dyDescent="0.2">
      <c r="A196" t="str">
        <f t="shared" si="66"/>
        <v/>
      </c>
      <c r="E196" s="4"/>
      <c r="F196" s="45"/>
      <c r="G196" s="4"/>
      <c r="H196" s="48"/>
      <c r="J196" s="46" t="str">
        <f t="shared" si="67"/>
        <v/>
      </c>
      <c r="N196" t="str">
        <f t="shared" si="76"/>
        <v/>
      </c>
      <c r="Q196" t="str">
        <f t="shared" si="75"/>
        <v/>
      </c>
      <c r="S196" t="str">
        <f>IF(A196=1,MAX(S$2:S195)+1,IF(OR(I196&lt;&gt;"",A196="x"),S195,""))</f>
        <v/>
      </c>
      <c r="T196" t="str">
        <f>IF(D196=1,MAX($T$2:$T195)+1,IF(S196=$S195,$S195,IF($D196="x",T195,IF($D195="x","",""))))</f>
        <v/>
      </c>
      <c r="U196" t="str">
        <f>IF(B196=1,MAX($U$2:$U195)+1,IF(AND($T196&lt;&gt;"",$T196=$T195),$U195,IF(B196="x",U195,"")))</f>
        <v/>
      </c>
      <c r="V196" t="str">
        <f>IF(C196=1,MAX($V$2:$V195)+1,IF(AND($T196&lt;&gt;"",$T196=$T195),$U195,IF(C196="x",V195,"")))</f>
        <v/>
      </c>
      <c r="W196" t="str" cm="1">
        <f t="array" ref="W196">IFERROR(_xlfn._xlws.FILTER(game_rosters!AB:AB,(game_rosters!J:J=events!X196)*(K196&lt;&gt;"")),"")</f>
        <v/>
      </c>
      <c r="X196" t="str" cm="1">
        <f t="array" ref="X196">IF(S196="","",IF($I196&lt;&gt;"",$I196,INDEX($I$2:$I195,ROW()-COUNTIFS($T$2:$T195,"="&amp;$T196,$S$2:$S195,"&lt;&gt;"&amp;$S196)-1)))</f>
        <v/>
      </c>
      <c r="Z196" s="6"/>
      <c r="AH196" t="str">
        <f t="shared" si="77"/>
        <v>o</v>
      </c>
      <c r="AI196" t="str">
        <f t="shared" si="68"/>
        <v/>
      </c>
      <c r="AJ196" t="str">
        <f t="shared" si="69"/>
        <v/>
      </c>
      <c r="AK196" t="str">
        <f t="shared" si="78"/>
        <v/>
      </c>
      <c r="AL196" t="str">
        <f t="shared" si="79"/>
        <v/>
      </c>
      <c r="AM196" t="str">
        <f t="shared" si="80"/>
        <v/>
      </c>
      <c r="AN196" t="str">
        <f t="shared" si="70"/>
        <v/>
      </c>
      <c r="AO196" t="str">
        <f t="shared" si="71"/>
        <v/>
      </c>
      <c r="AP196" t="str">
        <f t="shared" si="72"/>
        <v/>
      </c>
      <c r="AQ196" t="str">
        <f t="shared" si="73"/>
        <v/>
      </c>
      <c r="AR196" t="str">
        <f t="shared" si="74"/>
        <v/>
      </c>
      <c r="AS196" t="str">
        <f t="shared" si="81"/>
        <v>Defensive</v>
      </c>
      <c r="BI196" s="40"/>
      <c r="BL196" s="40"/>
      <c r="BN196" s="19"/>
      <c r="BP196" s="17"/>
    </row>
    <row r="197" spans="1:68" x14ac:dyDescent="0.2">
      <c r="A197" t="str">
        <f t="shared" ref="A197:A260" si="82">IF(K197&lt;&gt;"",1,IF(D197="x","x",""))</f>
        <v/>
      </c>
      <c r="E197" s="4"/>
      <c r="F197" s="45"/>
      <c r="G197" s="4"/>
      <c r="H197" s="48"/>
      <c r="J197" s="46" t="str">
        <f t="shared" si="67"/>
        <v/>
      </c>
      <c r="N197" t="str">
        <f t="shared" si="76"/>
        <v/>
      </c>
      <c r="Q197" t="str">
        <f t="shared" si="75"/>
        <v/>
      </c>
      <c r="S197" t="str">
        <f>IF(A197=1,MAX(S$2:S196)+1,IF(OR(I197&lt;&gt;"",A197="x"),S196,""))</f>
        <v/>
      </c>
      <c r="T197" t="str">
        <f>IF(D197=1,MAX($T$2:$T196)+1,IF(S197=$S196,$S196,IF($D197="x",T196,IF($D196="x","",""))))</f>
        <v/>
      </c>
      <c r="U197" t="str">
        <f>IF(B197=1,MAX($U$2:$U196)+1,IF(AND($T197&lt;&gt;"",$T197=$T196),$U196,IF(B197="x",U196,"")))</f>
        <v/>
      </c>
      <c r="V197" t="str">
        <f>IF(C197=1,MAX($V$2:$V196)+1,IF(AND($T197&lt;&gt;"",$T197=$T196),$U196,IF(C197="x",V196,"")))</f>
        <v/>
      </c>
      <c r="W197" t="str" cm="1">
        <f t="array" ref="W197">IFERROR(_xlfn._xlws.FILTER(game_rosters!AB:AB,(game_rosters!J:J=events!X197)*(K197&lt;&gt;"")),"")</f>
        <v/>
      </c>
      <c r="X197" t="str" cm="1">
        <f t="array" ref="X197">IF(S197="","",IF($I197&lt;&gt;"",$I197,INDEX($I$2:$I196,ROW()-COUNTIFS($T$2:$T196,"="&amp;$T197,$S$2:$S196,"&lt;&gt;"&amp;$S197)-1)))</f>
        <v/>
      </c>
      <c r="Z197" s="6"/>
      <c r="AH197" t="str">
        <f t="shared" si="77"/>
        <v>o</v>
      </c>
      <c r="AI197" t="str">
        <f t="shared" si="68"/>
        <v/>
      </c>
      <c r="AJ197" t="str">
        <f t="shared" si="69"/>
        <v/>
      </c>
      <c r="AK197" t="str">
        <f t="shared" si="78"/>
        <v/>
      </c>
      <c r="AL197" t="str">
        <f t="shared" si="79"/>
        <v/>
      </c>
      <c r="AM197" t="str">
        <f t="shared" si="80"/>
        <v/>
      </c>
      <c r="AN197" t="str">
        <f t="shared" si="70"/>
        <v/>
      </c>
      <c r="AO197" t="str">
        <f t="shared" si="71"/>
        <v/>
      </c>
      <c r="AP197" t="str">
        <f t="shared" si="72"/>
        <v/>
      </c>
      <c r="AQ197" t="str">
        <f t="shared" si="73"/>
        <v/>
      </c>
      <c r="AR197" t="str">
        <f t="shared" si="74"/>
        <v/>
      </c>
      <c r="AS197" t="str">
        <f t="shared" si="81"/>
        <v>Defensive</v>
      </c>
      <c r="BI197" s="40"/>
      <c r="BL197" s="40"/>
      <c r="BN197" s="19"/>
      <c r="BP197" s="17"/>
    </row>
    <row r="198" spans="1:68" x14ac:dyDescent="0.2">
      <c r="A198" t="str">
        <f t="shared" si="82"/>
        <v/>
      </c>
      <c r="E198" s="4"/>
      <c r="F198" s="45"/>
      <c r="G198" s="4"/>
      <c r="H198" s="48"/>
      <c r="J198" s="46" t="str">
        <f t="shared" ref="J198:J261" si="83">IF(OR(K198="Goal",K198="Shot",L198="Zone_Entry",M198="Stoppage-Goal",M197="Stoppage-Goal"),"o",IF(OR(K198="Save",K198="Rebound",L198="Zone_Exit",M198="Stoppage-GoalieStoppage",M197="Stoppage-GoalieStoppage"),"d",IF(OR(L198="Faceoff_AfterGoal",L198="Faceoff_PeriodStart",698="Faceoff_GameStart",M197="Stoppage-Goal"),"n","")))</f>
        <v/>
      </c>
      <c r="N198" t="str">
        <f t="shared" si="76"/>
        <v/>
      </c>
      <c r="Q198" t="str">
        <f t="shared" si="75"/>
        <v/>
      </c>
      <c r="S198" t="str">
        <f>IF(A198=1,MAX(S$2:S197)+1,IF(OR(I198&lt;&gt;"",A198="x"),S197,""))</f>
        <v/>
      </c>
      <c r="T198" t="str">
        <f>IF(D198=1,MAX($T$2:$T197)+1,IF(S198=$S197,$S197,IF($D198="x",T197,IF($D197="x","",""))))</f>
        <v/>
      </c>
      <c r="U198" t="str">
        <f>IF(B198=1,MAX($U$2:$U197)+1,IF(AND($T198&lt;&gt;"",$T198=$T197),$U197,IF(B198="x",U197,"")))</f>
        <v/>
      </c>
      <c r="V198" t="str">
        <f>IF(C198=1,MAX($V$2:$V197)+1,IF(AND($T198&lt;&gt;"",$T198=$T197),$U197,IF(C198="x",V197,"")))</f>
        <v/>
      </c>
      <c r="W198" t="str" cm="1">
        <f t="array" ref="W198">IFERROR(_xlfn._xlws.FILTER(game_rosters!AB:AB,(game_rosters!J:J=events!X198)*(K198&lt;&gt;"")),"")</f>
        <v/>
      </c>
      <c r="X198" t="str" cm="1">
        <f t="array" ref="X198">IF(S198="","",IF($I198&lt;&gt;"",$I198,INDEX($I$2:$I197,ROW()-COUNTIFS($T$2:$T197,"="&amp;$T198,$S$2:$S197,"&lt;&gt;"&amp;$S198)-1)))</f>
        <v/>
      </c>
      <c r="Z198" s="6"/>
      <c r="AH198" t="str">
        <f t="shared" si="77"/>
        <v>o</v>
      </c>
      <c r="AI198" t="str">
        <f t="shared" ref="AI198:AI261" si="84">IF($J198&lt;&gt;"",$J198,IF($AC198=$AC197,AI197,""))</f>
        <v/>
      </c>
      <c r="AJ198" t="str">
        <f t="shared" ref="AJ198:AJ261" si="85">IF($J198&lt;&gt;"",$J198,IF($AC198=AC197,AJ197,""))</f>
        <v/>
      </c>
      <c r="AK198" t="str">
        <f t="shared" si="78"/>
        <v/>
      </c>
      <c r="AL198" t="str">
        <f t="shared" si="79"/>
        <v/>
      </c>
      <c r="AM198" t="str">
        <f t="shared" si="80"/>
        <v/>
      </c>
      <c r="AN198" t="str">
        <f t="shared" ref="AN198:AN261" si="86">IF($W198&lt;&gt;"",$W198,IF($AC198=AC197,AN197,""))</f>
        <v/>
      </c>
      <c r="AO198" t="str">
        <f t="shared" ref="AO198:AO261" si="87">IF(AK198&lt;&gt;"",AK198,IF($AC198=AC197,AO197,""))</f>
        <v/>
      </c>
      <c r="AP198" t="str">
        <f t="shared" ref="AP198:AP261" si="88">IF(AL198&lt;&gt;"",AL198,IF($AC198=AC197,AP197,""))</f>
        <v/>
      </c>
      <c r="AQ198" t="str">
        <f t="shared" ref="AQ198:AQ261" si="89">IF(AM198&lt;&gt;"",AM198,IF($AC198=AC197,AQ197,""))</f>
        <v/>
      </c>
      <c r="AR198" t="str">
        <f t="shared" ref="AR198:AR261" si="90">IF(AN198&lt;&gt;"",AN198,IF($AC198=AC197,AQ197,""))</f>
        <v/>
      </c>
      <c r="AS198" t="str">
        <f t="shared" si="81"/>
        <v>Defensive</v>
      </c>
      <c r="BI198" s="40"/>
      <c r="BL198" s="40"/>
      <c r="BN198" s="19"/>
      <c r="BP198" s="17"/>
    </row>
    <row r="199" spans="1:68" x14ac:dyDescent="0.2">
      <c r="A199" t="str">
        <f t="shared" si="82"/>
        <v/>
      </c>
      <c r="E199" s="4"/>
      <c r="F199" s="45"/>
      <c r="G199" s="4"/>
      <c r="H199" s="48"/>
      <c r="J199" s="46" t="str">
        <f t="shared" si="83"/>
        <v/>
      </c>
      <c r="N199" t="str">
        <f t="shared" si="76"/>
        <v/>
      </c>
      <c r="Q199" t="str">
        <f t="shared" si="75"/>
        <v/>
      </c>
      <c r="S199" t="str">
        <f>IF(A199=1,MAX(S$2:S198)+1,IF(OR(I199&lt;&gt;"",A199="x"),S198,""))</f>
        <v/>
      </c>
      <c r="T199" t="str">
        <f>IF(D199=1,MAX($T$2:$T198)+1,IF(S199=$S198,$S198,IF($D199="x",T198,IF($D198="x","",""))))</f>
        <v/>
      </c>
      <c r="U199" t="str">
        <f>IF(B199=1,MAX($U$2:$U198)+1,IF(AND($T199&lt;&gt;"",$T199=$T198),$U198,IF(B199="x",U198,"")))</f>
        <v/>
      </c>
      <c r="V199" t="str">
        <f>IF(C199=1,MAX($V$2:$V198)+1,IF(AND($T199&lt;&gt;"",$T199=$T198),$U198,IF(C199="x",V198,"")))</f>
        <v/>
      </c>
      <c r="W199" t="str" cm="1">
        <f t="array" ref="W199">IFERROR(_xlfn._xlws.FILTER(game_rosters!AB:AB,(game_rosters!J:J=events!X199)*(K199&lt;&gt;"")),"")</f>
        <v/>
      </c>
      <c r="X199" t="str" cm="1">
        <f t="array" ref="X199">IF(S199="","",IF($I199&lt;&gt;"",$I199,INDEX($I$2:$I198,ROW()-COUNTIFS($T$2:$T198,"="&amp;$T199,$S$2:$S198,"&lt;&gt;"&amp;$S199)-1)))</f>
        <v/>
      </c>
      <c r="Z199" s="6"/>
      <c r="AH199" t="str">
        <f t="shared" si="77"/>
        <v>o</v>
      </c>
      <c r="AI199" t="str">
        <f t="shared" si="84"/>
        <v/>
      </c>
      <c r="AJ199" t="str">
        <f t="shared" si="85"/>
        <v/>
      </c>
      <c r="AK199" t="str">
        <f t="shared" si="78"/>
        <v/>
      </c>
      <c r="AL199" t="str">
        <f t="shared" si="79"/>
        <v/>
      </c>
      <c r="AM199" t="str">
        <f t="shared" si="80"/>
        <v/>
      </c>
      <c r="AN199" t="str">
        <f t="shared" si="86"/>
        <v/>
      </c>
      <c r="AO199" t="str">
        <f t="shared" si="87"/>
        <v/>
      </c>
      <c r="AP199" t="str">
        <f t="shared" si="88"/>
        <v/>
      </c>
      <c r="AQ199" t="str">
        <f t="shared" si="89"/>
        <v/>
      </c>
      <c r="AR199" t="str">
        <f t="shared" si="90"/>
        <v/>
      </c>
      <c r="AS199" t="str">
        <f t="shared" si="81"/>
        <v>Defensive</v>
      </c>
      <c r="BI199" s="40"/>
      <c r="BL199" s="40"/>
      <c r="BN199" s="19"/>
      <c r="BP199" s="17"/>
    </row>
    <row r="200" spans="1:68" x14ac:dyDescent="0.2">
      <c r="A200" t="str">
        <f t="shared" si="82"/>
        <v/>
      </c>
      <c r="E200" s="4"/>
      <c r="F200" s="45"/>
      <c r="G200" s="4"/>
      <c r="H200" s="48"/>
      <c r="J200" s="46" t="str">
        <f t="shared" si="83"/>
        <v/>
      </c>
      <c r="N200" t="str">
        <f t="shared" si="76"/>
        <v/>
      </c>
      <c r="Q200" t="str">
        <f t="shared" si="75"/>
        <v/>
      </c>
      <c r="S200" t="str">
        <f>IF(A200=1,MAX(S$2:S199)+1,IF(OR(I200&lt;&gt;"",A200="x"),S199,""))</f>
        <v/>
      </c>
      <c r="T200" t="str">
        <f>IF(D200=1,MAX($T$2:$T199)+1,IF(S200=$S199,$S199,IF($D200="x",T199,IF($D199="x","",""))))</f>
        <v/>
      </c>
      <c r="U200" t="str">
        <f>IF(B200=1,MAX($U$2:$U199)+1,IF(AND($T200&lt;&gt;"",$T200=$T199),$U199,IF(B200="x",U199,"")))</f>
        <v/>
      </c>
      <c r="V200" t="str">
        <f>IF(C200=1,MAX($V$2:$V199)+1,IF(AND($T200&lt;&gt;"",$T200=$T199),$U199,IF(C200="x",V199,"")))</f>
        <v/>
      </c>
      <c r="W200" t="str" cm="1">
        <f t="array" ref="W200">IFERROR(_xlfn._xlws.FILTER(game_rosters!AB:AB,(game_rosters!J:J=events!X200)*(K200&lt;&gt;"")),"")</f>
        <v/>
      </c>
      <c r="X200" t="str" cm="1">
        <f t="array" ref="X200">IF(S200="","",IF($I200&lt;&gt;"",$I200,INDEX($I$2:$I199,ROW()-COUNTIFS($T$2:$T199,"="&amp;$T200,$S$2:$S199,"&lt;&gt;"&amp;$S200)-1)))</f>
        <v/>
      </c>
      <c r="Z200" s="6"/>
      <c r="AH200" t="str">
        <f t="shared" si="77"/>
        <v>o</v>
      </c>
      <c r="AI200" t="str">
        <f t="shared" si="84"/>
        <v/>
      </c>
      <c r="AJ200" t="str">
        <f t="shared" si="85"/>
        <v/>
      </c>
      <c r="AK200" t="str">
        <f t="shared" si="78"/>
        <v/>
      </c>
      <c r="AL200" t="str">
        <f t="shared" si="79"/>
        <v/>
      </c>
      <c r="AM200" t="str">
        <f t="shared" si="80"/>
        <v/>
      </c>
      <c r="AN200" t="str">
        <f t="shared" si="86"/>
        <v/>
      </c>
      <c r="AO200" t="str">
        <f t="shared" si="87"/>
        <v/>
      </c>
      <c r="AP200" t="str">
        <f t="shared" si="88"/>
        <v/>
      </c>
      <c r="AQ200" t="str">
        <f t="shared" si="89"/>
        <v/>
      </c>
      <c r="AR200" t="str">
        <f t="shared" si="90"/>
        <v/>
      </c>
      <c r="AS200" t="str">
        <f t="shared" si="81"/>
        <v>Defensive</v>
      </c>
      <c r="BI200" s="40"/>
      <c r="BL200" s="40"/>
      <c r="BN200" s="19"/>
      <c r="BP200" s="17"/>
    </row>
    <row r="201" spans="1:68" x14ac:dyDescent="0.2">
      <c r="A201" t="str">
        <f t="shared" si="82"/>
        <v/>
      </c>
      <c r="E201" s="4"/>
      <c r="F201" s="45"/>
      <c r="G201" s="4"/>
      <c r="H201" s="48"/>
      <c r="J201" s="46" t="str">
        <f t="shared" si="83"/>
        <v/>
      </c>
      <c r="N201" t="str">
        <f t="shared" si="76"/>
        <v/>
      </c>
      <c r="Q201" t="str">
        <f t="shared" si="75"/>
        <v/>
      </c>
      <c r="S201" t="str">
        <f>IF(A201=1,MAX(S$2:S200)+1,IF(OR(I201&lt;&gt;"",A201="x"),S200,""))</f>
        <v/>
      </c>
      <c r="T201" t="str">
        <f>IF(D201=1,MAX($T$2:$T200)+1,IF(S201=$S200,$S200,IF($D201="x",T200,IF($D200="x","",""))))</f>
        <v/>
      </c>
      <c r="U201" t="str">
        <f>IF(B201=1,MAX($U$2:$U200)+1,IF(AND($T201&lt;&gt;"",$T201=$T200),$U200,IF(B201="x",U200,"")))</f>
        <v/>
      </c>
      <c r="V201" t="str">
        <f>IF(C201=1,MAX($V$2:$V200)+1,IF(AND($T201&lt;&gt;"",$T201=$T200),$U200,IF(C201="x",V200,"")))</f>
        <v/>
      </c>
      <c r="W201" t="str" cm="1">
        <f t="array" ref="W201">IFERROR(_xlfn._xlws.FILTER(game_rosters!AB:AB,(game_rosters!J:J=events!X201)*(K201&lt;&gt;"")),"")</f>
        <v/>
      </c>
      <c r="X201" t="str" cm="1">
        <f t="array" ref="X201">IF(S201="","",IF($I201&lt;&gt;"",$I201,INDEX($I$2:$I200,ROW()-COUNTIFS($T$2:$T200,"="&amp;$T201,$S$2:$S200,"&lt;&gt;"&amp;$S201)-1)))</f>
        <v/>
      </c>
      <c r="Z201" s="6"/>
      <c r="AH201" t="str">
        <f t="shared" si="77"/>
        <v>o</v>
      </c>
      <c r="AI201" t="str">
        <f t="shared" si="84"/>
        <v/>
      </c>
      <c r="AJ201" t="str">
        <f t="shared" si="85"/>
        <v/>
      </c>
      <c r="AK201" t="str">
        <f t="shared" si="78"/>
        <v/>
      </c>
      <c r="AL201" t="str">
        <f t="shared" si="79"/>
        <v/>
      </c>
      <c r="AM201" t="str">
        <f t="shared" si="80"/>
        <v/>
      </c>
      <c r="AN201" t="str">
        <f t="shared" si="86"/>
        <v/>
      </c>
      <c r="AO201" t="str">
        <f t="shared" si="87"/>
        <v/>
      </c>
      <c r="AP201" t="str">
        <f t="shared" si="88"/>
        <v/>
      </c>
      <c r="AQ201" t="str">
        <f t="shared" si="89"/>
        <v/>
      </c>
      <c r="AR201" t="str">
        <f t="shared" si="90"/>
        <v/>
      </c>
      <c r="AS201" t="str">
        <f t="shared" si="81"/>
        <v>Defensive</v>
      </c>
      <c r="BI201" s="40"/>
      <c r="BL201" s="40"/>
      <c r="BN201" s="19"/>
      <c r="BP201" s="17"/>
    </row>
    <row r="202" spans="1:68" x14ac:dyDescent="0.2">
      <c r="A202" t="str">
        <f t="shared" si="82"/>
        <v/>
      </c>
      <c r="E202" s="4"/>
      <c r="F202" s="45"/>
      <c r="G202" s="4"/>
      <c r="H202" s="48"/>
      <c r="J202" s="46" t="str">
        <f t="shared" si="83"/>
        <v/>
      </c>
      <c r="N202" t="str">
        <f t="shared" si="76"/>
        <v/>
      </c>
      <c r="Q202" t="str">
        <f t="shared" si="75"/>
        <v/>
      </c>
      <c r="S202" t="str">
        <f>IF(A202=1,MAX(S$2:S201)+1,IF(OR(I202&lt;&gt;"",A202="x"),S201,""))</f>
        <v/>
      </c>
      <c r="T202" t="str">
        <f>IF(D202=1,MAX($T$2:$T201)+1,IF(S202=$S201,$S201,IF($D202="x",T201,IF($D201="x","",""))))</f>
        <v/>
      </c>
      <c r="U202" t="str">
        <f>IF(B202=1,MAX($U$2:$U201)+1,IF(AND($T202&lt;&gt;"",$T202=$T201),$U201,IF(B202="x",U201,"")))</f>
        <v/>
      </c>
      <c r="V202" t="str">
        <f>IF(C202=1,MAX($V$2:$V201)+1,IF(AND($T202&lt;&gt;"",$T202=$T201),$U201,IF(C202="x",V201,"")))</f>
        <v/>
      </c>
      <c r="W202" t="str" cm="1">
        <f t="array" ref="W202">IFERROR(_xlfn._xlws.FILTER(game_rosters!AB:AB,(game_rosters!J:J=events!X202)*(K202&lt;&gt;"")),"")</f>
        <v/>
      </c>
      <c r="X202" t="str" cm="1">
        <f t="array" ref="X202">IF(S202="","",IF($I202&lt;&gt;"",$I202,INDEX($I$2:$I201,ROW()-COUNTIFS($T$2:$T201,"="&amp;$T202,$S$2:$S201,"&lt;&gt;"&amp;$S202)-1)))</f>
        <v/>
      </c>
      <c r="Z202" s="6"/>
      <c r="AH202" t="str">
        <f t="shared" si="77"/>
        <v>o</v>
      </c>
      <c r="AI202" t="str">
        <f t="shared" si="84"/>
        <v/>
      </c>
      <c r="AJ202" t="str">
        <f t="shared" si="85"/>
        <v/>
      </c>
      <c r="AK202" t="str">
        <f t="shared" si="78"/>
        <v/>
      </c>
      <c r="AL202" t="str">
        <f t="shared" si="79"/>
        <v/>
      </c>
      <c r="AM202" t="str">
        <f t="shared" si="80"/>
        <v/>
      </c>
      <c r="AN202" t="str">
        <f t="shared" si="86"/>
        <v/>
      </c>
      <c r="AO202" t="str">
        <f t="shared" si="87"/>
        <v/>
      </c>
      <c r="AP202" t="str">
        <f t="shared" si="88"/>
        <v/>
      </c>
      <c r="AQ202" t="str">
        <f t="shared" si="89"/>
        <v/>
      </c>
      <c r="AR202" t="str">
        <f t="shared" si="90"/>
        <v/>
      </c>
      <c r="AS202" t="str">
        <f t="shared" si="81"/>
        <v>Defensive</v>
      </c>
      <c r="BI202" s="40"/>
      <c r="BL202" s="40"/>
      <c r="BN202" s="19"/>
      <c r="BP202" s="17"/>
    </row>
    <row r="203" spans="1:68" x14ac:dyDescent="0.2">
      <c r="A203" t="str">
        <f t="shared" si="82"/>
        <v/>
      </c>
      <c r="E203" s="4"/>
      <c r="F203" s="45"/>
      <c r="G203" s="4"/>
      <c r="H203" s="48"/>
      <c r="J203" s="46" t="str">
        <f t="shared" si="83"/>
        <v/>
      </c>
      <c r="N203" t="str">
        <f t="shared" si="76"/>
        <v/>
      </c>
      <c r="Q203" t="str">
        <f t="shared" si="75"/>
        <v/>
      </c>
      <c r="S203" t="str">
        <f>IF(A203=1,MAX(S$2:S202)+1,IF(OR(I203&lt;&gt;"",A203="x"),S202,""))</f>
        <v/>
      </c>
      <c r="T203" t="str">
        <f>IF(D203=1,MAX($T$2:$T202)+1,IF(S203=$S202,$S202,IF($D203="x",T202,IF($D202="x","",""))))</f>
        <v/>
      </c>
      <c r="U203" t="str">
        <f>IF(B203=1,MAX($U$2:$U202)+1,IF(AND($T203&lt;&gt;"",$T203=$T202),$U202,IF(B203="x",U202,"")))</f>
        <v/>
      </c>
      <c r="V203" t="str">
        <f>IF(C203=1,MAX($V$2:$V202)+1,IF(AND($T203&lt;&gt;"",$T203=$T202),$U202,IF(C203="x",V202,"")))</f>
        <v/>
      </c>
      <c r="W203" t="str" cm="1">
        <f t="array" ref="W203">IFERROR(_xlfn._xlws.FILTER(game_rosters!AB:AB,(game_rosters!J:J=events!X203)*(K203&lt;&gt;"")),"")</f>
        <v/>
      </c>
      <c r="X203" t="str" cm="1">
        <f t="array" ref="X203">IF(S203="","",IF($I203&lt;&gt;"",$I203,INDEX($I$2:$I202,ROW()-COUNTIFS($T$2:$T202,"="&amp;$T203,$S$2:$S202,"&lt;&gt;"&amp;$S203)-1)))</f>
        <v/>
      </c>
      <c r="Z203" s="6"/>
      <c r="AH203" t="str">
        <f t="shared" si="77"/>
        <v>o</v>
      </c>
      <c r="AI203" t="str">
        <f t="shared" si="84"/>
        <v/>
      </c>
      <c r="AJ203" t="str">
        <f t="shared" si="85"/>
        <v/>
      </c>
      <c r="AK203" t="str">
        <f t="shared" si="78"/>
        <v/>
      </c>
      <c r="AL203" t="str">
        <f t="shared" si="79"/>
        <v/>
      </c>
      <c r="AM203" t="str">
        <f t="shared" si="80"/>
        <v/>
      </c>
      <c r="AN203" t="str">
        <f t="shared" si="86"/>
        <v/>
      </c>
      <c r="AO203" t="str">
        <f t="shared" si="87"/>
        <v/>
      </c>
      <c r="AP203" t="str">
        <f t="shared" si="88"/>
        <v/>
      </c>
      <c r="AQ203" t="str">
        <f t="shared" si="89"/>
        <v/>
      </c>
      <c r="AR203" t="str">
        <f t="shared" si="90"/>
        <v/>
      </c>
      <c r="AS203" t="str">
        <f t="shared" si="81"/>
        <v>Defensive</v>
      </c>
      <c r="BI203" s="40"/>
      <c r="BL203" s="40"/>
      <c r="BN203" s="19"/>
      <c r="BP203" s="17"/>
    </row>
    <row r="204" spans="1:68" x14ac:dyDescent="0.2">
      <c r="A204" t="str">
        <f t="shared" si="82"/>
        <v/>
      </c>
      <c r="E204" s="4"/>
      <c r="F204" s="45"/>
      <c r="G204" s="4"/>
      <c r="H204" s="48"/>
      <c r="J204" s="46" t="str">
        <f t="shared" si="83"/>
        <v/>
      </c>
      <c r="N204" t="str">
        <f t="shared" si="76"/>
        <v/>
      </c>
      <c r="Q204" t="str">
        <f t="shared" si="75"/>
        <v/>
      </c>
      <c r="S204" t="str">
        <f>IF(A204=1,MAX(S$2:S203)+1,IF(OR(I204&lt;&gt;"",A204="x"),S203,""))</f>
        <v/>
      </c>
      <c r="T204" t="str">
        <f>IF(D204=1,MAX($T$2:$T203)+1,IF(S204=$S203,$S203,IF($D204="x",T203,IF($D203="x","",""))))</f>
        <v/>
      </c>
      <c r="U204" t="str">
        <f>IF(B204=1,MAX($U$2:$U203)+1,IF(AND($T204&lt;&gt;"",$T204=$T203),$U203,IF(B204="x",U203,"")))</f>
        <v/>
      </c>
      <c r="V204" t="str">
        <f>IF(C204=1,MAX($V$2:$V203)+1,IF(AND($T204&lt;&gt;"",$T204=$T203),$U203,IF(C204="x",V203,"")))</f>
        <v/>
      </c>
      <c r="W204" t="str" cm="1">
        <f t="array" ref="W204">IFERROR(_xlfn._xlws.FILTER(game_rosters!AB:AB,(game_rosters!J:J=events!X204)*(K204&lt;&gt;"")),"")</f>
        <v/>
      </c>
      <c r="X204" t="str" cm="1">
        <f t="array" ref="X204">IF(S204="","",IF($I204&lt;&gt;"",$I204,INDEX($I$2:$I203,ROW()-COUNTIFS($T$2:$T203,"="&amp;$T204,$S$2:$S203,"&lt;&gt;"&amp;$S204)-1)))</f>
        <v/>
      </c>
      <c r="Z204" s="6"/>
      <c r="AH204" t="str">
        <f t="shared" si="77"/>
        <v>o</v>
      </c>
      <c r="AI204" t="str">
        <f t="shared" si="84"/>
        <v/>
      </c>
      <c r="AJ204" t="str">
        <f t="shared" si="85"/>
        <v/>
      </c>
      <c r="AK204" t="str">
        <f t="shared" si="78"/>
        <v/>
      </c>
      <c r="AL204" t="str">
        <f t="shared" si="79"/>
        <v/>
      </c>
      <c r="AM204" t="str">
        <f t="shared" si="80"/>
        <v/>
      </c>
      <c r="AN204" t="str">
        <f t="shared" si="86"/>
        <v/>
      </c>
      <c r="AO204" t="str">
        <f t="shared" si="87"/>
        <v/>
      </c>
      <c r="AP204" t="str">
        <f t="shared" si="88"/>
        <v/>
      </c>
      <c r="AQ204" t="str">
        <f t="shared" si="89"/>
        <v/>
      </c>
      <c r="AR204" t="str">
        <f t="shared" si="90"/>
        <v/>
      </c>
      <c r="AS204" t="str">
        <f t="shared" si="81"/>
        <v>Defensive</v>
      </c>
      <c r="BI204" s="40"/>
      <c r="BL204" s="40"/>
      <c r="BN204" s="19"/>
      <c r="BP204" s="17"/>
    </row>
    <row r="205" spans="1:68" x14ac:dyDescent="0.2">
      <c r="A205" t="str">
        <f t="shared" si="82"/>
        <v/>
      </c>
      <c r="E205" s="4"/>
      <c r="F205" s="45"/>
      <c r="G205" s="4"/>
      <c r="H205" s="48"/>
      <c r="J205" s="46" t="str">
        <f t="shared" si="83"/>
        <v/>
      </c>
      <c r="N205" t="str">
        <f t="shared" si="76"/>
        <v/>
      </c>
      <c r="Q205" t="str">
        <f t="shared" si="75"/>
        <v/>
      </c>
      <c r="S205" t="str">
        <f>IF(A205=1,MAX(S$2:S204)+1,IF(OR(I205&lt;&gt;"",A205="x"),S204,""))</f>
        <v/>
      </c>
      <c r="T205" t="str">
        <f>IF(D205=1,MAX($T$2:$T204)+1,IF(S205=$S204,$S204,IF($D205="x",T204,IF($D204="x","",""))))</f>
        <v/>
      </c>
      <c r="U205" t="str">
        <f>IF(B205=1,MAX($U$2:$U204)+1,IF(AND($T205&lt;&gt;"",$T205=$T204),$U204,IF(B205="x",U204,"")))</f>
        <v/>
      </c>
      <c r="V205" t="str">
        <f>IF(C205=1,MAX($V$2:$V204)+1,IF(AND($T205&lt;&gt;"",$T205=$T204),$U204,IF(C205="x",V204,"")))</f>
        <v/>
      </c>
      <c r="W205" t="str" cm="1">
        <f t="array" ref="W205">IFERROR(_xlfn._xlws.FILTER(game_rosters!AB:AB,(game_rosters!J:J=events!X205)*(K205&lt;&gt;"")),"")</f>
        <v/>
      </c>
      <c r="X205" t="str" cm="1">
        <f t="array" ref="X205">IF(S205="","",IF($I205&lt;&gt;"",$I205,INDEX($I$2:$I204,ROW()-COUNTIFS($T$2:$T204,"="&amp;$T205,$S$2:$S204,"&lt;&gt;"&amp;$S205)-1)))</f>
        <v/>
      </c>
      <c r="Z205" s="6"/>
      <c r="AH205" t="str">
        <f t="shared" si="77"/>
        <v>o</v>
      </c>
      <c r="AI205" t="str">
        <f t="shared" si="84"/>
        <v/>
      </c>
      <c r="AJ205" t="str">
        <f t="shared" si="85"/>
        <v/>
      </c>
      <c r="AK205" t="str">
        <f t="shared" si="78"/>
        <v/>
      </c>
      <c r="AL205" t="str">
        <f t="shared" si="79"/>
        <v/>
      </c>
      <c r="AM205" t="str">
        <f t="shared" si="80"/>
        <v/>
      </c>
      <c r="AN205" t="str">
        <f t="shared" si="86"/>
        <v/>
      </c>
      <c r="AO205" t="str">
        <f t="shared" si="87"/>
        <v/>
      </c>
      <c r="AP205" t="str">
        <f t="shared" si="88"/>
        <v/>
      </c>
      <c r="AQ205" t="str">
        <f t="shared" si="89"/>
        <v/>
      </c>
      <c r="AR205" t="str">
        <f t="shared" si="90"/>
        <v/>
      </c>
      <c r="AS205" t="str">
        <f t="shared" si="81"/>
        <v>Defensive</v>
      </c>
      <c r="BI205" s="40"/>
      <c r="BL205" s="40"/>
      <c r="BN205" s="19"/>
      <c r="BP205" s="17"/>
    </row>
    <row r="206" spans="1:68" x14ac:dyDescent="0.2">
      <c r="A206" t="str">
        <f t="shared" si="82"/>
        <v/>
      </c>
      <c r="E206" s="4"/>
      <c r="F206" s="45"/>
      <c r="G206" s="4"/>
      <c r="H206" s="48"/>
      <c r="J206" s="46" t="str">
        <f t="shared" si="83"/>
        <v/>
      </c>
      <c r="N206" t="str">
        <f t="shared" si="76"/>
        <v/>
      </c>
      <c r="Q206" t="str">
        <f t="shared" si="75"/>
        <v/>
      </c>
      <c r="S206" t="str">
        <f>IF(A206=1,MAX(S$2:S205)+1,IF(OR(I206&lt;&gt;"",A206="x"),S205,""))</f>
        <v/>
      </c>
      <c r="T206" t="str">
        <f>IF(D206=1,MAX($T$2:$T205)+1,IF(S206=$S205,$S205,IF($D206="x",T205,IF($D205="x","",""))))</f>
        <v/>
      </c>
      <c r="U206" t="str">
        <f>IF(B206=1,MAX($U$2:$U205)+1,IF(AND($T206&lt;&gt;"",$T206=$T205),$U205,IF(B206="x",U205,"")))</f>
        <v/>
      </c>
      <c r="V206" t="str">
        <f>IF(C206=1,MAX($V$2:$V205)+1,IF(AND($T206&lt;&gt;"",$T206=$T205),$U205,IF(C206="x",V205,"")))</f>
        <v/>
      </c>
      <c r="W206" t="str" cm="1">
        <f t="array" ref="W206">IFERROR(_xlfn._xlws.FILTER(game_rosters!AB:AB,(game_rosters!J:J=events!X206)*(K206&lt;&gt;"")),"")</f>
        <v/>
      </c>
      <c r="X206" t="str" cm="1">
        <f t="array" ref="X206">IF(S206="","",IF($I206&lt;&gt;"",$I206,INDEX($I$2:$I205,ROW()-COUNTIFS($T$2:$T205,"="&amp;$T206,$S$2:$S205,"&lt;&gt;"&amp;$S206)-1)))</f>
        <v/>
      </c>
      <c r="Z206" s="6"/>
      <c r="AH206" t="str">
        <f t="shared" si="77"/>
        <v>o</v>
      </c>
      <c r="AI206" t="str">
        <f t="shared" si="84"/>
        <v/>
      </c>
      <c r="AJ206" t="str">
        <f t="shared" si="85"/>
        <v/>
      </c>
      <c r="AK206" t="str">
        <f t="shared" si="78"/>
        <v/>
      </c>
      <c r="AL206" t="str">
        <f t="shared" si="79"/>
        <v/>
      </c>
      <c r="AM206" t="str">
        <f t="shared" si="80"/>
        <v/>
      </c>
      <c r="AN206" t="str">
        <f t="shared" si="86"/>
        <v/>
      </c>
      <c r="AO206" t="str">
        <f t="shared" si="87"/>
        <v/>
      </c>
      <c r="AP206" t="str">
        <f t="shared" si="88"/>
        <v/>
      </c>
      <c r="AQ206" t="str">
        <f t="shared" si="89"/>
        <v/>
      </c>
      <c r="AR206" t="str">
        <f t="shared" si="90"/>
        <v/>
      </c>
      <c r="AS206" t="str">
        <f t="shared" si="81"/>
        <v>Defensive</v>
      </c>
      <c r="BI206" s="40"/>
      <c r="BL206" s="40"/>
      <c r="BN206" s="19"/>
      <c r="BP206" s="17"/>
    </row>
    <row r="207" spans="1:68" x14ac:dyDescent="0.2">
      <c r="A207" t="str">
        <f t="shared" si="82"/>
        <v/>
      </c>
      <c r="E207" s="4"/>
      <c r="F207" s="45"/>
      <c r="G207" s="4"/>
      <c r="H207" s="48"/>
      <c r="J207" s="46" t="str">
        <f t="shared" si="83"/>
        <v/>
      </c>
      <c r="N207" t="str">
        <f t="shared" si="76"/>
        <v/>
      </c>
      <c r="Q207" t="str">
        <f t="shared" si="75"/>
        <v/>
      </c>
      <c r="S207" t="str">
        <f>IF(A207=1,MAX(S$2:S206)+1,IF(OR(I207&lt;&gt;"",A207="x"),S206,""))</f>
        <v/>
      </c>
      <c r="T207" t="str">
        <f>IF(D207=1,MAX($T$2:$T206)+1,IF(S207=$S206,$S206,IF($D207="x",T206,IF($D206="x","",""))))</f>
        <v/>
      </c>
      <c r="U207" t="str">
        <f>IF(B207=1,MAX($U$2:$U206)+1,IF(AND($T207&lt;&gt;"",$T207=$T206),$U206,IF(B207="x",U206,"")))</f>
        <v/>
      </c>
      <c r="V207" t="str">
        <f>IF(C207=1,MAX($V$2:$V206)+1,IF(AND($T207&lt;&gt;"",$T207=$T206),$U206,IF(C207="x",V206,"")))</f>
        <v/>
      </c>
      <c r="W207" t="str" cm="1">
        <f t="array" ref="W207">IFERROR(_xlfn._xlws.FILTER(game_rosters!AB:AB,(game_rosters!J:J=events!X207)*(K207&lt;&gt;"")),"")</f>
        <v/>
      </c>
      <c r="X207" t="str" cm="1">
        <f t="array" ref="X207">IF(S207="","",IF($I207&lt;&gt;"",$I207,INDEX($I$2:$I206,ROW()-COUNTIFS($T$2:$T206,"="&amp;$T207,$S$2:$S206,"&lt;&gt;"&amp;$S207)-1)))</f>
        <v/>
      </c>
      <c r="Z207" s="6"/>
      <c r="AH207" t="str">
        <f t="shared" si="77"/>
        <v>o</v>
      </c>
      <c r="AI207" t="str">
        <f t="shared" si="84"/>
        <v/>
      </c>
      <c r="AJ207" t="str">
        <f t="shared" si="85"/>
        <v/>
      </c>
      <c r="AK207" t="str">
        <f t="shared" si="78"/>
        <v/>
      </c>
      <c r="AL207" t="str">
        <f t="shared" si="79"/>
        <v/>
      </c>
      <c r="AM207" t="str">
        <f t="shared" si="80"/>
        <v/>
      </c>
      <c r="AN207" t="str">
        <f t="shared" si="86"/>
        <v/>
      </c>
      <c r="AO207" t="str">
        <f t="shared" si="87"/>
        <v/>
      </c>
      <c r="AP207" t="str">
        <f t="shared" si="88"/>
        <v/>
      </c>
      <c r="AQ207" t="str">
        <f t="shared" si="89"/>
        <v/>
      </c>
      <c r="AR207" t="str">
        <f t="shared" si="90"/>
        <v/>
      </c>
      <c r="AS207" t="str">
        <f t="shared" si="81"/>
        <v>Defensive</v>
      </c>
      <c r="BI207" s="40"/>
      <c r="BL207" s="40"/>
      <c r="BN207" s="19"/>
      <c r="BP207" s="17"/>
    </row>
    <row r="208" spans="1:68" x14ac:dyDescent="0.2">
      <c r="A208" t="str">
        <f t="shared" si="82"/>
        <v/>
      </c>
      <c r="E208" s="4"/>
      <c r="F208" s="45"/>
      <c r="G208" s="4"/>
      <c r="H208" s="48"/>
      <c r="J208" s="46" t="str">
        <f t="shared" si="83"/>
        <v/>
      </c>
      <c r="N208" t="str">
        <f t="shared" si="76"/>
        <v/>
      </c>
      <c r="Q208" t="str">
        <f t="shared" ref="Q208:Q271" si="91">IF(O208="","",IF(AND(N208&lt;&gt;"",OR(O208&lt;&gt;"",P208&lt;&gt;"")),N208,IF(OR(ISNUMBER(SEARCH("attemp",O208)),ISNUMBER(SEARCH("beat",O208)),ISNUMBER(SEARCH("mis",O208)),ISNUMBER(SEARCH("fail",O208)),ISNUMBER(SEARCH("loss",O208)),ISNUMBER(SEARCH("lost",O208)),ISNUMBER(SEARCH("attemp",P208)),ISNUMBER(SEARCH("mis",P208)),ISNUMBER(SEARCH("fail",P208)),ISNUMBER(SEARCH("loss",P208)),ISNUMBER(SEARCH("beat",P208)),ISNUMBER(SEARCH("lost",P208))),"u","")))</f>
        <v/>
      </c>
      <c r="S208" t="str">
        <f>IF(A208=1,MAX(S$2:S207)+1,IF(OR(I208&lt;&gt;"",A208="x"),S207,""))</f>
        <v/>
      </c>
      <c r="T208" t="str">
        <f>IF(D208=1,MAX($T$2:$T207)+1,IF(S208=$S207,$S207,IF($D208="x",T207,IF($D207="x","",""))))</f>
        <v/>
      </c>
      <c r="U208" t="str">
        <f>IF(B208=1,MAX($U$2:$U207)+1,IF(AND($T208&lt;&gt;"",$T208=$T207),$U207,IF(B208="x",U207,"")))</f>
        <v/>
      </c>
      <c r="V208" t="str">
        <f>IF(C208=1,MAX($V$2:$V207)+1,IF(AND($T208&lt;&gt;"",$T208=$T207),$U207,IF(C208="x",V207,"")))</f>
        <v/>
      </c>
      <c r="W208" t="str" cm="1">
        <f t="array" ref="W208">IFERROR(_xlfn._xlws.FILTER(game_rosters!AB:AB,(game_rosters!J:J=events!X208)*(K208&lt;&gt;"")),"")</f>
        <v/>
      </c>
      <c r="X208" t="str" cm="1">
        <f t="array" ref="X208">IF(S208="","",IF($I208&lt;&gt;"",$I208,INDEX($I$2:$I207,ROW()-COUNTIFS($T$2:$T207,"="&amp;$T208,$S$2:$S207,"&lt;&gt;"&amp;$S208)-1)))</f>
        <v/>
      </c>
      <c r="Z208" s="6"/>
      <c r="AH208" t="str">
        <f t="shared" si="77"/>
        <v>o</v>
      </c>
      <c r="AI208" t="str">
        <f t="shared" si="84"/>
        <v/>
      </c>
      <c r="AJ208" t="str">
        <f t="shared" si="85"/>
        <v/>
      </c>
      <c r="AK208" t="str">
        <f t="shared" si="78"/>
        <v/>
      </c>
      <c r="AL208" t="str">
        <f t="shared" si="79"/>
        <v/>
      </c>
      <c r="AM208" t="str">
        <f t="shared" si="80"/>
        <v/>
      </c>
      <c r="AN208" t="str">
        <f t="shared" si="86"/>
        <v/>
      </c>
      <c r="AO208" t="str">
        <f t="shared" si="87"/>
        <v/>
      </c>
      <c r="AP208" t="str">
        <f t="shared" si="88"/>
        <v/>
      </c>
      <c r="AQ208" t="str">
        <f t="shared" si="89"/>
        <v/>
      </c>
      <c r="AR208" t="str">
        <f t="shared" si="90"/>
        <v/>
      </c>
      <c r="AS208" t="str">
        <f t="shared" si="81"/>
        <v>Defensive</v>
      </c>
      <c r="BI208" s="40"/>
      <c r="BL208" s="40"/>
      <c r="BN208" s="19"/>
      <c r="BP208" s="17"/>
    </row>
    <row r="209" spans="1:68" x14ac:dyDescent="0.2">
      <c r="A209" t="str">
        <f t="shared" si="82"/>
        <v/>
      </c>
      <c r="E209" s="4"/>
      <c r="F209" s="45"/>
      <c r="G209" s="4"/>
      <c r="H209" s="48"/>
      <c r="J209" s="46" t="str">
        <f t="shared" si="83"/>
        <v/>
      </c>
      <c r="N209" t="str">
        <f t="shared" si="76"/>
        <v/>
      </c>
      <c r="Q209" t="str">
        <f t="shared" si="91"/>
        <v/>
      </c>
      <c r="S209" t="str">
        <f>IF(A209=1,MAX(S$2:S208)+1,IF(OR(I209&lt;&gt;"",A209="x"),S208,""))</f>
        <v/>
      </c>
      <c r="T209" t="str">
        <f>IF(D209=1,MAX($T$2:$T208)+1,IF(S209=$S208,$S208,IF($D209="x",T208,IF($D208="x","",""))))</f>
        <v/>
      </c>
      <c r="U209" t="str">
        <f>IF(B209=1,MAX($U$2:$U208)+1,IF(AND($T209&lt;&gt;"",$T209=$T208),$U208,IF(B209="x",U208,"")))</f>
        <v/>
      </c>
      <c r="V209" t="str">
        <f>IF(C209=1,MAX($V$2:$V208)+1,IF(AND($T209&lt;&gt;"",$T209=$T208),$U208,IF(C209="x",V208,"")))</f>
        <v/>
      </c>
      <c r="W209" t="str" cm="1">
        <f t="array" ref="W209">IFERROR(_xlfn._xlws.FILTER(game_rosters!AB:AB,(game_rosters!J:J=events!X209)*(K209&lt;&gt;"")),"")</f>
        <v/>
      </c>
      <c r="X209" t="str" cm="1">
        <f t="array" ref="X209">IF(S209="","",IF($I209&lt;&gt;"",$I209,INDEX($I$2:$I208,ROW()-COUNTIFS($T$2:$T208,"="&amp;$T209,$S$2:$S208,"&lt;&gt;"&amp;$S209)-1)))</f>
        <v/>
      </c>
      <c r="Z209" s="6"/>
      <c r="AH209" t="str">
        <f t="shared" si="77"/>
        <v>o</v>
      </c>
      <c r="AI209" t="str">
        <f t="shared" si="84"/>
        <v/>
      </c>
      <c r="AJ209" t="str">
        <f t="shared" si="85"/>
        <v/>
      </c>
      <c r="AK209" t="str">
        <f t="shared" si="78"/>
        <v/>
      </c>
      <c r="AL209" t="str">
        <f t="shared" si="79"/>
        <v/>
      </c>
      <c r="AM209" t="str">
        <f t="shared" si="80"/>
        <v/>
      </c>
      <c r="AN209" t="str">
        <f t="shared" si="86"/>
        <v/>
      </c>
      <c r="AO209" t="str">
        <f t="shared" si="87"/>
        <v/>
      </c>
      <c r="AP209" t="str">
        <f t="shared" si="88"/>
        <v/>
      </c>
      <c r="AQ209" t="str">
        <f t="shared" si="89"/>
        <v/>
      </c>
      <c r="AR209" t="str">
        <f t="shared" si="90"/>
        <v/>
      </c>
      <c r="AS209" t="str">
        <f t="shared" si="81"/>
        <v>Defensive</v>
      </c>
      <c r="BI209" s="40"/>
      <c r="BL209" s="40"/>
      <c r="BN209" s="19"/>
      <c r="BP209" s="17"/>
    </row>
    <row r="210" spans="1:68" x14ac:dyDescent="0.2">
      <c r="A210" t="str">
        <f t="shared" si="82"/>
        <v/>
      </c>
      <c r="E210" s="4"/>
      <c r="F210" s="45"/>
      <c r="G210" s="4"/>
      <c r="H210" s="48"/>
      <c r="J210" s="46" t="str">
        <f t="shared" si="83"/>
        <v/>
      </c>
      <c r="N210" t="str">
        <f t="shared" si="76"/>
        <v/>
      </c>
      <c r="Q210" t="str">
        <f t="shared" si="91"/>
        <v/>
      </c>
      <c r="S210" t="str">
        <f>IF(A210=1,MAX(S$2:S209)+1,IF(OR(I210&lt;&gt;"",A210="x"),S209,""))</f>
        <v/>
      </c>
      <c r="T210" t="str">
        <f>IF(D210=1,MAX($T$2:$T209)+1,IF(S210=$S209,$S209,IF($D210="x",T209,IF($D209="x","",""))))</f>
        <v/>
      </c>
      <c r="U210" t="str">
        <f>IF(B210=1,MAX($U$2:$U209)+1,IF(AND($T210&lt;&gt;"",$T210=$T209),$U209,IF(B210="x",U209,"")))</f>
        <v/>
      </c>
      <c r="V210" t="str">
        <f>IF(C210=1,MAX($V$2:$V209)+1,IF(AND($T210&lt;&gt;"",$T210=$T209),$U209,IF(C210="x",V209,"")))</f>
        <v/>
      </c>
      <c r="W210" t="str" cm="1">
        <f t="array" ref="W210">IFERROR(_xlfn._xlws.FILTER(game_rosters!AB:AB,(game_rosters!J:J=events!X210)*(K210&lt;&gt;"")),"")</f>
        <v/>
      </c>
      <c r="X210" t="str" cm="1">
        <f t="array" ref="X210">IF(S210="","",IF($I210&lt;&gt;"",$I210,INDEX($I$2:$I209,ROW()-COUNTIFS($T$2:$T209,"="&amp;$T210,$S$2:$S209,"&lt;&gt;"&amp;$S210)-1)))</f>
        <v/>
      </c>
      <c r="Z210" s="6"/>
      <c r="AH210" t="str">
        <f t="shared" si="77"/>
        <v>o</v>
      </c>
      <c r="AI210" t="str">
        <f t="shared" si="84"/>
        <v/>
      </c>
      <c r="AJ210" t="str">
        <f t="shared" si="85"/>
        <v/>
      </c>
      <c r="AK210" t="str">
        <f t="shared" si="78"/>
        <v/>
      </c>
      <c r="AL210" t="str">
        <f t="shared" si="79"/>
        <v/>
      </c>
      <c r="AM210" t="str">
        <f t="shared" si="80"/>
        <v/>
      </c>
      <c r="AN210" t="str">
        <f t="shared" si="86"/>
        <v/>
      </c>
      <c r="AO210" t="str">
        <f t="shared" si="87"/>
        <v/>
      </c>
      <c r="AP210" t="str">
        <f t="shared" si="88"/>
        <v/>
      </c>
      <c r="AQ210" t="str">
        <f t="shared" si="89"/>
        <v/>
      </c>
      <c r="AR210" t="str">
        <f t="shared" si="90"/>
        <v/>
      </c>
      <c r="AS210" t="str">
        <f t="shared" si="81"/>
        <v>Defensive</v>
      </c>
      <c r="BI210" s="40"/>
      <c r="BL210" s="40"/>
      <c r="BN210" s="19"/>
      <c r="BP210" s="17"/>
    </row>
    <row r="211" spans="1:68" x14ac:dyDescent="0.2">
      <c r="A211" t="str">
        <f t="shared" si="82"/>
        <v/>
      </c>
      <c r="E211" s="4"/>
      <c r="F211" s="45"/>
      <c r="G211" s="4"/>
      <c r="H211" s="48"/>
      <c r="J211" s="46" t="str">
        <f t="shared" si="83"/>
        <v/>
      </c>
      <c r="N211" t="str">
        <f t="shared" si="76"/>
        <v/>
      </c>
      <c r="Q211" t="str">
        <f t="shared" si="91"/>
        <v/>
      </c>
      <c r="S211" t="str">
        <f>IF(A211=1,MAX(S$2:S210)+1,IF(OR(I211&lt;&gt;"",A211="x"),S210,""))</f>
        <v/>
      </c>
      <c r="T211" t="str">
        <f>IF(D211=1,MAX($T$2:$T210)+1,IF(S211=$S210,$S210,IF($D211="x",T210,IF($D210="x","",""))))</f>
        <v/>
      </c>
      <c r="U211" t="str">
        <f>IF(B211=1,MAX($U$2:$U210)+1,IF(AND($T211&lt;&gt;"",$T211=$T210),$U210,IF(B211="x",U210,"")))</f>
        <v/>
      </c>
      <c r="V211" t="str">
        <f>IF(C211=1,MAX($V$2:$V210)+1,IF(AND($T211&lt;&gt;"",$T211=$T210),$U210,IF(C211="x",V210,"")))</f>
        <v/>
      </c>
      <c r="W211" t="str" cm="1">
        <f t="array" ref="W211">IFERROR(_xlfn._xlws.FILTER(game_rosters!AB:AB,(game_rosters!J:J=events!X211)*(K211&lt;&gt;"")),"")</f>
        <v/>
      </c>
      <c r="X211" t="str" cm="1">
        <f t="array" ref="X211">IF(S211="","",IF($I211&lt;&gt;"",$I211,INDEX($I$2:$I210,ROW()-COUNTIFS($T$2:$T210,"="&amp;$T211,$S$2:$S210,"&lt;&gt;"&amp;$S211)-1)))</f>
        <v/>
      </c>
      <c r="Z211" s="6"/>
      <c r="AH211" t="str">
        <f t="shared" si="77"/>
        <v>o</v>
      </c>
      <c r="AI211" t="str">
        <f t="shared" si="84"/>
        <v/>
      </c>
      <c r="AJ211" t="str">
        <f t="shared" si="85"/>
        <v/>
      </c>
      <c r="AK211" t="str">
        <f t="shared" si="78"/>
        <v/>
      </c>
      <c r="AL211" t="str">
        <f t="shared" si="79"/>
        <v/>
      </c>
      <c r="AM211" t="str">
        <f t="shared" si="80"/>
        <v/>
      </c>
      <c r="AN211" t="str">
        <f t="shared" si="86"/>
        <v/>
      </c>
      <c r="AO211" t="str">
        <f t="shared" si="87"/>
        <v/>
      </c>
      <c r="AP211" t="str">
        <f t="shared" si="88"/>
        <v/>
      </c>
      <c r="AQ211" t="str">
        <f t="shared" si="89"/>
        <v/>
      </c>
      <c r="AR211" t="str">
        <f t="shared" si="90"/>
        <v/>
      </c>
      <c r="AS211" t="str">
        <f t="shared" si="81"/>
        <v>Defensive</v>
      </c>
      <c r="BI211" s="40"/>
      <c r="BL211" s="40"/>
      <c r="BN211" s="19"/>
      <c r="BP211" s="17"/>
    </row>
    <row r="212" spans="1:68" x14ac:dyDescent="0.2">
      <c r="A212" t="str">
        <f t="shared" si="82"/>
        <v/>
      </c>
      <c r="E212" s="4"/>
      <c r="F212" s="45"/>
      <c r="G212" s="4"/>
      <c r="H212" s="48"/>
      <c r="J212" s="46" t="str">
        <f t="shared" si="83"/>
        <v/>
      </c>
      <c r="N212" t="str">
        <f t="shared" si="76"/>
        <v/>
      </c>
      <c r="Q212" t="str">
        <f t="shared" si="91"/>
        <v/>
      </c>
      <c r="S212" t="str">
        <f>IF(A212=1,MAX(S$2:S211)+1,IF(OR(I212&lt;&gt;"",A212="x"),S211,""))</f>
        <v/>
      </c>
      <c r="T212" t="str">
        <f>IF(D212=1,MAX($T$2:$T211)+1,IF(S212=$S211,$S211,IF($D212="x",T211,IF($D211="x","",""))))</f>
        <v/>
      </c>
      <c r="U212" t="str">
        <f>IF(B212=1,MAX($U$2:$U211)+1,IF(AND($T212&lt;&gt;"",$T212=$T211),$U211,IF(B212="x",U211,"")))</f>
        <v/>
      </c>
      <c r="V212" t="str">
        <f>IF(C212=1,MAX($V$2:$V211)+1,IF(AND($T212&lt;&gt;"",$T212=$T211),$U211,IF(C212="x",V211,"")))</f>
        <v/>
      </c>
      <c r="W212" t="str" cm="1">
        <f t="array" ref="W212">IFERROR(_xlfn._xlws.FILTER(game_rosters!AB:AB,(game_rosters!J:J=events!X212)*(K212&lt;&gt;"")),"")</f>
        <v/>
      </c>
      <c r="X212" t="str" cm="1">
        <f t="array" ref="X212">IF(S212="","",IF($I212&lt;&gt;"",$I212,INDEX($I$2:$I211,ROW()-COUNTIFS($T$2:$T211,"="&amp;$T212,$S$2:$S211,"&lt;&gt;"&amp;$S212)-1)))</f>
        <v/>
      </c>
      <c r="Z212" s="6"/>
      <c r="AH212" t="str">
        <f t="shared" si="77"/>
        <v>o</v>
      </c>
      <c r="AI212" t="str">
        <f t="shared" si="84"/>
        <v/>
      </c>
      <c r="AJ212" t="str">
        <f t="shared" si="85"/>
        <v/>
      </c>
      <c r="AK212" t="str">
        <f t="shared" si="78"/>
        <v/>
      </c>
      <c r="AL212" t="str">
        <f t="shared" si="79"/>
        <v/>
      </c>
      <c r="AM212" t="str">
        <f t="shared" si="80"/>
        <v/>
      </c>
      <c r="AN212" t="str">
        <f t="shared" si="86"/>
        <v/>
      </c>
      <c r="AO212" t="str">
        <f t="shared" si="87"/>
        <v/>
      </c>
      <c r="AP212" t="str">
        <f t="shared" si="88"/>
        <v/>
      </c>
      <c r="AQ212" t="str">
        <f t="shared" si="89"/>
        <v/>
      </c>
      <c r="AR212" t="str">
        <f t="shared" si="90"/>
        <v/>
      </c>
      <c r="AS212" t="str">
        <f t="shared" si="81"/>
        <v>Defensive</v>
      </c>
      <c r="BI212" s="40"/>
      <c r="BL212" s="40"/>
      <c r="BN212" s="19"/>
      <c r="BP212" s="17"/>
    </row>
    <row r="213" spans="1:68" x14ac:dyDescent="0.2">
      <c r="A213" t="str">
        <f t="shared" si="82"/>
        <v/>
      </c>
      <c r="E213" s="4"/>
      <c r="F213" s="45"/>
      <c r="G213" s="4"/>
      <c r="H213" s="48"/>
      <c r="J213" s="46" t="str">
        <f t="shared" si="83"/>
        <v/>
      </c>
      <c r="N213" t="str">
        <f t="shared" ref="N213:N276" si="92">IF(K213="","",IF(K213="Goal","s",IF(AND(K213="Zone_Entry_Exit",OR(ISNUMBER(SEARCH("fail",L213)),ISNUMBER(SEARCH("FromExitClear",M213)),ISNUMBER(SEARCH("miss",M213)))),"u",IF(AND(K213="Zone_Entry_Exit",OR(NOT(ISNUMBER(SEARCH("fail",L213))),NOT(ISNUMBER(SEARCH("FromExitClear",M213))),NOT(ISNUMBER(SEARCH("miss",M213))))),"s",IF(AND(OR(K213="Shot",K213="Pass"),OR(ISNUMBER(SEARCH("complete",L213)),ISNUMBER(SEARCH("goal",L213)),ISNUMBER(SEARCH("OnNet",L213)))),"s",IF(L213="Turnover_Giveaway","u",IF(AND(OR(K213="Shot",K213="Pass"),OR(ISNUMBER(SEARCH("fail",L213)),NOT(ISNUMBER(SEARCH("complete",L213))),NOT(ISNUMBER(SEARCH("OnNet",L213))))),"u","")))))))</f>
        <v/>
      </c>
      <c r="Q213" t="str">
        <f t="shared" si="91"/>
        <v/>
      </c>
      <c r="S213" t="str">
        <f>IF(A213=1,MAX(S$2:S212)+1,IF(OR(I213&lt;&gt;"",A213="x"),S212,""))</f>
        <v/>
      </c>
      <c r="T213" t="str">
        <f>IF(D213=1,MAX($T$2:$T212)+1,IF(S213=$S212,$S212,IF($D213="x",T212,IF($D212="x","",""))))</f>
        <v/>
      </c>
      <c r="U213" t="str">
        <f>IF(B213=1,MAX($U$2:$U212)+1,IF(AND($T213&lt;&gt;"",$T213=$T212),$U212,IF(B213="x",U212,"")))</f>
        <v/>
      </c>
      <c r="V213" t="str">
        <f>IF(C213=1,MAX($V$2:$V212)+1,IF(AND($T213&lt;&gt;"",$T213=$T212),$U212,IF(C213="x",V212,"")))</f>
        <v/>
      </c>
      <c r="W213" t="str" cm="1">
        <f t="array" ref="W213">IFERROR(_xlfn._xlws.FILTER(game_rosters!AB:AB,(game_rosters!J:J=events!X213)*(K213&lt;&gt;"")),"")</f>
        <v/>
      </c>
      <c r="X213" t="str" cm="1">
        <f t="array" ref="X213">IF(S213="","",IF($I213&lt;&gt;"",$I213,INDEX($I$2:$I212,ROW()-COUNTIFS($T$2:$T212,"="&amp;$T213,$S$2:$S212,"&lt;&gt;"&amp;$S213)-1)))</f>
        <v/>
      </c>
      <c r="Z213" s="6"/>
      <c r="AH213" t="str">
        <f t="shared" si="77"/>
        <v>o</v>
      </c>
      <c r="AI213" t="str">
        <f t="shared" si="84"/>
        <v/>
      </c>
      <c r="AJ213" t="str">
        <f t="shared" si="85"/>
        <v/>
      </c>
      <c r="AK213" t="str">
        <f t="shared" si="78"/>
        <v/>
      </c>
      <c r="AL213" t="str">
        <f t="shared" si="79"/>
        <v/>
      </c>
      <c r="AM213" t="str">
        <f t="shared" si="80"/>
        <v/>
      </c>
      <c r="AN213" t="str">
        <f t="shared" si="86"/>
        <v/>
      </c>
      <c r="AO213" t="str">
        <f t="shared" si="87"/>
        <v/>
      </c>
      <c r="AP213" t="str">
        <f t="shared" si="88"/>
        <v/>
      </c>
      <c r="AQ213" t="str">
        <f t="shared" si="89"/>
        <v/>
      </c>
      <c r="AR213" t="str">
        <f t="shared" si="90"/>
        <v/>
      </c>
      <c r="AS213" t="str">
        <f t="shared" si="81"/>
        <v>Defensive</v>
      </c>
      <c r="BI213" s="40"/>
      <c r="BL213" s="40"/>
      <c r="BN213" s="19"/>
      <c r="BP213" s="17"/>
    </row>
    <row r="214" spans="1:68" x14ac:dyDescent="0.2">
      <c r="A214" t="str">
        <f t="shared" si="82"/>
        <v/>
      </c>
      <c r="E214" s="4"/>
      <c r="F214" s="45"/>
      <c r="G214" s="4"/>
      <c r="H214" s="48"/>
      <c r="J214" s="46" t="str">
        <f t="shared" si="83"/>
        <v/>
      </c>
      <c r="N214" t="str">
        <f t="shared" si="92"/>
        <v/>
      </c>
      <c r="Q214" t="str">
        <f t="shared" si="91"/>
        <v/>
      </c>
      <c r="S214" t="str">
        <f>IF(A214=1,MAX(S$2:S213)+1,IF(OR(I214&lt;&gt;"",A214="x"),S213,""))</f>
        <v/>
      </c>
      <c r="T214" t="str">
        <f>IF(D214=1,MAX($T$2:$T213)+1,IF(S214=$S213,$S213,IF($D214="x",T213,IF($D213="x","",""))))</f>
        <v/>
      </c>
      <c r="U214" t="str">
        <f>IF(B214=1,MAX($U$2:$U213)+1,IF(AND($T214&lt;&gt;"",$T214=$T213),$U213,IF(B214="x",U213,"")))</f>
        <v/>
      </c>
      <c r="V214" t="str">
        <f>IF(C214=1,MAX($V$2:$V213)+1,IF(AND($T214&lt;&gt;"",$T214=$T213),$U213,IF(C214="x",V213,"")))</f>
        <v/>
      </c>
      <c r="W214" t="str" cm="1">
        <f t="array" ref="W214">IFERROR(_xlfn._xlws.FILTER(game_rosters!AB:AB,(game_rosters!J:J=events!X214)*(K214&lt;&gt;"")),"")</f>
        <v/>
      </c>
      <c r="X214" t="str" cm="1">
        <f t="array" ref="X214">IF(S214="","",IF($I214&lt;&gt;"",$I214,INDEX($I$2:$I213,ROW()-COUNTIFS($T$2:$T213,"="&amp;$T214,$S$2:$S213,"&lt;&gt;"&amp;$S214)-1)))</f>
        <v/>
      </c>
      <c r="Z214" s="6"/>
      <c r="AH214" t="str">
        <f t="shared" si="77"/>
        <v>o</v>
      </c>
      <c r="AI214" t="str">
        <f t="shared" si="84"/>
        <v/>
      </c>
      <c r="AJ214" t="str">
        <f t="shared" si="85"/>
        <v/>
      </c>
      <c r="AK214" t="str">
        <f t="shared" si="78"/>
        <v/>
      </c>
      <c r="AL214" t="str">
        <f t="shared" si="79"/>
        <v/>
      </c>
      <c r="AM214" t="str">
        <f t="shared" si="80"/>
        <v/>
      </c>
      <c r="AN214" t="str">
        <f t="shared" si="86"/>
        <v/>
      </c>
      <c r="AO214" t="str">
        <f t="shared" si="87"/>
        <v/>
      </c>
      <c r="AP214" t="str">
        <f t="shared" si="88"/>
        <v/>
      </c>
      <c r="AQ214" t="str">
        <f t="shared" si="89"/>
        <v/>
      </c>
      <c r="AR214" t="str">
        <f t="shared" si="90"/>
        <v/>
      </c>
      <c r="AS214" t="str">
        <f t="shared" si="81"/>
        <v>Defensive</v>
      </c>
      <c r="BI214" s="40"/>
      <c r="BL214" s="40"/>
      <c r="BN214" s="19"/>
      <c r="BP214" s="17"/>
    </row>
    <row r="215" spans="1:68" x14ac:dyDescent="0.2">
      <c r="A215" t="str">
        <f t="shared" si="82"/>
        <v/>
      </c>
      <c r="E215" s="4"/>
      <c r="F215" s="45"/>
      <c r="G215" s="4"/>
      <c r="H215" s="48"/>
      <c r="J215" s="46" t="str">
        <f t="shared" si="83"/>
        <v/>
      </c>
      <c r="N215" t="str">
        <f t="shared" si="92"/>
        <v/>
      </c>
      <c r="Q215" t="str">
        <f t="shared" si="91"/>
        <v/>
      </c>
      <c r="S215" t="str">
        <f>IF(A215=1,MAX(S$2:S214)+1,IF(OR(I215&lt;&gt;"",A215="x"),S214,""))</f>
        <v/>
      </c>
      <c r="T215" t="str">
        <f>IF(D215=1,MAX($T$2:$T214)+1,IF(S215=$S214,$S214,IF($D215="x",T214,IF($D214="x","",""))))</f>
        <v/>
      </c>
      <c r="U215" t="str">
        <f>IF(B215=1,MAX($U$2:$U214)+1,IF(AND($T215&lt;&gt;"",$T215=$T214),$U214,IF(B215="x",U214,"")))</f>
        <v/>
      </c>
      <c r="V215" t="str">
        <f>IF(C215=1,MAX($V$2:$V214)+1,IF(AND($T215&lt;&gt;"",$T215=$T214),$U214,IF(C215="x",V214,"")))</f>
        <v/>
      </c>
      <c r="W215" t="str" cm="1">
        <f t="array" ref="W215">IFERROR(_xlfn._xlws.FILTER(game_rosters!AB:AB,(game_rosters!J:J=events!X215)*(K215&lt;&gt;"")),"")</f>
        <v/>
      </c>
      <c r="X215" t="str" cm="1">
        <f t="array" ref="X215">IF(S215="","",IF($I215&lt;&gt;"",$I215,INDEX($I$2:$I214,ROW()-COUNTIFS($T$2:$T214,"="&amp;$T215,$S$2:$S214,"&lt;&gt;"&amp;$S215)-1)))</f>
        <v/>
      </c>
      <c r="Z215" s="6"/>
      <c r="AH215" t="str">
        <f t="shared" si="77"/>
        <v>o</v>
      </c>
      <c r="AI215" t="str">
        <f t="shared" si="84"/>
        <v/>
      </c>
      <c r="AJ215" t="str">
        <f t="shared" si="85"/>
        <v/>
      </c>
      <c r="AK215" t="str">
        <f t="shared" si="78"/>
        <v/>
      </c>
      <c r="AL215" t="str">
        <f t="shared" si="79"/>
        <v/>
      </c>
      <c r="AM215" t="str">
        <f t="shared" si="80"/>
        <v/>
      </c>
      <c r="AN215" t="str">
        <f t="shared" si="86"/>
        <v/>
      </c>
      <c r="AO215" t="str">
        <f t="shared" si="87"/>
        <v/>
      </c>
      <c r="AP215" t="str">
        <f t="shared" si="88"/>
        <v/>
      </c>
      <c r="AQ215" t="str">
        <f t="shared" si="89"/>
        <v/>
      </c>
      <c r="AR215" t="str">
        <f t="shared" si="90"/>
        <v/>
      </c>
      <c r="AS215" t="str">
        <f t="shared" si="81"/>
        <v>Defensive</v>
      </c>
      <c r="BI215" s="40"/>
      <c r="BL215" s="40"/>
      <c r="BN215" s="19"/>
      <c r="BP215" s="17"/>
    </row>
    <row r="216" spans="1:68" x14ac:dyDescent="0.2">
      <c r="A216" t="str">
        <f t="shared" si="82"/>
        <v/>
      </c>
      <c r="E216" s="4"/>
      <c r="F216" s="45"/>
      <c r="G216" s="4"/>
      <c r="H216" s="48"/>
      <c r="J216" s="46" t="str">
        <f t="shared" si="83"/>
        <v/>
      </c>
      <c r="N216" t="str">
        <f t="shared" si="92"/>
        <v/>
      </c>
      <c r="Q216" t="str">
        <f t="shared" si="91"/>
        <v/>
      </c>
      <c r="S216" t="str">
        <f>IF(A216=1,MAX(S$2:S215)+1,IF(OR(I216&lt;&gt;"",A216="x"),S215,""))</f>
        <v/>
      </c>
      <c r="T216" t="str">
        <f>IF(D216=1,MAX($T$2:$T215)+1,IF(S216=$S215,$S215,IF($D216="x",T215,IF($D215="x","",""))))</f>
        <v/>
      </c>
      <c r="U216" t="str">
        <f>IF(B216=1,MAX($U$2:$U215)+1,IF(AND($T216&lt;&gt;"",$T216=$T215),$U215,IF(B216="x",U215,"")))</f>
        <v/>
      </c>
      <c r="V216" t="str">
        <f>IF(C216=1,MAX($V$2:$V215)+1,IF(AND($T216&lt;&gt;"",$T216=$T215),$U215,IF(C216="x",V215,"")))</f>
        <v/>
      </c>
      <c r="W216" t="str" cm="1">
        <f t="array" ref="W216">IFERROR(_xlfn._xlws.FILTER(game_rosters!AB:AB,(game_rosters!J:J=events!X216)*(K216&lt;&gt;"")),"")</f>
        <v/>
      </c>
      <c r="X216" t="str" cm="1">
        <f t="array" ref="X216">IF(S216="","",IF($I216&lt;&gt;"",$I216,INDEX($I$2:$I215,ROW()-COUNTIFS($T$2:$T215,"="&amp;$T216,$S$2:$S215,"&lt;&gt;"&amp;$S216)-1)))</f>
        <v/>
      </c>
      <c r="Z216" s="6"/>
      <c r="AH216" t="str">
        <f t="shared" si="77"/>
        <v>o</v>
      </c>
      <c r="AI216" t="str">
        <f t="shared" si="84"/>
        <v/>
      </c>
      <c r="AJ216" t="str">
        <f t="shared" si="85"/>
        <v/>
      </c>
      <c r="AK216" t="str">
        <f t="shared" si="78"/>
        <v/>
      </c>
      <c r="AL216" t="str">
        <f t="shared" si="79"/>
        <v/>
      </c>
      <c r="AM216" t="str">
        <f t="shared" si="80"/>
        <v/>
      </c>
      <c r="AN216" t="str">
        <f t="shared" si="86"/>
        <v/>
      </c>
      <c r="AO216" t="str">
        <f t="shared" si="87"/>
        <v/>
      </c>
      <c r="AP216" t="str">
        <f t="shared" si="88"/>
        <v/>
      </c>
      <c r="AQ216" t="str">
        <f t="shared" si="89"/>
        <v/>
      </c>
      <c r="AR216" t="str">
        <f t="shared" si="90"/>
        <v/>
      </c>
      <c r="AS216" t="str">
        <f t="shared" si="81"/>
        <v>Defensive</v>
      </c>
      <c r="BI216" s="40"/>
      <c r="BL216" s="40"/>
      <c r="BN216" s="19"/>
      <c r="BP216" s="17"/>
    </row>
    <row r="217" spans="1:68" x14ac:dyDescent="0.2">
      <c r="A217" t="str">
        <f t="shared" si="82"/>
        <v/>
      </c>
      <c r="E217" s="4"/>
      <c r="F217" s="45"/>
      <c r="G217" s="4"/>
      <c r="H217" s="48"/>
      <c r="J217" s="46" t="str">
        <f t="shared" si="83"/>
        <v/>
      </c>
      <c r="N217" t="str">
        <f t="shared" si="92"/>
        <v/>
      </c>
      <c r="Q217" t="str">
        <f t="shared" si="91"/>
        <v/>
      </c>
      <c r="S217" t="str">
        <f>IF(A217=1,MAX(S$2:S216)+1,IF(OR(I217&lt;&gt;"",A217="x"),S216,""))</f>
        <v/>
      </c>
      <c r="T217" t="str">
        <f>IF(D217=1,MAX($T$2:$T216)+1,IF(S217=$S216,$S216,IF($D217="x",T216,IF($D216="x","",""))))</f>
        <v/>
      </c>
      <c r="U217" t="str">
        <f>IF(B217=1,MAX($U$2:$U216)+1,IF(AND($T217&lt;&gt;"",$T217=$T216),$U216,IF(B217="x",U216,"")))</f>
        <v/>
      </c>
      <c r="V217" t="str">
        <f>IF(C217=1,MAX($V$2:$V216)+1,IF(AND($T217&lt;&gt;"",$T217=$T216),$U216,IF(C217="x",V216,"")))</f>
        <v/>
      </c>
      <c r="W217" t="str" cm="1">
        <f t="array" ref="W217">IFERROR(_xlfn._xlws.FILTER(game_rosters!AB:AB,(game_rosters!J:J=events!X217)*(K217&lt;&gt;"")),"")</f>
        <v/>
      </c>
      <c r="X217" t="str" cm="1">
        <f t="array" ref="X217">IF(S217="","",IF($I217&lt;&gt;"",$I217,INDEX($I$2:$I216,ROW()-COUNTIFS($T$2:$T216,"="&amp;$T217,$S$2:$S216,"&lt;&gt;"&amp;$S217)-1)))</f>
        <v/>
      </c>
      <c r="Z217" s="6"/>
      <c r="AH217" t="str">
        <f t="shared" si="77"/>
        <v>o</v>
      </c>
      <c r="AI217" t="str">
        <f t="shared" si="84"/>
        <v/>
      </c>
      <c r="AJ217" t="str">
        <f t="shared" si="85"/>
        <v/>
      </c>
      <c r="AK217" t="str">
        <f t="shared" si="78"/>
        <v/>
      </c>
      <c r="AL217" t="str">
        <f t="shared" si="79"/>
        <v/>
      </c>
      <c r="AM217" t="str">
        <f t="shared" si="80"/>
        <v/>
      </c>
      <c r="AN217" t="str">
        <f t="shared" si="86"/>
        <v/>
      </c>
      <c r="AO217" t="str">
        <f t="shared" si="87"/>
        <v/>
      </c>
      <c r="AP217" t="str">
        <f t="shared" si="88"/>
        <v/>
      </c>
      <c r="AQ217" t="str">
        <f t="shared" si="89"/>
        <v/>
      </c>
      <c r="AR217" t="str">
        <f t="shared" si="90"/>
        <v/>
      </c>
      <c r="AS217" t="str">
        <f t="shared" si="81"/>
        <v>Defensive</v>
      </c>
      <c r="BI217" s="40"/>
      <c r="BL217" s="40"/>
      <c r="BN217" s="19"/>
      <c r="BP217" s="17"/>
    </row>
    <row r="218" spans="1:68" x14ac:dyDescent="0.2">
      <c r="A218" t="str">
        <f t="shared" si="82"/>
        <v/>
      </c>
      <c r="E218" s="4"/>
      <c r="F218" s="45"/>
      <c r="G218" s="4"/>
      <c r="H218" s="48"/>
      <c r="J218" s="46" t="str">
        <f t="shared" si="83"/>
        <v/>
      </c>
      <c r="N218" t="str">
        <f t="shared" si="92"/>
        <v/>
      </c>
      <c r="Q218" t="str">
        <f t="shared" si="91"/>
        <v/>
      </c>
      <c r="S218" t="str">
        <f>IF(A218=1,MAX(S$2:S217)+1,IF(OR(I218&lt;&gt;"",A218="x"),S217,""))</f>
        <v/>
      </c>
      <c r="T218" t="str">
        <f>IF(D218=1,MAX($T$2:$T217)+1,IF(S218=$S217,$S217,IF($D218="x",T217,IF($D217="x","",""))))</f>
        <v/>
      </c>
      <c r="U218" t="str">
        <f>IF(B218=1,MAX($U$2:$U217)+1,IF(AND($T218&lt;&gt;"",$T218=$T217),$U217,IF(B218="x",U217,"")))</f>
        <v/>
      </c>
      <c r="V218" t="str">
        <f>IF(C218=1,MAX($V$2:$V217)+1,IF(AND($T218&lt;&gt;"",$T218=$T217),$U217,IF(C218="x",V217,"")))</f>
        <v/>
      </c>
      <c r="W218" t="str" cm="1">
        <f t="array" ref="W218">IFERROR(_xlfn._xlws.FILTER(game_rosters!AB:AB,(game_rosters!J:J=events!X218)*(K218&lt;&gt;"")),"")</f>
        <v/>
      </c>
      <c r="X218" t="str" cm="1">
        <f t="array" ref="X218">IF(S218="","",IF($I218&lt;&gt;"",$I218,INDEX($I$2:$I217,ROW()-COUNTIFS($T$2:$T217,"="&amp;$T218,$S$2:$S217,"&lt;&gt;"&amp;$S218)-1)))</f>
        <v/>
      </c>
      <c r="Z218" s="6"/>
      <c r="AH218" t="str">
        <f t="shared" si="77"/>
        <v>o</v>
      </c>
      <c r="AI218" t="str">
        <f t="shared" si="84"/>
        <v/>
      </c>
      <c r="AJ218" t="str">
        <f t="shared" si="85"/>
        <v/>
      </c>
      <c r="AK218" t="str">
        <f t="shared" si="78"/>
        <v/>
      </c>
      <c r="AL218" t="str">
        <f t="shared" si="79"/>
        <v/>
      </c>
      <c r="AM218" t="str">
        <f t="shared" si="80"/>
        <v/>
      </c>
      <c r="AN218" t="str">
        <f t="shared" si="86"/>
        <v/>
      </c>
      <c r="AO218" t="str">
        <f t="shared" si="87"/>
        <v/>
      </c>
      <c r="AP218" t="str">
        <f t="shared" si="88"/>
        <v/>
      </c>
      <c r="AQ218" t="str">
        <f t="shared" si="89"/>
        <v/>
      </c>
      <c r="AR218" t="str">
        <f t="shared" si="90"/>
        <v/>
      </c>
      <c r="AS218" t="str">
        <f t="shared" si="81"/>
        <v>Defensive</v>
      </c>
      <c r="BI218" s="40"/>
      <c r="BL218" s="40"/>
      <c r="BN218" s="19"/>
      <c r="BP218" s="17"/>
    </row>
    <row r="219" spans="1:68" x14ac:dyDescent="0.2">
      <c r="A219" t="str">
        <f t="shared" si="82"/>
        <v/>
      </c>
      <c r="E219" s="4"/>
      <c r="F219" s="45"/>
      <c r="G219" s="4"/>
      <c r="H219" s="48"/>
      <c r="J219" s="46" t="str">
        <f t="shared" si="83"/>
        <v/>
      </c>
      <c r="N219" t="str">
        <f t="shared" si="92"/>
        <v/>
      </c>
      <c r="Q219" t="str">
        <f t="shared" si="91"/>
        <v/>
      </c>
      <c r="S219" t="str">
        <f>IF(A219=1,MAX(S$2:S218)+1,IF(OR(I219&lt;&gt;"",A219="x"),S218,""))</f>
        <v/>
      </c>
      <c r="T219" t="str">
        <f>IF(D219=1,MAX($T$2:$T218)+1,IF(S219=$S218,$S218,IF($D219="x",T218,IF($D218="x","",""))))</f>
        <v/>
      </c>
      <c r="U219" t="str">
        <f>IF(B219=1,MAX($U$2:$U218)+1,IF(AND($T219&lt;&gt;"",$T219=$T218),$U218,IF(B219="x",U218,"")))</f>
        <v/>
      </c>
      <c r="V219" t="str">
        <f>IF(C219=1,MAX($V$2:$V218)+1,IF(AND($T219&lt;&gt;"",$T219=$T218),$U218,IF(C219="x",V218,"")))</f>
        <v/>
      </c>
      <c r="W219" t="str" cm="1">
        <f t="array" ref="W219">IFERROR(_xlfn._xlws.FILTER(game_rosters!AB:AB,(game_rosters!J:J=events!X219)*(K219&lt;&gt;"")),"")</f>
        <v/>
      </c>
      <c r="X219" t="str" cm="1">
        <f t="array" ref="X219">IF(S219="","",IF($I219&lt;&gt;"",$I219,INDEX($I$2:$I218,ROW()-COUNTIFS($T$2:$T218,"="&amp;$T219,$S$2:$S218,"&lt;&gt;"&amp;$S219)-1)))</f>
        <v/>
      </c>
      <c r="Z219" s="6"/>
      <c r="AH219" t="str">
        <f t="shared" si="77"/>
        <v>o</v>
      </c>
      <c r="AI219" t="str">
        <f t="shared" si="84"/>
        <v/>
      </c>
      <c r="AJ219" t="str">
        <f t="shared" si="85"/>
        <v/>
      </c>
      <c r="AK219" t="str">
        <f t="shared" si="78"/>
        <v/>
      </c>
      <c r="AL219" t="str">
        <f t="shared" si="79"/>
        <v/>
      </c>
      <c r="AM219" t="str">
        <f t="shared" si="80"/>
        <v/>
      </c>
      <c r="AN219" t="str">
        <f t="shared" si="86"/>
        <v/>
      </c>
      <c r="AO219" t="str">
        <f t="shared" si="87"/>
        <v/>
      </c>
      <c r="AP219" t="str">
        <f t="shared" si="88"/>
        <v/>
      </c>
      <c r="AQ219" t="str">
        <f t="shared" si="89"/>
        <v/>
      </c>
      <c r="AR219" t="str">
        <f t="shared" si="90"/>
        <v/>
      </c>
      <c r="AS219" t="str">
        <f t="shared" si="81"/>
        <v>Defensive</v>
      </c>
      <c r="BI219" s="40"/>
      <c r="BL219" s="40"/>
      <c r="BN219" s="19"/>
      <c r="BP219" s="17"/>
    </row>
    <row r="220" spans="1:68" x14ac:dyDescent="0.2">
      <c r="A220" t="str">
        <f t="shared" si="82"/>
        <v/>
      </c>
      <c r="E220" s="4"/>
      <c r="F220" s="45"/>
      <c r="G220" s="4"/>
      <c r="H220" s="48"/>
      <c r="J220" s="46" t="str">
        <f t="shared" si="83"/>
        <v/>
      </c>
      <c r="N220" t="str">
        <f t="shared" si="92"/>
        <v/>
      </c>
      <c r="Q220" t="str">
        <f t="shared" si="91"/>
        <v/>
      </c>
      <c r="S220" t="str">
        <f>IF(A220=1,MAX(S$2:S219)+1,IF(OR(I220&lt;&gt;"",A220="x"),S219,""))</f>
        <v/>
      </c>
      <c r="T220" t="str">
        <f>IF(D220=1,MAX($T$2:$T219)+1,IF(S220=$S219,$S219,IF($D220="x",T219,IF($D219="x","",""))))</f>
        <v/>
      </c>
      <c r="U220" t="str">
        <f>IF(B220=1,MAX($U$2:$U219)+1,IF(AND($T220&lt;&gt;"",$T220=$T219),$U219,IF(B220="x",U219,"")))</f>
        <v/>
      </c>
      <c r="V220" t="str">
        <f>IF(C220=1,MAX($V$2:$V219)+1,IF(AND($T220&lt;&gt;"",$T220=$T219),$U219,IF(C220="x",V219,"")))</f>
        <v/>
      </c>
      <c r="W220" t="str" cm="1">
        <f t="array" ref="W220">IFERROR(_xlfn._xlws.FILTER(game_rosters!AB:AB,(game_rosters!J:J=events!X220)*(K220&lt;&gt;"")),"")</f>
        <v/>
      </c>
      <c r="X220" t="str" cm="1">
        <f t="array" ref="X220">IF(S220="","",IF($I220&lt;&gt;"",$I220,INDEX($I$2:$I219,ROW()-COUNTIFS($T$2:$T219,"="&amp;$T220,$S$2:$S219,"&lt;&gt;"&amp;$S220)-1)))</f>
        <v/>
      </c>
      <c r="Z220" s="6"/>
      <c r="AH220" t="str">
        <f t="shared" si="77"/>
        <v>o</v>
      </c>
      <c r="AI220" t="str">
        <f t="shared" si="84"/>
        <v/>
      </c>
      <c r="AJ220" t="str">
        <f t="shared" si="85"/>
        <v/>
      </c>
      <c r="AK220" t="str">
        <f t="shared" si="78"/>
        <v/>
      </c>
      <c r="AL220" t="str">
        <f t="shared" si="79"/>
        <v/>
      </c>
      <c r="AM220" t="str">
        <f t="shared" si="80"/>
        <v/>
      </c>
      <c r="AN220" t="str">
        <f t="shared" si="86"/>
        <v/>
      </c>
      <c r="AO220" t="str">
        <f t="shared" si="87"/>
        <v/>
      </c>
      <c r="AP220" t="str">
        <f t="shared" si="88"/>
        <v/>
      </c>
      <c r="AQ220" t="str">
        <f t="shared" si="89"/>
        <v/>
      </c>
      <c r="AR220" t="str">
        <f t="shared" si="90"/>
        <v/>
      </c>
      <c r="AS220" t="str">
        <f t="shared" si="81"/>
        <v>Defensive</v>
      </c>
      <c r="BI220" s="40"/>
      <c r="BL220" s="40"/>
      <c r="BN220" s="19"/>
      <c r="BP220" s="17"/>
    </row>
    <row r="221" spans="1:68" x14ac:dyDescent="0.2">
      <c r="A221" t="str">
        <f t="shared" si="82"/>
        <v/>
      </c>
      <c r="E221" s="4"/>
      <c r="F221" s="45"/>
      <c r="G221" s="4"/>
      <c r="H221" s="48"/>
      <c r="J221" s="46" t="str">
        <f t="shared" si="83"/>
        <v/>
      </c>
      <c r="N221" t="str">
        <f t="shared" si="92"/>
        <v/>
      </c>
      <c r="Q221" t="str">
        <f t="shared" si="91"/>
        <v/>
      </c>
      <c r="S221" t="str">
        <f>IF(A221=1,MAX(S$2:S220)+1,IF(OR(I221&lt;&gt;"",A221="x"),S220,""))</f>
        <v/>
      </c>
      <c r="T221" t="str">
        <f>IF(D221=1,MAX($T$2:$T220)+1,IF(S221=$S220,$S220,IF($D221="x",T220,IF($D220="x","",""))))</f>
        <v/>
      </c>
      <c r="U221" t="str">
        <f>IF(B221=1,MAX($U$2:$U220)+1,IF(AND($T221&lt;&gt;"",$T221=$T220),$U220,IF(B221="x",U220,"")))</f>
        <v/>
      </c>
      <c r="V221" t="str">
        <f>IF(C221=1,MAX($V$2:$V220)+1,IF(AND($T221&lt;&gt;"",$T221=$T220),$U220,IF(C221="x",V220,"")))</f>
        <v/>
      </c>
      <c r="W221" t="str" cm="1">
        <f t="array" ref="W221">IFERROR(_xlfn._xlws.FILTER(game_rosters!AB:AB,(game_rosters!J:J=events!X221)*(K221&lt;&gt;"")),"")</f>
        <v/>
      </c>
      <c r="X221" t="str" cm="1">
        <f t="array" ref="X221">IF(S221="","",IF($I221&lt;&gt;"",$I221,INDEX($I$2:$I220,ROW()-COUNTIFS($T$2:$T220,"="&amp;$T221,$S$2:$S220,"&lt;&gt;"&amp;$S221)-1)))</f>
        <v/>
      </c>
      <c r="Z221" s="6"/>
      <c r="AH221" t="str">
        <f t="shared" si="77"/>
        <v>o</v>
      </c>
      <c r="AI221" t="str">
        <f t="shared" si="84"/>
        <v/>
      </c>
      <c r="AJ221" t="str">
        <f t="shared" si="85"/>
        <v/>
      </c>
      <c r="AK221" t="str">
        <f t="shared" si="78"/>
        <v/>
      </c>
      <c r="AL221" t="str">
        <f t="shared" si="79"/>
        <v/>
      </c>
      <c r="AM221" t="str">
        <f t="shared" si="80"/>
        <v/>
      </c>
      <c r="AN221" t="str">
        <f t="shared" si="86"/>
        <v/>
      </c>
      <c r="AO221" t="str">
        <f t="shared" si="87"/>
        <v/>
      </c>
      <c r="AP221" t="str">
        <f t="shared" si="88"/>
        <v/>
      </c>
      <c r="AQ221" t="str">
        <f t="shared" si="89"/>
        <v/>
      </c>
      <c r="AR221" t="str">
        <f t="shared" si="90"/>
        <v/>
      </c>
      <c r="AS221" t="str">
        <f t="shared" si="81"/>
        <v>Defensive</v>
      </c>
      <c r="BI221" s="40"/>
      <c r="BL221" s="40"/>
      <c r="BN221" s="19"/>
      <c r="BP221" s="17"/>
    </row>
    <row r="222" spans="1:68" x14ac:dyDescent="0.2">
      <c r="A222" t="str">
        <f t="shared" si="82"/>
        <v/>
      </c>
      <c r="E222" s="4"/>
      <c r="F222" s="45"/>
      <c r="G222" s="4"/>
      <c r="H222" s="48"/>
      <c r="J222" s="46" t="str">
        <f t="shared" si="83"/>
        <v/>
      </c>
      <c r="N222" t="str">
        <f t="shared" si="92"/>
        <v/>
      </c>
      <c r="Q222" t="str">
        <f t="shared" si="91"/>
        <v/>
      </c>
      <c r="S222" t="str">
        <f>IF(A222=1,MAX(S$2:S221)+1,IF(OR(I222&lt;&gt;"",A222="x"),S221,""))</f>
        <v/>
      </c>
      <c r="T222" t="str">
        <f>IF(D222=1,MAX($T$2:$T221)+1,IF(S222=$S221,$S221,IF($D222="x",T221,IF($D221="x","",""))))</f>
        <v/>
      </c>
      <c r="U222" t="str">
        <f>IF(B222=1,MAX($U$2:$U221)+1,IF(AND($T222&lt;&gt;"",$T222=$T221),$U221,IF(B222="x",U221,"")))</f>
        <v/>
      </c>
      <c r="V222" t="str">
        <f>IF(C222=1,MAX($V$2:$V221)+1,IF(AND($T222&lt;&gt;"",$T222=$T221),$U221,IF(C222="x",V221,"")))</f>
        <v/>
      </c>
      <c r="W222" t="str" cm="1">
        <f t="array" ref="W222">IFERROR(_xlfn._xlws.FILTER(game_rosters!AB:AB,(game_rosters!J:J=events!X222)*(K222&lt;&gt;"")),"")</f>
        <v/>
      </c>
      <c r="X222" t="str" cm="1">
        <f t="array" ref="X222">IF(S222="","",IF($I222&lt;&gt;"",$I222,INDEX($I$2:$I221,ROW()-COUNTIFS($T$2:$T221,"="&amp;$T222,$S$2:$S221,"&lt;&gt;"&amp;$S222)-1)))</f>
        <v/>
      </c>
      <c r="Z222" s="6"/>
      <c r="AH222" t="str">
        <f t="shared" si="77"/>
        <v>o</v>
      </c>
      <c r="AI222" t="str">
        <f t="shared" si="84"/>
        <v/>
      </c>
      <c r="AJ222" t="str">
        <f t="shared" si="85"/>
        <v/>
      </c>
      <c r="AK222" t="str">
        <f t="shared" si="78"/>
        <v/>
      </c>
      <c r="AL222" t="str">
        <f t="shared" si="79"/>
        <v/>
      </c>
      <c r="AM222" t="str">
        <f t="shared" si="80"/>
        <v/>
      </c>
      <c r="AN222" t="str">
        <f t="shared" si="86"/>
        <v/>
      </c>
      <c r="AO222" t="str">
        <f t="shared" si="87"/>
        <v/>
      </c>
      <c r="AP222" t="str">
        <f t="shared" si="88"/>
        <v/>
      </c>
      <c r="AQ222" t="str">
        <f t="shared" si="89"/>
        <v/>
      </c>
      <c r="AR222" t="str">
        <f t="shared" si="90"/>
        <v/>
      </c>
      <c r="AS222" t="str">
        <f t="shared" si="81"/>
        <v>Defensive</v>
      </c>
      <c r="BI222" s="40"/>
      <c r="BL222" s="40"/>
      <c r="BN222" s="19"/>
      <c r="BP222" s="17"/>
    </row>
    <row r="223" spans="1:68" x14ac:dyDescent="0.2">
      <c r="A223" t="str">
        <f t="shared" si="82"/>
        <v/>
      </c>
      <c r="E223" s="4"/>
      <c r="F223" s="45"/>
      <c r="G223" s="4"/>
      <c r="H223" s="48"/>
      <c r="J223" s="46" t="str">
        <f t="shared" si="83"/>
        <v/>
      </c>
      <c r="N223" t="str">
        <f t="shared" si="92"/>
        <v/>
      </c>
      <c r="Q223" t="str">
        <f t="shared" si="91"/>
        <v/>
      </c>
      <c r="S223" t="str">
        <f>IF(A223=1,MAX(S$2:S222)+1,IF(OR(I223&lt;&gt;"",A223="x"),S222,""))</f>
        <v/>
      </c>
      <c r="T223" t="str">
        <f>IF(D223=1,MAX($T$2:$T222)+1,IF(S223=$S222,$S222,IF($D223="x",T222,IF($D222="x","",""))))</f>
        <v/>
      </c>
      <c r="U223" t="str">
        <f>IF(B223=1,MAX($U$2:$U222)+1,IF(AND($T223&lt;&gt;"",$T223=$T222),$U222,IF(B223="x",U222,"")))</f>
        <v/>
      </c>
      <c r="V223" t="str">
        <f>IF(C223=1,MAX($V$2:$V222)+1,IF(AND($T223&lt;&gt;"",$T223=$T222),$U222,IF(C223="x",V222,"")))</f>
        <v/>
      </c>
      <c r="W223" t="str" cm="1">
        <f t="array" ref="W223">IFERROR(_xlfn._xlws.FILTER(game_rosters!AB:AB,(game_rosters!J:J=events!X223)*(K223&lt;&gt;"")),"")</f>
        <v/>
      </c>
      <c r="X223" t="str" cm="1">
        <f t="array" ref="X223">IF(S223="","",IF($I223&lt;&gt;"",$I223,INDEX($I$2:$I222,ROW()-COUNTIFS($T$2:$T222,"="&amp;$T223,$S$2:$S222,"&lt;&gt;"&amp;$S223)-1)))</f>
        <v/>
      </c>
      <c r="Z223" s="6"/>
      <c r="AH223" t="str">
        <f t="shared" si="77"/>
        <v>o</v>
      </c>
      <c r="AI223" t="str">
        <f t="shared" si="84"/>
        <v/>
      </c>
      <c r="AJ223" t="str">
        <f t="shared" si="85"/>
        <v/>
      </c>
      <c r="AK223" t="str">
        <f t="shared" si="78"/>
        <v/>
      </c>
      <c r="AL223" t="str">
        <f t="shared" si="79"/>
        <v/>
      </c>
      <c r="AM223" t="str">
        <f t="shared" si="80"/>
        <v/>
      </c>
      <c r="AN223" t="str">
        <f t="shared" si="86"/>
        <v/>
      </c>
      <c r="AO223" t="str">
        <f t="shared" si="87"/>
        <v/>
      </c>
      <c r="AP223" t="str">
        <f t="shared" si="88"/>
        <v/>
      </c>
      <c r="AQ223" t="str">
        <f t="shared" si="89"/>
        <v/>
      </c>
      <c r="AR223" t="str">
        <f t="shared" si="90"/>
        <v/>
      </c>
      <c r="AS223" t="str">
        <f t="shared" si="81"/>
        <v>Defensive</v>
      </c>
      <c r="BI223" s="40"/>
      <c r="BL223" s="40"/>
      <c r="BN223" s="19"/>
      <c r="BP223" s="17"/>
    </row>
    <row r="224" spans="1:68" x14ac:dyDescent="0.2">
      <c r="A224" t="str">
        <f t="shared" si="82"/>
        <v/>
      </c>
      <c r="E224" s="4"/>
      <c r="F224" s="45"/>
      <c r="G224" s="4"/>
      <c r="H224" s="48"/>
      <c r="J224" s="46" t="str">
        <f t="shared" si="83"/>
        <v/>
      </c>
      <c r="N224" t="str">
        <f t="shared" si="92"/>
        <v/>
      </c>
      <c r="Q224" t="str">
        <f t="shared" si="91"/>
        <v/>
      </c>
      <c r="S224" t="str">
        <f>IF(A224=1,MAX(S$2:S223)+1,IF(OR(I224&lt;&gt;"",A224="x"),S223,""))</f>
        <v/>
      </c>
      <c r="T224" t="str">
        <f>IF(D224=1,MAX($T$2:$T223)+1,IF(S224=$S223,$S223,IF($D224="x",T223,IF($D223="x","",""))))</f>
        <v/>
      </c>
      <c r="U224" t="str">
        <f>IF(B224=1,MAX($U$2:$U223)+1,IF(AND($T224&lt;&gt;"",$T224=$T223),$U223,IF(B224="x",U223,"")))</f>
        <v/>
      </c>
      <c r="V224" t="str">
        <f>IF(C224=1,MAX($V$2:$V223)+1,IF(AND($T224&lt;&gt;"",$T224=$T223),$U223,IF(C224="x",V223,"")))</f>
        <v/>
      </c>
      <c r="W224" t="str" cm="1">
        <f t="array" ref="W224">IFERROR(_xlfn._xlws.FILTER(game_rosters!AB:AB,(game_rosters!J:J=events!X224)*(K224&lt;&gt;"")),"")</f>
        <v/>
      </c>
      <c r="X224" t="str" cm="1">
        <f t="array" ref="X224">IF(S224="","",IF($I224&lt;&gt;"",$I224,INDEX($I$2:$I223,ROW()-COUNTIFS($T$2:$T223,"="&amp;$T224,$S$2:$S223,"&lt;&gt;"&amp;$S224)-1)))</f>
        <v/>
      </c>
      <c r="Z224" s="6"/>
      <c r="AH224" t="str">
        <f t="shared" si="77"/>
        <v>o</v>
      </c>
      <c r="AI224" t="str">
        <f t="shared" si="84"/>
        <v/>
      </c>
      <c r="AJ224" t="str">
        <f t="shared" si="85"/>
        <v/>
      </c>
      <c r="AK224" t="str">
        <f t="shared" si="78"/>
        <v/>
      </c>
      <c r="AL224" t="str">
        <f t="shared" si="79"/>
        <v/>
      </c>
      <c r="AM224" t="str">
        <f t="shared" si="80"/>
        <v/>
      </c>
      <c r="AN224" t="str">
        <f t="shared" si="86"/>
        <v/>
      </c>
      <c r="AO224" t="str">
        <f t="shared" si="87"/>
        <v/>
      </c>
      <c r="AP224" t="str">
        <f t="shared" si="88"/>
        <v/>
      </c>
      <c r="AQ224" t="str">
        <f t="shared" si="89"/>
        <v/>
      </c>
      <c r="AR224" t="str">
        <f t="shared" si="90"/>
        <v/>
      </c>
      <c r="AS224" t="str">
        <f t="shared" si="81"/>
        <v>Defensive</v>
      </c>
      <c r="BI224" s="40"/>
      <c r="BL224" s="40"/>
      <c r="BN224" s="19"/>
      <c r="BP224" s="17"/>
    </row>
    <row r="225" spans="1:68" x14ac:dyDescent="0.2">
      <c r="A225" t="str">
        <f t="shared" si="82"/>
        <v/>
      </c>
      <c r="E225" s="4"/>
      <c r="F225" s="45"/>
      <c r="G225" s="4"/>
      <c r="H225" s="48"/>
      <c r="J225" s="46" t="str">
        <f t="shared" si="83"/>
        <v/>
      </c>
      <c r="N225" t="str">
        <f t="shared" si="92"/>
        <v/>
      </c>
      <c r="Q225" t="str">
        <f t="shared" si="91"/>
        <v/>
      </c>
      <c r="S225" t="str">
        <f>IF(A225=1,MAX(S$2:S224)+1,IF(OR(I225&lt;&gt;"",A225="x"),S224,""))</f>
        <v/>
      </c>
      <c r="T225" t="str">
        <f>IF(D225=1,MAX($T$2:$T224)+1,IF(S225=$S224,$S224,IF($D225="x",T224,IF($D224="x","",""))))</f>
        <v/>
      </c>
      <c r="U225" t="str">
        <f>IF(B225=1,MAX($U$2:$U224)+1,IF(AND($T225&lt;&gt;"",$T225=$T224),$U224,IF(B225="x",U224,"")))</f>
        <v/>
      </c>
      <c r="V225" t="str">
        <f>IF(C225=1,MAX($V$2:$V224)+1,IF(AND($T225&lt;&gt;"",$T225=$T224),$U224,IF(C225="x",V224,"")))</f>
        <v/>
      </c>
      <c r="W225" t="str" cm="1">
        <f t="array" ref="W225">IFERROR(_xlfn._xlws.FILTER(game_rosters!AB:AB,(game_rosters!J:J=events!X225)*(K225&lt;&gt;"")),"")</f>
        <v/>
      </c>
      <c r="X225" t="str" cm="1">
        <f t="array" ref="X225">IF(S225="","",IF($I225&lt;&gt;"",$I225,INDEX($I$2:$I224,ROW()-COUNTIFS($T$2:$T224,"="&amp;$T225,$S$2:$S224,"&lt;&gt;"&amp;$S225)-1)))</f>
        <v/>
      </c>
      <c r="Z225" s="6"/>
      <c r="AH225" t="str">
        <f t="shared" si="77"/>
        <v>o</v>
      </c>
      <c r="AI225" t="str">
        <f t="shared" si="84"/>
        <v/>
      </c>
      <c r="AJ225" t="str">
        <f t="shared" si="85"/>
        <v/>
      </c>
      <c r="AK225" t="str">
        <f t="shared" si="78"/>
        <v/>
      </c>
      <c r="AL225" t="str">
        <f t="shared" si="79"/>
        <v/>
      </c>
      <c r="AM225" t="str">
        <f t="shared" si="80"/>
        <v/>
      </c>
      <c r="AN225" t="str">
        <f t="shared" si="86"/>
        <v/>
      </c>
      <c r="AO225" t="str">
        <f t="shared" si="87"/>
        <v/>
      </c>
      <c r="AP225" t="str">
        <f t="shared" si="88"/>
        <v/>
      </c>
      <c r="AQ225" t="str">
        <f t="shared" si="89"/>
        <v/>
      </c>
      <c r="AR225" t="str">
        <f t="shared" si="90"/>
        <v/>
      </c>
      <c r="AS225" t="str">
        <f t="shared" si="81"/>
        <v>Defensive</v>
      </c>
      <c r="BI225" s="40"/>
      <c r="BL225" s="40"/>
      <c r="BN225" s="19"/>
      <c r="BP225" s="17"/>
    </row>
    <row r="226" spans="1:68" x14ac:dyDescent="0.2">
      <c r="A226" t="str">
        <f t="shared" si="82"/>
        <v/>
      </c>
      <c r="E226" s="4"/>
      <c r="F226" s="45"/>
      <c r="G226" s="4"/>
      <c r="H226" s="48"/>
      <c r="J226" s="46" t="str">
        <f t="shared" si="83"/>
        <v/>
      </c>
      <c r="N226" t="str">
        <f t="shared" si="92"/>
        <v/>
      </c>
      <c r="Q226" t="str">
        <f t="shared" si="91"/>
        <v/>
      </c>
      <c r="S226" t="str">
        <f>IF(A226=1,MAX(S$2:S225)+1,IF(OR(I226&lt;&gt;"",A226="x"),S225,""))</f>
        <v/>
      </c>
      <c r="T226" t="str">
        <f>IF(D226=1,MAX($T$2:$T225)+1,IF(S226=$S225,$S225,IF($D226="x",T225,IF($D225="x","",""))))</f>
        <v/>
      </c>
      <c r="U226" t="str">
        <f>IF(B226=1,MAX($U$2:$U225)+1,IF(AND($T226&lt;&gt;"",$T226=$T225),$U225,IF(B226="x",U225,"")))</f>
        <v/>
      </c>
      <c r="V226" t="str">
        <f>IF(C226=1,MAX($V$2:$V225)+1,IF(AND($T226&lt;&gt;"",$T226=$T225),$U225,IF(C226="x",V225,"")))</f>
        <v/>
      </c>
      <c r="W226" t="str" cm="1">
        <f t="array" ref="W226">IFERROR(_xlfn._xlws.FILTER(game_rosters!AB:AB,(game_rosters!J:J=events!X226)*(K226&lt;&gt;"")),"")</f>
        <v/>
      </c>
      <c r="X226" t="str" cm="1">
        <f t="array" ref="X226">IF(S226="","",IF($I226&lt;&gt;"",$I226,INDEX($I$2:$I225,ROW()-COUNTIFS($T$2:$T225,"="&amp;$T226,$S$2:$S225,"&lt;&gt;"&amp;$S226)-1)))</f>
        <v/>
      </c>
      <c r="Z226" s="6"/>
      <c r="AH226" t="str">
        <f t="shared" si="77"/>
        <v>o</v>
      </c>
      <c r="AI226" t="str">
        <f t="shared" si="84"/>
        <v/>
      </c>
      <c r="AJ226" t="str">
        <f t="shared" si="85"/>
        <v/>
      </c>
      <c r="AK226" t="str">
        <f t="shared" si="78"/>
        <v/>
      </c>
      <c r="AL226" t="str">
        <f t="shared" si="79"/>
        <v/>
      </c>
      <c r="AM226" t="str">
        <f t="shared" si="80"/>
        <v/>
      </c>
      <c r="AN226" t="str">
        <f t="shared" si="86"/>
        <v/>
      </c>
      <c r="AO226" t="str">
        <f t="shared" si="87"/>
        <v/>
      </c>
      <c r="AP226" t="str">
        <f t="shared" si="88"/>
        <v/>
      </c>
      <c r="AQ226" t="str">
        <f t="shared" si="89"/>
        <v/>
      </c>
      <c r="AR226" t="str">
        <f t="shared" si="90"/>
        <v/>
      </c>
      <c r="AS226" t="str">
        <f t="shared" si="81"/>
        <v>Defensive</v>
      </c>
      <c r="BI226" s="40"/>
      <c r="BL226" s="40"/>
      <c r="BN226" s="19"/>
      <c r="BP226" s="17"/>
    </row>
    <row r="227" spans="1:68" x14ac:dyDescent="0.2">
      <c r="A227" t="str">
        <f t="shared" si="82"/>
        <v/>
      </c>
      <c r="E227" s="4"/>
      <c r="F227" s="45"/>
      <c r="G227" s="4"/>
      <c r="H227" s="48"/>
      <c r="J227" s="46" t="str">
        <f t="shared" si="83"/>
        <v/>
      </c>
      <c r="N227" t="str">
        <f t="shared" si="92"/>
        <v/>
      </c>
      <c r="Q227" t="str">
        <f t="shared" si="91"/>
        <v/>
      </c>
      <c r="S227" t="str">
        <f>IF(A227=1,MAX(S$2:S226)+1,IF(OR(I227&lt;&gt;"",A227="x"),S226,""))</f>
        <v/>
      </c>
      <c r="T227" t="str">
        <f>IF(D227=1,MAX($T$2:$T226)+1,IF(S227=$S226,$S226,IF($D227="x",T226,IF($D226="x","",""))))</f>
        <v/>
      </c>
      <c r="U227" t="str">
        <f>IF(B227=1,MAX($U$2:$U226)+1,IF(AND($T227&lt;&gt;"",$T227=$T226),$U226,IF(B227="x",U226,"")))</f>
        <v/>
      </c>
      <c r="V227" t="str">
        <f>IF(C227=1,MAX($V$2:$V226)+1,IF(AND($T227&lt;&gt;"",$T227=$T226),$U226,IF(C227="x",V226,"")))</f>
        <v/>
      </c>
      <c r="W227" t="str" cm="1">
        <f t="array" ref="W227">IFERROR(_xlfn._xlws.FILTER(game_rosters!AB:AB,(game_rosters!J:J=events!X227)*(K227&lt;&gt;"")),"")</f>
        <v/>
      </c>
      <c r="X227" t="str" cm="1">
        <f t="array" ref="X227">IF(S227="","",IF($I227&lt;&gt;"",$I227,INDEX($I$2:$I226,ROW()-COUNTIFS($T$2:$T226,"="&amp;$T227,$S$2:$S226,"&lt;&gt;"&amp;$S227)-1)))</f>
        <v/>
      </c>
      <c r="Z227" s="6"/>
      <c r="AH227" t="str">
        <f t="shared" si="77"/>
        <v>o</v>
      </c>
      <c r="AI227" t="str">
        <f t="shared" si="84"/>
        <v/>
      </c>
      <c r="AJ227" t="str">
        <f t="shared" si="85"/>
        <v/>
      </c>
      <c r="AK227" t="str">
        <f t="shared" si="78"/>
        <v/>
      </c>
      <c r="AL227" t="str">
        <f t="shared" si="79"/>
        <v/>
      </c>
      <c r="AM227" t="str">
        <f t="shared" si="80"/>
        <v/>
      </c>
      <c r="AN227" t="str">
        <f t="shared" si="86"/>
        <v/>
      </c>
      <c r="AO227" t="str">
        <f t="shared" si="87"/>
        <v/>
      </c>
      <c r="AP227" t="str">
        <f t="shared" si="88"/>
        <v/>
      </c>
      <c r="AQ227" t="str">
        <f t="shared" si="89"/>
        <v/>
      </c>
      <c r="AR227" t="str">
        <f t="shared" si="90"/>
        <v/>
      </c>
      <c r="AS227" t="str">
        <f t="shared" si="81"/>
        <v>Defensive</v>
      </c>
      <c r="BI227" s="40"/>
      <c r="BL227" s="40"/>
      <c r="BN227" s="19"/>
      <c r="BP227" s="17"/>
    </row>
    <row r="228" spans="1:68" x14ac:dyDescent="0.2">
      <c r="A228" t="str">
        <f t="shared" si="82"/>
        <v/>
      </c>
      <c r="E228" s="4"/>
      <c r="F228" s="45"/>
      <c r="G228" s="4"/>
      <c r="H228" s="48"/>
      <c r="J228" s="46" t="str">
        <f t="shared" si="83"/>
        <v/>
      </c>
      <c r="N228" t="str">
        <f t="shared" si="92"/>
        <v/>
      </c>
      <c r="Q228" t="str">
        <f t="shared" si="91"/>
        <v/>
      </c>
      <c r="S228" t="str">
        <f>IF(A228=1,MAX(S$2:S227)+1,IF(OR(I228&lt;&gt;"",A228="x"),S227,""))</f>
        <v/>
      </c>
      <c r="T228" t="str">
        <f>IF(D228=1,MAX($T$2:$T227)+1,IF(S228=$S227,$S227,IF($D228="x",T227,IF($D227="x","",""))))</f>
        <v/>
      </c>
      <c r="U228" t="str">
        <f>IF(B228=1,MAX($U$2:$U227)+1,IF(AND($T228&lt;&gt;"",$T228=$T227),$U227,IF(B228="x",U227,"")))</f>
        <v/>
      </c>
      <c r="V228" t="str">
        <f>IF(C228=1,MAX($V$2:$V227)+1,IF(AND($T228&lt;&gt;"",$T228=$T227),$U227,IF(C228="x",V227,"")))</f>
        <v/>
      </c>
      <c r="W228" t="str" cm="1">
        <f t="array" ref="W228">IFERROR(_xlfn._xlws.FILTER(game_rosters!AB:AB,(game_rosters!J:J=events!X228)*(K228&lt;&gt;"")),"")</f>
        <v/>
      </c>
      <c r="X228" t="str" cm="1">
        <f t="array" ref="X228">IF(S228="","",IF($I228&lt;&gt;"",$I228,INDEX($I$2:$I227,ROW()-COUNTIFS($T$2:$T227,"="&amp;$T228,$S$2:$S227,"&lt;&gt;"&amp;$S228)-1)))</f>
        <v/>
      </c>
      <c r="Z228" s="6"/>
      <c r="AH228" t="str">
        <f t="shared" si="77"/>
        <v>o</v>
      </c>
      <c r="AI228" t="str">
        <f t="shared" si="84"/>
        <v/>
      </c>
      <c r="AJ228" t="str">
        <f t="shared" si="85"/>
        <v/>
      </c>
      <c r="AK228" t="str">
        <f t="shared" si="78"/>
        <v/>
      </c>
      <c r="AL228" t="str">
        <f t="shared" si="79"/>
        <v/>
      </c>
      <c r="AM228" t="str">
        <f t="shared" si="80"/>
        <v/>
      </c>
      <c r="AN228" t="str">
        <f t="shared" si="86"/>
        <v/>
      </c>
      <c r="AO228" t="str">
        <f t="shared" si="87"/>
        <v/>
      </c>
      <c r="AP228" t="str">
        <f t="shared" si="88"/>
        <v/>
      </c>
      <c r="AQ228" t="str">
        <f t="shared" si="89"/>
        <v/>
      </c>
      <c r="AR228" t="str">
        <f t="shared" si="90"/>
        <v/>
      </c>
      <c r="AS228" t="str">
        <f t="shared" si="81"/>
        <v>Defensive</v>
      </c>
      <c r="BI228" s="40"/>
      <c r="BL228" s="40"/>
      <c r="BN228" s="19"/>
      <c r="BP228" s="17"/>
    </row>
    <row r="229" spans="1:68" x14ac:dyDescent="0.2">
      <c r="A229" t="str">
        <f t="shared" si="82"/>
        <v/>
      </c>
      <c r="E229" s="4"/>
      <c r="F229" s="45"/>
      <c r="G229" s="4"/>
      <c r="H229" s="48"/>
      <c r="J229" s="46" t="str">
        <f t="shared" si="83"/>
        <v/>
      </c>
      <c r="N229" t="str">
        <f t="shared" si="92"/>
        <v/>
      </c>
      <c r="Q229" t="str">
        <f t="shared" si="91"/>
        <v/>
      </c>
      <c r="S229" t="str">
        <f>IF(A229=1,MAX(S$2:S228)+1,IF(OR(I229&lt;&gt;"",A229="x"),S228,""))</f>
        <v/>
      </c>
      <c r="T229" t="str">
        <f>IF(D229=1,MAX($T$2:$T228)+1,IF(S229=$S228,$S228,IF($D229="x",T228,IF($D228="x","",""))))</f>
        <v/>
      </c>
      <c r="U229" t="str">
        <f>IF(B229=1,MAX($U$2:$U228)+1,IF(AND($T229&lt;&gt;"",$T229=$T228),$U228,IF(B229="x",U228,"")))</f>
        <v/>
      </c>
      <c r="V229" t="str">
        <f>IF(C229=1,MAX($V$2:$V228)+1,IF(AND($T229&lt;&gt;"",$T229=$T228),$U228,IF(C229="x",V228,"")))</f>
        <v/>
      </c>
      <c r="W229" t="str" cm="1">
        <f t="array" ref="W229">IFERROR(_xlfn._xlws.FILTER(game_rosters!AB:AB,(game_rosters!J:J=events!X229)*(K229&lt;&gt;"")),"")</f>
        <v/>
      </c>
      <c r="X229" t="str" cm="1">
        <f t="array" ref="X229">IF(S229="","",IF($I229&lt;&gt;"",$I229,INDEX($I$2:$I228,ROW()-COUNTIFS($T$2:$T228,"="&amp;$T229,$S$2:$S228,"&lt;&gt;"&amp;$S229)-1)))</f>
        <v/>
      </c>
      <c r="Z229" s="6"/>
      <c r="AH229" t="str">
        <f t="shared" si="77"/>
        <v>o</v>
      </c>
      <c r="AI229" t="str">
        <f t="shared" si="84"/>
        <v/>
      </c>
      <c r="AJ229" t="str">
        <f t="shared" si="85"/>
        <v/>
      </c>
      <c r="AK229" t="str">
        <f t="shared" si="78"/>
        <v/>
      </c>
      <c r="AL229" t="str">
        <f t="shared" si="79"/>
        <v/>
      </c>
      <c r="AM229" t="str">
        <f t="shared" si="80"/>
        <v/>
      </c>
      <c r="AN229" t="str">
        <f t="shared" si="86"/>
        <v/>
      </c>
      <c r="AO229" t="str">
        <f t="shared" si="87"/>
        <v/>
      </c>
      <c r="AP229" t="str">
        <f t="shared" si="88"/>
        <v/>
      </c>
      <c r="AQ229" t="str">
        <f t="shared" si="89"/>
        <v/>
      </c>
      <c r="AR229" t="str">
        <f t="shared" si="90"/>
        <v/>
      </c>
      <c r="AS229" t="str">
        <f t="shared" si="81"/>
        <v>Defensive</v>
      </c>
      <c r="BI229" s="40"/>
      <c r="BL229" s="40"/>
      <c r="BN229" s="19"/>
      <c r="BP229" s="17"/>
    </row>
    <row r="230" spans="1:68" x14ac:dyDescent="0.2">
      <c r="A230" t="str">
        <f t="shared" si="82"/>
        <v/>
      </c>
      <c r="E230" s="4"/>
      <c r="F230" s="45"/>
      <c r="G230" s="4"/>
      <c r="H230" s="48"/>
      <c r="J230" s="46" t="str">
        <f t="shared" si="83"/>
        <v/>
      </c>
      <c r="N230" t="str">
        <f t="shared" si="92"/>
        <v/>
      </c>
      <c r="Q230" t="str">
        <f t="shared" si="91"/>
        <v/>
      </c>
      <c r="S230" t="str">
        <f>IF(A230=1,MAX(S$2:S229)+1,IF(OR(I230&lt;&gt;"",A230="x"),S229,""))</f>
        <v/>
      </c>
      <c r="T230" t="str">
        <f>IF(D230=1,MAX($T$2:$T229)+1,IF(S230=$S229,$S229,IF($D230="x",T229,IF($D229="x","",""))))</f>
        <v/>
      </c>
      <c r="U230" t="str">
        <f>IF(B230=1,MAX($U$2:$U229)+1,IF(AND($T230&lt;&gt;"",$T230=$T229),$U229,IF(B230="x",U229,"")))</f>
        <v/>
      </c>
      <c r="V230" t="str">
        <f>IF(C230=1,MAX($V$2:$V229)+1,IF(AND($T230&lt;&gt;"",$T230=$T229),$U229,IF(C230="x",V229,"")))</f>
        <v/>
      </c>
      <c r="W230" t="str" cm="1">
        <f t="array" ref="W230">IFERROR(_xlfn._xlws.FILTER(game_rosters!AB:AB,(game_rosters!J:J=events!X230)*(K230&lt;&gt;"")),"")</f>
        <v/>
      </c>
      <c r="X230" t="str" cm="1">
        <f t="array" ref="X230">IF(S230="","",IF($I230&lt;&gt;"",$I230,INDEX($I$2:$I229,ROW()-COUNTIFS($T$2:$T229,"="&amp;$T230,$S$2:$S229,"&lt;&gt;"&amp;$S230)-1)))</f>
        <v/>
      </c>
      <c r="Z230" s="6"/>
      <c r="AH230" t="str">
        <f t="shared" si="77"/>
        <v>o</v>
      </c>
      <c r="AI230" t="str">
        <f t="shared" si="84"/>
        <v/>
      </c>
      <c r="AJ230" t="str">
        <f t="shared" si="85"/>
        <v/>
      </c>
      <c r="AK230" t="str">
        <f t="shared" si="78"/>
        <v/>
      </c>
      <c r="AL230" t="str">
        <f t="shared" si="79"/>
        <v/>
      </c>
      <c r="AM230" t="str">
        <f t="shared" si="80"/>
        <v/>
      </c>
      <c r="AN230" t="str">
        <f t="shared" si="86"/>
        <v/>
      </c>
      <c r="AO230" t="str">
        <f t="shared" si="87"/>
        <v/>
      </c>
      <c r="AP230" t="str">
        <f t="shared" si="88"/>
        <v/>
      </c>
      <c r="AQ230" t="str">
        <f t="shared" si="89"/>
        <v/>
      </c>
      <c r="AR230" t="str">
        <f t="shared" si="90"/>
        <v/>
      </c>
      <c r="AS230" t="str">
        <f t="shared" si="81"/>
        <v>Defensive</v>
      </c>
      <c r="BI230" s="40"/>
      <c r="BL230" s="40"/>
      <c r="BN230" s="19"/>
      <c r="BP230" s="17"/>
    </row>
    <row r="231" spans="1:68" x14ac:dyDescent="0.2">
      <c r="A231" t="str">
        <f t="shared" si="82"/>
        <v/>
      </c>
      <c r="E231" s="4"/>
      <c r="F231" s="45"/>
      <c r="G231" s="4"/>
      <c r="H231" s="48"/>
      <c r="J231" s="46" t="str">
        <f t="shared" si="83"/>
        <v/>
      </c>
      <c r="N231" t="str">
        <f t="shared" si="92"/>
        <v/>
      </c>
      <c r="Q231" t="str">
        <f t="shared" si="91"/>
        <v/>
      </c>
      <c r="S231" t="str">
        <f>IF(A231=1,MAX(S$2:S230)+1,IF(OR(I231&lt;&gt;"",A231="x"),S230,""))</f>
        <v/>
      </c>
      <c r="T231" t="str">
        <f>IF(D231=1,MAX($T$2:$T230)+1,IF(S231=$S230,$S230,IF($D231="x",T230,IF($D230="x","",""))))</f>
        <v/>
      </c>
      <c r="U231" t="str">
        <f>IF(B231=1,MAX($U$2:$U230)+1,IF(AND($T231&lt;&gt;"",$T231=$T230),$U230,IF(B231="x",U230,"")))</f>
        <v/>
      </c>
      <c r="V231" t="str">
        <f>IF(C231=1,MAX($V$2:$V230)+1,IF(AND($T231&lt;&gt;"",$T231=$T230),$U230,IF(C231="x",V230,"")))</f>
        <v/>
      </c>
      <c r="W231" t="str" cm="1">
        <f t="array" ref="W231">IFERROR(_xlfn._xlws.FILTER(game_rosters!AB:AB,(game_rosters!J:J=events!X231)*(K231&lt;&gt;"")),"")</f>
        <v/>
      </c>
      <c r="X231" t="str" cm="1">
        <f t="array" ref="X231">IF(S231="","",IF($I231&lt;&gt;"",$I231,INDEX($I$2:$I230,ROW()-COUNTIFS($T$2:$T230,"="&amp;$T231,$S$2:$S230,"&lt;&gt;"&amp;$S231)-1)))</f>
        <v/>
      </c>
      <c r="Z231" s="6"/>
      <c r="AH231" t="str">
        <f t="shared" si="77"/>
        <v>o</v>
      </c>
      <c r="AI231" t="str">
        <f t="shared" si="84"/>
        <v/>
      </c>
      <c r="AJ231" t="str">
        <f t="shared" si="85"/>
        <v/>
      </c>
      <c r="AK231" t="str">
        <f t="shared" si="78"/>
        <v/>
      </c>
      <c r="AL231" t="str">
        <f t="shared" si="79"/>
        <v/>
      </c>
      <c r="AM231" t="str">
        <f t="shared" si="80"/>
        <v/>
      </c>
      <c r="AN231" t="str">
        <f t="shared" si="86"/>
        <v/>
      </c>
      <c r="AO231" t="str">
        <f t="shared" si="87"/>
        <v/>
      </c>
      <c r="AP231" t="str">
        <f t="shared" si="88"/>
        <v/>
      </c>
      <c r="AQ231" t="str">
        <f t="shared" si="89"/>
        <v/>
      </c>
      <c r="AR231" t="str">
        <f t="shared" si="90"/>
        <v/>
      </c>
      <c r="AS231" t="str">
        <f t="shared" si="81"/>
        <v>Defensive</v>
      </c>
      <c r="BI231" s="40"/>
      <c r="BL231" s="40"/>
      <c r="BN231" s="19"/>
      <c r="BP231" s="17"/>
    </row>
    <row r="232" spans="1:68" x14ac:dyDescent="0.2">
      <c r="A232" t="str">
        <f t="shared" si="82"/>
        <v/>
      </c>
      <c r="E232" s="4"/>
      <c r="F232" s="45"/>
      <c r="G232" s="4"/>
      <c r="H232" s="48"/>
      <c r="J232" s="46" t="str">
        <f t="shared" si="83"/>
        <v/>
      </c>
      <c r="N232" t="str">
        <f t="shared" si="92"/>
        <v/>
      </c>
      <c r="Q232" t="str">
        <f t="shared" si="91"/>
        <v/>
      </c>
      <c r="S232" t="str">
        <f>IF(A232=1,MAX(S$2:S231)+1,IF(OR(I232&lt;&gt;"",A232="x"),S231,""))</f>
        <v/>
      </c>
      <c r="T232" t="str">
        <f>IF(D232=1,MAX($T$2:$T231)+1,IF(S232=$S231,$S231,IF($D232="x",T231,IF($D231="x","",""))))</f>
        <v/>
      </c>
      <c r="U232" t="str">
        <f>IF(B232=1,MAX($U$2:$U231)+1,IF(AND($T232&lt;&gt;"",$T232=$T231),$U231,IF(B232="x",U231,"")))</f>
        <v/>
      </c>
      <c r="V232" t="str">
        <f>IF(C232=1,MAX($V$2:$V231)+1,IF(AND($T232&lt;&gt;"",$T232=$T231),$U231,IF(C232="x",V231,"")))</f>
        <v/>
      </c>
      <c r="W232" t="str" cm="1">
        <f t="array" ref="W232">IFERROR(_xlfn._xlws.FILTER(game_rosters!AB:AB,(game_rosters!J:J=events!X232)*(K232&lt;&gt;"")),"")</f>
        <v/>
      </c>
      <c r="X232" t="str" cm="1">
        <f t="array" ref="X232">IF(S232="","",IF($I232&lt;&gt;"",$I232,INDEX($I$2:$I231,ROW()-COUNTIFS($T$2:$T231,"="&amp;$T232,$S$2:$S231,"&lt;&gt;"&amp;$S232)-1)))</f>
        <v/>
      </c>
      <c r="Z232" s="6"/>
      <c r="AH232" t="str">
        <f t="shared" si="77"/>
        <v>o</v>
      </c>
      <c r="AI232" t="str">
        <f t="shared" si="84"/>
        <v/>
      </c>
      <c r="AJ232" t="str">
        <f t="shared" si="85"/>
        <v/>
      </c>
      <c r="AK232" t="str">
        <f t="shared" si="78"/>
        <v/>
      </c>
      <c r="AL232" t="str">
        <f t="shared" si="79"/>
        <v/>
      </c>
      <c r="AM232" t="str">
        <f t="shared" si="80"/>
        <v/>
      </c>
      <c r="AN232" t="str">
        <f t="shared" si="86"/>
        <v/>
      </c>
      <c r="AO232" t="str">
        <f t="shared" si="87"/>
        <v/>
      </c>
      <c r="AP232" t="str">
        <f t="shared" si="88"/>
        <v/>
      </c>
      <c r="AQ232" t="str">
        <f t="shared" si="89"/>
        <v/>
      </c>
      <c r="AR232" t="str">
        <f t="shared" si="90"/>
        <v/>
      </c>
      <c r="AS232" t="str">
        <f t="shared" si="81"/>
        <v>Defensive</v>
      </c>
      <c r="BI232" s="40"/>
      <c r="BL232" s="40"/>
      <c r="BN232" s="19"/>
      <c r="BP232" s="17"/>
    </row>
    <row r="233" spans="1:68" x14ac:dyDescent="0.2">
      <c r="A233" t="str">
        <f t="shared" si="82"/>
        <v/>
      </c>
      <c r="E233" s="4"/>
      <c r="F233" s="45"/>
      <c r="G233" s="4"/>
      <c r="H233" s="48"/>
      <c r="J233" s="46" t="str">
        <f t="shared" si="83"/>
        <v/>
      </c>
      <c r="N233" t="str">
        <f t="shared" si="92"/>
        <v/>
      </c>
      <c r="Q233" t="str">
        <f t="shared" si="91"/>
        <v/>
      </c>
      <c r="S233" t="str">
        <f>IF(A233=1,MAX(S$2:S232)+1,IF(OR(I233&lt;&gt;"",A233="x"),S232,""))</f>
        <v/>
      </c>
      <c r="T233" t="str">
        <f>IF(D233=1,MAX($T$2:$T232)+1,IF(S233=$S232,$S232,IF($D233="x",T232,IF($D232="x","",""))))</f>
        <v/>
      </c>
      <c r="U233" t="str">
        <f>IF(B233=1,MAX($U$2:$U232)+1,IF(AND($T233&lt;&gt;"",$T233=$T232),$U232,IF(B233="x",U232,"")))</f>
        <v/>
      </c>
      <c r="V233" t="str">
        <f>IF(C233=1,MAX($V$2:$V232)+1,IF(AND($T233&lt;&gt;"",$T233=$T232),$U232,IF(C233="x",V232,"")))</f>
        <v/>
      </c>
      <c r="W233" t="str" cm="1">
        <f t="array" ref="W233">IFERROR(_xlfn._xlws.FILTER(game_rosters!AB:AB,(game_rosters!J:J=events!X233)*(K233&lt;&gt;"")),"")</f>
        <v/>
      </c>
      <c r="X233" t="str" cm="1">
        <f t="array" ref="X233">IF(S233="","",IF($I233&lt;&gt;"",$I233,INDEX($I$2:$I232,ROW()-COUNTIFS($T$2:$T232,"="&amp;$T233,$S$2:$S232,"&lt;&gt;"&amp;$S233)-1)))</f>
        <v/>
      </c>
      <c r="Z233" s="6"/>
      <c r="AH233" t="str">
        <f t="shared" si="77"/>
        <v>o</v>
      </c>
      <c r="AI233" t="str">
        <f t="shared" si="84"/>
        <v/>
      </c>
      <c r="AJ233" t="str">
        <f t="shared" si="85"/>
        <v/>
      </c>
      <c r="AK233" t="str">
        <f t="shared" si="78"/>
        <v/>
      </c>
      <c r="AL233" t="str">
        <f t="shared" si="79"/>
        <v/>
      </c>
      <c r="AM233" t="str">
        <f t="shared" si="80"/>
        <v/>
      </c>
      <c r="AN233" t="str">
        <f t="shared" si="86"/>
        <v/>
      </c>
      <c r="AO233" t="str">
        <f t="shared" si="87"/>
        <v/>
      </c>
      <c r="AP233" t="str">
        <f t="shared" si="88"/>
        <v/>
      </c>
      <c r="AQ233" t="str">
        <f t="shared" si="89"/>
        <v/>
      </c>
      <c r="AR233" t="str">
        <f t="shared" si="90"/>
        <v/>
      </c>
      <c r="AS233" t="str">
        <f t="shared" si="81"/>
        <v>Defensive</v>
      </c>
      <c r="BI233" s="40"/>
      <c r="BL233" s="40"/>
      <c r="BN233" s="19"/>
      <c r="BP233" s="17"/>
    </row>
    <row r="234" spans="1:68" x14ac:dyDescent="0.2">
      <c r="A234" t="str">
        <f t="shared" si="82"/>
        <v/>
      </c>
      <c r="E234" s="4"/>
      <c r="F234" s="45"/>
      <c r="G234" s="4"/>
      <c r="H234" s="48"/>
      <c r="J234" s="46" t="str">
        <f t="shared" si="83"/>
        <v/>
      </c>
      <c r="N234" t="str">
        <f t="shared" si="92"/>
        <v/>
      </c>
      <c r="Q234" t="str">
        <f t="shared" si="91"/>
        <v/>
      </c>
      <c r="S234" t="str">
        <f>IF(A234=1,MAX(S$2:S233)+1,IF(OR(I234&lt;&gt;"",A234="x"),S233,""))</f>
        <v/>
      </c>
      <c r="T234" t="str">
        <f>IF(D234=1,MAX($T$2:$T233)+1,IF(S234=$S233,$S233,IF($D234="x",T233,IF($D233="x","",""))))</f>
        <v/>
      </c>
      <c r="U234" t="str">
        <f>IF(B234=1,MAX($U$2:$U233)+1,IF(AND($T234&lt;&gt;"",$T234=$T233),$U233,IF(B234="x",U233,"")))</f>
        <v/>
      </c>
      <c r="V234" t="str">
        <f>IF(C234=1,MAX($V$2:$V233)+1,IF(AND($T234&lt;&gt;"",$T234=$T233),$U233,IF(C234="x",V233,"")))</f>
        <v/>
      </c>
      <c r="W234" t="str" cm="1">
        <f t="array" ref="W234">IFERROR(_xlfn._xlws.FILTER(game_rosters!AB:AB,(game_rosters!J:J=events!X234)*(K234&lt;&gt;"")),"")</f>
        <v/>
      </c>
      <c r="X234" t="str" cm="1">
        <f t="array" ref="X234">IF(S234="","",IF($I234&lt;&gt;"",$I234,INDEX($I$2:$I233,ROW()-COUNTIFS($T$2:$T233,"="&amp;$T234,$S$2:$S233,"&lt;&gt;"&amp;$S234)-1)))</f>
        <v/>
      </c>
      <c r="Z234" s="6"/>
      <c r="AH234" t="str">
        <f t="shared" si="77"/>
        <v>o</v>
      </c>
      <c r="AI234" t="str">
        <f t="shared" si="84"/>
        <v/>
      </c>
      <c r="AJ234" t="str">
        <f t="shared" si="85"/>
        <v/>
      </c>
      <c r="AK234" t="str">
        <f t="shared" si="78"/>
        <v/>
      </c>
      <c r="AL234" t="str">
        <f t="shared" si="79"/>
        <v/>
      </c>
      <c r="AM234" t="str">
        <f t="shared" si="80"/>
        <v/>
      </c>
      <c r="AN234" t="str">
        <f t="shared" si="86"/>
        <v/>
      </c>
      <c r="AO234" t="str">
        <f t="shared" si="87"/>
        <v/>
      </c>
      <c r="AP234" t="str">
        <f t="shared" si="88"/>
        <v/>
      </c>
      <c r="AQ234" t="str">
        <f t="shared" si="89"/>
        <v/>
      </c>
      <c r="AR234" t="str">
        <f t="shared" si="90"/>
        <v/>
      </c>
      <c r="AS234" t="str">
        <f t="shared" si="81"/>
        <v>Defensive</v>
      </c>
      <c r="BI234" s="40"/>
      <c r="BL234" s="40"/>
      <c r="BN234" s="19"/>
      <c r="BP234" s="17"/>
    </row>
    <row r="235" spans="1:68" x14ac:dyDescent="0.2">
      <c r="A235" t="str">
        <f t="shared" si="82"/>
        <v/>
      </c>
      <c r="E235" s="4"/>
      <c r="F235" s="45"/>
      <c r="G235" s="4"/>
      <c r="H235" s="48"/>
      <c r="J235" s="46" t="str">
        <f t="shared" si="83"/>
        <v/>
      </c>
      <c r="N235" t="str">
        <f t="shared" si="92"/>
        <v/>
      </c>
      <c r="Q235" t="str">
        <f t="shared" si="91"/>
        <v/>
      </c>
      <c r="S235" t="str">
        <f>IF(A235=1,MAX(S$2:S234)+1,IF(OR(I235&lt;&gt;"",A235="x"),S234,""))</f>
        <v/>
      </c>
      <c r="T235" t="str">
        <f>IF(D235=1,MAX($T$2:$T234)+1,IF(S235=$S234,$S234,IF($D235="x",T234,IF($D234="x","",""))))</f>
        <v/>
      </c>
      <c r="U235" t="str">
        <f>IF(B235=1,MAX($U$2:$U234)+1,IF(AND($T235&lt;&gt;"",$T235=$T234),$U234,IF(B235="x",U234,"")))</f>
        <v/>
      </c>
      <c r="V235" t="str">
        <f>IF(C235=1,MAX($V$2:$V234)+1,IF(AND($T235&lt;&gt;"",$T235=$T234),$U234,IF(C235="x",V234,"")))</f>
        <v/>
      </c>
      <c r="W235" t="str" cm="1">
        <f t="array" ref="W235">IFERROR(_xlfn._xlws.FILTER(game_rosters!AB:AB,(game_rosters!J:J=events!X235)*(K235&lt;&gt;"")),"")</f>
        <v/>
      </c>
      <c r="X235" t="str" cm="1">
        <f t="array" ref="X235">IF(S235="","",IF($I235&lt;&gt;"",$I235,INDEX($I$2:$I234,ROW()-COUNTIFS($T$2:$T234,"="&amp;$T235,$S$2:$S234,"&lt;&gt;"&amp;$S235)-1)))</f>
        <v/>
      </c>
      <c r="Z235" s="6"/>
      <c r="AH235" t="str">
        <f t="shared" si="77"/>
        <v>o</v>
      </c>
      <c r="AI235" t="str">
        <f t="shared" si="84"/>
        <v/>
      </c>
      <c r="AJ235" t="str">
        <f t="shared" si="85"/>
        <v/>
      </c>
      <c r="AK235" t="str">
        <f t="shared" si="78"/>
        <v/>
      </c>
      <c r="AL235" t="str">
        <f t="shared" si="79"/>
        <v/>
      </c>
      <c r="AM235" t="str">
        <f t="shared" si="80"/>
        <v/>
      </c>
      <c r="AN235" t="str">
        <f t="shared" si="86"/>
        <v/>
      </c>
      <c r="AO235" t="str">
        <f t="shared" si="87"/>
        <v/>
      </c>
      <c r="AP235" t="str">
        <f t="shared" si="88"/>
        <v/>
      </c>
      <c r="AQ235" t="str">
        <f t="shared" si="89"/>
        <v/>
      </c>
      <c r="AR235" t="str">
        <f t="shared" si="90"/>
        <v/>
      </c>
      <c r="AS235" t="str">
        <f t="shared" si="81"/>
        <v>Defensive</v>
      </c>
      <c r="BI235" s="40"/>
      <c r="BL235" s="40"/>
      <c r="BN235" s="19"/>
      <c r="BP235" s="17"/>
    </row>
    <row r="236" spans="1:68" x14ac:dyDescent="0.2">
      <c r="A236" t="str">
        <f t="shared" si="82"/>
        <v/>
      </c>
      <c r="E236" s="4"/>
      <c r="F236" s="45"/>
      <c r="G236" s="4"/>
      <c r="H236" s="48"/>
      <c r="J236" s="46" t="str">
        <f t="shared" si="83"/>
        <v/>
      </c>
      <c r="N236" t="str">
        <f t="shared" si="92"/>
        <v/>
      </c>
      <c r="Q236" t="str">
        <f t="shared" si="91"/>
        <v/>
      </c>
      <c r="S236" t="str">
        <f>IF(A236=1,MAX(S$2:S235)+1,IF(OR(I236&lt;&gt;"",A236="x"),S235,""))</f>
        <v/>
      </c>
      <c r="T236" t="str">
        <f>IF(D236=1,MAX($T$2:$T235)+1,IF(S236=$S235,$S235,IF($D236="x",T235,IF($D235="x","",""))))</f>
        <v/>
      </c>
      <c r="U236" t="str">
        <f>IF(B236=1,MAX($U$2:$U235)+1,IF(AND($T236&lt;&gt;"",$T236=$T235),$U235,IF(B236="x",U235,"")))</f>
        <v/>
      </c>
      <c r="V236" t="str">
        <f>IF(C236=1,MAX($V$2:$V235)+1,IF(AND($T236&lt;&gt;"",$T236=$T235),$U235,IF(C236="x",V235,"")))</f>
        <v/>
      </c>
      <c r="W236" t="str" cm="1">
        <f t="array" ref="W236">IFERROR(_xlfn._xlws.FILTER(game_rosters!AB:AB,(game_rosters!J:J=events!X236)*(K236&lt;&gt;"")),"")</f>
        <v/>
      </c>
      <c r="X236" t="str" cm="1">
        <f t="array" ref="X236">IF(S236="","",IF($I236&lt;&gt;"",$I236,INDEX($I$2:$I235,ROW()-COUNTIFS($T$2:$T235,"="&amp;$T236,$S$2:$S235,"&lt;&gt;"&amp;$S236)-1)))</f>
        <v/>
      </c>
      <c r="Z236" s="6"/>
      <c r="AH236" t="str">
        <f t="shared" si="77"/>
        <v>o</v>
      </c>
      <c r="AI236" t="str">
        <f t="shared" si="84"/>
        <v/>
      </c>
      <c r="AJ236" t="str">
        <f t="shared" si="85"/>
        <v/>
      </c>
      <c r="AK236" t="str">
        <f t="shared" si="78"/>
        <v/>
      </c>
      <c r="AL236" t="str">
        <f t="shared" si="79"/>
        <v/>
      </c>
      <c r="AM236" t="str">
        <f t="shared" si="80"/>
        <v/>
      </c>
      <c r="AN236" t="str">
        <f t="shared" si="86"/>
        <v/>
      </c>
      <c r="AO236" t="str">
        <f t="shared" si="87"/>
        <v/>
      </c>
      <c r="AP236" t="str">
        <f t="shared" si="88"/>
        <v/>
      </c>
      <c r="AQ236" t="str">
        <f t="shared" si="89"/>
        <v/>
      </c>
      <c r="AR236" t="str">
        <f t="shared" si="90"/>
        <v/>
      </c>
      <c r="AS236" t="str">
        <f t="shared" si="81"/>
        <v>Defensive</v>
      </c>
      <c r="BI236" s="40"/>
      <c r="BL236" s="40"/>
      <c r="BN236" s="19"/>
      <c r="BP236" s="17"/>
    </row>
    <row r="237" spans="1:68" x14ac:dyDescent="0.2">
      <c r="A237" t="str">
        <f t="shared" si="82"/>
        <v/>
      </c>
      <c r="E237" s="4"/>
      <c r="F237" s="45"/>
      <c r="G237" s="4"/>
      <c r="H237" s="48"/>
      <c r="J237" s="46" t="str">
        <f t="shared" si="83"/>
        <v/>
      </c>
      <c r="N237" t="str">
        <f t="shared" si="92"/>
        <v/>
      </c>
      <c r="Q237" t="str">
        <f t="shared" si="91"/>
        <v/>
      </c>
      <c r="S237" t="str">
        <f>IF(A237=1,MAX(S$2:S236)+1,IF(OR(I237&lt;&gt;"",A237="x"),S236,""))</f>
        <v/>
      </c>
      <c r="T237" t="str">
        <f>IF(D237=1,MAX($T$2:$T236)+1,IF(S237=$S236,$S236,IF($D237="x",T236,IF($D236="x","",""))))</f>
        <v/>
      </c>
      <c r="U237" t="str">
        <f>IF(B237=1,MAX($U$2:$U236)+1,IF(AND($T237&lt;&gt;"",$T237=$T236),$U236,IF(B237="x",U236,"")))</f>
        <v/>
      </c>
      <c r="V237" t="str">
        <f>IF(C237=1,MAX($V$2:$V236)+1,IF(AND($T237&lt;&gt;"",$T237=$T236),$U236,IF(C237="x",V236,"")))</f>
        <v/>
      </c>
      <c r="W237" t="str" cm="1">
        <f t="array" ref="W237">IFERROR(_xlfn._xlws.FILTER(game_rosters!AB:AB,(game_rosters!J:J=events!X237)*(K237&lt;&gt;"")),"")</f>
        <v/>
      </c>
      <c r="X237" t="str" cm="1">
        <f t="array" ref="X237">IF(S237="","",IF($I237&lt;&gt;"",$I237,INDEX($I$2:$I236,ROW()-COUNTIFS($T$2:$T236,"="&amp;$T237,$S$2:$S236,"&lt;&gt;"&amp;$S237)-1)))</f>
        <v/>
      </c>
      <c r="Z237" s="6"/>
      <c r="AH237" t="str">
        <f t="shared" si="77"/>
        <v>o</v>
      </c>
      <c r="AI237" t="str">
        <f t="shared" si="84"/>
        <v/>
      </c>
      <c r="AJ237" t="str">
        <f t="shared" si="85"/>
        <v/>
      </c>
      <c r="AK237" t="str">
        <f t="shared" si="78"/>
        <v/>
      </c>
      <c r="AL237" t="str">
        <f t="shared" si="79"/>
        <v/>
      </c>
      <c r="AM237" t="str">
        <f t="shared" si="80"/>
        <v/>
      </c>
      <c r="AN237" t="str">
        <f t="shared" si="86"/>
        <v/>
      </c>
      <c r="AO237" t="str">
        <f t="shared" si="87"/>
        <v/>
      </c>
      <c r="AP237" t="str">
        <f t="shared" si="88"/>
        <v/>
      </c>
      <c r="AQ237" t="str">
        <f t="shared" si="89"/>
        <v/>
      </c>
      <c r="AR237" t="str">
        <f t="shared" si="90"/>
        <v/>
      </c>
      <c r="AS237" t="str">
        <f t="shared" si="81"/>
        <v>Defensive</v>
      </c>
      <c r="BI237" s="40"/>
      <c r="BL237" s="40"/>
      <c r="BN237" s="19"/>
      <c r="BP237" s="17"/>
    </row>
    <row r="238" spans="1:68" x14ac:dyDescent="0.2">
      <c r="A238" t="str">
        <f t="shared" si="82"/>
        <v/>
      </c>
      <c r="E238" s="4"/>
      <c r="F238" s="45"/>
      <c r="G238" s="4"/>
      <c r="H238" s="48"/>
      <c r="J238" s="46" t="str">
        <f t="shared" si="83"/>
        <v/>
      </c>
      <c r="N238" t="str">
        <f t="shared" si="92"/>
        <v/>
      </c>
      <c r="Q238" t="str">
        <f t="shared" si="91"/>
        <v/>
      </c>
      <c r="S238" t="str">
        <f>IF(A238=1,MAX(S$2:S237)+1,IF(OR(I238&lt;&gt;"",A238="x"),S237,""))</f>
        <v/>
      </c>
      <c r="T238" t="str">
        <f>IF(D238=1,MAX($T$2:$T237)+1,IF(S238=$S237,$S237,IF($D238="x",T237,IF($D237="x","",""))))</f>
        <v/>
      </c>
      <c r="U238" t="str">
        <f>IF(B238=1,MAX($U$2:$U237)+1,IF(AND($T238&lt;&gt;"",$T238=$T237),$U237,IF(B238="x",U237,"")))</f>
        <v/>
      </c>
      <c r="V238" t="str">
        <f>IF(C238=1,MAX($V$2:$V237)+1,IF(AND($T238&lt;&gt;"",$T238=$T237),$U237,IF(C238="x",V237,"")))</f>
        <v/>
      </c>
      <c r="W238" t="str" cm="1">
        <f t="array" ref="W238">IFERROR(_xlfn._xlws.FILTER(game_rosters!AB:AB,(game_rosters!J:J=events!X238)*(K238&lt;&gt;"")),"")</f>
        <v/>
      </c>
      <c r="X238" t="str" cm="1">
        <f t="array" ref="X238">IF(S238="","",IF($I238&lt;&gt;"",$I238,INDEX($I$2:$I237,ROW()-COUNTIFS($T$2:$T237,"="&amp;$T238,$S$2:$S237,"&lt;&gt;"&amp;$S238)-1)))</f>
        <v/>
      </c>
      <c r="Z238" s="6"/>
      <c r="AH238" t="str">
        <f t="shared" si="77"/>
        <v>o</v>
      </c>
      <c r="AI238" t="str">
        <f t="shared" si="84"/>
        <v/>
      </c>
      <c r="AJ238" t="str">
        <f t="shared" si="85"/>
        <v/>
      </c>
      <c r="AK238" t="str">
        <f t="shared" si="78"/>
        <v/>
      </c>
      <c r="AL238" t="str">
        <f t="shared" si="79"/>
        <v/>
      </c>
      <c r="AM238" t="str">
        <f t="shared" si="80"/>
        <v/>
      </c>
      <c r="AN238" t="str">
        <f t="shared" si="86"/>
        <v/>
      </c>
      <c r="AO238" t="str">
        <f t="shared" si="87"/>
        <v/>
      </c>
      <c r="AP238" t="str">
        <f t="shared" si="88"/>
        <v/>
      </c>
      <c r="AQ238" t="str">
        <f t="shared" si="89"/>
        <v/>
      </c>
      <c r="AR238" t="str">
        <f t="shared" si="90"/>
        <v/>
      </c>
      <c r="AS238" t="str">
        <f t="shared" si="81"/>
        <v>Defensive</v>
      </c>
      <c r="BI238" s="40"/>
      <c r="BL238" s="40"/>
      <c r="BN238" s="19"/>
      <c r="BP238" s="17"/>
    </row>
    <row r="239" spans="1:68" x14ac:dyDescent="0.2">
      <c r="A239" t="str">
        <f t="shared" si="82"/>
        <v/>
      </c>
      <c r="E239" s="4"/>
      <c r="F239" s="45"/>
      <c r="G239" s="4"/>
      <c r="H239" s="48"/>
      <c r="J239" s="46" t="str">
        <f t="shared" si="83"/>
        <v/>
      </c>
      <c r="N239" t="str">
        <f t="shared" si="92"/>
        <v/>
      </c>
      <c r="Q239" t="str">
        <f t="shared" si="91"/>
        <v/>
      </c>
      <c r="S239" t="str">
        <f>IF(A239=1,MAX(S$2:S238)+1,IF(OR(I239&lt;&gt;"",A239="x"),S238,""))</f>
        <v/>
      </c>
      <c r="T239" t="str">
        <f>IF(D239=1,MAX($T$2:$T238)+1,IF(S239=$S238,$S238,IF($D239="x",T238,IF($D238="x","",""))))</f>
        <v/>
      </c>
      <c r="U239" t="str">
        <f>IF(B239=1,MAX($U$2:$U238)+1,IF(AND($T239&lt;&gt;"",$T239=$T238),$U238,IF(B239="x",U238,"")))</f>
        <v/>
      </c>
      <c r="V239" t="str">
        <f>IF(C239=1,MAX($V$2:$V238)+1,IF(AND($T239&lt;&gt;"",$T239=$T238),$U238,IF(C239="x",V238,"")))</f>
        <v/>
      </c>
      <c r="W239" t="str" cm="1">
        <f t="array" ref="W239">IFERROR(_xlfn._xlws.FILTER(game_rosters!AB:AB,(game_rosters!J:J=events!X239)*(K239&lt;&gt;"")),"")</f>
        <v/>
      </c>
      <c r="X239" t="str" cm="1">
        <f t="array" ref="X239">IF(S239="","",IF($I239&lt;&gt;"",$I239,INDEX($I$2:$I238,ROW()-COUNTIFS($T$2:$T238,"="&amp;$T239,$S$2:$S238,"&lt;&gt;"&amp;$S239)-1)))</f>
        <v/>
      </c>
      <c r="Z239" s="6"/>
      <c r="AH239" t="str">
        <f t="shared" si="77"/>
        <v>o</v>
      </c>
      <c r="AI239" t="str">
        <f t="shared" si="84"/>
        <v/>
      </c>
      <c r="AJ239" t="str">
        <f t="shared" si="85"/>
        <v/>
      </c>
      <c r="AK239" t="str">
        <f t="shared" si="78"/>
        <v/>
      </c>
      <c r="AL239" t="str">
        <f t="shared" si="79"/>
        <v/>
      </c>
      <c r="AM239" t="str">
        <f t="shared" si="80"/>
        <v/>
      </c>
      <c r="AN239" t="str">
        <f t="shared" si="86"/>
        <v/>
      </c>
      <c r="AO239" t="str">
        <f t="shared" si="87"/>
        <v/>
      </c>
      <c r="AP239" t="str">
        <f t="shared" si="88"/>
        <v/>
      </c>
      <c r="AQ239" t="str">
        <f t="shared" si="89"/>
        <v/>
      </c>
      <c r="AR239" t="str">
        <f t="shared" si="90"/>
        <v/>
      </c>
      <c r="AS239" t="str">
        <f t="shared" si="81"/>
        <v>Defensive</v>
      </c>
      <c r="BI239" s="40"/>
      <c r="BL239" s="40"/>
      <c r="BN239" s="19"/>
      <c r="BP239" s="17"/>
    </row>
    <row r="240" spans="1:68" x14ac:dyDescent="0.2">
      <c r="A240" t="str">
        <f t="shared" si="82"/>
        <v/>
      </c>
      <c r="E240" s="4"/>
      <c r="F240" s="45"/>
      <c r="G240" s="4"/>
      <c r="H240" s="48"/>
      <c r="J240" s="46" t="str">
        <f t="shared" si="83"/>
        <v/>
      </c>
      <c r="N240" t="str">
        <f t="shared" si="92"/>
        <v/>
      </c>
      <c r="Q240" t="str">
        <f t="shared" si="91"/>
        <v/>
      </c>
      <c r="S240" t="str">
        <f>IF(A240=1,MAX(S$2:S239)+1,IF(OR(I240&lt;&gt;"",A240="x"),S239,""))</f>
        <v/>
      </c>
      <c r="T240" t="str">
        <f>IF(D240=1,MAX($T$2:$T239)+1,IF(S240=$S239,$S239,IF($D240="x",T239,IF($D239="x","",""))))</f>
        <v/>
      </c>
      <c r="U240" t="str">
        <f>IF(B240=1,MAX($U$2:$U239)+1,IF(AND($T240&lt;&gt;"",$T240=$T239),$U239,IF(B240="x",U239,"")))</f>
        <v/>
      </c>
      <c r="V240" t="str">
        <f>IF(C240=1,MAX($V$2:$V239)+1,IF(AND($T240&lt;&gt;"",$T240=$T239),$U239,IF(C240="x",V239,"")))</f>
        <v/>
      </c>
      <c r="W240" t="str" cm="1">
        <f t="array" ref="W240">IFERROR(_xlfn._xlws.FILTER(game_rosters!AB:AB,(game_rosters!J:J=events!X240)*(K240&lt;&gt;"")),"")</f>
        <v/>
      </c>
      <c r="X240" t="str" cm="1">
        <f t="array" ref="X240">IF(S240="","",IF($I240&lt;&gt;"",$I240,INDEX($I$2:$I239,ROW()-COUNTIFS($T$2:$T239,"="&amp;$T240,$S$2:$S239,"&lt;&gt;"&amp;$S240)-1)))</f>
        <v/>
      </c>
      <c r="Z240" s="6"/>
      <c r="AH240" t="str">
        <f t="shared" si="77"/>
        <v>o</v>
      </c>
      <c r="AI240" t="str">
        <f t="shared" si="84"/>
        <v/>
      </c>
      <c r="AJ240" t="str">
        <f t="shared" si="85"/>
        <v/>
      </c>
      <c r="AK240" t="str">
        <f t="shared" si="78"/>
        <v/>
      </c>
      <c r="AL240" t="str">
        <f t="shared" si="79"/>
        <v/>
      </c>
      <c r="AM240" t="str">
        <f t="shared" si="80"/>
        <v/>
      </c>
      <c r="AN240" t="str">
        <f t="shared" si="86"/>
        <v/>
      </c>
      <c r="AO240" t="str">
        <f t="shared" si="87"/>
        <v/>
      </c>
      <c r="AP240" t="str">
        <f t="shared" si="88"/>
        <v/>
      </c>
      <c r="AQ240" t="str">
        <f t="shared" si="89"/>
        <v/>
      </c>
      <c r="AR240" t="str">
        <f t="shared" si="90"/>
        <v/>
      </c>
      <c r="AS240" t="str">
        <f t="shared" si="81"/>
        <v>Defensive</v>
      </c>
      <c r="BI240" s="40"/>
      <c r="BL240" s="40"/>
      <c r="BN240" s="19"/>
      <c r="BP240" s="17"/>
    </row>
    <row r="241" spans="1:68" x14ac:dyDescent="0.2">
      <c r="A241" t="str">
        <f t="shared" si="82"/>
        <v/>
      </c>
      <c r="E241" s="4"/>
      <c r="F241" s="45"/>
      <c r="G241" s="4"/>
      <c r="H241" s="48"/>
      <c r="J241" s="46" t="str">
        <f t="shared" si="83"/>
        <v/>
      </c>
      <c r="N241" t="str">
        <f t="shared" si="92"/>
        <v/>
      </c>
      <c r="Q241" t="str">
        <f t="shared" si="91"/>
        <v/>
      </c>
      <c r="S241" t="str">
        <f>IF(A241=1,MAX(S$2:S240)+1,IF(OR(I241&lt;&gt;"",A241="x"),S240,""))</f>
        <v/>
      </c>
      <c r="T241" t="str">
        <f>IF(D241=1,MAX($T$2:$T240)+1,IF(S241=$S240,$S240,IF($D241="x",T240,IF($D240="x","",""))))</f>
        <v/>
      </c>
      <c r="U241" t="str">
        <f>IF(B241=1,MAX($U$2:$U240)+1,IF(AND($T241&lt;&gt;"",$T241=$T240),$U240,IF(B241="x",U240,"")))</f>
        <v/>
      </c>
      <c r="V241" t="str">
        <f>IF(C241=1,MAX($V$2:$V240)+1,IF(AND($T241&lt;&gt;"",$T241=$T240),$U240,IF(C241="x",V240,"")))</f>
        <v/>
      </c>
      <c r="W241" t="str" cm="1">
        <f t="array" ref="W241">IFERROR(_xlfn._xlws.FILTER(game_rosters!AB:AB,(game_rosters!J:J=events!X241)*(K241&lt;&gt;"")),"")</f>
        <v/>
      </c>
      <c r="X241" t="str" cm="1">
        <f t="array" ref="X241">IF(S241="","",IF($I241&lt;&gt;"",$I241,INDEX($I$2:$I240,ROW()-COUNTIFS($T$2:$T240,"="&amp;$T241,$S$2:$S240,"&lt;&gt;"&amp;$S241)-1)))</f>
        <v/>
      </c>
      <c r="Z241" s="6"/>
      <c r="AH241" t="str">
        <f t="shared" si="77"/>
        <v>o</v>
      </c>
      <c r="AI241" t="str">
        <f t="shared" si="84"/>
        <v/>
      </c>
      <c r="AJ241" t="str">
        <f t="shared" si="85"/>
        <v/>
      </c>
      <c r="AK241" t="str">
        <f t="shared" si="78"/>
        <v/>
      </c>
      <c r="AL241" t="str">
        <f t="shared" si="79"/>
        <v/>
      </c>
      <c r="AM241" t="str">
        <f t="shared" si="80"/>
        <v/>
      </c>
      <c r="AN241" t="str">
        <f t="shared" si="86"/>
        <v/>
      </c>
      <c r="AO241" t="str">
        <f t="shared" si="87"/>
        <v/>
      </c>
      <c r="AP241" t="str">
        <f t="shared" si="88"/>
        <v/>
      </c>
      <c r="AQ241" t="str">
        <f t="shared" si="89"/>
        <v/>
      </c>
      <c r="AR241" t="str">
        <f t="shared" si="90"/>
        <v/>
      </c>
      <c r="AS241" t="str">
        <f t="shared" si="81"/>
        <v>Defensive</v>
      </c>
      <c r="BI241" s="40"/>
      <c r="BL241" s="40"/>
      <c r="BN241" s="19"/>
      <c r="BP241" s="17"/>
    </row>
    <row r="242" spans="1:68" x14ac:dyDescent="0.2">
      <c r="A242" t="str">
        <f t="shared" si="82"/>
        <v/>
      </c>
      <c r="E242" s="4"/>
      <c r="F242" s="45"/>
      <c r="G242" s="4"/>
      <c r="H242" s="48"/>
      <c r="J242" s="46" t="str">
        <f t="shared" si="83"/>
        <v/>
      </c>
      <c r="N242" t="str">
        <f t="shared" si="92"/>
        <v/>
      </c>
      <c r="Q242" t="str">
        <f t="shared" si="91"/>
        <v/>
      </c>
      <c r="S242" t="str">
        <f>IF(A242=1,MAX(S$2:S241)+1,IF(OR(I242&lt;&gt;"",A242="x"),S241,""))</f>
        <v/>
      </c>
      <c r="T242" t="str">
        <f>IF(D242=1,MAX($T$2:$T241)+1,IF(S242=$S241,$S241,IF($D242="x",T241,IF($D241="x","",""))))</f>
        <v/>
      </c>
      <c r="U242" t="str">
        <f>IF(B242=1,MAX($U$2:$U241)+1,IF(AND($T242&lt;&gt;"",$T242=$T241),$U241,IF(B242="x",U241,"")))</f>
        <v/>
      </c>
      <c r="V242" t="str">
        <f>IF(C242=1,MAX($V$2:$V241)+1,IF(AND($T242&lt;&gt;"",$T242=$T241),$U241,IF(C242="x",V241,"")))</f>
        <v/>
      </c>
      <c r="W242" t="str" cm="1">
        <f t="array" ref="W242">IFERROR(_xlfn._xlws.FILTER(game_rosters!AB:AB,(game_rosters!J:J=events!X242)*(K242&lt;&gt;"")),"")</f>
        <v/>
      </c>
      <c r="X242" t="str" cm="1">
        <f t="array" ref="X242">IF(S242="","",IF($I242&lt;&gt;"",$I242,INDEX($I$2:$I241,ROW()-COUNTIFS($T$2:$T241,"="&amp;$T242,$S$2:$S241,"&lt;&gt;"&amp;$S242)-1)))</f>
        <v/>
      </c>
      <c r="Z242" s="6"/>
      <c r="AH242" t="str">
        <f t="shared" si="77"/>
        <v>o</v>
      </c>
      <c r="AI242" t="str">
        <f t="shared" si="84"/>
        <v/>
      </c>
      <c r="AJ242" t="str">
        <f t="shared" si="85"/>
        <v/>
      </c>
      <c r="AK242" t="str">
        <f t="shared" si="78"/>
        <v/>
      </c>
      <c r="AL242" t="str">
        <f t="shared" si="79"/>
        <v/>
      </c>
      <c r="AM242" t="str">
        <f t="shared" si="80"/>
        <v/>
      </c>
      <c r="AN242" t="str">
        <f t="shared" si="86"/>
        <v/>
      </c>
      <c r="AO242" t="str">
        <f t="shared" si="87"/>
        <v/>
      </c>
      <c r="AP242" t="str">
        <f t="shared" si="88"/>
        <v/>
      </c>
      <c r="AQ242" t="str">
        <f t="shared" si="89"/>
        <v/>
      </c>
      <c r="AR242" t="str">
        <f t="shared" si="90"/>
        <v/>
      </c>
      <c r="AS242" t="str">
        <f t="shared" si="81"/>
        <v>Defensive</v>
      </c>
      <c r="BI242" s="40"/>
      <c r="BL242" s="40"/>
      <c r="BN242" s="19"/>
      <c r="BP242" s="17"/>
    </row>
    <row r="243" spans="1:68" x14ac:dyDescent="0.2">
      <c r="A243" t="str">
        <f t="shared" si="82"/>
        <v/>
      </c>
      <c r="E243" s="4"/>
      <c r="F243" s="45"/>
      <c r="G243" s="4"/>
      <c r="H243" s="48"/>
      <c r="J243" s="46" t="str">
        <f t="shared" si="83"/>
        <v/>
      </c>
      <c r="N243" t="str">
        <f t="shared" si="92"/>
        <v/>
      </c>
      <c r="Q243" t="str">
        <f t="shared" si="91"/>
        <v/>
      </c>
      <c r="S243" t="str">
        <f>IF(A243=1,MAX(S$2:S242)+1,IF(OR(I243&lt;&gt;"",A243="x"),S242,""))</f>
        <v/>
      </c>
      <c r="T243" t="str">
        <f>IF(D243=1,MAX($T$2:$T242)+1,IF(S243=$S242,$S242,IF($D243="x",T242,IF($D242="x","",""))))</f>
        <v/>
      </c>
      <c r="U243" t="str">
        <f>IF(B243=1,MAX($U$2:$U242)+1,IF(AND($T243&lt;&gt;"",$T243=$T242),$U242,IF(B243="x",U242,"")))</f>
        <v/>
      </c>
      <c r="V243" t="str">
        <f>IF(C243=1,MAX($V$2:$V242)+1,IF(AND($T243&lt;&gt;"",$T243=$T242),$U242,IF(C243="x",V242,"")))</f>
        <v/>
      </c>
      <c r="W243" t="str" cm="1">
        <f t="array" ref="W243">IFERROR(_xlfn._xlws.FILTER(game_rosters!AB:AB,(game_rosters!J:J=events!X243)*(K243&lt;&gt;"")),"")</f>
        <v/>
      </c>
      <c r="X243" t="str" cm="1">
        <f t="array" ref="X243">IF(S243="","",IF($I243&lt;&gt;"",$I243,INDEX($I$2:$I242,ROW()-COUNTIFS($T$2:$T242,"="&amp;$T243,$S$2:$S242,"&lt;&gt;"&amp;$S243)-1)))</f>
        <v/>
      </c>
      <c r="Z243" s="6"/>
      <c r="AH243" t="str">
        <f t="shared" si="77"/>
        <v>o</v>
      </c>
      <c r="AI243" t="str">
        <f t="shared" si="84"/>
        <v/>
      </c>
      <c r="AJ243" t="str">
        <f t="shared" si="85"/>
        <v/>
      </c>
      <c r="AK243" t="str">
        <f t="shared" si="78"/>
        <v/>
      </c>
      <c r="AL243" t="str">
        <f t="shared" si="79"/>
        <v/>
      </c>
      <c r="AM243" t="str">
        <f t="shared" si="80"/>
        <v/>
      </c>
      <c r="AN243" t="str">
        <f t="shared" si="86"/>
        <v/>
      </c>
      <c r="AO243" t="str">
        <f t="shared" si="87"/>
        <v/>
      </c>
      <c r="AP243" t="str">
        <f t="shared" si="88"/>
        <v/>
      </c>
      <c r="AQ243" t="str">
        <f t="shared" si="89"/>
        <v/>
      </c>
      <c r="AR243" t="str">
        <f t="shared" si="90"/>
        <v/>
      </c>
      <c r="AS243" t="str">
        <f t="shared" si="81"/>
        <v>Defensive</v>
      </c>
      <c r="BI243" s="40"/>
      <c r="BL243" s="40"/>
      <c r="BN243" s="19"/>
      <c r="BP243" s="17"/>
    </row>
    <row r="244" spans="1:68" x14ac:dyDescent="0.2">
      <c r="A244" t="str">
        <f t="shared" si="82"/>
        <v/>
      </c>
      <c r="E244" s="4"/>
      <c r="F244" s="45"/>
      <c r="G244" s="4"/>
      <c r="H244" s="48"/>
      <c r="J244" s="46" t="str">
        <f t="shared" si="83"/>
        <v/>
      </c>
      <c r="N244" t="str">
        <f t="shared" si="92"/>
        <v/>
      </c>
      <c r="Q244" t="str">
        <f t="shared" si="91"/>
        <v/>
      </c>
      <c r="S244" t="str">
        <f>IF(A244=1,MAX(S$2:S243)+1,IF(OR(I244&lt;&gt;"",A244="x"),S243,""))</f>
        <v/>
      </c>
      <c r="T244" t="str">
        <f>IF(D244=1,MAX($T$2:$T243)+1,IF(S244=$S243,$S243,IF($D244="x",T243,IF($D243="x","",""))))</f>
        <v/>
      </c>
      <c r="U244" t="str">
        <f>IF(B244=1,MAX($U$2:$U243)+1,IF(AND($T244&lt;&gt;"",$T244=$T243),$U243,IF(B244="x",U243,"")))</f>
        <v/>
      </c>
      <c r="V244" t="str">
        <f>IF(C244=1,MAX($V$2:$V243)+1,IF(AND($T244&lt;&gt;"",$T244=$T243),$U243,IF(C244="x",V243,"")))</f>
        <v/>
      </c>
      <c r="W244" t="str" cm="1">
        <f t="array" ref="W244">IFERROR(_xlfn._xlws.FILTER(game_rosters!AB:AB,(game_rosters!J:J=events!X244)*(K244&lt;&gt;"")),"")</f>
        <v/>
      </c>
      <c r="X244" t="str" cm="1">
        <f t="array" ref="X244">IF(S244="","",IF($I244&lt;&gt;"",$I244,INDEX($I$2:$I243,ROW()-COUNTIFS($T$2:$T243,"="&amp;$T244,$S$2:$S243,"&lt;&gt;"&amp;$S244)-1)))</f>
        <v/>
      </c>
      <c r="Z244" s="6"/>
      <c r="AH244" t="str">
        <f t="shared" si="77"/>
        <v>o</v>
      </c>
      <c r="AI244" t="str">
        <f t="shared" si="84"/>
        <v/>
      </c>
      <c r="AJ244" t="str">
        <f t="shared" si="85"/>
        <v/>
      </c>
      <c r="AK244" t="str">
        <f t="shared" si="78"/>
        <v/>
      </c>
      <c r="AL244" t="str">
        <f t="shared" si="79"/>
        <v/>
      </c>
      <c r="AM244" t="str">
        <f t="shared" si="80"/>
        <v/>
      </c>
      <c r="AN244" t="str">
        <f t="shared" si="86"/>
        <v/>
      </c>
      <c r="AO244" t="str">
        <f t="shared" si="87"/>
        <v/>
      </c>
      <c r="AP244" t="str">
        <f t="shared" si="88"/>
        <v/>
      </c>
      <c r="AQ244" t="str">
        <f t="shared" si="89"/>
        <v/>
      </c>
      <c r="AR244" t="str">
        <f t="shared" si="90"/>
        <v/>
      </c>
      <c r="AS244" t="str">
        <f t="shared" si="81"/>
        <v>Defensive</v>
      </c>
      <c r="BI244" s="40"/>
      <c r="BL244" s="40"/>
      <c r="BN244" s="19"/>
      <c r="BP244" s="17"/>
    </row>
    <row r="245" spans="1:68" x14ac:dyDescent="0.2">
      <c r="A245" t="str">
        <f t="shared" si="82"/>
        <v/>
      </c>
      <c r="E245" s="4"/>
      <c r="F245" s="45"/>
      <c r="G245" s="4"/>
      <c r="H245" s="48"/>
      <c r="J245" s="46" t="str">
        <f t="shared" si="83"/>
        <v/>
      </c>
      <c r="N245" t="str">
        <f t="shared" si="92"/>
        <v/>
      </c>
      <c r="Q245" t="str">
        <f t="shared" si="91"/>
        <v/>
      </c>
      <c r="S245" t="str">
        <f>IF(A245=1,MAX(S$2:S244)+1,IF(OR(I245&lt;&gt;"",A245="x"),S244,""))</f>
        <v/>
      </c>
      <c r="T245" t="str">
        <f>IF(D245=1,MAX($T$2:$T244)+1,IF(S245=$S244,$S244,IF($D245="x",T244,IF($D244="x","",""))))</f>
        <v/>
      </c>
      <c r="U245" t="str">
        <f>IF(B245=1,MAX($U$2:$U244)+1,IF(AND($T245&lt;&gt;"",$T245=$T244),$U244,IF(B245="x",U244,"")))</f>
        <v/>
      </c>
      <c r="V245" t="str">
        <f>IF(C245=1,MAX($V$2:$V244)+1,IF(AND($T245&lt;&gt;"",$T245=$T244),$U244,IF(C245="x",V244,"")))</f>
        <v/>
      </c>
      <c r="W245" t="str" cm="1">
        <f t="array" ref="W245">IFERROR(_xlfn._xlws.FILTER(game_rosters!AB:AB,(game_rosters!J:J=events!X245)*(K245&lt;&gt;"")),"")</f>
        <v/>
      </c>
      <c r="X245" t="str" cm="1">
        <f t="array" ref="X245">IF(S245="","",IF($I245&lt;&gt;"",$I245,INDEX($I$2:$I244,ROW()-COUNTIFS($T$2:$T244,"="&amp;$T245,$S$2:$S244,"&lt;&gt;"&amp;$S245)-1)))</f>
        <v/>
      </c>
      <c r="Z245" s="6"/>
      <c r="AH245" t="str">
        <f t="shared" si="77"/>
        <v>o</v>
      </c>
      <c r="AI245" t="str">
        <f t="shared" si="84"/>
        <v/>
      </c>
      <c r="AJ245" t="str">
        <f t="shared" si="85"/>
        <v/>
      </c>
      <c r="AK245" t="str">
        <f t="shared" si="78"/>
        <v/>
      </c>
      <c r="AL245" t="str">
        <f t="shared" si="79"/>
        <v/>
      </c>
      <c r="AM245" t="str">
        <f t="shared" si="80"/>
        <v/>
      </c>
      <c r="AN245" t="str">
        <f t="shared" si="86"/>
        <v/>
      </c>
      <c r="AO245" t="str">
        <f t="shared" si="87"/>
        <v/>
      </c>
      <c r="AP245" t="str">
        <f t="shared" si="88"/>
        <v/>
      </c>
      <c r="AQ245" t="str">
        <f t="shared" si="89"/>
        <v/>
      </c>
      <c r="AR245" t="str">
        <f t="shared" si="90"/>
        <v/>
      </c>
      <c r="AS245" t="str">
        <f t="shared" si="81"/>
        <v>Defensive</v>
      </c>
      <c r="BI245" s="40"/>
      <c r="BL245" s="40"/>
      <c r="BN245" s="19"/>
      <c r="BP245" s="17"/>
    </row>
    <row r="246" spans="1:68" x14ac:dyDescent="0.2">
      <c r="A246" t="str">
        <f t="shared" si="82"/>
        <v/>
      </c>
      <c r="E246" s="4"/>
      <c r="F246" s="45"/>
      <c r="G246" s="4"/>
      <c r="H246" s="48"/>
      <c r="J246" s="46" t="str">
        <f t="shared" si="83"/>
        <v/>
      </c>
      <c r="N246" t="str">
        <f t="shared" si="92"/>
        <v/>
      </c>
      <c r="Q246" t="str">
        <f t="shared" si="91"/>
        <v/>
      </c>
      <c r="S246" t="str">
        <f>IF(A246=1,MAX(S$2:S245)+1,IF(OR(I246&lt;&gt;"",A246="x"),S245,""))</f>
        <v/>
      </c>
      <c r="T246" t="str">
        <f>IF(D246=1,MAX($T$2:$T245)+1,IF(S246=$S245,$S245,IF($D246="x",T245,IF($D245="x","",""))))</f>
        <v/>
      </c>
      <c r="U246" t="str">
        <f>IF(B246=1,MAX($U$2:$U245)+1,IF(AND($T246&lt;&gt;"",$T246=$T245),$U245,IF(B246="x",U245,"")))</f>
        <v/>
      </c>
      <c r="V246" t="str">
        <f>IF(C246=1,MAX($V$2:$V245)+1,IF(AND($T246&lt;&gt;"",$T246=$T245),$U245,IF(C246="x",V245,"")))</f>
        <v/>
      </c>
      <c r="W246" t="str" cm="1">
        <f t="array" ref="W246">IFERROR(_xlfn._xlws.FILTER(game_rosters!AB:AB,(game_rosters!J:J=events!X246)*(K246&lt;&gt;"")),"")</f>
        <v/>
      </c>
      <c r="X246" t="str" cm="1">
        <f t="array" ref="X246">IF(S246="","",IF($I246&lt;&gt;"",$I246,INDEX($I$2:$I245,ROW()-COUNTIFS($T$2:$T245,"="&amp;$T246,$S$2:$S245,"&lt;&gt;"&amp;$S246)-1)))</f>
        <v/>
      </c>
      <c r="Z246" s="6"/>
      <c r="AH246" t="str">
        <f t="shared" si="77"/>
        <v>o</v>
      </c>
      <c r="AI246" t="str">
        <f t="shared" si="84"/>
        <v/>
      </c>
      <c r="AJ246" t="str">
        <f t="shared" si="85"/>
        <v/>
      </c>
      <c r="AK246" t="str">
        <f t="shared" si="78"/>
        <v/>
      </c>
      <c r="AL246" t="str">
        <f t="shared" si="79"/>
        <v/>
      </c>
      <c r="AM246" t="str">
        <f t="shared" si="80"/>
        <v/>
      </c>
      <c r="AN246" t="str">
        <f t="shared" si="86"/>
        <v/>
      </c>
      <c r="AO246" t="str">
        <f t="shared" si="87"/>
        <v/>
      </c>
      <c r="AP246" t="str">
        <f t="shared" si="88"/>
        <v/>
      </c>
      <c r="AQ246" t="str">
        <f t="shared" si="89"/>
        <v/>
      </c>
      <c r="AR246" t="str">
        <f t="shared" si="90"/>
        <v/>
      </c>
      <c r="AS246" t="str">
        <f t="shared" si="81"/>
        <v>Defensive</v>
      </c>
      <c r="BI246" s="40"/>
      <c r="BL246" s="40"/>
      <c r="BN246" s="19"/>
      <c r="BP246" s="17"/>
    </row>
    <row r="247" spans="1:68" x14ac:dyDescent="0.2">
      <c r="A247" t="str">
        <f t="shared" si="82"/>
        <v/>
      </c>
      <c r="E247" s="4"/>
      <c r="F247" s="45"/>
      <c r="G247" s="4"/>
      <c r="H247" s="48"/>
      <c r="J247" s="46" t="str">
        <f t="shared" si="83"/>
        <v/>
      </c>
      <c r="N247" t="str">
        <f t="shared" si="92"/>
        <v/>
      </c>
      <c r="Q247" t="str">
        <f t="shared" si="91"/>
        <v/>
      </c>
      <c r="S247" t="str">
        <f>IF(A247=1,MAX(S$2:S246)+1,IF(OR(I247&lt;&gt;"",A247="x"),S246,""))</f>
        <v/>
      </c>
      <c r="T247" t="str">
        <f>IF(D247=1,MAX($T$2:$T246)+1,IF(S247=$S246,$S246,IF($D247="x",T246,IF($D246="x","",""))))</f>
        <v/>
      </c>
      <c r="U247" t="str">
        <f>IF(B247=1,MAX($U$2:$U246)+1,IF(AND($T247&lt;&gt;"",$T247=$T246),$U246,IF(B247="x",U246,"")))</f>
        <v/>
      </c>
      <c r="V247" t="str">
        <f>IF(C247=1,MAX($V$2:$V246)+1,IF(AND($T247&lt;&gt;"",$T247=$T246),$U246,IF(C247="x",V246,"")))</f>
        <v/>
      </c>
      <c r="W247" t="str" cm="1">
        <f t="array" ref="W247">IFERROR(_xlfn._xlws.FILTER(game_rosters!AB:AB,(game_rosters!J:J=events!X247)*(K247&lt;&gt;"")),"")</f>
        <v/>
      </c>
      <c r="X247" t="str" cm="1">
        <f t="array" ref="X247">IF(S247="","",IF($I247&lt;&gt;"",$I247,INDEX($I$2:$I246,ROW()-COUNTIFS($T$2:$T246,"="&amp;$T247,$S$2:$S246,"&lt;&gt;"&amp;$S247)-1)))</f>
        <v/>
      </c>
      <c r="Z247" s="6"/>
      <c r="AH247" t="str">
        <f t="shared" si="77"/>
        <v>o</v>
      </c>
      <c r="AI247" t="str">
        <f t="shared" si="84"/>
        <v/>
      </c>
      <c r="AJ247" t="str">
        <f t="shared" si="85"/>
        <v/>
      </c>
      <c r="AK247" t="str">
        <f t="shared" si="78"/>
        <v/>
      </c>
      <c r="AL247" t="str">
        <f t="shared" si="79"/>
        <v/>
      </c>
      <c r="AM247" t="str">
        <f t="shared" si="80"/>
        <v/>
      </c>
      <c r="AN247" t="str">
        <f t="shared" si="86"/>
        <v/>
      </c>
      <c r="AO247" t="str">
        <f t="shared" si="87"/>
        <v/>
      </c>
      <c r="AP247" t="str">
        <f t="shared" si="88"/>
        <v/>
      </c>
      <c r="AQ247" t="str">
        <f t="shared" si="89"/>
        <v/>
      </c>
      <c r="AR247" t="str">
        <f t="shared" si="90"/>
        <v/>
      </c>
      <c r="AS247" t="str">
        <f t="shared" si="81"/>
        <v>Defensive</v>
      </c>
      <c r="BI247" s="40"/>
      <c r="BL247" s="40"/>
      <c r="BN247" s="19"/>
      <c r="BP247" s="17"/>
    </row>
    <row r="248" spans="1:68" x14ac:dyDescent="0.2">
      <c r="A248" t="str">
        <f t="shared" si="82"/>
        <v/>
      </c>
      <c r="E248" s="4"/>
      <c r="F248" s="45"/>
      <c r="G248" s="4"/>
      <c r="H248" s="48"/>
      <c r="J248" s="46" t="str">
        <f t="shared" si="83"/>
        <v/>
      </c>
      <c r="N248" t="str">
        <f t="shared" si="92"/>
        <v/>
      </c>
      <c r="Q248" t="str">
        <f t="shared" si="91"/>
        <v/>
      </c>
      <c r="S248" t="str">
        <f>IF(A248=1,MAX(S$2:S247)+1,IF(OR(I248&lt;&gt;"",A248="x"),S247,""))</f>
        <v/>
      </c>
      <c r="T248" t="str">
        <f>IF(D248=1,MAX($T$2:$T247)+1,IF(S248=$S247,$S247,IF($D248="x",T247,IF($D247="x","",""))))</f>
        <v/>
      </c>
      <c r="U248" t="str">
        <f>IF(B248=1,MAX($U$2:$U247)+1,IF(AND($T248&lt;&gt;"",$T248=$T247),$U247,IF(B248="x",U247,"")))</f>
        <v/>
      </c>
      <c r="V248" t="str">
        <f>IF(C248=1,MAX($V$2:$V247)+1,IF(AND($T248&lt;&gt;"",$T248=$T247),$U247,IF(C248="x",V247,"")))</f>
        <v/>
      </c>
      <c r="W248" t="str" cm="1">
        <f t="array" ref="W248">IFERROR(_xlfn._xlws.FILTER(game_rosters!AB:AB,(game_rosters!J:J=events!X248)*(K248&lt;&gt;"")),"")</f>
        <v/>
      </c>
      <c r="X248" t="str" cm="1">
        <f t="array" ref="X248">IF(S248="","",IF($I248&lt;&gt;"",$I248,INDEX($I$2:$I247,ROW()-COUNTIFS($T$2:$T247,"="&amp;$T248,$S$2:$S247,"&lt;&gt;"&amp;$S248)-1)))</f>
        <v/>
      </c>
      <c r="Z248" s="6"/>
      <c r="AH248" t="str">
        <f t="shared" si="77"/>
        <v>o</v>
      </c>
      <c r="AI248" t="str">
        <f t="shared" si="84"/>
        <v/>
      </c>
      <c r="AJ248" t="str">
        <f t="shared" si="85"/>
        <v/>
      </c>
      <c r="AK248" t="str">
        <f t="shared" si="78"/>
        <v/>
      </c>
      <c r="AL248" t="str">
        <f t="shared" si="79"/>
        <v/>
      </c>
      <c r="AM248" t="str">
        <f t="shared" si="80"/>
        <v/>
      </c>
      <c r="AN248" t="str">
        <f t="shared" si="86"/>
        <v/>
      </c>
      <c r="AO248" t="str">
        <f t="shared" si="87"/>
        <v/>
      </c>
      <c r="AP248" t="str">
        <f t="shared" si="88"/>
        <v/>
      </c>
      <c r="AQ248" t="str">
        <f t="shared" si="89"/>
        <v/>
      </c>
      <c r="AR248" t="str">
        <f t="shared" si="90"/>
        <v/>
      </c>
      <c r="AS248" t="str">
        <f t="shared" si="81"/>
        <v>Defensive</v>
      </c>
      <c r="BI248" s="40"/>
      <c r="BL248" s="40"/>
      <c r="BN248" s="19"/>
      <c r="BP248" s="17"/>
    </row>
    <row r="249" spans="1:68" x14ac:dyDescent="0.2">
      <c r="A249" t="str">
        <f t="shared" si="82"/>
        <v/>
      </c>
      <c r="E249" s="4"/>
      <c r="F249" s="45"/>
      <c r="G249" s="4"/>
      <c r="H249" s="48"/>
      <c r="J249" s="46" t="str">
        <f t="shared" si="83"/>
        <v/>
      </c>
      <c r="N249" t="str">
        <f t="shared" si="92"/>
        <v/>
      </c>
      <c r="Q249" t="str">
        <f t="shared" si="91"/>
        <v/>
      </c>
      <c r="S249" t="str">
        <f>IF(A249=1,MAX(S$2:S248)+1,IF(OR(I249&lt;&gt;"",A249="x"),S248,""))</f>
        <v/>
      </c>
      <c r="T249" t="str">
        <f>IF(D249=1,MAX($T$2:$T248)+1,IF(S249=$S248,$S248,IF($D249="x",T248,IF($D248="x","",""))))</f>
        <v/>
      </c>
      <c r="U249" t="str">
        <f>IF(B249=1,MAX($U$2:$U248)+1,IF(AND($T249&lt;&gt;"",$T249=$T248),$U248,IF(B249="x",U248,"")))</f>
        <v/>
      </c>
      <c r="V249" t="str">
        <f>IF(C249=1,MAX($V$2:$V248)+1,IF(AND($T249&lt;&gt;"",$T249=$T248),$U248,IF(C249="x",V248,"")))</f>
        <v/>
      </c>
      <c r="W249" t="str" cm="1">
        <f t="array" ref="W249">IFERROR(_xlfn._xlws.FILTER(game_rosters!AB:AB,(game_rosters!J:J=events!X249)*(K249&lt;&gt;"")),"")</f>
        <v/>
      </c>
      <c r="X249" t="str" cm="1">
        <f t="array" ref="X249">IF(S249="","",IF($I249&lt;&gt;"",$I249,INDEX($I$2:$I248,ROW()-COUNTIFS($T$2:$T248,"="&amp;$T249,$S$2:$S248,"&lt;&gt;"&amp;$S249)-1)))</f>
        <v/>
      </c>
      <c r="Z249" s="6"/>
      <c r="AH249" t="str">
        <f t="shared" si="77"/>
        <v>o</v>
      </c>
      <c r="AI249" t="str">
        <f t="shared" si="84"/>
        <v/>
      </c>
      <c r="AJ249" t="str">
        <f t="shared" si="85"/>
        <v/>
      </c>
      <c r="AK249" t="str">
        <f t="shared" si="78"/>
        <v/>
      </c>
      <c r="AL249" t="str">
        <f t="shared" si="79"/>
        <v/>
      </c>
      <c r="AM249" t="str">
        <f t="shared" si="80"/>
        <v/>
      </c>
      <c r="AN249" t="str">
        <f t="shared" si="86"/>
        <v/>
      </c>
      <c r="AO249" t="str">
        <f t="shared" si="87"/>
        <v/>
      </c>
      <c r="AP249" t="str">
        <f t="shared" si="88"/>
        <v/>
      </c>
      <c r="AQ249" t="str">
        <f t="shared" si="89"/>
        <v/>
      </c>
      <c r="AR249" t="str">
        <f t="shared" si="90"/>
        <v/>
      </c>
      <c r="AS249" t="str">
        <f t="shared" si="81"/>
        <v>Defensive</v>
      </c>
      <c r="BI249" s="40"/>
      <c r="BL249" s="40"/>
      <c r="BN249" s="19"/>
      <c r="BP249" s="17"/>
    </row>
    <row r="250" spans="1:68" x14ac:dyDescent="0.2">
      <c r="A250" t="str">
        <f t="shared" si="82"/>
        <v/>
      </c>
      <c r="E250" s="4"/>
      <c r="F250" s="45"/>
      <c r="G250" s="4"/>
      <c r="H250" s="48"/>
      <c r="J250" s="46" t="str">
        <f t="shared" si="83"/>
        <v/>
      </c>
      <c r="N250" t="str">
        <f t="shared" si="92"/>
        <v/>
      </c>
      <c r="Q250" t="str">
        <f t="shared" si="91"/>
        <v/>
      </c>
      <c r="S250" t="str">
        <f>IF(A250=1,MAX(S$2:S249)+1,IF(OR(I250&lt;&gt;"",A250="x"),S249,""))</f>
        <v/>
      </c>
      <c r="T250" t="str">
        <f>IF(D250=1,MAX($T$2:$T249)+1,IF(S250=$S249,$S249,IF($D250="x",T249,IF($D249="x","",""))))</f>
        <v/>
      </c>
      <c r="U250" t="str">
        <f>IF(B250=1,MAX($U$2:$U249)+1,IF(AND($T250&lt;&gt;"",$T250=$T249),$U249,IF(B250="x",U249,"")))</f>
        <v/>
      </c>
      <c r="V250" t="str">
        <f>IF(C250=1,MAX($V$2:$V249)+1,IF(AND($T250&lt;&gt;"",$T250=$T249),$U249,IF(C250="x",V249,"")))</f>
        <v/>
      </c>
      <c r="W250" t="str" cm="1">
        <f t="array" ref="W250">IFERROR(_xlfn._xlws.FILTER(game_rosters!AB:AB,(game_rosters!J:J=events!X250)*(K250&lt;&gt;"")),"")</f>
        <v/>
      </c>
      <c r="X250" t="str" cm="1">
        <f t="array" ref="X250">IF(S250="","",IF($I250&lt;&gt;"",$I250,INDEX($I$2:$I249,ROW()-COUNTIFS($T$2:$T249,"="&amp;$T250,$S$2:$S249,"&lt;&gt;"&amp;$S250)-1)))</f>
        <v/>
      </c>
      <c r="Z250" s="6"/>
      <c r="AH250" t="str">
        <f t="shared" si="77"/>
        <v>o</v>
      </c>
      <c r="AI250" t="str">
        <f t="shared" si="84"/>
        <v/>
      </c>
      <c r="AJ250" t="str">
        <f t="shared" si="85"/>
        <v/>
      </c>
      <c r="AK250" t="str">
        <f t="shared" si="78"/>
        <v/>
      </c>
      <c r="AL250" t="str">
        <f t="shared" si="79"/>
        <v/>
      </c>
      <c r="AM250" t="str">
        <f t="shared" si="80"/>
        <v/>
      </c>
      <c r="AN250" t="str">
        <f t="shared" si="86"/>
        <v/>
      </c>
      <c r="AO250" t="str">
        <f t="shared" si="87"/>
        <v/>
      </c>
      <c r="AP250" t="str">
        <f t="shared" si="88"/>
        <v/>
      </c>
      <c r="AQ250" t="str">
        <f t="shared" si="89"/>
        <v/>
      </c>
      <c r="AR250" t="str">
        <f t="shared" si="90"/>
        <v/>
      </c>
      <c r="AS250" t="str">
        <f t="shared" si="81"/>
        <v>Defensive</v>
      </c>
      <c r="BI250" s="40"/>
      <c r="BL250" s="40"/>
      <c r="BN250" s="19"/>
      <c r="BP250" s="17"/>
    </row>
    <row r="251" spans="1:68" x14ac:dyDescent="0.2">
      <c r="A251" t="str">
        <f t="shared" si="82"/>
        <v/>
      </c>
      <c r="E251" s="4"/>
      <c r="F251" s="45"/>
      <c r="G251" s="4"/>
      <c r="H251" s="48"/>
      <c r="J251" s="46" t="str">
        <f t="shared" si="83"/>
        <v/>
      </c>
      <c r="N251" t="str">
        <f t="shared" si="92"/>
        <v/>
      </c>
      <c r="Q251" t="str">
        <f t="shared" si="91"/>
        <v/>
      </c>
      <c r="S251" t="str">
        <f>IF(A251=1,MAX(S$2:S250)+1,IF(OR(I251&lt;&gt;"",A251="x"),S250,""))</f>
        <v/>
      </c>
      <c r="T251" t="str">
        <f>IF(D251=1,MAX($T$2:$T250)+1,IF(S251=$S250,$S250,IF($D251="x",T250,IF($D250="x","",""))))</f>
        <v/>
      </c>
      <c r="U251" t="str">
        <f>IF(B251=1,MAX($U$2:$U250)+1,IF(AND($T251&lt;&gt;"",$T251=$T250),$U250,IF(B251="x",U250,"")))</f>
        <v/>
      </c>
      <c r="V251" t="str">
        <f>IF(C251=1,MAX($V$2:$V250)+1,IF(AND($T251&lt;&gt;"",$T251=$T250),$U250,IF(C251="x",V250,"")))</f>
        <v/>
      </c>
      <c r="W251" t="str" cm="1">
        <f t="array" ref="W251">IFERROR(_xlfn._xlws.FILTER(game_rosters!AB:AB,(game_rosters!J:J=events!X251)*(K251&lt;&gt;"")),"")</f>
        <v/>
      </c>
      <c r="X251" t="str" cm="1">
        <f t="array" ref="X251">IF(S251="","",IF($I251&lt;&gt;"",$I251,INDEX($I$2:$I250,ROW()-COUNTIFS($T$2:$T250,"="&amp;$T251,$S$2:$S250,"&lt;&gt;"&amp;$S251)-1)))</f>
        <v/>
      </c>
      <c r="Z251" s="6"/>
      <c r="AH251" t="str">
        <f t="shared" si="77"/>
        <v>o</v>
      </c>
      <c r="AI251" t="str">
        <f t="shared" si="84"/>
        <v/>
      </c>
      <c r="AJ251" t="str">
        <f t="shared" si="85"/>
        <v/>
      </c>
      <c r="AK251" t="str">
        <f t="shared" si="78"/>
        <v/>
      </c>
      <c r="AL251" t="str">
        <f t="shared" si="79"/>
        <v/>
      </c>
      <c r="AM251" t="str">
        <f t="shared" si="80"/>
        <v/>
      </c>
      <c r="AN251" t="str">
        <f t="shared" si="86"/>
        <v/>
      </c>
      <c r="AO251" t="str">
        <f t="shared" si="87"/>
        <v/>
      </c>
      <c r="AP251" t="str">
        <f t="shared" si="88"/>
        <v/>
      </c>
      <c r="AQ251" t="str">
        <f t="shared" si="89"/>
        <v/>
      </c>
      <c r="AR251" t="str">
        <f t="shared" si="90"/>
        <v/>
      </c>
      <c r="AS251" t="str">
        <f t="shared" si="81"/>
        <v>Defensive</v>
      </c>
      <c r="BI251" s="40"/>
      <c r="BL251" s="40"/>
      <c r="BN251" s="19"/>
      <c r="BP251" s="17"/>
    </row>
    <row r="252" spans="1:68" x14ac:dyDescent="0.2">
      <c r="A252" t="str">
        <f t="shared" si="82"/>
        <v/>
      </c>
      <c r="E252" s="4"/>
      <c r="F252" s="45"/>
      <c r="G252" s="4"/>
      <c r="H252" s="48"/>
      <c r="J252" s="46" t="str">
        <f t="shared" si="83"/>
        <v/>
      </c>
      <c r="N252" t="str">
        <f t="shared" si="92"/>
        <v/>
      </c>
      <c r="Q252" t="str">
        <f t="shared" si="91"/>
        <v/>
      </c>
      <c r="S252" t="str">
        <f>IF(A252=1,MAX(S$2:S251)+1,IF(OR(I252&lt;&gt;"",A252="x"),S251,""))</f>
        <v/>
      </c>
      <c r="T252" t="str">
        <f>IF(D252=1,MAX($T$2:$T251)+1,IF(S252=$S251,$S251,IF($D252="x",T251,IF($D251="x","",""))))</f>
        <v/>
      </c>
      <c r="U252" t="str">
        <f>IF(B252=1,MAX($U$2:$U251)+1,IF(AND($T252&lt;&gt;"",$T252=$T251),$U251,IF(B252="x",U251,"")))</f>
        <v/>
      </c>
      <c r="V252" t="str">
        <f>IF(C252=1,MAX($V$2:$V251)+1,IF(AND($T252&lt;&gt;"",$T252=$T251),$U251,IF(C252="x",V251,"")))</f>
        <v/>
      </c>
      <c r="W252" t="str" cm="1">
        <f t="array" ref="W252">IFERROR(_xlfn._xlws.FILTER(game_rosters!AB:AB,(game_rosters!J:J=events!X252)*(K252&lt;&gt;"")),"")</f>
        <v/>
      </c>
      <c r="X252" t="str" cm="1">
        <f t="array" ref="X252">IF(S252="","",IF($I252&lt;&gt;"",$I252,INDEX($I$2:$I251,ROW()-COUNTIFS($T$2:$T251,"="&amp;$T252,$S$2:$S251,"&lt;&gt;"&amp;$S252)-1)))</f>
        <v/>
      </c>
      <c r="Z252" s="6"/>
      <c r="AH252" t="str">
        <f t="shared" si="77"/>
        <v>o</v>
      </c>
      <c r="AI252" t="str">
        <f t="shared" si="84"/>
        <v/>
      </c>
      <c r="AJ252" t="str">
        <f t="shared" si="85"/>
        <v/>
      </c>
      <c r="AK252" t="str">
        <f t="shared" si="78"/>
        <v/>
      </c>
      <c r="AL252" t="str">
        <f t="shared" si="79"/>
        <v/>
      </c>
      <c r="AM252" t="str">
        <f t="shared" si="80"/>
        <v/>
      </c>
      <c r="AN252" t="str">
        <f t="shared" si="86"/>
        <v/>
      </c>
      <c r="AO252" t="str">
        <f t="shared" si="87"/>
        <v/>
      </c>
      <c r="AP252" t="str">
        <f t="shared" si="88"/>
        <v/>
      </c>
      <c r="AQ252" t="str">
        <f t="shared" si="89"/>
        <v/>
      </c>
      <c r="AR252" t="str">
        <f t="shared" si="90"/>
        <v/>
      </c>
      <c r="AS252" t="str">
        <f t="shared" si="81"/>
        <v>Defensive</v>
      </c>
      <c r="BI252" s="40"/>
      <c r="BL252" s="40"/>
      <c r="BN252" s="19"/>
      <c r="BP252" s="17"/>
    </row>
    <row r="253" spans="1:68" x14ac:dyDescent="0.2">
      <c r="A253" t="str">
        <f t="shared" si="82"/>
        <v/>
      </c>
      <c r="E253" s="4"/>
      <c r="F253" s="45"/>
      <c r="G253" s="4"/>
      <c r="H253" s="48"/>
      <c r="J253" s="46" t="str">
        <f t="shared" si="83"/>
        <v/>
      </c>
      <c r="N253" t="str">
        <f t="shared" si="92"/>
        <v/>
      </c>
      <c r="Q253" t="str">
        <f t="shared" si="91"/>
        <v/>
      </c>
      <c r="S253" t="str">
        <f>IF(A253=1,MAX(S$2:S252)+1,IF(OR(I253&lt;&gt;"",A253="x"),S252,""))</f>
        <v/>
      </c>
      <c r="T253" t="str">
        <f>IF(D253=1,MAX($T$2:$T252)+1,IF(S253=$S252,$S252,IF($D253="x",T252,IF($D252="x","",""))))</f>
        <v/>
      </c>
      <c r="U253" t="str">
        <f>IF(B253=1,MAX($U$2:$U252)+1,IF(AND($T253&lt;&gt;"",$T253=$T252),$U252,IF(B253="x",U252,"")))</f>
        <v/>
      </c>
      <c r="V253" t="str">
        <f>IF(C253=1,MAX($V$2:$V252)+1,IF(AND($T253&lt;&gt;"",$T253=$T252),$U252,IF(C253="x",V252,"")))</f>
        <v/>
      </c>
      <c r="W253" t="str" cm="1">
        <f t="array" ref="W253">IFERROR(_xlfn._xlws.FILTER(game_rosters!AB:AB,(game_rosters!J:J=events!X253)*(K253&lt;&gt;"")),"")</f>
        <v/>
      </c>
      <c r="X253" t="str" cm="1">
        <f t="array" ref="X253">IF(S253="","",IF($I253&lt;&gt;"",$I253,INDEX($I$2:$I252,ROW()-COUNTIFS($T$2:$T252,"="&amp;$T253,$S$2:$S252,"&lt;&gt;"&amp;$S253)-1)))</f>
        <v/>
      </c>
      <c r="Z253" s="6"/>
      <c r="AH253" t="str">
        <f t="shared" si="77"/>
        <v>o</v>
      </c>
      <c r="AI253" t="str">
        <f t="shared" si="84"/>
        <v/>
      </c>
      <c r="AJ253" t="str">
        <f t="shared" si="85"/>
        <v/>
      </c>
      <c r="AK253" t="str">
        <f t="shared" si="78"/>
        <v/>
      </c>
      <c r="AL253" t="str">
        <f t="shared" si="79"/>
        <v/>
      </c>
      <c r="AM253" t="str">
        <f t="shared" si="80"/>
        <v/>
      </c>
      <c r="AN253" t="str">
        <f t="shared" si="86"/>
        <v/>
      </c>
      <c r="AO253" t="str">
        <f t="shared" si="87"/>
        <v/>
      </c>
      <c r="AP253" t="str">
        <f t="shared" si="88"/>
        <v/>
      </c>
      <c r="AQ253" t="str">
        <f t="shared" si="89"/>
        <v/>
      </c>
      <c r="AR253" t="str">
        <f t="shared" si="90"/>
        <v/>
      </c>
      <c r="AS253" t="str">
        <f t="shared" si="81"/>
        <v>Defensive</v>
      </c>
      <c r="BI253" s="40"/>
      <c r="BL253" s="40"/>
      <c r="BN253" s="19"/>
      <c r="BP253" s="17"/>
    </row>
    <row r="254" spans="1:68" x14ac:dyDescent="0.2">
      <c r="A254" t="str">
        <f t="shared" si="82"/>
        <v/>
      </c>
      <c r="E254" s="4"/>
      <c r="F254" s="45"/>
      <c r="G254" s="4"/>
      <c r="H254" s="48"/>
      <c r="J254" s="46" t="str">
        <f t="shared" si="83"/>
        <v/>
      </c>
      <c r="N254" t="str">
        <f t="shared" si="92"/>
        <v/>
      </c>
      <c r="Q254" t="str">
        <f t="shared" si="91"/>
        <v/>
      </c>
      <c r="S254" t="str">
        <f>IF(A254=1,MAX(S$2:S253)+1,IF(OR(I254&lt;&gt;"",A254="x"),S253,""))</f>
        <v/>
      </c>
      <c r="T254" t="str">
        <f>IF(D254=1,MAX($T$2:$T253)+1,IF(S254=$S253,$S253,IF($D254="x",T253,IF($D253="x","",""))))</f>
        <v/>
      </c>
      <c r="U254" t="str">
        <f>IF(B254=1,MAX($U$2:$U253)+1,IF(AND($T254&lt;&gt;"",$T254=$T253),$U253,IF(B254="x",U253,"")))</f>
        <v/>
      </c>
      <c r="V254" t="str">
        <f>IF(C254=1,MAX($V$2:$V253)+1,IF(AND($T254&lt;&gt;"",$T254=$T253),$U253,IF(C254="x",V253,"")))</f>
        <v/>
      </c>
      <c r="W254" t="str" cm="1">
        <f t="array" ref="W254">IFERROR(_xlfn._xlws.FILTER(game_rosters!AB:AB,(game_rosters!J:J=events!X254)*(K254&lt;&gt;"")),"")</f>
        <v/>
      </c>
      <c r="X254" t="str" cm="1">
        <f t="array" ref="X254">IF(S254="","",IF($I254&lt;&gt;"",$I254,INDEX($I$2:$I253,ROW()-COUNTIFS($T$2:$T253,"="&amp;$T254,$S$2:$S253,"&lt;&gt;"&amp;$S254)-1)))</f>
        <v/>
      </c>
      <c r="Z254" s="6"/>
      <c r="AH254" t="str">
        <f t="shared" si="77"/>
        <v>o</v>
      </c>
      <c r="AI254" t="str">
        <f t="shared" si="84"/>
        <v/>
      </c>
      <c r="AJ254" t="str">
        <f t="shared" si="85"/>
        <v/>
      </c>
      <c r="AK254" t="str">
        <f t="shared" si="78"/>
        <v/>
      </c>
      <c r="AL254" t="str">
        <f t="shared" si="79"/>
        <v/>
      </c>
      <c r="AM254" t="str">
        <f t="shared" si="80"/>
        <v/>
      </c>
      <c r="AN254" t="str">
        <f t="shared" si="86"/>
        <v/>
      </c>
      <c r="AO254" t="str">
        <f t="shared" si="87"/>
        <v/>
      </c>
      <c r="AP254" t="str">
        <f t="shared" si="88"/>
        <v/>
      </c>
      <c r="AQ254" t="str">
        <f t="shared" si="89"/>
        <v/>
      </c>
      <c r="AR254" t="str">
        <f t="shared" si="90"/>
        <v/>
      </c>
      <c r="AS254" t="str">
        <f t="shared" si="81"/>
        <v>Defensive</v>
      </c>
      <c r="BI254" s="40"/>
      <c r="BL254" s="40"/>
      <c r="BN254" s="19"/>
      <c r="BP254" s="17"/>
    </row>
    <row r="255" spans="1:68" x14ac:dyDescent="0.2">
      <c r="A255" t="str">
        <f t="shared" si="82"/>
        <v/>
      </c>
      <c r="E255" s="4"/>
      <c r="F255" s="45"/>
      <c r="G255" s="4"/>
      <c r="H255" s="48"/>
      <c r="J255" s="46" t="str">
        <f t="shared" si="83"/>
        <v/>
      </c>
      <c r="N255" t="str">
        <f t="shared" si="92"/>
        <v/>
      </c>
      <c r="Q255" t="str">
        <f t="shared" si="91"/>
        <v/>
      </c>
      <c r="S255" t="str">
        <f>IF(A255=1,MAX(S$2:S254)+1,IF(OR(I255&lt;&gt;"",A255="x"),S254,""))</f>
        <v/>
      </c>
      <c r="T255" t="str">
        <f>IF(D255=1,MAX($T$2:$T254)+1,IF(S255=$S254,$S254,IF($D255="x",T254,IF($D254="x","",""))))</f>
        <v/>
      </c>
      <c r="U255" t="str">
        <f>IF(B255=1,MAX($U$2:$U254)+1,IF(AND($T255&lt;&gt;"",$T255=$T254),$U254,IF(B255="x",U254,"")))</f>
        <v/>
      </c>
      <c r="V255" t="str">
        <f>IF(C255=1,MAX($V$2:$V254)+1,IF(AND($T255&lt;&gt;"",$T255=$T254),$U254,IF(C255="x",V254,"")))</f>
        <v/>
      </c>
      <c r="W255" t="str" cm="1">
        <f t="array" ref="W255">IFERROR(_xlfn._xlws.FILTER(game_rosters!AB:AB,(game_rosters!J:J=events!X255)*(K255&lt;&gt;"")),"")</f>
        <v/>
      </c>
      <c r="X255" t="str" cm="1">
        <f t="array" ref="X255">IF(S255="","",IF($I255&lt;&gt;"",$I255,INDEX($I$2:$I254,ROW()-COUNTIFS($T$2:$T254,"="&amp;$T255,$S$2:$S254,"&lt;&gt;"&amp;$S255)-1)))</f>
        <v/>
      </c>
      <c r="Z255" s="6"/>
      <c r="AH255" t="str">
        <f t="shared" si="77"/>
        <v>o</v>
      </c>
      <c r="AI255" t="str">
        <f t="shared" si="84"/>
        <v/>
      </c>
      <c r="AJ255" t="str">
        <f t="shared" si="85"/>
        <v/>
      </c>
      <c r="AK255" t="str">
        <f t="shared" si="78"/>
        <v/>
      </c>
      <c r="AL255" t="str">
        <f t="shared" si="79"/>
        <v/>
      </c>
      <c r="AM255" t="str">
        <f t="shared" si="80"/>
        <v/>
      </c>
      <c r="AN255" t="str">
        <f t="shared" si="86"/>
        <v/>
      </c>
      <c r="AO255" t="str">
        <f t="shared" si="87"/>
        <v/>
      </c>
      <c r="AP255" t="str">
        <f t="shared" si="88"/>
        <v/>
      </c>
      <c r="AQ255" t="str">
        <f t="shared" si="89"/>
        <v/>
      </c>
      <c r="AR255" t="str">
        <f t="shared" si="90"/>
        <v/>
      </c>
      <c r="AS255" t="str">
        <f t="shared" si="81"/>
        <v>Defensive</v>
      </c>
      <c r="BI255" s="40"/>
      <c r="BL255" s="40"/>
      <c r="BN255" s="19"/>
      <c r="BP255" s="17"/>
    </row>
    <row r="256" spans="1:68" x14ac:dyDescent="0.2">
      <c r="A256" t="str">
        <f t="shared" si="82"/>
        <v/>
      </c>
      <c r="E256" s="4"/>
      <c r="F256" s="45"/>
      <c r="G256" s="4"/>
      <c r="H256" s="48"/>
      <c r="J256" s="46" t="str">
        <f t="shared" si="83"/>
        <v/>
      </c>
      <c r="N256" t="str">
        <f t="shared" si="92"/>
        <v/>
      </c>
      <c r="Q256" t="str">
        <f t="shared" si="91"/>
        <v/>
      </c>
      <c r="S256" t="str">
        <f>IF(A256=1,MAX(S$2:S255)+1,IF(OR(I256&lt;&gt;"",A256="x"),S255,""))</f>
        <v/>
      </c>
      <c r="T256" t="str">
        <f>IF(D256=1,MAX($T$2:$T255)+1,IF(S256=$S255,$S255,IF($D256="x",T255,IF($D255="x","",""))))</f>
        <v/>
      </c>
      <c r="U256" t="str">
        <f>IF(B256=1,MAX($U$2:$U255)+1,IF(AND($T256&lt;&gt;"",$T256=$T255),$U255,IF(B256="x",U255,"")))</f>
        <v/>
      </c>
      <c r="V256" t="str">
        <f>IF(C256=1,MAX($V$2:$V255)+1,IF(AND($T256&lt;&gt;"",$T256=$T255),$U255,IF(C256="x",V255,"")))</f>
        <v/>
      </c>
      <c r="W256" t="str" cm="1">
        <f t="array" ref="W256">IFERROR(_xlfn._xlws.FILTER(game_rosters!AB:AB,(game_rosters!J:J=events!X256)*(K256&lt;&gt;"")),"")</f>
        <v/>
      </c>
      <c r="X256" t="str" cm="1">
        <f t="array" ref="X256">IF(S256="","",IF($I256&lt;&gt;"",$I256,INDEX($I$2:$I255,ROW()-COUNTIFS($T$2:$T255,"="&amp;$T256,$S$2:$S255,"&lt;&gt;"&amp;$S256)-1)))</f>
        <v/>
      </c>
      <c r="Z256" s="6"/>
      <c r="AH256" t="str">
        <f t="shared" ref="AH256:AH319" si="93">IF(Y256="x","",IF(Y256=1,"e","o"))</f>
        <v>o</v>
      </c>
      <c r="AI256" t="str">
        <f t="shared" si="84"/>
        <v/>
      </c>
      <c r="AJ256" t="str">
        <f t="shared" si="85"/>
        <v/>
      </c>
      <c r="AK256" t="str">
        <f t="shared" ref="AK256:AK319" si="94">IF($W256="","",IF($AI256="","",IF($W256="h",$AI256,IF($AI256="n","n",IF(AND($W256="a",$AI256="d"),"o",IF(AND($W256="a",$AI256="o"),"d"))))))</f>
        <v/>
      </c>
      <c r="AL256" t="str">
        <f t="shared" ref="AL256:AL319" si="95">IF($W256="","",IF(J256="","",IF(AK256="n","n",IF(AK256="d","o",IF(AK256="o","d","")))))</f>
        <v/>
      </c>
      <c r="AM256" t="str">
        <f t="shared" ref="AM256:AM319" si="96">IF(AN256="H","Home",IF(AN256="A","Away",""))</f>
        <v/>
      </c>
      <c r="AN256" t="str">
        <f t="shared" si="86"/>
        <v/>
      </c>
      <c r="AO256" t="str">
        <f t="shared" si="87"/>
        <v/>
      </c>
      <c r="AP256" t="str">
        <f t="shared" si="88"/>
        <v/>
      </c>
      <c r="AQ256" t="str">
        <f t="shared" si="89"/>
        <v/>
      </c>
      <c r="AR256" t="str">
        <f t="shared" si="90"/>
        <v/>
      </c>
      <c r="AS256" t="str">
        <f t="shared" ref="AS256:AS319" si="97">IF(AND(AH256="e",OR(BD256="Save",BE256="Turnover_Takeaway",BE256="Play_Defensive")),"Defensive",IF(AND(AH256="o",OR(BD256="Save",BE256="Turnover_Takeaway",BE256="Play_Defensive")),"Offensive",IF(OR(BD256="Deadice",BD256="Stoppage",BD256="Intermission"),"",IF(AH256="e","Offensive",IF(AH256="o","Defensive","")))))</f>
        <v>Defensive</v>
      </c>
      <c r="BI256" s="40"/>
      <c r="BL256" s="40"/>
      <c r="BN256" s="19"/>
      <c r="BP256" s="17"/>
    </row>
    <row r="257" spans="1:68" x14ac:dyDescent="0.2">
      <c r="A257" t="str">
        <f t="shared" si="82"/>
        <v/>
      </c>
      <c r="E257" s="4"/>
      <c r="F257" s="45"/>
      <c r="G257" s="4"/>
      <c r="H257" s="48"/>
      <c r="J257" s="46" t="str">
        <f t="shared" si="83"/>
        <v/>
      </c>
      <c r="N257" t="str">
        <f t="shared" si="92"/>
        <v/>
      </c>
      <c r="Q257" t="str">
        <f t="shared" si="91"/>
        <v/>
      </c>
      <c r="S257" t="str">
        <f>IF(A257=1,MAX(S$2:S256)+1,IF(OR(I257&lt;&gt;"",A257="x"),S256,""))</f>
        <v/>
      </c>
      <c r="T257" t="str">
        <f>IF(D257=1,MAX($T$2:$T256)+1,IF(S257=$S256,$S256,IF($D257="x",T256,IF($D256="x","",""))))</f>
        <v/>
      </c>
      <c r="U257" t="str">
        <f>IF(B257=1,MAX($U$2:$U256)+1,IF(AND($T257&lt;&gt;"",$T257=$T256),$U256,IF(B257="x",U256,"")))</f>
        <v/>
      </c>
      <c r="V257" t="str">
        <f>IF(C257=1,MAX($V$2:$V256)+1,IF(AND($T257&lt;&gt;"",$T257=$T256),$U256,IF(C257="x",V256,"")))</f>
        <v/>
      </c>
      <c r="W257" t="str" cm="1">
        <f t="array" ref="W257">IFERROR(_xlfn._xlws.FILTER(game_rosters!AB:AB,(game_rosters!J:J=events!X257)*(K257&lt;&gt;"")),"")</f>
        <v/>
      </c>
      <c r="X257" t="str" cm="1">
        <f t="array" ref="X257">IF(S257="","",IF($I257&lt;&gt;"",$I257,INDEX($I$2:$I256,ROW()-COUNTIFS($T$2:$T256,"="&amp;$T257,$S$2:$S256,"&lt;&gt;"&amp;$S257)-1)))</f>
        <v/>
      </c>
      <c r="Z257" s="6"/>
      <c r="AH257" t="str">
        <f t="shared" si="93"/>
        <v>o</v>
      </c>
      <c r="AI257" t="str">
        <f t="shared" si="84"/>
        <v/>
      </c>
      <c r="AJ257" t="str">
        <f t="shared" si="85"/>
        <v/>
      </c>
      <c r="AK257" t="str">
        <f t="shared" si="94"/>
        <v/>
      </c>
      <c r="AL257" t="str">
        <f t="shared" si="95"/>
        <v/>
      </c>
      <c r="AM257" t="str">
        <f t="shared" si="96"/>
        <v/>
      </c>
      <c r="AN257" t="str">
        <f t="shared" si="86"/>
        <v/>
      </c>
      <c r="AO257" t="str">
        <f t="shared" si="87"/>
        <v/>
      </c>
      <c r="AP257" t="str">
        <f t="shared" si="88"/>
        <v/>
      </c>
      <c r="AQ257" t="str">
        <f t="shared" si="89"/>
        <v/>
      </c>
      <c r="AR257" t="str">
        <f t="shared" si="90"/>
        <v/>
      </c>
      <c r="AS257" t="str">
        <f t="shared" si="97"/>
        <v>Defensive</v>
      </c>
      <c r="BI257" s="40"/>
      <c r="BL257" s="40"/>
      <c r="BN257" s="19"/>
      <c r="BP257" s="17"/>
    </row>
    <row r="258" spans="1:68" x14ac:dyDescent="0.2">
      <c r="A258" t="str">
        <f t="shared" si="82"/>
        <v/>
      </c>
      <c r="E258" s="4"/>
      <c r="F258" s="45"/>
      <c r="G258" s="4"/>
      <c r="H258" s="48"/>
      <c r="J258" s="46" t="str">
        <f t="shared" si="83"/>
        <v/>
      </c>
      <c r="N258" t="str">
        <f t="shared" si="92"/>
        <v/>
      </c>
      <c r="Q258" t="str">
        <f t="shared" si="91"/>
        <v/>
      </c>
      <c r="S258" t="str">
        <f>IF(A258=1,MAX(S$2:S257)+1,IF(OR(I258&lt;&gt;"",A258="x"),S257,""))</f>
        <v/>
      </c>
      <c r="T258" t="str">
        <f>IF(D258=1,MAX($T$2:$T257)+1,IF(S258=$S257,$S257,IF($D258="x",T257,IF($D257="x","",""))))</f>
        <v/>
      </c>
      <c r="U258" t="str">
        <f>IF(B258=1,MAX($U$2:$U257)+1,IF(AND($T258&lt;&gt;"",$T258=$T257),$U257,IF(B258="x",U257,"")))</f>
        <v/>
      </c>
      <c r="V258" t="str">
        <f>IF(C258=1,MAX($V$2:$V257)+1,IF(AND($T258&lt;&gt;"",$T258=$T257),$U257,IF(C258="x",V257,"")))</f>
        <v/>
      </c>
      <c r="W258" t="str" cm="1">
        <f t="array" ref="W258">IFERROR(_xlfn._xlws.FILTER(game_rosters!AB:AB,(game_rosters!J:J=events!X258)*(K258&lt;&gt;"")),"")</f>
        <v/>
      </c>
      <c r="X258" t="str" cm="1">
        <f t="array" ref="X258">IF(S258="","",IF($I258&lt;&gt;"",$I258,INDEX($I$2:$I257,ROW()-COUNTIFS($T$2:$T257,"="&amp;$T258,$S$2:$S257,"&lt;&gt;"&amp;$S258)-1)))</f>
        <v/>
      </c>
      <c r="Z258" s="6"/>
      <c r="AH258" t="str">
        <f t="shared" si="93"/>
        <v>o</v>
      </c>
      <c r="AI258" t="str">
        <f t="shared" si="84"/>
        <v/>
      </c>
      <c r="AJ258" t="str">
        <f t="shared" si="85"/>
        <v/>
      </c>
      <c r="AK258" t="str">
        <f t="shared" si="94"/>
        <v/>
      </c>
      <c r="AL258" t="str">
        <f t="shared" si="95"/>
        <v/>
      </c>
      <c r="AM258" t="str">
        <f t="shared" si="96"/>
        <v/>
      </c>
      <c r="AN258" t="str">
        <f t="shared" si="86"/>
        <v/>
      </c>
      <c r="AO258" t="str">
        <f t="shared" si="87"/>
        <v/>
      </c>
      <c r="AP258" t="str">
        <f t="shared" si="88"/>
        <v/>
      </c>
      <c r="AQ258" t="str">
        <f t="shared" si="89"/>
        <v/>
      </c>
      <c r="AR258" t="str">
        <f t="shared" si="90"/>
        <v/>
      </c>
      <c r="AS258" t="str">
        <f t="shared" si="97"/>
        <v>Defensive</v>
      </c>
      <c r="BI258" s="40"/>
      <c r="BL258" s="40"/>
      <c r="BN258" s="19"/>
      <c r="BP258" s="17"/>
    </row>
    <row r="259" spans="1:68" x14ac:dyDescent="0.2">
      <c r="A259" t="str">
        <f t="shared" si="82"/>
        <v/>
      </c>
      <c r="E259" s="4"/>
      <c r="F259" s="45"/>
      <c r="G259" s="4"/>
      <c r="H259" s="48"/>
      <c r="J259" s="46" t="str">
        <f t="shared" si="83"/>
        <v/>
      </c>
      <c r="N259" t="str">
        <f t="shared" si="92"/>
        <v/>
      </c>
      <c r="Q259" t="str">
        <f t="shared" si="91"/>
        <v/>
      </c>
      <c r="S259" t="str">
        <f>IF(A259=1,MAX(S$2:S258)+1,IF(OR(I259&lt;&gt;"",A259="x"),S258,""))</f>
        <v/>
      </c>
      <c r="T259" t="str">
        <f>IF(D259=1,MAX($T$2:$T258)+1,IF(S259=$S258,$S258,IF($D259="x",T258,IF($D258="x","",""))))</f>
        <v/>
      </c>
      <c r="U259" t="str">
        <f>IF(B259=1,MAX($U$2:$U258)+1,IF(AND($T259&lt;&gt;"",$T259=$T258),$U258,IF(B259="x",U258,"")))</f>
        <v/>
      </c>
      <c r="V259" t="str">
        <f>IF(C259=1,MAX($V$2:$V258)+1,IF(AND($T259&lt;&gt;"",$T259=$T258),$U258,IF(C259="x",V258,"")))</f>
        <v/>
      </c>
      <c r="W259" t="str" cm="1">
        <f t="array" ref="W259">IFERROR(_xlfn._xlws.FILTER(game_rosters!AB:AB,(game_rosters!J:J=events!X259)*(K259&lt;&gt;"")),"")</f>
        <v/>
      </c>
      <c r="X259" t="str" cm="1">
        <f t="array" ref="X259">IF(S259="","",IF($I259&lt;&gt;"",$I259,INDEX($I$2:$I258,ROW()-COUNTIFS($T$2:$T258,"="&amp;$T259,$S$2:$S258,"&lt;&gt;"&amp;$S259)-1)))</f>
        <v/>
      </c>
      <c r="Z259" s="6"/>
      <c r="AH259" t="str">
        <f t="shared" si="93"/>
        <v>o</v>
      </c>
      <c r="AI259" t="str">
        <f t="shared" si="84"/>
        <v/>
      </c>
      <c r="AJ259" t="str">
        <f t="shared" si="85"/>
        <v/>
      </c>
      <c r="AK259" t="str">
        <f t="shared" si="94"/>
        <v/>
      </c>
      <c r="AL259" t="str">
        <f t="shared" si="95"/>
        <v/>
      </c>
      <c r="AM259" t="str">
        <f t="shared" si="96"/>
        <v/>
      </c>
      <c r="AN259" t="str">
        <f t="shared" si="86"/>
        <v/>
      </c>
      <c r="AO259" t="str">
        <f t="shared" si="87"/>
        <v/>
      </c>
      <c r="AP259" t="str">
        <f t="shared" si="88"/>
        <v/>
      </c>
      <c r="AQ259" t="str">
        <f t="shared" si="89"/>
        <v/>
      </c>
      <c r="AR259" t="str">
        <f t="shared" si="90"/>
        <v/>
      </c>
      <c r="AS259" t="str">
        <f t="shared" si="97"/>
        <v>Defensive</v>
      </c>
      <c r="BI259" s="40"/>
      <c r="BL259" s="40"/>
      <c r="BN259" s="19"/>
      <c r="BP259" s="17"/>
    </row>
    <row r="260" spans="1:68" x14ac:dyDescent="0.2">
      <c r="A260" t="str">
        <f t="shared" si="82"/>
        <v/>
      </c>
      <c r="E260" s="4"/>
      <c r="F260" s="45"/>
      <c r="G260" s="4"/>
      <c r="H260" s="48"/>
      <c r="J260" s="46" t="str">
        <f t="shared" si="83"/>
        <v/>
      </c>
      <c r="N260" t="str">
        <f t="shared" si="92"/>
        <v/>
      </c>
      <c r="Q260" t="str">
        <f t="shared" si="91"/>
        <v/>
      </c>
      <c r="S260" t="str">
        <f>IF(A260=1,MAX(S$2:S259)+1,IF(OR(I260&lt;&gt;"",A260="x"),S259,""))</f>
        <v/>
      </c>
      <c r="T260" t="str">
        <f>IF(D260=1,MAX($T$2:$T259)+1,IF(S260=$S259,$S259,IF($D260="x",T259,IF($D259="x","",""))))</f>
        <v/>
      </c>
      <c r="U260" t="str">
        <f>IF(B260=1,MAX($U$2:$U259)+1,IF(AND($T260&lt;&gt;"",$T260=$T259),$U259,IF(B260="x",U259,"")))</f>
        <v/>
      </c>
      <c r="V260" t="str">
        <f>IF(C260=1,MAX($V$2:$V259)+1,IF(AND($T260&lt;&gt;"",$T260=$T259),$U259,IF(C260="x",V259,"")))</f>
        <v/>
      </c>
      <c r="W260" t="str" cm="1">
        <f t="array" ref="W260">IFERROR(_xlfn._xlws.FILTER(game_rosters!AB:AB,(game_rosters!J:J=events!X260)*(K260&lt;&gt;"")),"")</f>
        <v/>
      </c>
      <c r="X260" t="str" cm="1">
        <f t="array" ref="X260">IF(S260="","",IF($I260&lt;&gt;"",$I260,INDEX($I$2:$I259,ROW()-COUNTIFS($T$2:$T259,"="&amp;$T260,$S$2:$S259,"&lt;&gt;"&amp;$S260)-1)))</f>
        <v/>
      </c>
      <c r="Z260" s="6"/>
      <c r="AH260" t="str">
        <f t="shared" si="93"/>
        <v>o</v>
      </c>
      <c r="AI260" t="str">
        <f t="shared" si="84"/>
        <v/>
      </c>
      <c r="AJ260" t="str">
        <f t="shared" si="85"/>
        <v/>
      </c>
      <c r="AK260" t="str">
        <f t="shared" si="94"/>
        <v/>
      </c>
      <c r="AL260" t="str">
        <f t="shared" si="95"/>
        <v/>
      </c>
      <c r="AM260" t="str">
        <f t="shared" si="96"/>
        <v/>
      </c>
      <c r="AN260" t="str">
        <f t="shared" si="86"/>
        <v/>
      </c>
      <c r="AO260" t="str">
        <f t="shared" si="87"/>
        <v/>
      </c>
      <c r="AP260" t="str">
        <f t="shared" si="88"/>
        <v/>
      </c>
      <c r="AQ260" t="str">
        <f t="shared" si="89"/>
        <v/>
      </c>
      <c r="AR260" t="str">
        <f t="shared" si="90"/>
        <v/>
      </c>
      <c r="AS260" t="str">
        <f t="shared" si="97"/>
        <v>Defensive</v>
      </c>
      <c r="BI260" s="40"/>
      <c r="BL260" s="40"/>
      <c r="BN260" s="19"/>
      <c r="BP260" s="17"/>
    </row>
    <row r="261" spans="1:68" x14ac:dyDescent="0.2">
      <c r="A261" t="str">
        <f t="shared" ref="A261:A324" si="98">IF(K261&lt;&gt;"",1,IF(D261="x","x",""))</f>
        <v/>
      </c>
      <c r="E261" s="4"/>
      <c r="F261" s="45"/>
      <c r="G261" s="4"/>
      <c r="H261" s="48"/>
      <c r="J261" s="46" t="str">
        <f t="shared" si="83"/>
        <v/>
      </c>
      <c r="N261" t="str">
        <f t="shared" si="92"/>
        <v/>
      </c>
      <c r="Q261" t="str">
        <f t="shared" si="91"/>
        <v/>
      </c>
      <c r="S261" t="str">
        <f>IF(A261=1,MAX(S$2:S260)+1,IF(OR(I261&lt;&gt;"",A261="x"),S260,""))</f>
        <v/>
      </c>
      <c r="T261" t="str">
        <f>IF(D261=1,MAX($T$2:$T260)+1,IF(S261=$S260,$S260,IF($D261="x",T260,IF($D260="x","",""))))</f>
        <v/>
      </c>
      <c r="U261" t="str">
        <f>IF(B261=1,MAX($U$2:$U260)+1,IF(AND($T261&lt;&gt;"",$T261=$T260),$U260,IF(B261="x",U260,"")))</f>
        <v/>
      </c>
      <c r="V261" t="str">
        <f>IF(C261=1,MAX($V$2:$V260)+1,IF(AND($T261&lt;&gt;"",$T261=$T260),$U260,IF(C261="x",V260,"")))</f>
        <v/>
      </c>
      <c r="W261" t="str" cm="1">
        <f t="array" ref="W261">IFERROR(_xlfn._xlws.FILTER(game_rosters!AB:AB,(game_rosters!J:J=events!X261)*(K261&lt;&gt;"")),"")</f>
        <v/>
      </c>
      <c r="X261" t="str" cm="1">
        <f t="array" ref="X261">IF(S261="","",IF($I261&lt;&gt;"",$I261,INDEX($I$2:$I260,ROW()-COUNTIFS($T$2:$T260,"="&amp;$T261,$S$2:$S260,"&lt;&gt;"&amp;$S261)-1)))</f>
        <v/>
      </c>
      <c r="Z261" s="6"/>
      <c r="AH261" t="str">
        <f t="shared" si="93"/>
        <v>o</v>
      </c>
      <c r="AI261" t="str">
        <f t="shared" si="84"/>
        <v/>
      </c>
      <c r="AJ261" t="str">
        <f t="shared" si="85"/>
        <v/>
      </c>
      <c r="AK261" t="str">
        <f t="shared" si="94"/>
        <v/>
      </c>
      <c r="AL261" t="str">
        <f t="shared" si="95"/>
        <v/>
      </c>
      <c r="AM261" t="str">
        <f t="shared" si="96"/>
        <v/>
      </c>
      <c r="AN261" t="str">
        <f t="shared" si="86"/>
        <v/>
      </c>
      <c r="AO261" t="str">
        <f t="shared" si="87"/>
        <v/>
      </c>
      <c r="AP261" t="str">
        <f t="shared" si="88"/>
        <v/>
      </c>
      <c r="AQ261" t="str">
        <f t="shared" si="89"/>
        <v/>
      </c>
      <c r="AR261" t="str">
        <f t="shared" si="90"/>
        <v/>
      </c>
      <c r="AS261" t="str">
        <f t="shared" si="97"/>
        <v>Defensive</v>
      </c>
      <c r="BI261" s="40"/>
      <c r="BL261" s="40"/>
      <c r="BN261" s="19"/>
      <c r="BP261" s="17"/>
    </row>
    <row r="262" spans="1:68" x14ac:dyDescent="0.2">
      <c r="A262" t="str">
        <f t="shared" si="98"/>
        <v/>
      </c>
      <c r="E262" s="4"/>
      <c r="F262" s="45"/>
      <c r="G262" s="4"/>
      <c r="H262" s="48"/>
      <c r="J262" s="46" t="str">
        <f t="shared" ref="J262:J325" si="99">IF(OR(K262="Goal",K262="Shot",L262="Zone_Entry",M262="Stoppage-Goal",M261="Stoppage-Goal"),"o",IF(OR(K262="Save",K262="Rebound",L262="Zone_Exit",M262="Stoppage-GoalieStoppage",M261="Stoppage-GoalieStoppage"),"d",IF(OR(L262="Faceoff_AfterGoal",L262="Faceoff_PeriodStart",698="Faceoff_GameStart",M261="Stoppage-Goal"),"n","")))</f>
        <v/>
      </c>
      <c r="N262" t="str">
        <f t="shared" si="92"/>
        <v/>
      </c>
      <c r="Q262" t="str">
        <f t="shared" si="91"/>
        <v/>
      </c>
      <c r="S262" t="str">
        <f>IF(A262=1,MAX(S$2:S261)+1,IF(OR(I262&lt;&gt;"",A262="x"),S261,""))</f>
        <v/>
      </c>
      <c r="T262" t="str">
        <f>IF(D262=1,MAX($T$2:$T261)+1,IF(S262=$S261,$S261,IF($D262="x",T261,IF($D261="x","",""))))</f>
        <v/>
      </c>
      <c r="U262" t="str">
        <f>IF(B262=1,MAX($U$2:$U261)+1,IF(AND($T262&lt;&gt;"",$T262=$T261),$U261,IF(B262="x",U261,"")))</f>
        <v/>
      </c>
      <c r="V262" t="str">
        <f>IF(C262=1,MAX($V$2:$V261)+1,IF(AND($T262&lt;&gt;"",$T262=$T261),$U261,IF(C262="x",V261,"")))</f>
        <v/>
      </c>
      <c r="W262" t="str" cm="1">
        <f t="array" ref="W262">IFERROR(_xlfn._xlws.FILTER(game_rosters!AB:AB,(game_rosters!J:J=events!X262)*(K262&lt;&gt;"")),"")</f>
        <v/>
      </c>
      <c r="X262" t="str" cm="1">
        <f t="array" ref="X262">IF(S262="","",IF($I262&lt;&gt;"",$I262,INDEX($I$2:$I261,ROW()-COUNTIFS($T$2:$T261,"="&amp;$T262,$S$2:$S261,"&lt;&gt;"&amp;$S262)-1)))</f>
        <v/>
      </c>
      <c r="Z262" s="6"/>
      <c r="AH262" t="str">
        <f t="shared" si="93"/>
        <v>o</v>
      </c>
      <c r="AI262" t="str">
        <f t="shared" ref="AI262:AI325" si="100">IF($J262&lt;&gt;"",$J262,IF($AC262=$AC261,AI261,""))</f>
        <v/>
      </c>
      <c r="AJ262" t="str">
        <f t="shared" ref="AJ262:AJ325" si="101">IF($J262&lt;&gt;"",$J262,IF($AC262=AC261,AJ261,""))</f>
        <v/>
      </c>
      <c r="AK262" t="str">
        <f t="shared" si="94"/>
        <v/>
      </c>
      <c r="AL262" t="str">
        <f t="shared" si="95"/>
        <v/>
      </c>
      <c r="AM262" t="str">
        <f t="shared" si="96"/>
        <v/>
      </c>
      <c r="AN262" t="str">
        <f t="shared" ref="AN262:AN325" si="102">IF($W262&lt;&gt;"",$W262,IF($AC262=AC261,AN261,""))</f>
        <v/>
      </c>
      <c r="AO262" t="str">
        <f t="shared" ref="AO262:AO325" si="103">IF(AK262&lt;&gt;"",AK262,IF($AC262=AC261,AO261,""))</f>
        <v/>
      </c>
      <c r="AP262" t="str">
        <f t="shared" ref="AP262:AP325" si="104">IF(AL262&lt;&gt;"",AL262,IF($AC262=AC261,AP261,""))</f>
        <v/>
      </c>
      <c r="AQ262" t="str">
        <f t="shared" ref="AQ262:AQ325" si="105">IF(AM262&lt;&gt;"",AM262,IF($AC262=AC261,AQ261,""))</f>
        <v/>
      </c>
      <c r="AR262" t="str">
        <f t="shared" ref="AR262:AR325" si="106">IF(AN262&lt;&gt;"",AN262,IF($AC262=AC261,AQ261,""))</f>
        <v/>
      </c>
      <c r="AS262" t="str">
        <f t="shared" si="97"/>
        <v>Defensive</v>
      </c>
      <c r="BI262" s="40"/>
      <c r="BL262" s="40"/>
      <c r="BN262" s="19"/>
      <c r="BP262" s="17"/>
    </row>
    <row r="263" spans="1:68" x14ac:dyDescent="0.2">
      <c r="A263" t="str">
        <f t="shared" si="98"/>
        <v/>
      </c>
      <c r="E263" s="4"/>
      <c r="F263" s="45"/>
      <c r="G263" s="4"/>
      <c r="H263" s="48"/>
      <c r="J263" s="46" t="str">
        <f t="shared" si="99"/>
        <v/>
      </c>
      <c r="N263" t="str">
        <f t="shared" si="92"/>
        <v/>
      </c>
      <c r="Q263" t="str">
        <f t="shared" si="91"/>
        <v/>
      </c>
      <c r="S263" t="str">
        <f>IF(A263=1,MAX(S$2:S262)+1,IF(OR(I263&lt;&gt;"",A263="x"),S262,""))</f>
        <v/>
      </c>
      <c r="T263" t="str">
        <f>IF(D263=1,MAX($T$2:$T262)+1,IF(S263=$S262,$S262,IF($D263="x",T262,IF($D262="x","",""))))</f>
        <v/>
      </c>
      <c r="U263" t="str">
        <f>IF(B263=1,MAX($U$2:$U262)+1,IF(AND($T263&lt;&gt;"",$T263=$T262),$U262,IF(B263="x",U262,"")))</f>
        <v/>
      </c>
      <c r="V263" t="str">
        <f>IF(C263=1,MAX($V$2:$V262)+1,IF(AND($T263&lt;&gt;"",$T263=$T262),$U262,IF(C263="x",V262,"")))</f>
        <v/>
      </c>
      <c r="W263" t="str" cm="1">
        <f t="array" ref="W263">IFERROR(_xlfn._xlws.FILTER(game_rosters!AB:AB,(game_rosters!J:J=events!X263)*(K263&lt;&gt;"")),"")</f>
        <v/>
      </c>
      <c r="X263" t="str" cm="1">
        <f t="array" ref="X263">IF(S263="","",IF($I263&lt;&gt;"",$I263,INDEX($I$2:$I262,ROW()-COUNTIFS($T$2:$T262,"="&amp;$T263,$S$2:$S262,"&lt;&gt;"&amp;$S263)-1)))</f>
        <v/>
      </c>
      <c r="Z263" s="6"/>
      <c r="AH263" t="str">
        <f t="shared" si="93"/>
        <v>o</v>
      </c>
      <c r="AI263" t="str">
        <f t="shared" si="100"/>
        <v/>
      </c>
      <c r="AJ263" t="str">
        <f t="shared" si="101"/>
        <v/>
      </c>
      <c r="AK263" t="str">
        <f t="shared" si="94"/>
        <v/>
      </c>
      <c r="AL263" t="str">
        <f t="shared" si="95"/>
        <v/>
      </c>
      <c r="AM263" t="str">
        <f t="shared" si="96"/>
        <v/>
      </c>
      <c r="AN263" t="str">
        <f t="shared" si="102"/>
        <v/>
      </c>
      <c r="AO263" t="str">
        <f t="shared" si="103"/>
        <v/>
      </c>
      <c r="AP263" t="str">
        <f t="shared" si="104"/>
        <v/>
      </c>
      <c r="AQ263" t="str">
        <f t="shared" si="105"/>
        <v/>
      </c>
      <c r="AR263" t="str">
        <f t="shared" si="106"/>
        <v/>
      </c>
      <c r="AS263" t="str">
        <f t="shared" si="97"/>
        <v>Defensive</v>
      </c>
      <c r="BI263" s="40"/>
      <c r="BL263" s="40"/>
      <c r="BN263" s="19"/>
      <c r="BP263" s="17"/>
    </row>
    <row r="264" spans="1:68" x14ac:dyDescent="0.2">
      <c r="A264" t="str">
        <f t="shared" si="98"/>
        <v/>
      </c>
      <c r="E264" s="4"/>
      <c r="F264" s="45"/>
      <c r="G264" s="4"/>
      <c r="H264" s="48"/>
      <c r="J264" s="46" t="str">
        <f t="shared" si="99"/>
        <v/>
      </c>
      <c r="N264" t="str">
        <f t="shared" si="92"/>
        <v/>
      </c>
      <c r="Q264" t="str">
        <f t="shared" si="91"/>
        <v/>
      </c>
      <c r="S264" t="str">
        <f>IF(A264=1,MAX(S$2:S263)+1,IF(OR(I264&lt;&gt;"",A264="x"),S263,""))</f>
        <v/>
      </c>
      <c r="T264" t="str">
        <f>IF(D264=1,MAX($T$2:$T263)+1,IF(S264=$S263,$S263,IF($D264="x",T263,IF($D263="x","",""))))</f>
        <v/>
      </c>
      <c r="U264" t="str">
        <f>IF(B264=1,MAX($U$2:$U263)+1,IF(AND($T264&lt;&gt;"",$T264=$T263),$U263,IF(B264="x",U263,"")))</f>
        <v/>
      </c>
      <c r="V264" t="str">
        <f>IF(C264=1,MAX($V$2:$V263)+1,IF(AND($T264&lt;&gt;"",$T264=$T263),$U263,IF(C264="x",V263,"")))</f>
        <v/>
      </c>
      <c r="W264" t="str" cm="1">
        <f t="array" ref="W264">IFERROR(_xlfn._xlws.FILTER(game_rosters!AB:AB,(game_rosters!J:J=events!X264)*(K264&lt;&gt;"")),"")</f>
        <v/>
      </c>
      <c r="X264" t="str" cm="1">
        <f t="array" ref="X264">IF(S264="","",IF($I264&lt;&gt;"",$I264,INDEX($I$2:$I263,ROW()-COUNTIFS($T$2:$T263,"="&amp;$T264,$S$2:$S263,"&lt;&gt;"&amp;$S264)-1)))</f>
        <v/>
      </c>
      <c r="Z264" s="6"/>
      <c r="AH264" t="str">
        <f t="shared" si="93"/>
        <v>o</v>
      </c>
      <c r="AI264" t="str">
        <f t="shared" si="100"/>
        <v/>
      </c>
      <c r="AJ264" t="str">
        <f t="shared" si="101"/>
        <v/>
      </c>
      <c r="AK264" t="str">
        <f t="shared" si="94"/>
        <v/>
      </c>
      <c r="AL264" t="str">
        <f t="shared" si="95"/>
        <v/>
      </c>
      <c r="AM264" t="str">
        <f t="shared" si="96"/>
        <v/>
      </c>
      <c r="AN264" t="str">
        <f t="shared" si="102"/>
        <v/>
      </c>
      <c r="AO264" t="str">
        <f t="shared" si="103"/>
        <v/>
      </c>
      <c r="AP264" t="str">
        <f t="shared" si="104"/>
        <v/>
      </c>
      <c r="AQ264" t="str">
        <f t="shared" si="105"/>
        <v/>
      </c>
      <c r="AR264" t="str">
        <f t="shared" si="106"/>
        <v/>
      </c>
      <c r="AS264" t="str">
        <f t="shared" si="97"/>
        <v>Defensive</v>
      </c>
      <c r="BI264" s="40"/>
      <c r="BL264" s="40"/>
      <c r="BN264" s="19"/>
      <c r="BP264" s="17"/>
    </row>
    <row r="265" spans="1:68" x14ac:dyDescent="0.2">
      <c r="A265" t="str">
        <f t="shared" si="98"/>
        <v/>
      </c>
      <c r="E265" s="4"/>
      <c r="F265" s="45"/>
      <c r="G265" s="4"/>
      <c r="H265" s="48"/>
      <c r="J265" s="46" t="str">
        <f t="shared" si="99"/>
        <v/>
      </c>
      <c r="N265" t="str">
        <f t="shared" si="92"/>
        <v/>
      </c>
      <c r="Q265" t="str">
        <f t="shared" si="91"/>
        <v/>
      </c>
      <c r="S265" t="str">
        <f>IF(A265=1,MAX(S$2:S264)+1,IF(OR(I265&lt;&gt;"",A265="x"),S264,""))</f>
        <v/>
      </c>
      <c r="T265" t="str">
        <f>IF(D265=1,MAX($T$2:$T264)+1,IF(S265=$S264,$S264,IF($D265="x",T264,IF($D264="x","",""))))</f>
        <v/>
      </c>
      <c r="U265" t="str">
        <f>IF(B265=1,MAX($U$2:$U264)+1,IF(AND($T265&lt;&gt;"",$T265=$T264),$U264,IF(B265="x",U264,"")))</f>
        <v/>
      </c>
      <c r="V265" t="str">
        <f>IF(C265=1,MAX($V$2:$V264)+1,IF(AND($T265&lt;&gt;"",$T265=$T264),$U264,IF(C265="x",V264,"")))</f>
        <v/>
      </c>
      <c r="W265" t="str" cm="1">
        <f t="array" ref="W265">IFERROR(_xlfn._xlws.FILTER(game_rosters!AB:AB,(game_rosters!J:J=events!X265)*(K265&lt;&gt;"")),"")</f>
        <v/>
      </c>
      <c r="X265" t="str" cm="1">
        <f t="array" ref="X265">IF(S265="","",IF($I265&lt;&gt;"",$I265,INDEX($I$2:$I264,ROW()-COUNTIFS($T$2:$T264,"="&amp;$T265,$S$2:$S264,"&lt;&gt;"&amp;$S265)-1)))</f>
        <v/>
      </c>
      <c r="Z265" s="6"/>
      <c r="AH265" t="str">
        <f t="shared" si="93"/>
        <v>o</v>
      </c>
      <c r="AI265" t="str">
        <f t="shared" si="100"/>
        <v/>
      </c>
      <c r="AJ265" t="str">
        <f t="shared" si="101"/>
        <v/>
      </c>
      <c r="AK265" t="str">
        <f t="shared" si="94"/>
        <v/>
      </c>
      <c r="AL265" t="str">
        <f t="shared" si="95"/>
        <v/>
      </c>
      <c r="AM265" t="str">
        <f t="shared" si="96"/>
        <v/>
      </c>
      <c r="AN265" t="str">
        <f t="shared" si="102"/>
        <v/>
      </c>
      <c r="AO265" t="str">
        <f t="shared" si="103"/>
        <v/>
      </c>
      <c r="AP265" t="str">
        <f t="shared" si="104"/>
        <v/>
      </c>
      <c r="AQ265" t="str">
        <f t="shared" si="105"/>
        <v/>
      </c>
      <c r="AR265" t="str">
        <f t="shared" si="106"/>
        <v/>
      </c>
      <c r="AS265" t="str">
        <f t="shared" si="97"/>
        <v>Defensive</v>
      </c>
      <c r="BI265" s="40"/>
      <c r="BL265" s="40"/>
      <c r="BN265" s="19"/>
      <c r="BP265" s="17"/>
    </row>
    <row r="266" spans="1:68" x14ac:dyDescent="0.2">
      <c r="A266" t="str">
        <f t="shared" si="98"/>
        <v/>
      </c>
      <c r="E266" s="4"/>
      <c r="F266" s="45"/>
      <c r="G266" s="4"/>
      <c r="H266" s="48"/>
      <c r="J266" s="46" t="str">
        <f t="shared" si="99"/>
        <v/>
      </c>
      <c r="N266" t="str">
        <f t="shared" si="92"/>
        <v/>
      </c>
      <c r="Q266" t="str">
        <f t="shared" si="91"/>
        <v/>
      </c>
      <c r="S266" t="str">
        <f>IF(A266=1,MAX(S$2:S265)+1,IF(OR(I266&lt;&gt;"",A266="x"),S265,""))</f>
        <v/>
      </c>
      <c r="T266" t="str">
        <f>IF(D266=1,MAX($T$2:$T265)+1,IF(S266=$S265,$S265,IF($D266="x",T265,IF($D265="x","",""))))</f>
        <v/>
      </c>
      <c r="U266" t="str">
        <f>IF(B266=1,MAX($U$2:$U265)+1,IF(AND($T266&lt;&gt;"",$T266=$T265),$U265,IF(B266="x",U265,"")))</f>
        <v/>
      </c>
      <c r="V266" t="str">
        <f>IF(C266=1,MAX($V$2:$V265)+1,IF(AND($T266&lt;&gt;"",$T266=$T265),$U265,IF(C266="x",V265,"")))</f>
        <v/>
      </c>
      <c r="W266" t="str" cm="1">
        <f t="array" ref="W266">IFERROR(_xlfn._xlws.FILTER(game_rosters!AB:AB,(game_rosters!J:J=events!X266)*(K266&lt;&gt;"")),"")</f>
        <v/>
      </c>
      <c r="X266" t="str" cm="1">
        <f t="array" ref="X266">IF(S266="","",IF($I266&lt;&gt;"",$I266,INDEX($I$2:$I265,ROW()-COUNTIFS($T$2:$T265,"="&amp;$T266,$S$2:$S265,"&lt;&gt;"&amp;$S266)-1)))</f>
        <v/>
      </c>
      <c r="Z266" s="6"/>
      <c r="AH266" t="str">
        <f t="shared" si="93"/>
        <v>o</v>
      </c>
      <c r="AI266" t="str">
        <f t="shared" si="100"/>
        <v/>
      </c>
      <c r="AJ266" t="str">
        <f t="shared" si="101"/>
        <v/>
      </c>
      <c r="AK266" t="str">
        <f t="shared" si="94"/>
        <v/>
      </c>
      <c r="AL266" t="str">
        <f t="shared" si="95"/>
        <v/>
      </c>
      <c r="AM266" t="str">
        <f t="shared" si="96"/>
        <v/>
      </c>
      <c r="AN266" t="str">
        <f t="shared" si="102"/>
        <v/>
      </c>
      <c r="AO266" t="str">
        <f t="shared" si="103"/>
        <v/>
      </c>
      <c r="AP266" t="str">
        <f t="shared" si="104"/>
        <v/>
      </c>
      <c r="AQ266" t="str">
        <f t="shared" si="105"/>
        <v/>
      </c>
      <c r="AR266" t="str">
        <f t="shared" si="106"/>
        <v/>
      </c>
      <c r="AS266" t="str">
        <f t="shared" si="97"/>
        <v>Defensive</v>
      </c>
      <c r="BI266" s="40"/>
      <c r="BL266" s="40"/>
      <c r="BN266" s="19"/>
      <c r="BP266" s="17"/>
    </row>
    <row r="267" spans="1:68" x14ac:dyDescent="0.2">
      <c r="A267" t="str">
        <f t="shared" si="98"/>
        <v/>
      </c>
      <c r="E267" s="4"/>
      <c r="F267" s="45"/>
      <c r="G267" s="4"/>
      <c r="H267" s="48"/>
      <c r="J267" s="46" t="str">
        <f t="shared" si="99"/>
        <v/>
      </c>
      <c r="N267" t="str">
        <f t="shared" si="92"/>
        <v/>
      </c>
      <c r="Q267" t="str">
        <f t="shared" si="91"/>
        <v/>
      </c>
      <c r="S267" t="str">
        <f>IF(A267=1,MAX(S$2:S266)+1,IF(OR(I267&lt;&gt;"",A267="x"),S266,""))</f>
        <v/>
      </c>
      <c r="T267" t="str">
        <f>IF(D267=1,MAX($T$2:$T266)+1,IF(S267=$S266,$S266,IF($D267="x",T266,IF($D266="x","",""))))</f>
        <v/>
      </c>
      <c r="U267" t="str">
        <f>IF(B267=1,MAX($U$2:$U266)+1,IF(AND($T267&lt;&gt;"",$T267=$T266),$U266,IF(B267="x",U266,"")))</f>
        <v/>
      </c>
      <c r="V267" t="str">
        <f>IF(C267=1,MAX($V$2:$V266)+1,IF(AND($T267&lt;&gt;"",$T267=$T266),$U266,IF(C267="x",V266,"")))</f>
        <v/>
      </c>
      <c r="W267" t="str" cm="1">
        <f t="array" ref="W267">IFERROR(_xlfn._xlws.FILTER(game_rosters!AB:AB,(game_rosters!J:J=events!X267)*(K267&lt;&gt;"")),"")</f>
        <v/>
      </c>
      <c r="X267" t="str" cm="1">
        <f t="array" ref="X267">IF(S267="","",IF($I267&lt;&gt;"",$I267,INDEX($I$2:$I266,ROW()-COUNTIFS($T$2:$T266,"="&amp;$T267,$S$2:$S266,"&lt;&gt;"&amp;$S267)-1)))</f>
        <v/>
      </c>
      <c r="Z267" s="6"/>
      <c r="AH267" t="str">
        <f t="shared" si="93"/>
        <v>o</v>
      </c>
      <c r="AI267" t="str">
        <f t="shared" si="100"/>
        <v/>
      </c>
      <c r="AJ267" t="str">
        <f t="shared" si="101"/>
        <v/>
      </c>
      <c r="AK267" t="str">
        <f t="shared" si="94"/>
        <v/>
      </c>
      <c r="AL267" t="str">
        <f t="shared" si="95"/>
        <v/>
      </c>
      <c r="AM267" t="str">
        <f t="shared" si="96"/>
        <v/>
      </c>
      <c r="AN267" t="str">
        <f t="shared" si="102"/>
        <v/>
      </c>
      <c r="AO267" t="str">
        <f t="shared" si="103"/>
        <v/>
      </c>
      <c r="AP267" t="str">
        <f t="shared" si="104"/>
        <v/>
      </c>
      <c r="AQ267" t="str">
        <f t="shared" si="105"/>
        <v/>
      </c>
      <c r="AR267" t="str">
        <f t="shared" si="106"/>
        <v/>
      </c>
      <c r="AS267" t="str">
        <f t="shared" si="97"/>
        <v>Defensive</v>
      </c>
      <c r="BI267" s="40"/>
      <c r="BL267" s="40"/>
      <c r="BN267" s="19"/>
      <c r="BP267" s="17"/>
    </row>
    <row r="268" spans="1:68" x14ac:dyDescent="0.2">
      <c r="A268" t="str">
        <f t="shared" si="98"/>
        <v/>
      </c>
      <c r="E268" s="4"/>
      <c r="F268" s="45"/>
      <c r="G268" s="4"/>
      <c r="H268" s="48"/>
      <c r="J268" s="46" t="str">
        <f t="shared" si="99"/>
        <v/>
      </c>
      <c r="N268" t="str">
        <f t="shared" si="92"/>
        <v/>
      </c>
      <c r="Q268" t="str">
        <f t="shared" si="91"/>
        <v/>
      </c>
      <c r="S268" t="str">
        <f>IF(A268=1,MAX(S$2:S267)+1,IF(OR(I268&lt;&gt;"",A268="x"),S267,""))</f>
        <v/>
      </c>
      <c r="T268" t="str">
        <f>IF(D268=1,MAX($T$2:$T267)+1,IF(S268=$S267,$S267,IF($D268="x",T267,IF($D267="x","",""))))</f>
        <v/>
      </c>
      <c r="U268" t="str">
        <f>IF(B268=1,MAX($U$2:$U267)+1,IF(AND($T268&lt;&gt;"",$T268=$T267),$U267,IF(B268="x",U267,"")))</f>
        <v/>
      </c>
      <c r="V268" t="str">
        <f>IF(C268=1,MAX($V$2:$V267)+1,IF(AND($T268&lt;&gt;"",$T268=$T267),$U267,IF(C268="x",V267,"")))</f>
        <v/>
      </c>
      <c r="W268" t="str" cm="1">
        <f t="array" ref="W268">IFERROR(_xlfn._xlws.FILTER(game_rosters!AB:AB,(game_rosters!J:J=events!X268)*(K268&lt;&gt;"")),"")</f>
        <v/>
      </c>
      <c r="X268" t="str" cm="1">
        <f t="array" ref="X268">IF(S268="","",IF($I268&lt;&gt;"",$I268,INDEX($I$2:$I267,ROW()-COUNTIFS($T$2:$T267,"="&amp;$T268,$S$2:$S267,"&lt;&gt;"&amp;$S268)-1)))</f>
        <v/>
      </c>
      <c r="Z268" s="6"/>
      <c r="AH268" t="str">
        <f t="shared" si="93"/>
        <v>o</v>
      </c>
      <c r="AI268" t="str">
        <f t="shared" si="100"/>
        <v/>
      </c>
      <c r="AJ268" t="str">
        <f t="shared" si="101"/>
        <v/>
      </c>
      <c r="AK268" t="str">
        <f t="shared" si="94"/>
        <v/>
      </c>
      <c r="AL268" t="str">
        <f t="shared" si="95"/>
        <v/>
      </c>
      <c r="AM268" t="str">
        <f t="shared" si="96"/>
        <v/>
      </c>
      <c r="AN268" t="str">
        <f t="shared" si="102"/>
        <v/>
      </c>
      <c r="AO268" t="str">
        <f t="shared" si="103"/>
        <v/>
      </c>
      <c r="AP268" t="str">
        <f t="shared" si="104"/>
        <v/>
      </c>
      <c r="AQ268" t="str">
        <f t="shared" si="105"/>
        <v/>
      </c>
      <c r="AR268" t="str">
        <f t="shared" si="106"/>
        <v/>
      </c>
      <c r="AS268" t="str">
        <f t="shared" si="97"/>
        <v>Defensive</v>
      </c>
      <c r="BI268" s="40"/>
      <c r="BL268" s="40"/>
      <c r="BN268" s="19"/>
      <c r="BP268" s="17"/>
    </row>
    <row r="269" spans="1:68" x14ac:dyDescent="0.2">
      <c r="A269" t="str">
        <f t="shared" si="98"/>
        <v/>
      </c>
      <c r="E269" s="4"/>
      <c r="F269" s="45"/>
      <c r="G269" s="4"/>
      <c r="H269" s="48"/>
      <c r="J269" s="46" t="str">
        <f t="shared" si="99"/>
        <v/>
      </c>
      <c r="N269" t="str">
        <f t="shared" si="92"/>
        <v/>
      </c>
      <c r="Q269" t="str">
        <f t="shared" si="91"/>
        <v/>
      </c>
      <c r="S269" t="str">
        <f>IF(A269=1,MAX(S$2:S268)+1,IF(OR(I269&lt;&gt;"",A269="x"),S268,""))</f>
        <v/>
      </c>
      <c r="T269" t="str">
        <f>IF(D269=1,MAX($T$2:$T268)+1,IF(S269=$S268,$S268,IF($D269="x",T268,IF($D268="x","",""))))</f>
        <v/>
      </c>
      <c r="U269" t="str">
        <f>IF(B269=1,MAX($U$2:$U268)+1,IF(AND($T269&lt;&gt;"",$T269=$T268),$U268,IF(B269="x",U268,"")))</f>
        <v/>
      </c>
      <c r="V269" t="str">
        <f>IF(C269=1,MAX($V$2:$V268)+1,IF(AND($T269&lt;&gt;"",$T269=$T268),$U268,IF(C269="x",V268,"")))</f>
        <v/>
      </c>
      <c r="W269" t="str" cm="1">
        <f t="array" ref="W269">IFERROR(_xlfn._xlws.FILTER(game_rosters!AB:AB,(game_rosters!J:J=events!X269)*(K269&lt;&gt;"")),"")</f>
        <v/>
      </c>
      <c r="X269" t="str" cm="1">
        <f t="array" ref="X269">IF(S269="","",IF($I269&lt;&gt;"",$I269,INDEX($I$2:$I268,ROW()-COUNTIFS($T$2:$T268,"="&amp;$T269,$S$2:$S268,"&lt;&gt;"&amp;$S269)-1)))</f>
        <v/>
      </c>
      <c r="Z269" s="6"/>
      <c r="AH269" t="str">
        <f t="shared" si="93"/>
        <v>o</v>
      </c>
      <c r="AI269" t="str">
        <f t="shared" si="100"/>
        <v/>
      </c>
      <c r="AJ269" t="str">
        <f t="shared" si="101"/>
        <v/>
      </c>
      <c r="AK269" t="str">
        <f t="shared" si="94"/>
        <v/>
      </c>
      <c r="AL269" t="str">
        <f t="shared" si="95"/>
        <v/>
      </c>
      <c r="AM269" t="str">
        <f t="shared" si="96"/>
        <v/>
      </c>
      <c r="AN269" t="str">
        <f t="shared" si="102"/>
        <v/>
      </c>
      <c r="AO269" t="str">
        <f t="shared" si="103"/>
        <v/>
      </c>
      <c r="AP269" t="str">
        <f t="shared" si="104"/>
        <v/>
      </c>
      <c r="AQ269" t="str">
        <f t="shared" si="105"/>
        <v/>
      </c>
      <c r="AR269" t="str">
        <f t="shared" si="106"/>
        <v/>
      </c>
      <c r="AS269" t="str">
        <f t="shared" si="97"/>
        <v>Defensive</v>
      </c>
      <c r="BI269" s="40"/>
      <c r="BL269" s="40"/>
      <c r="BN269" s="19"/>
      <c r="BP269" s="17"/>
    </row>
    <row r="270" spans="1:68" x14ac:dyDescent="0.2">
      <c r="A270" t="str">
        <f t="shared" si="98"/>
        <v/>
      </c>
      <c r="E270" s="4"/>
      <c r="F270" s="45"/>
      <c r="G270" s="4"/>
      <c r="H270" s="48"/>
      <c r="J270" s="46" t="str">
        <f t="shared" si="99"/>
        <v/>
      </c>
      <c r="N270" t="str">
        <f t="shared" si="92"/>
        <v/>
      </c>
      <c r="Q270" t="str">
        <f t="shared" si="91"/>
        <v/>
      </c>
      <c r="S270" t="str">
        <f>IF(A270=1,MAX(S$2:S269)+1,IF(OR(I270&lt;&gt;"",A270="x"),S269,""))</f>
        <v/>
      </c>
      <c r="T270" t="str">
        <f>IF(D270=1,MAX($T$2:$T269)+1,IF(S270=$S269,$S269,IF($D270="x",T269,IF($D269="x","",""))))</f>
        <v/>
      </c>
      <c r="U270" t="str">
        <f>IF(B270=1,MAX($U$2:$U269)+1,IF(AND($T270&lt;&gt;"",$T270=$T269),$U269,IF(B270="x",U269,"")))</f>
        <v/>
      </c>
      <c r="V270" t="str">
        <f>IF(C270=1,MAX($V$2:$V269)+1,IF(AND($T270&lt;&gt;"",$T270=$T269),$U269,IF(C270="x",V269,"")))</f>
        <v/>
      </c>
      <c r="W270" t="str" cm="1">
        <f t="array" ref="W270">IFERROR(_xlfn._xlws.FILTER(game_rosters!AB:AB,(game_rosters!J:J=events!X270)*(K270&lt;&gt;"")),"")</f>
        <v/>
      </c>
      <c r="X270" t="str" cm="1">
        <f t="array" ref="X270">IF(S270="","",IF($I270&lt;&gt;"",$I270,INDEX($I$2:$I269,ROW()-COUNTIFS($T$2:$T269,"="&amp;$T270,$S$2:$S269,"&lt;&gt;"&amp;$S270)-1)))</f>
        <v/>
      </c>
      <c r="Z270" s="6"/>
      <c r="AH270" t="str">
        <f t="shared" si="93"/>
        <v>o</v>
      </c>
      <c r="AI270" t="str">
        <f t="shared" si="100"/>
        <v/>
      </c>
      <c r="AJ270" t="str">
        <f t="shared" si="101"/>
        <v/>
      </c>
      <c r="AK270" t="str">
        <f t="shared" si="94"/>
        <v/>
      </c>
      <c r="AL270" t="str">
        <f t="shared" si="95"/>
        <v/>
      </c>
      <c r="AM270" t="str">
        <f t="shared" si="96"/>
        <v/>
      </c>
      <c r="AN270" t="str">
        <f t="shared" si="102"/>
        <v/>
      </c>
      <c r="AO270" t="str">
        <f t="shared" si="103"/>
        <v/>
      </c>
      <c r="AP270" t="str">
        <f t="shared" si="104"/>
        <v/>
      </c>
      <c r="AQ270" t="str">
        <f t="shared" si="105"/>
        <v/>
      </c>
      <c r="AR270" t="str">
        <f t="shared" si="106"/>
        <v/>
      </c>
      <c r="AS270" t="str">
        <f t="shared" si="97"/>
        <v>Defensive</v>
      </c>
      <c r="BI270" s="40"/>
      <c r="BL270" s="40"/>
      <c r="BN270" s="19"/>
      <c r="BP270" s="17"/>
    </row>
    <row r="271" spans="1:68" x14ac:dyDescent="0.2">
      <c r="A271" t="str">
        <f t="shared" si="98"/>
        <v/>
      </c>
      <c r="E271" s="4"/>
      <c r="F271" s="45"/>
      <c r="G271" s="4"/>
      <c r="H271" s="48"/>
      <c r="J271" s="46" t="str">
        <f t="shared" si="99"/>
        <v/>
      </c>
      <c r="N271" t="str">
        <f t="shared" si="92"/>
        <v/>
      </c>
      <c r="Q271" t="str">
        <f t="shared" si="91"/>
        <v/>
      </c>
      <c r="S271" t="str">
        <f>IF(A271=1,MAX(S$2:S270)+1,IF(OR(I271&lt;&gt;"",A271="x"),S270,""))</f>
        <v/>
      </c>
      <c r="T271" t="str">
        <f>IF(D271=1,MAX($T$2:$T270)+1,IF(S271=$S270,$S270,IF($D271="x",T270,IF($D270="x","",""))))</f>
        <v/>
      </c>
      <c r="U271" t="str">
        <f>IF(B271=1,MAX($U$2:$U270)+1,IF(AND($T271&lt;&gt;"",$T271=$T270),$U270,IF(B271="x",U270,"")))</f>
        <v/>
      </c>
      <c r="V271" t="str">
        <f>IF(C271=1,MAX($V$2:$V270)+1,IF(AND($T271&lt;&gt;"",$T271=$T270),$U270,IF(C271="x",V270,"")))</f>
        <v/>
      </c>
      <c r="W271" t="str" cm="1">
        <f t="array" ref="W271">IFERROR(_xlfn._xlws.FILTER(game_rosters!AB:AB,(game_rosters!J:J=events!X271)*(K271&lt;&gt;"")),"")</f>
        <v/>
      </c>
      <c r="X271" t="str" cm="1">
        <f t="array" ref="X271">IF(S271="","",IF($I271&lt;&gt;"",$I271,INDEX($I$2:$I270,ROW()-COUNTIFS($T$2:$T270,"="&amp;$T271,$S$2:$S270,"&lt;&gt;"&amp;$S271)-1)))</f>
        <v/>
      </c>
      <c r="Z271" s="6"/>
      <c r="AH271" t="str">
        <f t="shared" si="93"/>
        <v>o</v>
      </c>
      <c r="AI271" t="str">
        <f t="shared" si="100"/>
        <v/>
      </c>
      <c r="AJ271" t="str">
        <f t="shared" si="101"/>
        <v/>
      </c>
      <c r="AK271" t="str">
        <f t="shared" si="94"/>
        <v/>
      </c>
      <c r="AL271" t="str">
        <f t="shared" si="95"/>
        <v/>
      </c>
      <c r="AM271" t="str">
        <f t="shared" si="96"/>
        <v/>
      </c>
      <c r="AN271" t="str">
        <f t="shared" si="102"/>
        <v/>
      </c>
      <c r="AO271" t="str">
        <f t="shared" si="103"/>
        <v/>
      </c>
      <c r="AP271" t="str">
        <f t="shared" si="104"/>
        <v/>
      </c>
      <c r="AQ271" t="str">
        <f t="shared" si="105"/>
        <v/>
      </c>
      <c r="AR271" t="str">
        <f t="shared" si="106"/>
        <v/>
      </c>
      <c r="AS271" t="str">
        <f t="shared" si="97"/>
        <v>Defensive</v>
      </c>
      <c r="BI271" s="40"/>
      <c r="BL271" s="40"/>
      <c r="BN271" s="19"/>
      <c r="BP271" s="17"/>
    </row>
    <row r="272" spans="1:68" x14ac:dyDescent="0.2">
      <c r="A272" t="str">
        <f t="shared" si="98"/>
        <v/>
      </c>
      <c r="E272" s="4"/>
      <c r="F272" s="45"/>
      <c r="G272" s="4"/>
      <c r="H272" s="48"/>
      <c r="J272" s="46" t="str">
        <f t="shared" si="99"/>
        <v/>
      </c>
      <c r="N272" t="str">
        <f t="shared" si="92"/>
        <v/>
      </c>
      <c r="Q272" t="str">
        <f t="shared" ref="Q272:Q335" si="107">IF(O272="","",IF(AND(N272&lt;&gt;"",OR(O272&lt;&gt;"",P272&lt;&gt;"")),N272,IF(OR(ISNUMBER(SEARCH("attemp",O272)),ISNUMBER(SEARCH("beat",O272)),ISNUMBER(SEARCH("mis",O272)),ISNUMBER(SEARCH("fail",O272)),ISNUMBER(SEARCH("loss",O272)),ISNUMBER(SEARCH("lost",O272)),ISNUMBER(SEARCH("attemp",P272)),ISNUMBER(SEARCH("mis",P272)),ISNUMBER(SEARCH("fail",P272)),ISNUMBER(SEARCH("loss",P272)),ISNUMBER(SEARCH("beat",P272)),ISNUMBER(SEARCH("lost",P272))),"u","")))</f>
        <v/>
      </c>
      <c r="S272" t="str">
        <f>IF(A272=1,MAX(S$2:S271)+1,IF(OR(I272&lt;&gt;"",A272="x"),S271,""))</f>
        <v/>
      </c>
      <c r="T272" t="str">
        <f>IF(D272=1,MAX($T$2:$T271)+1,IF(S272=$S271,$S271,IF($D272="x",T271,IF($D271="x","",""))))</f>
        <v/>
      </c>
      <c r="U272" t="str">
        <f>IF(B272=1,MAX($U$2:$U271)+1,IF(AND($T272&lt;&gt;"",$T272=$T271),$U271,IF(B272="x",U271,"")))</f>
        <v/>
      </c>
      <c r="V272" t="str">
        <f>IF(C272=1,MAX($V$2:$V271)+1,IF(AND($T272&lt;&gt;"",$T272=$T271),$U271,IF(C272="x",V271,"")))</f>
        <v/>
      </c>
      <c r="W272" t="str" cm="1">
        <f t="array" ref="W272">IFERROR(_xlfn._xlws.FILTER(game_rosters!AB:AB,(game_rosters!J:J=events!X272)*(K272&lt;&gt;"")),"")</f>
        <v/>
      </c>
      <c r="X272" t="str" cm="1">
        <f t="array" ref="X272">IF(S272="","",IF($I272&lt;&gt;"",$I272,INDEX($I$2:$I271,ROW()-COUNTIFS($T$2:$T271,"="&amp;$T272,$S$2:$S271,"&lt;&gt;"&amp;$S272)-1)))</f>
        <v/>
      </c>
      <c r="Z272" s="6"/>
      <c r="AH272" t="str">
        <f t="shared" si="93"/>
        <v>o</v>
      </c>
      <c r="AI272" t="str">
        <f t="shared" si="100"/>
        <v/>
      </c>
      <c r="AJ272" t="str">
        <f t="shared" si="101"/>
        <v/>
      </c>
      <c r="AK272" t="str">
        <f t="shared" si="94"/>
        <v/>
      </c>
      <c r="AL272" t="str">
        <f t="shared" si="95"/>
        <v/>
      </c>
      <c r="AM272" t="str">
        <f t="shared" si="96"/>
        <v/>
      </c>
      <c r="AN272" t="str">
        <f t="shared" si="102"/>
        <v/>
      </c>
      <c r="AO272" t="str">
        <f t="shared" si="103"/>
        <v/>
      </c>
      <c r="AP272" t="str">
        <f t="shared" si="104"/>
        <v/>
      </c>
      <c r="AQ272" t="str">
        <f t="shared" si="105"/>
        <v/>
      </c>
      <c r="AR272" t="str">
        <f t="shared" si="106"/>
        <v/>
      </c>
      <c r="AS272" t="str">
        <f t="shared" si="97"/>
        <v>Defensive</v>
      </c>
      <c r="BI272" s="40"/>
      <c r="BL272" s="40"/>
      <c r="BN272" s="19"/>
      <c r="BP272" s="17"/>
    </row>
    <row r="273" spans="1:68" x14ac:dyDescent="0.2">
      <c r="A273" t="str">
        <f t="shared" si="98"/>
        <v/>
      </c>
      <c r="E273" s="4"/>
      <c r="F273" s="45"/>
      <c r="G273" s="4"/>
      <c r="H273" s="48"/>
      <c r="J273" s="46" t="str">
        <f t="shared" si="99"/>
        <v/>
      </c>
      <c r="N273" t="str">
        <f t="shared" si="92"/>
        <v/>
      </c>
      <c r="Q273" t="str">
        <f t="shared" si="107"/>
        <v/>
      </c>
      <c r="S273" t="str">
        <f>IF(A273=1,MAX(S$2:S272)+1,IF(OR(I273&lt;&gt;"",A273="x"),S272,""))</f>
        <v/>
      </c>
      <c r="T273" t="str">
        <f>IF(D273=1,MAX($T$2:$T272)+1,IF(S273=$S272,$S272,IF($D273="x",T272,IF($D272="x","",""))))</f>
        <v/>
      </c>
      <c r="U273" t="str">
        <f>IF(B273=1,MAX($U$2:$U272)+1,IF(AND($T273&lt;&gt;"",$T273=$T272),$U272,IF(B273="x",U272,"")))</f>
        <v/>
      </c>
      <c r="V273" t="str">
        <f>IF(C273=1,MAX($V$2:$V272)+1,IF(AND($T273&lt;&gt;"",$T273=$T272),$U272,IF(C273="x",V272,"")))</f>
        <v/>
      </c>
      <c r="W273" t="str" cm="1">
        <f t="array" ref="W273">IFERROR(_xlfn._xlws.FILTER(game_rosters!AB:AB,(game_rosters!J:J=events!X273)*(K273&lt;&gt;"")),"")</f>
        <v/>
      </c>
      <c r="X273" t="str" cm="1">
        <f t="array" ref="X273">IF(S273="","",IF($I273&lt;&gt;"",$I273,INDEX($I$2:$I272,ROW()-COUNTIFS($T$2:$T272,"="&amp;$T273,$S$2:$S272,"&lt;&gt;"&amp;$S273)-1)))</f>
        <v/>
      </c>
      <c r="Z273" s="6"/>
      <c r="AH273" t="str">
        <f t="shared" si="93"/>
        <v>o</v>
      </c>
      <c r="AI273" t="str">
        <f t="shared" si="100"/>
        <v/>
      </c>
      <c r="AJ273" t="str">
        <f t="shared" si="101"/>
        <v/>
      </c>
      <c r="AK273" t="str">
        <f t="shared" si="94"/>
        <v/>
      </c>
      <c r="AL273" t="str">
        <f t="shared" si="95"/>
        <v/>
      </c>
      <c r="AM273" t="str">
        <f t="shared" si="96"/>
        <v/>
      </c>
      <c r="AN273" t="str">
        <f t="shared" si="102"/>
        <v/>
      </c>
      <c r="AO273" t="str">
        <f t="shared" si="103"/>
        <v/>
      </c>
      <c r="AP273" t="str">
        <f t="shared" si="104"/>
        <v/>
      </c>
      <c r="AQ273" t="str">
        <f t="shared" si="105"/>
        <v/>
      </c>
      <c r="AR273" t="str">
        <f t="shared" si="106"/>
        <v/>
      </c>
      <c r="AS273" t="str">
        <f t="shared" si="97"/>
        <v>Defensive</v>
      </c>
      <c r="BI273" s="40"/>
      <c r="BL273" s="40"/>
      <c r="BN273" s="19"/>
      <c r="BP273" s="17"/>
    </row>
    <row r="274" spans="1:68" x14ac:dyDescent="0.2">
      <c r="A274" t="str">
        <f t="shared" si="98"/>
        <v/>
      </c>
      <c r="E274" s="4"/>
      <c r="F274" s="45"/>
      <c r="G274" s="4"/>
      <c r="H274" s="48"/>
      <c r="J274" s="46" t="str">
        <f t="shared" si="99"/>
        <v/>
      </c>
      <c r="N274" t="str">
        <f t="shared" si="92"/>
        <v/>
      </c>
      <c r="Q274" t="str">
        <f t="shared" si="107"/>
        <v/>
      </c>
      <c r="S274" t="str">
        <f>IF(A274=1,MAX(S$2:S273)+1,IF(OR(I274&lt;&gt;"",A274="x"),S273,""))</f>
        <v/>
      </c>
      <c r="T274" t="str">
        <f>IF(D274=1,MAX($T$2:$T273)+1,IF(S274=$S273,$S273,IF($D274="x",T273,IF($D273="x","",""))))</f>
        <v/>
      </c>
      <c r="U274" t="str">
        <f>IF(B274=1,MAX($U$2:$U273)+1,IF(AND($T274&lt;&gt;"",$T274=$T273),$U273,IF(B274="x",U273,"")))</f>
        <v/>
      </c>
      <c r="V274" t="str">
        <f>IF(C274=1,MAX($V$2:$V273)+1,IF(AND($T274&lt;&gt;"",$T274=$T273),$U273,IF(C274="x",V273,"")))</f>
        <v/>
      </c>
      <c r="W274" t="str" cm="1">
        <f t="array" ref="W274">IFERROR(_xlfn._xlws.FILTER(game_rosters!AB:AB,(game_rosters!J:J=events!X274)*(K274&lt;&gt;"")),"")</f>
        <v/>
      </c>
      <c r="X274" t="str" cm="1">
        <f t="array" ref="X274">IF(S274="","",IF($I274&lt;&gt;"",$I274,INDEX($I$2:$I273,ROW()-COUNTIFS($T$2:$T273,"="&amp;$T274,$S$2:$S273,"&lt;&gt;"&amp;$S274)-1)))</f>
        <v/>
      </c>
      <c r="Z274" s="6"/>
      <c r="AH274" t="str">
        <f t="shared" si="93"/>
        <v>o</v>
      </c>
      <c r="AI274" t="str">
        <f t="shared" si="100"/>
        <v/>
      </c>
      <c r="AJ274" t="str">
        <f t="shared" si="101"/>
        <v/>
      </c>
      <c r="AK274" t="str">
        <f t="shared" si="94"/>
        <v/>
      </c>
      <c r="AL274" t="str">
        <f t="shared" si="95"/>
        <v/>
      </c>
      <c r="AM274" t="str">
        <f t="shared" si="96"/>
        <v/>
      </c>
      <c r="AN274" t="str">
        <f t="shared" si="102"/>
        <v/>
      </c>
      <c r="AO274" t="str">
        <f t="shared" si="103"/>
        <v/>
      </c>
      <c r="AP274" t="str">
        <f t="shared" si="104"/>
        <v/>
      </c>
      <c r="AQ274" t="str">
        <f t="shared" si="105"/>
        <v/>
      </c>
      <c r="AR274" t="str">
        <f t="shared" si="106"/>
        <v/>
      </c>
      <c r="AS274" t="str">
        <f t="shared" si="97"/>
        <v>Defensive</v>
      </c>
      <c r="BI274" s="40"/>
      <c r="BL274" s="40"/>
      <c r="BN274" s="19"/>
      <c r="BP274" s="17"/>
    </row>
    <row r="275" spans="1:68" x14ac:dyDescent="0.2">
      <c r="A275" t="str">
        <f t="shared" si="98"/>
        <v/>
      </c>
      <c r="E275" s="4"/>
      <c r="F275" s="45"/>
      <c r="G275" s="4"/>
      <c r="H275" s="48"/>
      <c r="J275" s="46" t="str">
        <f t="shared" si="99"/>
        <v/>
      </c>
      <c r="N275" t="str">
        <f t="shared" si="92"/>
        <v/>
      </c>
      <c r="Q275" t="str">
        <f t="shared" si="107"/>
        <v/>
      </c>
      <c r="S275" t="str">
        <f>IF(A275=1,MAX(S$2:S274)+1,IF(OR(I275&lt;&gt;"",A275="x"),S274,""))</f>
        <v/>
      </c>
      <c r="T275" t="str">
        <f>IF(D275=1,MAX($T$2:$T274)+1,IF(S275=$S274,$S274,IF($D275="x",T274,IF($D274="x","",""))))</f>
        <v/>
      </c>
      <c r="U275" t="str">
        <f>IF(B275=1,MAX($U$2:$U274)+1,IF(AND($T275&lt;&gt;"",$T275=$T274),$U274,IF(B275="x",U274,"")))</f>
        <v/>
      </c>
      <c r="V275" t="str">
        <f>IF(C275=1,MAX($V$2:$V274)+1,IF(AND($T275&lt;&gt;"",$T275=$T274),$U274,IF(C275="x",V274,"")))</f>
        <v/>
      </c>
      <c r="W275" t="str" cm="1">
        <f t="array" ref="W275">IFERROR(_xlfn._xlws.FILTER(game_rosters!AB:AB,(game_rosters!J:J=events!X275)*(K275&lt;&gt;"")),"")</f>
        <v/>
      </c>
      <c r="X275" t="str" cm="1">
        <f t="array" ref="X275">IF(S275="","",IF($I275&lt;&gt;"",$I275,INDEX($I$2:$I274,ROW()-COUNTIFS($T$2:$T274,"="&amp;$T275,$S$2:$S274,"&lt;&gt;"&amp;$S275)-1)))</f>
        <v/>
      </c>
      <c r="Z275" s="6"/>
      <c r="AH275" t="str">
        <f t="shared" si="93"/>
        <v>o</v>
      </c>
      <c r="AI275" t="str">
        <f t="shared" si="100"/>
        <v/>
      </c>
      <c r="AJ275" t="str">
        <f t="shared" si="101"/>
        <v/>
      </c>
      <c r="AK275" t="str">
        <f t="shared" si="94"/>
        <v/>
      </c>
      <c r="AL275" t="str">
        <f t="shared" si="95"/>
        <v/>
      </c>
      <c r="AM275" t="str">
        <f t="shared" si="96"/>
        <v/>
      </c>
      <c r="AN275" t="str">
        <f t="shared" si="102"/>
        <v/>
      </c>
      <c r="AO275" t="str">
        <f t="shared" si="103"/>
        <v/>
      </c>
      <c r="AP275" t="str">
        <f t="shared" si="104"/>
        <v/>
      </c>
      <c r="AQ275" t="str">
        <f t="shared" si="105"/>
        <v/>
      </c>
      <c r="AR275" t="str">
        <f t="shared" si="106"/>
        <v/>
      </c>
      <c r="AS275" t="str">
        <f t="shared" si="97"/>
        <v>Defensive</v>
      </c>
      <c r="BI275" s="40"/>
      <c r="BL275" s="40"/>
      <c r="BN275" s="19"/>
      <c r="BP275" s="17"/>
    </row>
    <row r="276" spans="1:68" x14ac:dyDescent="0.2">
      <c r="A276" t="str">
        <f t="shared" si="98"/>
        <v/>
      </c>
      <c r="E276" s="4"/>
      <c r="F276" s="45"/>
      <c r="G276" s="4"/>
      <c r="H276" s="48"/>
      <c r="J276" s="46" t="str">
        <f t="shared" si="99"/>
        <v/>
      </c>
      <c r="N276" t="str">
        <f t="shared" si="92"/>
        <v/>
      </c>
      <c r="Q276" t="str">
        <f t="shared" si="107"/>
        <v/>
      </c>
      <c r="S276" t="str">
        <f>IF(A276=1,MAX(S$2:S275)+1,IF(OR(I276&lt;&gt;"",A276="x"),S275,""))</f>
        <v/>
      </c>
      <c r="T276" t="str">
        <f>IF(D276=1,MAX($T$2:$T275)+1,IF(S276=$S275,$S275,IF($D276="x",T275,IF($D275="x","",""))))</f>
        <v/>
      </c>
      <c r="U276" t="str">
        <f>IF(B276=1,MAX($U$2:$U275)+1,IF(AND($T276&lt;&gt;"",$T276=$T275),$U275,IF(B276="x",U275,"")))</f>
        <v/>
      </c>
      <c r="V276" t="str">
        <f>IF(C276=1,MAX($V$2:$V275)+1,IF(AND($T276&lt;&gt;"",$T276=$T275),$U275,IF(C276="x",V275,"")))</f>
        <v/>
      </c>
      <c r="W276" t="str" cm="1">
        <f t="array" ref="W276">IFERROR(_xlfn._xlws.FILTER(game_rosters!AB:AB,(game_rosters!J:J=events!X276)*(K276&lt;&gt;"")),"")</f>
        <v/>
      </c>
      <c r="X276" t="str" cm="1">
        <f t="array" ref="X276">IF(S276="","",IF($I276&lt;&gt;"",$I276,INDEX($I$2:$I275,ROW()-COUNTIFS($T$2:$T275,"="&amp;$T276,$S$2:$S275,"&lt;&gt;"&amp;$S276)-1)))</f>
        <v/>
      </c>
      <c r="Z276" s="6"/>
      <c r="AH276" t="str">
        <f t="shared" si="93"/>
        <v>o</v>
      </c>
      <c r="AI276" t="str">
        <f t="shared" si="100"/>
        <v/>
      </c>
      <c r="AJ276" t="str">
        <f t="shared" si="101"/>
        <v/>
      </c>
      <c r="AK276" t="str">
        <f t="shared" si="94"/>
        <v/>
      </c>
      <c r="AL276" t="str">
        <f t="shared" si="95"/>
        <v/>
      </c>
      <c r="AM276" t="str">
        <f t="shared" si="96"/>
        <v/>
      </c>
      <c r="AN276" t="str">
        <f t="shared" si="102"/>
        <v/>
      </c>
      <c r="AO276" t="str">
        <f t="shared" si="103"/>
        <v/>
      </c>
      <c r="AP276" t="str">
        <f t="shared" si="104"/>
        <v/>
      </c>
      <c r="AQ276" t="str">
        <f t="shared" si="105"/>
        <v/>
      </c>
      <c r="AR276" t="str">
        <f t="shared" si="106"/>
        <v/>
      </c>
      <c r="AS276" t="str">
        <f t="shared" si="97"/>
        <v>Defensive</v>
      </c>
      <c r="BI276" s="40"/>
      <c r="BL276" s="40"/>
      <c r="BN276" s="19"/>
      <c r="BP276" s="17"/>
    </row>
    <row r="277" spans="1:68" x14ac:dyDescent="0.2">
      <c r="A277" t="str">
        <f t="shared" si="98"/>
        <v/>
      </c>
      <c r="E277" s="4"/>
      <c r="F277" s="45"/>
      <c r="G277" s="4"/>
      <c r="H277" s="48"/>
      <c r="J277" s="46" t="str">
        <f t="shared" si="99"/>
        <v/>
      </c>
      <c r="N277" t="str">
        <f t="shared" ref="N277:N340" si="108">IF(K277="","",IF(K277="Goal","s",IF(AND(K277="Zone_Entry_Exit",OR(ISNUMBER(SEARCH("fail",L277)),ISNUMBER(SEARCH("FromExitClear",M277)),ISNUMBER(SEARCH("miss",M277)))),"u",IF(AND(K277="Zone_Entry_Exit",OR(NOT(ISNUMBER(SEARCH("fail",L277))),NOT(ISNUMBER(SEARCH("FromExitClear",M277))),NOT(ISNUMBER(SEARCH("miss",M277))))),"s",IF(AND(OR(K277="Shot",K277="Pass"),OR(ISNUMBER(SEARCH("complete",L277)),ISNUMBER(SEARCH("goal",L277)),ISNUMBER(SEARCH("OnNet",L277)))),"s",IF(L277="Turnover_Giveaway","u",IF(AND(OR(K277="Shot",K277="Pass"),OR(ISNUMBER(SEARCH("fail",L277)),NOT(ISNUMBER(SEARCH("complete",L277))),NOT(ISNUMBER(SEARCH("OnNet",L277))))),"u","")))))))</f>
        <v/>
      </c>
      <c r="Q277" t="str">
        <f t="shared" si="107"/>
        <v/>
      </c>
      <c r="S277" t="str">
        <f>IF(A277=1,MAX(S$2:S276)+1,IF(OR(I277&lt;&gt;"",A277="x"),S276,""))</f>
        <v/>
      </c>
      <c r="T277" t="str">
        <f>IF(D277=1,MAX($T$2:$T276)+1,IF(S277=$S276,$S276,IF($D277="x",T276,IF($D276="x","",""))))</f>
        <v/>
      </c>
      <c r="U277" t="str">
        <f>IF(B277=1,MAX($U$2:$U276)+1,IF(AND($T277&lt;&gt;"",$T277=$T276),$U276,IF(B277="x",U276,"")))</f>
        <v/>
      </c>
      <c r="V277" t="str">
        <f>IF(C277=1,MAX($V$2:$V276)+1,IF(AND($T277&lt;&gt;"",$T277=$T276),$U276,IF(C277="x",V276,"")))</f>
        <v/>
      </c>
      <c r="W277" t="str" cm="1">
        <f t="array" ref="W277">IFERROR(_xlfn._xlws.FILTER(game_rosters!AB:AB,(game_rosters!J:J=events!X277)*(K277&lt;&gt;"")),"")</f>
        <v/>
      </c>
      <c r="X277" t="str" cm="1">
        <f t="array" ref="X277">IF(S277="","",IF($I277&lt;&gt;"",$I277,INDEX($I$2:$I276,ROW()-COUNTIFS($T$2:$T276,"="&amp;$T277,$S$2:$S276,"&lt;&gt;"&amp;$S277)-1)))</f>
        <v/>
      </c>
      <c r="Z277" s="6"/>
      <c r="AH277" t="str">
        <f t="shared" si="93"/>
        <v>o</v>
      </c>
      <c r="AI277" t="str">
        <f t="shared" si="100"/>
        <v/>
      </c>
      <c r="AJ277" t="str">
        <f t="shared" si="101"/>
        <v/>
      </c>
      <c r="AK277" t="str">
        <f t="shared" si="94"/>
        <v/>
      </c>
      <c r="AL277" t="str">
        <f t="shared" si="95"/>
        <v/>
      </c>
      <c r="AM277" t="str">
        <f t="shared" si="96"/>
        <v/>
      </c>
      <c r="AN277" t="str">
        <f t="shared" si="102"/>
        <v/>
      </c>
      <c r="AO277" t="str">
        <f t="shared" si="103"/>
        <v/>
      </c>
      <c r="AP277" t="str">
        <f t="shared" si="104"/>
        <v/>
      </c>
      <c r="AQ277" t="str">
        <f t="shared" si="105"/>
        <v/>
      </c>
      <c r="AR277" t="str">
        <f t="shared" si="106"/>
        <v/>
      </c>
      <c r="AS277" t="str">
        <f t="shared" si="97"/>
        <v>Defensive</v>
      </c>
      <c r="BI277" s="40"/>
      <c r="BL277" s="40"/>
      <c r="BN277" s="19"/>
      <c r="BP277" s="17"/>
    </row>
    <row r="278" spans="1:68" x14ac:dyDescent="0.2">
      <c r="A278" t="str">
        <f t="shared" si="98"/>
        <v/>
      </c>
      <c r="E278" s="4"/>
      <c r="F278" s="45"/>
      <c r="G278" s="4"/>
      <c r="H278" s="48"/>
      <c r="J278" s="46" t="str">
        <f t="shared" si="99"/>
        <v/>
      </c>
      <c r="N278" t="str">
        <f t="shared" si="108"/>
        <v/>
      </c>
      <c r="Q278" t="str">
        <f t="shared" si="107"/>
        <v/>
      </c>
      <c r="S278" t="str">
        <f>IF(A278=1,MAX(S$2:S277)+1,IF(OR(I278&lt;&gt;"",A278="x"),S277,""))</f>
        <v/>
      </c>
      <c r="T278" t="str">
        <f>IF(D278=1,MAX($T$2:$T277)+1,IF(S278=$S277,$S277,IF($D278="x",T277,IF($D277="x","",""))))</f>
        <v/>
      </c>
      <c r="U278" t="str">
        <f>IF(B278=1,MAX($U$2:$U277)+1,IF(AND($T278&lt;&gt;"",$T278=$T277),$U277,IF(B278="x",U277,"")))</f>
        <v/>
      </c>
      <c r="V278" t="str">
        <f>IF(C278=1,MAX($V$2:$V277)+1,IF(AND($T278&lt;&gt;"",$T278=$T277),$U277,IF(C278="x",V277,"")))</f>
        <v/>
      </c>
      <c r="W278" t="str" cm="1">
        <f t="array" ref="W278">IFERROR(_xlfn._xlws.FILTER(game_rosters!AB:AB,(game_rosters!J:J=events!X278)*(K278&lt;&gt;"")),"")</f>
        <v/>
      </c>
      <c r="X278" t="str" cm="1">
        <f t="array" ref="X278">IF(S278="","",IF($I278&lt;&gt;"",$I278,INDEX($I$2:$I277,ROW()-COUNTIFS($T$2:$T277,"="&amp;$T278,$S$2:$S277,"&lt;&gt;"&amp;$S278)-1)))</f>
        <v/>
      </c>
      <c r="Z278" s="6"/>
      <c r="AH278" t="str">
        <f t="shared" si="93"/>
        <v>o</v>
      </c>
      <c r="AI278" t="str">
        <f t="shared" si="100"/>
        <v/>
      </c>
      <c r="AJ278" t="str">
        <f t="shared" si="101"/>
        <v/>
      </c>
      <c r="AK278" t="str">
        <f t="shared" si="94"/>
        <v/>
      </c>
      <c r="AL278" t="str">
        <f t="shared" si="95"/>
        <v/>
      </c>
      <c r="AM278" t="str">
        <f t="shared" si="96"/>
        <v/>
      </c>
      <c r="AN278" t="str">
        <f t="shared" si="102"/>
        <v/>
      </c>
      <c r="AO278" t="str">
        <f t="shared" si="103"/>
        <v/>
      </c>
      <c r="AP278" t="str">
        <f t="shared" si="104"/>
        <v/>
      </c>
      <c r="AQ278" t="str">
        <f t="shared" si="105"/>
        <v/>
      </c>
      <c r="AR278" t="str">
        <f t="shared" si="106"/>
        <v/>
      </c>
      <c r="AS278" t="str">
        <f t="shared" si="97"/>
        <v>Defensive</v>
      </c>
      <c r="BI278" s="40"/>
      <c r="BL278" s="40"/>
      <c r="BN278" s="19"/>
      <c r="BP278" s="17"/>
    </row>
    <row r="279" spans="1:68" x14ac:dyDescent="0.2">
      <c r="A279" t="str">
        <f t="shared" si="98"/>
        <v/>
      </c>
      <c r="E279" s="4"/>
      <c r="F279" s="45"/>
      <c r="G279" s="4"/>
      <c r="H279" s="48"/>
      <c r="J279" s="46" t="str">
        <f t="shared" si="99"/>
        <v/>
      </c>
      <c r="N279" t="str">
        <f t="shared" si="108"/>
        <v/>
      </c>
      <c r="Q279" t="str">
        <f t="shared" si="107"/>
        <v/>
      </c>
      <c r="S279" t="str">
        <f>IF(A279=1,MAX(S$2:S278)+1,IF(OR(I279&lt;&gt;"",A279="x"),S278,""))</f>
        <v/>
      </c>
      <c r="T279" t="str">
        <f>IF(D279=1,MAX($T$2:$T278)+1,IF(S279=$S278,$S278,IF($D279="x",T278,IF($D278="x","",""))))</f>
        <v/>
      </c>
      <c r="U279" t="str">
        <f>IF(B279=1,MAX($U$2:$U278)+1,IF(AND($T279&lt;&gt;"",$T279=$T278),$U278,IF(B279="x",U278,"")))</f>
        <v/>
      </c>
      <c r="V279" t="str">
        <f>IF(C279=1,MAX($V$2:$V278)+1,IF(AND($T279&lt;&gt;"",$T279=$T278),$U278,IF(C279="x",V278,"")))</f>
        <v/>
      </c>
      <c r="W279" t="str" cm="1">
        <f t="array" ref="W279">IFERROR(_xlfn._xlws.FILTER(game_rosters!AB:AB,(game_rosters!J:J=events!X279)*(K279&lt;&gt;"")),"")</f>
        <v/>
      </c>
      <c r="X279" t="str" cm="1">
        <f t="array" ref="X279">IF(S279="","",IF($I279&lt;&gt;"",$I279,INDEX($I$2:$I278,ROW()-COUNTIFS($T$2:$T278,"="&amp;$T279,$S$2:$S278,"&lt;&gt;"&amp;$S279)-1)))</f>
        <v/>
      </c>
      <c r="Z279" s="6"/>
      <c r="AH279" t="str">
        <f t="shared" si="93"/>
        <v>o</v>
      </c>
      <c r="AI279" t="str">
        <f t="shared" si="100"/>
        <v/>
      </c>
      <c r="AJ279" t="str">
        <f t="shared" si="101"/>
        <v/>
      </c>
      <c r="AK279" t="str">
        <f t="shared" si="94"/>
        <v/>
      </c>
      <c r="AL279" t="str">
        <f t="shared" si="95"/>
        <v/>
      </c>
      <c r="AM279" t="str">
        <f t="shared" si="96"/>
        <v/>
      </c>
      <c r="AN279" t="str">
        <f t="shared" si="102"/>
        <v/>
      </c>
      <c r="AO279" t="str">
        <f t="shared" si="103"/>
        <v/>
      </c>
      <c r="AP279" t="str">
        <f t="shared" si="104"/>
        <v/>
      </c>
      <c r="AQ279" t="str">
        <f t="shared" si="105"/>
        <v/>
      </c>
      <c r="AR279" t="str">
        <f t="shared" si="106"/>
        <v/>
      </c>
      <c r="AS279" t="str">
        <f t="shared" si="97"/>
        <v>Defensive</v>
      </c>
      <c r="BI279" s="40"/>
      <c r="BL279" s="40"/>
      <c r="BN279" s="19"/>
      <c r="BP279" s="17"/>
    </row>
    <row r="280" spans="1:68" x14ac:dyDescent="0.2">
      <c r="A280" t="str">
        <f t="shared" si="98"/>
        <v/>
      </c>
      <c r="E280" s="4"/>
      <c r="F280" s="45"/>
      <c r="G280" s="4"/>
      <c r="H280" s="48"/>
      <c r="J280" s="46" t="str">
        <f t="shared" si="99"/>
        <v/>
      </c>
      <c r="N280" t="str">
        <f t="shared" si="108"/>
        <v/>
      </c>
      <c r="Q280" t="str">
        <f t="shared" si="107"/>
        <v/>
      </c>
      <c r="S280" t="str">
        <f>IF(A280=1,MAX(S$2:S279)+1,IF(OR(I280&lt;&gt;"",A280="x"),S279,""))</f>
        <v/>
      </c>
      <c r="T280" t="str">
        <f>IF(D280=1,MAX($T$2:$T279)+1,IF(S280=$S279,$S279,IF($D280="x",T279,IF($D279="x","",""))))</f>
        <v/>
      </c>
      <c r="U280" t="str">
        <f>IF(B280=1,MAX($U$2:$U279)+1,IF(AND($T280&lt;&gt;"",$T280=$T279),$U279,IF(B280="x",U279,"")))</f>
        <v/>
      </c>
      <c r="V280" t="str">
        <f>IF(C280=1,MAX($V$2:$V279)+1,IF(AND($T280&lt;&gt;"",$T280=$T279),$U279,IF(C280="x",V279,"")))</f>
        <v/>
      </c>
      <c r="W280" t="str" cm="1">
        <f t="array" ref="W280">IFERROR(_xlfn._xlws.FILTER(game_rosters!AB:AB,(game_rosters!J:J=events!X280)*(K280&lt;&gt;"")),"")</f>
        <v/>
      </c>
      <c r="X280" t="str" cm="1">
        <f t="array" ref="X280">IF(S280="","",IF($I280&lt;&gt;"",$I280,INDEX($I$2:$I279,ROW()-COUNTIFS($T$2:$T279,"="&amp;$T280,$S$2:$S279,"&lt;&gt;"&amp;$S280)-1)))</f>
        <v/>
      </c>
      <c r="Z280" s="6"/>
      <c r="AH280" t="str">
        <f t="shared" si="93"/>
        <v>o</v>
      </c>
      <c r="AI280" t="str">
        <f t="shared" si="100"/>
        <v/>
      </c>
      <c r="AJ280" t="str">
        <f t="shared" si="101"/>
        <v/>
      </c>
      <c r="AK280" t="str">
        <f t="shared" si="94"/>
        <v/>
      </c>
      <c r="AL280" t="str">
        <f t="shared" si="95"/>
        <v/>
      </c>
      <c r="AM280" t="str">
        <f t="shared" si="96"/>
        <v/>
      </c>
      <c r="AN280" t="str">
        <f t="shared" si="102"/>
        <v/>
      </c>
      <c r="AO280" t="str">
        <f t="shared" si="103"/>
        <v/>
      </c>
      <c r="AP280" t="str">
        <f t="shared" si="104"/>
        <v/>
      </c>
      <c r="AQ280" t="str">
        <f t="shared" si="105"/>
        <v/>
      </c>
      <c r="AR280" t="str">
        <f t="shared" si="106"/>
        <v/>
      </c>
      <c r="AS280" t="str">
        <f t="shared" si="97"/>
        <v>Defensive</v>
      </c>
      <c r="BI280" s="40"/>
      <c r="BL280" s="40"/>
      <c r="BN280" s="19"/>
      <c r="BP280" s="17"/>
    </row>
    <row r="281" spans="1:68" x14ac:dyDescent="0.2">
      <c r="A281" t="str">
        <f t="shared" si="98"/>
        <v/>
      </c>
      <c r="E281" s="4"/>
      <c r="F281" s="45"/>
      <c r="G281" s="4"/>
      <c r="H281" s="48"/>
      <c r="J281" s="46" t="str">
        <f t="shared" si="99"/>
        <v/>
      </c>
      <c r="N281" t="str">
        <f t="shared" si="108"/>
        <v/>
      </c>
      <c r="Q281" t="str">
        <f t="shared" si="107"/>
        <v/>
      </c>
      <c r="S281" t="str">
        <f>IF(A281=1,MAX(S$2:S280)+1,IF(OR(I281&lt;&gt;"",A281="x"),S280,""))</f>
        <v/>
      </c>
      <c r="T281" t="str">
        <f>IF(D281=1,MAX($T$2:$T280)+1,IF(S281=$S280,$S280,IF($D281="x",T280,IF($D280="x","",""))))</f>
        <v/>
      </c>
      <c r="U281" t="str">
        <f>IF(B281=1,MAX($U$2:$U280)+1,IF(AND($T281&lt;&gt;"",$T281=$T280),$U280,IF(B281="x",U280,"")))</f>
        <v/>
      </c>
      <c r="V281" t="str">
        <f>IF(C281=1,MAX($V$2:$V280)+1,IF(AND($T281&lt;&gt;"",$T281=$T280),$U280,IF(C281="x",V280,"")))</f>
        <v/>
      </c>
      <c r="W281" t="str" cm="1">
        <f t="array" ref="W281">IFERROR(_xlfn._xlws.FILTER(game_rosters!AB:AB,(game_rosters!J:J=events!X281)*(K281&lt;&gt;"")),"")</f>
        <v/>
      </c>
      <c r="X281" t="str" cm="1">
        <f t="array" ref="X281">IF(S281="","",IF($I281&lt;&gt;"",$I281,INDEX($I$2:$I280,ROW()-COUNTIFS($T$2:$T280,"="&amp;$T281,$S$2:$S280,"&lt;&gt;"&amp;$S281)-1)))</f>
        <v/>
      </c>
      <c r="Z281" s="6"/>
      <c r="AH281" t="str">
        <f t="shared" si="93"/>
        <v>o</v>
      </c>
      <c r="AI281" t="str">
        <f t="shared" si="100"/>
        <v/>
      </c>
      <c r="AJ281" t="str">
        <f t="shared" si="101"/>
        <v/>
      </c>
      <c r="AK281" t="str">
        <f t="shared" si="94"/>
        <v/>
      </c>
      <c r="AL281" t="str">
        <f t="shared" si="95"/>
        <v/>
      </c>
      <c r="AM281" t="str">
        <f t="shared" si="96"/>
        <v/>
      </c>
      <c r="AN281" t="str">
        <f t="shared" si="102"/>
        <v/>
      </c>
      <c r="AO281" t="str">
        <f t="shared" si="103"/>
        <v/>
      </c>
      <c r="AP281" t="str">
        <f t="shared" si="104"/>
        <v/>
      </c>
      <c r="AQ281" t="str">
        <f t="shared" si="105"/>
        <v/>
      </c>
      <c r="AR281" t="str">
        <f t="shared" si="106"/>
        <v/>
      </c>
      <c r="AS281" t="str">
        <f t="shared" si="97"/>
        <v>Defensive</v>
      </c>
      <c r="BI281" s="40"/>
      <c r="BL281" s="40"/>
      <c r="BN281" s="19"/>
      <c r="BP281" s="17"/>
    </row>
    <row r="282" spans="1:68" x14ac:dyDescent="0.2">
      <c r="A282" t="str">
        <f t="shared" si="98"/>
        <v/>
      </c>
      <c r="E282" s="4"/>
      <c r="F282" s="45"/>
      <c r="G282" s="4"/>
      <c r="H282" s="48"/>
      <c r="J282" s="46" t="str">
        <f t="shared" si="99"/>
        <v/>
      </c>
      <c r="N282" t="str">
        <f t="shared" si="108"/>
        <v/>
      </c>
      <c r="Q282" t="str">
        <f t="shared" si="107"/>
        <v/>
      </c>
      <c r="S282" t="str">
        <f>IF(A282=1,MAX(S$2:S281)+1,IF(OR(I282&lt;&gt;"",A282="x"),S281,""))</f>
        <v/>
      </c>
      <c r="T282" t="str">
        <f>IF(D282=1,MAX($T$2:$T281)+1,IF(S282=$S281,$S281,IF($D282="x",T281,IF($D281="x","",""))))</f>
        <v/>
      </c>
      <c r="U282" t="str">
        <f>IF(B282=1,MAX($U$2:$U281)+1,IF(AND($T282&lt;&gt;"",$T282=$T281),$U281,IF(B282="x",U281,"")))</f>
        <v/>
      </c>
      <c r="V282" t="str">
        <f>IF(C282=1,MAX($V$2:$V281)+1,IF(AND($T282&lt;&gt;"",$T282=$T281),$U281,IF(C282="x",V281,"")))</f>
        <v/>
      </c>
      <c r="W282" t="str" cm="1">
        <f t="array" ref="W282">IFERROR(_xlfn._xlws.FILTER(game_rosters!AB:AB,(game_rosters!J:J=events!X282)*(K282&lt;&gt;"")),"")</f>
        <v/>
      </c>
      <c r="X282" t="str" cm="1">
        <f t="array" ref="X282">IF(S282="","",IF($I282&lt;&gt;"",$I282,INDEX($I$2:$I281,ROW()-COUNTIFS($T$2:$T281,"="&amp;$T282,$S$2:$S281,"&lt;&gt;"&amp;$S282)-1)))</f>
        <v/>
      </c>
      <c r="Z282" s="6"/>
      <c r="AH282" t="str">
        <f t="shared" si="93"/>
        <v>o</v>
      </c>
      <c r="AI282" t="str">
        <f t="shared" si="100"/>
        <v/>
      </c>
      <c r="AJ282" t="str">
        <f t="shared" si="101"/>
        <v/>
      </c>
      <c r="AK282" t="str">
        <f t="shared" si="94"/>
        <v/>
      </c>
      <c r="AL282" t="str">
        <f t="shared" si="95"/>
        <v/>
      </c>
      <c r="AM282" t="str">
        <f t="shared" si="96"/>
        <v/>
      </c>
      <c r="AN282" t="str">
        <f t="shared" si="102"/>
        <v/>
      </c>
      <c r="AO282" t="str">
        <f t="shared" si="103"/>
        <v/>
      </c>
      <c r="AP282" t="str">
        <f t="shared" si="104"/>
        <v/>
      </c>
      <c r="AQ282" t="str">
        <f t="shared" si="105"/>
        <v/>
      </c>
      <c r="AR282" t="str">
        <f t="shared" si="106"/>
        <v/>
      </c>
      <c r="AS282" t="str">
        <f t="shared" si="97"/>
        <v>Defensive</v>
      </c>
      <c r="BI282" s="40"/>
      <c r="BL282" s="40"/>
      <c r="BN282" s="19"/>
      <c r="BP282" s="17"/>
    </row>
    <row r="283" spans="1:68" x14ac:dyDescent="0.2">
      <c r="A283" t="str">
        <f t="shared" si="98"/>
        <v/>
      </c>
      <c r="E283" s="4"/>
      <c r="F283" s="45"/>
      <c r="G283" s="4"/>
      <c r="H283" s="48"/>
      <c r="J283" s="46" t="str">
        <f t="shared" si="99"/>
        <v/>
      </c>
      <c r="N283" t="str">
        <f t="shared" si="108"/>
        <v/>
      </c>
      <c r="Q283" t="str">
        <f t="shared" si="107"/>
        <v/>
      </c>
      <c r="S283" t="str">
        <f>IF(A283=1,MAX(S$2:S282)+1,IF(OR(I283&lt;&gt;"",A283="x"),S282,""))</f>
        <v/>
      </c>
      <c r="T283" t="str">
        <f>IF(D283=1,MAX($T$2:$T282)+1,IF(S283=$S282,$S282,IF($D283="x",T282,IF($D282="x","",""))))</f>
        <v/>
      </c>
      <c r="U283" t="str">
        <f>IF(B283=1,MAX($U$2:$U282)+1,IF(AND($T283&lt;&gt;"",$T283=$T282),$U282,IF(B283="x",U282,"")))</f>
        <v/>
      </c>
      <c r="V283" t="str">
        <f>IF(C283=1,MAX($V$2:$V282)+1,IF(AND($T283&lt;&gt;"",$T283=$T282),$U282,IF(C283="x",V282,"")))</f>
        <v/>
      </c>
      <c r="W283" t="str" cm="1">
        <f t="array" ref="W283">IFERROR(_xlfn._xlws.FILTER(game_rosters!AB:AB,(game_rosters!J:J=events!X283)*(K283&lt;&gt;"")),"")</f>
        <v/>
      </c>
      <c r="X283" t="str" cm="1">
        <f t="array" ref="X283">IF(S283="","",IF($I283&lt;&gt;"",$I283,INDEX($I$2:$I282,ROW()-COUNTIFS($T$2:$T282,"="&amp;$T283,$S$2:$S282,"&lt;&gt;"&amp;$S283)-1)))</f>
        <v/>
      </c>
      <c r="Z283" s="6"/>
      <c r="AH283" t="str">
        <f t="shared" si="93"/>
        <v>o</v>
      </c>
      <c r="AI283" t="str">
        <f t="shared" si="100"/>
        <v/>
      </c>
      <c r="AJ283" t="str">
        <f t="shared" si="101"/>
        <v/>
      </c>
      <c r="AK283" t="str">
        <f t="shared" si="94"/>
        <v/>
      </c>
      <c r="AL283" t="str">
        <f t="shared" si="95"/>
        <v/>
      </c>
      <c r="AM283" t="str">
        <f t="shared" si="96"/>
        <v/>
      </c>
      <c r="AN283" t="str">
        <f t="shared" si="102"/>
        <v/>
      </c>
      <c r="AO283" t="str">
        <f t="shared" si="103"/>
        <v/>
      </c>
      <c r="AP283" t="str">
        <f t="shared" si="104"/>
        <v/>
      </c>
      <c r="AQ283" t="str">
        <f t="shared" si="105"/>
        <v/>
      </c>
      <c r="AR283" t="str">
        <f t="shared" si="106"/>
        <v/>
      </c>
      <c r="AS283" t="str">
        <f t="shared" si="97"/>
        <v>Defensive</v>
      </c>
      <c r="BI283" s="40"/>
      <c r="BL283" s="40"/>
      <c r="BN283" s="19"/>
      <c r="BP283" s="17"/>
    </row>
    <row r="284" spans="1:68" x14ac:dyDescent="0.2">
      <c r="A284" t="str">
        <f t="shared" si="98"/>
        <v/>
      </c>
      <c r="E284" s="4"/>
      <c r="F284" s="45"/>
      <c r="G284" s="4"/>
      <c r="H284" s="48"/>
      <c r="J284" s="46" t="str">
        <f t="shared" si="99"/>
        <v/>
      </c>
      <c r="N284" t="str">
        <f t="shared" si="108"/>
        <v/>
      </c>
      <c r="Q284" t="str">
        <f t="shared" si="107"/>
        <v/>
      </c>
      <c r="S284" t="str">
        <f>IF(A284=1,MAX(S$2:S283)+1,IF(OR(I284&lt;&gt;"",A284="x"),S283,""))</f>
        <v/>
      </c>
      <c r="T284" t="str">
        <f>IF(D284=1,MAX($T$2:$T283)+1,IF(S284=$S283,$S283,IF($D284="x",T283,IF($D283="x","",""))))</f>
        <v/>
      </c>
      <c r="U284" t="str">
        <f>IF(B284=1,MAX($U$2:$U283)+1,IF(AND($T284&lt;&gt;"",$T284=$T283),$U283,IF(B284="x",U283,"")))</f>
        <v/>
      </c>
      <c r="V284" t="str">
        <f>IF(C284=1,MAX($V$2:$V283)+1,IF(AND($T284&lt;&gt;"",$T284=$T283),$U283,IF(C284="x",V283,"")))</f>
        <v/>
      </c>
      <c r="W284" t="str" cm="1">
        <f t="array" ref="W284">IFERROR(_xlfn._xlws.FILTER(game_rosters!AB:AB,(game_rosters!J:J=events!X284)*(K284&lt;&gt;"")),"")</f>
        <v/>
      </c>
      <c r="X284" t="str" cm="1">
        <f t="array" ref="X284">IF(S284="","",IF($I284&lt;&gt;"",$I284,INDEX($I$2:$I283,ROW()-COUNTIFS($T$2:$T283,"="&amp;$T284,$S$2:$S283,"&lt;&gt;"&amp;$S284)-1)))</f>
        <v/>
      </c>
      <c r="Z284" s="6"/>
      <c r="AH284" t="str">
        <f t="shared" si="93"/>
        <v>o</v>
      </c>
      <c r="AI284" t="str">
        <f t="shared" si="100"/>
        <v/>
      </c>
      <c r="AJ284" t="str">
        <f t="shared" si="101"/>
        <v/>
      </c>
      <c r="AK284" t="str">
        <f t="shared" si="94"/>
        <v/>
      </c>
      <c r="AL284" t="str">
        <f t="shared" si="95"/>
        <v/>
      </c>
      <c r="AM284" t="str">
        <f t="shared" si="96"/>
        <v/>
      </c>
      <c r="AN284" t="str">
        <f t="shared" si="102"/>
        <v/>
      </c>
      <c r="AO284" t="str">
        <f t="shared" si="103"/>
        <v/>
      </c>
      <c r="AP284" t="str">
        <f t="shared" si="104"/>
        <v/>
      </c>
      <c r="AQ284" t="str">
        <f t="shared" si="105"/>
        <v/>
      </c>
      <c r="AR284" t="str">
        <f t="shared" si="106"/>
        <v/>
      </c>
      <c r="AS284" t="str">
        <f t="shared" si="97"/>
        <v>Defensive</v>
      </c>
      <c r="BI284" s="40"/>
      <c r="BL284" s="40"/>
      <c r="BN284" s="19"/>
      <c r="BP284" s="17"/>
    </row>
    <row r="285" spans="1:68" x14ac:dyDescent="0.2">
      <c r="A285" t="str">
        <f t="shared" si="98"/>
        <v/>
      </c>
      <c r="E285" s="4"/>
      <c r="F285" s="45"/>
      <c r="G285" s="4"/>
      <c r="H285" s="48"/>
      <c r="J285" s="46" t="str">
        <f t="shared" si="99"/>
        <v/>
      </c>
      <c r="N285" t="str">
        <f t="shared" si="108"/>
        <v/>
      </c>
      <c r="Q285" t="str">
        <f t="shared" si="107"/>
        <v/>
      </c>
      <c r="S285" t="str">
        <f>IF(A285=1,MAX(S$2:S284)+1,IF(OR(I285&lt;&gt;"",A285="x"),S284,""))</f>
        <v/>
      </c>
      <c r="T285" t="str">
        <f>IF(D285=1,MAX($T$2:$T284)+1,IF(S285=$S284,$S284,IF($D285="x",T284,IF($D284="x","",""))))</f>
        <v/>
      </c>
      <c r="U285" t="str">
        <f>IF(B285=1,MAX($U$2:$U284)+1,IF(AND($T285&lt;&gt;"",$T285=$T284),$U284,IF(B285="x",U284,"")))</f>
        <v/>
      </c>
      <c r="V285" t="str">
        <f>IF(C285=1,MAX($V$2:$V284)+1,IF(AND($T285&lt;&gt;"",$T285=$T284),$U284,IF(C285="x",V284,"")))</f>
        <v/>
      </c>
      <c r="W285" t="str" cm="1">
        <f t="array" ref="W285">IFERROR(_xlfn._xlws.FILTER(game_rosters!AB:AB,(game_rosters!J:J=events!X285)*(K285&lt;&gt;"")),"")</f>
        <v/>
      </c>
      <c r="X285" t="str" cm="1">
        <f t="array" ref="X285">IF(S285="","",IF($I285&lt;&gt;"",$I285,INDEX($I$2:$I284,ROW()-COUNTIFS($T$2:$T284,"="&amp;$T285,$S$2:$S284,"&lt;&gt;"&amp;$S285)-1)))</f>
        <v/>
      </c>
      <c r="Z285" s="6"/>
      <c r="AH285" t="str">
        <f t="shared" si="93"/>
        <v>o</v>
      </c>
      <c r="AI285" t="str">
        <f t="shared" si="100"/>
        <v/>
      </c>
      <c r="AJ285" t="str">
        <f t="shared" si="101"/>
        <v/>
      </c>
      <c r="AK285" t="str">
        <f t="shared" si="94"/>
        <v/>
      </c>
      <c r="AL285" t="str">
        <f t="shared" si="95"/>
        <v/>
      </c>
      <c r="AM285" t="str">
        <f t="shared" si="96"/>
        <v/>
      </c>
      <c r="AN285" t="str">
        <f t="shared" si="102"/>
        <v/>
      </c>
      <c r="AO285" t="str">
        <f t="shared" si="103"/>
        <v/>
      </c>
      <c r="AP285" t="str">
        <f t="shared" si="104"/>
        <v/>
      </c>
      <c r="AQ285" t="str">
        <f t="shared" si="105"/>
        <v/>
      </c>
      <c r="AR285" t="str">
        <f t="shared" si="106"/>
        <v/>
      </c>
      <c r="AS285" t="str">
        <f t="shared" si="97"/>
        <v>Defensive</v>
      </c>
      <c r="BI285" s="40"/>
      <c r="BL285" s="40"/>
      <c r="BN285" s="19"/>
      <c r="BP285" s="17"/>
    </row>
    <row r="286" spans="1:68" x14ac:dyDescent="0.2">
      <c r="A286" t="str">
        <f t="shared" si="98"/>
        <v/>
      </c>
      <c r="E286" s="4"/>
      <c r="F286" s="45"/>
      <c r="G286" s="4"/>
      <c r="H286" s="48"/>
      <c r="J286" s="46" t="str">
        <f t="shared" si="99"/>
        <v/>
      </c>
      <c r="N286" t="str">
        <f t="shared" si="108"/>
        <v/>
      </c>
      <c r="Q286" t="str">
        <f t="shared" si="107"/>
        <v/>
      </c>
      <c r="S286" t="str">
        <f>IF(A286=1,MAX(S$2:S285)+1,IF(OR(I286&lt;&gt;"",A286="x"),S285,""))</f>
        <v/>
      </c>
      <c r="T286" t="str">
        <f>IF(D286=1,MAX($T$2:$T285)+1,IF(S286=$S285,$S285,IF($D286="x",T285,IF($D285="x","",""))))</f>
        <v/>
      </c>
      <c r="U286" t="str">
        <f>IF(B286=1,MAX($U$2:$U285)+1,IF(AND($T286&lt;&gt;"",$T286=$T285),$U285,IF(B286="x",U285,"")))</f>
        <v/>
      </c>
      <c r="V286" t="str">
        <f>IF(C286=1,MAX($V$2:$V285)+1,IF(AND($T286&lt;&gt;"",$T286=$T285),$U285,IF(C286="x",V285,"")))</f>
        <v/>
      </c>
      <c r="W286" t="str" cm="1">
        <f t="array" ref="W286">IFERROR(_xlfn._xlws.FILTER(game_rosters!AB:AB,(game_rosters!J:J=events!X286)*(K286&lt;&gt;"")),"")</f>
        <v/>
      </c>
      <c r="X286" t="str" cm="1">
        <f t="array" ref="X286">IF(S286="","",IF($I286&lt;&gt;"",$I286,INDEX($I$2:$I285,ROW()-COUNTIFS($T$2:$T285,"="&amp;$T286,$S$2:$S285,"&lt;&gt;"&amp;$S286)-1)))</f>
        <v/>
      </c>
      <c r="Z286" s="6"/>
      <c r="AH286" t="str">
        <f t="shared" si="93"/>
        <v>o</v>
      </c>
      <c r="AI286" t="str">
        <f t="shared" si="100"/>
        <v/>
      </c>
      <c r="AJ286" t="str">
        <f t="shared" si="101"/>
        <v/>
      </c>
      <c r="AK286" t="str">
        <f t="shared" si="94"/>
        <v/>
      </c>
      <c r="AL286" t="str">
        <f t="shared" si="95"/>
        <v/>
      </c>
      <c r="AM286" t="str">
        <f t="shared" si="96"/>
        <v/>
      </c>
      <c r="AN286" t="str">
        <f t="shared" si="102"/>
        <v/>
      </c>
      <c r="AO286" t="str">
        <f t="shared" si="103"/>
        <v/>
      </c>
      <c r="AP286" t="str">
        <f t="shared" si="104"/>
        <v/>
      </c>
      <c r="AQ286" t="str">
        <f t="shared" si="105"/>
        <v/>
      </c>
      <c r="AR286" t="str">
        <f t="shared" si="106"/>
        <v/>
      </c>
      <c r="AS286" t="str">
        <f t="shared" si="97"/>
        <v>Defensive</v>
      </c>
      <c r="BI286" s="40"/>
      <c r="BL286" s="40"/>
      <c r="BN286" s="19"/>
      <c r="BP286" s="17"/>
    </row>
    <row r="287" spans="1:68" x14ac:dyDescent="0.2">
      <c r="A287" t="str">
        <f t="shared" si="98"/>
        <v/>
      </c>
      <c r="E287" s="4"/>
      <c r="F287" s="45"/>
      <c r="G287" s="4"/>
      <c r="H287" s="48"/>
      <c r="J287" s="46" t="str">
        <f t="shared" si="99"/>
        <v/>
      </c>
      <c r="N287" t="str">
        <f t="shared" si="108"/>
        <v/>
      </c>
      <c r="Q287" t="str">
        <f t="shared" si="107"/>
        <v/>
      </c>
      <c r="S287" t="str">
        <f>IF(A287=1,MAX(S$2:S286)+1,IF(OR(I287&lt;&gt;"",A287="x"),S286,""))</f>
        <v/>
      </c>
      <c r="T287" t="str">
        <f>IF(D287=1,MAX($T$2:$T286)+1,IF(S287=$S286,$S286,IF($D287="x",T286,IF($D286="x","",""))))</f>
        <v/>
      </c>
      <c r="U287" t="str">
        <f>IF(B287=1,MAX($U$2:$U286)+1,IF(AND($T287&lt;&gt;"",$T287=$T286),$U286,IF(B287="x",U286,"")))</f>
        <v/>
      </c>
      <c r="V287" t="str">
        <f>IF(C287=1,MAX($V$2:$V286)+1,IF(AND($T287&lt;&gt;"",$T287=$T286),$U286,IF(C287="x",V286,"")))</f>
        <v/>
      </c>
      <c r="W287" t="str" cm="1">
        <f t="array" ref="W287">IFERROR(_xlfn._xlws.FILTER(game_rosters!AB:AB,(game_rosters!J:J=events!X287)*(K287&lt;&gt;"")),"")</f>
        <v/>
      </c>
      <c r="X287" t="str" cm="1">
        <f t="array" ref="X287">IF(S287="","",IF($I287&lt;&gt;"",$I287,INDEX($I$2:$I286,ROW()-COUNTIFS($T$2:$T286,"="&amp;$T287,$S$2:$S286,"&lt;&gt;"&amp;$S287)-1)))</f>
        <v/>
      </c>
      <c r="Z287" s="6"/>
      <c r="AH287" t="str">
        <f t="shared" si="93"/>
        <v>o</v>
      </c>
      <c r="AI287" t="str">
        <f t="shared" si="100"/>
        <v/>
      </c>
      <c r="AJ287" t="str">
        <f t="shared" si="101"/>
        <v/>
      </c>
      <c r="AK287" t="str">
        <f t="shared" si="94"/>
        <v/>
      </c>
      <c r="AL287" t="str">
        <f t="shared" si="95"/>
        <v/>
      </c>
      <c r="AM287" t="str">
        <f t="shared" si="96"/>
        <v/>
      </c>
      <c r="AN287" t="str">
        <f t="shared" si="102"/>
        <v/>
      </c>
      <c r="AO287" t="str">
        <f t="shared" si="103"/>
        <v/>
      </c>
      <c r="AP287" t="str">
        <f t="shared" si="104"/>
        <v/>
      </c>
      <c r="AQ287" t="str">
        <f t="shared" si="105"/>
        <v/>
      </c>
      <c r="AR287" t="str">
        <f t="shared" si="106"/>
        <v/>
      </c>
      <c r="AS287" t="str">
        <f t="shared" si="97"/>
        <v>Defensive</v>
      </c>
      <c r="BI287" s="40"/>
      <c r="BL287" s="40"/>
      <c r="BN287" s="19"/>
      <c r="BP287" s="17"/>
    </row>
    <row r="288" spans="1:68" x14ac:dyDescent="0.2">
      <c r="A288" t="str">
        <f t="shared" si="98"/>
        <v/>
      </c>
      <c r="E288" s="4"/>
      <c r="F288" s="45"/>
      <c r="G288" s="4"/>
      <c r="H288" s="48"/>
      <c r="J288" s="46" t="str">
        <f t="shared" si="99"/>
        <v/>
      </c>
      <c r="N288" t="str">
        <f t="shared" si="108"/>
        <v/>
      </c>
      <c r="Q288" t="str">
        <f t="shared" si="107"/>
        <v/>
      </c>
      <c r="S288" t="str">
        <f>IF(A288=1,MAX(S$2:S287)+1,IF(OR(I288&lt;&gt;"",A288="x"),S287,""))</f>
        <v/>
      </c>
      <c r="T288" t="str">
        <f>IF(D288=1,MAX($T$2:$T287)+1,IF(S288=$S287,$S287,IF($D288="x",T287,IF($D287="x","",""))))</f>
        <v/>
      </c>
      <c r="U288" t="str">
        <f>IF(B288=1,MAX($U$2:$U287)+1,IF(AND($T288&lt;&gt;"",$T288=$T287),$U287,IF(B288="x",U287,"")))</f>
        <v/>
      </c>
      <c r="V288" t="str">
        <f>IF(C288=1,MAX($V$2:$V287)+1,IF(AND($T288&lt;&gt;"",$T288=$T287),$U287,IF(C288="x",V287,"")))</f>
        <v/>
      </c>
      <c r="W288" t="str" cm="1">
        <f t="array" ref="W288">IFERROR(_xlfn._xlws.FILTER(game_rosters!AB:AB,(game_rosters!J:J=events!X288)*(K288&lt;&gt;"")),"")</f>
        <v/>
      </c>
      <c r="X288" t="str" cm="1">
        <f t="array" ref="X288">IF(S288="","",IF($I288&lt;&gt;"",$I288,INDEX($I$2:$I287,ROW()-COUNTIFS($T$2:$T287,"="&amp;$T288,$S$2:$S287,"&lt;&gt;"&amp;$S288)-1)))</f>
        <v/>
      </c>
      <c r="Z288" s="6"/>
      <c r="AH288" t="str">
        <f t="shared" si="93"/>
        <v>o</v>
      </c>
      <c r="AI288" t="str">
        <f t="shared" si="100"/>
        <v/>
      </c>
      <c r="AJ288" t="str">
        <f t="shared" si="101"/>
        <v/>
      </c>
      <c r="AK288" t="str">
        <f t="shared" si="94"/>
        <v/>
      </c>
      <c r="AL288" t="str">
        <f t="shared" si="95"/>
        <v/>
      </c>
      <c r="AM288" t="str">
        <f t="shared" si="96"/>
        <v/>
      </c>
      <c r="AN288" t="str">
        <f t="shared" si="102"/>
        <v/>
      </c>
      <c r="AO288" t="str">
        <f t="shared" si="103"/>
        <v/>
      </c>
      <c r="AP288" t="str">
        <f t="shared" si="104"/>
        <v/>
      </c>
      <c r="AQ288" t="str">
        <f t="shared" si="105"/>
        <v/>
      </c>
      <c r="AR288" t="str">
        <f t="shared" si="106"/>
        <v/>
      </c>
      <c r="AS288" t="str">
        <f t="shared" si="97"/>
        <v>Defensive</v>
      </c>
      <c r="BI288" s="40"/>
      <c r="BL288" s="40"/>
      <c r="BN288" s="19"/>
      <c r="BP288" s="17"/>
    </row>
    <row r="289" spans="1:68" x14ac:dyDescent="0.2">
      <c r="A289" t="str">
        <f t="shared" si="98"/>
        <v/>
      </c>
      <c r="E289" s="4"/>
      <c r="F289" s="45"/>
      <c r="G289" s="4"/>
      <c r="H289" s="48"/>
      <c r="J289" s="46" t="str">
        <f t="shared" si="99"/>
        <v/>
      </c>
      <c r="N289" t="str">
        <f t="shared" si="108"/>
        <v/>
      </c>
      <c r="Q289" t="str">
        <f t="shared" si="107"/>
        <v/>
      </c>
      <c r="S289" t="str">
        <f>IF(A289=1,MAX(S$2:S288)+1,IF(OR(I289&lt;&gt;"",A289="x"),S288,""))</f>
        <v/>
      </c>
      <c r="T289" t="str">
        <f>IF(D289=1,MAX($T$2:$T288)+1,IF(S289=$S288,$S288,IF($D289="x",T288,IF($D288="x","",""))))</f>
        <v/>
      </c>
      <c r="U289" t="str">
        <f>IF(B289=1,MAX($U$2:$U288)+1,IF(AND($T289&lt;&gt;"",$T289=$T288),$U288,IF(B289="x",U288,"")))</f>
        <v/>
      </c>
      <c r="V289" t="str">
        <f>IF(C289=1,MAX($V$2:$V288)+1,IF(AND($T289&lt;&gt;"",$T289=$T288),$U288,IF(C289="x",V288,"")))</f>
        <v/>
      </c>
      <c r="W289" t="str" cm="1">
        <f t="array" ref="W289">IFERROR(_xlfn._xlws.FILTER(game_rosters!AB:AB,(game_rosters!J:J=events!X289)*(K289&lt;&gt;"")),"")</f>
        <v/>
      </c>
      <c r="X289" t="str" cm="1">
        <f t="array" ref="X289">IF(S289="","",IF($I289&lt;&gt;"",$I289,INDEX($I$2:$I288,ROW()-COUNTIFS($T$2:$T288,"="&amp;$T289,$S$2:$S288,"&lt;&gt;"&amp;$S289)-1)))</f>
        <v/>
      </c>
      <c r="Z289" s="6"/>
      <c r="AH289" t="str">
        <f t="shared" si="93"/>
        <v>o</v>
      </c>
      <c r="AI289" t="str">
        <f t="shared" si="100"/>
        <v/>
      </c>
      <c r="AJ289" t="str">
        <f t="shared" si="101"/>
        <v/>
      </c>
      <c r="AK289" t="str">
        <f t="shared" si="94"/>
        <v/>
      </c>
      <c r="AL289" t="str">
        <f t="shared" si="95"/>
        <v/>
      </c>
      <c r="AM289" t="str">
        <f t="shared" si="96"/>
        <v/>
      </c>
      <c r="AN289" t="str">
        <f t="shared" si="102"/>
        <v/>
      </c>
      <c r="AO289" t="str">
        <f t="shared" si="103"/>
        <v/>
      </c>
      <c r="AP289" t="str">
        <f t="shared" si="104"/>
        <v/>
      </c>
      <c r="AQ289" t="str">
        <f t="shared" si="105"/>
        <v/>
      </c>
      <c r="AR289" t="str">
        <f t="shared" si="106"/>
        <v/>
      </c>
      <c r="AS289" t="str">
        <f t="shared" si="97"/>
        <v>Defensive</v>
      </c>
      <c r="BI289" s="40"/>
      <c r="BL289" s="40"/>
      <c r="BN289" s="19"/>
      <c r="BP289" s="17"/>
    </row>
    <row r="290" spans="1:68" x14ac:dyDescent="0.2">
      <c r="A290" t="str">
        <f t="shared" si="98"/>
        <v/>
      </c>
      <c r="E290" s="4"/>
      <c r="F290" s="45"/>
      <c r="G290" s="4"/>
      <c r="H290" s="48"/>
      <c r="J290" s="46" t="str">
        <f t="shared" si="99"/>
        <v/>
      </c>
      <c r="N290" t="str">
        <f t="shared" si="108"/>
        <v/>
      </c>
      <c r="Q290" t="str">
        <f t="shared" si="107"/>
        <v/>
      </c>
      <c r="S290" t="str">
        <f>IF(A290=1,MAX(S$2:S289)+1,IF(OR(I290&lt;&gt;"",A290="x"),S289,""))</f>
        <v/>
      </c>
      <c r="T290" t="str">
        <f>IF(D290=1,MAX($T$2:$T289)+1,IF(S290=$S289,$S289,IF($D290="x",T289,IF($D289="x","",""))))</f>
        <v/>
      </c>
      <c r="U290" t="str">
        <f>IF(B290=1,MAX($U$2:$U289)+1,IF(AND($T290&lt;&gt;"",$T290=$T289),$U289,IF(B290="x",U289,"")))</f>
        <v/>
      </c>
      <c r="V290" t="str">
        <f>IF(C290=1,MAX($V$2:$V289)+1,IF(AND($T290&lt;&gt;"",$T290=$T289),$U289,IF(C290="x",V289,"")))</f>
        <v/>
      </c>
      <c r="W290" t="str" cm="1">
        <f t="array" ref="W290">IFERROR(_xlfn._xlws.FILTER(game_rosters!AB:AB,(game_rosters!J:J=events!X290)*(K290&lt;&gt;"")),"")</f>
        <v/>
      </c>
      <c r="X290" t="str" cm="1">
        <f t="array" ref="X290">IF(S290="","",IF($I290&lt;&gt;"",$I290,INDEX($I$2:$I289,ROW()-COUNTIFS($T$2:$T289,"="&amp;$T290,$S$2:$S289,"&lt;&gt;"&amp;$S290)-1)))</f>
        <v/>
      </c>
      <c r="Z290" s="6"/>
      <c r="AH290" t="str">
        <f t="shared" si="93"/>
        <v>o</v>
      </c>
      <c r="AI290" t="str">
        <f t="shared" si="100"/>
        <v/>
      </c>
      <c r="AJ290" t="str">
        <f t="shared" si="101"/>
        <v/>
      </c>
      <c r="AK290" t="str">
        <f t="shared" si="94"/>
        <v/>
      </c>
      <c r="AL290" t="str">
        <f t="shared" si="95"/>
        <v/>
      </c>
      <c r="AM290" t="str">
        <f t="shared" si="96"/>
        <v/>
      </c>
      <c r="AN290" t="str">
        <f t="shared" si="102"/>
        <v/>
      </c>
      <c r="AO290" t="str">
        <f t="shared" si="103"/>
        <v/>
      </c>
      <c r="AP290" t="str">
        <f t="shared" si="104"/>
        <v/>
      </c>
      <c r="AQ290" t="str">
        <f t="shared" si="105"/>
        <v/>
      </c>
      <c r="AR290" t="str">
        <f t="shared" si="106"/>
        <v/>
      </c>
      <c r="AS290" t="str">
        <f t="shared" si="97"/>
        <v>Defensive</v>
      </c>
      <c r="BI290" s="40"/>
      <c r="BL290" s="40"/>
      <c r="BN290" s="19"/>
      <c r="BP290" s="17"/>
    </row>
    <row r="291" spans="1:68" x14ac:dyDescent="0.2">
      <c r="A291" t="str">
        <f t="shared" si="98"/>
        <v/>
      </c>
      <c r="E291" s="4"/>
      <c r="F291" s="45"/>
      <c r="G291" s="4"/>
      <c r="H291" s="48"/>
      <c r="J291" s="46" t="str">
        <f t="shared" si="99"/>
        <v/>
      </c>
      <c r="N291" t="str">
        <f t="shared" si="108"/>
        <v/>
      </c>
      <c r="Q291" t="str">
        <f t="shared" si="107"/>
        <v/>
      </c>
      <c r="S291" t="str">
        <f>IF(A291=1,MAX(S$2:S290)+1,IF(OR(I291&lt;&gt;"",A291="x"),S290,""))</f>
        <v/>
      </c>
      <c r="T291" t="str">
        <f>IF(D291=1,MAX($T$2:$T290)+1,IF(S291=$S290,$S290,IF($D291="x",T290,IF($D290="x","",""))))</f>
        <v/>
      </c>
      <c r="U291" t="str">
        <f>IF(B291=1,MAX($U$2:$U290)+1,IF(AND($T291&lt;&gt;"",$T291=$T290),$U290,IF(B291="x",U290,"")))</f>
        <v/>
      </c>
      <c r="V291" t="str">
        <f>IF(C291=1,MAX($V$2:$V290)+1,IF(AND($T291&lt;&gt;"",$T291=$T290),$U290,IF(C291="x",V290,"")))</f>
        <v/>
      </c>
      <c r="W291" t="str" cm="1">
        <f t="array" ref="W291">IFERROR(_xlfn._xlws.FILTER(game_rosters!AB:AB,(game_rosters!J:J=events!X291)*(K291&lt;&gt;"")),"")</f>
        <v/>
      </c>
      <c r="X291" t="str" cm="1">
        <f t="array" ref="X291">IF(S291="","",IF($I291&lt;&gt;"",$I291,INDEX($I$2:$I290,ROW()-COUNTIFS($T$2:$T290,"="&amp;$T291,$S$2:$S290,"&lt;&gt;"&amp;$S291)-1)))</f>
        <v/>
      </c>
      <c r="Z291" s="6"/>
      <c r="AH291" t="str">
        <f t="shared" si="93"/>
        <v>o</v>
      </c>
      <c r="AI291" t="str">
        <f t="shared" si="100"/>
        <v/>
      </c>
      <c r="AJ291" t="str">
        <f t="shared" si="101"/>
        <v/>
      </c>
      <c r="AK291" t="str">
        <f t="shared" si="94"/>
        <v/>
      </c>
      <c r="AL291" t="str">
        <f t="shared" si="95"/>
        <v/>
      </c>
      <c r="AM291" t="str">
        <f t="shared" si="96"/>
        <v/>
      </c>
      <c r="AN291" t="str">
        <f t="shared" si="102"/>
        <v/>
      </c>
      <c r="AO291" t="str">
        <f t="shared" si="103"/>
        <v/>
      </c>
      <c r="AP291" t="str">
        <f t="shared" si="104"/>
        <v/>
      </c>
      <c r="AQ291" t="str">
        <f t="shared" si="105"/>
        <v/>
      </c>
      <c r="AR291" t="str">
        <f t="shared" si="106"/>
        <v/>
      </c>
      <c r="AS291" t="str">
        <f t="shared" si="97"/>
        <v>Defensive</v>
      </c>
      <c r="BI291" s="40"/>
      <c r="BL291" s="40"/>
      <c r="BN291" s="19"/>
      <c r="BP291" s="17"/>
    </row>
    <row r="292" spans="1:68" x14ac:dyDescent="0.2">
      <c r="A292" t="str">
        <f t="shared" si="98"/>
        <v/>
      </c>
      <c r="E292" s="4"/>
      <c r="F292" s="45"/>
      <c r="G292" s="4"/>
      <c r="H292" s="48"/>
      <c r="J292" s="46" t="str">
        <f t="shared" si="99"/>
        <v/>
      </c>
      <c r="N292" t="str">
        <f t="shared" si="108"/>
        <v/>
      </c>
      <c r="Q292" t="str">
        <f t="shared" si="107"/>
        <v/>
      </c>
      <c r="S292" t="str">
        <f>IF(A292=1,MAX(S$2:S291)+1,IF(OR(I292&lt;&gt;"",A292="x"),S291,""))</f>
        <v/>
      </c>
      <c r="T292" t="str">
        <f>IF(D292=1,MAX($T$2:$T291)+1,IF(S292=$S291,$S291,IF($D292="x",T291,IF($D291="x","",""))))</f>
        <v/>
      </c>
      <c r="U292" t="str">
        <f>IF(B292=1,MAX($U$2:$U291)+1,IF(AND($T292&lt;&gt;"",$T292=$T291),$U291,IF(B292="x",U291,"")))</f>
        <v/>
      </c>
      <c r="V292" t="str">
        <f>IF(C292=1,MAX($V$2:$V291)+1,IF(AND($T292&lt;&gt;"",$T292=$T291),$U291,IF(C292="x",V291,"")))</f>
        <v/>
      </c>
      <c r="W292" t="str" cm="1">
        <f t="array" ref="W292">IFERROR(_xlfn._xlws.FILTER(game_rosters!AB:AB,(game_rosters!J:J=events!X292)*(K292&lt;&gt;"")),"")</f>
        <v/>
      </c>
      <c r="X292" t="str" cm="1">
        <f t="array" ref="X292">IF(S292="","",IF($I292&lt;&gt;"",$I292,INDEX($I$2:$I291,ROW()-COUNTIFS($T$2:$T291,"="&amp;$T292,$S$2:$S291,"&lt;&gt;"&amp;$S292)-1)))</f>
        <v/>
      </c>
      <c r="Z292" s="6"/>
      <c r="AH292" t="str">
        <f t="shared" si="93"/>
        <v>o</v>
      </c>
      <c r="AI292" t="str">
        <f t="shared" si="100"/>
        <v/>
      </c>
      <c r="AJ292" t="str">
        <f t="shared" si="101"/>
        <v/>
      </c>
      <c r="AK292" t="str">
        <f t="shared" si="94"/>
        <v/>
      </c>
      <c r="AL292" t="str">
        <f t="shared" si="95"/>
        <v/>
      </c>
      <c r="AM292" t="str">
        <f t="shared" si="96"/>
        <v/>
      </c>
      <c r="AN292" t="str">
        <f t="shared" si="102"/>
        <v/>
      </c>
      <c r="AO292" t="str">
        <f t="shared" si="103"/>
        <v/>
      </c>
      <c r="AP292" t="str">
        <f t="shared" si="104"/>
        <v/>
      </c>
      <c r="AQ292" t="str">
        <f t="shared" si="105"/>
        <v/>
      </c>
      <c r="AR292" t="str">
        <f t="shared" si="106"/>
        <v/>
      </c>
      <c r="AS292" t="str">
        <f t="shared" si="97"/>
        <v>Defensive</v>
      </c>
      <c r="BI292" s="40"/>
      <c r="BL292" s="40"/>
      <c r="BN292" s="19"/>
      <c r="BP292" s="17"/>
    </row>
    <row r="293" spans="1:68" x14ac:dyDescent="0.2">
      <c r="A293" t="str">
        <f t="shared" si="98"/>
        <v/>
      </c>
      <c r="E293" s="4"/>
      <c r="F293" s="45"/>
      <c r="G293" s="4"/>
      <c r="H293" s="48"/>
      <c r="J293" s="46" t="str">
        <f t="shared" si="99"/>
        <v/>
      </c>
      <c r="N293" t="str">
        <f t="shared" si="108"/>
        <v/>
      </c>
      <c r="Q293" t="str">
        <f t="shared" si="107"/>
        <v/>
      </c>
      <c r="S293" t="str">
        <f>IF(A293=1,MAX(S$2:S292)+1,IF(OR(I293&lt;&gt;"",A293="x"),S292,""))</f>
        <v/>
      </c>
      <c r="T293" t="str">
        <f>IF(D293=1,MAX($T$2:$T292)+1,IF(S293=$S292,$S292,IF($D293="x",T292,IF($D292="x","",""))))</f>
        <v/>
      </c>
      <c r="U293" t="str">
        <f>IF(B293=1,MAX($U$2:$U292)+1,IF(AND($T293&lt;&gt;"",$T293=$T292),$U292,IF(B293="x",U292,"")))</f>
        <v/>
      </c>
      <c r="V293" t="str">
        <f>IF(C293=1,MAX($V$2:$V292)+1,IF(AND($T293&lt;&gt;"",$T293=$T292),$U292,IF(C293="x",V292,"")))</f>
        <v/>
      </c>
      <c r="W293" t="str" cm="1">
        <f t="array" ref="W293">IFERROR(_xlfn._xlws.FILTER(game_rosters!AB:AB,(game_rosters!J:J=events!X293)*(K293&lt;&gt;"")),"")</f>
        <v/>
      </c>
      <c r="X293" t="str" cm="1">
        <f t="array" ref="X293">IF(S293="","",IF($I293&lt;&gt;"",$I293,INDEX($I$2:$I292,ROW()-COUNTIFS($T$2:$T292,"="&amp;$T293,$S$2:$S292,"&lt;&gt;"&amp;$S293)-1)))</f>
        <v/>
      </c>
      <c r="Z293" s="6"/>
      <c r="AH293" t="str">
        <f t="shared" si="93"/>
        <v>o</v>
      </c>
      <c r="AI293" t="str">
        <f t="shared" si="100"/>
        <v/>
      </c>
      <c r="AJ293" t="str">
        <f t="shared" si="101"/>
        <v/>
      </c>
      <c r="AK293" t="str">
        <f t="shared" si="94"/>
        <v/>
      </c>
      <c r="AL293" t="str">
        <f t="shared" si="95"/>
        <v/>
      </c>
      <c r="AM293" t="str">
        <f t="shared" si="96"/>
        <v/>
      </c>
      <c r="AN293" t="str">
        <f t="shared" si="102"/>
        <v/>
      </c>
      <c r="AO293" t="str">
        <f t="shared" si="103"/>
        <v/>
      </c>
      <c r="AP293" t="str">
        <f t="shared" si="104"/>
        <v/>
      </c>
      <c r="AQ293" t="str">
        <f t="shared" si="105"/>
        <v/>
      </c>
      <c r="AR293" t="str">
        <f t="shared" si="106"/>
        <v/>
      </c>
      <c r="AS293" t="str">
        <f t="shared" si="97"/>
        <v>Defensive</v>
      </c>
      <c r="BI293" s="40"/>
      <c r="BL293" s="40"/>
      <c r="BN293" s="19"/>
      <c r="BP293" s="17"/>
    </row>
    <row r="294" spans="1:68" x14ac:dyDescent="0.2">
      <c r="A294" t="str">
        <f t="shared" si="98"/>
        <v/>
      </c>
      <c r="E294" s="4"/>
      <c r="F294" s="45"/>
      <c r="G294" s="4"/>
      <c r="H294" s="48"/>
      <c r="J294" s="46" t="str">
        <f t="shared" si="99"/>
        <v/>
      </c>
      <c r="N294" t="str">
        <f t="shared" si="108"/>
        <v/>
      </c>
      <c r="Q294" t="str">
        <f t="shared" si="107"/>
        <v/>
      </c>
      <c r="S294" t="str">
        <f>IF(A294=1,MAX(S$2:S293)+1,IF(OR(I294&lt;&gt;"",A294="x"),S293,""))</f>
        <v/>
      </c>
      <c r="T294" t="str">
        <f>IF(D294=1,MAX($T$2:$T293)+1,IF(S294=$S293,$S293,IF($D294="x",T293,IF($D293="x","",""))))</f>
        <v/>
      </c>
      <c r="U294" t="str">
        <f>IF(B294=1,MAX($U$2:$U293)+1,IF(AND($T294&lt;&gt;"",$T294=$T293),$U293,IF(B294="x",U293,"")))</f>
        <v/>
      </c>
      <c r="V294" t="str">
        <f>IF(C294=1,MAX($V$2:$V293)+1,IF(AND($T294&lt;&gt;"",$T294=$T293),$U293,IF(C294="x",V293,"")))</f>
        <v/>
      </c>
      <c r="W294" t="str" cm="1">
        <f t="array" ref="W294">IFERROR(_xlfn._xlws.FILTER(game_rosters!AB:AB,(game_rosters!J:J=events!X294)*(K294&lt;&gt;"")),"")</f>
        <v/>
      </c>
      <c r="X294" t="str" cm="1">
        <f t="array" ref="X294">IF(S294="","",IF($I294&lt;&gt;"",$I294,INDEX($I$2:$I293,ROW()-COUNTIFS($T$2:$T293,"="&amp;$T294,$S$2:$S293,"&lt;&gt;"&amp;$S294)-1)))</f>
        <v/>
      </c>
      <c r="Z294" s="6"/>
      <c r="AH294" t="str">
        <f t="shared" si="93"/>
        <v>o</v>
      </c>
      <c r="AI294" t="str">
        <f t="shared" si="100"/>
        <v/>
      </c>
      <c r="AJ294" t="str">
        <f t="shared" si="101"/>
        <v/>
      </c>
      <c r="AK294" t="str">
        <f t="shared" si="94"/>
        <v/>
      </c>
      <c r="AL294" t="str">
        <f t="shared" si="95"/>
        <v/>
      </c>
      <c r="AM294" t="str">
        <f t="shared" si="96"/>
        <v/>
      </c>
      <c r="AN294" t="str">
        <f t="shared" si="102"/>
        <v/>
      </c>
      <c r="AO294" t="str">
        <f t="shared" si="103"/>
        <v/>
      </c>
      <c r="AP294" t="str">
        <f t="shared" si="104"/>
        <v/>
      </c>
      <c r="AQ294" t="str">
        <f t="shared" si="105"/>
        <v/>
      </c>
      <c r="AR294" t="str">
        <f t="shared" si="106"/>
        <v/>
      </c>
      <c r="AS294" t="str">
        <f t="shared" si="97"/>
        <v>Defensive</v>
      </c>
      <c r="BI294" s="40"/>
      <c r="BL294" s="40"/>
      <c r="BN294" s="19"/>
      <c r="BP294" s="17"/>
    </row>
    <row r="295" spans="1:68" x14ac:dyDescent="0.2">
      <c r="A295" t="str">
        <f t="shared" si="98"/>
        <v/>
      </c>
      <c r="E295" s="4"/>
      <c r="F295" s="45"/>
      <c r="G295" s="4"/>
      <c r="H295" s="48"/>
      <c r="J295" s="46" t="str">
        <f t="shared" si="99"/>
        <v/>
      </c>
      <c r="N295" t="str">
        <f t="shared" si="108"/>
        <v/>
      </c>
      <c r="Q295" t="str">
        <f t="shared" si="107"/>
        <v/>
      </c>
      <c r="S295" t="str">
        <f>IF(A295=1,MAX(S$2:S294)+1,IF(OR(I295&lt;&gt;"",A295="x"),S294,""))</f>
        <v/>
      </c>
      <c r="T295" t="str">
        <f>IF(D295=1,MAX($T$2:$T294)+1,IF(S295=$S294,$S294,IF($D295="x",T294,IF($D294="x","",""))))</f>
        <v/>
      </c>
      <c r="U295" t="str">
        <f>IF(B295=1,MAX($U$2:$U294)+1,IF(AND($T295&lt;&gt;"",$T295=$T294),$U294,IF(B295="x",U294,"")))</f>
        <v/>
      </c>
      <c r="V295" t="str">
        <f>IF(C295=1,MAX($V$2:$V294)+1,IF(AND($T295&lt;&gt;"",$T295=$T294),$U294,IF(C295="x",V294,"")))</f>
        <v/>
      </c>
      <c r="W295" t="str" cm="1">
        <f t="array" ref="W295">IFERROR(_xlfn._xlws.FILTER(game_rosters!AB:AB,(game_rosters!J:J=events!X295)*(K295&lt;&gt;"")),"")</f>
        <v/>
      </c>
      <c r="X295" t="str" cm="1">
        <f t="array" ref="X295">IF(S295="","",IF($I295&lt;&gt;"",$I295,INDEX($I$2:$I294,ROW()-COUNTIFS($T$2:$T294,"="&amp;$T295,$S$2:$S294,"&lt;&gt;"&amp;$S295)-1)))</f>
        <v/>
      </c>
      <c r="Z295" s="6"/>
      <c r="AH295" t="str">
        <f t="shared" si="93"/>
        <v>o</v>
      </c>
      <c r="AI295" t="str">
        <f t="shared" si="100"/>
        <v/>
      </c>
      <c r="AJ295" t="str">
        <f t="shared" si="101"/>
        <v/>
      </c>
      <c r="AK295" t="str">
        <f t="shared" si="94"/>
        <v/>
      </c>
      <c r="AL295" t="str">
        <f t="shared" si="95"/>
        <v/>
      </c>
      <c r="AM295" t="str">
        <f t="shared" si="96"/>
        <v/>
      </c>
      <c r="AN295" t="str">
        <f t="shared" si="102"/>
        <v/>
      </c>
      <c r="AO295" t="str">
        <f t="shared" si="103"/>
        <v/>
      </c>
      <c r="AP295" t="str">
        <f t="shared" si="104"/>
        <v/>
      </c>
      <c r="AQ295" t="str">
        <f t="shared" si="105"/>
        <v/>
      </c>
      <c r="AR295" t="str">
        <f t="shared" si="106"/>
        <v/>
      </c>
      <c r="AS295" t="str">
        <f t="shared" si="97"/>
        <v>Defensive</v>
      </c>
      <c r="BI295" s="40"/>
      <c r="BL295" s="40"/>
      <c r="BN295" s="19"/>
      <c r="BP295" s="17"/>
    </row>
    <row r="296" spans="1:68" x14ac:dyDescent="0.2">
      <c r="A296" t="str">
        <f t="shared" si="98"/>
        <v/>
      </c>
      <c r="E296" s="4"/>
      <c r="F296" s="45"/>
      <c r="G296" s="4"/>
      <c r="H296" s="48"/>
      <c r="J296" s="46" t="str">
        <f t="shared" si="99"/>
        <v/>
      </c>
      <c r="N296" t="str">
        <f t="shared" si="108"/>
        <v/>
      </c>
      <c r="Q296" t="str">
        <f t="shared" si="107"/>
        <v/>
      </c>
      <c r="S296" t="str">
        <f>IF(A296=1,MAX(S$2:S295)+1,IF(OR(I296&lt;&gt;"",A296="x"),S295,""))</f>
        <v/>
      </c>
      <c r="T296" t="str">
        <f>IF(D296=1,MAX($T$2:$T295)+1,IF(S296=$S295,$S295,IF($D296="x",T295,IF($D295="x","",""))))</f>
        <v/>
      </c>
      <c r="U296" t="str">
        <f>IF(B296=1,MAX($U$2:$U295)+1,IF(AND($T296&lt;&gt;"",$T296=$T295),$U295,IF(B296="x",U295,"")))</f>
        <v/>
      </c>
      <c r="V296" t="str">
        <f>IF(C296=1,MAX($V$2:$V295)+1,IF(AND($T296&lt;&gt;"",$T296=$T295),$U295,IF(C296="x",V295,"")))</f>
        <v/>
      </c>
      <c r="W296" t="str" cm="1">
        <f t="array" ref="W296">IFERROR(_xlfn._xlws.FILTER(game_rosters!AB:AB,(game_rosters!J:J=events!X296)*(K296&lt;&gt;"")),"")</f>
        <v/>
      </c>
      <c r="X296" t="str" cm="1">
        <f t="array" ref="X296">IF(S296="","",IF($I296&lt;&gt;"",$I296,INDEX($I$2:$I295,ROW()-COUNTIFS($T$2:$T295,"="&amp;$T296,$S$2:$S295,"&lt;&gt;"&amp;$S296)-1)))</f>
        <v/>
      </c>
      <c r="Z296" s="6"/>
      <c r="AH296" t="str">
        <f t="shared" si="93"/>
        <v>o</v>
      </c>
      <c r="AI296" t="str">
        <f t="shared" si="100"/>
        <v/>
      </c>
      <c r="AJ296" t="str">
        <f t="shared" si="101"/>
        <v/>
      </c>
      <c r="AK296" t="str">
        <f t="shared" si="94"/>
        <v/>
      </c>
      <c r="AL296" t="str">
        <f t="shared" si="95"/>
        <v/>
      </c>
      <c r="AM296" t="str">
        <f t="shared" si="96"/>
        <v/>
      </c>
      <c r="AN296" t="str">
        <f t="shared" si="102"/>
        <v/>
      </c>
      <c r="AO296" t="str">
        <f t="shared" si="103"/>
        <v/>
      </c>
      <c r="AP296" t="str">
        <f t="shared" si="104"/>
        <v/>
      </c>
      <c r="AQ296" t="str">
        <f t="shared" si="105"/>
        <v/>
      </c>
      <c r="AR296" t="str">
        <f t="shared" si="106"/>
        <v/>
      </c>
      <c r="AS296" t="str">
        <f t="shared" si="97"/>
        <v>Defensive</v>
      </c>
      <c r="BI296" s="40"/>
      <c r="BL296" s="40"/>
      <c r="BN296" s="19"/>
      <c r="BP296" s="17"/>
    </row>
    <row r="297" spans="1:68" x14ac:dyDescent="0.2">
      <c r="A297" t="str">
        <f t="shared" si="98"/>
        <v/>
      </c>
      <c r="E297" s="4"/>
      <c r="F297" s="45"/>
      <c r="G297" s="4"/>
      <c r="H297" s="48"/>
      <c r="J297" s="46" t="str">
        <f t="shared" si="99"/>
        <v/>
      </c>
      <c r="N297" t="str">
        <f t="shared" si="108"/>
        <v/>
      </c>
      <c r="Q297" t="str">
        <f t="shared" si="107"/>
        <v/>
      </c>
      <c r="S297" t="str">
        <f>IF(A297=1,MAX(S$2:S296)+1,IF(OR(I297&lt;&gt;"",A297="x"),S296,""))</f>
        <v/>
      </c>
      <c r="T297" t="str">
        <f>IF(D297=1,MAX($T$2:$T296)+1,IF(S297=$S296,$S296,IF($D297="x",T296,IF($D296="x","",""))))</f>
        <v/>
      </c>
      <c r="U297" t="str">
        <f>IF(B297=1,MAX($U$2:$U296)+1,IF(AND($T297&lt;&gt;"",$T297=$T296),$U296,IF(B297="x",U296,"")))</f>
        <v/>
      </c>
      <c r="V297" t="str">
        <f>IF(C297=1,MAX($V$2:$V296)+1,IF(AND($T297&lt;&gt;"",$T297=$T296),$U296,IF(C297="x",V296,"")))</f>
        <v/>
      </c>
      <c r="W297" t="str" cm="1">
        <f t="array" ref="W297">IFERROR(_xlfn._xlws.FILTER(game_rosters!AB:AB,(game_rosters!J:J=events!X297)*(K297&lt;&gt;"")),"")</f>
        <v/>
      </c>
      <c r="X297" t="str" cm="1">
        <f t="array" ref="X297">IF(S297="","",IF($I297&lt;&gt;"",$I297,INDEX($I$2:$I296,ROW()-COUNTIFS($T$2:$T296,"="&amp;$T297,$S$2:$S296,"&lt;&gt;"&amp;$S297)-1)))</f>
        <v/>
      </c>
      <c r="Z297" s="6"/>
      <c r="AH297" t="str">
        <f t="shared" si="93"/>
        <v>o</v>
      </c>
      <c r="AI297" t="str">
        <f t="shared" si="100"/>
        <v/>
      </c>
      <c r="AJ297" t="str">
        <f t="shared" si="101"/>
        <v/>
      </c>
      <c r="AK297" t="str">
        <f t="shared" si="94"/>
        <v/>
      </c>
      <c r="AL297" t="str">
        <f t="shared" si="95"/>
        <v/>
      </c>
      <c r="AM297" t="str">
        <f t="shared" si="96"/>
        <v/>
      </c>
      <c r="AN297" t="str">
        <f t="shared" si="102"/>
        <v/>
      </c>
      <c r="AO297" t="str">
        <f t="shared" si="103"/>
        <v/>
      </c>
      <c r="AP297" t="str">
        <f t="shared" si="104"/>
        <v/>
      </c>
      <c r="AQ297" t="str">
        <f t="shared" si="105"/>
        <v/>
      </c>
      <c r="AR297" t="str">
        <f t="shared" si="106"/>
        <v/>
      </c>
      <c r="AS297" t="str">
        <f t="shared" si="97"/>
        <v>Defensive</v>
      </c>
      <c r="BI297" s="40"/>
      <c r="BL297" s="40"/>
      <c r="BN297" s="19"/>
      <c r="BP297" s="17"/>
    </row>
    <row r="298" spans="1:68" x14ac:dyDescent="0.2">
      <c r="A298" t="str">
        <f t="shared" si="98"/>
        <v/>
      </c>
      <c r="E298" s="4"/>
      <c r="F298" s="45"/>
      <c r="G298" s="4"/>
      <c r="H298" s="48"/>
      <c r="J298" s="46" t="str">
        <f t="shared" si="99"/>
        <v/>
      </c>
      <c r="N298" t="str">
        <f t="shared" si="108"/>
        <v/>
      </c>
      <c r="Q298" t="str">
        <f t="shared" si="107"/>
        <v/>
      </c>
      <c r="S298" t="str">
        <f>IF(A298=1,MAX(S$2:S297)+1,IF(OR(I298&lt;&gt;"",A298="x"),S297,""))</f>
        <v/>
      </c>
      <c r="T298" t="str">
        <f>IF(D298=1,MAX($T$2:$T297)+1,IF(S298=$S297,$S297,IF($D298="x",T297,IF($D297="x","",""))))</f>
        <v/>
      </c>
      <c r="U298" t="str">
        <f>IF(B298=1,MAX($U$2:$U297)+1,IF(AND($T298&lt;&gt;"",$T298=$T297),$U297,IF(B298="x",U297,"")))</f>
        <v/>
      </c>
      <c r="V298" t="str">
        <f>IF(C298=1,MAX($V$2:$V297)+1,IF(AND($T298&lt;&gt;"",$T298=$T297),$U297,IF(C298="x",V297,"")))</f>
        <v/>
      </c>
      <c r="W298" t="str" cm="1">
        <f t="array" ref="W298">IFERROR(_xlfn._xlws.FILTER(game_rosters!AB:AB,(game_rosters!J:J=events!X298)*(K298&lt;&gt;"")),"")</f>
        <v/>
      </c>
      <c r="X298" t="str" cm="1">
        <f t="array" ref="X298">IF(S298="","",IF($I298&lt;&gt;"",$I298,INDEX($I$2:$I297,ROW()-COUNTIFS($T$2:$T297,"="&amp;$T298,$S$2:$S297,"&lt;&gt;"&amp;$S298)-1)))</f>
        <v/>
      </c>
      <c r="Z298" s="6"/>
      <c r="AH298" t="str">
        <f t="shared" si="93"/>
        <v>o</v>
      </c>
      <c r="AI298" t="str">
        <f t="shared" si="100"/>
        <v/>
      </c>
      <c r="AJ298" t="str">
        <f t="shared" si="101"/>
        <v/>
      </c>
      <c r="AK298" t="str">
        <f t="shared" si="94"/>
        <v/>
      </c>
      <c r="AL298" t="str">
        <f t="shared" si="95"/>
        <v/>
      </c>
      <c r="AM298" t="str">
        <f t="shared" si="96"/>
        <v/>
      </c>
      <c r="AN298" t="str">
        <f t="shared" si="102"/>
        <v/>
      </c>
      <c r="AO298" t="str">
        <f t="shared" si="103"/>
        <v/>
      </c>
      <c r="AP298" t="str">
        <f t="shared" si="104"/>
        <v/>
      </c>
      <c r="AQ298" t="str">
        <f t="shared" si="105"/>
        <v/>
      </c>
      <c r="AR298" t="str">
        <f t="shared" si="106"/>
        <v/>
      </c>
      <c r="AS298" t="str">
        <f t="shared" si="97"/>
        <v>Defensive</v>
      </c>
      <c r="BI298" s="40"/>
      <c r="BL298" s="40"/>
      <c r="BN298" s="19"/>
      <c r="BP298" s="17"/>
    </row>
    <row r="299" spans="1:68" x14ac:dyDescent="0.2">
      <c r="A299" t="str">
        <f t="shared" si="98"/>
        <v/>
      </c>
      <c r="E299" s="4"/>
      <c r="F299" s="45"/>
      <c r="G299" s="4"/>
      <c r="H299" s="48"/>
      <c r="J299" s="46" t="str">
        <f t="shared" si="99"/>
        <v/>
      </c>
      <c r="N299" t="str">
        <f t="shared" si="108"/>
        <v/>
      </c>
      <c r="Q299" t="str">
        <f t="shared" si="107"/>
        <v/>
      </c>
      <c r="S299" t="str">
        <f>IF(A299=1,MAX(S$2:S298)+1,IF(OR(I299&lt;&gt;"",A299="x"),S298,""))</f>
        <v/>
      </c>
      <c r="T299" t="str">
        <f>IF(D299=1,MAX($T$2:$T298)+1,IF(S299=$S298,$S298,IF($D299="x",T298,IF($D298="x","",""))))</f>
        <v/>
      </c>
      <c r="U299" t="str">
        <f>IF(B299=1,MAX($U$2:$U298)+1,IF(AND($T299&lt;&gt;"",$T299=$T298),$U298,IF(B299="x",U298,"")))</f>
        <v/>
      </c>
      <c r="V299" t="str">
        <f>IF(C299=1,MAX($V$2:$V298)+1,IF(AND($T299&lt;&gt;"",$T299=$T298),$U298,IF(C299="x",V298,"")))</f>
        <v/>
      </c>
      <c r="W299" t="str" cm="1">
        <f t="array" ref="W299">IFERROR(_xlfn._xlws.FILTER(game_rosters!AB:AB,(game_rosters!J:J=events!X299)*(K299&lt;&gt;"")),"")</f>
        <v/>
      </c>
      <c r="X299" t="str" cm="1">
        <f t="array" ref="X299">IF(S299="","",IF($I299&lt;&gt;"",$I299,INDEX($I$2:$I298,ROW()-COUNTIFS($T$2:$T298,"="&amp;$T299,$S$2:$S298,"&lt;&gt;"&amp;$S299)-1)))</f>
        <v/>
      </c>
      <c r="Z299" s="6"/>
      <c r="AH299" t="str">
        <f t="shared" si="93"/>
        <v>o</v>
      </c>
      <c r="AI299" t="str">
        <f t="shared" si="100"/>
        <v/>
      </c>
      <c r="AJ299" t="str">
        <f t="shared" si="101"/>
        <v/>
      </c>
      <c r="AK299" t="str">
        <f t="shared" si="94"/>
        <v/>
      </c>
      <c r="AL299" t="str">
        <f t="shared" si="95"/>
        <v/>
      </c>
      <c r="AM299" t="str">
        <f t="shared" si="96"/>
        <v/>
      </c>
      <c r="AN299" t="str">
        <f t="shared" si="102"/>
        <v/>
      </c>
      <c r="AO299" t="str">
        <f t="shared" si="103"/>
        <v/>
      </c>
      <c r="AP299" t="str">
        <f t="shared" si="104"/>
        <v/>
      </c>
      <c r="AQ299" t="str">
        <f t="shared" si="105"/>
        <v/>
      </c>
      <c r="AR299" t="str">
        <f t="shared" si="106"/>
        <v/>
      </c>
      <c r="AS299" t="str">
        <f t="shared" si="97"/>
        <v>Defensive</v>
      </c>
      <c r="BI299" s="40"/>
      <c r="BL299" s="40"/>
      <c r="BN299" s="19"/>
      <c r="BP299" s="17"/>
    </row>
    <row r="300" spans="1:68" x14ac:dyDescent="0.2">
      <c r="A300" t="str">
        <f t="shared" si="98"/>
        <v/>
      </c>
      <c r="E300" s="4"/>
      <c r="F300" s="45"/>
      <c r="G300" s="4"/>
      <c r="H300" s="48"/>
      <c r="J300" s="46" t="str">
        <f t="shared" si="99"/>
        <v/>
      </c>
      <c r="N300" t="str">
        <f t="shared" si="108"/>
        <v/>
      </c>
      <c r="Q300" t="str">
        <f t="shared" si="107"/>
        <v/>
      </c>
      <c r="S300" t="str">
        <f>IF(A300=1,MAX(S$2:S299)+1,IF(OR(I300&lt;&gt;"",A300="x"),S299,""))</f>
        <v/>
      </c>
      <c r="T300" t="str">
        <f>IF(D300=1,MAX($T$2:$T299)+1,IF(S300=$S299,$S299,IF($D300="x",T299,IF($D299="x","",""))))</f>
        <v/>
      </c>
      <c r="U300" t="str">
        <f>IF(B300=1,MAX($U$2:$U299)+1,IF(AND($T300&lt;&gt;"",$T300=$T299),$U299,IF(B300="x",U299,"")))</f>
        <v/>
      </c>
      <c r="V300" t="str">
        <f>IF(C300=1,MAX($V$2:$V299)+1,IF(AND($T300&lt;&gt;"",$T300=$T299),$U299,IF(C300="x",V299,"")))</f>
        <v/>
      </c>
      <c r="W300" t="str" cm="1">
        <f t="array" ref="W300">IFERROR(_xlfn._xlws.FILTER(game_rosters!AB:AB,(game_rosters!J:J=events!X300)*(K300&lt;&gt;"")),"")</f>
        <v/>
      </c>
      <c r="X300" t="str" cm="1">
        <f t="array" ref="X300">IF(S300="","",IF($I300&lt;&gt;"",$I300,INDEX($I$2:$I299,ROW()-COUNTIFS($T$2:$T299,"="&amp;$T300,$S$2:$S299,"&lt;&gt;"&amp;$S300)-1)))</f>
        <v/>
      </c>
      <c r="Z300" s="6"/>
      <c r="AH300" t="str">
        <f t="shared" si="93"/>
        <v>o</v>
      </c>
      <c r="AI300" t="str">
        <f t="shared" si="100"/>
        <v/>
      </c>
      <c r="AJ300" t="str">
        <f t="shared" si="101"/>
        <v/>
      </c>
      <c r="AK300" t="str">
        <f t="shared" si="94"/>
        <v/>
      </c>
      <c r="AL300" t="str">
        <f t="shared" si="95"/>
        <v/>
      </c>
      <c r="AM300" t="str">
        <f t="shared" si="96"/>
        <v/>
      </c>
      <c r="AN300" t="str">
        <f t="shared" si="102"/>
        <v/>
      </c>
      <c r="AO300" t="str">
        <f t="shared" si="103"/>
        <v/>
      </c>
      <c r="AP300" t="str">
        <f t="shared" si="104"/>
        <v/>
      </c>
      <c r="AQ300" t="str">
        <f t="shared" si="105"/>
        <v/>
      </c>
      <c r="AR300" t="str">
        <f t="shared" si="106"/>
        <v/>
      </c>
      <c r="AS300" t="str">
        <f t="shared" si="97"/>
        <v>Defensive</v>
      </c>
      <c r="BI300" s="40"/>
      <c r="BL300" s="40"/>
      <c r="BN300" s="19"/>
      <c r="BP300" s="17"/>
    </row>
    <row r="301" spans="1:68" x14ac:dyDescent="0.2">
      <c r="A301" t="str">
        <f t="shared" si="98"/>
        <v/>
      </c>
      <c r="E301" s="4"/>
      <c r="F301" s="45"/>
      <c r="G301" s="4"/>
      <c r="H301" s="48"/>
      <c r="J301" s="46" t="str">
        <f t="shared" si="99"/>
        <v/>
      </c>
      <c r="N301" t="str">
        <f t="shared" si="108"/>
        <v/>
      </c>
      <c r="Q301" t="str">
        <f t="shared" si="107"/>
        <v/>
      </c>
      <c r="S301" t="str">
        <f>IF(A301=1,MAX(S$2:S300)+1,IF(OR(I301&lt;&gt;"",A301="x"),S300,""))</f>
        <v/>
      </c>
      <c r="T301" t="str">
        <f>IF(D301=1,MAX($T$2:$T300)+1,IF(S301=$S300,$S300,IF($D301="x",T300,IF($D300="x","",""))))</f>
        <v/>
      </c>
      <c r="U301" t="str">
        <f>IF(B301=1,MAX($U$2:$U300)+1,IF(AND($T301&lt;&gt;"",$T301=$T300),$U300,IF(B301="x",U300,"")))</f>
        <v/>
      </c>
      <c r="V301" t="str">
        <f>IF(C301=1,MAX($V$2:$V300)+1,IF(AND($T301&lt;&gt;"",$T301=$T300),$U300,IF(C301="x",V300,"")))</f>
        <v/>
      </c>
      <c r="W301" t="str" cm="1">
        <f t="array" ref="W301">IFERROR(_xlfn._xlws.FILTER(game_rosters!AB:AB,(game_rosters!J:J=events!X301)*(K301&lt;&gt;"")),"")</f>
        <v/>
      </c>
      <c r="X301" t="str" cm="1">
        <f t="array" ref="X301">IF(S301="","",IF($I301&lt;&gt;"",$I301,INDEX($I$2:$I300,ROW()-COUNTIFS($T$2:$T300,"="&amp;$T301,$S$2:$S300,"&lt;&gt;"&amp;$S301)-1)))</f>
        <v/>
      </c>
      <c r="Z301" s="6"/>
      <c r="AH301" t="str">
        <f t="shared" si="93"/>
        <v>o</v>
      </c>
      <c r="AI301" t="str">
        <f t="shared" si="100"/>
        <v/>
      </c>
      <c r="AJ301" t="str">
        <f t="shared" si="101"/>
        <v/>
      </c>
      <c r="AK301" t="str">
        <f t="shared" si="94"/>
        <v/>
      </c>
      <c r="AL301" t="str">
        <f t="shared" si="95"/>
        <v/>
      </c>
      <c r="AM301" t="str">
        <f t="shared" si="96"/>
        <v/>
      </c>
      <c r="AN301" t="str">
        <f t="shared" si="102"/>
        <v/>
      </c>
      <c r="AO301" t="str">
        <f t="shared" si="103"/>
        <v/>
      </c>
      <c r="AP301" t="str">
        <f t="shared" si="104"/>
        <v/>
      </c>
      <c r="AQ301" t="str">
        <f t="shared" si="105"/>
        <v/>
      </c>
      <c r="AR301" t="str">
        <f t="shared" si="106"/>
        <v/>
      </c>
      <c r="AS301" t="str">
        <f t="shared" si="97"/>
        <v>Defensive</v>
      </c>
      <c r="BI301" s="40"/>
      <c r="BL301" s="40"/>
      <c r="BN301" s="19"/>
      <c r="BP301" s="17"/>
    </row>
    <row r="302" spans="1:68" x14ac:dyDescent="0.2">
      <c r="A302" t="str">
        <f t="shared" si="98"/>
        <v/>
      </c>
      <c r="E302" s="4"/>
      <c r="F302" s="45"/>
      <c r="G302" s="4"/>
      <c r="H302" s="48"/>
      <c r="J302" s="46" t="str">
        <f t="shared" si="99"/>
        <v/>
      </c>
      <c r="N302" t="str">
        <f t="shared" si="108"/>
        <v/>
      </c>
      <c r="Q302" t="str">
        <f t="shared" si="107"/>
        <v/>
      </c>
      <c r="S302" t="str">
        <f>IF(A302=1,MAX(S$2:S301)+1,IF(OR(I302&lt;&gt;"",A302="x"),S301,""))</f>
        <v/>
      </c>
      <c r="T302" t="str">
        <f>IF(D302=1,MAX($T$2:$T301)+1,IF(S302=$S301,$S301,IF($D302="x",T301,IF($D301="x","",""))))</f>
        <v/>
      </c>
      <c r="U302" t="str">
        <f>IF(B302=1,MAX($U$2:$U301)+1,IF(AND($T302&lt;&gt;"",$T302=$T301),$U301,IF(B302="x",U301,"")))</f>
        <v/>
      </c>
      <c r="V302" t="str">
        <f>IF(C302=1,MAX($V$2:$V301)+1,IF(AND($T302&lt;&gt;"",$T302=$T301),$U301,IF(C302="x",V301,"")))</f>
        <v/>
      </c>
      <c r="W302" t="str" cm="1">
        <f t="array" ref="W302">IFERROR(_xlfn._xlws.FILTER(game_rosters!AB:AB,(game_rosters!J:J=events!X302)*(K302&lt;&gt;"")),"")</f>
        <v/>
      </c>
      <c r="X302" t="str" cm="1">
        <f t="array" ref="X302">IF(S302="","",IF($I302&lt;&gt;"",$I302,INDEX($I$2:$I301,ROW()-COUNTIFS($T$2:$T301,"="&amp;$T302,$S$2:$S301,"&lt;&gt;"&amp;$S302)-1)))</f>
        <v/>
      </c>
      <c r="Z302" s="6"/>
      <c r="AH302" t="str">
        <f t="shared" si="93"/>
        <v>o</v>
      </c>
      <c r="AI302" t="str">
        <f t="shared" si="100"/>
        <v/>
      </c>
      <c r="AJ302" t="str">
        <f t="shared" si="101"/>
        <v/>
      </c>
      <c r="AK302" t="str">
        <f t="shared" si="94"/>
        <v/>
      </c>
      <c r="AL302" t="str">
        <f t="shared" si="95"/>
        <v/>
      </c>
      <c r="AM302" t="str">
        <f t="shared" si="96"/>
        <v/>
      </c>
      <c r="AN302" t="str">
        <f t="shared" si="102"/>
        <v/>
      </c>
      <c r="AO302" t="str">
        <f t="shared" si="103"/>
        <v/>
      </c>
      <c r="AP302" t="str">
        <f t="shared" si="104"/>
        <v/>
      </c>
      <c r="AQ302" t="str">
        <f t="shared" si="105"/>
        <v/>
      </c>
      <c r="AR302" t="str">
        <f t="shared" si="106"/>
        <v/>
      </c>
      <c r="AS302" t="str">
        <f t="shared" si="97"/>
        <v>Defensive</v>
      </c>
      <c r="BI302" s="40"/>
      <c r="BL302" s="40"/>
      <c r="BN302" s="19"/>
      <c r="BP302" s="17"/>
    </row>
    <row r="303" spans="1:68" x14ac:dyDescent="0.2">
      <c r="A303" t="str">
        <f t="shared" si="98"/>
        <v/>
      </c>
      <c r="E303" s="4"/>
      <c r="F303" s="45"/>
      <c r="G303" s="4"/>
      <c r="H303" s="48"/>
      <c r="J303" s="46" t="str">
        <f t="shared" si="99"/>
        <v/>
      </c>
      <c r="N303" t="str">
        <f t="shared" si="108"/>
        <v/>
      </c>
      <c r="Q303" t="str">
        <f t="shared" si="107"/>
        <v/>
      </c>
      <c r="S303" t="str">
        <f>IF(A303=1,MAX(S$2:S302)+1,IF(OR(I303&lt;&gt;"",A303="x"),S302,""))</f>
        <v/>
      </c>
      <c r="T303" t="str">
        <f>IF(D303=1,MAX($T$2:$T302)+1,IF(S303=$S302,$S302,IF($D303="x",T302,IF($D302="x","",""))))</f>
        <v/>
      </c>
      <c r="U303" t="str">
        <f>IF(B303=1,MAX($U$2:$U302)+1,IF(AND($T303&lt;&gt;"",$T303=$T302),$U302,IF(B303="x",U302,"")))</f>
        <v/>
      </c>
      <c r="V303" t="str">
        <f>IF(C303=1,MAX($V$2:$V302)+1,IF(AND($T303&lt;&gt;"",$T303=$T302),$U302,IF(C303="x",V302,"")))</f>
        <v/>
      </c>
      <c r="W303" t="str" cm="1">
        <f t="array" ref="W303">IFERROR(_xlfn._xlws.FILTER(game_rosters!AB:AB,(game_rosters!J:J=events!X303)*(K303&lt;&gt;"")),"")</f>
        <v/>
      </c>
      <c r="X303" t="str" cm="1">
        <f t="array" ref="X303">IF(S303="","",IF($I303&lt;&gt;"",$I303,INDEX($I$2:$I302,ROW()-COUNTIFS($T$2:$T302,"="&amp;$T303,$S$2:$S302,"&lt;&gt;"&amp;$S303)-1)))</f>
        <v/>
      </c>
      <c r="Z303" s="6"/>
      <c r="AH303" t="str">
        <f t="shared" si="93"/>
        <v>o</v>
      </c>
      <c r="AI303" t="str">
        <f t="shared" si="100"/>
        <v/>
      </c>
      <c r="AJ303" t="str">
        <f t="shared" si="101"/>
        <v/>
      </c>
      <c r="AK303" t="str">
        <f t="shared" si="94"/>
        <v/>
      </c>
      <c r="AL303" t="str">
        <f t="shared" si="95"/>
        <v/>
      </c>
      <c r="AM303" t="str">
        <f t="shared" si="96"/>
        <v/>
      </c>
      <c r="AN303" t="str">
        <f t="shared" si="102"/>
        <v/>
      </c>
      <c r="AO303" t="str">
        <f t="shared" si="103"/>
        <v/>
      </c>
      <c r="AP303" t="str">
        <f t="shared" si="104"/>
        <v/>
      </c>
      <c r="AQ303" t="str">
        <f t="shared" si="105"/>
        <v/>
      </c>
      <c r="AR303" t="str">
        <f t="shared" si="106"/>
        <v/>
      </c>
      <c r="AS303" t="str">
        <f t="shared" si="97"/>
        <v>Defensive</v>
      </c>
      <c r="BI303" s="40"/>
      <c r="BL303" s="40"/>
      <c r="BN303" s="19"/>
      <c r="BP303" s="17"/>
    </row>
    <row r="304" spans="1:68" x14ac:dyDescent="0.2">
      <c r="A304" t="str">
        <f t="shared" si="98"/>
        <v/>
      </c>
      <c r="E304" s="4"/>
      <c r="F304" s="45"/>
      <c r="G304" s="4"/>
      <c r="H304" s="48"/>
      <c r="J304" s="46" t="str">
        <f t="shared" si="99"/>
        <v/>
      </c>
      <c r="N304" t="str">
        <f t="shared" si="108"/>
        <v/>
      </c>
      <c r="Q304" t="str">
        <f t="shared" si="107"/>
        <v/>
      </c>
      <c r="S304" t="str">
        <f>IF(A304=1,MAX(S$2:S303)+1,IF(OR(I304&lt;&gt;"",A304="x"),S303,""))</f>
        <v/>
      </c>
      <c r="T304" t="str">
        <f>IF(D304=1,MAX($T$2:$T303)+1,IF(S304=$S303,$S303,IF($D304="x",T303,IF($D303="x","",""))))</f>
        <v/>
      </c>
      <c r="U304" t="str">
        <f>IF(B304=1,MAX($U$2:$U303)+1,IF(AND($T304&lt;&gt;"",$T304=$T303),$U303,IF(B304="x",U303,"")))</f>
        <v/>
      </c>
      <c r="V304" t="str">
        <f>IF(C304=1,MAX($V$2:$V303)+1,IF(AND($T304&lt;&gt;"",$T304=$T303),$U303,IF(C304="x",V303,"")))</f>
        <v/>
      </c>
      <c r="W304" t="str" cm="1">
        <f t="array" ref="W304">IFERROR(_xlfn._xlws.FILTER(game_rosters!AB:AB,(game_rosters!J:J=events!X304)*(K304&lt;&gt;"")),"")</f>
        <v/>
      </c>
      <c r="X304" t="str" cm="1">
        <f t="array" ref="X304">IF(S304="","",IF($I304&lt;&gt;"",$I304,INDEX($I$2:$I303,ROW()-COUNTIFS($T$2:$T303,"="&amp;$T304,$S$2:$S303,"&lt;&gt;"&amp;$S304)-1)))</f>
        <v/>
      </c>
      <c r="Z304" s="6"/>
      <c r="AH304" t="str">
        <f t="shared" si="93"/>
        <v>o</v>
      </c>
      <c r="AI304" t="str">
        <f t="shared" si="100"/>
        <v/>
      </c>
      <c r="AJ304" t="str">
        <f t="shared" si="101"/>
        <v/>
      </c>
      <c r="AK304" t="str">
        <f t="shared" si="94"/>
        <v/>
      </c>
      <c r="AL304" t="str">
        <f t="shared" si="95"/>
        <v/>
      </c>
      <c r="AM304" t="str">
        <f t="shared" si="96"/>
        <v/>
      </c>
      <c r="AN304" t="str">
        <f t="shared" si="102"/>
        <v/>
      </c>
      <c r="AO304" t="str">
        <f t="shared" si="103"/>
        <v/>
      </c>
      <c r="AP304" t="str">
        <f t="shared" si="104"/>
        <v/>
      </c>
      <c r="AQ304" t="str">
        <f t="shared" si="105"/>
        <v/>
      </c>
      <c r="AR304" t="str">
        <f t="shared" si="106"/>
        <v/>
      </c>
      <c r="AS304" t="str">
        <f t="shared" si="97"/>
        <v>Defensive</v>
      </c>
      <c r="BI304" s="40"/>
      <c r="BL304" s="40"/>
      <c r="BN304" s="19"/>
      <c r="BP304" s="17"/>
    </row>
    <row r="305" spans="1:68" x14ac:dyDescent="0.2">
      <c r="A305" t="str">
        <f t="shared" si="98"/>
        <v/>
      </c>
      <c r="E305" s="4"/>
      <c r="F305" s="45"/>
      <c r="G305" s="4"/>
      <c r="H305" s="48"/>
      <c r="J305" s="46" t="str">
        <f t="shared" si="99"/>
        <v/>
      </c>
      <c r="N305" t="str">
        <f t="shared" si="108"/>
        <v/>
      </c>
      <c r="Q305" t="str">
        <f t="shared" si="107"/>
        <v/>
      </c>
      <c r="S305" t="str">
        <f>IF(A305=1,MAX(S$2:S304)+1,IF(OR(I305&lt;&gt;"",A305="x"),S304,""))</f>
        <v/>
      </c>
      <c r="T305" t="str">
        <f>IF(D305=1,MAX($T$2:$T304)+1,IF(S305=$S304,$S304,IF($D305="x",T304,IF($D304="x","",""))))</f>
        <v/>
      </c>
      <c r="U305" t="str">
        <f>IF(B305=1,MAX($U$2:$U304)+1,IF(AND($T305&lt;&gt;"",$T305=$T304),$U304,IF(B305="x",U304,"")))</f>
        <v/>
      </c>
      <c r="V305" t="str">
        <f>IF(C305=1,MAX($V$2:$V304)+1,IF(AND($T305&lt;&gt;"",$T305=$T304),$U304,IF(C305="x",V304,"")))</f>
        <v/>
      </c>
      <c r="W305" t="str" cm="1">
        <f t="array" ref="W305">IFERROR(_xlfn._xlws.FILTER(game_rosters!AB:AB,(game_rosters!J:J=events!X305)*(K305&lt;&gt;"")),"")</f>
        <v/>
      </c>
      <c r="X305" t="str" cm="1">
        <f t="array" ref="X305">IF(S305="","",IF($I305&lt;&gt;"",$I305,INDEX($I$2:$I304,ROW()-COUNTIFS($T$2:$T304,"="&amp;$T305,$S$2:$S304,"&lt;&gt;"&amp;$S305)-1)))</f>
        <v/>
      </c>
      <c r="Z305" s="6"/>
      <c r="AH305" t="str">
        <f t="shared" si="93"/>
        <v>o</v>
      </c>
      <c r="AI305" t="str">
        <f t="shared" si="100"/>
        <v/>
      </c>
      <c r="AJ305" t="str">
        <f t="shared" si="101"/>
        <v/>
      </c>
      <c r="AK305" t="str">
        <f t="shared" si="94"/>
        <v/>
      </c>
      <c r="AL305" t="str">
        <f t="shared" si="95"/>
        <v/>
      </c>
      <c r="AM305" t="str">
        <f t="shared" si="96"/>
        <v/>
      </c>
      <c r="AN305" t="str">
        <f t="shared" si="102"/>
        <v/>
      </c>
      <c r="AO305" t="str">
        <f t="shared" si="103"/>
        <v/>
      </c>
      <c r="AP305" t="str">
        <f t="shared" si="104"/>
        <v/>
      </c>
      <c r="AQ305" t="str">
        <f t="shared" si="105"/>
        <v/>
      </c>
      <c r="AR305" t="str">
        <f t="shared" si="106"/>
        <v/>
      </c>
      <c r="AS305" t="str">
        <f t="shared" si="97"/>
        <v>Defensive</v>
      </c>
      <c r="BI305" s="40"/>
      <c r="BL305" s="40"/>
      <c r="BN305" s="19"/>
      <c r="BP305" s="17"/>
    </row>
    <row r="306" spans="1:68" x14ac:dyDescent="0.2">
      <c r="A306" t="str">
        <f t="shared" si="98"/>
        <v/>
      </c>
      <c r="E306" s="4"/>
      <c r="F306" s="45"/>
      <c r="G306" s="4"/>
      <c r="H306" s="48"/>
      <c r="J306" s="46" t="str">
        <f t="shared" si="99"/>
        <v/>
      </c>
      <c r="N306" t="str">
        <f t="shared" si="108"/>
        <v/>
      </c>
      <c r="Q306" t="str">
        <f t="shared" si="107"/>
        <v/>
      </c>
      <c r="S306" t="str">
        <f>IF(A306=1,MAX(S$2:S305)+1,IF(OR(I306&lt;&gt;"",A306="x"),S305,""))</f>
        <v/>
      </c>
      <c r="T306" t="str">
        <f>IF(D306=1,MAX($T$2:$T305)+1,IF(S306=$S305,$S305,IF($D306="x",T305,IF($D305="x","",""))))</f>
        <v/>
      </c>
      <c r="U306" t="str">
        <f>IF(B306=1,MAX($U$2:$U305)+1,IF(AND($T306&lt;&gt;"",$T306=$T305),$U305,IF(B306="x",U305,"")))</f>
        <v/>
      </c>
      <c r="V306" t="str">
        <f>IF(C306=1,MAX($V$2:$V305)+1,IF(AND($T306&lt;&gt;"",$T306=$T305),$U305,IF(C306="x",V305,"")))</f>
        <v/>
      </c>
      <c r="W306" t="str" cm="1">
        <f t="array" ref="W306">IFERROR(_xlfn._xlws.FILTER(game_rosters!AB:AB,(game_rosters!J:J=events!X306)*(K306&lt;&gt;"")),"")</f>
        <v/>
      </c>
      <c r="X306" t="str" cm="1">
        <f t="array" ref="X306">IF(S306="","",IF($I306&lt;&gt;"",$I306,INDEX($I$2:$I305,ROW()-COUNTIFS($T$2:$T305,"="&amp;$T306,$S$2:$S305,"&lt;&gt;"&amp;$S306)-1)))</f>
        <v/>
      </c>
      <c r="Z306" s="6"/>
      <c r="AH306" t="str">
        <f t="shared" si="93"/>
        <v>o</v>
      </c>
      <c r="AI306" t="str">
        <f t="shared" si="100"/>
        <v/>
      </c>
      <c r="AJ306" t="str">
        <f t="shared" si="101"/>
        <v/>
      </c>
      <c r="AK306" t="str">
        <f t="shared" si="94"/>
        <v/>
      </c>
      <c r="AL306" t="str">
        <f t="shared" si="95"/>
        <v/>
      </c>
      <c r="AM306" t="str">
        <f t="shared" si="96"/>
        <v/>
      </c>
      <c r="AN306" t="str">
        <f t="shared" si="102"/>
        <v/>
      </c>
      <c r="AO306" t="str">
        <f t="shared" si="103"/>
        <v/>
      </c>
      <c r="AP306" t="str">
        <f t="shared" si="104"/>
        <v/>
      </c>
      <c r="AQ306" t="str">
        <f t="shared" si="105"/>
        <v/>
      </c>
      <c r="AR306" t="str">
        <f t="shared" si="106"/>
        <v/>
      </c>
      <c r="AS306" t="str">
        <f t="shared" si="97"/>
        <v>Defensive</v>
      </c>
      <c r="BI306" s="40"/>
      <c r="BL306" s="40"/>
      <c r="BN306" s="19"/>
      <c r="BP306" s="17"/>
    </row>
    <row r="307" spans="1:68" x14ac:dyDescent="0.2">
      <c r="A307" t="str">
        <f t="shared" si="98"/>
        <v/>
      </c>
      <c r="E307" s="4"/>
      <c r="F307" s="45"/>
      <c r="G307" s="4"/>
      <c r="H307" s="48"/>
      <c r="J307" s="46" t="str">
        <f t="shared" si="99"/>
        <v/>
      </c>
      <c r="N307" t="str">
        <f t="shared" si="108"/>
        <v/>
      </c>
      <c r="Q307" t="str">
        <f t="shared" si="107"/>
        <v/>
      </c>
      <c r="S307" t="str">
        <f>IF(A307=1,MAX(S$2:S306)+1,IF(OR(I307&lt;&gt;"",A307="x"),S306,""))</f>
        <v/>
      </c>
      <c r="T307" t="str">
        <f>IF(D307=1,MAX($T$2:$T306)+1,IF(S307=$S306,$S306,IF($D307="x",T306,IF($D306="x","",""))))</f>
        <v/>
      </c>
      <c r="U307" t="str">
        <f>IF(B307=1,MAX($U$2:$U306)+1,IF(AND($T307&lt;&gt;"",$T307=$T306),$U306,IF(B307="x",U306,"")))</f>
        <v/>
      </c>
      <c r="V307" t="str">
        <f>IF(C307=1,MAX($V$2:$V306)+1,IF(AND($T307&lt;&gt;"",$T307=$T306),$U306,IF(C307="x",V306,"")))</f>
        <v/>
      </c>
      <c r="W307" t="str" cm="1">
        <f t="array" ref="W307">IFERROR(_xlfn._xlws.FILTER(game_rosters!AB:AB,(game_rosters!J:J=events!X307)*(K307&lt;&gt;"")),"")</f>
        <v/>
      </c>
      <c r="X307" t="str" cm="1">
        <f t="array" ref="X307">IF(S307="","",IF($I307&lt;&gt;"",$I307,INDEX($I$2:$I306,ROW()-COUNTIFS($T$2:$T306,"="&amp;$T307,$S$2:$S306,"&lt;&gt;"&amp;$S307)-1)))</f>
        <v/>
      </c>
      <c r="Z307" s="6"/>
      <c r="AH307" t="str">
        <f t="shared" si="93"/>
        <v>o</v>
      </c>
      <c r="AI307" t="str">
        <f t="shared" si="100"/>
        <v/>
      </c>
      <c r="AJ307" t="str">
        <f t="shared" si="101"/>
        <v/>
      </c>
      <c r="AK307" t="str">
        <f t="shared" si="94"/>
        <v/>
      </c>
      <c r="AL307" t="str">
        <f t="shared" si="95"/>
        <v/>
      </c>
      <c r="AM307" t="str">
        <f t="shared" si="96"/>
        <v/>
      </c>
      <c r="AN307" t="str">
        <f t="shared" si="102"/>
        <v/>
      </c>
      <c r="AO307" t="str">
        <f t="shared" si="103"/>
        <v/>
      </c>
      <c r="AP307" t="str">
        <f t="shared" si="104"/>
        <v/>
      </c>
      <c r="AQ307" t="str">
        <f t="shared" si="105"/>
        <v/>
      </c>
      <c r="AR307" t="str">
        <f t="shared" si="106"/>
        <v/>
      </c>
      <c r="AS307" t="str">
        <f t="shared" si="97"/>
        <v>Defensive</v>
      </c>
      <c r="BI307" s="40"/>
      <c r="BL307" s="40"/>
      <c r="BN307" s="19"/>
      <c r="BP307" s="17"/>
    </row>
    <row r="308" spans="1:68" x14ac:dyDescent="0.2">
      <c r="A308" t="str">
        <f t="shared" si="98"/>
        <v/>
      </c>
      <c r="E308" s="4"/>
      <c r="F308" s="45"/>
      <c r="G308" s="4"/>
      <c r="H308" s="48"/>
      <c r="J308" s="46" t="str">
        <f t="shared" si="99"/>
        <v/>
      </c>
      <c r="N308" t="str">
        <f t="shared" si="108"/>
        <v/>
      </c>
      <c r="Q308" t="str">
        <f t="shared" si="107"/>
        <v/>
      </c>
      <c r="S308" t="str">
        <f>IF(A308=1,MAX(S$2:S307)+1,IF(OR(I308&lt;&gt;"",A308="x"),S307,""))</f>
        <v/>
      </c>
      <c r="T308" t="str">
        <f>IF(D308=1,MAX($T$2:$T307)+1,IF(S308=$S307,$S307,IF($D308="x",T307,IF($D307="x","",""))))</f>
        <v/>
      </c>
      <c r="U308" t="str">
        <f>IF(B308=1,MAX($U$2:$U307)+1,IF(AND($T308&lt;&gt;"",$T308=$T307),$U307,IF(B308="x",U307,"")))</f>
        <v/>
      </c>
      <c r="V308" t="str">
        <f>IF(C308=1,MAX($V$2:$V307)+1,IF(AND($T308&lt;&gt;"",$T308=$T307),$U307,IF(C308="x",V307,"")))</f>
        <v/>
      </c>
      <c r="W308" t="str" cm="1">
        <f t="array" ref="W308">IFERROR(_xlfn._xlws.FILTER(game_rosters!AB:AB,(game_rosters!J:J=events!X308)*(K308&lt;&gt;"")),"")</f>
        <v/>
      </c>
      <c r="X308" t="str" cm="1">
        <f t="array" ref="X308">IF(S308="","",IF($I308&lt;&gt;"",$I308,INDEX($I$2:$I307,ROW()-COUNTIFS($T$2:$T307,"="&amp;$T308,$S$2:$S307,"&lt;&gt;"&amp;$S308)-1)))</f>
        <v/>
      </c>
      <c r="Z308" s="6"/>
      <c r="AH308" t="str">
        <f t="shared" si="93"/>
        <v>o</v>
      </c>
      <c r="AI308" t="str">
        <f t="shared" si="100"/>
        <v/>
      </c>
      <c r="AJ308" t="str">
        <f t="shared" si="101"/>
        <v/>
      </c>
      <c r="AK308" t="str">
        <f t="shared" si="94"/>
        <v/>
      </c>
      <c r="AL308" t="str">
        <f t="shared" si="95"/>
        <v/>
      </c>
      <c r="AM308" t="str">
        <f t="shared" si="96"/>
        <v/>
      </c>
      <c r="AN308" t="str">
        <f t="shared" si="102"/>
        <v/>
      </c>
      <c r="AO308" t="str">
        <f t="shared" si="103"/>
        <v/>
      </c>
      <c r="AP308" t="str">
        <f t="shared" si="104"/>
        <v/>
      </c>
      <c r="AQ308" t="str">
        <f t="shared" si="105"/>
        <v/>
      </c>
      <c r="AR308" t="str">
        <f t="shared" si="106"/>
        <v/>
      </c>
      <c r="AS308" t="str">
        <f t="shared" si="97"/>
        <v>Defensive</v>
      </c>
      <c r="BI308" s="40"/>
      <c r="BL308" s="40"/>
      <c r="BN308" s="19"/>
      <c r="BP308" s="17"/>
    </row>
    <row r="309" spans="1:68" x14ac:dyDescent="0.2">
      <c r="A309" t="str">
        <f t="shared" si="98"/>
        <v/>
      </c>
      <c r="E309" s="4"/>
      <c r="F309" s="45"/>
      <c r="G309" s="4"/>
      <c r="H309" s="48"/>
      <c r="J309" s="46" t="str">
        <f t="shared" si="99"/>
        <v/>
      </c>
      <c r="N309" t="str">
        <f t="shared" si="108"/>
        <v/>
      </c>
      <c r="Q309" t="str">
        <f t="shared" si="107"/>
        <v/>
      </c>
      <c r="S309" t="str">
        <f>IF(A309=1,MAX(S$2:S308)+1,IF(OR(I309&lt;&gt;"",A309="x"),S308,""))</f>
        <v/>
      </c>
      <c r="T309" t="str">
        <f>IF(D309=1,MAX($T$2:$T308)+1,IF(S309=$S308,$S308,IF($D309="x",T308,IF($D308="x","",""))))</f>
        <v/>
      </c>
      <c r="U309" t="str">
        <f>IF(B309=1,MAX($U$2:$U308)+1,IF(AND($T309&lt;&gt;"",$T309=$T308),$U308,IF(B309="x",U308,"")))</f>
        <v/>
      </c>
      <c r="V309" t="str">
        <f>IF(C309=1,MAX($V$2:$V308)+1,IF(AND($T309&lt;&gt;"",$T309=$T308),$U308,IF(C309="x",V308,"")))</f>
        <v/>
      </c>
      <c r="W309" t="str" cm="1">
        <f t="array" ref="W309">IFERROR(_xlfn._xlws.FILTER(game_rosters!AB:AB,(game_rosters!J:J=events!X309)*(K309&lt;&gt;"")),"")</f>
        <v/>
      </c>
      <c r="X309" t="str" cm="1">
        <f t="array" ref="X309">IF(S309="","",IF($I309&lt;&gt;"",$I309,INDEX($I$2:$I308,ROW()-COUNTIFS($T$2:$T308,"="&amp;$T309,$S$2:$S308,"&lt;&gt;"&amp;$S309)-1)))</f>
        <v/>
      </c>
      <c r="Z309" s="6"/>
      <c r="AH309" t="str">
        <f t="shared" si="93"/>
        <v>o</v>
      </c>
      <c r="AI309" t="str">
        <f t="shared" si="100"/>
        <v/>
      </c>
      <c r="AJ309" t="str">
        <f t="shared" si="101"/>
        <v/>
      </c>
      <c r="AK309" t="str">
        <f t="shared" si="94"/>
        <v/>
      </c>
      <c r="AL309" t="str">
        <f t="shared" si="95"/>
        <v/>
      </c>
      <c r="AM309" t="str">
        <f t="shared" si="96"/>
        <v/>
      </c>
      <c r="AN309" t="str">
        <f t="shared" si="102"/>
        <v/>
      </c>
      <c r="AO309" t="str">
        <f t="shared" si="103"/>
        <v/>
      </c>
      <c r="AP309" t="str">
        <f t="shared" si="104"/>
        <v/>
      </c>
      <c r="AQ309" t="str">
        <f t="shared" si="105"/>
        <v/>
      </c>
      <c r="AR309" t="str">
        <f t="shared" si="106"/>
        <v/>
      </c>
      <c r="AS309" t="str">
        <f t="shared" si="97"/>
        <v>Defensive</v>
      </c>
      <c r="BI309" s="40"/>
      <c r="BL309" s="40"/>
      <c r="BN309" s="19"/>
      <c r="BP309" s="17"/>
    </row>
    <row r="310" spans="1:68" x14ac:dyDescent="0.2">
      <c r="A310" t="str">
        <f t="shared" si="98"/>
        <v/>
      </c>
      <c r="E310" s="4"/>
      <c r="F310" s="45"/>
      <c r="G310" s="4"/>
      <c r="H310" s="48"/>
      <c r="J310" s="46" t="str">
        <f t="shared" si="99"/>
        <v/>
      </c>
      <c r="N310" t="str">
        <f t="shared" si="108"/>
        <v/>
      </c>
      <c r="Q310" t="str">
        <f t="shared" si="107"/>
        <v/>
      </c>
      <c r="S310" t="str">
        <f>IF(A310=1,MAX(S$2:S309)+1,IF(OR(I310&lt;&gt;"",A310="x"),S309,""))</f>
        <v/>
      </c>
      <c r="T310" t="str">
        <f>IF(D310=1,MAX($T$2:$T309)+1,IF(S310=$S309,$S309,IF($D310="x",T309,IF($D309="x","",""))))</f>
        <v/>
      </c>
      <c r="U310" t="str">
        <f>IF(B310=1,MAX($U$2:$U309)+1,IF(AND($T310&lt;&gt;"",$T310=$T309),$U309,IF(B310="x",U309,"")))</f>
        <v/>
      </c>
      <c r="V310" t="str">
        <f>IF(C310=1,MAX($V$2:$V309)+1,IF(AND($T310&lt;&gt;"",$T310=$T309),$U309,IF(C310="x",V309,"")))</f>
        <v/>
      </c>
      <c r="W310" t="str" cm="1">
        <f t="array" ref="W310">IFERROR(_xlfn._xlws.FILTER(game_rosters!AB:AB,(game_rosters!J:J=events!X310)*(K310&lt;&gt;"")),"")</f>
        <v/>
      </c>
      <c r="X310" t="str" cm="1">
        <f t="array" ref="X310">IF(S310="","",IF($I310&lt;&gt;"",$I310,INDEX($I$2:$I309,ROW()-COUNTIFS($T$2:$T309,"="&amp;$T310,$S$2:$S309,"&lt;&gt;"&amp;$S310)-1)))</f>
        <v/>
      </c>
      <c r="Z310" s="6"/>
      <c r="AH310" t="str">
        <f t="shared" si="93"/>
        <v>o</v>
      </c>
      <c r="AI310" t="str">
        <f t="shared" si="100"/>
        <v/>
      </c>
      <c r="AJ310" t="str">
        <f t="shared" si="101"/>
        <v/>
      </c>
      <c r="AK310" t="str">
        <f t="shared" si="94"/>
        <v/>
      </c>
      <c r="AL310" t="str">
        <f t="shared" si="95"/>
        <v/>
      </c>
      <c r="AM310" t="str">
        <f t="shared" si="96"/>
        <v/>
      </c>
      <c r="AN310" t="str">
        <f t="shared" si="102"/>
        <v/>
      </c>
      <c r="AO310" t="str">
        <f t="shared" si="103"/>
        <v/>
      </c>
      <c r="AP310" t="str">
        <f t="shared" si="104"/>
        <v/>
      </c>
      <c r="AQ310" t="str">
        <f t="shared" si="105"/>
        <v/>
      </c>
      <c r="AR310" t="str">
        <f t="shared" si="106"/>
        <v/>
      </c>
      <c r="AS310" t="str">
        <f t="shared" si="97"/>
        <v>Defensive</v>
      </c>
      <c r="BI310" s="40"/>
      <c r="BL310" s="40"/>
      <c r="BN310" s="19"/>
      <c r="BP310" s="17"/>
    </row>
    <row r="311" spans="1:68" x14ac:dyDescent="0.2">
      <c r="A311" t="str">
        <f t="shared" si="98"/>
        <v/>
      </c>
      <c r="E311" s="4"/>
      <c r="F311" s="45"/>
      <c r="G311" s="4"/>
      <c r="H311" s="48"/>
      <c r="J311" s="46" t="str">
        <f t="shared" si="99"/>
        <v/>
      </c>
      <c r="N311" t="str">
        <f t="shared" si="108"/>
        <v/>
      </c>
      <c r="Q311" t="str">
        <f t="shared" si="107"/>
        <v/>
      </c>
      <c r="S311" t="str">
        <f>IF(A311=1,MAX(S$2:S310)+1,IF(OR(I311&lt;&gt;"",A311="x"),S310,""))</f>
        <v/>
      </c>
      <c r="T311" t="str">
        <f>IF(D311=1,MAX($T$2:$T310)+1,IF(S311=$S310,$S310,IF($D311="x",T310,IF($D310="x","",""))))</f>
        <v/>
      </c>
      <c r="U311" t="str">
        <f>IF(B311=1,MAX($U$2:$U310)+1,IF(AND($T311&lt;&gt;"",$T311=$T310),$U310,IF(B311="x",U310,"")))</f>
        <v/>
      </c>
      <c r="V311" t="str">
        <f>IF(C311=1,MAX($V$2:$V310)+1,IF(AND($T311&lt;&gt;"",$T311=$T310),$U310,IF(C311="x",V310,"")))</f>
        <v/>
      </c>
      <c r="W311" t="str" cm="1">
        <f t="array" ref="W311">IFERROR(_xlfn._xlws.FILTER(game_rosters!AB:AB,(game_rosters!J:J=events!X311)*(K311&lt;&gt;"")),"")</f>
        <v/>
      </c>
      <c r="X311" t="str" cm="1">
        <f t="array" ref="X311">IF(S311="","",IF($I311&lt;&gt;"",$I311,INDEX($I$2:$I310,ROW()-COUNTIFS($T$2:$T310,"="&amp;$T311,$S$2:$S310,"&lt;&gt;"&amp;$S311)-1)))</f>
        <v/>
      </c>
      <c r="Z311" s="6"/>
      <c r="AH311" t="str">
        <f t="shared" si="93"/>
        <v>o</v>
      </c>
      <c r="AI311" t="str">
        <f t="shared" si="100"/>
        <v/>
      </c>
      <c r="AJ311" t="str">
        <f t="shared" si="101"/>
        <v/>
      </c>
      <c r="AK311" t="str">
        <f t="shared" si="94"/>
        <v/>
      </c>
      <c r="AL311" t="str">
        <f t="shared" si="95"/>
        <v/>
      </c>
      <c r="AM311" t="str">
        <f t="shared" si="96"/>
        <v/>
      </c>
      <c r="AN311" t="str">
        <f t="shared" si="102"/>
        <v/>
      </c>
      <c r="AO311" t="str">
        <f t="shared" si="103"/>
        <v/>
      </c>
      <c r="AP311" t="str">
        <f t="shared" si="104"/>
        <v/>
      </c>
      <c r="AQ311" t="str">
        <f t="shared" si="105"/>
        <v/>
      </c>
      <c r="AR311" t="str">
        <f t="shared" si="106"/>
        <v/>
      </c>
      <c r="AS311" t="str">
        <f t="shared" si="97"/>
        <v>Defensive</v>
      </c>
      <c r="BI311" s="40"/>
      <c r="BL311" s="40"/>
      <c r="BN311" s="19"/>
      <c r="BP311" s="17"/>
    </row>
    <row r="312" spans="1:68" x14ac:dyDescent="0.2">
      <c r="A312" t="str">
        <f t="shared" si="98"/>
        <v/>
      </c>
      <c r="E312" s="4"/>
      <c r="F312" s="45"/>
      <c r="G312" s="4"/>
      <c r="H312" s="48"/>
      <c r="J312" s="46" t="str">
        <f t="shared" si="99"/>
        <v/>
      </c>
      <c r="N312" t="str">
        <f t="shared" si="108"/>
        <v/>
      </c>
      <c r="Q312" t="str">
        <f t="shared" si="107"/>
        <v/>
      </c>
      <c r="S312" t="str">
        <f>IF(A312=1,MAX(S$2:S311)+1,IF(OR(I312&lt;&gt;"",A312="x"),S311,""))</f>
        <v/>
      </c>
      <c r="T312" t="str">
        <f>IF(D312=1,MAX($T$2:$T311)+1,IF(S312=$S311,$S311,IF($D312="x",T311,IF($D311="x","",""))))</f>
        <v/>
      </c>
      <c r="U312" t="str">
        <f>IF(B312=1,MAX($U$2:$U311)+1,IF(AND($T312&lt;&gt;"",$T312=$T311),$U311,IF(B312="x",U311,"")))</f>
        <v/>
      </c>
      <c r="V312" t="str">
        <f>IF(C312=1,MAX($V$2:$V311)+1,IF(AND($T312&lt;&gt;"",$T312=$T311),$U311,IF(C312="x",V311,"")))</f>
        <v/>
      </c>
      <c r="W312" t="str" cm="1">
        <f t="array" ref="W312">IFERROR(_xlfn._xlws.FILTER(game_rosters!AB:AB,(game_rosters!J:J=events!X312)*(K312&lt;&gt;"")),"")</f>
        <v/>
      </c>
      <c r="X312" t="str" cm="1">
        <f t="array" ref="X312">IF(S312="","",IF($I312&lt;&gt;"",$I312,INDEX($I$2:$I311,ROW()-COUNTIFS($T$2:$T311,"="&amp;$T312,$S$2:$S311,"&lt;&gt;"&amp;$S312)-1)))</f>
        <v/>
      </c>
      <c r="Z312" s="6"/>
      <c r="AH312" t="str">
        <f t="shared" si="93"/>
        <v>o</v>
      </c>
      <c r="AI312" t="str">
        <f t="shared" si="100"/>
        <v/>
      </c>
      <c r="AJ312" t="str">
        <f t="shared" si="101"/>
        <v/>
      </c>
      <c r="AK312" t="str">
        <f t="shared" si="94"/>
        <v/>
      </c>
      <c r="AL312" t="str">
        <f t="shared" si="95"/>
        <v/>
      </c>
      <c r="AM312" t="str">
        <f t="shared" si="96"/>
        <v/>
      </c>
      <c r="AN312" t="str">
        <f t="shared" si="102"/>
        <v/>
      </c>
      <c r="AO312" t="str">
        <f t="shared" si="103"/>
        <v/>
      </c>
      <c r="AP312" t="str">
        <f t="shared" si="104"/>
        <v/>
      </c>
      <c r="AQ312" t="str">
        <f t="shared" si="105"/>
        <v/>
      </c>
      <c r="AR312" t="str">
        <f t="shared" si="106"/>
        <v/>
      </c>
      <c r="AS312" t="str">
        <f t="shared" si="97"/>
        <v>Defensive</v>
      </c>
      <c r="BI312" s="40"/>
      <c r="BL312" s="40"/>
      <c r="BN312" s="19"/>
      <c r="BP312" s="17"/>
    </row>
    <row r="313" spans="1:68" x14ac:dyDescent="0.2">
      <c r="A313" t="str">
        <f t="shared" si="98"/>
        <v/>
      </c>
      <c r="E313" s="4"/>
      <c r="F313" s="45"/>
      <c r="G313" s="4"/>
      <c r="H313" s="48"/>
      <c r="J313" s="46" t="str">
        <f t="shared" si="99"/>
        <v/>
      </c>
      <c r="N313" t="str">
        <f t="shared" si="108"/>
        <v/>
      </c>
      <c r="Q313" t="str">
        <f t="shared" si="107"/>
        <v/>
      </c>
      <c r="S313" t="str">
        <f>IF(A313=1,MAX(S$2:S312)+1,IF(OR(I313&lt;&gt;"",A313="x"),S312,""))</f>
        <v/>
      </c>
      <c r="T313" t="str">
        <f>IF(D313=1,MAX($T$2:$T312)+1,IF(S313=$S312,$S312,IF($D313="x",T312,IF($D312="x","",""))))</f>
        <v/>
      </c>
      <c r="U313" t="str">
        <f>IF(B313=1,MAX($U$2:$U312)+1,IF(AND($T313&lt;&gt;"",$T313=$T312),$U312,IF(B313="x",U312,"")))</f>
        <v/>
      </c>
      <c r="V313" t="str">
        <f>IF(C313=1,MAX($V$2:$V312)+1,IF(AND($T313&lt;&gt;"",$T313=$T312),$U312,IF(C313="x",V312,"")))</f>
        <v/>
      </c>
      <c r="W313" t="str" cm="1">
        <f t="array" ref="W313">IFERROR(_xlfn._xlws.FILTER(game_rosters!AB:AB,(game_rosters!J:J=events!X313)*(K313&lt;&gt;"")),"")</f>
        <v/>
      </c>
      <c r="X313" t="str" cm="1">
        <f t="array" ref="X313">IF(S313="","",IF($I313&lt;&gt;"",$I313,INDEX($I$2:$I312,ROW()-COUNTIFS($T$2:$T312,"="&amp;$T313,$S$2:$S312,"&lt;&gt;"&amp;$S313)-1)))</f>
        <v/>
      </c>
      <c r="Z313" s="6"/>
      <c r="AH313" t="str">
        <f t="shared" si="93"/>
        <v>o</v>
      </c>
      <c r="AI313" t="str">
        <f t="shared" si="100"/>
        <v/>
      </c>
      <c r="AJ313" t="str">
        <f t="shared" si="101"/>
        <v/>
      </c>
      <c r="AK313" t="str">
        <f t="shared" si="94"/>
        <v/>
      </c>
      <c r="AL313" t="str">
        <f t="shared" si="95"/>
        <v/>
      </c>
      <c r="AM313" t="str">
        <f t="shared" si="96"/>
        <v/>
      </c>
      <c r="AN313" t="str">
        <f t="shared" si="102"/>
        <v/>
      </c>
      <c r="AO313" t="str">
        <f t="shared" si="103"/>
        <v/>
      </c>
      <c r="AP313" t="str">
        <f t="shared" si="104"/>
        <v/>
      </c>
      <c r="AQ313" t="str">
        <f t="shared" si="105"/>
        <v/>
      </c>
      <c r="AR313" t="str">
        <f t="shared" si="106"/>
        <v/>
      </c>
      <c r="AS313" t="str">
        <f t="shared" si="97"/>
        <v>Defensive</v>
      </c>
      <c r="BI313" s="40"/>
      <c r="BL313" s="40"/>
      <c r="BN313" s="19"/>
      <c r="BP313" s="17"/>
    </row>
    <row r="314" spans="1:68" x14ac:dyDescent="0.2">
      <c r="A314" t="str">
        <f t="shared" si="98"/>
        <v/>
      </c>
      <c r="E314" s="4"/>
      <c r="F314" s="45"/>
      <c r="G314" s="4"/>
      <c r="H314" s="48"/>
      <c r="J314" s="46" t="str">
        <f t="shared" si="99"/>
        <v/>
      </c>
      <c r="N314" t="str">
        <f t="shared" si="108"/>
        <v/>
      </c>
      <c r="Q314" t="str">
        <f t="shared" si="107"/>
        <v/>
      </c>
      <c r="S314" t="str">
        <f>IF(A314=1,MAX(S$2:S313)+1,IF(OR(I314&lt;&gt;"",A314="x"),S313,""))</f>
        <v/>
      </c>
      <c r="T314" t="str">
        <f>IF(D314=1,MAX($T$2:$T313)+1,IF(S314=$S313,$S313,IF($D314="x",T313,IF($D313="x","",""))))</f>
        <v/>
      </c>
      <c r="U314" t="str">
        <f>IF(B314=1,MAX($U$2:$U313)+1,IF(AND($T314&lt;&gt;"",$T314=$T313),$U313,IF(B314="x",U313,"")))</f>
        <v/>
      </c>
      <c r="V314" t="str">
        <f>IF(C314=1,MAX($V$2:$V313)+1,IF(AND($T314&lt;&gt;"",$T314=$T313),$U313,IF(C314="x",V313,"")))</f>
        <v/>
      </c>
      <c r="W314" t="str" cm="1">
        <f t="array" ref="W314">IFERROR(_xlfn._xlws.FILTER(game_rosters!AB:AB,(game_rosters!J:J=events!X314)*(K314&lt;&gt;"")),"")</f>
        <v/>
      </c>
      <c r="X314" t="str" cm="1">
        <f t="array" ref="X314">IF(S314="","",IF($I314&lt;&gt;"",$I314,INDEX($I$2:$I313,ROW()-COUNTIFS($T$2:$T313,"="&amp;$T314,$S$2:$S313,"&lt;&gt;"&amp;$S314)-1)))</f>
        <v/>
      </c>
      <c r="Z314" s="6"/>
      <c r="AH314" t="str">
        <f t="shared" si="93"/>
        <v>o</v>
      </c>
      <c r="AI314" t="str">
        <f t="shared" si="100"/>
        <v/>
      </c>
      <c r="AJ314" t="str">
        <f t="shared" si="101"/>
        <v/>
      </c>
      <c r="AK314" t="str">
        <f t="shared" si="94"/>
        <v/>
      </c>
      <c r="AL314" t="str">
        <f t="shared" si="95"/>
        <v/>
      </c>
      <c r="AM314" t="str">
        <f t="shared" si="96"/>
        <v/>
      </c>
      <c r="AN314" t="str">
        <f t="shared" si="102"/>
        <v/>
      </c>
      <c r="AO314" t="str">
        <f t="shared" si="103"/>
        <v/>
      </c>
      <c r="AP314" t="str">
        <f t="shared" si="104"/>
        <v/>
      </c>
      <c r="AQ314" t="str">
        <f t="shared" si="105"/>
        <v/>
      </c>
      <c r="AR314" t="str">
        <f t="shared" si="106"/>
        <v/>
      </c>
      <c r="AS314" t="str">
        <f t="shared" si="97"/>
        <v>Defensive</v>
      </c>
      <c r="BI314" s="40"/>
      <c r="BL314" s="40"/>
      <c r="BN314" s="19"/>
      <c r="BP314" s="17"/>
    </row>
    <row r="315" spans="1:68" x14ac:dyDescent="0.2">
      <c r="A315" t="str">
        <f t="shared" si="98"/>
        <v/>
      </c>
      <c r="E315" s="4"/>
      <c r="F315" s="45"/>
      <c r="G315" s="4"/>
      <c r="H315" s="48"/>
      <c r="J315" s="46" t="str">
        <f t="shared" si="99"/>
        <v/>
      </c>
      <c r="N315" t="str">
        <f t="shared" si="108"/>
        <v/>
      </c>
      <c r="Q315" t="str">
        <f t="shared" si="107"/>
        <v/>
      </c>
      <c r="S315" t="str">
        <f>IF(A315=1,MAX(S$2:S314)+1,IF(OR(I315&lt;&gt;"",A315="x"),S314,""))</f>
        <v/>
      </c>
      <c r="T315" t="str">
        <f>IF(D315=1,MAX($T$2:$T314)+1,IF(S315=$S314,$S314,IF($D315="x",T314,IF($D314="x","",""))))</f>
        <v/>
      </c>
      <c r="U315" t="str">
        <f>IF(B315=1,MAX($U$2:$U314)+1,IF(AND($T315&lt;&gt;"",$T315=$T314),$U314,IF(B315="x",U314,"")))</f>
        <v/>
      </c>
      <c r="V315" t="str">
        <f>IF(C315=1,MAX($V$2:$V314)+1,IF(AND($T315&lt;&gt;"",$T315=$T314),$U314,IF(C315="x",V314,"")))</f>
        <v/>
      </c>
      <c r="W315" t="str" cm="1">
        <f t="array" ref="W315">IFERROR(_xlfn._xlws.FILTER(game_rosters!AB:AB,(game_rosters!J:J=events!X315)*(K315&lt;&gt;"")),"")</f>
        <v/>
      </c>
      <c r="X315" t="str" cm="1">
        <f t="array" ref="X315">IF(S315="","",IF($I315&lt;&gt;"",$I315,INDEX($I$2:$I314,ROW()-COUNTIFS($T$2:$T314,"="&amp;$T315,$S$2:$S314,"&lt;&gt;"&amp;$S315)-1)))</f>
        <v/>
      </c>
      <c r="Z315" s="6"/>
      <c r="AH315" t="str">
        <f t="shared" si="93"/>
        <v>o</v>
      </c>
      <c r="AI315" t="str">
        <f t="shared" si="100"/>
        <v/>
      </c>
      <c r="AJ315" t="str">
        <f t="shared" si="101"/>
        <v/>
      </c>
      <c r="AK315" t="str">
        <f t="shared" si="94"/>
        <v/>
      </c>
      <c r="AL315" t="str">
        <f t="shared" si="95"/>
        <v/>
      </c>
      <c r="AM315" t="str">
        <f t="shared" si="96"/>
        <v/>
      </c>
      <c r="AN315" t="str">
        <f t="shared" si="102"/>
        <v/>
      </c>
      <c r="AO315" t="str">
        <f t="shared" si="103"/>
        <v/>
      </c>
      <c r="AP315" t="str">
        <f t="shared" si="104"/>
        <v/>
      </c>
      <c r="AQ315" t="str">
        <f t="shared" si="105"/>
        <v/>
      </c>
      <c r="AR315" t="str">
        <f t="shared" si="106"/>
        <v/>
      </c>
      <c r="AS315" t="str">
        <f t="shared" si="97"/>
        <v>Defensive</v>
      </c>
      <c r="BI315" s="40"/>
      <c r="BL315" s="40"/>
      <c r="BN315" s="19"/>
      <c r="BP315" s="17"/>
    </row>
    <row r="316" spans="1:68" x14ac:dyDescent="0.2">
      <c r="A316" t="str">
        <f t="shared" si="98"/>
        <v/>
      </c>
      <c r="E316" s="4"/>
      <c r="F316" s="45"/>
      <c r="G316" s="4"/>
      <c r="H316" s="48"/>
      <c r="J316" s="46" t="str">
        <f t="shared" si="99"/>
        <v/>
      </c>
      <c r="N316" t="str">
        <f t="shared" si="108"/>
        <v/>
      </c>
      <c r="Q316" t="str">
        <f t="shared" si="107"/>
        <v/>
      </c>
      <c r="S316" t="str">
        <f>IF(A316=1,MAX(S$2:S315)+1,IF(OR(I316&lt;&gt;"",A316="x"),S315,""))</f>
        <v/>
      </c>
      <c r="T316" t="str">
        <f>IF(D316=1,MAX($T$2:$T315)+1,IF(S316=$S315,$S315,IF($D316="x",T315,IF($D315="x","",""))))</f>
        <v/>
      </c>
      <c r="U316" t="str">
        <f>IF(B316=1,MAX($U$2:$U315)+1,IF(AND($T316&lt;&gt;"",$T316=$T315),$U315,IF(B316="x",U315,"")))</f>
        <v/>
      </c>
      <c r="V316" t="str">
        <f>IF(C316=1,MAX($V$2:$V315)+1,IF(AND($T316&lt;&gt;"",$T316=$T315),$U315,IF(C316="x",V315,"")))</f>
        <v/>
      </c>
      <c r="W316" t="str" cm="1">
        <f t="array" ref="W316">IFERROR(_xlfn._xlws.FILTER(game_rosters!AB:AB,(game_rosters!J:J=events!X316)*(K316&lt;&gt;"")),"")</f>
        <v/>
      </c>
      <c r="X316" t="str" cm="1">
        <f t="array" ref="X316">IF(S316="","",IF($I316&lt;&gt;"",$I316,INDEX($I$2:$I315,ROW()-COUNTIFS($T$2:$T315,"="&amp;$T316,$S$2:$S315,"&lt;&gt;"&amp;$S316)-1)))</f>
        <v/>
      </c>
      <c r="Z316" s="6"/>
      <c r="AH316" t="str">
        <f t="shared" si="93"/>
        <v>o</v>
      </c>
      <c r="AI316" t="str">
        <f t="shared" si="100"/>
        <v/>
      </c>
      <c r="AJ316" t="str">
        <f t="shared" si="101"/>
        <v/>
      </c>
      <c r="AK316" t="str">
        <f t="shared" si="94"/>
        <v/>
      </c>
      <c r="AL316" t="str">
        <f t="shared" si="95"/>
        <v/>
      </c>
      <c r="AM316" t="str">
        <f t="shared" si="96"/>
        <v/>
      </c>
      <c r="AN316" t="str">
        <f t="shared" si="102"/>
        <v/>
      </c>
      <c r="AO316" t="str">
        <f t="shared" si="103"/>
        <v/>
      </c>
      <c r="AP316" t="str">
        <f t="shared" si="104"/>
        <v/>
      </c>
      <c r="AQ316" t="str">
        <f t="shared" si="105"/>
        <v/>
      </c>
      <c r="AR316" t="str">
        <f t="shared" si="106"/>
        <v/>
      </c>
      <c r="AS316" t="str">
        <f t="shared" si="97"/>
        <v>Defensive</v>
      </c>
      <c r="BI316" s="40"/>
      <c r="BL316" s="40"/>
      <c r="BN316" s="19"/>
      <c r="BP316" s="17"/>
    </row>
    <row r="317" spans="1:68" x14ac:dyDescent="0.2">
      <c r="A317" t="str">
        <f t="shared" si="98"/>
        <v/>
      </c>
      <c r="E317" s="4"/>
      <c r="F317" s="45"/>
      <c r="G317" s="4"/>
      <c r="H317" s="48"/>
      <c r="J317" s="46" t="str">
        <f t="shared" si="99"/>
        <v/>
      </c>
      <c r="N317" t="str">
        <f t="shared" si="108"/>
        <v/>
      </c>
      <c r="Q317" t="str">
        <f t="shared" si="107"/>
        <v/>
      </c>
      <c r="S317" t="str">
        <f>IF(A317=1,MAX(S$2:S316)+1,IF(OR(I317&lt;&gt;"",A317="x"),S316,""))</f>
        <v/>
      </c>
      <c r="T317" t="str">
        <f>IF(D317=1,MAX($T$2:$T316)+1,IF(S317=$S316,$S316,IF($D317="x",T316,IF($D316="x","",""))))</f>
        <v/>
      </c>
      <c r="U317" t="str">
        <f>IF(B317=1,MAX($U$2:$U316)+1,IF(AND($T317&lt;&gt;"",$T317=$T316),$U316,IF(B317="x",U316,"")))</f>
        <v/>
      </c>
      <c r="V317" t="str">
        <f>IF(C317=1,MAX($V$2:$V316)+1,IF(AND($T317&lt;&gt;"",$T317=$T316),$U316,IF(C317="x",V316,"")))</f>
        <v/>
      </c>
      <c r="W317" t="str" cm="1">
        <f t="array" ref="W317">IFERROR(_xlfn._xlws.FILTER(game_rosters!AB:AB,(game_rosters!J:J=events!X317)*(K317&lt;&gt;"")),"")</f>
        <v/>
      </c>
      <c r="X317" t="str" cm="1">
        <f t="array" ref="X317">IF(S317="","",IF($I317&lt;&gt;"",$I317,INDEX($I$2:$I316,ROW()-COUNTIFS($T$2:$T316,"="&amp;$T317,$S$2:$S316,"&lt;&gt;"&amp;$S317)-1)))</f>
        <v/>
      </c>
      <c r="Z317" s="6"/>
      <c r="AH317" t="str">
        <f t="shared" si="93"/>
        <v>o</v>
      </c>
      <c r="AI317" t="str">
        <f t="shared" si="100"/>
        <v/>
      </c>
      <c r="AJ317" t="str">
        <f t="shared" si="101"/>
        <v/>
      </c>
      <c r="AK317" t="str">
        <f t="shared" si="94"/>
        <v/>
      </c>
      <c r="AL317" t="str">
        <f t="shared" si="95"/>
        <v/>
      </c>
      <c r="AM317" t="str">
        <f t="shared" si="96"/>
        <v/>
      </c>
      <c r="AN317" t="str">
        <f t="shared" si="102"/>
        <v/>
      </c>
      <c r="AO317" t="str">
        <f t="shared" si="103"/>
        <v/>
      </c>
      <c r="AP317" t="str">
        <f t="shared" si="104"/>
        <v/>
      </c>
      <c r="AQ317" t="str">
        <f t="shared" si="105"/>
        <v/>
      </c>
      <c r="AR317" t="str">
        <f t="shared" si="106"/>
        <v/>
      </c>
      <c r="AS317" t="str">
        <f t="shared" si="97"/>
        <v>Defensive</v>
      </c>
      <c r="BI317" s="40"/>
      <c r="BL317" s="40"/>
      <c r="BN317" s="19"/>
      <c r="BP317" s="17"/>
    </row>
    <row r="318" spans="1:68" x14ac:dyDescent="0.2">
      <c r="A318" t="str">
        <f t="shared" si="98"/>
        <v/>
      </c>
      <c r="E318" s="4"/>
      <c r="F318" s="45"/>
      <c r="G318" s="4"/>
      <c r="H318" s="48"/>
      <c r="J318" s="46" t="str">
        <f t="shared" si="99"/>
        <v/>
      </c>
      <c r="N318" t="str">
        <f t="shared" si="108"/>
        <v/>
      </c>
      <c r="Q318" t="str">
        <f t="shared" si="107"/>
        <v/>
      </c>
      <c r="S318" t="str">
        <f>IF(A318=1,MAX(S$2:S317)+1,IF(OR(I318&lt;&gt;"",A318="x"),S317,""))</f>
        <v/>
      </c>
      <c r="T318" t="str">
        <f>IF(D318=1,MAX($T$2:$T317)+1,IF(S318=$S317,$S317,IF($D318="x",T317,IF($D317="x","",""))))</f>
        <v/>
      </c>
      <c r="U318" t="str">
        <f>IF(B318=1,MAX($U$2:$U317)+1,IF(AND($T318&lt;&gt;"",$T318=$T317),$U317,IF(B318="x",U317,"")))</f>
        <v/>
      </c>
      <c r="V318" t="str">
        <f>IF(C318=1,MAX($V$2:$V317)+1,IF(AND($T318&lt;&gt;"",$T318=$T317),$U317,IF(C318="x",V317,"")))</f>
        <v/>
      </c>
      <c r="W318" t="str" cm="1">
        <f t="array" ref="W318">IFERROR(_xlfn._xlws.FILTER(game_rosters!AB:AB,(game_rosters!J:J=events!X318)*(K318&lt;&gt;"")),"")</f>
        <v/>
      </c>
      <c r="X318" t="str" cm="1">
        <f t="array" ref="X318">IF(S318="","",IF($I318&lt;&gt;"",$I318,INDEX($I$2:$I317,ROW()-COUNTIFS($T$2:$T317,"="&amp;$T318,$S$2:$S317,"&lt;&gt;"&amp;$S318)-1)))</f>
        <v/>
      </c>
      <c r="Z318" s="6"/>
      <c r="AH318" t="str">
        <f t="shared" si="93"/>
        <v>o</v>
      </c>
      <c r="AI318" t="str">
        <f t="shared" si="100"/>
        <v/>
      </c>
      <c r="AJ318" t="str">
        <f t="shared" si="101"/>
        <v/>
      </c>
      <c r="AK318" t="str">
        <f t="shared" si="94"/>
        <v/>
      </c>
      <c r="AL318" t="str">
        <f t="shared" si="95"/>
        <v/>
      </c>
      <c r="AM318" t="str">
        <f t="shared" si="96"/>
        <v/>
      </c>
      <c r="AN318" t="str">
        <f t="shared" si="102"/>
        <v/>
      </c>
      <c r="AO318" t="str">
        <f t="shared" si="103"/>
        <v/>
      </c>
      <c r="AP318" t="str">
        <f t="shared" si="104"/>
        <v/>
      </c>
      <c r="AQ318" t="str">
        <f t="shared" si="105"/>
        <v/>
      </c>
      <c r="AR318" t="str">
        <f t="shared" si="106"/>
        <v/>
      </c>
      <c r="AS318" t="str">
        <f t="shared" si="97"/>
        <v>Defensive</v>
      </c>
      <c r="BI318" s="40"/>
      <c r="BL318" s="40"/>
      <c r="BN318" s="19"/>
      <c r="BP318" s="17"/>
    </row>
    <row r="319" spans="1:68" x14ac:dyDescent="0.2">
      <c r="A319" t="str">
        <f t="shared" si="98"/>
        <v/>
      </c>
      <c r="E319" s="4"/>
      <c r="F319" s="45"/>
      <c r="G319" s="4"/>
      <c r="H319" s="48"/>
      <c r="J319" s="46" t="str">
        <f t="shared" si="99"/>
        <v/>
      </c>
      <c r="N319" t="str">
        <f t="shared" si="108"/>
        <v/>
      </c>
      <c r="Q319" t="str">
        <f t="shared" si="107"/>
        <v/>
      </c>
      <c r="S319" t="str">
        <f>IF(A319=1,MAX(S$2:S318)+1,IF(OR(I319&lt;&gt;"",A319="x"),S318,""))</f>
        <v/>
      </c>
      <c r="T319" t="str">
        <f>IF(D319=1,MAX($T$2:$T318)+1,IF(S319=$S318,$S318,IF($D319="x",T318,IF($D318="x","",""))))</f>
        <v/>
      </c>
      <c r="U319" t="str">
        <f>IF(B319=1,MAX($U$2:$U318)+1,IF(AND($T319&lt;&gt;"",$T319=$T318),$U318,IF(B319="x",U318,"")))</f>
        <v/>
      </c>
      <c r="V319" t="str">
        <f>IF(C319=1,MAX($V$2:$V318)+1,IF(AND($T319&lt;&gt;"",$T319=$T318),$U318,IF(C319="x",V318,"")))</f>
        <v/>
      </c>
      <c r="W319" t="str" cm="1">
        <f t="array" ref="W319">IFERROR(_xlfn._xlws.FILTER(game_rosters!AB:AB,(game_rosters!J:J=events!X319)*(K319&lt;&gt;"")),"")</f>
        <v/>
      </c>
      <c r="X319" t="str" cm="1">
        <f t="array" ref="X319">IF(S319="","",IF($I319&lt;&gt;"",$I319,INDEX($I$2:$I318,ROW()-COUNTIFS($T$2:$T318,"="&amp;$T319,$S$2:$S318,"&lt;&gt;"&amp;$S319)-1)))</f>
        <v/>
      </c>
      <c r="Z319" s="6"/>
      <c r="AH319" t="str">
        <f t="shared" si="93"/>
        <v>o</v>
      </c>
      <c r="AI319" t="str">
        <f t="shared" si="100"/>
        <v/>
      </c>
      <c r="AJ319" t="str">
        <f t="shared" si="101"/>
        <v/>
      </c>
      <c r="AK319" t="str">
        <f t="shared" si="94"/>
        <v/>
      </c>
      <c r="AL319" t="str">
        <f t="shared" si="95"/>
        <v/>
      </c>
      <c r="AM319" t="str">
        <f t="shared" si="96"/>
        <v/>
      </c>
      <c r="AN319" t="str">
        <f t="shared" si="102"/>
        <v/>
      </c>
      <c r="AO319" t="str">
        <f t="shared" si="103"/>
        <v/>
      </c>
      <c r="AP319" t="str">
        <f t="shared" si="104"/>
        <v/>
      </c>
      <c r="AQ319" t="str">
        <f t="shared" si="105"/>
        <v/>
      </c>
      <c r="AR319" t="str">
        <f t="shared" si="106"/>
        <v/>
      </c>
      <c r="AS319" t="str">
        <f t="shared" si="97"/>
        <v>Defensive</v>
      </c>
      <c r="BI319" s="40"/>
      <c r="BL319" s="40"/>
      <c r="BN319" s="19"/>
      <c r="BP319" s="17"/>
    </row>
    <row r="320" spans="1:68" x14ac:dyDescent="0.2">
      <c r="A320" t="str">
        <f t="shared" si="98"/>
        <v/>
      </c>
      <c r="E320" s="4"/>
      <c r="F320" s="45"/>
      <c r="G320" s="4"/>
      <c r="H320" s="48"/>
      <c r="J320" s="46" t="str">
        <f t="shared" si="99"/>
        <v/>
      </c>
      <c r="N320" t="str">
        <f t="shared" si="108"/>
        <v/>
      </c>
      <c r="Q320" t="str">
        <f t="shared" si="107"/>
        <v/>
      </c>
      <c r="S320" t="str">
        <f>IF(A320=1,MAX(S$2:S319)+1,IF(OR(I320&lt;&gt;"",A320="x"),S319,""))</f>
        <v/>
      </c>
      <c r="T320" t="str">
        <f>IF(D320=1,MAX($T$2:$T319)+1,IF(S320=$S319,$S319,IF($D320="x",T319,IF($D319="x","",""))))</f>
        <v/>
      </c>
      <c r="U320" t="str">
        <f>IF(B320=1,MAX($U$2:$U319)+1,IF(AND($T320&lt;&gt;"",$T320=$T319),$U319,IF(B320="x",U319,"")))</f>
        <v/>
      </c>
      <c r="V320" t="str">
        <f>IF(C320=1,MAX($V$2:$V319)+1,IF(AND($T320&lt;&gt;"",$T320=$T319),$U319,IF(C320="x",V319,"")))</f>
        <v/>
      </c>
      <c r="W320" t="str" cm="1">
        <f t="array" ref="W320">IFERROR(_xlfn._xlws.FILTER(game_rosters!AB:AB,(game_rosters!J:J=events!X320)*(K320&lt;&gt;"")),"")</f>
        <v/>
      </c>
      <c r="X320" t="str" cm="1">
        <f t="array" ref="X320">IF(S320="","",IF($I320&lt;&gt;"",$I320,INDEX($I$2:$I319,ROW()-COUNTIFS($T$2:$T319,"="&amp;$T320,$S$2:$S319,"&lt;&gt;"&amp;$S320)-1)))</f>
        <v/>
      </c>
      <c r="Z320" s="6"/>
      <c r="AH320" t="str">
        <f t="shared" ref="AH320:AH383" si="109">IF(Y320="x","",IF(Y320=1,"e","o"))</f>
        <v>o</v>
      </c>
      <c r="AI320" t="str">
        <f t="shared" si="100"/>
        <v/>
      </c>
      <c r="AJ320" t="str">
        <f t="shared" si="101"/>
        <v/>
      </c>
      <c r="AK320" t="str">
        <f t="shared" ref="AK320:AK383" si="110">IF($W320="","",IF($AI320="","",IF($W320="h",$AI320,IF($AI320="n","n",IF(AND($W320="a",$AI320="d"),"o",IF(AND($W320="a",$AI320="o"),"d"))))))</f>
        <v/>
      </c>
      <c r="AL320" t="str">
        <f t="shared" ref="AL320:AL383" si="111">IF($W320="","",IF(J320="","",IF(AK320="n","n",IF(AK320="d","o",IF(AK320="o","d","")))))</f>
        <v/>
      </c>
      <c r="AM320" t="str">
        <f t="shared" ref="AM320:AM383" si="112">IF(AN320="H","Home",IF(AN320="A","Away",""))</f>
        <v/>
      </c>
      <c r="AN320" t="str">
        <f t="shared" si="102"/>
        <v/>
      </c>
      <c r="AO320" t="str">
        <f t="shared" si="103"/>
        <v/>
      </c>
      <c r="AP320" t="str">
        <f t="shared" si="104"/>
        <v/>
      </c>
      <c r="AQ320" t="str">
        <f t="shared" si="105"/>
        <v/>
      </c>
      <c r="AR320" t="str">
        <f t="shared" si="106"/>
        <v/>
      </c>
      <c r="AS320" t="str">
        <f t="shared" ref="AS320:AS383" si="113">IF(AND(AH320="e",OR(BD320="Save",BE320="Turnover_Takeaway",BE320="Play_Defensive")),"Defensive",IF(AND(AH320="o",OR(BD320="Save",BE320="Turnover_Takeaway",BE320="Play_Defensive")),"Offensive",IF(OR(BD320="Deadice",BD320="Stoppage",BD320="Intermission"),"",IF(AH320="e","Offensive",IF(AH320="o","Defensive","")))))</f>
        <v>Defensive</v>
      </c>
      <c r="BI320" s="40"/>
      <c r="BL320" s="40"/>
      <c r="BN320" s="19"/>
      <c r="BP320" s="17"/>
    </row>
    <row r="321" spans="1:68" x14ac:dyDescent="0.2">
      <c r="A321" t="str">
        <f t="shared" si="98"/>
        <v/>
      </c>
      <c r="E321" s="4"/>
      <c r="F321" s="45"/>
      <c r="G321" s="4"/>
      <c r="H321" s="48"/>
      <c r="J321" s="46" t="str">
        <f t="shared" si="99"/>
        <v/>
      </c>
      <c r="N321" t="str">
        <f t="shared" si="108"/>
        <v/>
      </c>
      <c r="Q321" t="str">
        <f t="shared" si="107"/>
        <v/>
      </c>
      <c r="S321" t="str">
        <f>IF(A321=1,MAX(S$2:S320)+1,IF(OR(I321&lt;&gt;"",A321="x"),S320,""))</f>
        <v/>
      </c>
      <c r="T321" t="str">
        <f>IF(D321=1,MAX($T$2:$T320)+1,IF(S321=$S320,$S320,IF($D321="x",T320,IF($D320="x","",""))))</f>
        <v/>
      </c>
      <c r="U321" t="str">
        <f>IF(B321=1,MAX($U$2:$U320)+1,IF(AND($T321&lt;&gt;"",$T321=$T320),$U320,IF(B321="x",U320,"")))</f>
        <v/>
      </c>
      <c r="V321" t="str">
        <f>IF(C321=1,MAX($V$2:$V320)+1,IF(AND($T321&lt;&gt;"",$T321=$T320),$U320,IF(C321="x",V320,"")))</f>
        <v/>
      </c>
      <c r="W321" t="str" cm="1">
        <f t="array" ref="W321">IFERROR(_xlfn._xlws.FILTER(game_rosters!AB:AB,(game_rosters!J:J=events!X321)*(K321&lt;&gt;"")),"")</f>
        <v/>
      </c>
      <c r="X321" t="str" cm="1">
        <f t="array" ref="X321">IF(S321="","",IF($I321&lt;&gt;"",$I321,INDEX($I$2:$I320,ROW()-COUNTIFS($T$2:$T320,"="&amp;$T321,$S$2:$S320,"&lt;&gt;"&amp;$S321)-1)))</f>
        <v/>
      </c>
      <c r="Z321" s="6"/>
      <c r="AH321" t="str">
        <f t="shared" si="109"/>
        <v>o</v>
      </c>
      <c r="AI321" t="str">
        <f t="shared" si="100"/>
        <v/>
      </c>
      <c r="AJ321" t="str">
        <f t="shared" si="101"/>
        <v/>
      </c>
      <c r="AK321" t="str">
        <f t="shared" si="110"/>
        <v/>
      </c>
      <c r="AL321" t="str">
        <f t="shared" si="111"/>
        <v/>
      </c>
      <c r="AM321" t="str">
        <f t="shared" si="112"/>
        <v/>
      </c>
      <c r="AN321" t="str">
        <f t="shared" si="102"/>
        <v/>
      </c>
      <c r="AO321" t="str">
        <f t="shared" si="103"/>
        <v/>
      </c>
      <c r="AP321" t="str">
        <f t="shared" si="104"/>
        <v/>
      </c>
      <c r="AQ321" t="str">
        <f t="shared" si="105"/>
        <v/>
      </c>
      <c r="AR321" t="str">
        <f t="shared" si="106"/>
        <v/>
      </c>
      <c r="AS321" t="str">
        <f t="shared" si="113"/>
        <v>Defensive</v>
      </c>
      <c r="BI321" s="40"/>
      <c r="BL321" s="40"/>
      <c r="BN321" s="19"/>
      <c r="BP321" s="17"/>
    </row>
    <row r="322" spans="1:68" x14ac:dyDescent="0.2">
      <c r="A322" t="str">
        <f t="shared" si="98"/>
        <v/>
      </c>
      <c r="E322" s="4"/>
      <c r="F322" s="45"/>
      <c r="G322" s="4"/>
      <c r="H322" s="48"/>
      <c r="J322" s="46" t="str">
        <f t="shared" si="99"/>
        <v/>
      </c>
      <c r="N322" t="str">
        <f t="shared" si="108"/>
        <v/>
      </c>
      <c r="Q322" t="str">
        <f t="shared" si="107"/>
        <v/>
      </c>
      <c r="S322" t="str">
        <f>IF(A322=1,MAX(S$2:S321)+1,IF(OR(I322&lt;&gt;"",A322="x"),S321,""))</f>
        <v/>
      </c>
      <c r="T322" t="str">
        <f>IF(D322=1,MAX($T$2:$T321)+1,IF(S322=$S321,$S321,IF($D322="x",T321,IF($D321="x","",""))))</f>
        <v/>
      </c>
      <c r="U322" t="str">
        <f>IF(B322=1,MAX($U$2:$U321)+1,IF(AND($T322&lt;&gt;"",$T322=$T321),$U321,IF(B322="x",U321,"")))</f>
        <v/>
      </c>
      <c r="V322" t="str">
        <f>IF(C322=1,MAX($V$2:$V321)+1,IF(AND($T322&lt;&gt;"",$T322=$T321),$U321,IF(C322="x",V321,"")))</f>
        <v/>
      </c>
      <c r="W322" t="str" cm="1">
        <f t="array" ref="W322">IFERROR(_xlfn._xlws.FILTER(game_rosters!AB:AB,(game_rosters!J:J=events!X322)*(K322&lt;&gt;"")),"")</f>
        <v/>
      </c>
      <c r="X322" t="str" cm="1">
        <f t="array" ref="X322">IF(S322="","",IF($I322&lt;&gt;"",$I322,INDEX($I$2:$I321,ROW()-COUNTIFS($T$2:$T321,"="&amp;$T322,$S$2:$S321,"&lt;&gt;"&amp;$S322)-1)))</f>
        <v/>
      </c>
      <c r="Z322" s="6"/>
      <c r="AH322" t="str">
        <f t="shared" si="109"/>
        <v>o</v>
      </c>
      <c r="AI322" t="str">
        <f t="shared" si="100"/>
        <v/>
      </c>
      <c r="AJ322" t="str">
        <f t="shared" si="101"/>
        <v/>
      </c>
      <c r="AK322" t="str">
        <f t="shared" si="110"/>
        <v/>
      </c>
      <c r="AL322" t="str">
        <f t="shared" si="111"/>
        <v/>
      </c>
      <c r="AM322" t="str">
        <f t="shared" si="112"/>
        <v/>
      </c>
      <c r="AN322" t="str">
        <f t="shared" si="102"/>
        <v/>
      </c>
      <c r="AO322" t="str">
        <f t="shared" si="103"/>
        <v/>
      </c>
      <c r="AP322" t="str">
        <f t="shared" si="104"/>
        <v/>
      </c>
      <c r="AQ322" t="str">
        <f t="shared" si="105"/>
        <v/>
      </c>
      <c r="AR322" t="str">
        <f t="shared" si="106"/>
        <v/>
      </c>
      <c r="AS322" t="str">
        <f t="shared" si="113"/>
        <v>Defensive</v>
      </c>
      <c r="BI322" s="40"/>
      <c r="BL322" s="40"/>
      <c r="BN322" s="19"/>
      <c r="BP322" s="17"/>
    </row>
    <row r="323" spans="1:68" x14ac:dyDescent="0.2">
      <c r="A323" t="str">
        <f t="shared" si="98"/>
        <v/>
      </c>
      <c r="E323" s="4"/>
      <c r="F323" s="45"/>
      <c r="G323" s="4"/>
      <c r="H323" s="48"/>
      <c r="J323" s="46" t="str">
        <f t="shared" si="99"/>
        <v/>
      </c>
      <c r="N323" t="str">
        <f t="shared" si="108"/>
        <v/>
      </c>
      <c r="Q323" t="str">
        <f t="shared" si="107"/>
        <v/>
      </c>
      <c r="S323" t="str">
        <f>IF(A323=1,MAX(S$2:S322)+1,IF(OR(I323&lt;&gt;"",A323="x"),S322,""))</f>
        <v/>
      </c>
      <c r="T323" t="str">
        <f>IF(D323=1,MAX($T$2:$T322)+1,IF(S323=$S322,$S322,IF($D323="x",T322,IF($D322="x","",""))))</f>
        <v/>
      </c>
      <c r="U323" t="str">
        <f>IF(B323=1,MAX($U$2:$U322)+1,IF(AND($T323&lt;&gt;"",$T323=$T322),$U322,IF(B323="x",U322,"")))</f>
        <v/>
      </c>
      <c r="V323" t="str">
        <f>IF(C323=1,MAX($V$2:$V322)+1,IF(AND($T323&lt;&gt;"",$T323=$T322),$U322,IF(C323="x",V322,"")))</f>
        <v/>
      </c>
      <c r="W323" t="str" cm="1">
        <f t="array" ref="W323">IFERROR(_xlfn._xlws.FILTER(game_rosters!AB:AB,(game_rosters!J:J=events!X323)*(K323&lt;&gt;"")),"")</f>
        <v/>
      </c>
      <c r="X323" t="str" cm="1">
        <f t="array" ref="X323">IF(S323="","",IF($I323&lt;&gt;"",$I323,INDEX($I$2:$I322,ROW()-COUNTIFS($T$2:$T322,"="&amp;$T323,$S$2:$S322,"&lt;&gt;"&amp;$S323)-1)))</f>
        <v/>
      </c>
      <c r="Z323" s="6"/>
      <c r="AH323" t="str">
        <f t="shared" si="109"/>
        <v>o</v>
      </c>
      <c r="AI323" t="str">
        <f t="shared" si="100"/>
        <v/>
      </c>
      <c r="AJ323" t="str">
        <f t="shared" si="101"/>
        <v/>
      </c>
      <c r="AK323" t="str">
        <f t="shared" si="110"/>
        <v/>
      </c>
      <c r="AL323" t="str">
        <f t="shared" si="111"/>
        <v/>
      </c>
      <c r="AM323" t="str">
        <f t="shared" si="112"/>
        <v/>
      </c>
      <c r="AN323" t="str">
        <f t="shared" si="102"/>
        <v/>
      </c>
      <c r="AO323" t="str">
        <f t="shared" si="103"/>
        <v/>
      </c>
      <c r="AP323" t="str">
        <f t="shared" si="104"/>
        <v/>
      </c>
      <c r="AQ323" t="str">
        <f t="shared" si="105"/>
        <v/>
      </c>
      <c r="AR323" t="str">
        <f t="shared" si="106"/>
        <v/>
      </c>
      <c r="AS323" t="str">
        <f t="shared" si="113"/>
        <v>Defensive</v>
      </c>
      <c r="BI323" s="40"/>
      <c r="BL323" s="40"/>
      <c r="BN323" s="19"/>
      <c r="BP323" s="17"/>
    </row>
    <row r="324" spans="1:68" x14ac:dyDescent="0.2">
      <c r="A324" t="str">
        <f t="shared" si="98"/>
        <v/>
      </c>
      <c r="E324" s="4"/>
      <c r="F324" s="45"/>
      <c r="G324" s="4"/>
      <c r="H324" s="48"/>
      <c r="J324" s="46" t="str">
        <f t="shared" si="99"/>
        <v/>
      </c>
      <c r="N324" t="str">
        <f t="shared" si="108"/>
        <v/>
      </c>
      <c r="Q324" t="str">
        <f t="shared" si="107"/>
        <v/>
      </c>
      <c r="S324" t="str">
        <f>IF(A324=1,MAX(S$2:S323)+1,IF(OR(I324&lt;&gt;"",A324="x"),S323,""))</f>
        <v/>
      </c>
      <c r="T324" t="str">
        <f>IF(D324=1,MAX($T$2:$T323)+1,IF(S324=$S323,$S323,IF($D324="x",T323,IF($D323="x","",""))))</f>
        <v/>
      </c>
      <c r="U324" t="str">
        <f>IF(B324=1,MAX($U$2:$U323)+1,IF(AND($T324&lt;&gt;"",$T324=$T323),$U323,IF(B324="x",U323,"")))</f>
        <v/>
      </c>
      <c r="V324" t="str">
        <f>IF(C324=1,MAX($V$2:$V323)+1,IF(AND($T324&lt;&gt;"",$T324=$T323),$U323,IF(C324="x",V323,"")))</f>
        <v/>
      </c>
      <c r="W324" t="str" cm="1">
        <f t="array" ref="W324">IFERROR(_xlfn._xlws.FILTER(game_rosters!AB:AB,(game_rosters!J:J=events!X324)*(K324&lt;&gt;"")),"")</f>
        <v/>
      </c>
      <c r="X324" t="str" cm="1">
        <f t="array" ref="X324">IF(S324="","",IF($I324&lt;&gt;"",$I324,INDEX($I$2:$I323,ROW()-COUNTIFS($T$2:$T323,"="&amp;$T324,$S$2:$S323,"&lt;&gt;"&amp;$S324)-1)))</f>
        <v/>
      </c>
      <c r="Z324" s="6"/>
      <c r="AH324" t="str">
        <f t="shared" si="109"/>
        <v>o</v>
      </c>
      <c r="AI324" t="str">
        <f t="shared" si="100"/>
        <v/>
      </c>
      <c r="AJ324" t="str">
        <f t="shared" si="101"/>
        <v/>
      </c>
      <c r="AK324" t="str">
        <f t="shared" si="110"/>
        <v/>
      </c>
      <c r="AL324" t="str">
        <f t="shared" si="111"/>
        <v/>
      </c>
      <c r="AM324" t="str">
        <f t="shared" si="112"/>
        <v/>
      </c>
      <c r="AN324" t="str">
        <f t="shared" si="102"/>
        <v/>
      </c>
      <c r="AO324" t="str">
        <f t="shared" si="103"/>
        <v/>
      </c>
      <c r="AP324" t="str">
        <f t="shared" si="104"/>
        <v/>
      </c>
      <c r="AQ324" t="str">
        <f t="shared" si="105"/>
        <v/>
      </c>
      <c r="AR324" t="str">
        <f t="shared" si="106"/>
        <v/>
      </c>
      <c r="AS324" t="str">
        <f t="shared" si="113"/>
        <v>Defensive</v>
      </c>
      <c r="BI324" s="40"/>
      <c r="BL324" s="40"/>
      <c r="BN324" s="19"/>
      <c r="BP324" s="17"/>
    </row>
    <row r="325" spans="1:68" x14ac:dyDescent="0.2">
      <c r="A325" t="str">
        <f t="shared" ref="A325:A388" si="114">IF(K325&lt;&gt;"",1,IF(D325="x","x",""))</f>
        <v/>
      </c>
      <c r="E325" s="4"/>
      <c r="F325" s="45"/>
      <c r="G325" s="4"/>
      <c r="H325" s="48"/>
      <c r="J325" s="46" t="str">
        <f t="shared" si="99"/>
        <v/>
      </c>
      <c r="N325" t="str">
        <f t="shared" si="108"/>
        <v/>
      </c>
      <c r="Q325" t="str">
        <f t="shared" si="107"/>
        <v/>
      </c>
      <c r="S325" t="str">
        <f>IF(A325=1,MAX(S$2:S324)+1,IF(OR(I325&lt;&gt;"",A325="x"),S324,""))</f>
        <v/>
      </c>
      <c r="T325" t="str">
        <f>IF(D325=1,MAX($T$2:$T324)+1,IF(S325=$S324,$S324,IF($D325="x",T324,IF($D324="x","",""))))</f>
        <v/>
      </c>
      <c r="U325" t="str">
        <f>IF(B325=1,MAX($U$2:$U324)+1,IF(AND($T325&lt;&gt;"",$T325=$T324),$U324,IF(B325="x",U324,"")))</f>
        <v/>
      </c>
      <c r="V325" t="str">
        <f>IF(C325=1,MAX($V$2:$V324)+1,IF(AND($T325&lt;&gt;"",$T325=$T324),$U324,IF(C325="x",V324,"")))</f>
        <v/>
      </c>
      <c r="W325" t="str" cm="1">
        <f t="array" ref="W325">IFERROR(_xlfn._xlws.FILTER(game_rosters!AB:AB,(game_rosters!J:J=events!X325)*(K325&lt;&gt;"")),"")</f>
        <v/>
      </c>
      <c r="X325" t="str" cm="1">
        <f t="array" ref="X325">IF(S325="","",IF($I325&lt;&gt;"",$I325,INDEX($I$2:$I324,ROW()-COUNTIFS($T$2:$T324,"="&amp;$T325,$S$2:$S324,"&lt;&gt;"&amp;$S325)-1)))</f>
        <v/>
      </c>
      <c r="Z325" s="6"/>
      <c r="AH325" t="str">
        <f t="shared" si="109"/>
        <v>o</v>
      </c>
      <c r="AI325" t="str">
        <f t="shared" si="100"/>
        <v/>
      </c>
      <c r="AJ325" t="str">
        <f t="shared" si="101"/>
        <v/>
      </c>
      <c r="AK325" t="str">
        <f t="shared" si="110"/>
        <v/>
      </c>
      <c r="AL325" t="str">
        <f t="shared" si="111"/>
        <v/>
      </c>
      <c r="AM325" t="str">
        <f t="shared" si="112"/>
        <v/>
      </c>
      <c r="AN325" t="str">
        <f t="shared" si="102"/>
        <v/>
      </c>
      <c r="AO325" t="str">
        <f t="shared" si="103"/>
        <v/>
      </c>
      <c r="AP325" t="str">
        <f t="shared" si="104"/>
        <v/>
      </c>
      <c r="AQ325" t="str">
        <f t="shared" si="105"/>
        <v/>
      </c>
      <c r="AR325" t="str">
        <f t="shared" si="106"/>
        <v/>
      </c>
      <c r="AS325" t="str">
        <f t="shared" si="113"/>
        <v>Defensive</v>
      </c>
      <c r="BI325" s="40"/>
      <c r="BL325" s="40"/>
      <c r="BN325" s="19"/>
      <c r="BP325" s="17"/>
    </row>
    <row r="326" spans="1:68" x14ac:dyDescent="0.2">
      <c r="A326" t="str">
        <f t="shared" si="114"/>
        <v/>
      </c>
      <c r="E326" s="4"/>
      <c r="F326" s="45"/>
      <c r="G326" s="4"/>
      <c r="H326" s="48"/>
      <c r="J326" s="46" t="str">
        <f t="shared" ref="J326:J389" si="115">IF(OR(K326="Goal",K326="Shot",L326="Zone_Entry",M326="Stoppage-Goal",M325="Stoppage-Goal"),"o",IF(OR(K326="Save",K326="Rebound",L326="Zone_Exit",M326="Stoppage-GoalieStoppage",M325="Stoppage-GoalieStoppage"),"d",IF(OR(L326="Faceoff_AfterGoal",L326="Faceoff_PeriodStart",698="Faceoff_GameStart",M325="Stoppage-Goal"),"n","")))</f>
        <v/>
      </c>
      <c r="N326" t="str">
        <f t="shared" si="108"/>
        <v/>
      </c>
      <c r="Q326" t="str">
        <f t="shared" si="107"/>
        <v/>
      </c>
      <c r="S326" t="str">
        <f>IF(A326=1,MAX(S$2:S325)+1,IF(OR(I326&lt;&gt;"",A326="x"),S325,""))</f>
        <v/>
      </c>
      <c r="T326" t="str">
        <f>IF(D326=1,MAX($T$2:$T325)+1,IF(S326=$S325,$S325,IF($D326="x",T325,IF($D325="x","",""))))</f>
        <v/>
      </c>
      <c r="U326" t="str">
        <f>IF(B326=1,MAX($U$2:$U325)+1,IF(AND($T326&lt;&gt;"",$T326=$T325),$U325,IF(B326="x",U325,"")))</f>
        <v/>
      </c>
      <c r="V326" t="str">
        <f>IF(C326=1,MAX($V$2:$V325)+1,IF(AND($T326&lt;&gt;"",$T326=$T325),$U325,IF(C326="x",V325,"")))</f>
        <v/>
      </c>
      <c r="W326" t="str" cm="1">
        <f t="array" ref="W326">IFERROR(_xlfn._xlws.FILTER(game_rosters!AB:AB,(game_rosters!J:J=events!X326)*(K326&lt;&gt;"")),"")</f>
        <v/>
      </c>
      <c r="X326" t="str" cm="1">
        <f t="array" ref="X326">IF(S326="","",IF($I326&lt;&gt;"",$I326,INDEX($I$2:$I325,ROW()-COUNTIFS($T$2:$T325,"="&amp;$T326,$S$2:$S325,"&lt;&gt;"&amp;$S326)-1)))</f>
        <v/>
      </c>
      <c r="Z326" s="6"/>
      <c r="AH326" t="str">
        <f t="shared" si="109"/>
        <v>o</v>
      </c>
      <c r="AI326" t="str">
        <f t="shared" ref="AI326:AI389" si="116">IF($J326&lt;&gt;"",$J326,IF($AC326=$AC325,AI325,""))</f>
        <v/>
      </c>
      <c r="AJ326" t="str">
        <f t="shared" ref="AJ326:AJ389" si="117">IF($J326&lt;&gt;"",$J326,IF($AC326=AC325,AJ325,""))</f>
        <v/>
      </c>
      <c r="AK326" t="str">
        <f t="shared" si="110"/>
        <v/>
      </c>
      <c r="AL326" t="str">
        <f t="shared" si="111"/>
        <v/>
      </c>
      <c r="AM326" t="str">
        <f t="shared" si="112"/>
        <v/>
      </c>
      <c r="AN326" t="str">
        <f t="shared" ref="AN326:AN389" si="118">IF($W326&lt;&gt;"",$W326,IF($AC326=AC325,AN325,""))</f>
        <v/>
      </c>
      <c r="AO326" t="str">
        <f t="shared" ref="AO326:AO389" si="119">IF(AK326&lt;&gt;"",AK326,IF($AC326=AC325,AO325,""))</f>
        <v/>
      </c>
      <c r="AP326" t="str">
        <f t="shared" ref="AP326:AP389" si="120">IF(AL326&lt;&gt;"",AL326,IF($AC326=AC325,AP325,""))</f>
        <v/>
      </c>
      <c r="AQ326" t="str">
        <f t="shared" ref="AQ326:AQ389" si="121">IF(AM326&lt;&gt;"",AM326,IF($AC326=AC325,AQ325,""))</f>
        <v/>
      </c>
      <c r="AR326" t="str">
        <f t="shared" ref="AR326:AR389" si="122">IF(AN326&lt;&gt;"",AN326,IF($AC326=AC325,AQ325,""))</f>
        <v/>
      </c>
      <c r="AS326" t="str">
        <f t="shared" si="113"/>
        <v>Defensive</v>
      </c>
      <c r="BI326" s="40"/>
      <c r="BL326" s="40"/>
      <c r="BN326" s="19"/>
      <c r="BP326" s="17"/>
    </row>
    <row r="327" spans="1:68" x14ac:dyDescent="0.2">
      <c r="A327" t="str">
        <f t="shared" si="114"/>
        <v/>
      </c>
      <c r="E327" s="4"/>
      <c r="F327" s="45"/>
      <c r="G327" s="4"/>
      <c r="H327" s="48"/>
      <c r="J327" s="46" t="str">
        <f t="shared" si="115"/>
        <v/>
      </c>
      <c r="N327" t="str">
        <f t="shared" si="108"/>
        <v/>
      </c>
      <c r="Q327" t="str">
        <f t="shared" si="107"/>
        <v/>
      </c>
      <c r="S327" t="str">
        <f>IF(A327=1,MAX(S$2:S326)+1,IF(OR(I327&lt;&gt;"",A327="x"),S326,""))</f>
        <v/>
      </c>
      <c r="T327" t="str">
        <f>IF(D327=1,MAX($T$2:$T326)+1,IF(S327=$S326,$S326,IF($D327="x",T326,IF($D326="x","",""))))</f>
        <v/>
      </c>
      <c r="U327" t="str">
        <f>IF(B327=1,MAX($U$2:$U326)+1,IF(AND($T327&lt;&gt;"",$T327=$T326),$U326,IF(B327="x",U326,"")))</f>
        <v/>
      </c>
      <c r="V327" t="str">
        <f>IF(C327=1,MAX($V$2:$V326)+1,IF(AND($T327&lt;&gt;"",$T327=$T326),$U326,IF(C327="x",V326,"")))</f>
        <v/>
      </c>
      <c r="W327" t="str" cm="1">
        <f t="array" ref="W327">IFERROR(_xlfn._xlws.FILTER(game_rosters!AB:AB,(game_rosters!J:J=events!X327)*(K327&lt;&gt;"")),"")</f>
        <v/>
      </c>
      <c r="X327" t="str" cm="1">
        <f t="array" ref="X327">IF(S327="","",IF($I327&lt;&gt;"",$I327,INDEX($I$2:$I326,ROW()-COUNTIFS($T$2:$T326,"="&amp;$T327,$S$2:$S326,"&lt;&gt;"&amp;$S327)-1)))</f>
        <v/>
      </c>
      <c r="Z327" s="6"/>
      <c r="AH327" t="str">
        <f t="shared" si="109"/>
        <v>o</v>
      </c>
      <c r="AI327" t="str">
        <f t="shared" si="116"/>
        <v/>
      </c>
      <c r="AJ327" t="str">
        <f t="shared" si="117"/>
        <v/>
      </c>
      <c r="AK327" t="str">
        <f t="shared" si="110"/>
        <v/>
      </c>
      <c r="AL327" t="str">
        <f t="shared" si="111"/>
        <v/>
      </c>
      <c r="AM327" t="str">
        <f t="shared" si="112"/>
        <v/>
      </c>
      <c r="AN327" t="str">
        <f t="shared" si="118"/>
        <v/>
      </c>
      <c r="AO327" t="str">
        <f t="shared" si="119"/>
        <v/>
      </c>
      <c r="AP327" t="str">
        <f t="shared" si="120"/>
        <v/>
      </c>
      <c r="AQ327" t="str">
        <f t="shared" si="121"/>
        <v/>
      </c>
      <c r="AR327" t="str">
        <f t="shared" si="122"/>
        <v/>
      </c>
      <c r="AS327" t="str">
        <f t="shared" si="113"/>
        <v>Defensive</v>
      </c>
      <c r="BI327" s="40"/>
      <c r="BL327" s="40"/>
      <c r="BN327" s="19"/>
      <c r="BP327" s="17"/>
    </row>
    <row r="328" spans="1:68" x14ac:dyDescent="0.2">
      <c r="A328" t="str">
        <f t="shared" si="114"/>
        <v/>
      </c>
      <c r="E328" s="4"/>
      <c r="F328" s="45"/>
      <c r="G328" s="4"/>
      <c r="H328" s="48"/>
      <c r="J328" s="46" t="str">
        <f t="shared" si="115"/>
        <v/>
      </c>
      <c r="N328" t="str">
        <f t="shared" si="108"/>
        <v/>
      </c>
      <c r="Q328" t="str">
        <f t="shared" si="107"/>
        <v/>
      </c>
      <c r="S328" t="str">
        <f>IF(A328=1,MAX(S$2:S327)+1,IF(OR(I328&lt;&gt;"",A328="x"),S327,""))</f>
        <v/>
      </c>
      <c r="T328" t="str">
        <f>IF(D328=1,MAX($T$2:$T327)+1,IF(S328=$S327,$S327,IF($D328="x",T327,IF($D327="x","",""))))</f>
        <v/>
      </c>
      <c r="U328" t="str">
        <f>IF(B328=1,MAX($U$2:$U327)+1,IF(AND($T328&lt;&gt;"",$T328=$T327),$U327,IF(B328="x",U327,"")))</f>
        <v/>
      </c>
      <c r="V328" t="str">
        <f>IF(C328=1,MAX($V$2:$V327)+1,IF(AND($T328&lt;&gt;"",$T328=$T327),$U327,IF(C328="x",V327,"")))</f>
        <v/>
      </c>
      <c r="W328" t="str" cm="1">
        <f t="array" ref="W328">IFERROR(_xlfn._xlws.FILTER(game_rosters!AB:AB,(game_rosters!J:J=events!X328)*(K328&lt;&gt;"")),"")</f>
        <v/>
      </c>
      <c r="X328" t="str" cm="1">
        <f t="array" ref="X328">IF(S328="","",IF($I328&lt;&gt;"",$I328,INDEX($I$2:$I327,ROW()-COUNTIFS($T$2:$T327,"="&amp;$T328,$S$2:$S327,"&lt;&gt;"&amp;$S328)-1)))</f>
        <v/>
      </c>
      <c r="Z328" s="6"/>
      <c r="AH328" t="str">
        <f t="shared" si="109"/>
        <v>o</v>
      </c>
      <c r="AI328" t="str">
        <f t="shared" si="116"/>
        <v/>
      </c>
      <c r="AJ328" t="str">
        <f t="shared" si="117"/>
        <v/>
      </c>
      <c r="AK328" t="str">
        <f t="shared" si="110"/>
        <v/>
      </c>
      <c r="AL328" t="str">
        <f t="shared" si="111"/>
        <v/>
      </c>
      <c r="AM328" t="str">
        <f t="shared" si="112"/>
        <v/>
      </c>
      <c r="AN328" t="str">
        <f t="shared" si="118"/>
        <v/>
      </c>
      <c r="AO328" t="str">
        <f t="shared" si="119"/>
        <v/>
      </c>
      <c r="AP328" t="str">
        <f t="shared" si="120"/>
        <v/>
      </c>
      <c r="AQ328" t="str">
        <f t="shared" si="121"/>
        <v/>
      </c>
      <c r="AR328" t="str">
        <f t="shared" si="122"/>
        <v/>
      </c>
      <c r="AS328" t="str">
        <f t="shared" si="113"/>
        <v>Defensive</v>
      </c>
      <c r="BI328" s="40"/>
      <c r="BL328" s="40"/>
      <c r="BN328" s="19"/>
      <c r="BP328" s="17"/>
    </row>
    <row r="329" spans="1:68" x14ac:dyDescent="0.2">
      <c r="A329" t="str">
        <f t="shared" si="114"/>
        <v/>
      </c>
      <c r="E329" s="4"/>
      <c r="F329" s="45"/>
      <c r="G329" s="4"/>
      <c r="H329" s="48"/>
      <c r="J329" s="46" t="str">
        <f t="shared" si="115"/>
        <v/>
      </c>
      <c r="N329" t="str">
        <f t="shared" si="108"/>
        <v/>
      </c>
      <c r="Q329" t="str">
        <f t="shared" si="107"/>
        <v/>
      </c>
      <c r="S329" t="str">
        <f>IF(A329=1,MAX(S$2:S328)+1,IF(OR(I329&lt;&gt;"",A329="x"),S328,""))</f>
        <v/>
      </c>
      <c r="T329" t="str">
        <f>IF(D329=1,MAX($T$2:$T328)+1,IF(S329=$S328,$S328,IF($D329="x",T328,IF($D328="x","",""))))</f>
        <v/>
      </c>
      <c r="U329" t="str">
        <f>IF(B329=1,MAX($U$2:$U328)+1,IF(AND($T329&lt;&gt;"",$T329=$T328),$U328,IF(B329="x",U328,"")))</f>
        <v/>
      </c>
      <c r="V329" t="str">
        <f>IF(C329=1,MAX($V$2:$V328)+1,IF(AND($T329&lt;&gt;"",$T329=$T328),$U328,IF(C329="x",V328,"")))</f>
        <v/>
      </c>
      <c r="W329" t="str" cm="1">
        <f t="array" ref="W329">IFERROR(_xlfn._xlws.FILTER(game_rosters!AB:AB,(game_rosters!J:J=events!X329)*(K329&lt;&gt;"")),"")</f>
        <v/>
      </c>
      <c r="X329" t="str" cm="1">
        <f t="array" ref="X329">IF(S329="","",IF($I329&lt;&gt;"",$I329,INDEX($I$2:$I328,ROW()-COUNTIFS($T$2:$T328,"="&amp;$T329,$S$2:$S328,"&lt;&gt;"&amp;$S329)-1)))</f>
        <v/>
      </c>
      <c r="Z329" s="6"/>
      <c r="AH329" t="str">
        <f t="shared" si="109"/>
        <v>o</v>
      </c>
      <c r="AI329" t="str">
        <f t="shared" si="116"/>
        <v/>
      </c>
      <c r="AJ329" t="str">
        <f t="shared" si="117"/>
        <v/>
      </c>
      <c r="AK329" t="str">
        <f t="shared" si="110"/>
        <v/>
      </c>
      <c r="AL329" t="str">
        <f t="shared" si="111"/>
        <v/>
      </c>
      <c r="AM329" t="str">
        <f t="shared" si="112"/>
        <v/>
      </c>
      <c r="AN329" t="str">
        <f t="shared" si="118"/>
        <v/>
      </c>
      <c r="AO329" t="str">
        <f t="shared" si="119"/>
        <v/>
      </c>
      <c r="AP329" t="str">
        <f t="shared" si="120"/>
        <v/>
      </c>
      <c r="AQ329" t="str">
        <f t="shared" si="121"/>
        <v/>
      </c>
      <c r="AR329" t="str">
        <f t="shared" si="122"/>
        <v/>
      </c>
      <c r="AS329" t="str">
        <f t="shared" si="113"/>
        <v>Defensive</v>
      </c>
      <c r="BI329" s="40"/>
      <c r="BL329" s="40"/>
      <c r="BN329" s="19"/>
      <c r="BP329" s="17"/>
    </row>
    <row r="330" spans="1:68" x14ac:dyDescent="0.2">
      <c r="A330" t="str">
        <f t="shared" si="114"/>
        <v/>
      </c>
      <c r="E330" s="4"/>
      <c r="F330" s="45"/>
      <c r="G330" s="4"/>
      <c r="H330" s="48"/>
      <c r="J330" s="46" t="str">
        <f t="shared" si="115"/>
        <v/>
      </c>
      <c r="N330" t="str">
        <f t="shared" si="108"/>
        <v/>
      </c>
      <c r="Q330" t="str">
        <f t="shared" si="107"/>
        <v/>
      </c>
      <c r="S330" t="str">
        <f>IF(A330=1,MAX(S$2:S329)+1,IF(OR(I330&lt;&gt;"",A330="x"),S329,""))</f>
        <v/>
      </c>
      <c r="T330" t="str">
        <f>IF(D330=1,MAX($T$2:$T329)+1,IF(S330=$S329,$S329,IF($D330="x",T329,IF($D329="x","",""))))</f>
        <v/>
      </c>
      <c r="U330" t="str">
        <f>IF(B330=1,MAX($U$2:$U329)+1,IF(AND($T330&lt;&gt;"",$T330=$T329),$U329,IF(B330="x",U329,"")))</f>
        <v/>
      </c>
      <c r="V330" t="str">
        <f>IF(C330=1,MAX($V$2:$V329)+1,IF(AND($T330&lt;&gt;"",$T330=$T329),$U329,IF(C330="x",V329,"")))</f>
        <v/>
      </c>
      <c r="W330" t="str" cm="1">
        <f t="array" ref="W330">IFERROR(_xlfn._xlws.FILTER(game_rosters!AB:AB,(game_rosters!J:J=events!X330)*(K330&lt;&gt;"")),"")</f>
        <v/>
      </c>
      <c r="X330" t="str" cm="1">
        <f t="array" ref="X330">IF(S330="","",IF($I330&lt;&gt;"",$I330,INDEX($I$2:$I329,ROW()-COUNTIFS($T$2:$T329,"="&amp;$T330,$S$2:$S329,"&lt;&gt;"&amp;$S330)-1)))</f>
        <v/>
      </c>
      <c r="Z330" s="6"/>
      <c r="AH330" t="str">
        <f t="shared" si="109"/>
        <v>o</v>
      </c>
      <c r="AI330" t="str">
        <f t="shared" si="116"/>
        <v/>
      </c>
      <c r="AJ330" t="str">
        <f t="shared" si="117"/>
        <v/>
      </c>
      <c r="AK330" t="str">
        <f t="shared" si="110"/>
        <v/>
      </c>
      <c r="AL330" t="str">
        <f t="shared" si="111"/>
        <v/>
      </c>
      <c r="AM330" t="str">
        <f t="shared" si="112"/>
        <v/>
      </c>
      <c r="AN330" t="str">
        <f t="shared" si="118"/>
        <v/>
      </c>
      <c r="AO330" t="str">
        <f t="shared" si="119"/>
        <v/>
      </c>
      <c r="AP330" t="str">
        <f t="shared" si="120"/>
        <v/>
      </c>
      <c r="AQ330" t="str">
        <f t="shared" si="121"/>
        <v/>
      </c>
      <c r="AR330" t="str">
        <f t="shared" si="122"/>
        <v/>
      </c>
      <c r="AS330" t="str">
        <f t="shared" si="113"/>
        <v>Defensive</v>
      </c>
      <c r="BI330" s="40"/>
      <c r="BL330" s="40"/>
      <c r="BN330" s="19"/>
      <c r="BP330" s="17"/>
    </row>
    <row r="331" spans="1:68" x14ac:dyDescent="0.2">
      <c r="A331" t="str">
        <f t="shared" si="114"/>
        <v/>
      </c>
      <c r="E331" s="4"/>
      <c r="F331" s="45"/>
      <c r="G331" s="4"/>
      <c r="H331" s="48"/>
      <c r="J331" s="46" t="str">
        <f t="shared" si="115"/>
        <v/>
      </c>
      <c r="N331" t="str">
        <f t="shared" si="108"/>
        <v/>
      </c>
      <c r="Q331" t="str">
        <f t="shared" si="107"/>
        <v/>
      </c>
      <c r="S331" t="str">
        <f>IF(A331=1,MAX(S$2:S330)+1,IF(OR(I331&lt;&gt;"",A331="x"),S330,""))</f>
        <v/>
      </c>
      <c r="T331" t="str">
        <f>IF(D331=1,MAX($T$2:$T330)+1,IF(S331=$S330,$S330,IF($D331="x",T330,IF($D330="x","",""))))</f>
        <v/>
      </c>
      <c r="U331" t="str">
        <f>IF(B331=1,MAX($U$2:$U330)+1,IF(AND($T331&lt;&gt;"",$T331=$T330),$U330,IF(B331="x",U330,"")))</f>
        <v/>
      </c>
      <c r="V331" t="str">
        <f>IF(C331=1,MAX($V$2:$V330)+1,IF(AND($T331&lt;&gt;"",$T331=$T330),$U330,IF(C331="x",V330,"")))</f>
        <v/>
      </c>
      <c r="W331" t="str" cm="1">
        <f t="array" ref="W331">IFERROR(_xlfn._xlws.FILTER(game_rosters!AB:AB,(game_rosters!J:J=events!X331)*(K331&lt;&gt;"")),"")</f>
        <v/>
      </c>
      <c r="X331" t="str" cm="1">
        <f t="array" ref="X331">IF(S331="","",IF($I331&lt;&gt;"",$I331,INDEX($I$2:$I330,ROW()-COUNTIFS($T$2:$T330,"="&amp;$T331,$S$2:$S330,"&lt;&gt;"&amp;$S331)-1)))</f>
        <v/>
      </c>
      <c r="Z331" s="6"/>
      <c r="AH331" t="str">
        <f t="shared" si="109"/>
        <v>o</v>
      </c>
      <c r="AI331" t="str">
        <f t="shared" si="116"/>
        <v/>
      </c>
      <c r="AJ331" t="str">
        <f t="shared" si="117"/>
        <v/>
      </c>
      <c r="AK331" t="str">
        <f t="shared" si="110"/>
        <v/>
      </c>
      <c r="AL331" t="str">
        <f t="shared" si="111"/>
        <v/>
      </c>
      <c r="AM331" t="str">
        <f t="shared" si="112"/>
        <v/>
      </c>
      <c r="AN331" t="str">
        <f t="shared" si="118"/>
        <v/>
      </c>
      <c r="AO331" t="str">
        <f t="shared" si="119"/>
        <v/>
      </c>
      <c r="AP331" t="str">
        <f t="shared" si="120"/>
        <v/>
      </c>
      <c r="AQ331" t="str">
        <f t="shared" si="121"/>
        <v/>
      </c>
      <c r="AR331" t="str">
        <f t="shared" si="122"/>
        <v/>
      </c>
      <c r="AS331" t="str">
        <f t="shared" si="113"/>
        <v>Defensive</v>
      </c>
      <c r="BI331" s="40"/>
      <c r="BL331" s="40"/>
      <c r="BN331" s="19"/>
      <c r="BP331" s="17"/>
    </row>
    <row r="332" spans="1:68" x14ac:dyDescent="0.2">
      <c r="A332" t="str">
        <f t="shared" si="114"/>
        <v/>
      </c>
      <c r="E332" s="4"/>
      <c r="F332" s="45"/>
      <c r="G332" s="4"/>
      <c r="H332" s="48"/>
      <c r="J332" s="46" t="str">
        <f t="shared" si="115"/>
        <v/>
      </c>
      <c r="N332" t="str">
        <f t="shared" si="108"/>
        <v/>
      </c>
      <c r="Q332" t="str">
        <f t="shared" si="107"/>
        <v/>
      </c>
      <c r="S332" t="str">
        <f>IF(A332=1,MAX(S$2:S331)+1,IF(OR(I332&lt;&gt;"",A332="x"),S331,""))</f>
        <v/>
      </c>
      <c r="T332" t="str">
        <f>IF(D332=1,MAX($T$2:$T331)+1,IF(S332=$S331,$S331,IF($D332="x",T331,IF($D331="x","",""))))</f>
        <v/>
      </c>
      <c r="U332" t="str">
        <f>IF(B332=1,MAX($U$2:$U331)+1,IF(AND($T332&lt;&gt;"",$T332=$T331),$U331,IF(B332="x",U331,"")))</f>
        <v/>
      </c>
      <c r="V332" t="str">
        <f>IF(C332=1,MAX($V$2:$V331)+1,IF(AND($T332&lt;&gt;"",$T332=$T331),$U331,IF(C332="x",V331,"")))</f>
        <v/>
      </c>
      <c r="W332" t="str" cm="1">
        <f t="array" ref="W332">IFERROR(_xlfn._xlws.FILTER(game_rosters!AB:AB,(game_rosters!J:J=events!X332)*(K332&lt;&gt;"")),"")</f>
        <v/>
      </c>
      <c r="X332" t="str" cm="1">
        <f t="array" ref="X332">IF(S332="","",IF($I332&lt;&gt;"",$I332,INDEX($I$2:$I331,ROW()-COUNTIFS($T$2:$T331,"="&amp;$T332,$S$2:$S331,"&lt;&gt;"&amp;$S332)-1)))</f>
        <v/>
      </c>
      <c r="Z332" s="6"/>
      <c r="AH332" t="str">
        <f t="shared" si="109"/>
        <v>o</v>
      </c>
      <c r="AI332" t="str">
        <f t="shared" si="116"/>
        <v/>
      </c>
      <c r="AJ332" t="str">
        <f t="shared" si="117"/>
        <v/>
      </c>
      <c r="AK332" t="str">
        <f t="shared" si="110"/>
        <v/>
      </c>
      <c r="AL332" t="str">
        <f t="shared" si="111"/>
        <v/>
      </c>
      <c r="AM332" t="str">
        <f t="shared" si="112"/>
        <v/>
      </c>
      <c r="AN332" t="str">
        <f t="shared" si="118"/>
        <v/>
      </c>
      <c r="AO332" t="str">
        <f t="shared" si="119"/>
        <v/>
      </c>
      <c r="AP332" t="str">
        <f t="shared" si="120"/>
        <v/>
      </c>
      <c r="AQ332" t="str">
        <f t="shared" si="121"/>
        <v/>
      </c>
      <c r="AR332" t="str">
        <f t="shared" si="122"/>
        <v/>
      </c>
      <c r="AS332" t="str">
        <f t="shared" si="113"/>
        <v>Defensive</v>
      </c>
      <c r="BI332" s="40"/>
      <c r="BL332" s="40"/>
      <c r="BN332" s="19"/>
      <c r="BP332" s="17"/>
    </row>
    <row r="333" spans="1:68" x14ac:dyDescent="0.2">
      <c r="A333" t="str">
        <f t="shared" si="114"/>
        <v/>
      </c>
      <c r="E333" s="4"/>
      <c r="F333" s="45"/>
      <c r="G333" s="4"/>
      <c r="H333" s="48"/>
      <c r="J333" s="46" t="str">
        <f t="shared" si="115"/>
        <v/>
      </c>
      <c r="N333" t="str">
        <f t="shared" si="108"/>
        <v/>
      </c>
      <c r="Q333" t="str">
        <f t="shared" si="107"/>
        <v/>
      </c>
      <c r="S333" t="str">
        <f>IF(A333=1,MAX(S$2:S332)+1,IF(OR(I333&lt;&gt;"",A333="x"),S332,""))</f>
        <v/>
      </c>
      <c r="T333" t="str">
        <f>IF(D333=1,MAX($T$2:$T332)+1,IF(S333=$S332,$S332,IF($D333="x",T332,IF($D332="x","",""))))</f>
        <v/>
      </c>
      <c r="U333" t="str">
        <f>IF(B333=1,MAX($U$2:$U332)+1,IF(AND($T333&lt;&gt;"",$T333=$T332),$U332,IF(B333="x",U332,"")))</f>
        <v/>
      </c>
      <c r="V333" t="str">
        <f>IF(C333=1,MAX($V$2:$V332)+1,IF(AND($T333&lt;&gt;"",$T333=$T332),$U332,IF(C333="x",V332,"")))</f>
        <v/>
      </c>
      <c r="W333" t="str" cm="1">
        <f t="array" ref="W333">IFERROR(_xlfn._xlws.FILTER(game_rosters!AB:AB,(game_rosters!J:J=events!X333)*(K333&lt;&gt;"")),"")</f>
        <v/>
      </c>
      <c r="X333" t="str" cm="1">
        <f t="array" ref="X333">IF(S333="","",IF($I333&lt;&gt;"",$I333,INDEX($I$2:$I332,ROW()-COUNTIFS($T$2:$T332,"="&amp;$T333,$S$2:$S332,"&lt;&gt;"&amp;$S333)-1)))</f>
        <v/>
      </c>
      <c r="Z333" s="6"/>
      <c r="AH333" t="str">
        <f t="shared" si="109"/>
        <v>o</v>
      </c>
      <c r="AI333" t="str">
        <f t="shared" si="116"/>
        <v/>
      </c>
      <c r="AJ333" t="str">
        <f t="shared" si="117"/>
        <v/>
      </c>
      <c r="AK333" t="str">
        <f t="shared" si="110"/>
        <v/>
      </c>
      <c r="AL333" t="str">
        <f t="shared" si="111"/>
        <v/>
      </c>
      <c r="AM333" t="str">
        <f t="shared" si="112"/>
        <v/>
      </c>
      <c r="AN333" t="str">
        <f t="shared" si="118"/>
        <v/>
      </c>
      <c r="AO333" t="str">
        <f t="shared" si="119"/>
        <v/>
      </c>
      <c r="AP333" t="str">
        <f t="shared" si="120"/>
        <v/>
      </c>
      <c r="AQ333" t="str">
        <f t="shared" si="121"/>
        <v/>
      </c>
      <c r="AR333" t="str">
        <f t="shared" si="122"/>
        <v/>
      </c>
      <c r="AS333" t="str">
        <f t="shared" si="113"/>
        <v>Defensive</v>
      </c>
      <c r="BI333" s="40"/>
      <c r="BL333" s="40"/>
      <c r="BN333" s="19"/>
      <c r="BP333" s="17"/>
    </row>
    <row r="334" spans="1:68" x14ac:dyDescent="0.2">
      <c r="A334" t="str">
        <f t="shared" si="114"/>
        <v/>
      </c>
      <c r="E334" s="4"/>
      <c r="F334" s="45"/>
      <c r="G334" s="4"/>
      <c r="H334" s="48"/>
      <c r="J334" s="46" t="str">
        <f t="shared" si="115"/>
        <v/>
      </c>
      <c r="N334" t="str">
        <f t="shared" si="108"/>
        <v/>
      </c>
      <c r="Q334" t="str">
        <f t="shared" si="107"/>
        <v/>
      </c>
      <c r="S334" t="str">
        <f>IF(A334=1,MAX(S$2:S333)+1,IF(OR(I334&lt;&gt;"",A334="x"),S333,""))</f>
        <v/>
      </c>
      <c r="T334" t="str">
        <f>IF(D334=1,MAX($T$2:$T333)+1,IF(S334=$S333,$S333,IF($D334="x",T333,IF($D333="x","",""))))</f>
        <v/>
      </c>
      <c r="U334" t="str">
        <f>IF(B334=1,MAX($U$2:$U333)+1,IF(AND($T334&lt;&gt;"",$T334=$T333),$U333,IF(B334="x",U333,"")))</f>
        <v/>
      </c>
      <c r="V334" t="str">
        <f>IF(C334=1,MAX($V$2:$V333)+1,IF(AND($T334&lt;&gt;"",$T334=$T333),$U333,IF(C334="x",V333,"")))</f>
        <v/>
      </c>
      <c r="W334" t="str" cm="1">
        <f t="array" ref="W334">IFERROR(_xlfn._xlws.FILTER(game_rosters!AB:AB,(game_rosters!J:J=events!X334)*(K334&lt;&gt;"")),"")</f>
        <v/>
      </c>
      <c r="X334" t="str" cm="1">
        <f t="array" ref="X334">IF(S334="","",IF($I334&lt;&gt;"",$I334,INDEX($I$2:$I333,ROW()-COUNTIFS($T$2:$T333,"="&amp;$T334,$S$2:$S333,"&lt;&gt;"&amp;$S334)-1)))</f>
        <v/>
      </c>
      <c r="Z334" s="6"/>
      <c r="AH334" t="str">
        <f t="shared" si="109"/>
        <v>o</v>
      </c>
      <c r="AI334" t="str">
        <f t="shared" si="116"/>
        <v/>
      </c>
      <c r="AJ334" t="str">
        <f t="shared" si="117"/>
        <v/>
      </c>
      <c r="AK334" t="str">
        <f t="shared" si="110"/>
        <v/>
      </c>
      <c r="AL334" t="str">
        <f t="shared" si="111"/>
        <v/>
      </c>
      <c r="AM334" t="str">
        <f t="shared" si="112"/>
        <v/>
      </c>
      <c r="AN334" t="str">
        <f t="shared" si="118"/>
        <v/>
      </c>
      <c r="AO334" t="str">
        <f t="shared" si="119"/>
        <v/>
      </c>
      <c r="AP334" t="str">
        <f t="shared" si="120"/>
        <v/>
      </c>
      <c r="AQ334" t="str">
        <f t="shared" si="121"/>
        <v/>
      </c>
      <c r="AR334" t="str">
        <f t="shared" si="122"/>
        <v/>
      </c>
      <c r="AS334" t="str">
        <f t="shared" si="113"/>
        <v>Defensive</v>
      </c>
      <c r="BI334" s="40"/>
      <c r="BL334" s="40"/>
      <c r="BN334" s="19"/>
      <c r="BP334" s="17"/>
    </row>
    <row r="335" spans="1:68" x14ac:dyDescent="0.2">
      <c r="A335" t="str">
        <f t="shared" si="114"/>
        <v/>
      </c>
      <c r="E335" s="4"/>
      <c r="F335" s="45"/>
      <c r="G335" s="4"/>
      <c r="H335" s="48"/>
      <c r="J335" s="46" t="str">
        <f t="shared" si="115"/>
        <v/>
      </c>
      <c r="N335" t="str">
        <f t="shared" si="108"/>
        <v/>
      </c>
      <c r="Q335" t="str">
        <f t="shared" si="107"/>
        <v/>
      </c>
      <c r="S335" t="str">
        <f>IF(A335=1,MAX(S$2:S334)+1,IF(OR(I335&lt;&gt;"",A335="x"),S334,""))</f>
        <v/>
      </c>
      <c r="T335" t="str">
        <f>IF(D335=1,MAX($T$2:$T334)+1,IF(S335=$S334,$S334,IF($D335="x",T334,IF($D334="x","",""))))</f>
        <v/>
      </c>
      <c r="U335" t="str">
        <f>IF(B335=1,MAX($U$2:$U334)+1,IF(AND($T335&lt;&gt;"",$T335=$T334),$U334,IF(B335="x",U334,"")))</f>
        <v/>
      </c>
      <c r="V335" t="str">
        <f>IF(C335=1,MAX($V$2:$V334)+1,IF(AND($T335&lt;&gt;"",$T335=$T334),$U334,IF(C335="x",V334,"")))</f>
        <v/>
      </c>
      <c r="W335" t="str" cm="1">
        <f t="array" ref="W335">IFERROR(_xlfn._xlws.FILTER(game_rosters!AB:AB,(game_rosters!J:J=events!X335)*(K335&lt;&gt;"")),"")</f>
        <v/>
      </c>
      <c r="X335" t="str" cm="1">
        <f t="array" ref="X335">IF(S335="","",IF($I335&lt;&gt;"",$I335,INDEX($I$2:$I334,ROW()-COUNTIFS($T$2:$T334,"="&amp;$T335,$S$2:$S334,"&lt;&gt;"&amp;$S335)-1)))</f>
        <v/>
      </c>
      <c r="Z335" s="6"/>
      <c r="AH335" t="str">
        <f t="shared" si="109"/>
        <v>o</v>
      </c>
      <c r="AI335" t="str">
        <f t="shared" si="116"/>
        <v/>
      </c>
      <c r="AJ335" t="str">
        <f t="shared" si="117"/>
        <v/>
      </c>
      <c r="AK335" t="str">
        <f t="shared" si="110"/>
        <v/>
      </c>
      <c r="AL335" t="str">
        <f t="shared" si="111"/>
        <v/>
      </c>
      <c r="AM335" t="str">
        <f t="shared" si="112"/>
        <v/>
      </c>
      <c r="AN335" t="str">
        <f t="shared" si="118"/>
        <v/>
      </c>
      <c r="AO335" t="str">
        <f t="shared" si="119"/>
        <v/>
      </c>
      <c r="AP335" t="str">
        <f t="shared" si="120"/>
        <v/>
      </c>
      <c r="AQ335" t="str">
        <f t="shared" si="121"/>
        <v/>
      </c>
      <c r="AR335" t="str">
        <f t="shared" si="122"/>
        <v/>
      </c>
      <c r="AS335" t="str">
        <f t="shared" si="113"/>
        <v>Defensive</v>
      </c>
      <c r="BI335" s="40"/>
      <c r="BL335" s="40"/>
      <c r="BN335" s="19"/>
      <c r="BP335" s="17"/>
    </row>
    <row r="336" spans="1:68" x14ac:dyDescent="0.2">
      <c r="A336" t="str">
        <f t="shared" si="114"/>
        <v/>
      </c>
      <c r="E336" s="4"/>
      <c r="F336" s="45"/>
      <c r="G336" s="4"/>
      <c r="H336" s="48"/>
      <c r="J336" s="46" t="str">
        <f t="shared" si="115"/>
        <v/>
      </c>
      <c r="N336" t="str">
        <f t="shared" si="108"/>
        <v/>
      </c>
      <c r="Q336" t="str">
        <f t="shared" ref="Q336:Q399" si="123">IF(O336="","",IF(AND(N336&lt;&gt;"",OR(O336&lt;&gt;"",P336&lt;&gt;"")),N336,IF(OR(ISNUMBER(SEARCH("attemp",O336)),ISNUMBER(SEARCH("beat",O336)),ISNUMBER(SEARCH("mis",O336)),ISNUMBER(SEARCH("fail",O336)),ISNUMBER(SEARCH("loss",O336)),ISNUMBER(SEARCH("lost",O336)),ISNUMBER(SEARCH("attemp",P336)),ISNUMBER(SEARCH("mis",P336)),ISNUMBER(SEARCH("fail",P336)),ISNUMBER(SEARCH("loss",P336)),ISNUMBER(SEARCH("beat",P336)),ISNUMBER(SEARCH("lost",P336))),"u","")))</f>
        <v/>
      </c>
      <c r="S336" t="str">
        <f>IF(A336=1,MAX(S$2:S335)+1,IF(OR(I336&lt;&gt;"",A336="x"),S335,""))</f>
        <v/>
      </c>
      <c r="T336" t="str">
        <f>IF(D336=1,MAX($T$2:$T335)+1,IF(S336=$S335,$S335,IF($D336="x",T335,IF($D335="x","",""))))</f>
        <v/>
      </c>
      <c r="U336" t="str">
        <f>IF(B336=1,MAX($U$2:$U335)+1,IF(AND($T336&lt;&gt;"",$T336=$T335),$U335,IF(B336="x",U335,"")))</f>
        <v/>
      </c>
      <c r="V336" t="str">
        <f>IF(C336=1,MAX($V$2:$V335)+1,IF(AND($T336&lt;&gt;"",$T336=$T335),$U335,IF(C336="x",V335,"")))</f>
        <v/>
      </c>
      <c r="W336" t="str" cm="1">
        <f t="array" ref="W336">IFERROR(_xlfn._xlws.FILTER(game_rosters!AB:AB,(game_rosters!J:J=events!X336)*(K336&lt;&gt;"")),"")</f>
        <v/>
      </c>
      <c r="X336" t="str" cm="1">
        <f t="array" ref="X336">IF(S336="","",IF($I336&lt;&gt;"",$I336,INDEX($I$2:$I335,ROW()-COUNTIFS($T$2:$T335,"="&amp;$T336,$S$2:$S335,"&lt;&gt;"&amp;$S336)-1)))</f>
        <v/>
      </c>
      <c r="Z336" s="6"/>
      <c r="AH336" t="str">
        <f t="shared" si="109"/>
        <v>o</v>
      </c>
      <c r="AI336" t="str">
        <f t="shared" si="116"/>
        <v/>
      </c>
      <c r="AJ336" t="str">
        <f t="shared" si="117"/>
        <v/>
      </c>
      <c r="AK336" t="str">
        <f t="shared" si="110"/>
        <v/>
      </c>
      <c r="AL336" t="str">
        <f t="shared" si="111"/>
        <v/>
      </c>
      <c r="AM336" t="str">
        <f t="shared" si="112"/>
        <v/>
      </c>
      <c r="AN336" t="str">
        <f t="shared" si="118"/>
        <v/>
      </c>
      <c r="AO336" t="str">
        <f t="shared" si="119"/>
        <v/>
      </c>
      <c r="AP336" t="str">
        <f t="shared" si="120"/>
        <v/>
      </c>
      <c r="AQ336" t="str">
        <f t="shared" si="121"/>
        <v/>
      </c>
      <c r="AR336" t="str">
        <f t="shared" si="122"/>
        <v/>
      </c>
      <c r="AS336" t="str">
        <f t="shared" si="113"/>
        <v>Defensive</v>
      </c>
      <c r="BI336" s="40"/>
      <c r="BL336" s="40"/>
      <c r="BN336" s="19"/>
      <c r="BP336" s="17"/>
    </row>
    <row r="337" spans="1:68" x14ac:dyDescent="0.2">
      <c r="A337" t="str">
        <f t="shared" si="114"/>
        <v/>
      </c>
      <c r="E337" s="4"/>
      <c r="F337" s="45"/>
      <c r="G337" s="4"/>
      <c r="H337" s="48"/>
      <c r="J337" s="46" t="str">
        <f t="shared" si="115"/>
        <v/>
      </c>
      <c r="N337" t="str">
        <f t="shared" si="108"/>
        <v/>
      </c>
      <c r="Q337" t="str">
        <f t="shared" si="123"/>
        <v/>
      </c>
      <c r="S337" t="str">
        <f>IF(A337=1,MAX(S$2:S336)+1,IF(OR(I337&lt;&gt;"",A337="x"),S336,""))</f>
        <v/>
      </c>
      <c r="T337" t="str">
        <f>IF(D337=1,MAX($T$2:$T336)+1,IF(S337=$S336,$S336,IF($D337="x",T336,IF($D336="x","",""))))</f>
        <v/>
      </c>
      <c r="U337" t="str">
        <f>IF(B337=1,MAX($U$2:$U336)+1,IF(AND($T337&lt;&gt;"",$T337=$T336),$U336,IF(B337="x",U336,"")))</f>
        <v/>
      </c>
      <c r="V337" t="str">
        <f>IF(C337=1,MAX($V$2:$V336)+1,IF(AND($T337&lt;&gt;"",$T337=$T336),$U336,IF(C337="x",V336,"")))</f>
        <v/>
      </c>
      <c r="W337" t="str" cm="1">
        <f t="array" ref="W337">IFERROR(_xlfn._xlws.FILTER(game_rosters!AB:AB,(game_rosters!J:J=events!X337)*(K337&lt;&gt;"")),"")</f>
        <v/>
      </c>
      <c r="X337" t="str" cm="1">
        <f t="array" ref="X337">IF(S337="","",IF($I337&lt;&gt;"",$I337,INDEX($I$2:$I336,ROW()-COUNTIFS($T$2:$T336,"="&amp;$T337,$S$2:$S336,"&lt;&gt;"&amp;$S337)-1)))</f>
        <v/>
      </c>
      <c r="Z337" s="6"/>
      <c r="AH337" t="str">
        <f t="shared" si="109"/>
        <v>o</v>
      </c>
      <c r="AI337" t="str">
        <f t="shared" si="116"/>
        <v/>
      </c>
      <c r="AJ337" t="str">
        <f t="shared" si="117"/>
        <v/>
      </c>
      <c r="AK337" t="str">
        <f t="shared" si="110"/>
        <v/>
      </c>
      <c r="AL337" t="str">
        <f t="shared" si="111"/>
        <v/>
      </c>
      <c r="AM337" t="str">
        <f t="shared" si="112"/>
        <v/>
      </c>
      <c r="AN337" t="str">
        <f t="shared" si="118"/>
        <v/>
      </c>
      <c r="AO337" t="str">
        <f t="shared" si="119"/>
        <v/>
      </c>
      <c r="AP337" t="str">
        <f t="shared" si="120"/>
        <v/>
      </c>
      <c r="AQ337" t="str">
        <f t="shared" si="121"/>
        <v/>
      </c>
      <c r="AR337" t="str">
        <f t="shared" si="122"/>
        <v/>
      </c>
      <c r="AS337" t="str">
        <f t="shared" si="113"/>
        <v>Defensive</v>
      </c>
      <c r="BI337" s="40"/>
      <c r="BL337" s="40"/>
      <c r="BN337" s="19"/>
      <c r="BP337" s="17"/>
    </row>
    <row r="338" spans="1:68" x14ac:dyDescent="0.2">
      <c r="A338" t="str">
        <f t="shared" si="114"/>
        <v/>
      </c>
      <c r="E338" s="4"/>
      <c r="F338" s="45"/>
      <c r="G338" s="4"/>
      <c r="H338" s="48"/>
      <c r="J338" s="46" t="str">
        <f t="shared" si="115"/>
        <v/>
      </c>
      <c r="N338" t="str">
        <f t="shared" si="108"/>
        <v/>
      </c>
      <c r="Q338" t="str">
        <f t="shared" si="123"/>
        <v/>
      </c>
      <c r="S338" t="str">
        <f>IF(A338=1,MAX(S$2:S337)+1,IF(OR(I338&lt;&gt;"",A338="x"),S337,""))</f>
        <v/>
      </c>
      <c r="T338" t="str">
        <f>IF(D338=1,MAX($T$2:$T337)+1,IF(S338=$S337,$S337,IF($D338="x",T337,IF($D337="x","",""))))</f>
        <v/>
      </c>
      <c r="U338" t="str">
        <f>IF(B338=1,MAX($U$2:$U337)+1,IF(AND($T338&lt;&gt;"",$T338=$T337),$U337,IF(B338="x",U337,"")))</f>
        <v/>
      </c>
      <c r="V338" t="str">
        <f>IF(C338=1,MAX($V$2:$V337)+1,IF(AND($T338&lt;&gt;"",$T338=$T337),$U337,IF(C338="x",V337,"")))</f>
        <v/>
      </c>
      <c r="W338" t="str" cm="1">
        <f t="array" ref="W338">IFERROR(_xlfn._xlws.FILTER(game_rosters!AB:AB,(game_rosters!J:J=events!X338)*(K338&lt;&gt;"")),"")</f>
        <v/>
      </c>
      <c r="X338" t="str" cm="1">
        <f t="array" ref="X338">IF(S338="","",IF($I338&lt;&gt;"",$I338,INDEX($I$2:$I337,ROW()-COUNTIFS($T$2:$T337,"="&amp;$T338,$S$2:$S337,"&lt;&gt;"&amp;$S338)-1)))</f>
        <v/>
      </c>
      <c r="Z338" s="6"/>
      <c r="AH338" t="str">
        <f t="shared" si="109"/>
        <v>o</v>
      </c>
      <c r="AI338" t="str">
        <f t="shared" si="116"/>
        <v/>
      </c>
      <c r="AJ338" t="str">
        <f t="shared" si="117"/>
        <v/>
      </c>
      <c r="AK338" t="str">
        <f t="shared" si="110"/>
        <v/>
      </c>
      <c r="AL338" t="str">
        <f t="shared" si="111"/>
        <v/>
      </c>
      <c r="AM338" t="str">
        <f t="shared" si="112"/>
        <v/>
      </c>
      <c r="AN338" t="str">
        <f t="shared" si="118"/>
        <v/>
      </c>
      <c r="AO338" t="str">
        <f t="shared" si="119"/>
        <v/>
      </c>
      <c r="AP338" t="str">
        <f t="shared" si="120"/>
        <v/>
      </c>
      <c r="AQ338" t="str">
        <f t="shared" si="121"/>
        <v/>
      </c>
      <c r="AR338" t="str">
        <f t="shared" si="122"/>
        <v/>
      </c>
      <c r="AS338" t="str">
        <f t="shared" si="113"/>
        <v>Defensive</v>
      </c>
      <c r="BI338" s="40"/>
      <c r="BL338" s="40"/>
      <c r="BN338" s="19"/>
      <c r="BP338" s="17"/>
    </row>
    <row r="339" spans="1:68" x14ac:dyDescent="0.2">
      <c r="A339" t="str">
        <f t="shared" si="114"/>
        <v/>
      </c>
      <c r="E339" s="4"/>
      <c r="F339" s="45"/>
      <c r="G339" s="4"/>
      <c r="H339" s="48"/>
      <c r="J339" s="46" t="str">
        <f t="shared" si="115"/>
        <v/>
      </c>
      <c r="N339" t="str">
        <f t="shared" si="108"/>
        <v/>
      </c>
      <c r="Q339" t="str">
        <f t="shared" si="123"/>
        <v/>
      </c>
      <c r="S339" t="str">
        <f>IF(A339=1,MAX(S$2:S338)+1,IF(OR(I339&lt;&gt;"",A339="x"),S338,""))</f>
        <v/>
      </c>
      <c r="T339" t="str">
        <f>IF(D339=1,MAX($T$2:$T338)+1,IF(S339=$S338,$S338,IF($D339="x",T338,IF($D338="x","",""))))</f>
        <v/>
      </c>
      <c r="U339" t="str">
        <f>IF(B339=1,MAX($U$2:$U338)+1,IF(AND($T339&lt;&gt;"",$T339=$T338),$U338,IF(B339="x",U338,"")))</f>
        <v/>
      </c>
      <c r="V339" t="str">
        <f>IF(C339=1,MAX($V$2:$V338)+1,IF(AND($T339&lt;&gt;"",$T339=$T338),$U338,IF(C339="x",V338,"")))</f>
        <v/>
      </c>
      <c r="W339" t="str" cm="1">
        <f t="array" ref="W339">IFERROR(_xlfn._xlws.FILTER(game_rosters!AB:AB,(game_rosters!J:J=events!X339)*(K339&lt;&gt;"")),"")</f>
        <v/>
      </c>
      <c r="X339" t="str" cm="1">
        <f t="array" ref="X339">IF(S339="","",IF($I339&lt;&gt;"",$I339,INDEX($I$2:$I338,ROW()-COUNTIFS($T$2:$T338,"="&amp;$T339,$S$2:$S338,"&lt;&gt;"&amp;$S339)-1)))</f>
        <v/>
      </c>
      <c r="Z339" s="6"/>
      <c r="AH339" t="str">
        <f t="shared" si="109"/>
        <v>o</v>
      </c>
      <c r="AI339" t="str">
        <f t="shared" si="116"/>
        <v/>
      </c>
      <c r="AJ339" t="str">
        <f t="shared" si="117"/>
        <v/>
      </c>
      <c r="AK339" t="str">
        <f t="shared" si="110"/>
        <v/>
      </c>
      <c r="AL339" t="str">
        <f t="shared" si="111"/>
        <v/>
      </c>
      <c r="AM339" t="str">
        <f t="shared" si="112"/>
        <v/>
      </c>
      <c r="AN339" t="str">
        <f t="shared" si="118"/>
        <v/>
      </c>
      <c r="AO339" t="str">
        <f t="shared" si="119"/>
        <v/>
      </c>
      <c r="AP339" t="str">
        <f t="shared" si="120"/>
        <v/>
      </c>
      <c r="AQ339" t="str">
        <f t="shared" si="121"/>
        <v/>
      </c>
      <c r="AR339" t="str">
        <f t="shared" si="122"/>
        <v/>
      </c>
      <c r="AS339" t="str">
        <f t="shared" si="113"/>
        <v>Defensive</v>
      </c>
      <c r="BI339" s="40"/>
      <c r="BL339" s="40"/>
      <c r="BN339" s="19"/>
      <c r="BP339" s="17"/>
    </row>
    <row r="340" spans="1:68" x14ac:dyDescent="0.2">
      <c r="A340" t="str">
        <f t="shared" si="114"/>
        <v/>
      </c>
      <c r="E340" s="4"/>
      <c r="F340" s="45"/>
      <c r="G340" s="4"/>
      <c r="H340" s="48"/>
      <c r="J340" s="46" t="str">
        <f t="shared" si="115"/>
        <v/>
      </c>
      <c r="N340" t="str">
        <f t="shared" si="108"/>
        <v/>
      </c>
      <c r="Q340" t="str">
        <f t="shared" si="123"/>
        <v/>
      </c>
      <c r="S340" t="str">
        <f>IF(A340=1,MAX(S$2:S339)+1,IF(OR(I340&lt;&gt;"",A340="x"),S339,""))</f>
        <v/>
      </c>
      <c r="T340" t="str">
        <f>IF(D340=1,MAX($T$2:$T339)+1,IF(S340=$S339,$S339,IF($D340="x",T339,IF($D339="x","",""))))</f>
        <v/>
      </c>
      <c r="U340" t="str">
        <f>IF(B340=1,MAX($U$2:$U339)+1,IF(AND($T340&lt;&gt;"",$T340=$T339),$U339,IF(B340="x",U339,"")))</f>
        <v/>
      </c>
      <c r="V340" t="str">
        <f>IF(C340=1,MAX($V$2:$V339)+1,IF(AND($T340&lt;&gt;"",$T340=$T339),$U339,IF(C340="x",V339,"")))</f>
        <v/>
      </c>
      <c r="W340" t="str" cm="1">
        <f t="array" ref="W340">IFERROR(_xlfn._xlws.FILTER(game_rosters!AB:AB,(game_rosters!J:J=events!X340)*(K340&lt;&gt;"")),"")</f>
        <v/>
      </c>
      <c r="X340" t="str" cm="1">
        <f t="array" ref="X340">IF(S340="","",IF($I340&lt;&gt;"",$I340,INDEX($I$2:$I339,ROW()-COUNTIFS($T$2:$T339,"="&amp;$T340,$S$2:$S339,"&lt;&gt;"&amp;$S340)-1)))</f>
        <v/>
      </c>
      <c r="Z340" s="6"/>
      <c r="AH340" t="str">
        <f t="shared" si="109"/>
        <v>o</v>
      </c>
      <c r="AI340" t="str">
        <f t="shared" si="116"/>
        <v/>
      </c>
      <c r="AJ340" t="str">
        <f t="shared" si="117"/>
        <v/>
      </c>
      <c r="AK340" t="str">
        <f t="shared" si="110"/>
        <v/>
      </c>
      <c r="AL340" t="str">
        <f t="shared" si="111"/>
        <v/>
      </c>
      <c r="AM340" t="str">
        <f t="shared" si="112"/>
        <v/>
      </c>
      <c r="AN340" t="str">
        <f t="shared" si="118"/>
        <v/>
      </c>
      <c r="AO340" t="str">
        <f t="shared" si="119"/>
        <v/>
      </c>
      <c r="AP340" t="str">
        <f t="shared" si="120"/>
        <v/>
      </c>
      <c r="AQ340" t="str">
        <f t="shared" si="121"/>
        <v/>
      </c>
      <c r="AR340" t="str">
        <f t="shared" si="122"/>
        <v/>
      </c>
      <c r="AS340" t="str">
        <f t="shared" si="113"/>
        <v>Defensive</v>
      </c>
      <c r="BI340" s="40"/>
      <c r="BL340" s="40"/>
      <c r="BN340" s="19"/>
      <c r="BP340" s="17"/>
    </row>
    <row r="341" spans="1:68" x14ac:dyDescent="0.2">
      <c r="A341" t="str">
        <f t="shared" si="114"/>
        <v/>
      </c>
      <c r="E341" s="4"/>
      <c r="F341" s="45"/>
      <c r="G341" s="4"/>
      <c r="H341" s="48"/>
      <c r="J341" s="46" t="str">
        <f t="shared" si="115"/>
        <v/>
      </c>
      <c r="N341" t="str">
        <f t="shared" ref="N341:N404" si="124">IF(K341="","",IF(K341="Goal","s",IF(AND(K341="Zone_Entry_Exit",OR(ISNUMBER(SEARCH("fail",L341)),ISNUMBER(SEARCH("FromExitClear",M341)),ISNUMBER(SEARCH("miss",M341)))),"u",IF(AND(K341="Zone_Entry_Exit",OR(NOT(ISNUMBER(SEARCH("fail",L341))),NOT(ISNUMBER(SEARCH("FromExitClear",M341))),NOT(ISNUMBER(SEARCH("miss",M341))))),"s",IF(AND(OR(K341="Shot",K341="Pass"),OR(ISNUMBER(SEARCH("complete",L341)),ISNUMBER(SEARCH("goal",L341)),ISNUMBER(SEARCH("OnNet",L341)))),"s",IF(L341="Turnover_Giveaway","u",IF(AND(OR(K341="Shot",K341="Pass"),OR(ISNUMBER(SEARCH("fail",L341)),NOT(ISNUMBER(SEARCH("complete",L341))),NOT(ISNUMBER(SEARCH("OnNet",L341))))),"u","")))))))</f>
        <v/>
      </c>
      <c r="Q341" t="str">
        <f t="shared" si="123"/>
        <v/>
      </c>
      <c r="S341" t="str">
        <f>IF(A341=1,MAX(S$2:S340)+1,IF(OR(I341&lt;&gt;"",A341="x"),S340,""))</f>
        <v/>
      </c>
      <c r="T341" t="str">
        <f>IF(D341=1,MAX($T$2:$T340)+1,IF(S341=$S340,$S340,IF($D341="x",T340,IF($D340="x","",""))))</f>
        <v/>
      </c>
      <c r="U341" t="str">
        <f>IF(B341=1,MAX($U$2:$U340)+1,IF(AND($T341&lt;&gt;"",$T341=$T340),$U340,IF(B341="x",U340,"")))</f>
        <v/>
      </c>
      <c r="V341" t="str">
        <f>IF(C341=1,MAX($V$2:$V340)+1,IF(AND($T341&lt;&gt;"",$T341=$T340),$U340,IF(C341="x",V340,"")))</f>
        <v/>
      </c>
      <c r="W341" t="str" cm="1">
        <f t="array" ref="W341">IFERROR(_xlfn._xlws.FILTER(game_rosters!AB:AB,(game_rosters!J:J=events!X341)*(K341&lt;&gt;"")),"")</f>
        <v/>
      </c>
      <c r="X341" t="str" cm="1">
        <f t="array" ref="X341">IF(S341="","",IF($I341&lt;&gt;"",$I341,INDEX($I$2:$I340,ROW()-COUNTIFS($T$2:$T340,"="&amp;$T341,$S$2:$S340,"&lt;&gt;"&amp;$S341)-1)))</f>
        <v/>
      </c>
      <c r="Z341" s="6"/>
      <c r="AH341" t="str">
        <f t="shared" si="109"/>
        <v>o</v>
      </c>
      <c r="AI341" t="str">
        <f t="shared" si="116"/>
        <v/>
      </c>
      <c r="AJ341" t="str">
        <f t="shared" si="117"/>
        <v/>
      </c>
      <c r="AK341" t="str">
        <f t="shared" si="110"/>
        <v/>
      </c>
      <c r="AL341" t="str">
        <f t="shared" si="111"/>
        <v/>
      </c>
      <c r="AM341" t="str">
        <f t="shared" si="112"/>
        <v/>
      </c>
      <c r="AN341" t="str">
        <f t="shared" si="118"/>
        <v/>
      </c>
      <c r="AO341" t="str">
        <f t="shared" si="119"/>
        <v/>
      </c>
      <c r="AP341" t="str">
        <f t="shared" si="120"/>
        <v/>
      </c>
      <c r="AQ341" t="str">
        <f t="shared" si="121"/>
        <v/>
      </c>
      <c r="AR341" t="str">
        <f t="shared" si="122"/>
        <v/>
      </c>
      <c r="AS341" t="str">
        <f t="shared" si="113"/>
        <v>Defensive</v>
      </c>
      <c r="BI341" s="40"/>
      <c r="BL341" s="40"/>
      <c r="BN341" s="19"/>
      <c r="BP341" s="17"/>
    </row>
    <row r="342" spans="1:68" x14ac:dyDescent="0.2">
      <c r="A342" t="str">
        <f t="shared" si="114"/>
        <v/>
      </c>
      <c r="E342" s="4"/>
      <c r="F342" s="45"/>
      <c r="G342" s="4"/>
      <c r="H342" s="48"/>
      <c r="J342" s="46" t="str">
        <f t="shared" si="115"/>
        <v/>
      </c>
      <c r="N342" t="str">
        <f t="shared" si="124"/>
        <v/>
      </c>
      <c r="Q342" t="str">
        <f t="shared" si="123"/>
        <v/>
      </c>
      <c r="S342" t="str">
        <f>IF(A342=1,MAX(S$2:S341)+1,IF(OR(I342&lt;&gt;"",A342="x"),S341,""))</f>
        <v/>
      </c>
      <c r="T342" t="str">
        <f>IF(D342=1,MAX($T$2:$T341)+1,IF(S342=$S341,$S341,IF($D342="x",T341,IF($D341="x","",""))))</f>
        <v/>
      </c>
      <c r="U342" t="str">
        <f>IF(B342=1,MAX($U$2:$U341)+1,IF(AND($T342&lt;&gt;"",$T342=$T341),$U341,IF(B342="x",U341,"")))</f>
        <v/>
      </c>
      <c r="V342" t="str">
        <f>IF(C342=1,MAX($V$2:$V341)+1,IF(AND($T342&lt;&gt;"",$T342=$T341),$U341,IF(C342="x",V341,"")))</f>
        <v/>
      </c>
      <c r="W342" t="str" cm="1">
        <f t="array" ref="W342">IFERROR(_xlfn._xlws.FILTER(game_rosters!AB:AB,(game_rosters!J:J=events!X342)*(K342&lt;&gt;"")),"")</f>
        <v/>
      </c>
      <c r="X342" t="str" cm="1">
        <f t="array" ref="X342">IF(S342="","",IF($I342&lt;&gt;"",$I342,INDEX($I$2:$I341,ROW()-COUNTIFS($T$2:$T341,"="&amp;$T342,$S$2:$S341,"&lt;&gt;"&amp;$S342)-1)))</f>
        <v/>
      </c>
      <c r="Z342" s="6"/>
      <c r="AH342" t="str">
        <f t="shared" si="109"/>
        <v>o</v>
      </c>
      <c r="AI342" t="str">
        <f t="shared" si="116"/>
        <v/>
      </c>
      <c r="AJ342" t="str">
        <f t="shared" si="117"/>
        <v/>
      </c>
      <c r="AK342" t="str">
        <f t="shared" si="110"/>
        <v/>
      </c>
      <c r="AL342" t="str">
        <f t="shared" si="111"/>
        <v/>
      </c>
      <c r="AM342" t="str">
        <f t="shared" si="112"/>
        <v/>
      </c>
      <c r="AN342" t="str">
        <f t="shared" si="118"/>
        <v/>
      </c>
      <c r="AO342" t="str">
        <f t="shared" si="119"/>
        <v/>
      </c>
      <c r="AP342" t="str">
        <f t="shared" si="120"/>
        <v/>
      </c>
      <c r="AQ342" t="str">
        <f t="shared" si="121"/>
        <v/>
      </c>
      <c r="AR342" t="str">
        <f t="shared" si="122"/>
        <v/>
      </c>
      <c r="AS342" t="str">
        <f t="shared" si="113"/>
        <v>Defensive</v>
      </c>
      <c r="BI342" s="40"/>
      <c r="BL342" s="40"/>
      <c r="BN342" s="19"/>
      <c r="BP342" s="17"/>
    </row>
    <row r="343" spans="1:68" x14ac:dyDescent="0.2">
      <c r="A343" t="str">
        <f t="shared" si="114"/>
        <v/>
      </c>
      <c r="E343" s="4"/>
      <c r="F343" s="45"/>
      <c r="G343" s="4"/>
      <c r="H343" s="48"/>
      <c r="J343" s="46" t="str">
        <f t="shared" si="115"/>
        <v/>
      </c>
      <c r="N343" t="str">
        <f t="shared" si="124"/>
        <v/>
      </c>
      <c r="Q343" t="str">
        <f t="shared" si="123"/>
        <v/>
      </c>
      <c r="S343" t="str">
        <f>IF(A343=1,MAX(S$2:S342)+1,IF(OR(I343&lt;&gt;"",A343="x"),S342,""))</f>
        <v/>
      </c>
      <c r="T343" t="str">
        <f>IF(D343=1,MAX($T$2:$T342)+1,IF(S343=$S342,$S342,IF($D343="x",T342,IF($D342="x","",""))))</f>
        <v/>
      </c>
      <c r="U343" t="str">
        <f>IF(B343=1,MAX($U$2:$U342)+1,IF(AND($T343&lt;&gt;"",$T343=$T342),$U342,IF(B343="x",U342,"")))</f>
        <v/>
      </c>
      <c r="V343" t="str">
        <f>IF(C343=1,MAX($V$2:$V342)+1,IF(AND($T343&lt;&gt;"",$T343=$T342),$U342,IF(C343="x",V342,"")))</f>
        <v/>
      </c>
      <c r="W343" t="str" cm="1">
        <f t="array" ref="W343">IFERROR(_xlfn._xlws.FILTER(game_rosters!AB:AB,(game_rosters!J:J=events!X343)*(K343&lt;&gt;"")),"")</f>
        <v/>
      </c>
      <c r="X343" t="str" cm="1">
        <f t="array" ref="X343">IF(S343="","",IF($I343&lt;&gt;"",$I343,INDEX($I$2:$I342,ROW()-COUNTIFS($T$2:$T342,"="&amp;$T343,$S$2:$S342,"&lt;&gt;"&amp;$S343)-1)))</f>
        <v/>
      </c>
      <c r="Z343" s="6"/>
      <c r="AH343" t="str">
        <f t="shared" si="109"/>
        <v>o</v>
      </c>
      <c r="AI343" t="str">
        <f t="shared" si="116"/>
        <v/>
      </c>
      <c r="AJ343" t="str">
        <f t="shared" si="117"/>
        <v/>
      </c>
      <c r="AK343" t="str">
        <f t="shared" si="110"/>
        <v/>
      </c>
      <c r="AL343" t="str">
        <f t="shared" si="111"/>
        <v/>
      </c>
      <c r="AM343" t="str">
        <f t="shared" si="112"/>
        <v/>
      </c>
      <c r="AN343" t="str">
        <f t="shared" si="118"/>
        <v/>
      </c>
      <c r="AO343" t="str">
        <f t="shared" si="119"/>
        <v/>
      </c>
      <c r="AP343" t="str">
        <f t="shared" si="120"/>
        <v/>
      </c>
      <c r="AQ343" t="str">
        <f t="shared" si="121"/>
        <v/>
      </c>
      <c r="AR343" t="str">
        <f t="shared" si="122"/>
        <v/>
      </c>
      <c r="AS343" t="str">
        <f t="shared" si="113"/>
        <v>Defensive</v>
      </c>
      <c r="BI343" s="40"/>
      <c r="BL343" s="40"/>
      <c r="BN343" s="19"/>
      <c r="BP343" s="17"/>
    </row>
    <row r="344" spans="1:68" x14ac:dyDescent="0.2">
      <c r="A344" t="str">
        <f t="shared" si="114"/>
        <v/>
      </c>
      <c r="E344" s="4"/>
      <c r="F344" s="45"/>
      <c r="G344" s="4"/>
      <c r="H344" s="48"/>
      <c r="J344" s="46" t="str">
        <f t="shared" si="115"/>
        <v/>
      </c>
      <c r="N344" t="str">
        <f t="shared" si="124"/>
        <v/>
      </c>
      <c r="Q344" t="str">
        <f t="shared" si="123"/>
        <v/>
      </c>
      <c r="S344" t="str">
        <f>IF(A344=1,MAX(S$2:S343)+1,IF(OR(I344&lt;&gt;"",A344="x"),S343,""))</f>
        <v/>
      </c>
      <c r="T344" t="str">
        <f>IF(D344=1,MAX($T$2:$T343)+1,IF(S344=$S343,$S343,IF($D344="x",T343,IF($D343="x","",""))))</f>
        <v/>
      </c>
      <c r="U344" t="str">
        <f>IF(B344=1,MAX($U$2:$U343)+1,IF(AND($T344&lt;&gt;"",$T344=$T343),$U343,IF(B344="x",U343,"")))</f>
        <v/>
      </c>
      <c r="V344" t="str">
        <f>IF(C344=1,MAX($V$2:$V343)+1,IF(AND($T344&lt;&gt;"",$T344=$T343),$U343,IF(C344="x",V343,"")))</f>
        <v/>
      </c>
      <c r="W344" t="str" cm="1">
        <f t="array" ref="W344">IFERROR(_xlfn._xlws.FILTER(game_rosters!AB:AB,(game_rosters!J:J=events!X344)*(K344&lt;&gt;"")),"")</f>
        <v/>
      </c>
      <c r="X344" t="str" cm="1">
        <f t="array" ref="X344">IF(S344="","",IF($I344&lt;&gt;"",$I344,INDEX($I$2:$I343,ROW()-COUNTIFS($T$2:$T343,"="&amp;$T344,$S$2:$S343,"&lt;&gt;"&amp;$S344)-1)))</f>
        <v/>
      </c>
      <c r="Z344" s="6"/>
      <c r="AH344" t="str">
        <f t="shared" si="109"/>
        <v>o</v>
      </c>
      <c r="AI344" t="str">
        <f t="shared" si="116"/>
        <v/>
      </c>
      <c r="AJ344" t="str">
        <f t="shared" si="117"/>
        <v/>
      </c>
      <c r="AK344" t="str">
        <f t="shared" si="110"/>
        <v/>
      </c>
      <c r="AL344" t="str">
        <f t="shared" si="111"/>
        <v/>
      </c>
      <c r="AM344" t="str">
        <f t="shared" si="112"/>
        <v/>
      </c>
      <c r="AN344" t="str">
        <f t="shared" si="118"/>
        <v/>
      </c>
      <c r="AO344" t="str">
        <f t="shared" si="119"/>
        <v/>
      </c>
      <c r="AP344" t="str">
        <f t="shared" si="120"/>
        <v/>
      </c>
      <c r="AQ344" t="str">
        <f t="shared" si="121"/>
        <v/>
      </c>
      <c r="AR344" t="str">
        <f t="shared" si="122"/>
        <v/>
      </c>
      <c r="AS344" t="str">
        <f t="shared" si="113"/>
        <v>Defensive</v>
      </c>
      <c r="BI344" s="40"/>
      <c r="BL344" s="40"/>
      <c r="BN344" s="19"/>
      <c r="BP344" s="17"/>
    </row>
    <row r="345" spans="1:68" x14ac:dyDescent="0.2">
      <c r="A345" t="str">
        <f t="shared" si="114"/>
        <v/>
      </c>
      <c r="E345" s="4"/>
      <c r="F345" s="45"/>
      <c r="G345" s="4"/>
      <c r="H345" s="48"/>
      <c r="J345" s="46" t="str">
        <f t="shared" si="115"/>
        <v/>
      </c>
      <c r="N345" t="str">
        <f t="shared" si="124"/>
        <v/>
      </c>
      <c r="Q345" t="str">
        <f t="shared" si="123"/>
        <v/>
      </c>
      <c r="S345" t="str">
        <f>IF(A345=1,MAX(S$2:S344)+1,IF(OR(I345&lt;&gt;"",A345="x"),S344,""))</f>
        <v/>
      </c>
      <c r="T345" t="str">
        <f>IF(D345=1,MAX($T$2:$T344)+1,IF(S345=$S344,$S344,IF($D345="x",T344,IF($D344="x","",""))))</f>
        <v/>
      </c>
      <c r="U345" t="str">
        <f>IF(B345=1,MAX($U$2:$U344)+1,IF(AND($T345&lt;&gt;"",$T345=$T344),$U344,IF(B345="x",U344,"")))</f>
        <v/>
      </c>
      <c r="V345" t="str">
        <f>IF(C345=1,MAX($V$2:$V344)+1,IF(AND($T345&lt;&gt;"",$T345=$T344),$U344,IF(C345="x",V344,"")))</f>
        <v/>
      </c>
      <c r="W345" t="str" cm="1">
        <f t="array" ref="W345">IFERROR(_xlfn._xlws.FILTER(game_rosters!AB:AB,(game_rosters!J:J=events!X345)*(K345&lt;&gt;"")),"")</f>
        <v/>
      </c>
      <c r="X345" t="str" cm="1">
        <f t="array" ref="X345">IF(S345="","",IF($I345&lt;&gt;"",$I345,INDEX($I$2:$I344,ROW()-COUNTIFS($T$2:$T344,"="&amp;$T345,$S$2:$S344,"&lt;&gt;"&amp;$S345)-1)))</f>
        <v/>
      </c>
      <c r="Z345" s="6"/>
      <c r="AH345" t="str">
        <f t="shared" si="109"/>
        <v>o</v>
      </c>
      <c r="AI345" t="str">
        <f t="shared" si="116"/>
        <v/>
      </c>
      <c r="AJ345" t="str">
        <f t="shared" si="117"/>
        <v/>
      </c>
      <c r="AK345" t="str">
        <f t="shared" si="110"/>
        <v/>
      </c>
      <c r="AL345" t="str">
        <f t="shared" si="111"/>
        <v/>
      </c>
      <c r="AM345" t="str">
        <f t="shared" si="112"/>
        <v/>
      </c>
      <c r="AN345" t="str">
        <f t="shared" si="118"/>
        <v/>
      </c>
      <c r="AO345" t="str">
        <f t="shared" si="119"/>
        <v/>
      </c>
      <c r="AP345" t="str">
        <f t="shared" si="120"/>
        <v/>
      </c>
      <c r="AQ345" t="str">
        <f t="shared" si="121"/>
        <v/>
      </c>
      <c r="AR345" t="str">
        <f t="shared" si="122"/>
        <v/>
      </c>
      <c r="AS345" t="str">
        <f t="shared" si="113"/>
        <v>Defensive</v>
      </c>
      <c r="BI345" s="40"/>
      <c r="BL345" s="40"/>
      <c r="BN345" s="19"/>
      <c r="BP345" s="17"/>
    </row>
    <row r="346" spans="1:68" x14ac:dyDescent="0.2">
      <c r="A346" t="str">
        <f t="shared" si="114"/>
        <v/>
      </c>
      <c r="E346" s="4"/>
      <c r="F346" s="45"/>
      <c r="G346" s="4"/>
      <c r="H346" s="48"/>
      <c r="J346" s="46" t="str">
        <f t="shared" si="115"/>
        <v/>
      </c>
      <c r="N346" t="str">
        <f t="shared" si="124"/>
        <v/>
      </c>
      <c r="Q346" t="str">
        <f t="shared" si="123"/>
        <v/>
      </c>
      <c r="S346" t="str">
        <f>IF(A346=1,MAX(S$2:S345)+1,IF(OR(I346&lt;&gt;"",A346="x"),S345,""))</f>
        <v/>
      </c>
      <c r="T346" t="str">
        <f>IF(D346=1,MAX($T$2:$T345)+1,IF(S346=$S345,$S345,IF($D346="x",T345,IF($D345="x","",""))))</f>
        <v/>
      </c>
      <c r="U346" t="str">
        <f>IF(B346=1,MAX($U$2:$U345)+1,IF(AND($T346&lt;&gt;"",$T346=$T345),$U345,IF(B346="x",U345,"")))</f>
        <v/>
      </c>
      <c r="V346" t="str">
        <f>IF(C346=1,MAX($V$2:$V345)+1,IF(AND($T346&lt;&gt;"",$T346=$T345),$U345,IF(C346="x",V345,"")))</f>
        <v/>
      </c>
      <c r="W346" t="str" cm="1">
        <f t="array" ref="W346">IFERROR(_xlfn._xlws.FILTER(game_rosters!AB:AB,(game_rosters!J:J=events!X346)*(K346&lt;&gt;"")),"")</f>
        <v/>
      </c>
      <c r="X346" t="str" cm="1">
        <f t="array" ref="X346">IF(S346="","",IF($I346&lt;&gt;"",$I346,INDEX($I$2:$I345,ROW()-COUNTIFS($T$2:$T345,"="&amp;$T346,$S$2:$S345,"&lt;&gt;"&amp;$S346)-1)))</f>
        <v/>
      </c>
      <c r="Z346" s="6"/>
      <c r="AH346" t="str">
        <f t="shared" si="109"/>
        <v>o</v>
      </c>
      <c r="AI346" t="str">
        <f t="shared" si="116"/>
        <v/>
      </c>
      <c r="AJ346" t="str">
        <f t="shared" si="117"/>
        <v/>
      </c>
      <c r="AK346" t="str">
        <f t="shared" si="110"/>
        <v/>
      </c>
      <c r="AL346" t="str">
        <f t="shared" si="111"/>
        <v/>
      </c>
      <c r="AM346" t="str">
        <f t="shared" si="112"/>
        <v/>
      </c>
      <c r="AN346" t="str">
        <f t="shared" si="118"/>
        <v/>
      </c>
      <c r="AO346" t="str">
        <f t="shared" si="119"/>
        <v/>
      </c>
      <c r="AP346" t="str">
        <f t="shared" si="120"/>
        <v/>
      </c>
      <c r="AQ346" t="str">
        <f t="shared" si="121"/>
        <v/>
      </c>
      <c r="AR346" t="str">
        <f t="shared" si="122"/>
        <v/>
      </c>
      <c r="AS346" t="str">
        <f t="shared" si="113"/>
        <v>Defensive</v>
      </c>
      <c r="BI346" s="40"/>
      <c r="BL346" s="40"/>
      <c r="BN346" s="19"/>
      <c r="BP346" s="17"/>
    </row>
    <row r="347" spans="1:68" x14ac:dyDescent="0.2">
      <c r="A347" t="str">
        <f t="shared" si="114"/>
        <v/>
      </c>
      <c r="E347" s="4"/>
      <c r="F347" s="45"/>
      <c r="G347" s="4"/>
      <c r="H347" s="48"/>
      <c r="J347" s="46" t="str">
        <f t="shared" si="115"/>
        <v/>
      </c>
      <c r="N347" t="str">
        <f t="shared" si="124"/>
        <v/>
      </c>
      <c r="Q347" t="str">
        <f t="shared" si="123"/>
        <v/>
      </c>
      <c r="S347" t="str">
        <f>IF(A347=1,MAX(S$2:S346)+1,IF(OR(I347&lt;&gt;"",A347="x"),S346,""))</f>
        <v/>
      </c>
      <c r="T347" t="str">
        <f>IF(D347=1,MAX($T$2:$T346)+1,IF(S347=$S346,$S346,IF($D347="x",T346,IF($D346="x","",""))))</f>
        <v/>
      </c>
      <c r="U347" t="str">
        <f>IF(B347=1,MAX($U$2:$U346)+1,IF(AND($T347&lt;&gt;"",$T347=$T346),$U346,IF(B347="x",U346,"")))</f>
        <v/>
      </c>
      <c r="V347" t="str">
        <f>IF(C347=1,MAX($V$2:$V346)+1,IF(AND($T347&lt;&gt;"",$T347=$T346),$U346,IF(C347="x",V346,"")))</f>
        <v/>
      </c>
      <c r="W347" t="str" cm="1">
        <f t="array" ref="W347">IFERROR(_xlfn._xlws.FILTER(game_rosters!AB:AB,(game_rosters!J:J=events!X347)*(K347&lt;&gt;"")),"")</f>
        <v/>
      </c>
      <c r="X347" t="str" cm="1">
        <f t="array" ref="X347">IF(S347="","",IF($I347&lt;&gt;"",$I347,INDEX($I$2:$I346,ROW()-COUNTIFS($T$2:$T346,"="&amp;$T347,$S$2:$S346,"&lt;&gt;"&amp;$S347)-1)))</f>
        <v/>
      </c>
      <c r="Z347" s="6"/>
      <c r="AH347" t="str">
        <f t="shared" si="109"/>
        <v>o</v>
      </c>
      <c r="AI347" t="str">
        <f t="shared" si="116"/>
        <v/>
      </c>
      <c r="AJ347" t="str">
        <f t="shared" si="117"/>
        <v/>
      </c>
      <c r="AK347" t="str">
        <f t="shared" si="110"/>
        <v/>
      </c>
      <c r="AL347" t="str">
        <f t="shared" si="111"/>
        <v/>
      </c>
      <c r="AM347" t="str">
        <f t="shared" si="112"/>
        <v/>
      </c>
      <c r="AN347" t="str">
        <f t="shared" si="118"/>
        <v/>
      </c>
      <c r="AO347" t="str">
        <f t="shared" si="119"/>
        <v/>
      </c>
      <c r="AP347" t="str">
        <f t="shared" si="120"/>
        <v/>
      </c>
      <c r="AQ347" t="str">
        <f t="shared" si="121"/>
        <v/>
      </c>
      <c r="AR347" t="str">
        <f t="shared" si="122"/>
        <v/>
      </c>
      <c r="AS347" t="str">
        <f t="shared" si="113"/>
        <v>Defensive</v>
      </c>
      <c r="BI347" s="40"/>
      <c r="BL347" s="40"/>
      <c r="BN347" s="19"/>
      <c r="BP347" s="17"/>
    </row>
    <row r="348" spans="1:68" x14ac:dyDescent="0.2">
      <c r="A348" t="str">
        <f t="shared" si="114"/>
        <v/>
      </c>
      <c r="E348" s="4"/>
      <c r="F348" s="45"/>
      <c r="G348" s="4"/>
      <c r="H348" s="48"/>
      <c r="J348" s="46" t="str">
        <f t="shared" si="115"/>
        <v/>
      </c>
      <c r="N348" t="str">
        <f t="shared" si="124"/>
        <v/>
      </c>
      <c r="Q348" t="str">
        <f t="shared" si="123"/>
        <v/>
      </c>
      <c r="S348" t="str">
        <f>IF(A348=1,MAX(S$2:S347)+1,IF(OR(I348&lt;&gt;"",A348="x"),S347,""))</f>
        <v/>
      </c>
      <c r="T348" t="str">
        <f>IF(D348=1,MAX($T$2:$T347)+1,IF(S348=$S347,$S347,IF($D348="x",T347,IF($D347="x","",""))))</f>
        <v/>
      </c>
      <c r="U348" t="str">
        <f>IF(B348=1,MAX($U$2:$U347)+1,IF(AND($T348&lt;&gt;"",$T348=$T347),$U347,IF(B348="x",U347,"")))</f>
        <v/>
      </c>
      <c r="V348" t="str">
        <f>IF(C348=1,MAX($V$2:$V347)+1,IF(AND($T348&lt;&gt;"",$T348=$T347),$U347,IF(C348="x",V347,"")))</f>
        <v/>
      </c>
      <c r="W348" t="str" cm="1">
        <f t="array" ref="W348">IFERROR(_xlfn._xlws.FILTER(game_rosters!AB:AB,(game_rosters!J:J=events!X348)*(K348&lt;&gt;"")),"")</f>
        <v/>
      </c>
      <c r="X348" t="str" cm="1">
        <f t="array" ref="X348">IF(S348="","",IF($I348&lt;&gt;"",$I348,INDEX($I$2:$I347,ROW()-COUNTIFS($T$2:$T347,"="&amp;$T348,$S$2:$S347,"&lt;&gt;"&amp;$S348)-1)))</f>
        <v/>
      </c>
      <c r="Z348" s="6"/>
      <c r="AH348" t="str">
        <f t="shared" si="109"/>
        <v>o</v>
      </c>
      <c r="AI348" t="str">
        <f t="shared" si="116"/>
        <v/>
      </c>
      <c r="AJ348" t="str">
        <f t="shared" si="117"/>
        <v/>
      </c>
      <c r="AK348" t="str">
        <f t="shared" si="110"/>
        <v/>
      </c>
      <c r="AL348" t="str">
        <f t="shared" si="111"/>
        <v/>
      </c>
      <c r="AM348" t="str">
        <f t="shared" si="112"/>
        <v/>
      </c>
      <c r="AN348" t="str">
        <f t="shared" si="118"/>
        <v/>
      </c>
      <c r="AO348" t="str">
        <f t="shared" si="119"/>
        <v/>
      </c>
      <c r="AP348" t="str">
        <f t="shared" si="120"/>
        <v/>
      </c>
      <c r="AQ348" t="str">
        <f t="shared" si="121"/>
        <v/>
      </c>
      <c r="AR348" t="str">
        <f t="shared" si="122"/>
        <v/>
      </c>
      <c r="AS348" t="str">
        <f t="shared" si="113"/>
        <v>Defensive</v>
      </c>
      <c r="BI348" s="40"/>
      <c r="BL348" s="40"/>
      <c r="BN348" s="19"/>
      <c r="BP348" s="17"/>
    </row>
    <row r="349" spans="1:68" x14ac:dyDescent="0.2">
      <c r="A349" t="str">
        <f t="shared" si="114"/>
        <v/>
      </c>
      <c r="E349" s="4"/>
      <c r="F349" s="45"/>
      <c r="G349" s="4"/>
      <c r="H349" s="48"/>
      <c r="J349" s="46" t="str">
        <f t="shared" si="115"/>
        <v/>
      </c>
      <c r="N349" t="str">
        <f t="shared" si="124"/>
        <v/>
      </c>
      <c r="Q349" t="str">
        <f t="shared" si="123"/>
        <v/>
      </c>
      <c r="S349" t="str">
        <f>IF(A349=1,MAX(S$2:S348)+1,IF(OR(I349&lt;&gt;"",A349="x"),S348,""))</f>
        <v/>
      </c>
      <c r="T349" t="str">
        <f>IF(D349=1,MAX($T$2:$T348)+1,IF(S349=$S348,$S348,IF($D349="x",T348,IF($D348="x","",""))))</f>
        <v/>
      </c>
      <c r="U349" t="str">
        <f>IF(B349=1,MAX($U$2:$U348)+1,IF(AND($T349&lt;&gt;"",$T349=$T348),$U348,IF(B349="x",U348,"")))</f>
        <v/>
      </c>
      <c r="V349" t="str">
        <f>IF(C349=1,MAX($V$2:$V348)+1,IF(AND($T349&lt;&gt;"",$T349=$T348),$U348,IF(C349="x",V348,"")))</f>
        <v/>
      </c>
      <c r="W349" t="str" cm="1">
        <f t="array" ref="W349">IFERROR(_xlfn._xlws.FILTER(game_rosters!AB:AB,(game_rosters!J:J=events!X349)*(K349&lt;&gt;"")),"")</f>
        <v/>
      </c>
      <c r="X349" t="str" cm="1">
        <f t="array" ref="X349">IF(S349="","",IF($I349&lt;&gt;"",$I349,INDEX($I$2:$I348,ROW()-COUNTIFS($T$2:$T348,"="&amp;$T349,$S$2:$S348,"&lt;&gt;"&amp;$S349)-1)))</f>
        <v/>
      </c>
      <c r="Z349" s="6"/>
      <c r="AH349" t="str">
        <f t="shared" si="109"/>
        <v>o</v>
      </c>
      <c r="AI349" t="str">
        <f t="shared" si="116"/>
        <v/>
      </c>
      <c r="AJ349" t="str">
        <f t="shared" si="117"/>
        <v/>
      </c>
      <c r="AK349" t="str">
        <f t="shared" si="110"/>
        <v/>
      </c>
      <c r="AL349" t="str">
        <f t="shared" si="111"/>
        <v/>
      </c>
      <c r="AM349" t="str">
        <f t="shared" si="112"/>
        <v/>
      </c>
      <c r="AN349" t="str">
        <f t="shared" si="118"/>
        <v/>
      </c>
      <c r="AO349" t="str">
        <f t="shared" si="119"/>
        <v/>
      </c>
      <c r="AP349" t="str">
        <f t="shared" si="120"/>
        <v/>
      </c>
      <c r="AQ349" t="str">
        <f t="shared" si="121"/>
        <v/>
      </c>
      <c r="AR349" t="str">
        <f t="shared" si="122"/>
        <v/>
      </c>
      <c r="AS349" t="str">
        <f t="shared" si="113"/>
        <v>Defensive</v>
      </c>
      <c r="BI349" s="40"/>
      <c r="BL349" s="40"/>
      <c r="BN349" s="19"/>
      <c r="BP349" s="17"/>
    </row>
    <row r="350" spans="1:68" x14ac:dyDescent="0.2">
      <c r="A350" t="str">
        <f t="shared" si="114"/>
        <v/>
      </c>
      <c r="E350" s="4"/>
      <c r="F350" s="45"/>
      <c r="G350" s="4"/>
      <c r="H350" s="48"/>
      <c r="J350" s="46" t="str">
        <f t="shared" si="115"/>
        <v/>
      </c>
      <c r="N350" t="str">
        <f t="shared" si="124"/>
        <v/>
      </c>
      <c r="Q350" t="str">
        <f t="shared" si="123"/>
        <v/>
      </c>
      <c r="S350" t="str">
        <f>IF(A350=1,MAX(S$2:S349)+1,IF(OR(I350&lt;&gt;"",A350="x"),S349,""))</f>
        <v/>
      </c>
      <c r="T350" t="str">
        <f>IF(D350=1,MAX($T$2:$T349)+1,IF(S350=$S349,$S349,IF($D350="x",T349,IF($D349="x","",""))))</f>
        <v/>
      </c>
      <c r="U350" t="str">
        <f>IF(B350=1,MAX($U$2:$U349)+1,IF(AND($T350&lt;&gt;"",$T350=$T349),$U349,IF(B350="x",U349,"")))</f>
        <v/>
      </c>
      <c r="V350" t="str">
        <f>IF(C350=1,MAX($V$2:$V349)+1,IF(AND($T350&lt;&gt;"",$T350=$T349),$U349,IF(C350="x",V349,"")))</f>
        <v/>
      </c>
      <c r="W350" t="str" cm="1">
        <f t="array" ref="W350">IFERROR(_xlfn._xlws.FILTER(game_rosters!AB:AB,(game_rosters!J:J=events!X350)*(K350&lt;&gt;"")),"")</f>
        <v/>
      </c>
      <c r="X350" t="str" cm="1">
        <f t="array" ref="X350">IF(S350="","",IF($I350&lt;&gt;"",$I350,INDEX($I$2:$I349,ROW()-COUNTIFS($T$2:$T349,"="&amp;$T350,$S$2:$S349,"&lt;&gt;"&amp;$S350)-1)))</f>
        <v/>
      </c>
      <c r="Z350" s="6"/>
      <c r="AH350" t="str">
        <f t="shared" si="109"/>
        <v>o</v>
      </c>
      <c r="AI350" t="str">
        <f t="shared" si="116"/>
        <v/>
      </c>
      <c r="AJ350" t="str">
        <f t="shared" si="117"/>
        <v/>
      </c>
      <c r="AK350" t="str">
        <f t="shared" si="110"/>
        <v/>
      </c>
      <c r="AL350" t="str">
        <f t="shared" si="111"/>
        <v/>
      </c>
      <c r="AM350" t="str">
        <f t="shared" si="112"/>
        <v/>
      </c>
      <c r="AN350" t="str">
        <f t="shared" si="118"/>
        <v/>
      </c>
      <c r="AO350" t="str">
        <f t="shared" si="119"/>
        <v/>
      </c>
      <c r="AP350" t="str">
        <f t="shared" si="120"/>
        <v/>
      </c>
      <c r="AQ350" t="str">
        <f t="shared" si="121"/>
        <v/>
      </c>
      <c r="AR350" t="str">
        <f t="shared" si="122"/>
        <v/>
      </c>
      <c r="AS350" t="str">
        <f t="shared" si="113"/>
        <v>Defensive</v>
      </c>
      <c r="BI350" s="40"/>
      <c r="BL350" s="40"/>
      <c r="BN350" s="19"/>
      <c r="BP350" s="17"/>
    </row>
    <row r="351" spans="1:68" x14ac:dyDescent="0.2">
      <c r="A351" t="str">
        <f t="shared" si="114"/>
        <v/>
      </c>
      <c r="E351" s="4"/>
      <c r="F351" s="45"/>
      <c r="G351" s="4"/>
      <c r="H351" s="48"/>
      <c r="J351" s="46" t="str">
        <f t="shared" si="115"/>
        <v/>
      </c>
      <c r="N351" t="str">
        <f t="shared" si="124"/>
        <v/>
      </c>
      <c r="Q351" t="str">
        <f t="shared" si="123"/>
        <v/>
      </c>
      <c r="S351" t="str">
        <f>IF(A351=1,MAX(S$2:S350)+1,IF(OR(I351&lt;&gt;"",A351="x"),S350,""))</f>
        <v/>
      </c>
      <c r="T351" t="str">
        <f>IF(D351=1,MAX($T$2:$T350)+1,IF(S351=$S350,$S350,IF($D351="x",T350,IF($D350="x","",""))))</f>
        <v/>
      </c>
      <c r="U351" t="str">
        <f>IF(B351=1,MAX($U$2:$U350)+1,IF(AND($T351&lt;&gt;"",$T351=$T350),$U350,IF(B351="x",U350,"")))</f>
        <v/>
      </c>
      <c r="V351" t="str">
        <f>IF(C351=1,MAX($V$2:$V350)+1,IF(AND($T351&lt;&gt;"",$T351=$T350),$U350,IF(C351="x",V350,"")))</f>
        <v/>
      </c>
      <c r="W351" t="str" cm="1">
        <f t="array" ref="W351">IFERROR(_xlfn._xlws.FILTER(game_rosters!AB:AB,(game_rosters!J:J=events!X351)*(K351&lt;&gt;"")),"")</f>
        <v/>
      </c>
      <c r="X351" t="str" cm="1">
        <f t="array" ref="X351">IF(S351="","",IF($I351&lt;&gt;"",$I351,INDEX($I$2:$I350,ROW()-COUNTIFS($T$2:$T350,"="&amp;$T351,$S$2:$S350,"&lt;&gt;"&amp;$S351)-1)))</f>
        <v/>
      </c>
      <c r="Z351" s="6"/>
      <c r="AH351" t="str">
        <f t="shared" si="109"/>
        <v>o</v>
      </c>
      <c r="AI351" t="str">
        <f t="shared" si="116"/>
        <v/>
      </c>
      <c r="AJ351" t="str">
        <f t="shared" si="117"/>
        <v/>
      </c>
      <c r="AK351" t="str">
        <f t="shared" si="110"/>
        <v/>
      </c>
      <c r="AL351" t="str">
        <f t="shared" si="111"/>
        <v/>
      </c>
      <c r="AM351" t="str">
        <f t="shared" si="112"/>
        <v/>
      </c>
      <c r="AN351" t="str">
        <f t="shared" si="118"/>
        <v/>
      </c>
      <c r="AO351" t="str">
        <f t="shared" si="119"/>
        <v/>
      </c>
      <c r="AP351" t="str">
        <f t="shared" si="120"/>
        <v/>
      </c>
      <c r="AQ351" t="str">
        <f t="shared" si="121"/>
        <v/>
      </c>
      <c r="AR351" t="str">
        <f t="shared" si="122"/>
        <v/>
      </c>
      <c r="AS351" t="str">
        <f t="shared" si="113"/>
        <v>Defensive</v>
      </c>
      <c r="BI351" s="40"/>
      <c r="BL351" s="40"/>
      <c r="BN351" s="19"/>
      <c r="BP351" s="17"/>
    </row>
    <row r="352" spans="1:68" x14ac:dyDescent="0.2">
      <c r="A352" t="str">
        <f t="shared" si="114"/>
        <v/>
      </c>
      <c r="E352" s="4"/>
      <c r="F352" s="45"/>
      <c r="G352" s="4"/>
      <c r="H352" s="48"/>
      <c r="J352" s="46" t="str">
        <f t="shared" si="115"/>
        <v/>
      </c>
      <c r="N352" t="str">
        <f t="shared" si="124"/>
        <v/>
      </c>
      <c r="Q352" t="str">
        <f t="shared" si="123"/>
        <v/>
      </c>
      <c r="S352" t="str">
        <f>IF(A352=1,MAX(S$2:S351)+1,IF(OR(I352&lt;&gt;"",A352="x"),S351,""))</f>
        <v/>
      </c>
      <c r="T352" t="str">
        <f>IF(D352=1,MAX($T$2:$T351)+1,IF(S352=$S351,$S351,IF($D352="x",T351,IF($D351="x","",""))))</f>
        <v/>
      </c>
      <c r="U352" t="str">
        <f>IF(B352=1,MAX($U$2:$U351)+1,IF(AND($T352&lt;&gt;"",$T352=$T351),$U351,IF(B352="x",U351,"")))</f>
        <v/>
      </c>
      <c r="V352" t="str">
        <f>IF(C352=1,MAX($V$2:$V351)+1,IF(AND($T352&lt;&gt;"",$T352=$T351),$U351,IF(C352="x",V351,"")))</f>
        <v/>
      </c>
      <c r="W352" t="str" cm="1">
        <f t="array" ref="W352">IFERROR(_xlfn._xlws.FILTER(game_rosters!AB:AB,(game_rosters!J:J=events!X352)*(K352&lt;&gt;"")),"")</f>
        <v/>
      </c>
      <c r="X352" t="str" cm="1">
        <f t="array" ref="X352">IF(S352="","",IF($I352&lt;&gt;"",$I352,INDEX($I$2:$I351,ROW()-COUNTIFS($T$2:$T351,"="&amp;$T352,$S$2:$S351,"&lt;&gt;"&amp;$S352)-1)))</f>
        <v/>
      </c>
      <c r="Z352" s="6"/>
      <c r="AH352" t="str">
        <f t="shared" si="109"/>
        <v>o</v>
      </c>
      <c r="AI352" t="str">
        <f t="shared" si="116"/>
        <v/>
      </c>
      <c r="AJ352" t="str">
        <f t="shared" si="117"/>
        <v/>
      </c>
      <c r="AK352" t="str">
        <f t="shared" si="110"/>
        <v/>
      </c>
      <c r="AL352" t="str">
        <f t="shared" si="111"/>
        <v/>
      </c>
      <c r="AM352" t="str">
        <f t="shared" si="112"/>
        <v/>
      </c>
      <c r="AN352" t="str">
        <f t="shared" si="118"/>
        <v/>
      </c>
      <c r="AO352" t="str">
        <f t="shared" si="119"/>
        <v/>
      </c>
      <c r="AP352" t="str">
        <f t="shared" si="120"/>
        <v/>
      </c>
      <c r="AQ352" t="str">
        <f t="shared" si="121"/>
        <v/>
      </c>
      <c r="AR352" t="str">
        <f t="shared" si="122"/>
        <v/>
      </c>
      <c r="AS352" t="str">
        <f t="shared" si="113"/>
        <v>Defensive</v>
      </c>
      <c r="BI352" s="40"/>
      <c r="BL352" s="40"/>
      <c r="BN352" s="19"/>
      <c r="BP352" s="17"/>
    </row>
    <row r="353" spans="1:68" x14ac:dyDescent="0.2">
      <c r="A353" t="str">
        <f t="shared" si="114"/>
        <v/>
      </c>
      <c r="E353" s="4"/>
      <c r="F353" s="45"/>
      <c r="G353" s="4"/>
      <c r="H353" s="48"/>
      <c r="J353" s="46" t="str">
        <f t="shared" si="115"/>
        <v/>
      </c>
      <c r="N353" t="str">
        <f t="shared" si="124"/>
        <v/>
      </c>
      <c r="Q353" t="str">
        <f t="shared" si="123"/>
        <v/>
      </c>
      <c r="S353" t="str">
        <f>IF(A353=1,MAX(S$2:S352)+1,IF(OR(I353&lt;&gt;"",A353="x"),S352,""))</f>
        <v/>
      </c>
      <c r="T353" t="str">
        <f>IF(D353=1,MAX($T$2:$T352)+1,IF(S353=$S352,$S352,IF($D353="x",T352,IF($D352="x","",""))))</f>
        <v/>
      </c>
      <c r="U353" t="str">
        <f>IF(B353=1,MAX($U$2:$U352)+1,IF(AND($T353&lt;&gt;"",$T353=$T352),$U352,IF(B353="x",U352,"")))</f>
        <v/>
      </c>
      <c r="V353" t="str">
        <f>IF(C353=1,MAX($V$2:$V352)+1,IF(AND($T353&lt;&gt;"",$T353=$T352),$U352,IF(C353="x",V352,"")))</f>
        <v/>
      </c>
      <c r="W353" t="str" cm="1">
        <f t="array" ref="W353">IFERROR(_xlfn._xlws.FILTER(game_rosters!AB:AB,(game_rosters!J:J=events!X353)*(K353&lt;&gt;"")),"")</f>
        <v/>
      </c>
      <c r="X353" t="str" cm="1">
        <f t="array" ref="X353">IF(S353="","",IF($I353&lt;&gt;"",$I353,INDEX($I$2:$I352,ROW()-COUNTIFS($T$2:$T352,"="&amp;$T353,$S$2:$S352,"&lt;&gt;"&amp;$S353)-1)))</f>
        <v/>
      </c>
      <c r="Z353" s="6"/>
      <c r="AH353" t="str">
        <f t="shared" si="109"/>
        <v>o</v>
      </c>
      <c r="AI353" t="str">
        <f t="shared" si="116"/>
        <v/>
      </c>
      <c r="AJ353" t="str">
        <f t="shared" si="117"/>
        <v/>
      </c>
      <c r="AK353" t="str">
        <f t="shared" si="110"/>
        <v/>
      </c>
      <c r="AL353" t="str">
        <f t="shared" si="111"/>
        <v/>
      </c>
      <c r="AM353" t="str">
        <f t="shared" si="112"/>
        <v/>
      </c>
      <c r="AN353" t="str">
        <f t="shared" si="118"/>
        <v/>
      </c>
      <c r="AO353" t="str">
        <f t="shared" si="119"/>
        <v/>
      </c>
      <c r="AP353" t="str">
        <f t="shared" si="120"/>
        <v/>
      </c>
      <c r="AQ353" t="str">
        <f t="shared" si="121"/>
        <v/>
      </c>
      <c r="AR353" t="str">
        <f t="shared" si="122"/>
        <v/>
      </c>
      <c r="AS353" t="str">
        <f t="shared" si="113"/>
        <v>Defensive</v>
      </c>
      <c r="BI353" s="40"/>
      <c r="BL353" s="40"/>
      <c r="BN353" s="19"/>
      <c r="BP353" s="17"/>
    </row>
    <row r="354" spans="1:68" x14ac:dyDescent="0.2">
      <c r="A354" t="str">
        <f t="shared" si="114"/>
        <v/>
      </c>
      <c r="E354" s="4"/>
      <c r="F354" s="45"/>
      <c r="G354" s="4"/>
      <c r="H354" s="48"/>
      <c r="J354" s="46" t="str">
        <f t="shared" si="115"/>
        <v/>
      </c>
      <c r="N354" t="str">
        <f t="shared" si="124"/>
        <v/>
      </c>
      <c r="Q354" t="str">
        <f t="shared" si="123"/>
        <v/>
      </c>
      <c r="S354" t="str">
        <f>IF(A354=1,MAX(S$2:S353)+1,IF(OR(I354&lt;&gt;"",A354="x"),S353,""))</f>
        <v/>
      </c>
      <c r="T354" t="str">
        <f>IF(D354=1,MAX($T$2:$T353)+1,IF(S354=$S353,$S353,IF($D354="x",T353,IF($D353="x","",""))))</f>
        <v/>
      </c>
      <c r="U354" t="str">
        <f>IF(B354=1,MAX($U$2:$U353)+1,IF(AND($T354&lt;&gt;"",$T354=$T353),$U353,IF(B354="x",U353,"")))</f>
        <v/>
      </c>
      <c r="V354" t="str">
        <f>IF(C354=1,MAX($V$2:$V353)+1,IF(AND($T354&lt;&gt;"",$T354=$T353),$U353,IF(C354="x",V353,"")))</f>
        <v/>
      </c>
      <c r="W354" t="str" cm="1">
        <f t="array" ref="W354">IFERROR(_xlfn._xlws.FILTER(game_rosters!AB:AB,(game_rosters!J:J=events!X354)*(K354&lt;&gt;"")),"")</f>
        <v/>
      </c>
      <c r="X354" t="str" cm="1">
        <f t="array" ref="X354">IF(S354="","",IF($I354&lt;&gt;"",$I354,INDEX($I$2:$I353,ROW()-COUNTIFS($T$2:$T353,"="&amp;$T354,$S$2:$S353,"&lt;&gt;"&amp;$S354)-1)))</f>
        <v/>
      </c>
      <c r="Z354" s="6"/>
      <c r="AH354" t="str">
        <f t="shared" si="109"/>
        <v>o</v>
      </c>
      <c r="AI354" t="str">
        <f t="shared" si="116"/>
        <v/>
      </c>
      <c r="AJ354" t="str">
        <f t="shared" si="117"/>
        <v/>
      </c>
      <c r="AK354" t="str">
        <f t="shared" si="110"/>
        <v/>
      </c>
      <c r="AL354" t="str">
        <f t="shared" si="111"/>
        <v/>
      </c>
      <c r="AM354" t="str">
        <f t="shared" si="112"/>
        <v/>
      </c>
      <c r="AN354" t="str">
        <f t="shared" si="118"/>
        <v/>
      </c>
      <c r="AO354" t="str">
        <f t="shared" si="119"/>
        <v/>
      </c>
      <c r="AP354" t="str">
        <f t="shared" si="120"/>
        <v/>
      </c>
      <c r="AQ354" t="str">
        <f t="shared" si="121"/>
        <v/>
      </c>
      <c r="AR354" t="str">
        <f t="shared" si="122"/>
        <v/>
      </c>
      <c r="AS354" t="str">
        <f t="shared" si="113"/>
        <v>Defensive</v>
      </c>
      <c r="BI354" s="40"/>
      <c r="BL354" s="40"/>
      <c r="BN354" s="19"/>
      <c r="BP354" s="17"/>
    </row>
    <row r="355" spans="1:68" x14ac:dyDescent="0.2">
      <c r="A355" t="str">
        <f t="shared" si="114"/>
        <v/>
      </c>
      <c r="E355" s="4"/>
      <c r="F355" s="45"/>
      <c r="G355" s="4"/>
      <c r="H355" s="48"/>
      <c r="J355" s="46" t="str">
        <f t="shared" si="115"/>
        <v/>
      </c>
      <c r="N355" t="str">
        <f t="shared" si="124"/>
        <v/>
      </c>
      <c r="Q355" t="str">
        <f t="shared" si="123"/>
        <v/>
      </c>
      <c r="S355" t="str">
        <f>IF(A355=1,MAX(S$2:S354)+1,IF(OR(I355&lt;&gt;"",A355="x"),S354,""))</f>
        <v/>
      </c>
      <c r="T355" t="str">
        <f>IF(D355=1,MAX($T$2:$T354)+1,IF(S355=$S354,$S354,IF($D355="x",T354,IF($D354="x","",""))))</f>
        <v/>
      </c>
      <c r="U355" t="str">
        <f>IF(B355=1,MAX($U$2:$U354)+1,IF(AND($T355&lt;&gt;"",$T355=$T354),$U354,IF(B355="x",U354,"")))</f>
        <v/>
      </c>
      <c r="V355" t="str">
        <f>IF(C355=1,MAX($V$2:$V354)+1,IF(AND($T355&lt;&gt;"",$T355=$T354),$U354,IF(C355="x",V354,"")))</f>
        <v/>
      </c>
      <c r="W355" t="str" cm="1">
        <f t="array" ref="W355">IFERROR(_xlfn._xlws.FILTER(game_rosters!AB:AB,(game_rosters!J:J=events!X355)*(K355&lt;&gt;"")),"")</f>
        <v/>
      </c>
      <c r="X355" t="str" cm="1">
        <f t="array" ref="X355">IF(S355="","",IF($I355&lt;&gt;"",$I355,INDEX($I$2:$I354,ROW()-COUNTIFS($T$2:$T354,"="&amp;$T355,$S$2:$S354,"&lt;&gt;"&amp;$S355)-1)))</f>
        <v/>
      </c>
      <c r="Z355" s="6"/>
      <c r="AH355" t="str">
        <f t="shared" si="109"/>
        <v>o</v>
      </c>
      <c r="AI355" t="str">
        <f t="shared" si="116"/>
        <v/>
      </c>
      <c r="AJ355" t="str">
        <f t="shared" si="117"/>
        <v/>
      </c>
      <c r="AK355" t="str">
        <f t="shared" si="110"/>
        <v/>
      </c>
      <c r="AL355" t="str">
        <f t="shared" si="111"/>
        <v/>
      </c>
      <c r="AM355" t="str">
        <f t="shared" si="112"/>
        <v/>
      </c>
      <c r="AN355" t="str">
        <f t="shared" si="118"/>
        <v/>
      </c>
      <c r="AO355" t="str">
        <f t="shared" si="119"/>
        <v/>
      </c>
      <c r="AP355" t="str">
        <f t="shared" si="120"/>
        <v/>
      </c>
      <c r="AQ355" t="str">
        <f t="shared" si="121"/>
        <v/>
      </c>
      <c r="AR355" t="str">
        <f t="shared" si="122"/>
        <v/>
      </c>
      <c r="AS355" t="str">
        <f t="shared" si="113"/>
        <v>Defensive</v>
      </c>
      <c r="BI355" s="40"/>
      <c r="BL355" s="40"/>
      <c r="BN355" s="19"/>
      <c r="BP355" s="17"/>
    </row>
    <row r="356" spans="1:68" x14ac:dyDescent="0.2">
      <c r="A356" t="str">
        <f t="shared" si="114"/>
        <v/>
      </c>
      <c r="E356" s="4"/>
      <c r="F356" s="45"/>
      <c r="G356" s="4"/>
      <c r="H356" s="48"/>
      <c r="J356" s="46" t="str">
        <f t="shared" si="115"/>
        <v/>
      </c>
      <c r="N356" t="str">
        <f t="shared" si="124"/>
        <v/>
      </c>
      <c r="Q356" t="str">
        <f t="shared" si="123"/>
        <v/>
      </c>
      <c r="S356" t="str">
        <f>IF(A356=1,MAX(S$2:S355)+1,IF(OR(I356&lt;&gt;"",A356="x"),S355,""))</f>
        <v/>
      </c>
      <c r="T356" t="str">
        <f>IF(D356=1,MAX($T$2:$T355)+1,IF(S356=$S355,$S355,IF($D356="x",T355,IF($D355="x","",""))))</f>
        <v/>
      </c>
      <c r="U356" t="str">
        <f>IF(B356=1,MAX($U$2:$U355)+1,IF(AND($T356&lt;&gt;"",$T356=$T355),$U355,IF(B356="x",U355,"")))</f>
        <v/>
      </c>
      <c r="V356" t="str">
        <f>IF(C356=1,MAX($V$2:$V355)+1,IF(AND($T356&lt;&gt;"",$T356=$T355),$U355,IF(C356="x",V355,"")))</f>
        <v/>
      </c>
      <c r="W356" t="str" cm="1">
        <f t="array" ref="W356">IFERROR(_xlfn._xlws.FILTER(game_rosters!AB:AB,(game_rosters!J:J=events!X356)*(K356&lt;&gt;"")),"")</f>
        <v/>
      </c>
      <c r="X356" t="str" cm="1">
        <f t="array" ref="X356">IF(S356="","",IF($I356&lt;&gt;"",$I356,INDEX($I$2:$I355,ROW()-COUNTIFS($T$2:$T355,"="&amp;$T356,$S$2:$S355,"&lt;&gt;"&amp;$S356)-1)))</f>
        <v/>
      </c>
      <c r="Z356" s="6"/>
      <c r="AH356" t="str">
        <f t="shared" si="109"/>
        <v>o</v>
      </c>
      <c r="AI356" t="str">
        <f t="shared" si="116"/>
        <v/>
      </c>
      <c r="AJ356" t="str">
        <f t="shared" si="117"/>
        <v/>
      </c>
      <c r="AK356" t="str">
        <f t="shared" si="110"/>
        <v/>
      </c>
      <c r="AL356" t="str">
        <f t="shared" si="111"/>
        <v/>
      </c>
      <c r="AM356" t="str">
        <f t="shared" si="112"/>
        <v/>
      </c>
      <c r="AN356" t="str">
        <f t="shared" si="118"/>
        <v/>
      </c>
      <c r="AO356" t="str">
        <f t="shared" si="119"/>
        <v/>
      </c>
      <c r="AP356" t="str">
        <f t="shared" si="120"/>
        <v/>
      </c>
      <c r="AQ356" t="str">
        <f t="shared" si="121"/>
        <v/>
      </c>
      <c r="AR356" t="str">
        <f t="shared" si="122"/>
        <v/>
      </c>
      <c r="AS356" t="str">
        <f t="shared" si="113"/>
        <v>Defensive</v>
      </c>
      <c r="BI356" s="40"/>
      <c r="BL356" s="40"/>
      <c r="BN356" s="19"/>
      <c r="BP356" s="17"/>
    </row>
    <row r="357" spans="1:68" x14ac:dyDescent="0.2">
      <c r="A357" t="str">
        <f t="shared" si="114"/>
        <v/>
      </c>
      <c r="E357" s="4"/>
      <c r="F357" s="45"/>
      <c r="G357" s="4"/>
      <c r="H357" s="48"/>
      <c r="J357" s="46" t="str">
        <f t="shared" si="115"/>
        <v/>
      </c>
      <c r="N357" t="str">
        <f t="shared" si="124"/>
        <v/>
      </c>
      <c r="Q357" t="str">
        <f t="shared" si="123"/>
        <v/>
      </c>
      <c r="S357" t="str">
        <f>IF(A357=1,MAX(S$2:S356)+1,IF(OR(I357&lt;&gt;"",A357="x"),S356,""))</f>
        <v/>
      </c>
      <c r="T357" t="str">
        <f>IF(D357=1,MAX($T$2:$T356)+1,IF(S357=$S356,$S356,IF($D357="x",T356,IF($D356="x","",""))))</f>
        <v/>
      </c>
      <c r="U357" t="str">
        <f>IF(B357=1,MAX($U$2:$U356)+1,IF(AND($T357&lt;&gt;"",$T357=$T356),$U356,IF(B357="x",U356,"")))</f>
        <v/>
      </c>
      <c r="V357" t="str">
        <f>IF(C357=1,MAX($V$2:$V356)+1,IF(AND($T357&lt;&gt;"",$T357=$T356),$U356,IF(C357="x",V356,"")))</f>
        <v/>
      </c>
      <c r="W357" t="str" cm="1">
        <f t="array" ref="W357">IFERROR(_xlfn._xlws.FILTER(game_rosters!AB:AB,(game_rosters!J:J=events!X357)*(K357&lt;&gt;"")),"")</f>
        <v/>
      </c>
      <c r="X357" t="str" cm="1">
        <f t="array" ref="X357">IF(S357="","",IF($I357&lt;&gt;"",$I357,INDEX($I$2:$I356,ROW()-COUNTIFS($T$2:$T356,"="&amp;$T357,$S$2:$S356,"&lt;&gt;"&amp;$S357)-1)))</f>
        <v/>
      </c>
      <c r="Z357" s="6"/>
      <c r="AH357" t="str">
        <f t="shared" si="109"/>
        <v>o</v>
      </c>
      <c r="AI357" t="str">
        <f t="shared" si="116"/>
        <v/>
      </c>
      <c r="AJ357" t="str">
        <f t="shared" si="117"/>
        <v/>
      </c>
      <c r="AK357" t="str">
        <f t="shared" si="110"/>
        <v/>
      </c>
      <c r="AL357" t="str">
        <f t="shared" si="111"/>
        <v/>
      </c>
      <c r="AM357" t="str">
        <f t="shared" si="112"/>
        <v/>
      </c>
      <c r="AN357" t="str">
        <f t="shared" si="118"/>
        <v/>
      </c>
      <c r="AO357" t="str">
        <f t="shared" si="119"/>
        <v/>
      </c>
      <c r="AP357" t="str">
        <f t="shared" si="120"/>
        <v/>
      </c>
      <c r="AQ357" t="str">
        <f t="shared" si="121"/>
        <v/>
      </c>
      <c r="AR357" t="str">
        <f t="shared" si="122"/>
        <v/>
      </c>
      <c r="AS357" t="str">
        <f t="shared" si="113"/>
        <v>Defensive</v>
      </c>
      <c r="BI357" s="40"/>
      <c r="BL357" s="40"/>
      <c r="BN357" s="19"/>
      <c r="BP357" s="17"/>
    </row>
    <row r="358" spans="1:68" x14ac:dyDescent="0.2">
      <c r="A358" t="str">
        <f t="shared" si="114"/>
        <v/>
      </c>
      <c r="E358" s="4"/>
      <c r="F358" s="45"/>
      <c r="G358" s="4"/>
      <c r="H358" s="48"/>
      <c r="J358" s="46" t="str">
        <f t="shared" si="115"/>
        <v/>
      </c>
      <c r="N358" t="str">
        <f t="shared" si="124"/>
        <v/>
      </c>
      <c r="Q358" t="str">
        <f t="shared" si="123"/>
        <v/>
      </c>
      <c r="S358" t="str">
        <f>IF(A358=1,MAX(S$2:S357)+1,IF(OR(I358&lt;&gt;"",A358="x"),S357,""))</f>
        <v/>
      </c>
      <c r="T358" t="str">
        <f>IF(D358=1,MAX($T$2:$T357)+1,IF(S358=$S357,$S357,IF($D358="x",T357,IF($D357="x","",""))))</f>
        <v/>
      </c>
      <c r="U358" t="str">
        <f>IF(B358=1,MAX($U$2:$U357)+1,IF(AND($T358&lt;&gt;"",$T358=$T357),$U357,IF(B358="x",U357,"")))</f>
        <v/>
      </c>
      <c r="V358" t="str">
        <f>IF(C358=1,MAX($V$2:$V357)+1,IF(AND($T358&lt;&gt;"",$T358=$T357),$U357,IF(C358="x",V357,"")))</f>
        <v/>
      </c>
      <c r="W358" t="str" cm="1">
        <f t="array" ref="W358">IFERROR(_xlfn._xlws.FILTER(game_rosters!AB:AB,(game_rosters!J:J=events!X358)*(K358&lt;&gt;"")),"")</f>
        <v/>
      </c>
      <c r="X358" t="str" cm="1">
        <f t="array" ref="X358">IF(S358="","",IF($I358&lt;&gt;"",$I358,INDEX($I$2:$I357,ROW()-COUNTIFS($T$2:$T357,"="&amp;$T358,$S$2:$S357,"&lt;&gt;"&amp;$S358)-1)))</f>
        <v/>
      </c>
      <c r="Z358" s="6"/>
      <c r="AH358" t="str">
        <f t="shared" si="109"/>
        <v>o</v>
      </c>
      <c r="AI358" t="str">
        <f t="shared" si="116"/>
        <v/>
      </c>
      <c r="AJ358" t="str">
        <f t="shared" si="117"/>
        <v/>
      </c>
      <c r="AK358" t="str">
        <f t="shared" si="110"/>
        <v/>
      </c>
      <c r="AL358" t="str">
        <f t="shared" si="111"/>
        <v/>
      </c>
      <c r="AM358" t="str">
        <f t="shared" si="112"/>
        <v/>
      </c>
      <c r="AN358" t="str">
        <f t="shared" si="118"/>
        <v/>
      </c>
      <c r="AO358" t="str">
        <f t="shared" si="119"/>
        <v/>
      </c>
      <c r="AP358" t="str">
        <f t="shared" si="120"/>
        <v/>
      </c>
      <c r="AQ358" t="str">
        <f t="shared" si="121"/>
        <v/>
      </c>
      <c r="AR358" t="str">
        <f t="shared" si="122"/>
        <v/>
      </c>
      <c r="AS358" t="str">
        <f t="shared" si="113"/>
        <v>Defensive</v>
      </c>
      <c r="BI358" s="40"/>
      <c r="BL358" s="40"/>
      <c r="BN358" s="19"/>
      <c r="BP358" s="17"/>
    </row>
    <row r="359" spans="1:68" x14ac:dyDescent="0.2">
      <c r="A359" t="str">
        <f t="shared" si="114"/>
        <v/>
      </c>
      <c r="E359" s="4"/>
      <c r="F359" s="45"/>
      <c r="G359" s="4"/>
      <c r="H359" s="48"/>
      <c r="J359" s="46" t="str">
        <f t="shared" si="115"/>
        <v/>
      </c>
      <c r="N359" t="str">
        <f t="shared" si="124"/>
        <v/>
      </c>
      <c r="Q359" t="str">
        <f t="shared" si="123"/>
        <v/>
      </c>
      <c r="S359" t="str">
        <f>IF(A359=1,MAX(S$2:S358)+1,IF(OR(I359&lt;&gt;"",A359="x"),S358,""))</f>
        <v/>
      </c>
      <c r="T359" t="str">
        <f>IF(D359=1,MAX($T$2:$T358)+1,IF(S359=$S358,$S358,IF($D359="x",T358,IF($D358="x","",""))))</f>
        <v/>
      </c>
      <c r="U359" t="str">
        <f>IF(B359=1,MAX($U$2:$U358)+1,IF(AND($T359&lt;&gt;"",$T359=$T358),$U358,IF(B359="x",U358,"")))</f>
        <v/>
      </c>
      <c r="V359" t="str">
        <f>IF(C359=1,MAX($V$2:$V358)+1,IF(AND($T359&lt;&gt;"",$T359=$T358),$U358,IF(C359="x",V358,"")))</f>
        <v/>
      </c>
      <c r="W359" t="str" cm="1">
        <f t="array" ref="W359">IFERROR(_xlfn._xlws.FILTER(game_rosters!AB:AB,(game_rosters!J:J=events!X359)*(K359&lt;&gt;"")),"")</f>
        <v/>
      </c>
      <c r="X359" t="str" cm="1">
        <f t="array" ref="X359">IF(S359="","",IF($I359&lt;&gt;"",$I359,INDEX($I$2:$I358,ROW()-COUNTIFS($T$2:$T358,"="&amp;$T359,$S$2:$S358,"&lt;&gt;"&amp;$S359)-1)))</f>
        <v/>
      </c>
      <c r="Z359" s="6"/>
      <c r="AH359" t="str">
        <f t="shared" si="109"/>
        <v>o</v>
      </c>
      <c r="AI359" t="str">
        <f t="shared" si="116"/>
        <v/>
      </c>
      <c r="AJ359" t="str">
        <f t="shared" si="117"/>
        <v/>
      </c>
      <c r="AK359" t="str">
        <f t="shared" si="110"/>
        <v/>
      </c>
      <c r="AL359" t="str">
        <f t="shared" si="111"/>
        <v/>
      </c>
      <c r="AM359" t="str">
        <f t="shared" si="112"/>
        <v/>
      </c>
      <c r="AN359" t="str">
        <f t="shared" si="118"/>
        <v/>
      </c>
      <c r="AO359" t="str">
        <f t="shared" si="119"/>
        <v/>
      </c>
      <c r="AP359" t="str">
        <f t="shared" si="120"/>
        <v/>
      </c>
      <c r="AQ359" t="str">
        <f t="shared" si="121"/>
        <v/>
      </c>
      <c r="AR359" t="str">
        <f t="shared" si="122"/>
        <v/>
      </c>
      <c r="AS359" t="str">
        <f t="shared" si="113"/>
        <v>Defensive</v>
      </c>
      <c r="BI359" s="40"/>
      <c r="BL359" s="40"/>
      <c r="BN359" s="19"/>
      <c r="BP359" s="17"/>
    </row>
    <row r="360" spans="1:68" x14ac:dyDescent="0.2">
      <c r="A360" t="str">
        <f t="shared" si="114"/>
        <v/>
      </c>
      <c r="E360" s="4"/>
      <c r="F360" s="45"/>
      <c r="G360" s="4"/>
      <c r="H360" s="48"/>
      <c r="J360" s="46" t="str">
        <f t="shared" si="115"/>
        <v/>
      </c>
      <c r="N360" t="str">
        <f t="shared" si="124"/>
        <v/>
      </c>
      <c r="Q360" t="str">
        <f t="shared" si="123"/>
        <v/>
      </c>
      <c r="S360" t="str">
        <f>IF(A360=1,MAX(S$2:S359)+1,IF(OR(I360&lt;&gt;"",A360="x"),S359,""))</f>
        <v/>
      </c>
      <c r="T360" t="str">
        <f>IF(D360=1,MAX($T$2:$T359)+1,IF(S360=$S359,$S359,IF($D360="x",T359,IF($D359="x","",""))))</f>
        <v/>
      </c>
      <c r="U360" t="str">
        <f>IF(B360=1,MAX($U$2:$U359)+1,IF(AND($T360&lt;&gt;"",$T360=$T359),$U359,IF(B360="x",U359,"")))</f>
        <v/>
      </c>
      <c r="V360" t="str">
        <f>IF(C360=1,MAX($V$2:$V359)+1,IF(AND($T360&lt;&gt;"",$T360=$T359),$U359,IF(C360="x",V359,"")))</f>
        <v/>
      </c>
      <c r="W360" t="str" cm="1">
        <f t="array" ref="W360">IFERROR(_xlfn._xlws.FILTER(game_rosters!AB:AB,(game_rosters!J:J=events!X360)*(K360&lt;&gt;"")),"")</f>
        <v/>
      </c>
      <c r="X360" t="str" cm="1">
        <f t="array" ref="X360">IF(S360="","",IF($I360&lt;&gt;"",$I360,INDEX($I$2:$I359,ROW()-COUNTIFS($T$2:$T359,"="&amp;$T360,$S$2:$S359,"&lt;&gt;"&amp;$S360)-1)))</f>
        <v/>
      </c>
      <c r="Z360" s="6"/>
      <c r="AH360" t="str">
        <f t="shared" si="109"/>
        <v>o</v>
      </c>
      <c r="AI360" t="str">
        <f t="shared" si="116"/>
        <v/>
      </c>
      <c r="AJ360" t="str">
        <f t="shared" si="117"/>
        <v/>
      </c>
      <c r="AK360" t="str">
        <f t="shared" si="110"/>
        <v/>
      </c>
      <c r="AL360" t="str">
        <f t="shared" si="111"/>
        <v/>
      </c>
      <c r="AM360" t="str">
        <f t="shared" si="112"/>
        <v/>
      </c>
      <c r="AN360" t="str">
        <f t="shared" si="118"/>
        <v/>
      </c>
      <c r="AO360" t="str">
        <f t="shared" si="119"/>
        <v/>
      </c>
      <c r="AP360" t="str">
        <f t="shared" si="120"/>
        <v/>
      </c>
      <c r="AQ360" t="str">
        <f t="shared" si="121"/>
        <v/>
      </c>
      <c r="AR360" t="str">
        <f t="shared" si="122"/>
        <v/>
      </c>
      <c r="AS360" t="str">
        <f t="shared" si="113"/>
        <v>Defensive</v>
      </c>
      <c r="BI360" s="40"/>
      <c r="BL360" s="40"/>
      <c r="BN360" s="19"/>
      <c r="BP360" s="17"/>
    </row>
    <row r="361" spans="1:68" x14ac:dyDescent="0.2">
      <c r="A361" t="str">
        <f t="shared" si="114"/>
        <v/>
      </c>
      <c r="E361" s="4"/>
      <c r="F361" s="45"/>
      <c r="G361" s="4"/>
      <c r="H361" s="48"/>
      <c r="J361" s="46" t="str">
        <f t="shared" si="115"/>
        <v/>
      </c>
      <c r="N361" t="str">
        <f t="shared" si="124"/>
        <v/>
      </c>
      <c r="Q361" t="str">
        <f t="shared" si="123"/>
        <v/>
      </c>
      <c r="S361" t="str">
        <f>IF(A361=1,MAX(S$2:S360)+1,IF(OR(I361&lt;&gt;"",A361="x"),S360,""))</f>
        <v/>
      </c>
      <c r="T361" t="str">
        <f>IF(D361=1,MAX($T$2:$T360)+1,IF(S361=$S360,$S360,IF($D361="x",T360,IF($D360="x","",""))))</f>
        <v/>
      </c>
      <c r="U361" t="str">
        <f>IF(B361=1,MAX($U$2:$U360)+1,IF(AND($T361&lt;&gt;"",$T361=$T360),$U360,IF(B361="x",U360,"")))</f>
        <v/>
      </c>
      <c r="V361" t="str">
        <f>IF(C361=1,MAX($V$2:$V360)+1,IF(AND($T361&lt;&gt;"",$T361=$T360),$U360,IF(C361="x",V360,"")))</f>
        <v/>
      </c>
      <c r="W361" t="str" cm="1">
        <f t="array" ref="W361">IFERROR(_xlfn._xlws.FILTER(game_rosters!AB:AB,(game_rosters!J:J=events!X361)*(K361&lt;&gt;"")),"")</f>
        <v/>
      </c>
      <c r="X361" t="str" cm="1">
        <f t="array" ref="X361">IF(S361="","",IF($I361&lt;&gt;"",$I361,INDEX($I$2:$I360,ROW()-COUNTIFS($T$2:$T360,"="&amp;$T361,$S$2:$S360,"&lt;&gt;"&amp;$S361)-1)))</f>
        <v/>
      </c>
      <c r="Z361" s="6"/>
      <c r="AH361" t="str">
        <f t="shared" si="109"/>
        <v>o</v>
      </c>
      <c r="AI361" t="str">
        <f t="shared" si="116"/>
        <v/>
      </c>
      <c r="AJ361" t="str">
        <f t="shared" si="117"/>
        <v/>
      </c>
      <c r="AK361" t="str">
        <f t="shared" si="110"/>
        <v/>
      </c>
      <c r="AL361" t="str">
        <f t="shared" si="111"/>
        <v/>
      </c>
      <c r="AM361" t="str">
        <f t="shared" si="112"/>
        <v/>
      </c>
      <c r="AN361" t="str">
        <f t="shared" si="118"/>
        <v/>
      </c>
      <c r="AO361" t="str">
        <f t="shared" si="119"/>
        <v/>
      </c>
      <c r="AP361" t="str">
        <f t="shared" si="120"/>
        <v/>
      </c>
      <c r="AQ361" t="str">
        <f t="shared" si="121"/>
        <v/>
      </c>
      <c r="AR361" t="str">
        <f t="shared" si="122"/>
        <v/>
      </c>
      <c r="AS361" t="str">
        <f t="shared" si="113"/>
        <v>Defensive</v>
      </c>
      <c r="BI361" s="40"/>
      <c r="BL361" s="40"/>
      <c r="BN361" s="19"/>
      <c r="BP361" s="17"/>
    </row>
    <row r="362" spans="1:68" x14ac:dyDescent="0.2">
      <c r="A362" t="str">
        <f t="shared" si="114"/>
        <v/>
      </c>
      <c r="E362" s="4"/>
      <c r="F362" s="45"/>
      <c r="G362" s="4"/>
      <c r="H362" s="48"/>
      <c r="J362" s="46" t="str">
        <f t="shared" si="115"/>
        <v/>
      </c>
      <c r="N362" t="str">
        <f t="shared" si="124"/>
        <v/>
      </c>
      <c r="Q362" t="str">
        <f t="shared" si="123"/>
        <v/>
      </c>
      <c r="S362" t="str">
        <f>IF(A362=1,MAX(S$2:S361)+1,IF(OR(I362&lt;&gt;"",A362="x"),S361,""))</f>
        <v/>
      </c>
      <c r="T362" t="str">
        <f>IF(D362=1,MAX($T$2:$T361)+1,IF(S362=$S361,$S361,IF($D362="x",T361,IF($D361="x","",""))))</f>
        <v/>
      </c>
      <c r="U362" t="str">
        <f>IF(B362=1,MAX($U$2:$U361)+1,IF(AND($T362&lt;&gt;"",$T362=$T361),$U361,IF(B362="x",U361,"")))</f>
        <v/>
      </c>
      <c r="V362" t="str">
        <f>IF(C362=1,MAX($V$2:$V361)+1,IF(AND($T362&lt;&gt;"",$T362=$T361),$U361,IF(C362="x",V361,"")))</f>
        <v/>
      </c>
      <c r="W362" t="str" cm="1">
        <f t="array" ref="W362">IFERROR(_xlfn._xlws.FILTER(game_rosters!AB:AB,(game_rosters!J:J=events!X362)*(K362&lt;&gt;"")),"")</f>
        <v/>
      </c>
      <c r="X362" t="str" cm="1">
        <f t="array" ref="X362">IF(S362="","",IF($I362&lt;&gt;"",$I362,INDEX($I$2:$I361,ROW()-COUNTIFS($T$2:$T361,"="&amp;$T362,$S$2:$S361,"&lt;&gt;"&amp;$S362)-1)))</f>
        <v/>
      </c>
      <c r="Z362" s="6"/>
      <c r="AH362" t="str">
        <f t="shared" si="109"/>
        <v>o</v>
      </c>
      <c r="AI362" t="str">
        <f t="shared" si="116"/>
        <v/>
      </c>
      <c r="AJ362" t="str">
        <f t="shared" si="117"/>
        <v/>
      </c>
      <c r="AK362" t="str">
        <f t="shared" si="110"/>
        <v/>
      </c>
      <c r="AL362" t="str">
        <f t="shared" si="111"/>
        <v/>
      </c>
      <c r="AM362" t="str">
        <f t="shared" si="112"/>
        <v/>
      </c>
      <c r="AN362" t="str">
        <f t="shared" si="118"/>
        <v/>
      </c>
      <c r="AO362" t="str">
        <f t="shared" si="119"/>
        <v/>
      </c>
      <c r="AP362" t="str">
        <f t="shared" si="120"/>
        <v/>
      </c>
      <c r="AQ362" t="str">
        <f t="shared" si="121"/>
        <v/>
      </c>
      <c r="AR362" t="str">
        <f t="shared" si="122"/>
        <v/>
      </c>
      <c r="AS362" t="str">
        <f t="shared" si="113"/>
        <v>Defensive</v>
      </c>
      <c r="BI362" s="40"/>
      <c r="BL362" s="40"/>
      <c r="BN362" s="19"/>
      <c r="BP362" s="17"/>
    </row>
    <row r="363" spans="1:68" x14ac:dyDescent="0.2">
      <c r="A363" t="str">
        <f t="shared" si="114"/>
        <v/>
      </c>
      <c r="E363" s="4"/>
      <c r="F363" s="45"/>
      <c r="G363" s="4"/>
      <c r="H363" s="48"/>
      <c r="J363" s="46" t="str">
        <f t="shared" si="115"/>
        <v/>
      </c>
      <c r="N363" t="str">
        <f t="shared" si="124"/>
        <v/>
      </c>
      <c r="Q363" t="str">
        <f t="shared" si="123"/>
        <v/>
      </c>
      <c r="S363" t="str">
        <f>IF(A363=1,MAX(S$2:S362)+1,IF(OR(I363&lt;&gt;"",A363="x"),S362,""))</f>
        <v/>
      </c>
      <c r="T363" t="str">
        <f>IF(D363=1,MAX($T$2:$T362)+1,IF(S363=$S362,$S362,IF($D363="x",T362,IF($D362="x","",""))))</f>
        <v/>
      </c>
      <c r="U363" t="str">
        <f>IF(B363=1,MAX($U$2:$U362)+1,IF(AND($T363&lt;&gt;"",$T363=$T362),$U362,IF(B363="x",U362,"")))</f>
        <v/>
      </c>
      <c r="V363" t="str">
        <f>IF(C363=1,MAX($V$2:$V362)+1,IF(AND($T363&lt;&gt;"",$T363=$T362),$U362,IF(C363="x",V362,"")))</f>
        <v/>
      </c>
      <c r="W363" t="str" cm="1">
        <f t="array" ref="W363">IFERROR(_xlfn._xlws.FILTER(game_rosters!AB:AB,(game_rosters!J:J=events!X363)*(K363&lt;&gt;"")),"")</f>
        <v/>
      </c>
      <c r="X363" t="str" cm="1">
        <f t="array" ref="X363">IF(S363="","",IF($I363&lt;&gt;"",$I363,INDEX($I$2:$I362,ROW()-COUNTIFS($T$2:$T362,"="&amp;$T363,$S$2:$S362,"&lt;&gt;"&amp;$S363)-1)))</f>
        <v/>
      </c>
      <c r="Z363" s="6"/>
      <c r="AH363" t="str">
        <f t="shared" si="109"/>
        <v>o</v>
      </c>
      <c r="AI363" t="str">
        <f t="shared" si="116"/>
        <v/>
      </c>
      <c r="AJ363" t="str">
        <f t="shared" si="117"/>
        <v/>
      </c>
      <c r="AK363" t="str">
        <f t="shared" si="110"/>
        <v/>
      </c>
      <c r="AL363" t="str">
        <f t="shared" si="111"/>
        <v/>
      </c>
      <c r="AM363" t="str">
        <f t="shared" si="112"/>
        <v/>
      </c>
      <c r="AN363" t="str">
        <f t="shared" si="118"/>
        <v/>
      </c>
      <c r="AO363" t="str">
        <f t="shared" si="119"/>
        <v/>
      </c>
      <c r="AP363" t="str">
        <f t="shared" si="120"/>
        <v/>
      </c>
      <c r="AQ363" t="str">
        <f t="shared" si="121"/>
        <v/>
      </c>
      <c r="AR363" t="str">
        <f t="shared" si="122"/>
        <v/>
      </c>
      <c r="AS363" t="str">
        <f t="shared" si="113"/>
        <v>Defensive</v>
      </c>
      <c r="BI363" s="40"/>
      <c r="BL363" s="40"/>
      <c r="BN363" s="19"/>
      <c r="BP363" s="17"/>
    </row>
    <row r="364" spans="1:68" x14ac:dyDescent="0.2">
      <c r="A364" t="str">
        <f t="shared" si="114"/>
        <v/>
      </c>
      <c r="E364" s="4"/>
      <c r="F364" s="45"/>
      <c r="G364" s="4"/>
      <c r="H364" s="48"/>
      <c r="J364" s="46" t="str">
        <f t="shared" si="115"/>
        <v/>
      </c>
      <c r="N364" t="str">
        <f t="shared" si="124"/>
        <v/>
      </c>
      <c r="Q364" t="str">
        <f t="shared" si="123"/>
        <v/>
      </c>
      <c r="S364" t="str">
        <f>IF(A364=1,MAX(S$2:S363)+1,IF(OR(I364&lt;&gt;"",A364="x"),S363,""))</f>
        <v/>
      </c>
      <c r="T364" t="str">
        <f>IF(D364=1,MAX($T$2:$T363)+1,IF(S364=$S363,$S363,IF($D364="x",T363,IF($D363="x","",""))))</f>
        <v/>
      </c>
      <c r="U364" t="str">
        <f>IF(B364=1,MAX($U$2:$U363)+1,IF(AND($T364&lt;&gt;"",$T364=$T363),$U363,IF(B364="x",U363,"")))</f>
        <v/>
      </c>
      <c r="V364" t="str">
        <f>IF(C364=1,MAX($V$2:$V363)+1,IF(AND($T364&lt;&gt;"",$T364=$T363),$U363,IF(C364="x",V363,"")))</f>
        <v/>
      </c>
      <c r="W364" t="str" cm="1">
        <f t="array" ref="W364">IFERROR(_xlfn._xlws.FILTER(game_rosters!AB:AB,(game_rosters!J:J=events!X364)*(K364&lt;&gt;"")),"")</f>
        <v/>
      </c>
      <c r="X364" t="str" cm="1">
        <f t="array" ref="X364">IF(S364="","",IF($I364&lt;&gt;"",$I364,INDEX($I$2:$I363,ROW()-COUNTIFS($T$2:$T363,"="&amp;$T364,$S$2:$S363,"&lt;&gt;"&amp;$S364)-1)))</f>
        <v/>
      </c>
      <c r="Z364" s="6"/>
      <c r="AH364" t="str">
        <f t="shared" si="109"/>
        <v>o</v>
      </c>
      <c r="AI364" t="str">
        <f t="shared" si="116"/>
        <v/>
      </c>
      <c r="AJ364" t="str">
        <f t="shared" si="117"/>
        <v/>
      </c>
      <c r="AK364" t="str">
        <f t="shared" si="110"/>
        <v/>
      </c>
      <c r="AL364" t="str">
        <f t="shared" si="111"/>
        <v/>
      </c>
      <c r="AM364" t="str">
        <f t="shared" si="112"/>
        <v/>
      </c>
      <c r="AN364" t="str">
        <f t="shared" si="118"/>
        <v/>
      </c>
      <c r="AO364" t="str">
        <f t="shared" si="119"/>
        <v/>
      </c>
      <c r="AP364" t="str">
        <f t="shared" si="120"/>
        <v/>
      </c>
      <c r="AQ364" t="str">
        <f t="shared" si="121"/>
        <v/>
      </c>
      <c r="AR364" t="str">
        <f t="shared" si="122"/>
        <v/>
      </c>
      <c r="AS364" t="str">
        <f t="shared" si="113"/>
        <v>Defensive</v>
      </c>
      <c r="BI364" s="40"/>
      <c r="BL364" s="40"/>
      <c r="BN364" s="19"/>
      <c r="BP364" s="17"/>
    </row>
    <row r="365" spans="1:68" x14ac:dyDescent="0.2">
      <c r="A365" t="str">
        <f t="shared" si="114"/>
        <v/>
      </c>
      <c r="E365" s="4"/>
      <c r="F365" s="45"/>
      <c r="G365" s="4"/>
      <c r="H365" s="48"/>
      <c r="J365" s="46" t="str">
        <f t="shared" si="115"/>
        <v/>
      </c>
      <c r="N365" t="str">
        <f t="shared" si="124"/>
        <v/>
      </c>
      <c r="Q365" t="str">
        <f t="shared" si="123"/>
        <v/>
      </c>
      <c r="S365" t="str">
        <f>IF(A365=1,MAX(S$2:S364)+1,IF(OR(I365&lt;&gt;"",A365="x"),S364,""))</f>
        <v/>
      </c>
      <c r="T365" t="str">
        <f>IF(D365=1,MAX($T$2:$T364)+1,IF(S365=$S364,$S364,IF($D365="x",T364,IF($D364="x","",""))))</f>
        <v/>
      </c>
      <c r="U365" t="str">
        <f>IF(B365=1,MAX($U$2:$U364)+1,IF(AND($T365&lt;&gt;"",$T365=$T364),$U364,IF(B365="x",U364,"")))</f>
        <v/>
      </c>
      <c r="V365" t="str">
        <f>IF(C365=1,MAX($V$2:$V364)+1,IF(AND($T365&lt;&gt;"",$T365=$T364),$U364,IF(C365="x",V364,"")))</f>
        <v/>
      </c>
      <c r="W365" t="str" cm="1">
        <f t="array" ref="W365">IFERROR(_xlfn._xlws.FILTER(game_rosters!AB:AB,(game_rosters!J:J=events!X365)*(K365&lt;&gt;"")),"")</f>
        <v/>
      </c>
      <c r="X365" t="str" cm="1">
        <f t="array" ref="X365">IF(S365="","",IF($I365&lt;&gt;"",$I365,INDEX($I$2:$I364,ROW()-COUNTIFS($T$2:$T364,"="&amp;$T365,$S$2:$S364,"&lt;&gt;"&amp;$S365)-1)))</f>
        <v/>
      </c>
      <c r="Z365" s="6"/>
      <c r="AH365" t="str">
        <f t="shared" si="109"/>
        <v>o</v>
      </c>
      <c r="AI365" t="str">
        <f t="shared" si="116"/>
        <v/>
      </c>
      <c r="AJ365" t="str">
        <f t="shared" si="117"/>
        <v/>
      </c>
      <c r="AK365" t="str">
        <f t="shared" si="110"/>
        <v/>
      </c>
      <c r="AL365" t="str">
        <f t="shared" si="111"/>
        <v/>
      </c>
      <c r="AM365" t="str">
        <f t="shared" si="112"/>
        <v/>
      </c>
      <c r="AN365" t="str">
        <f t="shared" si="118"/>
        <v/>
      </c>
      <c r="AO365" t="str">
        <f t="shared" si="119"/>
        <v/>
      </c>
      <c r="AP365" t="str">
        <f t="shared" si="120"/>
        <v/>
      </c>
      <c r="AQ365" t="str">
        <f t="shared" si="121"/>
        <v/>
      </c>
      <c r="AR365" t="str">
        <f t="shared" si="122"/>
        <v/>
      </c>
      <c r="AS365" t="str">
        <f t="shared" si="113"/>
        <v>Defensive</v>
      </c>
      <c r="BI365" s="40"/>
      <c r="BL365" s="40"/>
      <c r="BN365" s="19"/>
      <c r="BP365" s="17"/>
    </row>
    <row r="366" spans="1:68" x14ac:dyDescent="0.2">
      <c r="A366" t="str">
        <f t="shared" si="114"/>
        <v/>
      </c>
      <c r="E366" s="4"/>
      <c r="F366" s="45"/>
      <c r="G366" s="4"/>
      <c r="H366" s="48"/>
      <c r="J366" s="46" t="str">
        <f t="shared" si="115"/>
        <v/>
      </c>
      <c r="N366" t="str">
        <f t="shared" si="124"/>
        <v/>
      </c>
      <c r="Q366" t="str">
        <f t="shared" si="123"/>
        <v/>
      </c>
      <c r="S366" t="str">
        <f>IF(A366=1,MAX(S$2:S365)+1,IF(OR(I366&lt;&gt;"",A366="x"),S365,""))</f>
        <v/>
      </c>
      <c r="T366" t="str">
        <f>IF(D366=1,MAX($T$2:$T365)+1,IF(S366=$S365,$S365,IF($D366="x",T365,IF($D365="x","",""))))</f>
        <v/>
      </c>
      <c r="U366" t="str">
        <f>IF(B366=1,MAX($U$2:$U365)+1,IF(AND($T366&lt;&gt;"",$T366=$T365),$U365,IF(B366="x",U365,"")))</f>
        <v/>
      </c>
      <c r="V366" t="str">
        <f>IF(C366=1,MAX($V$2:$V365)+1,IF(AND($T366&lt;&gt;"",$T366=$T365),$U365,IF(C366="x",V365,"")))</f>
        <v/>
      </c>
      <c r="W366" t="str" cm="1">
        <f t="array" ref="W366">IFERROR(_xlfn._xlws.FILTER(game_rosters!AB:AB,(game_rosters!J:J=events!X366)*(K366&lt;&gt;"")),"")</f>
        <v/>
      </c>
      <c r="X366" t="str" cm="1">
        <f t="array" ref="X366">IF(S366="","",IF($I366&lt;&gt;"",$I366,INDEX($I$2:$I365,ROW()-COUNTIFS($T$2:$T365,"="&amp;$T366,$S$2:$S365,"&lt;&gt;"&amp;$S366)-1)))</f>
        <v/>
      </c>
      <c r="Z366" s="6"/>
      <c r="AH366" t="str">
        <f t="shared" si="109"/>
        <v>o</v>
      </c>
      <c r="AI366" t="str">
        <f t="shared" si="116"/>
        <v/>
      </c>
      <c r="AJ366" t="str">
        <f t="shared" si="117"/>
        <v/>
      </c>
      <c r="AK366" t="str">
        <f t="shared" si="110"/>
        <v/>
      </c>
      <c r="AL366" t="str">
        <f t="shared" si="111"/>
        <v/>
      </c>
      <c r="AM366" t="str">
        <f t="shared" si="112"/>
        <v/>
      </c>
      <c r="AN366" t="str">
        <f t="shared" si="118"/>
        <v/>
      </c>
      <c r="AO366" t="str">
        <f t="shared" si="119"/>
        <v/>
      </c>
      <c r="AP366" t="str">
        <f t="shared" si="120"/>
        <v/>
      </c>
      <c r="AQ366" t="str">
        <f t="shared" si="121"/>
        <v/>
      </c>
      <c r="AR366" t="str">
        <f t="shared" si="122"/>
        <v/>
      </c>
      <c r="AS366" t="str">
        <f t="shared" si="113"/>
        <v>Defensive</v>
      </c>
      <c r="BI366" s="40"/>
      <c r="BL366" s="40"/>
      <c r="BN366" s="19"/>
      <c r="BP366" s="17"/>
    </row>
    <row r="367" spans="1:68" x14ac:dyDescent="0.2">
      <c r="A367" t="str">
        <f t="shared" si="114"/>
        <v/>
      </c>
      <c r="E367" s="4"/>
      <c r="F367" s="45"/>
      <c r="G367" s="4"/>
      <c r="H367" s="48"/>
      <c r="J367" s="46" t="str">
        <f t="shared" si="115"/>
        <v/>
      </c>
      <c r="N367" t="str">
        <f t="shared" si="124"/>
        <v/>
      </c>
      <c r="Q367" t="str">
        <f t="shared" si="123"/>
        <v/>
      </c>
      <c r="S367" t="str">
        <f>IF(A367=1,MAX(S$2:S366)+1,IF(OR(I367&lt;&gt;"",A367="x"),S366,""))</f>
        <v/>
      </c>
      <c r="T367" t="str">
        <f>IF(D367=1,MAX($T$2:$T366)+1,IF(S367=$S366,$S366,IF($D367="x",T366,IF($D366="x","",""))))</f>
        <v/>
      </c>
      <c r="U367" t="str">
        <f>IF(B367=1,MAX($U$2:$U366)+1,IF(AND($T367&lt;&gt;"",$T367=$T366),$U366,IF(B367="x",U366,"")))</f>
        <v/>
      </c>
      <c r="V367" t="str">
        <f>IF(C367=1,MAX($V$2:$V366)+1,IF(AND($T367&lt;&gt;"",$T367=$T366),$U366,IF(C367="x",V366,"")))</f>
        <v/>
      </c>
      <c r="W367" t="str" cm="1">
        <f t="array" ref="W367">IFERROR(_xlfn._xlws.FILTER(game_rosters!AB:AB,(game_rosters!J:J=events!X367)*(K367&lt;&gt;"")),"")</f>
        <v/>
      </c>
      <c r="X367" t="str" cm="1">
        <f t="array" ref="X367">IF(S367="","",IF($I367&lt;&gt;"",$I367,INDEX($I$2:$I366,ROW()-COUNTIFS($T$2:$T366,"="&amp;$T367,$S$2:$S366,"&lt;&gt;"&amp;$S367)-1)))</f>
        <v/>
      </c>
      <c r="Z367" s="6"/>
      <c r="AH367" t="str">
        <f t="shared" si="109"/>
        <v>o</v>
      </c>
      <c r="AI367" t="str">
        <f t="shared" si="116"/>
        <v/>
      </c>
      <c r="AJ367" t="str">
        <f t="shared" si="117"/>
        <v/>
      </c>
      <c r="AK367" t="str">
        <f t="shared" si="110"/>
        <v/>
      </c>
      <c r="AL367" t="str">
        <f t="shared" si="111"/>
        <v/>
      </c>
      <c r="AM367" t="str">
        <f t="shared" si="112"/>
        <v/>
      </c>
      <c r="AN367" t="str">
        <f t="shared" si="118"/>
        <v/>
      </c>
      <c r="AO367" t="str">
        <f t="shared" si="119"/>
        <v/>
      </c>
      <c r="AP367" t="str">
        <f t="shared" si="120"/>
        <v/>
      </c>
      <c r="AQ367" t="str">
        <f t="shared" si="121"/>
        <v/>
      </c>
      <c r="AR367" t="str">
        <f t="shared" si="122"/>
        <v/>
      </c>
      <c r="AS367" t="str">
        <f t="shared" si="113"/>
        <v>Defensive</v>
      </c>
      <c r="BI367" s="40"/>
      <c r="BL367" s="40"/>
      <c r="BN367" s="19"/>
      <c r="BP367" s="17"/>
    </row>
    <row r="368" spans="1:68" x14ac:dyDescent="0.2">
      <c r="A368" t="str">
        <f t="shared" si="114"/>
        <v/>
      </c>
      <c r="E368" s="4"/>
      <c r="F368" s="45"/>
      <c r="G368" s="4"/>
      <c r="H368" s="48"/>
      <c r="J368" s="46" t="str">
        <f t="shared" si="115"/>
        <v/>
      </c>
      <c r="N368" t="str">
        <f t="shared" si="124"/>
        <v/>
      </c>
      <c r="Q368" t="str">
        <f t="shared" si="123"/>
        <v/>
      </c>
      <c r="S368" t="str">
        <f>IF(A368=1,MAX(S$2:S367)+1,IF(OR(I368&lt;&gt;"",A368="x"),S367,""))</f>
        <v/>
      </c>
      <c r="T368" t="str">
        <f>IF(D368=1,MAX($T$2:$T367)+1,IF(S368=$S367,$S367,IF($D368="x",T367,IF($D367="x","",""))))</f>
        <v/>
      </c>
      <c r="U368" t="str">
        <f>IF(B368=1,MAX($U$2:$U367)+1,IF(AND($T368&lt;&gt;"",$T368=$T367),$U367,IF(B368="x",U367,"")))</f>
        <v/>
      </c>
      <c r="V368" t="str">
        <f>IF(C368=1,MAX($V$2:$V367)+1,IF(AND($T368&lt;&gt;"",$T368=$T367),$U367,IF(C368="x",V367,"")))</f>
        <v/>
      </c>
      <c r="W368" t="str" cm="1">
        <f t="array" ref="W368">IFERROR(_xlfn._xlws.FILTER(game_rosters!AB:AB,(game_rosters!J:J=events!X368)*(K368&lt;&gt;"")),"")</f>
        <v/>
      </c>
      <c r="X368" t="str" cm="1">
        <f t="array" ref="X368">IF(S368="","",IF($I368&lt;&gt;"",$I368,INDEX($I$2:$I367,ROW()-COUNTIFS($T$2:$T367,"="&amp;$T368,$S$2:$S367,"&lt;&gt;"&amp;$S368)-1)))</f>
        <v/>
      </c>
      <c r="Z368" s="6"/>
      <c r="AH368" t="str">
        <f t="shared" si="109"/>
        <v>o</v>
      </c>
      <c r="AI368" t="str">
        <f t="shared" si="116"/>
        <v/>
      </c>
      <c r="AJ368" t="str">
        <f t="shared" si="117"/>
        <v/>
      </c>
      <c r="AK368" t="str">
        <f t="shared" si="110"/>
        <v/>
      </c>
      <c r="AL368" t="str">
        <f t="shared" si="111"/>
        <v/>
      </c>
      <c r="AM368" t="str">
        <f t="shared" si="112"/>
        <v/>
      </c>
      <c r="AN368" t="str">
        <f t="shared" si="118"/>
        <v/>
      </c>
      <c r="AO368" t="str">
        <f t="shared" si="119"/>
        <v/>
      </c>
      <c r="AP368" t="str">
        <f t="shared" si="120"/>
        <v/>
      </c>
      <c r="AQ368" t="str">
        <f t="shared" si="121"/>
        <v/>
      </c>
      <c r="AR368" t="str">
        <f t="shared" si="122"/>
        <v/>
      </c>
      <c r="AS368" t="str">
        <f t="shared" si="113"/>
        <v>Defensive</v>
      </c>
      <c r="BI368" s="40"/>
      <c r="BL368" s="40"/>
      <c r="BN368" s="19"/>
      <c r="BP368" s="17"/>
    </row>
    <row r="369" spans="1:68" x14ac:dyDescent="0.2">
      <c r="A369" t="str">
        <f t="shared" si="114"/>
        <v/>
      </c>
      <c r="E369" s="4"/>
      <c r="F369" s="45"/>
      <c r="G369" s="4"/>
      <c r="H369" s="48"/>
      <c r="J369" s="46" t="str">
        <f t="shared" si="115"/>
        <v/>
      </c>
      <c r="N369" t="str">
        <f t="shared" si="124"/>
        <v/>
      </c>
      <c r="Q369" t="str">
        <f t="shared" si="123"/>
        <v/>
      </c>
      <c r="S369" t="str">
        <f>IF(A369=1,MAX(S$2:S368)+1,IF(OR(I369&lt;&gt;"",A369="x"),S368,""))</f>
        <v/>
      </c>
      <c r="T369" t="str">
        <f>IF(D369=1,MAX($T$2:$T368)+1,IF(S369=$S368,$S368,IF($D369="x",T368,IF($D368="x","",""))))</f>
        <v/>
      </c>
      <c r="U369" t="str">
        <f>IF(B369=1,MAX($U$2:$U368)+1,IF(AND($T369&lt;&gt;"",$T369=$T368),$U368,IF(B369="x",U368,"")))</f>
        <v/>
      </c>
      <c r="V369" t="str">
        <f>IF(C369=1,MAX($V$2:$V368)+1,IF(AND($T369&lt;&gt;"",$T369=$T368),$U368,IF(C369="x",V368,"")))</f>
        <v/>
      </c>
      <c r="W369" t="str" cm="1">
        <f t="array" ref="W369">IFERROR(_xlfn._xlws.FILTER(game_rosters!AB:AB,(game_rosters!J:J=events!X369)*(K369&lt;&gt;"")),"")</f>
        <v/>
      </c>
      <c r="X369" t="str" cm="1">
        <f t="array" ref="X369">IF(S369="","",IF($I369&lt;&gt;"",$I369,INDEX($I$2:$I368,ROW()-COUNTIFS($T$2:$T368,"="&amp;$T369,$S$2:$S368,"&lt;&gt;"&amp;$S369)-1)))</f>
        <v/>
      </c>
      <c r="Z369" s="6"/>
      <c r="AH369" t="str">
        <f t="shared" si="109"/>
        <v>o</v>
      </c>
      <c r="AI369" t="str">
        <f t="shared" si="116"/>
        <v/>
      </c>
      <c r="AJ369" t="str">
        <f t="shared" si="117"/>
        <v/>
      </c>
      <c r="AK369" t="str">
        <f t="shared" si="110"/>
        <v/>
      </c>
      <c r="AL369" t="str">
        <f t="shared" si="111"/>
        <v/>
      </c>
      <c r="AM369" t="str">
        <f t="shared" si="112"/>
        <v/>
      </c>
      <c r="AN369" t="str">
        <f t="shared" si="118"/>
        <v/>
      </c>
      <c r="AO369" t="str">
        <f t="shared" si="119"/>
        <v/>
      </c>
      <c r="AP369" t="str">
        <f t="shared" si="120"/>
        <v/>
      </c>
      <c r="AQ369" t="str">
        <f t="shared" si="121"/>
        <v/>
      </c>
      <c r="AR369" t="str">
        <f t="shared" si="122"/>
        <v/>
      </c>
      <c r="AS369" t="str">
        <f t="shared" si="113"/>
        <v>Defensive</v>
      </c>
      <c r="BI369" s="40"/>
      <c r="BL369" s="40"/>
      <c r="BN369" s="19"/>
      <c r="BP369" s="17"/>
    </row>
    <row r="370" spans="1:68" x14ac:dyDescent="0.2">
      <c r="A370" t="str">
        <f t="shared" si="114"/>
        <v/>
      </c>
      <c r="E370" s="4"/>
      <c r="F370" s="45"/>
      <c r="G370" s="4"/>
      <c r="H370" s="48"/>
      <c r="J370" s="46" t="str">
        <f t="shared" si="115"/>
        <v/>
      </c>
      <c r="N370" t="str">
        <f t="shared" si="124"/>
        <v/>
      </c>
      <c r="Q370" t="str">
        <f t="shared" si="123"/>
        <v/>
      </c>
      <c r="S370" t="str">
        <f>IF(A370=1,MAX(S$2:S369)+1,IF(OR(I370&lt;&gt;"",A370="x"),S369,""))</f>
        <v/>
      </c>
      <c r="T370" t="str">
        <f>IF(D370=1,MAX($T$2:$T369)+1,IF(S370=$S369,$S369,IF($D370="x",T369,IF($D369="x","",""))))</f>
        <v/>
      </c>
      <c r="U370" t="str">
        <f>IF(B370=1,MAX($U$2:$U369)+1,IF(AND($T370&lt;&gt;"",$T370=$T369),$U369,IF(B370="x",U369,"")))</f>
        <v/>
      </c>
      <c r="V370" t="str">
        <f>IF(C370=1,MAX($V$2:$V369)+1,IF(AND($T370&lt;&gt;"",$T370=$T369),$U369,IF(C370="x",V369,"")))</f>
        <v/>
      </c>
      <c r="W370" t="str" cm="1">
        <f t="array" ref="W370">IFERROR(_xlfn._xlws.FILTER(game_rosters!AB:AB,(game_rosters!J:J=events!X370)*(K370&lt;&gt;"")),"")</f>
        <v/>
      </c>
      <c r="X370" t="str" cm="1">
        <f t="array" ref="X370">IF(S370="","",IF($I370&lt;&gt;"",$I370,INDEX($I$2:$I369,ROW()-COUNTIFS($T$2:$T369,"="&amp;$T370,$S$2:$S369,"&lt;&gt;"&amp;$S370)-1)))</f>
        <v/>
      </c>
      <c r="Z370" s="6"/>
      <c r="AH370" t="str">
        <f t="shared" si="109"/>
        <v>o</v>
      </c>
      <c r="AI370" t="str">
        <f t="shared" si="116"/>
        <v/>
      </c>
      <c r="AJ370" t="str">
        <f t="shared" si="117"/>
        <v/>
      </c>
      <c r="AK370" t="str">
        <f t="shared" si="110"/>
        <v/>
      </c>
      <c r="AL370" t="str">
        <f t="shared" si="111"/>
        <v/>
      </c>
      <c r="AM370" t="str">
        <f t="shared" si="112"/>
        <v/>
      </c>
      <c r="AN370" t="str">
        <f t="shared" si="118"/>
        <v/>
      </c>
      <c r="AO370" t="str">
        <f t="shared" si="119"/>
        <v/>
      </c>
      <c r="AP370" t="str">
        <f t="shared" si="120"/>
        <v/>
      </c>
      <c r="AQ370" t="str">
        <f t="shared" si="121"/>
        <v/>
      </c>
      <c r="AR370" t="str">
        <f t="shared" si="122"/>
        <v/>
      </c>
      <c r="AS370" t="str">
        <f t="shared" si="113"/>
        <v>Defensive</v>
      </c>
      <c r="BI370" s="40"/>
      <c r="BL370" s="40"/>
      <c r="BN370" s="19"/>
      <c r="BP370" s="17"/>
    </row>
    <row r="371" spans="1:68" x14ac:dyDescent="0.2">
      <c r="A371" t="str">
        <f t="shared" si="114"/>
        <v/>
      </c>
      <c r="E371" s="4"/>
      <c r="F371" s="45"/>
      <c r="G371" s="4"/>
      <c r="H371" s="48"/>
      <c r="J371" s="46" t="str">
        <f t="shared" si="115"/>
        <v/>
      </c>
      <c r="N371" t="str">
        <f t="shared" si="124"/>
        <v/>
      </c>
      <c r="Q371" t="str">
        <f t="shared" si="123"/>
        <v/>
      </c>
      <c r="S371" t="str">
        <f>IF(A371=1,MAX(S$2:S370)+1,IF(OR(I371&lt;&gt;"",A371="x"),S370,""))</f>
        <v/>
      </c>
      <c r="T371" t="str">
        <f>IF(D371=1,MAX($T$2:$T370)+1,IF(S371=$S370,$S370,IF($D371="x",T370,IF($D370="x","",""))))</f>
        <v/>
      </c>
      <c r="U371" t="str">
        <f>IF(B371=1,MAX($U$2:$U370)+1,IF(AND($T371&lt;&gt;"",$T371=$T370),$U370,IF(B371="x",U370,"")))</f>
        <v/>
      </c>
      <c r="V371" t="str">
        <f>IF(C371=1,MAX($V$2:$V370)+1,IF(AND($T371&lt;&gt;"",$T371=$T370),$U370,IF(C371="x",V370,"")))</f>
        <v/>
      </c>
      <c r="W371" t="str" cm="1">
        <f t="array" ref="W371">IFERROR(_xlfn._xlws.FILTER(game_rosters!AB:AB,(game_rosters!J:J=events!X371)*(K371&lt;&gt;"")),"")</f>
        <v/>
      </c>
      <c r="X371" t="str" cm="1">
        <f t="array" ref="X371">IF(S371="","",IF($I371&lt;&gt;"",$I371,INDEX($I$2:$I370,ROW()-COUNTIFS($T$2:$T370,"="&amp;$T371,$S$2:$S370,"&lt;&gt;"&amp;$S371)-1)))</f>
        <v/>
      </c>
      <c r="Z371" s="6"/>
      <c r="AH371" t="str">
        <f t="shared" si="109"/>
        <v>o</v>
      </c>
      <c r="AI371" t="str">
        <f t="shared" si="116"/>
        <v/>
      </c>
      <c r="AJ371" t="str">
        <f t="shared" si="117"/>
        <v/>
      </c>
      <c r="AK371" t="str">
        <f t="shared" si="110"/>
        <v/>
      </c>
      <c r="AL371" t="str">
        <f t="shared" si="111"/>
        <v/>
      </c>
      <c r="AM371" t="str">
        <f t="shared" si="112"/>
        <v/>
      </c>
      <c r="AN371" t="str">
        <f t="shared" si="118"/>
        <v/>
      </c>
      <c r="AO371" t="str">
        <f t="shared" si="119"/>
        <v/>
      </c>
      <c r="AP371" t="str">
        <f t="shared" si="120"/>
        <v/>
      </c>
      <c r="AQ371" t="str">
        <f t="shared" si="121"/>
        <v/>
      </c>
      <c r="AR371" t="str">
        <f t="shared" si="122"/>
        <v/>
      </c>
      <c r="AS371" t="str">
        <f t="shared" si="113"/>
        <v>Defensive</v>
      </c>
      <c r="BI371" s="40"/>
      <c r="BL371" s="40"/>
      <c r="BN371" s="19"/>
      <c r="BP371" s="17"/>
    </row>
    <row r="372" spans="1:68" x14ac:dyDescent="0.2">
      <c r="A372" t="str">
        <f t="shared" si="114"/>
        <v/>
      </c>
      <c r="E372" s="4"/>
      <c r="F372" s="45"/>
      <c r="G372" s="4"/>
      <c r="H372" s="48"/>
      <c r="J372" s="46" t="str">
        <f t="shared" si="115"/>
        <v/>
      </c>
      <c r="N372" t="str">
        <f t="shared" si="124"/>
        <v/>
      </c>
      <c r="Q372" t="str">
        <f t="shared" si="123"/>
        <v/>
      </c>
      <c r="S372" t="str">
        <f>IF(A372=1,MAX(S$2:S371)+1,IF(OR(I372&lt;&gt;"",A372="x"),S371,""))</f>
        <v/>
      </c>
      <c r="T372" t="str">
        <f>IF(D372=1,MAX($T$2:$T371)+1,IF(S372=$S371,$S371,IF($D372="x",T371,IF($D371="x","",""))))</f>
        <v/>
      </c>
      <c r="U372" t="str">
        <f>IF(B372=1,MAX($U$2:$U371)+1,IF(AND($T372&lt;&gt;"",$T372=$T371),$U371,IF(B372="x",U371,"")))</f>
        <v/>
      </c>
      <c r="V372" t="str">
        <f>IF(C372=1,MAX($V$2:$V371)+1,IF(AND($T372&lt;&gt;"",$T372=$T371),$U371,IF(C372="x",V371,"")))</f>
        <v/>
      </c>
      <c r="W372" t="str" cm="1">
        <f t="array" ref="W372">IFERROR(_xlfn._xlws.FILTER(game_rosters!AB:AB,(game_rosters!J:J=events!X372)*(K372&lt;&gt;"")),"")</f>
        <v/>
      </c>
      <c r="X372" t="str" cm="1">
        <f t="array" ref="X372">IF(S372="","",IF($I372&lt;&gt;"",$I372,INDEX($I$2:$I371,ROW()-COUNTIFS($T$2:$T371,"="&amp;$T372,$S$2:$S371,"&lt;&gt;"&amp;$S372)-1)))</f>
        <v/>
      </c>
      <c r="Z372" s="6"/>
      <c r="AH372" t="str">
        <f t="shared" si="109"/>
        <v>o</v>
      </c>
      <c r="AI372" t="str">
        <f t="shared" si="116"/>
        <v/>
      </c>
      <c r="AJ372" t="str">
        <f t="shared" si="117"/>
        <v/>
      </c>
      <c r="AK372" t="str">
        <f t="shared" si="110"/>
        <v/>
      </c>
      <c r="AL372" t="str">
        <f t="shared" si="111"/>
        <v/>
      </c>
      <c r="AM372" t="str">
        <f t="shared" si="112"/>
        <v/>
      </c>
      <c r="AN372" t="str">
        <f t="shared" si="118"/>
        <v/>
      </c>
      <c r="AO372" t="str">
        <f t="shared" si="119"/>
        <v/>
      </c>
      <c r="AP372" t="str">
        <f t="shared" si="120"/>
        <v/>
      </c>
      <c r="AQ372" t="str">
        <f t="shared" si="121"/>
        <v/>
      </c>
      <c r="AR372" t="str">
        <f t="shared" si="122"/>
        <v/>
      </c>
      <c r="AS372" t="str">
        <f t="shared" si="113"/>
        <v>Defensive</v>
      </c>
      <c r="BI372" s="40"/>
      <c r="BL372" s="40"/>
      <c r="BN372" s="19"/>
      <c r="BP372" s="17"/>
    </row>
    <row r="373" spans="1:68" x14ac:dyDescent="0.2">
      <c r="A373" t="str">
        <f t="shared" si="114"/>
        <v/>
      </c>
      <c r="E373" s="4"/>
      <c r="F373" s="45"/>
      <c r="G373" s="4"/>
      <c r="H373" s="48"/>
      <c r="J373" s="46" t="str">
        <f t="shared" si="115"/>
        <v/>
      </c>
      <c r="N373" t="str">
        <f t="shared" si="124"/>
        <v/>
      </c>
      <c r="Q373" t="str">
        <f t="shared" si="123"/>
        <v/>
      </c>
      <c r="S373" t="str">
        <f>IF(A373=1,MAX(S$2:S372)+1,IF(OR(I373&lt;&gt;"",A373="x"),S372,""))</f>
        <v/>
      </c>
      <c r="T373" t="str">
        <f>IF(D373=1,MAX($T$2:$T372)+1,IF(S373=$S372,$S372,IF($D373="x",T372,IF($D372="x","",""))))</f>
        <v/>
      </c>
      <c r="U373" t="str">
        <f>IF(B373=1,MAX($U$2:$U372)+1,IF(AND($T373&lt;&gt;"",$T373=$T372),$U372,IF(B373="x",U372,"")))</f>
        <v/>
      </c>
      <c r="V373" t="str">
        <f>IF(C373=1,MAX($V$2:$V372)+1,IF(AND($T373&lt;&gt;"",$T373=$T372),$U372,IF(C373="x",V372,"")))</f>
        <v/>
      </c>
      <c r="W373" t="str" cm="1">
        <f t="array" ref="W373">IFERROR(_xlfn._xlws.FILTER(game_rosters!AB:AB,(game_rosters!J:J=events!X373)*(K373&lt;&gt;"")),"")</f>
        <v/>
      </c>
      <c r="X373" t="str" cm="1">
        <f t="array" ref="X373">IF(S373="","",IF($I373&lt;&gt;"",$I373,INDEX($I$2:$I372,ROW()-COUNTIFS($T$2:$T372,"="&amp;$T373,$S$2:$S372,"&lt;&gt;"&amp;$S373)-1)))</f>
        <v/>
      </c>
      <c r="Z373" s="6"/>
      <c r="AH373" t="str">
        <f t="shared" si="109"/>
        <v>o</v>
      </c>
      <c r="AI373" t="str">
        <f t="shared" si="116"/>
        <v/>
      </c>
      <c r="AJ373" t="str">
        <f t="shared" si="117"/>
        <v/>
      </c>
      <c r="AK373" t="str">
        <f t="shared" si="110"/>
        <v/>
      </c>
      <c r="AL373" t="str">
        <f t="shared" si="111"/>
        <v/>
      </c>
      <c r="AM373" t="str">
        <f t="shared" si="112"/>
        <v/>
      </c>
      <c r="AN373" t="str">
        <f t="shared" si="118"/>
        <v/>
      </c>
      <c r="AO373" t="str">
        <f t="shared" si="119"/>
        <v/>
      </c>
      <c r="AP373" t="str">
        <f t="shared" si="120"/>
        <v/>
      </c>
      <c r="AQ373" t="str">
        <f t="shared" si="121"/>
        <v/>
      </c>
      <c r="AR373" t="str">
        <f t="shared" si="122"/>
        <v/>
      </c>
      <c r="AS373" t="str">
        <f t="shared" si="113"/>
        <v>Defensive</v>
      </c>
      <c r="BI373" s="40"/>
      <c r="BL373" s="40"/>
      <c r="BN373" s="19"/>
      <c r="BP373" s="17"/>
    </row>
    <row r="374" spans="1:68" x14ac:dyDescent="0.2">
      <c r="A374" t="str">
        <f t="shared" si="114"/>
        <v/>
      </c>
      <c r="E374" s="4"/>
      <c r="F374" s="45"/>
      <c r="G374" s="4"/>
      <c r="H374" s="48"/>
      <c r="J374" s="46" t="str">
        <f t="shared" si="115"/>
        <v/>
      </c>
      <c r="N374" t="str">
        <f t="shared" si="124"/>
        <v/>
      </c>
      <c r="Q374" t="str">
        <f t="shared" si="123"/>
        <v/>
      </c>
      <c r="S374" t="str">
        <f>IF(A374=1,MAX(S$2:S373)+1,IF(OR(I374&lt;&gt;"",A374="x"),S373,""))</f>
        <v/>
      </c>
      <c r="T374" t="str">
        <f>IF(D374=1,MAX($T$2:$T373)+1,IF(S374=$S373,$S373,IF($D374="x",T373,IF($D373="x","",""))))</f>
        <v/>
      </c>
      <c r="U374" t="str">
        <f>IF(B374=1,MAX($U$2:$U373)+1,IF(AND($T374&lt;&gt;"",$T374=$T373),$U373,IF(B374="x",U373,"")))</f>
        <v/>
      </c>
      <c r="V374" t="str">
        <f>IF(C374=1,MAX($V$2:$V373)+1,IF(AND($T374&lt;&gt;"",$T374=$T373),$U373,IF(C374="x",V373,"")))</f>
        <v/>
      </c>
      <c r="W374" t="str" cm="1">
        <f t="array" ref="W374">IFERROR(_xlfn._xlws.FILTER(game_rosters!AB:AB,(game_rosters!J:J=events!X374)*(K374&lt;&gt;"")),"")</f>
        <v/>
      </c>
      <c r="X374" t="str" cm="1">
        <f t="array" ref="X374">IF(S374="","",IF($I374&lt;&gt;"",$I374,INDEX($I$2:$I373,ROW()-COUNTIFS($T$2:$T373,"="&amp;$T374,$S$2:$S373,"&lt;&gt;"&amp;$S374)-1)))</f>
        <v/>
      </c>
      <c r="Z374" s="6"/>
      <c r="AH374" t="str">
        <f t="shared" si="109"/>
        <v>o</v>
      </c>
      <c r="AI374" t="str">
        <f t="shared" si="116"/>
        <v/>
      </c>
      <c r="AJ374" t="str">
        <f t="shared" si="117"/>
        <v/>
      </c>
      <c r="AK374" t="str">
        <f t="shared" si="110"/>
        <v/>
      </c>
      <c r="AL374" t="str">
        <f t="shared" si="111"/>
        <v/>
      </c>
      <c r="AM374" t="str">
        <f t="shared" si="112"/>
        <v/>
      </c>
      <c r="AN374" t="str">
        <f t="shared" si="118"/>
        <v/>
      </c>
      <c r="AO374" t="str">
        <f t="shared" si="119"/>
        <v/>
      </c>
      <c r="AP374" t="str">
        <f t="shared" si="120"/>
        <v/>
      </c>
      <c r="AQ374" t="str">
        <f t="shared" si="121"/>
        <v/>
      </c>
      <c r="AR374" t="str">
        <f t="shared" si="122"/>
        <v/>
      </c>
      <c r="AS374" t="str">
        <f t="shared" si="113"/>
        <v>Defensive</v>
      </c>
      <c r="BI374" s="40"/>
      <c r="BL374" s="40"/>
      <c r="BN374" s="19"/>
      <c r="BP374" s="17"/>
    </row>
    <row r="375" spans="1:68" x14ac:dyDescent="0.2">
      <c r="A375" t="str">
        <f t="shared" si="114"/>
        <v/>
      </c>
      <c r="E375" s="4"/>
      <c r="F375" s="45"/>
      <c r="G375" s="4"/>
      <c r="H375" s="48"/>
      <c r="J375" s="46" t="str">
        <f t="shared" si="115"/>
        <v/>
      </c>
      <c r="N375" t="str">
        <f t="shared" si="124"/>
        <v/>
      </c>
      <c r="Q375" t="str">
        <f t="shared" si="123"/>
        <v/>
      </c>
      <c r="S375" t="str">
        <f>IF(A375=1,MAX(S$2:S374)+1,IF(OR(I375&lt;&gt;"",A375="x"),S374,""))</f>
        <v/>
      </c>
      <c r="T375" t="str">
        <f>IF(D375=1,MAX($T$2:$T374)+1,IF(S375=$S374,$S374,IF($D375="x",T374,IF($D374="x","",""))))</f>
        <v/>
      </c>
      <c r="U375" t="str">
        <f>IF(B375=1,MAX($U$2:$U374)+1,IF(AND($T375&lt;&gt;"",$T375=$T374),$U374,IF(B375="x",U374,"")))</f>
        <v/>
      </c>
      <c r="V375" t="str">
        <f>IF(C375=1,MAX($V$2:$V374)+1,IF(AND($T375&lt;&gt;"",$T375=$T374),$U374,IF(C375="x",V374,"")))</f>
        <v/>
      </c>
      <c r="W375" t="str" cm="1">
        <f t="array" ref="W375">IFERROR(_xlfn._xlws.FILTER(game_rosters!AB:AB,(game_rosters!J:J=events!X375)*(K375&lt;&gt;"")),"")</f>
        <v/>
      </c>
      <c r="X375" t="str" cm="1">
        <f t="array" ref="X375">IF(S375="","",IF($I375&lt;&gt;"",$I375,INDEX($I$2:$I374,ROW()-COUNTIFS($T$2:$T374,"="&amp;$T375,$S$2:$S374,"&lt;&gt;"&amp;$S375)-1)))</f>
        <v/>
      </c>
      <c r="Z375" s="6"/>
      <c r="AH375" t="str">
        <f t="shared" si="109"/>
        <v>o</v>
      </c>
      <c r="AI375" t="str">
        <f t="shared" si="116"/>
        <v/>
      </c>
      <c r="AJ375" t="str">
        <f t="shared" si="117"/>
        <v/>
      </c>
      <c r="AK375" t="str">
        <f t="shared" si="110"/>
        <v/>
      </c>
      <c r="AL375" t="str">
        <f t="shared" si="111"/>
        <v/>
      </c>
      <c r="AM375" t="str">
        <f t="shared" si="112"/>
        <v/>
      </c>
      <c r="AN375" t="str">
        <f t="shared" si="118"/>
        <v/>
      </c>
      <c r="AO375" t="str">
        <f t="shared" si="119"/>
        <v/>
      </c>
      <c r="AP375" t="str">
        <f t="shared" si="120"/>
        <v/>
      </c>
      <c r="AQ375" t="str">
        <f t="shared" si="121"/>
        <v/>
      </c>
      <c r="AR375" t="str">
        <f t="shared" si="122"/>
        <v/>
      </c>
      <c r="AS375" t="str">
        <f t="shared" si="113"/>
        <v>Defensive</v>
      </c>
      <c r="BI375" s="40"/>
      <c r="BL375" s="40"/>
      <c r="BN375" s="19"/>
      <c r="BP375" s="17"/>
    </row>
    <row r="376" spans="1:68" x14ac:dyDescent="0.2">
      <c r="A376" t="str">
        <f t="shared" si="114"/>
        <v/>
      </c>
      <c r="E376" s="4"/>
      <c r="F376" s="45"/>
      <c r="G376" s="4"/>
      <c r="H376" s="48"/>
      <c r="J376" s="46" t="str">
        <f t="shared" si="115"/>
        <v/>
      </c>
      <c r="N376" t="str">
        <f t="shared" si="124"/>
        <v/>
      </c>
      <c r="Q376" t="str">
        <f t="shared" si="123"/>
        <v/>
      </c>
      <c r="S376" t="str">
        <f>IF(A376=1,MAX(S$2:S375)+1,IF(OR(I376&lt;&gt;"",A376="x"),S375,""))</f>
        <v/>
      </c>
      <c r="T376" t="str">
        <f>IF(D376=1,MAX($T$2:$T375)+1,IF(S376=$S375,$S375,IF($D376="x",T375,IF($D375="x","",""))))</f>
        <v/>
      </c>
      <c r="U376" t="str">
        <f>IF(B376=1,MAX($U$2:$U375)+1,IF(AND($T376&lt;&gt;"",$T376=$T375),$U375,IF(B376="x",U375,"")))</f>
        <v/>
      </c>
      <c r="V376" t="str">
        <f>IF(C376=1,MAX($V$2:$V375)+1,IF(AND($T376&lt;&gt;"",$T376=$T375),$U375,IF(C376="x",V375,"")))</f>
        <v/>
      </c>
      <c r="W376" t="str" cm="1">
        <f t="array" ref="W376">IFERROR(_xlfn._xlws.FILTER(game_rosters!AB:AB,(game_rosters!J:J=events!X376)*(K376&lt;&gt;"")),"")</f>
        <v/>
      </c>
      <c r="X376" t="str" cm="1">
        <f t="array" ref="X376">IF(S376="","",IF($I376&lt;&gt;"",$I376,INDEX($I$2:$I375,ROW()-COUNTIFS($T$2:$T375,"="&amp;$T376,$S$2:$S375,"&lt;&gt;"&amp;$S376)-1)))</f>
        <v/>
      </c>
      <c r="Z376" s="6"/>
      <c r="AH376" t="str">
        <f t="shared" si="109"/>
        <v>o</v>
      </c>
      <c r="AI376" t="str">
        <f t="shared" si="116"/>
        <v/>
      </c>
      <c r="AJ376" t="str">
        <f t="shared" si="117"/>
        <v/>
      </c>
      <c r="AK376" t="str">
        <f t="shared" si="110"/>
        <v/>
      </c>
      <c r="AL376" t="str">
        <f t="shared" si="111"/>
        <v/>
      </c>
      <c r="AM376" t="str">
        <f t="shared" si="112"/>
        <v/>
      </c>
      <c r="AN376" t="str">
        <f t="shared" si="118"/>
        <v/>
      </c>
      <c r="AO376" t="str">
        <f t="shared" si="119"/>
        <v/>
      </c>
      <c r="AP376" t="str">
        <f t="shared" si="120"/>
        <v/>
      </c>
      <c r="AQ376" t="str">
        <f t="shared" si="121"/>
        <v/>
      </c>
      <c r="AR376" t="str">
        <f t="shared" si="122"/>
        <v/>
      </c>
      <c r="AS376" t="str">
        <f t="shared" si="113"/>
        <v>Defensive</v>
      </c>
      <c r="BI376" s="40"/>
      <c r="BL376" s="40"/>
      <c r="BN376" s="19"/>
      <c r="BP376" s="17"/>
    </row>
    <row r="377" spans="1:68" x14ac:dyDescent="0.2">
      <c r="A377" t="str">
        <f t="shared" si="114"/>
        <v/>
      </c>
      <c r="E377" s="4"/>
      <c r="F377" s="45"/>
      <c r="G377" s="4"/>
      <c r="H377" s="48"/>
      <c r="J377" s="46" t="str">
        <f t="shared" si="115"/>
        <v/>
      </c>
      <c r="N377" t="str">
        <f t="shared" si="124"/>
        <v/>
      </c>
      <c r="Q377" t="str">
        <f t="shared" si="123"/>
        <v/>
      </c>
      <c r="S377" t="str">
        <f>IF(A377=1,MAX(S$2:S376)+1,IF(OR(I377&lt;&gt;"",A377="x"),S376,""))</f>
        <v/>
      </c>
      <c r="T377" t="str">
        <f>IF(D377=1,MAX($T$2:$T376)+1,IF(S377=$S376,$S376,IF($D377="x",T376,IF($D376="x","",""))))</f>
        <v/>
      </c>
      <c r="U377" t="str">
        <f>IF(B377=1,MAX($U$2:$U376)+1,IF(AND($T377&lt;&gt;"",$T377=$T376),$U376,IF(B377="x",U376,"")))</f>
        <v/>
      </c>
      <c r="V377" t="str">
        <f>IF(C377=1,MAX($V$2:$V376)+1,IF(AND($T377&lt;&gt;"",$T377=$T376),$U376,IF(C377="x",V376,"")))</f>
        <v/>
      </c>
      <c r="W377" t="str" cm="1">
        <f t="array" ref="W377">IFERROR(_xlfn._xlws.FILTER(game_rosters!AB:AB,(game_rosters!J:J=events!X377)*(K377&lt;&gt;"")),"")</f>
        <v/>
      </c>
      <c r="X377" t="str" cm="1">
        <f t="array" ref="X377">IF(S377="","",IF($I377&lt;&gt;"",$I377,INDEX($I$2:$I376,ROW()-COUNTIFS($T$2:$T376,"="&amp;$T377,$S$2:$S376,"&lt;&gt;"&amp;$S377)-1)))</f>
        <v/>
      </c>
      <c r="Z377" s="6"/>
      <c r="AH377" t="str">
        <f t="shared" si="109"/>
        <v>o</v>
      </c>
      <c r="AI377" t="str">
        <f t="shared" si="116"/>
        <v/>
      </c>
      <c r="AJ377" t="str">
        <f t="shared" si="117"/>
        <v/>
      </c>
      <c r="AK377" t="str">
        <f t="shared" si="110"/>
        <v/>
      </c>
      <c r="AL377" t="str">
        <f t="shared" si="111"/>
        <v/>
      </c>
      <c r="AM377" t="str">
        <f t="shared" si="112"/>
        <v/>
      </c>
      <c r="AN377" t="str">
        <f t="shared" si="118"/>
        <v/>
      </c>
      <c r="AO377" t="str">
        <f t="shared" si="119"/>
        <v/>
      </c>
      <c r="AP377" t="str">
        <f t="shared" si="120"/>
        <v/>
      </c>
      <c r="AQ377" t="str">
        <f t="shared" si="121"/>
        <v/>
      </c>
      <c r="AR377" t="str">
        <f t="shared" si="122"/>
        <v/>
      </c>
      <c r="AS377" t="str">
        <f t="shared" si="113"/>
        <v>Defensive</v>
      </c>
      <c r="BI377" s="40"/>
      <c r="BL377" s="40"/>
      <c r="BN377" s="19"/>
      <c r="BP377" s="17"/>
    </row>
    <row r="378" spans="1:68" x14ac:dyDescent="0.2">
      <c r="A378" t="str">
        <f t="shared" si="114"/>
        <v/>
      </c>
      <c r="E378" s="4"/>
      <c r="F378" s="45"/>
      <c r="G378" s="4"/>
      <c r="H378" s="48"/>
      <c r="J378" s="46" t="str">
        <f t="shared" si="115"/>
        <v/>
      </c>
      <c r="N378" t="str">
        <f t="shared" si="124"/>
        <v/>
      </c>
      <c r="Q378" t="str">
        <f t="shared" si="123"/>
        <v/>
      </c>
      <c r="S378" t="str">
        <f>IF(A378=1,MAX(S$2:S377)+1,IF(OR(I378&lt;&gt;"",A378="x"),S377,""))</f>
        <v/>
      </c>
      <c r="T378" t="str">
        <f>IF(D378=1,MAX($T$2:$T377)+1,IF(S378=$S377,$S377,IF($D378="x",T377,IF($D377="x","",""))))</f>
        <v/>
      </c>
      <c r="U378" t="str">
        <f>IF(B378=1,MAX($U$2:$U377)+1,IF(AND($T378&lt;&gt;"",$T378=$T377),$U377,IF(B378="x",U377,"")))</f>
        <v/>
      </c>
      <c r="V378" t="str">
        <f>IF(C378=1,MAX($V$2:$V377)+1,IF(AND($T378&lt;&gt;"",$T378=$T377),$U377,IF(C378="x",V377,"")))</f>
        <v/>
      </c>
      <c r="W378" t="str" cm="1">
        <f t="array" ref="W378">IFERROR(_xlfn._xlws.FILTER(game_rosters!AB:AB,(game_rosters!J:J=events!X378)*(K378&lt;&gt;"")),"")</f>
        <v/>
      </c>
      <c r="X378" t="str" cm="1">
        <f t="array" ref="X378">IF(S378="","",IF($I378&lt;&gt;"",$I378,INDEX($I$2:$I377,ROW()-COUNTIFS($T$2:$T377,"="&amp;$T378,$S$2:$S377,"&lt;&gt;"&amp;$S378)-1)))</f>
        <v/>
      </c>
      <c r="Z378" s="6"/>
      <c r="AH378" t="str">
        <f t="shared" si="109"/>
        <v>o</v>
      </c>
      <c r="AI378" t="str">
        <f t="shared" si="116"/>
        <v/>
      </c>
      <c r="AJ378" t="str">
        <f t="shared" si="117"/>
        <v/>
      </c>
      <c r="AK378" t="str">
        <f t="shared" si="110"/>
        <v/>
      </c>
      <c r="AL378" t="str">
        <f t="shared" si="111"/>
        <v/>
      </c>
      <c r="AM378" t="str">
        <f t="shared" si="112"/>
        <v/>
      </c>
      <c r="AN378" t="str">
        <f t="shared" si="118"/>
        <v/>
      </c>
      <c r="AO378" t="str">
        <f t="shared" si="119"/>
        <v/>
      </c>
      <c r="AP378" t="str">
        <f t="shared" si="120"/>
        <v/>
      </c>
      <c r="AQ378" t="str">
        <f t="shared" si="121"/>
        <v/>
      </c>
      <c r="AR378" t="str">
        <f t="shared" si="122"/>
        <v/>
      </c>
      <c r="AS378" t="str">
        <f t="shared" si="113"/>
        <v>Defensive</v>
      </c>
      <c r="BI378" s="40"/>
      <c r="BL378" s="40"/>
      <c r="BN378" s="19"/>
      <c r="BP378" s="17"/>
    </row>
    <row r="379" spans="1:68" x14ac:dyDescent="0.2">
      <c r="A379" t="str">
        <f t="shared" si="114"/>
        <v/>
      </c>
      <c r="E379" s="4"/>
      <c r="F379" s="45"/>
      <c r="G379" s="4"/>
      <c r="H379" s="48"/>
      <c r="J379" s="46" t="str">
        <f t="shared" si="115"/>
        <v/>
      </c>
      <c r="N379" t="str">
        <f t="shared" si="124"/>
        <v/>
      </c>
      <c r="Q379" t="str">
        <f t="shared" si="123"/>
        <v/>
      </c>
      <c r="S379" t="str">
        <f>IF(A379=1,MAX(S$2:S378)+1,IF(OR(I379&lt;&gt;"",A379="x"),S378,""))</f>
        <v/>
      </c>
      <c r="T379" t="str">
        <f>IF(D379=1,MAX($T$2:$T378)+1,IF(S379=$S378,$S378,IF($D379="x",T378,IF($D378="x","",""))))</f>
        <v/>
      </c>
      <c r="U379" t="str">
        <f>IF(B379=1,MAX($U$2:$U378)+1,IF(AND($T379&lt;&gt;"",$T379=$T378),$U378,IF(B379="x",U378,"")))</f>
        <v/>
      </c>
      <c r="V379" t="str">
        <f>IF(C379=1,MAX($V$2:$V378)+1,IF(AND($T379&lt;&gt;"",$T379=$T378),$U378,IF(C379="x",V378,"")))</f>
        <v/>
      </c>
      <c r="W379" t="str" cm="1">
        <f t="array" ref="W379">IFERROR(_xlfn._xlws.FILTER(game_rosters!AB:AB,(game_rosters!J:J=events!X379)*(K379&lt;&gt;"")),"")</f>
        <v/>
      </c>
      <c r="X379" t="str" cm="1">
        <f t="array" ref="X379">IF(S379="","",IF($I379&lt;&gt;"",$I379,INDEX($I$2:$I378,ROW()-COUNTIFS($T$2:$T378,"="&amp;$T379,$S$2:$S378,"&lt;&gt;"&amp;$S379)-1)))</f>
        <v/>
      </c>
      <c r="Z379" s="6"/>
      <c r="AH379" t="str">
        <f t="shared" si="109"/>
        <v>o</v>
      </c>
      <c r="AI379" t="str">
        <f t="shared" si="116"/>
        <v/>
      </c>
      <c r="AJ379" t="str">
        <f t="shared" si="117"/>
        <v/>
      </c>
      <c r="AK379" t="str">
        <f t="shared" si="110"/>
        <v/>
      </c>
      <c r="AL379" t="str">
        <f t="shared" si="111"/>
        <v/>
      </c>
      <c r="AM379" t="str">
        <f t="shared" si="112"/>
        <v/>
      </c>
      <c r="AN379" t="str">
        <f t="shared" si="118"/>
        <v/>
      </c>
      <c r="AO379" t="str">
        <f t="shared" si="119"/>
        <v/>
      </c>
      <c r="AP379" t="str">
        <f t="shared" si="120"/>
        <v/>
      </c>
      <c r="AQ379" t="str">
        <f t="shared" si="121"/>
        <v/>
      </c>
      <c r="AR379" t="str">
        <f t="shared" si="122"/>
        <v/>
      </c>
      <c r="AS379" t="str">
        <f t="shared" si="113"/>
        <v>Defensive</v>
      </c>
      <c r="BI379" s="40"/>
      <c r="BL379" s="40"/>
      <c r="BN379" s="19"/>
      <c r="BP379" s="17"/>
    </row>
    <row r="380" spans="1:68" x14ac:dyDescent="0.2">
      <c r="A380" t="str">
        <f t="shared" si="114"/>
        <v/>
      </c>
      <c r="E380" s="4"/>
      <c r="F380" s="45"/>
      <c r="G380" s="4"/>
      <c r="H380" s="48"/>
      <c r="J380" s="46" t="str">
        <f t="shared" si="115"/>
        <v/>
      </c>
      <c r="N380" t="str">
        <f t="shared" si="124"/>
        <v/>
      </c>
      <c r="Q380" t="str">
        <f t="shared" si="123"/>
        <v/>
      </c>
      <c r="S380" t="str">
        <f>IF(A380=1,MAX(S$2:S379)+1,IF(OR(I380&lt;&gt;"",A380="x"),S379,""))</f>
        <v/>
      </c>
      <c r="T380" t="str">
        <f>IF(D380=1,MAX($T$2:$T379)+1,IF(S380=$S379,$S379,IF($D380="x",T379,IF($D379="x","",""))))</f>
        <v/>
      </c>
      <c r="U380" t="str">
        <f>IF(B380=1,MAX($U$2:$U379)+1,IF(AND($T380&lt;&gt;"",$T380=$T379),$U379,IF(B380="x",U379,"")))</f>
        <v/>
      </c>
      <c r="V380" t="str">
        <f>IF(C380=1,MAX($V$2:$V379)+1,IF(AND($T380&lt;&gt;"",$T380=$T379),$U379,IF(C380="x",V379,"")))</f>
        <v/>
      </c>
      <c r="W380" t="str" cm="1">
        <f t="array" ref="W380">IFERROR(_xlfn._xlws.FILTER(game_rosters!AB:AB,(game_rosters!J:J=events!X380)*(K380&lt;&gt;"")),"")</f>
        <v/>
      </c>
      <c r="X380" t="str" cm="1">
        <f t="array" ref="X380">IF(S380="","",IF($I380&lt;&gt;"",$I380,INDEX($I$2:$I379,ROW()-COUNTIFS($T$2:$T379,"="&amp;$T380,$S$2:$S379,"&lt;&gt;"&amp;$S380)-1)))</f>
        <v/>
      </c>
      <c r="Z380" s="6"/>
      <c r="AH380" t="str">
        <f t="shared" si="109"/>
        <v>o</v>
      </c>
      <c r="AI380" t="str">
        <f t="shared" si="116"/>
        <v/>
      </c>
      <c r="AJ380" t="str">
        <f t="shared" si="117"/>
        <v/>
      </c>
      <c r="AK380" t="str">
        <f t="shared" si="110"/>
        <v/>
      </c>
      <c r="AL380" t="str">
        <f t="shared" si="111"/>
        <v/>
      </c>
      <c r="AM380" t="str">
        <f t="shared" si="112"/>
        <v/>
      </c>
      <c r="AN380" t="str">
        <f t="shared" si="118"/>
        <v/>
      </c>
      <c r="AO380" t="str">
        <f t="shared" si="119"/>
        <v/>
      </c>
      <c r="AP380" t="str">
        <f t="shared" si="120"/>
        <v/>
      </c>
      <c r="AQ380" t="str">
        <f t="shared" si="121"/>
        <v/>
      </c>
      <c r="AR380" t="str">
        <f t="shared" si="122"/>
        <v/>
      </c>
      <c r="AS380" t="str">
        <f t="shared" si="113"/>
        <v>Defensive</v>
      </c>
      <c r="BI380" s="40"/>
      <c r="BL380" s="40"/>
      <c r="BN380" s="19"/>
      <c r="BP380" s="17"/>
    </row>
    <row r="381" spans="1:68" x14ac:dyDescent="0.2">
      <c r="A381" t="str">
        <f t="shared" si="114"/>
        <v/>
      </c>
      <c r="E381" s="4"/>
      <c r="F381" s="45"/>
      <c r="G381" s="4"/>
      <c r="H381" s="48"/>
      <c r="J381" s="46" t="str">
        <f t="shared" si="115"/>
        <v/>
      </c>
      <c r="N381" t="str">
        <f t="shared" si="124"/>
        <v/>
      </c>
      <c r="Q381" t="str">
        <f t="shared" si="123"/>
        <v/>
      </c>
      <c r="S381" t="str">
        <f>IF(A381=1,MAX(S$2:S380)+1,IF(OR(I381&lt;&gt;"",A381="x"),S380,""))</f>
        <v/>
      </c>
      <c r="T381" t="str">
        <f>IF(D381=1,MAX($T$2:$T380)+1,IF(S381=$S380,$S380,IF($D381="x",T380,IF($D380="x","",""))))</f>
        <v/>
      </c>
      <c r="U381" t="str">
        <f>IF(B381=1,MAX($U$2:$U380)+1,IF(AND($T381&lt;&gt;"",$T381=$T380),$U380,IF(B381="x",U380,"")))</f>
        <v/>
      </c>
      <c r="V381" t="str">
        <f>IF(C381=1,MAX($V$2:$V380)+1,IF(AND($T381&lt;&gt;"",$T381=$T380),$U380,IF(C381="x",V380,"")))</f>
        <v/>
      </c>
      <c r="W381" t="str" cm="1">
        <f t="array" ref="W381">IFERROR(_xlfn._xlws.FILTER(game_rosters!AB:AB,(game_rosters!J:J=events!X381)*(K381&lt;&gt;"")),"")</f>
        <v/>
      </c>
      <c r="X381" t="str" cm="1">
        <f t="array" ref="X381">IF(S381="","",IF($I381&lt;&gt;"",$I381,INDEX($I$2:$I380,ROW()-COUNTIFS($T$2:$T380,"="&amp;$T381,$S$2:$S380,"&lt;&gt;"&amp;$S381)-1)))</f>
        <v/>
      </c>
      <c r="Z381" s="6"/>
      <c r="AH381" t="str">
        <f t="shared" si="109"/>
        <v>o</v>
      </c>
      <c r="AI381" t="str">
        <f t="shared" si="116"/>
        <v/>
      </c>
      <c r="AJ381" t="str">
        <f t="shared" si="117"/>
        <v/>
      </c>
      <c r="AK381" t="str">
        <f t="shared" si="110"/>
        <v/>
      </c>
      <c r="AL381" t="str">
        <f t="shared" si="111"/>
        <v/>
      </c>
      <c r="AM381" t="str">
        <f t="shared" si="112"/>
        <v/>
      </c>
      <c r="AN381" t="str">
        <f t="shared" si="118"/>
        <v/>
      </c>
      <c r="AO381" t="str">
        <f t="shared" si="119"/>
        <v/>
      </c>
      <c r="AP381" t="str">
        <f t="shared" si="120"/>
        <v/>
      </c>
      <c r="AQ381" t="str">
        <f t="shared" si="121"/>
        <v/>
      </c>
      <c r="AR381" t="str">
        <f t="shared" si="122"/>
        <v/>
      </c>
      <c r="AS381" t="str">
        <f t="shared" si="113"/>
        <v>Defensive</v>
      </c>
      <c r="BI381" s="40"/>
      <c r="BL381" s="40"/>
      <c r="BN381" s="19"/>
      <c r="BP381" s="17"/>
    </row>
    <row r="382" spans="1:68" x14ac:dyDescent="0.2">
      <c r="A382" t="str">
        <f t="shared" si="114"/>
        <v/>
      </c>
      <c r="E382" s="4"/>
      <c r="F382" s="45"/>
      <c r="G382" s="4"/>
      <c r="H382" s="48"/>
      <c r="J382" s="46" t="str">
        <f t="shared" si="115"/>
        <v/>
      </c>
      <c r="N382" t="str">
        <f t="shared" si="124"/>
        <v/>
      </c>
      <c r="Q382" t="str">
        <f t="shared" si="123"/>
        <v/>
      </c>
      <c r="S382" t="str">
        <f>IF(A382=1,MAX(S$2:S381)+1,IF(OR(I382&lt;&gt;"",A382="x"),S381,""))</f>
        <v/>
      </c>
      <c r="T382" t="str">
        <f>IF(D382=1,MAX($T$2:$T381)+1,IF(S382=$S381,$S381,IF($D382="x",T381,IF($D381="x","",""))))</f>
        <v/>
      </c>
      <c r="U382" t="str">
        <f>IF(B382=1,MAX($U$2:$U381)+1,IF(AND($T382&lt;&gt;"",$T382=$T381),$U381,IF(B382="x",U381,"")))</f>
        <v/>
      </c>
      <c r="V382" t="str">
        <f>IF(C382=1,MAX($V$2:$V381)+1,IF(AND($T382&lt;&gt;"",$T382=$T381),$U381,IF(C382="x",V381,"")))</f>
        <v/>
      </c>
      <c r="W382" t="str" cm="1">
        <f t="array" ref="W382">IFERROR(_xlfn._xlws.FILTER(game_rosters!AB:AB,(game_rosters!J:J=events!X382)*(K382&lt;&gt;"")),"")</f>
        <v/>
      </c>
      <c r="X382" t="str" cm="1">
        <f t="array" ref="X382">IF(S382="","",IF($I382&lt;&gt;"",$I382,INDEX($I$2:$I381,ROW()-COUNTIFS($T$2:$T381,"="&amp;$T382,$S$2:$S381,"&lt;&gt;"&amp;$S382)-1)))</f>
        <v/>
      </c>
      <c r="Z382" s="6"/>
      <c r="AH382" t="str">
        <f t="shared" si="109"/>
        <v>o</v>
      </c>
      <c r="AI382" t="str">
        <f t="shared" si="116"/>
        <v/>
      </c>
      <c r="AJ382" t="str">
        <f t="shared" si="117"/>
        <v/>
      </c>
      <c r="AK382" t="str">
        <f t="shared" si="110"/>
        <v/>
      </c>
      <c r="AL382" t="str">
        <f t="shared" si="111"/>
        <v/>
      </c>
      <c r="AM382" t="str">
        <f t="shared" si="112"/>
        <v/>
      </c>
      <c r="AN382" t="str">
        <f t="shared" si="118"/>
        <v/>
      </c>
      <c r="AO382" t="str">
        <f t="shared" si="119"/>
        <v/>
      </c>
      <c r="AP382" t="str">
        <f t="shared" si="120"/>
        <v/>
      </c>
      <c r="AQ382" t="str">
        <f t="shared" si="121"/>
        <v/>
      </c>
      <c r="AR382" t="str">
        <f t="shared" si="122"/>
        <v/>
      </c>
      <c r="AS382" t="str">
        <f t="shared" si="113"/>
        <v>Defensive</v>
      </c>
      <c r="BI382" s="40"/>
      <c r="BL382" s="40"/>
      <c r="BN382" s="19"/>
      <c r="BP382" s="17"/>
    </row>
    <row r="383" spans="1:68" x14ac:dyDescent="0.2">
      <c r="A383" t="str">
        <f t="shared" si="114"/>
        <v/>
      </c>
      <c r="E383" s="4"/>
      <c r="F383" s="45"/>
      <c r="G383" s="4"/>
      <c r="H383" s="48"/>
      <c r="J383" s="46" t="str">
        <f t="shared" si="115"/>
        <v/>
      </c>
      <c r="N383" t="str">
        <f t="shared" si="124"/>
        <v/>
      </c>
      <c r="Q383" t="str">
        <f t="shared" si="123"/>
        <v/>
      </c>
      <c r="S383" t="str">
        <f>IF(A383=1,MAX(S$2:S382)+1,IF(OR(I383&lt;&gt;"",A383="x"),S382,""))</f>
        <v/>
      </c>
      <c r="T383" t="str">
        <f>IF(D383=1,MAX($T$2:$T382)+1,IF(S383=$S382,$S382,IF($D383="x",T382,IF($D382="x","",""))))</f>
        <v/>
      </c>
      <c r="U383" t="str">
        <f>IF(B383=1,MAX($U$2:$U382)+1,IF(AND($T383&lt;&gt;"",$T383=$T382),$U382,IF(B383="x",U382,"")))</f>
        <v/>
      </c>
      <c r="V383" t="str">
        <f>IF(C383=1,MAX($V$2:$V382)+1,IF(AND($T383&lt;&gt;"",$T383=$T382),$U382,IF(C383="x",V382,"")))</f>
        <v/>
      </c>
      <c r="W383" t="str" cm="1">
        <f t="array" ref="W383">IFERROR(_xlfn._xlws.FILTER(game_rosters!AB:AB,(game_rosters!J:J=events!X383)*(K383&lt;&gt;"")),"")</f>
        <v/>
      </c>
      <c r="X383" t="str" cm="1">
        <f t="array" ref="X383">IF(S383="","",IF($I383&lt;&gt;"",$I383,INDEX($I$2:$I382,ROW()-COUNTIFS($T$2:$T382,"="&amp;$T383,$S$2:$S382,"&lt;&gt;"&amp;$S383)-1)))</f>
        <v/>
      </c>
      <c r="Z383" s="6"/>
      <c r="AH383" t="str">
        <f t="shared" si="109"/>
        <v>o</v>
      </c>
      <c r="AI383" t="str">
        <f t="shared" si="116"/>
        <v/>
      </c>
      <c r="AJ383" t="str">
        <f t="shared" si="117"/>
        <v/>
      </c>
      <c r="AK383" t="str">
        <f t="shared" si="110"/>
        <v/>
      </c>
      <c r="AL383" t="str">
        <f t="shared" si="111"/>
        <v/>
      </c>
      <c r="AM383" t="str">
        <f t="shared" si="112"/>
        <v/>
      </c>
      <c r="AN383" t="str">
        <f t="shared" si="118"/>
        <v/>
      </c>
      <c r="AO383" t="str">
        <f t="shared" si="119"/>
        <v/>
      </c>
      <c r="AP383" t="str">
        <f t="shared" si="120"/>
        <v/>
      </c>
      <c r="AQ383" t="str">
        <f t="shared" si="121"/>
        <v/>
      </c>
      <c r="AR383" t="str">
        <f t="shared" si="122"/>
        <v/>
      </c>
      <c r="AS383" t="str">
        <f t="shared" si="113"/>
        <v>Defensive</v>
      </c>
      <c r="BI383" s="40"/>
      <c r="BL383" s="40"/>
      <c r="BN383" s="19"/>
      <c r="BP383" s="17"/>
    </row>
    <row r="384" spans="1:68" x14ac:dyDescent="0.2">
      <c r="A384" t="str">
        <f t="shared" si="114"/>
        <v/>
      </c>
      <c r="E384" s="4"/>
      <c r="F384" s="45"/>
      <c r="G384" s="4"/>
      <c r="H384" s="48"/>
      <c r="J384" s="46" t="str">
        <f t="shared" si="115"/>
        <v/>
      </c>
      <c r="N384" t="str">
        <f t="shared" si="124"/>
        <v/>
      </c>
      <c r="Q384" t="str">
        <f t="shared" si="123"/>
        <v/>
      </c>
      <c r="S384" t="str">
        <f>IF(A384=1,MAX(S$2:S383)+1,IF(OR(I384&lt;&gt;"",A384="x"),S383,""))</f>
        <v/>
      </c>
      <c r="T384" t="str">
        <f>IF(D384=1,MAX($T$2:$T383)+1,IF(S384=$S383,$S383,IF($D384="x",T383,IF($D383="x","",""))))</f>
        <v/>
      </c>
      <c r="U384" t="str">
        <f>IF(B384=1,MAX($U$2:$U383)+1,IF(AND($T384&lt;&gt;"",$T384=$T383),$U383,IF(B384="x",U383,"")))</f>
        <v/>
      </c>
      <c r="V384" t="str">
        <f>IF(C384=1,MAX($V$2:$V383)+1,IF(AND($T384&lt;&gt;"",$T384=$T383),$U383,IF(C384="x",V383,"")))</f>
        <v/>
      </c>
      <c r="W384" t="str" cm="1">
        <f t="array" ref="W384">IFERROR(_xlfn._xlws.FILTER(game_rosters!AB:AB,(game_rosters!J:J=events!X384)*(K384&lt;&gt;"")),"")</f>
        <v/>
      </c>
      <c r="X384" t="str" cm="1">
        <f t="array" ref="X384">IF(S384="","",IF($I384&lt;&gt;"",$I384,INDEX($I$2:$I383,ROW()-COUNTIFS($T$2:$T383,"="&amp;$T384,$S$2:$S383,"&lt;&gt;"&amp;$S384)-1)))</f>
        <v/>
      </c>
      <c r="Z384" s="6"/>
      <c r="AH384" t="str">
        <f t="shared" ref="AH384:AH447" si="125">IF(Y384="x","",IF(Y384=1,"e","o"))</f>
        <v>o</v>
      </c>
      <c r="AI384" t="str">
        <f t="shared" si="116"/>
        <v/>
      </c>
      <c r="AJ384" t="str">
        <f t="shared" si="117"/>
        <v/>
      </c>
      <c r="AK384" t="str">
        <f t="shared" ref="AK384:AK447" si="126">IF($W384="","",IF($AI384="","",IF($W384="h",$AI384,IF($AI384="n","n",IF(AND($W384="a",$AI384="d"),"o",IF(AND($W384="a",$AI384="o"),"d"))))))</f>
        <v/>
      </c>
      <c r="AL384" t="str">
        <f t="shared" ref="AL384:AL447" si="127">IF($W384="","",IF(J384="","",IF(AK384="n","n",IF(AK384="d","o",IF(AK384="o","d","")))))</f>
        <v/>
      </c>
      <c r="AM384" t="str">
        <f t="shared" ref="AM384:AM447" si="128">IF(AN384="H","Home",IF(AN384="A","Away",""))</f>
        <v/>
      </c>
      <c r="AN384" t="str">
        <f t="shared" si="118"/>
        <v/>
      </c>
      <c r="AO384" t="str">
        <f t="shared" si="119"/>
        <v/>
      </c>
      <c r="AP384" t="str">
        <f t="shared" si="120"/>
        <v/>
      </c>
      <c r="AQ384" t="str">
        <f t="shared" si="121"/>
        <v/>
      </c>
      <c r="AR384" t="str">
        <f t="shared" si="122"/>
        <v/>
      </c>
      <c r="AS384" t="str">
        <f t="shared" ref="AS384:AS447" si="129">IF(AND(AH384="e",OR(BD384="Save",BE384="Turnover_Takeaway",BE384="Play_Defensive")),"Defensive",IF(AND(AH384="o",OR(BD384="Save",BE384="Turnover_Takeaway",BE384="Play_Defensive")),"Offensive",IF(OR(BD384="Deadice",BD384="Stoppage",BD384="Intermission"),"",IF(AH384="e","Offensive",IF(AH384="o","Defensive","")))))</f>
        <v>Defensive</v>
      </c>
      <c r="BI384" s="40"/>
      <c r="BL384" s="40"/>
      <c r="BN384" s="19"/>
      <c r="BP384" s="17"/>
    </row>
    <row r="385" spans="1:68" x14ac:dyDescent="0.2">
      <c r="A385" t="str">
        <f t="shared" si="114"/>
        <v/>
      </c>
      <c r="E385" s="4"/>
      <c r="F385" s="45"/>
      <c r="G385" s="4"/>
      <c r="H385" s="48"/>
      <c r="J385" s="46" t="str">
        <f t="shared" si="115"/>
        <v/>
      </c>
      <c r="N385" t="str">
        <f t="shared" si="124"/>
        <v/>
      </c>
      <c r="Q385" t="str">
        <f t="shared" si="123"/>
        <v/>
      </c>
      <c r="S385" t="str">
        <f>IF(A385=1,MAX(S$2:S384)+1,IF(OR(I385&lt;&gt;"",A385="x"),S384,""))</f>
        <v/>
      </c>
      <c r="T385" t="str">
        <f>IF(D385=1,MAX($T$2:$T384)+1,IF(S385=$S384,$S384,IF($D385="x",T384,IF($D384="x","",""))))</f>
        <v/>
      </c>
      <c r="U385" t="str">
        <f>IF(B385=1,MAX($U$2:$U384)+1,IF(AND($T385&lt;&gt;"",$T385=$T384),$U384,IF(B385="x",U384,"")))</f>
        <v/>
      </c>
      <c r="V385" t="str">
        <f>IF(C385=1,MAX($V$2:$V384)+1,IF(AND($T385&lt;&gt;"",$T385=$T384),$U384,IF(C385="x",V384,"")))</f>
        <v/>
      </c>
      <c r="W385" t="str" cm="1">
        <f t="array" ref="W385">IFERROR(_xlfn._xlws.FILTER(game_rosters!AB:AB,(game_rosters!J:J=events!X385)*(K385&lt;&gt;"")),"")</f>
        <v/>
      </c>
      <c r="X385" t="str" cm="1">
        <f t="array" ref="X385">IF(S385="","",IF($I385&lt;&gt;"",$I385,INDEX($I$2:$I384,ROW()-COUNTIFS($T$2:$T384,"="&amp;$T385,$S$2:$S384,"&lt;&gt;"&amp;$S385)-1)))</f>
        <v/>
      </c>
      <c r="Z385" s="6"/>
      <c r="AH385" t="str">
        <f t="shared" si="125"/>
        <v>o</v>
      </c>
      <c r="AI385" t="str">
        <f t="shared" si="116"/>
        <v/>
      </c>
      <c r="AJ385" t="str">
        <f t="shared" si="117"/>
        <v/>
      </c>
      <c r="AK385" t="str">
        <f t="shared" si="126"/>
        <v/>
      </c>
      <c r="AL385" t="str">
        <f t="shared" si="127"/>
        <v/>
      </c>
      <c r="AM385" t="str">
        <f t="shared" si="128"/>
        <v/>
      </c>
      <c r="AN385" t="str">
        <f t="shared" si="118"/>
        <v/>
      </c>
      <c r="AO385" t="str">
        <f t="shared" si="119"/>
        <v/>
      </c>
      <c r="AP385" t="str">
        <f t="shared" si="120"/>
        <v/>
      </c>
      <c r="AQ385" t="str">
        <f t="shared" si="121"/>
        <v/>
      </c>
      <c r="AR385" t="str">
        <f t="shared" si="122"/>
        <v/>
      </c>
      <c r="AS385" t="str">
        <f t="shared" si="129"/>
        <v>Defensive</v>
      </c>
      <c r="BI385" s="40"/>
      <c r="BL385" s="40"/>
      <c r="BN385" s="19"/>
      <c r="BP385" s="17"/>
    </row>
    <row r="386" spans="1:68" x14ac:dyDescent="0.2">
      <c r="A386" t="str">
        <f t="shared" si="114"/>
        <v/>
      </c>
      <c r="E386" s="4"/>
      <c r="F386" s="45"/>
      <c r="G386" s="4"/>
      <c r="H386" s="48"/>
      <c r="J386" s="46" t="str">
        <f t="shared" si="115"/>
        <v/>
      </c>
      <c r="N386" t="str">
        <f t="shared" si="124"/>
        <v/>
      </c>
      <c r="Q386" t="str">
        <f t="shared" si="123"/>
        <v/>
      </c>
      <c r="S386" t="str">
        <f>IF(A386=1,MAX(S$2:S385)+1,IF(OR(I386&lt;&gt;"",A386="x"),S385,""))</f>
        <v/>
      </c>
      <c r="T386" t="str">
        <f>IF(D386=1,MAX($T$2:$T385)+1,IF(S386=$S385,$S385,IF($D386="x",T385,IF($D385="x","",""))))</f>
        <v/>
      </c>
      <c r="U386" t="str">
        <f>IF(B386=1,MAX($U$2:$U385)+1,IF(AND($T386&lt;&gt;"",$T386=$T385),$U385,IF(B386="x",U385,"")))</f>
        <v/>
      </c>
      <c r="V386" t="str">
        <f>IF(C386=1,MAX($V$2:$V385)+1,IF(AND($T386&lt;&gt;"",$T386=$T385),$U385,IF(C386="x",V385,"")))</f>
        <v/>
      </c>
      <c r="W386" t="str" cm="1">
        <f t="array" ref="W386">IFERROR(_xlfn._xlws.FILTER(game_rosters!AB:AB,(game_rosters!J:J=events!X386)*(K386&lt;&gt;"")),"")</f>
        <v/>
      </c>
      <c r="X386" t="str" cm="1">
        <f t="array" ref="X386">IF(S386="","",IF($I386&lt;&gt;"",$I386,INDEX($I$2:$I385,ROW()-COUNTIFS($T$2:$T385,"="&amp;$T386,$S$2:$S385,"&lt;&gt;"&amp;$S386)-1)))</f>
        <v/>
      </c>
      <c r="Z386" s="6"/>
      <c r="AH386" t="str">
        <f t="shared" si="125"/>
        <v>o</v>
      </c>
      <c r="AI386" t="str">
        <f t="shared" si="116"/>
        <v/>
      </c>
      <c r="AJ386" t="str">
        <f t="shared" si="117"/>
        <v/>
      </c>
      <c r="AK386" t="str">
        <f t="shared" si="126"/>
        <v/>
      </c>
      <c r="AL386" t="str">
        <f t="shared" si="127"/>
        <v/>
      </c>
      <c r="AM386" t="str">
        <f t="shared" si="128"/>
        <v/>
      </c>
      <c r="AN386" t="str">
        <f t="shared" si="118"/>
        <v/>
      </c>
      <c r="AO386" t="str">
        <f t="shared" si="119"/>
        <v/>
      </c>
      <c r="AP386" t="str">
        <f t="shared" si="120"/>
        <v/>
      </c>
      <c r="AQ386" t="str">
        <f t="shared" si="121"/>
        <v/>
      </c>
      <c r="AR386" t="str">
        <f t="shared" si="122"/>
        <v/>
      </c>
      <c r="AS386" t="str">
        <f t="shared" si="129"/>
        <v>Defensive</v>
      </c>
      <c r="BI386" s="40"/>
      <c r="BL386" s="40"/>
      <c r="BN386" s="19"/>
      <c r="BP386" s="17"/>
    </row>
    <row r="387" spans="1:68" x14ac:dyDescent="0.2">
      <c r="A387" t="str">
        <f t="shared" si="114"/>
        <v/>
      </c>
      <c r="E387" s="4"/>
      <c r="F387" s="45"/>
      <c r="G387" s="4"/>
      <c r="H387" s="48"/>
      <c r="J387" s="46" t="str">
        <f t="shared" si="115"/>
        <v/>
      </c>
      <c r="N387" t="str">
        <f t="shared" si="124"/>
        <v/>
      </c>
      <c r="Q387" t="str">
        <f t="shared" si="123"/>
        <v/>
      </c>
      <c r="S387" t="str">
        <f>IF(A387=1,MAX(S$2:S386)+1,IF(OR(I387&lt;&gt;"",A387="x"),S386,""))</f>
        <v/>
      </c>
      <c r="T387" t="str">
        <f>IF(D387=1,MAX($T$2:$T386)+1,IF(S387=$S386,$S386,IF($D387="x",T386,IF($D386="x","",""))))</f>
        <v/>
      </c>
      <c r="U387" t="str">
        <f>IF(B387=1,MAX($U$2:$U386)+1,IF(AND($T387&lt;&gt;"",$T387=$T386),$U386,IF(B387="x",U386,"")))</f>
        <v/>
      </c>
      <c r="V387" t="str">
        <f>IF(C387=1,MAX($V$2:$V386)+1,IF(AND($T387&lt;&gt;"",$T387=$T386),$U386,IF(C387="x",V386,"")))</f>
        <v/>
      </c>
      <c r="W387" t="str" cm="1">
        <f t="array" ref="W387">IFERROR(_xlfn._xlws.FILTER(game_rosters!AB:AB,(game_rosters!J:J=events!X387)*(K387&lt;&gt;"")),"")</f>
        <v/>
      </c>
      <c r="X387" t="str" cm="1">
        <f t="array" ref="X387">IF(S387="","",IF($I387&lt;&gt;"",$I387,INDEX($I$2:$I386,ROW()-COUNTIFS($T$2:$T386,"="&amp;$T387,$S$2:$S386,"&lt;&gt;"&amp;$S387)-1)))</f>
        <v/>
      </c>
      <c r="Z387" s="6"/>
      <c r="AH387" t="str">
        <f t="shared" si="125"/>
        <v>o</v>
      </c>
      <c r="AI387" t="str">
        <f t="shared" si="116"/>
        <v/>
      </c>
      <c r="AJ387" t="str">
        <f t="shared" si="117"/>
        <v/>
      </c>
      <c r="AK387" t="str">
        <f t="shared" si="126"/>
        <v/>
      </c>
      <c r="AL387" t="str">
        <f t="shared" si="127"/>
        <v/>
      </c>
      <c r="AM387" t="str">
        <f t="shared" si="128"/>
        <v/>
      </c>
      <c r="AN387" t="str">
        <f t="shared" si="118"/>
        <v/>
      </c>
      <c r="AO387" t="str">
        <f t="shared" si="119"/>
        <v/>
      </c>
      <c r="AP387" t="str">
        <f t="shared" si="120"/>
        <v/>
      </c>
      <c r="AQ387" t="str">
        <f t="shared" si="121"/>
        <v/>
      </c>
      <c r="AR387" t="str">
        <f t="shared" si="122"/>
        <v/>
      </c>
      <c r="AS387" t="str">
        <f t="shared" si="129"/>
        <v>Defensive</v>
      </c>
      <c r="BI387" s="40"/>
      <c r="BL387" s="40"/>
      <c r="BN387" s="19"/>
      <c r="BP387" s="17"/>
    </row>
    <row r="388" spans="1:68" x14ac:dyDescent="0.2">
      <c r="A388" t="str">
        <f t="shared" si="114"/>
        <v/>
      </c>
      <c r="E388" s="4"/>
      <c r="F388" s="45"/>
      <c r="G388" s="4"/>
      <c r="H388" s="48"/>
      <c r="J388" s="46" t="str">
        <f t="shared" si="115"/>
        <v/>
      </c>
      <c r="N388" t="str">
        <f t="shared" si="124"/>
        <v/>
      </c>
      <c r="Q388" t="str">
        <f t="shared" si="123"/>
        <v/>
      </c>
      <c r="S388" t="str">
        <f>IF(A388=1,MAX(S$2:S387)+1,IF(OR(I388&lt;&gt;"",A388="x"),S387,""))</f>
        <v/>
      </c>
      <c r="T388" t="str">
        <f>IF(D388=1,MAX($T$2:$T387)+1,IF(S388=$S387,$S387,IF($D388="x",T387,IF($D387="x","",""))))</f>
        <v/>
      </c>
      <c r="U388" t="str">
        <f>IF(B388=1,MAX($U$2:$U387)+1,IF(AND($T388&lt;&gt;"",$T388=$T387),$U387,IF(B388="x",U387,"")))</f>
        <v/>
      </c>
      <c r="V388" t="str">
        <f>IF(C388=1,MAX($V$2:$V387)+1,IF(AND($T388&lt;&gt;"",$T388=$T387),$U387,IF(C388="x",V387,"")))</f>
        <v/>
      </c>
      <c r="W388" t="str" cm="1">
        <f t="array" ref="W388">IFERROR(_xlfn._xlws.FILTER(game_rosters!AB:AB,(game_rosters!J:J=events!X388)*(K388&lt;&gt;"")),"")</f>
        <v/>
      </c>
      <c r="X388" t="str" cm="1">
        <f t="array" ref="X388">IF(S388="","",IF($I388&lt;&gt;"",$I388,INDEX($I$2:$I387,ROW()-COUNTIFS($T$2:$T387,"="&amp;$T388,$S$2:$S387,"&lt;&gt;"&amp;$S388)-1)))</f>
        <v/>
      </c>
      <c r="Z388" s="6"/>
      <c r="AH388" t="str">
        <f t="shared" si="125"/>
        <v>o</v>
      </c>
      <c r="AI388" t="str">
        <f t="shared" si="116"/>
        <v/>
      </c>
      <c r="AJ388" t="str">
        <f t="shared" si="117"/>
        <v/>
      </c>
      <c r="AK388" t="str">
        <f t="shared" si="126"/>
        <v/>
      </c>
      <c r="AL388" t="str">
        <f t="shared" si="127"/>
        <v/>
      </c>
      <c r="AM388" t="str">
        <f t="shared" si="128"/>
        <v/>
      </c>
      <c r="AN388" t="str">
        <f t="shared" si="118"/>
        <v/>
      </c>
      <c r="AO388" t="str">
        <f t="shared" si="119"/>
        <v/>
      </c>
      <c r="AP388" t="str">
        <f t="shared" si="120"/>
        <v/>
      </c>
      <c r="AQ388" t="str">
        <f t="shared" si="121"/>
        <v/>
      </c>
      <c r="AR388" t="str">
        <f t="shared" si="122"/>
        <v/>
      </c>
      <c r="AS388" t="str">
        <f t="shared" si="129"/>
        <v>Defensive</v>
      </c>
      <c r="BI388" s="40"/>
      <c r="BL388" s="40"/>
      <c r="BN388" s="19"/>
      <c r="BP388" s="17"/>
    </row>
    <row r="389" spans="1:68" x14ac:dyDescent="0.2">
      <c r="A389" t="str">
        <f t="shared" ref="A389:A452" si="130">IF(K389&lt;&gt;"",1,IF(D389="x","x",""))</f>
        <v/>
      </c>
      <c r="E389" s="4"/>
      <c r="F389" s="45"/>
      <c r="G389" s="4"/>
      <c r="H389" s="48"/>
      <c r="J389" s="46" t="str">
        <f t="shared" si="115"/>
        <v/>
      </c>
      <c r="N389" t="str">
        <f t="shared" si="124"/>
        <v/>
      </c>
      <c r="Q389" t="str">
        <f t="shared" si="123"/>
        <v/>
      </c>
      <c r="S389" t="str">
        <f>IF(A389=1,MAX(S$2:S388)+1,IF(OR(I389&lt;&gt;"",A389="x"),S388,""))</f>
        <v/>
      </c>
      <c r="T389" t="str">
        <f>IF(D389=1,MAX($T$2:$T388)+1,IF(S389=$S388,$S388,IF($D389="x",T388,IF($D388="x","",""))))</f>
        <v/>
      </c>
      <c r="U389" t="str">
        <f>IF(B389=1,MAX($U$2:$U388)+1,IF(AND($T389&lt;&gt;"",$T389=$T388),$U388,IF(B389="x",U388,"")))</f>
        <v/>
      </c>
      <c r="V389" t="str">
        <f>IF(C389=1,MAX($V$2:$V388)+1,IF(AND($T389&lt;&gt;"",$T389=$T388),$U388,IF(C389="x",V388,"")))</f>
        <v/>
      </c>
      <c r="W389" t="str" cm="1">
        <f t="array" ref="W389">IFERROR(_xlfn._xlws.FILTER(game_rosters!AB:AB,(game_rosters!J:J=events!X389)*(K389&lt;&gt;"")),"")</f>
        <v/>
      </c>
      <c r="X389" t="str" cm="1">
        <f t="array" ref="X389">IF(S389="","",IF($I389&lt;&gt;"",$I389,INDEX($I$2:$I388,ROW()-COUNTIFS($T$2:$T388,"="&amp;$T389,$S$2:$S388,"&lt;&gt;"&amp;$S389)-1)))</f>
        <v/>
      </c>
      <c r="Z389" s="6"/>
      <c r="AH389" t="str">
        <f t="shared" si="125"/>
        <v>o</v>
      </c>
      <c r="AI389" t="str">
        <f t="shared" si="116"/>
        <v/>
      </c>
      <c r="AJ389" t="str">
        <f t="shared" si="117"/>
        <v/>
      </c>
      <c r="AK389" t="str">
        <f t="shared" si="126"/>
        <v/>
      </c>
      <c r="AL389" t="str">
        <f t="shared" si="127"/>
        <v/>
      </c>
      <c r="AM389" t="str">
        <f t="shared" si="128"/>
        <v/>
      </c>
      <c r="AN389" t="str">
        <f t="shared" si="118"/>
        <v/>
      </c>
      <c r="AO389" t="str">
        <f t="shared" si="119"/>
        <v/>
      </c>
      <c r="AP389" t="str">
        <f t="shared" si="120"/>
        <v/>
      </c>
      <c r="AQ389" t="str">
        <f t="shared" si="121"/>
        <v/>
      </c>
      <c r="AR389" t="str">
        <f t="shared" si="122"/>
        <v/>
      </c>
      <c r="AS389" t="str">
        <f t="shared" si="129"/>
        <v>Defensive</v>
      </c>
      <c r="BI389" s="40"/>
      <c r="BL389" s="40"/>
      <c r="BN389" s="19"/>
      <c r="BP389" s="17"/>
    </row>
    <row r="390" spans="1:68" x14ac:dyDescent="0.2">
      <c r="A390" t="str">
        <f t="shared" si="130"/>
        <v/>
      </c>
      <c r="E390" s="4"/>
      <c r="F390" s="45"/>
      <c r="G390" s="4"/>
      <c r="H390" s="48"/>
      <c r="J390" s="46" t="str">
        <f t="shared" ref="J390:J453" si="131">IF(OR(K390="Goal",K390="Shot",L390="Zone_Entry",M390="Stoppage-Goal",M389="Stoppage-Goal"),"o",IF(OR(K390="Save",K390="Rebound",L390="Zone_Exit",M390="Stoppage-GoalieStoppage",M389="Stoppage-GoalieStoppage"),"d",IF(OR(L390="Faceoff_AfterGoal",L390="Faceoff_PeriodStart",698="Faceoff_GameStart",M389="Stoppage-Goal"),"n","")))</f>
        <v/>
      </c>
      <c r="N390" t="str">
        <f t="shared" si="124"/>
        <v/>
      </c>
      <c r="Q390" t="str">
        <f t="shared" si="123"/>
        <v/>
      </c>
      <c r="S390" t="str">
        <f>IF(A390=1,MAX(S$2:S389)+1,IF(OR(I390&lt;&gt;"",A390="x"),S389,""))</f>
        <v/>
      </c>
      <c r="T390" t="str">
        <f>IF(D390=1,MAX($T$2:$T389)+1,IF(S390=$S389,$S389,IF($D390="x",T389,IF($D389="x","",""))))</f>
        <v/>
      </c>
      <c r="U390" t="str">
        <f>IF(B390=1,MAX($U$2:$U389)+1,IF(AND($T390&lt;&gt;"",$T390=$T389),$U389,IF(B390="x",U389,"")))</f>
        <v/>
      </c>
      <c r="V390" t="str">
        <f>IF(C390=1,MAX($V$2:$V389)+1,IF(AND($T390&lt;&gt;"",$T390=$T389),$U389,IF(C390="x",V389,"")))</f>
        <v/>
      </c>
      <c r="W390" t="str" cm="1">
        <f t="array" ref="W390">IFERROR(_xlfn._xlws.FILTER(game_rosters!AB:AB,(game_rosters!J:J=events!X390)*(K390&lt;&gt;"")),"")</f>
        <v/>
      </c>
      <c r="X390" t="str" cm="1">
        <f t="array" ref="X390">IF(S390="","",IF($I390&lt;&gt;"",$I390,INDEX($I$2:$I389,ROW()-COUNTIFS($T$2:$T389,"="&amp;$T390,$S$2:$S389,"&lt;&gt;"&amp;$S390)-1)))</f>
        <v/>
      </c>
      <c r="Z390" s="6"/>
      <c r="AH390" t="str">
        <f t="shared" si="125"/>
        <v>o</v>
      </c>
      <c r="AI390" t="str">
        <f t="shared" ref="AI390:AI453" si="132">IF($J390&lt;&gt;"",$J390,IF($AC390=$AC389,AI389,""))</f>
        <v/>
      </c>
      <c r="AJ390" t="str">
        <f t="shared" ref="AJ390:AJ453" si="133">IF($J390&lt;&gt;"",$J390,IF($AC390=AC389,AJ389,""))</f>
        <v/>
      </c>
      <c r="AK390" t="str">
        <f t="shared" si="126"/>
        <v/>
      </c>
      <c r="AL390" t="str">
        <f t="shared" si="127"/>
        <v/>
      </c>
      <c r="AM390" t="str">
        <f t="shared" si="128"/>
        <v/>
      </c>
      <c r="AN390" t="str">
        <f t="shared" ref="AN390:AN453" si="134">IF($W390&lt;&gt;"",$W390,IF($AC390=AC389,AN389,""))</f>
        <v/>
      </c>
      <c r="AO390" t="str">
        <f t="shared" ref="AO390:AO453" si="135">IF(AK390&lt;&gt;"",AK390,IF($AC390=AC389,AO389,""))</f>
        <v/>
      </c>
      <c r="AP390" t="str">
        <f t="shared" ref="AP390:AP453" si="136">IF(AL390&lt;&gt;"",AL390,IF($AC390=AC389,AP389,""))</f>
        <v/>
      </c>
      <c r="AQ390" t="str">
        <f t="shared" ref="AQ390:AQ453" si="137">IF(AM390&lt;&gt;"",AM390,IF($AC390=AC389,AQ389,""))</f>
        <v/>
      </c>
      <c r="AR390" t="str">
        <f t="shared" ref="AR390:AR453" si="138">IF(AN390&lt;&gt;"",AN390,IF($AC390=AC389,AQ389,""))</f>
        <v/>
      </c>
      <c r="AS390" t="str">
        <f t="shared" si="129"/>
        <v>Defensive</v>
      </c>
      <c r="BI390" s="40"/>
      <c r="BL390" s="40"/>
      <c r="BN390" s="19"/>
      <c r="BP390" s="17"/>
    </row>
    <row r="391" spans="1:68" x14ac:dyDescent="0.2">
      <c r="A391" t="str">
        <f t="shared" si="130"/>
        <v/>
      </c>
      <c r="E391" s="4"/>
      <c r="F391" s="45"/>
      <c r="G391" s="4"/>
      <c r="H391" s="48"/>
      <c r="J391" s="46" t="str">
        <f t="shared" si="131"/>
        <v/>
      </c>
      <c r="N391" t="str">
        <f t="shared" si="124"/>
        <v/>
      </c>
      <c r="Q391" t="str">
        <f t="shared" si="123"/>
        <v/>
      </c>
      <c r="S391" t="str">
        <f>IF(A391=1,MAX(S$2:S390)+1,IF(OR(I391&lt;&gt;"",A391="x"),S390,""))</f>
        <v/>
      </c>
      <c r="T391" t="str">
        <f>IF(D391=1,MAX($T$2:$T390)+1,IF(S391=$S390,$S390,IF($D391="x",T390,IF($D390="x","",""))))</f>
        <v/>
      </c>
      <c r="U391" t="str">
        <f>IF(B391=1,MAX($U$2:$U390)+1,IF(AND($T391&lt;&gt;"",$T391=$T390),$U390,IF(B391="x",U390,"")))</f>
        <v/>
      </c>
      <c r="V391" t="str">
        <f>IF(C391=1,MAX($V$2:$V390)+1,IF(AND($T391&lt;&gt;"",$T391=$T390),$U390,IF(C391="x",V390,"")))</f>
        <v/>
      </c>
      <c r="W391" t="str" cm="1">
        <f t="array" ref="W391">IFERROR(_xlfn._xlws.FILTER(game_rosters!AB:AB,(game_rosters!J:J=events!X391)*(K391&lt;&gt;"")),"")</f>
        <v/>
      </c>
      <c r="X391" t="str" cm="1">
        <f t="array" ref="X391">IF(S391="","",IF($I391&lt;&gt;"",$I391,INDEX($I$2:$I390,ROW()-COUNTIFS($T$2:$T390,"="&amp;$T391,$S$2:$S390,"&lt;&gt;"&amp;$S391)-1)))</f>
        <v/>
      </c>
      <c r="Z391" s="6"/>
      <c r="AH391" t="str">
        <f t="shared" si="125"/>
        <v>o</v>
      </c>
      <c r="AI391" t="str">
        <f t="shared" si="132"/>
        <v/>
      </c>
      <c r="AJ391" t="str">
        <f t="shared" si="133"/>
        <v/>
      </c>
      <c r="AK391" t="str">
        <f t="shared" si="126"/>
        <v/>
      </c>
      <c r="AL391" t="str">
        <f t="shared" si="127"/>
        <v/>
      </c>
      <c r="AM391" t="str">
        <f t="shared" si="128"/>
        <v/>
      </c>
      <c r="AN391" t="str">
        <f t="shared" si="134"/>
        <v/>
      </c>
      <c r="AO391" t="str">
        <f t="shared" si="135"/>
        <v/>
      </c>
      <c r="AP391" t="str">
        <f t="shared" si="136"/>
        <v/>
      </c>
      <c r="AQ391" t="str">
        <f t="shared" si="137"/>
        <v/>
      </c>
      <c r="AR391" t="str">
        <f t="shared" si="138"/>
        <v/>
      </c>
      <c r="AS391" t="str">
        <f t="shared" si="129"/>
        <v>Defensive</v>
      </c>
      <c r="BI391" s="40"/>
      <c r="BL391" s="40"/>
      <c r="BN391" s="19"/>
      <c r="BP391" s="17"/>
    </row>
    <row r="392" spans="1:68" x14ac:dyDescent="0.2">
      <c r="A392" t="str">
        <f t="shared" si="130"/>
        <v/>
      </c>
      <c r="E392" s="4"/>
      <c r="F392" s="45"/>
      <c r="G392" s="4"/>
      <c r="H392" s="48"/>
      <c r="J392" s="46" t="str">
        <f t="shared" si="131"/>
        <v/>
      </c>
      <c r="N392" t="str">
        <f t="shared" si="124"/>
        <v/>
      </c>
      <c r="Q392" t="str">
        <f t="shared" si="123"/>
        <v/>
      </c>
      <c r="S392" t="str">
        <f>IF(A392=1,MAX(S$2:S391)+1,IF(OR(I392&lt;&gt;"",A392="x"),S391,""))</f>
        <v/>
      </c>
      <c r="T392" t="str">
        <f>IF(D392=1,MAX($T$2:$T391)+1,IF(S392=$S391,$S391,IF($D392="x",T391,IF($D391="x","",""))))</f>
        <v/>
      </c>
      <c r="U392" t="str">
        <f>IF(B392=1,MAX($U$2:$U391)+1,IF(AND($T392&lt;&gt;"",$T392=$T391),$U391,IF(B392="x",U391,"")))</f>
        <v/>
      </c>
      <c r="V392" t="str">
        <f>IF(C392=1,MAX($V$2:$V391)+1,IF(AND($T392&lt;&gt;"",$T392=$T391),$U391,IF(C392="x",V391,"")))</f>
        <v/>
      </c>
      <c r="W392" t="str" cm="1">
        <f t="array" ref="W392">IFERROR(_xlfn._xlws.FILTER(game_rosters!AB:AB,(game_rosters!J:J=events!X392)*(K392&lt;&gt;"")),"")</f>
        <v/>
      </c>
      <c r="X392" t="str" cm="1">
        <f t="array" ref="X392">IF(S392="","",IF($I392&lt;&gt;"",$I392,INDEX($I$2:$I391,ROW()-COUNTIFS($T$2:$T391,"="&amp;$T392,$S$2:$S391,"&lt;&gt;"&amp;$S392)-1)))</f>
        <v/>
      </c>
      <c r="Z392" s="6"/>
      <c r="AH392" t="str">
        <f t="shared" si="125"/>
        <v>o</v>
      </c>
      <c r="AI392" t="str">
        <f t="shared" si="132"/>
        <v/>
      </c>
      <c r="AJ392" t="str">
        <f t="shared" si="133"/>
        <v/>
      </c>
      <c r="AK392" t="str">
        <f t="shared" si="126"/>
        <v/>
      </c>
      <c r="AL392" t="str">
        <f t="shared" si="127"/>
        <v/>
      </c>
      <c r="AM392" t="str">
        <f t="shared" si="128"/>
        <v/>
      </c>
      <c r="AN392" t="str">
        <f t="shared" si="134"/>
        <v/>
      </c>
      <c r="AO392" t="str">
        <f t="shared" si="135"/>
        <v/>
      </c>
      <c r="AP392" t="str">
        <f t="shared" si="136"/>
        <v/>
      </c>
      <c r="AQ392" t="str">
        <f t="shared" si="137"/>
        <v/>
      </c>
      <c r="AR392" t="str">
        <f t="shared" si="138"/>
        <v/>
      </c>
      <c r="AS392" t="str">
        <f t="shared" si="129"/>
        <v>Defensive</v>
      </c>
      <c r="BI392" s="40"/>
      <c r="BL392" s="40"/>
      <c r="BN392" s="19"/>
      <c r="BP392" s="17"/>
    </row>
    <row r="393" spans="1:68" x14ac:dyDescent="0.2">
      <c r="A393" t="str">
        <f t="shared" si="130"/>
        <v/>
      </c>
      <c r="E393" s="4"/>
      <c r="F393" s="45"/>
      <c r="G393" s="4"/>
      <c r="H393" s="48"/>
      <c r="J393" s="46" t="str">
        <f t="shared" si="131"/>
        <v/>
      </c>
      <c r="N393" t="str">
        <f t="shared" si="124"/>
        <v/>
      </c>
      <c r="Q393" t="str">
        <f t="shared" si="123"/>
        <v/>
      </c>
      <c r="S393" t="str">
        <f>IF(A393=1,MAX(S$2:S392)+1,IF(OR(I393&lt;&gt;"",A393="x"),S392,""))</f>
        <v/>
      </c>
      <c r="T393" t="str">
        <f>IF(D393=1,MAX($T$2:$T392)+1,IF(S393=$S392,$S392,IF($D393="x",T392,IF($D392="x","",""))))</f>
        <v/>
      </c>
      <c r="U393" t="str">
        <f>IF(B393=1,MAX($U$2:$U392)+1,IF(AND($T393&lt;&gt;"",$T393=$T392),$U392,IF(B393="x",U392,"")))</f>
        <v/>
      </c>
      <c r="V393" t="str">
        <f>IF(C393=1,MAX($V$2:$V392)+1,IF(AND($T393&lt;&gt;"",$T393=$T392),$U392,IF(C393="x",V392,"")))</f>
        <v/>
      </c>
      <c r="W393" t="str" cm="1">
        <f t="array" ref="W393">IFERROR(_xlfn._xlws.FILTER(game_rosters!AB:AB,(game_rosters!J:J=events!X393)*(K393&lt;&gt;"")),"")</f>
        <v/>
      </c>
      <c r="X393" t="str" cm="1">
        <f t="array" ref="X393">IF(S393="","",IF($I393&lt;&gt;"",$I393,INDEX($I$2:$I392,ROW()-COUNTIFS($T$2:$T392,"="&amp;$T393,$S$2:$S392,"&lt;&gt;"&amp;$S393)-1)))</f>
        <v/>
      </c>
      <c r="Z393" s="6"/>
      <c r="AH393" t="str">
        <f t="shared" si="125"/>
        <v>o</v>
      </c>
      <c r="AI393" t="str">
        <f t="shared" si="132"/>
        <v/>
      </c>
      <c r="AJ393" t="str">
        <f t="shared" si="133"/>
        <v/>
      </c>
      <c r="AK393" t="str">
        <f t="shared" si="126"/>
        <v/>
      </c>
      <c r="AL393" t="str">
        <f t="shared" si="127"/>
        <v/>
      </c>
      <c r="AM393" t="str">
        <f t="shared" si="128"/>
        <v/>
      </c>
      <c r="AN393" t="str">
        <f t="shared" si="134"/>
        <v/>
      </c>
      <c r="AO393" t="str">
        <f t="shared" si="135"/>
        <v/>
      </c>
      <c r="AP393" t="str">
        <f t="shared" si="136"/>
        <v/>
      </c>
      <c r="AQ393" t="str">
        <f t="shared" si="137"/>
        <v/>
      </c>
      <c r="AR393" t="str">
        <f t="shared" si="138"/>
        <v/>
      </c>
      <c r="AS393" t="str">
        <f t="shared" si="129"/>
        <v>Defensive</v>
      </c>
      <c r="BI393" s="40"/>
      <c r="BL393" s="40"/>
      <c r="BN393" s="19"/>
      <c r="BP393" s="17"/>
    </row>
    <row r="394" spans="1:68" x14ac:dyDescent="0.2">
      <c r="A394" t="str">
        <f t="shared" si="130"/>
        <v/>
      </c>
      <c r="E394" s="4"/>
      <c r="F394" s="45"/>
      <c r="G394" s="4"/>
      <c r="H394" s="48"/>
      <c r="J394" s="46" t="str">
        <f t="shared" si="131"/>
        <v/>
      </c>
      <c r="N394" t="str">
        <f t="shared" si="124"/>
        <v/>
      </c>
      <c r="Q394" t="str">
        <f t="shared" si="123"/>
        <v/>
      </c>
      <c r="S394" t="str">
        <f>IF(A394=1,MAX(S$2:S393)+1,IF(OR(I394&lt;&gt;"",A394="x"),S393,""))</f>
        <v/>
      </c>
      <c r="T394" t="str">
        <f>IF(D394=1,MAX($T$2:$T393)+1,IF(S394=$S393,$S393,IF($D394="x",T393,IF($D393="x","",""))))</f>
        <v/>
      </c>
      <c r="U394" t="str">
        <f>IF(B394=1,MAX($U$2:$U393)+1,IF(AND($T394&lt;&gt;"",$T394=$T393),$U393,IF(B394="x",U393,"")))</f>
        <v/>
      </c>
      <c r="V394" t="str">
        <f>IF(C394=1,MAX($V$2:$V393)+1,IF(AND($T394&lt;&gt;"",$T394=$T393),$U393,IF(C394="x",V393,"")))</f>
        <v/>
      </c>
      <c r="W394" t="str" cm="1">
        <f t="array" ref="W394">IFERROR(_xlfn._xlws.FILTER(game_rosters!AB:AB,(game_rosters!J:J=events!X394)*(K394&lt;&gt;"")),"")</f>
        <v/>
      </c>
      <c r="X394" t="str" cm="1">
        <f t="array" ref="X394">IF(S394="","",IF($I394&lt;&gt;"",$I394,INDEX($I$2:$I393,ROW()-COUNTIFS($T$2:$T393,"="&amp;$T394,$S$2:$S393,"&lt;&gt;"&amp;$S394)-1)))</f>
        <v/>
      </c>
      <c r="Z394" s="6"/>
      <c r="AH394" t="str">
        <f t="shared" si="125"/>
        <v>o</v>
      </c>
      <c r="AI394" t="str">
        <f t="shared" si="132"/>
        <v/>
      </c>
      <c r="AJ394" t="str">
        <f t="shared" si="133"/>
        <v/>
      </c>
      <c r="AK394" t="str">
        <f t="shared" si="126"/>
        <v/>
      </c>
      <c r="AL394" t="str">
        <f t="shared" si="127"/>
        <v/>
      </c>
      <c r="AM394" t="str">
        <f t="shared" si="128"/>
        <v/>
      </c>
      <c r="AN394" t="str">
        <f t="shared" si="134"/>
        <v/>
      </c>
      <c r="AO394" t="str">
        <f t="shared" si="135"/>
        <v/>
      </c>
      <c r="AP394" t="str">
        <f t="shared" si="136"/>
        <v/>
      </c>
      <c r="AQ394" t="str">
        <f t="shared" si="137"/>
        <v/>
      </c>
      <c r="AR394" t="str">
        <f t="shared" si="138"/>
        <v/>
      </c>
      <c r="AS394" t="str">
        <f t="shared" si="129"/>
        <v>Defensive</v>
      </c>
      <c r="BI394" s="40"/>
      <c r="BL394" s="40"/>
      <c r="BN394" s="19"/>
      <c r="BP394" s="17"/>
    </row>
    <row r="395" spans="1:68" x14ac:dyDescent="0.2">
      <c r="A395" t="str">
        <f t="shared" si="130"/>
        <v/>
      </c>
      <c r="E395" s="4"/>
      <c r="F395" s="45"/>
      <c r="G395" s="4"/>
      <c r="H395" s="48"/>
      <c r="J395" s="46" t="str">
        <f t="shared" si="131"/>
        <v/>
      </c>
      <c r="N395" t="str">
        <f t="shared" si="124"/>
        <v/>
      </c>
      <c r="Q395" t="str">
        <f t="shared" si="123"/>
        <v/>
      </c>
      <c r="S395" t="str">
        <f>IF(A395=1,MAX(S$2:S394)+1,IF(OR(I395&lt;&gt;"",A395="x"),S394,""))</f>
        <v/>
      </c>
      <c r="T395" t="str">
        <f>IF(D395=1,MAX($T$2:$T394)+1,IF(S395=$S394,$S394,IF($D395="x",T394,IF($D394="x","",""))))</f>
        <v/>
      </c>
      <c r="U395" t="str">
        <f>IF(B395=1,MAX($U$2:$U394)+1,IF(AND($T395&lt;&gt;"",$T395=$T394),$U394,IF(B395="x",U394,"")))</f>
        <v/>
      </c>
      <c r="V395" t="str">
        <f>IF(C395=1,MAX($V$2:$V394)+1,IF(AND($T395&lt;&gt;"",$T395=$T394),$U394,IF(C395="x",V394,"")))</f>
        <v/>
      </c>
      <c r="W395" t="str" cm="1">
        <f t="array" ref="W395">IFERROR(_xlfn._xlws.FILTER(game_rosters!AB:AB,(game_rosters!J:J=events!X395)*(K395&lt;&gt;"")),"")</f>
        <v/>
      </c>
      <c r="X395" t="str" cm="1">
        <f t="array" ref="X395">IF(S395="","",IF($I395&lt;&gt;"",$I395,INDEX($I$2:$I394,ROW()-COUNTIFS($T$2:$T394,"="&amp;$T395,$S$2:$S394,"&lt;&gt;"&amp;$S395)-1)))</f>
        <v/>
      </c>
      <c r="Z395" s="6"/>
      <c r="AH395" t="str">
        <f t="shared" si="125"/>
        <v>o</v>
      </c>
      <c r="AI395" t="str">
        <f t="shared" si="132"/>
        <v/>
      </c>
      <c r="AJ395" t="str">
        <f t="shared" si="133"/>
        <v/>
      </c>
      <c r="AK395" t="str">
        <f t="shared" si="126"/>
        <v/>
      </c>
      <c r="AL395" t="str">
        <f t="shared" si="127"/>
        <v/>
      </c>
      <c r="AM395" t="str">
        <f t="shared" si="128"/>
        <v/>
      </c>
      <c r="AN395" t="str">
        <f t="shared" si="134"/>
        <v/>
      </c>
      <c r="AO395" t="str">
        <f t="shared" si="135"/>
        <v/>
      </c>
      <c r="AP395" t="str">
        <f t="shared" si="136"/>
        <v/>
      </c>
      <c r="AQ395" t="str">
        <f t="shared" si="137"/>
        <v/>
      </c>
      <c r="AR395" t="str">
        <f t="shared" si="138"/>
        <v/>
      </c>
      <c r="AS395" t="str">
        <f t="shared" si="129"/>
        <v>Defensive</v>
      </c>
      <c r="BI395" s="40"/>
      <c r="BL395" s="40"/>
      <c r="BN395" s="19"/>
      <c r="BP395" s="17"/>
    </row>
    <row r="396" spans="1:68" x14ac:dyDescent="0.2">
      <c r="A396" t="str">
        <f t="shared" si="130"/>
        <v/>
      </c>
      <c r="E396" s="4"/>
      <c r="F396" s="45"/>
      <c r="G396" s="4"/>
      <c r="H396" s="48"/>
      <c r="J396" s="46" t="str">
        <f t="shared" si="131"/>
        <v/>
      </c>
      <c r="N396" t="str">
        <f t="shared" si="124"/>
        <v/>
      </c>
      <c r="Q396" t="str">
        <f t="shared" si="123"/>
        <v/>
      </c>
      <c r="S396" t="str">
        <f>IF(A396=1,MAX(S$2:S395)+1,IF(OR(I396&lt;&gt;"",A396="x"),S395,""))</f>
        <v/>
      </c>
      <c r="T396" t="str">
        <f>IF(D396=1,MAX($T$2:$T395)+1,IF(S396=$S395,$S395,IF($D396="x",T395,IF($D395="x","",""))))</f>
        <v/>
      </c>
      <c r="U396" t="str">
        <f>IF(B396=1,MAX($U$2:$U395)+1,IF(AND($T396&lt;&gt;"",$T396=$T395),$U395,IF(B396="x",U395,"")))</f>
        <v/>
      </c>
      <c r="V396" t="str">
        <f>IF(C396=1,MAX($V$2:$V395)+1,IF(AND($T396&lt;&gt;"",$T396=$T395),$U395,IF(C396="x",V395,"")))</f>
        <v/>
      </c>
      <c r="W396" t="str" cm="1">
        <f t="array" ref="W396">IFERROR(_xlfn._xlws.FILTER(game_rosters!AB:AB,(game_rosters!J:J=events!X396)*(K396&lt;&gt;"")),"")</f>
        <v/>
      </c>
      <c r="X396" t="str" cm="1">
        <f t="array" ref="X396">IF(S396="","",IF($I396&lt;&gt;"",$I396,INDEX($I$2:$I395,ROW()-COUNTIFS($T$2:$T395,"="&amp;$T396,$S$2:$S395,"&lt;&gt;"&amp;$S396)-1)))</f>
        <v/>
      </c>
      <c r="Z396" s="6"/>
      <c r="AH396" t="str">
        <f t="shared" si="125"/>
        <v>o</v>
      </c>
      <c r="AI396" t="str">
        <f t="shared" si="132"/>
        <v/>
      </c>
      <c r="AJ396" t="str">
        <f t="shared" si="133"/>
        <v/>
      </c>
      <c r="AK396" t="str">
        <f t="shared" si="126"/>
        <v/>
      </c>
      <c r="AL396" t="str">
        <f t="shared" si="127"/>
        <v/>
      </c>
      <c r="AM396" t="str">
        <f t="shared" si="128"/>
        <v/>
      </c>
      <c r="AN396" t="str">
        <f t="shared" si="134"/>
        <v/>
      </c>
      <c r="AO396" t="str">
        <f t="shared" si="135"/>
        <v/>
      </c>
      <c r="AP396" t="str">
        <f t="shared" si="136"/>
        <v/>
      </c>
      <c r="AQ396" t="str">
        <f t="shared" si="137"/>
        <v/>
      </c>
      <c r="AR396" t="str">
        <f t="shared" si="138"/>
        <v/>
      </c>
      <c r="AS396" t="str">
        <f t="shared" si="129"/>
        <v>Defensive</v>
      </c>
      <c r="BI396" s="40"/>
      <c r="BL396" s="40"/>
      <c r="BN396" s="19"/>
      <c r="BP396" s="17"/>
    </row>
    <row r="397" spans="1:68" x14ac:dyDescent="0.2">
      <c r="A397" t="str">
        <f t="shared" si="130"/>
        <v/>
      </c>
      <c r="E397" s="4"/>
      <c r="F397" s="45"/>
      <c r="G397" s="4"/>
      <c r="H397" s="48"/>
      <c r="J397" s="46" t="str">
        <f t="shared" si="131"/>
        <v/>
      </c>
      <c r="N397" t="str">
        <f t="shared" si="124"/>
        <v/>
      </c>
      <c r="Q397" t="str">
        <f t="shared" si="123"/>
        <v/>
      </c>
      <c r="S397" t="str">
        <f>IF(A397=1,MAX(S$2:S396)+1,IF(OR(I397&lt;&gt;"",A397="x"),S396,""))</f>
        <v/>
      </c>
      <c r="T397" t="str">
        <f>IF(D397=1,MAX($T$2:$T396)+1,IF(S397=$S396,$S396,IF($D397="x",T396,IF($D396="x","",""))))</f>
        <v/>
      </c>
      <c r="U397" t="str">
        <f>IF(B397=1,MAX($U$2:$U396)+1,IF(AND($T397&lt;&gt;"",$T397=$T396),$U396,IF(B397="x",U396,"")))</f>
        <v/>
      </c>
      <c r="V397" t="str">
        <f>IF(C397=1,MAX($V$2:$V396)+1,IF(AND($T397&lt;&gt;"",$T397=$T396),$U396,IF(C397="x",V396,"")))</f>
        <v/>
      </c>
      <c r="W397" t="str" cm="1">
        <f t="array" ref="W397">IFERROR(_xlfn._xlws.FILTER(game_rosters!AB:AB,(game_rosters!J:J=events!X397)*(K397&lt;&gt;"")),"")</f>
        <v/>
      </c>
      <c r="X397" t="str" cm="1">
        <f t="array" ref="X397">IF(S397="","",IF($I397&lt;&gt;"",$I397,INDEX($I$2:$I396,ROW()-COUNTIFS($T$2:$T396,"="&amp;$T397,$S$2:$S396,"&lt;&gt;"&amp;$S397)-1)))</f>
        <v/>
      </c>
      <c r="Z397" s="6"/>
      <c r="AH397" t="str">
        <f t="shared" si="125"/>
        <v>o</v>
      </c>
      <c r="AI397" t="str">
        <f t="shared" si="132"/>
        <v/>
      </c>
      <c r="AJ397" t="str">
        <f t="shared" si="133"/>
        <v/>
      </c>
      <c r="AK397" t="str">
        <f t="shared" si="126"/>
        <v/>
      </c>
      <c r="AL397" t="str">
        <f t="shared" si="127"/>
        <v/>
      </c>
      <c r="AM397" t="str">
        <f t="shared" si="128"/>
        <v/>
      </c>
      <c r="AN397" t="str">
        <f t="shared" si="134"/>
        <v/>
      </c>
      <c r="AO397" t="str">
        <f t="shared" si="135"/>
        <v/>
      </c>
      <c r="AP397" t="str">
        <f t="shared" si="136"/>
        <v/>
      </c>
      <c r="AQ397" t="str">
        <f t="shared" si="137"/>
        <v/>
      </c>
      <c r="AR397" t="str">
        <f t="shared" si="138"/>
        <v/>
      </c>
      <c r="AS397" t="str">
        <f t="shared" si="129"/>
        <v>Defensive</v>
      </c>
      <c r="BI397" s="40"/>
      <c r="BL397" s="40"/>
      <c r="BN397" s="19"/>
      <c r="BP397" s="17"/>
    </row>
    <row r="398" spans="1:68" x14ac:dyDescent="0.2">
      <c r="A398" t="str">
        <f t="shared" si="130"/>
        <v/>
      </c>
      <c r="E398" s="4"/>
      <c r="F398" s="45"/>
      <c r="G398" s="4"/>
      <c r="H398" s="48"/>
      <c r="J398" s="46" t="str">
        <f t="shared" si="131"/>
        <v/>
      </c>
      <c r="N398" t="str">
        <f t="shared" si="124"/>
        <v/>
      </c>
      <c r="Q398" t="str">
        <f t="shared" si="123"/>
        <v/>
      </c>
      <c r="S398" t="str">
        <f>IF(A398=1,MAX(S$2:S397)+1,IF(OR(I398&lt;&gt;"",A398="x"),S397,""))</f>
        <v/>
      </c>
      <c r="T398" t="str">
        <f>IF(D398=1,MAX($T$2:$T397)+1,IF(S398=$S397,$S397,IF($D398="x",T397,IF($D397="x","",""))))</f>
        <v/>
      </c>
      <c r="U398" t="str">
        <f>IF(B398=1,MAX($U$2:$U397)+1,IF(AND($T398&lt;&gt;"",$T398=$T397),$U397,IF(B398="x",U397,"")))</f>
        <v/>
      </c>
      <c r="V398" t="str">
        <f>IF(C398=1,MAX($V$2:$V397)+1,IF(AND($T398&lt;&gt;"",$T398=$T397),$U397,IF(C398="x",V397,"")))</f>
        <v/>
      </c>
      <c r="W398" t="str" cm="1">
        <f t="array" ref="W398">IFERROR(_xlfn._xlws.FILTER(game_rosters!AB:AB,(game_rosters!J:J=events!X398)*(K398&lt;&gt;"")),"")</f>
        <v/>
      </c>
      <c r="X398" t="str" cm="1">
        <f t="array" ref="X398">IF(S398="","",IF($I398&lt;&gt;"",$I398,INDEX($I$2:$I397,ROW()-COUNTIFS($T$2:$T397,"="&amp;$T398,$S$2:$S397,"&lt;&gt;"&amp;$S398)-1)))</f>
        <v/>
      </c>
      <c r="Z398" s="6"/>
      <c r="AH398" t="str">
        <f t="shared" si="125"/>
        <v>o</v>
      </c>
      <c r="AI398" t="str">
        <f t="shared" si="132"/>
        <v/>
      </c>
      <c r="AJ398" t="str">
        <f t="shared" si="133"/>
        <v/>
      </c>
      <c r="AK398" t="str">
        <f t="shared" si="126"/>
        <v/>
      </c>
      <c r="AL398" t="str">
        <f t="shared" si="127"/>
        <v/>
      </c>
      <c r="AM398" t="str">
        <f t="shared" si="128"/>
        <v/>
      </c>
      <c r="AN398" t="str">
        <f t="shared" si="134"/>
        <v/>
      </c>
      <c r="AO398" t="str">
        <f t="shared" si="135"/>
        <v/>
      </c>
      <c r="AP398" t="str">
        <f t="shared" si="136"/>
        <v/>
      </c>
      <c r="AQ398" t="str">
        <f t="shared" si="137"/>
        <v/>
      </c>
      <c r="AR398" t="str">
        <f t="shared" si="138"/>
        <v/>
      </c>
      <c r="AS398" t="str">
        <f t="shared" si="129"/>
        <v>Defensive</v>
      </c>
      <c r="BI398" s="40"/>
      <c r="BL398" s="40"/>
      <c r="BN398" s="19"/>
      <c r="BP398" s="17"/>
    </row>
    <row r="399" spans="1:68" x14ac:dyDescent="0.2">
      <c r="A399" t="str">
        <f t="shared" si="130"/>
        <v/>
      </c>
      <c r="E399" s="4"/>
      <c r="F399" s="45"/>
      <c r="G399" s="4"/>
      <c r="H399" s="48"/>
      <c r="J399" s="46" t="str">
        <f t="shared" si="131"/>
        <v/>
      </c>
      <c r="N399" t="str">
        <f t="shared" si="124"/>
        <v/>
      </c>
      <c r="Q399" t="str">
        <f t="shared" si="123"/>
        <v/>
      </c>
      <c r="S399" t="str">
        <f>IF(A399=1,MAX(S$2:S398)+1,IF(OR(I399&lt;&gt;"",A399="x"),S398,""))</f>
        <v/>
      </c>
      <c r="T399" t="str">
        <f>IF(D399=1,MAX($T$2:$T398)+1,IF(S399=$S398,$S398,IF($D399="x",T398,IF($D398="x","",""))))</f>
        <v/>
      </c>
      <c r="U399" t="str">
        <f>IF(B399=1,MAX($U$2:$U398)+1,IF(AND($T399&lt;&gt;"",$T399=$T398),$U398,IF(B399="x",U398,"")))</f>
        <v/>
      </c>
      <c r="V399" t="str">
        <f>IF(C399=1,MAX($V$2:$V398)+1,IF(AND($T399&lt;&gt;"",$T399=$T398),$U398,IF(C399="x",V398,"")))</f>
        <v/>
      </c>
      <c r="W399" t="str" cm="1">
        <f t="array" ref="W399">IFERROR(_xlfn._xlws.FILTER(game_rosters!AB:AB,(game_rosters!J:J=events!X399)*(K399&lt;&gt;"")),"")</f>
        <v/>
      </c>
      <c r="X399" t="str" cm="1">
        <f t="array" ref="X399">IF(S399="","",IF($I399&lt;&gt;"",$I399,INDEX($I$2:$I398,ROW()-COUNTIFS($T$2:$T398,"="&amp;$T399,$S$2:$S398,"&lt;&gt;"&amp;$S399)-1)))</f>
        <v/>
      </c>
      <c r="Z399" s="6"/>
      <c r="AH399" t="str">
        <f t="shared" si="125"/>
        <v>o</v>
      </c>
      <c r="AI399" t="str">
        <f t="shared" si="132"/>
        <v/>
      </c>
      <c r="AJ399" t="str">
        <f t="shared" si="133"/>
        <v/>
      </c>
      <c r="AK399" t="str">
        <f t="shared" si="126"/>
        <v/>
      </c>
      <c r="AL399" t="str">
        <f t="shared" si="127"/>
        <v/>
      </c>
      <c r="AM399" t="str">
        <f t="shared" si="128"/>
        <v/>
      </c>
      <c r="AN399" t="str">
        <f t="shared" si="134"/>
        <v/>
      </c>
      <c r="AO399" t="str">
        <f t="shared" si="135"/>
        <v/>
      </c>
      <c r="AP399" t="str">
        <f t="shared" si="136"/>
        <v/>
      </c>
      <c r="AQ399" t="str">
        <f t="shared" si="137"/>
        <v/>
      </c>
      <c r="AR399" t="str">
        <f t="shared" si="138"/>
        <v/>
      </c>
      <c r="AS399" t="str">
        <f t="shared" si="129"/>
        <v>Defensive</v>
      </c>
      <c r="BI399" s="40"/>
      <c r="BL399" s="40"/>
      <c r="BN399" s="19"/>
      <c r="BP399" s="17"/>
    </row>
    <row r="400" spans="1:68" x14ac:dyDescent="0.2">
      <c r="A400" t="str">
        <f t="shared" si="130"/>
        <v/>
      </c>
      <c r="E400" s="4"/>
      <c r="F400" s="45"/>
      <c r="G400" s="4"/>
      <c r="H400" s="48"/>
      <c r="J400" s="46" t="str">
        <f t="shared" si="131"/>
        <v/>
      </c>
      <c r="N400" t="str">
        <f t="shared" si="124"/>
        <v/>
      </c>
      <c r="Q400" t="str">
        <f t="shared" ref="Q400:Q463" si="139">IF(O400="","",IF(AND(N400&lt;&gt;"",OR(O400&lt;&gt;"",P400&lt;&gt;"")),N400,IF(OR(ISNUMBER(SEARCH("attemp",O400)),ISNUMBER(SEARCH("beat",O400)),ISNUMBER(SEARCH("mis",O400)),ISNUMBER(SEARCH("fail",O400)),ISNUMBER(SEARCH("loss",O400)),ISNUMBER(SEARCH("lost",O400)),ISNUMBER(SEARCH("attemp",P400)),ISNUMBER(SEARCH("mis",P400)),ISNUMBER(SEARCH("fail",P400)),ISNUMBER(SEARCH("loss",P400)),ISNUMBER(SEARCH("beat",P400)),ISNUMBER(SEARCH("lost",P400))),"u","")))</f>
        <v/>
      </c>
      <c r="S400" t="str">
        <f>IF(A400=1,MAX(S$2:S399)+1,IF(OR(I400&lt;&gt;"",A400="x"),S399,""))</f>
        <v/>
      </c>
      <c r="T400" t="str">
        <f>IF(D400=1,MAX($T$2:$T399)+1,IF(S400=$S399,$S399,IF($D400="x",T399,IF($D399="x","",""))))</f>
        <v/>
      </c>
      <c r="U400" t="str">
        <f>IF(B400=1,MAX($U$2:$U399)+1,IF(AND($T400&lt;&gt;"",$T400=$T399),$U399,IF(B400="x",U399,"")))</f>
        <v/>
      </c>
      <c r="V400" t="str">
        <f>IF(C400=1,MAX($V$2:$V399)+1,IF(AND($T400&lt;&gt;"",$T400=$T399),$U399,IF(C400="x",V399,"")))</f>
        <v/>
      </c>
      <c r="W400" t="str" cm="1">
        <f t="array" ref="W400">IFERROR(_xlfn._xlws.FILTER(game_rosters!AB:AB,(game_rosters!J:J=events!X400)*(K400&lt;&gt;"")),"")</f>
        <v/>
      </c>
      <c r="X400" t="str" cm="1">
        <f t="array" ref="X400">IF(S400="","",IF($I400&lt;&gt;"",$I400,INDEX($I$2:$I399,ROW()-COUNTIFS($T$2:$T399,"="&amp;$T400,$S$2:$S399,"&lt;&gt;"&amp;$S400)-1)))</f>
        <v/>
      </c>
      <c r="Z400" s="6"/>
      <c r="AH400" t="str">
        <f t="shared" si="125"/>
        <v>o</v>
      </c>
      <c r="AI400" t="str">
        <f t="shared" si="132"/>
        <v/>
      </c>
      <c r="AJ400" t="str">
        <f t="shared" si="133"/>
        <v/>
      </c>
      <c r="AK400" t="str">
        <f t="shared" si="126"/>
        <v/>
      </c>
      <c r="AL400" t="str">
        <f t="shared" si="127"/>
        <v/>
      </c>
      <c r="AM400" t="str">
        <f t="shared" si="128"/>
        <v/>
      </c>
      <c r="AN400" t="str">
        <f t="shared" si="134"/>
        <v/>
      </c>
      <c r="AO400" t="str">
        <f t="shared" si="135"/>
        <v/>
      </c>
      <c r="AP400" t="str">
        <f t="shared" si="136"/>
        <v/>
      </c>
      <c r="AQ400" t="str">
        <f t="shared" si="137"/>
        <v/>
      </c>
      <c r="AR400" t="str">
        <f t="shared" si="138"/>
        <v/>
      </c>
      <c r="AS400" t="str">
        <f t="shared" si="129"/>
        <v>Defensive</v>
      </c>
      <c r="BI400" s="40"/>
      <c r="BL400" s="40"/>
      <c r="BN400" s="19"/>
      <c r="BP400" s="17"/>
    </row>
    <row r="401" spans="1:68" x14ac:dyDescent="0.2">
      <c r="A401" t="str">
        <f t="shared" si="130"/>
        <v/>
      </c>
      <c r="E401" s="4"/>
      <c r="F401" s="45"/>
      <c r="G401" s="4"/>
      <c r="H401" s="48"/>
      <c r="J401" s="46" t="str">
        <f t="shared" si="131"/>
        <v/>
      </c>
      <c r="N401" t="str">
        <f t="shared" si="124"/>
        <v/>
      </c>
      <c r="Q401" t="str">
        <f t="shared" si="139"/>
        <v/>
      </c>
      <c r="S401" t="str">
        <f>IF(A401=1,MAX(S$2:S400)+1,IF(OR(I401&lt;&gt;"",A401="x"),S400,""))</f>
        <v/>
      </c>
      <c r="T401" t="str">
        <f>IF(D401=1,MAX($T$2:$T400)+1,IF(S401=$S400,$S400,IF($D401="x",T400,IF($D400="x","",""))))</f>
        <v/>
      </c>
      <c r="U401" t="str">
        <f>IF(B401=1,MAX($U$2:$U400)+1,IF(AND($T401&lt;&gt;"",$T401=$T400),$U400,IF(B401="x",U400,"")))</f>
        <v/>
      </c>
      <c r="V401" t="str">
        <f>IF(C401=1,MAX($V$2:$V400)+1,IF(AND($T401&lt;&gt;"",$T401=$T400),$U400,IF(C401="x",V400,"")))</f>
        <v/>
      </c>
      <c r="W401" t="str" cm="1">
        <f t="array" ref="W401">IFERROR(_xlfn._xlws.FILTER(game_rosters!AB:AB,(game_rosters!J:J=events!X401)*(K401&lt;&gt;"")),"")</f>
        <v/>
      </c>
      <c r="X401" t="str" cm="1">
        <f t="array" ref="X401">IF(S401="","",IF($I401&lt;&gt;"",$I401,INDEX($I$2:$I400,ROW()-COUNTIFS($T$2:$T400,"="&amp;$T401,$S$2:$S400,"&lt;&gt;"&amp;$S401)-1)))</f>
        <v/>
      </c>
      <c r="Z401" s="6"/>
      <c r="AH401" t="str">
        <f t="shared" si="125"/>
        <v>o</v>
      </c>
      <c r="AI401" t="str">
        <f t="shared" si="132"/>
        <v/>
      </c>
      <c r="AJ401" t="str">
        <f t="shared" si="133"/>
        <v/>
      </c>
      <c r="AK401" t="str">
        <f t="shared" si="126"/>
        <v/>
      </c>
      <c r="AL401" t="str">
        <f t="shared" si="127"/>
        <v/>
      </c>
      <c r="AM401" t="str">
        <f t="shared" si="128"/>
        <v/>
      </c>
      <c r="AN401" t="str">
        <f t="shared" si="134"/>
        <v/>
      </c>
      <c r="AO401" t="str">
        <f t="shared" si="135"/>
        <v/>
      </c>
      <c r="AP401" t="str">
        <f t="shared" si="136"/>
        <v/>
      </c>
      <c r="AQ401" t="str">
        <f t="shared" si="137"/>
        <v/>
      </c>
      <c r="AR401" t="str">
        <f t="shared" si="138"/>
        <v/>
      </c>
      <c r="AS401" t="str">
        <f t="shared" si="129"/>
        <v>Defensive</v>
      </c>
      <c r="BI401" s="40"/>
      <c r="BL401" s="40"/>
      <c r="BN401" s="19"/>
      <c r="BP401" s="17"/>
    </row>
    <row r="402" spans="1:68" x14ac:dyDescent="0.2">
      <c r="A402" t="str">
        <f t="shared" si="130"/>
        <v/>
      </c>
      <c r="E402" s="4"/>
      <c r="F402" s="45"/>
      <c r="G402" s="4"/>
      <c r="H402" s="48"/>
      <c r="J402" s="46" t="str">
        <f t="shared" si="131"/>
        <v/>
      </c>
      <c r="N402" t="str">
        <f t="shared" si="124"/>
        <v/>
      </c>
      <c r="Q402" t="str">
        <f t="shared" si="139"/>
        <v/>
      </c>
      <c r="S402" t="str">
        <f>IF(A402=1,MAX(S$2:S401)+1,IF(OR(I402&lt;&gt;"",A402="x"),S401,""))</f>
        <v/>
      </c>
      <c r="T402" t="str">
        <f>IF(D402=1,MAX($T$2:$T401)+1,IF(S402=$S401,$S401,IF($D402="x",T401,IF($D401="x","",""))))</f>
        <v/>
      </c>
      <c r="U402" t="str">
        <f>IF(B402=1,MAX($U$2:$U401)+1,IF(AND($T402&lt;&gt;"",$T402=$T401),$U401,IF(B402="x",U401,"")))</f>
        <v/>
      </c>
      <c r="V402" t="str">
        <f>IF(C402=1,MAX($V$2:$V401)+1,IF(AND($T402&lt;&gt;"",$T402=$T401),$U401,IF(C402="x",V401,"")))</f>
        <v/>
      </c>
      <c r="W402" t="str" cm="1">
        <f t="array" ref="W402">IFERROR(_xlfn._xlws.FILTER(game_rosters!AB:AB,(game_rosters!J:J=events!X402)*(K402&lt;&gt;"")),"")</f>
        <v/>
      </c>
      <c r="X402" t="str" cm="1">
        <f t="array" ref="X402">IF(S402="","",IF($I402&lt;&gt;"",$I402,INDEX($I$2:$I401,ROW()-COUNTIFS($T$2:$T401,"="&amp;$T402,$S$2:$S401,"&lt;&gt;"&amp;$S402)-1)))</f>
        <v/>
      </c>
      <c r="Z402" s="6"/>
      <c r="AH402" t="str">
        <f t="shared" si="125"/>
        <v>o</v>
      </c>
      <c r="AI402" t="str">
        <f t="shared" si="132"/>
        <v/>
      </c>
      <c r="AJ402" t="str">
        <f t="shared" si="133"/>
        <v/>
      </c>
      <c r="AK402" t="str">
        <f t="shared" si="126"/>
        <v/>
      </c>
      <c r="AL402" t="str">
        <f t="shared" si="127"/>
        <v/>
      </c>
      <c r="AM402" t="str">
        <f t="shared" si="128"/>
        <v/>
      </c>
      <c r="AN402" t="str">
        <f t="shared" si="134"/>
        <v/>
      </c>
      <c r="AO402" t="str">
        <f t="shared" si="135"/>
        <v/>
      </c>
      <c r="AP402" t="str">
        <f t="shared" si="136"/>
        <v/>
      </c>
      <c r="AQ402" t="str">
        <f t="shared" si="137"/>
        <v/>
      </c>
      <c r="AR402" t="str">
        <f t="shared" si="138"/>
        <v/>
      </c>
      <c r="AS402" t="str">
        <f t="shared" si="129"/>
        <v>Defensive</v>
      </c>
      <c r="BI402" s="40"/>
      <c r="BL402" s="40"/>
      <c r="BN402" s="19"/>
      <c r="BP402" s="17"/>
    </row>
    <row r="403" spans="1:68" x14ac:dyDescent="0.2">
      <c r="A403" t="str">
        <f t="shared" si="130"/>
        <v/>
      </c>
      <c r="E403" s="4"/>
      <c r="F403" s="45"/>
      <c r="G403" s="4"/>
      <c r="H403" s="48"/>
      <c r="J403" s="46" t="str">
        <f t="shared" si="131"/>
        <v/>
      </c>
      <c r="N403" t="str">
        <f t="shared" si="124"/>
        <v/>
      </c>
      <c r="Q403" t="str">
        <f t="shared" si="139"/>
        <v/>
      </c>
      <c r="S403" t="str">
        <f>IF(A403=1,MAX(S$2:S402)+1,IF(OR(I403&lt;&gt;"",A403="x"),S402,""))</f>
        <v/>
      </c>
      <c r="T403" t="str">
        <f>IF(D403=1,MAX($T$2:$T402)+1,IF(S403=$S402,$S402,IF($D403="x",T402,IF($D402="x","",""))))</f>
        <v/>
      </c>
      <c r="U403" t="str">
        <f>IF(B403=1,MAX($U$2:$U402)+1,IF(AND($T403&lt;&gt;"",$T403=$T402),$U402,IF(B403="x",U402,"")))</f>
        <v/>
      </c>
      <c r="V403" t="str">
        <f>IF(C403=1,MAX($V$2:$V402)+1,IF(AND($T403&lt;&gt;"",$T403=$T402),$U402,IF(C403="x",V402,"")))</f>
        <v/>
      </c>
      <c r="W403" t="str" cm="1">
        <f t="array" ref="W403">IFERROR(_xlfn._xlws.FILTER(game_rosters!AB:AB,(game_rosters!J:J=events!X403)*(K403&lt;&gt;"")),"")</f>
        <v/>
      </c>
      <c r="X403" t="str" cm="1">
        <f t="array" ref="X403">IF(S403="","",IF($I403&lt;&gt;"",$I403,INDEX($I$2:$I402,ROW()-COUNTIFS($T$2:$T402,"="&amp;$T403,$S$2:$S402,"&lt;&gt;"&amp;$S403)-1)))</f>
        <v/>
      </c>
      <c r="Z403" s="6"/>
      <c r="AH403" t="str">
        <f t="shared" si="125"/>
        <v>o</v>
      </c>
      <c r="AI403" t="str">
        <f t="shared" si="132"/>
        <v/>
      </c>
      <c r="AJ403" t="str">
        <f t="shared" si="133"/>
        <v/>
      </c>
      <c r="AK403" t="str">
        <f t="shared" si="126"/>
        <v/>
      </c>
      <c r="AL403" t="str">
        <f t="shared" si="127"/>
        <v/>
      </c>
      <c r="AM403" t="str">
        <f t="shared" si="128"/>
        <v/>
      </c>
      <c r="AN403" t="str">
        <f t="shared" si="134"/>
        <v/>
      </c>
      <c r="AO403" t="str">
        <f t="shared" si="135"/>
        <v/>
      </c>
      <c r="AP403" t="str">
        <f t="shared" si="136"/>
        <v/>
      </c>
      <c r="AQ403" t="str">
        <f t="shared" si="137"/>
        <v/>
      </c>
      <c r="AR403" t="str">
        <f t="shared" si="138"/>
        <v/>
      </c>
      <c r="AS403" t="str">
        <f t="shared" si="129"/>
        <v>Defensive</v>
      </c>
      <c r="BI403" s="40"/>
      <c r="BL403" s="40"/>
      <c r="BN403" s="19"/>
      <c r="BP403" s="17"/>
    </row>
    <row r="404" spans="1:68" x14ac:dyDescent="0.2">
      <c r="A404" t="str">
        <f t="shared" si="130"/>
        <v/>
      </c>
      <c r="E404" s="4"/>
      <c r="F404" s="45"/>
      <c r="G404" s="4"/>
      <c r="H404" s="48"/>
      <c r="J404" s="46" t="str">
        <f t="shared" si="131"/>
        <v/>
      </c>
      <c r="N404" t="str">
        <f t="shared" si="124"/>
        <v/>
      </c>
      <c r="Q404" t="str">
        <f t="shared" si="139"/>
        <v/>
      </c>
      <c r="S404" t="str">
        <f>IF(A404=1,MAX(S$2:S403)+1,IF(OR(I404&lt;&gt;"",A404="x"),S403,""))</f>
        <v/>
      </c>
      <c r="T404" t="str">
        <f>IF(D404=1,MAX($T$2:$T403)+1,IF(S404=$S403,$S403,IF($D404="x",T403,IF($D403="x","",""))))</f>
        <v/>
      </c>
      <c r="U404" t="str">
        <f>IF(B404=1,MAX($U$2:$U403)+1,IF(AND($T404&lt;&gt;"",$T404=$T403),$U403,IF(B404="x",U403,"")))</f>
        <v/>
      </c>
      <c r="V404" t="str">
        <f>IF(C404=1,MAX($V$2:$V403)+1,IF(AND($T404&lt;&gt;"",$T404=$T403),$U403,IF(C404="x",V403,"")))</f>
        <v/>
      </c>
      <c r="W404" t="str" cm="1">
        <f t="array" ref="W404">IFERROR(_xlfn._xlws.FILTER(game_rosters!AB:AB,(game_rosters!J:J=events!X404)*(K404&lt;&gt;"")),"")</f>
        <v/>
      </c>
      <c r="X404" t="str" cm="1">
        <f t="array" ref="X404">IF(S404="","",IF($I404&lt;&gt;"",$I404,INDEX($I$2:$I403,ROW()-COUNTIFS($T$2:$T403,"="&amp;$T404,$S$2:$S403,"&lt;&gt;"&amp;$S404)-1)))</f>
        <v/>
      </c>
      <c r="Z404" s="6"/>
      <c r="AH404" t="str">
        <f t="shared" si="125"/>
        <v>o</v>
      </c>
      <c r="AI404" t="str">
        <f t="shared" si="132"/>
        <v/>
      </c>
      <c r="AJ404" t="str">
        <f t="shared" si="133"/>
        <v/>
      </c>
      <c r="AK404" t="str">
        <f t="shared" si="126"/>
        <v/>
      </c>
      <c r="AL404" t="str">
        <f t="shared" si="127"/>
        <v/>
      </c>
      <c r="AM404" t="str">
        <f t="shared" si="128"/>
        <v/>
      </c>
      <c r="AN404" t="str">
        <f t="shared" si="134"/>
        <v/>
      </c>
      <c r="AO404" t="str">
        <f t="shared" si="135"/>
        <v/>
      </c>
      <c r="AP404" t="str">
        <f t="shared" si="136"/>
        <v/>
      </c>
      <c r="AQ404" t="str">
        <f t="shared" si="137"/>
        <v/>
      </c>
      <c r="AR404" t="str">
        <f t="shared" si="138"/>
        <v/>
      </c>
      <c r="AS404" t="str">
        <f t="shared" si="129"/>
        <v>Defensive</v>
      </c>
      <c r="BI404" s="40"/>
      <c r="BL404" s="40"/>
      <c r="BN404" s="19"/>
      <c r="BP404" s="17"/>
    </row>
    <row r="405" spans="1:68" x14ac:dyDescent="0.2">
      <c r="A405" t="str">
        <f t="shared" si="130"/>
        <v/>
      </c>
      <c r="E405" s="4"/>
      <c r="F405" s="45"/>
      <c r="G405" s="4"/>
      <c r="H405" s="48"/>
      <c r="J405" s="46" t="str">
        <f t="shared" si="131"/>
        <v/>
      </c>
      <c r="N405" t="str">
        <f t="shared" ref="N405:N468" si="140">IF(K405="","",IF(K405="Goal","s",IF(AND(K405="Zone_Entry_Exit",OR(ISNUMBER(SEARCH("fail",L405)),ISNUMBER(SEARCH("FromExitClear",M405)),ISNUMBER(SEARCH("miss",M405)))),"u",IF(AND(K405="Zone_Entry_Exit",OR(NOT(ISNUMBER(SEARCH("fail",L405))),NOT(ISNUMBER(SEARCH("FromExitClear",M405))),NOT(ISNUMBER(SEARCH("miss",M405))))),"s",IF(AND(OR(K405="Shot",K405="Pass"),OR(ISNUMBER(SEARCH("complete",L405)),ISNUMBER(SEARCH("goal",L405)),ISNUMBER(SEARCH("OnNet",L405)))),"s",IF(L405="Turnover_Giveaway","u",IF(AND(OR(K405="Shot",K405="Pass"),OR(ISNUMBER(SEARCH("fail",L405)),NOT(ISNUMBER(SEARCH("complete",L405))),NOT(ISNUMBER(SEARCH("OnNet",L405))))),"u","")))))))</f>
        <v/>
      </c>
      <c r="Q405" t="str">
        <f t="shared" si="139"/>
        <v/>
      </c>
      <c r="S405" t="str">
        <f>IF(A405=1,MAX(S$2:S404)+1,IF(OR(I405&lt;&gt;"",A405="x"),S404,""))</f>
        <v/>
      </c>
      <c r="T405" t="str">
        <f>IF(D405=1,MAX($T$2:$T404)+1,IF(S405=$S404,$S404,IF($D405="x",T404,IF($D404="x","",""))))</f>
        <v/>
      </c>
      <c r="U405" t="str">
        <f>IF(B405=1,MAX($U$2:$U404)+1,IF(AND($T405&lt;&gt;"",$T405=$T404),$U404,IF(B405="x",U404,"")))</f>
        <v/>
      </c>
      <c r="V405" t="str">
        <f>IF(C405=1,MAX($V$2:$V404)+1,IF(AND($T405&lt;&gt;"",$T405=$T404),$U404,IF(C405="x",V404,"")))</f>
        <v/>
      </c>
      <c r="W405" t="str" cm="1">
        <f t="array" ref="W405">IFERROR(_xlfn._xlws.FILTER(game_rosters!AB:AB,(game_rosters!J:J=events!X405)*(K405&lt;&gt;"")),"")</f>
        <v/>
      </c>
      <c r="X405" t="str" cm="1">
        <f t="array" ref="X405">IF(S405="","",IF($I405&lt;&gt;"",$I405,INDEX($I$2:$I404,ROW()-COUNTIFS($T$2:$T404,"="&amp;$T405,$S$2:$S404,"&lt;&gt;"&amp;$S405)-1)))</f>
        <v/>
      </c>
      <c r="Z405" s="6"/>
      <c r="AH405" t="str">
        <f t="shared" si="125"/>
        <v>o</v>
      </c>
      <c r="AI405" t="str">
        <f t="shared" si="132"/>
        <v/>
      </c>
      <c r="AJ405" t="str">
        <f t="shared" si="133"/>
        <v/>
      </c>
      <c r="AK405" t="str">
        <f t="shared" si="126"/>
        <v/>
      </c>
      <c r="AL405" t="str">
        <f t="shared" si="127"/>
        <v/>
      </c>
      <c r="AM405" t="str">
        <f t="shared" si="128"/>
        <v/>
      </c>
      <c r="AN405" t="str">
        <f t="shared" si="134"/>
        <v/>
      </c>
      <c r="AO405" t="str">
        <f t="shared" si="135"/>
        <v/>
      </c>
      <c r="AP405" t="str">
        <f t="shared" si="136"/>
        <v/>
      </c>
      <c r="AQ405" t="str">
        <f t="shared" si="137"/>
        <v/>
      </c>
      <c r="AR405" t="str">
        <f t="shared" si="138"/>
        <v/>
      </c>
      <c r="AS405" t="str">
        <f t="shared" si="129"/>
        <v>Defensive</v>
      </c>
      <c r="BI405" s="40"/>
      <c r="BL405" s="40"/>
      <c r="BN405" s="19"/>
      <c r="BP405" s="17"/>
    </row>
    <row r="406" spans="1:68" x14ac:dyDescent="0.2">
      <c r="A406" t="str">
        <f t="shared" si="130"/>
        <v/>
      </c>
      <c r="E406" s="4"/>
      <c r="F406" s="45"/>
      <c r="G406" s="4"/>
      <c r="H406" s="48"/>
      <c r="J406" s="46" t="str">
        <f t="shared" si="131"/>
        <v/>
      </c>
      <c r="N406" t="str">
        <f t="shared" si="140"/>
        <v/>
      </c>
      <c r="Q406" t="str">
        <f t="shared" si="139"/>
        <v/>
      </c>
      <c r="S406" t="str">
        <f>IF(A406=1,MAX(S$2:S405)+1,IF(OR(I406&lt;&gt;"",A406="x"),S405,""))</f>
        <v/>
      </c>
      <c r="T406" t="str">
        <f>IF(D406=1,MAX($T$2:$T405)+1,IF(S406=$S405,$S405,IF($D406="x",T405,IF($D405="x","",""))))</f>
        <v/>
      </c>
      <c r="U406" t="str">
        <f>IF(B406=1,MAX($U$2:$U405)+1,IF(AND($T406&lt;&gt;"",$T406=$T405),$U405,IF(B406="x",U405,"")))</f>
        <v/>
      </c>
      <c r="V406" t="str">
        <f>IF(C406=1,MAX($V$2:$V405)+1,IF(AND($T406&lt;&gt;"",$T406=$T405),$U405,IF(C406="x",V405,"")))</f>
        <v/>
      </c>
      <c r="W406" t="str" cm="1">
        <f t="array" ref="W406">IFERROR(_xlfn._xlws.FILTER(game_rosters!AB:AB,(game_rosters!J:J=events!X406)*(K406&lt;&gt;"")),"")</f>
        <v/>
      </c>
      <c r="X406" t="str" cm="1">
        <f t="array" ref="X406">IF(S406="","",IF($I406&lt;&gt;"",$I406,INDEX($I$2:$I405,ROW()-COUNTIFS($T$2:$T405,"="&amp;$T406,$S$2:$S405,"&lt;&gt;"&amp;$S406)-1)))</f>
        <v/>
      </c>
      <c r="Z406" s="6"/>
      <c r="AH406" t="str">
        <f t="shared" si="125"/>
        <v>o</v>
      </c>
      <c r="AI406" t="str">
        <f t="shared" si="132"/>
        <v/>
      </c>
      <c r="AJ406" t="str">
        <f t="shared" si="133"/>
        <v/>
      </c>
      <c r="AK406" t="str">
        <f t="shared" si="126"/>
        <v/>
      </c>
      <c r="AL406" t="str">
        <f t="shared" si="127"/>
        <v/>
      </c>
      <c r="AM406" t="str">
        <f t="shared" si="128"/>
        <v/>
      </c>
      <c r="AN406" t="str">
        <f t="shared" si="134"/>
        <v/>
      </c>
      <c r="AO406" t="str">
        <f t="shared" si="135"/>
        <v/>
      </c>
      <c r="AP406" t="str">
        <f t="shared" si="136"/>
        <v/>
      </c>
      <c r="AQ406" t="str">
        <f t="shared" si="137"/>
        <v/>
      </c>
      <c r="AR406" t="str">
        <f t="shared" si="138"/>
        <v/>
      </c>
      <c r="AS406" t="str">
        <f t="shared" si="129"/>
        <v>Defensive</v>
      </c>
      <c r="BI406" s="40"/>
      <c r="BL406" s="40"/>
      <c r="BN406" s="19"/>
      <c r="BP406" s="17"/>
    </row>
    <row r="407" spans="1:68" x14ac:dyDescent="0.2">
      <c r="A407" t="str">
        <f t="shared" si="130"/>
        <v/>
      </c>
      <c r="E407" s="4"/>
      <c r="F407" s="45"/>
      <c r="G407" s="4"/>
      <c r="H407" s="48"/>
      <c r="J407" s="46" t="str">
        <f t="shared" si="131"/>
        <v/>
      </c>
      <c r="N407" t="str">
        <f t="shared" si="140"/>
        <v/>
      </c>
      <c r="Q407" t="str">
        <f t="shared" si="139"/>
        <v/>
      </c>
      <c r="S407" t="str">
        <f>IF(A407=1,MAX(S$2:S406)+1,IF(OR(I407&lt;&gt;"",A407="x"),S406,""))</f>
        <v/>
      </c>
      <c r="T407" t="str">
        <f>IF(D407=1,MAX($T$2:$T406)+1,IF(S407=$S406,$S406,IF($D407="x",T406,IF($D406="x","",""))))</f>
        <v/>
      </c>
      <c r="U407" t="str">
        <f>IF(B407=1,MAX($U$2:$U406)+1,IF(AND($T407&lt;&gt;"",$T407=$T406),$U406,IF(B407="x",U406,"")))</f>
        <v/>
      </c>
      <c r="V407" t="str">
        <f>IF(C407=1,MAX($V$2:$V406)+1,IF(AND($T407&lt;&gt;"",$T407=$T406),$U406,IF(C407="x",V406,"")))</f>
        <v/>
      </c>
      <c r="W407" t="str" cm="1">
        <f t="array" ref="W407">IFERROR(_xlfn._xlws.FILTER(game_rosters!AB:AB,(game_rosters!J:J=events!X407)*(K407&lt;&gt;"")),"")</f>
        <v/>
      </c>
      <c r="X407" t="str" cm="1">
        <f t="array" ref="X407">IF(S407="","",IF($I407&lt;&gt;"",$I407,INDEX($I$2:$I406,ROW()-COUNTIFS($T$2:$T406,"="&amp;$T407,$S$2:$S406,"&lt;&gt;"&amp;$S407)-1)))</f>
        <v/>
      </c>
      <c r="Z407" s="6"/>
      <c r="AH407" t="str">
        <f t="shared" si="125"/>
        <v>o</v>
      </c>
      <c r="AI407" t="str">
        <f t="shared" si="132"/>
        <v/>
      </c>
      <c r="AJ407" t="str">
        <f t="shared" si="133"/>
        <v/>
      </c>
      <c r="AK407" t="str">
        <f t="shared" si="126"/>
        <v/>
      </c>
      <c r="AL407" t="str">
        <f t="shared" si="127"/>
        <v/>
      </c>
      <c r="AM407" t="str">
        <f t="shared" si="128"/>
        <v/>
      </c>
      <c r="AN407" t="str">
        <f t="shared" si="134"/>
        <v/>
      </c>
      <c r="AO407" t="str">
        <f t="shared" si="135"/>
        <v/>
      </c>
      <c r="AP407" t="str">
        <f t="shared" si="136"/>
        <v/>
      </c>
      <c r="AQ407" t="str">
        <f t="shared" si="137"/>
        <v/>
      </c>
      <c r="AR407" t="str">
        <f t="shared" si="138"/>
        <v/>
      </c>
      <c r="AS407" t="str">
        <f t="shared" si="129"/>
        <v>Defensive</v>
      </c>
      <c r="BI407" s="40"/>
      <c r="BL407" s="40"/>
      <c r="BN407" s="19"/>
      <c r="BP407" s="17"/>
    </row>
    <row r="408" spans="1:68" x14ac:dyDescent="0.2">
      <c r="A408" t="str">
        <f t="shared" si="130"/>
        <v/>
      </c>
      <c r="E408" s="4"/>
      <c r="F408" s="45"/>
      <c r="G408" s="4"/>
      <c r="H408" s="48"/>
      <c r="J408" s="46" t="str">
        <f t="shared" si="131"/>
        <v/>
      </c>
      <c r="N408" t="str">
        <f t="shared" si="140"/>
        <v/>
      </c>
      <c r="Q408" t="str">
        <f t="shared" si="139"/>
        <v/>
      </c>
      <c r="S408" t="str">
        <f>IF(A408=1,MAX(S$2:S407)+1,IF(OR(I408&lt;&gt;"",A408="x"),S407,""))</f>
        <v/>
      </c>
      <c r="T408" t="str">
        <f>IF(D408=1,MAX($T$2:$T407)+1,IF(S408=$S407,$S407,IF($D408="x",T407,IF($D407="x","",""))))</f>
        <v/>
      </c>
      <c r="U408" t="str">
        <f>IF(B408=1,MAX($U$2:$U407)+1,IF(AND($T408&lt;&gt;"",$T408=$T407),$U407,IF(B408="x",U407,"")))</f>
        <v/>
      </c>
      <c r="V408" t="str">
        <f>IF(C408=1,MAX($V$2:$V407)+1,IF(AND($T408&lt;&gt;"",$T408=$T407),$U407,IF(C408="x",V407,"")))</f>
        <v/>
      </c>
      <c r="W408" t="str" cm="1">
        <f t="array" ref="W408">IFERROR(_xlfn._xlws.FILTER(game_rosters!AB:AB,(game_rosters!J:J=events!X408)*(K408&lt;&gt;"")),"")</f>
        <v/>
      </c>
      <c r="X408" t="str" cm="1">
        <f t="array" ref="X408">IF(S408="","",IF($I408&lt;&gt;"",$I408,INDEX($I$2:$I407,ROW()-COUNTIFS($T$2:$T407,"="&amp;$T408,$S$2:$S407,"&lt;&gt;"&amp;$S408)-1)))</f>
        <v/>
      </c>
      <c r="Z408" s="6"/>
      <c r="AH408" t="str">
        <f t="shared" si="125"/>
        <v>o</v>
      </c>
      <c r="AI408" t="str">
        <f t="shared" si="132"/>
        <v/>
      </c>
      <c r="AJ408" t="str">
        <f t="shared" si="133"/>
        <v/>
      </c>
      <c r="AK408" t="str">
        <f t="shared" si="126"/>
        <v/>
      </c>
      <c r="AL408" t="str">
        <f t="shared" si="127"/>
        <v/>
      </c>
      <c r="AM408" t="str">
        <f t="shared" si="128"/>
        <v/>
      </c>
      <c r="AN408" t="str">
        <f t="shared" si="134"/>
        <v/>
      </c>
      <c r="AO408" t="str">
        <f t="shared" si="135"/>
        <v/>
      </c>
      <c r="AP408" t="str">
        <f t="shared" si="136"/>
        <v/>
      </c>
      <c r="AQ408" t="str">
        <f t="shared" si="137"/>
        <v/>
      </c>
      <c r="AR408" t="str">
        <f t="shared" si="138"/>
        <v/>
      </c>
      <c r="AS408" t="str">
        <f t="shared" si="129"/>
        <v>Defensive</v>
      </c>
      <c r="BI408" s="40"/>
      <c r="BL408" s="40"/>
      <c r="BN408" s="19"/>
      <c r="BP408" s="17"/>
    </row>
    <row r="409" spans="1:68" x14ac:dyDescent="0.2">
      <c r="A409" t="str">
        <f t="shared" si="130"/>
        <v/>
      </c>
      <c r="E409" s="4"/>
      <c r="F409" s="45"/>
      <c r="G409" s="4"/>
      <c r="H409" s="48"/>
      <c r="J409" s="46" t="str">
        <f t="shared" si="131"/>
        <v/>
      </c>
      <c r="N409" t="str">
        <f t="shared" si="140"/>
        <v/>
      </c>
      <c r="Q409" t="str">
        <f t="shared" si="139"/>
        <v/>
      </c>
      <c r="S409" t="str">
        <f>IF(A409=1,MAX(S$2:S408)+1,IF(OR(I409&lt;&gt;"",A409="x"),S408,""))</f>
        <v/>
      </c>
      <c r="T409" t="str">
        <f>IF(D409=1,MAX($T$2:$T408)+1,IF(S409=$S408,$S408,IF($D409="x",T408,IF($D408="x","",""))))</f>
        <v/>
      </c>
      <c r="U409" t="str">
        <f>IF(B409=1,MAX($U$2:$U408)+1,IF(AND($T409&lt;&gt;"",$T409=$T408),$U408,IF(B409="x",U408,"")))</f>
        <v/>
      </c>
      <c r="V409" t="str">
        <f>IF(C409=1,MAX($V$2:$V408)+1,IF(AND($T409&lt;&gt;"",$T409=$T408),$U408,IF(C409="x",V408,"")))</f>
        <v/>
      </c>
      <c r="W409" t="str" cm="1">
        <f t="array" ref="W409">IFERROR(_xlfn._xlws.FILTER(game_rosters!AB:AB,(game_rosters!J:J=events!X409)*(K409&lt;&gt;"")),"")</f>
        <v/>
      </c>
      <c r="X409" t="str" cm="1">
        <f t="array" ref="X409">IF(S409="","",IF($I409&lt;&gt;"",$I409,INDEX($I$2:$I408,ROW()-COUNTIFS($T$2:$T408,"="&amp;$T409,$S$2:$S408,"&lt;&gt;"&amp;$S409)-1)))</f>
        <v/>
      </c>
      <c r="Z409" s="6"/>
      <c r="AH409" t="str">
        <f t="shared" si="125"/>
        <v>o</v>
      </c>
      <c r="AI409" t="str">
        <f t="shared" si="132"/>
        <v/>
      </c>
      <c r="AJ409" t="str">
        <f t="shared" si="133"/>
        <v/>
      </c>
      <c r="AK409" t="str">
        <f t="shared" si="126"/>
        <v/>
      </c>
      <c r="AL409" t="str">
        <f t="shared" si="127"/>
        <v/>
      </c>
      <c r="AM409" t="str">
        <f t="shared" si="128"/>
        <v/>
      </c>
      <c r="AN409" t="str">
        <f t="shared" si="134"/>
        <v/>
      </c>
      <c r="AO409" t="str">
        <f t="shared" si="135"/>
        <v/>
      </c>
      <c r="AP409" t="str">
        <f t="shared" si="136"/>
        <v/>
      </c>
      <c r="AQ409" t="str">
        <f t="shared" si="137"/>
        <v/>
      </c>
      <c r="AR409" t="str">
        <f t="shared" si="138"/>
        <v/>
      </c>
      <c r="AS409" t="str">
        <f t="shared" si="129"/>
        <v>Defensive</v>
      </c>
      <c r="BI409" s="40"/>
      <c r="BL409" s="40"/>
      <c r="BN409" s="19"/>
      <c r="BP409" s="17"/>
    </row>
    <row r="410" spans="1:68" x14ac:dyDescent="0.2">
      <c r="A410" t="str">
        <f t="shared" si="130"/>
        <v/>
      </c>
      <c r="E410" s="4"/>
      <c r="F410" s="45"/>
      <c r="G410" s="4"/>
      <c r="H410" s="48"/>
      <c r="J410" s="46" t="str">
        <f t="shared" si="131"/>
        <v/>
      </c>
      <c r="N410" t="str">
        <f t="shared" si="140"/>
        <v/>
      </c>
      <c r="Q410" t="str">
        <f t="shared" si="139"/>
        <v/>
      </c>
      <c r="S410" t="str">
        <f>IF(A410=1,MAX(S$2:S409)+1,IF(OR(I410&lt;&gt;"",A410="x"),S409,""))</f>
        <v/>
      </c>
      <c r="T410" t="str">
        <f>IF(D410=1,MAX($T$2:$T409)+1,IF(S410=$S409,$S409,IF($D410="x",T409,IF($D409="x","",""))))</f>
        <v/>
      </c>
      <c r="U410" t="str">
        <f>IF(B410=1,MAX($U$2:$U409)+1,IF(AND($T410&lt;&gt;"",$T410=$T409),$U409,IF(B410="x",U409,"")))</f>
        <v/>
      </c>
      <c r="V410" t="str">
        <f>IF(C410=1,MAX($V$2:$V409)+1,IF(AND($T410&lt;&gt;"",$T410=$T409),$U409,IF(C410="x",V409,"")))</f>
        <v/>
      </c>
      <c r="W410" t="str" cm="1">
        <f t="array" ref="W410">IFERROR(_xlfn._xlws.FILTER(game_rosters!AB:AB,(game_rosters!J:J=events!X410)*(K410&lt;&gt;"")),"")</f>
        <v/>
      </c>
      <c r="X410" t="str" cm="1">
        <f t="array" ref="X410">IF(S410="","",IF($I410&lt;&gt;"",$I410,INDEX($I$2:$I409,ROW()-COUNTIFS($T$2:$T409,"="&amp;$T410,$S$2:$S409,"&lt;&gt;"&amp;$S410)-1)))</f>
        <v/>
      </c>
      <c r="Z410" s="6"/>
      <c r="AH410" t="str">
        <f t="shared" si="125"/>
        <v>o</v>
      </c>
      <c r="AI410" t="str">
        <f t="shared" si="132"/>
        <v/>
      </c>
      <c r="AJ410" t="str">
        <f t="shared" si="133"/>
        <v/>
      </c>
      <c r="AK410" t="str">
        <f t="shared" si="126"/>
        <v/>
      </c>
      <c r="AL410" t="str">
        <f t="shared" si="127"/>
        <v/>
      </c>
      <c r="AM410" t="str">
        <f t="shared" si="128"/>
        <v/>
      </c>
      <c r="AN410" t="str">
        <f t="shared" si="134"/>
        <v/>
      </c>
      <c r="AO410" t="str">
        <f t="shared" si="135"/>
        <v/>
      </c>
      <c r="AP410" t="str">
        <f t="shared" si="136"/>
        <v/>
      </c>
      <c r="AQ410" t="str">
        <f t="shared" si="137"/>
        <v/>
      </c>
      <c r="AR410" t="str">
        <f t="shared" si="138"/>
        <v/>
      </c>
      <c r="AS410" t="str">
        <f t="shared" si="129"/>
        <v>Defensive</v>
      </c>
      <c r="BI410" s="40"/>
      <c r="BL410" s="40"/>
      <c r="BN410" s="19"/>
      <c r="BP410" s="17"/>
    </row>
    <row r="411" spans="1:68" x14ac:dyDescent="0.2">
      <c r="A411" t="str">
        <f t="shared" si="130"/>
        <v/>
      </c>
      <c r="E411" s="4"/>
      <c r="F411" s="45"/>
      <c r="G411" s="4"/>
      <c r="H411" s="48"/>
      <c r="J411" s="46" t="str">
        <f t="shared" si="131"/>
        <v/>
      </c>
      <c r="N411" t="str">
        <f t="shared" si="140"/>
        <v/>
      </c>
      <c r="Q411" t="str">
        <f t="shared" si="139"/>
        <v/>
      </c>
      <c r="S411" t="str">
        <f>IF(A411=1,MAX(S$2:S410)+1,IF(OR(I411&lt;&gt;"",A411="x"),S410,""))</f>
        <v/>
      </c>
      <c r="T411" t="str">
        <f>IF(D411=1,MAX($T$2:$T410)+1,IF(S411=$S410,$S410,IF($D411="x",T410,IF($D410="x","",""))))</f>
        <v/>
      </c>
      <c r="U411" t="str">
        <f>IF(B411=1,MAX($U$2:$U410)+1,IF(AND($T411&lt;&gt;"",$T411=$T410),$U410,IF(B411="x",U410,"")))</f>
        <v/>
      </c>
      <c r="V411" t="str">
        <f>IF(C411=1,MAX($V$2:$V410)+1,IF(AND($T411&lt;&gt;"",$T411=$T410),$U410,IF(C411="x",V410,"")))</f>
        <v/>
      </c>
      <c r="W411" t="str" cm="1">
        <f t="array" ref="W411">IFERROR(_xlfn._xlws.FILTER(game_rosters!AB:AB,(game_rosters!J:J=events!X411)*(K411&lt;&gt;"")),"")</f>
        <v/>
      </c>
      <c r="X411" t="str" cm="1">
        <f t="array" ref="X411">IF(S411="","",IF($I411&lt;&gt;"",$I411,INDEX($I$2:$I410,ROW()-COUNTIFS($T$2:$T410,"="&amp;$T411,$S$2:$S410,"&lt;&gt;"&amp;$S411)-1)))</f>
        <v/>
      </c>
      <c r="Z411" s="6"/>
      <c r="AH411" t="str">
        <f t="shared" si="125"/>
        <v>o</v>
      </c>
      <c r="AI411" t="str">
        <f t="shared" si="132"/>
        <v/>
      </c>
      <c r="AJ411" t="str">
        <f t="shared" si="133"/>
        <v/>
      </c>
      <c r="AK411" t="str">
        <f t="shared" si="126"/>
        <v/>
      </c>
      <c r="AL411" t="str">
        <f t="shared" si="127"/>
        <v/>
      </c>
      <c r="AM411" t="str">
        <f t="shared" si="128"/>
        <v/>
      </c>
      <c r="AN411" t="str">
        <f t="shared" si="134"/>
        <v/>
      </c>
      <c r="AO411" t="str">
        <f t="shared" si="135"/>
        <v/>
      </c>
      <c r="AP411" t="str">
        <f t="shared" si="136"/>
        <v/>
      </c>
      <c r="AQ411" t="str">
        <f t="shared" si="137"/>
        <v/>
      </c>
      <c r="AR411" t="str">
        <f t="shared" si="138"/>
        <v/>
      </c>
      <c r="AS411" t="str">
        <f t="shared" si="129"/>
        <v>Defensive</v>
      </c>
      <c r="BI411" s="40"/>
      <c r="BL411" s="40"/>
      <c r="BN411" s="19"/>
      <c r="BP411" s="17"/>
    </row>
    <row r="412" spans="1:68" x14ac:dyDescent="0.2">
      <c r="A412" t="str">
        <f t="shared" si="130"/>
        <v/>
      </c>
      <c r="E412" s="4"/>
      <c r="F412" s="45"/>
      <c r="G412" s="4"/>
      <c r="H412" s="48"/>
      <c r="J412" s="46" t="str">
        <f t="shared" si="131"/>
        <v/>
      </c>
      <c r="N412" t="str">
        <f t="shared" si="140"/>
        <v/>
      </c>
      <c r="Q412" t="str">
        <f t="shared" si="139"/>
        <v/>
      </c>
      <c r="S412" t="str">
        <f>IF(A412=1,MAX(S$2:S411)+1,IF(OR(I412&lt;&gt;"",A412="x"),S411,""))</f>
        <v/>
      </c>
      <c r="T412" t="str">
        <f>IF(D412=1,MAX($T$2:$T411)+1,IF(S412=$S411,$S411,IF($D412="x",T411,IF($D411="x","",""))))</f>
        <v/>
      </c>
      <c r="U412" t="str">
        <f>IF(B412=1,MAX($U$2:$U411)+1,IF(AND($T412&lt;&gt;"",$T412=$T411),$U411,IF(B412="x",U411,"")))</f>
        <v/>
      </c>
      <c r="V412" t="str">
        <f>IF(C412=1,MAX($V$2:$V411)+1,IF(AND($T412&lt;&gt;"",$T412=$T411),$U411,IF(C412="x",V411,"")))</f>
        <v/>
      </c>
      <c r="W412" t="str" cm="1">
        <f t="array" ref="W412">IFERROR(_xlfn._xlws.FILTER(game_rosters!AB:AB,(game_rosters!J:J=events!X412)*(K412&lt;&gt;"")),"")</f>
        <v/>
      </c>
      <c r="X412" t="str" cm="1">
        <f t="array" ref="X412">IF(S412="","",IF($I412&lt;&gt;"",$I412,INDEX($I$2:$I411,ROW()-COUNTIFS($T$2:$T411,"="&amp;$T412,$S$2:$S411,"&lt;&gt;"&amp;$S412)-1)))</f>
        <v/>
      </c>
      <c r="Z412" s="6"/>
      <c r="AH412" t="str">
        <f t="shared" si="125"/>
        <v>o</v>
      </c>
      <c r="AI412" t="str">
        <f t="shared" si="132"/>
        <v/>
      </c>
      <c r="AJ412" t="str">
        <f t="shared" si="133"/>
        <v/>
      </c>
      <c r="AK412" t="str">
        <f t="shared" si="126"/>
        <v/>
      </c>
      <c r="AL412" t="str">
        <f t="shared" si="127"/>
        <v/>
      </c>
      <c r="AM412" t="str">
        <f t="shared" si="128"/>
        <v/>
      </c>
      <c r="AN412" t="str">
        <f t="shared" si="134"/>
        <v/>
      </c>
      <c r="AO412" t="str">
        <f t="shared" si="135"/>
        <v/>
      </c>
      <c r="AP412" t="str">
        <f t="shared" si="136"/>
        <v/>
      </c>
      <c r="AQ412" t="str">
        <f t="shared" si="137"/>
        <v/>
      </c>
      <c r="AR412" t="str">
        <f t="shared" si="138"/>
        <v/>
      </c>
      <c r="AS412" t="str">
        <f t="shared" si="129"/>
        <v>Defensive</v>
      </c>
      <c r="BI412" s="40"/>
      <c r="BL412" s="40"/>
      <c r="BN412" s="19"/>
      <c r="BP412" s="17"/>
    </row>
    <row r="413" spans="1:68" x14ac:dyDescent="0.2">
      <c r="A413" t="str">
        <f t="shared" si="130"/>
        <v/>
      </c>
      <c r="E413" s="4"/>
      <c r="F413" s="45"/>
      <c r="G413" s="4"/>
      <c r="H413" s="48"/>
      <c r="J413" s="46" t="str">
        <f t="shared" si="131"/>
        <v/>
      </c>
      <c r="N413" t="str">
        <f t="shared" si="140"/>
        <v/>
      </c>
      <c r="Q413" t="str">
        <f t="shared" si="139"/>
        <v/>
      </c>
      <c r="S413" t="str">
        <f>IF(A413=1,MAX(S$2:S412)+1,IF(OR(I413&lt;&gt;"",A413="x"),S412,""))</f>
        <v/>
      </c>
      <c r="T413" t="str">
        <f>IF(D413=1,MAX($T$2:$T412)+1,IF(S413=$S412,$S412,IF($D413="x",T412,IF($D412="x","",""))))</f>
        <v/>
      </c>
      <c r="U413" t="str">
        <f>IF(B413=1,MAX($U$2:$U412)+1,IF(AND($T413&lt;&gt;"",$T413=$T412),$U412,IF(B413="x",U412,"")))</f>
        <v/>
      </c>
      <c r="V413" t="str">
        <f>IF(C413=1,MAX($V$2:$V412)+1,IF(AND($T413&lt;&gt;"",$T413=$T412),$U412,IF(C413="x",V412,"")))</f>
        <v/>
      </c>
      <c r="W413" t="str" cm="1">
        <f t="array" ref="W413">IFERROR(_xlfn._xlws.FILTER(game_rosters!AB:AB,(game_rosters!J:J=events!X413)*(K413&lt;&gt;"")),"")</f>
        <v/>
      </c>
      <c r="X413" t="str" cm="1">
        <f t="array" ref="X413">IF(S413="","",IF($I413&lt;&gt;"",$I413,INDEX($I$2:$I412,ROW()-COUNTIFS($T$2:$T412,"="&amp;$T413,$S$2:$S412,"&lt;&gt;"&amp;$S413)-1)))</f>
        <v/>
      </c>
      <c r="Z413" s="6"/>
      <c r="AH413" t="str">
        <f t="shared" si="125"/>
        <v>o</v>
      </c>
      <c r="AI413" t="str">
        <f t="shared" si="132"/>
        <v/>
      </c>
      <c r="AJ413" t="str">
        <f t="shared" si="133"/>
        <v/>
      </c>
      <c r="AK413" t="str">
        <f t="shared" si="126"/>
        <v/>
      </c>
      <c r="AL413" t="str">
        <f t="shared" si="127"/>
        <v/>
      </c>
      <c r="AM413" t="str">
        <f t="shared" si="128"/>
        <v/>
      </c>
      <c r="AN413" t="str">
        <f t="shared" si="134"/>
        <v/>
      </c>
      <c r="AO413" t="str">
        <f t="shared" si="135"/>
        <v/>
      </c>
      <c r="AP413" t="str">
        <f t="shared" si="136"/>
        <v/>
      </c>
      <c r="AQ413" t="str">
        <f t="shared" si="137"/>
        <v/>
      </c>
      <c r="AR413" t="str">
        <f t="shared" si="138"/>
        <v/>
      </c>
      <c r="AS413" t="str">
        <f t="shared" si="129"/>
        <v>Defensive</v>
      </c>
      <c r="BI413" s="40"/>
      <c r="BL413" s="40"/>
      <c r="BN413" s="19"/>
      <c r="BP413" s="17"/>
    </row>
    <row r="414" spans="1:68" x14ac:dyDescent="0.2">
      <c r="A414" t="str">
        <f t="shared" si="130"/>
        <v/>
      </c>
      <c r="E414" s="4"/>
      <c r="F414" s="45"/>
      <c r="G414" s="4"/>
      <c r="H414" s="48"/>
      <c r="J414" s="46" t="str">
        <f t="shared" si="131"/>
        <v/>
      </c>
      <c r="N414" t="str">
        <f t="shared" si="140"/>
        <v/>
      </c>
      <c r="Q414" t="str">
        <f t="shared" si="139"/>
        <v/>
      </c>
      <c r="S414" t="str">
        <f>IF(A414=1,MAX(S$2:S413)+1,IF(OR(I414&lt;&gt;"",A414="x"),S413,""))</f>
        <v/>
      </c>
      <c r="T414" t="str">
        <f>IF(D414=1,MAX($T$2:$T413)+1,IF(S414=$S413,$S413,IF($D414="x",T413,IF($D413="x","",""))))</f>
        <v/>
      </c>
      <c r="U414" t="str">
        <f>IF(B414=1,MAX($U$2:$U413)+1,IF(AND($T414&lt;&gt;"",$T414=$T413),$U413,IF(B414="x",U413,"")))</f>
        <v/>
      </c>
      <c r="V414" t="str">
        <f>IF(C414=1,MAX($V$2:$V413)+1,IF(AND($T414&lt;&gt;"",$T414=$T413),$U413,IF(C414="x",V413,"")))</f>
        <v/>
      </c>
      <c r="W414" t="str" cm="1">
        <f t="array" ref="W414">IFERROR(_xlfn._xlws.FILTER(game_rosters!AB:AB,(game_rosters!J:J=events!X414)*(K414&lt;&gt;"")),"")</f>
        <v/>
      </c>
      <c r="X414" t="str" cm="1">
        <f t="array" ref="X414">IF(S414="","",IF($I414&lt;&gt;"",$I414,INDEX($I$2:$I413,ROW()-COUNTIFS($T$2:$T413,"="&amp;$T414,$S$2:$S413,"&lt;&gt;"&amp;$S414)-1)))</f>
        <v/>
      </c>
      <c r="Z414" s="6"/>
      <c r="AH414" t="str">
        <f t="shared" si="125"/>
        <v>o</v>
      </c>
      <c r="AI414" t="str">
        <f t="shared" si="132"/>
        <v/>
      </c>
      <c r="AJ414" t="str">
        <f t="shared" si="133"/>
        <v/>
      </c>
      <c r="AK414" t="str">
        <f t="shared" si="126"/>
        <v/>
      </c>
      <c r="AL414" t="str">
        <f t="shared" si="127"/>
        <v/>
      </c>
      <c r="AM414" t="str">
        <f t="shared" si="128"/>
        <v/>
      </c>
      <c r="AN414" t="str">
        <f t="shared" si="134"/>
        <v/>
      </c>
      <c r="AO414" t="str">
        <f t="shared" si="135"/>
        <v/>
      </c>
      <c r="AP414" t="str">
        <f t="shared" si="136"/>
        <v/>
      </c>
      <c r="AQ414" t="str">
        <f t="shared" si="137"/>
        <v/>
      </c>
      <c r="AR414" t="str">
        <f t="shared" si="138"/>
        <v/>
      </c>
      <c r="AS414" t="str">
        <f t="shared" si="129"/>
        <v>Defensive</v>
      </c>
      <c r="BI414" s="40"/>
      <c r="BL414" s="40"/>
      <c r="BN414" s="19"/>
      <c r="BP414" s="17"/>
    </row>
    <row r="415" spans="1:68" x14ac:dyDescent="0.2">
      <c r="A415" t="str">
        <f t="shared" si="130"/>
        <v/>
      </c>
      <c r="E415" s="4"/>
      <c r="F415" s="45"/>
      <c r="G415" s="4"/>
      <c r="H415" s="48"/>
      <c r="J415" s="46" t="str">
        <f t="shared" si="131"/>
        <v/>
      </c>
      <c r="N415" t="str">
        <f t="shared" si="140"/>
        <v/>
      </c>
      <c r="Q415" t="str">
        <f t="shared" si="139"/>
        <v/>
      </c>
      <c r="S415" t="str">
        <f>IF(A415=1,MAX(S$2:S414)+1,IF(OR(I415&lt;&gt;"",A415="x"),S414,""))</f>
        <v/>
      </c>
      <c r="T415" t="str">
        <f>IF(D415=1,MAX($T$2:$T414)+1,IF(S415=$S414,$S414,IF($D415="x",T414,IF($D414="x","",""))))</f>
        <v/>
      </c>
      <c r="U415" t="str">
        <f>IF(B415=1,MAX($U$2:$U414)+1,IF(AND($T415&lt;&gt;"",$T415=$T414),$U414,IF(B415="x",U414,"")))</f>
        <v/>
      </c>
      <c r="V415" t="str">
        <f>IF(C415=1,MAX($V$2:$V414)+1,IF(AND($T415&lt;&gt;"",$T415=$T414),$U414,IF(C415="x",V414,"")))</f>
        <v/>
      </c>
      <c r="W415" t="str" cm="1">
        <f t="array" ref="W415">IFERROR(_xlfn._xlws.FILTER(game_rosters!AB:AB,(game_rosters!J:J=events!X415)*(K415&lt;&gt;"")),"")</f>
        <v/>
      </c>
      <c r="X415" t="str" cm="1">
        <f t="array" ref="X415">IF(S415="","",IF($I415&lt;&gt;"",$I415,INDEX($I$2:$I414,ROW()-COUNTIFS($T$2:$T414,"="&amp;$T415,$S$2:$S414,"&lt;&gt;"&amp;$S415)-1)))</f>
        <v/>
      </c>
      <c r="Z415" s="6"/>
      <c r="AH415" t="str">
        <f t="shared" si="125"/>
        <v>o</v>
      </c>
      <c r="AI415" t="str">
        <f t="shared" si="132"/>
        <v/>
      </c>
      <c r="AJ415" t="str">
        <f t="shared" si="133"/>
        <v/>
      </c>
      <c r="AK415" t="str">
        <f t="shared" si="126"/>
        <v/>
      </c>
      <c r="AL415" t="str">
        <f t="shared" si="127"/>
        <v/>
      </c>
      <c r="AM415" t="str">
        <f t="shared" si="128"/>
        <v/>
      </c>
      <c r="AN415" t="str">
        <f t="shared" si="134"/>
        <v/>
      </c>
      <c r="AO415" t="str">
        <f t="shared" si="135"/>
        <v/>
      </c>
      <c r="AP415" t="str">
        <f t="shared" si="136"/>
        <v/>
      </c>
      <c r="AQ415" t="str">
        <f t="shared" si="137"/>
        <v/>
      </c>
      <c r="AR415" t="str">
        <f t="shared" si="138"/>
        <v/>
      </c>
      <c r="AS415" t="str">
        <f t="shared" si="129"/>
        <v>Defensive</v>
      </c>
      <c r="BI415" s="40"/>
      <c r="BL415" s="40"/>
      <c r="BN415" s="19"/>
      <c r="BP415" s="17"/>
    </row>
    <row r="416" spans="1:68" x14ac:dyDescent="0.2">
      <c r="A416" t="str">
        <f t="shared" si="130"/>
        <v/>
      </c>
      <c r="E416" s="4"/>
      <c r="F416" s="45"/>
      <c r="G416" s="4"/>
      <c r="H416" s="48"/>
      <c r="J416" s="46" t="str">
        <f t="shared" si="131"/>
        <v/>
      </c>
      <c r="N416" t="str">
        <f t="shared" si="140"/>
        <v/>
      </c>
      <c r="Q416" t="str">
        <f t="shared" si="139"/>
        <v/>
      </c>
      <c r="S416" t="str">
        <f>IF(A416=1,MAX(S$2:S415)+1,IF(OR(I416&lt;&gt;"",A416="x"),S415,""))</f>
        <v/>
      </c>
      <c r="T416" t="str">
        <f>IF(D416=1,MAX($T$2:$T415)+1,IF(S416=$S415,$S415,IF($D416="x",T415,IF($D415="x","",""))))</f>
        <v/>
      </c>
      <c r="U416" t="str">
        <f>IF(B416=1,MAX($U$2:$U415)+1,IF(AND($T416&lt;&gt;"",$T416=$T415),$U415,IF(B416="x",U415,"")))</f>
        <v/>
      </c>
      <c r="V416" t="str">
        <f>IF(C416=1,MAX($V$2:$V415)+1,IF(AND($T416&lt;&gt;"",$T416=$T415),$U415,IF(C416="x",V415,"")))</f>
        <v/>
      </c>
      <c r="W416" t="str" cm="1">
        <f t="array" ref="W416">IFERROR(_xlfn._xlws.FILTER(game_rosters!AB:AB,(game_rosters!J:J=events!X416)*(K416&lt;&gt;"")),"")</f>
        <v/>
      </c>
      <c r="X416" t="str" cm="1">
        <f t="array" ref="X416">IF(S416="","",IF($I416&lt;&gt;"",$I416,INDEX($I$2:$I415,ROW()-COUNTIFS($T$2:$T415,"="&amp;$T416,$S$2:$S415,"&lt;&gt;"&amp;$S416)-1)))</f>
        <v/>
      </c>
      <c r="Z416" s="6"/>
      <c r="AH416" t="str">
        <f t="shared" si="125"/>
        <v>o</v>
      </c>
      <c r="AI416" t="str">
        <f t="shared" si="132"/>
        <v/>
      </c>
      <c r="AJ416" t="str">
        <f t="shared" si="133"/>
        <v/>
      </c>
      <c r="AK416" t="str">
        <f t="shared" si="126"/>
        <v/>
      </c>
      <c r="AL416" t="str">
        <f t="shared" si="127"/>
        <v/>
      </c>
      <c r="AM416" t="str">
        <f t="shared" si="128"/>
        <v/>
      </c>
      <c r="AN416" t="str">
        <f t="shared" si="134"/>
        <v/>
      </c>
      <c r="AO416" t="str">
        <f t="shared" si="135"/>
        <v/>
      </c>
      <c r="AP416" t="str">
        <f t="shared" si="136"/>
        <v/>
      </c>
      <c r="AQ416" t="str">
        <f t="shared" si="137"/>
        <v/>
      </c>
      <c r="AR416" t="str">
        <f t="shared" si="138"/>
        <v/>
      </c>
      <c r="AS416" t="str">
        <f t="shared" si="129"/>
        <v>Defensive</v>
      </c>
      <c r="BI416" s="40"/>
      <c r="BL416" s="40"/>
      <c r="BN416" s="19"/>
      <c r="BP416" s="17"/>
    </row>
    <row r="417" spans="1:68" x14ac:dyDescent="0.2">
      <c r="A417" t="str">
        <f t="shared" si="130"/>
        <v/>
      </c>
      <c r="E417" s="4"/>
      <c r="F417" s="45"/>
      <c r="G417" s="4"/>
      <c r="H417" s="48"/>
      <c r="J417" s="46" t="str">
        <f t="shared" si="131"/>
        <v/>
      </c>
      <c r="N417" t="str">
        <f t="shared" si="140"/>
        <v/>
      </c>
      <c r="Q417" t="str">
        <f t="shared" si="139"/>
        <v/>
      </c>
      <c r="S417" t="str">
        <f>IF(A417=1,MAX(S$2:S416)+1,IF(OR(I417&lt;&gt;"",A417="x"),S416,""))</f>
        <v/>
      </c>
      <c r="T417" t="str">
        <f>IF(D417=1,MAX($T$2:$T416)+1,IF(S417=$S416,$S416,IF($D417="x",T416,IF($D416="x","",""))))</f>
        <v/>
      </c>
      <c r="U417" t="str">
        <f>IF(B417=1,MAX($U$2:$U416)+1,IF(AND($T417&lt;&gt;"",$T417=$T416),$U416,IF(B417="x",U416,"")))</f>
        <v/>
      </c>
      <c r="V417" t="str">
        <f>IF(C417=1,MAX($V$2:$V416)+1,IF(AND($T417&lt;&gt;"",$T417=$T416),$U416,IF(C417="x",V416,"")))</f>
        <v/>
      </c>
      <c r="W417" t="str" cm="1">
        <f t="array" ref="W417">IFERROR(_xlfn._xlws.FILTER(game_rosters!AB:AB,(game_rosters!J:J=events!X417)*(K417&lt;&gt;"")),"")</f>
        <v/>
      </c>
      <c r="X417" t="str" cm="1">
        <f t="array" ref="X417">IF(S417="","",IF($I417&lt;&gt;"",$I417,INDEX($I$2:$I416,ROW()-COUNTIFS($T$2:$T416,"="&amp;$T417,$S$2:$S416,"&lt;&gt;"&amp;$S417)-1)))</f>
        <v/>
      </c>
      <c r="Z417" s="6"/>
      <c r="AH417" t="str">
        <f t="shared" si="125"/>
        <v>o</v>
      </c>
      <c r="AI417" t="str">
        <f t="shared" si="132"/>
        <v/>
      </c>
      <c r="AJ417" t="str">
        <f t="shared" si="133"/>
        <v/>
      </c>
      <c r="AK417" t="str">
        <f t="shared" si="126"/>
        <v/>
      </c>
      <c r="AL417" t="str">
        <f t="shared" si="127"/>
        <v/>
      </c>
      <c r="AM417" t="str">
        <f t="shared" si="128"/>
        <v/>
      </c>
      <c r="AN417" t="str">
        <f t="shared" si="134"/>
        <v/>
      </c>
      <c r="AO417" t="str">
        <f t="shared" si="135"/>
        <v/>
      </c>
      <c r="AP417" t="str">
        <f t="shared" si="136"/>
        <v/>
      </c>
      <c r="AQ417" t="str">
        <f t="shared" si="137"/>
        <v/>
      </c>
      <c r="AR417" t="str">
        <f t="shared" si="138"/>
        <v/>
      </c>
      <c r="AS417" t="str">
        <f t="shared" si="129"/>
        <v>Defensive</v>
      </c>
      <c r="BI417" s="40"/>
      <c r="BL417" s="40"/>
      <c r="BN417" s="19"/>
      <c r="BP417" s="17"/>
    </row>
    <row r="418" spans="1:68" x14ac:dyDescent="0.2">
      <c r="A418" t="str">
        <f t="shared" si="130"/>
        <v/>
      </c>
      <c r="E418" s="4"/>
      <c r="F418" s="45"/>
      <c r="G418" s="4"/>
      <c r="H418" s="48"/>
      <c r="J418" s="46" t="str">
        <f t="shared" si="131"/>
        <v/>
      </c>
      <c r="N418" t="str">
        <f t="shared" si="140"/>
        <v/>
      </c>
      <c r="Q418" t="str">
        <f t="shared" si="139"/>
        <v/>
      </c>
      <c r="S418" t="str">
        <f>IF(A418=1,MAX(S$2:S417)+1,IF(OR(I418&lt;&gt;"",A418="x"),S417,""))</f>
        <v/>
      </c>
      <c r="T418" t="str">
        <f>IF(D418=1,MAX($T$2:$T417)+1,IF(S418=$S417,$S417,IF($D418="x",T417,IF($D417="x","",""))))</f>
        <v/>
      </c>
      <c r="U418" t="str">
        <f>IF(B418=1,MAX($U$2:$U417)+1,IF(AND($T418&lt;&gt;"",$T418=$T417),$U417,IF(B418="x",U417,"")))</f>
        <v/>
      </c>
      <c r="V418" t="str">
        <f>IF(C418=1,MAX($V$2:$V417)+1,IF(AND($T418&lt;&gt;"",$T418=$T417),$U417,IF(C418="x",V417,"")))</f>
        <v/>
      </c>
      <c r="W418" t="str" cm="1">
        <f t="array" ref="W418">IFERROR(_xlfn._xlws.FILTER(game_rosters!AB:AB,(game_rosters!J:J=events!X418)*(K418&lt;&gt;"")),"")</f>
        <v/>
      </c>
      <c r="X418" t="str" cm="1">
        <f t="array" ref="X418">IF(S418="","",IF($I418&lt;&gt;"",$I418,INDEX($I$2:$I417,ROW()-COUNTIFS($T$2:$T417,"="&amp;$T418,$S$2:$S417,"&lt;&gt;"&amp;$S418)-1)))</f>
        <v/>
      </c>
      <c r="Z418" s="6"/>
      <c r="AH418" t="str">
        <f t="shared" si="125"/>
        <v>o</v>
      </c>
      <c r="AI418" t="str">
        <f t="shared" si="132"/>
        <v/>
      </c>
      <c r="AJ418" t="str">
        <f t="shared" si="133"/>
        <v/>
      </c>
      <c r="AK418" t="str">
        <f t="shared" si="126"/>
        <v/>
      </c>
      <c r="AL418" t="str">
        <f t="shared" si="127"/>
        <v/>
      </c>
      <c r="AM418" t="str">
        <f t="shared" si="128"/>
        <v/>
      </c>
      <c r="AN418" t="str">
        <f t="shared" si="134"/>
        <v/>
      </c>
      <c r="AO418" t="str">
        <f t="shared" si="135"/>
        <v/>
      </c>
      <c r="AP418" t="str">
        <f t="shared" si="136"/>
        <v/>
      </c>
      <c r="AQ418" t="str">
        <f t="shared" si="137"/>
        <v/>
      </c>
      <c r="AR418" t="str">
        <f t="shared" si="138"/>
        <v/>
      </c>
      <c r="AS418" t="str">
        <f t="shared" si="129"/>
        <v>Defensive</v>
      </c>
      <c r="BI418" s="40"/>
      <c r="BL418" s="40"/>
      <c r="BN418" s="19"/>
      <c r="BP418" s="17"/>
    </row>
    <row r="419" spans="1:68" x14ac:dyDescent="0.2">
      <c r="A419" t="str">
        <f t="shared" si="130"/>
        <v/>
      </c>
      <c r="E419" s="4"/>
      <c r="F419" s="45"/>
      <c r="G419" s="4"/>
      <c r="H419" s="48"/>
      <c r="J419" s="46" t="str">
        <f t="shared" si="131"/>
        <v/>
      </c>
      <c r="N419" t="str">
        <f t="shared" si="140"/>
        <v/>
      </c>
      <c r="Q419" t="str">
        <f t="shared" si="139"/>
        <v/>
      </c>
      <c r="S419" t="str">
        <f>IF(A419=1,MAX(S$2:S418)+1,IF(OR(I419&lt;&gt;"",A419="x"),S418,""))</f>
        <v/>
      </c>
      <c r="T419" t="str">
        <f>IF(D419=1,MAX($T$2:$T418)+1,IF(S419=$S418,$S418,IF($D419="x",T418,IF($D418="x","",""))))</f>
        <v/>
      </c>
      <c r="U419" t="str">
        <f>IF(B419=1,MAX($U$2:$U418)+1,IF(AND($T419&lt;&gt;"",$T419=$T418),$U418,IF(B419="x",U418,"")))</f>
        <v/>
      </c>
      <c r="V419" t="str">
        <f>IF(C419=1,MAX($V$2:$V418)+1,IF(AND($T419&lt;&gt;"",$T419=$T418),$U418,IF(C419="x",V418,"")))</f>
        <v/>
      </c>
      <c r="W419" t="str" cm="1">
        <f t="array" ref="W419">IFERROR(_xlfn._xlws.FILTER(game_rosters!AB:AB,(game_rosters!J:J=events!X419)*(K419&lt;&gt;"")),"")</f>
        <v/>
      </c>
      <c r="X419" t="str" cm="1">
        <f t="array" ref="X419">IF(S419="","",IF($I419&lt;&gt;"",$I419,INDEX($I$2:$I418,ROW()-COUNTIFS($T$2:$T418,"="&amp;$T419,$S$2:$S418,"&lt;&gt;"&amp;$S419)-1)))</f>
        <v/>
      </c>
      <c r="Z419" s="6"/>
      <c r="AH419" t="str">
        <f t="shared" si="125"/>
        <v>o</v>
      </c>
      <c r="AI419" t="str">
        <f t="shared" si="132"/>
        <v/>
      </c>
      <c r="AJ419" t="str">
        <f t="shared" si="133"/>
        <v/>
      </c>
      <c r="AK419" t="str">
        <f t="shared" si="126"/>
        <v/>
      </c>
      <c r="AL419" t="str">
        <f t="shared" si="127"/>
        <v/>
      </c>
      <c r="AM419" t="str">
        <f t="shared" si="128"/>
        <v/>
      </c>
      <c r="AN419" t="str">
        <f t="shared" si="134"/>
        <v/>
      </c>
      <c r="AO419" t="str">
        <f t="shared" si="135"/>
        <v/>
      </c>
      <c r="AP419" t="str">
        <f t="shared" si="136"/>
        <v/>
      </c>
      <c r="AQ419" t="str">
        <f t="shared" si="137"/>
        <v/>
      </c>
      <c r="AR419" t="str">
        <f t="shared" si="138"/>
        <v/>
      </c>
      <c r="AS419" t="str">
        <f t="shared" si="129"/>
        <v>Defensive</v>
      </c>
      <c r="BI419" s="40"/>
      <c r="BL419" s="40"/>
      <c r="BN419" s="19"/>
      <c r="BP419" s="17"/>
    </row>
    <row r="420" spans="1:68" x14ac:dyDescent="0.2">
      <c r="A420" t="str">
        <f t="shared" si="130"/>
        <v/>
      </c>
      <c r="E420" s="4"/>
      <c r="F420" s="45"/>
      <c r="G420" s="4"/>
      <c r="H420" s="48"/>
      <c r="J420" s="46" t="str">
        <f t="shared" si="131"/>
        <v/>
      </c>
      <c r="N420" t="str">
        <f t="shared" si="140"/>
        <v/>
      </c>
      <c r="Q420" t="str">
        <f t="shared" si="139"/>
        <v/>
      </c>
      <c r="S420" t="str">
        <f>IF(A420=1,MAX(S$2:S419)+1,IF(OR(I420&lt;&gt;"",A420="x"),S419,""))</f>
        <v/>
      </c>
      <c r="T420" t="str">
        <f>IF(D420=1,MAX($T$2:$T419)+1,IF(S420=$S419,$S419,IF($D420="x",T419,IF($D419="x","",""))))</f>
        <v/>
      </c>
      <c r="U420" t="str">
        <f>IF(B420=1,MAX($U$2:$U419)+1,IF(AND($T420&lt;&gt;"",$T420=$T419),$U419,IF(B420="x",U419,"")))</f>
        <v/>
      </c>
      <c r="V420" t="str">
        <f>IF(C420=1,MAX($V$2:$V419)+1,IF(AND($T420&lt;&gt;"",$T420=$T419),$U419,IF(C420="x",V419,"")))</f>
        <v/>
      </c>
      <c r="W420" t="str" cm="1">
        <f t="array" ref="W420">IFERROR(_xlfn._xlws.FILTER(game_rosters!AB:AB,(game_rosters!J:J=events!X420)*(K420&lt;&gt;"")),"")</f>
        <v/>
      </c>
      <c r="X420" t="str" cm="1">
        <f t="array" ref="X420">IF(S420="","",IF($I420&lt;&gt;"",$I420,INDEX($I$2:$I419,ROW()-COUNTIFS($T$2:$T419,"="&amp;$T420,$S$2:$S419,"&lt;&gt;"&amp;$S420)-1)))</f>
        <v/>
      </c>
      <c r="Z420" s="6"/>
      <c r="AH420" t="str">
        <f t="shared" si="125"/>
        <v>o</v>
      </c>
      <c r="AI420" t="str">
        <f t="shared" si="132"/>
        <v/>
      </c>
      <c r="AJ420" t="str">
        <f t="shared" si="133"/>
        <v/>
      </c>
      <c r="AK420" t="str">
        <f t="shared" si="126"/>
        <v/>
      </c>
      <c r="AL420" t="str">
        <f t="shared" si="127"/>
        <v/>
      </c>
      <c r="AM420" t="str">
        <f t="shared" si="128"/>
        <v/>
      </c>
      <c r="AN420" t="str">
        <f t="shared" si="134"/>
        <v/>
      </c>
      <c r="AO420" t="str">
        <f t="shared" si="135"/>
        <v/>
      </c>
      <c r="AP420" t="str">
        <f t="shared" si="136"/>
        <v/>
      </c>
      <c r="AQ420" t="str">
        <f t="shared" si="137"/>
        <v/>
      </c>
      <c r="AR420" t="str">
        <f t="shared" si="138"/>
        <v/>
      </c>
      <c r="AS420" t="str">
        <f t="shared" si="129"/>
        <v>Defensive</v>
      </c>
      <c r="BI420" s="40"/>
      <c r="BL420" s="40"/>
      <c r="BN420" s="19"/>
      <c r="BP420" s="17"/>
    </row>
    <row r="421" spans="1:68" x14ac:dyDescent="0.2">
      <c r="A421" t="str">
        <f t="shared" si="130"/>
        <v/>
      </c>
      <c r="E421" s="4"/>
      <c r="F421" s="45"/>
      <c r="G421" s="4"/>
      <c r="H421" s="48"/>
      <c r="J421" s="46" t="str">
        <f t="shared" si="131"/>
        <v/>
      </c>
      <c r="N421" t="str">
        <f t="shared" si="140"/>
        <v/>
      </c>
      <c r="Q421" t="str">
        <f t="shared" si="139"/>
        <v/>
      </c>
      <c r="S421" t="str">
        <f>IF(A421=1,MAX(S$2:S420)+1,IF(OR(I421&lt;&gt;"",A421="x"),S420,""))</f>
        <v/>
      </c>
      <c r="T421" t="str">
        <f>IF(D421=1,MAX($T$2:$T420)+1,IF(S421=$S420,$S420,IF($D421="x",T420,IF($D420="x","",""))))</f>
        <v/>
      </c>
      <c r="U421" t="str">
        <f>IF(B421=1,MAX($U$2:$U420)+1,IF(AND($T421&lt;&gt;"",$T421=$T420),$U420,IF(B421="x",U420,"")))</f>
        <v/>
      </c>
      <c r="V421" t="str">
        <f>IF(C421=1,MAX($V$2:$V420)+1,IF(AND($T421&lt;&gt;"",$T421=$T420),$U420,IF(C421="x",V420,"")))</f>
        <v/>
      </c>
      <c r="W421" t="str" cm="1">
        <f t="array" ref="W421">IFERROR(_xlfn._xlws.FILTER(game_rosters!AB:AB,(game_rosters!J:J=events!X421)*(K421&lt;&gt;"")),"")</f>
        <v/>
      </c>
      <c r="X421" t="str" cm="1">
        <f t="array" ref="X421">IF(S421="","",IF($I421&lt;&gt;"",$I421,INDEX($I$2:$I420,ROW()-COUNTIFS($T$2:$T420,"="&amp;$T421,$S$2:$S420,"&lt;&gt;"&amp;$S421)-1)))</f>
        <v/>
      </c>
      <c r="Z421" s="6"/>
      <c r="AH421" t="str">
        <f t="shared" si="125"/>
        <v>o</v>
      </c>
      <c r="AI421" t="str">
        <f t="shared" si="132"/>
        <v/>
      </c>
      <c r="AJ421" t="str">
        <f t="shared" si="133"/>
        <v/>
      </c>
      <c r="AK421" t="str">
        <f t="shared" si="126"/>
        <v/>
      </c>
      <c r="AL421" t="str">
        <f t="shared" si="127"/>
        <v/>
      </c>
      <c r="AM421" t="str">
        <f t="shared" si="128"/>
        <v/>
      </c>
      <c r="AN421" t="str">
        <f t="shared" si="134"/>
        <v/>
      </c>
      <c r="AO421" t="str">
        <f t="shared" si="135"/>
        <v/>
      </c>
      <c r="AP421" t="str">
        <f t="shared" si="136"/>
        <v/>
      </c>
      <c r="AQ421" t="str">
        <f t="shared" si="137"/>
        <v/>
      </c>
      <c r="AR421" t="str">
        <f t="shared" si="138"/>
        <v/>
      </c>
      <c r="AS421" t="str">
        <f t="shared" si="129"/>
        <v>Defensive</v>
      </c>
      <c r="BI421" s="40"/>
      <c r="BL421" s="40"/>
      <c r="BN421" s="19"/>
      <c r="BP421" s="17"/>
    </row>
    <row r="422" spans="1:68" x14ac:dyDescent="0.2">
      <c r="A422" t="str">
        <f t="shared" si="130"/>
        <v/>
      </c>
      <c r="E422" s="4"/>
      <c r="F422" s="45"/>
      <c r="G422" s="4"/>
      <c r="H422" s="48"/>
      <c r="J422" s="46" t="str">
        <f t="shared" si="131"/>
        <v/>
      </c>
      <c r="N422" t="str">
        <f t="shared" si="140"/>
        <v/>
      </c>
      <c r="Q422" t="str">
        <f t="shared" si="139"/>
        <v/>
      </c>
      <c r="S422" t="str">
        <f>IF(A422=1,MAX(S$2:S421)+1,IF(OR(I422&lt;&gt;"",A422="x"),S421,""))</f>
        <v/>
      </c>
      <c r="T422" t="str">
        <f>IF(D422=1,MAX($T$2:$T421)+1,IF(S422=$S421,$S421,IF($D422="x",T421,IF($D421="x","",""))))</f>
        <v/>
      </c>
      <c r="U422" t="str">
        <f>IF(B422=1,MAX($U$2:$U421)+1,IF(AND($T422&lt;&gt;"",$T422=$T421),$U421,IF(B422="x",U421,"")))</f>
        <v/>
      </c>
      <c r="V422" t="str">
        <f>IF(C422=1,MAX($V$2:$V421)+1,IF(AND($T422&lt;&gt;"",$T422=$T421),$U421,IF(C422="x",V421,"")))</f>
        <v/>
      </c>
      <c r="W422" t="str" cm="1">
        <f t="array" ref="W422">IFERROR(_xlfn._xlws.FILTER(game_rosters!AB:AB,(game_rosters!J:J=events!X422)*(K422&lt;&gt;"")),"")</f>
        <v/>
      </c>
      <c r="X422" t="str" cm="1">
        <f t="array" ref="X422">IF(S422="","",IF($I422&lt;&gt;"",$I422,INDEX($I$2:$I421,ROW()-COUNTIFS($T$2:$T421,"="&amp;$T422,$S$2:$S421,"&lt;&gt;"&amp;$S422)-1)))</f>
        <v/>
      </c>
      <c r="Z422" s="6"/>
      <c r="AH422" t="str">
        <f t="shared" si="125"/>
        <v>o</v>
      </c>
      <c r="AI422" t="str">
        <f t="shared" si="132"/>
        <v/>
      </c>
      <c r="AJ422" t="str">
        <f t="shared" si="133"/>
        <v/>
      </c>
      <c r="AK422" t="str">
        <f t="shared" si="126"/>
        <v/>
      </c>
      <c r="AL422" t="str">
        <f t="shared" si="127"/>
        <v/>
      </c>
      <c r="AM422" t="str">
        <f t="shared" si="128"/>
        <v/>
      </c>
      <c r="AN422" t="str">
        <f t="shared" si="134"/>
        <v/>
      </c>
      <c r="AO422" t="str">
        <f t="shared" si="135"/>
        <v/>
      </c>
      <c r="AP422" t="str">
        <f t="shared" si="136"/>
        <v/>
      </c>
      <c r="AQ422" t="str">
        <f t="shared" si="137"/>
        <v/>
      </c>
      <c r="AR422" t="str">
        <f t="shared" si="138"/>
        <v/>
      </c>
      <c r="AS422" t="str">
        <f t="shared" si="129"/>
        <v>Defensive</v>
      </c>
      <c r="BI422" s="40"/>
      <c r="BL422" s="40"/>
      <c r="BN422" s="19"/>
      <c r="BP422" s="17"/>
    </row>
    <row r="423" spans="1:68" x14ac:dyDescent="0.2">
      <c r="A423" t="str">
        <f t="shared" si="130"/>
        <v/>
      </c>
      <c r="E423" s="4"/>
      <c r="F423" s="45"/>
      <c r="G423" s="4"/>
      <c r="H423" s="48"/>
      <c r="J423" s="46" t="str">
        <f t="shared" si="131"/>
        <v/>
      </c>
      <c r="N423" t="str">
        <f t="shared" si="140"/>
        <v/>
      </c>
      <c r="Q423" t="str">
        <f t="shared" si="139"/>
        <v/>
      </c>
      <c r="S423" t="str">
        <f>IF(A423=1,MAX(S$2:S422)+1,IF(OR(I423&lt;&gt;"",A423="x"),S422,""))</f>
        <v/>
      </c>
      <c r="T423" t="str">
        <f>IF(D423=1,MAX($T$2:$T422)+1,IF(S423=$S422,$S422,IF($D423="x",T422,IF($D422="x","",""))))</f>
        <v/>
      </c>
      <c r="U423" t="str">
        <f>IF(B423=1,MAX($U$2:$U422)+1,IF(AND($T423&lt;&gt;"",$T423=$T422),$U422,IF(B423="x",U422,"")))</f>
        <v/>
      </c>
      <c r="V423" t="str">
        <f>IF(C423=1,MAX($V$2:$V422)+1,IF(AND($T423&lt;&gt;"",$T423=$T422),$U422,IF(C423="x",V422,"")))</f>
        <v/>
      </c>
      <c r="W423" t="str" cm="1">
        <f t="array" ref="W423">IFERROR(_xlfn._xlws.FILTER(game_rosters!AB:AB,(game_rosters!J:J=events!X423)*(K423&lt;&gt;"")),"")</f>
        <v/>
      </c>
      <c r="X423" t="str" cm="1">
        <f t="array" ref="X423">IF(S423="","",IF($I423&lt;&gt;"",$I423,INDEX($I$2:$I422,ROW()-COUNTIFS($T$2:$T422,"="&amp;$T423,$S$2:$S422,"&lt;&gt;"&amp;$S423)-1)))</f>
        <v/>
      </c>
      <c r="Z423" s="6"/>
      <c r="AH423" t="str">
        <f t="shared" si="125"/>
        <v>o</v>
      </c>
      <c r="AI423" t="str">
        <f t="shared" si="132"/>
        <v/>
      </c>
      <c r="AJ423" t="str">
        <f t="shared" si="133"/>
        <v/>
      </c>
      <c r="AK423" t="str">
        <f t="shared" si="126"/>
        <v/>
      </c>
      <c r="AL423" t="str">
        <f t="shared" si="127"/>
        <v/>
      </c>
      <c r="AM423" t="str">
        <f t="shared" si="128"/>
        <v/>
      </c>
      <c r="AN423" t="str">
        <f t="shared" si="134"/>
        <v/>
      </c>
      <c r="AO423" t="str">
        <f t="shared" si="135"/>
        <v/>
      </c>
      <c r="AP423" t="str">
        <f t="shared" si="136"/>
        <v/>
      </c>
      <c r="AQ423" t="str">
        <f t="shared" si="137"/>
        <v/>
      </c>
      <c r="AR423" t="str">
        <f t="shared" si="138"/>
        <v/>
      </c>
      <c r="AS423" t="str">
        <f t="shared" si="129"/>
        <v>Defensive</v>
      </c>
      <c r="BI423" s="40"/>
      <c r="BL423" s="40"/>
      <c r="BN423" s="19"/>
      <c r="BP423" s="17"/>
    </row>
    <row r="424" spans="1:68" x14ac:dyDescent="0.2">
      <c r="A424" t="str">
        <f t="shared" si="130"/>
        <v/>
      </c>
      <c r="E424" s="4"/>
      <c r="F424" s="45"/>
      <c r="G424" s="4"/>
      <c r="H424" s="48"/>
      <c r="J424" s="46" t="str">
        <f t="shared" si="131"/>
        <v/>
      </c>
      <c r="N424" t="str">
        <f t="shared" si="140"/>
        <v/>
      </c>
      <c r="Q424" t="str">
        <f t="shared" si="139"/>
        <v/>
      </c>
      <c r="S424" t="str">
        <f>IF(A424=1,MAX(S$2:S423)+1,IF(OR(I424&lt;&gt;"",A424="x"),S423,""))</f>
        <v/>
      </c>
      <c r="T424" t="str">
        <f>IF(D424=1,MAX($T$2:$T423)+1,IF(S424=$S423,$S423,IF($D424="x",T423,IF($D423="x","",""))))</f>
        <v/>
      </c>
      <c r="U424" t="str">
        <f>IF(B424=1,MAX($U$2:$U423)+1,IF(AND($T424&lt;&gt;"",$T424=$T423),$U423,IF(B424="x",U423,"")))</f>
        <v/>
      </c>
      <c r="V424" t="str">
        <f>IF(C424=1,MAX($V$2:$V423)+1,IF(AND($T424&lt;&gt;"",$T424=$T423),$U423,IF(C424="x",V423,"")))</f>
        <v/>
      </c>
      <c r="W424" t="str" cm="1">
        <f t="array" ref="W424">IFERROR(_xlfn._xlws.FILTER(game_rosters!AB:AB,(game_rosters!J:J=events!X424)*(K424&lt;&gt;"")),"")</f>
        <v/>
      </c>
      <c r="X424" t="str" cm="1">
        <f t="array" ref="X424">IF(S424="","",IF($I424&lt;&gt;"",$I424,INDEX($I$2:$I423,ROW()-COUNTIFS($T$2:$T423,"="&amp;$T424,$S$2:$S423,"&lt;&gt;"&amp;$S424)-1)))</f>
        <v/>
      </c>
      <c r="Z424" s="6"/>
      <c r="AH424" t="str">
        <f t="shared" si="125"/>
        <v>o</v>
      </c>
      <c r="AI424" t="str">
        <f t="shared" si="132"/>
        <v/>
      </c>
      <c r="AJ424" t="str">
        <f t="shared" si="133"/>
        <v/>
      </c>
      <c r="AK424" t="str">
        <f t="shared" si="126"/>
        <v/>
      </c>
      <c r="AL424" t="str">
        <f t="shared" si="127"/>
        <v/>
      </c>
      <c r="AM424" t="str">
        <f t="shared" si="128"/>
        <v/>
      </c>
      <c r="AN424" t="str">
        <f t="shared" si="134"/>
        <v/>
      </c>
      <c r="AO424" t="str">
        <f t="shared" si="135"/>
        <v/>
      </c>
      <c r="AP424" t="str">
        <f t="shared" si="136"/>
        <v/>
      </c>
      <c r="AQ424" t="str">
        <f t="shared" si="137"/>
        <v/>
      </c>
      <c r="AR424" t="str">
        <f t="shared" si="138"/>
        <v/>
      </c>
      <c r="AS424" t="str">
        <f t="shared" si="129"/>
        <v>Defensive</v>
      </c>
      <c r="BI424" s="40"/>
      <c r="BL424" s="40"/>
      <c r="BN424" s="19"/>
      <c r="BP424" s="17"/>
    </row>
    <row r="425" spans="1:68" x14ac:dyDescent="0.2">
      <c r="A425" t="str">
        <f t="shared" si="130"/>
        <v/>
      </c>
      <c r="E425" s="4"/>
      <c r="F425" s="45"/>
      <c r="G425" s="4"/>
      <c r="H425" s="48"/>
      <c r="J425" s="46" t="str">
        <f t="shared" si="131"/>
        <v/>
      </c>
      <c r="N425" t="str">
        <f t="shared" si="140"/>
        <v/>
      </c>
      <c r="Q425" t="str">
        <f t="shared" si="139"/>
        <v/>
      </c>
      <c r="S425" t="str">
        <f>IF(A425=1,MAX(S$2:S424)+1,IF(OR(I425&lt;&gt;"",A425="x"),S424,""))</f>
        <v/>
      </c>
      <c r="T425" t="str">
        <f>IF(D425=1,MAX($T$2:$T424)+1,IF(S425=$S424,$S424,IF($D425="x",T424,IF($D424="x","",""))))</f>
        <v/>
      </c>
      <c r="U425" t="str">
        <f>IF(B425=1,MAX($U$2:$U424)+1,IF(AND($T425&lt;&gt;"",$T425=$T424),$U424,IF(B425="x",U424,"")))</f>
        <v/>
      </c>
      <c r="V425" t="str">
        <f>IF(C425=1,MAX($V$2:$V424)+1,IF(AND($T425&lt;&gt;"",$T425=$T424),$U424,IF(C425="x",V424,"")))</f>
        <v/>
      </c>
      <c r="W425" t="str" cm="1">
        <f t="array" ref="W425">IFERROR(_xlfn._xlws.FILTER(game_rosters!AB:AB,(game_rosters!J:J=events!X425)*(K425&lt;&gt;"")),"")</f>
        <v/>
      </c>
      <c r="X425" t="str" cm="1">
        <f t="array" ref="X425">IF(S425="","",IF($I425&lt;&gt;"",$I425,INDEX($I$2:$I424,ROW()-COUNTIFS($T$2:$T424,"="&amp;$T425,$S$2:$S424,"&lt;&gt;"&amp;$S425)-1)))</f>
        <v/>
      </c>
      <c r="Z425" s="6"/>
      <c r="AH425" t="str">
        <f t="shared" si="125"/>
        <v>o</v>
      </c>
      <c r="AI425" t="str">
        <f t="shared" si="132"/>
        <v/>
      </c>
      <c r="AJ425" t="str">
        <f t="shared" si="133"/>
        <v/>
      </c>
      <c r="AK425" t="str">
        <f t="shared" si="126"/>
        <v/>
      </c>
      <c r="AL425" t="str">
        <f t="shared" si="127"/>
        <v/>
      </c>
      <c r="AM425" t="str">
        <f t="shared" si="128"/>
        <v/>
      </c>
      <c r="AN425" t="str">
        <f t="shared" si="134"/>
        <v/>
      </c>
      <c r="AO425" t="str">
        <f t="shared" si="135"/>
        <v/>
      </c>
      <c r="AP425" t="str">
        <f t="shared" si="136"/>
        <v/>
      </c>
      <c r="AQ425" t="str">
        <f t="shared" si="137"/>
        <v/>
      </c>
      <c r="AR425" t="str">
        <f t="shared" si="138"/>
        <v/>
      </c>
      <c r="AS425" t="str">
        <f t="shared" si="129"/>
        <v>Defensive</v>
      </c>
      <c r="BI425" s="40"/>
      <c r="BL425" s="40"/>
      <c r="BN425" s="19"/>
      <c r="BP425" s="17"/>
    </row>
    <row r="426" spans="1:68" x14ac:dyDescent="0.2">
      <c r="A426" t="str">
        <f t="shared" si="130"/>
        <v/>
      </c>
      <c r="E426" s="4"/>
      <c r="F426" s="45"/>
      <c r="G426" s="4"/>
      <c r="H426" s="48"/>
      <c r="J426" s="46" t="str">
        <f t="shared" si="131"/>
        <v/>
      </c>
      <c r="N426" t="str">
        <f t="shared" si="140"/>
        <v/>
      </c>
      <c r="Q426" t="str">
        <f t="shared" si="139"/>
        <v/>
      </c>
      <c r="S426" t="str">
        <f>IF(A426=1,MAX(S$2:S425)+1,IF(OR(I426&lt;&gt;"",A426="x"),S425,""))</f>
        <v/>
      </c>
      <c r="T426" t="str">
        <f>IF(D426=1,MAX($T$2:$T425)+1,IF(S426=$S425,$S425,IF($D426="x",T425,IF($D425="x","",""))))</f>
        <v/>
      </c>
      <c r="U426" t="str">
        <f>IF(B426=1,MAX($U$2:$U425)+1,IF(AND($T426&lt;&gt;"",$T426=$T425),$U425,IF(B426="x",U425,"")))</f>
        <v/>
      </c>
      <c r="V426" t="str">
        <f>IF(C426=1,MAX($V$2:$V425)+1,IF(AND($T426&lt;&gt;"",$T426=$T425),$U425,IF(C426="x",V425,"")))</f>
        <v/>
      </c>
      <c r="W426" t="str" cm="1">
        <f t="array" ref="W426">IFERROR(_xlfn._xlws.FILTER(game_rosters!AB:AB,(game_rosters!J:J=events!X426)*(K426&lt;&gt;"")),"")</f>
        <v/>
      </c>
      <c r="X426" t="str" cm="1">
        <f t="array" ref="X426">IF(S426="","",IF($I426&lt;&gt;"",$I426,INDEX($I$2:$I425,ROW()-COUNTIFS($T$2:$T425,"="&amp;$T426,$S$2:$S425,"&lt;&gt;"&amp;$S426)-1)))</f>
        <v/>
      </c>
      <c r="Z426" s="6"/>
      <c r="AH426" t="str">
        <f t="shared" si="125"/>
        <v>o</v>
      </c>
      <c r="AI426" t="str">
        <f t="shared" si="132"/>
        <v/>
      </c>
      <c r="AJ426" t="str">
        <f t="shared" si="133"/>
        <v/>
      </c>
      <c r="AK426" t="str">
        <f t="shared" si="126"/>
        <v/>
      </c>
      <c r="AL426" t="str">
        <f t="shared" si="127"/>
        <v/>
      </c>
      <c r="AM426" t="str">
        <f t="shared" si="128"/>
        <v/>
      </c>
      <c r="AN426" t="str">
        <f t="shared" si="134"/>
        <v/>
      </c>
      <c r="AO426" t="str">
        <f t="shared" si="135"/>
        <v/>
      </c>
      <c r="AP426" t="str">
        <f t="shared" si="136"/>
        <v/>
      </c>
      <c r="AQ426" t="str">
        <f t="shared" si="137"/>
        <v/>
      </c>
      <c r="AR426" t="str">
        <f t="shared" si="138"/>
        <v/>
      </c>
      <c r="AS426" t="str">
        <f t="shared" si="129"/>
        <v>Defensive</v>
      </c>
      <c r="BI426" s="40"/>
      <c r="BL426" s="40"/>
      <c r="BN426" s="19"/>
      <c r="BP426" s="17"/>
    </row>
    <row r="427" spans="1:68" x14ac:dyDescent="0.2">
      <c r="A427" t="str">
        <f t="shared" si="130"/>
        <v/>
      </c>
      <c r="E427" s="4"/>
      <c r="F427" s="45"/>
      <c r="G427" s="4"/>
      <c r="H427" s="48"/>
      <c r="J427" s="46" t="str">
        <f t="shared" si="131"/>
        <v/>
      </c>
      <c r="N427" t="str">
        <f t="shared" si="140"/>
        <v/>
      </c>
      <c r="Q427" t="str">
        <f t="shared" si="139"/>
        <v/>
      </c>
      <c r="S427" t="str">
        <f>IF(A427=1,MAX(S$2:S426)+1,IF(OR(I427&lt;&gt;"",A427="x"),S426,""))</f>
        <v/>
      </c>
      <c r="T427" t="str">
        <f>IF(D427=1,MAX($T$2:$T426)+1,IF(S427=$S426,$S426,IF($D427="x",T426,IF($D426="x","",""))))</f>
        <v/>
      </c>
      <c r="U427" t="str">
        <f>IF(B427=1,MAX($U$2:$U426)+1,IF(AND($T427&lt;&gt;"",$T427=$T426),$U426,IF(B427="x",U426,"")))</f>
        <v/>
      </c>
      <c r="V427" t="str">
        <f>IF(C427=1,MAX($V$2:$V426)+1,IF(AND($T427&lt;&gt;"",$T427=$T426),$U426,IF(C427="x",V426,"")))</f>
        <v/>
      </c>
      <c r="W427" t="str" cm="1">
        <f t="array" ref="W427">IFERROR(_xlfn._xlws.FILTER(game_rosters!AB:AB,(game_rosters!J:J=events!X427)*(K427&lt;&gt;"")),"")</f>
        <v/>
      </c>
      <c r="X427" t="str" cm="1">
        <f t="array" ref="X427">IF(S427="","",IF($I427&lt;&gt;"",$I427,INDEX($I$2:$I426,ROW()-COUNTIFS($T$2:$T426,"="&amp;$T427,$S$2:$S426,"&lt;&gt;"&amp;$S427)-1)))</f>
        <v/>
      </c>
      <c r="Z427" s="6"/>
      <c r="AH427" t="str">
        <f t="shared" si="125"/>
        <v>o</v>
      </c>
      <c r="AI427" t="str">
        <f t="shared" si="132"/>
        <v/>
      </c>
      <c r="AJ427" t="str">
        <f t="shared" si="133"/>
        <v/>
      </c>
      <c r="AK427" t="str">
        <f t="shared" si="126"/>
        <v/>
      </c>
      <c r="AL427" t="str">
        <f t="shared" si="127"/>
        <v/>
      </c>
      <c r="AM427" t="str">
        <f t="shared" si="128"/>
        <v/>
      </c>
      <c r="AN427" t="str">
        <f t="shared" si="134"/>
        <v/>
      </c>
      <c r="AO427" t="str">
        <f t="shared" si="135"/>
        <v/>
      </c>
      <c r="AP427" t="str">
        <f t="shared" si="136"/>
        <v/>
      </c>
      <c r="AQ427" t="str">
        <f t="shared" si="137"/>
        <v/>
      </c>
      <c r="AR427" t="str">
        <f t="shared" si="138"/>
        <v/>
      </c>
      <c r="AS427" t="str">
        <f t="shared" si="129"/>
        <v>Defensive</v>
      </c>
      <c r="BI427" s="40"/>
      <c r="BL427" s="40"/>
      <c r="BN427" s="19"/>
      <c r="BP427" s="17"/>
    </row>
    <row r="428" spans="1:68" x14ac:dyDescent="0.2">
      <c r="A428" t="str">
        <f t="shared" si="130"/>
        <v/>
      </c>
      <c r="E428" s="4"/>
      <c r="F428" s="45"/>
      <c r="G428" s="4"/>
      <c r="H428" s="48"/>
      <c r="J428" s="46" t="str">
        <f t="shared" si="131"/>
        <v/>
      </c>
      <c r="N428" t="str">
        <f t="shared" si="140"/>
        <v/>
      </c>
      <c r="Q428" t="str">
        <f t="shared" si="139"/>
        <v/>
      </c>
      <c r="S428" t="str">
        <f>IF(A428=1,MAX(S$2:S427)+1,IF(OR(I428&lt;&gt;"",A428="x"),S427,""))</f>
        <v/>
      </c>
      <c r="T428" t="str">
        <f>IF(D428=1,MAX($T$2:$T427)+1,IF(S428=$S427,$S427,IF($D428="x",T427,IF($D427="x","",""))))</f>
        <v/>
      </c>
      <c r="U428" t="str">
        <f>IF(B428=1,MAX($U$2:$U427)+1,IF(AND($T428&lt;&gt;"",$T428=$T427),$U427,IF(B428="x",U427,"")))</f>
        <v/>
      </c>
      <c r="V428" t="str">
        <f>IF(C428=1,MAX($V$2:$V427)+1,IF(AND($T428&lt;&gt;"",$T428=$T427),$U427,IF(C428="x",V427,"")))</f>
        <v/>
      </c>
      <c r="W428" t="str" cm="1">
        <f t="array" ref="W428">IFERROR(_xlfn._xlws.FILTER(game_rosters!AB:AB,(game_rosters!J:J=events!X428)*(K428&lt;&gt;"")),"")</f>
        <v/>
      </c>
      <c r="X428" t="str" cm="1">
        <f t="array" ref="X428">IF(S428="","",IF($I428&lt;&gt;"",$I428,INDEX($I$2:$I427,ROW()-COUNTIFS($T$2:$T427,"="&amp;$T428,$S$2:$S427,"&lt;&gt;"&amp;$S428)-1)))</f>
        <v/>
      </c>
      <c r="Z428" s="6"/>
      <c r="AH428" t="str">
        <f t="shared" si="125"/>
        <v>o</v>
      </c>
      <c r="AI428" t="str">
        <f t="shared" si="132"/>
        <v/>
      </c>
      <c r="AJ428" t="str">
        <f t="shared" si="133"/>
        <v/>
      </c>
      <c r="AK428" t="str">
        <f t="shared" si="126"/>
        <v/>
      </c>
      <c r="AL428" t="str">
        <f t="shared" si="127"/>
        <v/>
      </c>
      <c r="AM428" t="str">
        <f t="shared" si="128"/>
        <v/>
      </c>
      <c r="AN428" t="str">
        <f t="shared" si="134"/>
        <v/>
      </c>
      <c r="AO428" t="str">
        <f t="shared" si="135"/>
        <v/>
      </c>
      <c r="AP428" t="str">
        <f t="shared" si="136"/>
        <v/>
      </c>
      <c r="AQ428" t="str">
        <f t="shared" si="137"/>
        <v/>
      </c>
      <c r="AR428" t="str">
        <f t="shared" si="138"/>
        <v/>
      </c>
      <c r="AS428" t="str">
        <f t="shared" si="129"/>
        <v>Defensive</v>
      </c>
      <c r="BI428" s="40"/>
      <c r="BL428" s="40"/>
      <c r="BN428" s="19"/>
      <c r="BP428" s="17"/>
    </row>
    <row r="429" spans="1:68" x14ac:dyDescent="0.2">
      <c r="A429" t="str">
        <f t="shared" si="130"/>
        <v/>
      </c>
      <c r="E429" s="4"/>
      <c r="F429" s="45"/>
      <c r="G429" s="4"/>
      <c r="H429" s="48"/>
      <c r="J429" s="46" t="str">
        <f t="shared" si="131"/>
        <v/>
      </c>
      <c r="N429" t="str">
        <f t="shared" si="140"/>
        <v/>
      </c>
      <c r="Q429" t="str">
        <f t="shared" si="139"/>
        <v/>
      </c>
      <c r="S429" t="str">
        <f>IF(A429=1,MAX(S$2:S428)+1,IF(OR(I429&lt;&gt;"",A429="x"),S428,""))</f>
        <v/>
      </c>
      <c r="T429" t="str">
        <f>IF(D429=1,MAX($T$2:$T428)+1,IF(S429=$S428,$S428,IF($D429="x",T428,IF($D428="x","",""))))</f>
        <v/>
      </c>
      <c r="U429" t="str">
        <f>IF(B429=1,MAX($U$2:$U428)+1,IF(AND($T429&lt;&gt;"",$T429=$T428),$U428,IF(B429="x",U428,"")))</f>
        <v/>
      </c>
      <c r="V429" t="str">
        <f>IF(C429=1,MAX($V$2:$V428)+1,IF(AND($T429&lt;&gt;"",$T429=$T428),$U428,IF(C429="x",V428,"")))</f>
        <v/>
      </c>
      <c r="W429" t="str" cm="1">
        <f t="array" ref="W429">IFERROR(_xlfn._xlws.FILTER(game_rosters!AB:AB,(game_rosters!J:J=events!X429)*(K429&lt;&gt;"")),"")</f>
        <v/>
      </c>
      <c r="X429" t="str" cm="1">
        <f t="array" ref="X429">IF(S429="","",IF($I429&lt;&gt;"",$I429,INDEX($I$2:$I428,ROW()-COUNTIFS($T$2:$T428,"="&amp;$T429,$S$2:$S428,"&lt;&gt;"&amp;$S429)-1)))</f>
        <v/>
      </c>
      <c r="Z429" s="6"/>
      <c r="AH429" t="str">
        <f t="shared" si="125"/>
        <v>o</v>
      </c>
      <c r="AI429" t="str">
        <f t="shared" si="132"/>
        <v/>
      </c>
      <c r="AJ429" t="str">
        <f t="shared" si="133"/>
        <v/>
      </c>
      <c r="AK429" t="str">
        <f t="shared" si="126"/>
        <v/>
      </c>
      <c r="AL429" t="str">
        <f t="shared" si="127"/>
        <v/>
      </c>
      <c r="AM429" t="str">
        <f t="shared" si="128"/>
        <v/>
      </c>
      <c r="AN429" t="str">
        <f t="shared" si="134"/>
        <v/>
      </c>
      <c r="AO429" t="str">
        <f t="shared" si="135"/>
        <v/>
      </c>
      <c r="AP429" t="str">
        <f t="shared" si="136"/>
        <v/>
      </c>
      <c r="AQ429" t="str">
        <f t="shared" si="137"/>
        <v/>
      </c>
      <c r="AR429" t="str">
        <f t="shared" si="138"/>
        <v/>
      </c>
      <c r="AS429" t="str">
        <f t="shared" si="129"/>
        <v>Defensive</v>
      </c>
      <c r="BI429" s="40"/>
      <c r="BL429" s="40"/>
      <c r="BN429" s="19"/>
      <c r="BP429" s="17"/>
    </row>
    <row r="430" spans="1:68" x14ac:dyDescent="0.2">
      <c r="A430" t="str">
        <f t="shared" si="130"/>
        <v/>
      </c>
      <c r="E430" s="4"/>
      <c r="F430" s="45"/>
      <c r="G430" s="4"/>
      <c r="H430" s="48"/>
      <c r="J430" s="46" t="str">
        <f t="shared" si="131"/>
        <v/>
      </c>
      <c r="N430" t="str">
        <f t="shared" si="140"/>
        <v/>
      </c>
      <c r="Q430" t="str">
        <f t="shared" si="139"/>
        <v/>
      </c>
      <c r="S430" t="str">
        <f>IF(A430=1,MAX(S$2:S429)+1,IF(OR(I430&lt;&gt;"",A430="x"),S429,""))</f>
        <v/>
      </c>
      <c r="T430" t="str">
        <f>IF(D430=1,MAX($T$2:$T429)+1,IF(S430=$S429,$S429,IF($D430="x",T429,IF($D429="x","",""))))</f>
        <v/>
      </c>
      <c r="U430" t="str">
        <f>IF(B430=1,MAX($U$2:$U429)+1,IF(AND($T430&lt;&gt;"",$T430=$T429),$U429,IF(B430="x",U429,"")))</f>
        <v/>
      </c>
      <c r="V430" t="str">
        <f>IF(C430=1,MAX($V$2:$V429)+1,IF(AND($T430&lt;&gt;"",$T430=$T429),$U429,IF(C430="x",V429,"")))</f>
        <v/>
      </c>
      <c r="W430" t="str" cm="1">
        <f t="array" ref="W430">IFERROR(_xlfn._xlws.FILTER(game_rosters!AB:AB,(game_rosters!J:J=events!X430)*(K430&lt;&gt;"")),"")</f>
        <v/>
      </c>
      <c r="X430" t="str" cm="1">
        <f t="array" ref="X430">IF(S430="","",IF($I430&lt;&gt;"",$I430,INDEX($I$2:$I429,ROW()-COUNTIFS($T$2:$T429,"="&amp;$T430,$S$2:$S429,"&lt;&gt;"&amp;$S430)-1)))</f>
        <v/>
      </c>
      <c r="Z430" s="6"/>
      <c r="AH430" t="str">
        <f t="shared" si="125"/>
        <v>o</v>
      </c>
      <c r="AI430" t="str">
        <f t="shared" si="132"/>
        <v/>
      </c>
      <c r="AJ430" t="str">
        <f t="shared" si="133"/>
        <v/>
      </c>
      <c r="AK430" t="str">
        <f t="shared" si="126"/>
        <v/>
      </c>
      <c r="AL430" t="str">
        <f t="shared" si="127"/>
        <v/>
      </c>
      <c r="AM430" t="str">
        <f t="shared" si="128"/>
        <v/>
      </c>
      <c r="AN430" t="str">
        <f t="shared" si="134"/>
        <v/>
      </c>
      <c r="AO430" t="str">
        <f t="shared" si="135"/>
        <v/>
      </c>
      <c r="AP430" t="str">
        <f t="shared" si="136"/>
        <v/>
      </c>
      <c r="AQ430" t="str">
        <f t="shared" si="137"/>
        <v/>
      </c>
      <c r="AR430" t="str">
        <f t="shared" si="138"/>
        <v/>
      </c>
      <c r="AS430" t="str">
        <f t="shared" si="129"/>
        <v>Defensive</v>
      </c>
      <c r="BI430" s="40"/>
      <c r="BL430" s="40"/>
      <c r="BN430" s="19"/>
      <c r="BP430" s="17"/>
    </row>
    <row r="431" spans="1:68" x14ac:dyDescent="0.2">
      <c r="A431" t="str">
        <f t="shared" si="130"/>
        <v/>
      </c>
      <c r="E431" s="4"/>
      <c r="F431" s="45"/>
      <c r="G431" s="4"/>
      <c r="H431" s="48"/>
      <c r="J431" s="46" t="str">
        <f t="shared" si="131"/>
        <v/>
      </c>
      <c r="N431" t="str">
        <f t="shared" si="140"/>
        <v/>
      </c>
      <c r="Q431" t="str">
        <f t="shared" si="139"/>
        <v/>
      </c>
      <c r="S431" t="str">
        <f>IF(A431=1,MAX(S$2:S430)+1,IF(OR(I431&lt;&gt;"",A431="x"),S430,""))</f>
        <v/>
      </c>
      <c r="T431" t="str">
        <f>IF(D431=1,MAX($T$2:$T430)+1,IF(S431=$S430,$S430,IF($D431="x",T430,IF($D430="x","",""))))</f>
        <v/>
      </c>
      <c r="U431" t="str">
        <f>IF(B431=1,MAX($U$2:$U430)+1,IF(AND($T431&lt;&gt;"",$T431=$T430),$U430,IF(B431="x",U430,"")))</f>
        <v/>
      </c>
      <c r="V431" t="str">
        <f>IF(C431=1,MAX($V$2:$V430)+1,IF(AND($T431&lt;&gt;"",$T431=$T430),$U430,IF(C431="x",V430,"")))</f>
        <v/>
      </c>
      <c r="W431" t="str" cm="1">
        <f t="array" ref="W431">IFERROR(_xlfn._xlws.FILTER(game_rosters!AB:AB,(game_rosters!J:J=events!X431)*(K431&lt;&gt;"")),"")</f>
        <v/>
      </c>
      <c r="X431" t="str" cm="1">
        <f t="array" ref="X431">IF(S431="","",IF($I431&lt;&gt;"",$I431,INDEX($I$2:$I430,ROW()-COUNTIFS($T$2:$T430,"="&amp;$T431,$S$2:$S430,"&lt;&gt;"&amp;$S431)-1)))</f>
        <v/>
      </c>
      <c r="Z431" s="6"/>
      <c r="AH431" t="str">
        <f t="shared" si="125"/>
        <v>o</v>
      </c>
      <c r="AI431" t="str">
        <f t="shared" si="132"/>
        <v/>
      </c>
      <c r="AJ431" t="str">
        <f t="shared" si="133"/>
        <v/>
      </c>
      <c r="AK431" t="str">
        <f t="shared" si="126"/>
        <v/>
      </c>
      <c r="AL431" t="str">
        <f t="shared" si="127"/>
        <v/>
      </c>
      <c r="AM431" t="str">
        <f t="shared" si="128"/>
        <v/>
      </c>
      <c r="AN431" t="str">
        <f t="shared" si="134"/>
        <v/>
      </c>
      <c r="AO431" t="str">
        <f t="shared" si="135"/>
        <v/>
      </c>
      <c r="AP431" t="str">
        <f t="shared" si="136"/>
        <v/>
      </c>
      <c r="AQ431" t="str">
        <f t="shared" si="137"/>
        <v/>
      </c>
      <c r="AR431" t="str">
        <f t="shared" si="138"/>
        <v/>
      </c>
      <c r="AS431" t="str">
        <f t="shared" si="129"/>
        <v>Defensive</v>
      </c>
      <c r="BI431" s="40"/>
      <c r="BL431" s="40"/>
      <c r="BN431" s="19"/>
      <c r="BP431" s="17"/>
    </row>
    <row r="432" spans="1:68" x14ac:dyDescent="0.2">
      <c r="A432" t="str">
        <f t="shared" si="130"/>
        <v/>
      </c>
      <c r="E432" s="4"/>
      <c r="F432" s="45"/>
      <c r="G432" s="4"/>
      <c r="H432" s="48"/>
      <c r="J432" s="46" t="str">
        <f t="shared" si="131"/>
        <v/>
      </c>
      <c r="N432" t="str">
        <f t="shared" si="140"/>
        <v/>
      </c>
      <c r="Q432" t="str">
        <f t="shared" si="139"/>
        <v/>
      </c>
      <c r="S432" t="str">
        <f>IF(A432=1,MAX(S$2:S431)+1,IF(OR(I432&lt;&gt;"",A432="x"),S431,""))</f>
        <v/>
      </c>
      <c r="T432" t="str">
        <f>IF(D432=1,MAX($T$2:$T431)+1,IF(S432=$S431,$S431,IF($D432="x",T431,IF($D431="x","",""))))</f>
        <v/>
      </c>
      <c r="U432" t="str">
        <f>IF(B432=1,MAX($U$2:$U431)+1,IF(AND($T432&lt;&gt;"",$T432=$T431),$U431,IF(B432="x",U431,"")))</f>
        <v/>
      </c>
      <c r="V432" t="str">
        <f>IF(C432=1,MAX($V$2:$V431)+1,IF(AND($T432&lt;&gt;"",$T432=$T431),$U431,IF(C432="x",V431,"")))</f>
        <v/>
      </c>
      <c r="W432" t="str" cm="1">
        <f t="array" ref="W432">IFERROR(_xlfn._xlws.FILTER(game_rosters!AB:AB,(game_rosters!J:J=events!X432)*(K432&lt;&gt;"")),"")</f>
        <v/>
      </c>
      <c r="X432" t="str" cm="1">
        <f t="array" ref="X432">IF(S432="","",IF($I432&lt;&gt;"",$I432,INDEX($I$2:$I431,ROW()-COUNTIFS($T$2:$T431,"="&amp;$T432,$S$2:$S431,"&lt;&gt;"&amp;$S432)-1)))</f>
        <v/>
      </c>
      <c r="Z432" s="6"/>
      <c r="AH432" t="str">
        <f t="shared" si="125"/>
        <v>o</v>
      </c>
      <c r="AI432" t="str">
        <f t="shared" si="132"/>
        <v/>
      </c>
      <c r="AJ432" t="str">
        <f t="shared" si="133"/>
        <v/>
      </c>
      <c r="AK432" t="str">
        <f t="shared" si="126"/>
        <v/>
      </c>
      <c r="AL432" t="str">
        <f t="shared" si="127"/>
        <v/>
      </c>
      <c r="AM432" t="str">
        <f t="shared" si="128"/>
        <v/>
      </c>
      <c r="AN432" t="str">
        <f t="shared" si="134"/>
        <v/>
      </c>
      <c r="AO432" t="str">
        <f t="shared" si="135"/>
        <v/>
      </c>
      <c r="AP432" t="str">
        <f t="shared" si="136"/>
        <v/>
      </c>
      <c r="AQ432" t="str">
        <f t="shared" si="137"/>
        <v/>
      </c>
      <c r="AR432" t="str">
        <f t="shared" si="138"/>
        <v/>
      </c>
      <c r="AS432" t="str">
        <f t="shared" si="129"/>
        <v>Defensive</v>
      </c>
      <c r="BI432" s="40"/>
      <c r="BL432" s="40"/>
      <c r="BN432" s="19"/>
      <c r="BP432" s="17"/>
    </row>
    <row r="433" spans="1:68" x14ac:dyDescent="0.2">
      <c r="A433" t="str">
        <f t="shared" si="130"/>
        <v/>
      </c>
      <c r="E433" s="4"/>
      <c r="F433" s="45"/>
      <c r="G433" s="4"/>
      <c r="H433" s="48"/>
      <c r="J433" s="46" t="str">
        <f t="shared" si="131"/>
        <v/>
      </c>
      <c r="N433" t="str">
        <f t="shared" si="140"/>
        <v/>
      </c>
      <c r="Q433" t="str">
        <f t="shared" si="139"/>
        <v/>
      </c>
      <c r="S433" t="str">
        <f>IF(A433=1,MAX(S$2:S432)+1,IF(OR(I433&lt;&gt;"",A433="x"),S432,""))</f>
        <v/>
      </c>
      <c r="T433" t="str">
        <f>IF(D433=1,MAX($T$2:$T432)+1,IF(S433=$S432,$S432,IF($D433="x",T432,IF($D432="x","",""))))</f>
        <v/>
      </c>
      <c r="U433" t="str">
        <f>IF(B433=1,MAX($U$2:$U432)+1,IF(AND($T433&lt;&gt;"",$T433=$T432),$U432,IF(B433="x",U432,"")))</f>
        <v/>
      </c>
      <c r="V433" t="str">
        <f>IF(C433=1,MAX($V$2:$V432)+1,IF(AND($T433&lt;&gt;"",$T433=$T432),$U432,IF(C433="x",V432,"")))</f>
        <v/>
      </c>
      <c r="W433" t="str" cm="1">
        <f t="array" ref="W433">IFERROR(_xlfn._xlws.FILTER(game_rosters!AB:AB,(game_rosters!J:J=events!X433)*(K433&lt;&gt;"")),"")</f>
        <v/>
      </c>
      <c r="X433" t="str" cm="1">
        <f t="array" ref="X433">IF(S433="","",IF($I433&lt;&gt;"",$I433,INDEX($I$2:$I432,ROW()-COUNTIFS($T$2:$T432,"="&amp;$T433,$S$2:$S432,"&lt;&gt;"&amp;$S433)-1)))</f>
        <v/>
      </c>
      <c r="Z433" s="6"/>
      <c r="AH433" t="str">
        <f t="shared" si="125"/>
        <v>o</v>
      </c>
      <c r="AI433" t="str">
        <f t="shared" si="132"/>
        <v/>
      </c>
      <c r="AJ433" t="str">
        <f t="shared" si="133"/>
        <v/>
      </c>
      <c r="AK433" t="str">
        <f t="shared" si="126"/>
        <v/>
      </c>
      <c r="AL433" t="str">
        <f t="shared" si="127"/>
        <v/>
      </c>
      <c r="AM433" t="str">
        <f t="shared" si="128"/>
        <v/>
      </c>
      <c r="AN433" t="str">
        <f t="shared" si="134"/>
        <v/>
      </c>
      <c r="AO433" t="str">
        <f t="shared" si="135"/>
        <v/>
      </c>
      <c r="AP433" t="str">
        <f t="shared" si="136"/>
        <v/>
      </c>
      <c r="AQ433" t="str">
        <f t="shared" si="137"/>
        <v/>
      </c>
      <c r="AR433" t="str">
        <f t="shared" si="138"/>
        <v/>
      </c>
      <c r="AS433" t="str">
        <f t="shared" si="129"/>
        <v>Defensive</v>
      </c>
      <c r="BI433" s="40"/>
      <c r="BL433" s="40"/>
      <c r="BN433" s="19"/>
      <c r="BP433" s="17"/>
    </row>
    <row r="434" spans="1:68" x14ac:dyDescent="0.2">
      <c r="A434" t="str">
        <f t="shared" si="130"/>
        <v/>
      </c>
      <c r="E434" s="4"/>
      <c r="F434" s="45"/>
      <c r="G434" s="4"/>
      <c r="H434" s="48"/>
      <c r="J434" s="46" t="str">
        <f t="shared" si="131"/>
        <v/>
      </c>
      <c r="N434" t="str">
        <f t="shared" si="140"/>
        <v/>
      </c>
      <c r="Q434" t="str">
        <f t="shared" si="139"/>
        <v/>
      </c>
      <c r="S434" t="str">
        <f>IF(A434=1,MAX(S$2:S433)+1,IF(OR(I434&lt;&gt;"",A434="x"),S433,""))</f>
        <v/>
      </c>
      <c r="T434" t="str">
        <f>IF(D434=1,MAX($T$2:$T433)+1,IF(S434=$S433,$S433,IF($D434="x",T433,IF($D433="x","",""))))</f>
        <v/>
      </c>
      <c r="U434" t="str">
        <f>IF(B434=1,MAX($U$2:$U433)+1,IF(AND($T434&lt;&gt;"",$T434=$T433),$U433,IF(B434="x",U433,"")))</f>
        <v/>
      </c>
      <c r="V434" t="str">
        <f>IF(C434=1,MAX($V$2:$V433)+1,IF(AND($T434&lt;&gt;"",$T434=$T433),$U433,IF(C434="x",V433,"")))</f>
        <v/>
      </c>
      <c r="W434" t="str" cm="1">
        <f t="array" ref="W434">IFERROR(_xlfn._xlws.FILTER(game_rosters!AB:AB,(game_rosters!J:J=events!X434)*(K434&lt;&gt;"")),"")</f>
        <v/>
      </c>
      <c r="X434" t="str" cm="1">
        <f t="array" ref="X434">IF(S434="","",IF($I434&lt;&gt;"",$I434,INDEX($I$2:$I433,ROW()-COUNTIFS($T$2:$T433,"="&amp;$T434,$S$2:$S433,"&lt;&gt;"&amp;$S434)-1)))</f>
        <v/>
      </c>
      <c r="Z434" s="6"/>
      <c r="AH434" t="str">
        <f t="shared" si="125"/>
        <v>o</v>
      </c>
      <c r="AI434" t="str">
        <f t="shared" si="132"/>
        <v/>
      </c>
      <c r="AJ434" t="str">
        <f t="shared" si="133"/>
        <v/>
      </c>
      <c r="AK434" t="str">
        <f t="shared" si="126"/>
        <v/>
      </c>
      <c r="AL434" t="str">
        <f t="shared" si="127"/>
        <v/>
      </c>
      <c r="AM434" t="str">
        <f t="shared" si="128"/>
        <v/>
      </c>
      <c r="AN434" t="str">
        <f t="shared" si="134"/>
        <v/>
      </c>
      <c r="AO434" t="str">
        <f t="shared" si="135"/>
        <v/>
      </c>
      <c r="AP434" t="str">
        <f t="shared" si="136"/>
        <v/>
      </c>
      <c r="AQ434" t="str">
        <f t="shared" si="137"/>
        <v/>
      </c>
      <c r="AR434" t="str">
        <f t="shared" si="138"/>
        <v/>
      </c>
      <c r="AS434" t="str">
        <f t="shared" si="129"/>
        <v>Defensive</v>
      </c>
      <c r="BI434" s="40"/>
      <c r="BL434" s="40"/>
      <c r="BN434" s="19"/>
      <c r="BP434" s="17"/>
    </row>
    <row r="435" spans="1:68" x14ac:dyDescent="0.2">
      <c r="A435" t="str">
        <f t="shared" si="130"/>
        <v/>
      </c>
      <c r="E435" s="4"/>
      <c r="F435" s="45"/>
      <c r="G435" s="4"/>
      <c r="H435" s="48"/>
      <c r="J435" s="46" t="str">
        <f t="shared" si="131"/>
        <v/>
      </c>
      <c r="N435" t="str">
        <f t="shared" si="140"/>
        <v/>
      </c>
      <c r="Q435" t="str">
        <f t="shared" si="139"/>
        <v/>
      </c>
      <c r="S435" t="str">
        <f>IF(A435=1,MAX(S$2:S434)+1,IF(OR(I435&lt;&gt;"",A435="x"),S434,""))</f>
        <v/>
      </c>
      <c r="T435" t="str">
        <f>IF(D435=1,MAX($T$2:$T434)+1,IF(S435=$S434,$S434,IF($D435="x",T434,IF($D434="x","",""))))</f>
        <v/>
      </c>
      <c r="U435" t="str">
        <f>IF(B435=1,MAX($U$2:$U434)+1,IF(AND($T435&lt;&gt;"",$T435=$T434),$U434,IF(B435="x",U434,"")))</f>
        <v/>
      </c>
      <c r="V435" t="str">
        <f>IF(C435=1,MAX($V$2:$V434)+1,IF(AND($T435&lt;&gt;"",$T435=$T434),$U434,IF(C435="x",V434,"")))</f>
        <v/>
      </c>
      <c r="W435" t="str" cm="1">
        <f t="array" ref="W435">IFERROR(_xlfn._xlws.FILTER(game_rosters!AB:AB,(game_rosters!J:J=events!X435)*(K435&lt;&gt;"")),"")</f>
        <v/>
      </c>
      <c r="X435" t="str" cm="1">
        <f t="array" ref="X435">IF(S435="","",IF($I435&lt;&gt;"",$I435,INDEX($I$2:$I434,ROW()-COUNTIFS($T$2:$T434,"="&amp;$T435,$S$2:$S434,"&lt;&gt;"&amp;$S435)-1)))</f>
        <v/>
      </c>
      <c r="Z435" s="6"/>
      <c r="AH435" t="str">
        <f t="shared" si="125"/>
        <v>o</v>
      </c>
      <c r="AI435" t="str">
        <f t="shared" si="132"/>
        <v/>
      </c>
      <c r="AJ435" t="str">
        <f t="shared" si="133"/>
        <v/>
      </c>
      <c r="AK435" t="str">
        <f t="shared" si="126"/>
        <v/>
      </c>
      <c r="AL435" t="str">
        <f t="shared" si="127"/>
        <v/>
      </c>
      <c r="AM435" t="str">
        <f t="shared" si="128"/>
        <v/>
      </c>
      <c r="AN435" t="str">
        <f t="shared" si="134"/>
        <v/>
      </c>
      <c r="AO435" t="str">
        <f t="shared" si="135"/>
        <v/>
      </c>
      <c r="AP435" t="str">
        <f t="shared" si="136"/>
        <v/>
      </c>
      <c r="AQ435" t="str">
        <f t="shared" si="137"/>
        <v/>
      </c>
      <c r="AR435" t="str">
        <f t="shared" si="138"/>
        <v/>
      </c>
      <c r="AS435" t="str">
        <f t="shared" si="129"/>
        <v>Defensive</v>
      </c>
      <c r="BI435" s="40"/>
      <c r="BL435" s="40"/>
      <c r="BN435" s="19"/>
      <c r="BP435" s="17"/>
    </row>
    <row r="436" spans="1:68" x14ac:dyDescent="0.2">
      <c r="A436" t="str">
        <f t="shared" si="130"/>
        <v/>
      </c>
      <c r="E436" s="4"/>
      <c r="F436" s="45"/>
      <c r="G436" s="4"/>
      <c r="H436" s="48"/>
      <c r="J436" s="46" t="str">
        <f t="shared" si="131"/>
        <v/>
      </c>
      <c r="N436" t="str">
        <f t="shared" si="140"/>
        <v/>
      </c>
      <c r="Q436" t="str">
        <f t="shared" si="139"/>
        <v/>
      </c>
      <c r="S436" t="str">
        <f>IF(A436=1,MAX(S$2:S435)+1,IF(OR(I436&lt;&gt;"",A436="x"),S435,""))</f>
        <v/>
      </c>
      <c r="T436" t="str">
        <f>IF(D436=1,MAX($T$2:$T435)+1,IF(S436=$S435,$S435,IF($D436="x",T435,IF($D435="x","",""))))</f>
        <v/>
      </c>
      <c r="U436" t="str">
        <f>IF(B436=1,MAX($U$2:$U435)+1,IF(AND($T436&lt;&gt;"",$T436=$T435),$U435,IF(B436="x",U435,"")))</f>
        <v/>
      </c>
      <c r="V436" t="str">
        <f>IF(C436=1,MAX($V$2:$V435)+1,IF(AND($T436&lt;&gt;"",$T436=$T435),$U435,IF(C436="x",V435,"")))</f>
        <v/>
      </c>
      <c r="W436" t="str" cm="1">
        <f t="array" ref="W436">IFERROR(_xlfn._xlws.FILTER(game_rosters!AB:AB,(game_rosters!J:J=events!X436)*(K436&lt;&gt;"")),"")</f>
        <v/>
      </c>
      <c r="X436" t="str" cm="1">
        <f t="array" ref="X436">IF(S436="","",IF($I436&lt;&gt;"",$I436,INDEX($I$2:$I435,ROW()-COUNTIFS($T$2:$T435,"="&amp;$T436,$S$2:$S435,"&lt;&gt;"&amp;$S436)-1)))</f>
        <v/>
      </c>
      <c r="Z436" s="6"/>
      <c r="AH436" t="str">
        <f t="shared" si="125"/>
        <v>o</v>
      </c>
      <c r="AI436" t="str">
        <f t="shared" si="132"/>
        <v/>
      </c>
      <c r="AJ436" t="str">
        <f t="shared" si="133"/>
        <v/>
      </c>
      <c r="AK436" t="str">
        <f t="shared" si="126"/>
        <v/>
      </c>
      <c r="AL436" t="str">
        <f t="shared" si="127"/>
        <v/>
      </c>
      <c r="AM436" t="str">
        <f t="shared" si="128"/>
        <v/>
      </c>
      <c r="AN436" t="str">
        <f t="shared" si="134"/>
        <v/>
      </c>
      <c r="AO436" t="str">
        <f t="shared" si="135"/>
        <v/>
      </c>
      <c r="AP436" t="str">
        <f t="shared" si="136"/>
        <v/>
      </c>
      <c r="AQ436" t="str">
        <f t="shared" si="137"/>
        <v/>
      </c>
      <c r="AR436" t="str">
        <f t="shared" si="138"/>
        <v/>
      </c>
      <c r="AS436" t="str">
        <f t="shared" si="129"/>
        <v>Defensive</v>
      </c>
      <c r="BI436" s="40"/>
      <c r="BL436" s="40"/>
      <c r="BN436" s="19"/>
      <c r="BP436" s="17"/>
    </row>
    <row r="437" spans="1:68" x14ac:dyDescent="0.2">
      <c r="A437" t="str">
        <f t="shared" si="130"/>
        <v/>
      </c>
      <c r="E437" s="4"/>
      <c r="F437" s="45"/>
      <c r="G437" s="4"/>
      <c r="H437" s="48"/>
      <c r="J437" s="46" t="str">
        <f t="shared" si="131"/>
        <v/>
      </c>
      <c r="N437" t="str">
        <f t="shared" si="140"/>
        <v/>
      </c>
      <c r="Q437" t="str">
        <f t="shared" si="139"/>
        <v/>
      </c>
      <c r="S437" t="str">
        <f>IF(A437=1,MAX(S$2:S436)+1,IF(OR(I437&lt;&gt;"",A437="x"),S436,""))</f>
        <v/>
      </c>
      <c r="T437" t="str">
        <f>IF(D437=1,MAX($T$2:$T436)+1,IF(S437=$S436,$S436,IF($D437="x",T436,IF($D436="x","",""))))</f>
        <v/>
      </c>
      <c r="U437" t="str">
        <f>IF(B437=1,MAX($U$2:$U436)+1,IF(AND($T437&lt;&gt;"",$T437=$T436),$U436,IF(B437="x",U436,"")))</f>
        <v/>
      </c>
      <c r="V437" t="str">
        <f>IF(C437=1,MAX($V$2:$V436)+1,IF(AND($T437&lt;&gt;"",$T437=$T436),$U436,IF(C437="x",V436,"")))</f>
        <v/>
      </c>
      <c r="W437" t="str" cm="1">
        <f t="array" ref="W437">IFERROR(_xlfn._xlws.FILTER(game_rosters!AB:AB,(game_rosters!J:J=events!X437)*(K437&lt;&gt;"")),"")</f>
        <v/>
      </c>
      <c r="X437" t="str" cm="1">
        <f t="array" ref="X437">IF(S437="","",IF($I437&lt;&gt;"",$I437,INDEX($I$2:$I436,ROW()-COUNTIFS($T$2:$T436,"="&amp;$T437,$S$2:$S436,"&lt;&gt;"&amp;$S437)-1)))</f>
        <v/>
      </c>
      <c r="Z437" s="6"/>
      <c r="AH437" t="str">
        <f t="shared" si="125"/>
        <v>o</v>
      </c>
      <c r="AI437" t="str">
        <f t="shared" si="132"/>
        <v/>
      </c>
      <c r="AJ437" t="str">
        <f t="shared" si="133"/>
        <v/>
      </c>
      <c r="AK437" t="str">
        <f t="shared" si="126"/>
        <v/>
      </c>
      <c r="AL437" t="str">
        <f t="shared" si="127"/>
        <v/>
      </c>
      <c r="AM437" t="str">
        <f t="shared" si="128"/>
        <v/>
      </c>
      <c r="AN437" t="str">
        <f t="shared" si="134"/>
        <v/>
      </c>
      <c r="AO437" t="str">
        <f t="shared" si="135"/>
        <v/>
      </c>
      <c r="AP437" t="str">
        <f t="shared" si="136"/>
        <v/>
      </c>
      <c r="AQ437" t="str">
        <f t="shared" si="137"/>
        <v/>
      </c>
      <c r="AR437" t="str">
        <f t="shared" si="138"/>
        <v/>
      </c>
      <c r="AS437" t="str">
        <f t="shared" si="129"/>
        <v>Defensive</v>
      </c>
      <c r="BI437" s="40"/>
      <c r="BL437" s="40"/>
      <c r="BN437" s="19"/>
      <c r="BP437" s="17"/>
    </row>
    <row r="438" spans="1:68" x14ac:dyDescent="0.2">
      <c r="A438" t="str">
        <f t="shared" si="130"/>
        <v/>
      </c>
      <c r="E438" s="4"/>
      <c r="F438" s="45"/>
      <c r="G438" s="4"/>
      <c r="H438" s="48"/>
      <c r="J438" s="46" t="str">
        <f t="shared" si="131"/>
        <v/>
      </c>
      <c r="N438" t="str">
        <f t="shared" si="140"/>
        <v/>
      </c>
      <c r="Q438" t="str">
        <f t="shared" si="139"/>
        <v/>
      </c>
      <c r="S438" t="str">
        <f>IF(A438=1,MAX(S$2:S437)+1,IF(OR(I438&lt;&gt;"",A438="x"),S437,""))</f>
        <v/>
      </c>
      <c r="T438" t="str">
        <f>IF(D438=1,MAX($T$2:$T437)+1,IF(S438=$S437,$S437,IF($D438="x",T437,IF($D437="x","",""))))</f>
        <v/>
      </c>
      <c r="U438" t="str">
        <f>IF(B438=1,MAX($U$2:$U437)+1,IF(AND($T438&lt;&gt;"",$T438=$T437),$U437,IF(B438="x",U437,"")))</f>
        <v/>
      </c>
      <c r="V438" t="str">
        <f>IF(C438=1,MAX($V$2:$V437)+1,IF(AND($T438&lt;&gt;"",$T438=$T437),$U437,IF(C438="x",V437,"")))</f>
        <v/>
      </c>
      <c r="W438" t="str" cm="1">
        <f t="array" ref="W438">IFERROR(_xlfn._xlws.FILTER(game_rosters!AB:AB,(game_rosters!J:J=events!X438)*(K438&lt;&gt;"")),"")</f>
        <v/>
      </c>
      <c r="X438" t="str" cm="1">
        <f t="array" ref="X438">IF(S438="","",IF($I438&lt;&gt;"",$I438,INDEX($I$2:$I437,ROW()-COUNTIFS($T$2:$T437,"="&amp;$T438,$S$2:$S437,"&lt;&gt;"&amp;$S438)-1)))</f>
        <v/>
      </c>
      <c r="Z438" s="6"/>
      <c r="AH438" t="str">
        <f t="shared" si="125"/>
        <v>o</v>
      </c>
      <c r="AI438" t="str">
        <f t="shared" si="132"/>
        <v/>
      </c>
      <c r="AJ438" t="str">
        <f t="shared" si="133"/>
        <v/>
      </c>
      <c r="AK438" t="str">
        <f t="shared" si="126"/>
        <v/>
      </c>
      <c r="AL438" t="str">
        <f t="shared" si="127"/>
        <v/>
      </c>
      <c r="AM438" t="str">
        <f t="shared" si="128"/>
        <v/>
      </c>
      <c r="AN438" t="str">
        <f t="shared" si="134"/>
        <v/>
      </c>
      <c r="AO438" t="str">
        <f t="shared" si="135"/>
        <v/>
      </c>
      <c r="AP438" t="str">
        <f t="shared" si="136"/>
        <v/>
      </c>
      <c r="AQ438" t="str">
        <f t="shared" si="137"/>
        <v/>
      </c>
      <c r="AR438" t="str">
        <f t="shared" si="138"/>
        <v/>
      </c>
      <c r="AS438" t="str">
        <f t="shared" si="129"/>
        <v>Defensive</v>
      </c>
      <c r="BI438" s="40"/>
      <c r="BL438" s="40"/>
      <c r="BN438" s="19"/>
      <c r="BP438" s="17"/>
    </row>
    <row r="439" spans="1:68" x14ac:dyDescent="0.2">
      <c r="A439" t="str">
        <f t="shared" si="130"/>
        <v/>
      </c>
      <c r="E439" s="4"/>
      <c r="F439" s="45"/>
      <c r="G439" s="4"/>
      <c r="H439" s="48"/>
      <c r="J439" s="46" t="str">
        <f t="shared" si="131"/>
        <v/>
      </c>
      <c r="N439" t="str">
        <f t="shared" si="140"/>
        <v/>
      </c>
      <c r="Q439" t="str">
        <f t="shared" si="139"/>
        <v/>
      </c>
      <c r="S439" t="str">
        <f>IF(A439=1,MAX(S$2:S438)+1,IF(OR(I439&lt;&gt;"",A439="x"),S438,""))</f>
        <v/>
      </c>
      <c r="T439" t="str">
        <f>IF(D439=1,MAX($T$2:$T438)+1,IF(S439=$S438,$S438,IF($D439="x",T438,IF($D438="x","",""))))</f>
        <v/>
      </c>
      <c r="U439" t="str">
        <f>IF(B439=1,MAX($U$2:$U438)+1,IF(AND($T439&lt;&gt;"",$T439=$T438),$U438,IF(B439="x",U438,"")))</f>
        <v/>
      </c>
      <c r="V439" t="str">
        <f>IF(C439=1,MAX($V$2:$V438)+1,IF(AND($T439&lt;&gt;"",$T439=$T438),$U438,IF(C439="x",V438,"")))</f>
        <v/>
      </c>
      <c r="W439" t="str" cm="1">
        <f t="array" ref="W439">IFERROR(_xlfn._xlws.FILTER(game_rosters!AB:AB,(game_rosters!J:J=events!X439)*(K439&lt;&gt;"")),"")</f>
        <v/>
      </c>
      <c r="X439" t="str" cm="1">
        <f t="array" ref="X439">IF(S439="","",IF($I439&lt;&gt;"",$I439,INDEX($I$2:$I438,ROW()-COUNTIFS($T$2:$T438,"="&amp;$T439,$S$2:$S438,"&lt;&gt;"&amp;$S439)-1)))</f>
        <v/>
      </c>
      <c r="Z439" s="6"/>
      <c r="AH439" t="str">
        <f t="shared" si="125"/>
        <v>o</v>
      </c>
      <c r="AI439" t="str">
        <f t="shared" si="132"/>
        <v/>
      </c>
      <c r="AJ439" t="str">
        <f t="shared" si="133"/>
        <v/>
      </c>
      <c r="AK439" t="str">
        <f t="shared" si="126"/>
        <v/>
      </c>
      <c r="AL439" t="str">
        <f t="shared" si="127"/>
        <v/>
      </c>
      <c r="AM439" t="str">
        <f t="shared" si="128"/>
        <v/>
      </c>
      <c r="AN439" t="str">
        <f t="shared" si="134"/>
        <v/>
      </c>
      <c r="AO439" t="str">
        <f t="shared" si="135"/>
        <v/>
      </c>
      <c r="AP439" t="str">
        <f t="shared" si="136"/>
        <v/>
      </c>
      <c r="AQ439" t="str">
        <f t="shared" si="137"/>
        <v/>
      </c>
      <c r="AR439" t="str">
        <f t="shared" si="138"/>
        <v/>
      </c>
      <c r="AS439" t="str">
        <f t="shared" si="129"/>
        <v>Defensive</v>
      </c>
      <c r="BI439" s="40"/>
      <c r="BL439" s="40"/>
      <c r="BN439" s="19"/>
      <c r="BP439" s="17"/>
    </row>
    <row r="440" spans="1:68" x14ac:dyDescent="0.2">
      <c r="A440" t="str">
        <f t="shared" si="130"/>
        <v/>
      </c>
      <c r="E440" s="4"/>
      <c r="F440" s="45"/>
      <c r="G440" s="4"/>
      <c r="H440" s="48"/>
      <c r="J440" s="46" t="str">
        <f t="shared" si="131"/>
        <v/>
      </c>
      <c r="N440" t="str">
        <f t="shared" si="140"/>
        <v/>
      </c>
      <c r="Q440" t="str">
        <f t="shared" si="139"/>
        <v/>
      </c>
      <c r="S440" t="str">
        <f>IF(A440=1,MAX(S$2:S439)+1,IF(OR(I440&lt;&gt;"",A440="x"),S439,""))</f>
        <v/>
      </c>
      <c r="T440" t="str">
        <f>IF(D440=1,MAX($T$2:$T439)+1,IF(S440=$S439,$S439,IF($D440="x",T439,IF($D439="x","",""))))</f>
        <v/>
      </c>
      <c r="U440" t="str">
        <f>IF(B440=1,MAX($U$2:$U439)+1,IF(AND($T440&lt;&gt;"",$T440=$T439),$U439,IF(B440="x",U439,"")))</f>
        <v/>
      </c>
      <c r="V440" t="str">
        <f>IF(C440=1,MAX($V$2:$V439)+1,IF(AND($T440&lt;&gt;"",$T440=$T439),$U439,IF(C440="x",V439,"")))</f>
        <v/>
      </c>
      <c r="W440" t="str" cm="1">
        <f t="array" ref="W440">IFERROR(_xlfn._xlws.FILTER(game_rosters!AB:AB,(game_rosters!J:J=events!X440)*(K440&lt;&gt;"")),"")</f>
        <v/>
      </c>
      <c r="X440" t="str" cm="1">
        <f t="array" ref="X440">IF(S440="","",IF($I440&lt;&gt;"",$I440,INDEX($I$2:$I439,ROW()-COUNTIFS($T$2:$T439,"="&amp;$T440,$S$2:$S439,"&lt;&gt;"&amp;$S440)-1)))</f>
        <v/>
      </c>
      <c r="Z440" s="6"/>
      <c r="AH440" t="str">
        <f t="shared" si="125"/>
        <v>o</v>
      </c>
      <c r="AI440" t="str">
        <f t="shared" si="132"/>
        <v/>
      </c>
      <c r="AJ440" t="str">
        <f t="shared" si="133"/>
        <v/>
      </c>
      <c r="AK440" t="str">
        <f t="shared" si="126"/>
        <v/>
      </c>
      <c r="AL440" t="str">
        <f t="shared" si="127"/>
        <v/>
      </c>
      <c r="AM440" t="str">
        <f t="shared" si="128"/>
        <v/>
      </c>
      <c r="AN440" t="str">
        <f t="shared" si="134"/>
        <v/>
      </c>
      <c r="AO440" t="str">
        <f t="shared" si="135"/>
        <v/>
      </c>
      <c r="AP440" t="str">
        <f t="shared" si="136"/>
        <v/>
      </c>
      <c r="AQ440" t="str">
        <f t="shared" si="137"/>
        <v/>
      </c>
      <c r="AR440" t="str">
        <f t="shared" si="138"/>
        <v/>
      </c>
      <c r="AS440" t="str">
        <f t="shared" si="129"/>
        <v>Defensive</v>
      </c>
      <c r="BI440" s="40"/>
      <c r="BL440" s="40"/>
      <c r="BN440" s="19"/>
      <c r="BP440" s="17"/>
    </row>
    <row r="441" spans="1:68" x14ac:dyDescent="0.2">
      <c r="A441" t="str">
        <f t="shared" si="130"/>
        <v/>
      </c>
      <c r="E441" s="4"/>
      <c r="F441" s="45"/>
      <c r="G441" s="4"/>
      <c r="H441" s="48"/>
      <c r="J441" s="46" t="str">
        <f t="shared" si="131"/>
        <v/>
      </c>
      <c r="N441" t="str">
        <f t="shared" si="140"/>
        <v/>
      </c>
      <c r="Q441" t="str">
        <f t="shared" si="139"/>
        <v/>
      </c>
      <c r="S441" t="str">
        <f>IF(A441=1,MAX(S$2:S440)+1,IF(OR(I441&lt;&gt;"",A441="x"),S440,""))</f>
        <v/>
      </c>
      <c r="T441" t="str">
        <f>IF(D441=1,MAX($T$2:$T440)+1,IF(S441=$S440,$S440,IF($D441="x",T440,IF($D440="x","",""))))</f>
        <v/>
      </c>
      <c r="U441" t="str">
        <f>IF(B441=1,MAX($U$2:$U440)+1,IF(AND($T441&lt;&gt;"",$T441=$T440),$U440,IF(B441="x",U440,"")))</f>
        <v/>
      </c>
      <c r="V441" t="str">
        <f>IF(C441=1,MAX($V$2:$V440)+1,IF(AND($T441&lt;&gt;"",$T441=$T440),$U440,IF(C441="x",V440,"")))</f>
        <v/>
      </c>
      <c r="W441" t="str" cm="1">
        <f t="array" ref="W441">IFERROR(_xlfn._xlws.FILTER(game_rosters!AB:AB,(game_rosters!J:J=events!X441)*(K441&lt;&gt;"")),"")</f>
        <v/>
      </c>
      <c r="X441" t="str" cm="1">
        <f t="array" ref="X441">IF(S441="","",IF($I441&lt;&gt;"",$I441,INDEX($I$2:$I440,ROW()-COUNTIFS($T$2:$T440,"="&amp;$T441,$S$2:$S440,"&lt;&gt;"&amp;$S441)-1)))</f>
        <v/>
      </c>
      <c r="Z441" s="6"/>
      <c r="AH441" t="str">
        <f t="shared" si="125"/>
        <v>o</v>
      </c>
      <c r="AI441" t="str">
        <f t="shared" si="132"/>
        <v/>
      </c>
      <c r="AJ441" t="str">
        <f t="shared" si="133"/>
        <v/>
      </c>
      <c r="AK441" t="str">
        <f t="shared" si="126"/>
        <v/>
      </c>
      <c r="AL441" t="str">
        <f t="shared" si="127"/>
        <v/>
      </c>
      <c r="AM441" t="str">
        <f t="shared" si="128"/>
        <v/>
      </c>
      <c r="AN441" t="str">
        <f t="shared" si="134"/>
        <v/>
      </c>
      <c r="AO441" t="str">
        <f t="shared" si="135"/>
        <v/>
      </c>
      <c r="AP441" t="str">
        <f t="shared" si="136"/>
        <v/>
      </c>
      <c r="AQ441" t="str">
        <f t="shared" si="137"/>
        <v/>
      </c>
      <c r="AR441" t="str">
        <f t="shared" si="138"/>
        <v/>
      </c>
      <c r="AS441" t="str">
        <f t="shared" si="129"/>
        <v>Defensive</v>
      </c>
      <c r="BI441" s="40"/>
      <c r="BL441" s="40"/>
      <c r="BN441" s="19"/>
      <c r="BP441" s="17"/>
    </row>
    <row r="442" spans="1:68" x14ac:dyDescent="0.2">
      <c r="A442" t="str">
        <f t="shared" si="130"/>
        <v/>
      </c>
      <c r="E442" s="4"/>
      <c r="F442" s="45"/>
      <c r="G442" s="4"/>
      <c r="H442" s="48"/>
      <c r="J442" s="46" t="str">
        <f t="shared" si="131"/>
        <v/>
      </c>
      <c r="N442" t="str">
        <f t="shared" si="140"/>
        <v/>
      </c>
      <c r="Q442" t="str">
        <f t="shared" si="139"/>
        <v/>
      </c>
      <c r="S442" t="str">
        <f>IF(A442=1,MAX(S$2:S441)+1,IF(OR(I442&lt;&gt;"",A442="x"),S441,""))</f>
        <v/>
      </c>
      <c r="T442" t="str">
        <f>IF(D442=1,MAX($T$2:$T441)+1,IF(S442=$S441,$S441,IF($D442="x",T441,IF($D441="x","",""))))</f>
        <v/>
      </c>
      <c r="U442" t="str">
        <f>IF(B442=1,MAX($U$2:$U441)+1,IF(AND($T442&lt;&gt;"",$T442=$T441),$U441,IF(B442="x",U441,"")))</f>
        <v/>
      </c>
      <c r="V442" t="str">
        <f>IF(C442=1,MAX($V$2:$V441)+1,IF(AND($T442&lt;&gt;"",$T442=$T441),$U441,IF(C442="x",V441,"")))</f>
        <v/>
      </c>
      <c r="W442" t="str" cm="1">
        <f t="array" ref="W442">IFERROR(_xlfn._xlws.FILTER(game_rosters!AB:AB,(game_rosters!J:J=events!X442)*(K442&lt;&gt;"")),"")</f>
        <v/>
      </c>
      <c r="X442" t="str" cm="1">
        <f t="array" ref="X442">IF(S442="","",IF($I442&lt;&gt;"",$I442,INDEX($I$2:$I441,ROW()-COUNTIFS($T$2:$T441,"="&amp;$T442,$S$2:$S441,"&lt;&gt;"&amp;$S442)-1)))</f>
        <v/>
      </c>
      <c r="Z442" s="6"/>
      <c r="AH442" t="str">
        <f t="shared" si="125"/>
        <v>o</v>
      </c>
      <c r="AI442" t="str">
        <f t="shared" si="132"/>
        <v/>
      </c>
      <c r="AJ442" t="str">
        <f t="shared" si="133"/>
        <v/>
      </c>
      <c r="AK442" t="str">
        <f t="shared" si="126"/>
        <v/>
      </c>
      <c r="AL442" t="str">
        <f t="shared" si="127"/>
        <v/>
      </c>
      <c r="AM442" t="str">
        <f t="shared" si="128"/>
        <v/>
      </c>
      <c r="AN442" t="str">
        <f t="shared" si="134"/>
        <v/>
      </c>
      <c r="AO442" t="str">
        <f t="shared" si="135"/>
        <v/>
      </c>
      <c r="AP442" t="str">
        <f t="shared" si="136"/>
        <v/>
      </c>
      <c r="AQ442" t="str">
        <f t="shared" si="137"/>
        <v/>
      </c>
      <c r="AR442" t="str">
        <f t="shared" si="138"/>
        <v/>
      </c>
      <c r="AS442" t="str">
        <f t="shared" si="129"/>
        <v>Defensive</v>
      </c>
      <c r="BI442" s="40"/>
      <c r="BL442" s="40"/>
      <c r="BN442" s="19"/>
      <c r="BP442" s="17"/>
    </row>
    <row r="443" spans="1:68" x14ac:dyDescent="0.2">
      <c r="A443" t="str">
        <f t="shared" si="130"/>
        <v/>
      </c>
      <c r="E443" s="4"/>
      <c r="F443" s="45"/>
      <c r="G443" s="4"/>
      <c r="H443" s="48"/>
      <c r="J443" s="46" t="str">
        <f t="shared" si="131"/>
        <v/>
      </c>
      <c r="N443" t="str">
        <f t="shared" si="140"/>
        <v/>
      </c>
      <c r="Q443" t="str">
        <f t="shared" si="139"/>
        <v/>
      </c>
      <c r="S443" t="str">
        <f>IF(A443=1,MAX(S$2:S442)+1,IF(OR(I443&lt;&gt;"",A443="x"),S442,""))</f>
        <v/>
      </c>
      <c r="T443" t="str">
        <f>IF(D443=1,MAX($T$2:$T442)+1,IF(S443=$S442,$S442,IF($D443="x",T442,IF($D442="x","",""))))</f>
        <v/>
      </c>
      <c r="U443" t="str">
        <f>IF(B443=1,MAX($U$2:$U442)+1,IF(AND($T443&lt;&gt;"",$T443=$T442),$U442,IF(B443="x",U442,"")))</f>
        <v/>
      </c>
      <c r="V443" t="str">
        <f>IF(C443=1,MAX($V$2:$V442)+1,IF(AND($T443&lt;&gt;"",$T443=$T442),$U442,IF(C443="x",V442,"")))</f>
        <v/>
      </c>
      <c r="W443" t="str" cm="1">
        <f t="array" ref="W443">IFERROR(_xlfn._xlws.FILTER(game_rosters!AB:AB,(game_rosters!J:J=events!X443)*(K443&lt;&gt;"")),"")</f>
        <v/>
      </c>
      <c r="X443" t="str" cm="1">
        <f t="array" ref="X443">IF(S443="","",IF($I443&lt;&gt;"",$I443,INDEX($I$2:$I442,ROW()-COUNTIFS($T$2:$T442,"="&amp;$T443,$S$2:$S442,"&lt;&gt;"&amp;$S443)-1)))</f>
        <v/>
      </c>
      <c r="Z443" s="6"/>
      <c r="AH443" t="str">
        <f t="shared" si="125"/>
        <v>o</v>
      </c>
      <c r="AI443" t="str">
        <f t="shared" si="132"/>
        <v/>
      </c>
      <c r="AJ443" t="str">
        <f t="shared" si="133"/>
        <v/>
      </c>
      <c r="AK443" t="str">
        <f t="shared" si="126"/>
        <v/>
      </c>
      <c r="AL443" t="str">
        <f t="shared" si="127"/>
        <v/>
      </c>
      <c r="AM443" t="str">
        <f t="shared" si="128"/>
        <v/>
      </c>
      <c r="AN443" t="str">
        <f t="shared" si="134"/>
        <v/>
      </c>
      <c r="AO443" t="str">
        <f t="shared" si="135"/>
        <v/>
      </c>
      <c r="AP443" t="str">
        <f t="shared" si="136"/>
        <v/>
      </c>
      <c r="AQ443" t="str">
        <f t="shared" si="137"/>
        <v/>
      </c>
      <c r="AR443" t="str">
        <f t="shared" si="138"/>
        <v/>
      </c>
      <c r="AS443" t="str">
        <f t="shared" si="129"/>
        <v>Defensive</v>
      </c>
      <c r="BI443" s="40"/>
      <c r="BL443" s="40"/>
      <c r="BN443" s="19"/>
      <c r="BP443" s="17"/>
    </row>
    <row r="444" spans="1:68" x14ac:dyDescent="0.2">
      <c r="A444" t="str">
        <f t="shared" si="130"/>
        <v/>
      </c>
      <c r="E444" s="4"/>
      <c r="F444" s="45"/>
      <c r="G444" s="4"/>
      <c r="H444" s="48"/>
      <c r="J444" s="46" t="str">
        <f t="shared" si="131"/>
        <v/>
      </c>
      <c r="N444" t="str">
        <f t="shared" si="140"/>
        <v/>
      </c>
      <c r="Q444" t="str">
        <f t="shared" si="139"/>
        <v/>
      </c>
      <c r="S444" t="str">
        <f>IF(A444=1,MAX(S$2:S443)+1,IF(OR(I444&lt;&gt;"",A444="x"),S443,""))</f>
        <v/>
      </c>
      <c r="T444" t="str">
        <f>IF(D444=1,MAX($T$2:$T443)+1,IF(S444=$S443,$S443,IF($D444="x",T443,IF($D443="x","",""))))</f>
        <v/>
      </c>
      <c r="U444" t="str">
        <f>IF(B444=1,MAX($U$2:$U443)+1,IF(AND($T444&lt;&gt;"",$T444=$T443),$U443,IF(B444="x",U443,"")))</f>
        <v/>
      </c>
      <c r="V444" t="str">
        <f>IF(C444=1,MAX($V$2:$V443)+1,IF(AND($T444&lt;&gt;"",$T444=$T443),$U443,IF(C444="x",V443,"")))</f>
        <v/>
      </c>
      <c r="W444" t="str" cm="1">
        <f t="array" ref="W444">IFERROR(_xlfn._xlws.FILTER(game_rosters!AB:AB,(game_rosters!J:J=events!X444)*(K444&lt;&gt;"")),"")</f>
        <v/>
      </c>
      <c r="X444" t="str" cm="1">
        <f t="array" ref="X444">IF(S444="","",IF($I444&lt;&gt;"",$I444,INDEX($I$2:$I443,ROW()-COUNTIFS($T$2:$T443,"="&amp;$T444,$S$2:$S443,"&lt;&gt;"&amp;$S444)-1)))</f>
        <v/>
      </c>
      <c r="Z444" s="6"/>
      <c r="AH444" t="str">
        <f t="shared" si="125"/>
        <v>o</v>
      </c>
      <c r="AI444" t="str">
        <f t="shared" si="132"/>
        <v/>
      </c>
      <c r="AJ444" t="str">
        <f t="shared" si="133"/>
        <v/>
      </c>
      <c r="AK444" t="str">
        <f t="shared" si="126"/>
        <v/>
      </c>
      <c r="AL444" t="str">
        <f t="shared" si="127"/>
        <v/>
      </c>
      <c r="AM444" t="str">
        <f t="shared" si="128"/>
        <v/>
      </c>
      <c r="AN444" t="str">
        <f t="shared" si="134"/>
        <v/>
      </c>
      <c r="AO444" t="str">
        <f t="shared" si="135"/>
        <v/>
      </c>
      <c r="AP444" t="str">
        <f t="shared" si="136"/>
        <v/>
      </c>
      <c r="AQ444" t="str">
        <f t="shared" si="137"/>
        <v/>
      </c>
      <c r="AR444" t="str">
        <f t="shared" si="138"/>
        <v/>
      </c>
      <c r="AS444" t="str">
        <f t="shared" si="129"/>
        <v>Defensive</v>
      </c>
      <c r="BI444" s="40"/>
      <c r="BL444" s="40"/>
      <c r="BN444" s="19"/>
      <c r="BP444" s="17"/>
    </row>
    <row r="445" spans="1:68" x14ac:dyDescent="0.2">
      <c r="A445" t="str">
        <f t="shared" si="130"/>
        <v/>
      </c>
      <c r="E445" s="4"/>
      <c r="F445" s="45"/>
      <c r="G445" s="4"/>
      <c r="H445" s="48"/>
      <c r="J445" s="46" t="str">
        <f t="shared" si="131"/>
        <v/>
      </c>
      <c r="N445" t="str">
        <f t="shared" si="140"/>
        <v/>
      </c>
      <c r="Q445" t="str">
        <f t="shared" si="139"/>
        <v/>
      </c>
      <c r="S445" t="str">
        <f>IF(A445=1,MAX(S$2:S444)+1,IF(OR(I445&lt;&gt;"",A445="x"),S444,""))</f>
        <v/>
      </c>
      <c r="T445" t="str">
        <f>IF(D445=1,MAX($T$2:$T444)+1,IF(S445=$S444,$S444,IF($D445="x",T444,IF($D444="x","",""))))</f>
        <v/>
      </c>
      <c r="U445" t="str">
        <f>IF(B445=1,MAX($U$2:$U444)+1,IF(AND($T445&lt;&gt;"",$T445=$T444),$U444,IF(B445="x",U444,"")))</f>
        <v/>
      </c>
      <c r="V445" t="str">
        <f>IF(C445=1,MAX($V$2:$V444)+1,IF(AND($T445&lt;&gt;"",$T445=$T444),$U444,IF(C445="x",V444,"")))</f>
        <v/>
      </c>
      <c r="W445" t="str" cm="1">
        <f t="array" ref="W445">IFERROR(_xlfn._xlws.FILTER(game_rosters!AB:AB,(game_rosters!J:J=events!X445)*(K445&lt;&gt;"")),"")</f>
        <v/>
      </c>
      <c r="X445" t="str" cm="1">
        <f t="array" ref="X445">IF(S445="","",IF($I445&lt;&gt;"",$I445,INDEX($I$2:$I444,ROW()-COUNTIFS($T$2:$T444,"="&amp;$T445,$S$2:$S444,"&lt;&gt;"&amp;$S445)-1)))</f>
        <v/>
      </c>
      <c r="Z445" s="6"/>
      <c r="AH445" t="str">
        <f t="shared" si="125"/>
        <v>o</v>
      </c>
      <c r="AI445" t="str">
        <f t="shared" si="132"/>
        <v/>
      </c>
      <c r="AJ445" t="str">
        <f t="shared" si="133"/>
        <v/>
      </c>
      <c r="AK445" t="str">
        <f t="shared" si="126"/>
        <v/>
      </c>
      <c r="AL445" t="str">
        <f t="shared" si="127"/>
        <v/>
      </c>
      <c r="AM445" t="str">
        <f t="shared" si="128"/>
        <v/>
      </c>
      <c r="AN445" t="str">
        <f t="shared" si="134"/>
        <v/>
      </c>
      <c r="AO445" t="str">
        <f t="shared" si="135"/>
        <v/>
      </c>
      <c r="AP445" t="str">
        <f t="shared" si="136"/>
        <v/>
      </c>
      <c r="AQ445" t="str">
        <f t="shared" si="137"/>
        <v/>
      </c>
      <c r="AR445" t="str">
        <f t="shared" si="138"/>
        <v/>
      </c>
      <c r="AS445" t="str">
        <f t="shared" si="129"/>
        <v>Defensive</v>
      </c>
      <c r="BI445" s="40"/>
      <c r="BL445" s="40"/>
      <c r="BN445" s="19"/>
      <c r="BP445" s="17"/>
    </row>
    <row r="446" spans="1:68" x14ac:dyDescent="0.2">
      <c r="A446" t="str">
        <f t="shared" si="130"/>
        <v/>
      </c>
      <c r="E446" s="4"/>
      <c r="F446" s="45"/>
      <c r="G446" s="4"/>
      <c r="H446" s="48"/>
      <c r="J446" s="46" t="str">
        <f t="shared" si="131"/>
        <v/>
      </c>
      <c r="N446" t="str">
        <f t="shared" si="140"/>
        <v/>
      </c>
      <c r="Q446" t="str">
        <f t="shared" si="139"/>
        <v/>
      </c>
      <c r="S446" t="str">
        <f>IF(A446=1,MAX(S$2:S445)+1,IF(OR(I446&lt;&gt;"",A446="x"),S445,""))</f>
        <v/>
      </c>
      <c r="T446" t="str">
        <f>IF(D446=1,MAX($T$2:$T445)+1,IF(S446=$S445,$S445,IF($D446="x",T445,IF($D445="x","",""))))</f>
        <v/>
      </c>
      <c r="U446" t="str">
        <f>IF(B446=1,MAX($U$2:$U445)+1,IF(AND($T446&lt;&gt;"",$T446=$T445),$U445,IF(B446="x",U445,"")))</f>
        <v/>
      </c>
      <c r="V446" t="str">
        <f>IF(C446=1,MAX($V$2:$V445)+1,IF(AND($T446&lt;&gt;"",$T446=$T445),$U445,IF(C446="x",V445,"")))</f>
        <v/>
      </c>
      <c r="W446" t="str" cm="1">
        <f t="array" ref="W446">IFERROR(_xlfn._xlws.FILTER(game_rosters!AB:AB,(game_rosters!J:J=events!X446)*(K446&lt;&gt;"")),"")</f>
        <v/>
      </c>
      <c r="X446" t="str" cm="1">
        <f t="array" ref="X446">IF(S446="","",IF($I446&lt;&gt;"",$I446,INDEX($I$2:$I445,ROW()-COUNTIFS($T$2:$T445,"="&amp;$T446,$S$2:$S445,"&lt;&gt;"&amp;$S446)-1)))</f>
        <v/>
      </c>
      <c r="Z446" s="6"/>
      <c r="AH446" t="str">
        <f t="shared" si="125"/>
        <v>o</v>
      </c>
      <c r="AI446" t="str">
        <f t="shared" si="132"/>
        <v/>
      </c>
      <c r="AJ446" t="str">
        <f t="shared" si="133"/>
        <v/>
      </c>
      <c r="AK446" t="str">
        <f t="shared" si="126"/>
        <v/>
      </c>
      <c r="AL446" t="str">
        <f t="shared" si="127"/>
        <v/>
      </c>
      <c r="AM446" t="str">
        <f t="shared" si="128"/>
        <v/>
      </c>
      <c r="AN446" t="str">
        <f t="shared" si="134"/>
        <v/>
      </c>
      <c r="AO446" t="str">
        <f t="shared" si="135"/>
        <v/>
      </c>
      <c r="AP446" t="str">
        <f t="shared" si="136"/>
        <v/>
      </c>
      <c r="AQ446" t="str">
        <f t="shared" si="137"/>
        <v/>
      </c>
      <c r="AR446" t="str">
        <f t="shared" si="138"/>
        <v/>
      </c>
      <c r="AS446" t="str">
        <f t="shared" si="129"/>
        <v>Defensive</v>
      </c>
      <c r="BI446" s="40"/>
      <c r="BL446" s="40"/>
      <c r="BN446" s="19"/>
      <c r="BP446" s="17"/>
    </row>
    <row r="447" spans="1:68" x14ac:dyDescent="0.2">
      <c r="A447" t="str">
        <f t="shared" si="130"/>
        <v/>
      </c>
      <c r="E447" s="4"/>
      <c r="F447" s="45"/>
      <c r="G447" s="4"/>
      <c r="H447" s="48"/>
      <c r="J447" s="46" t="str">
        <f t="shared" si="131"/>
        <v/>
      </c>
      <c r="N447" t="str">
        <f t="shared" si="140"/>
        <v/>
      </c>
      <c r="Q447" t="str">
        <f t="shared" si="139"/>
        <v/>
      </c>
      <c r="S447" t="str">
        <f>IF(A447=1,MAX(S$2:S446)+1,IF(OR(I447&lt;&gt;"",A447="x"),S446,""))</f>
        <v/>
      </c>
      <c r="T447" t="str">
        <f>IF(D447=1,MAX($T$2:$T446)+1,IF(S447=$S446,$S446,IF($D447="x",T446,IF($D446="x","",""))))</f>
        <v/>
      </c>
      <c r="U447" t="str">
        <f>IF(B447=1,MAX($U$2:$U446)+1,IF(AND($T447&lt;&gt;"",$T447=$T446),$U446,IF(B447="x",U446,"")))</f>
        <v/>
      </c>
      <c r="V447" t="str">
        <f>IF(C447=1,MAX($V$2:$V446)+1,IF(AND($T447&lt;&gt;"",$T447=$T446),$U446,IF(C447="x",V446,"")))</f>
        <v/>
      </c>
      <c r="W447" t="str" cm="1">
        <f t="array" ref="W447">IFERROR(_xlfn._xlws.FILTER(game_rosters!AB:AB,(game_rosters!J:J=events!X447)*(K447&lt;&gt;"")),"")</f>
        <v/>
      </c>
      <c r="X447" t="str" cm="1">
        <f t="array" ref="X447">IF(S447="","",IF($I447&lt;&gt;"",$I447,INDEX($I$2:$I446,ROW()-COUNTIFS($T$2:$T446,"="&amp;$T447,$S$2:$S446,"&lt;&gt;"&amp;$S447)-1)))</f>
        <v/>
      </c>
      <c r="Z447" s="6"/>
      <c r="AH447" t="str">
        <f t="shared" si="125"/>
        <v>o</v>
      </c>
      <c r="AI447" t="str">
        <f t="shared" si="132"/>
        <v/>
      </c>
      <c r="AJ447" t="str">
        <f t="shared" si="133"/>
        <v/>
      </c>
      <c r="AK447" t="str">
        <f t="shared" si="126"/>
        <v/>
      </c>
      <c r="AL447" t="str">
        <f t="shared" si="127"/>
        <v/>
      </c>
      <c r="AM447" t="str">
        <f t="shared" si="128"/>
        <v/>
      </c>
      <c r="AN447" t="str">
        <f t="shared" si="134"/>
        <v/>
      </c>
      <c r="AO447" t="str">
        <f t="shared" si="135"/>
        <v/>
      </c>
      <c r="AP447" t="str">
        <f t="shared" si="136"/>
        <v/>
      </c>
      <c r="AQ447" t="str">
        <f t="shared" si="137"/>
        <v/>
      </c>
      <c r="AR447" t="str">
        <f t="shared" si="138"/>
        <v/>
      </c>
      <c r="AS447" t="str">
        <f t="shared" si="129"/>
        <v>Defensive</v>
      </c>
      <c r="BI447" s="40"/>
      <c r="BL447" s="40"/>
      <c r="BN447" s="19"/>
      <c r="BP447" s="17"/>
    </row>
    <row r="448" spans="1:68" x14ac:dyDescent="0.2">
      <c r="A448" t="str">
        <f t="shared" si="130"/>
        <v/>
      </c>
      <c r="E448" s="4"/>
      <c r="F448" s="45"/>
      <c r="G448" s="4"/>
      <c r="H448" s="48"/>
      <c r="J448" s="46" t="str">
        <f t="shared" si="131"/>
        <v/>
      </c>
      <c r="N448" t="str">
        <f t="shared" si="140"/>
        <v/>
      </c>
      <c r="Q448" t="str">
        <f t="shared" si="139"/>
        <v/>
      </c>
      <c r="S448" t="str">
        <f>IF(A448=1,MAX(S$2:S447)+1,IF(OR(I448&lt;&gt;"",A448="x"),S447,""))</f>
        <v/>
      </c>
      <c r="T448" t="str">
        <f>IF(D448=1,MAX($T$2:$T447)+1,IF(S448=$S447,$S447,IF($D448="x",T447,IF($D447="x","",""))))</f>
        <v/>
      </c>
      <c r="U448" t="str">
        <f>IF(B448=1,MAX($U$2:$U447)+1,IF(AND($T448&lt;&gt;"",$T448=$T447),$U447,IF(B448="x",U447,"")))</f>
        <v/>
      </c>
      <c r="V448" t="str">
        <f>IF(C448=1,MAX($V$2:$V447)+1,IF(AND($T448&lt;&gt;"",$T448=$T447),$U447,IF(C448="x",V447,"")))</f>
        <v/>
      </c>
      <c r="W448" t="str" cm="1">
        <f t="array" ref="W448">IFERROR(_xlfn._xlws.FILTER(game_rosters!AB:AB,(game_rosters!J:J=events!X448)*(K448&lt;&gt;"")),"")</f>
        <v/>
      </c>
      <c r="X448" t="str" cm="1">
        <f t="array" ref="X448">IF(S448="","",IF($I448&lt;&gt;"",$I448,INDEX($I$2:$I447,ROW()-COUNTIFS($T$2:$T447,"="&amp;$T448,$S$2:$S447,"&lt;&gt;"&amp;$S448)-1)))</f>
        <v/>
      </c>
      <c r="Z448" s="6"/>
      <c r="AH448" t="str">
        <f t="shared" ref="AH448:AH457" si="141">IF(Y448="x","",IF(Y448=1,"e","o"))</f>
        <v>o</v>
      </c>
      <c r="AI448" t="str">
        <f t="shared" si="132"/>
        <v/>
      </c>
      <c r="AJ448" t="str">
        <f t="shared" si="133"/>
        <v/>
      </c>
      <c r="AK448" t="str">
        <f t="shared" ref="AK448:AK457" si="142">IF($W448="","",IF($AI448="","",IF($W448="h",$AI448,IF($AI448="n","n",IF(AND($W448="a",$AI448="d"),"o",IF(AND($W448="a",$AI448="o"),"d"))))))</f>
        <v/>
      </c>
      <c r="AL448" t="str">
        <f t="shared" ref="AL448:AL457" si="143">IF($W448="","",IF(J448="","",IF(AK448="n","n",IF(AK448="d","o",IF(AK448="o","d","")))))</f>
        <v/>
      </c>
      <c r="AM448" t="str">
        <f t="shared" ref="AM448:AM457" si="144">IF(AN448="H","Home",IF(AN448="A","Away",""))</f>
        <v/>
      </c>
      <c r="AN448" t="str">
        <f t="shared" si="134"/>
        <v/>
      </c>
      <c r="AO448" t="str">
        <f t="shared" si="135"/>
        <v/>
      </c>
      <c r="AP448" t="str">
        <f t="shared" si="136"/>
        <v/>
      </c>
      <c r="AQ448" t="str">
        <f t="shared" si="137"/>
        <v/>
      </c>
      <c r="AR448" t="str">
        <f t="shared" si="138"/>
        <v/>
      </c>
      <c r="AS448" t="str">
        <f t="shared" ref="AS448:AS457" si="145">IF(AND(AH448="e",OR(BD448="Save",BE448="Turnover_Takeaway",BE448="Play_Defensive")),"Defensive",IF(AND(AH448="o",OR(BD448="Save",BE448="Turnover_Takeaway",BE448="Play_Defensive")),"Offensive",IF(OR(BD448="Deadice",BD448="Stoppage",BD448="Intermission"),"",IF(AH448="e","Offensive",IF(AH448="o","Defensive","")))))</f>
        <v>Defensive</v>
      </c>
      <c r="BI448" s="40"/>
      <c r="BL448" s="40"/>
      <c r="BN448" s="19"/>
      <c r="BP448" s="17"/>
    </row>
    <row r="449" spans="1:68" x14ac:dyDescent="0.2">
      <c r="A449" t="str">
        <f t="shared" si="130"/>
        <v/>
      </c>
      <c r="E449" s="4"/>
      <c r="F449" s="45"/>
      <c r="G449" s="4"/>
      <c r="H449" s="48"/>
      <c r="J449" s="46" t="str">
        <f t="shared" si="131"/>
        <v/>
      </c>
      <c r="N449" t="str">
        <f t="shared" si="140"/>
        <v/>
      </c>
      <c r="Q449" t="str">
        <f t="shared" si="139"/>
        <v/>
      </c>
      <c r="S449" t="str">
        <f>IF(A449=1,MAX(S$2:S448)+1,IF(OR(I449&lt;&gt;"",A449="x"),S448,""))</f>
        <v/>
      </c>
      <c r="T449" t="str">
        <f>IF(D449=1,MAX($T$2:$T448)+1,IF(S449=$S448,$S448,IF($D449="x",T448,IF($D448="x","",""))))</f>
        <v/>
      </c>
      <c r="U449" t="str">
        <f>IF(B449=1,MAX($U$2:$U448)+1,IF(AND($T449&lt;&gt;"",$T449=$T448),$U448,IF(B449="x",U448,"")))</f>
        <v/>
      </c>
      <c r="V449" t="str">
        <f>IF(C449=1,MAX($V$2:$V448)+1,IF(AND($T449&lt;&gt;"",$T449=$T448),$U448,IF(C449="x",V448,"")))</f>
        <v/>
      </c>
      <c r="W449" t="str" cm="1">
        <f t="array" ref="W449">IFERROR(_xlfn._xlws.FILTER(game_rosters!AB:AB,(game_rosters!J:J=events!X449)*(K449&lt;&gt;"")),"")</f>
        <v/>
      </c>
      <c r="X449" t="str" cm="1">
        <f t="array" ref="X449">IF(S449="","",IF($I449&lt;&gt;"",$I449,INDEX($I$2:$I448,ROW()-COUNTIFS($T$2:$T448,"="&amp;$T449,$S$2:$S448,"&lt;&gt;"&amp;$S449)-1)))</f>
        <v/>
      </c>
      <c r="Z449" s="6"/>
      <c r="AH449" t="str">
        <f t="shared" si="141"/>
        <v>o</v>
      </c>
      <c r="AI449" t="str">
        <f t="shared" si="132"/>
        <v/>
      </c>
      <c r="AJ449" t="str">
        <f t="shared" si="133"/>
        <v/>
      </c>
      <c r="AK449" t="str">
        <f t="shared" si="142"/>
        <v/>
      </c>
      <c r="AL449" t="str">
        <f t="shared" si="143"/>
        <v/>
      </c>
      <c r="AM449" t="str">
        <f t="shared" si="144"/>
        <v/>
      </c>
      <c r="AN449" t="str">
        <f t="shared" si="134"/>
        <v/>
      </c>
      <c r="AO449" t="str">
        <f t="shared" si="135"/>
        <v/>
      </c>
      <c r="AP449" t="str">
        <f t="shared" si="136"/>
        <v/>
      </c>
      <c r="AQ449" t="str">
        <f t="shared" si="137"/>
        <v/>
      </c>
      <c r="AR449" t="str">
        <f t="shared" si="138"/>
        <v/>
      </c>
      <c r="AS449" t="str">
        <f t="shared" si="145"/>
        <v>Defensive</v>
      </c>
      <c r="BI449" s="40"/>
      <c r="BL449" s="40"/>
      <c r="BN449" s="19"/>
      <c r="BP449" s="17"/>
    </row>
    <row r="450" spans="1:68" x14ac:dyDescent="0.2">
      <c r="A450" t="str">
        <f t="shared" si="130"/>
        <v/>
      </c>
      <c r="E450" s="4"/>
      <c r="F450" s="45"/>
      <c r="G450" s="4"/>
      <c r="H450" s="48"/>
      <c r="J450" s="46" t="str">
        <f t="shared" si="131"/>
        <v/>
      </c>
      <c r="N450" t="str">
        <f t="shared" si="140"/>
        <v/>
      </c>
      <c r="Q450" t="str">
        <f t="shared" si="139"/>
        <v/>
      </c>
      <c r="S450" t="str">
        <f>IF(A450=1,MAX(S$2:S449)+1,IF(OR(I450&lt;&gt;"",A450="x"),S449,""))</f>
        <v/>
      </c>
      <c r="T450" t="str">
        <f>IF(D450=1,MAX($T$2:$T449)+1,IF(S450=$S449,$S449,IF($D450="x",T449,IF($D449="x","",""))))</f>
        <v/>
      </c>
      <c r="U450" t="str">
        <f>IF(B450=1,MAX($U$2:$U449)+1,IF(AND($T450&lt;&gt;"",$T450=$T449),$U449,IF(B450="x",U449,"")))</f>
        <v/>
      </c>
      <c r="V450" t="str">
        <f>IF(C450=1,MAX($V$2:$V449)+1,IF(AND($T450&lt;&gt;"",$T450=$T449),$U449,IF(C450="x",V449,"")))</f>
        <v/>
      </c>
      <c r="W450" t="str" cm="1">
        <f t="array" ref="W450">IFERROR(_xlfn._xlws.FILTER(game_rosters!AB:AB,(game_rosters!J:J=events!X450)*(K450&lt;&gt;"")),"")</f>
        <v/>
      </c>
      <c r="X450" t="str" cm="1">
        <f t="array" ref="X450">IF(S450="","",IF($I450&lt;&gt;"",$I450,INDEX($I$2:$I449,ROW()-COUNTIFS($T$2:$T449,"="&amp;$T450,$S$2:$S449,"&lt;&gt;"&amp;$S450)-1)))</f>
        <v/>
      </c>
      <c r="Z450" s="6"/>
      <c r="AH450" t="str">
        <f t="shared" si="141"/>
        <v>o</v>
      </c>
      <c r="AI450" t="str">
        <f t="shared" si="132"/>
        <v/>
      </c>
      <c r="AJ450" t="str">
        <f t="shared" si="133"/>
        <v/>
      </c>
      <c r="AK450" t="str">
        <f t="shared" si="142"/>
        <v/>
      </c>
      <c r="AL450" t="str">
        <f t="shared" si="143"/>
        <v/>
      </c>
      <c r="AM450" t="str">
        <f t="shared" si="144"/>
        <v/>
      </c>
      <c r="AN450" t="str">
        <f t="shared" si="134"/>
        <v/>
      </c>
      <c r="AO450" t="str">
        <f t="shared" si="135"/>
        <v/>
      </c>
      <c r="AP450" t="str">
        <f t="shared" si="136"/>
        <v/>
      </c>
      <c r="AQ450" t="str">
        <f t="shared" si="137"/>
        <v/>
      </c>
      <c r="AR450" t="str">
        <f t="shared" si="138"/>
        <v/>
      </c>
      <c r="AS450" t="str">
        <f t="shared" si="145"/>
        <v>Defensive</v>
      </c>
      <c r="BI450" s="40"/>
      <c r="BL450" s="40"/>
      <c r="BN450" s="19"/>
      <c r="BP450" s="17"/>
    </row>
    <row r="451" spans="1:68" x14ac:dyDescent="0.2">
      <c r="A451" t="str">
        <f t="shared" si="130"/>
        <v/>
      </c>
      <c r="E451" s="4"/>
      <c r="F451" s="45"/>
      <c r="G451" s="4"/>
      <c r="H451" s="48"/>
      <c r="J451" s="46" t="str">
        <f t="shared" si="131"/>
        <v/>
      </c>
      <c r="N451" t="str">
        <f t="shared" si="140"/>
        <v/>
      </c>
      <c r="Q451" t="str">
        <f t="shared" si="139"/>
        <v/>
      </c>
      <c r="S451" t="str">
        <f>IF(A451=1,MAX(S$2:S450)+1,IF(OR(I451&lt;&gt;"",A451="x"),S450,""))</f>
        <v/>
      </c>
      <c r="T451" t="str">
        <f>IF(D451=1,MAX($T$2:$T450)+1,IF(S451=$S450,$S450,IF($D451="x",T450,IF($D450="x","",""))))</f>
        <v/>
      </c>
      <c r="U451" t="str">
        <f>IF(B451=1,MAX($U$2:$U450)+1,IF(AND($T451&lt;&gt;"",$T451=$T450),$U450,IF(B451="x",U450,"")))</f>
        <v/>
      </c>
      <c r="V451" t="str">
        <f>IF(C451=1,MAX($V$2:$V450)+1,IF(AND($T451&lt;&gt;"",$T451=$T450),$U450,IF(C451="x",V450,"")))</f>
        <v/>
      </c>
      <c r="W451" t="str" cm="1">
        <f t="array" ref="W451">IFERROR(_xlfn._xlws.FILTER(game_rosters!AB:AB,(game_rosters!J:J=events!X451)*(K451&lt;&gt;"")),"")</f>
        <v/>
      </c>
      <c r="X451" t="str" cm="1">
        <f t="array" ref="X451">IF(S451="","",IF($I451&lt;&gt;"",$I451,INDEX($I$2:$I450,ROW()-COUNTIFS($T$2:$T450,"="&amp;$T451,$S$2:$S450,"&lt;&gt;"&amp;$S451)-1)))</f>
        <v/>
      </c>
      <c r="Z451" s="6"/>
      <c r="AH451" t="str">
        <f t="shared" si="141"/>
        <v>o</v>
      </c>
      <c r="AI451" t="str">
        <f t="shared" si="132"/>
        <v/>
      </c>
      <c r="AJ451" t="str">
        <f t="shared" si="133"/>
        <v/>
      </c>
      <c r="AK451" t="str">
        <f t="shared" si="142"/>
        <v/>
      </c>
      <c r="AL451" t="str">
        <f t="shared" si="143"/>
        <v/>
      </c>
      <c r="AM451" t="str">
        <f t="shared" si="144"/>
        <v/>
      </c>
      <c r="AN451" t="str">
        <f t="shared" si="134"/>
        <v/>
      </c>
      <c r="AO451" t="str">
        <f t="shared" si="135"/>
        <v/>
      </c>
      <c r="AP451" t="str">
        <f t="shared" si="136"/>
        <v/>
      </c>
      <c r="AQ451" t="str">
        <f t="shared" si="137"/>
        <v/>
      </c>
      <c r="AR451" t="str">
        <f t="shared" si="138"/>
        <v/>
      </c>
      <c r="AS451" t="str">
        <f t="shared" si="145"/>
        <v>Defensive</v>
      </c>
      <c r="BI451" s="40"/>
      <c r="BL451" s="40"/>
      <c r="BN451" s="19"/>
      <c r="BP451" s="17"/>
    </row>
    <row r="452" spans="1:68" x14ac:dyDescent="0.2">
      <c r="A452" t="str">
        <f t="shared" si="130"/>
        <v/>
      </c>
      <c r="E452" s="4"/>
      <c r="F452" s="45"/>
      <c r="G452" s="4"/>
      <c r="H452" s="48"/>
      <c r="J452" s="46" t="str">
        <f t="shared" si="131"/>
        <v/>
      </c>
      <c r="N452" t="str">
        <f t="shared" si="140"/>
        <v/>
      </c>
      <c r="Q452" t="str">
        <f t="shared" si="139"/>
        <v/>
      </c>
      <c r="S452" t="str">
        <f>IF(A452=1,MAX(S$2:S451)+1,IF(OR(I452&lt;&gt;"",A452="x"),S451,""))</f>
        <v/>
      </c>
      <c r="T452" t="str">
        <f>IF(D452=1,MAX($T$2:$T451)+1,IF(S452=$S451,$S451,IF($D452="x",T451,IF($D451="x","",""))))</f>
        <v/>
      </c>
      <c r="U452" t="str">
        <f>IF(B452=1,MAX($U$2:$U451)+1,IF(AND($T452&lt;&gt;"",$T452=$T451),$U451,IF(B452="x",U451,"")))</f>
        <v/>
      </c>
      <c r="V452" t="str">
        <f>IF(C452=1,MAX($V$2:$V451)+1,IF(AND($T452&lt;&gt;"",$T452=$T451),$U451,IF(C452="x",V451,"")))</f>
        <v/>
      </c>
      <c r="W452" t="str" cm="1">
        <f t="array" ref="W452">IFERROR(_xlfn._xlws.FILTER(game_rosters!AB:AB,(game_rosters!J:J=events!X452)*(K452&lt;&gt;"")),"")</f>
        <v/>
      </c>
      <c r="X452" t="str" cm="1">
        <f t="array" ref="X452">IF(S452="","",IF($I452&lt;&gt;"",$I452,INDEX($I$2:$I451,ROW()-COUNTIFS($T$2:$T451,"="&amp;$T452,$S$2:$S451,"&lt;&gt;"&amp;$S452)-1)))</f>
        <v/>
      </c>
      <c r="Z452" s="6"/>
      <c r="AH452" t="str">
        <f t="shared" si="141"/>
        <v>o</v>
      </c>
      <c r="AI452" t="str">
        <f t="shared" si="132"/>
        <v/>
      </c>
      <c r="AJ452" t="str">
        <f t="shared" si="133"/>
        <v/>
      </c>
      <c r="AK452" t="str">
        <f t="shared" si="142"/>
        <v/>
      </c>
      <c r="AL452" t="str">
        <f t="shared" si="143"/>
        <v/>
      </c>
      <c r="AM452" t="str">
        <f t="shared" si="144"/>
        <v/>
      </c>
      <c r="AN452" t="str">
        <f t="shared" si="134"/>
        <v/>
      </c>
      <c r="AO452" t="str">
        <f t="shared" si="135"/>
        <v/>
      </c>
      <c r="AP452" t="str">
        <f t="shared" si="136"/>
        <v/>
      </c>
      <c r="AQ452" t="str">
        <f t="shared" si="137"/>
        <v/>
      </c>
      <c r="AR452" t="str">
        <f t="shared" si="138"/>
        <v/>
      </c>
      <c r="AS452" t="str">
        <f t="shared" si="145"/>
        <v>Defensive</v>
      </c>
      <c r="BI452" s="40"/>
      <c r="BL452" s="40"/>
      <c r="BN452" s="19"/>
      <c r="BP452" s="17"/>
    </row>
    <row r="453" spans="1:68" x14ac:dyDescent="0.2">
      <c r="A453" t="str">
        <f t="shared" ref="A453:A516" si="146">IF(K453&lt;&gt;"",1,IF(D453="x","x",""))</f>
        <v/>
      </c>
      <c r="E453" s="4"/>
      <c r="F453" s="45"/>
      <c r="G453" s="4"/>
      <c r="H453" s="48"/>
      <c r="J453" s="46" t="str">
        <f t="shared" si="131"/>
        <v/>
      </c>
      <c r="N453" t="str">
        <f t="shared" si="140"/>
        <v/>
      </c>
      <c r="Q453" t="str">
        <f t="shared" si="139"/>
        <v/>
      </c>
      <c r="S453" t="str">
        <f>IF(A453=1,MAX(S$2:S452)+1,IF(OR(I453&lt;&gt;"",A453="x"),S452,""))</f>
        <v/>
      </c>
      <c r="T453" t="str">
        <f>IF(D453=1,MAX($T$2:$T452)+1,IF(S453=$S452,$S452,IF($D453="x",T452,IF($D452="x","",""))))</f>
        <v/>
      </c>
      <c r="U453" t="str">
        <f>IF(B453=1,MAX($U$2:$U452)+1,IF(AND($T453&lt;&gt;"",$T453=$T452),$U452,IF(B453="x",U452,"")))</f>
        <v/>
      </c>
      <c r="V453" t="str">
        <f>IF(C453=1,MAX($V$2:$V452)+1,IF(AND($T453&lt;&gt;"",$T453=$T452),$U452,IF(C453="x",V452,"")))</f>
        <v/>
      </c>
      <c r="W453" t="str" cm="1">
        <f t="array" ref="W453">IFERROR(_xlfn._xlws.FILTER(game_rosters!AB:AB,(game_rosters!J:J=events!X453)*(K453&lt;&gt;"")),"")</f>
        <v/>
      </c>
      <c r="X453" t="str" cm="1">
        <f t="array" ref="X453">IF(S453="","",IF($I453&lt;&gt;"",$I453,INDEX($I$2:$I452,ROW()-COUNTIFS($T$2:$T452,"="&amp;$T453,$S$2:$S452,"&lt;&gt;"&amp;$S453)-1)))</f>
        <v/>
      </c>
      <c r="Z453" s="6"/>
      <c r="AH453" t="str">
        <f t="shared" si="141"/>
        <v>o</v>
      </c>
      <c r="AI453" t="str">
        <f t="shared" si="132"/>
        <v/>
      </c>
      <c r="AJ453" t="str">
        <f t="shared" si="133"/>
        <v/>
      </c>
      <c r="AK453" t="str">
        <f t="shared" si="142"/>
        <v/>
      </c>
      <c r="AL453" t="str">
        <f t="shared" si="143"/>
        <v/>
      </c>
      <c r="AM453" t="str">
        <f t="shared" si="144"/>
        <v/>
      </c>
      <c r="AN453" t="str">
        <f t="shared" si="134"/>
        <v/>
      </c>
      <c r="AO453" t="str">
        <f t="shared" si="135"/>
        <v/>
      </c>
      <c r="AP453" t="str">
        <f t="shared" si="136"/>
        <v/>
      </c>
      <c r="AQ453" t="str">
        <f t="shared" si="137"/>
        <v/>
      </c>
      <c r="AR453" t="str">
        <f t="shared" si="138"/>
        <v/>
      </c>
      <c r="AS453" t="str">
        <f t="shared" si="145"/>
        <v>Defensive</v>
      </c>
      <c r="BI453" s="40"/>
      <c r="BL453" s="40"/>
      <c r="BN453" s="19"/>
      <c r="BP453" s="17"/>
    </row>
    <row r="454" spans="1:68" x14ac:dyDescent="0.2">
      <c r="A454" t="str">
        <f t="shared" si="146"/>
        <v/>
      </c>
      <c r="E454" s="4"/>
      <c r="F454" s="45"/>
      <c r="G454" s="4"/>
      <c r="H454" s="48"/>
      <c r="J454" s="46" t="str">
        <f t="shared" ref="J454:J517" si="147">IF(OR(K454="Goal",K454="Shot",L454="Zone_Entry",M454="Stoppage-Goal",M453="Stoppage-Goal"),"o",IF(OR(K454="Save",K454="Rebound",L454="Zone_Exit",M454="Stoppage-GoalieStoppage",M453="Stoppage-GoalieStoppage"),"d",IF(OR(L454="Faceoff_AfterGoal",L454="Faceoff_PeriodStart",698="Faceoff_GameStart",M453="Stoppage-Goal"),"n","")))</f>
        <v/>
      </c>
      <c r="N454" t="str">
        <f t="shared" si="140"/>
        <v/>
      </c>
      <c r="Q454" t="str">
        <f t="shared" si="139"/>
        <v/>
      </c>
      <c r="S454" t="str">
        <f>IF(A454=1,MAX(S$2:S453)+1,IF(OR(I454&lt;&gt;"",A454="x"),S453,""))</f>
        <v/>
      </c>
      <c r="T454" t="str">
        <f>IF(D454=1,MAX($T$2:$T453)+1,IF(S454=$S453,$S453,IF($D454="x",T453,IF($D453="x","",""))))</f>
        <v/>
      </c>
      <c r="U454" t="str">
        <f>IF(B454=1,MAX($U$2:$U453)+1,IF(AND($T454&lt;&gt;"",$T454=$T453),$U453,IF(B454="x",U453,"")))</f>
        <v/>
      </c>
      <c r="V454" t="str">
        <f>IF(C454=1,MAX($V$2:$V453)+1,IF(AND($T454&lt;&gt;"",$T454=$T453),$U453,IF(C454="x",V453,"")))</f>
        <v/>
      </c>
      <c r="W454" t="str" cm="1">
        <f t="array" ref="W454">IFERROR(_xlfn._xlws.FILTER(game_rosters!AB:AB,(game_rosters!J:J=events!X454)*(K454&lt;&gt;"")),"")</f>
        <v/>
      </c>
      <c r="X454" t="str" cm="1">
        <f t="array" ref="X454">IF(S454="","",IF($I454&lt;&gt;"",$I454,INDEX($I$2:$I453,ROW()-COUNTIFS($T$2:$T453,"="&amp;$T454,$S$2:$S453,"&lt;&gt;"&amp;$S454)-1)))</f>
        <v/>
      </c>
      <c r="Z454" s="6"/>
      <c r="AH454" t="str">
        <f t="shared" si="141"/>
        <v>o</v>
      </c>
      <c r="AI454" t="str">
        <f t="shared" ref="AI454:AI517" si="148">IF($J454&lt;&gt;"",$J454,IF($AC454=$AC453,AI453,""))</f>
        <v/>
      </c>
      <c r="AJ454" t="str">
        <f t="shared" ref="AJ454:AJ457" si="149">IF($J454&lt;&gt;"",$J454,IF($AC454=AC453,AJ453,""))</f>
        <v/>
      </c>
      <c r="AK454" t="str">
        <f t="shared" si="142"/>
        <v/>
      </c>
      <c r="AL454" t="str">
        <f t="shared" si="143"/>
        <v/>
      </c>
      <c r="AM454" t="str">
        <f t="shared" si="144"/>
        <v/>
      </c>
      <c r="AN454" t="str">
        <f t="shared" ref="AN454:AN457" si="150">IF($W454&lt;&gt;"",$W454,IF($AC454=AC453,AN453,""))</f>
        <v/>
      </c>
      <c r="AO454" t="str">
        <f t="shared" ref="AO454:AO457" si="151">IF(AK454&lt;&gt;"",AK454,IF($AC454=AC453,AO453,""))</f>
        <v/>
      </c>
      <c r="AP454" t="str">
        <f t="shared" ref="AP454:AP457" si="152">IF(AL454&lt;&gt;"",AL454,IF($AC454=AC453,AP453,""))</f>
        <v/>
      </c>
      <c r="AQ454" t="str">
        <f t="shared" ref="AQ454:AQ457" si="153">IF(AM454&lt;&gt;"",AM454,IF($AC454=AC453,AQ453,""))</f>
        <v/>
      </c>
      <c r="AR454" t="str">
        <f t="shared" ref="AR454:AR457" si="154">IF(AN454&lt;&gt;"",AN454,IF($AC454=AC453,AQ453,""))</f>
        <v/>
      </c>
      <c r="AS454" t="str">
        <f t="shared" si="145"/>
        <v>Defensive</v>
      </c>
      <c r="BI454" s="40"/>
      <c r="BL454" s="40"/>
      <c r="BN454" s="19"/>
      <c r="BP454" s="17"/>
    </row>
    <row r="455" spans="1:68" x14ac:dyDescent="0.2">
      <c r="A455" t="str">
        <f t="shared" si="146"/>
        <v/>
      </c>
      <c r="E455" s="4"/>
      <c r="F455" s="45"/>
      <c r="G455" s="4"/>
      <c r="H455" s="48"/>
      <c r="J455" s="46" t="str">
        <f t="shared" si="147"/>
        <v/>
      </c>
      <c r="N455" t="str">
        <f t="shared" si="140"/>
        <v/>
      </c>
      <c r="Q455" t="str">
        <f t="shared" si="139"/>
        <v/>
      </c>
      <c r="S455" t="str">
        <f>IF(A455=1,MAX(S$2:S454)+1,IF(OR(I455&lt;&gt;"",A455="x"),S454,""))</f>
        <v/>
      </c>
      <c r="T455" t="str">
        <f>IF(D455=1,MAX($T$2:$T454)+1,IF(S455=$S454,$S454,IF($D455="x",T454,IF($D454="x","",""))))</f>
        <v/>
      </c>
      <c r="U455" t="str">
        <f>IF(B455=1,MAX($U$2:$U454)+1,IF(AND($T455&lt;&gt;"",$T455=$T454),$U454,IF(B455="x",U454,"")))</f>
        <v/>
      </c>
      <c r="V455" t="str">
        <f>IF(C455=1,MAX($V$2:$V454)+1,IF(AND($T455&lt;&gt;"",$T455=$T454),$U454,IF(C455="x",V454,"")))</f>
        <v/>
      </c>
      <c r="W455" t="str" cm="1">
        <f t="array" ref="W455">IFERROR(_xlfn._xlws.FILTER(game_rosters!AB:AB,(game_rosters!J:J=events!X455)*(K455&lt;&gt;"")),"")</f>
        <v/>
      </c>
      <c r="X455" t="str" cm="1">
        <f t="array" ref="X455">IF(S455="","",IF($I455&lt;&gt;"",$I455,INDEX($I$2:$I454,ROW()-COUNTIFS($T$2:$T454,"="&amp;$T455,$S$2:$S454,"&lt;&gt;"&amp;$S455)-1)))</f>
        <v/>
      </c>
      <c r="Z455" s="6"/>
      <c r="AH455" t="str">
        <f t="shared" si="141"/>
        <v>o</v>
      </c>
      <c r="AI455" t="str">
        <f t="shared" si="148"/>
        <v/>
      </c>
      <c r="AJ455" t="str">
        <f t="shared" si="149"/>
        <v/>
      </c>
      <c r="AK455" t="str">
        <f t="shared" si="142"/>
        <v/>
      </c>
      <c r="AL455" t="str">
        <f t="shared" si="143"/>
        <v/>
      </c>
      <c r="AM455" t="str">
        <f t="shared" si="144"/>
        <v/>
      </c>
      <c r="AN455" t="str">
        <f t="shared" si="150"/>
        <v/>
      </c>
      <c r="AO455" t="str">
        <f t="shared" si="151"/>
        <v/>
      </c>
      <c r="AP455" t="str">
        <f t="shared" si="152"/>
        <v/>
      </c>
      <c r="AQ455" t="str">
        <f t="shared" si="153"/>
        <v/>
      </c>
      <c r="AR455" t="str">
        <f t="shared" si="154"/>
        <v/>
      </c>
      <c r="AS455" t="str">
        <f t="shared" si="145"/>
        <v>Defensive</v>
      </c>
      <c r="BI455" s="40"/>
      <c r="BL455" s="40"/>
      <c r="BN455" s="19"/>
      <c r="BP455" s="17"/>
    </row>
    <row r="456" spans="1:68" x14ac:dyDescent="0.2">
      <c r="A456" t="str">
        <f t="shared" si="146"/>
        <v/>
      </c>
      <c r="E456" s="4"/>
      <c r="F456" s="45"/>
      <c r="G456" s="4"/>
      <c r="H456" s="48"/>
      <c r="J456" s="46" t="str">
        <f t="shared" si="147"/>
        <v/>
      </c>
      <c r="N456" t="str">
        <f t="shared" si="140"/>
        <v/>
      </c>
      <c r="Q456" t="str">
        <f t="shared" si="139"/>
        <v/>
      </c>
      <c r="S456" t="str">
        <f>IF(A456=1,MAX(S$2:S455)+1,IF(OR(I456&lt;&gt;"",A456="x"),S455,""))</f>
        <v/>
      </c>
      <c r="T456" t="str">
        <f>IF(D456=1,MAX($T$2:$T455)+1,IF(S456=$S455,$S455,IF($D456="x",T455,IF($D455="x","",""))))</f>
        <v/>
      </c>
      <c r="U456" t="str">
        <f>IF(B456=1,MAX($U$2:$U455)+1,IF(AND($T456&lt;&gt;"",$T456=$T455),$U455,IF(B456="x",U455,"")))</f>
        <v/>
      </c>
      <c r="V456" t="str">
        <f>IF(C456=1,MAX($V$2:$V455)+1,IF(AND($T456&lt;&gt;"",$T456=$T455),$U455,IF(C456="x",V455,"")))</f>
        <v/>
      </c>
      <c r="W456" t="str" cm="1">
        <f t="array" ref="W456">IFERROR(_xlfn._xlws.FILTER(game_rosters!AB:AB,(game_rosters!J:J=events!X456)*(K456&lt;&gt;"")),"")</f>
        <v/>
      </c>
      <c r="X456" t="str" cm="1">
        <f t="array" ref="X456">IF(S456="","",IF($I456&lt;&gt;"",$I456,INDEX($I$2:$I455,ROW()-COUNTIFS($T$2:$T455,"="&amp;$T456,$S$2:$S455,"&lt;&gt;"&amp;$S456)-1)))</f>
        <v/>
      </c>
      <c r="Z456" s="6"/>
      <c r="AH456" t="str">
        <f t="shared" si="141"/>
        <v>o</v>
      </c>
      <c r="AI456" t="str">
        <f t="shared" si="148"/>
        <v/>
      </c>
      <c r="AJ456" t="str">
        <f t="shared" si="149"/>
        <v/>
      </c>
      <c r="AK456" t="str">
        <f t="shared" si="142"/>
        <v/>
      </c>
      <c r="AL456" t="str">
        <f t="shared" si="143"/>
        <v/>
      </c>
      <c r="AM456" t="str">
        <f t="shared" si="144"/>
        <v/>
      </c>
      <c r="AN456" t="str">
        <f t="shared" si="150"/>
        <v/>
      </c>
      <c r="AO456" t="str">
        <f t="shared" si="151"/>
        <v/>
      </c>
      <c r="AP456" t="str">
        <f t="shared" si="152"/>
        <v/>
      </c>
      <c r="AQ456" t="str">
        <f t="shared" si="153"/>
        <v/>
      </c>
      <c r="AR456" t="str">
        <f t="shared" si="154"/>
        <v/>
      </c>
      <c r="AS456" t="str">
        <f t="shared" si="145"/>
        <v>Defensive</v>
      </c>
      <c r="BI456" s="40"/>
      <c r="BL456" s="40"/>
      <c r="BN456" s="19"/>
      <c r="BP456" s="17"/>
    </row>
    <row r="457" spans="1:68" x14ac:dyDescent="0.2">
      <c r="A457" t="str">
        <f t="shared" si="146"/>
        <v/>
      </c>
      <c r="E457" s="4"/>
      <c r="F457" s="45"/>
      <c r="G457" s="4"/>
      <c r="H457" s="48"/>
      <c r="J457" s="46" t="str">
        <f t="shared" si="147"/>
        <v/>
      </c>
      <c r="N457" t="str">
        <f t="shared" si="140"/>
        <v/>
      </c>
      <c r="Q457" t="str">
        <f t="shared" si="139"/>
        <v/>
      </c>
      <c r="S457" t="str">
        <f>IF(A457=1,MAX(S$2:S456)+1,IF(OR(I457&lt;&gt;"",A457="x"),S456,""))</f>
        <v/>
      </c>
      <c r="T457" t="str">
        <f>IF(D457=1,MAX($T$2:$T456)+1,IF(S457=$S456,$S456,IF($D457="x",T456,IF($D456="x","",""))))</f>
        <v/>
      </c>
      <c r="U457" t="str">
        <f>IF(B457=1,MAX($U$2:$U456)+1,IF(AND($T457&lt;&gt;"",$T457=$T456),$U456,IF(B457="x",U456,"")))</f>
        <v/>
      </c>
      <c r="V457" t="str">
        <f>IF(C457=1,MAX($V$2:$V456)+1,IF(AND($T457&lt;&gt;"",$T457=$T456),$U456,IF(C457="x",V456,"")))</f>
        <v/>
      </c>
      <c r="W457" t="str" cm="1">
        <f t="array" ref="W457">IFERROR(_xlfn._xlws.FILTER(game_rosters!AB:AB,(game_rosters!J:J=events!X457)*(K457&lt;&gt;"")),"")</f>
        <v/>
      </c>
      <c r="X457" t="str" cm="1">
        <f t="array" ref="X457">IF(S457="","",IF($I457&lt;&gt;"",$I457,INDEX($I$2:$I456,ROW()-COUNTIFS($T$2:$T456,"="&amp;$T457,$S$2:$S456,"&lt;&gt;"&amp;$S457)-1)))</f>
        <v/>
      </c>
      <c r="Z457" s="6"/>
      <c r="AH457" t="str">
        <f t="shared" si="141"/>
        <v>o</v>
      </c>
      <c r="AI457" t="str">
        <f t="shared" si="148"/>
        <v/>
      </c>
      <c r="AJ457" t="str">
        <f t="shared" si="149"/>
        <v/>
      </c>
      <c r="AK457" t="str">
        <f t="shared" si="142"/>
        <v/>
      </c>
      <c r="AL457" t="str">
        <f t="shared" si="143"/>
        <v/>
      </c>
      <c r="AM457" t="str">
        <f t="shared" si="144"/>
        <v/>
      </c>
      <c r="AN457" t="str">
        <f t="shared" si="150"/>
        <v/>
      </c>
      <c r="AO457" t="str">
        <f t="shared" si="151"/>
        <v/>
      </c>
      <c r="AP457" t="str">
        <f t="shared" si="152"/>
        <v/>
      </c>
      <c r="AQ457" t="str">
        <f t="shared" si="153"/>
        <v/>
      </c>
      <c r="AR457" t="str">
        <f t="shared" si="154"/>
        <v/>
      </c>
      <c r="AS457" t="str">
        <f t="shared" si="145"/>
        <v>Defensive</v>
      </c>
      <c r="BI457" s="40"/>
      <c r="BL457" s="40"/>
      <c r="BN457" s="19"/>
      <c r="BP457" s="17"/>
    </row>
    <row r="458" spans="1:68" x14ac:dyDescent="0.2">
      <c r="A458" t="str">
        <f t="shared" si="146"/>
        <v/>
      </c>
      <c r="E458" s="4"/>
      <c r="F458" s="45"/>
      <c r="G458" s="4"/>
      <c r="H458" s="48"/>
      <c r="J458" s="46" t="str">
        <f t="shared" si="147"/>
        <v/>
      </c>
      <c r="N458" t="str">
        <f t="shared" si="140"/>
        <v/>
      </c>
      <c r="Q458" t="str">
        <f t="shared" si="139"/>
        <v/>
      </c>
      <c r="S458" t="str">
        <f>IF(A458=1,MAX(S$2:S457)+1,IF(OR(I458&lt;&gt;"",A458="x"),S457,""))</f>
        <v/>
      </c>
      <c r="T458" t="str">
        <f>IF(D458=1,MAX($T$2:$T457)+1,IF(S458=$S457,$S457,IF($D458="x",T457,IF($D457="x","",""))))</f>
        <v/>
      </c>
      <c r="U458" t="str">
        <f>IF(B458=1,MAX($U$2:$U457)+1,IF(AND($T458&lt;&gt;"",$T458=$T457),$U457,IF(B458="x",U457,"")))</f>
        <v/>
      </c>
      <c r="V458" t="str">
        <f>IF(C458=1,MAX($V$2:$V457)+1,IF(AND($T458&lt;&gt;"",$T458=$T457),$U457,IF(C458="x",V457,"")))</f>
        <v/>
      </c>
      <c r="W458" t="str" cm="1">
        <f t="array" ref="W458">IFERROR(_xlfn._xlws.FILTER(game_rosters!AB:AB,(game_rosters!J:J=events!X458)*(K458&lt;&gt;"")),"")</f>
        <v/>
      </c>
      <c r="X458" t="str" cm="1">
        <f t="array" ref="X458">IF(S458="","",IF($I458&lt;&gt;"",$I458,INDEX($I$2:$I457,ROW()-COUNTIFS($T$2:$T457,"="&amp;$T458,$S$2:$S457,"&lt;&gt;"&amp;$S458)-1)))</f>
        <v/>
      </c>
      <c r="Z458" s="6"/>
      <c r="AI458" t="str">
        <f t="shared" si="148"/>
        <v/>
      </c>
      <c r="BI458" s="40"/>
      <c r="BL458" s="40"/>
      <c r="BN458" s="19"/>
      <c r="BP458" s="17"/>
    </row>
    <row r="459" spans="1:68" x14ac:dyDescent="0.2">
      <c r="A459" t="str">
        <f t="shared" si="146"/>
        <v/>
      </c>
      <c r="E459" s="4"/>
      <c r="F459" s="45"/>
      <c r="G459" s="4"/>
      <c r="H459" s="48"/>
      <c r="J459" s="46" t="str">
        <f t="shared" si="147"/>
        <v/>
      </c>
      <c r="N459" t="str">
        <f t="shared" si="140"/>
        <v/>
      </c>
      <c r="Q459" t="str">
        <f t="shared" si="139"/>
        <v/>
      </c>
      <c r="S459" t="str">
        <f>IF(A459=1,MAX(S$2:S458)+1,IF(OR(I459&lt;&gt;"",A459="x"),S458,""))</f>
        <v/>
      </c>
      <c r="T459" t="str">
        <f>IF(D459=1,MAX($T$2:$T458)+1,IF(S459=$S458,$S458,IF($D459="x",T458,IF($D458="x","",""))))</f>
        <v/>
      </c>
      <c r="U459" t="str">
        <f>IF(B459=1,MAX($U$2:$U458)+1,IF(AND($T459&lt;&gt;"",$T459=$T458),$U458,IF(B459="x",U458,"")))</f>
        <v/>
      </c>
      <c r="V459" t="str">
        <f>IF(C459=1,MAX($V$2:$V458)+1,IF(AND($T459&lt;&gt;"",$T459=$T458),$U458,IF(C459="x",V458,"")))</f>
        <v/>
      </c>
      <c r="W459" t="str" cm="1">
        <f t="array" ref="W459">IFERROR(_xlfn._xlws.FILTER(game_rosters!AB:AB,(game_rosters!J:J=events!X459)*(K459&lt;&gt;"")),"")</f>
        <v/>
      </c>
      <c r="X459" t="str" cm="1">
        <f t="array" ref="X459">IF(S459="","",IF($I459&lt;&gt;"",$I459,INDEX($I$2:$I458,ROW()-COUNTIFS($T$2:$T458,"="&amp;$T459,$S$2:$S458,"&lt;&gt;"&amp;$S459)-1)))</f>
        <v/>
      </c>
      <c r="Z459" s="6"/>
      <c r="AI459" t="str">
        <f t="shared" si="148"/>
        <v/>
      </c>
      <c r="BI459" s="40"/>
      <c r="BL459" s="40"/>
      <c r="BN459" s="19"/>
      <c r="BP459" s="17"/>
    </row>
    <row r="460" spans="1:68" x14ac:dyDescent="0.2">
      <c r="A460" t="str">
        <f t="shared" si="146"/>
        <v/>
      </c>
      <c r="E460" s="4"/>
      <c r="F460" s="45"/>
      <c r="G460" s="4"/>
      <c r="H460" s="48"/>
      <c r="J460" s="46" t="str">
        <f t="shared" si="147"/>
        <v/>
      </c>
      <c r="N460" t="str">
        <f t="shared" si="140"/>
        <v/>
      </c>
      <c r="Q460" t="str">
        <f t="shared" si="139"/>
        <v/>
      </c>
      <c r="S460" t="str">
        <f>IF(A460=1,MAX(S$2:S459)+1,IF(OR(I460&lt;&gt;"",A460="x"),S459,""))</f>
        <v/>
      </c>
      <c r="T460" t="str">
        <f>IF(D460=1,MAX($T$2:$T459)+1,IF(S460=$S459,$S459,IF($D460="x",T459,IF($D459="x","",""))))</f>
        <v/>
      </c>
      <c r="U460" t="str">
        <f>IF(B460=1,MAX($U$2:$U459)+1,IF(AND($T460&lt;&gt;"",$T460=$T459),$U459,IF(B460="x",U459,"")))</f>
        <v/>
      </c>
      <c r="V460" t="str">
        <f>IF(C460=1,MAX($V$2:$V459)+1,IF(AND($T460&lt;&gt;"",$T460=$T459),$U459,IF(C460="x",V459,"")))</f>
        <v/>
      </c>
      <c r="W460" t="str" cm="1">
        <f t="array" ref="W460">IFERROR(_xlfn._xlws.FILTER(game_rosters!AB:AB,(game_rosters!J:J=events!X460)*(K460&lt;&gt;"")),"")</f>
        <v/>
      </c>
      <c r="X460" t="str" cm="1">
        <f t="array" ref="X460">IF(S460="","",IF($I460&lt;&gt;"",$I460,INDEX($I$2:$I459,ROW()-COUNTIFS($T$2:$T459,"="&amp;$T460,$S$2:$S459,"&lt;&gt;"&amp;$S460)-1)))</f>
        <v/>
      </c>
      <c r="Z460" s="6"/>
      <c r="AI460" t="str">
        <f t="shared" si="148"/>
        <v/>
      </c>
      <c r="BI460" s="40"/>
      <c r="BL460" s="40"/>
      <c r="BN460" s="19"/>
      <c r="BP460" s="17"/>
    </row>
    <row r="461" spans="1:68" x14ac:dyDescent="0.2">
      <c r="A461" t="str">
        <f t="shared" si="146"/>
        <v/>
      </c>
      <c r="E461" s="4"/>
      <c r="F461" s="45"/>
      <c r="G461" s="4"/>
      <c r="H461" s="48"/>
      <c r="J461" s="46" t="str">
        <f t="shared" si="147"/>
        <v/>
      </c>
      <c r="N461" t="str">
        <f t="shared" si="140"/>
        <v/>
      </c>
      <c r="Q461" t="str">
        <f t="shared" si="139"/>
        <v/>
      </c>
      <c r="S461" t="str">
        <f>IF(A461=1,MAX(S$2:S460)+1,IF(OR(I461&lt;&gt;"",A461="x"),S460,""))</f>
        <v/>
      </c>
      <c r="T461" t="str">
        <f>IF(D461=1,MAX($T$2:$T460)+1,IF(S461=$S460,$S460,IF($D461="x",T460,IF($D460="x","",""))))</f>
        <v/>
      </c>
      <c r="U461" t="str">
        <f>IF(B461=1,MAX($U$2:$U460)+1,IF(AND($T461&lt;&gt;"",$T461=$T460),$U460,IF(B461="x",U460,"")))</f>
        <v/>
      </c>
      <c r="V461" t="str">
        <f>IF(C461=1,MAX($V$2:$V460)+1,IF(AND($T461&lt;&gt;"",$T461=$T460),$U460,IF(C461="x",V460,"")))</f>
        <v/>
      </c>
      <c r="W461" t="str" cm="1">
        <f t="array" ref="W461">IFERROR(_xlfn._xlws.FILTER(game_rosters!AB:AB,(game_rosters!J:J=events!X461)*(K461&lt;&gt;"")),"")</f>
        <v/>
      </c>
      <c r="X461" t="str" cm="1">
        <f t="array" ref="X461">IF(S461="","",IF($I461&lt;&gt;"",$I461,INDEX($I$2:$I460,ROW()-COUNTIFS($T$2:$T460,"="&amp;$T461,$S$2:$S460,"&lt;&gt;"&amp;$S461)-1)))</f>
        <v/>
      </c>
      <c r="Z461" s="6"/>
      <c r="AI461" t="str">
        <f t="shared" si="148"/>
        <v/>
      </c>
      <c r="BI461" s="40"/>
      <c r="BL461" s="40"/>
      <c r="BN461" s="19"/>
      <c r="BP461" s="17"/>
    </row>
    <row r="462" spans="1:68" x14ac:dyDescent="0.2">
      <c r="A462" t="str">
        <f t="shared" si="146"/>
        <v/>
      </c>
      <c r="E462" s="4"/>
      <c r="F462" s="45"/>
      <c r="G462" s="4"/>
      <c r="H462" s="48"/>
      <c r="J462" s="46" t="str">
        <f t="shared" si="147"/>
        <v/>
      </c>
      <c r="N462" t="str">
        <f t="shared" si="140"/>
        <v/>
      </c>
      <c r="Q462" t="str">
        <f t="shared" si="139"/>
        <v/>
      </c>
      <c r="S462" t="str">
        <f>IF(A462=1,MAX(S$2:S461)+1,IF(OR(I462&lt;&gt;"",A462="x"),S461,""))</f>
        <v/>
      </c>
      <c r="T462" t="str">
        <f>IF(D462=1,MAX($T$2:$T461)+1,IF(S462=$S461,$S461,IF($D462="x",T461,IF($D461="x","",""))))</f>
        <v/>
      </c>
      <c r="U462" t="str">
        <f>IF(B462=1,MAX($U$2:$U461)+1,IF(AND($T462&lt;&gt;"",$T462=$T461),$U461,IF(B462="x",U461,"")))</f>
        <v/>
      </c>
      <c r="V462" t="str">
        <f>IF(C462=1,MAX($V$2:$V461)+1,IF(AND($T462&lt;&gt;"",$T462=$T461),$U461,IF(C462="x",V461,"")))</f>
        <v/>
      </c>
      <c r="W462" t="str" cm="1">
        <f t="array" ref="W462">IFERROR(_xlfn._xlws.FILTER(game_rosters!AB:AB,(game_rosters!J:J=events!X462)*(K462&lt;&gt;"")),"")</f>
        <v/>
      </c>
      <c r="X462" t="str" cm="1">
        <f t="array" ref="X462">IF(S462="","",IF($I462&lt;&gt;"",$I462,INDEX($I$2:$I461,ROW()-COUNTIFS($T$2:$T461,"="&amp;$T462,$S$2:$S461,"&lt;&gt;"&amp;$S462)-1)))</f>
        <v/>
      </c>
      <c r="Z462" s="6"/>
      <c r="AI462" t="str">
        <f t="shared" si="148"/>
        <v/>
      </c>
      <c r="BI462" s="40"/>
      <c r="BL462" s="40"/>
      <c r="BN462" s="19"/>
      <c r="BP462" s="17"/>
    </row>
    <row r="463" spans="1:68" x14ac:dyDescent="0.2">
      <c r="A463" t="str">
        <f t="shared" si="146"/>
        <v/>
      </c>
      <c r="E463" s="4"/>
      <c r="F463" s="45"/>
      <c r="G463" s="4"/>
      <c r="H463" s="48"/>
      <c r="J463" s="46" t="str">
        <f t="shared" si="147"/>
        <v/>
      </c>
      <c r="N463" t="str">
        <f t="shared" si="140"/>
        <v/>
      </c>
      <c r="Q463" t="str">
        <f t="shared" si="139"/>
        <v/>
      </c>
      <c r="S463" t="str">
        <f>IF(A463=1,MAX(S$2:S462)+1,IF(OR(I463&lt;&gt;"",A463="x"),S462,""))</f>
        <v/>
      </c>
      <c r="T463" t="str">
        <f>IF(D463=1,MAX($T$2:$T462)+1,IF(S463=$S462,$S462,IF($D463="x",T462,IF($D462="x","",""))))</f>
        <v/>
      </c>
      <c r="U463" t="str">
        <f>IF(B463=1,MAX($U$2:$U462)+1,IF(AND($T463&lt;&gt;"",$T463=$T462),$U462,IF(B463="x",U462,"")))</f>
        <v/>
      </c>
      <c r="V463" t="str">
        <f>IF(C463=1,MAX($V$2:$V462)+1,IF(AND($T463&lt;&gt;"",$T463=$T462),$U462,IF(C463="x",V462,"")))</f>
        <v/>
      </c>
      <c r="W463" t="str" cm="1">
        <f t="array" ref="W463">IFERROR(_xlfn._xlws.FILTER(game_rosters!AB:AB,(game_rosters!J:J=events!X463)*(K463&lt;&gt;"")),"")</f>
        <v/>
      </c>
      <c r="X463" t="str" cm="1">
        <f t="array" ref="X463">IF(S463="","",IF($I463&lt;&gt;"",$I463,INDEX($I$2:$I462,ROW()-COUNTIFS($T$2:$T462,"="&amp;$T463,$S$2:$S462,"&lt;&gt;"&amp;$S463)-1)))</f>
        <v/>
      </c>
      <c r="Z463" s="6"/>
      <c r="AI463" t="str">
        <f t="shared" si="148"/>
        <v/>
      </c>
      <c r="BI463" s="40"/>
      <c r="BL463" s="40"/>
      <c r="BN463" s="19"/>
      <c r="BP463" s="17"/>
    </row>
    <row r="464" spans="1:68" x14ac:dyDescent="0.2">
      <c r="A464" t="str">
        <f t="shared" si="146"/>
        <v/>
      </c>
      <c r="E464" s="4"/>
      <c r="F464" s="45"/>
      <c r="G464" s="4"/>
      <c r="H464" s="48"/>
      <c r="J464" s="46" t="str">
        <f t="shared" si="147"/>
        <v/>
      </c>
      <c r="N464" t="str">
        <f t="shared" si="140"/>
        <v/>
      </c>
      <c r="Q464" t="str">
        <f t="shared" ref="Q464:Q527" si="155">IF(O464="","",IF(AND(N464&lt;&gt;"",OR(O464&lt;&gt;"",P464&lt;&gt;"")),N464,IF(OR(ISNUMBER(SEARCH("attemp",O464)),ISNUMBER(SEARCH("beat",O464)),ISNUMBER(SEARCH("mis",O464)),ISNUMBER(SEARCH("fail",O464)),ISNUMBER(SEARCH("loss",O464)),ISNUMBER(SEARCH("lost",O464)),ISNUMBER(SEARCH("attemp",P464)),ISNUMBER(SEARCH("mis",P464)),ISNUMBER(SEARCH("fail",P464)),ISNUMBER(SEARCH("loss",P464)),ISNUMBER(SEARCH("beat",P464)),ISNUMBER(SEARCH("lost",P464))),"u","")))</f>
        <v/>
      </c>
      <c r="S464" t="str">
        <f>IF(A464=1,MAX(S$2:S463)+1,IF(OR(I464&lt;&gt;"",A464="x"),S463,""))</f>
        <v/>
      </c>
      <c r="T464" t="str">
        <f>IF(D464=1,MAX($T$2:$T463)+1,IF(S464=$S463,$S463,IF($D464="x",T463,IF($D463="x","",""))))</f>
        <v/>
      </c>
      <c r="U464" t="str">
        <f>IF(B464=1,MAX($U$2:$U463)+1,IF(AND($T464&lt;&gt;"",$T464=$T463),$U463,IF(B464="x",U463,"")))</f>
        <v/>
      </c>
      <c r="V464" t="str">
        <f>IF(C464=1,MAX($V$2:$V463)+1,IF(AND($T464&lt;&gt;"",$T464=$T463),$U463,IF(C464="x",V463,"")))</f>
        <v/>
      </c>
      <c r="W464" t="str" cm="1">
        <f t="array" ref="W464">IFERROR(_xlfn._xlws.FILTER(game_rosters!AB:AB,(game_rosters!J:J=events!X464)*(K464&lt;&gt;"")),"")</f>
        <v/>
      </c>
      <c r="X464" t="str" cm="1">
        <f t="array" ref="X464">IF(S464="","",IF($I464&lt;&gt;"",$I464,INDEX($I$2:$I463,ROW()-COUNTIFS($T$2:$T463,"="&amp;$T464,$S$2:$S463,"&lt;&gt;"&amp;$S464)-1)))</f>
        <v/>
      </c>
      <c r="Z464" s="6"/>
      <c r="AI464" t="str">
        <f t="shared" si="148"/>
        <v/>
      </c>
      <c r="BI464" s="40"/>
      <c r="BL464" s="40"/>
      <c r="BN464" s="19"/>
      <c r="BP464" s="17"/>
    </row>
    <row r="465" spans="1:68" x14ac:dyDescent="0.2">
      <c r="A465" t="str">
        <f t="shared" si="146"/>
        <v/>
      </c>
      <c r="E465" s="4"/>
      <c r="F465" s="45"/>
      <c r="G465" s="4"/>
      <c r="H465" s="48"/>
      <c r="J465" s="46" t="str">
        <f t="shared" si="147"/>
        <v/>
      </c>
      <c r="N465" t="str">
        <f t="shared" si="140"/>
        <v/>
      </c>
      <c r="Q465" t="str">
        <f t="shared" si="155"/>
        <v/>
      </c>
      <c r="S465" t="str">
        <f>IF(A465=1,MAX(S$2:S464)+1,IF(OR(I465&lt;&gt;"",A465="x"),S464,""))</f>
        <v/>
      </c>
      <c r="T465" t="str">
        <f>IF(D465=1,MAX($T$2:$T464)+1,IF(S465=$S464,$S464,IF($D465="x",T464,IF($D464="x","",""))))</f>
        <v/>
      </c>
      <c r="U465" t="str">
        <f>IF(B465=1,MAX($U$2:$U464)+1,IF(AND($T465&lt;&gt;"",$T465=$T464),$U464,IF(B465="x",U464,"")))</f>
        <v/>
      </c>
      <c r="V465" t="str">
        <f>IF(C465=1,MAX($V$2:$V464)+1,IF(AND($T465&lt;&gt;"",$T465=$T464),$U464,IF(C465="x",V464,"")))</f>
        <v/>
      </c>
      <c r="W465" t="str" cm="1">
        <f t="array" ref="W465">IFERROR(_xlfn._xlws.FILTER(game_rosters!AB:AB,(game_rosters!J:J=events!X465)*(K465&lt;&gt;"")),"")</f>
        <v/>
      </c>
      <c r="X465" t="str" cm="1">
        <f t="array" ref="X465">IF(S465="","",IF($I465&lt;&gt;"",$I465,INDEX($I$2:$I464,ROW()-COUNTIFS($T$2:$T464,"="&amp;$T465,$S$2:$S464,"&lt;&gt;"&amp;$S465)-1)))</f>
        <v/>
      </c>
      <c r="Z465" s="6"/>
      <c r="AI465" t="str">
        <f t="shared" si="148"/>
        <v/>
      </c>
      <c r="BI465" s="40"/>
      <c r="BL465" s="40"/>
      <c r="BN465" s="19"/>
      <c r="BP465" s="17"/>
    </row>
    <row r="466" spans="1:68" x14ac:dyDescent="0.2">
      <c r="A466" t="str">
        <f t="shared" si="146"/>
        <v/>
      </c>
      <c r="E466" s="4"/>
      <c r="F466" s="45"/>
      <c r="G466" s="4"/>
      <c r="H466" s="48"/>
      <c r="J466" s="46" t="str">
        <f t="shared" si="147"/>
        <v/>
      </c>
      <c r="N466" t="str">
        <f t="shared" si="140"/>
        <v/>
      </c>
      <c r="Q466" t="str">
        <f t="shared" si="155"/>
        <v/>
      </c>
      <c r="S466" t="str">
        <f>IF(A466=1,MAX(S$2:S465)+1,IF(OR(I466&lt;&gt;"",A466="x"),S465,""))</f>
        <v/>
      </c>
      <c r="T466" t="str">
        <f>IF(D466=1,MAX($T$2:$T465)+1,IF(S466=$S465,$S465,IF($D466="x",T465,IF($D465="x","",""))))</f>
        <v/>
      </c>
      <c r="U466" t="str">
        <f>IF(B466=1,MAX($U$2:$U465)+1,IF(AND($T466&lt;&gt;"",$T466=$T465),$U465,IF(B466="x",U465,"")))</f>
        <v/>
      </c>
      <c r="V466" t="str">
        <f>IF(C466=1,MAX($V$2:$V465)+1,IF(AND($T466&lt;&gt;"",$T466=$T465),$U465,IF(C466="x",V465,"")))</f>
        <v/>
      </c>
      <c r="W466" t="str" cm="1">
        <f t="array" ref="W466">IFERROR(_xlfn._xlws.FILTER(game_rosters!AB:AB,(game_rosters!J:J=events!X466)*(K466&lt;&gt;"")),"")</f>
        <v/>
      </c>
      <c r="X466" t="str" cm="1">
        <f t="array" ref="X466">IF(S466="","",IF($I466&lt;&gt;"",$I466,INDEX($I$2:$I465,ROW()-COUNTIFS($T$2:$T465,"="&amp;$T466,$S$2:$S465,"&lt;&gt;"&amp;$S466)-1)))</f>
        <v/>
      </c>
      <c r="Z466" s="6"/>
      <c r="AI466" t="str">
        <f t="shared" si="148"/>
        <v/>
      </c>
      <c r="BI466" s="40"/>
      <c r="BL466" s="40"/>
      <c r="BN466" s="19"/>
      <c r="BP466" s="17"/>
    </row>
    <row r="467" spans="1:68" x14ac:dyDescent="0.2">
      <c r="A467" t="str">
        <f t="shared" si="146"/>
        <v/>
      </c>
      <c r="E467" s="4"/>
      <c r="F467" s="45"/>
      <c r="G467" s="4"/>
      <c r="H467" s="48"/>
      <c r="J467" s="46" t="str">
        <f t="shared" si="147"/>
        <v/>
      </c>
      <c r="N467" t="str">
        <f t="shared" si="140"/>
        <v/>
      </c>
      <c r="Q467" t="str">
        <f t="shared" si="155"/>
        <v/>
      </c>
      <c r="S467" t="str">
        <f>IF(A467=1,MAX(S$2:S466)+1,IF(OR(I467&lt;&gt;"",A467="x"),S466,""))</f>
        <v/>
      </c>
      <c r="T467" t="str">
        <f>IF(D467=1,MAX($T$2:$T466)+1,IF(S467=$S466,$S466,IF($D467="x",T466,IF($D466="x","",""))))</f>
        <v/>
      </c>
      <c r="U467" t="str">
        <f>IF(B467=1,MAX($U$2:$U466)+1,IF(AND($T467&lt;&gt;"",$T467=$T466),$U466,IF(B467="x",U466,"")))</f>
        <v/>
      </c>
      <c r="V467" t="str">
        <f>IF(C467=1,MAX($V$2:$V466)+1,IF(AND($T467&lt;&gt;"",$T467=$T466),$U466,IF(C467="x",V466,"")))</f>
        <v/>
      </c>
      <c r="W467" t="str" cm="1">
        <f t="array" ref="W467">IFERROR(_xlfn._xlws.FILTER(game_rosters!AB:AB,(game_rosters!J:J=events!X467)*(K467&lt;&gt;"")),"")</f>
        <v/>
      </c>
      <c r="X467" t="str" cm="1">
        <f t="array" ref="X467">IF(S467="","",IF($I467&lt;&gt;"",$I467,INDEX($I$2:$I466,ROW()-COUNTIFS($T$2:$T466,"="&amp;$T467,$S$2:$S466,"&lt;&gt;"&amp;$S467)-1)))</f>
        <v/>
      </c>
      <c r="Z467" s="6"/>
      <c r="AI467" t="str">
        <f t="shared" si="148"/>
        <v/>
      </c>
      <c r="BI467" s="40"/>
      <c r="BL467" s="40"/>
      <c r="BN467" s="19"/>
      <c r="BP467" s="17"/>
    </row>
    <row r="468" spans="1:68" x14ac:dyDescent="0.2">
      <c r="A468" t="str">
        <f t="shared" si="146"/>
        <v/>
      </c>
      <c r="E468" s="4"/>
      <c r="F468" s="45"/>
      <c r="G468" s="4"/>
      <c r="H468" s="48"/>
      <c r="J468" s="46" t="str">
        <f t="shared" si="147"/>
        <v/>
      </c>
      <c r="N468" t="str">
        <f t="shared" si="140"/>
        <v/>
      </c>
      <c r="Q468" t="str">
        <f t="shared" si="155"/>
        <v/>
      </c>
      <c r="S468" t="str">
        <f>IF(A468=1,MAX(S$2:S467)+1,IF(OR(I468&lt;&gt;"",A468="x"),S467,""))</f>
        <v/>
      </c>
      <c r="T468" t="str">
        <f>IF(D468=1,MAX($T$2:$T467)+1,IF(S468=$S467,$S467,IF($D468="x",T467,IF($D467="x","",""))))</f>
        <v/>
      </c>
      <c r="U468" t="str">
        <f>IF(B468=1,MAX($U$2:$U467)+1,IF(AND($T468&lt;&gt;"",$T468=$T467),$U467,IF(B468="x",U467,"")))</f>
        <v/>
      </c>
      <c r="V468" t="str">
        <f>IF(C468=1,MAX($V$2:$V467)+1,IF(AND($T468&lt;&gt;"",$T468=$T467),$U467,IF(C468="x",V467,"")))</f>
        <v/>
      </c>
      <c r="W468" t="str" cm="1">
        <f t="array" ref="W468">IFERROR(_xlfn._xlws.FILTER(game_rosters!AB:AB,(game_rosters!J:J=events!X468)*(K468&lt;&gt;"")),"")</f>
        <v/>
      </c>
      <c r="X468" t="str" cm="1">
        <f t="array" ref="X468">IF(S468="","",IF($I468&lt;&gt;"",$I468,INDEX($I$2:$I467,ROW()-COUNTIFS($T$2:$T467,"="&amp;$T468,$S$2:$S467,"&lt;&gt;"&amp;$S468)-1)))</f>
        <v/>
      </c>
      <c r="Z468" s="6"/>
      <c r="AI468" t="str">
        <f t="shared" si="148"/>
        <v/>
      </c>
      <c r="BI468" s="40"/>
      <c r="BL468" s="40"/>
      <c r="BN468" s="19"/>
      <c r="BP468" s="17"/>
    </row>
    <row r="469" spans="1:68" x14ac:dyDescent="0.2">
      <c r="A469" t="str">
        <f t="shared" si="146"/>
        <v/>
      </c>
      <c r="E469" s="4"/>
      <c r="F469" s="45"/>
      <c r="G469" s="4"/>
      <c r="H469" s="48"/>
      <c r="J469" s="46" t="str">
        <f t="shared" si="147"/>
        <v/>
      </c>
      <c r="N469" t="str">
        <f t="shared" ref="N469:N532" si="156">IF(K469="","",IF(K469="Goal","s",IF(AND(K469="Zone_Entry_Exit",OR(ISNUMBER(SEARCH("fail",L469)),ISNUMBER(SEARCH("FromExitClear",M469)),ISNUMBER(SEARCH("miss",M469)))),"u",IF(AND(K469="Zone_Entry_Exit",OR(NOT(ISNUMBER(SEARCH("fail",L469))),NOT(ISNUMBER(SEARCH("FromExitClear",M469))),NOT(ISNUMBER(SEARCH("miss",M469))))),"s",IF(AND(OR(K469="Shot",K469="Pass"),OR(ISNUMBER(SEARCH("complete",L469)),ISNUMBER(SEARCH("goal",L469)),ISNUMBER(SEARCH("OnNet",L469)))),"s",IF(L469="Turnover_Giveaway","u",IF(AND(OR(K469="Shot",K469="Pass"),OR(ISNUMBER(SEARCH("fail",L469)),NOT(ISNUMBER(SEARCH("complete",L469))),NOT(ISNUMBER(SEARCH("OnNet",L469))))),"u","")))))))</f>
        <v/>
      </c>
      <c r="Q469" t="str">
        <f t="shared" si="155"/>
        <v/>
      </c>
      <c r="S469" t="str">
        <f>IF(A469=1,MAX(S$2:S468)+1,IF(OR(I469&lt;&gt;"",A469="x"),S468,""))</f>
        <v/>
      </c>
      <c r="T469" t="str">
        <f>IF(D469=1,MAX($T$2:$T468)+1,IF(S469=$S468,$S468,IF($D469="x",T468,IF($D468="x","",""))))</f>
        <v/>
      </c>
      <c r="U469" t="str">
        <f>IF(B469=1,MAX($U$2:$U468)+1,IF(AND($T469&lt;&gt;"",$T469=$T468),$U468,IF(B469="x",U468,"")))</f>
        <v/>
      </c>
      <c r="V469" t="str">
        <f>IF(C469=1,MAX($V$2:$V468)+1,IF(AND($T469&lt;&gt;"",$T469=$T468),$U468,IF(C469="x",V468,"")))</f>
        <v/>
      </c>
      <c r="W469" t="str" cm="1">
        <f t="array" ref="W469">IFERROR(_xlfn._xlws.FILTER(game_rosters!AB:AB,(game_rosters!J:J=events!X469)*(K469&lt;&gt;"")),"")</f>
        <v/>
      </c>
      <c r="X469" t="str" cm="1">
        <f t="array" ref="X469">IF(S469="","",IF($I469&lt;&gt;"",$I469,INDEX($I$2:$I468,ROW()-COUNTIFS($T$2:$T468,"="&amp;$T469,$S$2:$S468,"&lt;&gt;"&amp;$S469)-1)))</f>
        <v/>
      </c>
      <c r="Z469" s="6"/>
      <c r="AI469" t="str">
        <f t="shared" si="148"/>
        <v/>
      </c>
      <c r="BI469" s="40"/>
      <c r="BL469" s="40"/>
      <c r="BN469" s="19"/>
      <c r="BP469" s="17"/>
    </row>
    <row r="470" spans="1:68" x14ac:dyDescent="0.2">
      <c r="A470" t="str">
        <f t="shared" si="146"/>
        <v/>
      </c>
      <c r="E470" s="4"/>
      <c r="F470" s="45"/>
      <c r="G470" s="4"/>
      <c r="H470" s="48"/>
      <c r="J470" s="46" t="str">
        <f t="shared" si="147"/>
        <v/>
      </c>
      <c r="N470" t="str">
        <f t="shared" si="156"/>
        <v/>
      </c>
      <c r="Q470" t="str">
        <f t="shared" si="155"/>
        <v/>
      </c>
      <c r="S470" t="str">
        <f>IF(A470=1,MAX(S$2:S469)+1,IF(OR(I470&lt;&gt;"",A470="x"),S469,""))</f>
        <v/>
      </c>
      <c r="T470" t="str">
        <f>IF(D470=1,MAX($T$2:$T469)+1,IF(S470=$S469,$S469,IF($D470="x",T469,IF($D469="x","",""))))</f>
        <v/>
      </c>
      <c r="U470" t="str">
        <f>IF(B470=1,MAX($U$2:$U469)+1,IF(AND($T470&lt;&gt;"",$T470=$T469),$U469,IF(B470="x",U469,"")))</f>
        <v/>
      </c>
      <c r="V470" t="str">
        <f>IF(C470=1,MAX($V$2:$V469)+1,IF(AND($T470&lt;&gt;"",$T470=$T469),$U469,IF(C470="x",V469,"")))</f>
        <v/>
      </c>
      <c r="W470" t="str" cm="1">
        <f t="array" ref="W470">IFERROR(_xlfn._xlws.FILTER(game_rosters!AB:AB,(game_rosters!J:J=events!X470)*(K470&lt;&gt;"")),"")</f>
        <v/>
      </c>
      <c r="X470" t="str" cm="1">
        <f t="array" ref="X470">IF(S470="","",IF($I470&lt;&gt;"",$I470,INDEX($I$2:$I469,ROW()-COUNTIFS($T$2:$T469,"="&amp;$T470,$S$2:$S469,"&lt;&gt;"&amp;$S470)-1)))</f>
        <v/>
      </c>
      <c r="Z470" s="6"/>
      <c r="AI470" t="str">
        <f t="shared" si="148"/>
        <v/>
      </c>
      <c r="BI470" s="40"/>
      <c r="BL470" s="40"/>
      <c r="BN470" s="19"/>
      <c r="BP470" s="17"/>
    </row>
    <row r="471" spans="1:68" x14ac:dyDescent="0.2">
      <c r="A471" t="str">
        <f t="shared" si="146"/>
        <v/>
      </c>
      <c r="E471" s="4"/>
      <c r="F471" s="45"/>
      <c r="G471" s="4"/>
      <c r="H471" s="48"/>
      <c r="J471" s="46" t="str">
        <f t="shared" si="147"/>
        <v/>
      </c>
      <c r="N471" t="str">
        <f t="shared" si="156"/>
        <v/>
      </c>
      <c r="Q471" t="str">
        <f t="shared" si="155"/>
        <v/>
      </c>
      <c r="S471" t="str">
        <f>IF(A471=1,MAX(S$2:S470)+1,IF(OR(I471&lt;&gt;"",A471="x"),S470,""))</f>
        <v/>
      </c>
      <c r="T471" t="str">
        <f>IF(D471=1,MAX($T$2:$T470)+1,IF(S471=$S470,$S470,IF($D471="x",T470,IF($D470="x","",""))))</f>
        <v/>
      </c>
      <c r="U471" t="str">
        <f>IF(B471=1,MAX($U$2:$U470)+1,IF(AND($T471&lt;&gt;"",$T471=$T470),$U470,IF(B471="x",U470,"")))</f>
        <v/>
      </c>
      <c r="V471" t="str">
        <f>IF(C471=1,MAX($V$2:$V470)+1,IF(AND($T471&lt;&gt;"",$T471=$T470),$U470,IF(C471="x",V470,"")))</f>
        <v/>
      </c>
      <c r="W471" t="str" cm="1">
        <f t="array" ref="W471">IFERROR(_xlfn._xlws.FILTER(game_rosters!AB:AB,(game_rosters!J:J=events!X471)*(K471&lt;&gt;"")),"")</f>
        <v/>
      </c>
      <c r="X471" t="str" cm="1">
        <f t="array" ref="X471">IF(S471="","",IF($I471&lt;&gt;"",$I471,INDEX($I$2:$I470,ROW()-COUNTIFS($T$2:$T470,"="&amp;$T471,$S$2:$S470,"&lt;&gt;"&amp;$S471)-1)))</f>
        <v/>
      </c>
      <c r="Z471" s="6"/>
      <c r="AI471" t="str">
        <f t="shared" si="148"/>
        <v/>
      </c>
      <c r="BI471" s="40"/>
      <c r="BL471" s="40"/>
      <c r="BN471" s="19"/>
      <c r="BP471" s="17"/>
    </row>
    <row r="472" spans="1:68" x14ac:dyDescent="0.2">
      <c r="A472" t="str">
        <f t="shared" si="146"/>
        <v/>
      </c>
      <c r="E472" s="4"/>
      <c r="F472" s="45"/>
      <c r="G472" s="4"/>
      <c r="H472" s="48"/>
      <c r="J472" s="46" t="str">
        <f t="shared" si="147"/>
        <v/>
      </c>
      <c r="N472" t="str">
        <f t="shared" si="156"/>
        <v/>
      </c>
      <c r="Q472" t="str">
        <f t="shared" si="155"/>
        <v/>
      </c>
      <c r="S472" t="str">
        <f>IF(A472=1,MAX(S$2:S471)+1,IF(OR(I472&lt;&gt;"",A472="x"),S471,""))</f>
        <v/>
      </c>
      <c r="T472" t="str">
        <f>IF(D472=1,MAX($T$2:$T471)+1,IF(S472=$S471,$S471,IF($D472="x",T471,IF($D471="x","",""))))</f>
        <v/>
      </c>
      <c r="U472" t="str">
        <f>IF(B472=1,MAX($U$2:$U471)+1,IF(AND($T472&lt;&gt;"",$T472=$T471),$U471,IF(B472="x",U471,"")))</f>
        <v/>
      </c>
      <c r="V472" t="str">
        <f>IF(C472=1,MAX($V$2:$V471)+1,IF(AND($T472&lt;&gt;"",$T472=$T471),$U471,IF(C472="x",V471,"")))</f>
        <v/>
      </c>
      <c r="W472" t="str" cm="1">
        <f t="array" ref="W472">IFERROR(_xlfn._xlws.FILTER(game_rosters!AB:AB,(game_rosters!J:J=events!X472)*(K472&lt;&gt;"")),"")</f>
        <v/>
      </c>
      <c r="X472" t="str" cm="1">
        <f t="array" ref="X472">IF(S472="","",IF($I472&lt;&gt;"",$I472,INDEX($I$2:$I471,ROW()-COUNTIFS($T$2:$T471,"="&amp;$T472,$S$2:$S471,"&lt;&gt;"&amp;$S472)-1)))</f>
        <v/>
      </c>
      <c r="Z472" s="6"/>
      <c r="AI472" t="str">
        <f t="shared" si="148"/>
        <v/>
      </c>
      <c r="BI472" s="40"/>
      <c r="BL472" s="40"/>
      <c r="BN472" s="19"/>
      <c r="BP472" s="17"/>
    </row>
    <row r="473" spans="1:68" x14ac:dyDescent="0.2">
      <c r="A473" t="str">
        <f t="shared" si="146"/>
        <v/>
      </c>
      <c r="E473" s="4"/>
      <c r="F473" s="45"/>
      <c r="G473" s="4"/>
      <c r="H473" s="48"/>
      <c r="J473" s="46" t="str">
        <f t="shared" si="147"/>
        <v/>
      </c>
      <c r="N473" t="str">
        <f t="shared" si="156"/>
        <v/>
      </c>
      <c r="Q473" t="str">
        <f t="shared" si="155"/>
        <v/>
      </c>
      <c r="S473" t="str">
        <f>IF(A473=1,MAX(S$2:S472)+1,IF(OR(I473&lt;&gt;"",A473="x"),S472,""))</f>
        <v/>
      </c>
      <c r="T473" t="str">
        <f>IF(D473=1,MAX($T$2:$T472)+1,IF(S473=$S472,$S472,IF($D473="x",T472,IF($D472="x","",""))))</f>
        <v/>
      </c>
      <c r="U473" t="str">
        <f>IF(B473=1,MAX($U$2:$U472)+1,IF(AND($T473&lt;&gt;"",$T473=$T472),$U472,IF(B473="x",U472,"")))</f>
        <v/>
      </c>
      <c r="V473" t="str">
        <f>IF(C473=1,MAX($V$2:$V472)+1,IF(AND($T473&lt;&gt;"",$T473=$T472),$U472,IF(C473="x",V472,"")))</f>
        <v/>
      </c>
      <c r="W473" t="str" cm="1">
        <f t="array" ref="W473">IFERROR(_xlfn._xlws.FILTER(game_rosters!AB:AB,(game_rosters!J:J=events!X473)*(K473&lt;&gt;"")),"")</f>
        <v/>
      </c>
      <c r="X473" t="str" cm="1">
        <f t="array" ref="X473">IF(S473="","",IF($I473&lt;&gt;"",$I473,INDEX($I$2:$I472,ROW()-COUNTIFS($T$2:$T472,"="&amp;$T473,$S$2:$S472,"&lt;&gt;"&amp;$S473)-1)))</f>
        <v/>
      </c>
      <c r="Z473" s="6"/>
      <c r="AI473" t="str">
        <f t="shared" si="148"/>
        <v/>
      </c>
      <c r="BI473" s="40"/>
      <c r="BL473" s="40"/>
      <c r="BN473" s="19"/>
      <c r="BP473" s="17"/>
    </row>
    <row r="474" spans="1:68" x14ac:dyDescent="0.2">
      <c r="A474" t="str">
        <f t="shared" si="146"/>
        <v/>
      </c>
      <c r="E474" s="4"/>
      <c r="F474" s="45"/>
      <c r="G474" s="4"/>
      <c r="H474" s="48"/>
      <c r="J474" s="46" t="str">
        <f t="shared" si="147"/>
        <v/>
      </c>
      <c r="N474" t="str">
        <f t="shared" si="156"/>
        <v/>
      </c>
      <c r="Q474" t="str">
        <f t="shared" si="155"/>
        <v/>
      </c>
      <c r="S474" t="str">
        <f>IF(A474=1,MAX(S$2:S473)+1,IF(OR(I474&lt;&gt;"",A474="x"),S473,""))</f>
        <v/>
      </c>
      <c r="T474" t="str">
        <f>IF(D474=1,MAX($T$2:$T473)+1,IF(S474=$S473,$S473,IF($D474="x",T473,IF($D473="x","",""))))</f>
        <v/>
      </c>
      <c r="U474" t="str">
        <f>IF(B474=1,MAX($U$2:$U473)+1,IF(AND($T474&lt;&gt;"",$T474=$T473),$U473,IF(B474="x",U473,"")))</f>
        <v/>
      </c>
      <c r="V474" t="str">
        <f>IF(C474=1,MAX($V$2:$V473)+1,IF(AND($T474&lt;&gt;"",$T474=$T473),$U473,IF(C474="x",V473,"")))</f>
        <v/>
      </c>
      <c r="W474" t="str" cm="1">
        <f t="array" ref="W474">IFERROR(_xlfn._xlws.FILTER(game_rosters!AB:AB,(game_rosters!J:J=events!X474)*(K474&lt;&gt;"")),"")</f>
        <v/>
      </c>
      <c r="X474" t="str" cm="1">
        <f t="array" ref="X474">IF(S474="","",IF($I474&lt;&gt;"",$I474,INDEX($I$2:$I473,ROW()-COUNTIFS($T$2:$T473,"="&amp;$T474,$S$2:$S473,"&lt;&gt;"&amp;$S474)-1)))</f>
        <v/>
      </c>
      <c r="Z474" s="6"/>
      <c r="AI474" t="str">
        <f t="shared" si="148"/>
        <v/>
      </c>
      <c r="BI474" s="40"/>
      <c r="BL474" s="40"/>
      <c r="BN474" s="19"/>
      <c r="BP474" s="17"/>
    </row>
    <row r="475" spans="1:68" x14ac:dyDescent="0.2">
      <c r="A475" t="str">
        <f t="shared" si="146"/>
        <v/>
      </c>
      <c r="E475" s="4"/>
      <c r="F475" s="45"/>
      <c r="G475" s="4"/>
      <c r="H475" s="48"/>
      <c r="J475" s="46" t="str">
        <f t="shared" si="147"/>
        <v/>
      </c>
      <c r="N475" t="str">
        <f t="shared" si="156"/>
        <v/>
      </c>
      <c r="Q475" t="str">
        <f t="shared" si="155"/>
        <v/>
      </c>
      <c r="S475" t="str">
        <f>IF(A475=1,MAX(S$2:S474)+1,IF(OR(I475&lt;&gt;"",A475="x"),S474,""))</f>
        <v/>
      </c>
      <c r="T475" t="str">
        <f>IF(D475=1,MAX($T$2:$T474)+1,IF(S475=$S474,$S474,IF($D475="x",T474,IF($D474="x","",""))))</f>
        <v/>
      </c>
      <c r="U475" t="str">
        <f>IF(B475=1,MAX($U$2:$U474)+1,IF(AND($T475&lt;&gt;"",$T475=$T474),$U474,IF(B475="x",U474,"")))</f>
        <v/>
      </c>
      <c r="V475" t="str">
        <f>IF(C475=1,MAX($V$2:$V474)+1,IF(AND($T475&lt;&gt;"",$T475=$T474),$U474,IF(C475="x",V474,"")))</f>
        <v/>
      </c>
      <c r="W475" t="str" cm="1">
        <f t="array" ref="W475">IFERROR(_xlfn._xlws.FILTER(game_rosters!AB:AB,(game_rosters!J:J=events!X475)*(K475&lt;&gt;"")),"")</f>
        <v/>
      </c>
      <c r="X475" t="str" cm="1">
        <f t="array" ref="X475">IF(S475="","",IF($I475&lt;&gt;"",$I475,INDEX($I$2:$I474,ROW()-COUNTIFS($T$2:$T474,"="&amp;$T475,$S$2:$S474,"&lt;&gt;"&amp;$S475)-1)))</f>
        <v/>
      </c>
      <c r="Z475" s="6"/>
      <c r="AI475" t="str">
        <f t="shared" si="148"/>
        <v/>
      </c>
      <c r="BI475" s="40"/>
      <c r="BL475" s="40"/>
      <c r="BN475" s="19"/>
      <c r="BP475" s="17"/>
    </row>
    <row r="476" spans="1:68" x14ac:dyDescent="0.2">
      <c r="A476" t="str">
        <f t="shared" si="146"/>
        <v/>
      </c>
      <c r="E476" s="4"/>
      <c r="F476" s="45"/>
      <c r="G476" s="4"/>
      <c r="H476" s="48"/>
      <c r="J476" s="46" t="str">
        <f t="shared" si="147"/>
        <v/>
      </c>
      <c r="N476" t="str">
        <f t="shared" si="156"/>
        <v/>
      </c>
      <c r="Q476" t="str">
        <f t="shared" si="155"/>
        <v/>
      </c>
      <c r="S476" t="str">
        <f>IF(A476=1,MAX(S$2:S475)+1,IF(OR(I476&lt;&gt;"",A476="x"),S475,""))</f>
        <v/>
      </c>
      <c r="T476" t="str">
        <f>IF(D476=1,MAX($T$2:$T475)+1,IF(S476=$S475,$S475,IF($D476="x",T475,IF($D475="x","",""))))</f>
        <v/>
      </c>
      <c r="U476" t="str">
        <f>IF(B476=1,MAX($U$2:$U475)+1,IF(AND($T476&lt;&gt;"",$T476=$T475),$U475,IF(B476="x",U475,"")))</f>
        <v/>
      </c>
      <c r="V476" t="str">
        <f>IF(C476=1,MAX($V$2:$V475)+1,IF(AND($T476&lt;&gt;"",$T476=$T475),$U475,IF(C476="x",V475,"")))</f>
        <v/>
      </c>
      <c r="W476" t="str" cm="1">
        <f t="array" ref="W476">IFERROR(_xlfn._xlws.FILTER(game_rosters!AB:AB,(game_rosters!J:J=events!X476)*(K476&lt;&gt;"")),"")</f>
        <v/>
      </c>
      <c r="X476" t="str" cm="1">
        <f t="array" ref="X476">IF(S476="","",IF($I476&lt;&gt;"",$I476,INDEX($I$2:$I475,ROW()-COUNTIFS($T$2:$T475,"="&amp;$T476,$S$2:$S475,"&lt;&gt;"&amp;$S476)-1)))</f>
        <v/>
      </c>
      <c r="Z476" s="6"/>
      <c r="AI476" t="str">
        <f t="shared" si="148"/>
        <v/>
      </c>
      <c r="BI476" s="40"/>
      <c r="BL476" s="40"/>
      <c r="BN476" s="19"/>
      <c r="BP476" s="17"/>
    </row>
    <row r="477" spans="1:68" x14ac:dyDescent="0.2">
      <c r="A477" t="str">
        <f t="shared" si="146"/>
        <v/>
      </c>
      <c r="E477" s="4"/>
      <c r="F477" s="45"/>
      <c r="G477" s="4"/>
      <c r="H477" s="48"/>
      <c r="J477" s="46" t="str">
        <f t="shared" si="147"/>
        <v/>
      </c>
      <c r="N477" t="str">
        <f t="shared" si="156"/>
        <v/>
      </c>
      <c r="Q477" t="str">
        <f t="shared" si="155"/>
        <v/>
      </c>
      <c r="S477" t="str">
        <f>IF(A477=1,MAX(S$2:S476)+1,IF(OR(I477&lt;&gt;"",A477="x"),S476,""))</f>
        <v/>
      </c>
      <c r="T477" t="str">
        <f>IF(D477=1,MAX($T$2:$T476)+1,IF(S477=$S476,$S476,IF($D477="x",T476,IF($D476="x","",""))))</f>
        <v/>
      </c>
      <c r="U477" t="str">
        <f>IF(B477=1,MAX($U$2:$U476)+1,IF(AND($T477&lt;&gt;"",$T477=$T476),$U476,IF(B477="x",U476,"")))</f>
        <v/>
      </c>
      <c r="V477" t="str">
        <f>IF(C477=1,MAX($V$2:$V476)+1,IF(AND($T477&lt;&gt;"",$T477=$T476),$U476,IF(C477="x",V476,"")))</f>
        <v/>
      </c>
      <c r="W477" t="str" cm="1">
        <f t="array" ref="W477">IFERROR(_xlfn._xlws.FILTER(game_rosters!AB:AB,(game_rosters!J:J=events!X477)*(K477&lt;&gt;"")),"")</f>
        <v/>
      </c>
      <c r="X477" t="str" cm="1">
        <f t="array" ref="X477">IF(S477="","",IF($I477&lt;&gt;"",$I477,INDEX($I$2:$I476,ROW()-COUNTIFS($T$2:$T476,"="&amp;$T477,$S$2:$S476,"&lt;&gt;"&amp;$S477)-1)))</f>
        <v/>
      </c>
      <c r="Z477" s="6"/>
      <c r="AI477" t="str">
        <f t="shared" si="148"/>
        <v/>
      </c>
      <c r="BI477" s="40"/>
      <c r="BL477" s="40"/>
      <c r="BN477" s="19"/>
      <c r="BP477" s="17"/>
    </row>
    <row r="478" spans="1:68" x14ac:dyDescent="0.2">
      <c r="A478" t="str">
        <f t="shared" si="146"/>
        <v/>
      </c>
      <c r="E478" s="4"/>
      <c r="F478" s="45"/>
      <c r="G478" s="4"/>
      <c r="H478" s="48"/>
      <c r="J478" s="46" t="str">
        <f t="shared" si="147"/>
        <v/>
      </c>
      <c r="N478" t="str">
        <f t="shared" si="156"/>
        <v/>
      </c>
      <c r="Q478" t="str">
        <f t="shared" si="155"/>
        <v/>
      </c>
      <c r="S478" t="str">
        <f>IF(A478=1,MAX(S$2:S477)+1,IF(OR(I478&lt;&gt;"",A478="x"),S477,""))</f>
        <v/>
      </c>
      <c r="T478" t="str">
        <f>IF(D478=1,MAX($T$2:$T477)+1,IF(S478=$S477,$S477,IF($D478="x",T477,IF($D477="x","",""))))</f>
        <v/>
      </c>
      <c r="U478" t="str">
        <f>IF(B478=1,MAX($U$2:$U477)+1,IF(AND($T478&lt;&gt;"",$T478=$T477),$U477,IF(B478="x",U477,"")))</f>
        <v/>
      </c>
      <c r="V478" t="str">
        <f>IF(C478=1,MAX($V$2:$V477)+1,IF(AND($T478&lt;&gt;"",$T478=$T477),$U477,IF(C478="x",V477,"")))</f>
        <v/>
      </c>
      <c r="W478" t="str" cm="1">
        <f t="array" ref="W478">IFERROR(_xlfn._xlws.FILTER(game_rosters!AB:AB,(game_rosters!J:J=events!X478)*(K478&lt;&gt;"")),"")</f>
        <v/>
      </c>
      <c r="X478" t="str" cm="1">
        <f t="array" ref="X478">IF(S478="","",IF($I478&lt;&gt;"",$I478,INDEX($I$2:$I477,ROW()-COUNTIFS($T$2:$T477,"="&amp;$T478,$S$2:$S477,"&lt;&gt;"&amp;$S478)-1)))</f>
        <v/>
      </c>
      <c r="Z478" s="6"/>
      <c r="AI478" t="str">
        <f t="shared" si="148"/>
        <v/>
      </c>
      <c r="BI478" s="40"/>
      <c r="BL478" s="40"/>
      <c r="BN478" s="19"/>
      <c r="BP478" s="17"/>
    </row>
    <row r="479" spans="1:68" x14ac:dyDescent="0.2">
      <c r="A479" t="str">
        <f t="shared" si="146"/>
        <v/>
      </c>
      <c r="E479" s="4"/>
      <c r="F479" s="45"/>
      <c r="G479" s="4"/>
      <c r="H479" s="48"/>
      <c r="J479" s="46" t="str">
        <f t="shared" si="147"/>
        <v/>
      </c>
      <c r="N479" t="str">
        <f t="shared" si="156"/>
        <v/>
      </c>
      <c r="Q479" t="str">
        <f t="shared" si="155"/>
        <v/>
      </c>
      <c r="S479" t="str">
        <f>IF(A479=1,MAX(S$2:S478)+1,IF(OR(I479&lt;&gt;"",A479="x"),S478,""))</f>
        <v/>
      </c>
      <c r="T479" t="str">
        <f>IF(D479=1,MAX($T$2:$T478)+1,IF(S479=$S478,$S478,IF($D479="x",T478,IF($D478="x","",""))))</f>
        <v/>
      </c>
      <c r="U479" t="str">
        <f>IF(B479=1,MAX($U$2:$U478)+1,IF(AND($T479&lt;&gt;"",$T479=$T478),$U478,IF(B479="x",U478,"")))</f>
        <v/>
      </c>
      <c r="V479" t="str">
        <f>IF(C479=1,MAX($V$2:$V478)+1,IF(AND($T479&lt;&gt;"",$T479=$T478),$U478,IF(C479="x",V478,"")))</f>
        <v/>
      </c>
      <c r="W479" t="str" cm="1">
        <f t="array" ref="W479">IFERROR(_xlfn._xlws.FILTER(game_rosters!AB:AB,(game_rosters!J:J=events!X479)*(K479&lt;&gt;"")),"")</f>
        <v/>
      </c>
      <c r="X479" t="str" cm="1">
        <f t="array" ref="X479">IF(S479="","",IF($I479&lt;&gt;"",$I479,INDEX($I$2:$I478,ROW()-COUNTIFS($T$2:$T478,"="&amp;$T479,$S$2:$S478,"&lt;&gt;"&amp;$S479)-1)))</f>
        <v/>
      </c>
      <c r="Z479" s="6"/>
      <c r="AI479" t="str">
        <f t="shared" si="148"/>
        <v/>
      </c>
      <c r="BI479" s="40"/>
      <c r="BL479" s="40"/>
      <c r="BN479" s="19"/>
      <c r="BP479" s="17"/>
    </row>
    <row r="480" spans="1:68" x14ac:dyDescent="0.2">
      <c r="A480" t="str">
        <f t="shared" si="146"/>
        <v/>
      </c>
      <c r="E480" s="4"/>
      <c r="F480" s="45"/>
      <c r="G480" s="4"/>
      <c r="H480" s="48"/>
      <c r="J480" s="46" t="str">
        <f t="shared" si="147"/>
        <v/>
      </c>
      <c r="N480" t="str">
        <f t="shared" si="156"/>
        <v/>
      </c>
      <c r="Q480" t="str">
        <f t="shared" si="155"/>
        <v/>
      </c>
      <c r="S480" t="str">
        <f>IF(A480=1,MAX(S$2:S479)+1,IF(OR(I480&lt;&gt;"",A480="x"),S479,""))</f>
        <v/>
      </c>
      <c r="T480" t="str">
        <f>IF(D480=1,MAX($T$2:$T479)+1,IF(S480=$S479,$S479,IF($D480="x",T479,IF($D479="x","",""))))</f>
        <v/>
      </c>
      <c r="U480" t="str">
        <f>IF(B480=1,MAX($U$2:$U479)+1,IF(AND($T480&lt;&gt;"",$T480=$T479),$U479,IF(B480="x",U479,"")))</f>
        <v/>
      </c>
      <c r="V480" t="str">
        <f>IF(C480=1,MAX($V$2:$V479)+1,IF(AND($T480&lt;&gt;"",$T480=$T479),$U479,IF(C480="x",V479,"")))</f>
        <v/>
      </c>
      <c r="W480" t="str" cm="1">
        <f t="array" ref="W480">IFERROR(_xlfn._xlws.FILTER(game_rosters!AB:AB,(game_rosters!J:J=events!X480)*(K480&lt;&gt;"")),"")</f>
        <v/>
      </c>
      <c r="X480" t="str" cm="1">
        <f t="array" ref="X480">IF(S480="","",IF($I480&lt;&gt;"",$I480,INDEX($I$2:$I479,ROW()-COUNTIFS($T$2:$T479,"="&amp;$T480,$S$2:$S479,"&lt;&gt;"&amp;$S480)-1)))</f>
        <v/>
      </c>
      <c r="Z480" s="6"/>
      <c r="AI480" t="str">
        <f t="shared" si="148"/>
        <v/>
      </c>
      <c r="BI480" s="40"/>
      <c r="BL480" s="40"/>
      <c r="BN480" s="19"/>
      <c r="BP480" s="17"/>
    </row>
    <row r="481" spans="1:68" x14ac:dyDescent="0.2">
      <c r="A481" t="str">
        <f t="shared" si="146"/>
        <v/>
      </c>
      <c r="E481" s="4"/>
      <c r="F481" s="45"/>
      <c r="G481" s="4"/>
      <c r="H481" s="48"/>
      <c r="J481" s="46" t="str">
        <f t="shared" si="147"/>
        <v/>
      </c>
      <c r="N481" t="str">
        <f t="shared" si="156"/>
        <v/>
      </c>
      <c r="Q481" t="str">
        <f t="shared" si="155"/>
        <v/>
      </c>
      <c r="S481" t="str">
        <f>IF(A481=1,MAX(S$2:S480)+1,IF(OR(I481&lt;&gt;"",A481="x"),S480,""))</f>
        <v/>
      </c>
      <c r="T481" t="str">
        <f>IF(D481=1,MAX($T$2:$T480)+1,IF(S481=$S480,$S480,IF($D481="x",T480,IF($D480="x","",""))))</f>
        <v/>
      </c>
      <c r="U481" t="str">
        <f>IF(B481=1,MAX($U$2:$U480)+1,IF(AND($T481&lt;&gt;"",$T481=$T480),$U480,IF(B481="x",U480,"")))</f>
        <v/>
      </c>
      <c r="V481" t="str">
        <f>IF(C481=1,MAX($V$2:$V480)+1,IF(AND($T481&lt;&gt;"",$T481=$T480),$U480,IF(C481="x",V480,"")))</f>
        <v/>
      </c>
      <c r="W481" t="str" cm="1">
        <f t="array" ref="W481">IFERROR(_xlfn._xlws.FILTER(game_rosters!AB:AB,(game_rosters!J:J=events!X481)*(K481&lt;&gt;"")),"")</f>
        <v/>
      </c>
      <c r="X481" t="str" cm="1">
        <f t="array" ref="X481">IF(S481="","",IF($I481&lt;&gt;"",$I481,INDEX($I$2:$I480,ROW()-COUNTIFS($T$2:$T480,"="&amp;$T481,$S$2:$S480,"&lt;&gt;"&amp;$S481)-1)))</f>
        <v/>
      </c>
      <c r="Z481" s="6"/>
      <c r="AI481" t="str">
        <f t="shared" si="148"/>
        <v/>
      </c>
      <c r="BI481" s="40"/>
      <c r="BL481" s="40"/>
      <c r="BN481" s="19"/>
      <c r="BP481" s="17"/>
    </row>
    <row r="482" spans="1:68" x14ac:dyDescent="0.2">
      <c r="A482" t="str">
        <f t="shared" si="146"/>
        <v/>
      </c>
      <c r="E482" s="4"/>
      <c r="F482" s="45"/>
      <c r="G482" s="4"/>
      <c r="H482" s="48"/>
      <c r="J482" s="46" t="str">
        <f t="shared" si="147"/>
        <v/>
      </c>
      <c r="N482" t="str">
        <f t="shared" si="156"/>
        <v/>
      </c>
      <c r="Q482" t="str">
        <f t="shared" si="155"/>
        <v/>
      </c>
      <c r="S482" t="str">
        <f>IF(A482=1,MAX(S$2:S481)+1,IF(OR(I482&lt;&gt;"",A482="x"),S481,""))</f>
        <v/>
      </c>
      <c r="T482" t="str">
        <f>IF(D482=1,MAX($T$2:$T481)+1,IF(S482=$S481,$S481,IF($D482="x",T481,IF($D481="x","",""))))</f>
        <v/>
      </c>
      <c r="U482" t="str">
        <f>IF(B482=1,MAX($U$2:$U481)+1,IF(AND($T482&lt;&gt;"",$T482=$T481),$U481,IF(B482="x",U481,"")))</f>
        <v/>
      </c>
      <c r="V482" t="str">
        <f>IF(C482=1,MAX($V$2:$V481)+1,IF(AND($T482&lt;&gt;"",$T482=$T481),$U481,IF(C482="x",V481,"")))</f>
        <v/>
      </c>
      <c r="W482" t="str" cm="1">
        <f t="array" ref="W482">IFERROR(_xlfn._xlws.FILTER(game_rosters!AB:AB,(game_rosters!J:J=events!X482)*(K482&lt;&gt;"")),"")</f>
        <v/>
      </c>
      <c r="X482" t="str" cm="1">
        <f t="array" ref="X482">IF(S482="","",IF($I482&lt;&gt;"",$I482,INDEX($I$2:$I481,ROW()-COUNTIFS($T$2:$T481,"="&amp;$T482,$S$2:$S481,"&lt;&gt;"&amp;$S482)-1)))</f>
        <v/>
      </c>
      <c r="Z482" s="6"/>
      <c r="AI482" t="str">
        <f t="shared" si="148"/>
        <v/>
      </c>
      <c r="BI482" s="40"/>
      <c r="BL482" s="40"/>
      <c r="BN482" s="19"/>
      <c r="BP482" s="17"/>
    </row>
    <row r="483" spans="1:68" x14ac:dyDescent="0.2">
      <c r="A483" t="str">
        <f t="shared" si="146"/>
        <v/>
      </c>
      <c r="E483" s="4"/>
      <c r="F483" s="45"/>
      <c r="G483" s="4"/>
      <c r="H483" s="48"/>
      <c r="J483" s="46" t="str">
        <f t="shared" si="147"/>
        <v/>
      </c>
      <c r="N483" t="str">
        <f t="shared" si="156"/>
        <v/>
      </c>
      <c r="Q483" t="str">
        <f t="shared" si="155"/>
        <v/>
      </c>
      <c r="S483" t="str">
        <f>IF(A483=1,MAX(S$2:S482)+1,IF(OR(I483&lt;&gt;"",A483="x"),S482,""))</f>
        <v/>
      </c>
      <c r="T483" t="str">
        <f>IF(D483=1,MAX($T$2:$T482)+1,IF(S483=$S482,$S482,IF($D483="x",T482,IF($D482="x","",""))))</f>
        <v/>
      </c>
      <c r="U483" t="str">
        <f>IF(B483=1,MAX($U$2:$U482)+1,IF(AND($T483&lt;&gt;"",$T483=$T482),$U482,IF(B483="x",U482,"")))</f>
        <v/>
      </c>
      <c r="V483" t="str">
        <f>IF(C483=1,MAX($V$2:$V482)+1,IF(AND($T483&lt;&gt;"",$T483=$T482),$U482,IF(C483="x",V482,"")))</f>
        <v/>
      </c>
      <c r="W483" t="str" cm="1">
        <f t="array" ref="W483">IFERROR(_xlfn._xlws.FILTER(game_rosters!AB:AB,(game_rosters!J:J=events!X483)*(K483&lt;&gt;"")),"")</f>
        <v/>
      </c>
      <c r="X483" t="str" cm="1">
        <f t="array" ref="X483">IF(S483="","",IF($I483&lt;&gt;"",$I483,INDEX($I$2:$I482,ROW()-COUNTIFS($T$2:$T482,"="&amp;$T483,$S$2:$S482,"&lt;&gt;"&amp;$S483)-1)))</f>
        <v/>
      </c>
      <c r="Z483" s="6"/>
      <c r="AI483" t="str">
        <f t="shared" si="148"/>
        <v/>
      </c>
      <c r="BI483" s="40"/>
      <c r="BL483" s="40"/>
      <c r="BN483" s="19"/>
      <c r="BP483" s="17"/>
    </row>
    <row r="484" spans="1:68" x14ac:dyDescent="0.2">
      <c r="A484" t="str">
        <f t="shared" si="146"/>
        <v/>
      </c>
      <c r="E484" s="4"/>
      <c r="F484" s="45"/>
      <c r="G484" s="4"/>
      <c r="H484" s="48"/>
      <c r="J484" s="46" t="str">
        <f t="shared" si="147"/>
        <v/>
      </c>
      <c r="N484" t="str">
        <f t="shared" si="156"/>
        <v/>
      </c>
      <c r="Q484" t="str">
        <f t="shared" si="155"/>
        <v/>
      </c>
      <c r="S484" t="str">
        <f>IF(A484=1,MAX(S$2:S483)+1,IF(OR(I484&lt;&gt;"",A484="x"),S483,""))</f>
        <v/>
      </c>
      <c r="T484" t="str">
        <f>IF(D484=1,MAX($T$2:$T483)+1,IF(S484=$S483,$S483,IF($D484="x",T483,IF($D483="x","",""))))</f>
        <v/>
      </c>
      <c r="U484" t="str">
        <f>IF(B484=1,MAX($U$2:$U483)+1,IF(AND($T484&lt;&gt;"",$T484=$T483),$U483,IF(B484="x",U483,"")))</f>
        <v/>
      </c>
      <c r="V484" t="str">
        <f>IF(C484=1,MAX($V$2:$V483)+1,IF(AND($T484&lt;&gt;"",$T484=$T483),$U483,IF(C484="x",V483,"")))</f>
        <v/>
      </c>
      <c r="W484" t="str" cm="1">
        <f t="array" ref="W484">IFERROR(_xlfn._xlws.FILTER(game_rosters!AB:AB,(game_rosters!J:J=events!X484)*(K484&lt;&gt;"")),"")</f>
        <v/>
      </c>
      <c r="X484" t="str" cm="1">
        <f t="array" ref="X484">IF(S484="","",IF($I484&lt;&gt;"",$I484,INDEX($I$2:$I483,ROW()-COUNTIFS($T$2:$T483,"="&amp;$T484,$S$2:$S483,"&lt;&gt;"&amp;$S484)-1)))</f>
        <v/>
      </c>
      <c r="Z484" s="6"/>
      <c r="AI484" t="str">
        <f t="shared" si="148"/>
        <v/>
      </c>
      <c r="BI484" s="40"/>
      <c r="BL484" s="40"/>
      <c r="BN484" s="19"/>
      <c r="BP484" s="17"/>
    </row>
    <row r="485" spans="1:68" x14ac:dyDescent="0.2">
      <c r="A485" t="str">
        <f t="shared" si="146"/>
        <v/>
      </c>
      <c r="E485" s="4"/>
      <c r="F485" s="45"/>
      <c r="G485" s="4"/>
      <c r="H485" s="48"/>
      <c r="J485" s="46" t="str">
        <f t="shared" si="147"/>
        <v/>
      </c>
      <c r="N485" t="str">
        <f t="shared" si="156"/>
        <v/>
      </c>
      <c r="Q485" t="str">
        <f t="shared" si="155"/>
        <v/>
      </c>
      <c r="S485" t="str">
        <f>IF(A485=1,MAX(S$2:S484)+1,IF(OR(I485&lt;&gt;"",A485="x"),S484,""))</f>
        <v/>
      </c>
      <c r="T485" t="str">
        <f>IF(D485=1,MAX($T$2:$T484)+1,IF(S485=$S484,$S484,IF($D485="x",T484,IF($D484="x","",""))))</f>
        <v/>
      </c>
      <c r="U485" t="str">
        <f>IF(B485=1,MAX($U$2:$U484)+1,IF(AND($T485&lt;&gt;"",$T485=$T484),$U484,IF(B485="x",U484,"")))</f>
        <v/>
      </c>
      <c r="V485" t="str">
        <f>IF(C485=1,MAX($V$2:$V484)+1,IF(AND($T485&lt;&gt;"",$T485=$T484),$U484,IF(C485="x",V484,"")))</f>
        <v/>
      </c>
      <c r="W485" t="str" cm="1">
        <f t="array" ref="W485">IFERROR(_xlfn._xlws.FILTER(game_rosters!AB:AB,(game_rosters!J:J=events!X485)*(K485&lt;&gt;"")),"")</f>
        <v/>
      </c>
      <c r="X485" t="str" cm="1">
        <f t="array" ref="X485">IF(S485="","",IF($I485&lt;&gt;"",$I485,INDEX($I$2:$I484,ROW()-COUNTIFS($T$2:$T484,"="&amp;$T485,$S$2:$S484,"&lt;&gt;"&amp;$S485)-1)))</f>
        <v/>
      </c>
      <c r="Z485" s="6"/>
      <c r="AI485" t="str">
        <f t="shared" si="148"/>
        <v/>
      </c>
      <c r="BI485" s="40"/>
      <c r="BL485" s="40"/>
      <c r="BN485" s="19"/>
      <c r="BP485" s="17"/>
    </row>
    <row r="486" spans="1:68" x14ac:dyDescent="0.2">
      <c r="A486" t="str">
        <f t="shared" si="146"/>
        <v/>
      </c>
      <c r="E486" s="4"/>
      <c r="F486" s="45"/>
      <c r="G486" s="4"/>
      <c r="H486" s="48"/>
      <c r="J486" s="46" t="str">
        <f t="shared" si="147"/>
        <v/>
      </c>
      <c r="N486" t="str">
        <f t="shared" si="156"/>
        <v/>
      </c>
      <c r="Q486" t="str">
        <f t="shared" si="155"/>
        <v/>
      </c>
      <c r="S486" t="str">
        <f>IF(A486=1,MAX(S$2:S485)+1,IF(OR(I486&lt;&gt;"",A486="x"),S485,""))</f>
        <v/>
      </c>
      <c r="T486" t="str">
        <f>IF(D486=1,MAX($T$2:$T485)+1,IF(S486=$S485,$S485,IF($D486="x",T485,IF($D485="x","",""))))</f>
        <v/>
      </c>
      <c r="U486" t="str">
        <f>IF(B486=1,MAX($U$2:$U485)+1,IF(AND($T486&lt;&gt;"",$T486=$T485),$U485,IF(B486="x",U485,"")))</f>
        <v/>
      </c>
      <c r="V486" t="str">
        <f>IF(C486=1,MAX($V$2:$V485)+1,IF(AND($T486&lt;&gt;"",$T486=$T485),$U485,IF(C486="x",V485,"")))</f>
        <v/>
      </c>
      <c r="W486" t="str" cm="1">
        <f t="array" ref="W486">IFERROR(_xlfn._xlws.FILTER(game_rosters!AB:AB,(game_rosters!J:J=events!X486)*(K486&lt;&gt;"")),"")</f>
        <v/>
      </c>
      <c r="X486" t="str" cm="1">
        <f t="array" ref="X486">IF(S486="","",IF($I486&lt;&gt;"",$I486,INDEX($I$2:$I485,ROW()-COUNTIFS($T$2:$T485,"="&amp;$T486,$S$2:$S485,"&lt;&gt;"&amp;$S486)-1)))</f>
        <v/>
      </c>
      <c r="Z486" s="6"/>
      <c r="AI486" t="str">
        <f t="shared" si="148"/>
        <v/>
      </c>
      <c r="BI486" s="40"/>
      <c r="BL486" s="40"/>
      <c r="BN486" s="19"/>
      <c r="BP486" s="17"/>
    </row>
    <row r="487" spans="1:68" x14ac:dyDescent="0.2">
      <c r="A487" t="str">
        <f t="shared" si="146"/>
        <v/>
      </c>
      <c r="E487" s="4"/>
      <c r="F487" s="45"/>
      <c r="G487" s="4"/>
      <c r="H487" s="48"/>
      <c r="J487" s="46" t="str">
        <f t="shared" si="147"/>
        <v/>
      </c>
      <c r="N487" t="str">
        <f t="shared" si="156"/>
        <v/>
      </c>
      <c r="Q487" t="str">
        <f t="shared" si="155"/>
        <v/>
      </c>
      <c r="S487" t="str">
        <f>IF(A487=1,MAX(S$2:S486)+1,IF(OR(I487&lt;&gt;"",A487="x"),S486,""))</f>
        <v/>
      </c>
      <c r="T487" t="str">
        <f>IF(D487=1,MAX($T$2:$T486)+1,IF(S487=$S486,$S486,IF($D487="x",T486,IF($D486="x","",""))))</f>
        <v/>
      </c>
      <c r="U487" t="str">
        <f>IF(B487=1,MAX($U$2:$U486)+1,IF(AND($T487&lt;&gt;"",$T487=$T486),$U486,IF(B487="x",U486,"")))</f>
        <v/>
      </c>
      <c r="V487" t="str">
        <f>IF(C487=1,MAX($V$2:$V486)+1,IF(AND($T487&lt;&gt;"",$T487=$T486),$U486,IF(C487="x",V486,"")))</f>
        <v/>
      </c>
      <c r="W487" t="str" cm="1">
        <f t="array" ref="W487">IFERROR(_xlfn._xlws.FILTER(game_rosters!AB:AB,(game_rosters!J:J=events!X487)*(K487&lt;&gt;"")),"")</f>
        <v/>
      </c>
      <c r="X487" t="str" cm="1">
        <f t="array" ref="X487">IF(S487="","",IF($I487&lt;&gt;"",$I487,INDEX($I$2:$I486,ROW()-COUNTIFS($T$2:$T486,"="&amp;$T487,$S$2:$S486,"&lt;&gt;"&amp;$S487)-1)))</f>
        <v/>
      </c>
      <c r="Z487" s="6"/>
      <c r="AI487" t="str">
        <f t="shared" si="148"/>
        <v/>
      </c>
      <c r="BI487" s="40"/>
      <c r="BL487" s="40"/>
      <c r="BN487" s="19"/>
      <c r="BP487" s="17"/>
    </row>
    <row r="488" spans="1:68" x14ac:dyDescent="0.2">
      <c r="A488" t="str">
        <f t="shared" si="146"/>
        <v/>
      </c>
      <c r="E488" s="4"/>
      <c r="F488" s="45"/>
      <c r="G488" s="4"/>
      <c r="H488" s="48"/>
      <c r="J488" s="46" t="str">
        <f t="shared" si="147"/>
        <v/>
      </c>
      <c r="N488" t="str">
        <f t="shared" si="156"/>
        <v/>
      </c>
      <c r="Q488" t="str">
        <f t="shared" si="155"/>
        <v/>
      </c>
      <c r="S488" t="str">
        <f>IF(A488=1,MAX(S$2:S487)+1,IF(OR(I488&lt;&gt;"",A488="x"),S487,""))</f>
        <v/>
      </c>
      <c r="T488" t="str">
        <f>IF(D488=1,MAX($T$2:$T487)+1,IF(S488=$S487,$S487,IF($D488="x",T487,IF($D487="x","",""))))</f>
        <v/>
      </c>
      <c r="U488" t="str">
        <f>IF(B488=1,MAX($U$2:$U487)+1,IF(AND($T488&lt;&gt;"",$T488=$T487),$U487,IF(B488="x",U487,"")))</f>
        <v/>
      </c>
      <c r="V488" t="str">
        <f>IF(C488=1,MAX($V$2:$V487)+1,IF(AND($T488&lt;&gt;"",$T488=$T487),$U487,IF(C488="x",V487,"")))</f>
        <v/>
      </c>
      <c r="W488" t="str" cm="1">
        <f t="array" ref="W488">IFERROR(_xlfn._xlws.FILTER(game_rosters!AB:AB,(game_rosters!J:J=events!X488)*(K488&lt;&gt;"")),"")</f>
        <v/>
      </c>
      <c r="X488" t="str" cm="1">
        <f t="array" ref="X488">IF(S488="","",IF($I488&lt;&gt;"",$I488,INDEX($I$2:$I487,ROW()-COUNTIFS($T$2:$T487,"="&amp;$T488,$S$2:$S487,"&lt;&gt;"&amp;$S488)-1)))</f>
        <v/>
      </c>
      <c r="Z488" s="6"/>
      <c r="AI488" t="str">
        <f t="shared" si="148"/>
        <v/>
      </c>
      <c r="BI488" s="40"/>
      <c r="BL488" s="40"/>
      <c r="BN488" s="19"/>
      <c r="BP488" s="17"/>
    </row>
    <row r="489" spans="1:68" x14ac:dyDescent="0.2">
      <c r="A489" t="str">
        <f t="shared" si="146"/>
        <v/>
      </c>
      <c r="E489" s="4"/>
      <c r="F489" s="45"/>
      <c r="G489" s="4"/>
      <c r="H489" s="48"/>
      <c r="J489" s="46" t="str">
        <f t="shared" si="147"/>
        <v/>
      </c>
      <c r="N489" t="str">
        <f t="shared" si="156"/>
        <v/>
      </c>
      <c r="Q489" t="str">
        <f t="shared" si="155"/>
        <v/>
      </c>
      <c r="S489" t="str">
        <f>IF(A489=1,MAX(S$2:S488)+1,IF(OR(I489&lt;&gt;"",A489="x"),S488,""))</f>
        <v/>
      </c>
      <c r="T489" t="str">
        <f>IF(D489=1,MAX($T$2:$T488)+1,IF(S489=$S488,$S488,IF($D489="x",T488,IF($D488="x","",""))))</f>
        <v/>
      </c>
      <c r="U489" t="str">
        <f>IF(B489=1,MAX($U$2:$U488)+1,IF(AND($T489&lt;&gt;"",$T489=$T488),$U488,IF(B489="x",U488,"")))</f>
        <v/>
      </c>
      <c r="V489" t="str">
        <f>IF(C489=1,MAX($V$2:$V488)+1,IF(AND($T489&lt;&gt;"",$T489=$T488),$U488,IF(C489="x",V488,"")))</f>
        <v/>
      </c>
      <c r="W489" t="str" cm="1">
        <f t="array" ref="W489">IFERROR(_xlfn._xlws.FILTER(game_rosters!AB:AB,(game_rosters!J:J=events!X489)*(K489&lt;&gt;"")),"")</f>
        <v/>
      </c>
      <c r="X489" t="str" cm="1">
        <f t="array" ref="X489">IF(S489="","",IF($I489&lt;&gt;"",$I489,INDEX($I$2:$I488,ROW()-COUNTIFS($T$2:$T488,"="&amp;$T489,$S$2:$S488,"&lt;&gt;"&amp;$S489)-1)))</f>
        <v/>
      </c>
      <c r="Z489" s="6"/>
      <c r="AI489" t="str">
        <f t="shared" si="148"/>
        <v/>
      </c>
      <c r="BI489" s="40"/>
      <c r="BL489" s="40"/>
      <c r="BN489" s="19"/>
      <c r="BP489" s="17"/>
    </row>
    <row r="490" spans="1:68" x14ac:dyDescent="0.2">
      <c r="A490" t="str">
        <f t="shared" si="146"/>
        <v/>
      </c>
      <c r="E490" s="4"/>
      <c r="F490" s="45"/>
      <c r="G490" s="4"/>
      <c r="H490" s="48"/>
      <c r="J490" s="46" t="str">
        <f t="shared" si="147"/>
        <v/>
      </c>
      <c r="N490" t="str">
        <f t="shared" si="156"/>
        <v/>
      </c>
      <c r="Q490" t="str">
        <f t="shared" si="155"/>
        <v/>
      </c>
      <c r="S490" t="str">
        <f>IF(A490=1,MAX(S$2:S489)+1,IF(OR(I490&lt;&gt;"",A490="x"),S489,""))</f>
        <v/>
      </c>
      <c r="T490" t="str">
        <f>IF(D490=1,MAX($T$2:$T489)+1,IF(S490=$S489,$S489,IF($D490="x",T489,IF($D489="x","",""))))</f>
        <v/>
      </c>
      <c r="U490" t="str">
        <f>IF(B490=1,MAX($U$2:$U489)+1,IF(AND($T490&lt;&gt;"",$T490=$T489),$U489,IF(B490="x",U489,"")))</f>
        <v/>
      </c>
      <c r="V490" t="str">
        <f>IF(C490=1,MAX($V$2:$V489)+1,IF(AND($T490&lt;&gt;"",$T490=$T489),$U489,IF(C490="x",V489,"")))</f>
        <v/>
      </c>
      <c r="W490" t="str" cm="1">
        <f t="array" ref="W490">IFERROR(_xlfn._xlws.FILTER(game_rosters!AB:AB,(game_rosters!J:J=events!X490)*(K490&lt;&gt;"")),"")</f>
        <v/>
      </c>
      <c r="X490" t="str" cm="1">
        <f t="array" ref="X490">IF(S490="","",IF($I490&lt;&gt;"",$I490,INDEX($I$2:$I489,ROW()-COUNTIFS($T$2:$T489,"="&amp;$T490,$S$2:$S489,"&lt;&gt;"&amp;$S490)-1)))</f>
        <v/>
      </c>
      <c r="Z490" s="6"/>
      <c r="AI490" t="str">
        <f t="shared" si="148"/>
        <v/>
      </c>
      <c r="BI490" s="40"/>
      <c r="BL490" s="40"/>
      <c r="BN490" s="19"/>
      <c r="BP490" s="17"/>
    </row>
    <row r="491" spans="1:68" x14ac:dyDescent="0.2">
      <c r="A491" t="str">
        <f t="shared" si="146"/>
        <v/>
      </c>
      <c r="E491" s="4"/>
      <c r="F491" s="45"/>
      <c r="G491" s="4"/>
      <c r="H491" s="48"/>
      <c r="J491" s="46" t="str">
        <f t="shared" si="147"/>
        <v/>
      </c>
      <c r="N491" t="str">
        <f t="shared" si="156"/>
        <v/>
      </c>
      <c r="Q491" t="str">
        <f t="shared" si="155"/>
        <v/>
      </c>
      <c r="S491" t="str">
        <f>IF(A491=1,MAX(S$2:S490)+1,IF(OR(I491&lt;&gt;"",A491="x"),S490,""))</f>
        <v/>
      </c>
      <c r="T491" t="str">
        <f>IF(D491=1,MAX($T$2:$T490)+1,IF(S491=$S490,$S490,IF($D491="x",T490,IF($D490="x","",""))))</f>
        <v/>
      </c>
      <c r="U491" t="str">
        <f>IF(B491=1,MAX($U$2:$U490)+1,IF(AND($T491&lt;&gt;"",$T491=$T490),$U490,IF(B491="x",U490,"")))</f>
        <v/>
      </c>
      <c r="V491" t="str">
        <f>IF(C491=1,MAX($V$2:$V490)+1,IF(AND($T491&lt;&gt;"",$T491=$T490),$U490,IF(C491="x",V490,"")))</f>
        <v/>
      </c>
      <c r="W491" t="str" cm="1">
        <f t="array" ref="W491">IFERROR(_xlfn._xlws.FILTER(game_rosters!AB:AB,(game_rosters!J:J=events!X491)*(K491&lt;&gt;"")),"")</f>
        <v/>
      </c>
      <c r="X491" t="str" cm="1">
        <f t="array" ref="X491">IF(S491="","",IF($I491&lt;&gt;"",$I491,INDEX($I$2:$I490,ROW()-COUNTIFS($T$2:$T490,"="&amp;$T491,$S$2:$S490,"&lt;&gt;"&amp;$S491)-1)))</f>
        <v/>
      </c>
      <c r="Z491" s="6"/>
      <c r="AI491" t="str">
        <f t="shared" si="148"/>
        <v/>
      </c>
      <c r="BI491" s="40"/>
      <c r="BL491" s="40"/>
      <c r="BN491" s="19"/>
      <c r="BP491" s="17"/>
    </row>
    <row r="492" spans="1:68" x14ac:dyDescent="0.2">
      <c r="A492" t="str">
        <f t="shared" si="146"/>
        <v/>
      </c>
      <c r="E492" s="4"/>
      <c r="F492" s="45"/>
      <c r="G492" s="4"/>
      <c r="H492" s="48"/>
      <c r="J492" s="46" t="str">
        <f t="shared" si="147"/>
        <v/>
      </c>
      <c r="N492" t="str">
        <f t="shared" si="156"/>
        <v/>
      </c>
      <c r="Q492" t="str">
        <f t="shared" si="155"/>
        <v/>
      </c>
      <c r="S492" t="str">
        <f>IF(A492=1,MAX(S$2:S491)+1,IF(OR(I492&lt;&gt;"",A492="x"),S491,""))</f>
        <v/>
      </c>
      <c r="T492" t="str">
        <f>IF(D492=1,MAX($T$2:$T491)+1,IF(S492=$S491,$S491,IF($D492="x",T491,IF($D491="x","",""))))</f>
        <v/>
      </c>
      <c r="U492" t="str">
        <f>IF(B492=1,MAX($U$2:$U491)+1,IF(AND($T492&lt;&gt;"",$T492=$T491),$U491,IF(B492="x",U491,"")))</f>
        <v/>
      </c>
      <c r="V492" t="str">
        <f>IF(C492=1,MAX($V$2:$V491)+1,IF(AND($T492&lt;&gt;"",$T492=$T491),$U491,IF(C492="x",V491,"")))</f>
        <v/>
      </c>
      <c r="W492" t="str" cm="1">
        <f t="array" ref="W492">IFERROR(_xlfn._xlws.FILTER(game_rosters!AB:AB,(game_rosters!J:J=events!X492)*(K492&lt;&gt;"")),"")</f>
        <v/>
      </c>
      <c r="X492" t="str" cm="1">
        <f t="array" ref="X492">IF(S492="","",IF($I492&lt;&gt;"",$I492,INDEX($I$2:$I491,ROW()-COUNTIFS($T$2:$T491,"="&amp;$T492,$S$2:$S491,"&lt;&gt;"&amp;$S492)-1)))</f>
        <v/>
      </c>
      <c r="Z492" s="6"/>
      <c r="AI492" t="str">
        <f t="shared" si="148"/>
        <v/>
      </c>
      <c r="BI492" s="40"/>
      <c r="BL492" s="40"/>
      <c r="BN492" s="19"/>
      <c r="BP492" s="17"/>
    </row>
    <row r="493" spans="1:68" x14ac:dyDescent="0.2">
      <c r="A493" t="str">
        <f t="shared" si="146"/>
        <v/>
      </c>
      <c r="E493" s="4"/>
      <c r="F493" s="45"/>
      <c r="G493" s="4"/>
      <c r="H493" s="48"/>
      <c r="J493" s="46" t="str">
        <f t="shared" si="147"/>
        <v/>
      </c>
      <c r="N493" t="str">
        <f t="shared" si="156"/>
        <v/>
      </c>
      <c r="Q493" t="str">
        <f t="shared" si="155"/>
        <v/>
      </c>
      <c r="S493" t="str">
        <f>IF(A493=1,MAX(S$2:S492)+1,IF(OR(I493&lt;&gt;"",A493="x"),S492,""))</f>
        <v/>
      </c>
      <c r="T493" t="str">
        <f>IF(D493=1,MAX($T$2:$T492)+1,IF(S493=$S492,$S492,IF($D493="x",T492,IF($D492="x","",""))))</f>
        <v/>
      </c>
      <c r="U493" t="str">
        <f>IF(B493=1,MAX($U$2:$U492)+1,IF(AND($T493&lt;&gt;"",$T493=$T492),$U492,IF(B493="x",U492,"")))</f>
        <v/>
      </c>
      <c r="V493" t="str">
        <f>IF(C493=1,MAX($V$2:$V492)+1,IF(AND($T493&lt;&gt;"",$T493=$T492),$U492,IF(C493="x",V492,"")))</f>
        <v/>
      </c>
      <c r="W493" t="str" cm="1">
        <f t="array" ref="W493">IFERROR(_xlfn._xlws.FILTER(game_rosters!AB:AB,(game_rosters!J:J=events!X493)*(K493&lt;&gt;"")),"")</f>
        <v/>
      </c>
      <c r="X493" t="str" cm="1">
        <f t="array" ref="X493">IF(S493="","",IF($I493&lt;&gt;"",$I493,INDEX($I$2:$I492,ROW()-COUNTIFS($T$2:$T492,"="&amp;$T493,$S$2:$S492,"&lt;&gt;"&amp;$S493)-1)))</f>
        <v/>
      </c>
      <c r="Z493" s="6"/>
      <c r="AI493" t="str">
        <f t="shared" si="148"/>
        <v/>
      </c>
      <c r="BI493" s="40"/>
      <c r="BL493" s="40"/>
      <c r="BN493" s="19"/>
      <c r="BP493" s="17"/>
    </row>
    <row r="494" spans="1:68" x14ac:dyDescent="0.2">
      <c r="A494" t="str">
        <f t="shared" si="146"/>
        <v/>
      </c>
      <c r="E494" s="4"/>
      <c r="F494" s="45"/>
      <c r="G494" s="4"/>
      <c r="H494" s="48"/>
      <c r="J494" s="46" t="str">
        <f t="shared" si="147"/>
        <v/>
      </c>
      <c r="N494" t="str">
        <f t="shared" si="156"/>
        <v/>
      </c>
      <c r="Q494" t="str">
        <f t="shared" si="155"/>
        <v/>
      </c>
      <c r="S494" t="str">
        <f>IF(A494=1,MAX(S$2:S493)+1,IF(OR(I494&lt;&gt;"",A494="x"),S493,""))</f>
        <v/>
      </c>
      <c r="T494" t="str">
        <f>IF(D494=1,MAX($T$2:$T493)+1,IF(S494=$S493,$S493,IF($D494="x",T493,IF($D493="x","",""))))</f>
        <v/>
      </c>
      <c r="U494" t="str">
        <f>IF(B494=1,MAX($U$2:$U493)+1,IF(AND($T494&lt;&gt;"",$T494=$T493),$U493,IF(B494="x",U493,"")))</f>
        <v/>
      </c>
      <c r="V494" t="str">
        <f>IF(C494=1,MAX($V$2:$V493)+1,IF(AND($T494&lt;&gt;"",$T494=$T493),$U493,IF(C494="x",V493,"")))</f>
        <v/>
      </c>
      <c r="W494" t="str" cm="1">
        <f t="array" ref="W494">IFERROR(_xlfn._xlws.FILTER(game_rosters!AB:AB,(game_rosters!J:J=events!X494)*(K494&lt;&gt;"")),"")</f>
        <v/>
      </c>
      <c r="X494" t="str" cm="1">
        <f t="array" ref="X494">IF(S494="","",IF($I494&lt;&gt;"",$I494,INDEX($I$2:$I493,ROW()-COUNTIFS($T$2:$T493,"="&amp;$T494,$S$2:$S493,"&lt;&gt;"&amp;$S494)-1)))</f>
        <v/>
      </c>
      <c r="Z494" s="6"/>
      <c r="AI494" t="str">
        <f t="shared" si="148"/>
        <v/>
      </c>
      <c r="BI494" s="40"/>
      <c r="BL494" s="40"/>
      <c r="BN494" s="19"/>
      <c r="BP494" s="17"/>
    </row>
    <row r="495" spans="1:68" x14ac:dyDescent="0.2">
      <c r="A495" t="str">
        <f t="shared" si="146"/>
        <v/>
      </c>
      <c r="E495" s="4"/>
      <c r="F495" s="45"/>
      <c r="G495" s="4"/>
      <c r="H495" s="48"/>
      <c r="J495" s="46" t="str">
        <f t="shared" si="147"/>
        <v/>
      </c>
      <c r="N495" t="str">
        <f t="shared" si="156"/>
        <v/>
      </c>
      <c r="Q495" t="str">
        <f t="shared" si="155"/>
        <v/>
      </c>
      <c r="S495" t="str">
        <f>IF(A495=1,MAX(S$2:S494)+1,IF(OR(I495&lt;&gt;"",A495="x"),S494,""))</f>
        <v/>
      </c>
      <c r="T495" t="str">
        <f>IF(D495=1,MAX($T$2:$T494)+1,IF(S495=$S494,$S494,IF($D495="x",T494,IF($D494="x","",""))))</f>
        <v/>
      </c>
      <c r="U495" t="str">
        <f>IF(B495=1,MAX($U$2:$U494)+1,IF(AND($T495&lt;&gt;"",$T495=$T494),$U494,IF(B495="x",U494,"")))</f>
        <v/>
      </c>
      <c r="V495" t="str">
        <f>IF(C495=1,MAX($V$2:$V494)+1,IF(AND($T495&lt;&gt;"",$T495=$T494),$U494,IF(C495="x",V494,"")))</f>
        <v/>
      </c>
      <c r="W495" t="str" cm="1">
        <f t="array" ref="W495">IFERROR(_xlfn._xlws.FILTER(game_rosters!AB:AB,(game_rosters!J:J=events!X495)*(K495&lt;&gt;"")),"")</f>
        <v/>
      </c>
      <c r="X495" t="str" cm="1">
        <f t="array" ref="X495">IF(S495="","",IF($I495&lt;&gt;"",$I495,INDEX($I$2:$I494,ROW()-COUNTIFS($T$2:$T494,"="&amp;$T495,$S$2:$S494,"&lt;&gt;"&amp;$S495)-1)))</f>
        <v/>
      </c>
      <c r="Z495" s="6"/>
      <c r="AI495" t="str">
        <f t="shared" si="148"/>
        <v/>
      </c>
      <c r="BI495" s="40"/>
      <c r="BL495" s="40"/>
      <c r="BN495" s="19"/>
      <c r="BP495" s="17"/>
    </row>
    <row r="496" spans="1:68" x14ac:dyDescent="0.2">
      <c r="A496" t="str">
        <f t="shared" si="146"/>
        <v/>
      </c>
      <c r="E496" s="4"/>
      <c r="F496" s="45"/>
      <c r="G496" s="4"/>
      <c r="H496" s="48"/>
      <c r="J496" s="46" t="str">
        <f t="shared" si="147"/>
        <v/>
      </c>
      <c r="N496" t="str">
        <f t="shared" si="156"/>
        <v/>
      </c>
      <c r="Q496" t="str">
        <f t="shared" si="155"/>
        <v/>
      </c>
      <c r="S496" t="str">
        <f>IF(A496=1,MAX(S$2:S495)+1,IF(OR(I496&lt;&gt;"",A496="x"),S495,""))</f>
        <v/>
      </c>
      <c r="T496" t="str">
        <f>IF(D496=1,MAX($T$2:$T495)+1,IF(S496=$S495,$S495,IF($D496="x",T495,IF($D495="x","",""))))</f>
        <v/>
      </c>
      <c r="U496" t="str">
        <f>IF(B496=1,MAX($U$2:$U495)+1,IF(AND($T496&lt;&gt;"",$T496=$T495),$U495,IF(B496="x",U495,"")))</f>
        <v/>
      </c>
      <c r="V496" t="str">
        <f>IF(C496=1,MAX($V$2:$V495)+1,IF(AND($T496&lt;&gt;"",$T496=$T495),$U495,IF(C496="x",V495,"")))</f>
        <v/>
      </c>
      <c r="W496" t="str" cm="1">
        <f t="array" ref="W496">IFERROR(_xlfn._xlws.FILTER(game_rosters!AB:AB,(game_rosters!J:J=events!X496)*(K496&lt;&gt;"")),"")</f>
        <v/>
      </c>
      <c r="X496" t="str" cm="1">
        <f t="array" ref="X496">IF(S496="","",IF($I496&lt;&gt;"",$I496,INDEX($I$2:$I495,ROW()-COUNTIFS($T$2:$T495,"="&amp;$T496,$S$2:$S495,"&lt;&gt;"&amp;$S496)-1)))</f>
        <v/>
      </c>
      <c r="Z496" s="6"/>
      <c r="AI496" t="str">
        <f t="shared" si="148"/>
        <v/>
      </c>
      <c r="BI496" s="40"/>
      <c r="BL496" s="40"/>
      <c r="BN496" s="19"/>
      <c r="BP496" s="17"/>
    </row>
    <row r="497" spans="1:68" x14ac:dyDescent="0.2">
      <c r="A497" t="str">
        <f t="shared" si="146"/>
        <v/>
      </c>
      <c r="E497" s="4"/>
      <c r="F497" s="45"/>
      <c r="G497" s="4"/>
      <c r="H497" s="48"/>
      <c r="J497" s="46" t="str">
        <f t="shared" si="147"/>
        <v/>
      </c>
      <c r="N497" t="str">
        <f t="shared" si="156"/>
        <v/>
      </c>
      <c r="Q497" t="str">
        <f t="shared" si="155"/>
        <v/>
      </c>
      <c r="S497" t="str">
        <f>IF(A497=1,MAX(S$2:S496)+1,IF(OR(I497&lt;&gt;"",A497="x"),S496,""))</f>
        <v/>
      </c>
      <c r="T497" t="str">
        <f>IF(D497=1,MAX($T$2:$T496)+1,IF(S497=$S496,$S496,IF($D497="x",T496,IF($D496="x","",""))))</f>
        <v/>
      </c>
      <c r="U497" t="str">
        <f>IF(B497=1,MAX($U$2:$U496)+1,IF(AND($T497&lt;&gt;"",$T497=$T496),$U496,IF(B497="x",U496,"")))</f>
        <v/>
      </c>
      <c r="V497" t="str">
        <f>IF(C497=1,MAX($V$2:$V496)+1,IF(AND($T497&lt;&gt;"",$T497=$T496),$U496,IF(C497="x",V496,"")))</f>
        <v/>
      </c>
      <c r="W497" t="str" cm="1">
        <f t="array" ref="W497">IFERROR(_xlfn._xlws.FILTER(game_rosters!AB:AB,(game_rosters!J:J=events!X497)*(K497&lt;&gt;"")),"")</f>
        <v/>
      </c>
      <c r="X497" t="str" cm="1">
        <f t="array" ref="X497">IF(S497="","",IF($I497&lt;&gt;"",$I497,INDEX($I$2:$I496,ROW()-COUNTIFS($T$2:$T496,"="&amp;$T497,$S$2:$S496,"&lt;&gt;"&amp;$S497)-1)))</f>
        <v/>
      </c>
      <c r="Z497" s="6"/>
      <c r="AI497" t="str">
        <f t="shared" si="148"/>
        <v/>
      </c>
      <c r="BI497" s="40"/>
      <c r="BL497" s="40"/>
      <c r="BN497" s="19"/>
      <c r="BP497" s="17"/>
    </row>
    <row r="498" spans="1:68" x14ac:dyDescent="0.2">
      <c r="A498" t="str">
        <f t="shared" si="146"/>
        <v/>
      </c>
      <c r="E498" s="4"/>
      <c r="F498" s="45"/>
      <c r="G498" s="4"/>
      <c r="H498" s="48"/>
      <c r="J498" s="46" t="str">
        <f t="shared" si="147"/>
        <v/>
      </c>
      <c r="N498" t="str">
        <f t="shared" si="156"/>
        <v/>
      </c>
      <c r="Q498" t="str">
        <f t="shared" si="155"/>
        <v/>
      </c>
      <c r="S498" t="str">
        <f>IF(A498=1,MAX(S$2:S497)+1,IF(OR(I498&lt;&gt;"",A498="x"),S497,""))</f>
        <v/>
      </c>
      <c r="T498" t="str">
        <f>IF(D498=1,MAX($T$2:$T497)+1,IF(S498=$S497,$S497,IF($D498="x",T497,IF($D497="x","",""))))</f>
        <v/>
      </c>
      <c r="U498" t="str">
        <f>IF(B498=1,MAX($U$2:$U497)+1,IF(AND($T498&lt;&gt;"",$T498=$T497),$U497,IF(B498="x",U497,"")))</f>
        <v/>
      </c>
      <c r="V498" t="str">
        <f>IF(C498=1,MAX($V$2:$V497)+1,IF(AND($T498&lt;&gt;"",$T498=$T497),$U497,IF(C498="x",V497,"")))</f>
        <v/>
      </c>
      <c r="W498" t="str" cm="1">
        <f t="array" ref="W498">IFERROR(_xlfn._xlws.FILTER(game_rosters!AB:AB,(game_rosters!J:J=events!X498)*(K498&lt;&gt;"")),"")</f>
        <v/>
      </c>
      <c r="X498" t="str" cm="1">
        <f t="array" ref="X498">IF(S498="","",IF($I498&lt;&gt;"",$I498,INDEX($I$2:$I497,ROW()-COUNTIFS($T$2:$T497,"="&amp;$T498,$S$2:$S497,"&lt;&gt;"&amp;$S498)-1)))</f>
        <v/>
      </c>
      <c r="Z498" s="6"/>
      <c r="AI498" t="str">
        <f t="shared" si="148"/>
        <v/>
      </c>
      <c r="BI498" s="40"/>
      <c r="BL498" s="40"/>
      <c r="BN498" s="19"/>
      <c r="BP498" s="17"/>
    </row>
    <row r="499" spans="1:68" x14ac:dyDescent="0.2">
      <c r="A499" t="str">
        <f t="shared" si="146"/>
        <v/>
      </c>
      <c r="E499" s="4"/>
      <c r="F499" s="45"/>
      <c r="G499" s="4"/>
      <c r="H499" s="48"/>
      <c r="J499" s="46" t="str">
        <f t="shared" si="147"/>
        <v/>
      </c>
      <c r="N499" t="str">
        <f t="shared" si="156"/>
        <v/>
      </c>
      <c r="Q499" t="str">
        <f t="shared" si="155"/>
        <v/>
      </c>
      <c r="S499" t="str">
        <f>IF(A499=1,MAX(S$2:S498)+1,IF(OR(I499&lt;&gt;"",A499="x"),S498,""))</f>
        <v/>
      </c>
      <c r="T499" t="str">
        <f>IF(D499=1,MAX($T$2:$T498)+1,IF(S499=$S498,$S498,IF($D499="x",T498,IF($D498="x","",""))))</f>
        <v/>
      </c>
      <c r="U499" t="str">
        <f>IF(B499=1,MAX($U$2:$U498)+1,IF(AND($T499&lt;&gt;"",$T499=$T498),$U498,IF(B499="x",U498,"")))</f>
        <v/>
      </c>
      <c r="V499" t="str">
        <f>IF(C499=1,MAX($V$2:$V498)+1,IF(AND($T499&lt;&gt;"",$T499=$T498),$U498,IF(C499="x",V498,"")))</f>
        <v/>
      </c>
      <c r="W499" t="str" cm="1">
        <f t="array" ref="W499">IFERROR(_xlfn._xlws.FILTER(game_rosters!AB:AB,(game_rosters!J:J=events!X499)*(K499&lt;&gt;"")),"")</f>
        <v/>
      </c>
      <c r="X499" t="str" cm="1">
        <f t="array" ref="X499">IF(S499="","",IF($I499&lt;&gt;"",$I499,INDEX($I$2:$I498,ROW()-COUNTIFS($T$2:$T498,"="&amp;$T499,$S$2:$S498,"&lt;&gt;"&amp;$S499)-1)))</f>
        <v/>
      </c>
      <c r="Z499" s="6"/>
      <c r="AI499" t="str">
        <f t="shared" si="148"/>
        <v/>
      </c>
      <c r="BI499" s="40"/>
      <c r="BL499" s="40"/>
      <c r="BN499" s="19"/>
      <c r="BP499" s="17"/>
    </row>
    <row r="500" spans="1:68" x14ac:dyDescent="0.2">
      <c r="A500" t="str">
        <f t="shared" si="146"/>
        <v/>
      </c>
      <c r="E500" s="4"/>
      <c r="F500" s="45"/>
      <c r="G500" s="4"/>
      <c r="H500" s="48"/>
      <c r="J500" s="46" t="str">
        <f t="shared" si="147"/>
        <v/>
      </c>
      <c r="N500" t="str">
        <f t="shared" si="156"/>
        <v/>
      </c>
      <c r="Q500" t="str">
        <f t="shared" si="155"/>
        <v/>
      </c>
      <c r="S500" t="str">
        <f>IF(A500=1,MAX(S$2:S499)+1,IF(OR(I500&lt;&gt;"",A500="x"),S499,""))</f>
        <v/>
      </c>
      <c r="T500" t="str">
        <f>IF(D500=1,MAX($T$2:$T499)+1,IF(S500=$S499,$S499,IF($D500="x",T499,IF($D499="x","",""))))</f>
        <v/>
      </c>
      <c r="U500" t="str">
        <f>IF(B500=1,MAX($U$2:$U499)+1,IF(AND($T500&lt;&gt;"",$T500=$T499),$U499,IF(B500="x",U499,"")))</f>
        <v/>
      </c>
      <c r="V500" t="str">
        <f>IF(C500=1,MAX($V$2:$V499)+1,IF(AND($T500&lt;&gt;"",$T500=$T499),$U499,IF(C500="x",V499,"")))</f>
        <v/>
      </c>
      <c r="W500" t="str" cm="1">
        <f t="array" ref="W500">IFERROR(_xlfn._xlws.FILTER(game_rosters!AB:AB,(game_rosters!J:J=events!X500)*(K500&lt;&gt;"")),"")</f>
        <v/>
      </c>
      <c r="X500" t="str" cm="1">
        <f t="array" ref="X500">IF(S500="","",IF($I500&lt;&gt;"",$I500,INDEX($I$2:$I499,ROW()-COUNTIFS($T$2:$T499,"="&amp;$T500,$S$2:$S499,"&lt;&gt;"&amp;$S500)-1)))</f>
        <v/>
      </c>
      <c r="Z500" s="6"/>
      <c r="AI500" t="str">
        <f t="shared" si="148"/>
        <v/>
      </c>
      <c r="BI500" s="40"/>
      <c r="BL500" s="40"/>
      <c r="BN500" s="19"/>
      <c r="BP500" s="17"/>
    </row>
    <row r="501" spans="1:68" x14ac:dyDescent="0.2">
      <c r="A501" t="str">
        <f t="shared" si="146"/>
        <v/>
      </c>
      <c r="E501" s="4"/>
      <c r="F501" s="45"/>
      <c r="G501" s="4"/>
      <c r="H501" s="48"/>
      <c r="J501" s="46" t="str">
        <f t="shared" si="147"/>
        <v/>
      </c>
      <c r="N501" t="str">
        <f t="shared" si="156"/>
        <v/>
      </c>
      <c r="Q501" t="str">
        <f t="shared" si="155"/>
        <v/>
      </c>
      <c r="S501" t="str">
        <f>IF(A501=1,MAX(S$2:S500)+1,IF(OR(I501&lt;&gt;"",A501="x"),S500,""))</f>
        <v/>
      </c>
      <c r="T501" t="str">
        <f>IF(D501=1,MAX($T$2:$T500)+1,IF(S501=$S500,$S500,IF($D501="x",T500,IF($D500="x","",""))))</f>
        <v/>
      </c>
      <c r="U501" t="str">
        <f>IF(B501=1,MAX($U$2:$U500)+1,IF(AND($T501&lt;&gt;"",$T501=$T500),$U500,IF(B501="x",U500,"")))</f>
        <v/>
      </c>
      <c r="V501" t="str">
        <f>IF(C501=1,MAX($V$2:$V500)+1,IF(AND($T501&lt;&gt;"",$T501=$T500),$U500,IF(C501="x",V500,"")))</f>
        <v/>
      </c>
      <c r="W501" t="str" cm="1">
        <f t="array" ref="W501">IFERROR(_xlfn._xlws.FILTER(game_rosters!AB:AB,(game_rosters!J:J=events!X501)*(K501&lt;&gt;"")),"")</f>
        <v/>
      </c>
      <c r="X501" t="str" cm="1">
        <f t="array" ref="X501">IF(S501="","",IF($I501&lt;&gt;"",$I501,INDEX($I$2:$I500,ROW()-COUNTIFS($T$2:$T500,"="&amp;$T501,$S$2:$S500,"&lt;&gt;"&amp;$S501)-1)))</f>
        <v/>
      </c>
      <c r="Z501" s="6"/>
      <c r="AI501" t="str">
        <f t="shared" si="148"/>
        <v/>
      </c>
      <c r="BI501" s="40"/>
      <c r="BL501" s="40"/>
      <c r="BN501" s="19"/>
      <c r="BP501" s="17"/>
    </row>
    <row r="502" spans="1:68" x14ac:dyDescent="0.2">
      <c r="A502" t="str">
        <f t="shared" si="146"/>
        <v/>
      </c>
      <c r="E502" s="4"/>
      <c r="F502" s="45"/>
      <c r="G502" s="4"/>
      <c r="H502" s="48"/>
      <c r="J502" s="46" t="str">
        <f t="shared" si="147"/>
        <v/>
      </c>
      <c r="N502" t="str">
        <f t="shared" si="156"/>
        <v/>
      </c>
      <c r="Q502" t="str">
        <f t="shared" si="155"/>
        <v/>
      </c>
      <c r="S502" t="str">
        <f>IF(A502=1,MAX(S$2:S501)+1,IF(OR(I502&lt;&gt;"",A502="x"),S501,""))</f>
        <v/>
      </c>
      <c r="T502" t="str">
        <f>IF(D502=1,MAX($T$2:$T501)+1,IF(S502=$S501,$S501,IF($D502="x",T501,IF($D501="x","",""))))</f>
        <v/>
      </c>
      <c r="U502" t="str">
        <f>IF(B502=1,MAX($U$2:$U501)+1,IF(AND($T502&lt;&gt;"",$T502=$T501),$U501,IF(B502="x",U501,"")))</f>
        <v/>
      </c>
      <c r="V502" t="str">
        <f>IF(C502=1,MAX($V$2:$V501)+1,IF(AND($T502&lt;&gt;"",$T502=$T501),$U501,IF(C502="x",V501,"")))</f>
        <v/>
      </c>
      <c r="W502" t="str" cm="1">
        <f t="array" ref="W502">IFERROR(_xlfn._xlws.FILTER(game_rosters!AB:AB,(game_rosters!J:J=events!X502)*(K502&lt;&gt;"")),"")</f>
        <v/>
      </c>
      <c r="X502" t="str" cm="1">
        <f t="array" ref="X502">IF(S502="","",IF($I502&lt;&gt;"",$I502,INDEX($I$2:$I501,ROW()-COUNTIFS($T$2:$T501,"="&amp;$T502,$S$2:$S501,"&lt;&gt;"&amp;$S502)-1)))</f>
        <v/>
      </c>
      <c r="Z502" s="6"/>
      <c r="AI502" t="str">
        <f t="shared" si="148"/>
        <v/>
      </c>
      <c r="BI502" s="40"/>
      <c r="BL502" s="40"/>
      <c r="BN502" s="19"/>
      <c r="BP502" s="17"/>
    </row>
    <row r="503" spans="1:68" x14ac:dyDescent="0.2">
      <c r="A503" t="str">
        <f t="shared" si="146"/>
        <v/>
      </c>
      <c r="E503" s="4"/>
      <c r="F503" s="45"/>
      <c r="G503" s="4"/>
      <c r="H503" s="48"/>
      <c r="J503" s="46" t="str">
        <f t="shared" si="147"/>
        <v/>
      </c>
      <c r="N503" t="str">
        <f t="shared" si="156"/>
        <v/>
      </c>
      <c r="Q503" t="str">
        <f t="shared" si="155"/>
        <v/>
      </c>
      <c r="S503" t="str">
        <f>IF(A503=1,MAX(S$2:S502)+1,IF(OR(I503&lt;&gt;"",A503="x"),S502,""))</f>
        <v/>
      </c>
      <c r="T503" t="str">
        <f>IF(D503=1,MAX($T$2:$T502)+1,IF(S503=$S502,$S502,IF($D503="x",T502,IF($D502="x","",""))))</f>
        <v/>
      </c>
      <c r="U503" t="str">
        <f>IF(B503=1,MAX($U$2:$U502)+1,IF(AND($T503&lt;&gt;"",$T503=$T502),$U502,IF(B503="x",U502,"")))</f>
        <v/>
      </c>
      <c r="V503" t="str">
        <f>IF(C503=1,MAX($V$2:$V502)+1,IF(AND($T503&lt;&gt;"",$T503=$T502),$U502,IF(C503="x",V502,"")))</f>
        <v/>
      </c>
      <c r="W503" t="str" cm="1">
        <f t="array" ref="W503">IFERROR(_xlfn._xlws.FILTER(game_rosters!AB:AB,(game_rosters!J:J=events!X503)*(K503&lt;&gt;"")),"")</f>
        <v/>
      </c>
      <c r="X503" t="str" cm="1">
        <f t="array" ref="X503">IF(S503="","",IF($I503&lt;&gt;"",$I503,INDEX($I$2:$I502,ROW()-COUNTIFS($T$2:$T502,"="&amp;$T503,$S$2:$S502,"&lt;&gt;"&amp;$S503)-1)))</f>
        <v/>
      </c>
      <c r="Z503" s="6"/>
      <c r="AI503" t="str">
        <f t="shared" si="148"/>
        <v/>
      </c>
      <c r="BI503" s="40"/>
      <c r="BL503" s="40"/>
      <c r="BN503" s="19"/>
      <c r="BP503" s="17"/>
    </row>
    <row r="504" spans="1:68" x14ac:dyDescent="0.2">
      <c r="A504" t="str">
        <f t="shared" si="146"/>
        <v/>
      </c>
      <c r="E504" s="4"/>
      <c r="F504" s="45"/>
      <c r="G504" s="4"/>
      <c r="H504" s="48"/>
      <c r="J504" s="46" t="str">
        <f t="shared" si="147"/>
        <v/>
      </c>
      <c r="N504" t="str">
        <f t="shared" si="156"/>
        <v/>
      </c>
      <c r="Q504" t="str">
        <f t="shared" si="155"/>
        <v/>
      </c>
      <c r="S504" t="str">
        <f>IF(A504=1,MAX(S$2:S503)+1,IF(OR(I504&lt;&gt;"",A504="x"),S503,""))</f>
        <v/>
      </c>
      <c r="T504" t="str">
        <f>IF(D504=1,MAX($T$2:$T503)+1,IF(S504=$S503,$S503,IF($D504="x",T503,IF($D503="x","",""))))</f>
        <v/>
      </c>
      <c r="U504" t="str">
        <f>IF(B504=1,MAX($U$2:$U503)+1,IF(AND($T504&lt;&gt;"",$T504=$T503),$U503,IF(B504="x",U503,"")))</f>
        <v/>
      </c>
      <c r="V504" t="str">
        <f>IF(C504=1,MAX($V$2:$V503)+1,IF(AND($T504&lt;&gt;"",$T504=$T503),$U503,IF(C504="x",V503,"")))</f>
        <v/>
      </c>
      <c r="W504" t="str" cm="1">
        <f t="array" ref="W504">IFERROR(_xlfn._xlws.FILTER(game_rosters!AB:AB,(game_rosters!J:J=events!X504)*(K504&lt;&gt;"")),"")</f>
        <v/>
      </c>
      <c r="X504" t="str" cm="1">
        <f t="array" ref="X504">IF(S504="","",IF($I504&lt;&gt;"",$I504,INDEX($I$2:$I503,ROW()-COUNTIFS($T$2:$T503,"="&amp;$T504,$S$2:$S503,"&lt;&gt;"&amp;$S504)-1)))</f>
        <v/>
      </c>
      <c r="Z504" s="6"/>
      <c r="AI504" t="str">
        <f t="shared" si="148"/>
        <v/>
      </c>
      <c r="BI504" s="40"/>
      <c r="BL504" s="40"/>
      <c r="BN504" s="19"/>
      <c r="BP504" s="17"/>
    </row>
    <row r="505" spans="1:68" x14ac:dyDescent="0.2">
      <c r="A505" t="str">
        <f t="shared" si="146"/>
        <v/>
      </c>
      <c r="E505" s="4"/>
      <c r="F505" s="45"/>
      <c r="G505" s="4"/>
      <c r="H505" s="48"/>
      <c r="J505" s="46" t="str">
        <f t="shared" si="147"/>
        <v/>
      </c>
      <c r="N505" t="str">
        <f t="shared" si="156"/>
        <v/>
      </c>
      <c r="Q505" t="str">
        <f t="shared" si="155"/>
        <v/>
      </c>
      <c r="S505" t="str">
        <f>IF(A505=1,MAX(S$2:S504)+1,IF(OR(I505&lt;&gt;"",A505="x"),S504,""))</f>
        <v/>
      </c>
      <c r="T505" t="str">
        <f>IF(D505=1,MAX($T$2:$T504)+1,IF(S505=$S504,$S504,IF($D505="x",T504,IF($D504="x","",""))))</f>
        <v/>
      </c>
      <c r="U505" t="str">
        <f>IF(B505=1,MAX($U$2:$U504)+1,IF(AND($T505&lt;&gt;"",$T505=$T504),$U504,IF(B505="x",U504,"")))</f>
        <v/>
      </c>
      <c r="V505" t="str">
        <f>IF(C505=1,MAX($V$2:$V504)+1,IF(AND($T505&lt;&gt;"",$T505=$T504),$U504,IF(C505="x",V504,"")))</f>
        <v/>
      </c>
      <c r="W505" t="str" cm="1">
        <f t="array" ref="W505">IFERROR(_xlfn._xlws.FILTER(game_rosters!AB:AB,(game_rosters!J:J=events!X505)*(K505&lt;&gt;"")),"")</f>
        <v/>
      </c>
      <c r="X505" t="str" cm="1">
        <f t="array" ref="X505">IF(S505="","",IF($I505&lt;&gt;"",$I505,INDEX($I$2:$I504,ROW()-COUNTIFS($T$2:$T504,"="&amp;$T505,$S$2:$S504,"&lt;&gt;"&amp;$S505)-1)))</f>
        <v/>
      </c>
      <c r="Z505" s="6"/>
      <c r="AI505" t="str">
        <f t="shared" si="148"/>
        <v/>
      </c>
      <c r="BI505" s="40"/>
      <c r="BL505" s="40"/>
      <c r="BN505" s="19"/>
      <c r="BP505" s="17"/>
    </row>
    <row r="506" spans="1:68" x14ac:dyDescent="0.2">
      <c r="A506" t="str">
        <f t="shared" si="146"/>
        <v/>
      </c>
      <c r="E506" s="4"/>
      <c r="F506" s="45"/>
      <c r="G506" s="4"/>
      <c r="H506" s="48"/>
      <c r="J506" s="46" t="str">
        <f t="shared" si="147"/>
        <v/>
      </c>
      <c r="N506" t="str">
        <f t="shared" si="156"/>
        <v/>
      </c>
      <c r="Q506" t="str">
        <f t="shared" si="155"/>
        <v/>
      </c>
      <c r="S506" t="str">
        <f>IF(A506=1,MAX(S$2:S505)+1,IF(OR(I506&lt;&gt;"",A506="x"),S505,""))</f>
        <v/>
      </c>
      <c r="T506" t="str">
        <f>IF(D506=1,MAX($T$2:$T505)+1,IF(S506=$S505,$S505,IF($D506="x",T505,IF($D505="x","",""))))</f>
        <v/>
      </c>
      <c r="U506" t="str">
        <f>IF(B506=1,MAX($U$2:$U505)+1,IF(AND($T506&lt;&gt;"",$T506=$T505),$U505,IF(B506="x",U505,"")))</f>
        <v/>
      </c>
      <c r="V506" t="str">
        <f>IF(C506=1,MAX($V$2:$V505)+1,IF(AND($T506&lt;&gt;"",$T506=$T505),$U505,IF(C506="x",V505,"")))</f>
        <v/>
      </c>
      <c r="W506" t="str" cm="1">
        <f t="array" ref="W506">IFERROR(_xlfn._xlws.FILTER(game_rosters!AB:AB,(game_rosters!J:J=events!X506)*(K506&lt;&gt;"")),"")</f>
        <v/>
      </c>
      <c r="X506" t="str" cm="1">
        <f t="array" ref="X506">IF(S506="","",IF($I506&lt;&gt;"",$I506,INDEX($I$2:$I505,ROW()-COUNTIFS($T$2:$T505,"="&amp;$T506,$S$2:$S505,"&lt;&gt;"&amp;$S506)-1)))</f>
        <v/>
      </c>
      <c r="Z506" s="6"/>
      <c r="AI506" t="str">
        <f t="shared" si="148"/>
        <v/>
      </c>
      <c r="BI506" s="40"/>
      <c r="BL506" s="40"/>
      <c r="BN506" s="19"/>
      <c r="BP506" s="17"/>
    </row>
    <row r="507" spans="1:68" x14ac:dyDescent="0.2">
      <c r="A507" t="str">
        <f t="shared" si="146"/>
        <v/>
      </c>
      <c r="E507" s="4"/>
      <c r="F507" s="45"/>
      <c r="G507" s="4"/>
      <c r="H507" s="48"/>
      <c r="J507" s="46" t="str">
        <f t="shared" si="147"/>
        <v/>
      </c>
      <c r="N507" t="str">
        <f t="shared" si="156"/>
        <v/>
      </c>
      <c r="Q507" t="str">
        <f t="shared" si="155"/>
        <v/>
      </c>
      <c r="S507" t="str">
        <f>IF(A507=1,MAX(S$2:S506)+1,IF(OR(I507&lt;&gt;"",A507="x"),S506,""))</f>
        <v/>
      </c>
      <c r="T507" t="str">
        <f>IF(D507=1,MAX($T$2:$T506)+1,IF(S507=$S506,$S506,IF($D507="x",T506,IF($D506="x","",""))))</f>
        <v/>
      </c>
      <c r="U507" t="str">
        <f>IF(B507=1,MAX($U$2:$U506)+1,IF(AND($T507&lt;&gt;"",$T507=$T506),$U506,IF(B507="x",U506,"")))</f>
        <v/>
      </c>
      <c r="V507" t="str">
        <f>IF(C507=1,MAX($V$2:$V506)+1,IF(AND($T507&lt;&gt;"",$T507=$T506),$U506,IF(C507="x",V506,"")))</f>
        <v/>
      </c>
      <c r="W507" t="str" cm="1">
        <f t="array" ref="W507">IFERROR(_xlfn._xlws.FILTER(game_rosters!AB:AB,(game_rosters!J:J=events!X507)*(K507&lt;&gt;"")),"")</f>
        <v/>
      </c>
      <c r="X507" t="str" cm="1">
        <f t="array" ref="X507">IF(S507="","",IF($I507&lt;&gt;"",$I507,INDEX($I$2:$I506,ROW()-COUNTIFS($T$2:$T506,"="&amp;$T507,$S$2:$S506,"&lt;&gt;"&amp;$S507)-1)))</f>
        <v/>
      </c>
      <c r="Z507" s="6"/>
      <c r="AI507" t="str">
        <f t="shared" si="148"/>
        <v/>
      </c>
      <c r="BI507" s="40"/>
      <c r="BL507" s="40"/>
      <c r="BN507" s="19"/>
      <c r="BP507" s="17"/>
    </row>
    <row r="508" spans="1:68" x14ac:dyDescent="0.2">
      <c r="A508" t="str">
        <f t="shared" si="146"/>
        <v/>
      </c>
      <c r="E508" s="4"/>
      <c r="F508" s="45"/>
      <c r="G508" s="4"/>
      <c r="H508" s="48"/>
      <c r="J508" s="46" t="str">
        <f t="shared" si="147"/>
        <v/>
      </c>
      <c r="N508" t="str">
        <f t="shared" si="156"/>
        <v/>
      </c>
      <c r="Q508" t="str">
        <f t="shared" si="155"/>
        <v/>
      </c>
      <c r="S508" t="str">
        <f>IF(A508=1,MAX(S$2:S507)+1,IF(OR(I508&lt;&gt;"",A508="x"),S507,""))</f>
        <v/>
      </c>
      <c r="T508" t="str">
        <f>IF(D508=1,MAX($T$2:$T507)+1,IF(S508=$S507,$S507,IF($D508="x",T507,IF($D507="x","",""))))</f>
        <v/>
      </c>
      <c r="U508" t="str">
        <f>IF(B508=1,MAX($U$2:$U507)+1,IF(AND($T508&lt;&gt;"",$T508=$T507),$U507,IF(B508="x",U507,"")))</f>
        <v/>
      </c>
      <c r="V508" t="str">
        <f>IF(C508=1,MAX($V$2:$V507)+1,IF(AND($T508&lt;&gt;"",$T508=$T507),$U507,IF(C508="x",V507,"")))</f>
        <v/>
      </c>
      <c r="W508" t="str" cm="1">
        <f t="array" ref="W508">IFERROR(_xlfn._xlws.FILTER(game_rosters!AB:AB,(game_rosters!J:J=events!X508)*(K508&lt;&gt;"")),"")</f>
        <v/>
      </c>
      <c r="X508" t="str" cm="1">
        <f t="array" ref="X508">IF(S508="","",IF($I508&lt;&gt;"",$I508,INDEX($I$2:$I507,ROW()-COUNTIFS($T$2:$T507,"="&amp;$T508,$S$2:$S507,"&lt;&gt;"&amp;$S508)-1)))</f>
        <v/>
      </c>
      <c r="Z508" s="6"/>
      <c r="AI508" t="str">
        <f t="shared" si="148"/>
        <v/>
      </c>
      <c r="BI508" s="40"/>
      <c r="BL508" s="40"/>
      <c r="BN508" s="19"/>
      <c r="BP508" s="17"/>
    </row>
    <row r="509" spans="1:68" x14ac:dyDescent="0.2">
      <c r="A509" t="str">
        <f t="shared" si="146"/>
        <v/>
      </c>
      <c r="E509" s="4"/>
      <c r="F509" s="45"/>
      <c r="G509" s="4"/>
      <c r="H509" s="48"/>
      <c r="J509" s="46" t="str">
        <f t="shared" si="147"/>
        <v/>
      </c>
      <c r="N509" t="str">
        <f t="shared" si="156"/>
        <v/>
      </c>
      <c r="Q509" t="str">
        <f t="shared" si="155"/>
        <v/>
      </c>
      <c r="S509" t="str">
        <f>IF(A509=1,MAX(S$2:S508)+1,IF(OR(I509&lt;&gt;"",A509="x"),S508,""))</f>
        <v/>
      </c>
      <c r="T509" t="str">
        <f>IF(D509=1,MAX($T$2:$T508)+1,IF(S509=$S508,$S508,IF($D509="x",T508,IF($D508="x","",""))))</f>
        <v/>
      </c>
      <c r="U509" t="str">
        <f>IF(B509=1,MAX($U$2:$U508)+1,IF(AND($T509&lt;&gt;"",$T509=$T508),$U508,IF(B509="x",U508,"")))</f>
        <v/>
      </c>
      <c r="V509" t="str">
        <f>IF(C509=1,MAX($V$2:$V508)+1,IF(AND($T509&lt;&gt;"",$T509=$T508),$U508,IF(C509="x",V508,"")))</f>
        <v/>
      </c>
      <c r="W509" t="str" cm="1">
        <f t="array" ref="W509">IFERROR(_xlfn._xlws.FILTER(game_rosters!AB:AB,(game_rosters!J:J=events!X509)*(K509&lt;&gt;"")),"")</f>
        <v/>
      </c>
      <c r="X509" t="str" cm="1">
        <f t="array" ref="X509">IF(S509="","",IF($I509&lt;&gt;"",$I509,INDEX($I$2:$I508,ROW()-COUNTIFS($T$2:$T508,"="&amp;$T509,$S$2:$S508,"&lt;&gt;"&amp;$S509)-1)))</f>
        <v/>
      </c>
      <c r="Z509" s="6"/>
      <c r="AI509" t="str">
        <f t="shared" si="148"/>
        <v/>
      </c>
      <c r="BI509" s="40"/>
      <c r="BL509" s="40"/>
      <c r="BN509" s="19"/>
      <c r="BP509" s="17"/>
    </row>
    <row r="510" spans="1:68" x14ac:dyDescent="0.2">
      <c r="A510" t="str">
        <f t="shared" si="146"/>
        <v/>
      </c>
      <c r="E510" s="4"/>
      <c r="F510" s="45"/>
      <c r="G510" s="4"/>
      <c r="H510" s="48"/>
      <c r="J510" s="46" t="str">
        <f t="shared" si="147"/>
        <v/>
      </c>
      <c r="N510" t="str">
        <f t="shared" si="156"/>
        <v/>
      </c>
      <c r="Q510" t="str">
        <f t="shared" si="155"/>
        <v/>
      </c>
      <c r="S510" t="str">
        <f>IF(A510=1,MAX(S$2:S509)+1,IF(OR(I510&lt;&gt;"",A510="x"),S509,""))</f>
        <v/>
      </c>
      <c r="T510" t="str">
        <f>IF(D510=1,MAX($T$2:$T509)+1,IF(S510=$S509,$S509,IF($D510="x",T509,IF($D509="x","",""))))</f>
        <v/>
      </c>
      <c r="U510" t="str">
        <f>IF(B510=1,MAX($U$2:$U509)+1,IF(AND($T510&lt;&gt;"",$T510=$T509),$U509,IF(B510="x",U509,"")))</f>
        <v/>
      </c>
      <c r="V510" t="str">
        <f>IF(C510=1,MAX($V$2:$V509)+1,IF(AND($T510&lt;&gt;"",$T510=$T509),$U509,IF(C510="x",V509,"")))</f>
        <v/>
      </c>
      <c r="W510" t="str" cm="1">
        <f t="array" ref="W510">IFERROR(_xlfn._xlws.FILTER(game_rosters!AB:AB,(game_rosters!J:J=events!X510)*(K510&lt;&gt;"")),"")</f>
        <v/>
      </c>
      <c r="X510" t="str" cm="1">
        <f t="array" ref="X510">IF(S510="","",IF($I510&lt;&gt;"",$I510,INDEX($I$2:$I509,ROW()-COUNTIFS($T$2:$T509,"="&amp;$T510,$S$2:$S509,"&lt;&gt;"&amp;$S510)-1)))</f>
        <v/>
      </c>
      <c r="Z510" s="6"/>
      <c r="AI510" t="str">
        <f t="shared" si="148"/>
        <v/>
      </c>
      <c r="BI510" s="40"/>
      <c r="BL510" s="40"/>
      <c r="BN510" s="19"/>
      <c r="BP510" s="17"/>
    </row>
    <row r="511" spans="1:68" x14ac:dyDescent="0.2">
      <c r="A511" t="str">
        <f t="shared" si="146"/>
        <v/>
      </c>
      <c r="E511" s="4"/>
      <c r="F511" s="45"/>
      <c r="G511" s="4"/>
      <c r="H511" s="48"/>
      <c r="J511" s="46" t="str">
        <f t="shared" si="147"/>
        <v/>
      </c>
      <c r="N511" t="str">
        <f t="shared" si="156"/>
        <v/>
      </c>
      <c r="Q511" t="str">
        <f t="shared" si="155"/>
        <v/>
      </c>
      <c r="S511" t="str">
        <f>IF(A511=1,MAX(S$2:S510)+1,IF(OR(I511&lt;&gt;"",A511="x"),S510,""))</f>
        <v/>
      </c>
      <c r="T511" t="str">
        <f>IF(D511=1,MAX($T$2:$T510)+1,IF(S511=$S510,$S510,IF($D511="x",T510,IF($D510="x","",""))))</f>
        <v/>
      </c>
      <c r="U511" t="str">
        <f>IF(B511=1,MAX($U$2:$U510)+1,IF(AND($T511&lt;&gt;"",$T511=$T510),$U510,IF(B511="x",U510,"")))</f>
        <v/>
      </c>
      <c r="V511" t="str">
        <f>IF(C511=1,MAX($V$2:$V510)+1,IF(AND($T511&lt;&gt;"",$T511=$T510),$U510,IF(C511="x",V510,"")))</f>
        <v/>
      </c>
      <c r="W511" t="str" cm="1">
        <f t="array" ref="W511">IFERROR(_xlfn._xlws.FILTER(game_rosters!AB:AB,(game_rosters!J:J=events!X511)*(K511&lt;&gt;"")),"")</f>
        <v/>
      </c>
      <c r="X511" t="str" cm="1">
        <f t="array" ref="X511">IF(S511="","",IF($I511&lt;&gt;"",$I511,INDEX($I$2:$I510,ROW()-COUNTIFS($T$2:$T510,"="&amp;$T511,$S$2:$S510,"&lt;&gt;"&amp;$S511)-1)))</f>
        <v/>
      </c>
      <c r="Z511" s="6"/>
      <c r="AI511" t="str">
        <f t="shared" si="148"/>
        <v/>
      </c>
      <c r="BI511" s="40"/>
      <c r="BL511" s="40"/>
      <c r="BN511" s="19"/>
      <c r="BP511" s="17"/>
    </row>
    <row r="512" spans="1:68" x14ac:dyDescent="0.2">
      <c r="A512" t="str">
        <f t="shared" si="146"/>
        <v/>
      </c>
      <c r="E512" s="4"/>
      <c r="F512" s="45"/>
      <c r="G512" s="4"/>
      <c r="H512" s="48"/>
      <c r="J512" s="46" t="str">
        <f t="shared" si="147"/>
        <v/>
      </c>
      <c r="N512" t="str">
        <f t="shared" si="156"/>
        <v/>
      </c>
      <c r="Q512" t="str">
        <f t="shared" si="155"/>
        <v/>
      </c>
      <c r="S512" t="str">
        <f>IF(A512=1,MAX(S$2:S511)+1,IF(OR(I512&lt;&gt;"",A512="x"),S511,""))</f>
        <v/>
      </c>
      <c r="T512" t="str">
        <f>IF(D512=1,MAX($T$2:$T511)+1,IF(S512=$S511,$S511,IF($D512="x",T511,IF($D511="x","",""))))</f>
        <v/>
      </c>
      <c r="U512" t="str">
        <f>IF(B512=1,MAX($U$2:$U511)+1,IF(AND($T512&lt;&gt;"",$T512=$T511),$U511,IF(B512="x",U511,"")))</f>
        <v/>
      </c>
      <c r="V512" t="str">
        <f>IF(C512=1,MAX($V$2:$V511)+1,IF(AND($T512&lt;&gt;"",$T512=$T511),$U511,IF(C512="x",V511,"")))</f>
        <v/>
      </c>
      <c r="W512" t="str" cm="1">
        <f t="array" ref="W512">IFERROR(_xlfn._xlws.FILTER(game_rosters!AB:AB,(game_rosters!J:J=events!X512)*(K512&lt;&gt;"")),"")</f>
        <v/>
      </c>
      <c r="X512" t="str" cm="1">
        <f t="array" ref="X512">IF(S512="","",IF($I512&lt;&gt;"",$I512,INDEX($I$2:$I511,ROW()-COUNTIFS($T$2:$T511,"="&amp;$T512,$S$2:$S511,"&lt;&gt;"&amp;$S512)-1)))</f>
        <v/>
      </c>
      <c r="Z512" s="6"/>
      <c r="AI512" t="str">
        <f t="shared" si="148"/>
        <v/>
      </c>
      <c r="BI512" s="40"/>
      <c r="BL512" s="40"/>
      <c r="BN512" s="19"/>
      <c r="BP512" s="17"/>
    </row>
    <row r="513" spans="1:68" x14ac:dyDescent="0.2">
      <c r="A513" t="str">
        <f t="shared" si="146"/>
        <v/>
      </c>
      <c r="E513" s="4"/>
      <c r="F513" s="45"/>
      <c r="G513" s="4"/>
      <c r="H513" s="48"/>
      <c r="J513" s="46" t="str">
        <f t="shared" si="147"/>
        <v/>
      </c>
      <c r="N513" t="str">
        <f t="shared" si="156"/>
        <v/>
      </c>
      <c r="Q513" t="str">
        <f t="shared" si="155"/>
        <v/>
      </c>
      <c r="S513" t="str">
        <f>IF(A513=1,MAX(S$2:S512)+1,IF(OR(I513&lt;&gt;"",A513="x"),S512,""))</f>
        <v/>
      </c>
      <c r="T513" t="str">
        <f>IF(D513=1,MAX($T$2:$T512)+1,IF(S513=$S512,$S512,IF($D513="x",T512,IF($D512="x","",""))))</f>
        <v/>
      </c>
      <c r="U513" t="str">
        <f>IF(B513=1,MAX($U$2:$U512)+1,IF(AND($T513&lt;&gt;"",$T513=$T512),$U512,IF(B513="x",U512,"")))</f>
        <v/>
      </c>
      <c r="V513" t="str">
        <f>IF(C513=1,MAX($V$2:$V512)+1,IF(AND($T513&lt;&gt;"",$T513=$T512),$U512,IF(C513="x",V512,"")))</f>
        <v/>
      </c>
      <c r="W513" t="str" cm="1">
        <f t="array" ref="W513">IFERROR(_xlfn._xlws.FILTER(game_rosters!AB:AB,(game_rosters!J:J=events!X513)*(K513&lt;&gt;"")),"")</f>
        <v/>
      </c>
      <c r="X513" t="str" cm="1">
        <f t="array" ref="X513">IF(S513="","",IF($I513&lt;&gt;"",$I513,INDEX($I$2:$I512,ROW()-COUNTIFS($T$2:$T512,"="&amp;$T513,$S$2:$S512,"&lt;&gt;"&amp;$S513)-1)))</f>
        <v/>
      </c>
      <c r="Z513" s="6"/>
      <c r="AI513" t="str">
        <f t="shared" si="148"/>
        <v/>
      </c>
      <c r="BI513" s="40"/>
      <c r="BL513" s="40"/>
      <c r="BN513" s="19"/>
      <c r="BP513" s="17"/>
    </row>
    <row r="514" spans="1:68" x14ac:dyDescent="0.2">
      <c r="A514" t="str">
        <f t="shared" si="146"/>
        <v/>
      </c>
      <c r="E514" s="4"/>
      <c r="F514" s="45"/>
      <c r="G514" s="4"/>
      <c r="H514" s="48"/>
      <c r="J514" s="46" t="str">
        <f t="shared" si="147"/>
        <v/>
      </c>
      <c r="N514" t="str">
        <f t="shared" si="156"/>
        <v/>
      </c>
      <c r="Q514" t="str">
        <f t="shared" si="155"/>
        <v/>
      </c>
      <c r="S514" t="str">
        <f>IF(A514=1,MAX(S$2:S513)+1,IF(OR(I514&lt;&gt;"",A514="x"),S513,""))</f>
        <v/>
      </c>
      <c r="T514" t="str">
        <f>IF(D514=1,MAX($T$2:$T513)+1,IF(S514=$S513,$S513,IF($D514="x",T513,IF($D513="x","",""))))</f>
        <v/>
      </c>
      <c r="U514" t="str">
        <f>IF(B514=1,MAX($U$2:$U513)+1,IF(AND($T514&lt;&gt;"",$T514=$T513),$U513,IF(B514="x",U513,"")))</f>
        <v/>
      </c>
      <c r="V514" t="str">
        <f>IF(C514=1,MAX($V$2:$V513)+1,IF(AND($T514&lt;&gt;"",$T514=$T513),$U513,IF(C514="x",V513,"")))</f>
        <v/>
      </c>
      <c r="W514" t="str" cm="1">
        <f t="array" ref="W514">IFERROR(_xlfn._xlws.FILTER(game_rosters!AB:AB,(game_rosters!J:J=events!X514)*(K514&lt;&gt;"")),"")</f>
        <v/>
      </c>
      <c r="X514" t="str" cm="1">
        <f t="array" ref="X514">IF(S514="","",IF($I514&lt;&gt;"",$I514,INDEX($I$2:$I513,ROW()-COUNTIFS($T$2:$T513,"="&amp;$T514,$S$2:$S513,"&lt;&gt;"&amp;$S514)-1)))</f>
        <v/>
      </c>
      <c r="Z514" s="6"/>
      <c r="AI514" t="str">
        <f t="shared" si="148"/>
        <v/>
      </c>
      <c r="BI514" s="40"/>
      <c r="BL514" s="40"/>
      <c r="BN514" s="19"/>
      <c r="BP514" s="17"/>
    </row>
    <row r="515" spans="1:68" x14ac:dyDescent="0.2">
      <c r="A515" t="str">
        <f t="shared" si="146"/>
        <v/>
      </c>
      <c r="E515" s="4"/>
      <c r="F515" s="45"/>
      <c r="G515" s="4"/>
      <c r="H515" s="48"/>
      <c r="J515" s="46" t="str">
        <f t="shared" si="147"/>
        <v/>
      </c>
      <c r="N515" t="str">
        <f t="shared" si="156"/>
        <v/>
      </c>
      <c r="Q515" t="str">
        <f t="shared" si="155"/>
        <v/>
      </c>
      <c r="S515" t="str">
        <f>IF(A515=1,MAX(S$2:S514)+1,IF(OR(I515&lt;&gt;"",A515="x"),S514,""))</f>
        <v/>
      </c>
      <c r="T515" t="str">
        <f>IF(D515=1,MAX($T$2:$T514)+1,IF(S515=$S514,$S514,IF($D515="x",T514,IF($D514="x","",""))))</f>
        <v/>
      </c>
      <c r="U515" t="str">
        <f>IF(B515=1,MAX($U$2:$U514)+1,IF(AND($T515&lt;&gt;"",$T515=$T514),$U514,IF(B515="x",U514,"")))</f>
        <v/>
      </c>
      <c r="V515" t="str">
        <f>IF(C515=1,MAX($V$2:$V514)+1,IF(AND($T515&lt;&gt;"",$T515=$T514),$U514,IF(C515="x",V514,"")))</f>
        <v/>
      </c>
      <c r="W515" t="str" cm="1">
        <f t="array" ref="W515">IFERROR(_xlfn._xlws.FILTER(game_rosters!AB:AB,(game_rosters!J:J=events!X515)*(K515&lt;&gt;"")),"")</f>
        <v/>
      </c>
      <c r="X515" t="str" cm="1">
        <f t="array" ref="X515">IF(S515="","",IF($I515&lt;&gt;"",$I515,INDEX($I$2:$I514,ROW()-COUNTIFS($T$2:$T514,"="&amp;$T515,$S$2:$S514,"&lt;&gt;"&amp;$S515)-1)))</f>
        <v/>
      </c>
      <c r="Z515" s="6"/>
      <c r="AI515" t="str">
        <f t="shared" si="148"/>
        <v/>
      </c>
      <c r="BI515" s="40"/>
      <c r="BL515" s="40"/>
      <c r="BN515" s="19"/>
      <c r="BP515" s="17"/>
    </row>
    <row r="516" spans="1:68" x14ac:dyDescent="0.2">
      <c r="A516" t="str">
        <f t="shared" si="146"/>
        <v/>
      </c>
      <c r="E516" s="4"/>
      <c r="F516" s="45"/>
      <c r="G516" s="4"/>
      <c r="H516" s="48"/>
      <c r="J516" s="46" t="str">
        <f t="shared" si="147"/>
        <v/>
      </c>
      <c r="N516" t="str">
        <f t="shared" si="156"/>
        <v/>
      </c>
      <c r="Q516" t="str">
        <f t="shared" si="155"/>
        <v/>
      </c>
      <c r="S516" t="str">
        <f>IF(A516=1,MAX(S$2:S515)+1,IF(OR(I516&lt;&gt;"",A516="x"),S515,""))</f>
        <v/>
      </c>
      <c r="T516" t="str">
        <f>IF(D516=1,MAX($T$2:$T515)+1,IF(S516=$S515,$S515,IF($D516="x",T515,IF($D515="x","",""))))</f>
        <v/>
      </c>
      <c r="U516" t="str">
        <f>IF(B516=1,MAX($U$2:$U515)+1,IF(AND($T516&lt;&gt;"",$T516=$T515),$U515,IF(B516="x",U515,"")))</f>
        <v/>
      </c>
      <c r="V516" t="str">
        <f>IF(C516=1,MAX($V$2:$V515)+1,IF(AND($T516&lt;&gt;"",$T516=$T515),$U515,IF(C516="x",V515,"")))</f>
        <v/>
      </c>
      <c r="W516" t="str" cm="1">
        <f t="array" ref="W516">IFERROR(_xlfn._xlws.FILTER(game_rosters!AB:AB,(game_rosters!J:J=events!X516)*(K516&lt;&gt;"")),"")</f>
        <v/>
      </c>
      <c r="X516" t="str" cm="1">
        <f t="array" ref="X516">IF(S516="","",IF($I516&lt;&gt;"",$I516,INDEX($I$2:$I515,ROW()-COUNTIFS($T$2:$T515,"="&amp;$T516,$S$2:$S515,"&lt;&gt;"&amp;$S516)-1)))</f>
        <v/>
      </c>
      <c r="Z516" s="6"/>
      <c r="AI516" t="str">
        <f t="shared" si="148"/>
        <v/>
      </c>
      <c r="BI516" s="40"/>
      <c r="BL516" s="40"/>
      <c r="BN516" s="19"/>
      <c r="BP516" s="17"/>
    </row>
    <row r="517" spans="1:68" x14ac:dyDescent="0.2">
      <c r="A517" t="str">
        <f t="shared" ref="A517:A580" si="157">IF(K517&lt;&gt;"",1,IF(D517="x","x",""))</f>
        <v/>
      </c>
      <c r="E517" s="4"/>
      <c r="F517" s="45"/>
      <c r="G517" s="4"/>
      <c r="H517" s="48"/>
      <c r="J517" s="46" t="str">
        <f t="shared" si="147"/>
        <v/>
      </c>
      <c r="N517" t="str">
        <f t="shared" si="156"/>
        <v/>
      </c>
      <c r="Q517" t="str">
        <f t="shared" si="155"/>
        <v/>
      </c>
      <c r="S517" t="str">
        <f>IF(A517=1,MAX(S$2:S516)+1,IF(OR(I517&lt;&gt;"",A517="x"),S516,""))</f>
        <v/>
      </c>
      <c r="T517" t="str">
        <f>IF(D517=1,MAX($T$2:$T516)+1,IF(S517=$S516,$S516,IF($D517="x",T516,IF($D516="x","",""))))</f>
        <v/>
      </c>
      <c r="U517" t="str">
        <f>IF(B517=1,MAX($U$2:$U516)+1,IF(AND($T517&lt;&gt;"",$T517=$T516),$U516,IF(B517="x",U516,"")))</f>
        <v/>
      </c>
      <c r="V517" t="str">
        <f>IF(C517=1,MAX($V$2:$V516)+1,IF(AND($T517&lt;&gt;"",$T517=$T516),$U516,IF(C517="x",V516,"")))</f>
        <v/>
      </c>
      <c r="W517" t="str" cm="1">
        <f t="array" ref="W517">IFERROR(_xlfn._xlws.FILTER(game_rosters!AB:AB,(game_rosters!J:J=events!X517)*(K517&lt;&gt;"")),"")</f>
        <v/>
      </c>
      <c r="X517" t="str" cm="1">
        <f t="array" ref="X517">IF(S517="","",IF($I517&lt;&gt;"",$I517,INDEX($I$2:$I516,ROW()-COUNTIFS($T$2:$T516,"="&amp;$T517,$S$2:$S516,"&lt;&gt;"&amp;$S517)-1)))</f>
        <v/>
      </c>
      <c r="Z517" s="6"/>
      <c r="AI517" t="str">
        <f t="shared" si="148"/>
        <v/>
      </c>
      <c r="BI517" s="40"/>
      <c r="BL517" s="40"/>
      <c r="BN517" s="19"/>
      <c r="BP517" s="17"/>
    </row>
    <row r="518" spans="1:68" x14ac:dyDescent="0.2">
      <c r="A518" t="str">
        <f t="shared" si="157"/>
        <v/>
      </c>
      <c r="E518" s="4"/>
      <c r="F518" s="45"/>
      <c r="G518" s="4"/>
      <c r="H518" s="48"/>
      <c r="J518" s="46" t="str">
        <f t="shared" ref="J518:J581" si="158">IF(OR(K518="Goal",K518="Shot",L518="Zone_Entry",M518="Stoppage-Goal",M517="Stoppage-Goal"),"o",IF(OR(K518="Save",K518="Rebound",L518="Zone_Exit",M518="Stoppage-GoalieStoppage",M517="Stoppage-GoalieStoppage"),"d",IF(OR(L518="Faceoff_AfterGoal",L518="Faceoff_PeriodStart",698="Faceoff_GameStart",M517="Stoppage-Goal"),"n","")))</f>
        <v/>
      </c>
      <c r="N518" t="str">
        <f t="shared" si="156"/>
        <v/>
      </c>
      <c r="Q518" t="str">
        <f t="shared" si="155"/>
        <v/>
      </c>
      <c r="S518" t="str">
        <f>IF(A518=1,MAX(S$2:S517)+1,IF(OR(I518&lt;&gt;"",A518="x"),S517,""))</f>
        <v/>
      </c>
      <c r="T518" t="str">
        <f>IF(D518=1,MAX($T$2:$T517)+1,IF(S518=$S517,$S517,IF($D518="x",T517,IF($D517="x","",""))))</f>
        <v/>
      </c>
      <c r="U518" t="str">
        <f>IF(B518=1,MAX($U$2:$U517)+1,IF(AND($T518&lt;&gt;"",$T518=$T517),$U517,IF(B518="x",U517,"")))</f>
        <v/>
      </c>
      <c r="V518" t="str">
        <f>IF(C518=1,MAX($V$2:$V517)+1,IF(AND($T518&lt;&gt;"",$T518=$T517),$U517,IF(C518="x",V517,"")))</f>
        <v/>
      </c>
      <c r="W518" t="str" cm="1">
        <f t="array" ref="W518">IFERROR(_xlfn._xlws.FILTER(game_rosters!AB:AB,(game_rosters!J:J=events!X518)*(K518&lt;&gt;"")),"")</f>
        <v/>
      </c>
      <c r="X518" t="str" cm="1">
        <f t="array" ref="X518">IF(S518="","",IF($I518&lt;&gt;"",$I518,INDEX($I$2:$I517,ROW()-COUNTIFS($T$2:$T517,"="&amp;$T518,$S$2:$S517,"&lt;&gt;"&amp;$S518)-1)))</f>
        <v/>
      </c>
      <c r="Z518" s="6"/>
      <c r="AI518" t="str">
        <f t="shared" ref="AI518:AI581" si="159">IF($J518&lt;&gt;"",$J518,IF($AC518=$AC517,AI517,""))</f>
        <v/>
      </c>
      <c r="BI518" s="40"/>
      <c r="BL518" s="40"/>
      <c r="BN518" s="19"/>
      <c r="BP518" s="17"/>
    </row>
    <row r="519" spans="1:68" x14ac:dyDescent="0.2">
      <c r="A519" t="str">
        <f t="shared" si="157"/>
        <v/>
      </c>
      <c r="E519" s="4"/>
      <c r="F519" s="45"/>
      <c r="G519" s="4"/>
      <c r="H519" s="48"/>
      <c r="J519" s="46" t="str">
        <f t="shared" si="158"/>
        <v/>
      </c>
      <c r="N519" t="str">
        <f t="shared" si="156"/>
        <v/>
      </c>
      <c r="Q519" t="str">
        <f t="shared" si="155"/>
        <v/>
      </c>
      <c r="S519" t="str">
        <f>IF(A519=1,MAX(S$2:S518)+1,IF(OR(I519&lt;&gt;"",A519="x"),S518,""))</f>
        <v/>
      </c>
      <c r="T519" t="str">
        <f>IF(D519=1,MAX($T$2:$T518)+1,IF(S519=$S518,$S518,IF($D519="x",T518,IF($D518="x","",""))))</f>
        <v/>
      </c>
      <c r="U519" t="str">
        <f>IF(B519=1,MAX($U$2:$U518)+1,IF(AND($T519&lt;&gt;"",$T519=$T518),$U518,IF(B519="x",U518,"")))</f>
        <v/>
      </c>
      <c r="V519" t="str">
        <f>IF(C519=1,MAX($V$2:$V518)+1,IF(AND($T519&lt;&gt;"",$T519=$T518),$U518,IF(C519="x",V518,"")))</f>
        <v/>
      </c>
      <c r="W519" t="str" cm="1">
        <f t="array" ref="W519">IFERROR(_xlfn._xlws.FILTER(game_rosters!AB:AB,(game_rosters!J:J=events!X519)*(K519&lt;&gt;"")),"")</f>
        <v/>
      </c>
      <c r="X519" t="str" cm="1">
        <f t="array" ref="X519">IF(S519="","",IF($I519&lt;&gt;"",$I519,INDEX($I$2:$I518,ROW()-COUNTIFS($T$2:$T518,"="&amp;$T519,$S$2:$S518,"&lt;&gt;"&amp;$S519)-1)))</f>
        <v/>
      </c>
      <c r="Z519" s="6"/>
      <c r="AI519" t="str">
        <f t="shared" si="159"/>
        <v/>
      </c>
      <c r="BI519" s="40"/>
      <c r="BL519" s="40"/>
      <c r="BN519" s="19"/>
      <c r="BP519" s="17"/>
    </row>
    <row r="520" spans="1:68" x14ac:dyDescent="0.2">
      <c r="A520" t="str">
        <f t="shared" si="157"/>
        <v/>
      </c>
      <c r="E520" s="4"/>
      <c r="F520" s="45"/>
      <c r="G520" s="4"/>
      <c r="H520" s="48"/>
      <c r="J520" s="46" t="str">
        <f t="shared" si="158"/>
        <v/>
      </c>
      <c r="N520" t="str">
        <f t="shared" si="156"/>
        <v/>
      </c>
      <c r="Q520" t="str">
        <f t="shared" si="155"/>
        <v/>
      </c>
      <c r="S520" t="str">
        <f>IF(A520=1,MAX(S$2:S519)+1,IF(OR(I520&lt;&gt;"",A520="x"),S519,""))</f>
        <v/>
      </c>
      <c r="T520" t="str">
        <f>IF(D520=1,MAX($T$2:$T519)+1,IF(S520=$S519,$S519,IF($D520="x",T519,IF($D519="x","",""))))</f>
        <v/>
      </c>
      <c r="U520" t="str">
        <f>IF(B520=1,MAX($U$2:$U519)+1,IF(AND($T520&lt;&gt;"",$T520=$T519),$U519,IF(B520="x",U519,"")))</f>
        <v/>
      </c>
      <c r="V520" t="str">
        <f>IF(C520=1,MAX($V$2:$V519)+1,IF(AND($T520&lt;&gt;"",$T520=$T519),$U519,IF(C520="x",V519,"")))</f>
        <v/>
      </c>
      <c r="W520" t="str" cm="1">
        <f t="array" ref="W520">IFERROR(_xlfn._xlws.FILTER(game_rosters!AB:AB,(game_rosters!J:J=events!X520)*(K520&lt;&gt;"")),"")</f>
        <v/>
      </c>
      <c r="X520" t="str" cm="1">
        <f t="array" ref="X520">IF(S520="","",IF($I520&lt;&gt;"",$I520,INDEX($I$2:$I519,ROW()-COUNTIFS($T$2:$T519,"="&amp;$T520,$S$2:$S519,"&lt;&gt;"&amp;$S520)-1)))</f>
        <v/>
      </c>
      <c r="Z520" s="6"/>
      <c r="AI520" t="str">
        <f t="shared" si="159"/>
        <v/>
      </c>
      <c r="BI520" s="40"/>
      <c r="BL520" s="40"/>
      <c r="BN520" s="19"/>
      <c r="BP520" s="17"/>
    </row>
    <row r="521" spans="1:68" x14ac:dyDescent="0.2">
      <c r="A521" t="str">
        <f t="shared" si="157"/>
        <v/>
      </c>
      <c r="E521" s="4"/>
      <c r="F521" s="45"/>
      <c r="G521" s="4"/>
      <c r="H521" s="48"/>
      <c r="J521" s="46" t="str">
        <f t="shared" si="158"/>
        <v/>
      </c>
      <c r="N521" t="str">
        <f t="shared" si="156"/>
        <v/>
      </c>
      <c r="Q521" t="str">
        <f t="shared" si="155"/>
        <v/>
      </c>
      <c r="S521" t="str">
        <f>IF(A521=1,MAX(S$2:S520)+1,IF(OR(I521&lt;&gt;"",A521="x"),S520,""))</f>
        <v/>
      </c>
      <c r="T521" t="str">
        <f>IF(D521=1,MAX($T$2:$T520)+1,IF(S521=$S520,$S520,IF($D521="x",T520,IF($D520="x","",""))))</f>
        <v/>
      </c>
      <c r="U521" t="str">
        <f>IF(B521=1,MAX($U$2:$U520)+1,IF(AND($T521&lt;&gt;"",$T521=$T520),$U520,IF(B521="x",U520,"")))</f>
        <v/>
      </c>
      <c r="V521" t="str">
        <f>IF(C521=1,MAX($V$2:$V520)+1,IF(AND($T521&lt;&gt;"",$T521=$T520),$U520,IF(C521="x",V520,"")))</f>
        <v/>
      </c>
      <c r="W521" t="str" cm="1">
        <f t="array" ref="W521">IFERROR(_xlfn._xlws.FILTER(game_rosters!AB:AB,(game_rosters!J:J=events!X521)*(K521&lt;&gt;"")),"")</f>
        <v/>
      </c>
      <c r="X521" t="str" cm="1">
        <f t="array" ref="X521">IF(S521="","",IF($I521&lt;&gt;"",$I521,INDEX($I$2:$I520,ROW()-COUNTIFS($T$2:$T520,"="&amp;$T521,$S$2:$S520,"&lt;&gt;"&amp;$S521)-1)))</f>
        <v/>
      </c>
      <c r="Z521" s="6"/>
      <c r="AI521" t="str">
        <f t="shared" si="159"/>
        <v/>
      </c>
      <c r="BI521" s="40"/>
      <c r="BL521" s="40"/>
      <c r="BN521" s="19"/>
      <c r="BP521" s="17"/>
    </row>
    <row r="522" spans="1:68" x14ac:dyDescent="0.2">
      <c r="A522" t="str">
        <f t="shared" si="157"/>
        <v/>
      </c>
      <c r="E522" s="4"/>
      <c r="F522" s="45"/>
      <c r="G522" s="4"/>
      <c r="H522" s="48"/>
      <c r="J522" s="46" t="str">
        <f t="shared" si="158"/>
        <v/>
      </c>
      <c r="N522" t="str">
        <f t="shared" si="156"/>
        <v/>
      </c>
      <c r="Q522" t="str">
        <f t="shared" si="155"/>
        <v/>
      </c>
      <c r="S522" t="str">
        <f>IF(A522=1,MAX(S$2:S521)+1,IF(OR(I522&lt;&gt;"",A522="x"),S521,""))</f>
        <v/>
      </c>
      <c r="T522" t="str">
        <f>IF(D522=1,MAX($T$2:$T521)+1,IF(S522=$S521,$S521,IF($D522="x",T521,IF($D521="x","",""))))</f>
        <v/>
      </c>
      <c r="U522" t="str">
        <f>IF(B522=1,MAX($U$2:$U521)+1,IF(AND($T522&lt;&gt;"",$T522=$T521),$U521,IF(B522="x",U521,"")))</f>
        <v/>
      </c>
      <c r="V522" t="str">
        <f>IF(C522=1,MAX($V$2:$V521)+1,IF(AND($T522&lt;&gt;"",$T522=$T521),$U521,IF(C522="x",V521,"")))</f>
        <v/>
      </c>
      <c r="W522" t="str" cm="1">
        <f t="array" ref="W522">IFERROR(_xlfn._xlws.FILTER(game_rosters!AB:AB,(game_rosters!J:J=events!X522)*(K522&lt;&gt;"")),"")</f>
        <v/>
      </c>
      <c r="X522" t="str" cm="1">
        <f t="array" ref="X522">IF(S522="","",IF($I522&lt;&gt;"",$I522,INDEX($I$2:$I521,ROW()-COUNTIFS($T$2:$T521,"="&amp;$T522,$S$2:$S521,"&lt;&gt;"&amp;$S522)-1)))</f>
        <v/>
      </c>
      <c r="Z522" s="6"/>
      <c r="AI522" t="str">
        <f t="shared" si="159"/>
        <v/>
      </c>
      <c r="BI522" s="40"/>
      <c r="BL522" s="40"/>
      <c r="BN522" s="19"/>
      <c r="BP522" s="17"/>
    </row>
    <row r="523" spans="1:68" x14ac:dyDescent="0.2">
      <c r="A523" t="str">
        <f t="shared" si="157"/>
        <v/>
      </c>
      <c r="E523" s="4"/>
      <c r="F523" s="45"/>
      <c r="G523" s="4"/>
      <c r="H523" s="48"/>
      <c r="J523" s="46" t="str">
        <f t="shared" si="158"/>
        <v/>
      </c>
      <c r="N523" t="str">
        <f t="shared" si="156"/>
        <v/>
      </c>
      <c r="Q523" t="str">
        <f t="shared" si="155"/>
        <v/>
      </c>
      <c r="S523" t="str">
        <f>IF(A523=1,MAX(S$2:S522)+1,IF(OR(I523&lt;&gt;"",A523="x"),S522,""))</f>
        <v/>
      </c>
      <c r="T523" t="str">
        <f>IF(D523=1,MAX($T$2:$T522)+1,IF(S523=$S522,$S522,IF($D523="x",T522,IF($D522="x","",""))))</f>
        <v/>
      </c>
      <c r="U523" t="str">
        <f>IF(B523=1,MAX($U$2:$U522)+1,IF(AND($T523&lt;&gt;"",$T523=$T522),$U522,IF(B523="x",U522,"")))</f>
        <v/>
      </c>
      <c r="V523" t="str">
        <f>IF(C523=1,MAX($V$2:$V522)+1,IF(AND($T523&lt;&gt;"",$T523=$T522),$U522,IF(C523="x",V522,"")))</f>
        <v/>
      </c>
      <c r="W523" t="str" cm="1">
        <f t="array" ref="W523">IFERROR(_xlfn._xlws.FILTER(game_rosters!AB:AB,(game_rosters!J:J=events!X523)*(K523&lt;&gt;"")),"")</f>
        <v/>
      </c>
      <c r="X523" t="str" cm="1">
        <f t="array" ref="X523">IF(S523="","",IF($I523&lt;&gt;"",$I523,INDEX($I$2:$I522,ROW()-COUNTIFS($T$2:$T522,"="&amp;$T523,$S$2:$S522,"&lt;&gt;"&amp;$S523)-1)))</f>
        <v/>
      </c>
      <c r="Z523" s="6"/>
      <c r="AI523" t="str">
        <f t="shared" si="159"/>
        <v/>
      </c>
      <c r="BI523" s="40"/>
      <c r="BL523" s="40"/>
      <c r="BN523" s="19"/>
      <c r="BP523" s="17"/>
    </row>
    <row r="524" spans="1:68" x14ac:dyDescent="0.2">
      <c r="A524" t="str">
        <f t="shared" si="157"/>
        <v/>
      </c>
      <c r="E524" s="4"/>
      <c r="F524" s="45"/>
      <c r="G524" s="4"/>
      <c r="H524" s="48"/>
      <c r="J524" s="46" t="str">
        <f t="shared" si="158"/>
        <v/>
      </c>
      <c r="N524" t="str">
        <f t="shared" si="156"/>
        <v/>
      </c>
      <c r="Q524" t="str">
        <f t="shared" si="155"/>
        <v/>
      </c>
      <c r="S524" t="str">
        <f>IF(A524=1,MAX(S$2:S523)+1,IF(OR(I524&lt;&gt;"",A524="x"),S523,""))</f>
        <v/>
      </c>
      <c r="T524" t="str">
        <f>IF(D524=1,MAX($T$2:$T523)+1,IF(S524=$S523,$S523,IF($D524="x",T523,IF($D523="x","",""))))</f>
        <v/>
      </c>
      <c r="U524" t="str">
        <f>IF(B524=1,MAX($U$2:$U523)+1,IF(AND($T524&lt;&gt;"",$T524=$T523),$U523,IF(B524="x",U523,"")))</f>
        <v/>
      </c>
      <c r="V524" t="str">
        <f>IF(C524=1,MAX($V$2:$V523)+1,IF(AND($T524&lt;&gt;"",$T524=$T523),$U523,IF(C524="x",V523,"")))</f>
        <v/>
      </c>
      <c r="W524" t="str" cm="1">
        <f t="array" ref="W524">IFERROR(_xlfn._xlws.FILTER(game_rosters!AB:AB,(game_rosters!J:J=events!X524)*(K524&lt;&gt;"")),"")</f>
        <v/>
      </c>
      <c r="X524" t="str" cm="1">
        <f t="array" ref="X524">IF(S524="","",IF($I524&lt;&gt;"",$I524,INDEX($I$2:$I523,ROW()-COUNTIFS($T$2:$T523,"="&amp;$T524,$S$2:$S523,"&lt;&gt;"&amp;$S524)-1)))</f>
        <v/>
      </c>
      <c r="Z524" s="6"/>
      <c r="AI524" t="str">
        <f t="shared" si="159"/>
        <v/>
      </c>
      <c r="BI524" s="40"/>
      <c r="BL524" s="40"/>
      <c r="BN524" s="19"/>
      <c r="BP524" s="17"/>
    </row>
    <row r="525" spans="1:68" x14ac:dyDescent="0.2">
      <c r="A525" t="str">
        <f t="shared" si="157"/>
        <v/>
      </c>
      <c r="E525" s="4"/>
      <c r="F525" s="45"/>
      <c r="G525" s="4"/>
      <c r="H525" s="48"/>
      <c r="J525" s="46" t="str">
        <f t="shared" si="158"/>
        <v/>
      </c>
      <c r="N525" t="str">
        <f t="shared" si="156"/>
        <v/>
      </c>
      <c r="Q525" t="str">
        <f t="shared" si="155"/>
        <v/>
      </c>
      <c r="S525" t="str">
        <f>IF(A525=1,MAX(S$2:S524)+1,IF(OR(I525&lt;&gt;"",A525="x"),S524,""))</f>
        <v/>
      </c>
      <c r="T525" t="str">
        <f>IF(D525=1,MAX($T$2:$T524)+1,IF(S525=$S524,$S524,IF($D525="x",T524,IF($D524="x","",""))))</f>
        <v/>
      </c>
      <c r="U525" t="str">
        <f>IF(B525=1,MAX($U$2:$U524)+1,IF(AND($T525&lt;&gt;"",$T525=$T524),$U524,IF(B525="x",U524,"")))</f>
        <v/>
      </c>
      <c r="V525" t="str">
        <f>IF(C525=1,MAX($V$2:$V524)+1,IF(AND($T525&lt;&gt;"",$T525=$T524),$U524,IF(C525="x",V524,"")))</f>
        <v/>
      </c>
      <c r="W525" t="str" cm="1">
        <f t="array" ref="W525">IFERROR(_xlfn._xlws.FILTER(game_rosters!AB:AB,(game_rosters!J:J=events!X525)*(K525&lt;&gt;"")),"")</f>
        <v/>
      </c>
      <c r="X525" t="str" cm="1">
        <f t="array" ref="X525">IF(S525="","",IF($I525&lt;&gt;"",$I525,INDEX($I$2:$I524,ROW()-COUNTIFS($T$2:$T524,"="&amp;$T525,$S$2:$S524,"&lt;&gt;"&amp;$S525)-1)))</f>
        <v/>
      </c>
      <c r="Z525" s="6"/>
      <c r="AI525" t="str">
        <f t="shared" si="159"/>
        <v/>
      </c>
      <c r="BI525" s="40"/>
      <c r="BL525" s="40"/>
      <c r="BN525" s="19"/>
      <c r="BP525" s="17"/>
    </row>
    <row r="526" spans="1:68" x14ac:dyDescent="0.2">
      <c r="A526" t="str">
        <f t="shared" si="157"/>
        <v/>
      </c>
      <c r="E526" s="4"/>
      <c r="F526" s="45"/>
      <c r="G526" s="4"/>
      <c r="H526" s="48"/>
      <c r="J526" s="46" t="str">
        <f t="shared" si="158"/>
        <v/>
      </c>
      <c r="N526" t="str">
        <f t="shared" si="156"/>
        <v/>
      </c>
      <c r="Q526" t="str">
        <f t="shared" si="155"/>
        <v/>
      </c>
      <c r="S526" t="str">
        <f>IF(A526=1,MAX(S$2:S525)+1,IF(OR(I526&lt;&gt;"",A526="x"),S525,""))</f>
        <v/>
      </c>
      <c r="T526" t="str">
        <f>IF(D526=1,MAX($T$2:$T525)+1,IF(S526=$S525,$S525,IF($D526="x",T525,IF($D525="x","",""))))</f>
        <v/>
      </c>
      <c r="U526" t="str">
        <f>IF(B526=1,MAX($U$2:$U525)+1,IF(AND($T526&lt;&gt;"",$T526=$T525),$U525,IF(B526="x",U525,"")))</f>
        <v/>
      </c>
      <c r="V526" t="str">
        <f>IF(C526=1,MAX($V$2:$V525)+1,IF(AND($T526&lt;&gt;"",$T526=$T525),$U525,IF(C526="x",V525,"")))</f>
        <v/>
      </c>
      <c r="W526" t="str" cm="1">
        <f t="array" ref="W526">IFERROR(_xlfn._xlws.FILTER(game_rosters!AB:AB,(game_rosters!J:J=events!X526)*(K526&lt;&gt;"")),"")</f>
        <v/>
      </c>
      <c r="X526" t="str" cm="1">
        <f t="array" ref="X526">IF(S526="","",IF($I526&lt;&gt;"",$I526,INDEX($I$2:$I525,ROW()-COUNTIFS($T$2:$T525,"="&amp;$T526,$S$2:$S525,"&lt;&gt;"&amp;$S526)-1)))</f>
        <v/>
      </c>
      <c r="Z526" s="6"/>
      <c r="AI526" t="str">
        <f t="shared" si="159"/>
        <v/>
      </c>
      <c r="BI526" s="40"/>
      <c r="BL526" s="40"/>
      <c r="BN526" s="19"/>
      <c r="BP526" s="17"/>
    </row>
    <row r="527" spans="1:68" x14ac:dyDescent="0.2">
      <c r="A527" t="str">
        <f t="shared" si="157"/>
        <v/>
      </c>
      <c r="E527" s="4"/>
      <c r="F527" s="45"/>
      <c r="G527" s="4"/>
      <c r="H527" s="48"/>
      <c r="J527" s="46" t="str">
        <f t="shared" si="158"/>
        <v/>
      </c>
      <c r="N527" t="str">
        <f t="shared" si="156"/>
        <v/>
      </c>
      <c r="Q527" t="str">
        <f t="shared" si="155"/>
        <v/>
      </c>
      <c r="S527" t="str">
        <f>IF(A527=1,MAX(S$2:S526)+1,IF(OR(I527&lt;&gt;"",A527="x"),S526,""))</f>
        <v/>
      </c>
      <c r="T527" t="str">
        <f>IF(D527=1,MAX($T$2:$T526)+1,IF(S527=$S526,$S526,IF($D527="x",T526,IF($D526="x","",""))))</f>
        <v/>
      </c>
      <c r="U527" t="str">
        <f>IF(B527=1,MAX($U$2:$U526)+1,IF(AND($T527&lt;&gt;"",$T527=$T526),$U526,IF(B527="x",U526,"")))</f>
        <v/>
      </c>
      <c r="V527" t="str">
        <f>IF(C527=1,MAX($V$2:$V526)+1,IF(AND($T527&lt;&gt;"",$T527=$T526),$U526,IF(C527="x",V526,"")))</f>
        <v/>
      </c>
      <c r="W527" t="str" cm="1">
        <f t="array" ref="W527">IFERROR(_xlfn._xlws.FILTER(game_rosters!AB:AB,(game_rosters!J:J=events!X527)*(K527&lt;&gt;"")),"")</f>
        <v/>
      </c>
      <c r="X527" t="str" cm="1">
        <f t="array" ref="X527">IF(S527="","",IF($I527&lt;&gt;"",$I527,INDEX($I$2:$I526,ROW()-COUNTIFS($T$2:$T526,"="&amp;$T527,$S$2:$S526,"&lt;&gt;"&amp;$S527)-1)))</f>
        <v/>
      </c>
      <c r="Z527" s="6"/>
      <c r="AI527" t="str">
        <f t="shared" si="159"/>
        <v/>
      </c>
      <c r="BI527" s="40"/>
      <c r="BL527" s="40"/>
      <c r="BN527" s="19"/>
      <c r="BP527" s="17"/>
    </row>
    <row r="528" spans="1:68" x14ac:dyDescent="0.2">
      <c r="A528" t="str">
        <f t="shared" si="157"/>
        <v/>
      </c>
      <c r="E528" s="4"/>
      <c r="F528" s="45"/>
      <c r="G528" s="4"/>
      <c r="H528" s="48"/>
      <c r="J528" s="46" t="str">
        <f t="shared" si="158"/>
        <v/>
      </c>
      <c r="N528" t="str">
        <f t="shared" si="156"/>
        <v/>
      </c>
      <c r="Q528" t="str">
        <f t="shared" ref="Q528:Q591" si="160">IF(O528="","",IF(AND(N528&lt;&gt;"",OR(O528&lt;&gt;"",P528&lt;&gt;"")),N528,IF(OR(ISNUMBER(SEARCH("attemp",O528)),ISNUMBER(SEARCH("beat",O528)),ISNUMBER(SEARCH("mis",O528)),ISNUMBER(SEARCH("fail",O528)),ISNUMBER(SEARCH("loss",O528)),ISNUMBER(SEARCH("lost",O528)),ISNUMBER(SEARCH("attemp",P528)),ISNUMBER(SEARCH("mis",P528)),ISNUMBER(SEARCH("fail",P528)),ISNUMBER(SEARCH("loss",P528)),ISNUMBER(SEARCH("beat",P528)),ISNUMBER(SEARCH("lost",P528))),"u","")))</f>
        <v/>
      </c>
      <c r="S528" t="str">
        <f>IF(A528=1,MAX(S$2:S527)+1,IF(OR(I528&lt;&gt;"",A528="x"),S527,""))</f>
        <v/>
      </c>
      <c r="T528" t="str">
        <f>IF(D528=1,MAX($T$2:$T527)+1,IF(S528=$S527,$S527,IF($D528="x",T527,IF($D527="x","",""))))</f>
        <v/>
      </c>
      <c r="U528" t="str">
        <f>IF(B528=1,MAX($U$2:$U527)+1,IF(AND($T528&lt;&gt;"",$T528=$T527),$U527,IF(B528="x",U527,"")))</f>
        <v/>
      </c>
      <c r="V528" t="str">
        <f>IF(C528=1,MAX($V$2:$V527)+1,IF(AND($T528&lt;&gt;"",$T528=$T527),$U527,IF(C528="x",V527,"")))</f>
        <v/>
      </c>
      <c r="W528" t="str" cm="1">
        <f t="array" ref="W528">IFERROR(_xlfn._xlws.FILTER(game_rosters!AB:AB,(game_rosters!J:J=events!X528)*(K528&lt;&gt;"")),"")</f>
        <v/>
      </c>
      <c r="X528" t="str" cm="1">
        <f t="array" ref="X528">IF(S528="","",IF($I528&lt;&gt;"",$I528,INDEX($I$2:$I527,ROW()-COUNTIFS($T$2:$T527,"="&amp;$T528,$S$2:$S527,"&lt;&gt;"&amp;$S528)-1)))</f>
        <v/>
      </c>
      <c r="Z528" s="6"/>
      <c r="AI528" t="str">
        <f t="shared" si="159"/>
        <v/>
      </c>
      <c r="BI528" s="40"/>
      <c r="BL528" s="40"/>
      <c r="BN528" s="19"/>
      <c r="BP528" s="17"/>
    </row>
    <row r="529" spans="1:68" x14ac:dyDescent="0.2">
      <c r="A529" t="str">
        <f t="shared" si="157"/>
        <v/>
      </c>
      <c r="E529" s="4"/>
      <c r="F529" s="45"/>
      <c r="G529" s="4"/>
      <c r="H529" s="48"/>
      <c r="J529" s="46" t="str">
        <f t="shared" si="158"/>
        <v/>
      </c>
      <c r="N529" t="str">
        <f t="shared" si="156"/>
        <v/>
      </c>
      <c r="Q529" t="str">
        <f t="shared" si="160"/>
        <v/>
      </c>
      <c r="S529" t="str">
        <f>IF(A529=1,MAX(S$2:S528)+1,IF(OR(I529&lt;&gt;"",A529="x"),S528,""))</f>
        <v/>
      </c>
      <c r="T529" t="str">
        <f>IF(D529=1,MAX($T$2:$T528)+1,IF(S529=$S528,$S528,IF($D529="x",T528,IF($D528="x","",""))))</f>
        <v/>
      </c>
      <c r="U529" t="str">
        <f>IF(B529=1,MAX($U$2:$U528)+1,IF(AND($T529&lt;&gt;"",$T529=$T528),$U528,IF(B529="x",U528,"")))</f>
        <v/>
      </c>
      <c r="V529" t="str">
        <f>IF(C529=1,MAX($V$2:$V528)+1,IF(AND($T529&lt;&gt;"",$T529=$T528),$U528,IF(C529="x",V528,"")))</f>
        <v/>
      </c>
      <c r="W529" t="str" cm="1">
        <f t="array" ref="W529">IFERROR(_xlfn._xlws.FILTER(game_rosters!AB:AB,(game_rosters!J:J=events!X529)*(K529&lt;&gt;"")),"")</f>
        <v/>
      </c>
      <c r="X529" t="str" cm="1">
        <f t="array" ref="X529">IF(S529="","",IF($I529&lt;&gt;"",$I529,INDEX($I$2:$I528,ROW()-COUNTIFS($T$2:$T528,"="&amp;$T529,$S$2:$S528,"&lt;&gt;"&amp;$S529)-1)))</f>
        <v/>
      </c>
      <c r="Z529" s="6"/>
      <c r="AI529" t="str">
        <f t="shared" si="159"/>
        <v/>
      </c>
      <c r="BI529" s="40"/>
      <c r="BL529" s="40"/>
      <c r="BN529" s="19"/>
      <c r="BP529" s="17"/>
    </row>
    <row r="530" spans="1:68" x14ac:dyDescent="0.2">
      <c r="A530" t="str">
        <f t="shared" si="157"/>
        <v/>
      </c>
      <c r="E530" s="4"/>
      <c r="F530" s="45"/>
      <c r="G530" s="4"/>
      <c r="H530" s="48"/>
      <c r="J530" s="46" t="str">
        <f t="shared" si="158"/>
        <v/>
      </c>
      <c r="N530" t="str">
        <f t="shared" si="156"/>
        <v/>
      </c>
      <c r="Q530" t="str">
        <f t="shared" si="160"/>
        <v/>
      </c>
      <c r="S530" t="str">
        <f>IF(A530=1,MAX(S$2:S529)+1,IF(OR(I530&lt;&gt;"",A530="x"),S529,""))</f>
        <v/>
      </c>
      <c r="T530" t="str">
        <f>IF(D530=1,MAX($T$2:$T529)+1,IF(S530=$S529,$S529,IF($D530="x",T529,IF($D529="x","",""))))</f>
        <v/>
      </c>
      <c r="U530" t="str">
        <f>IF(B530=1,MAX($U$2:$U529)+1,IF(AND($T530&lt;&gt;"",$T530=$T529),$U529,IF(B530="x",U529,"")))</f>
        <v/>
      </c>
      <c r="V530" t="str">
        <f>IF(C530=1,MAX($V$2:$V529)+1,IF(AND($T530&lt;&gt;"",$T530=$T529),$U529,IF(C530="x",V529,"")))</f>
        <v/>
      </c>
      <c r="W530" t="str" cm="1">
        <f t="array" ref="W530">IFERROR(_xlfn._xlws.FILTER(game_rosters!AB:AB,(game_rosters!J:J=events!X530)*(K530&lt;&gt;"")),"")</f>
        <v/>
      </c>
      <c r="X530" t="str" cm="1">
        <f t="array" ref="X530">IF(S530="","",IF($I530&lt;&gt;"",$I530,INDEX($I$2:$I529,ROW()-COUNTIFS($T$2:$T529,"="&amp;$T530,$S$2:$S529,"&lt;&gt;"&amp;$S530)-1)))</f>
        <v/>
      </c>
      <c r="Z530" s="6"/>
      <c r="AI530" t="str">
        <f t="shared" si="159"/>
        <v/>
      </c>
      <c r="BI530" s="40"/>
      <c r="BL530" s="40"/>
      <c r="BN530" s="19"/>
      <c r="BP530" s="17"/>
    </row>
    <row r="531" spans="1:68" x14ac:dyDescent="0.2">
      <c r="A531" t="str">
        <f t="shared" si="157"/>
        <v/>
      </c>
      <c r="E531" s="4"/>
      <c r="F531" s="45"/>
      <c r="G531" s="4"/>
      <c r="H531" s="48"/>
      <c r="J531" s="46" t="str">
        <f t="shared" si="158"/>
        <v/>
      </c>
      <c r="N531" t="str">
        <f t="shared" si="156"/>
        <v/>
      </c>
      <c r="Q531" t="str">
        <f t="shared" si="160"/>
        <v/>
      </c>
      <c r="S531" t="str">
        <f>IF(A531=1,MAX(S$2:S530)+1,IF(OR(I531&lt;&gt;"",A531="x"),S530,""))</f>
        <v/>
      </c>
      <c r="T531" t="str">
        <f>IF(D531=1,MAX($T$2:$T530)+1,IF(S531=$S530,$S530,IF($D531="x",T530,IF($D530="x","",""))))</f>
        <v/>
      </c>
      <c r="U531" t="str">
        <f>IF(B531=1,MAX($U$2:$U530)+1,IF(AND($T531&lt;&gt;"",$T531=$T530),$U530,IF(B531="x",U530,"")))</f>
        <v/>
      </c>
      <c r="V531" t="str">
        <f>IF(C531=1,MAX($V$2:$V530)+1,IF(AND($T531&lt;&gt;"",$T531=$T530),$U530,IF(C531="x",V530,"")))</f>
        <v/>
      </c>
      <c r="W531" t="str" cm="1">
        <f t="array" ref="W531">IFERROR(_xlfn._xlws.FILTER(game_rosters!AB:AB,(game_rosters!J:J=events!X531)*(K531&lt;&gt;"")),"")</f>
        <v/>
      </c>
      <c r="X531" t="str" cm="1">
        <f t="array" ref="X531">IF(S531="","",IF($I531&lt;&gt;"",$I531,INDEX($I$2:$I530,ROW()-COUNTIFS($T$2:$T530,"="&amp;$T531,$S$2:$S530,"&lt;&gt;"&amp;$S531)-1)))</f>
        <v/>
      </c>
      <c r="Z531" s="6"/>
      <c r="AI531" t="str">
        <f t="shared" si="159"/>
        <v/>
      </c>
      <c r="BI531" s="40"/>
      <c r="BL531" s="40"/>
      <c r="BN531" s="19"/>
      <c r="BP531" s="17"/>
    </row>
    <row r="532" spans="1:68" x14ac:dyDescent="0.2">
      <c r="A532" t="str">
        <f t="shared" si="157"/>
        <v/>
      </c>
      <c r="E532" s="4"/>
      <c r="F532" s="45"/>
      <c r="G532" s="4"/>
      <c r="H532" s="48"/>
      <c r="J532" s="46" t="str">
        <f t="shared" si="158"/>
        <v/>
      </c>
      <c r="N532" t="str">
        <f t="shared" si="156"/>
        <v/>
      </c>
      <c r="Q532" t="str">
        <f t="shared" si="160"/>
        <v/>
      </c>
      <c r="S532" t="str">
        <f>IF(A532=1,MAX(S$2:S531)+1,IF(OR(I532&lt;&gt;"",A532="x"),S531,""))</f>
        <v/>
      </c>
      <c r="T532" t="str">
        <f>IF(D532=1,MAX($T$2:$T531)+1,IF(S532=$S531,$S531,IF($D532="x",T531,IF($D531="x","",""))))</f>
        <v/>
      </c>
      <c r="U532" t="str">
        <f>IF(B532=1,MAX($U$2:$U531)+1,IF(AND($T532&lt;&gt;"",$T532=$T531),$U531,IF(B532="x",U531,"")))</f>
        <v/>
      </c>
      <c r="V532" t="str">
        <f>IF(C532=1,MAX($V$2:$V531)+1,IF(AND($T532&lt;&gt;"",$T532=$T531),$U531,IF(C532="x",V531,"")))</f>
        <v/>
      </c>
      <c r="W532" t="str" cm="1">
        <f t="array" ref="W532">IFERROR(_xlfn._xlws.FILTER(game_rosters!AB:AB,(game_rosters!J:J=events!X532)*(K532&lt;&gt;"")),"")</f>
        <v/>
      </c>
      <c r="X532" t="str" cm="1">
        <f t="array" ref="X532">IF(S532="","",IF($I532&lt;&gt;"",$I532,INDEX($I$2:$I531,ROW()-COUNTIFS($T$2:$T531,"="&amp;$T532,$S$2:$S531,"&lt;&gt;"&amp;$S532)-1)))</f>
        <v/>
      </c>
      <c r="Z532" s="6"/>
      <c r="AI532" t="str">
        <f t="shared" si="159"/>
        <v/>
      </c>
      <c r="BI532" s="40"/>
      <c r="BL532" s="40"/>
      <c r="BN532" s="19"/>
      <c r="BP532" s="17"/>
    </row>
    <row r="533" spans="1:68" x14ac:dyDescent="0.2">
      <c r="A533" t="str">
        <f t="shared" si="157"/>
        <v/>
      </c>
      <c r="E533" s="4"/>
      <c r="F533" s="45"/>
      <c r="G533" s="4"/>
      <c r="H533" s="48"/>
      <c r="J533" s="46" t="str">
        <f t="shared" si="158"/>
        <v/>
      </c>
      <c r="N533" t="str">
        <f t="shared" ref="N533:N596" si="161">IF(K533="","",IF(K533="Goal","s",IF(AND(K533="Zone_Entry_Exit",OR(ISNUMBER(SEARCH("fail",L533)),ISNUMBER(SEARCH("FromExitClear",M533)),ISNUMBER(SEARCH("miss",M533)))),"u",IF(AND(K533="Zone_Entry_Exit",OR(NOT(ISNUMBER(SEARCH("fail",L533))),NOT(ISNUMBER(SEARCH("FromExitClear",M533))),NOT(ISNUMBER(SEARCH("miss",M533))))),"s",IF(AND(OR(K533="Shot",K533="Pass"),OR(ISNUMBER(SEARCH("complete",L533)),ISNUMBER(SEARCH("goal",L533)),ISNUMBER(SEARCH("OnNet",L533)))),"s",IF(L533="Turnover_Giveaway","u",IF(AND(OR(K533="Shot",K533="Pass"),OR(ISNUMBER(SEARCH("fail",L533)),NOT(ISNUMBER(SEARCH("complete",L533))),NOT(ISNUMBER(SEARCH("OnNet",L533))))),"u","")))))))</f>
        <v/>
      </c>
      <c r="Q533" t="str">
        <f t="shared" si="160"/>
        <v/>
      </c>
      <c r="S533" t="str">
        <f>IF(A533=1,MAX(S$2:S532)+1,IF(OR(I533&lt;&gt;"",A533="x"),S532,""))</f>
        <v/>
      </c>
      <c r="T533" t="str">
        <f>IF(D533=1,MAX($T$2:$T532)+1,IF(S533=$S532,$S532,IF($D533="x",T532,IF($D532="x","",""))))</f>
        <v/>
      </c>
      <c r="U533" t="str">
        <f>IF(B533=1,MAX($U$2:$U532)+1,IF(AND($T533&lt;&gt;"",$T533=$T532),$U532,IF(B533="x",U532,"")))</f>
        <v/>
      </c>
      <c r="V533" t="str">
        <f>IF(C533=1,MAX($V$2:$V532)+1,IF(AND($T533&lt;&gt;"",$T533=$T532),$U532,IF(C533="x",V532,"")))</f>
        <v/>
      </c>
      <c r="W533" t="str" cm="1">
        <f t="array" ref="W533">IFERROR(_xlfn._xlws.FILTER(game_rosters!AB:AB,(game_rosters!J:J=events!X533)*(K533&lt;&gt;"")),"")</f>
        <v/>
      </c>
      <c r="X533" t="str" cm="1">
        <f t="array" ref="X533">IF(S533="","",IF($I533&lt;&gt;"",$I533,INDEX($I$2:$I532,ROW()-COUNTIFS($T$2:$T532,"="&amp;$T533,$S$2:$S532,"&lt;&gt;"&amp;$S533)-1)))</f>
        <v/>
      </c>
      <c r="Z533" s="6"/>
      <c r="AI533" t="str">
        <f t="shared" si="159"/>
        <v/>
      </c>
      <c r="BI533" s="40"/>
      <c r="BL533" s="40"/>
      <c r="BN533" s="19"/>
      <c r="BP533" s="17"/>
    </row>
    <row r="534" spans="1:68" x14ac:dyDescent="0.2">
      <c r="A534" t="str">
        <f t="shared" si="157"/>
        <v/>
      </c>
      <c r="E534" s="4"/>
      <c r="F534" s="45"/>
      <c r="G534" s="4"/>
      <c r="H534" s="48"/>
      <c r="J534" s="46" t="str">
        <f t="shared" si="158"/>
        <v/>
      </c>
      <c r="N534" t="str">
        <f t="shared" si="161"/>
        <v/>
      </c>
      <c r="Q534" t="str">
        <f t="shared" si="160"/>
        <v/>
      </c>
      <c r="S534" t="str">
        <f>IF(A534=1,MAX(S$2:S533)+1,IF(OR(I534&lt;&gt;"",A534="x"),S533,""))</f>
        <v/>
      </c>
      <c r="T534" t="str">
        <f>IF(D534=1,MAX($T$2:$T533)+1,IF(S534=$S533,$S533,IF($D534="x",T533,IF($D533="x","",""))))</f>
        <v/>
      </c>
      <c r="U534" t="str">
        <f>IF(B534=1,MAX($U$2:$U533)+1,IF(AND($T534&lt;&gt;"",$T534=$T533),$U533,IF(B534="x",U533,"")))</f>
        <v/>
      </c>
      <c r="V534" t="str">
        <f>IF(C534=1,MAX($V$2:$V533)+1,IF(AND($T534&lt;&gt;"",$T534=$T533),$U533,IF(C534="x",V533,"")))</f>
        <v/>
      </c>
      <c r="W534" t="str" cm="1">
        <f t="array" ref="W534">IFERROR(_xlfn._xlws.FILTER(game_rosters!AB:AB,(game_rosters!J:J=events!X534)*(K534&lt;&gt;"")),"")</f>
        <v/>
      </c>
      <c r="X534" t="str" cm="1">
        <f t="array" ref="X534">IF(S534="","",IF($I534&lt;&gt;"",$I534,INDEX($I$2:$I533,ROW()-COUNTIFS($T$2:$T533,"="&amp;$T534,$S$2:$S533,"&lt;&gt;"&amp;$S534)-1)))</f>
        <v/>
      </c>
      <c r="Z534" s="6"/>
      <c r="AI534" t="str">
        <f t="shared" si="159"/>
        <v/>
      </c>
      <c r="BI534" s="40"/>
      <c r="BL534" s="40"/>
      <c r="BN534" s="19"/>
      <c r="BP534" s="17"/>
    </row>
    <row r="535" spans="1:68" x14ac:dyDescent="0.2">
      <c r="A535" t="str">
        <f t="shared" si="157"/>
        <v/>
      </c>
      <c r="E535" s="4"/>
      <c r="F535" s="45"/>
      <c r="G535" s="4"/>
      <c r="H535" s="48"/>
      <c r="J535" s="46" t="str">
        <f t="shared" si="158"/>
        <v/>
      </c>
      <c r="N535" t="str">
        <f t="shared" si="161"/>
        <v/>
      </c>
      <c r="Q535" t="str">
        <f t="shared" si="160"/>
        <v/>
      </c>
      <c r="S535" t="str">
        <f>IF(A535=1,MAX(S$2:S534)+1,IF(OR(I535&lt;&gt;"",A535="x"),S534,""))</f>
        <v/>
      </c>
      <c r="T535" t="str">
        <f>IF(D535=1,MAX($T$2:$T534)+1,IF(S535=$S534,$S534,IF($D535="x",T534,IF($D534="x","",""))))</f>
        <v/>
      </c>
      <c r="U535" t="str">
        <f>IF(B535=1,MAX($U$2:$U534)+1,IF(AND($T535&lt;&gt;"",$T535=$T534),$U534,IF(B535="x",U534,"")))</f>
        <v/>
      </c>
      <c r="V535" t="str">
        <f>IF(C535=1,MAX($V$2:$V534)+1,IF(AND($T535&lt;&gt;"",$T535=$T534),$U534,IF(C535="x",V534,"")))</f>
        <v/>
      </c>
      <c r="W535" t="str" cm="1">
        <f t="array" ref="W535">IFERROR(_xlfn._xlws.FILTER(game_rosters!AB:AB,(game_rosters!J:J=events!X535)*(K535&lt;&gt;"")),"")</f>
        <v/>
      </c>
      <c r="X535" t="str" cm="1">
        <f t="array" ref="X535">IF(S535="","",IF($I535&lt;&gt;"",$I535,INDEX($I$2:$I534,ROW()-COUNTIFS($T$2:$T534,"="&amp;$T535,$S$2:$S534,"&lt;&gt;"&amp;$S535)-1)))</f>
        <v/>
      </c>
      <c r="Z535" s="6"/>
      <c r="AI535" t="str">
        <f t="shared" si="159"/>
        <v/>
      </c>
      <c r="BI535" s="40"/>
      <c r="BL535" s="40"/>
      <c r="BN535" s="19"/>
      <c r="BP535" s="17"/>
    </row>
    <row r="536" spans="1:68" x14ac:dyDescent="0.2">
      <c r="A536" t="str">
        <f t="shared" si="157"/>
        <v/>
      </c>
      <c r="E536" s="4"/>
      <c r="F536" s="45"/>
      <c r="G536" s="4"/>
      <c r="H536" s="48"/>
      <c r="J536" s="46" t="str">
        <f t="shared" si="158"/>
        <v/>
      </c>
      <c r="N536" t="str">
        <f t="shared" si="161"/>
        <v/>
      </c>
      <c r="Q536" t="str">
        <f t="shared" si="160"/>
        <v/>
      </c>
      <c r="S536" t="str">
        <f>IF(A536=1,MAX(S$2:S535)+1,IF(OR(I536&lt;&gt;"",A536="x"),S535,""))</f>
        <v/>
      </c>
      <c r="T536" t="str">
        <f>IF(D536=1,MAX($T$2:$T535)+1,IF(S536=$S535,$S535,IF($D536="x",T535,IF($D535="x","",""))))</f>
        <v/>
      </c>
      <c r="U536" t="str">
        <f>IF(B536=1,MAX($U$2:$U535)+1,IF(AND($T536&lt;&gt;"",$T536=$T535),$U535,IF(B536="x",U535,"")))</f>
        <v/>
      </c>
      <c r="V536" t="str">
        <f>IF(C536=1,MAX($V$2:$V535)+1,IF(AND($T536&lt;&gt;"",$T536=$T535),$U535,IF(C536="x",V535,"")))</f>
        <v/>
      </c>
      <c r="W536" t="str" cm="1">
        <f t="array" ref="W536">IFERROR(_xlfn._xlws.FILTER(game_rosters!AB:AB,(game_rosters!J:J=events!X536)*(K536&lt;&gt;"")),"")</f>
        <v/>
      </c>
      <c r="X536" t="str" cm="1">
        <f t="array" ref="X536">IF(S536="","",IF($I536&lt;&gt;"",$I536,INDEX($I$2:$I535,ROW()-COUNTIFS($T$2:$T535,"="&amp;$T536,$S$2:$S535,"&lt;&gt;"&amp;$S536)-1)))</f>
        <v/>
      </c>
      <c r="Z536" s="6"/>
      <c r="AI536" t="str">
        <f t="shared" si="159"/>
        <v/>
      </c>
      <c r="BI536" s="40"/>
      <c r="BL536" s="40"/>
      <c r="BN536" s="19"/>
      <c r="BP536" s="17"/>
    </row>
    <row r="537" spans="1:68" x14ac:dyDescent="0.2">
      <c r="A537" t="str">
        <f t="shared" si="157"/>
        <v/>
      </c>
      <c r="E537" s="4"/>
      <c r="F537" s="45"/>
      <c r="G537" s="4"/>
      <c r="H537" s="48"/>
      <c r="J537" s="46" t="str">
        <f t="shared" si="158"/>
        <v/>
      </c>
      <c r="N537" t="str">
        <f t="shared" si="161"/>
        <v/>
      </c>
      <c r="Q537" t="str">
        <f t="shared" si="160"/>
        <v/>
      </c>
      <c r="S537" t="str">
        <f>IF(A537=1,MAX(S$2:S536)+1,IF(OR(I537&lt;&gt;"",A537="x"),S536,""))</f>
        <v/>
      </c>
      <c r="T537" t="str">
        <f>IF(D537=1,MAX($T$2:$T536)+1,IF(S537=$S536,$S536,IF($D537="x",T536,IF($D536="x","",""))))</f>
        <v/>
      </c>
      <c r="U537" t="str">
        <f>IF(B537=1,MAX($U$2:$U536)+1,IF(AND($T537&lt;&gt;"",$T537=$T536),$U536,IF(B537="x",U536,"")))</f>
        <v/>
      </c>
      <c r="V537" t="str">
        <f>IF(C537=1,MAX($V$2:$V536)+1,IF(AND($T537&lt;&gt;"",$T537=$T536),$U536,IF(C537="x",V536,"")))</f>
        <v/>
      </c>
      <c r="W537" t="str" cm="1">
        <f t="array" ref="W537">IFERROR(_xlfn._xlws.FILTER(game_rosters!AB:AB,(game_rosters!J:J=events!X537)*(K537&lt;&gt;"")),"")</f>
        <v/>
      </c>
      <c r="X537" t="str" cm="1">
        <f t="array" ref="X537">IF(S537="","",IF($I537&lt;&gt;"",$I537,INDEX($I$2:$I536,ROW()-COUNTIFS($T$2:$T536,"="&amp;$T537,$S$2:$S536,"&lt;&gt;"&amp;$S537)-1)))</f>
        <v/>
      </c>
      <c r="Z537" s="6"/>
      <c r="AI537" t="str">
        <f t="shared" si="159"/>
        <v/>
      </c>
      <c r="BI537" s="40"/>
      <c r="BL537" s="40"/>
      <c r="BN537" s="19"/>
      <c r="BP537" s="17"/>
    </row>
    <row r="538" spans="1:68" x14ac:dyDescent="0.2">
      <c r="A538" t="str">
        <f t="shared" si="157"/>
        <v/>
      </c>
      <c r="E538" s="4"/>
      <c r="F538" s="45"/>
      <c r="G538" s="4"/>
      <c r="H538" s="48"/>
      <c r="J538" s="46" t="str">
        <f t="shared" si="158"/>
        <v/>
      </c>
      <c r="N538" t="str">
        <f t="shared" si="161"/>
        <v/>
      </c>
      <c r="Q538" t="str">
        <f t="shared" si="160"/>
        <v/>
      </c>
      <c r="S538" t="str">
        <f>IF(A538=1,MAX(S$2:S537)+1,IF(OR(I538&lt;&gt;"",A538="x"),S537,""))</f>
        <v/>
      </c>
      <c r="T538" t="str">
        <f>IF(D538=1,MAX($T$2:$T537)+1,IF(S538=$S537,$S537,IF($D538="x",T537,IF($D537="x","",""))))</f>
        <v/>
      </c>
      <c r="U538" t="str">
        <f>IF(B538=1,MAX($U$2:$U537)+1,IF(AND($T538&lt;&gt;"",$T538=$T537),$U537,IF(B538="x",U537,"")))</f>
        <v/>
      </c>
      <c r="V538" t="str">
        <f>IF(C538=1,MAX($V$2:$V537)+1,IF(AND($T538&lt;&gt;"",$T538=$T537),$U537,IF(C538="x",V537,"")))</f>
        <v/>
      </c>
      <c r="W538" t="str" cm="1">
        <f t="array" ref="W538">IFERROR(_xlfn._xlws.FILTER(game_rosters!AB:AB,(game_rosters!J:J=events!X538)*(K538&lt;&gt;"")),"")</f>
        <v/>
      </c>
      <c r="X538" t="str" cm="1">
        <f t="array" ref="X538">IF(S538="","",IF($I538&lt;&gt;"",$I538,INDEX($I$2:$I537,ROW()-COUNTIFS($T$2:$T537,"="&amp;$T538,$S$2:$S537,"&lt;&gt;"&amp;$S538)-1)))</f>
        <v/>
      </c>
      <c r="Z538" s="6"/>
      <c r="AI538" t="str">
        <f t="shared" si="159"/>
        <v/>
      </c>
      <c r="BI538" s="40"/>
      <c r="BL538" s="40"/>
      <c r="BN538" s="19"/>
      <c r="BP538" s="17"/>
    </row>
    <row r="539" spans="1:68" x14ac:dyDescent="0.2">
      <c r="A539" t="str">
        <f t="shared" si="157"/>
        <v/>
      </c>
      <c r="E539" s="4"/>
      <c r="F539" s="45"/>
      <c r="G539" s="4"/>
      <c r="H539" s="48"/>
      <c r="J539" s="46" t="str">
        <f t="shared" si="158"/>
        <v/>
      </c>
      <c r="N539" t="str">
        <f t="shared" si="161"/>
        <v/>
      </c>
      <c r="Q539" t="str">
        <f t="shared" si="160"/>
        <v/>
      </c>
      <c r="S539" t="str">
        <f>IF(A539=1,MAX(S$2:S538)+1,IF(OR(I539&lt;&gt;"",A539="x"),S538,""))</f>
        <v/>
      </c>
      <c r="T539" t="str">
        <f>IF(D539=1,MAX($T$2:$T538)+1,IF(S539=$S538,$S538,IF($D539="x",T538,IF($D538="x","",""))))</f>
        <v/>
      </c>
      <c r="U539" t="str">
        <f>IF(B539=1,MAX($U$2:$U538)+1,IF(AND($T539&lt;&gt;"",$T539=$T538),$U538,IF(B539="x",U538,"")))</f>
        <v/>
      </c>
      <c r="V539" t="str">
        <f>IF(C539=1,MAX($V$2:$V538)+1,IF(AND($T539&lt;&gt;"",$T539=$T538),$U538,IF(C539="x",V538,"")))</f>
        <v/>
      </c>
      <c r="W539" t="str" cm="1">
        <f t="array" ref="W539">IFERROR(_xlfn._xlws.FILTER(game_rosters!AB:AB,(game_rosters!J:J=events!X539)*(K539&lt;&gt;"")),"")</f>
        <v/>
      </c>
      <c r="X539" t="str" cm="1">
        <f t="array" ref="X539">IF(S539="","",IF($I539&lt;&gt;"",$I539,INDEX($I$2:$I538,ROW()-COUNTIFS($T$2:$T538,"="&amp;$T539,$S$2:$S538,"&lt;&gt;"&amp;$S539)-1)))</f>
        <v/>
      </c>
      <c r="Z539" s="6"/>
      <c r="AI539" t="str">
        <f t="shared" si="159"/>
        <v/>
      </c>
      <c r="BI539" s="40"/>
      <c r="BL539" s="40"/>
      <c r="BN539" s="19"/>
      <c r="BP539" s="17"/>
    </row>
    <row r="540" spans="1:68" x14ac:dyDescent="0.2">
      <c r="A540" t="str">
        <f t="shared" si="157"/>
        <v/>
      </c>
      <c r="E540" s="4"/>
      <c r="F540" s="45"/>
      <c r="G540" s="4"/>
      <c r="H540" s="48"/>
      <c r="J540" s="46" t="str">
        <f t="shared" si="158"/>
        <v/>
      </c>
      <c r="N540" t="str">
        <f t="shared" si="161"/>
        <v/>
      </c>
      <c r="Q540" t="str">
        <f t="shared" si="160"/>
        <v/>
      </c>
      <c r="S540" t="str">
        <f>IF(A540=1,MAX(S$2:S539)+1,IF(OR(I540&lt;&gt;"",A540="x"),S539,""))</f>
        <v/>
      </c>
      <c r="T540" t="str">
        <f>IF(D540=1,MAX($T$2:$T539)+1,IF(S540=$S539,$S539,IF($D540="x",T539,IF($D539="x","",""))))</f>
        <v/>
      </c>
      <c r="U540" t="str">
        <f>IF(B540=1,MAX($U$2:$U539)+1,IF(AND($T540&lt;&gt;"",$T540=$T539),$U539,IF(B540="x",U539,"")))</f>
        <v/>
      </c>
      <c r="V540" t="str">
        <f>IF(C540=1,MAX($V$2:$V539)+1,IF(AND($T540&lt;&gt;"",$T540=$T539),$U539,IF(C540="x",V539,"")))</f>
        <v/>
      </c>
      <c r="W540" t="str" cm="1">
        <f t="array" ref="W540">IFERROR(_xlfn._xlws.FILTER(game_rosters!AB:AB,(game_rosters!J:J=events!X540)*(K540&lt;&gt;"")),"")</f>
        <v/>
      </c>
      <c r="X540" t="str" cm="1">
        <f t="array" ref="X540">IF(S540="","",IF($I540&lt;&gt;"",$I540,INDEX($I$2:$I539,ROW()-COUNTIFS($T$2:$T539,"="&amp;$T540,$S$2:$S539,"&lt;&gt;"&amp;$S540)-1)))</f>
        <v/>
      </c>
      <c r="Z540" s="6"/>
      <c r="AI540" t="str">
        <f t="shared" si="159"/>
        <v/>
      </c>
      <c r="BI540" s="40"/>
      <c r="BL540" s="40"/>
      <c r="BN540" s="19"/>
      <c r="BP540" s="17"/>
    </row>
    <row r="541" spans="1:68" x14ac:dyDescent="0.2">
      <c r="A541" t="str">
        <f t="shared" si="157"/>
        <v/>
      </c>
      <c r="E541" s="4"/>
      <c r="F541" s="45"/>
      <c r="G541" s="4"/>
      <c r="H541" s="48"/>
      <c r="J541" s="46" t="str">
        <f t="shared" si="158"/>
        <v/>
      </c>
      <c r="N541" t="str">
        <f t="shared" si="161"/>
        <v/>
      </c>
      <c r="Q541" t="str">
        <f t="shared" si="160"/>
        <v/>
      </c>
      <c r="S541" t="str">
        <f>IF(A541=1,MAX(S$2:S540)+1,IF(OR(I541&lt;&gt;"",A541="x"),S540,""))</f>
        <v/>
      </c>
      <c r="T541" t="str">
        <f>IF(D541=1,MAX($T$2:$T540)+1,IF(S541=$S540,$S540,IF($D541="x",T540,IF($D540="x","",""))))</f>
        <v/>
      </c>
      <c r="U541" t="str">
        <f>IF(B541=1,MAX($U$2:$U540)+1,IF(AND($T541&lt;&gt;"",$T541=$T540),$U540,IF(B541="x",U540,"")))</f>
        <v/>
      </c>
      <c r="V541" t="str">
        <f>IF(C541=1,MAX($V$2:$V540)+1,IF(AND($T541&lt;&gt;"",$T541=$T540),$U540,IF(C541="x",V540,"")))</f>
        <v/>
      </c>
      <c r="W541" t="str" cm="1">
        <f t="array" ref="W541">IFERROR(_xlfn._xlws.FILTER(game_rosters!AB:AB,(game_rosters!J:J=events!X541)*(K541&lt;&gt;"")),"")</f>
        <v/>
      </c>
      <c r="X541" t="str" cm="1">
        <f t="array" ref="X541">IF(S541="","",IF($I541&lt;&gt;"",$I541,INDEX($I$2:$I540,ROW()-COUNTIFS($T$2:$T540,"="&amp;$T541,$S$2:$S540,"&lt;&gt;"&amp;$S541)-1)))</f>
        <v/>
      </c>
      <c r="Z541" s="6"/>
      <c r="AI541" t="str">
        <f t="shared" si="159"/>
        <v/>
      </c>
      <c r="BI541" s="40"/>
      <c r="BL541" s="40"/>
      <c r="BN541" s="19"/>
      <c r="BP541" s="17"/>
    </row>
    <row r="542" spans="1:68" x14ac:dyDescent="0.2">
      <c r="A542" t="str">
        <f t="shared" si="157"/>
        <v/>
      </c>
      <c r="E542" s="4"/>
      <c r="F542" s="45"/>
      <c r="G542" s="4"/>
      <c r="H542" s="48"/>
      <c r="J542" s="46" t="str">
        <f t="shared" si="158"/>
        <v/>
      </c>
      <c r="N542" t="str">
        <f t="shared" si="161"/>
        <v/>
      </c>
      <c r="Q542" t="str">
        <f t="shared" si="160"/>
        <v/>
      </c>
      <c r="S542" t="str">
        <f>IF(A542=1,MAX(S$2:S541)+1,IF(OR(I542&lt;&gt;"",A542="x"),S541,""))</f>
        <v/>
      </c>
      <c r="T542" t="str">
        <f>IF(D542=1,MAX($T$2:$T541)+1,IF(S542=$S541,$S541,IF($D542="x",T541,IF($D541="x","",""))))</f>
        <v/>
      </c>
      <c r="U542" t="str">
        <f>IF(B542=1,MAX($U$2:$U541)+1,IF(AND($T542&lt;&gt;"",$T542=$T541),$U541,IF(B542="x",U541,"")))</f>
        <v/>
      </c>
      <c r="V542" t="str">
        <f>IF(C542=1,MAX($V$2:$V541)+1,IF(AND($T542&lt;&gt;"",$T542=$T541),$U541,IF(C542="x",V541,"")))</f>
        <v/>
      </c>
      <c r="W542" t="str" cm="1">
        <f t="array" ref="W542">IFERROR(_xlfn._xlws.FILTER(game_rosters!AB:AB,(game_rosters!J:J=events!X542)*(K542&lt;&gt;"")),"")</f>
        <v/>
      </c>
      <c r="X542" t="str" cm="1">
        <f t="array" ref="X542">IF(S542="","",IF($I542&lt;&gt;"",$I542,INDEX($I$2:$I541,ROW()-COUNTIFS($T$2:$T541,"="&amp;$T542,$S$2:$S541,"&lt;&gt;"&amp;$S542)-1)))</f>
        <v/>
      </c>
      <c r="Z542" s="6"/>
      <c r="AI542" t="str">
        <f t="shared" si="159"/>
        <v/>
      </c>
      <c r="BI542" s="40"/>
      <c r="BL542" s="40"/>
      <c r="BN542" s="19"/>
      <c r="BP542" s="17"/>
    </row>
    <row r="543" spans="1:68" x14ac:dyDescent="0.2">
      <c r="A543" t="str">
        <f t="shared" si="157"/>
        <v/>
      </c>
      <c r="E543" s="4"/>
      <c r="F543" s="45"/>
      <c r="G543" s="4"/>
      <c r="H543" s="48"/>
      <c r="J543" s="46" t="str">
        <f t="shared" si="158"/>
        <v/>
      </c>
      <c r="N543" t="str">
        <f t="shared" si="161"/>
        <v/>
      </c>
      <c r="Q543" t="str">
        <f t="shared" si="160"/>
        <v/>
      </c>
      <c r="S543" t="str">
        <f>IF(A543=1,MAX(S$2:S542)+1,IF(OR(I543&lt;&gt;"",A543="x"),S542,""))</f>
        <v/>
      </c>
      <c r="T543" t="str">
        <f>IF(D543=1,MAX($T$2:$T542)+1,IF(S543=$S542,$S542,IF($D543="x",T542,IF($D542="x","",""))))</f>
        <v/>
      </c>
      <c r="U543" t="str">
        <f>IF(B543=1,MAX($U$2:$U542)+1,IF(AND($T543&lt;&gt;"",$T543=$T542),$U542,IF(B543="x",U542,"")))</f>
        <v/>
      </c>
      <c r="V543" t="str">
        <f>IF(C543=1,MAX($V$2:$V542)+1,IF(AND($T543&lt;&gt;"",$T543=$T542),$U542,IF(C543="x",V542,"")))</f>
        <v/>
      </c>
      <c r="W543" t="str" cm="1">
        <f t="array" ref="W543">IFERROR(_xlfn._xlws.FILTER(game_rosters!AB:AB,(game_rosters!J:J=events!X543)*(K543&lt;&gt;"")),"")</f>
        <v/>
      </c>
      <c r="X543" t="str" cm="1">
        <f t="array" ref="X543">IF(S543="","",IF($I543&lt;&gt;"",$I543,INDEX($I$2:$I542,ROW()-COUNTIFS($T$2:$T542,"="&amp;$T543,$S$2:$S542,"&lt;&gt;"&amp;$S543)-1)))</f>
        <v/>
      </c>
      <c r="Z543" s="6"/>
      <c r="AI543" t="str">
        <f t="shared" si="159"/>
        <v/>
      </c>
      <c r="BI543" s="40"/>
      <c r="BL543" s="40"/>
      <c r="BN543" s="19"/>
      <c r="BP543" s="17"/>
    </row>
    <row r="544" spans="1:68" x14ac:dyDescent="0.2">
      <c r="A544" t="str">
        <f t="shared" si="157"/>
        <v/>
      </c>
      <c r="E544" s="4"/>
      <c r="F544" s="45"/>
      <c r="G544" s="4"/>
      <c r="H544" s="48"/>
      <c r="J544" s="46" t="str">
        <f t="shared" si="158"/>
        <v/>
      </c>
      <c r="N544" t="str">
        <f t="shared" si="161"/>
        <v/>
      </c>
      <c r="Q544" t="str">
        <f t="shared" si="160"/>
        <v/>
      </c>
      <c r="S544" t="str">
        <f>IF(A544=1,MAX(S$2:S543)+1,IF(OR(I544&lt;&gt;"",A544="x"),S543,""))</f>
        <v/>
      </c>
      <c r="T544" t="str">
        <f>IF(D544=1,MAX($T$2:$T543)+1,IF(S544=$S543,$S543,IF($D544="x",T543,IF($D543="x","",""))))</f>
        <v/>
      </c>
      <c r="U544" t="str">
        <f>IF(B544=1,MAX($U$2:$U543)+1,IF(AND($T544&lt;&gt;"",$T544=$T543),$U543,IF(B544="x",U543,"")))</f>
        <v/>
      </c>
      <c r="V544" t="str">
        <f>IF(C544=1,MAX($V$2:$V543)+1,IF(AND($T544&lt;&gt;"",$T544=$T543),$U543,IF(C544="x",V543,"")))</f>
        <v/>
      </c>
      <c r="W544" t="str" cm="1">
        <f t="array" ref="W544">IFERROR(_xlfn._xlws.FILTER(game_rosters!AB:AB,(game_rosters!J:J=events!X544)*(K544&lt;&gt;"")),"")</f>
        <v/>
      </c>
      <c r="X544" t="str" cm="1">
        <f t="array" ref="X544">IF(S544="","",IF($I544&lt;&gt;"",$I544,INDEX($I$2:$I543,ROW()-COUNTIFS($T$2:$T543,"="&amp;$T544,$S$2:$S543,"&lt;&gt;"&amp;$S544)-1)))</f>
        <v/>
      </c>
      <c r="Z544" s="6"/>
      <c r="AI544" t="str">
        <f t="shared" si="159"/>
        <v/>
      </c>
      <c r="BI544" s="40"/>
      <c r="BL544" s="40"/>
      <c r="BN544" s="19"/>
      <c r="BP544" s="17"/>
    </row>
    <row r="545" spans="1:68" x14ac:dyDescent="0.2">
      <c r="A545" t="str">
        <f t="shared" si="157"/>
        <v/>
      </c>
      <c r="E545" s="4"/>
      <c r="F545" s="45"/>
      <c r="G545" s="4"/>
      <c r="H545" s="48"/>
      <c r="J545" s="46" t="str">
        <f t="shared" si="158"/>
        <v/>
      </c>
      <c r="N545" t="str">
        <f t="shared" si="161"/>
        <v/>
      </c>
      <c r="Q545" t="str">
        <f t="shared" si="160"/>
        <v/>
      </c>
      <c r="S545" t="str">
        <f>IF(A545=1,MAX(S$2:S544)+1,IF(OR(I545&lt;&gt;"",A545="x"),S544,""))</f>
        <v/>
      </c>
      <c r="T545" t="str">
        <f>IF(D545=1,MAX($T$2:$T544)+1,IF(S545=$S544,$S544,IF($D545="x",T544,IF($D544="x","",""))))</f>
        <v/>
      </c>
      <c r="U545" t="str">
        <f>IF(B545=1,MAX($U$2:$U544)+1,IF(AND($T545&lt;&gt;"",$T545=$T544),$U544,IF(B545="x",U544,"")))</f>
        <v/>
      </c>
      <c r="V545" t="str">
        <f>IF(C545=1,MAX($V$2:$V544)+1,IF(AND($T545&lt;&gt;"",$T545=$T544),$U544,IF(C545="x",V544,"")))</f>
        <v/>
      </c>
      <c r="W545" t="str" cm="1">
        <f t="array" ref="W545">IFERROR(_xlfn._xlws.FILTER(game_rosters!AB:AB,(game_rosters!J:J=events!X545)*(K545&lt;&gt;"")),"")</f>
        <v/>
      </c>
      <c r="X545" t="str" cm="1">
        <f t="array" ref="X545">IF(S545="","",IF($I545&lt;&gt;"",$I545,INDEX($I$2:$I544,ROW()-COUNTIFS($T$2:$T544,"="&amp;$T545,$S$2:$S544,"&lt;&gt;"&amp;$S545)-1)))</f>
        <v/>
      </c>
      <c r="Z545" s="6"/>
      <c r="AI545" t="str">
        <f t="shared" si="159"/>
        <v/>
      </c>
      <c r="BI545" s="40"/>
      <c r="BL545" s="40"/>
      <c r="BN545" s="19"/>
      <c r="BP545" s="17"/>
    </row>
    <row r="546" spans="1:68" x14ac:dyDescent="0.2">
      <c r="A546" t="str">
        <f t="shared" si="157"/>
        <v/>
      </c>
      <c r="E546" s="4"/>
      <c r="F546" s="45"/>
      <c r="G546" s="4"/>
      <c r="H546" s="48"/>
      <c r="J546" s="46" t="str">
        <f t="shared" si="158"/>
        <v/>
      </c>
      <c r="N546" t="str">
        <f t="shared" si="161"/>
        <v/>
      </c>
      <c r="Q546" t="str">
        <f t="shared" si="160"/>
        <v/>
      </c>
      <c r="S546" t="str">
        <f>IF(A546=1,MAX(S$2:S545)+1,IF(OR(I546&lt;&gt;"",A546="x"),S545,""))</f>
        <v/>
      </c>
      <c r="T546" t="str">
        <f>IF(D546=1,MAX($T$2:$T545)+1,IF(S546=$S545,$S545,IF($D546="x",T545,IF($D545="x","",""))))</f>
        <v/>
      </c>
      <c r="U546" t="str">
        <f>IF(B546=1,MAX($U$2:$U545)+1,IF(AND($T546&lt;&gt;"",$T546=$T545),$U545,IF(B546="x",U545,"")))</f>
        <v/>
      </c>
      <c r="V546" t="str">
        <f>IF(C546=1,MAX($V$2:$V545)+1,IF(AND($T546&lt;&gt;"",$T546=$T545),$U545,IF(C546="x",V545,"")))</f>
        <v/>
      </c>
      <c r="W546" t="str" cm="1">
        <f t="array" ref="W546">IFERROR(_xlfn._xlws.FILTER(game_rosters!AB:AB,(game_rosters!J:J=events!X546)*(K546&lt;&gt;"")),"")</f>
        <v/>
      </c>
      <c r="X546" t="str" cm="1">
        <f t="array" ref="X546">IF(S546="","",IF($I546&lt;&gt;"",$I546,INDEX($I$2:$I545,ROW()-COUNTIFS($T$2:$T545,"="&amp;$T546,$S$2:$S545,"&lt;&gt;"&amp;$S546)-1)))</f>
        <v/>
      </c>
      <c r="Z546" s="6"/>
      <c r="AI546" t="str">
        <f t="shared" si="159"/>
        <v/>
      </c>
      <c r="BI546" s="40"/>
      <c r="BL546" s="40"/>
      <c r="BN546" s="19"/>
      <c r="BP546" s="17"/>
    </row>
    <row r="547" spans="1:68" x14ac:dyDescent="0.2">
      <c r="A547" t="str">
        <f t="shared" si="157"/>
        <v/>
      </c>
      <c r="E547" s="4"/>
      <c r="F547" s="45"/>
      <c r="G547" s="4"/>
      <c r="H547" s="48"/>
      <c r="J547" s="46" t="str">
        <f t="shared" si="158"/>
        <v/>
      </c>
      <c r="N547" t="str">
        <f t="shared" si="161"/>
        <v/>
      </c>
      <c r="Q547" t="str">
        <f t="shared" si="160"/>
        <v/>
      </c>
      <c r="S547" t="str">
        <f>IF(A547=1,MAX(S$2:S546)+1,IF(OR(I547&lt;&gt;"",A547="x"),S546,""))</f>
        <v/>
      </c>
      <c r="T547" t="str">
        <f>IF(D547=1,MAX($T$2:$T546)+1,IF(S547=$S546,$S546,IF($D547="x",T546,IF($D546="x","",""))))</f>
        <v/>
      </c>
      <c r="U547" t="str">
        <f>IF(B547=1,MAX($U$2:$U546)+1,IF(AND($T547&lt;&gt;"",$T547=$T546),$U546,IF(B547="x",U546,"")))</f>
        <v/>
      </c>
      <c r="V547" t="str">
        <f>IF(C547=1,MAX($V$2:$V546)+1,IF(AND($T547&lt;&gt;"",$T547=$T546),$U546,IF(C547="x",V546,"")))</f>
        <v/>
      </c>
      <c r="W547" t="str" cm="1">
        <f t="array" ref="W547">IFERROR(_xlfn._xlws.FILTER(game_rosters!AB:AB,(game_rosters!J:J=events!X547)*(K547&lt;&gt;"")),"")</f>
        <v/>
      </c>
      <c r="X547" t="str" cm="1">
        <f t="array" ref="X547">IF(S547="","",IF($I547&lt;&gt;"",$I547,INDEX($I$2:$I546,ROW()-COUNTIFS($T$2:$T546,"="&amp;$T547,$S$2:$S546,"&lt;&gt;"&amp;$S547)-1)))</f>
        <v/>
      </c>
      <c r="Z547" s="6"/>
      <c r="AI547" t="str">
        <f t="shared" si="159"/>
        <v/>
      </c>
      <c r="BI547" s="40"/>
      <c r="BL547" s="40"/>
      <c r="BN547" s="19"/>
      <c r="BP547" s="17"/>
    </row>
    <row r="548" spans="1:68" x14ac:dyDescent="0.2">
      <c r="A548" t="str">
        <f t="shared" si="157"/>
        <v/>
      </c>
      <c r="E548" s="4"/>
      <c r="F548" s="45"/>
      <c r="G548" s="4"/>
      <c r="H548" s="48"/>
      <c r="J548" s="46" t="str">
        <f t="shared" si="158"/>
        <v/>
      </c>
      <c r="N548" t="str">
        <f t="shared" si="161"/>
        <v/>
      </c>
      <c r="Q548" t="str">
        <f t="shared" si="160"/>
        <v/>
      </c>
      <c r="S548" t="str">
        <f>IF(A548=1,MAX(S$2:S547)+1,IF(OR(I548&lt;&gt;"",A548="x"),S547,""))</f>
        <v/>
      </c>
      <c r="T548" t="str">
        <f>IF(D548=1,MAX($T$2:$T547)+1,IF(S548=$S547,$S547,IF($D548="x",T547,IF($D547="x","",""))))</f>
        <v/>
      </c>
      <c r="U548" t="str">
        <f>IF(B548=1,MAX($U$2:$U547)+1,IF(AND($T548&lt;&gt;"",$T548=$T547),$U547,IF(B548="x",U547,"")))</f>
        <v/>
      </c>
      <c r="V548" t="str">
        <f>IF(C548=1,MAX($V$2:$V547)+1,IF(AND($T548&lt;&gt;"",$T548=$T547),$U547,IF(C548="x",V547,"")))</f>
        <v/>
      </c>
      <c r="W548" t="str" cm="1">
        <f t="array" ref="W548">IFERROR(_xlfn._xlws.FILTER(game_rosters!AB:AB,(game_rosters!J:J=events!X548)*(K548&lt;&gt;"")),"")</f>
        <v/>
      </c>
      <c r="X548" t="str" cm="1">
        <f t="array" ref="X548">IF(S548="","",IF($I548&lt;&gt;"",$I548,INDEX($I$2:$I547,ROW()-COUNTIFS($T$2:$T547,"="&amp;$T548,$S$2:$S547,"&lt;&gt;"&amp;$S548)-1)))</f>
        <v/>
      </c>
      <c r="Z548" s="6"/>
      <c r="AI548" t="str">
        <f t="shared" si="159"/>
        <v/>
      </c>
      <c r="BI548" s="40"/>
      <c r="BL548" s="40"/>
      <c r="BN548" s="19"/>
      <c r="BP548" s="17"/>
    </row>
    <row r="549" spans="1:68" x14ac:dyDescent="0.2">
      <c r="A549" t="str">
        <f t="shared" si="157"/>
        <v/>
      </c>
      <c r="E549" s="4"/>
      <c r="F549" s="45"/>
      <c r="G549" s="4"/>
      <c r="H549" s="48"/>
      <c r="J549" s="46" t="str">
        <f t="shared" si="158"/>
        <v/>
      </c>
      <c r="N549" t="str">
        <f t="shared" si="161"/>
        <v/>
      </c>
      <c r="Q549" t="str">
        <f t="shared" si="160"/>
        <v/>
      </c>
      <c r="S549" t="str">
        <f>IF(A549=1,MAX(S$2:S548)+1,IF(OR(I549&lt;&gt;"",A549="x"),S548,""))</f>
        <v/>
      </c>
      <c r="T549" t="str">
        <f>IF(D549=1,MAX($T$2:$T548)+1,IF(S549=$S548,$S548,IF($D549="x",T548,IF($D548="x","",""))))</f>
        <v/>
      </c>
      <c r="U549" t="str">
        <f>IF(B549=1,MAX($U$2:$U548)+1,IF(AND($T549&lt;&gt;"",$T549=$T548),$U548,IF(B549="x",U548,"")))</f>
        <v/>
      </c>
      <c r="V549" t="str">
        <f>IF(C549=1,MAX($V$2:$V548)+1,IF(AND($T549&lt;&gt;"",$T549=$T548),$U548,IF(C549="x",V548,"")))</f>
        <v/>
      </c>
      <c r="W549" t="str" cm="1">
        <f t="array" ref="W549">IFERROR(_xlfn._xlws.FILTER(game_rosters!AB:AB,(game_rosters!J:J=events!X549)*(K549&lt;&gt;"")),"")</f>
        <v/>
      </c>
      <c r="X549" t="str" cm="1">
        <f t="array" ref="X549">IF(S549="","",IF($I549&lt;&gt;"",$I549,INDEX($I$2:$I548,ROW()-COUNTIFS($T$2:$T548,"="&amp;$T549,$S$2:$S548,"&lt;&gt;"&amp;$S549)-1)))</f>
        <v/>
      </c>
      <c r="Z549" s="6"/>
      <c r="AI549" t="str">
        <f t="shared" si="159"/>
        <v/>
      </c>
      <c r="BI549" s="40"/>
      <c r="BL549" s="40"/>
      <c r="BN549" s="19"/>
      <c r="BP549" s="17"/>
    </row>
    <row r="550" spans="1:68" x14ac:dyDescent="0.2">
      <c r="A550" t="str">
        <f t="shared" si="157"/>
        <v/>
      </c>
      <c r="E550" s="4"/>
      <c r="F550" s="45"/>
      <c r="G550" s="4"/>
      <c r="H550" s="48"/>
      <c r="J550" s="46" t="str">
        <f t="shared" si="158"/>
        <v/>
      </c>
      <c r="N550" t="str">
        <f t="shared" si="161"/>
        <v/>
      </c>
      <c r="Q550" t="str">
        <f t="shared" si="160"/>
        <v/>
      </c>
      <c r="S550" t="str">
        <f>IF(A550=1,MAX(S$2:S549)+1,IF(OR(I550&lt;&gt;"",A550="x"),S549,""))</f>
        <v/>
      </c>
      <c r="T550" t="str">
        <f>IF(D550=1,MAX($T$2:$T549)+1,IF(S550=$S549,$S549,IF($D550="x",T549,IF($D549="x","",""))))</f>
        <v/>
      </c>
      <c r="U550" t="str">
        <f>IF(B550=1,MAX($U$2:$U549)+1,IF(AND($T550&lt;&gt;"",$T550=$T549),$U549,IF(B550="x",U549,"")))</f>
        <v/>
      </c>
      <c r="V550" t="str">
        <f>IF(C550=1,MAX($V$2:$V549)+1,IF(AND($T550&lt;&gt;"",$T550=$T549),$U549,IF(C550="x",V549,"")))</f>
        <v/>
      </c>
      <c r="W550" t="str" cm="1">
        <f t="array" ref="W550">IFERROR(_xlfn._xlws.FILTER(game_rosters!AB:AB,(game_rosters!J:J=events!X550)*(K550&lt;&gt;"")),"")</f>
        <v/>
      </c>
      <c r="X550" t="str" cm="1">
        <f t="array" ref="X550">IF(S550="","",IF($I550&lt;&gt;"",$I550,INDEX($I$2:$I549,ROW()-COUNTIFS($T$2:$T549,"="&amp;$T550,$S$2:$S549,"&lt;&gt;"&amp;$S550)-1)))</f>
        <v/>
      </c>
      <c r="Z550" s="6"/>
      <c r="AI550" t="str">
        <f t="shared" si="159"/>
        <v/>
      </c>
      <c r="BI550" s="40"/>
      <c r="BL550" s="40"/>
      <c r="BN550" s="19"/>
      <c r="BP550" s="17"/>
    </row>
    <row r="551" spans="1:68" x14ac:dyDescent="0.2">
      <c r="A551" t="str">
        <f t="shared" si="157"/>
        <v/>
      </c>
      <c r="E551" s="4"/>
      <c r="F551" s="45"/>
      <c r="G551" s="4"/>
      <c r="H551" s="48"/>
      <c r="J551" s="46" t="str">
        <f t="shared" si="158"/>
        <v/>
      </c>
      <c r="N551" t="str">
        <f t="shared" si="161"/>
        <v/>
      </c>
      <c r="Q551" t="str">
        <f t="shared" si="160"/>
        <v/>
      </c>
      <c r="S551" t="str">
        <f>IF(A551=1,MAX(S$2:S550)+1,IF(OR(I551&lt;&gt;"",A551="x"),S550,""))</f>
        <v/>
      </c>
      <c r="T551" t="str">
        <f>IF(D551=1,MAX($T$2:$T550)+1,IF(S551=$S550,$S550,IF($D551="x",T550,IF($D550="x","",""))))</f>
        <v/>
      </c>
      <c r="U551" t="str">
        <f>IF(B551=1,MAX($U$2:$U550)+1,IF(AND($T551&lt;&gt;"",$T551=$T550),$U550,IF(B551="x",U550,"")))</f>
        <v/>
      </c>
      <c r="V551" t="str">
        <f>IF(C551=1,MAX($V$2:$V550)+1,IF(AND($T551&lt;&gt;"",$T551=$T550),$U550,IF(C551="x",V550,"")))</f>
        <v/>
      </c>
      <c r="W551" t="str" cm="1">
        <f t="array" ref="W551">IFERROR(_xlfn._xlws.FILTER(game_rosters!AB:AB,(game_rosters!J:J=events!X551)*(K551&lt;&gt;"")),"")</f>
        <v/>
      </c>
      <c r="X551" t="str" cm="1">
        <f t="array" ref="X551">IF(S551="","",IF($I551&lt;&gt;"",$I551,INDEX($I$2:$I550,ROW()-COUNTIFS($T$2:$T550,"="&amp;$T551,$S$2:$S550,"&lt;&gt;"&amp;$S551)-1)))</f>
        <v/>
      </c>
      <c r="Z551" s="6"/>
      <c r="AI551" t="str">
        <f t="shared" si="159"/>
        <v/>
      </c>
      <c r="BI551" s="40"/>
      <c r="BL551" s="40"/>
      <c r="BN551" s="19"/>
      <c r="BP551" s="17"/>
    </row>
    <row r="552" spans="1:68" x14ac:dyDescent="0.2">
      <c r="A552" t="str">
        <f t="shared" si="157"/>
        <v/>
      </c>
      <c r="E552" s="4"/>
      <c r="F552" s="45"/>
      <c r="G552" s="4"/>
      <c r="H552" s="48"/>
      <c r="J552" s="46" t="str">
        <f t="shared" si="158"/>
        <v/>
      </c>
      <c r="N552" t="str">
        <f t="shared" si="161"/>
        <v/>
      </c>
      <c r="Q552" t="str">
        <f t="shared" si="160"/>
        <v/>
      </c>
      <c r="S552" t="str">
        <f>IF(A552=1,MAX(S$2:S551)+1,IF(OR(I552&lt;&gt;"",A552="x"),S551,""))</f>
        <v/>
      </c>
      <c r="T552" t="str">
        <f>IF(D552=1,MAX($T$2:$T551)+1,IF(S552=$S551,$S551,IF($D552="x",T551,IF($D551="x","",""))))</f>
        <v/>
      </c>
      <c r="U552" t="str">
        <f>IF(B552=1,MAX($U$2:$U551)+1,IF(AND($T552&lt;&gt;"",$T552=$T551),$U551,IF(B552="x",U551,"")))</f>
        <v/>
      </c>
      <c r="V552" t="str">
        <f>IF(C552=1,MAX($V$2:$V551)+1,IF(AND($T552&lt;&gt;"",$T552=$T551),$U551,IF(C552="x",V551,"")))</f>
        <v/>
      </c>
      <c r="W552" t="str" cm="1">
        <f t="array" ref="W552">IFERROR(_xlfn._xlws.FILTER(game_rosters!AB:AB,(game_rosters!J:J=events!X552)*(K552&lt;&gt;"")),"")</f>
        <v/>
      </c>
      <c r="X552" t="str" cm="1">
        <f t="array" ref="X552">IF(S552="","",IF($I552&lt;&gt;"",$I552,INDEX($I$2:$I551,ROW()-COUNTIFS($T$2:$T551,"="&amp;$T552,$S$2:$S551,"&lt;&gt;"&amp;$S552)-1)))</f>
        <v/>
      </c>
      <c r="Z552" s="6"/>
      <c r="AI552" t="str">
        <f t="shared" si="159"/>
        <v/>
      </c>
      <c r="BI552" s="40"/>
      <c r="BL552" s="40"/>
      <c r="BN552" s="19"/>
      <c r="BP552" s="17"/>
    </row>
    <row r="553" spans="1:68" x14ac:dyDescent="0.2">
      <c r="A553" t="str">
        <f t="shared" si="157"/>
        <v/>
      </c>
      <c r="E553" s="4"/>
      <c r="F553" s="45"/>
      <c r="G553" s="4"/>
      <c r="H553" s="48"/>
      <c r="J553" s="46" t="str">
        <f t="shared" si="158"/>
        <v/>
      </c>
      <c r="N553" t="str">
        <f t="shared" si="161"/>
        <v/>
      </c>
      <c r="Q553" t="str">
        <f t="shared" si="160"/>
        <v/>
      </c>
      <c r="S553" t="str">
        <f>IF(A553=1,MAX(S$2:S552)+1,IF(OR(I553&lt;&gt;"",A553="x"),S552,""))</f>
        <v/>
      </c>
      <c r="T553" t="str">
        <f>IF(D553=1,MAX($T$2:$T552)+1,IF(S553=$S552,$S552,IF($D553="x",T552,IF($D552="x","",""))))</f>
        <v/>
      </c>
      <c r="U553" t="str">
        <f>IF(B553=1,MAX($U$2:$U552)+1,IF(AND($T553&lt;&gt;"",$T553=$T552),$U552,IF(B553="x",U552,"")))</f>
        <v/>
      </c>
      <c r="V553" t="str">
        <f>IF(C553=1,MAX($V$2:$V552)+1,IF(AND($T553&lt;&gt;"",$T553=$T552),$U552,IF(C553="x",V552,"")))</f>
        <v/>
      </c>
      <c r="W553" t="str" cm="1">
        <f t="array" ref="W553">IFERROR(_xlfn._xlws.FILTER(game_rosters!AB:AB,(game_rosters!J:J=events!X553)*(K553&lt;&gt;"")),"")</f>
        <v/>
      </c>
      <c r="X553" t="str" cm="1">
        <f t="array" ref="X553">IF(S553="","",IF($I553&lt;&gt;"",$I553,INDEX($I$2:$I552,ROW()-COUNTIFS($T$2:$T552,"="&amp;$T553,$S$2:$S552,"&lt;&gt;"&amp;$S553)-1)))</f>
        <v/>
      </c>
      <c r="Z553" s="6"/>
      <c r="AI553" t="str">
        <f t="shared" si="159"/>
        <v/>
      </c>
      <c r="BI553" s="40"/>
      <c r="BL553" s="40"/>
      <c r="BN553" s="19"/>
      <c r="BP553" s="17"/>
    </row>
    <row r="554" spans="1:68" x14ac:dyDescent="0.2">
      <c r="A554" t="str">
        <f t="shared" si="157"/>
        <v/>
      </c>
      <c r="E554" s="4"/>
      <c r="F554" s="45"/>
      <c r="G554" s="4"/>
      <c r="H554" s="48"/>
      <c r="J554" s="46" t="str">
        <f t="shared" si="158"/>
        <v/>
      </c>
      <c r="N554" t="str">
        <f t="shared" si="161"/>
        <v/>
      </c>
      <c r="Q554" t="str">
        <f t="shared" si="160"/>
        <v/>
      </c>
      <c r="S554" t="str">
        <f>IF(A554=1,MAX(S$2:S553)+1,IF(OR(I554&lt;&gt;"",A554="x"),S553,""))</f>
        <v/>
      </c>
      <c r="T554" t="str">
        <f>IF(D554=1,MAX($T$2:$T553)+1,IF(S554=$S553,$S553,IF($D554="x",T553,IF($D553="x","",""))))</f>
        <v/>
      </c>
      <c r="U554" t="str">
        <f>IF(B554=1,MAX($U$2:$U553)+1,IF(AND($T554&lt;&gt;"",$T554=$T553),$U553,IF(B554="x",U553,"")))</f>
        <v/>
      </c>
      <c r="V554" t="str">
        <f>IF(C554=1,MAX($V$2:$V553)+1,IF(AND($T554&lt;&gt;"",$T554=$T553),$U553,IF(C554="x",V553,"")))</f>
        <v/>
      </c>
      <c r="W554" t="str" cm="1">
        <f t="array" ref="W554">IFERROR(_xlfn._xlws.FILTER(game_rosters!AB:AB,(game_rosters!J:J=events!X554)*(K554&lt;&gt;"")),"")</f>
        <v/>
      </c>
      <c r="X554" t="str" cm="1">
        <f t="array" ref="X554">IF(S554="","",IF($I554&lt;&gt;"",$I554,INDEX($I$2:$I553,ROW()-COUNTIFS($T$2:$T553,"="&amp;$T554,$S$2:$S553,"&lt;&gt;"&amp;$S554)-1)))</f>
        <v/>
      </c>
      <c r="Z554" s="6"/>
      <c r="AI554" t="str">
        <f t="shared" si="159"/>
        <v/>
      </c>
      <c r="BI554" s="40"/>
      <c r="BL554" s="40"/>
      <c r="BN554" s="19"/>
      <c r="BP554" s="17"/>
    </row>
    <row r="555" spans="1:68" x14ac:dyDescent="0.2">
      <c r="A555" t="str">
        <f t="shared" si="157"/>
        <v/>
      </c>
      <c r="E555" s="4"/>
      <c r="F555" s="45"/>
      <c r="G555" s="4"/>
      <c r="H555" s="48"/>
      <c r="J555" s="46" t="str">
        <f t="shared" si="158"/>
        <v/>
      </c>
      <c r="N555" t="str">
        <f t="shared" si="161"/>
        <v/>
      </c>
      <c r="Q555" t="str">
        <f t="shared" si="160"/>
        <v/>
      </c>
      <c r="S555" t="str">
        <f>IF(A555=1,MAX(S$2:S554)+1,IF(OR(I555&lt;&gt;"",A555="x"),S554,""))</f>
        <v/>
      </c>
      <c r="T555" t="str">
        <f>IF(D555=1,MAX($T$2:$T554)+1,IF(S555=$S554,$S554,IF($D555="x",T554,IF($D554="x","",""))))</f>
        <v/>
      </c>
      <c r="U555" t="str">
        <f>IF(B555=1,MAX($U$2:$U554)+1,IF(AND($T555&lt;&gt;"",$T555=$T554),$U554,IF(B555="x",U554,"")))</f>
        <v/>
      </c>
      <c r="V555" t="str">
        <f>IF(C555=1,MAX($V$2:$V554)+1,IF(AND($T555&lt;&gt;"",$T555=$T554),$U554,IF(C555="x",V554,"")))</f>
        <v/>
      </c>
      <c r="W555" t="str" cm="1">
        <f t="array" ref="W555">IFERROR(_xlfn._xlws.FILTER(game_rosters!AB:AB,(game_rosters!J:J=events!X555)*(K555&lt;&gt;"")),"")</f>
        <v/>
      </c>
      <c r="X555" t="str" cm="1">
        <f t="array" ref="X555">IF(S555="","",IF($I555&lt;&gt;"",$I555,INDEX($I$2:$I554,ROW()-COUNTIFS($T$2:$T554,"="&amp;$T555,$S$2:$S554,"&lt;&gt;"&amp;$S555)-1)))</f>
        <v/>
      </c>
      <c r="Z555" s="6"/>
      <c r="AI555" t="str">
        <f t="shared" si="159"/>
        <v/>
      </c>
      <c r="BI555" s="40"/>
      <c r="BL555" s="40"/>
      <c r="BN555" s="19"/>
      <c r="BP555" s="17"/>
    </row>
    <row r="556" spans="1:68" x14ac:dyDescent="0.2">
      <c r="A556" t="str">
        <f t="shared" si="157"/>
        <v/>
      </c>
      <c r="E556" s="4"/>
      <c r="F556" s="45"/>
      <c r="G556" s="4"/>
      <c r="H556" s="48"/>
      <c r="J556" s="46" t="str">
        <f t="shared" si="158"/>
        <v/>
      </c>
      <c r="N556" t="str">
        <f t="shared" si="161"/>
        <v/>
      </c>
      <c r="Q556" t="str">
        <f t="shared" si="160"/>
        <v/>
      </c>
      <c r="S556" t="str">
        <f>IF(A556=1,MAX(S$2:S555)+1,IF(OR(I556&lt;&gt;"",A556="x"),S555,""))</f>
        <v/>
      </c>
      <c r="T556" t="str">
        <f>IF(D556=1,MAX($T$2:$T555)+1,IF(S556=$S555,$S555,IF($D556="x",T555,IF($D555="x","",""))))</f>
        <v/>
      </c>
      <c r="U556" t="str">
        <f>IF(B556=1,MAX($U$2:$U555)+1,IF(AND($T556&lt;&gt;"",$T556=$T555),$U555,IF(B556="x",U555,"")))</f>
        <v/>
      </c>
      <c r="V556" t="str">
        <f>IF(C556=1,MAX($V$2:$V555)+1,IF(AND($T556&lt;&gt;"",$T556=$T555),$U555,IF(C556="x",V555,"")))</f>
        <v/>
      </c>
      <c r="W556" t="str" cm="1">
        <f t="array" ref="W556">IFERROR(_xlfn._xlws.FILTER(game_rosters!AB:AB,(game_rosters!J:J=events!X556)*(K556&lt;&gt;"")),"")</f>
        <v/>
      </c>
      <c r="X556" t="str" cm="1">
        <f t="array" ref="X556">IF(S556="","",IF($I556&lt;&gt;"",$I556,INDEX($I$2:$I555,ROW()-COUNTIFS($T$2:$T555,"="&amp;$T556,$S$2:$S555,"&lt;&gt;"&amp;$S556)-1)))</f>
        <v/>
      </c>
      <c r="Z556" s="6"/>
      <c r="AI556" t="str">
        <f t="shared" si="159"/>
        <v/>
      </c>
      <c r="BI556" s="40"/>
      <c r="BL556" s="40"/>
      <c r="BN556" s="19"/>
      <c r="BP556" s="17"/>
    </row>
    <row r="557" spans="1:68" x14ac:dyDescent="0.2">
      <c r="A557" t="str">
        <f t="shared" si="157"/>
        <v/>
      </c>
      <c r="E557" s="4"/>
      <c r="F557" s="45"/>
      <c r="G557" s="4"/>
      <c r="H557" s="48"/>
      <c r="J557" s="46" t="str">
        <f t="shared" si="158"/>
        <v/>
      </c>
      <c r="N557" t="str">
        <f t="shared" si="161"/>
        <v/>
      </c>
      <c r="Q557" t="str">
        <f t="shared" si="160"/>
        <v/>
      </c>
      <c r="S557" t="str">
        <f>IF(A557=1,MAX(S$2:S556)+1,IF(OR(I557&lt;&gt;"",A557="x"),S556,""))</f>
        <v/>
      </c>
      <c r="T557" t="str">
        <f>IF(D557=1,MAX($T$2:$T556)+1,IF(S557=$S556,$S556,IF($D557="x",T556,IF($D556="x","",""))))</f>
        <v/>
      </c>
      <c r="U557" t="str">
        <f>IF(B557=1,MAX($U$2:$U556)+1,IF(AND($T557&lt;&gt;"",$T557=$T556),$U556,IF(B557="x",U556,"")))</f>
        <v/>
      </c>
      <c r="V557" t="str">
        <f>IF(C557=1,MAX($V$2:$V556)+1,IF(AND($T557&lt;&gt;"",$T557=$T556),$U556,IF(C557="x",V556,"")))</f>
        <v/>
      </c>
      <c r="W557" t="str" cm="1">
        <f t="array" ref="W557">IFERROR(_xlfn._xlws.FILTER(game_rosters!AB:AB,(game_rosters!J:J=events!X557)*(K557&lt;&gt;"")),"")</f>
        <v/>
      </c>
      <c r="X557" t="str" cm="1">
        <f t="array" ref="X557">IF(S557="","",IF($I557&lt;&gt;"",$I557,INDEX($I$2:$I556,ROW()-COUNTIFS($T$2:$T556,"="&amp;$T557,$S$2:$S556,"&lt;&gt;"&amp;$S557)-1)))</f>
        <v/>
      </c>
      <c r="Z557" s="6"/>
      <c r="AI557" t="str">
        <f t="shared" si="159"/>
        <v/>
      </c>
      <c r="BI557" s="40"/>
      <c r="BL557" s="40"/>
      <c r="BN557" s="19"/>
      <c r="BP557" s="17"/>
    </row>
    <row r="558" spans="1:68" x14ac:dyDescent="0.2">
      <c r="A558" t="str">
        <f t="shared" si="157"/>
        <v/>
      </c>
      <c r="E558" s="4"/>
      <c r="F558" s="45"/>
      <c r="G558" s="4"/>
      <c r="H558" s="48"/>
      <c r="J558" s="46" t="str">
        <f t="shared" si="158"/>
        <v/>
      </c>
      <c r="N558" t="str">
        <f t="shared" si="161"/>
        <v/>
      </c>
      <c r="Q558" t="str">
        <f t="shared" si="160"/>
        <v/>
      </c>
      <c r="S558" t="str">
        <f>IF(A558=1,MAX(S$2:S557)+1,IF(OR(I558&lt;&gt;"",A558="x"),S557,""))</f>
        <v/>
      </c>
      <c r="T558" t="str">
        <f>IF(D558=1,MAX($T$2:$T557)+1,IF(S558=$S557,$S557,IF($D558="x",T557,IF($D557="x","",""))))</f>
        <v/>
      </c>
      <c r="U558" t="str">
        <f>IF(B558=1,MAX($U$2:$U557)+1,IF(AND($T558&lt;&gt;"",$T558=$T557),$U557,IF(B558="x",U557,"")))</f>
        <v/>
      </c>
      <c r="V558" t="str">
        <f>IF(C558=1,MAX($V$2:$V557)+1,IF(AND($T558&lt;&gt;"",$T558=$T557),$U557,IF(C558="x",V557,"")))</f>
        <v/>
      </c>
      <c r="W558" t="str" cm="1">
        <f t="array" ref="W558">IFERROR(_xlfn._xlws.FILTER(game_rosters!AB:AB,(game_rosters!J:J=events!X558)*(K558&lt;&gt;"")),"")</f>
        <v/>
      </c>
      <c r="X558" t="str" cm="1">
        <f t="array" ref="X558">IF(S558="","",IF($I558&lt;&gt;"",$I558,INDEX($I$2:$I557,ROW()-COUNTIFS($T$2:$T557,"="&amp;$T558,$S$2:$S557,"&lt;&gt;"&amp;$S558)-1)))</f>
        <v/>
      </c>
      <c r="Z558" s="6"/>
      <c r="AI558" t="str">
        <f t="shared" si="159"/>
        <v/>
      </c>
      <c r="BI558" s="40"/>
      <c r="BL558" s="40"/>
      <c r="BN558" s="19"/>
      <c r="BP558" s="17"/>
    </row>
    <row r="559" spans="1:68" x14ac:dyDescent="0.2">
      <c r="A559" t="str">
        <f t="shared" si="157"/>
        <v/>
      </c>
      <c r="E559" s="4"/>
      <c r="F559" s="45"/>
      <c r="G559" s="4"/>
      <c r="H559" s="48"/>
      <c r="J559" s="46" t="str">
        <f t="shared" si="158"/>
        <v/>
      </c>
      <c r="N559" t="str">
        <f t="shared" si="161"/>
        <v/>
      </c>
      <c r="Q559" t="str">
        <f t="shared" si="160"/>
        <v/>
      </c>
      <c r="S559" t="str">
        <f>IF(A559=1,MAX(S$2:S558)+1,IF(OR(I559&lt;&gt;"",A559="x"),S558,""))</f>
        <v/>
      </c>
      <c r="T559" t="str">
        <f>IF(D559=1,MAX($T$2:$T558)+1,IF(S559=$S558,$S558,IF($D559="x",T558,IF($D558="x","",""))))</f>
        <v/>
      </c>
      <c r="U559" t="str">
        <f>IF(B559=1,MAX($U$2:$U558)+1,IF(AND($T559&lt;&gt;"",$T559=$T558),$U558,IF(B559="x",U558,"")))</f>
        <v/>
      </c>
      <c r="V559" t="str">
        <f>IF(C559=1,MAX($V$2:$V558)+1,IF(AND($T559&lt;&gt;"",$T559=$T558),$U558,IF(C559="x",V558,"")))</f>
        <v/>
      </c>
      <c r="W559" t="str" cm="1">
        <f t="array" ref="W559">IFERROR(_xlfn._xlws.FILTER(game_rosters!AB:AB,(game_rosters!J:J=events!X559)*(K559&lt;&gt;"")),"")</f>
        <v/>
      </c>
      <c r="X559" t="str" cm="1">
        <f t="array" ref="X559">IF(S559="","",IF($I559&lt;&gt;"",$I559,INDEX($I$2:$I558,ROW()-COUNTIFS($T$2:$T558,"="&amp;$T559,$S$2:$S558,"&lt;&gt;"&amp;$S559)-1)))</f>
        <v/>
      </c>
      <c r="Z559" s="6"/>
      <c r="AI559" t="str">
        <f t="shared" si="159"/>
        <v/>
      </c>
      <c r="BI559" s="40"/>
      <c r="BL559" s="40"/>
      <c r="BN559" s="19"/>
      <c r="BP559" s="17"/>
    </row>
    <row r="560" spans="1:68" x14ac:dyDescent="0.2">
      <c r="A560" t="str">
        <f t="shared" si="157"/>
        <v/>
      </c>
      <c r="E560" s="4"/>
      <c r="F560" s="45"/>
      <c r="G560" s="4"/>
      <c r="H560" s="48"/>
      <c r="J560" s="46" t="str">
        <f t="shared" si="158"/>
        <v/>
      </c>
      <c r="N560" t="str">
        <f t="shared" si="161"/>
        <v/>
      </c>
      <c r="Q560" t="str">
        <f t="shared" si="160"/>
        <v/>
      </c>
      <c r="S560" t="str">
        <f>IF(A560=1,MAX(S$2:S559)+1,IF(OR(I560&lt;&gt;"",A560="x"),S559,""))</f>
        <v/>
      </c>
      <c r="T560" t="str">
        <f>IF(D560=1,MAX($T$2:$T559)+1,IF(S560=$S559,$S559,IF($D560="x",T559,IF($D559="x","",""))))</f>
        <v/>
      </c>
      <c r="U560" t="str">
        <f>IF(B560=1,MAX($U$2:$U559)+1,IF(AND($T560&lt;&gt;"",$T560=$T559),$U559,IF(B560="x",U559,"")))</f>
        <v/>
      </c>
      <c r="V560" t="str">
        <f>IF(C560=1,MAX($V$2:$V559)+1,IF(AND($T560&lt;&gt;"",$T560=$T559),$U559,IF(C560="x",V559,"")))</f>
        <v/>
      </c>
      <c r="W560" t="str" cm="1">
        <f t="array" ref="W560">IFERROR(_xlfn._xlws.FILTER(game_rosters!AB:AB,(game_rosters!J:J=events!X560)*(K560&lt;&gt;"")),"")</f>
        <v/>
      </c>
      <c r="X560" t="str" cm="1">
        <f t="array" ref="X560">IF(S560="","",IF($I560&lt;&gt;"",$I560,INDEX($I$2:$I559,ROW()-COUNTIFS($T$2:$T559,"="&amp;$T560,$S$2:$S559,"&lt;&gt;"&amp;$S560)-1)))</f>
        <v/>
      </c>
      <c r="Z560" s="6"/>
      <c r="AI560" t="str">
        <f t="shared" si="159"/>
        <v/>
      </c>
      <c r="BI560" s="40"/>
      <c r="BL560" s="40"/>
      <c r="BN560" s="19"/>
      <c r="BP560" s="17"/>
    </row>
    <row r="561" spans="1:68" x14ac:dyDescent="0.2">
      <c r="A561" t="str">
        <f t="shared" si="157"/>
        <v/>
      </c>
      <c r="E561" s="4"/>
      <c r="F561" s="45"/>
      <c r="G561" s="4"/>
      <c r="H561" s="48"/>
      <c r="J561" s="46" t="str">
        <f t="shared" si="158"/>
        <v/>
      </c>
      <c r="N561" t="str">
        <f t="shared" si="161"/>
        <v/>
      </c>
      <c r="Q561" t="str">
        <f t="shared" si="160"/>
        <v/>
      </c>
      <c r="S561" t="str">
        <f>IF(A561=1,MAX(S$2:S560)+1,IF(OR(I561&lt;&gt;"",A561="x"),S560,""))</f>
        <v/>
      </c>
      <c r="T561" t="str">
        <f>IF(D561=1,MAX($T$2:$T560)+1,IF(S561=$S560,$S560,IF($D561="x",T560,IF($D560="x","",""))))</f>
        <v/>
      </c>
      <c r="U561" t="str">
        <f>IF(B561=1,MAX($U$2:$U560)+1,IF(AND($T561&lt;&gt;"",$T561=$T560),$U560,IF(B561="x",U560,"")))</f>
        <v/>
      </c>
      <c r="V561" t="str">
        <f>IF(C561=1,MAX($V$2:$V560)+1,IF(AND($T561&lt;&gt;"",$T561=$T560),$U560,IF(C561="x",V560,"")))</f>
        <v/>
      </c>
      <c r="W561" t="str" cm="1">
        <f t="array" ref="W561">IFERROR(_xlfn._xlws.FILTER(game_rosters!AB:AB,(game_rosters!J:J=events!X561)*(K561&lt;&gt;"")),"")</f>
        <v/>
      </c>
      <c r="X561" t="str" cm="1">
        <f t="array" ref="X561">IF(S561="","",IF($I561&lt;&gt;"",$I561,INDEX($I$2:$I560,ROW()-COUNTIFS($T$2:$T560,"="&amp;$T561,$S$2:$S560,"&lt;&gt;"&amp;$S561)-1)))</f>
        <v/>
      </c>
      <c r="Z561" s="6"/>
      <c r="AI561" t="str">
        <f t="shared" si="159"/>
        <v/>
      </c>
      <c r="BI561" s="40"/>
      <c r="BL561" s="40"/>
      <c r="BN561" s="19"/>
      <c r="BP561" s="17"/>
    </row>
    <row r="562" spans="1:68" x14ac:dyDescent="0.2">
      <c r="A562" t="str">
        <f t="shared" si="157"/>
        <v/>
      </c>
      <c r="E562" s="4"/>
      <c r="F562" s="45"/>
      <c r="G562" s="4"/>
      <c r="H562" s="48"/>
      <c r="J562" s="46" t="str">
        <f t="shared" si="158"/>
        <v/>
      </c>
      <c r="N562" t="str">
        <f t="shared" si="161"/>
        <v/>
      </c>
      <c r="Q562" t="str">
        <f t="shared" si="160"/>
        <v/>
      </c>
      <c r="S562" t="str">
        <f>IF(A562=1,MAX(S$2:S561)+1,IF(OR(I562&lt;&gt;"",A562="x"),S561,""))</f>
        <v/>
      </c>
      <c r="T562" t="str">
        <f>IF(D562=1,MAX($T$2:$T561)+1,IF(S562=$S561,$S561,IF($D562="x",T561,IF($D561="x","",""))))</f>
        <v/>
      </c>
      <c r="U562" t="str">
        <f>IF(B562=1,MAX($U$2:$U561)+1,IF(AND($T562&lt;&gt;"",$T562=$T561),$U561,IF(B562="x",U561,"")))</f>
        <v/>
      </c>
      <c r="V562" t="str">
        <f>IF(C562=1,MAX($V$2:$V561)+1,IF(AND($T562&lt;&gt;"",$T562=$T561),$U561,IF(C562="x",V561,"")))</f>
        <v/>
      </c>
      <c r="W562" t="str" cm="1">
        <f t="array" ref="W562">IFERROR(_xlfn._xlws.FILTER(game_rosters!AB:AB,(game_rosters!J:J=events!X562)*(K562&lt;&gt;"")),"")</f>
        <v/>
      </c>
      <c r="X562" t="str" cm="1">
        <f t="array" ref="X562">IF(S562="","",IF($I562&lt;&gt;"",$I562,INDEX($I$2:$I561,ROW()-COUNTIFS($T$2:$T561,"="&amp;$T562,$S$2:$S561,"&lt;&gt;"&amp;$S562)-1)))</f>
        <v/>
      </c>
      <c r="Z562" s="6"/>
      <c r="AI562" t="str">
        <f t="shared" si="159"/>
        <v/>
      </c>
      <c r="BI562" s="40"/>
      <c r="BL562" s="40"/>
      <c r="BN562" s="19"/>
      <c r="BP562" s="17"/>
    </row>
    <row r="563" spans="1:68" x14ac:dyDescent="0.2">
      <c r="A563" t="str">
        <f t="shared" si="157"/>
        <v/>
      </c>
      <c r="E563" s="4"/>
      <c r="F563" s="45"/>
      <c r="G563" s="4"/>
      <c r="H563" s="48"/>
      <c r="J563" s="46" t="str">
        <f t="shared" si="158"/>
        <v/>
      </c>
      <c r="N563" t="str">
        <f t="shared" si="161"/>
        <v/>
      </c>
      <c r="Q563" t="str">
        <f t="shared" si="160"/>
        <v/>
      </c>
      <c r="S563" t="str">
        <f>IF(A563=1,MAX(S$2:S562)+1,IF(OR(I563&lt;&gt;"",A563="x"),S562,""))</f>
        <v/>
      </c>
      <c r="T563" t="str">
        <f>IF(D563=1,MAX($T$2:$T562)+1,IF(S563=$S562,$S562,IF($D563="x",T562,IF($D562="x","",""))))</f>
        <v/>
      </c>
      <c r="U563" t="str">
        <f>IF(B563=1,MAX($U$2:$U562)+1,IF(AND($T563&lt;&gt;"",$T563=$T562),$U562,IF(B563="x",U562,"")))</f>
        <v/>
      </c>
      <c r="V563" t="str">
        <f>IF(C563=1,MAX($V$2:$V562)+1,IF(AND($T563&lt;&gt;"",$T563=$T562),$U562,IF(C563="x",V562,"")))</f>
        <v/>
      </c>
      <c r="W563" t="str" cm="1">
        <f t="array" ref="W563">IFERROR(_xlfn._xlws.FILTER(game_rosters!AB:AB,(game_rosters!J:J=events!X563)*(K563&lt;&gt;"")),"")</f>
        <v/>
      </c>
      <c r="X563" t="str" cm="1">
        <f t="array" ref="X563">IF(S563="","",IF($I563&lt;&gt;"",$I563,INDEX($I$2:$I562,ROW()-COUNTIFS($T$2:$T562,"="&amp;$T563,$S$2:$S562,"&lt;&gt;"&amp;$S563)-1)))</f>
        <v/>
      </c>
      <c r="Z563" s="6"/>
      <c r="AI563" t="str">
        <f t="shared" si="159"/>
        <v/>
      </c>
      <c r="BI563" s="40"/>
      <c r="BL563" s="40"/>
      <c r="BN563" s="19"/>
      <c r="BP563" s="17"/>
    </row>
    <row r="564" spans="1:68" x14ac:dyDescent="0.2">
      <c r="A564" t="str">
        <f t="shared" si="157"/>
        <v/>
      </c>
      <c r="E564" s="4"/>
      <c r="F564" s="45"/>
      <c r="G564" s="4"/>
      <c r="H564" s="48"/>
      <c r="J564" s="46" t="str">
        <f t="shared" si="158"/>
        <v/>
      </c>
      <c r="N564" t="str">
        <f t="shared" si="161"/>
        <v/>
      </c>
      <c r="Q564" t="str">
        <f t="shared" si="160"/>
        <v/>
      </c>
      <c r="S564" t="str">
        <f>IF(A564=1,MAX(S$2:S563)+1,IF(OR(I564&lt;&gt;"",A564="x"),S563,""))</f>
        <v/>
      </c>
      <c r="T564" t="str">
        <f>IF(D564=1,MAX($T$2:$T563)+1,IF(S564=$S563,$S563,IF($D564="x",T563,IF($D563="x","",""))))</f>
        <v/>
      </c>
      <c r="U564" t="str">
        <f>IF(B564=1,MAX($U$2:$U563)+1,IF(AND($T564&lt;&gt;"",$T564=$T563),$U563,IF(B564="x",U563,"")))</f>
        <v/>
      </c>
      <c r="V564" t="str">
        <f>IF(C564=1,MAX($V$2:$V563)+1,IF(AND($T564&lt;&gt;"",$T564=$T563),$U563,IF(C564="x",V563,"")))</f>
        <v/>
      </c>
      <c r="W564" t="str" cm="1">
        <f t="array" ref="W564">IFERROR(_xlfn._xlws.FILTER(game_rosters!AB:AB,(game_rosters!J:J=events!X564)*(K564&lt;&gt;"")),"")</f>
        <v/>
      </c>
      <c r="X564" t="str" cm="1">
        <f t="array" ref="X564">IF(S564="","",IF($I564&lt;&gt;"",$I564,INDEX($I$2:$I563,ROW()-COUNTIFS($T$2:$T563,"="&amp;$T564,$S$2:$S563,"&lt;&gt;"&amp;$S564)-1)))</f>
        <v/>
      </c>
      <c r="Z564" s="6"/>
      <c r="AI564" t="str">
        <f t="shared" si="159"/>
        <v/>
      </c>
      <c r="BI564" s="40"/>
      <c r="BL564" s="40"/>
      <c r="BN564" s="19"/>
      <c r="BP564" s="17"/>
    </row>
    <row r="565" spans="1:68" x14ac:dyDescent="0.2">
      <c r="A565" t="str">
        <f t="shared" si="157"/>
        <v/>
      </c>
      <c r="E565" s="4"/>
      <c r="F565" s="45"/>
      <c r="G565" s="4"/>
      <c r="H565" s="48"/>
      <c r="J565" s="46" t="str">
        <f t="shared" si="158"/>
        <v/>
      </c>
      <c r="N565" t="str">
        <f t="shared" si="161"/>
        <v/>
      </c>
      <c r="Q565" t="str">
        <f t="shared" si="160"/>
        <v/>
      </c>
      <c r="S565" t="str">
        <f>IF(A565=1,MAX(S$2:S564)+1,IF(OR(I565&lt;&gt;"",A565="x"),S564,""))</f>
        <v/>
      </c>
      <c r="T565" t="str">
        <f>IF(D565=1,MAX($T$2:$T564)+1,IF(S565=$S564,$S564,IF($D565="x",T564,IF($D564="x","",""))))</f>
        <v/>
      </c>
      <c r="U565" t="str">
        <f>IF(B565=1,MAX($U$2:$U564)+1,IF(AND($T565&lt;&gt;"",$T565=$T564),$U564,IF(B565="x",U564,"")))</f>
        <v/>
      </c>
      <c r="V565" t="str">
        <f>IF(C565=1,MAX($V$2:$V564)+1,IF(AND($T565&lt;&gt;"",$T565=$T564),$U564,IF(C565="x",V564,"")))</f>
        <v/>
      </c>
      <c r="W565" t="str" cm="1">
        <f t="array" ref="W565">IFERROR(_xlfn._xlws.FILTER(game_rosters!AB:AB,(game_rosters!J:J=events!X565)*(K565&lt;&gt;"")),"")</f>
        <v/>
      </c>
      <c r="X565" t="str" cm="1">
        <f t="array" ref="X565">IF(S565="","",IF($I565&lt;&gt;"",$I565,INDEX($I$2:$I564,ROW()-COUNTIFS($T$2:$T564,"="&amp;$T565,$S$2:$S564,"&lt;&gt;"&amp;$S565)-1)))</f>
        <v/>
      </c>
      <c r="Z565" s="6"/>
      <c r="AI565" t="str">
        <f t="shared" si="159"/>
        <v/>
      </c>
      <c r="BI565" s="40"/>
      <c r="BL565" s="40"/>
      <c r="BN565" s="19"/>
      <c r="BP565" s="17"/>
    </row>
    <row r="566" spans="1:68" x14ac:dyDescent="0.2">
      <c r="A566" t="str">
        <f t="shared" si="157"/>
        <v/>
      </c>
      <c r="E566" s="4"/>
      <c r="F566" s="45"/>
      <c r="G566" s="4"/>
      <c r="H566" s="48"/>
      <c r="J566" s="46" t="str">
        <f t="shared" si="158"/>
        <v/>
      </c>
      <c r="N566" t="str">
        <f t="shared" si="161"/>
        <v/>
      </c>
      <c r="Q566" t="str">
        <f t="shared" si="160"/>
        <v/>
      </c>
      <c r="S566" t="str">
        <f>IF(A566=1,MAX(S$2:S565)+1,IF(OR(I566&lt;&gt;"",A566="x"),S565,""))</f>
        <v/>
      </c>
      <c r="T566" t="str">
        <f>IF(D566=1,MAX($T$2:$T565)+1,IF(S566=$S565,$S565,IF($D566="x",T565,IF($D565="x","",""))))</f>
        <v/>
      </c>
      <c r="U566" t="str">
        <f>IF(B566=1,MAX($U$2:$U565)+1,IF(AND($T566&lt;&gt;"",$T566=$T565),$U565,IF(B566="x",U565,"")))</f>
        <v/>
      </c>
      <c r="V566" t="str">
        <f>IF(C566=1,MAX($V$2:$V565)+1,IF(AND($T566&lt;&gt;"",$T566=$T565),$U565,IF(C566="x",V565,"")))</f>
        <v/>
      </c>
      <c r="W566" t="str" cm="1">
        <f t="array" ref="W566">IFERROR(_xlfn._xlws.FILTER(game_rosters!AB:AB,(game_rosters!J:J=events!X566)*(K566&lt;&gt;"")),"")</f>
        <v/>
      </c>
      <c r="X566" t="str" cm="1">
        <f t="array" ref="X566">IF(S566="","",IF($I566&lt;&gt;"",$I566,INDEX($I$2:$I565,ROW()-COUNTIFS($T$2:$T565,"="&amp;$T566,$S$2:$S565,"&lt;&gt;"&amp;$S566)-1)))</f>
        <v/>
      </c>
      <c r="Z566" s="6"/>
      <c r="AI566" t="str">
        <f t="shared" si="159"/>
        <v/>
      </c>
      <c r="BI566" s="40"/>
      <c r="BL566" s="40"/>
      <c r="BN566" s="19"/>
      <c r="BP566" s="17"/>
    </row>
    <row r="567" spans="1:68" x14ac:dyDescent="0.2">
      <c r="A567" t="str">
        <f t="shared" si="157"/>
        <v/>
      </c>
      <c r="E567" s="4"/>
      <c r="F567" s="45"/>
      <c r="G567" s="4"/>
      <c r="H567" s="48"/>
      <c r="J567" s="46" t="str">
        <f t="shared" si="158"/>
        <v/>
      </c>
      <c r="N567" t="str">
        <f t="shared" si="161"/>
        <v/>
      </c>
      <c r="Q567" t="str">
        <f t="shared" si="160"/>
        <v/>
      </c>
      <c r="S567" t="str">
        <f>IF(A567=1,MAX(S$2:S566)+1,IF(OR(I567&lt;&gt;"",A567="x"),S566,""))</f>
        <v/>
      </c>
      <c r="T567" t="str">
        <f>IF(D567=1,MAX($T$2:$T566)+1,IF(S567=$S566,$S566,IF($D567="x",T566,IF($D566="x","",""))))</f>
        <v/>
      </c>
      <c r="U567" t="str">
        <f>IF(B567=1,MAX($U$2:$U566)+1,IF(AND($T567&lt;&gt;"",$T567=$T566),$U566,IF(B567="x",U566,"")))</f>
        <v/>
      </c>
      <c r="V567" t="str">
        <f>IF(C567=1,MAX($V$2:$V566)+1,IF(AND($T567&lt;&gt;"",$T567=$T566),$U566,IF(C567="x",V566,"")))</f>
        <v/>
      </c>
      <c r="W567" t="str" cm="1">
        <f t="array" ref="W567">IFERROR(_xlfn._xlws.FILTER(game_rosters!AB:AB,(game_rosters!J:J=events!X567)*(K567&lt;&gt;"")),"")</f>
        <v/>
      </c>
      <c r="X567" t="str" cm="1">
        <f t="array" ref="X567">IF(S567="","",IF($I567&lt;&gt;"",$I567,INDEX($I$2:$I566,ROW()-COUNTIFS($T$2:$T566,"="&amp;$T567,$S$2:$S566,"&lt;&gt;"&amp;$S567)-1)))</f>
        <v/>
      </c>
      <c r="Z567" s="6"/>
      <c r="AI567" t="str">
        <f t="shared" si="159"/>
        <v/>
      </c>
      <c r="BI567" s="40"/>
      <c r="BL567" s="40"/>
      <c r="BN567" s="19"/>
      <c r="BP567" s="17"/>
    </row>
    <row r="568" spans="1:68" x14ac:dyDescent="0.2">
      <c r="A568" t="str">
        <f t="shared" si="157"/>
        <v/>
      </c>
      <c r="E568" s="4"/>
      <c r="F568" s="45"/>
      <c r="G568" s="4"/>
      <c r="H568" s="48"/>
      <c r="J568" s="46" t="str">
        <f t="shared" si="158"/>
        <v/>
      </c>
      <c r="N568" t="str">
        <f t="shared" si="161"/>
        <v/>
      </c>
      <c r="Q568" t="str">
        <f t="shared" si="160"/>
        <v/>
      </c>
      <c r="S568" t="str">
        <f>IF(A568=1,MAX(S$2:S567)+1,IF(OR(I568&lt;&gt;"",A568="x"),S567,""))</f>
        <v/>
      </c>
      <c r="T568" t="str">
        <f>IF(D568=1,MAX($T$2:$T567)+1,IF(S568=$S567,$S567,IF($D568="x",T567,IF($D567="x","",""))))</f>
        <v/>
      </c>
      <c r="U568" t="str">
        <f>IF(B568=1,MAX($U$2:$U567)+1,IF(AND($T568&lt;&gt;"",$T568=$T567),$U567,IF(B568="x",U567,"")))</f>
        <v/>
      </c>
      <c r="V568" t="str">
        <f>IF(C568=1,MAX($V$2:$V567)+1,IF(AND($T568&lt;&gt;"",$T568=$T567),$U567,IF(C568="x",V567,"")))</f>
        <v/>
      </c>
      <c r="W568" t="str" cm="1">
        <f t="array" ref="W568">IFERROR(_xlfn._xlws.FILTER(game_rosters!AB:AB,(game_rosters!J:J=events!X568)*(K568&lt;&gt;"")),"")</f>
        <v/>
      </c>
      <c r="X568" t="str" cm="1">
        <f t="array" ref="X568">IF(S568="","",IF($I568&lt;&gt;"",$I568,INDEX($I$2:$I567,ROW()-COUNTIFS($T$2:$T567,"="&amp;$T568,$S$2:$S567,"&lt;&gt;"&amp;$S568)-1)))</f>
        <v/>
      </c>
      <c r="Z568" s="6"/>
      <c r="AI568" t="str">
        <f t="shared" si="159"/>
        <v/>
      </c>
      <c r="BI568" s="40"/>
      <c r="BL568" s="40"/>
      <c r="BN568" s="19"/>
      <c r="BP568" s="17"/>
    </row>
    <row r="569" spans="1:68" x14ac:dyDescent="0.2">
      <c r="A569" t="str">
        <f t="shared" si="157"/>
        <v/>
      </c>
      <c r="E569" s="4"/>
      <c r="F569" s="45"/>
      <c r="G569" s="4"/>
      <c r="H569" s="48"/>
      <c r="J569" s="46" t="str">
        <f t="shared" si="158"/>
        <v/>
      </c>
      <c r="N569" t="str">
        <f t="shared" si="161"/>
        <v/>
      </c>
      <c r="Q569" t="str">
        <f t="shared" si="160"/>
        <v/>
      </c>
      <c r="S569" t="str">
        <f>IF(A569=1,MAX(S$2:S568)+1,IF(OR(I569&lt;&gt;"",A569="x"),S568,""))</f>
        <v/>
      </c>
      <c r="T569" t="str">
        <f>IF(D569=1,MAX($T$2:$T568)+1,IF(S569=$S568,$S568,IF($D569="x",T568,IF($D568="x","",""))))</f>
        <v/>
      </c>
      <c r="U569" t="str">
        <f>IF(B569=1,MAX($U$2:$U568)+1,IF(AND($T569&lt;&gt;"",$T569=$T568),$U568,IF(B569="x",U568,"")))</f>
        <v/>
      </c>
      <c r="V569" t="str">
        <f>IF(C569=1,MAX($V$2:$V568)+1,IF(AND($T569&lt;&gt;"",$T569=$T568),$U568,IF(C569="x",V568,"")))</f>
        <v/>
      </c>
      <c r="W569" t="str" cm="1">
        <f t="array" ref="W569">IFERROR(_xlfn._xlws.FILTER(game_rosters!AB:AB,(game_rosters!J:J=events!X569)*(K569&lt;&gt;"")),"")</f>
        <v/>
      </c>
      <c r="X569" t="str" cm="1">
        <f t="array" ref="X569">IF(S569="","",IF($I569&lt;&gt;"",$I569,INDEX($I$2:$I568,ROW()-COUNTIFS($T$2:$T568,"="&amp;$T569,$S$2:$S568,"&lt;&gt;"&amp;$S569)-1)))</f>
        <v/>
      </c>
      <c r="Z569" s="6"/>
      <c r="AI569" t="str">
        <f t="shared" si="159"/>
        <v/>
      </c>
      <c r="BI569" s="40"/>
      <c r="BL569" s="40"/>
      <c r="BN569" s="19"/>
      <c r="BP569" s="17"/>
    </row>
    <row r="570" spans="1:68" x14ac:dyDescent="0.2">
      <c r="A570" t="str">
        <f t="shared" si="157"/>
        <v/>
      </c>
      <c r="E570" s="4"/>
      <c r="F570" s="45"/>
      <c r="G570" s="4"/>
      <c r="H570" s="48"/>
      <c r="J570" s="46" t="str">
        <f t="shared" si="158"/>
        <v/>
      </c>
      <c r="N570" t="str">
        <f t="shared" si="161"/>
        <v/>
      </c>
      <c r="Q570" t="str">
        <f t="shared" si="160"/>
        <v/>
      </c>
      <c r="S570" t="str">
        <f>IF(A570=1,MAX(S$2:S569)+1,IF(OR(I570&lt;&gt;"",A570="x"),S569,""))</f>
        <v/>
      </c>
      <c r="T570" t="str">
        <f>IF(D570=1,MAX($T$2:$T569)+1,IF(S570=$S569,$S569,IF($D570="x",T569,IF($D569="x","",""))))</f>
        <v/>
      </c>
      <c r="U570" t="str">
        <f>IF(B570=1,MAX($U$2:$U569)+1,IF(AND($T570&lt;&gt;"",$T570=$T569),$U569,IF(B570="x",U569,"")))</f>
        <v/>
      </c>
      <c r="V570" t="str">
        <f>IF(C570=1,MAX($V$2:$V569)+1,IF(AND($T570&lt;&gt;"",$T570=$T569),$U569,IF(C570="x",V569,"")))</f>
        <v/>
      </c>
      <c r="W570" t="str" cm="1">
        <f t="array" ref="W570">IFERROR(_xlfn._xlws.FILTER(game_rosters!AB:AB,(game_rosters!J:J=events!X570)*(K570&lt;&gt;"")),"")</f>
        <v/>
      </c>
      <c r="X570" t="str" cm="1">
        <f t="array" ref="X570">IF(S570="","",IF($I570&lt;&gt;"",$I570,INDEX($I$2:$I569,ROW()-COUNTIFS($T$2:$T569,"="&amp;$T570,$S$2:$S569,"&lt;&gt;"&amp;$S570)-1)))</f>
        <v/>
      </c>
      <c r="Z570" s="6"/>
      <c r="AI570" t="str">
        <f t="shared" si="159"/>
        <v/>
      </c>
      <c r="BI570" s="40"/>
      <c r="BL570" s="40"/>
      <c r="BN570" s="19"/>
      <c r="BP570" s="17"/>
    </row>
    <row r="571" spans="1:68" x14ac:dyDescent="0.2">
      <c r="A571" t="str">
        <f t="shared" si="157"/>
        <v/>
      </c>
      <c r="E571" s="4"/>
      <c r="F571" s="45"/>
      <c r="G571" s="4"/>
      <c r="H571" s="48"/>
      <c r="J571" s="46" t="str">
        <f t="shared" si="158"/>
        <v/>
      </c>
      <c r="N571" t="str">
        <f t="shared" si="161"/>
        <v/>
      </c>
      <c r="Q571" t="str">
        <f t="shared" si="160"/>
        <v/>
      </c>
      <c r="S571" t="str">
        <f>IF(A571=1,MAX(S$2:S570)+1,IF(OR(I571&lt;&gt;"",A571="x"),S570,""))</f>
        <v/>
      </c>
      <c r="T571" t="str">
        <f>IF(D571=1,MAX($T$2:$T570)+1,IF(S571=$S570,$S570,IF($D571="x",T570,IF($D570="x","",""))))</f>
        <v/>
      </c>
      <c r="U571" t="str">
        <f>IF(B571=1,MAX($U$2:$U570)+1,IF(AND($T571&lt;&gt;"",$T571=$T570),$U570,IF(B571="x",U570,"")))</f>
        <v/>
      </c>
      <c r="V571" t="str">
        <f>IF(C571=1,MAX($V$2:$V570)+1,IF(AND($T571&lt;&gt;"",$T571=$T570),$U570,IF(C571="x",V570,"")))</f>
        <v/>
      </c>
      <c r="W571" t="str" cm="1">
        <f t="array" ref="W571">IFERROR(_xlfn._xlws.FILTER(game_rosters!AB:AB,(game_rosters!J:J=events!X571)*(K571&lt;&gt;"")),"")</f>
        <v/>
      </c>
      <c r="X571" t="str" cm="1">
        <f t="array" ref="X571">IF(S571="","",IF($I571&lt;&gt;"",$I571,INDEX($I$2:$I570,ROW()-COUNTIFS($T$2:$T570,"="&amp;$T571,$S$2:$S570,"&lt;&gt;"&amp;$S571)-1)))</f>
        <v/>
      </c>
      <c r="Z571" s="6"/>
      <c r="AI571" t="str">
        <f t="shared" si="159"/>
        <v/>
      </c>
      <c r="BI571" s="40"/>
      <c r="BL571" s="40"/>
      <c r="BN571" s="19"/>
      <c r="BP571" s="17"/>
    </row>
    <row r="572" spans="1:68" x14ac:dyDescent="0.2">
      <c r="A572" t="str">
        <f t="shared" si="157"/>
        <v/>
      </c>
      <c r="E572" s="4"/>
      <c r="F572" s="45"/>
      <c r="G572" s="4"/>
      <c r="H572" s="48"/>
      <c r="J572" s="46" t="str">
        <f t="shared" si="158"/>
        <v/>
      </c>
      <c r="N572" t="str">
        <f t="shared" si="161"/>
        <v/>
      </c>
      <c r="Q572" t="str">
        <f t="shared" si="160"/>
        <v/>
      </c>
      <c r="S572" t="str">
        <f>IF(A572=1,MAX(S$2:S571)+1,IF(OR(I572&lt;&gt;"",A572="x"),S571,""))</f>
        <v/>
      </c>
      <c r="T572" t="str">
        <f>IF(D572=1,MAX($T$2:$T571)+1,IF(S572=$S571,$S571,IF($D572="x",T571,IF($D571="x","",""))))</f>
        <v/>
      </c>
      <c r="U572" t="str">
        <f>IF(B572=1,MAX($U$2:$U571)+1,IF(AND($T572&lt;&gt;"",$T572=$T571),$U571,IF(B572="x",U571,"")))</f>
        <v/>
      </c>
      <c r="V572" t="str">
        <f>IF(C572=1,MAX($V$2:$V571)+1,IF(AND($T572&lt;&gt;"",$T572=$T571),$U571,IF(C572="x",V571,"")))</f>
        <v/>
      </c>
      <c r="W572" t="str" cm="1">
        <f t="array" ref="W572">IFERROR(_xlfn._xlws.FILTER(game_rosters!AB:AB,(game_rosters!J:J=events!X572)*(K572&lt;&gt;"")),"")</f>
        <v/>
      </c>
      <c r="X572" t="str" cm="1">
        <f t="array" ref="X572">IF(S572="","",IF($I572&lt;&gt;"",$I572,INDEX($I$2:$I571,ROW()-COUNTIFS($T$2:$T571,"="&amp;$T572,$S$2:$S571,"&lt;&gt;"&amp;$S572)-1)))</f>
        <v/>
      </c>
      <c r="Z572" s="6"/>
      <c r="AI572" t="str">
        <f t="shared" si="159"/>
        <v/>
      </c>
      <c r="BI572" s="40"/>
      <c r="BL572" s="40"/>
      <c r="BN572" s="19"/>
      <c r="BP572" s="17"/>
    </row>
    <row r="573" spans="1:68" x14ac:dyDescent="0.2">
      <c r="A573" t="str">
        <f t="shared" si="157"/>
        <v/>
      </c>
      <c r="E573" s="4"/>
      <c r="F573" s="45"/>
      <c r="G573" s="4"/>
      <c r="H573" s="48"/>
      <c r="J573" s="46" t="str">
        <f t="shared" si="158"/>
        <v/>
      </c>
      <c r="N573" t="str">
        <f t="shared" si="161"/>
        <v/>
      </c>
      <c r="Q573" t="str">
        <f t="shared" si="160"/>
        <v/>
      </c>
      <c r="S573" t="str">
        <f>IF(A573=1,MAX(S$2:S572)+1,IF(OR(I573&lt;&gt;"",A573="x"),S572,""))</f>
        <v/>
      </c>
      <c r="T573" t="str">
        <f>IF(D573=1,MAX($T$2:$T572)+1,IF(S573=$S572,$S572,IF($D573="x",T572,IF($D572="x","",""))))</f>
        <v/>
      </c>
      <c r="U573" t="str">
        <f>IF(B573=1,MAX($U$2:$U572)+1,IF(AND($T573&lt;&gt;"",$T573=$T572),$U572,IF(B573="x",U572,"")))</f>
        <v/>
      </c>
      <c r="V573" t="str">
        <f>IF(C573=1,MAX($V$2:$V572)+1,IF(AND($T573&lt;&gt;"",$T573=$T572),$U572,IF(C573="x",V572,"")))</f>
        <v/>
      </c>
      <c r="W573" t="str" cm="1">
        <f t="array" ref="W573">IFERROR(_xlfn._xlws.FILTER(game_rosters!AB:AB,(game_rosters!J:J=events!X573)*(K573&lt;&gt;"")),"")</f>
        <v/>
      </c>
      <c r="X573" t="str" cm="1">
        <f t="array" ref="X573">IF(S573="","",IF($I573&lt;&gt;"",$I573,INDEX($I$2:$I572,ROW()-COUNTIFS($T$2:$T572,"="&amp;$T573,$S$2:$S572,"&lt;&gt;"&amp;$S573)-1)))</f>
        <v/>
      </c>
      <c r="Z573" s="6"/>
      <c r="AI573" t="str">
        <f t="shared" si="159"/>
        <v/>
      </c>
      <c r="BI573" s="40"/>
      <c r="BL573" s="40"/>
      <c r="BN573" s="19"/>
      <c r="BP573" s="17"/>
    </row>
    <row r="574" spans="1:68" x14ac:dyDescent="0.2">
      <c r="A574" t="str">
        <f t="shared" si="157"/>
        <v/>
      </c>
      <c r="E574" s="4"/>
      <c r="F574" s="45"/>
      <c r="G574" s="4"/>
      <c r="H574" s="48"/>
      <c r="J574" s="46" t="str">
        <f t="shared" si="158"/>
        <v/>
      </c>
      <c r="N574" t="str">
        <f t="shared" si="161"/>
        <v/>
      </c>
      <c r="Q574" t="str">
        <f t="shared" si="160"/>
        <v/>
      </c>
      <c r="S574" t="str">
        <f>IF(A574=1,MAX(S$2:S573)+1,IF(OR(I574&lt;&gt;"",A574="x"),S573,""))</f>
        <v/>
      </c>
      <c r="T574" t="str">
        <f>IF(D574=1,MAX($T$2:$T573)+1,IF(S574=$S573,$S573,IF($D574="x",T573,IF($D573="x","",""))))</f>
        <v/>
      </c>
      <c r="U574" t="str">
        <f>IF(B574=1,MAX($U$2:$U573)+1,IF(AND($T574&lt;&gt;"",$T574=$T573),$U573,IF(B574="x",U573,"")))</f>
        <v/>
      </c>
      <c r="V574" t="str">
        <f>IF(C574=1,MAX($V$2:$V573)+1,IF(AND($T574&lt;&gt;"",$T574=$T573),$U573,IF(C574="x",V573,"")))</f>
        <v/>
      </c>
      <c r="W574" t="str" cm="1">
        <f t="array" ref="W574">IFERROR(_xlfn._xlws.FILTER(game_rosters!AB:AB,(game_rosters!J:J=events!X574)*(K574&lt;&gt;"")),"")</f>
        <v/>
      </c>
      <c r="X574" t="str" cm="1">
        <f t="array" ref="X574">IF(S574="","",IF($I574&lt;&gt;"",$I574,INDEX($I$2:$I573,ROW()-COUNTIFS($T$2:$T573,"="&amp;$T574,$S$2:$S573,"&lt;&gt;"&amp;$S574)-1)))</f>
        <v/>
      </c>
      <c r="Z574" s="6"/>
      <c r="AI574" t="str">
        <f t="shared" si="159"/>
        <v/>
      </c>
      <c r="BI574" s="40"/>
      <c r="BL574" s="40"/>
      <c r="BN574" s="19"/>
      <c r="BP574" s="17"/>
    </row>
    <row r="575" spans="1:68" x14ac:dyDescent="0.2">
      <c r="A575" t="str">
        <f t="shared" si="157"/>
        <v/>
      </c>
      <c r="E575" s="4"/>
      <c r="F575" s="45"/>
      <c r="G575" s="4"/>
      <c r="H575" s="48"/>
      <c r="J575" s="46" t="str">
        <f t="shared" si="158"/>
        <v/>
      </c>
      <c r="N575" t="str">
        <f t="shared" si="161"/>
        <v/>
      </c>
      <c r="Q575" t="str">
        <f t="shared" si="160"/>
        <v/>
      </c>
      <c r="S575" t="str">
        <f>IF(A575=1,MAX(S$2:S574)+1,IF(OR(I575&lt;&gt;"",A575="x"),S574,""))</f>
        <v/>
      </c>
      <c r="T575" t="str">
        <f>IF(D575=1,MAX($T$2:$T574)+1,IF(S575=$S574,$S574,IF($D575="x",T574,IF($D574="x","",""))))</f>
        <v/>
      </c>
      <c r="U575" t="str">
        <f>IF(B575=1,MAX($U$2:$U574)+1,IF(AND($T575&lt;&gt;"",$T575=$T574),$U574,IF(B575="x",U574,"")))</f>
        <v/>
      </c>
      <c r="V575" t="str">
        <f>IF(C575=1,MAX($V$2:$V574)+1,IF(AND($T575&lt;&gt;"",$T575=$T574),$U574,IF(C575="x",V574,"")))</f>
        <v/>
      </c>
      <c r="W575" t="str" cm="1">
        <f t="array" ref="W575">IFERROR(_xlfn._xlws.FILTER(game_rosters!AB:AB,(game_rosters!J:J=events!X575)*(K575&lt;&gt;"")),"")</f>
        <v/>
      </c>
      <c r="X575" t="str" cm="1">
        <f t="array" ref="X575">IF(S575="","",IF($I575&lt;&gt;"",$I575,INDEX($I$2:$I574,ROW()-COUNTIFS($T$2:$T574,"="&amp;$T575,$S$2:$S574,"&lt;&gt;"&amp;$S575)-1)))</f>
        <v/>
      </c>
      <c r="Z575" s="6"/>
      <c r="AI575" t="str">
        <f t="shared" si="159"/>
        <v/>
      </c>
      <c r="BI575" s="40"/>
      <c r="BL575" s="40"/>
      <c r="BN575" s="19"/>
      <c r="BP575" s="17"/>
    </row>
    <row r="576" spans="1:68" x14ac:dyDescent="0.2">
      <c r="A576" t="str">
        <f t="shared" si="157"/>
        <v/>
      </c>
      <c r="E576" s="4"/>
      <c r="F576" s="45"/>
      <c r="G576" s="4"/>
      <c r="H576" s="48"/>
      <c r="J576" s="46" t="str">
        <f t="shared" si="158"/>
        <v/>
      </c>
      <c r="N576" t="str">
        <f t="shared" si="161"/>
        <v/>
      </c>
      <c r="Q576" t="str">
        <f t="shared" si="160"/>
        <v/>
      </c>
      <c r="S576" t="str">
        <f>IF(A576=1,MAX(S$2:S575)+1,IF(OR(I576&lt;&gt;"",A576="x"),S575,""))</f>
        <v/>
      </c>
      <c r="T576" t="str">
        <f>IF(D576=1,MAX($T$2:$T575)+1,IF(S576=$S575,$S575,IF($D576="x",T575,IF($D575="x","",""))))</f>
        <v/>
      </c>
      <c r="U576" t="str">
        <f>IF(B576=1,MAX($U$2:$U575)+1,IF(AND($T576&lt;&gt;"",$T576=$T575),$U575,IF(B576="x",U575,"")))</f>
        <v/>
      </c>
      <c r="V576" t="str">
        <f>IF(C576=1,MAX($V$2:$V575)+1,IF(AND($T576&lt;&gt;"",$T576=$T575),$U575,IF(C576="x",V575,"")))</f>
        <v/>
      </c>
      <c r="W576" t="str" cm="1">
        <f t="array" ref="W576">IFERROR(_xlfn._xlws.FILTER(game_rosters!AB:AB,(game_rosters!J:J=events!X576)*(K576&lt;&gt;"")),"")</f>
        <v/>
      </c>
      <c r="X576" t="str" cm="1">
        <f t="array" ref="X576">IF(S576="","",IF($I576&lt;&gt;"",$I576,INDEX($I$2:$I575,ROW()-COUNTIFS($T$2:$T575,"="&amp;$T576,$S$2:$S575,"&lt;&gt;"&amp;$S576)-1)))</f>
        <v/>
      </c>
      <c r="Z576" s="6"/>
      <c r="AI576" t="str">
        <f t="shared" si="159"/>
        <v/>
      </c>
      <c r="BI576" s="40"/>
      <c r="BL576" s="40"/>
      <c r="BN576" s="19"/>
      <c r="BP576" s="17"/>
    </row>
    <row r="577" spans="1:68" x14ac:dyDescent="0.2">
      <c r="A577" t="str">
        <f t="shared" si="157"/>
        <v/>
      </c>
      <c r="E577" s="4"/>
      <c r="F577" s="45"/>
      <c r="G577" s="4"/>
      <c r="H577" s="48"/>
      <c r="J577" s="46" t="str">
        <f t="shared" si="158"/>
        <v/>
      </c>
      <c r="N577" t="str">
        <f t="shared" si="161"/>
        <v/>
      </c>
      <c r="Q577" t="str">
        <f t="shared" si="160"/>
        <v/>
      </c>
      <c r="S577" t="str">
        <f>IF(A577=1,MAX(S$2:S576)+1,IF(OR(I577&lt;&gt;"",A577="x"),S576,""))</f>
        <v/>
      </c>
      <c r="T577" t="str">
        <f>IF(D577=1,MAX($T$2:$T576)+1,IF(S577=$S576,$S576,IF($D577="x",T576,IF($D576="x","",""))))</f>
        <v/>
      </c>
      <c r="U577" t="str">
        <f>IF(B577=1,MAX($U$2:$U576)+1,IF(AND($T577&lt;&gt;"",$T577=$T576),$U576,IF(B577="x",U576,"")))</f>
        <v/>
      </c>
      <c r="V577" t="str">
        <f>IF(C577=1,MAX($V$2:$V576)+1,IF(AND($T577&lt;&gt;"",$T577=$T576),$U576,IF(C577="x",V576,"")))</f>
        <v/>
      </c>
      <c r="W577" t="str" cm="1">
        <f t="array" ref="W577">IFERROR(_xlfn._xlws.FILTER(game_rosters!AB:AB,(game_rosters!J:J=events!X577)*(K577&lt;&gt;"")),"")</f>
        <v/>
      </c>
      <c r="X577" t="str" cm="1">
        <f t="array" ref="X577">IF(S577="","",IF($I577&lt;&gt;"",$I577,INDEX($I$2:$I576,ROW()-COUNTIFS($T$2:$T576,"="&amp;$T577,$S$2:$S576,"&lt;&gt;"&amp;$S577)-1)))</f>
        <v/>
      </c>
      <c r="Z577" s="6"/>
      <c r="AI577" t="str">
        <f t="shared" si="159"/>
        <v/>
      </c>
      <c r="BI577" s="40"/>
      <c r="BL577" s="40"/>
      <c r="BN577" s="19"/>
      <c r="BP577" s="17"/>
    </row>
    <row r="578" spans="1:68" x14ac:dyDescent="0.2">
      <c r="A578" t="str">
        <f t="shared" si="157"/>
        <v/>
      </c>
      <c r="E578" s="4"/>
      <c r="F578" s="45"/>
      <c r="G578" s="4"/>
      <c r="H578" s="48"/>
      <c r="J578" s="46" t="str">
        <f t="shared" si="158"/>
        <v/>
      </c>
      <c r="N578" t="str">
        <f t="shared" si="161"/>
        <v/>
      </c>
      <c r="Q578" t="str">
        <f t="shared" si="160"/>
        <v/>
      </c>
      <c r="S578" t="str">
        <f>IF(A578=1,MAX(S$2:S577)+1,IF(OR(I578&lt;&gt;"",A578="x"),S577,""))</f>
        <v/>
      </c>
      <c r="T578" t="str">
        <f>IF(D578=1,MAX($T$2:$T577)+1,IF(S578=$S577,$S577,IF($D578="x",T577,IF($D577="x","",""))))</f>
        <v/>
      </c>
      <c r="U578" t="str">
        <f>IF(B578=1,MAX($U$2:$U577)+1,IF(AND($T578&lt;&gt;"",$T578=$T577),$U577,IF(B578="x",U577,"")))</f>
        <v/>
      </c>
      <c r="V578" t="str">
        <f>IF(C578=1,MAX($V$2:$V577)+1,IF(AND($T578&lt;&gt;"",$T578=$T577),$U577,IF(C578="x",V577,"")))</f>
        <v/>
      </c>
      <c r="W578" t="str" cm="1">
        <f t="array" ref="W578">IFERROR(_xlfn._xlws.FILTER(game_rosters!AB:AB,(game_rosters!J:J=events!X578)*(K578&lt;&gt;"")),"")</f>
        <v/>
      </c>
      <c r="X578" t="str" cm="1">
        <f t="array" ref="X578">IF(S578="","",IF($I578&lt;&gt;"",$I578,INDEX($I$2:$I577,ROW()-COUNTIFS($T$2:$T577,"="&amp;$T578,$S$2:$S577,"&lt;&gt;"&amp;$S578)-1)))</f>
        <v/>
      </c>
      <c r="Z578" s="6"/>
      <c r="AI578" t="str">
        <f t="shared" si="159"/>
        <v/>
      </c>
      <c r="BI578" s="40"/>
      <c r="BL578" s="40"/>
      <c r="BN578" s="19"/>
      <c r="BP578" s="17"/>
    </row>
    <row r="579" spans="1:68" x14ac:dyDescent="0.2">
      <c r="A579" t="str">
        <f t="shared" si="157"/>
        <v/>
      </c>
      <c r="E579" s="4"/>
      <c r="F579" s="45"/>
      <c r="G579" s="4"/>
      <c r="H579" s="48"/>
      <c r="J579" s="46" t="str">
        <f t="shared" si="158"/>
        <v/>
      </c>
      <c r="N579" t="str">
        <f t="shared" si="161"/>
        <v/>
      </c>
      <c r="Q579" t="str">
        <f t="shared" si="160"/>
        <v/>
      </c>
      <c r="S579" t="str">
        <f>IF(A579=1,MAX(S$2:S578)+1,IF(OR(I579&lt;&gt;"",A579="x"),S578,""))</f>
        <v/>
      </c>
      <c r="T579" t="str">
        <f>IF(D579=1,MAX($T$2:$T578)+1,IF(S579=$S578,$S578,IF($D579="x",T578,IF($D578="x","",""))))</f>
        <v/>
      </c>
      <c r="U579" t="str">
        <f>IF(B579=1,MAX($U$2:$U578)+1,IF(AND($T579&lt;&gt;"",$T579=$T578),$U578,IF(B579="x",U578,"")))</f>
        <v/>
      </c>
      <c r="V579" t="str">
        <f>IF(C579=1,MAX($V$2:$V578)+1,IF(AND($T579&lt;&gt;"",$T579=$T578),$U578,IF(C579="x",V578,"")))</f>
        <v/>
      </c>
      <c r="W579" t="str" cm="1">
        <f t="array" ref="W579">IFERROR(_xlfn._xlws.FILTER(game_rosters!AB:AB,(game_rosters!J:J=events!X579)*(K579&lt;&gt;"")),"")</f>
        <v/>
      </c>
      <c r="X579" t="str" cm="1">
        <f t="array" ref="X579">IF(S579="","",IF($I579&lt;&gt;"",$I579,INDEX($I$2:$I578,ROW()-COUNTIFS($T$2:$T578,"="&amp;$T579,$S$2:$S578,"&lt;&gt;"&amp;$S579)-1)))</f>
        <v/>
      </c>
      <c r="Z579" s="6"/>
      <c r="AI579" t="str">
        <f t="shared" si="159"/>
        <v/>
      </c>
      <c r="BI579" s="40"/>
      <c r="BL579" s="40"/>
      <c r="BN579" s="19"/>
      <c r="BP579" s="17"/>
    </row>
    <row r="580" spans="1:68" x14ac:dyDescent="0.2">
      <c r="A580" t="str">
        <f t="shared" si="157"/>
        <v/>
      </c>
      <c r="E580" s="4"/>
      <c r="F580" s="45"/>
      <c r="G580" s="4"/>
      <c r="H580" s="48"/>
      <c r="J580" s="46" t="str">
        <f t="shared" si="158"/>
        <v/>
      </c>
      <c r="N580" t="str">
        <f t="shared" si="161"/>
        <v/>
      </c>
      <c r="Q580" t="str">
        <f t="shared" si="160"/>
        <v/>
      </c>
      <c r="S580" t="str">
        <f>IF(A580=1,MAX(S$2:S579)+1,IF(OR(I580&lt;&gt;"",A580="x"),S579,""))</f>
        <v/>
      </c>
      <c r="T580" t="str">
        <f>IF(D580=1,MAX($T$2:$T579)+1,IF(S580=$S579,$S579,IF($D580="x",T579,IF($D579="x","",""))))</f>
        <v/>
      </c>
      <c r="U580" t="str">
        <f>IF(B580=1,MAX($U$2:$U579)+1,IF(AND($T580&lt;&gt;"",$T580=$T579),$U579,IF(B580="x",U579,"")))</f>
        <v/>
      </c>
      <c r="V580" t="str">
        <f>IF(C580=1,MAX($V$2:$V579)+1,IF(AND($T580&lt;&gt;"",$T580=$T579),$U579,IF(C580="x",V579,"")))</f>
        <v/>
      </c>
      <c r="W580" t="str" cm="1">
        <f t="array" ref="W580">IFERROR(_xlfn._xlws.FILTER(game_rosters!AB:AB,(game_rosters!J:J=events!X580)*(K580&lt;&gt;"")),"")</f>
        <v/>
      </c>
      <c r="X580" t="str" cm="1">
        <f t="array" ref="X580">IF(S580="","",IF($I580&lt;&gt;"",$I580,INDEX($I$2:$I579,ROW()-COUNTIFS($T$2:$T579,"="&amp;$T580,$S$2:$S579,"&lt;&gt;"&amp;$S580)-1)))</f>
        <v/>
      </c>
      <c r="Z580" s="6"/>
      <c r="AI580" t="str">
        <f t="shared" si="159"/>
        <v/>
      </c>
      <c r="BI580" s="40"/>
      <c r="BL580" s="40"/>
      <c r="BN580" s="19"/>
      <c r="BP580" s="17"/>
    </row>
    <row r="581" spans="1:68" x14ac:dyDescent="0.2">
      <c r="A581" t="str">
        <f t="shared" ref="A581:A644" si="162">IF(K581&lt;&gt;"",1,IF(D581="x","x",""))</f>
        <v/>
      </c>
      <c r="E581" s="4"/>
      <c r="F581" s="45"/>
      <c r="G581" s="4"/>
      <c r="H581" s="48"/>
      <c r="J581" s="46" t="str">
        <f t="shared" si="158"/>
        <v/>
      </c>
      <c r="N581" t="str">
        <f t="shared" si="161"/>
        <v/>
      </c>
      <c r="Q581" t="str">
        <f t="shared" si="160"/>
        <v/>
      </c>
      <c r="S581" t="str">
        <f>IF(A581=1,MAX(S$2:S580)+1,IF(OR(I581&lt;&gt;"",A581="x"),S580,""))</f>
        <v/>
      </c>
      <c r="T581" t="str">
        <f>IF(D581=1,MAX($T$2:$T580)+1,IF(S581=$S580,$S580,IF($D581="x",T580,IF($D580="x","",""))))</f>
        <v/>
      </c>
      <c r="U581" t="str">
        <f>IF(B581=1,MAX($U$2:$U580)+1,IF(AND($T581&lt;&gt;"",$T581=$T580),$U580,IF(B581="x",U580,"")))</f>
        <v/>
      </c>
      <c r="V581" t="str">
        <f>IF(C581=1,MAX($V$2:$V580)+1,IF(AND($T581&lt;&gt;"",$T581=$T580),$U580,IF(C581="x",V580,"")))</f>
        <v/>
      </c>
      <c r="W581" t="str" cm="1">
        <f t="array" ref="W581">IFERROR(_xlfn._xlws.FILTER(game_rosters!AB:AB,(game_rosters!J:J=events!X581)*(K581&lt;&gt;"")),"")</f>
        <v/>
      </c>
      <c r="X581" t="str" cm="1">
        <f t="array" ref="X581">IF(S581="","",IF($I581&lt;&gt;"",$I581,INDEX($I$2:$I580,ROW()-COUNTIFS($T$2:$T580,"="&amp;$T581,$S$2:$S580,"&lt;&gt;"&amp;$S581)-1)))</f>
        <v/>
      </c>
      <c r="Z581" s="6"/>
      <c r="AI581" t="str">
        <f t="shared" si="159"/>
        <v/>
      </c>
      <c r="BI581" s="40"/>
      <c r="BL581" s="40"/>
      <c r="BN581" s="19"/>
      <c r="BP581" s="17"/>
    </row>
    <row r="582" spans="1:68" x14ac:dyDescent="0.2">
      <c r="A582" t="str">
        <f t="shared" si="162"/>
        <v/>
      </c>
      <c r="E582" s="4"/>
      <c r="F582" s="45"/>
      <c r="G582" s="4"/>
      <c r="H582" s="48"/>
      <c r="J582" s="46" t="str">
        <f t="shared" ref="J582:J645" si="163">IF(OR(K582="Goal",K582="Shot",L582="Zone_Entry",M582="Stoppage-Goal",M581="Stoppage-Goal"),"o",IF(OR(K582="Save",K582="Rebound",L582="Zone_Exit",M582="Stoppage-GoalieStoppage",M581="Stoppage-GoalieStoppage"),"d",IF(OR(L582="Faceoff_AfterGoal",L582="Faceoff_PeriodStart",698="Faceoff_GameStart",M581="Stoppage-Goal"),"n","")))</f>
        <v/>
      </c>
      <c r="N582" t="str">
        <f t="shared" si="161"/>
        <v/>
      </c>
      <c r="Q582" t="str">
        <f t="shared" si="160"/>
        <v/>
      </c>
      <c r="S582" t="str">
        <f>IF(A582=1,MAX(S$2:S581)+1,IF(OR(I582&lt;&gt;"",A582="x"),S581,""))</f>
        <v/>
      </c>
      <c r="T582" t="str">
        <f>IF(D582=1,MAX($T$2:$T581)+1,IF(S582=$S581,$S581,IF($D582="x",T581,IF($D581="x","",""))))</f>
        <v/>
      </c>
      <c r="U582" t="str">
        <f>IF(B582=1,MAX($U$2:$U581)+1,IF(AND($T582&lt;&gt;"",$T582=$T581),$U581,IF(B582="x",U581,"")))</f>
        <v/>
      </c>
      <c r="V582" t="str">
        <f>IF(C582=1,MAX($V$2:$V581)+1,IF(AND($T582&lt;&gt;"",$T582=$T581),$U581,IF(C582="x",V581,"")))</f>
        <v/>
      </c>
      <c r="W582" t="str" cm="1">
        <f t="array" ref="W582">IFERROR(_xlfn._xlws.FILTER(game_rosters!AB:AB,(game_rosters!J:J=events!X582)*(K582&lt;&gt;"")),"")</f>
        <v/>
      </c>
      <c r="X582" t="str" cm="1">
        <f t="array" ref="X582">IF(S582="","",IF($I582&lt;&gt;"",$I582,INDEX($I$2:$I581,ROW()-COUNTIFS($T$2:$T581,"="&amp;$T582,$S$2:$S581,"&lt;&gt;"&amp;$S582)-1)))</f>
        <v/>
      </c>
      <c r="Z582" s="6"/>
      <c r="AI582" t="str">
        <f t="shared" ref="AI582:AI645" si="164">IF($J582&lt;&gt;"",$J582,IF($AC582=$AC581,AI581,""))</f>
        <v/>
      </c>
      <c r="BI582" s="40"/>
      <c r="BL582" s="40"/>
      <c r="BN582" s="19"/>
      <c r="BP582" s="17"/>
    </row>
    <row r="583" spans="1:68" x14ac:dyDescent="0.2">
      <c r="A583" t="str">
        <f t="shared" si="162"/>
        <v/>
      </c>
      <c r="E583" s="4"/>
      <c r="F583" s="45"/>
      <c r="G583" s="4"/>
      <c r="H583" s="48"/>
      <c r="J583" s="46" t="str">
        <f t="shared" si="163"/>
        <v/>
      </c>
      <c r="N583" t="str">
        <f t="shared" si="161"/>
        <v/>
      </c>
      <c r="Q583" t="str">
        <f t="shared" si="160"/>
        <v/>
      </c>
      <c r="S583" t="str">
        <f>IF(A583=1,MAX(S$2:S582)+1,IF(OR(I583&lt;&gt;"",A583="x"),S582,""))</f>
        <v/>
      </c>
      <c r="T583" t="str">
        <f>IF(D583=1,MAX($T$2:$T582)+1,IF(S583=$S582,$S582,IF($D583="x",T582,IF($D582="x","",""))))</f>
        <v/>
      </c>
      <c r="U583" t="str">
        <f>IF(B583=1,MAX($U$2:$U582)+1,IF(AND($T583&lt;&gt;"",$T583=$T582),$U582,IF(B583="x",U582,"")))</f>
        <v/>
      </c>
      <c r="V583" t="str">
        <f>IF(C583=1,MAX($V$2:$V582)+1,IF(AND($T583&lt;&gt;"",$T583=$T582),$U582,IF(C583="x",V582,"")))</f>
        <v/>
      </c>
      <c r="W583" t="str" cm="1">
        <f t="array" ref="W583">IFERROR(_xlfn._xlws.FILTER(game_rosters!AB:AB,(game_rosters!J:J=events!X583)*(K583&lt;&gt;"")),"")</f>
        <v/>
      </c>
      <c r="X583" t="str" cm="1">
        <f t="array" ref="X583">IF(S583="","",IF($I583&lt;&gt;"",$I583,INDEX($I$2:$I582,ROW()-COUNTIFS($T$2:$T582,"="&amp;$T583,$S$2:$S582,"&lt;&gt;"&amp;$S583)-1)))</f>
        <v/>
      </c>
      <c r="Z583" s="6"/>
      <c r="AI583" t="str">
        <f t="shared" si="164"/>
        <v/>
      </c>
      <c r="BI583" s="40"/>
      <c r="BL583" s="40"/>
      <c r="BN583" s="19"/>
      <c r="BP583" s="17"/>
    </row>
    <row r="584" spans="1:68" x14ac:dyDescent="0.2">
      <c r="A584" t="str">
        <f t="shared" si="162"/>
        <v/>
      </c>
      <c r="E584" s="4"/>
      <c r="F584" s="45"/>
      <c r="G584" s="4"/>
      <c r="H584" s="48"/>
      <c r="J584" s="46" t="str">
        <f t="shared" si="163"/>
        <v/>
      </c>
      <c r="N584" t="str">
        <f t="shared" si="161"/>
        <v/>
      </c>
      <c r="Q584" t="str">
        <f t="shared" si="160"/>
        <v/>
      </c>
      <c r="S584" t="str">
        <f>IF(A584=1,MAX(S$2:S583)+1,IF(OR(I584&lt;&gt;"",A584="x"),S583,""))</f>
        <v/>
      </c>
      <c r="T584" t="str">
        <f>IF(D584=1,MAX($T$2:$T583)+1,IF(S584=$S583,$S583,IF($D584="x",T583,IF($D583="x","",""))))</f>
        <v/>
      </c>
      <c r="U584" t="str">
        <f>IF(B584=1,MAX($U$2:$U583)+1,IF(AND($T584&lt;&gt;"",$T584=$T583),$U583,IF(B584="x",U583,"")))</f>
        <v/>
      </c>
      <c r="V584" t="str">
        <f>IF(C584=1,MAX($V$2:$V583)+1,IF(AND($T584&lt;&gt;"",$T584=$T583),$U583,IF(C584="x",V583,"")))</f>
        <v/>
      </c>
      <c r="W584" t="str" cm="1">
        <f t="array" ref="W584">IFERROR(_xlfn._xlws.FILTER(game_rosters!AB:AB,(game_rosters!J:J=events!X584)*(K584&lt;&gt;"")),"")</f>
        <v/>
      </c>
      <c r="X584" t="str" cm="1">
        <f t="array" ref="X584">IF(S584="","",IF($I584&lt;&gt;"",$I584,INDEX($I$2:$I583,ROW()-COUNTIFS($T$2:$T583,"="&amp;$T584,$S$2:$S583,"&lt;&gt;"&amp;$S584)-1)))</f>
        <v/>
      </c>
      <c r="Z584" s="6"/>
      <c r="AI584" t="str">
        <f t="shared" si="164"/>
        <v/>
      </c>
      <c r="BI584" s="40"/>
      <c r="BL584" s="40"/>
      <c r="BN584" s="19"/>
      <c r="BP584" s="17"/>
    </row>
    <row r="585" spans="1:68" x14ac:dyDescent="0.2">
      <c r="A585" t="str">
        <f t="shared" si="162"/>
        <v/>
      </c>
      <c r="E585" s="4"/>
      <c r="F585" s="45"/>
      <c r="G585" s="4"/>
      <c r="H585" s="48"/>
      <c r="J585" s="46" t="str">
        <f t="shared" si="163"/>
        <v/>
      </c>
      <c r="N585" t="str">
        <f t="shared" si="161"/>
        <v/>
      </c>
      <c r="Q585" t="str">
        <f t="shared" si="160"/>
        <v/>
      </c>
      <c r="S585" t="str">
        <f>IF(A585=1,MAX(S$2:S584)+1,IF(OR(I585&lt;&gt;"",A585="x"),S584,""))</f>
        <v/>
      </c>
      <c r="T585" t="str">
        <f>IF(D585=1,MAX($T$2:$T584)+1,IF(S585=$S584,$S584,IF($D585="x",T584,IF($D584="x","",""))))</f>
        <v/>
      </c>
      <c r="U585" t="str">
        <f>IF(B585=1,MAX($U$2:$U584)+1,IF(AND($T585&lt;&gt;"",$T585=$T584),$U584,IF(B585="x",U584,"")))</f>
        <v/>
      </c>
      <c r="V585" t="str">
        <f>IF(C585=1,MAX($V$2:$V584)+1,IF(AND($T585&lt;&gt;"",$T585=$T584),$U584,IF(C585="x",V584,"")))</f>
        <v/>
      </c>
      <c r="W585" t="str" cm="1">
        <f t="array" ref="W585">IFERROR(_xlfn._xlws.FILTER(game_rosters!AB:AB,(game_rosters!J:J=events!X585)*(K585&lt;&gt;"")),"")</f>
        <v/>
      </c>
      <c r="X585" t="str" cm="1">
        <f t="array" ref="X585">IF(S585="","",IF($I585&lt;&gt;"",$I585,INDEX($I$2:$I584,ROW()-COUNTIFS($T$2:$T584,"="&amp;$T585,$S$2:$S584,"&lt;&gt;"&amp;$S585)-1)))</f>
        <v/>
      </c>
      <c r="Z585" s="6"/>
      <c r="AI585" t="str">
        <f t="shared" si="164"/>
        <v/>
      </c>
      <c r="BI585" s="40"/>
      <c r="BL585" s="40"/>
      <c r="BN585" s="19"/>
      <c r="BP585" s="17"/>
    </row>
    <row r="586" spans="1:68" x14ac:dyDescent="0.2">
      <c r="A586" t="str">
        <f t="shared" si="162"/>
        <v/>
      </c>
      <c r="E586" s="4"/>
      <c r="F586" s="45"/>
      <c r="G586" s="4"/>
      <c r="H586" s="48"/>
      <c r="J586" s="46" t="str">
        <f t="shared" si="163"/>
        <v/>
      </c>
      <c r="N586" t="str">
        <f t="shared" si="161"/>
        <v/>
      </c>
      <c r="Q586" t="str">
        <f t="shared" si="160"/>
        <v/>
      </c>
      <c r="S586" t="str">
        <f>IF(A586=1,MAX(S$2:S585)+1,IF(OR(I586&lt;&gt;"",A586="x"),S585,""))</f>
        <v/>
      </c>
      <c r="T586" t="str">
        <f>IF(D586=1,MAX($T$2:$T585)+1,IF(S586=$S585,$S585,IF($D586="x",T585,IF($D585="x","",""))))</f>
        <v/>
      </c>
      <c r="U586" t="str">
        <f>IF(B586=1,MAX($U$2:$U585)+1,IF(AND($T586&lt;&gt;"",$T586=$T585),$U585,IF(B586="x",U585,"")))</f>
        <v/>
      </c>
      <c r="V586" t="str">
        <f>IF(C586=1,MAX($V$2:$V585)+1,IF(AND($T586&lt;&gt;"",$T586=$T585),$U585,IF(C586="x",V585,"")))</f>
        <v/>
      </c>
      <c r="W586" t="str" cm="1">
        <f t="array" ref="W586">IFERROR(_xlfn._xlws.FILTER(game_rosters!AB:AB,(game_rosters!J:J=events!X586)*(K586&lt;&gt;"")),"")</f>
        <v/>
      </c>
      <c r="X586" t="str" cm="1">
        <f t="array" ref="X586">IF(S586="","",IF($I586&lt;&gt;"",$I586,INDEX($I$2:$I585,ROW()-COUNTIFS($T$2:$T585,"="&amp;$T586,$S$2:$S585,"&lt;&gt;"&amp;$S586)-1)))</f>
        <v/>
      </c>
      <c r="Z586" s="6"/>
      <c r="AI586" t="str">
        <f t="shared" si="164"/>
        <v/>
      </c>
      <c r="BI586" s="40"/>
      <c r="BL586" s="40"/>
      <c r="BN586" s="19"/>
      <c r="BP586" s="17"/>
    </row>
    <row r="587" spans="1:68" x14ac:dyDescent="0.2">
      <c r="A587" t="str">
        <f t="shared" si="162"/>
        <v/>
      </c>
      <c r="E587" s="4"/>
      <c r="F587" s="45"/>
      <c r="G587" s="4"/>
      <c r="H587" s="48"/>
      <c r="J587" s="46" t="str">
        <f t="shared" si="163"/>
        <v/>
      </c>
      <c r="N587" t="str">
        <f t="shared" si="161"/>
        <v/>
      </c>
      <c r="Q587" t="str">
        <f t="shared" si="160"/>
        <v/>
      </c>
      <c r="S587" t="str">
        <f>IF(A587=1,MAX(S$2:S586)+1,IF(OR(I587&lt;&gt;"",A587="x"),S586,""))</f>
        <v/>
      </c>
      <c r="T587" t="str">
        <f>IF(D587=1,MAX($T$2:$T586)+1,IF(S587=$S586,$S586,IF($D587="x",T586,IF($D586="x","",""))))</f>
        <v/>
      </c>
      <c r="U587" t="str">
        <f>IF(B587=1,MAX($U$2:$U586)+1,IF(AND($T587&lt;&gt;"",$T587=$T586),$U586,IF(B587="x",U586,"")))</f>
        <v/>
      </c>
      <c r="V587" t="str">
        <f>IF(C587=1,MAX($V$2:$V586)+1,IF(AND($T587&lt;&gt;"",$T587=$T586),$U586,IF(C587="x",V586,"")))</f>
        <v/>
      </c>
      <c r="W587" t="str" cm="1">
        <f t="array" ref="W587">IFERROR(_xlfn._xlws.FILTER(game_rosters!AB:AB,(game_rosters!J:J=events!X587)*(K587&lt;&gt;"")),"")</f>
        <v/>
      </c>
      <c r="X587" t="str" cm="1">
        <f t="array" ref="X587">IF(S587="","",IF($I587&lt;&gt;"",$I587,INDEX($I$2:$I586,ROW()-COUNTIFS($T$2:$T586,"="&amp;$T587,$S$2:$S586,"&lt;&gt;"&amp;$S587)-1)))</f>
        <v/>
      </c>
      <c r="Z587" s="6"/>
      <c r="AI587" t="str">
        <f t="shared" si="164"/>
        <v/>
      </c>
      <c r="BI587" s="40"/>
      <c r="BL587" s="40"/>
      <c r="BN587" s="19"/>
      <c r="BP587" s="17"/>
    </row>
    <row r="588" spans="1:68" x14ac:dyDescent="0.2">
      <c r="A588" t="str">
        <f t="shared" si="162"/>
        <v/>
      </c>
      <c r="E588" s="4"/>
      <c r="F588" s="45"/>
      <c r="G588" s="4"/>
      <c r="H588" s="48"/>
      <c r="J588" s="46" t="str">
        <f t="shared" si="163"/>
        <v/>
      </c>
      <c r="N588" t="str">
        <f t="shared" si="161"/>
        <v/>
      </c>
      <c r="Q588" t="str">
        <f t="shared" si="160"/>
        <v/>
      </c>
      <c r="S588" t="str">
        <f>IF(A588=1,MAX(S$2:S587)+1,IF(OR(I588&lt;&gt;"",A588="x"),S587,""))</f>
        <v/>
      </c>
      <c r="T588" t="str">
        <f>IF(D588=1,MAX($T$2:$T587)+1,IF(S588=$S587,$S587,IF($D588="x",T587,IF($D587="x","",""))))</f>
        <v/>
      </c>
      <c r="U588" t="str">
        <f>IF(B588=1,MAX($U$2:$U587)+1,IF(AND($T588&lt;&gt;"",$T588=$T587),$U587,IF(B588="x",U587,"")))</f>
        <v/>
      </c>
      <c r="V588" t="str">
        <f>IF(C588=1,MAX($V$2:$V587)+1,IF(AND($T588&lt;&gt;"",$T588=$T587),$U587,IF(C588="x",V587,"")))</f>
        <v/>
      </c>
      <c r="W588" t="str" cm="1">
        <f t="array" ref="W588">IFERROR(_xlfn._xlws.FILTER(game_rosters!AB:AB,(game_rosters!J:J=events!X588)*(K588&lt;&gt;"")),"")</f>
        <v/>
      </c>
      <c r="X588" t="str" cm="1">
        <f t="array" ref="X588">IF(S588="","",IF($I588&lt;&gt;"",$I588,INDEX($I$2:$I587,ROW()-COUNTIFS($T$2:$T587,"="&amp;$T588,$S$2:$S587,"&lt;&gt;"&amp;$S588)-1)))</f>
        <v/>
      </c>
      <c r="Z588" s="6"/>
      <c r="AI588" t="str">
        <f t="shared" si="164"/>
        <v/>
      </c>
      <c r="BI588" s="40"/>
      <c r="BL588" s="40"/>
      <c r="BN588" s="19"/>
      <c r="BP588" s="17"/>
    </row>
    <row r="589" spans="1:68" x14ac:dyDescent="0.2">
      <c r="A589" t="str">
        <f t="shared" si="162"/>
        <v/>
      </c>
      <c r="E589" s="4"/>
      <c r="F589" s="45"/>
      <c r="G589" s="4"/>
      <c r="H589" s="48"/>
      <c r="J589" s="46" t="str">
        <f t="shared" si="163"/>
        <v/>
      </c>
      <c r="N589" t="str">
        <f t="shared" si="161"/>
        <v/>
      </c>
      <c r="Q589" t="str">
        <f t="shared" si="160"/>
        <v/>
      </c>
      <c r="S589" t="str">
        <f>IF(A589=1,MAX(S$2:S588)+1,IF(OR(I589&lt;&gt;"",A589="x"),S588,""))</f>
        <v/>
      </c>
      <c r="T589" t="str">
        <f>IF(D589=1,MAX($T$2:$T588)+1,IF(S589=$S588,$S588,IF($D589="x",T588,IF($D588="x","",""))))</f>
        <v/>
      </c>
      <c r="U589" t="str">
        <f>IF(B589=1,MAX($U$2:$U588)+1,IF(AND($T589&lt;&gt;"",$T589=$T588),$U588,IF(B589="x",U588,"")))</f>
        <v/>
      </c>
      <c r="V589" t="str">
        <f>IF(C589=1,MAX($V$2:$V588)+1,IF(AND($T589&lt;&gt;"",$T589=$T588),$U588,IF(C589="x",V588,"")))</f>
        <v/>
      </c>
      <c r="W589" t="str" cm="1">
        <f t="array" ref="W589">IFERROR(_xlfn._xlws.FILTER(game_rosters!AB:AB,(game_rosters!J:J=events!X589)*(K589&lt;&gt;"")),"")</f>
        <v/>
      </c>
      <c r="X589" t="str" cm="1">
        <f t="array" ref="X589">IF(S589="","",IF($I589&lt;&gt;"",$I589,INDEX($I$2:$I588,ROW()-COUNTIFS($T$2:$T588,"="&amp;$T589,$S$2:$S588,"&lt;&gt;"&amp;$S589)-1)))</f>
        <v/>
      </c>
      <c r="Z589" s="6"/>
      <c r="AI589" t="str">
        <f t="shared" si="164"/>
        <v/>
      </c>
      <c r="BI589" s="40"/>
      <c r="BL589" s="40"/>
      <c r="BN589" s="19"/>
      <c r="BP589" s="17"/>
    </row>
    <row r="590" spans="1:68" x14ac:dyDescent="0.2">
      <c r="A590" t="str">
        <f t="shared" si="162"/>
        <v/>
      </c>
      <c r="E590" s="4"/>
      <c r="F590" s="45"/>
      <c r="G590" s="4"/>
      <c r="H590" s="48"/>
      <c r="J590" s="46" t="str">
        <f t="shared" si="163"/>
        <v/>
      </c>
      <c r="N590" t="str">
        <f t="shared" si="161"/>
        <v/>
      </c>
      <c r="Q590" t="str">
        <f t="shared" si="160"/>
        <v/>
      </c>
      <c r="S590" t="str">
        <f>IF(A590=1,MAX(S$2:S589)+1,IF(OR(I590&lt;&gt;"",A590="x"),S589,""))</f>
        <v/>
      </c>
      <c r="T590" t="str">
        <f>IF(D590=1,MAX($T$2:$T589)+1,IF(S590=$S589,$S589,IF($D590="x",T589,IF($D589="x","",""))))</f>
        <v/>
      </c>
      <c r="U590" t="str">
        <f>IF(B590=1,MAX($U$2:$U589)+1,IF(AND($T590&lt;&gt;"",$T590=$T589),$U589,IF(B590="x",U589,"")))</f>
        <v/>
      </c>
      <c r="V590" t="str">
        <f>IF(C590=1,MAX($V$2:$V589)+1,IF(AND($T590&lt;&gt;"",$T590=$T589),$U589,IF(C590="x",V589,"")))</f>
        <v/>
      </c>
      <c r="W590" t="str" cm="1">
        <f t="array" ref="W590">IFERROR(_xlfn._xlws.FILTER(game_rosters!AB:AB,(game_rosters!J:J=events!X590)*(K590&lt;&gt;"")),"")</f>
        <v/>
      </c>
      <c r="X590" t="str" cm="1">
        <f t="array" ref="X590">IF(S590="","",IF($I590&lt;&gt;"",$I590,INDEX($I$2:$I589,ROW()-COUNTIFS($T$2:$T589,"="&amp;$T590,$S$2:$S589,"&lt;&gt;"&amp;$S590)-1)))</f>
        <v/>
      </c>
      <c r="Z590" s="6"/>
      <c r="AI590" t="str">
        <f t="shared" si="164"/>
        <v/>
      </c>
      <c r="BI590" s="40"/>
      <c r="BL590" s="40"/>
      <c r="BN590" s="19"/>
      <c r="BP590" s="17"/>
    </row>
    <row r="591" spans="1:68" x14ac:dyDescent="0.2">
      <c r="A591" t="str">
        <f t="shared" si="162"/>
        <v/>
      </c>
      <c r="E591" s="4"/>
      <c r="F591" s="45"/>
      <c r="G591" s="4"/>
      <c r="H591" s="48"/>
      <c r="J591" s="46" t="str">
        <f t="shared" si="163"/>
        <v/>
      </c>
      <c r="N591" t="str">
        <f t="shared" si="161"/>
        <v/>
      </c>
      <c r="Q591" t="str">
        <f t="shared" si="160"/>
        <v/>
      </c>
      <c r="S591" t="str">
        <f>IF(A591=1,MAX(S$2:S590)+1,IF(OR(I591&lt;&gt;"",A591="x"),S590,""))</f>
        <v/>
      </c>
      <c r="T591" t="str">
        <f>IF(D591=1,MAX($T$2:$T590)+1,IF(S591=$S590,$S590,IF($D591="x",T590,IF($D590="x","",""))))</f>
        <v/>
      </c>
      <c r="U591" t="str">
        <f>IF(B591=1,MAX($U$2:$U590)+1,IF(AND($T591&lt;&gt;"",$T591=$T590),$U590,IF(B591="x",U590,"")))</f>
        <v/>
      </c>
      <c r="V591" t="str">
        <f>IF(C591=1,MAX($V$2:$V590)+1,IF(AND($T591&lt;&gt;"",$T591=$T590),$U590,IF(C591="x",V590,"")))</f>
        <v/>
      </c>
      <c r="W591" t="str" cm="1">
        <f t="array" ref="W591">IFERROR(_xlfn._xlws.FILTER(game_rosters!AB:AB,(game_rosters!J:J=events!X591)*(K591&lt;&gt;"")),"")</f>
        <v/>
      </c>
      <c r="X591" t="str" cm="1">
        <f t="array" ref="X591">IF(S591="","",IF($I591&lt;&gt;"",$I591,INDEX($I$2:$I590,ROW()-COUNTIFS($T$2:$T590,"="&amp;$T591,$S$2:$S590,"&lt;&gt;"&amp;$S591)-1)))</f>
        <v/>
      </c>
      <c r="Z591" s="6"/>
      <c r="AI591" t="str">
        <f t="shared" si="164"/>
        <v/>
      </c>
      <c r="BI591" s="40"/>
      <c r="BL591" s="40"/>
      <c r="BN591" s="19"/>
      <c r="BP591" s="17"/>
    </row>
    <row r="592" spans="1:68" x14ac:dyDescent="0.2">
      <c r="A592" t="str">
        <f t="shared" si="162"/>
        <v/>
      </c>
      <c r="E592" s="4"/>
      <c r="F592" s="45"/>
      <c r="G592" s="4"/>
      <c r="H592" s="48"/>
      <c r="J592" s="46" t="str">
        <f t="shared" si="163"/>
        <v/>
      </c>
      <c r="N592" t="str">
        <f t="shared" si="161"/>
        <v/>
      </c>
      <c r="Q592" t="str">
        <f t="shared" ref="Q592:Q655" si="165">IF(O592="","",IF(AND(N592&lt;&gt;"",OR(O592&lt;&gt;"",P592&lt;&gt;"")),N592,IF(OR(ISNUMBER(SEARCH("attemp",O592)),ISNUMBER(SEARCH("beat",O592)),ISNUMBER(SEARCH("mis",O592)),ISNUMBER(SEARCH("fail",O592)),ISNUMBER(SEARCH("loss",O592)),ISNUMBER(SEARCH("lost",O592)),ISNUMBER(SEARCH("attemp",P592)),ISNUMBER(SEARCH("mis",P592)),ISNUMBER(SEARCH("fail",P592)),ISNUMBER(SEARCH("loss",P592)),ISNUMBER(SEARCH("beat",P592)),ISNUMBER(SEARCH("lost",P592))),"u","")))</f>
        <v/>
      </c>
      <c r="S592" t="str">
        <f>IF(A592=1,MAX(S$2:S591)+1,IF(OR(I592&lt;&gt;"",A592="x"),S591,""))</f>
        <v/>
      </c>
      <c r="T592" t="str">
        <f>IF(D592=1,MAX($T$2:$T591)+1,IF(S592=$S591,$S591,IF($D592="x",T591,IF($D591="x","",""))))</f>
        <v/>
      </c>
      <c r="U592" t="str">
        <f>IF(B592=1,MAX($U$2:$U591)+1,IF(AND($T592&lt;&gt;"",$T592=$T591),$U591,IF(B592="x",U591,"")))</f>
        <v/>
      </c>
      <c r="V592" t="str">
        <f>IF(C592=1,MAX($V$2:$V591)+1,IF(AND($T592&lt;&gt;"",$T592=$T591),$U591,IF(C592="x",V591,"")))</f>
        <v/>
      </c>
      <c r="W592" t="str" cm="1">
        <f t="array" ref="W592">IFERROR(_xlfn._xlws.FILTER(game_rosters!AB:AB,(game_rosters!J:J=events!X592)*(K592&lt;&gt;"")),"")</f>
        <v/>
      </c>
      <c r="X592" t="str" cm="1">
        <f t="array" ref="X592">IF(S592="","",IF($I592&lt;&gt;"",$I592,INDEX($I$2:$I591,ROW()-COUNTIFS($T$2:$T591,"="&amp;$T592,$S$2:$S591,"&lt;&gt;"&amp;$S592)-1)))</f>
        <v/>
      </c>
      <c r="Z592" s="6"/>
      <c r="AI592" t="str">
        <f t="shared" si="164"/>
        <v/>
      </c>
      <c r="BI592" s="40"/>
      <c r="BL592" s="40"/>
      <c r="BN592" s="19"/>
      <c r="BP592" s="17"/>
    </row>
    <row r="593" spans="1:68" x14ac:dyDescent="0.2">
      <c r="A593" t="str">
        <f t="shared" si="162"/>
        <v/>
      </c>
      <c r="E593" s="4"/>
      <c r="F593" s="45"/>
      <c r="G593" s="4"/>
      <c r="H593" s="48"/>
      <c r="J593" s="46" t="str">
        <f t="shared" si="163"/>
        <v/>
      </c>
      <c r="N593" t="str">
        <f t="shared" si="161"/>
        <v/>
      </c>
      <c r="Q593" t="str">
        <f t="shared" si="165"/>
        <v/>
      </c>
      <c r="S593" t="str">
        <f>IF(A593=1,MAX(S$2:S592)+1,IF(OR(I593&lt;&gt;"",A593="x"),S592,""))</f>
        <v/>
      </c>
      <c r="T593" t="str">
        <f>IF(D593=1,MAX($T$2:$T592)+1,IF(S593=$S592,$S592,IF($D593="x",T592,IF($D592="x","",""))))</f>
        <v/>
      </c>
      <c r="U593" t="str">
        <f>IF(B593=1,MAX($U$2:$U592)+1,IF(AND($T593&lt;&gt;"",$T593=$T592),$U592,IF(B593="x",U592,"")))</f>
        <v/>
      </c>
      <c r="V593" t="str">
        <f>IF(C593=1,MAX($V$2:$V592)+1,IF(AND($T593&lt;&gt;"",$T593=$T592),$U592,IF(C593="x",V592,"")))</f>
        <v/>
      </c>
      <c r="W593" t="str" cm="1">
        <f t="array" ref="W593">IFERROR(_xlfn._xlws.FILTER(game_rosters!AB:AB,(game_rosters!J:J=events!X593)*(K593&lt;&gt;"")),"")</f>
        <v/>
      </c>
      <c r="X593" t="str" cm="1">
        <f t="array" ref="X593">IF(S593="","",IF($I593&lt;&gt;"",$I593,INDEX($I$2:$I592,ROW()-COUNTIFS($T$2:$T592,"="&amp;$T593,$S$2:$S592,"&lt;&gt;"&amp;$S593)-1)))</f>
        <v/>
      </c>
      <c r="Z593" s="6"/>
      <c r="AI593" t="str">
        <f t="shared" si="164"/>
        <v/>
      </c>
      <c r="BI593" s="40"/>
      <c r="BL593" s="40"/>
      <c r="BN593" s="19"/>
      <c r="BP593" s="17"/>
    </row>
    <row r="594" spans="1:68" x14ac:dyDescent="0.2">
      <c r="A594" t="str">
        <f t="shared" si="162"/>
        <v/>
      </c>
      <c r="E594" s="4"/>
      <c r="F594" s="45"/>
      <c r="G594" s="4"/>
      <c r="H594" s="48"/>
      <c r="J594" s="46" t="str">
        <f t="shared" si="163"/>
        <v/>
      </c>
      <c r="N594" t="str">
        <f t="shared" si="161"/>
        <v/>
      </c>
      <c r="Q594" t="str">
        <f t="shared" si="165"/>
        <v/>
      </c>
      <c r="S594" t="str">
        <f>IF(A594=1,MAX(S$2:S593)+1,IF(OR(I594&lt;&gt;"",A594="x"),S593,""))</f>
        <v/>
      </c>
      <c r="T594" t="str">
        <f>IF(D594=1,MAX($T$2:$T593)+1,IF(S594=$S593,$S593,IF($D594="x",T593,IF($D593="x","",""))))</f>
        <v/>
      </c>
      <c r="U594" t="str">
        <f>IF(B594=1,MAX($U$2:$U593)+1,IF(AND($T594&lt;&gt;"",$T594=$T593),$U593,IF(B594="x",U593,"")))</f>
        <v/>
      </c>
      <c r="V594" t="str">
        <f>IF(C594=1,MAX($V$2:$V593)+1,IF(AND($T594&lt;&gt;"",$T594=$T593),$U593,IF(C594="x",V593,"")))</f>
        <v/>
      </c>
      <c r="W594" t="str" cm="1">
        <f t="array" ref="W594">IFERROR(_xlfn._xlws.FILTER(game_rosters!AB:AB,(game_rosters!J:J=events!X594)*(K594&lt;&gt;"")),"")</f>
        <v/>
      </c>
      <c r="X594" t="str" cm="1">
        <f t="array" ref="X594">IF(S594="","",IF($I594&lt;&gt;"",$I594,INDEX($I$2:$I593,ROW()-COUNTIFS($T$2:$T593,"="&amp;$T594,$S$2:$S593,"&lt;&gt;"&amp;$S594)-1)))</f>
        <v/>
      </c>
      <c r="Z594" s="6"/>
      <c r="AI594" t="str">
        <f t="shared" si="164"/>
        <v/>
      </c>
      <c r="BI594" s="40"/>
      <c r="BL594" s="40"/>
      <c r="BN594" s="19"/>
      <c r="BP594" s="17"/>
    </row>
    <row r="595" spans="1:68" x14ac:dyDescent="0.2">
      <c r="A595" t="str">
        <f t="shared" si="162"/>
        <v/>
      </c>
      <c r="E595" s="4"/>
      <c r="F595" s="45"/>
      <c r="G595" s="4"/>
      <c r="H595" s="48"/>
      <c r="J595" s="46" t="str">
        <f t="shared" si="163"/>
        <v/>
      </c>
      <c r="N595" t="str">
        <f t="shared" si="161"/>
        <v/>
      </c>
      <c r="Q595" t="str">
        <f t="shared" si="165"/>
        <v/>
      </c>
      <c r="S595" t="str">
        <f>IF(A595=1,MAX(S$2:S594)+1,IF(OR(I595&lt;&gt;"",A595="x"),S594,""))</f>
        <v/>
      </c>
      <c r="T595" t="str">
        <f>IF(D595=1,MAX($T$2:$T594)+1,IF(S595=$S594,$S594,IF($D595="x",T594,IF($D594="x","",""))))</f>
        <v/>
      </c>
      <c r="U595" t="str">
        <f>IF(B595=1,MAX($U$2:$U594)+1,IF(AND($T595&lt;&gt;"",$T595=$T594),$U594,IF(B595="x",U594,"")))</f>
        <v/>
      </c>
      <c r="V595" t="str">
        <f>IF(C595=1,MAX($V$2:$V594)+1,IF(AND($T595&lt;&gt;"",$T595=$T594),$U594,IF(C595="x",V594,"")))</f>
        <v/>
      </c>
      <c r="W595" t="str" cm="1">
        <f t="array" ref="W595">IFERROR(_xlfn._xlws.FILTER(game_rosters!AB:AB,(game_rosters!J:J=events!X595)*(K595&lt;&gt;"")),"")</f>
        <v/>
      </c>
      <c r="X595" t="str" cm="1">
        <f t="array" ref="X595">IF(S595="","",IF($I595&lt;&gt;"",$I595,INDEX($I$2:$I594,ROW()-COUNTIFS($T$2:$T594,"="&amp;$T595,$S$2:$S594,"&lt;&gt;"&amp;$S595)-1)))</f>
        <v/>
      </c>
      <c r="Z595" s="6"/>
      <c r="AI595" t="str">
        <f t="shared" si="164"/>
        <v/>
      </c>
      <c r="BI595" s="40"/>
      <c r="BL595" s="40"/>
      <c r="BN595" s="19"/>
      <c r="BP595" s="17"/>
    </row>
    <row r="596" spans="1:68" x14ac:dyDescent="0.2">
      <c r="A596" t="str">
        <f t="shared" si="162"/>
        <v/>
      </c>
      <c r="E596" s="4"/>
      <c r="F596" s="45"/>
      <c r="G596" s="4"/>
      <c r="H596" s="48"/>
      <c r="J596" s="46" t="str">
        <f t="shared" si="163"/>
        <v/>
      </c>
      <c r="N596" t="str">
        <f t="shared" si="161"/>
        <v/>
      </c>
      <c r="Q596" t="str">
        <f t="shared" si="165"/>
        <v/>
      </c>
      <c r="S596" t="str">
        <f>IF(A596=1,MAX(S$2:S595)+1,IF(OR(I596&lt;&gt;"",A596="x"),S595,""))</f>
        <v/>
      </c>
      <c r="T596" t="str">
        <f>IF(D596=1,MAX($T$2:$T595)+1,IF(S596=$S595,$S595,IF($D596="x",T595,IF($D595="x","",""))))</f>
        <v/>
      </c>
      <c r="U596" t="str">
        <f>IF(B596=1,MAX($U$2:$U595)+1,IF(AND($T596&lt;&gt;"",$T596=$T595),$U595,IF(B596="x",U595,"")))</f>
        <v/>
      </c>
      <c r="V596" t="str">
        <f>IF(C596=1,MAX($V$2:$V595)+1,IF(AND($T596&lt;&gt;"",$T596=$T595),$U595,IF(C596="x",V595,"")))</f>
        <v/>
      </c>
      <c r="W596" t="str" cm="1">
        <f t="array" ref="W596">IFERROR(_xlfn._xlws.FILTER(game_rosters!AB:AB,(game_rosters!J:J=events!X596)*(K596&lt;&gt;"")),"")</f>
        <v/>
      </c>
      <c r="X596" t="str" cm="1">
        <f t="array" ref="X596">IF(S596="","",IF($I596&lt;&gt;"",$I596,INDEX($I$2:$I595,ROW()-COUNTIFS($T$2:$T595,"="&amp;$T596,$S$2:$S595,"&lt;&gt;"&amp;$S596)-1)))</f>
        <v/>
      </c>
      <c r="Z596" s="6"/>
      <c r="AI596" t="str">
        <f t="shared" si="164"/>
        <v/>
      </c>
      <c r="BI596" s="40"/>
      <c r="BL596" s="40"/>
      <c r="BN596" s="19"/>
      <c r="BP596" s="17"/>
    </row>
    <row r="597" spans="1:68" x14ac:dyDescent="0.2">
      <c r="A597" t="str">
        <f t="shared" si="162"/>
        <v/>
      </c>
      <c r="E597" s="4"/>
      <c r="F597" s="45"/>
      <c r="G597" s="4"/>
      <c r="H597" s="48"/>
      <c r="J597" s="46" t="str">
        <f t="shared" si="163"/>
        <v/>
      </c>
      <c r="N597" t="str">
        <f t="shared" ref="N597:N660" si="166">IF(K597="","",IF(K597="Goal","s",IF(AND(K597="Zone_Entry_Exit",OR(ISNUMBER(SEARCH("fail",L597)),ISNUMBER(SEARCH("FromExitClear",M597)),ISNUMBER(SEARCH("miss",M597)))),"u",IF(AND(K597="Zone_Entry_Exit",OR(NOT(ISNUMBER(SEARCH("fail",L597))),NOT(ISNUMBER(SEARCH("FromExitClear",M597))),NOT(ISNUMBER(SEARCH("miss",M597))))),"s",IF(AND(OR(K597="Shot",K597="Pass"),OR(ISNUMBER(SEARCH("complete",L597)),ISNUMBER(SEARCH("goal",L597)),ISNUMBER(SEARCH("OnNet",L597)))),"s",IF(L597="Turnover_Giveaway","u",IF(AND(OR(K597="Shot",K597="Pass"),OR(ISNUMBER(SEARCH("fail",L597)),NOT(ISNUMBER(SEARCH("complete",L597))),NOT(ISNUMBER(SEARCH("OnNet",L597))))),"u","")))))))</f>
        <v/>
      </c>
      <c r="Q597" t="str">
        <f t="shared" si="165"/>
        <v/>
      </c>
      <c r="S597" t="str">
        <f>IF(A597=1,MAX(S$2:S596)+1,IF(OR(I597&lt;&gt;"",A597="x"),S596,""))</f>
        <v/>
      </c>
      <c r="T597" t="str">
        <f>IF(D597=1,MAX($T$2:$T596)+1,IF(S597=$S596,$S596,IF($D597="x",T596,IF($D596="x","",""))))</f>
        <v/>
      </c>
      <c r="U597" t="str">
        <f>IF(B597=1,MAX($U$2:$U596)+1,IF(AND($T597&lt;&gt;"",$T597=$T596),$U596,IF(B597="x",U596,"")))</f>
        <v/>
      </c>
      <c r="V597" t="str">
        <f>IF(C597=1,MAX($V$2:$V596)+1,IF(AND($T597&lt;&gt;"",$T597=$T596),$U596,IF(C597="x",V596,"")))</f>
        <v/>
      </c>
      <c r="W597" t="str" cm="1">
        <f t="array" ref="W597">IFERROR(_xlfn._xlws.FILTER(game_rosters!AB:AB,(game_rosters!J:J=events!X597)*(K597&lt;&gt;"")),"")</f>
        <v/>
      </c>
      <c r="X597" t="str" cm="1">
        <f t="array" ref="X597">IF(S597="","",IF($I597&lt;&gt;"",$I597,INDEX($I$2:$I596,ROW()-COUNTIFS($T$2:$T596,"="&amp;$T597,$S$2:$S596,"&lt;&gt;"&amp;$S597)-1)))</f>
        <v/>
      </c>
      <c r="Z597" s="6"/>
      <c r="AI597" t="str">
        <f t="shared" si="164"/>
        <v/>
      </c>
      <c r="BI597" s="40"/>
      <c r="BL597" s="40"/>
      <c r="BN597" s="19"/>
      <c r="BP597" s="17"/>
    </row>
    <row r="598" spans="1:68" x14ac:dyDescent="0.2">
      <c r="A598" t="str">
        <f t="shared" si="162"/>
        <v/>
      </c>
      <c r="E598" s="4"/>
      <c r="F598" s="45"/>
      <c r="G598" s="4"/>
      <c r="H598" s="48"/>
      <c r="J598" s="46" t="str">
        <f t="shared" si="163"/>
        <v/>
      </c>
      <c r="N598" t="str">
        <f t="shared" si="166"/>
        <v/>
      </c>
      <c r="Q598" t="str">
        <f t="shared" si="165"/>
        <v/>
      </c>
      <c r="S598" t="str">
        <f>IF(A598=1,MAX(S$2:S597)+1,IF(OR(I598&lt;&gt;"",A598="x"),S597,""))</f>
        <v/>
      </c>
      <c r="T598" t="str">
        <f>IF(D598=1,MAX($T$2:$T597)+1,IF(S598=$S597,$S597,IF($D598="x",T597,IF($D597="x","",""))))</f>
        <v/>
      </c>
      <c r="U598" t="str">
        <f>IF(B598=1,MAX($U$2:$U597)+1,IF(AND($T598&lt;&gt;"",$T598=$T597),$U597,IF(B598="x",U597,"")))</f>
        <v/>
      </c>
      <c r="V598" t="str">
        <f>IF(C598=1,MAX($V$2:$V597)+1,IF(AND($T598&lt;&gt;"",$T598=$T597),$U597,IF(C598="x",V597,"")))</f>
        <v/>
      </c>
      <c r="W598" t="str" cm="1">
        <f t="array" ref="W598">IFERROR(_xlfn._xlws.FILTER(game_rosters!AB:AB,(game_rosters!J:J=events!X598)*(K598&lt;&gt;"")),"")</f>
        <v/>
      </c>
      <c r="X598" t="str" cm="1">
        <f t="array" ref="X598">IF(S598="","",IF($I598&lt;&gt;"",$I598,INDEX($I$2:$I597,ROW()-COUNTIFS($T$2:$T597,"="&amp;$T598,$S$2:$S597,"&lt;&gt;"&amp;$S598)-1)))</f>
        <v/>
      </c>
      <c r="Z598" s="6"/>
      <c r="AI598" t="str">
        <f t="shared" si="164"/>
        <v/>
      </c>
      <c r="BI598" s="40"/>
      <c r="BL598" s="40"/>
      <c r="BN598" s="19"/>
      <c r="BP598" s="17"/>
    </row>
    <row r="599" spans="1:68" x14ac:dyDescent="0.2">
      <c r="A599" t="str">
        <f t="shared" si="162"/>
        <v/>
      </c>
      <c r="E599" s="4"/>
      <c r="F599" s="45"/>
      <c r="G599" s="4"/>
      <c r="H599" s="48"/>
      <c r="J599" s="46" t="str">
        <f t="shared" si="163"/>
        <v/>
      </c>
      <c r="N599" t="str">
        <f t="shared" si="166"/>
        <v/>
      </c>
      <c r="Q599" t="str">
        <f t="shared" si="165"/>
        <v/>
      </c>
      <c r="S599" t="str">
        <f>IF(A599=1,MAX(S$2:S598)+1,IF(OR(I599&lt;&gt;"",A599="x"),S598,""))</f>
        <v/>
      </c>
      <c r="T599" t="str">
        <f>IF(D599=1,MAX($T$2:$T598)+1,IF(S599=$S598,$S598,IF($D599="x",T598,IF($D598="x","",""))))</f>
        <v/>
      </c>
      <c r="U599" t="str">
        <f>IF(B599=1,MAX($U$2:$U598)+1,IF(AND($T599&lt;&gt;"",$T599=$T598),$U598,IF(B599="x",U598,"")))</f>
        <v/>
      </c>
      <c r="V599" t="str">
        <f>IF(C599=1,MAX($V$2:$V598)+1,IF(AND($T599&lt;&gt;"",$T599=$T598),$U598,IF(C599="x",V598,"")))</f>
        <v/>
      </c>
      <c r="W599" t="str" cm="1">
        <f t="array" ref="W599">IFERROR(_xlfn._xlws.FILTER(game_rosters!AB:AB,(game_rosters!J:J=events!X599)*(K599&lt;&gt;"")),"")</f>
        <v/>
      </c>
      <c r="X599" t="str" cm="1">
        <f t="array" ref="X599">IF(S599="","",IF($I599&lt;&gt;"",$I599,INDEX($I$2:$I598,ROW()-COUNTIFS($T$2:$T598,"="&amp;$T599,$S$2:$S598,"&lt;&gt;"&amp;$S599)-1)))</f>
        <v/>
      </c>
      <c r="Z599" s="6"/>
      <c r="AI599" t="str">
        <f t="shared" si="164"/>
        <v/>
      </c>
      <c r="BI599" s="40"/>
      <c r="BL599" s="40"/>
      <c r="BN599" s="19"/>
      <c r="BP599" s="17"/>
    </row>
    <row r="600" spans="1:68" x14ac:dyDescent="0.2">
      <c r="A600" t="str">
        <f t="shared" si="162"/>
        <v/>
      </c>
      <c r="E600" s="4"/>
      <c r="F600" s="45"/>
      <c r="G600" s="4"/>
      <c r="H600" s="48"/>
      <c r="J600" s="46" t="str">
        <f t="shared" si="163"/>
        <v/>
      </c>
      <c r="N600" t="str">
        <f t="shared" si="166"/>
        <v/>
      </c>
      <c r="Q600" t="str">
        <f t="shared" si="165"/>
        <v/>
      </c>
      <c r="S600" t="str">
        <f>IF(A600=1,MAX(S$2:S599)+1,IF(OR(I600&lt;&gt;"",A600="x"),S599,""))</f>
        <v/>
      </c>
      <c r="T600" t="str">
        <f>IF(D600=1,MAX($T$2:$T599)+1,IF(S600=$S599,$S599,IF($D600="x",T599,IF($D599="x","",""))))</f>
        <v/>
      </c>
      <c r="U600" t="str">
        <f>IF(B600=1,MAX($U$2:$U599)+1,IF(AND($T600&lt;&gt;"",$T600=$T599),$U599,IF(B600="x",U599,"")))</f>
        <v/>
      </c>
      <c r="V600" t="str">
        <f>IF(C600=1,MAX($V$2:$V599)+1,IF(AND($T600&lt;&gt;"",$T600=$T599),$U599,IF(C600="x",V599,"")))</f>
        <v/>
      </c>
      <c r="W600" t="str" cm="1">
        <f t="array" ref="W600">IFERROR(_xlfn._xlws.FILTER(game_rosters!AB:AB,(game_rosters!J:J=events!X600)*(K600&lt;&gt;"")),"")</f>
        <v/>
      </c>
      <c r="X600" t="str" cm="1">
        <f t="array" ref="X600">IF(S600="","",IF($I600&lt;&gt;"",$I600,INDEX($I$2:$I599,ROW()-COUNTIFS($T$2:$T599,"="&amp;$T600,$S$2:$S599,"&lt;&gt;"&amp;$S600)-1)))</f>
        <v/>
      </c>
      <c r="Z600" s="6"/>
      <c r="AI600" t="str">
        <f t="shared" si="164"/>
        <v/>
      </c>
      <c r="BI600" s="40"/>
      <c r="BL600" s="40"/>
      <c r="BN600" s="19"/>
      <c r="BP600" s="17"/>
    </row>
    <row r="601" spans="1:68" x14ac:dyDescent="0.2">
      <c r="A601" t="str">
        <f t="shared" si="162"/>
        <v/>
      </c>
      <c r="E601" s="4"/>
      <c r="F601" s="45"/>
      <c r="G601" s="4"/>
      <c r="H601" s="48"/>
      <c r="J601" s="46" t="str">
        <f t="shared" si="163"/>
        <v/>
      </c>
      <c r="N601" t="str">
        <f t="shared" si="166"/>
        <v/>
      </c>
      <c r="Q601" t="str">
        <f t="shared" si="165"/>
        <v/>
      </c>
      <c r="S601" t="str">
        <f>IF(A601=1,MAX(S$2:S600)+1,IF(OR(I601&lt;&gt;"",A601="x"),S600,""))</f>
        <v/>
      </c>
      <c r="T601" t="str">
        <f>IF(D601=1,MAX($T$2:$T600)+1,IF(S601=$S600,$S600,IF($D601="x",T600,IF($D600="x","",""))))</f>
        <v/>
      </c>
      <c r="U601" t="str">
        <f>IF(B601=1,MAX($U$2:$U600)+1,IF(AND($T601&lt;&gt;"",$T601=$T600),$U600,IF(B601="x",U600,"")))</f>
        <v/>
      </c>
      <c r="V601" t="str">
        <f>IF(C601=1,MAX($V$2:$V600)+1,IF(AND($T601&lt;&gt;"",$T601=$T600),$U600,IF(C601="x",V600,"")))</f>
        <v/>
      </c>
      <c r="W601" t="str" cm="1">
        <f t="array" ref="W601">IFERROR(_xlfn._xlws.FILTER(game_rosters!AB:AB,(game_rosters!J:J=events!X601)*(K601&lt;&gt;"")),"")</f>
        <v/>
      </c>
      <c r="X601" t="str" cm="1">
        <f t="array" ref="X601">IF(S601="","",IF($I601&lt;&gt;"",$I601,INDEX($I$2:$I600,ROW()-COUNTIFS($T$2:$T600,"="&amp;$T601,$S$2:$S600,"&lt;&gt;"&amp;$S601)-1)))</f>
        <v/>
      </c>
      <c r="Z601" s="6"/>
      <c r="AI601" t="str">
        <f t="shared" si="164"/>
        <v/>
      </c>
      <c r="BI601" s="40"/>
      <c r="BL601" s="40"/>
      <c r="BN601" s="19"/>
      <c r="BP601" s="17"/>
    </row>
    <row r="602" spans="1:68" x14ac:dyDescent="0.2">
      <c r="A602" t="str">
        <f t="shared" si="162"/>
        <v/>
      </c>
      <c r="E602" s="4"/>
      <c r="F602" s="45"/>
      <c r="G602" s="4"/>
      <c r="H602" s="48"/>
      <c r="J602" s="46" t="str">
        <f t="shared" si="163"/>
        <v/>
      </c>
      <c r="N602" t="str">
        <f t="shared" si="166"/>
        <v/>
      </c>
      <c r="Q602" t="str">
        <f t="shared" si="165"/>
        <v/>
      </c>
      <c r="S602" t="str">
        <f>IF(A602=1,MAX(S$2:S601)+1,IF(OR(I602&lt;&gt;"",A602="x"),S601,""))</f>
        <v/>
      </c>
      <c r="T602" t="str">
        <f>IF(D602=1,MAX($T$2:$T601)+1,IF(S602=$S601,$S601,IF($D602="x",T601,IF($D601="x","",""))))</f>
        <v/>
      </c>
      <c r="U602" t="str">
        <f>IF(B602=1,MAX($U$2:$U601)+1,IF(AND($T602&lt;&gt;"",$T602=$T601),$U601,IF(B602="x",U601,"")))</f>
        <v/>
      </c>
      <c r="V602" t="str">
        <f>IF(C602=1,MAX($V$2:$V601)+1,IF(AND($T602&lt;&gt;"",$T602=$T601),$U601,IF(C602="x",V601,"")))</f>
        <v/>
      </c>
      <c r="W602" t="str" cm="1">
        <f t="array" ref="W602">IFERROR(_xlfn._xlws.FILTER(game_rosters!AB:AB,(game_rosters!J:J=events!X602)*(K602&lt;&gt;"")),"")</f>
        <v/>
      </c>
      <c r="X602" t="str" cm="1">
        <f t="array" ref="X602">IF(S602="","",IF($I602&lt;&gt;"",$I602,INDEX($I$2:$I601,ROW()-COUNTIFS($T$2:$T601,"="&amp;$T602,$S$2:$S601,"&lt;&gt;"&amp;$S602)-1)))</f>
        <v/>
      </c>
      <c r="Z602" s="6"/>
      <c r="AI602" t="str">
        <f t="shared" si="164"/>
        <v/>
      </c>
      <c r="BI602" s="40"/>
      <c r="BL602" s="40"/>
      <c r="BN602" s="19"/>
      <c r="BP602" s="17"/>
    </row>
    <row r="603" spans="1:68" x14ac:dyDescent="0.2">
      <c r="A603" t="str">
        <f t="shared" si="162"/>
        <v/>
      </c>
      <c r="E603" s="4"/>
      <c r="F603" s="45"/>
      <c r="G603" s="4"/>
      <c r="H603" s="48"/>
      <c r="J603" s="46" t="str">
        <f t="shared" si="163"/>
        <v/>
      </c>
      <c r="N603" t="str">
        <f t="shared" si="166"/>
        <v/>
      </c>
      <c r="Q603" t="str">
        <f t="shared" si="165"/>
        <v/>
      </c>
      <c r="S603" t="str">
        <f>IF(A603=1,MAX(S$2:S602)+1,IF(OR(I603&lt;&gt;"",A603="x"),S602,""))</f>
        <v/>
      </c>
      <c r="T603" t="str">
        <f>IF(D603=1,MAX($T$2:$T602)+1,IF(S603=$S602,$S602,IF($D603="x",T602,IF($D602="x","",""))))</f>
        <v/>
      </c>
      <c r="U603" t="str">
        <f>IF(B603=1,MAX($U$2:$U602)+1,IF(AND($T603&lt;&gt;"",$T603=$T602),$U602,IF(B603="x",U602,"")))</f>
        <v/>
      </c>
      <c r="V603" t="str">
        <f>IF(C603=1,MAX($V$2:$V602)+1,IF(AND($T603&lt;&gt;"",$T603=$T602),$U602,IF(C603="x",V602,"")))</f>
        <v/>
      </c>
      <c r="W603" t="str" cm="1">
        <f t="array" ref="W603">IFERROR(_xlfn._xlws.FILTER(game_rosters!AB:AB,(game_rosters!J:J=events!X603)*(K603&lt;&gt;"")),"")</f>
        <v/>
      </c>
      <c r="X603" t="str" cm="1">
        <f t="array" ref="X603">IF(S603="","",IF($I603&lt;&gt;"",$I603,INDEX($I$2:$I602,ROW()-COUNTIFS($T$2:$T602,"="&amp;$T603,$S$2:$S602,"&lt;&gt;"&amp;$S603)-1)))</f>
        <v/>
      </c>
      <c r="Z603" s="6"/>
      <c r="AI603" t="str">
        <f t="shared" si="164"/>
        <v/>
      </c>
      <c r="BI603" s="40"/>
      <c r="BL603" s="40"/>
      <c r="BN603" s="19"/>
      <c r="BP603" s="17"/>
    </row>
    <row r="604" spans="1:68" x14ac:dyDescent="0.2">
      <c r="A604" t="str">
        <f t="shared" si="162"/>
        <v/>
      </c>
      <c r="E604" s="4"/>
      <c r="F604" s="45"/>
      <c r="G604" s="4"/>
      <c r="H604" s="48"/>
      <c r="J604" s="46" t="str">
        <f t="shared" si="163"/>
        <v/>
      </c>
      <c r="N604" t="str">
        <f t="shared" si="166"/>
        <v/>
      </c>
      <c r="Q604" t="str">
        <f t="shared" si="165"/>
        <v/>
      </c>
      <c r="S604" t="str">
        <f>IF(A604=1,MAX(S$2:S603)+1,IF(OR(I604&lt;&gt;"",A604="x"),S603,""))</f>
        <v/>
      </c>
      <c r="T604" t="str">
        <f>IF(D604=1,MAX($T$2:$T603)+1,IF(S604=$S603,$S603,IF($D604="x",T603,IF($D603="x","",""))))</f>
        <v/>
      </c>
      <c r="U604" t="str">
        <f>IF(B604=1,MAX($U$2:$U603)+1,IF(AND($T604&lt;&gt;"",$T604=$T603),$U603,IF(B604="x",U603,"")))</f>
        <v/>
      </c>
      <c r="V604" t="str">
        <f>IF(C604=1,MAX($V$2:$V603)+1,IF(AND($T604&lt;&gt;"",$T604=$T603),$U603,IF(C604="x",V603,"")))</f>
        <v/>
      </c>
      <c r="W604" t="str" cm="1">
        <f t="array" ref="W604">IFERROR(_xlfn._xlws.FILTER(game_rosters!AB:AB,(game_rosters!J:J=events!X604)*(K604&lt;&gt;"")),"")</f>
        <v/>
      </c>
      <c r="X604" t="str" cm="1">
        <f t="array" ref="X604">IF(S604="","",IF($I604&lt;&gt;"",$I604,INDEX($I$2:$I603,ROW()-COUNTIFS($T$2:$T603,"="&amp;$T604,$S$2:$S603,"&lt;&gt;"&amp;$S604)-1)))</f>
        <v/>
      </c>
      <c r="Z604" s="6"/>
      <c r="AI604" t="str">
        <f t="shared" si="164"/>
        <v/>
      </c>
      <c r="BI604" s="40"/>
      <c r="BL604" s="40"/>
      <c r="BN604" s="19"/>
      <c r="BP604" s="17"/>
    </row>
    <row r="605" spans="1:68" x14ac:dyDescent="0.2">
      <c r="A605" t="str">
        <f t="shared" si="162"/>
        <v/>
      </c>
      <c r="E605" s="4"/>
      <c r="F605" s="45"/>
      <c r="G605" s="4"/>
      <c r="H605" s="48"/>
      <c r="J605" s="46" t="str">
        <f t="shared" si="163"/>
        <v/>
      </c>
      <c r="N605" t="str">
        <f t="shared" si="166"/>
        <v/>
      </c>
      <c r="Q605" t="str">
        <f t="shared" si="165"/>
        <v/>
      </c>
      <c r="S605" t="str">
        <f>IF(A605=1,MAX(S$2:S604)+1,IF(OR(I605&lt;&gt;"",A605="x"),S604,""))</f>
        <v/>
      </c>
      <c r="T605" t="str">
        <f>IF(D605=1,MAX($T$2:$T604)+1,IF(S605=$S604,$S604,IF($D605="x",T604,IF($D604="x","",""))))</f>
        <v/>
      </c>
      <c r="U605" t="str">
        <f>IF(B605=1,MAX($U$2:$U604)+1,IF(AND($T605&lt;&gt;"",$T605=$T604),$U604,IF(B605="x",U604,"")))</f>
        <v/>
      </c>
      <c r="V605" t="str">
        <f>IF(C605=1,MAX($V$2:$V604)+1,IF(AND($T605&lt;&gt;"",$T605=$T604),$U604,IF(C605="x",V604,"")))</f>
        <v/>
      </c>
      <c r="W605" t="str" cm="1">
        <f t="array" ref="W605">IFERROR(_xlfn._xlws.FILTER(game_rosters!AB:AB,(game_rosters!J:J=events!X605)*(K605&lt;&gt;"")),"")</f>
        <v/>
      </c>
      <c r="X605" t="str" cm="1">
        <f t="array" ref="X605">IF(S605="","",IF($I605&lt;&gt;"",$I605,INDEX($I$2:$I604,ROW()-COUNTIFS($T$2:$T604,"="&amp;$T605,$S$2:$S604,"&lt;&gt;"&amp;$S605)-1)))</f>
        <v/>
      </c>
      <c r="Z605" s="6"/>
      <c r="AI605" t="str">
        <f t="shared" si="164"/>
        <v/>
      </c>
      <c r="BI605" s="40"/>
      <c r="BL605" s="40"/>
      <c r="BN605" s="19"/>
      <c r="BP605" s="17"/>
    </row>
    <row r="606" spans="1:68" x14ac:dyDescent="0.2">
      <c r="A606" t="str">
        <f t="shared" si="162"/>
        <v/>
      </c>
      <c r="E606" s="4"/>
      <c r="F606" s="45"/>
      <c r="G606" s="4"/>
      <c r="H606" s="48"/>
      <c r="J606" s="46" t="str">
        <f t="shared" si="163"/>
        <v/>
      </c>
      <c r="N606" t="str">
        <f t="shared" si="166"/>
        <v/>
      </c>
      <c r="Q606" t="str">
        <f t="shared" si="165"/>
        <v/>
      </c>
      <c r="S606" t="str">
        <f>IF(A606=1,MAX(S$2:S605)+1,IF(OR(I606&lt;&gt;"",A606="x"),S605,""))</f>
        <v/>
      </c>
      <c r="T606" t="str">
        <f>IF(D606=1,MAX($T$2:$T605)+1,IF(S606=$S605,$S605,IF($D606="x",T605,IF($D605="x","",""))))</f>
        <v/>
      </c>
      <c r="U606" t="str">
        <f>IF(B606=1,MAX($U$2:$U605)+1,IF(AND($T606&lt;&gt;"",$T606=$T605),$U605,IF(B606="x",U605,"")))</f>
        <v/>
      </c>
      <c r="V606" t="str">
        <f>IF(C606=1,MAX($V$2:$V605)+1,IF(AND($T606&lt;&gt;"",$T606=$T605),$U605,IF(C606="x",V605,"")))</f>
        <v/>
      </c>
      <c r="W606" t="str" cm="1">
        <f t="array" ref="W606">IFERROR(_xlfn._xlws.FILTER(game_rosters!AB:AB,(game_rosters!J:J=events!X606)*(K606&lt;&gt;"")),"")</f>
        <v/>
      </c>
      <c r="X606" t="str" cm="1">
        <f t="array" ref="X606">IF(S606="","",IF($I606&lt;&gt;"",$I606,INDEX($I$2:$I605,ROW()-COUNTIFS($T$2:$T605,"="&amp;$T606,$S$2:$S605,"&lt;&gt;"&amp;$S606)-1)))</f>
        <v/>
      </c>
      <c r="Z606" s="6"/>
      <c r="AI606" t="str">
        <f t="shared" si="164"/>
        <v/>
      </c>
      <c r="BI606" s="40"/>
      <c r="BL606" s="40"/>
      <c r="BN606" s="19"/>
      <c r="BP606" s="17"/>
    </row>
    <row r="607" spans="1:68" x14ac:dyDescent="0.2">
      <c r="A607" t="str">
        <f t="shared" si="162"/>
        <v/>
      </c>
      <c r="E607" s="4"/>
      <c r="F607" s="45"/>
      <c r="G607" s="4"/>
      <c r="H607" s="48"/>
      <c r="J607" s="46" t="str">
        <f t="shared" si="163"/>
        <v/>
      </c>
      <c r="N607" t="str">
        <f t="shared" si="166"/>
        <v/>
      </c>
      <c r="Q607" t="str">
        <f t="shared" si="165"/>
        <v/>
      </c>
      <c r="S607" t="str">
        <f>IF(A607=1,MAX(S$2:S606)+1,IF(OR(I607&lt;&gt;"",A607="x"),S606,""))</f>
        <v/>
      </c>
      <c r="T607" t="str">
        <f>IF(D607=1,MAX($T$2:$T606)+1,IF(S607=$S606,$S606,IF($D607="x",T606,IF($D606="x","",""))))</f>
        <v/>
      </c>
      <c r="U607" t="str">
        <f>IF(B607=1,MAX($U$2:$U606)+1,IF(AND($T607&lt;&gt;"",$T607=$T606),$U606,IF(B607="x",U606,"")))</f>
        <v/>
      </c>
      <c r="V607" t="str">
        <f>IF(C607=1,MAX($V$2:$V606)+1,IF(AND($T607&lt;&gt;"",$T607=$T606),$U606,IF(C607="x",V606,"")))</f>
        <v/>
      </c>
      <c r="W607" t="str" cm="1">
        <f t="array" ref="W607">IFERROR(_xlfn._xlws.FILTER(game_rosters!AB:AB,(game_rosters!J:J=events!X607)*(K607&lt;&gt;"")),"")</f>
        <v/>
      </c>
      <c r="X607" t="str" cm="1">
        <f t="array" ref="X607">IF(S607="","",IF($I607&lt;&gt;"",$I607,INDEX($I$2:$I606,ROW()-COUNTIFS($T$2:$T606,"="&amp;$T607,$S$2:$S606,"&lt;&gt;"&amp;$S607)-1)))</f>
        <v/>
      </c>
      <c r="Z607" s="6"/>
      <c r="AI607" t="str">
        <f t="shared" si="164"/>
        <v/>
      </c>
      <c r="BI607" s="40"/>
      <c r="BL607" s="40"/>
      <c r="BN607" s="19"/>
      <c r="BP607" s="17"/>
    </row>
    <row r="608" spans="1:68" x14ac:dyDescent="0.2">
      <c r="A608" t="str">
        <f t="shared" si="162"/>
        <v/>
      </c>
      <c r="E608" s="4"/>
      <c r="F608" s="45"/>
      <c r="G608" s="4"/>
      <c r="H608" s="48"/>
      <c r="J608" s="46" t="str">
        <f t="shared" si="163"/>
        <v/>
      </c>
      <c r="N608" t="str">
        <f t="shared" si="166"/>
        <v/>
      </c>
      <c r="Q608" t="str">
        <f t="shared" si="165"/>
        <v/>
      </c>
      <c r="S608" t="str">
        <f>IF(A608=1,MAX(S$2:S607)+1,IF(OR(I608&lt;&gt;"",A608="x"),S607,""))</f>
        <v/>
      </c>
      <c r="T608" t="str">
        <f>IF(D608=1,MAX($T$2:$T607)+1,IF(S608=$S607,$S607,IF($D608="x",T607,IF($D607="x","",""))))</f>
        <v/>
      </c>
      <c r="U608" t="str">
        <f>IF(B608=1,MAX($U$2:$U607)+1,IF(AND($T608&lt;&gt;"",$T608=$T607),$U607,IF(B608="x",U607,"")))</f>
        <v/>
      </c>
      <c r="V608" t="str">
        <f>IF(C608=1,MAX($V$2:$V607)+1,IF(AND($T608&lt;&gt;"",$T608=$T607),$U607,IF(C608="x",V607,"")))</f>
        <v/>
      </c>
      <c r="W608" t="str" cm="1">
        <f t="array" ref="W608">IFERROR(_xlfn._xlws.FILTER(game_rosters!AB:AB,(game_rosters!J:J=events!X608)*(K608&lt;&gt;"")),"")</f>
        <v/>
      </c>
      <c r="X608" t="str" cm="1">
        <f t="array" ref="X608">IF(S608="","",IF($I608&lt;&gt;"",$I608,INDEX($I$2:$I607,ROW()-COUNTIFS($T$2:$T607,"="&amp;$T608,$S$2:$S607,"&lt;&gt;"&amp;$S608)-1)))</f>
        <v/>
      </c>
      <c r="Z608" s="6"/>
      <c r="AI608" t="str">
        <f t="shared" si="164"/>
        <v/>
      </c>
      <c r="BI608" s="40"/>
      <c r="BL608" s="40"/>
      <c r="BN608" s="19"/>
      <c r="BP608" s="17"/>
    </row>
    <row r="609" spans="1:68" x14ac:dyDescent="0.2">
      <c r="A609" t="str">
        <f t="shared" si="162"/>
        <v/>
      </c>
      <c r="E609" s="4"/>
      <c r="F609" s="45"/>
      <c r="G609" s="4"/>
      <c r="H609" s="48"/>
      <c r="J609" s="46" t="str">
        <f t="shared" si="163"/>
        <v/>
      </c>
      <c r="N609" t="str">
        <f t="shared" si="166"/>
        <v/>
      </c>
      <c r="Q609" t="str">
        <f t="shared" si="165"/>
        <v/>
      </c>
      <c r="S609" t="str">
        <f>IF(A609=1,MAX(S$2:S608)+1,IF(OR(I609&lt;&gt;"",A609="x"),S608,""))</f>
        <v/>
      </c>
      <c r="T609" t="str">
        <f>IF(D609=1,MAX($T$2:$T608)+1,IF(S609=$S608,$S608,IF($D609="x",T608,IF($D608="x","",""))))</f>
        <v/>
      </c>
      <c r="U609" t="str">
        <f>IF(B609=1,MAX($U$2:$U608)+1,IF(AND($T609&lt;&gt;"",$T609=$T608),$U608,IF(B609="x",U608,"")))</f>
        <v/>
      </c>
      <c r="V609" t="str">
        <f>IF(C609=1,MAX($V$2:$V608)+1,IF(AND($T609&lt;&gt;"",$T609=$T608),$U608,IF(C609="x",V608,"")))</f>
        <v/>
      </c>
      <c r="W609" t="str" cm="1">
        <f t="array" ref="W609">IFERROR(_xlfn._xlws.FILTER(game_rosters!AB:AB,(game_rosters!J:J=events!X609)*(K609&lt;&gt;"")),"")</f>
        <v/>
      </c>
      <c r="X609" t="str" cm="1">
        <f t="array" ref="X609">IF(S609="","",IF($I609&lt;&gt;"",$I609,INDEX($I$2:$I608,ROW()-COUNTIFS($T$2:$T608,"="&amp;$T609,$S$2:$S608,"&lt;&gt;"&amp;$S609)-1)))</f>
        <v/>
      </c>
      <c r="Z609" s="6"/>
      <c r="AI609" t="str">
        <f t="shared" si="164"/>
        <v/>
      </c>
      <c r="BI609" s="40"/>
      <c r="BL609" s="40"/>
      <c r="BN609" s="19"/>
      <c r="BP609" s="17"/>
    </row>
    <row r="610" spans="1:68" x14ac:dyDescent="0.2">
      <c r="A610" t="str">
        <f t="shared" si="162"/>
        <v/>
      </c>
      <c r="E610" s="4"/>
      <c r="F610" s="45"/>
      <c r="G610" s="4"/>
      <c r="H610" s="48"/>
      <c r="J610" s="46" t="str">
        <f t="shared" si="163"/>
        <v/>
      </c>
      <c r="N610" t="str">
        <f t="shared" si="166"/>
        <v/>
      </c>
      <c r="Q610" t="str">
        <f t="shared" si="165"/>
        <v/>
      </c>
      <c r="S610" t="str">
        <f>IF(A610=1,MAX(S$2:S609)+1,IF(OR(I610&lt;&gt;"",A610="x"),S609,""))</f>
        <v/>
      </c>
      <c r="T610" t="str">
        <f>IF(D610=1,MAX($T$2:$T609)+1,IF(S610=$S609,$S609,IF($D610="x",T609,IF($D609="x","",""))))</f>
        <v/>
      </c>
      <c r="U610" t="str">
        <f>IF(B610=1,MAX($U$2:$U609)+1,IF(AND($T610&lt;&gt;"",$T610=$T609),$U609,IF(B610="x",U609,"")))</f>
        <v/>
      </c>
      <c r="V610" t="str">
        <f>IF(C610=1,MAX($V$2:$V609)+1,IF(AND($T610&lt;&gt;"",$T610=$T609),$U609,IF(C610="x",V609,"")))</f>
        <v/>
      </c>
      <c r="W610" t="str" cm="1">
        <f t="array" ref="W610">IFERROR(_xlfn._xlws.FILTER(game_rosters!AB:AB,(game_rosters!J:J=events!X610)*(K610&lt;&gt;"")),"")</f>
        <v/>
      </c>
      <c r="X610" t="str" cm="1">
        <f t="array" ref="X610">IF(S610="","",IF($I610&lt;&gt;"",$I610,INDEX($I$2:$I609,ROW()-COUNTIFS($T$2:$T609,"="&amp;$T610,$S$2:$S609,"&lt;&gt;"&amp;$S610)-1)))</f>
        <v/>
      </c>
      <c r="Z610" s="6"/>
      <c r="AI610" t="str">
        <f t="shared" si="164"/>
        <v/>
      </c>
      <c r="BI610" s="40"/>
      <c r="BL610" s="40"/>
      <c r="BN610" s="19"/>
      <c r="BP610" s="17"/>
    </row>
    <row r="611" spans="1:68" x14ac:dyDescent="0.2">
      <c r="A611" t="str">
        <f t="shared" si="162"/>
        <v/>
      </c>
      <c r="E611" s="4"/>
      <c r="F611" s="45"/>
      <c r="G611" s="4"/>
      <c r="H611" s="48"/>
      <c r="J611" s="46" t="str">
        <f t="shared" si="163"/>
        <v/>
      </c>
      <c r="N611" t="str">
        <f t="shared" si="166"/>
        <v/>
      </c>
      <c r="Q611" t="str">
        <f t="shared" si="165"/>
        <v/>
      </c>
      <c r="S611" t="str">
        <f>IF(A611=1,MAX(S$2:S610)+1,IF(OR(I611&lt;&gt;"",A611="x"),S610,""))</f>
        <v/>
      </c>
      <c r="T611" t="str">
        <f>IF(D611=1,MAX($T$2:$T610)+1,IF(S611=$S610,$S610,IF($D611="x",T610,IF($D610="x","",""))))</f>
        <v/>
      </c>
      <c r="U611" t="str">
        <f>IF(B611=1,MAX($U$2:$U610)+1,IF(AND($T611&lt;&gt;"",$T611=$T610),$U610,IF(B611="x",U610,"")))</f>
        <v/>
      </c>
      <c r="V611" t="str">
        <f>IF(C611=1,MAX($V$2:$V610)+1,IF(AND($T611&lt;&gt;"",$T611=$T610),$U610,IF(C611="x",V610,"")))</f>
        <v/>
      </c>
      <c r="W611" t="str" cm="1">
        <f t="array" ref="W611">IFERROR(_xlfn._xlws.FILTER(game_rosters!AB:AB,(game_rosters!J:J=events!X611)*(K611&lt;&gt;"")),"")</f>
        <v/>
      </c>
      <c r="X611" t="str" cm="1">
        <f t="array" ref="X611">IF(S611="","",IF($I611&lt;&gt;"",$I611,INDEX($I$2:$I610,ROW()-COUNTIFS($T$2:$T610,"="&amp;$T611,$S$2:$S610,"&lt;&gt;"&amp;$S611)-1)))</f>
        <v/>
      </c>
      <c r="Z611" s="6"/>
      <c r="AI611" t="str">
        <f t="shared" si="164"/>
        <v/>
      </c>
      <c r="BI611" s="40"/>
      <c r="BL611" s="40"/>
      <c r="BN611" s="19"/>
      <c r="BP611" s="17"/>
    </row>
    <row r="612" spans="1:68" x14ac:dyDescent="0.2">
      <c r="A612" t="str">
        <f t="shared" si="162"/>
        <v/>
      </c>
      <c r="E612" s="4"/>
      <c r="F612" s="45"/>
      <c r="G612" s="4"/>
      <c r="H612" s="48"/>
      <c r="J612" s="46" t="str">
        <f t="shared" si="163"/>
        <v/>
      </c>
      <c r="N612" t="str">
        <f t="shared" si="166"/>
        <v/>
      </c>
      <c r="Q612" t="str">
        <f t="shared" si="165"/>
        <v/>
      </c>
      <c r="S612" t="str">
        <f>IF(A612=1,MAX(S$2:S611)+1,IF(OR(I612&lt;&gt;"",A612="x"),S611,""))</f>
        <v/>
      </c>
      <c r="T612" t="str">
        <f>IF(D612=1,MAX($T$2:$T611)+1,IF(S612=$S611,$S611,IF($D612="x",T611,IF($D611="x","",""))))</f>
        <v/>
      </c>
      <c r="U612" t="str">
        <f>IF(B612=1,MAX($U$2:$U611)+1,IF(AND($T612&lt;&gt;"",$T612=$T611),$U611,IF(B612="x",U611,"")))</f>
        <v/>
      </c>
      <c r="V612" t="str">
        <f>IF(C612=1,MAX($V$2:$V611)+1,IF(AND($T612&lt;&gt;"",$T612=$T611),$U611,IF(C612="x",V611,"")))</f>
        <v/>
      </c>
      <c r="W612" t="str" cm="1">
        <f t="array" ref="W612">IFERROR(_xlfn._xlws.FILTER(game_rosters!AB:AB,(game_rosters!J:J=events!X612)*(K612&lt;&gt;"")),"")</f>
        <v/>
      </c>
      <c r="X612" t="str" cm="1">
        <f t="array" ref="X612">IF(S612="","",IF($I612&lt;&gt;"",$I612,INDEX($I$2:$I611,ROW()-COUNTIFS($T$2:$T611,"="&amp;$T612,$S$2:$S611,"&lt;&gt;"&amp;$S612)-1)))</f>
        <v/>
      </c>
      <c r="Z612" s="6"/>
      <c r="AI612" t="str">
        <f t="shared" si="164"/>
        <v/>
      </c>
      <c r="BI612" s="40"/>
      <c r="BL612" s="40"/>
      <c r="BN612" s="19"/>
      <c r="BP612" s="17"/>
    </row>
    <row r="613" spans="1:68" x14ac:dyDescent="0.2">
      <c r="A613" t="str">
        <f t="shared" si="162"/>
        <v/>
      </c>
      <c r="E613" s="4"/>
      <c r="F613" s="45"/>
      <c r="G613" s="4"/>
      <c r="H613" s="48"/>
      <c r="J613" s="46" t="str">
        <f t="shared" si="163"/>
        <v/>
      </c>
      <c r="N613" t="str">
        <f t="shared" si="166"/>
        <v/>
      </c>
      <c r="Q613" t="str">
        <f t="shared" si="165"/>
        <v/>
      </c>
      <c r="S613" t="str">
        <f>IF(A613=1,MAX(S$2:S612)+1,IF(OR(I613&lt;&gt;"",A613="x"),S612,""))</f>
        <v/>
      </c>
      <c r="T613" t="str">
        <f>IF(D613=1,MAX($T$2:$T612)+1,IF(S613=$S612,$S612,IF($D613="x",T612,IF($D612="x","",""))))</f>
        <v/>
      </c>
      <c r="U613" t="str">
        <f>IF(B613=1,MAX($U$2:$U612)+1,IF(AND($T613&lt;&gt;"",$T613=$T612),$U612,IF(B613="x",U612,"")))</f>
        <v/>
      </c>
      <c r="V613" t="str">
        <f>IF(C613=1,MAX($V$2:$V612)+1,IF(AND($T613&lt;&gt;"",$T613=$T612),$U612,IF(C613="x",V612,"")))</f>
        <v/>
      </c>
      <c r="W613" t="str" cm="1">
        <f t="array" ref="W613">IFERROR(_xlfn._xlws.FILTER(game_rosters!AB:AB,(game_rosters!J:J=events!X613)*(K613&lt;&gt;"")),"")</f>
        <v/>
      </c>
      <c r="X613" t="str" cm="1">
        <f t="array" ref="X613">IF(S613="","",IF($I613&lt;&gt;"",$I613,INDEX($I$2:$I612,ROW()-COUNTIFS($T$2:$T612,"="&amp;$T613,$S$2:$S612,"&lt;&gt;"&amp;$S613)-1)))</f>
        <v/>
      </c>
      <c r="Z613" s="6"/>
      <c r="AI613" t="str">
        <f t="shared" si="164"/>
        <v/>
      </c>
      <c r="BI613" s="40"/>
      <c r="BL613" s="40"/>
      <c r="BN613" s="19"/>
      <c r="BP613" s="17"/>
    </row>
    <row r="614" spans="1:68" x14ac:dyDescent="0.2">
      <c r="A614" t="str">
        <f t="shared" si="162"/>
        <v/>
      </c>
      <c r="E614" s="4"/>
      <c r="F614" s="45"/>
      <c r="G614" s="4"/>
      <c r="H614" s="48"/>
      <c r="J614" s="46" t="str">
        <f t="shared" si="163"/>
        <v/>
      </c>
      <c r="N614" t="str">
        <f t="shared" si="166"/>
        <v/>
      </c>
      <c r="Q614" t="str">
        <f t="shared" si="165"/>
        <v/>
      </c>
      <c r="S614" t="str">
        <f>IF(A614=1,MAX(S$2:S613)+1,IF(OR(I614&lt;&gt;"",A614="x"),S613,""))</f>
        <v/>
      </c>
      <c r="T614" t="str">
        <f>IF(D614=1,MAX($T$2:$T613)+1,IF(S614=$S613,$S613,IF($D614="x",T613,IF($D613="x","",""))))</f>
        <v/>
      </c>
      <c r="U614" t="str">
        <f>IF(B614=1,MAX($U$2:$U613)+1,IF(AND($T614&lt;&gt;"",$T614=$T613),$U613,IF(B614="x",U613,"")))</f>
        <v/>
      </c>
      <c r="V614" t="str">
        <f>IF(C614=1,MAX($V$2:$V613)+1,IF(AND($T614&lt;&gt;"",$T614=$T613),$U613,IF(C614="x",V613,"")))</f>
        <v/>
      </c>
      <c r="W614" t="str" cm="1">
        <f t="array" ref="W614">IFERROR(_xlfn._xlws.FILTER(game_rosters!AB:AB,(game_rosters!J:J=events!X614)*(K614&lt;&gt;"")),"")</f>
        <v/>
      </c>
      <c r="X614" t="str" cm="1">
        <f t="array" ref="X614">IF(S614="","",IF($I614&lt;&gt;"",$I614,INDEX($I$2:$I613,ROW()-COUNTIFS($T$2:$T613,"="&amp;$T614,$S$2:$S613,"&lt;&gt;"&amp;$S614)-1)))</f>
        <v/>
      </c>
      <c r="Z614" s="6"/>
      <c r="AI614" t="str">
        <f t="shared" si="164"/>
        <v/>
      </c>
      <c r="BI614" s="40"/>
      <c r="BL614" s="40"/>
      <c r="BN614" s="19"/>
      <c r="BP614" s="17"/>
    </row>
    <row r="615" spans="1:68" x14ac:dyDescent="0.2">
      <c r="A615" t="str">
        <f t="shared" si="162"/>
        <v/>
      </c>
      <c r="E615" s="4"/>
      <c r="F615" s="45"/>
      <c r="G615" s="4"/>
      <c r="H615" s="48"/>
      <c r="J615" s="46" t="str">
        <f t="shared" si="163"/>
        <v/>
      </c>
      <c r="N615" t="str">
        <f t="shared" si="166"/>
        <v/>
      </c>
      <c r="Q615" t="str">
        <f t="shared" si="165"/>
        <v/>
      </c>
      <c r="S615" t="str">
        <f>IF(A615=1,MAX(S$2:S614)+1,IF(OR(I615&lt;&gt;"",A615="x"),S614,""))</f>
        <v/>
      </c>
      <c r="T615" t="str">
        <f>IF(D615=1,MAX($T$2:$T614)+1,IF(S615=$S614,$S614,IF($D615="x",T614,IF($D614="x","",""))))</f>
        <v/>
      </c>
      <c r="U615" t="str">
        <f>IF(B615=1,MAX($U$2:$U614)+1,IF(AND($T615&lt;&gt;"",$T615=$T614),$U614,IF(B615="x",U614,"")))</f>
        <v/>
      </c>
      <c r="V615" t="str">
        <f>IF(C615=1,MAX($V$2:$V614)+1,IF(AND($T615&lt;&gt;"",$T615=$T614),$U614,IF(C615="x",V614,"")))</f>
        <v/>
      </c>
      <c r="W615" t="str" cm="1">
        <f t="array" ref="W615">IFERROR(_xlfn._xlws.FILTER(game_rosters!AB:AB,(game_rosters!J:J=events!X615)*(K615&lt;&gt;"")),"")</f>
        <v/>
      </c>
      <c r="X615" t="str" cm="1">
        <f t="array" ref="X615">IF(S615="","",IF($I615&lt;&gt;"",$I615,INDEX($I$2:$I614,ROW()-COUNTIFS($T$2:$T614,"="&amp;$T615,$S$2:$S614,"&lt;&gt;"&amp;$S615)-1)))</f>
        <v/>
      </c>
      <c r="Z615" s="6"/>
      <c r="AI615" t="str">
        <f t="shared" si="164"/>
        <v/>
      </c>
      <c r="BI615" s="40"/>
      <c r="BL615" s="40"/>
      <c r="BN615" s="19"/>
      <c r="BP615" s="17"/>
    </row>
    <row r="616" spans="1:68" x14ac:dyDescent="0.2">
      <c r="A616" t="str">
        <f t="shared" si="162"/>
        <v/>
      </c>
      <c r="E616" s="4"/>
      <c r="F616" s="45"/>
      <c r="G616" s="4"/>
      <c r="H616" s="48"/>
      <c r="J616" s="46" t="str">
        <f t="shared" si="163"/>
        <v/>
      </c>
      <c r="N616" t="str">
        <f t="shared" si="166"/>
        <v/>
      </c>
      <c r="Q616" t="str">
        <f t="shared" si="165"/>
        <v/>
      </c>
      <c r="S616" t="str">
        <f>IF(A616=1,MAX(S$2:S615)+1,IF(OR(I616&lt;&gt;"",A616="x"),S615,""))</f>
        <v/>
      </c>
      <c r="T616" t="str">
        <f>IF(D616=1,MAX($T$2:$T615)+1,IF(S616=$S615,$S615,IF($D616="x",T615,IF($D615="x","",""))))</f>
        <v/>
      </c>
      <c r="U616" t="str">
        <f>IF(B616=1,MAX($U$2:$U615)+1,IF(AND($T616&lt;&gt;"",$T616=$T615),$U615,IF(B616="x",U615,"")))</f>
        <v/>
      </c>
      <c r="V616" t="str">
        <f>IF(C616=1,MAX($V$2:$V615)+1,IF(AND($T616&lt;&gt;"",$T616=$T615),$U615,IF(C616="x",V615,"")))</f>
        <v/>
      </c>
      <c r="W616" t="str" cm="1">
        <f t="array" ref="W616">IFERROR(_xlfn._xlws.FILTER(game_rosters!AB:AB,(game_rosters!J:J=events!X616)*(K616&lt;&gt;"")),"")</f>
        <v/>
      </c>
      <c r="X616" t="str" cm="1">
        <f t="array" ref="X616">IF(S616="","",IF($I616&lt;&gt;"",$I616,INDEX($I$2:$I615,ROW()-COUNTIFS($T$2:$T615,"="&amp;$T616,$S$2:$S615,"&lt;&gt;"&amp;$S616)-1)))</f>
        <v/>
      </c>
      <c r="Z616" s="6"/>
      <c r="AI616" t="str">
        <f t="shared" si="164"/>
        <v/>
      </c>
      <c r="BI616" s="40"/>
      <c r="BL616" s="40"/>
      <c r="BN616" s="19"/>
      <c r="BP616" s="17"/>
    </row>
    <row r="617" spans="1:68" x14ac:dyDescent="0.2">
      <c r="A617" t="str">
        <f t="shared" si="162"/>
        <v/>
      </c>
      <c r="E617" s="4"/>
      <c r="F617" s="45"/>
      <c r="G617" s="4"/>
      <c r="H617" s="48"/>
      <c r="J617" s="46" t="str">
        <f t="shared" si="163"/>
        <v/>
      </c>
      <c r="N617" t="str">
        <f t="shared" si="166"/>
        <v/>
      </c>
      <c r="Q617" t="str">
        <f t="shared" si="165"/>
        <v/>
      </c>
      <c r="S617" t="str">
        <f>IF(A617=1,MAX(S$2:S616)+1,IF(OR(I617&lt;&gt;"",A617="x"),S616,""))</f>
        <v/>
      </c>
      <c r="T617" t="str">
        <f>IF(D617=1,MAX($T$2:$T616)+1,IF(S617=$S616,$S616,IF($D617="x",T616,IF($D616="x","",""))))</f>
        <v/>
      </c>
      <c r="U617" t="str">
        <f>IF(B617=1,MAX($U$2:$U616)+1,IF(AND($T617&lt;&gt;"",$T617=$T616),$U616,IF(B617="x",U616,"")))</f>
        <v/>
      </c>
      <c r="V617" t="str">
        <f>IF(C617=1,MAX($V$2:$V616)+1,IF(AND($T617&lt;&gt;"",$T617=$T616),$U616,IF(C617="x",V616,"")))</f>
        <v/>
      </c>
      <c r="W617" t="str" cm="1">
        <f t="array" ref="W617">IFERROR(_xlfn._xlws.FILTER(game_rosters!AB:AB,(game_rosters!J:J=events!X617)*(K617&lt;&gt;"")),"")</f>
        <v/>
      </c>
      <c r="X617" t="str" cm="1">
        <f t="array" ref="X617">IF(S617="","",IF($I617&lt;&gt;"",$I617,INDEX($I$2:$I616,ROW()-COUNTIFS($T$2:$T616,"="&amp;$T617,$S$2:$S616,"&lt;&gt;"&amp;$S617)-1)))</f>
        <v/>
      </c>
      <c r="Z617" s="6"/>
      <c r="AI617" t="str">
        <f t="shared" si="164"/>
        <v/>
      </c>
      <c r="BI617" s="40"/>
      <c r="BL617" s="40"/>
      <c r="BN617" s="19"/>
      <c r="BP617" s="17"/>
    </row>
    <row r="618" spans="1:68" x14ac:dyDescent="0.2">
      <c r="A618" t="str">
        <f t="shared" si="162"/>
        <v/>
      </c>
      <c r="E618" s="4"/>
      <c r="F618" s="45"/>
      <c r="G618" s="4"/>
      <c r="H618" s="48"/>
      <c r="J618" s="46" t="str">
        <f t="shared" si="163"/>
        <v/>
      </c>
      <c r="N618" t="str">
        <f t="shared" si="166"/>
        <v/>
      </c>
      <c r="Q618" t="str">
        <f t="shared" si="165"/>
        <v/>
      </c>
      <c r="S618" t="str">
        <f>IF(A618=1,MAX(S$2:S617)+1,IF(OR(I618&lt;&gt;"",A618="x"),S617,""))</f>
        <v/>
      </c>
      <c r="T618" t="str">
        <f>IF(D618=1,MAX($T$2:$T617)+1,IF(S618=$S617,$S617,IF($D618="x",T617,IF($D617="x","",""))))</f>
        <v/>
      </c>
      <c r="U618" t="str">
        <f>IF(B618=1,MAX($U$2:$U617)+1,IF(AND($T618&lt;&gt;"",$T618=$T617),$U617,IF(B618="x",U617,"")))</f>
        <v/>
      </c>
      <c r="V618" t="str">
        <f>IF(C618=1,MAX($V$2:$V617)+1,IF(AND($T618&lt;&gt;"",$T618=$T617),$U617,IF(C618="x",V617,"")))</f>
        <v/>
      </c>
      <c r="W618" t="str" cm="1">
        <f t="array" ref="W618">IFERROR(_xlfn._xlws.FILTER(game_rosters!AB:AB,(game_rosters!J:J=events!X618)*(K618&lt;&gt;"")),"")</f>
        <v/>
      </c>
      <c r="X618" t="str" cm="1">
        <f t="array" ref="X618">IF(S618="","",IF($I618&lt;&gt;"",$I618,INDEX($I$2:$I617,ROW()-COUNTIFS($T$2:$T617,"="&amp;$T618,$S$2:$S617,"&lt;&gt;"&amp;$S618)-1)))</f>
        <v/>
      </c>
      <c r="Z618" s="6"/>
      <c r="AI618" t="str">
        <f t="shared" si="164"/>
        <v/>
      </c>
      <c r="BI618" s="40"/>
      <c r="BL618" s="40"/>
      <c r="BN618" s="19"/>
      <c r="BP618" s="17"/>
    </row>
    <row r="619" spans="1:68" x14ac:dyDescent="0.2">
      <c r="A619" t="str">
        <f t="shared" si="162"/>
        <v/>
      </c>
      <c r="E619" s="4"/>
      <c r="F619" s="45"/>
      <c r="G619" s="4"/>
      <c r="H619" s="48"/>
      <c r="J619" s="46" t="str">
        <f t="shared" si="163"/>
        <v/>
      </c>
      <c r="N619" t="str">
        <f t="shared" si="166"/>
        <v/>
      </c>
      <c r="Q619" t="str">
        <f t="shared" si="165"/>
        <v/>
      </c>
      <c r="S619" t="str">
        <f>IF(A619=1,MAX(S$2:S618)+1,IF(OR(I619&lt;&gt;"",A619="x"),S618,""))</f>
        <v/>
      </c>
      <c r="T619" t="str">
        <f>IF(D619=1,MAX($T$2:$T618)+1,IF(S619=$S618,$S618,IF($D619="x",T618,IF($D618="x","",""))))</f>
        <v/>
      </c>
      <c r="U619" t="str">
        <f>IF(B619=1,MAX($U$2:$U618)+1,IF(AND($T619&lt;&gt;"",$T619=$T618),$U618,IF(B619="x",U618,"")))</f>
        <v/>
      </c>
      <c r="V619" t="str">
        <f>IF(C619=1,MAX($V$2:$V618)+1,IF(AND($T619&lt;&gt;"",$T619=$T618),$U618,IF(C619="x",V618,"")))</f>
        <v/>
      </c>
      <c r="W619" t="str" cm="1">
        <f t="array" ref="W619">IFERROR(_xlfn._xlws.FILTER(game_rosters!AB:AB,(game_rosters!J:J=events!X619)*(K619&lt;&gt;"")),"")</f>
        <v/>
      </c>
      <c r="X619" t="str" cm="1">
        <f t="array" ref="X619">IF(S619="","",IF($I619&lt;&gt;"",$I619,INDEX($I$2:$I618,ROW()-COUNTIFS($T$2:$T618,"="&amp;$T619,$S$2:$S618,"&lt;&gt;"&amp;$S619)-1)))</f>
        <v/>
      </c>
      <c r="Z619" s="6"/>
      <c r="AI619" t="str">
        <f t="shared" si="164"/>
        <v/>
      </c>
      <c r="BI619" s="40"/>
      <c r="BL619" s="40"/>
      <c r="BN619" s="19"/>
      <c r="BP619" s="17"/>
    </row>
    <row r="620" spans="1:68" x14ac:dyDescent="0.2">
      <c r="A620" t="str">
        <f t="shared" si="162"/>
        <v/>
      </c>
      <c r="E620" s="4"/>
      <c r="F620" s="45"/>
      <c r="G620" s="4"/>
      <c r="H620" s="48"/>
      <c r="J620" s="46" t="str">
        <f t="shared" si="163"/>
        <v/>
      </c>
      <c r="N620" t="str">
        <f t="shared" si="166"/>
        <v/>
      </c>
      <c r="Q620" t="str">
        <f t="shared" si="165"/>
        <v/>
      </c>
      <c r="S620" t="str">
        <f>IF(A620=1,MAX(S$2:S619)+1,IF(OR(I620&lt;&gt;"",A620="x"),S619,""))</f>
        <v/>
      </c>
      <c r="T620" t="str">
        <f>IF(D620=1,MAX($T$2:$T619)+1,IF(S620=$S619,$S619,IF($D620="x",T619,IF($D619="x","",""))))</f>
        <v/>
      </c>
      <c r="U620" t="str">
        <f>IF(B620=1,MAX($U$2:$U619)+1,IF(AND($T620&lt;&gt;"",$T620=$T619),$U619,IF(B620="x",U619,"")))</f>
        <v/>
      </c>
      <c r="V620" t="str">
        <f>IF(C620=1,MAX($V$2:$V619)+1,IF(AND($T620&lt;&gt;"",$T620=$T619),$U619,IF(C620="x",V619,"")))</f>
        <v/>
      </c>
      <c r="W620" t="str" cm="1">
        <f t="array" ref="W620">IFERROR(_xlfn._xlws.FILTER(game_rosters!AB:AB,(game_rosters!J:J=events!X620)*(K620&lt;&gt;"")),"")</f>
        <v/>
      </c>
      <c r="X620" t="str" cm="1">
        <f t="array" ref="X620">IF(S620="","",IF($I620&lt;&gt;"",$I620,INDEX($I$2:$I619,ROW()-COUNTIFS($T$2:$T619,"="&amp;$T620,$S$2:$S619,"&lt;&gt;"&amp;$S620)-1)))</f>
        <v/>
      </c>
      <c r="Z620" s="6"/>
      <c r="AI620" t="str">
        <f t="shared" si="164"/>
        <v/>
      </c>
      <c r="BI620" s="40"/>
      <c r="BL620" s="40"/>
      <c r="BN620" s="19"/>
      <c r="BP620" s="17"/>
    </row>
    <row r="621" spans="1:68" x14ac:dyDescent="0.2">
      <c r="A621" t="str">
        <f t="shared" si="162"/>
        <v/>
      </c>
      <c r="E621" s="4"/>
      <c r="F621" s="45"/>
      <c r="G621" s="4"/>
      <c r="H621" s="48"/>
      <c r="J621" s="46" t="str">
        <f t="shared" si="163"/>
        <v/>
      </c>
      <c r="N621" t="str">
        <f t="shared" si="166"/>
        <v/>
      </c>
      <c r="Q621" t="str">
        <f t="shared" si="165"/>
        <v/>
      </c>
      <c r="S621" t="str">
        <f>IF(A621=1,MAX(S$2:S620)+1,IF(OR(I621&lt;&gt;"",A621="x"),S620,""))</f>
        <v/>
      </c>
      <c r="T621" t="str">
        <f>IF(D621=1,MAX($T$2:$T620)+1,IF(S621=$S620,$S620,IF($D621="x",T620,IF($D620="x","",""))))</f>
        <v/>
      </c>
      <c r="U621" t="str">
        <f>IF(B621=1,MAX($U$2:$U620)+1,IF(AND($T621&lt;&gt;"",$T621=$T620),$U620,IF(B621="x",U620,"")))</f>
        <v/>
      </c>
      <c r="V621" t="str">
        <f>IF(C621=1,MAX($V$2:$V620)+1,IF(AND($T621&lt;&gt;"",$T621=$T620),$U620,IF(C621="x",V620,"")))</f>
        <v/>
      </c>
      <c r="W621" t="str" cm="1">
        <f t="array" ref="W621">IFERROR(_xlfn._xlws.FILTER(game_rosters!AB:AB,(game_rosters!J:J=events!X621)*(K621&lt;&gt;"")),"")</f>
        <v/>
      </c>
      <c r="X621" t="str" cm="1">
        <f t="array" ref="X621">IF(S621="","",IF($I621&lt;&gt;"",$I621,INDEX($I$2:$I620,ROW()-COUNTIFS($T$2:$T620,"="&amp;$T621,$S$2:$S620,"&lt;&gt;"&amp;$S621)-1)))</f>
        <v/>
      </c>
      <c r="Z621" s="6"/>
      <c r="AI621" t="str">
        <f t="shared" si="164"/>
        <v/>
      </c>
      <c r="BI621" s="40"/>
      <c r="BL621" s="40"/>
      <c r="BN621" s="19"/>
      <c r="BP621" s="17"/>
    </row>
    <row r="622" spans="1:68" x14ac:dyDescent="0.2">
      <c r="A622" t="str">
        <f t="shared" si="162"/>
        <v/>
      </c>
      <c r="E622" s="4"/>
      <c r="F622" s="45"/>
      <c r="G622" s="4"/>
      <c r="H622" s="48"/>
      <c r="J622" s="46" t="str">
        <f t="shared" si="163"/>
        <v/>
      </c>
      <c r="N622" t="str">
        <f t="shared" si="166"/>
        <v/>
      </c>
      <c r="Q622" t="str">
        <f t="shared" si="165"/>
        <v/>
      </c>
      <c r="S622" t="str">
        <f>IF(A622=1,MAX(S$2:S621)+1,IF(OR(I622&lt;&gt;"",A622="x"),S621,""))</f>
        <v/>
      </c>
      <c r="T622" t="str">
        <f>IF(D622=1,MAX($T$2:$T621)+1,IF(S622=$S621,$S621,IF($D622="x",T621,IF($D621="x","",""))))</f>
        <v/>
      </c>
      <c r="U622" t="str">
        <f>IF(B622=1,MAX($U$2:$U621)+1,IF(AND($T622&lt;&gt;"",$T622=$T621),$U621,IF(B622="x",U621,"")))</f>
        <v/>
      </c>
      <c r="V622" t="str">
        <f>IF(C622=1,MAX($V$2:$V621)+1,IF(AND($T622&lt;&gt;"",$T622=$T621),$U621,IF(C622="x",V621,"")))</f>
        <v/>
      </c>
      <c r="W622" t="str" cm="1">
        <f t="array" ref="W622">IFERROR(_xlfn._xlws.FILTER(game_rosters!AB:AB,(game_rosters!J:J=events!X622)*(K622&lt;&gt;"")),"")</f>
        <v/>
      </c>
      <c r="X622" t="str" cm="1">
        <f t="array" ref="X622">IF(S622="","",IF($I622&lt;&gt;"",$I622,INDEX($I$2:$I621,ROW()-COUNTIFS($T$2:$T621,"="&amp;$T622,$S$2:$S621,"&lt;&gt;"&amp;$S622)-1)))</f>
        <v/>
      </c>
      <c r="Z622" s="6"/>
      <c r="AI622" t="str">
        <f t="shared" si="164"/>
        <v/>
      </c>
      <c r="BI622" s="40"/>
      <c r="BL622" s="40"/>
      <c r="BN622" s="19"/>
      <c r="BP622" s="17"/>
    </row>
    <row r="623" spans="1:68" x14ac:dyDescent="0.2">
      <c r="A623" t="str">
        <f t="shared" si="162"/>
        <v/>
      </c>
      <c r="E623" s="4"/>
      <c r="F623" s="45"/>
      <c r="G623" s="4"/>
      <c r="H623" s="48"/>
      <c r="J623" s="46" t="str">
        <f t="shared" si="163"/>
        <v/>
      </c>
      <c r="N623" t="str">
        <f t="shared" si="166"/>
        <v/>
      </c>
      <c r="Q623" t="str">
        <f t="shared" si="165"/>
        <v/>
      </c>
      <c r="S623" t="str">
        <f>IF(A623=1,MAX(S$2:S622)+1,IF(OR(I623&lt;&gt;"",A623="x"),S622,""))</f>
        <v/>
      </c>
      <c r="T623" t="str">
        <f>IF(D623=1,MAX($T$2:$T622)+1,IF(S623=$S622,$S622,IF($D623="x",T622,IF($D622="x","",""))))</f>
        <v/>
      </c>
      <c r="U623" t="str">
        <f>IF(B623=1,MAX($U$2:$U622)+1,IF(AND($T623&lt;&gt;"",$T623=$T622),$U622,IF(B623="x",U622,"")))</f>
        <v/>
      </c>
      <c r="V623" t="str">
        <f>IF(C623=1,MAX($V$2:$V622)+1,IF(AND($T623&lt;&gt;"",$T623=$T622),$U622,IF(C623="x",V622,"")))</f>
        <v/>
      </c>
      <c r="W623" t="str" cm="1">
        <f t="array" ref="W623">IFERROR(_xlfn._xlws.FILTER(game_rosters!AB:AB,(game_rosters!J:J=events!X623)*(K623&lt;&gt;"")),"")</f>
        <v/>
      </c>
      <c r="X623" t="str" cm="1">
        <f t="array" ref="X623">IF(S623="","",IF($I623&lt;&gt;"",$I623,INDEX($I$2:$I622,ROW()-COUNTIFS($T$2:$T622,"="&amp;$T623,$S$2:$S622,"&lt;&gt;"&amp;$S623)-1)))</f>
        <v/>
      </c>
      <c r="Z623" s="6"/>
      <c r="AI623" t="str">
        <f t="shared" si="164"/>
        <v/>
      </c>
      <c r="BI623" s="40"/>
      <c r="BL623" s="40"/>
      <c r="BN623" s="19"/>
      <c r="BP623" s="17"/>
    </row>
    <row r="624" spans="1:68" x14ac:dyDescent="0.2">
      <c r="A624" t="str">
        <f t="shared" si="162"/>
        <v/>
      </c>
      <c r="E624" s="4"/>
      <c r="F624" s="45"/>
      <c r="G624" s="4"/>
      <c r="H624" s="48"/>
      <c r="J624" s="46" t="str">
        <f t="shared" si="163"/>
        <v/>
      </c>
      <c r="N624" t="str">
        <f t="shared" si="166"/>
        <v/>
      </c>
      <c r="Q624" t="str">
        <f t="shared" si="165"/>
        <v/>
      </c>
      <c r="S624" t="str">
        <f>IF(A624=1,MAX(S$2:S623)+1,IF(OR(I624&lt;&gt;"",A624="x"),S623,""))</f>
        <v/>
      </c>
      <c r="T624" t="str">
        <f>IF(D624=1,MAX($T$2:$T623)+1,IF(S624=$S623,$S623,IF($D624="x",T623,IF($D623="x","",""))))</f>
        <v/>
      </c>
      <c r="U624" t="str">
        <f>IF(B624=1,MAX($U$2:$U623)+1,IF(AND($T624&lt;&gt;"",$T624=$T623),$U623,IF(B624="x",U623,"")))</f>
        <v/>
      </c>
      <c r="V624" t="str">
        <f>IF(C624=1,MAX($V$2:$V623)+1,IF(AND($T624&lt;&gt;"",$T624=$T623),$U623,IF(C624="x",V623,"")))</f>
        <v/>
      </c>
      <c r="W624" t="str" cm="1">
        <f t="array" ref="W624">IFERROR(_xlfn._xlws.FILTER(game_rosters!AB:AB,(game_rosters!J:J=events!X624)*(K624&lt;&gt;"")),"")</f>
        <v/>
      </c>
      <c r="X624" t="str" cm="1">
        <f t="array" ref="X624">IF(S624="","",IF($I624&lt;&gt;"",$I624,INDEX($I$2:$I623,ROW()-COUNTIFS($T$2:$T623,"="&amp;$T624,$S$2:$S623,"&lt;&gt;"&amp;$S624)-1)))</f>
        <v/>
      </c>
      <c r="Z624" s="6"/>
      <c r="AI624" t="str">
        <f t="shared" si="164"/>
        <v/>
      </c>
      <c r="BI624" s="40"/>
      <c r="BL624" s="40"/>
      <c r="BN624" s="19"/>
      <c r="BP624" s="17"/>
    </row>
    <row r="625" spans="1:68" x14ac:dyDescent="0.2">
      <c r="A625" t="str">
        <f t="shared" si="162"/>
        <v/>
      </c>
      <c r="E625" s="4"/>
      <c r="F625" s="45"/>
      <c r="G625" s="4"/>
      <c r="H625" s="48"/>
      <c r="J625" s="46" t="str">
        <f t="shared" si="163"/>
        <v/>
      </c>
      <c r="N625" t="str">
        <f t="shared" si="166"/>
        <v/>
      </c>
      <c r="Q625" t="str">
        <f t="shared" si="165"/>
        <v/>
      </c>
      <c r="S625" t="str">
        <f>IF(A625=1,MAX(S$2:S624)+1,IF(OR(I625&lt;&gt;"",A625="x"),S624,""))</f>
        <v/>
      </c>
      <c r="T625" t="str">
        <f>IF(D625=1,MAX($T$2:$T624)+1,IF(S625=$S624,$S624,IF($D625="x",T624,IF($D624="x","",""))))</f>
        <v/>
      </c>
      <c r="U625" t="str">
        <f>IF(B625=1,MAX($U$2:$U624)+1,IF(AND($T625&lt;&gt;"",$T625=$T624),$U624,IF(B625="x",U624,"")))</f>
        <v/>
      </c>
      <c r="V625" t="str">
        <f>IF(C625=1,MAX($V$2:$V624)+1,IF(AND($T625&lt;&gt;"",$T625=$T624),$U624,IF(C625="x",V624,"")))</f>
        <v/>
      </c>
      <c r="W625" t="str" cm="1">
        <f t="array" ref="W625">IFERROR(_xlfn._xlws.FILTER(game_rosters!AB:AB,(game_rosters!J:J=events!X625)*(K625&lt;&gt;"")),"")</f>
        <v/>
      </c>
      <c r="X625" t="str" cm="1">
        <f t="array" ref="X625">IF(S625="","",IF($I625&lt;&gt;"",$I625,INDEX($I$2:$I624,ROW()-COUNTIFS($T$2:$T624,"="&amp;$T625,$S$2:$S624,"&lt;&gt;"&amp;$S625)-1)))</f>
        <v/>
      </c>
      <c r="Z625" s="6"/>
      <c r="AI625" t="str">
        <f t="shared" si="164"/>
        <v/>
      </c>
      <c r="BI625" s="40"/>
      <c r="BL625" s="40"/>
      <c r="BN625" s="19"/>
      <c r="BP625" s="17"/>
    </row>
    <row r="626" spans="1:68" x14ac:dyDescent="0.2">
      <c r="A626" t="str">
        <f t="shared" si="162"/>
        <v/>
      </c>
      <c r="E626" s="4"/>
      <c r="F626" s="45"/>
      <c r="G626" s="4"/>
      <c r="H626" s="48"/>
      <c r="J626" s="46" t="str">
        <f t="shared" si="163"/>
        <v/>
      </c>
      <c r="N626" t="str">
        <f t="shared" si="166"/>
        <v/>
      </c>
      <c r="Q626" t="str">
        <f t="shared" si="165"/>
        <v/>
      </c>
      <c r="S626" t="str">
        <f>IF(A626=1,MAX(S$2:S625)+1,IF(OR(I626&lt;&gt;"",A626="x"),S625,""))</f>
        <v/>
      </c>
      <c r="T626" t="str">
        <f>IF(D626=1,MAX($T$2:$T625)+1,IF(S626=$S625,$S625,IF($D626="x",T625,IF($D625="x","",""))))</f>
        <v/>
      </c>
      <c r="U626" t="str">
        <f>IF(B626=1,MAX($U$2:$U625)+1,IF(AND($T626&lt;&gt;"",$T626=$T625),$U625,IF(B626="x",U625,"")))</f>
        <v/>
      </c>
      <c r="V626" t="str">
        <f>IF(C626=1,MAX($V$2:$V625)+1,IF(AND($T626&lt;&gt;"",$T626=$T625),$U625,IF(C626="x",V625,"")))</f>
        <v/>
      </c>
      <c r="W626" t="str" cm="1">
        <f t="array" ref="W626">IFERROR(_xlfn._xlws.FILTER(game_rosters!AB:AB,(game_rosters!J:J=events!X626)*(K626&lt;&gt;"")),"")</f>
        <v/>
      </c>
      <c r="X626" t="str" cm="1">
        <f t="array" ref="X626">IF(S626="","",IF($I626&lt;&gt;"",$I626,INDEX($I$2:$I625,ROW()-COUNTIFS($T$2:$T625,"="&amp;$T626,$S$2:$S625,"&lt;&gt;"&amp;$S626)-1)))</f>
        <v/>
      </c>
      <c r="Z626" s="6"/>
      <c r="AI626" t="str">
        <f t="shared" si="164"/>
        <v/>
      </c>
      <c r="BI626" s="40"/>
      <c r="BL626" s="40"/>
      <c r="BN626" s="19"/>
      <c r="BP626" s="17"/>
    </row>
    <row r="627" spans="1:68" x14ac:dyDescent="0.2">
      <c r="A627" t="str">
        <f t="shared" si="162"/>
        <v/>
      </c>
      <c r="E627" s="4"/>
      <c r="F627" s="45"/>
      <c r="G627" s="4"/>
      <c r="H627" s="48"/>
      <c r="J627" s="46" t="str">
        <f t="shared" si="163"/>
        <v/>
      </c>
      <c r="N627" t="str">
        <f t="shared" si="166"/>
        <v/>
      </c>
      <c r="Q627" t="str">
        <f t="shared" si="165"/>
        <v/>
      </c>
      <c r="S627" t="str">
        <f>IF(A627=1,MAX(S$2:S626)+1,IF(OR(I627&lt;&gt;"",A627="x"),S626,""))</f>
        <v/>
      </c>
      <c r="T627" t="str">
        <f>IF(D627=1,MAX($T$2:$T626)+1,IF(S627=$S626,$S626,IF($D627="x",T626,IF($D626="x","",""))))</f>
        <v/>
      </c>
      <c r="U627" t="str">
        <f>IF(B627=1,MAX($U$2:$U626)+1,IF(AND($T627&lt;&gt;"",$T627=$T626),$U626,IF(B627="x",U626,"")))</f>
        <v/>
      </c>
      <c r="V627" t="str">
        <f>IF(C627=1,MAX($V$2:$V626)+1,IF(AND($T627&lt;&gt;"",$T627=$T626),$U626,IF(C627="x",V626,"")))</f>
        <v/>
      </c>
      <c r="W627" t="str" cm="1">
        <f t="array" ref="W627">IFERROR(_xlfn._xlws.FILTER(game_rosters!AB:AB,(game_rosters!J:J=events!X627)*(K627&lt;&gt;"")),"")</f>
        <v/>
      </c>
      <c r="X627" t="str" cm="1">
        <f t="array" ref="X627">IF(S627="","",IF($I627&lt;&gt;"",$I627,INDEX($I$2:$I626,ROW()-COUNTIFS($T$2:$T626,"="&amp;$T627,$S$2:$S626,"&lt;&gt;"&amp;$S627)-1)))</f>
        <v/>
      </c>
      <c r="Z627" s="6"/>
      <c r="AI627" t="str">
        <f t="shared" si="164"/>
        <v/>
      </c>
      <c r="BI627" s="40"/>
      <c r="BL627" s="40"/>
      <c r="BN627" s="19"/>
      <c r="BP627" s="17"/>
    </row>
    <row r="628" spans="1:68" x14ac:dyDescent="0.2">
      <c r="A628" t="str">
        <f t="shared" si="162"/>
        <v/>
      </c>
      <c r="E628" s="4"/>
      <c r="F628" s="45"/>
      <c r="G628" s="4"/>
      <c r="H628" s="48"/>
      <c r="J628" s="46" t="str">
        <f t="shared" si="163"/>
        <v/>
      </c>
      <c r="N628" t="str">
        <f t="shared" si="166"/>
        <v/>
      </c>
      <c r="Q628" t="str">
        <f t="shared" si="165"/>
        <v/>
      </c>
      <c r="S628" t="str">
        <f>IF(A628=1,MAX(S$2:S627)+1,IF(OR(I628&lt;&gt;"",A628="x"),S627,""))</f>
        <v/>
      </c>
      <c r="T628" t="str">
        <f>IF(D628=1,MAX($T$2:$T627)+1,IF(S628=$S627,$S627,IF($D628="x",T627,IF($D627="x","",""))))</f>
        <v/>
      </c>
      <c r="U628" t="str">
        <f>IF(B628=1,MAX($U$2:$U627)+1,IF(AND($T628&lt;&gt;"",$T628=$T627),$U627,IF(B628="x",U627,"")))</f>
        <v/>
      </c>
      <c r="V628" t="str">
        <f>IF(C628=1,MAX($V$2:$V627)+1,IF(AND($T628&lt;&gt;"",$T628=$T627),$U627,IF(C628="x",V627,"")))</f>
        <v/>
      </c>
      <c r="W628" t="str" cm="1">
        <f t="array" ref="W628">IFERROR(_xlfn._xlws.FILTER(game_rosters!AB:AB,(game_rosters!J:J=events!X628)*(K628&lt;&gt;"")),"")</f>
        <v/>
      </c>
      <c r="X628" t="str" cm="1">
        <f t="array" ref="X628">IF(S628="","",IF($I628&lt;&gt;"",$I628,INDEX($I$2:$I627,ROW()-COUNTIFS($T$2:$T627,"="&amp;$T628,$S$2:$S627,"&lt;&gt;"&amp;$S628)-1)))</f>
        <v/>
      </c>
      <c r="Z628" s="6"/>
      <c r="AI628" t="str">
        <f t="shared" si="164"/>
        <v/>
      </c>
      <c r="BI628" s="40"/>
      <c r="BL628" s="40"/>
      <c r="BN628" s="19"/>
      <c r="BP628" s="17"/>
    </row>
    <row r="629" spans="1:68" x14ac:dyDescent="0.2">
      <c r="A629" t="str">
        <f t="shared" si="162"/>
        <v/>
      </c>
      <c r="E629" s="4"/>
      <c r="F629" s="45"/>
      <c r="G629" s="4"/>
      <c r="H629" s="48"/>
      <c r="J629" s="46" t="str">
        <f t="shared" si="163"/>
        <v/>
      </c>
      <c r="N629" t="str">
        <f t="shared" si="166"/>
        <v/>
      </c>
      <c r="Q629" t="str">
        <f t="shared" si="165"/>
        <v/>
      </c>
      <c r="S629" t="str">
        <f>IF(A629=1,MAX(S$2:S628)+1,IF(OR(I629&lt;&gt;"",A629="x"),S628,""))</f>
        <v/>
      </c>
      <c r="T629" t="str">
        <f>IF(D629=1,MAX($T$2:$T628)+1,IF(S629=$S628,$S628,IF($D629="x",T628,IF($D628="x","",""))))</f>
        <v/>
      </c>
      <c r="U629" t="str">
        <f>IF(B629=1,MAX($U$2:$U628)+1,IF(AND($T629&lt;&gt;"",$T629=$T628),$U628,IF(B629="x",U628,"")))</f>
        <v/>
      </c>
      <c r="V629" t="str">
        <f>IF(C629=1,MAX($V$2:$V628)+1,IF(AND($T629&lt;&gt;"",$T629=$T628),$U628,IF(C629="x",V628,"")))</f>
        <v/>
      </c>
      <c r="W629" t="str" cm="1">
        <f t="array" ref="W629">IFERROR(_xlfn._xlws.FILTER(game_rosters!AB:AB,(game_rosters!J:J=events!X629)*(K629&lt;&gt;"")),"")</f>
        <v/>
      </c>
      <c r="X629" t="str" cm="1">
        <f t="array" ref="X629">IF(S629="","",IF($I629&lt;&gt;"",$I629,INDEX($I$2:$I628,ROW()-COUNTIFS($T$2:$T628,"="&amp;$T629,$S$2:$S628,"&lt;&gt;"&amp;$S629)-1)))</f>
        <v/>
      </c>
      <c r="Z629" s="6"/>
      <c r="AI629" t="str">
        <f t="shared" si="164"/>
        <v/>
      </c>
      <c r="BI629" s="40"/>
      <c r="BL629" s="40"/>
      <c r="BN629" s="19"/>
      <c r="BP629" s="17"/>
    </row>
    <row r="630" spans="1:68" x14ac:dyDescent="0.2">
      <c r="A630" t="str">
        <f t="shared" si="162"/>
        <v/>
      </c>
      <c r="E630" s="4"/>
      <c r="F630" s="45"/>
      <c r="G630" s="4"/>
      <c r="H630" s="48"/>
      <c r="J630" s="46" t="str">
        <f t="shared" si="163"/>
        <v/>
      </c>
      <c r="N630" t="str">
        <f t="shared" si="166"/>
        <v/>
      </c>
      <c r="Q630" t="str">
        <f t="shared" si="165"/>
        <v/>
      </c>
      <c r="S630" t="str">
        <f>IF(A630=1,MAX(S$2:S629)+1,IF(OR(I630&lt;&gt;"",A630="x"),S629,""))</f>
        <v/>
      </c>
      <c r="T630" t="str">
        <f>IF(D630=1,MAX($T$2:$T629)+1,IF(S630=$S629,$S629,IF($D630="x",T629,IF($D629="x","",""))))</f>
        <v/>
      </c>
      <c r="U630" t="str">
        <f>IF(B630=1,MAX($U$2:$U629)+1,IF(AND($T630&lt;&gt;"",$T630=$T629),$U629,IF(B630="x",U629,"")))</f>
        <v/>
      </c>
      <c r="V630" t="str">
        <f>IF(C630=1,MAX($V$2:$V629)+1,IF(AND($T630&lt;&gt;"",$T630=$T629),$U629,IF(C630="x",V629,"")))</f>
        <v/>
      </c>
      <c r="W630" t="str" cm="1">
        <f t="array" ref="W630">IFERROR(_xlfn._xlws.FILTER(game_rosters!AB:AB,(game_rosters!J:J=events!X630)*(K630&lt;&gt;"")),"")</f>
        <v/>
      </c>
      <c r="X630" t="str" cm="1">
        <f t="array" ref="X630">IF(S630="","",IF($I630&lt;&gt;"",$I630,INDEX($I$2:$I629,ROW()-COUNTIFS($T$2:$T629,"="&amp;$T630,$S$2:$S629,"&lt;&gt;"&amp;$S630)-1)))</f>
        <v/>
      </c>
      <c r="Z630" s="6"/>
      <c r="AI630" t="str">
        <f t="shared" si="164"/>
        <v/>
      </c>
      <c r="BI630" s="40"/>
      <c r="BL630" s="40"/>
      <c r="BN630" s="19"/>
      <c r="BP630" s="17"/>
    </row>
    <row r="631" spans="1:68" x14ac:dyDescent="0.2">
      <c r="A631" t="str">
        <f t="shared" si="162"/>
        <v/>
      </c>
      <c r="E631" s="4"/>
      <c r="F631" s="45"/>
      <c r="G631" s="4"/>
      <c r="H631" s="48"/>
      <c r="J631" s="46" t="str">
        <f t="shared" si="163"/>
        <v/>
      </c>
      <c r="N631" t="str">
        <f t="shared" si="166"/>
        <v/>
      </c>
      <c r="Q631" t="str">
        <f t="shared" si="165"/>
        <v/>
      </c>
      <c r="S631" t="str">
        <f>IF(A631=1,MAX(S$2:S630)+1,IF(OR(I631&lt;&gt;"",A631="x"),S630,""))</f>
        <v/>
      </c>
      <c r="T631" t="str">
        <f>IF(D631=1,MAX($T$2:$T630)+1,IF(S631=$S630,$S630,IF($D631="x",T630,IF($D630="x","",""))))</f>
        <v/>
      </c>
      <c r="U631" t="str">
        <f>IF(B631=1,MAX($U$2:$U630)+1,IF(AND($T631&lt;&gt;"",$T631=$T630),$U630,IF(B631="x",U630,"")))</f>
        <v/>
      </c>
      <c r="V631" t="str">
        <f>IF(C631=1,MAX($V$2:$V630)+1,IF(AND($T631&lt;&gt;"",$T631=$T630),$U630,IF(C631="x",V630,"")))</f>
        <v/>
      </c>
      <c r="W631" t="str" cm="1">
        <f t="array" ref="W631">IFERROR(_xlfn._xlws.FILTER(game_rosters!AB:AB,(game_rosters!J:J=events!X631)*(K631&lt;&gt;"")),"")</f>
        <v/>
      </c>
      <c r="X631" t="str" cm="1">
        <f t="array" ref="X631">IF(S631="","",IF($I631&lt;&gt;"",$I631,INDEX($I$2:$I630,ROW()-COUNTIFS($T$2:$T630,"="&amp;$T631,$S$2:$S630,"&lt;&gt;"&amp;$S631)-1)))</f>
        <v/>
      </c>
      <c r="Z631" s="6"/>
      <c r="AI631" t="str">
        <f t="shared" si="164"/>
        <v/>
      </c>
      <c r="BI631" s="40"/>
      <c r="BL631" s="40"/>
      <c r="BN631" s="19"/>
      <c r="BP631" s="17"/>
    </row>
    <row r="632" spans="1:68" x14ac:dyDescent="0.2">
      <c r="A632" t="str">
        <f t="shared" si="162"/>
        <v/>
      </c>
      <c r="E632" s="4"/>
      <c r="F632" s="45"/>
      <c r="G632" s="4"/>
      <c r="H632" s="48"/>
      <c r="J632" s="46" t="str">
        <f t="shared" si="163"/>
        <v/>
      </c>
      <c r="N632" t="str">
        <f t="shared" si="166"/>
        <v/>
      </c>
      <c r="Q632" t="str">
        <f t="shared" si="165"/>
        <v/>
      </c>
      <c r="S632" t="str">
        <f>IF(A632=1,MAX(S$2:S631)+1,IF(OR(I632&lt;&gt;"",A632="x"),S631,""))</f>
        <v/>
      </c>
      <c r="T632" t="str">
        <f>IF(D632=1,MAX($T$2:$T631)+1,IF(S632=$S631,$S631,IF($D632="x",T631,IF($D631="x","",""))))</f>
        <v/>
      </c>
      <c r="U632" t="str">
        <f>IF(B632=1,MAX($U$2:$U631)+1,IF(AND($T632&lt;&gt;"",$T632=$T631),$U631,IF(B632="x",U631,"")))</f>
        <v/>
      </c>
      <c r="V632" t="str">
        <f>IF(C632=1,MAX($V$2:$V631)+1,IF(AND($T632&lt;&gt;"",$T632=$T631),$U631,IF(C632="x",V631,"")))</f>
        <v/>
      </c>
      <c r="W632" t="str" cm="1">
        <f t="array" ref="W632">IFERROR(_xlfn._xlws.FILTER(game_rosters!AB:AB,(game_rosters!J:J=events!X632)*(K632&lt;&gt;"")),"")</f>
        <v/>
      </c>
      <c r="X632" t="str" cm="1">
        <f t="array" ref="X632">IF(S632="","",IF($I632&lt;&gt;"",$I632,INDEX($I$2:$I631,ROW()-COUNTIFS($T$2:$T631,"="&amp;$T632,$S$2:$S631,"&lt;&gt;"&amp;$S632)-1)))</f>
        <v/>
      </c>
      <c r="Z632" s="6"/>
      <c r="AI632" t="str">
        <f t="shared" si="164"/>
        <v/>
      </c>
      <c r="BI632" s="40"/>
      <c r="BL632" s="40"/>
      <c r="BN632" s="19"/>
      <c r="BP632" s="17"/>
    </row>
    <row r="633" spans="1:68" x14ac:dyDescent="0.2">
      <c r="A633" t="str">
        <f t="shared" si="162"/>
        <v/>
      </c>
      <c r="E633" s="4"/>
      <c r="F633" s="45"/>
      <c r="G633" s="4"/>
      <c r="H633" s="48"/>
      <c r="J633" s="46" t="str">
        <f t="shared" si="163"/>
        <v/>
      </c>
      <c r="N633" t="str">
        <f t="shared" si="166"/>
        <v/>
      </c>
      <c r="Q633" t="str">
        <f t="shared" si="165"/>
        <v/>
      </c>
      <c r="S633" t="str">
        <f>IF(A633=1,MAX(S$2:S632)+1,IF(OR(I633&lt;&gt;"",A633="x"),S632,""))</f>
        <v/>
      </c>
      <c r="T633" t="str">
        <f>IF(D633=1,MAX($T$2:$T632)+1,IF(S633=$S632,$S632,IF($D633="x",T632,IF($D632="x","",""))))</f>
        <v/>
      </c>
      <c r="U633" t="str">
        <f>IF(B633=1,MAX($U$2:$U632)+1,IF(AND($T633&lt;&gt;"",$T633=$T632),$U632,IF(B633="x",U632,"")))</f>
        <v/>
      </c>
      <c r="V633" t="str">
        <f>IF(C633=1,MAX($V$2:$V632)+1,IF(AND($T633&lt;&gt;"",$T633=$T632),$U632,IF(C633="x",V632,"")))</f>
        <v/>
      </c>
      <c r="W633" t="str" cm="1">
        <f t="array" ref="W633">IFERROR(_xlfn._xlws.FILTER(game_rosters!AB:AB,(game_rosters!J:J=events!X633)*(K633&lt;&gt;"")),"")</f>
        <v/>
      </c>
      <c r="X633" t="str" cm="1">
        <f t="array" ref="X633">IF(S633="","",IF($I633&lt;&gt;"",$I633,INDEX($I$2:$I632,ROW()-COUNTIFS($T$2:$T632,"="&amp;$T633,$S$2:$S632,"&lt;&gt;"&amp;$S633)-1)))</f>
        <v/>
      </c>
      <c r="Z633" s="6"/>
      <c r="AI633" t="str">
        <f t="shared" si="164"/>
        <v/>
      </c>
      <c r="BI633" s="40"/>
      <c r="BL633" s="40"/>
      <c r="BN633" s="19"/>
      <c r="BP633" s="17"/>
    </row>
    <row r="634" spans="1:68" x14ac:dyDescent="0.2">
      <c r="A634" t="str">
        <f t="shared" si="162"/>
        <v/>
      </c>
      <c r="E634" s="4"/>
      <c r="F634" s="45"/>
      <c r="G634" s="4"/>
      <c r="H634" s="48"/>
      <c r="J634" s="46" t="str">
        <f t="shared" si="163"/>
        <v/>
      </c>
      <c r="N634" t="str">
        <f t="shared" si="166"/>
        <v/>
      </c>
      <c r="Q634" t="str">
        <f t="shared" si="165"/>
        <v/>
      </c>
      <c r="S634" t="str">
        <f>IF(A634=1,MAX(S$2:S633)+1,IF(OR(I634&lt;&gt;"",A634="x"),S633,""))</f>
        <v/>
      </c>
      <c r="T634" t="str">
        <f>IF(D634=1,MAX($T$2:$T633)+1,IF(S634=$S633,$S633,IF($D634="x",T633,IF($D633="x","",""))))</f>
        <v/>
      </c>
      <c r="U634" t="str">
        <f>IF(B634=1,MAX($U$2:$U633)+1,IF(AND($T634&lt;&gt;"",$T634=$T633),$U633,IF(B634="x",U633,"")))</f>
        <v/>
      </c>
      <c r="V634" t="str">
        <f>IF(C634=1,MAX($V$2:$V633)+1,IF(AND($T634&lt;&gt;"",$T634=$T633),$U633,IF(C634="x",V633,"")))</f>
        <v/>
      </c>
      <c r="W634" t="str" cm="1">
        <f t="array" ref="W634">IFERROR(_xlfn._xlws.FILTER(game_rosters!AB:AB,(game_rosters!J:J=events!X634)*(K634&lt;&gt;"")),"")</f>
        <v/>
      </c>
      <c r="X634" t="str" cm="1">
        <f t="array" ref="X634">IF(S634="","",IF($I634&lt;&gt;"",$I634,INDEX($I$2:$I633,ROW()-COUNTIFS($T$2:$T633,"="&amp;$T634,$S$2:$S633,"&lt;&gt;"&amp;$S634)-1)))</f>
        <v/>
      </c>
      <c r="Z634" s="6"/>
      <c r="AI634" t="str">
        <f t="shared" si="164"/>
        <v/>
      </c>
      <c r="BI634" s="40"/>
      <c r="BL634" s="40"/>
      <c r="BN634" s="19"/>
      <c r="BP634" s="17"/>
    </row>
    <row r="635" spans="1:68" x14ac:dyDescent="0.2">
      <c r="A635" t="str">
        <f t="shared" si="162"/>
        <v/>
      </c>
      <c r="E635" s="4"/>
      <c r="F635" s="45"/>
      <c r="G635" s="4"/>
      <c r="H635" s="48"/>
      <c r="J635" s="46" t="str">
        <f t="shared" si="163"/>
        <v/>
      </c>
      <c r="N635" t="str">
        <f t="shared" si="166"/>
        <v/>
      </c>
      <c r="Q635" t="str">
        <f t="shared" si="165"/>
        <v/>
      </c>
      <c r="S635" t="str">
        <f>IF(A635=1,MAX(S$2:S634)+1,IF(OR(I635&lt;&gt;"",A635="x"),S634,""))</f>
        <v/>
      </c>
      <c r="T635" t="str">
        <f>IF(D635=1,MAX($T$2:$T634)+1,IF(S635=$S634,$S634,IF($D635="x",T634,IF($D634="x","",""))))</f>
        <v/>
      </c>
      <c r="U635" t="str">
        <f>IF(B635=1,MAX($U$2:$U634)+1,IF(AND($T635&lt;&gt;"",$T635=$T634),$U634,IF(B635="x",U634,"")))</f>
        <v/>
      </c>
      <c r="V635" t="str">
        <f>IF(C635=1,MAX($V$2:$V634)+1,IF(AND($T635&lt;&gt;"",$T635=$T634),$U634,IF(C635="x",V634,"")))</f>
        <v/>
      </c>
      <c r="W635" t="str" cm="1">
        <f t="array" ref="W635">IFERROR(_xlfn._xlws.FILTER(game_rosters!AB:AB,(game_rosters!J:J=events!X635)*(K635&lt;&gt;"")),"")</f>
        <v/>
      </c>
      <c r="X635" t="str" cm="1">
        <f t="array" ref="X635">IF(S635="","",IF($I635&lt;&gt;"",$I635,INDEX($I$2:$I634,ROW()-COUNTIFS($T$2:$T634,"="&amp;$T635,$S$2:$S634,"&lt;&gt;"&amp;$S635)-1)))</f>
        <v/>
      </c>
      <c r="Z635" s="6"/>
      <c r="AI635" t="str">
        <f t="shared" si="164"/>
        <v/>
      </c>
      <c r="BI635" s="40"/>
      <c r="BL635" s="40"/>
      <c r="BN635" s="19"/>
      <c r="BP635" s="17"/>
    </row>
    <row r="636" spans="1:68" x14ac:dyDescent="0.2">
      <c r="A636" t="str">
        <f t="shared" si="162"/>
        <v/>
      </c>
      <c r="E636" s="4"/>
      <c r="F636" s="45"/>
      <c r="G636" s="4"/>
      <c r="H636" s="48"/>
      <c r="J636" s="46" t="str">
        <f t="shared" si="163"/>
        <v/>
      </c>
      <c r="N636" t="str">
        <f t="shared" si="166"/>
        <v/>
      </c>
      <c r="Q636" t="str">
        <f t="shared" si="165"/>
        <v/>
      </c>
      <c r="S636" t="str">
        <f>IF(A636=1,MAX(S$2:S635)+1,IF(OR(I636&lt;&gt;"",A636="x"),S635,""))</f>
        <v/>
      </c>
      <c r="T636" t="str">
        <f>IF(D636=1,MAX($T$2:$T635)+1,IF(S636=$S635,$S635,IF($D636="x",T635,IF($D635="x","",""))))</f>
        <v/>
      </c>
      <c r="U636" t="str">
        <f>IF(B636=1,MAX($U$2:$U635)+1,IF(AND($T636&lt;&gt;"",$T636=$T635),$U635,IF(B636="x",U635,"")))</f>
        <v/>
      </c>
      <c r="V636" t="str">
        <f>IF(C636=1,MAX($V$2:$V635)+1,IF(AND($T636&lt;&gt;"",$T636=$T635),$U635,IF(C636="x",V635,"")))</f>
        <v/>
      </c>
      <c r="W636" t="str" cm="1">
        <f t="array" ref="W636">IFERROR(_xlfn._xlws.FILTER(game_rosters!AB:AB,(game_rosters!J:J=events!X636)*(K636&lt;&gt;"")),"")</f>
        <v/>
      </c>
      <c r="X636" t="str" cm="1">
        <f t="array" ref="X636">IF(S636="","",IF($I636&lt;&gt;"",$I636,INDEX($I$2:$I635,ROW()-COUNTIFS($T$2:$T635,"="&amp;$T636,$S$2:$S635,"&lt;&gt;"&amp;$S636)-1)))</f>
        <v/>
      </c>
      <c r="Z636" s="6"/>
      <c r="AI636" t="str">
        <f t="shared" si="164"/>
        <v/>
      </c>
      <c r="BI636" s="40"/>
      <c r="BL636" s="40"/>
      <c r="BN636" s="19"/>
      <c r="BP636" s="17"/>
    </row>
    <row r="637" spans="1:68" x14ac:dyDescent="0.2">
      <c r="A637" t="str">
        <f t="shared" si="162"/>
        <v/>
      </c>
      <c r="E637" s="4"/>
      <c r="F637" s="45"/>
      <c r="G637" s="4"/>
      <c r="H637" s="48"/>
      <c r="J637" s="46" t="str">
        <f t="shared" si="163"/>
        <v/>
      </c>
      <c r="N637" t="str">
        <f t="shared" si="166"/>
        <v/>
      </c>
      <c r="Q637" t="str">
        <f t="shared" si="165"/>
        <v/>
      </c>
      <c r="S637" t="str">
        <f>IF(A637=1,MAX(S$2:S636)+1,IF(OR(I637&lt;&gt;"",A637="x"),S636,""))</f>
        <v/>
      </c>
      <c r="T637" t="str">
        <f>IF(D637=1,MAX($T$2:$T636)+1,IF(S637=$S636,$S636,IF($D637="x",T636,IF($D636="x","",""))))</f>
        <v/>
      </c>
      <c r="U637" t="str">
        <f>IF(B637=1,MAX($U$2:$U636)+1,IF(AND($T637&lt;&gt;"",$T637=$T636),$U636,IF(B637="x",U636,"")))</f>
        <v/>
      </c>
      <c r="V637" t="str">
        <f>IF(C637=1,MAX($V$2:$V636)+1,IF(AND($T637&lt;&gt;"",$T637=$T636),$U636,IF(C637="x",V636,"")))</f>
        <v/>
      </c>
      <c r="W637" t="str" cm="1">
        <f t="array" ref="W637">IFERROR(_xlfn._xlws.FILTER(game_rosters!AB:AB,(game_rosters!J:J=events!X637)*(K637&lt;&gt;"")),"")</f>
        <v/>
      </c>
      <c r="X637" t="str" cm="1">
        <f t="array" ref="X637">IF(S637="","",IF($I637&lt;&gt;"",$I637,INDEX($I$2:$I636,ROW()-COUNTIFS($T$2:$T636,"="&amp;$T637,$S$2:$S636,"&lt;&gt;"&amp;$S637)-1)))</f>
        <v/>
      </c>
      <c r="Z637" s="6"/>
      <c r="AI637" t="str">
        <f t="shared" si="164"/>
        <v/>
      </c>
      <c r="BI637" s="40"/>
      <c r="BL637" s="40"/>
      <c r="BN637" s="19"/>
      <c r="BP637" s="17"/>
    </row>
    <row r="638" spans="1:68" x14ac:dyDescent="0.2">
      <c r="A638" t="str">
        <f t="shared" si="162"/>
        <v/>
      </c>
      <c r="E638" s="4"/>
      <c r="F638" s="45"/>
      <c r="G638" s="4"/>
      <c r="H638" s="48"/>
      <c r="J638" s="46" t="str">
        <f t="shared" si="163"/>
        <v/>
      </c>
      <c r="N638" t="str">
        <f t="shared" si="166"/>
        <v/>
      </c>
      <c r="Q638" t="str">
        <f t="shared" si="165"/>
        <v/>
      </c>
      <c r="S638" t="str">
        <f>IF(A638=1,MAX(S$2:S637)+1,IF(OR(I638&lt;&gt;"",A638="x"),S637,""))</f>
        <v/>
      </c>
      <c r="T638" t="str">
        <f>IF(D638=1,MAX($T$2:$T637)+1,IF(S638=$S637,$S637,IF($D638="x",T637,IF($D637="x","",""))))</f>
        <v/>
      </c>
      <c r="U638" t="str">
        <f>IF(B638=1,MAX($U$2:$U637)+1,IF(AND($T638&lt;&gt;"",$T638=$T637),$U637,IF(B638="x",U637,"")))</f>
        <v/>
      </c>
      <c r="V638" t="str">
        <f>IF(C638=1,MAX($V$2:$V637)+1,IF(AND($T638&lt;&gt;"",$T638=$T637),$U637,IF(C638="x",V637,"")))</f>
        <v/>
      </c>
      <c r="W638" t="str" cm="1">
        <f t="array" ref="W638">IFERROR(_xlfn._xlws.FILTER(game_rosters!AB:AB,(game_rosters!J:J=events!X638)*(K638&lt;&gt;"")),"")</f>
        <v/>
      </c>
      <c r="X638" t="str" cm="1">
        <f t="array" ref="X638">IF(S638="","",IF($I638&lt;&gt;"",$I638,INDEX($I$2:$I637,ROW()-COUNTIFS($T$2:$T637,"="&amp;$T638,$S$2:$S637,"&lt;&gt;"&amp;$S638)-1)))</f>
        <v/>
      </c>
      <c r="Z638" s="6"/>
      <c r="AI638" t="str">
        <f t="shared" si="164"/>
        <v/>
      </c>
      <c r="BI638" s="40"/>
      <c r="BL638" s="40"/>
      <c r="BN638" s="19"/>
      <c r="BP638" s="17"/>
    </row>
    <row r="639" spans="1:68" x14ac:dyDescent="0.2">
      <c r="A639" t="str">
        <f t="shared" si="162"/>
        <v/>
      </c>
      <c r="E639" s="4"/>
      <c r="F639" s="45"/>
      <c r="G639" s="4"/>
      <c r="H639" s="48"/>
      <c r="J639" s="46" t="str">
        <f t="shared" si="163"/>
        <v/>
      </c>
      <c r="N639" t="str">
        <f t="shared" si="166"/>
        <v/>
      </c>
      <c r="Q639" t="str">
        <f t="shared" si="165"/>
        <v/>
      </c>
      <c r="S639" t="str">
        <f>IF(A639=1,MAX(S$2:S638)+1,IF(OR(I639&lt;&gt;"",A639="x"),S638,""))</f>
        <v/>
      </c>
      <c r="T639" t="str">
        <f>IF(D639=1,MAX($T$2:$T638)+1,IF(S639=$S638,$S638,IF($D639="x",T638,IF($D638="x","",""))))</f>
        <v/>
      </c>
      <c r="U639" t="str">
        <f>IF(B639=1,MAX($U$2:$U638)+1,IF(AND($T639&lt;&gt;"",$T639=$T638),$U638,IF(B639="x",U638,"")))</f>
        <v/>
      </c>
      <c r="V639" t="str">
        <f>IF(C639=1,MAX($V$2:$V638)+1,IF(AND($T639&lt;&gt;"",$T639=$T638),$U638,IF(C639="x",V638,"")))</f>
        <v/>
      </c>
      <c r="W639" t="str" cm="1">
        <f t="array" ref="W639">IFERROR(_xlfn._xlws.FILTER(game_rosters!AB:AB,(game_rosters!J:J=events!X639)*(K639&lt;&gt;"")),"")</f>
        <v/>
      </c>
      <c r="X639" t="str" cm="1">
        <f t="array" ref="X639">IF(S639="","",IF($I639&lt;&gt;"",$I639,INDEX($I$2:$I638,ROW()-COUNTIFS($T$2:$T638,"="&amp;$T639,$S$2:$S638,"&lt;&gt;"&amp;$S639)-1)))</f>
        <v/>
      </c>
      <c r="Z639" s="6"/>
      <c r="AI639" t="str">
        <f t="shared" si="164"/>
        <v/>
      </c>
      <c r="BI639" s="40"/>
      <c r="BL639" s="40"/>
      <c r="BN639" s="19"/>
      <c r="BP639" s="17"/>
    </row>
    <row r="640" spans="1:68" x14ac:dyDescent="0.2">
      <c r="A640" t="str">
        <f t="shared" si="162"/>
        <v/>
      </c>
      <c r="E640" s="4"/>
      <c r="F640" s="45"/>
      <c r="G640" s="4"/>
      <c r="H640" s="48"/>
      <c r="J640" s="46" t="str">
        <f t="shared" si="163"/>
        <v/>
      </c>
      <c r="N640" t="str">
        <f t="shared" si="166"/>
        <v/>
      </c>
      <c r="Q640" t="str">
        <f t="shared" si="165"/>
        <v/>
      </c>
      <c r="S640" t="str">
        <f>IF(A640=1,MAX(S$2:S639)+1,IF(OR(I640&lt;&gt;"",A640="x"),S639,""))</f>
        <v/>
      </c>
      <c r="T640" t="str">
        <f>IF(D640=1,MAX($T$2:$T639)+1,IF(S640=$S639,$S639,IF($D640="x",T639,IF($D639="x","",""))))</f>
        <v/>
      </c>
      <c r="U640" t="str">
        <f>IF(B640=1,MAX($U$2:$U639)+1,IF(AND($T640&lt;&gt;"",$T640=$T639),$U639,IF(B640="x",U639,"")))</f>
        <v/>
      </c>
      <c r="V640" t="str">
        <f>IF(C640=1,MAX($V$2:$V639)+1,IF(AND($T640&lt;&gt;"",$T640=$T639),$U639,IF(C640="x",V639,"")))</f>
        <v/>
      </c>
      <c r="W640" t="str" cm="1">
        <f t="array" ref="W640">IFERROR(_xlfn._xlws.FILTER(game_rosters!AB:AB,(game_rosters!J:J=events!X640)*(K640&lt;&gt;"")),"")</f>
        <v/>
      </c>
      <c r="X640" t="str" cm="1">
        <f t="array" ref="X640">IF(S640="","",IF($I640&lt;&gt;"",$I640,INDEX($I$2:$I639,ROW()-COUNTIFS($T$2:$T639,"="&amp;$T640,$S$2:$S639,"&lt;&gt;"&amp;$S640)-1)))</f>
        <v/>
      </c>
      <c r="Z640" s="6"/>
      <c r="AI640" t="str">
        <f t="shared" si="164"/>
        <v/>
      </c>
      <c r="BI640" s="40"/>
      <c r="BL640" s="40"/>
      <c r="BN640" s="19"/>
      <c r="BP640" s="17"/>
    </row>
    <row r="641" spans="1:68" x14ac:dyDescent="0.2">
      <c r="A641" t="str">
        <f t="shared" si="162"/>
        <v/>
      </c>
      <c r="E641" s="4"/>
      <c r="F641" s="45"/>
      <c r="G641" s="4"/>
      <c r="H641" s="48"/>
      <c r="J641" s="46" t="str">
        <f t="shared" si="163"/>
        <v/>
      </c>
      <c r="N641" t="str">
        <f t="shared" si="166"/>
        <v/>
      </c>
      <c r="Q641" t="str">
        <f t="shared" si="165"/>
        <v/>
      </c>
      <c r="S641" t="str">
        <f>IF(A641=1,MAX(S$2:S640)+1,IF(OR(I641&lt;&gt;"",A641="x"),S640,""))</f>
        <v/>
      </c>
      <c r="T641" t="str">
        <f>IF(D641=1,MAX($T$2:$T640)+1,IF(S641=$S640,$S640,IF($D641="x",T640,IF($D640="x","",""))))</f>
        <v/>
      </c>
      <c r="U641" t="str">
        <f>IF(B641=1,MAX($U$2:$U640)+1,IF(AND($T641&lt;&gt;"",$T641=$T640),$U640,IF(B641="x",U640,"")))</f>
        <v/>
      </c>
      <c r="V641" t="str">
        <f>IF(C641=1,MAX($V$2:$V640)+1,IF(AND($T641&lt;&gt;"",$T641=$T640),$U640,IF(C641="x",V640,"")))</f>
        <v/>
      </c>
      <c r="W641" t="str" cm="1">
        <f t="array" ref="W641">IFERROR(_xlfn._xlws.FILTER(game_rosters!AB:AB,(game_rosters!J:J=events!X641)*(K641&lt;&gt;"")),"")</f>
        <v/>
      </c>
      <c r="X641" t="str" cm="1">
        <f t="array" ref="X641">IF(S641="","",IF($I641&lt;&gt;"",$I641,INDEX($I$2:$I640,ROW()-COUNTIFS($T$2:$T640,"="&amp;$T641,$S$2:$S640,"&lt;&gt;"&amp;$S641)-1)))</f>
        <v/>
      </c>
      <c r="Z641" s="6"/>
      <c r="AI641" t="str">
        <f t="shared" si="164"/>
        <v/>
      </c>
      <c r="BI641" s="40"/>
      <c r="BL641" s="40"/>
      <c r="BN641" s="19"/>
      <c r="BP641" s="17"/>
    </row>
    <row r="642" spans="1:68" x14ac:dyDescent="0.2">
      <c r="A642" t="str">
        <f t="shared" si="162"/>
        <v/>
      </c>
      <c r="E642" s="4"/>
      <c r="F642" s="45"/>
      <c r="G642" s="4"/>
      <c r="H642" s="48"/>
      <c r="J642" s="46" t="str">
        <f t="shared" si="163"/>
        <v/>
      </c>
      <c r="N642" t="str">
        <f t="shared" si="166"/>
        <v/>
      </c>
      <c r="Q642" t="str">
        <f t="shared" si="165"/>
        <v/>
      </c>
      <c r="S642" t="str">
        <f>IF(A642=1,MAX(S$2:S641)+1,IF(OR(I642&lt;&gt;"",A642="x"),S641,""))</f>
        <v/>
      </c>
      <c r="T642" t="str">
        <f>IF(D642=1,MAX($T$2:$T641)+1,IF(S642=$S641,$S641,IF($D642="x",T641,IF($D641="x","",""))))</f>
        <v/>
      </c>
      <c r="U642" t="str">
        <f>IF(B642=1,MAX($U$2:$U641)+1,IF(AND($T642&lt;&gt;"",$T642=$T641),$U641,IF(B642="x",U641,"")))</f>
        <v/>
      </c>
      <c r="V642" t="str">
        <f>IF(C642=1,MAX($V$2:$V641)+1,IF(AND($T642&lt;&gt;"",$T642=$T641),$U641,IF(C642="x",V641,"")))</f>
        <v/>
      </c>
      <c r="W642" t="str" cm="1">
        <f t="array" ref="W642">IFERROR(_xlfn._xlws.FILTER(game_rosters!AB:AB,(game_rosters!J:J=events!X642)*(K642&lt;&gt;"")),"")</f>
        <v/>
      </c>
      <c r="X642" t="str" cm="1">
        <f t="array" ref="X642">IF(S642="","",IF($I642&lt;&gt;"",$I642,INDEX($I$2:$I641,ROW()-COUNTIFS($T$2:$T641,"="&amp;$T642,$S$2:$S641,"&lt;&gt;"&amp;$S642)-1)))</f>
        <v/>
      </c>
      <c r="Z642" s="6"/>
      <c r="AI642" t="str">
        <f t="shared" si="164"/>
        <v/>
      </c>
      <c r="BI642" s="40"/>
      <c r="BL642" s="40"/>
      <c r="BN642" s="19"/>
      <c r="BP642" s="17"/>
    </row>
    <row r="643" spans="1:68" x14ac:dyDescent="0.2">
      <c r="A643" t="str">
        <f t="shared" si="162"/>
        <v/>
      </c>
      <c r="E643" s="4"/>
      <c r="F643" s="45"/>
      <c r="G643" s="4"/>
      <c r="H643" s="48"/>
      <c r="J643" s="46" t="str">
        <f t="shared" si="163"/>
        <v/>
      </c>
      <c r="N643" t="str">
        <f t="shared" si="166"/>
        <v/>
      </c>
      <c r="Q643" t="str">
        <f t="shared" si="165"/>
        <v/>
      </c>
      <c r="S643" t="str">
        <f>IF(A643=1,MAX(S$2:S642)+1,IF(OR(I643&lt;&gt;"",A643="x"),S642,""))</f>
        <v/>
      </c>
      <c r="T643" t="str">
        <f>IF(D643=1,MAX($T$2:$T642)+1,IF(S643=$S642,$S642,IF($D643="x",T642,IF($D642="x","",""))))</f>
        <v/>
      </c>
      <c r="U643" t="str">
        <f>IF(B643=1,MAX($U$2:$U642)+1,IF(AND($T643&lt;&gt;"",$T643=$T642),$U642,IF(B643="x",U642,"")))</f>
        <v/>
      </c>
      <c r="V643" t="str">
        <f>IF(C643=1,MAX($V$2:$V642)+1,IF(AND($T643&lt;&gt;"",$T643=$T642),$U642,IF(C643="x",V642,"")))</f>
        <v/>
      </c>
      <c r="W643" t="str" cm="1">
        <f t="array" ref="W643">IFERROR(_xlfn._xlws.FILTER(game_rosters!AB:AB,(game_rosters!J:J=events!X643)*(K643&lt;&gt;"")),"")</f>
        <v/>
      </c>
      <c r="X643" t="str" cm="1">
        <f t="array" ref="X643">IF(S643="","",IF($I643&lt;&gt;"",$I643,INDEX($I$2:$I642,ROW()-COUNTIFS($T$2:$T642,"="&amp;$T643,$S$2:$S642,"&lt;&gt;"&amp;$S643)-1)))</f>
        <v/>
      </c>
      <c r="Z643" s="6"/>
      <c r="AI643" t="str">
        <f t="shared" si="164"/>
        <v/>
      </c>
      <c r="BI643" s="40"/>
      <c r="BL643" s="40"/>
      <c r="BN643" s="19"/>
      <c r="BP643" s="17"/>
    </row>
    <row r="644" spans="1:68" x14ac:dyDescent="0.2">
      <c r="A644" t="str">
        <f t="shared" si="162"/>
        <v/>
      </c>
      <c r="E644" s="4"/>
      <c r="F644" s="45"/>
      <c r="G644" s="4"/>
      <c r="H644" s="48"/>
      <c r="J644" s="46" t="str">
        <f t="shared" si="163"/>
        <v/>
      </c>
      <c r="N644" t="str">
        <f t="shared" si="166"/>
        <v/>
      </c>
      <c r="Q644" t="str">
        <f t="shared" si="165"/>
        <v/>
      </c>
      <c r="S644" t="str">
        <f>IF(A644=1,MAX(S$2:S643)+1,IF(OR(I644&lt;&gt;"",A644="x"),S643,""))</f>
        <v/>
      </c>
      <c r="T644" t="str">
        <f>IF(D644=1,MAX($T$2:$T643)+1,IF(S644=$S643,$S643,IF($D644="x",T643,IF($D643="x","",""))))</f>
        <v/>
      </c>
      <c r="U644" t="str">
        <f>IF(B644=1,MAX($U$2:$U643)+1,IF(AND($T644&lt;&gt;"",$T644=$T643),$U643,IF(B644="x",U643,"")))</f>
        <v/>
      </c>
      <c r="V644" t="str">
        <f>IF(C644=1,MAX($V$2:$V643)+1,IF(AND($T644&lt;&gt;"",$T644=$T643),$U643,IF(C644="x",V643,"")))</f>
        <v/>
      </c>
      <c r="W644" t="str" cm="1">
        <f t="array" ref="W644">IFERROR(_xlfn._xlws.FILTER(game_rosters!AB:AB,(game_rosters!J:J=events!X644)*(K644&lt;&gt;"")),"")</f>
        <v/>
      </c>
      <c r="X644" t="str" cm="1">
        <f t="array" ref="X644">IF(S644="","",IF($I644&lt;&gt;"",$I644,INDEX($I$2:$I643,ROW()-COUNTIFS($T$2:$T643,"="&amp;$T644,$S$2:$S643,"&lt;&gt;"&amp;$S644)-1)))</f>
        <v/>
      </c>
      <c r="Z644" s="6"/>
      <c r="AI644" t="str">
        <f t="shared" si="164"/>
        <v/>
      </c>
      <c r="BI644" s="40"/>
      <c r="BL644" s="40"/>
      <c r="BN644" s="19"/>
      <c r="BP644" s="17"/>
    </row>
    <row r="645" spans="1:68" x14ac:dyDescent="0.2">
      <c r="A645" t="str">
        <f t="shared" ref="A645:A708" si="167">IF(K645&lt;&gt;"",1,IF(D645="x","x",""))</f>
        <v/>
      </c>
      <c r="E645" s="4"/>
      <c r="F645" s="45"/>
      <c r="G645" s="4"/>
      <c r="H645" s="48"/>
      <c r="J645" s="46" t="str">
        <f t="shared" si="163"/>
        <v/>
      </c>
      <c r="N645" t="str">
        <f t="shared" si="166"/>
        <v/>
      </c>
      <c r="Q645" t="str">
        <f t="shared" si="165"/>
        <v/>
      </c>
      <c r="S645" t="str">
        <f>IF(A645=1,MAX(S$2:S644)+1,IF(OR(I645&lt;&gt;"",A645="x"),S644,""))</f>
        <v/>
      </c>
      <c r="T645" t="str">
        <f>IF(D645=1,MAX($T$2:$T644)+1,IF(S645=$S644,$S644,IF($D645="x",T644,IF($D644="x","",""))))</f>
        <v/>
      </c>
      <c r="U645" t="str">
        <f>IF(B645=1,MAX($U$2:$U644)+1,IF(AND($T645&lt;&gt;"",$T645=$T644),$U644,IF(B645="x",U644,"")))</f>
        <v/>
      </c>
      <c r="V645" t="str">
        <f>IF(C645=1,MAX($V$2:$V644)+1,IF(AND($T645&lt;&gt;"",$T645=$T644),$U644,IF(C645="x",V644,"")))</f>
        <v/>
      </c>
      <c r="W645" t="str" cm="1">
        <f t="array" ref="W645">IFERROR(_xlfn._xlws.FILTER(game_rosters!AB:AB,(game_rosters!J:J=events!X645)*(K645&lt;&gt;"")),"")</f>
        <v/>
      </c>
      <c r="X645" t="str" cm="1">
        <f t="array" ref="X645">IF(S645="","",IF($I645&lt;&gt;"",$I645,INDEX($I$2:$I644,ROW()-COUNTIFS($T$2:$T644,"="&amp;$T645,$S$2:$S644,"&lt;&gt;"&amp;$S645)-1)))</f>
        <v/>
      </c>
      <c r="Z645" s="6"/>
      <c r="AI645" t="str">
        <f t="shared" si="164"/>
        <v/>
      </c>
      <c r="BI645" s="40"/>
      <c r="BL645" s="40"/>
      <c r="BN645" s="19"/>
      <c r="BP645" s="17"/>
    </row>
    <row r="646" spans="1:68" x14ac:dyDescent="0.2">
      <c r="A646" t="str">
        <f t="shared" si="167"/>
        <v/>
      </c>
      <c r="E646" s="4"/>
      <c r="F646" s="45"/>
      <c r="G646" s="4"/>
      <c r="H646" s="48"/>
      <c r="J646" s="46" t="str">
        <f t="shared" ref="J646:J709" si="168">IF(OR(K646="Goal",K646="Shot",L646="Zone_Entry",M646="Stoppage-Goal",M645="Stoppage-Goal"),"o",IF(OR(K646="Save",K646="Rebound",L646="Zone_Exit",M646="Stoppage-GoalieStoppage",M645="Stoppage-GoalieStoppage"),"d",IF(OR(L646="Faceoff_AfterGoal",L646="Faceoff_PeriodStart",698="Faceoff_GameStart",M645="Stoppage-Goal"),"n","")))</f>
        <v/>
      </c>
      <c r="N646" t="str">
        <f t="shared" si="166"/>
        <v/>
      </c>
      <c r="Q646" t="str">
        <f t="shared" si="165"/>
        <v/>
      </c>
      <c r="S646" t="str">
        <f>IF(A646=1,MAX(S$2:S645)+1,IF(OR(I646&lt;&gt;"",A646="x"),S645,""))</f>
        <v/>
      </c>
      <c r="T646" t="str">
        <f>IF(D646=1,MAX($T$2:$T645)+1,IF(S646=$S645,$S645,IF($D646="x",T645,IF($D645="x","",""))))</f>
        <v/>
      </c>
      <c r="U646" t="str">
        <f>IF(B646=1,MAX($U$2:$U645)+1,IF(AND($T646&lt;&gt;"",$T646=$T645),$U645,IF(B646="x",U645,"")))</f>
        <v/>
      </c>
      <c r="V646" t="str">
        <f>IF(C646=1,MAX($V$2:$V645)+1,IF(AND($T646&lt;&gt;"",$T646=$T645),$U645,IF(C646="x",V645,"")))</f>
        <v/>
      </c>
      <c r="W646" t="str" cm="1">
        <f t="array" ref="W646">IFERROR(_xlfn._xlws.FILTER(game_rosters!AB:AB,(game_rosters!J:J=events!X646)*(K646&lt;&gt;"")),"")</f>
        <v/>
      </c>
      <c r="X646" t="str" cm="1">
        <f t="array" ref="X646">IF(S646="","",IF($I646&lt;&gt;"",$I646,INDEX($I$2:$I645,ROW()-COUNTIFS($T$2:$T645,"="&amp;$T646,$S$2:$S645,"&lt;&gt;"&amp;$S646)-1)))</f>
        <v/>
      </c>
      <c r="Z646" s="6"/>
      <c r="AI646" t="str">
        <f t="shared" ref="AI646:AI709" si="169">IF($J646&lt;&gt;"",$J646,IF($AC646=$AC645,AI645,""))</f>
        <v/>
      </c>
      <c r="BI646" s="40"/>
      <c r="BL646" s="40"/>
      <c r="BN646" s="19"/>
      <c r="BP646" s="17"/>
    </row>
    <row r="647" spans="1:68" x14ac:dyDescent="0.2">
      <c r="A647" t="str">
        <f t="shared" si="167"/>
        <v/>
      </c>
      <c r="E647" s="4"/>
      <c r="F647" s="45"/>
      <c r="G647" s="4"/>
      <c r="H647" s="48"/>
      <c r="J647" s="46" t="str">
        <f t="shared" si="168"/>
        <v/>
      </c>
      <c r="N647" t="str">
        <f t="shared" si="166"/>
        <v/>
      </c>
      <c r="Q647" t="str">
        <f t="shared" si="165"/>
        <v/>
      </c>
      <c r="S647" t="str">
        <f>IF(A647=1,MAX(S$2:S646)+1,IF(OR(I647&lt;&gt;"",A647="x"),S646,""))</f>
        <v/>
      </c>
      <c r="T647" t="str">
        <f>IF(D647=1,MAX($T$2:$T646)+1,IF(S647=$S646,$S646,IF($D647="x",T646,IF($D646="x","",""))))</f>
        <v/>
      </c>
      <c r="U647" t="str">
        <f>IF(B647=1,MAX($U$2:$U646)+1,IF(AND($T647&lt;&gt;"",$T647=$T646),$U646,IF(B647="x",U646,"")))</f>
        <v/>
      </c>
      <c r="V647" t="str">
        <f>IF(C647=1,MAX($V$2:$V646)+1,IF(AND($T647&lt;&gt;"",$T647=$T646),$U646,IF(C647="x",V646,"")))</f>
        <v/>
      </c>
      <c r="W647" t="str" cm="1">
        <f t="array" ref="W647">IFERROR(_xlfn._xlws.FILTER(game_rosters!AB:AB,(game_rosters!J:J=events!X647)*(K647&lt;&gt;"")),"")</f>
        <v/>
      </c>
      <c r="X647" t="str" cm="1">
        <f t="array" ref="X647">IF(S647="","",IF($I647&lt;&gt;"",$I647,INDEX($I$2:$I646,ROW()-COUNTIFS($T$2:$T646,"="&amp;$T647,$S$2:$S646,"&lt;&gt;"&amp;$S647)-1)))</f>
        <v/>
      </c>
      <c r="Z647" s="6"/>
      <c r="AI647" t="str">
        <f t="shared" si="169"/>
        <v/>
      </c>
      <c r="BI647" s="40"/>
      <c r="BL647" s="40"/>
      <c r="BN647" s="19"/>
      <c r="BP647" s="17"/>
    </row>
    <row r="648" spans="1:68" x14ac:dyDescent="0.2">
      <c r="A648" t="str">
        <f t="shared" si="167"/>
        <v/>
      </c>
      <c r="E648" s="4"/>
      <c r="F648" s="45"/>
      <c r="G648" s="4"/>
      <c r="H648" s="48"/>
      <c r="J648" s="46" t="str">
        <f t="shared" si="168"/>
        <v/>
      </c>
      <c r="N648" t="str">
        <f t="shared" si="166"/>
        <v/>
      </c>
      <c r="Q648" t="str">
        <f t="shared" si="165"/>
        <v/>
      </c>
      <c r="S648" t="str">
        <f>IF(A648=1,MAX(S$2:S647)+1,IF(OR(I648&lt;&gt;"",A648="x"),S647,""))</f>
        <v/>
      </c>
      <c r="T648" t="str">
        <f>IF(D648=1,MAX($T$2:$T647)+1,IF(S648=$S647,$S647,IF($D648="x",T647,IF($D647="x","",""))))</f>
        <v/>
      </c>
      <c r="U648" t="str">
        <f>IF(B648=1,MAX($U$2:$U647)+1,IF(AND($T648&lt;&gt;"",$T648=$T647),$U647,IF(B648="x",U647,"")))</f>
        <v/>
      </c>
      <c r="V648" t="str">
        <f>IF(C648=1,MAX($V$2:$V647)+1,IF(AND($T648&lt;&gt;"",$T648=$T647),$U647,IF(C648="x",V647,"")))</f>
        <v/>
      </c>
      <c r="W648" t="str" cm="1">
        <f t="array" ref="W648">IFERROR(_xlfn._xlws.FILTER(game_rosters!AB:AB,(game_rosters!J:J=events!X648)*(K648&lt;&gt;"")),"")</f>
        <v/>
      </c>
      <c r="X648" t="str" cm="1">
        <f t="array" ref="X648">IF(S648="","",IF($I648&lt;&gt;"",$I648,INDEX($I$2:$I647,ROW()-COUNTIFS($T$2:$T647,"="&amp;$T648,$S$2:$S647,"&lt;&gt;"&amp;$S648)-1)))</f>
        <v/>
      </c>
      <c r="Z648" s="6"/>
      <c r="AI648" t="str">
        <f t="shared" si="169"/>
        <v/>
      </c>
      <c r="BI648" s="40"/>
      <c r="BL648" s="40"/>
      <c r="BN648" s="19"/>
      <c r="BP648" s="17"/>
    </row>
    <row r="649" spans="1:68" x14ac:dyDescent="0.2">
      <c r="A649" t="str">
        <f t="shared" si="167"/>
        <v/>
      </c>
      <c r="E649" s="4"/>
      <c r="F649" s="45"/>
      <c r="G649" s="4"/>
      <c r="H649" s="48"/>
      <c r="J649" s="46" t="str">
        <f t="shared" si="168"/>
        <v/>
      </c>
      <c r="N649" t="str">
        <f t="shared" si="166"/>
        <v/>
      </c>
      <c r="Q649" t="str">
        <f t="shared" si="165"/>
        <v/>
      </c>
      <c r="S649" t="str">
        <f>IF(A649=1,MAX(S$2:S648)+1,IF(OR(I649&lt;&gt;"",A649="x"),S648,""))</f>
        <v/>
      </c>
      <c r="T649" t="str">
        <f>IF(D649=1,MAX($T$2:$T648)+1,IF(S649=$S648,$S648,IF($D649="x",T648,IF($D648="x","",""))))</f>
        <v/>
      </c>
      <c r="U649" t="str">
        <f>IF(B649=1,MAX($U$2:$U648)+1,IF(AND($T649&lt;&gt;"",$T649=$T648),$U648,IF(B649="x",U648,"")))</f>
        <v/>
      </c>
      <c r="V649" t="str">
        <f>IF(C649=1,MAX($V$2:$V648)+1,IF(AND($T649&lt;&gt;"",$T649=$T648),$U648,IF(C649="x",V648,"")))</f>
        <v/>
      </c>
      <c r="W649" t="str" cm="1">
        <f t="array" ref="W649">IFERROR(_xlfn._xlws.FILTER(game_rosters!AB:AB,(game_rosters!J:J=events!X649)*(K649&lt;&gt;"")),"")</f>
        <v/>
      </c>
      <c r="X649" t="str" cm="1">
        <f t="array" ref="X649">IF(S649="","",IF($I649&lt;&gt;"",$I649,INDEX($I$2:$I648,ROW()-COUNTIFS($T$2:$T648,"="&amp;$T649,$S$2:$S648,"&lt;&gt;"&amp;$S649)-1)))</f>
        <v/>
      </c>
      <c r="Z649" s="6"/>
      <c r="AI649" t="str">
        <f t="shared" si="169"/>
        <v/>
      </c>
      <c r="BI649" s="40"/>
      <c r="BL649" s="40"/>
      <c r="BN649" s="19"/>
      <c r="BP649" s="17"/>
    </row>
    <row r="650" spans="1:68" x14ac:dyDescent="0.2">
      <c r="A650" t="str">
        <f t="shared" si="167"/>
        <v/>
      </c>
      <c r="E650" s="4"/>
      <c r="F650" s="45"/>
      <c r="G650" s="4"/>
      <c r="H650" s="48"/>
      <c r="J650" s="46" t="str">
        <f t="shared" si="168"/>
        <v/>
      </c>
      <c r="N650" t="str">
        <f t="shared" si="166"/>
        <v/>
      </c>
      <c r="Q650" t="str">
        <f t="shared" si="165"/>
        <v/>
      </c>
      <c r="S650" t="str">
        <f>IF(A650=1,MAX(S$2:S649)+1,IF(OR(I650&lt;&gt;"",A650="x"),S649,""))</f>
        <v/>
      </c>
      <c r="T650" t="str">
        <f>IF(D650=1,MAX($T$2:$T649)+1,IF(S650=$S649,$S649,IF($D650="x",T649,IF($D649="x","",""))))</f>
        <v/>
      </c>
      <c r="U650" t="str">
        <f>IF(B650=1,MAX($U$2:$U649)+1,IF(AND($T650&lt;&gt;"",$T650=$T649),$U649,IF(B650="x",U649,"")))</f>
        <v/>
      </c>
      <c r="V650" t="str">
        <f>IF(C650=1,MAX($V$2:$V649)+1,IF(AND($T650&lt;&gt;"",$T650=$T649),$U649,IF(C650="x",V649,"")))</f>
        <v/>
      </c>
      <c r="W650" t="str" cm="1">
        <f t="array" ref="W650">IFERROR(_xlfn._xlws.FILTER(game_rosters!AB:AB,(game_rosters!J:J=events!X650)*(K650&lt;&gt;"")),"")</f>
        <v/>
      </c>
      <c r="X650" t="str" cm="1">
        <f t="array" ref="X650">IF(S650="","",IF($I650&lt;&gt;"",$I650,INDEX($I$2:$I649,ROW()-COUNTIFS($T$2:$T649,"="&amp;$T650,$S$2:$S649,"&lt;&gt;"&amp;$S650)-1)))</f>
        <v/>
      </c>
      <c r="Z650" s="6"/>
      <c r="AI650" t="str">
        <f t="shared" si="169"/>
        <v/>
      </c>
      <c r="BI650" s="40"/>
      <c r="BL650" s="40"/>
      <c r="BN650" s="19"/>
      <c r="BP650" s="17"/>
    </row>
    <row r="651" spans="1:68" x14ac:dyDescent="0.2">
      <c r="A651" t="str">
        <f t="shared" si="167"/>
        <v/>
      </c>
      <c r="E651" s="4"/>
      <c r="F651" s="45"/>
      <c r="G651" s="4"/>
      <c r="H651" s="48"/>
      <c r="J651" s="46" t="str">
        <f t="shared" si="168"/>
        <v/>
      </c>
      <c r="N651" t="str">
        <f t="shared" si="166"/>
        <v/>
      </c>
      <c r="Q651" t="str">
        <f t="shared" si="165"/>
        <v/>
      </c>
      <c r="S651" t="str">
        <f>IF(A651=1,MAX(S$2:S650)+1,IF(OR(I651&lt;&gt;"",A651="x"),S650,""))</f>
        <v/>
      </c>
      <c r="T651" t="str">
        <f>IF(D651=1,MAX($T$2:$T650)+1,IF(S651=$S650,$S650,IF($D651="x",T650,IF($D650="x","",""))))</f>
        <v/>
      </c>
      <c r="U651" t="str">
        <f>IF(B651=1,MAX($U$2:$U650)+1,IF(AND($T651&lt;&gt;"",$T651=$T650),$U650,IF(B651="x",U650,"")))</f>
        <v/>
      </c>
      <c r="V651" t="str">
        <f>IF(C651=1,MAX($V$2:$V650)+1,IF(AND($T651&lt;&gt;"",$T651=$T650),$U650,IF(C651="x",V650,"")))</f>
        <v/>
      </c>
      <c r="W651" t="str" cm="1">
        <f t="array" ref="W651">IFERROR(_xlfn._xlws.FILTER(game_rosters!AB:AB,(game_rosters!J:J=events!X651)*(K651&lt;&gt;"")),"")</f>
        <v/>
      </c>
      <c r="X651" t="str" cm="1">
        <f t="array" ref="X651">IF(S651="","",IF($I651&lt;&gt;"",$I651,INDEX($I$2:$I650,ROW()-COUNTIFS($T$2:$T650,"="&amp;$T651,$S$2:$S650,"&lt;&gt;"&amp;$S651)-1)))</f>
        <v/>
      </c>
      <c r="Z651" s="6"/>
      <c r="AI651" t="str">
        <f t="shared" si="169"/>
        <v/>
      </c>
      <c r="BI651" s="40"/>
      <c r="BL651" s="40"/>
      <c r="BN651" s="19"/>
      <c r="BP651" s="17"/>
    </row>
    <row r="652" spans="1:68" x14ac:dyDescent="0.2">
      <c r="A652" t="str">
        <f t="shared" si="167"/>
        <v/>
      </c>
      <c r="E652" s="4"/>
      <c r="F652" s="45"/>
      <c r="G652" s="4"/>
      <c r="H652" s="48"/>
      <c r="J652" s="46" t="str">
        <f t="shared" si="168"/>
        <v/>
      </c>
      <c r="N652" t="str">
        <f t="shared" si="166"/>
        <v/>
      </c>
      <c r="Q652" t="str">
        <f t="shared" si="165"/>
        <v/>
      </c>
      <c r="S652" t="str">
        <f>IF(A652=1,MAX(S$2:S651)+1,IF(OR(I652&lt;&gt;"",A652="x"),S651,""))</f>
        <v/>
      </c>
      <c r="T652" t="str">
        <f>IF(D652=1,MAX($T$2:$T651)+1,IF(S652=$S651,$S651,IF($D652="x",T651,IF($D651="x","",""))))</f>
        <v/>
      </c>
      <c r="U652" t="str">
        <f>IF(B652=1,MAX($U$2:$U651)+1,IF(AND($T652&lt;&gt;"",$T652=$T651),$U651,IF(B652="x",U651,"")))</f>
        <v/>
      </c>
      <c r="V652" t="str">
        <f>IF(C652=1,MAX($V$2:$V651)+1,IF(AND($T652&lt;&gt;"",$T652=$T651),$U651,IF(C652="x",V651,"")))</f>
        <v/>
      </c>
      <c r="W652" t="str" cm="1">
        <f t="array" ref="W652">IFERROR(_xlfn._xlws.FILTER(game_rosters!AB:AB,(game_rosters!J:J=events!X652)*(K652&lt;&gt;"")),"")</f>
        <v/>
      </c>
      <c r="X652" t="str" cm="1">
        <f t="array" ref="X652">IF(S652="","",IF($I652&lt;&gt;"",$I652,INDEX($I$2:$I651,ROW()-COUNTIFS($T$2:$T651,"="&amp;$T652,$S$2:$S651,"&lt;&gt;"&amp;$S652)-1)))</f>
        <v/>
      </c>
      <c r="Z652" s="6"/>
      <c r="AI652" t="str">
        <f t="shared" si="169"/>
        <v/>
      </c>
      <c r="BI652" s="40"/>
      <c r="BL652" s="40"/>
      <c r="BN652" s="19"/>
      <c r="BP652" s="17"/>
    </row>
    <row r="653" spans="1:68" x14ac:dyDescent="0.2">
      <c r="A653" t="str">
        <f t="shared" si="167"/>
        <v/>
      </c>
      <c r="E653" s="4"/>
      <c r="F653" s="45"/>
      <c r="G653" s="4"/>
      <c r="H653" s="48"/>
      <c r="J653" s="46" t="str">
        <f t="shared" si="168"/>
        <v/>
      </c>
      <c r="N653" t="str">
        <f t="shared" si="166"/>
        <v/>
      </c>
      <c r="Q653" t="str">
        <f t="shared" si="165"/>
        <v/>
      </c>
      <c r="S653" t="str">
        <f>IF(A653=1,MAX(S$2:S652)+1,IF(OR(I653&lt;&gt;"",A653="x"),S652,""))</f>
        <v/>
      </c>
      <c r="T653" t="str">
        <f>IF(D653=1,MAX($T$2:$T652)+1,IF(S653=$S652,$S652,IF($D653="x",T652,IF($D652="x","",""))))</f>
        <v/>
      </c>
      <c r="U653" t="str">
        <f>IF(B653=1,MAX($U$2:$U652)+1,IF(AND($T653&lt;&gt;"",$T653=$T652),$U652,IF(B653="x",U652,"")))</f>
        <v/>
      </c>
      <c r="V653" t="str">
        <f>IF(C653=1,MAX($V$2:$V652)+1,IF(AND($T653&lt;&gt;"",$T653=$T652),$U652,IF(C653="x",V652,"")))</f>
        <v/>
      </c>
      <c r="W653" t="str" cm="1">
        <f t="array" ref="W653">IFERROR(_xlfn._xlws.FILTER(game_rosters!AB:AB,(game_rosters!J:J=events!X653)*(K653&lt;&gt;"")),"")</f>
        <v/>
      </c>
      <c r="X653" t="str" cm="1">
        <f t="array" ref="X653">IF(S653="","",IF($I653&lt;&gt;"",$I653,INDEX($I$2:$I652,ROW()-COUNTIFS($T$2:$T652,"="&amp;$T653,$S$2:$S652,"&lt;&gt;"&amp;$S653)-1)))</f>
        <v/>
      </c>
      <c r="Z653" s="6"/>
      <c r="AI653" t="str">
        <f t="shared" si="169"/>
        <v/>
      </c>
      <c r="BI653" s="40"/>
      <c r="BL653" s="40"/>
      <c r="BN653" s="19"/>
      <c r="BP653" s="17"/>
    </row>
    <row r="654" spans="1:68" x14ac:dyDescent="0.2">
      <c r="A654" t="str">
        <f t="shared" si="167"/>
        <v/>
      </c>
      <c r="E654" s="4"/>
      <c r="F654" s="45"/>
      <c r="G654" s="4"/>
      <c r="H654" s="48"/>
      <c r="J654" s="46" t="str">
        <f t="shared" si="168"/>
        <v/>
      </c>
      <c r="N654" t="str">
        <f t="shared" si="166"/>
        <v/>
      </c>
      <c r="Q654" t="str">
        <f t="shared" si="165"/>
        <v/>
      </c>
      <c r="S654" t="str">
        <f>IF(A654=1,MAX(S$2:S653)+1,IF(OR(I654&lt;&gt;"",A654="x"),S653,""))</f>
        <v/>
      </c>
      <c r="T654" t="str">
        <f>IF(D654=1,MAX($T$2:$T653)+1,IF(S654=$S653,$S653,IF($D654="x",T653,IF($D653="x","",""))))</f>
        <v/>
      </c>
      <c r="U654" t="str">
        <f>IF(B654=1,MAX($U$2:$U653)+1,IF(AND($T654&lt;&gt;"",$T654=$T653),$U653,IF(B654="x",U653,"")))</f>
        <v/>
      </c>
      <c r="V654" t="str">
        <f>IF(C654=1,MAX($V$2:$V653)+1,IF(AND($T654&lt;&gt;"",$T654=$T653),$U653,IF(C654="x",V653,"")))</f>
        <v/>
      </c>
      <c r="W654" t="str" cm="1">
        <f t="array" ref="W654">IFERROR(_xlfn._xlws.FILTER(game_rosters!AB:AB,(game_rosters!J:J=events!X654)*(K654&lt;&gt;"")),"")</f>
        <v/>
      </c>
      <c r="X654" t="str" cm="1">
        <f t="array" ref="X654">IF(S654="","",IF($I654&lt;&gt;"",$I654,INDEX($I$2:$I653,ROW()-COUNTIFS($T$2:$T653,"="&amp;$T654,$S$2:$S653,"&lt;&gt;"&amp;$S654)-1)))</f>
        <v/>
      </c>
      <c r="Z654" s="6"/>
      <c r="AI654" t="str">
        <f t="shared" si="169"/>
        <v/>
      </c>
      <c r="BI654" s="40"/>
      <c r="BL654" s="40"/>
      <c r="BN654" s="19"/>
      <c r="BP654" s="17"/>
    </row>
    <row r="655" spans="1:68" x14ac:dyDescent="0.2">
      <c r="A655" t="str">
        <f t="shared" si="167"/>
        <v/>
      </c>
      <c r="E655" s="4"/>
      <c r="F655" s="45"/>
      <c r="G655" s="4"/>
      <c r="H655" s="48"/>
      <c r="J655" s="46" t="str">
        <f t="shared" si="168"/>
        <v/>
      </c>
      <c r="N655" t="str">
        <f t="shared" si="166"/>
        <v/>
      </c>
      <c r="Q655" t="str">
        <f t="shared" si="165"/>
        <v/>
      </c>
      <c r="S655" t="str">
        <f>IF(A655=1,MAX(S$2:S654)+1,IF(OR(I655&lt;&gt;"",A655="x"),S654,""))</f>
        <v/>
      </c>
      <c r="T655" t="str">
        <f>IF(D655=1,MAX($T$2:$T654)+1,IF(S655=$S654,$S654,IF($D655="x",T654,IF($D654="x","",""))))</f>
        <v/>
      </c>
      <c r="U655" t="str">
        <f>IF(B655=1,MAX($U$2:$U654)+1,IF(AND($T655&lt;&gt;"",$T655=$T654),$U654,IF(B655="x",U654,"")))</f>
        <v/>
      </c>
      <c r="V655" t="str">
        <f>IF(C655=1,MAX($V$2:$V654)+1,IF(AND($T655&lt;&gt;"",$T655=$T654),$U654,IF(C655="x",V654,"")))</f>
        <v/>
      </c>
      <c r="W655" t="str" cm="1">
        <f t="array" ref="W655">IFERROR(_xlfn._xlws.FILTER(game_rosters!AB:AB,(game_rosters!J:J=events!X655)*(K655&lt;&gt;"")),"")</f>
        <v/>
      </c>
      <c r="X655" t="str" cm="1">
        <f t="array" ref="X655">IF(S655="","",IF($I655&lt;&gt;"",$I655,INDEX($I$2:$I654,ROW()-COUNTIFS($T$2:$T654,"="&amp;$T655,$S$2:$S654,"&lt;&gt;"&amp;$S655)-1)))</f>
        <v/>
      </c>
      <c r="Z655" s="6"/>
      <c r="AI655" t="str">
        <f t="shared" si="169"/>
        <v/>
      </c>
      <c r="BI655" s="40"/>
      <c r="BL655" s="40"/>
      <c r="BN655" s="19"/>
      <c r="BP655" s="17"/>
    </row>
    <row r="656" spans="1:68" x14ac:dyDescent="0.2">
      <c r="A656" t="str">
        <f t="shared" si="167"/>
        <v/>
      </c>
      <c r="E656" s="4"/>
      <c r="F656" s="45"/>
      <c r="G656" s="4"/>
      <c r="H656" s="48"/>
      <c r="J656" s="46" t="str">
        <f t="shared" si="168"/>
        <v/>
      </c>
      <c r="N656" t="str">
        <f t="shared" si="166"/>
        <v/>
      </c>
      <c r="Q656" t="str">
        <f t="shared" ref="Q656:Q719" si="170">IF(O656="","",IF(AND(N656&lt;&gt;"",OR(O656&lt;&gt;"",P656&lt;&gt;"")),N656,IF(OR(ISNUMBER(SEARCH("attemp",O656)),ISNUMBER(SEARCH("beat",O656)),ISNUMBER(SEARCH("mis",O656)),ISNUMBER(SEARCH("fail",O656)),ISNUMBER(SEARCH("loss",O656)),ISNUMBER(SEARCH("lost",O656)),ISNUMBER(SEARCH("attemp",P656)),ISNUMBER(SEARCH("mis",P656)),ISNUMBER(SEARCH("fail",P656)),ISNUMBER(SEARCH("loss",P656)),ISNUMBER(SEARCH("beat",P656)),ISNUMBER(SEARCH("lost",P656))),"u","")))</f>
        <v/>
      </c>
      <c r="S656" t="str">
        <f>IF(A656=1,MAX(S$2:S655)+1,IF(OR(I656&lt;&gt;"",A656="x"),S655,""))</f>
        <v/>
      </c>
      <c r="T656" t="str">
        <f>IF(D656=1,MAX($T$2:$T655)+1,IF(S656=$S655,$S655,IF($D656="x",T655,IF($D655="x","",""))))</f>
        <v/>
      </c>
      <c r="U656" t="str">
        <f>IF(B656=1,MAX($U$2:$U655)+1,IF(AND($T656&lt;&gt;"",$T656=$T655),$U655,IF(B656="x",U655,"")))</f>
        <v/>
      </c>
      <c r="V656" t="str">
        <f>IF(C656=1,MAX($V$2:$V655)+1,IF(AND($T656&lt;&gt;"",$T656=$T655),$U655,IF(C656="x",V655,"")))</f>
        <v/>
      </c>
      <c r="W656" t="str" cm="1">
        <f t="array" ref="W656">IFERROR(_xlfn._xlws.FILTER(game_rosters!AB:AB,(game_rosters!J:J=events!X656)*(K656&lt;&gt;"")),"")</f>
        <v/>
      </c>
      <c r="X656" t="str" cm="1">
        <f t="array" ref="X656">IF(S656="","",IF($I656&lt;&gt;"",$I656,INDEX($I$2:$I655,ROW()-COUNTIFS($T$2:$T655,"="&amp;$T656,$S$2:$S655,"&lt;&gt;"&amp;$S656)-1)))</f>
        <v/>
      </c>
      <c r="Z656" s="6"/>
      <c r="AI656" t="str">
        <f t="shared" si="169"/>
        <v/>
      </c>
      <c r="BI656" s="40"/>
      <c r="BL656" s="40"/>
      <c r="BN656" s="19"/>
      <c r="BP656" s="17"/>
    </row>
    <row r="657" spans="1:68" x14ac:dyDescent="0.2">
      <c r="A657" t="str">
        <f t="shared" si="167"/>
        <v/>
      </c>
      <c r="E657" s="4"/>
      <c r="F657" s="45"/>
      <c r="G657" s="4"/>
      <c r="H657" s="48"/>
      <c r="J657" s="46" t="str">
        <f t="shared" si="168"/>
        <v/>
      </c>
      <c r="N657" t="str">
        <f t="shared" si="166"/>
        <v/>
      </c>
      <c r="Q657" t="str">
        <f t="shared" si="170"/>
        <v/>
      </c>
      <c r="S657" t="str">
        <f>IF(A657=1,MAX(S$2:S656)+1,IF(OR(I657&lt;&gt;"",A657="x"),S656,""))</f>
        <v/>
      </c>
      <c r="T657" t="str">
        <f>IF(D657=1,MAX($T$2:$T656)+1,IF(S657=$S656,$S656,IF($D657="x",T656,IF($D656="x","",""))))</f>
        <v/>
      </c>
      <c r="U657" t="str">
        <f>IF(B657=1,MAX($U$2:$U656)+1,IF(AND($T657&lt;&gt;"",$T657=$T656),$U656,IF(B657="x",U656,"")))</f>
        <v/>
      </c>
      <c r="V657" t="str">
        <f>IF(C657=1,MAX($V$2:$V656)+1,IF(AND($T657&lt;&gt;"",$T657=$T656),$U656,IF(C657="x",V656,"")))</f>
        <v/>
      </c>
      <c r="W657" t="str" cm="1">
        <f t="array" ref="W657">IFERROR(_xlfn._xlws.FILTER(game_rosters!AB:AB,(game_rosters!J:J=events!X657)*(K657&lt;&gt;"")),"")</f>
        <v/>
      </c>
      <c r="X657" t="str" cm="1">
        <f t="array" ref="X657">IF(S657="","",IF($I657&lt;&gt;"",$I657,INDEX($I$2:$I656,ROW()-COUNTIFS($T$2:$T656,"="&amp;$T657,$S$2:$S656,"&lt;&gt;"&amp;$S657)-1)))</f>
        <v/>
      </c>
      <c r="Z657" s="6"/>
      <c r="AI657" t="str">
        <f t="shared" si="169"/>
        <v/>
      </c>
      <c r="BI657" s="40"/>
      <c r="BL657" s="40"/>
      <c r="BN657" s="19"/>
      <c r="BP657" s="17"/>
    </row>
    <row r="658" spans="1:68" x14ac:dyDescent="0.2">
      <c r="A658" t="str">
        <f t="shared" si="167"/>
        <v/>
      </c>
      <c r="E658" s="4"/>
      <c r="F658" s="45"/>
      <c r="G658" s="4"/>
      <c r="H658" s="48"/>
      <c r="J658" s="46" t="str">
        <f t="shared" si="168"/>
        <v/>
      </c>
      <c r="N658" t="str">
        <f t="shared" si="166"/>
        <v/>
      </c>
      <c r="Q658" t="str">
        <f t="shared" si="170"/>
        <v/>
      </c>
      <c r="S658" t="str">
        <f>IF(A658=1,MAX(S$2:S657)+1,IF(OR(I658&lt;&gt;"",A658="x"),S657,""))</f>
        <v/>
      </c>
      <c r="T658" t="str">
        <f>IF(D658=1,MAX($T$2:$T657)+1,IF(S658=$S657,$S657,IF($D658="x",T657,IF($D657="x","",""))))</f>
        <v/>
      </c>
      <c r="U658" t="str">
        <f>IF(B658=1,MAX($U$2:$U657)+1,IF(AND($T658&lt;&gt;"",$T658=$T657),$U657,IF(B658="x",U657,"")))</f>
        <v/>
      </c>
      <c r="V658" t="str">
        <f>IF(C658=1,MAX($V$2:$V657)+1,IF(AND($T658&lt;&gt;"",$T658=$T657),$U657,IF(C658="x",V657,"")))</f>
        <v/>
      </c>
      <c r="W658" t="str" cm="1">
        <f t="array" ref="W658">IFERROR(_xlfn._xlws.FILTER(game_rosters!AB:AB,(game_rosters!J:J=events!X658)*(K658&lt;&gt;"")),"")</f>
        <v/>
      </c>
      <c r="X658" t="str" cm="1">
        <f t="array" ref="X658">IF(S658="","",IF($I658&lt;&gt;"",$I658,INDEX($I$2:$I657,ROW()-COUNTIFS($T$2:$T657,"="&amp;$T658,$S$2:$S657,"&lt;&gt;"&amp;$S658)-1)))</f>
        <v/>
      </c>
      <c r="Z658" s="6"/>
      <c r="AI658" t="str">
        <f t="shared" si="169"/>
        <v/>
      </c>
      <c r="BI658" s="40"/>
      <c r="BL658" s="40"/>
      <c r="BN658" s="19"/>
      <c r="BP658" s="17"/>
    </row>
    <row r="659" spans="1:68" x14ac:dyDescent="0.2">
      <c r="A659" t="str">
        <f t="shared" si="167"/>
        <v/>
      </c>
      <c r="E659" s="4"/>
      <c r="F659" s="45"/>
      <c r="G659" s="4"/>
      <c r="H659" s="48"/>
      <c r="J659" s="46" t="str">
        <f t="shared" si="168"/>
        <v/>
      </c>
      <c r="N659" t="str">
        <f t="shared" si="166"/>
        <v/>
      </c>
      <c r="Q659" t="str">
        <f t="shared" si="170"/>
        <v/>
      </c>
      <c r="S659" t="str">
        <f>IF(A659=1,MAX(S$2:S658)+1,IF(OR(I659&lt;&gt;"",A659="x"),S658,""))</f>
        <v/>
      </c>
      <c r="T659" t="str">
        <f>IF(D659=1,MAX($T$2:$T658)+1,IF(S659=$S658,$S658,IF($D659="x",T658,IF($D658="x","",""))))</f>
        <v/>
      </c>
      <c r="U659" t="str">
        <f>IF(B659=1,MAX($U$2:$U658)+1,IF(AND($T659&lt;&gt;"",$T659=$T658),$U658,IF(B659="x",U658,"")))</f>
        <v/>
      </c>
      <c r="V659" t="str">
        <f>IF(C659=1,MAX($V$2:$V658)+1,IF(AND($T659&lt;&gt;"",$T659=$T658),$U658,IF(C659="x",V658,"")))</f>
        <v/>
      </c>
      <c r="W659" t="str" cm="1">
        <f t="array" ref="W659">IFERROR(_xlfn._xlws.FILTER(game_rosters!AB:AB,(game_rosters!J:J=events!X659)*(K659&lt;&gt;"")),"")</f>
        <v/>
      </c>
      <c r="X659" t="str" cm="1">
        <f t="array" ref="X659">IF(S659="","",IF($I659&lt;&gt;"",$I659,INDEX($I$2:$I658,ROW()-COUNTIFS($T$2:$T658,"="&amp;$T659,$S$2:$S658,"&lt;&gt;"&amp;$S659)-1)))</f>
        <v/>
      </c>
      <c r="Z659" s="6"/>
      <c r="AI659" t="str">
        <f t="shared" si="169"/>
        <v/>
      </c>
      <c r="BI659" s="40"/>
      <c r="BL659" s="40"/>
      <c r="BN659" s="19"/>
      <c r="BP659" s="17"/>
    </row>
    <row r="660" spans="1:68" x14ac:dyDescent="0.2">
      <c r="A660" t="str">
        <f t="shared" si="167"/>
        <v/>
      </c>
      <c r="E660" s="4"/>
      <c r="F660" s="45"/>
      <c r="G660" s="4"/>
      <c r="H660" s="48"/>
      <c r="J660" s="46" t="str">
        <f t="shared" si="168"/>
        <v/>
      </c>
      <c r="N660" t="str">
        <f t="shared" si="166"/>
        <v/>
      </c>
      <c r="Q660" t="str">
        <f t="shared" si="170"/>
        <v/>
      </c>
      <c r="S660" t="str">
        <f>IF(A660=1,MAX(S$2:S659)+1,IF(OR(I660&lt;&gt;"",A660="x"),S659,""))</f>
        <v/>
      </c>
      <c r="T660" t="str">
        <f>IF(D660=1,MAX($T$2:$T659)+1,IF(S660=$S659,$S659,IF($D660="x",T659,IF($D659="x","",""))))</f>
        <v/>
      </c>
      <c r="U660" t="str">
        <f>IF(B660=1,MAX($U$2:$U659)+1,IF(AND($T660&lt;&gt;"",$T660=$T659),$U659,IF(B660="x",U659,"")))</f>
        <v/>
      </c>
      <c r="V660" t="str">
        <f>IF(C660=1,MAX($V$2:$V659)+1,IF(AND($T660&lt;&gt;"",$T660=$T659),$U659,IF(C660="x",V659,"")))</f>
        <v/>
      </c>
      <c r="W660" t="str" cm="1">
        <f t="array" ref="W660">IFERROR(_xlfn._xlws.FILTER(game_rosters!AB:AB,(game_rosters!J:J=events!X660)*(K660&lt;&gt;"")),"")</f>
        <v/>
      </c>
      <c r="X660" t="str" cm="1">
        <f t="array" ref="X660">IF(S660="","",IF($I660&lt;&gt;"",$I660,INDEX($I$2:$I659,ROW()-COUNTIFS($T$2:$T659,"="&amp;$T660,$S$2:$S659,"&lt;&gt;"&amp;$S660)-1)))</f>
        <v/>
      </c>
      <c r="Z660" s="6"/>
      <c r="AI660" t="str">
        <f t="shared" si="169"/>
        <v/>
      </c>
      <c r="BI660" s="40"/>
      <c r="BL660" s="40"/>
      <c r="BN660" s="19"/>
      <c r="BP660" s="17"/>
    </row>
    <row r="661" spans="1:68" x14ac:dyDescent="0.2">
      <c r="A661" t="str">
        <f t="shared" si="167"/>
        <v/>
      </c>
      <c r="E661" s="4"/>
      <c r="F661" s="45"/>
      <c r="G661" s="4"/>
      <c r="H661" s="48"/>
      <c r="J661" s="46" t="str">
        <f t="shared" si="168"/>
        <v/>
      </c>
      <c r="N661" t="str">
        <f t="shared" ref="N661:N724" si="171">IF(K661="","",IF(K661="Goal","s",IF(AND(K661="Zone_Entry_Exit",OR(ISNUMBER(SEARCH("fail",L661)),ISNUMBER(SEARCH("FromExitClear",M661)),ISNUMBER(SEARCH("miss",M661)))),"u",IF(AND(K661="Zone_Entry_Exit",OR(NOT(ISNUMBER(SEARCH("fail",L661))),NOT(ISNUMBER(SEARCH("FromExitClear",M661))),NOT(ISNUMBER(SEARCH("miss",M661))))),"s",IF(AND(OR(K661="Shot",K661="Pass"),OR(ISNUMBER(SEARCH("complete",L661)),ISNUMBER(SEARCH("goal",L661)),ISNUMBER(SEARCH("OnNet",L661)))),"s",IF(L661="Turnover_Giveaway","u",IF(AND(OR(K661="Shot",K661="Pass"),OR(ISNUMBER(SEARCH("fail",L661)),NOT(ISNUMBER(SEARCH("complete",L661))),NOT(ISNUMBER(SEARCH("OnNet",L661))))),"u","")))))))</f>
        <v/>
      </c>
      <c r="Q661" t="str">
        <f t="shared" si="170"/>
        <v/>
      </c>
      <c r="S661" t="str">
        <f>IF(A661=1,MAX(S$2:S660)+1,IF(OR(I661&lt;&gt;"",A661="x"),S660,""))</f>
        <v/>
      </c>
      <c r="T661" t="str">
        <f>IF(D661=1,MAX($T$2:$T660)+1,IF(S661=$S660,$S660,IF($D661="x",T660,IF($D660="x","",""))))</f>
        <v/>
      </c>
      <c r="U661" t="str">
        <f>IF(B661=1,MAX($U$2:$U660)+1,IF(AND($T661&lt;&gt;"",$T661=$T660),$U660,IF(B661="x",U660,"")))</f>
        <v/>
      </c>
      <c r="V661" t="str">
        <f>IF(C661=1,MAX($V$2:$V660)+1,IF(AND($T661&lt;&gt;"",$T661=$T660),$U660,IF(C661="x",V660,"")))</f>
        <v/>
      </c>
      <c r="W661" t="str" cm="1">
        <f t="array" ref="W661">IFERROR(_xlfn._xlws.FILTER(game_rosters!AB:AB,(game_rosters!J:J=events!X661)*(K661&lt;&gt;"")),"")</f>
        <v/>
      </c>
      <c r="X661" t="str" cm="1">
        <f t="array" ref="X661">IF(S661="","",IF($I661&lt;&gt;"",$I661,INDEX($I$2:$I660,ROW()-COUNTIFS($T$2:$T660,"="&amp;$T661,$S$2:$S660,"&lt;&gt;"&amp;$S661)-1)))</f>
        <v/>
      </c>
      <c r="Z661" s="6"/>
      <c r="AI661" t="str">
        <f t="shared" si="169"/>
        <v/>
      </c>
      <c r="BI661" s="40"/>
      <c r="BL661" s="40"/>
      <c r="BN661" s="19"/>
      <c r="BP661" s="17"/>
    </row>
    <row r="662" spans="1:68" x14ac:dyDescent="0.2">
      <c r="A662" t="str">
        <f t="shared" si="167"/>
        <v/>
      </c>
      <c r="E662" s="4"/>
      <c r="F662" s="45"/>
      <c r="G662" s="4"/>
      <c r="H662" s="48"/>
      <c r="J662" s="46" t="str">
        <f t="shared" si="168"/>
        <v/>
      </c>
      <c r="N662" t="str">
        <f t="shared" si="171"/>
        <v/>
      </c>
      <c r="Q662" t="str">
        <f t="shared" si="170"/>
        <v/>
      </c>
      <c r="S662" t="str">
        <f>IF(A662=1,MAX(S$2:S661)+1,IF(OR(I662&lt;&gt;"",A662="x"),S661,""))</f>
        <v/>
      </c>
      <c r="T662" t="str">
        <f>IF(D662=1,MAX($T$2:$T661)+1,IF(S662=$S661,$S661,IF($D662="x",T661,IF($D661="x","",""))))</f>
        <v/>
      </c>
      <c r="U662" t="str">
        <f>IF(B662=1,MAX($U$2:$U661)+1,IF(AND($T662&lt;&gt;"",$T662=$T661),$U661,IF(B662="x",U661,"")))</f>
        <v/>
      </c>
      <c r="V662" t="str">
        <f>IF(C662=1,MAX($V$2:$V661)+1,IF(AND($T662&lt;&gt;"",$T662=$T661),$U661,IF(C662="x",V661,"")))</f>
        <v/>
      </c>
      <c r="W662" t="str" cm="1">
        <f t="array" ref="W662">IFERROR(_xlfn._xlws.FILTER(game_rosters!AB:AB,(game_rosters!J:J=events!X662)*(K662&lt;&gt;"")),"")</f>
        <v/>
      </c>
      <c r="X662" t="str" cm="1">
        <f t="array" ref="X662">IF(S662="","",IF($I662&lt;&gt;"",$I662,INDEX($I$2:$I661,ROW()-COUNTIFS($T$2:$T661,"="&amp;$T662,$S$2:$S661,"&lt;&gt;"&amp;$S662)-1)))</f>
        <v/>
      </c>
      <c r="Z662" s="6"/>
      <c r="AI662" t="str">
        <f t="shared" si="169"/>
        <v/>
      </c>
      <c r="BI662" s="40"/>
      <c r="BL662" s="40"/>
      <c r="BN662" s="19"/>
      <c r="BP662" s="17"/>
    </row>
    <row r="663" spans="1:68" x14ac:dyDescent="0.2">
      <c r="A663" t="str">
        <f t="shared" si="167"/>
        <v/>
      </c>
      <c r="E663" s="4"/>
      <c r="F663" s="45"/>
      <c r="G663" s="4"/>
      <c r="H663" s="48"/>
      <c r="J663" s="46" t="str">
        <f t="shared" si="168"/>
        <v/>
      </c>
      <c r="N663" t="str">
        <f t="shared" si="171"/>
        <v/>
      </c>
      <c r="Q663" t="str">
        <f t="shared" si="170"/>
        <v/>
      </c>
      <c r="S663" t="str">
        <f>IF(A663=1,MAX(S$2:S662)+1,IF(OR(I663&lt;&gt;"",A663="x"),S662,""))</f>
        <v/>
      </c>
      <c r="T663" t="str">
        <f>IF(D663=1,MAX($T$2:$T662)+1,IF(S663=$S662,$S662,IF($D663="x",T662,IF($D662="x","",""))))</f>
        <v/>
      </c>
      <c r="U663" t="str">
        <f>IF(B663=1,MAX($U$2:$U662)+1,IF(AND($T663&lt;&gt;"",$T663=$T662),$U662,IF(B663="x",U662,"")))</f>
        <v/>
      </c>
      <c r="V663" t="str">
        <f>IF(C663=1,MAX($V$2:$V662)+1,IF(AND($T663&lt;&gt;"",$T663=$T662),$U662,IF(C663="x",V662,"")))</f>
        <v/>
      </c>
      <c r="W663" t="str" cm="1">
        <f t="array" ref="W663">IFERROR(_xlfn._xlws.FILTER(game_rosters!AB:AB,(game_rosters!J:J=events!X663)*(K663&lt;&gt;"")),"")</f>
        <v/>
      </c>
      <c r="X663" t="str" cm="1">
        <f t="array" ref="X663">IF(S663="","",IF($I663&lt;&gt;"",$I663,INDEX($I$2:$I662,ROW()-COUNTIFS($T$2:$T662,"="&amp;$T663,$S$2:$S662,"&lt;&gt;"&amp;$S663)-1)))</f>
        <v/>
      </c>
      <c r="Z663" s="6"/>
      <c r="AI663" t="str">
        <f t="shared" si="169"/>
        <v/>
      </c>
      <c r="BI663" s="40"/>
      <c r="BL663" s="40"/>
      <c r="BN663" s="19"/>
      <c r="BP663" s="17"/>
    </row>
    <row r="664" spans="1:68" x14ac:dyDescent="0.2">
      <c r="A664" t="str">
        <f t="shared" si="167"/>
        <v/>
      </c>
      <c r="E664" s="4"/>
      <c r="F664" s="45"/>
      <c r="G664" s="4"/>
      <c r="H664" s="48"/>
      <c r="J664" s="46" t="str">
        <f t="shared" si="168"/>
        <v/>
      </c>
      <c r="N664" t="str">
        <f t="shared" si="171"/>
        <v/>
      </c>
      <c r="Q664" t="str">
        <f t="shared" si="170"/>
        <v/>
      </c>
      <c r="S664" t="str">
        <f>IF(A664=1,MAX(S$2:S663)+1,IF(OR(I664&lt;&gt;"",A664="x"),S663,""))</f>
        <v/>
      </c>
      <c r="T664" t="str">
        <f>IF(D664=1,MAX($T$2:$T663)+1,IF(S664=$S663,$S663,IF($D664="x",T663,IF($D663="x","",""))))</f>
        <v/>
      </c>
      <c r="U664" t="str">
        <f>IF(B664=1,MAX($U$2:$U663)+1,IF(AND($T664&lt;&gt;"",$T664=$T663),$U663,IF(B664="x",U663,"")))</f>
        <v/>
      </c>
      <c r="V664" t="str">
        <f>IF(C664=1,MAX($V$2:$V663)+1,IF(AND($T664&lt;&gt;"",$T664=$T663),$U663,IF(C664="x",V663,"")))</f>
        <v/>
      </c>
      <c r="W664" t="str" cm="1">
        <f t="array" ref="W664">IFERROR(_xlfn._xlws.FILTER(game_rosters!AB:AB,(game_rosters!J:J=events!X664)*(K664&lt;&gt;"")),"")</f>
        <v/>
      </c>
      <c r="X664" t="str" cm="1">
        <f t="array" ref="X664">IF(S664="","",IF($I664&lt;&gt;"",$I664,INDEX($I$2:$I663,ROW()-COUNTIFS($T$2:$T663,"="&amp;$T664,$S$2:$S663,"&lt;&gt;"&amp;$S664)-1)))</f>
        <v/>
      </c>
      <c r="Z664" s="6"/>
      <c r="AI664" t="str">
        <f t="shared" si="169"/>
        <v/>
      </c>
      <c r="BI664" s="40"/>
      <c r="BL664" s="40"/>
      <c r="BN664" s="19"/>
      <c r="BP664" s="17"/>
    </row>
    <row r="665" spans="1:68" x14ac:dyDescent="0.2">
      <c r="A665" t="str">
        <f t="shared" si="167"/>
        <v/>
      </c>
      <c r="E665" s="4"/>
      <c r="F665" s="45"/>
      <c r="G665" s="4"/>
      <c r="H665" s="48"/>
      <c r="J665" s="46" t="str">
        <f t="shared" si="168"/>
        <v/>
      </c>
      <c r="N665" t="str">
        <f t="shared" si="171"/>
        <v/>
      </c>
      <c r="Q665" t="str">
        <f t="shared" si="170"/>
        <v/>
      </c>
      <c r="S665" t="str">
        <f>IF(A665=1,MAX(S$2:S664)+1,IF(OR(I665&lt;&gt;"",A665="x"),S664,""))</f>
        <v/>
      </c>
      <c r="T665" t="str">
        <f>IF(D665=1,MAX($T$2:$T664)+1,IF(S665=$S664,$S664,IF($D665="x",T664,IF($D664="x","",""))))</f>
        <v/>
      </c>
      <c r="U665" t="str">
        <f>IF(B665=1,MAX($U$2:$U664)+1,IF(AND($T665&lt;&gt;"",$T665=$T664),$U664,IF(B665="x",U664,"")))</f>
        <v/>
      </c>
      <c r="V665" t="str">
        <f>IF(C665=1,MAX($V$2:$V664)+1,IF(AND($T665&lt;&gt;"",$T665=$T664),$U664,IF(C665="x",V664,"")))</f>
        <v/>
      </c>
      <c r="W665" t="str" cm="1">
        <f t="array" ref="W665">IFERROR(_xlfn._xlws.FILTER(game_rosters!AB:AB,(game_rosters!J:J=events!X665)*(K665&lt;&gt;"")),"")</f>
        <v/>
      </c>
      <c r="X665" t="str" cm="1">
        <f t="array" ref="X665">IF(S665="","",IF($I665&lt;&gt;"",$I665,INDEX($I$2:$I664,ROW()-COUNTIFS($T$2:$T664,"="&amp;$T665,$S$2:$S664,"&lt;&gt;"&amp;$S665)-1)))</f>
        <v/>
      </c>
      <c r="Z665" s="6"/>
      <c r="AI665" t="str">
        <f t="shared" si="169"/>
        <v/>
      </c>
      <c r="BI665" s="40"/>
      <c r="BL665" s="40"/>
      <c r="BN665" s="19"/>
      <c r="BP665" s="17"/>
    </row>
    <row r="666" spans="1:68" x14ac:dyDescent="0.2">
      <c r="A666" t="str">
        <f t="shared" si="167"/>
        <v/>
      </c>
      <c r="E666" s="4"/>
      <c r="F666" s="45"/>
      <c r="G666" s="4"/>
      <c r="H666" s="48"/>
      <c r="J666" s="46" t="str">
        <f t="shared" si="168"/>
        <v/>
      </c>
      <c r="N666" t="str">
        <f t="shared" si="171"/>
        <v/>
      </c>
      <c r="Q666" t="str">
        <f t="shared" si="170"/>
        <v/>
      </c>
      <c r="S666" t="str">
        <f>IF(A666=1,MAX(S$2:S665)+1,IF(OR(I666&lt;&gt;"",A666="x"),S665,""))</f>
        <v/>
      </c>
      <c r="T666" t="str">
        <f>IF(D666=1,MAX($T$2:$T665)+1,IF(S666=$S665,$S665,IF($D666="x",T665,IF($D665="x","",""))))</f>
        <v/>
      </c>
      <c r="U666" t="str">
        <f>IF(B666=1,MAX($U$2:$U665)+1,IF(AND($T666&lt;&gt;"",$T666=$T665),$U665,IF(B666="x",U665,"")))</f>
        <v/>
      </c>
      <c r="V666" t="str">
        <f>IF(C666=1,MAX($V$2:$V665)+1,IF(AND($T666&lt;&gt;"",$T666=$T665),$U665,IF(C666="x",V665,"")))</f>
        <v/>
      </c>
      <c r="W666" t="str" cm="1">
        <f t="array" ref="W666">IFERROR(_xlfn._xlws.FILTER(game_rosters!AB:AB,(game_rosters!J:J=events!X666)*(K666&lt;&gt;"")),"")</f>
        <v/>
      </c>
      <c r="X666" t="str" cm="1">
        <f t="array" ref="X666">IF(S666="","",IF($I666&lt;&gt;"",$I666,INDEX($I$2:$I665,ROW()-COUNTIFS($T$2:$T665,"="&amp;$T666,$S$2:$S665,"&lt;&gt;"&amp;$S666)-1)))</f>
        <v/>
      </c>
      <c r="Z666" s="6"/>
      <c r="AI666" t="str">
        <f t="shared" si="169"/>
        <v/>
      </c>
      <c r="BI666" s="40"/>
      <c r="BL666" s="40"/>
      <c r="BN666" s="19"/>
      <c r="BP666" s="17"/>
    </row>
    <row r="667" spans="1:68" x14ac:dyDescent="0.2">
      <c r="A667" t="str">
        <f t="shared" si="167"/>
        <v/>
      </c>
      <c r="E667" s="4"/>
      <c r="F667" s="45"/>
      <c r="G667" s="4"/>
      <c r="H667" s="48"/>
      <c r="J667" s="46" t="str">
        <f t="shared" si="168"/>
        <v/>
      </c>
      <c r="N667" t="str">
        <f t="shared" si="171"/>
        <v/>
      </c>
      <c r="Q667" t="str">
        <f t="shared" si="170"/>
        <v/>
      </c>
      <c r="S667" t="str">
        <f>IF(A667=1,MAX(S$2:S666)+1,IF(OR(I667&lt;&gt;"",A667="x"),S666,""))</f>
        <v/>
      </c>
      <c r="T667" t="str">
        <f>IF(D667=1,MAX($T$2:$T666)+1,IF(S667=$S666,$S666,IF($D667="x",T666,IF($D666="x","",""))))</f>
        <v/>
      </c>
      <c r="U667" t="str">
        <f>IF(B667=1,MAX($U$2:$U666)+1,IF(AND($T667&lt;&gt;"",$T667=$T666),$U666,IF(B667="x",U666,"")))</f>
        <v/>
      </c>
      <c r="V667" t="str">
        <f>IF(C667=1,MAX($V$2:$V666)+1,IF(AND($T667&lt;&gt;"",$T667=$T666),$U666,IF(C667="x",V666,"")))</f>
        <v/>
      </c>
      <c r="W667" t="str" cm="1">
        <f t="array" ref="W667">IFERROR(_xlfn._xlws.FILTER(game_rosters!AB:AB,(game_rosters!J:J=events!X667)*(K667&lt;&gt;"")),"")</f>
        <v/>
      </c>
      <c r="X667" t="str" cm="1">
        <f t="array" ref="X667">IF(S667="","",IF($I667&lt;&gt;"",$I667,INDEX($I$2:$I666,ROW()-COUNTIFS($T$2:$T666,"="&amp;$T667,$S$2:$S666,"&lt;&gt;"&amp;$S667)-1)))</f>
        <v/>
      </c>
      <c r="Z667" s="6"/>
      <c r="AI667" t="str">
        <f t="shared" si="169"/>
        <v/>
      </c>
      <c r="BI667" s="40"/>
      <c r="BL667" s="40"/>
      <c r="BN667" s="19"/>
      <c r="BP667" s="17"/>
    </row>
    <row r="668" spans="1:68" x14ac:dyDescent="0.2">
      <c r="A668" t="str">
        <f t="shared" si="167"/>
        <v/>
      </c>
      <c r="E668" s="4"/>
      <c r="F668" s="45"/>
      <c r="G668" s="4"/>
      <c r="H668" s="48"/>
      <c r="J668" s="46" t="str">
        <f t="shared" si="168"/>
        <v/>
      </c>
      <c r="N668" t="str">
        <f t="shared" si="171"/>
        <v/>
      </c>
      <c r="Q668" t="str">
        <f t="shared" si="170"/>
        <v/>
      </c>
      <c r="S668" t="str">
        <f>IF(A668=1,MAX(S$2:S667)+1,IF(OR(I668&lt;&gt;"",A668="x"),S667,""))</f>
        <v/>
      </c>
      <c r="T668" t="str">
        <f>IF(D668=1,MAX($T$2:$T667)+1,IF(S668=$S667,$S667,IF($D668="x",T667,IF($D667="x","",""))))</f>
        <v/>
      </c>
      <c r="U668" t="str">
        <f>IF(B668=1,MAX($U$2:$U667)+1,IF(AND($T668&lt;&gt;"",$T668=$T667),$U667,IF(B668="x",U667,"")))</f>
        <v/>
      </c>
      <c r="V668" t="str">
        <f>IF(C668=1,MAX($V$2:$V667)+1,IF(AND($T668&lt;&gt;"",$T668=$T667),$U667,IF(C668="x",V667,"")))</f>
        <v/>
      </c>
      <c r="W668" t="str" cm="1">
        <f t="array" ref="W668">IFERROR(_xlfn._xlws.FILTER(game_rosters!AB:AB,(game_rosters!J:J=events!X668)*(K668&lt;&gt;"")),"")</f>
        <v/>
      </c>
      <c r="X668" t="str" cm="1">
        <f t="array" ref="X668">IF(S668="","",IF($I668&lt;&gt;"",$I668,INDEX($I$2:$I667,ROW()-COUNTIFS($T$2:$T667,"="&amp;$T668,$S$2:$S667,"&lt;&gt;"&amp;$S668)-1)))</f>
        <v/>
      </c>
      <c r="Z668" s="6"/>
      <c r="AI668" t="str">
        <f t="shared" si="169"/>
        <v/>
      </c>
      <c r="BI668" s="40"/>
      <c r="BL668" s="40"/>
      <c r="BN668" s="19"/>
      <c r="BP668" s="17"/>
    </row>
    <row r="669" spans="1:68" x14ac:dyDescent="0.2">
      <c r="A669" t="str">
        <f t="shared" si="167"/>
        <v/>
      </c>
      <c r="E669" s="4"/>
      <c r="F669" s="45"/>
      <c r="G669" s="4"/>
      <c r="H669" s="48"/>
      <c r="J669" s="46" t="str">
        <f t="shared" si="168"/>
        <v/>
      </c>
      <c r="N669" t="str">
        <f t="shared" si="171"/>
        <v/>
      </c>
      <c r="Q669" t="str">
        <f t="shared" si="170"/>
        <v/>
      </c>
      <c r="S669" t="str">
        <f>IF(A669=1,MAX(S$2:S668)+1,IF(OR(I669&lt;&gt;"",A669="x"),S668,""))</f>
        <v/>
      </c>
      <c r="T669" t="str">
        <f>IF(D669=1,MAX($T$2:$T668)+1,IF(S669=$S668,$S668,IF($D669="x",T668,IF($D668="x","",""))))</f>
        <v/>
      </c>
      <c r="U669" t="str">
        <f>IF(B669=1,MAX($U$2:$U668)+1,IF(AND($T669&lt;&gt;"",$T669=$T668),$U668,IF(B669="x",U668,"")))</f>
        <v/>
      </c>
      <c r="V669" t="str">
        <f>IF(C669=1,MAX($V$2:$V668)+1,IF(AND($T669&lt;&gt;"",$T669=$T668),$U668,IF(C669="x",V668,"")))</f>
        <v/>
      </c>
      <c r="W669" t="str" cm="1">
        <f t="array" ref="W669">IFERROR(_xlfn._xlws.FILTER(game_rosters!AB:AB,(game_rosters!J:J=events!X669)*(K669&lt;&gt;"")),"")</f>
        <v/>
      </c>
      <c r="X669" t="str" cm="1">
        <f t="array" ref="X669">IF(S669="","",IF($I669&lt;&gt;"",$I669,INDEX($I$2:$I668,ROW()-COUNTIFS($T$2:$T668,"="&amp;$T669,$S$2:$S668,"&lt;&gt;"&amp;$S669)-1)))</f>
        <v/>
      </c>
      <c r="Z669" s="6"/>
      <c r="AI669" t="str">
        <f t="shared" si="169"/>
        <v/>
      </c>
      <c r="BI669" s="40"/>
      <c r="BL669" s="40"/>
      <c r="BN669" s="19"/>
      <c r="BP669" s="17"/>
    </row>
    <row r="670" spans="1:68" x14ac:dyDescent="0.2">
      <c r="A670" t="str">
        <f t="shared" si="167"/>
        <v/>
      </c>
      <c r="E670" s="4"/>
      <c r="F670" s="45"/>
      <c r="G670" s="4"/>
      <c r="H670" s="48"/>
      <c r="J670" s="46" t="str">
        <f t="shared" si="168"/>
        <v/>
      </c>
      <c r="N670" t="str">
        <f t="shared" si="171"/>
        <v/>
      </c>
      <c r="Q670" t="str">
        <f t="shared" si="170"/>
        <v/>
      </c>
      <c r="S670" t="str">
        <f>IF(A670=1,MAX(S$2:S669)+1,IF(OR(I670&lt;&gt;"",A670="x"),S669,""))</f>
        <v/>
      </c>
      <c r="T670" t="str">
        <f>IF(D670=1,MAX($T$2:$T669)+1,IF(S670=$S669,$S669,IF($D670="x",T669,IF($D669="x","",""))))</f>
        <v/>
      </c>
      <c r="U670" t="str">
        <f>IF(B670=1,MAX($U$2:$U669)+1,IF(AND($T670&lt;&gt;"",$T670=$T669),$U669,IF(B670="x",U669,"")))</f>
        <v/>
      </c>
      <c r="V670" t="str">
        <f>IF(C670=1,MAX($V$2:$V669)+1,IF(AND($T670&lt;&gt;"",$T670=$T669),$U669,IF(C670="x",V669,"")))</f>
        <v/>
      </c>
      <c r="W670" t="str" cm="1">
        <f t="array" ref="W670">IFERROR(_xlfn._xlws.FILTER(game_rosters!AB:AB,(game_rosters!J:J=events!X670)*(K670&lt;&gt;"")),"")</f>
        <v/>
      </c>
      <c r="X670" t="str" cm="1">
        <f t="array" ref="X670">IF(S670="","",IF($I670&lt;&gt;"",$I670,INDEX($I$2:$I669,ROW()-COUNTIFS($T$2:$T669,"="&amp;$T670,$S$2:$S669,"&lt;&gt;"&amp;$S670)-1)))</f>
        <v/>
      </c>
      <c r="Z670" s="6"/>
      <c r="AI670" t="str">
        <f t="shared" si="169"/>
        <v/>
      </c>
      <c r="BI670" s="40"/>
      <c r="BL670" s="40"/>
      <c r="BN670" s="19"/>
      <c r="BP670" s="17"/>
    </row>
    <row r="671" spans="1:68" x14ac:dyDescent="0.2">
      <c r="A671" t="str">
        <f t="shared" si="167"/>
        <v/>
      </c>
      <c r="E671" s="4"/>
      <c r="F671" s="45"/>
      <c r="G671" s="4"/>
      <c r="H671" s="48"/>
      <c r="J671" s="46" t="str">
        <f t="shared" si="168"/>
        <v/>
      </c>
      <c r="N671" t="str">
        <f t="shared" si="171"/>
        <v/>
      </c>
      <c r="Q671" t="str">
        <f t="shared" si="170"/>
        <v/>
      </c>
      <c r="S671" t="str">
        <f>IF(A671=1,MAX(S$2:S670)+1,IF(OR(I671&lt;&gt;"",A671="x"),S670,""))</f>
        <v/>
      </c>
      <c r="T671" t="str">
        <f>IF(D671=1,MAX($T$2:$T670)+1,IF(S671=$S670,$S670,IF($D671="x",T670,IF($D670="x","",""))))</f>
        <v/>
      </c>
      <c r="U671" t="str">
        <f>IF(B671=1,MAX($U$2:$U670)+1,IF(AND($T671&lt;&gt;"",$T671=$T670),$U670,IF(B671="x",U670,"")))</f>
        <v/>
      </c>
      <c r="V671" t="str">
        <f>IF(C671=1,MAX($V$2:$V670)+1,IF(AND($T671&lt;&gt;"",$T671=$T670),$U670,IF(C671="x",V670,"")))</f>
        <v/>
      </c>
      <c r="W671" t="str" cm="1">
        <f t="array" ref="W671">IFERROR(_xlfn._xlws.FILTER(game_rosters!AB:AB,(game_rosters!J:J=events!X671)*(K671&lt;&gt;"")),"")</f>
        <v/>
      </c>
      <c r="X671" t="str" cm="1">
        <f t="array" ref="X671">IF(S671="","",IF($I671&lt;&gt;"",$I671,INDEX($I$2:$I670,ROW()-COUNTIFS($T$2:$T670,"="&amp;$T671,$S$2:$S670,"&lt;&gt;"&amp;$S671)-1)))</f>
        <v/>
      </c>
      <c r="Z671" s="6"/>
      <c r="AI671" t="str">
        <f t="shared" si="169"/>
        <v/>
      </c>
      <c r="BI671" s="40"/>
      <c r="BL671" s="40"/>
      <c r="BN671" s="19"/>
      <c r="BP671" s="17"/>
    </row>
    <row r="672" spans="1:68" x14ac:dyDescent="0.2">
      <c r="A672" t="str">
        <f t="shared" si="167"/>
        <v/>
      </c>
      <c r="E672" s="4"/>
      <c r="F672" s="45"/>
      <c r="G672" s="4"/>
      <c r="H672" s="48"/>
      <c r="J672" s="46" t="str">
        <f t="shared" si="168"/>
        <v/>
      </c>
      <c r="N672" t="str">
        <f t="shared" si="171"/>
        <v/>
      </c>
      <c r="Q672" t="str">
        <f t="shared" si="170"/>
        <v/>
      </c>
      <c r="S672" t="str">
        <f>IF(A672=1,MAX(S$2:S671)+1,IF(OR(I672&lt;&gt;"",A672="x"),S671,""))</f>
        <v/>
      </c>
      <c r="T672" t="str">
        <f>IF(D672=1,MAX($T$2:$T671)+1,IF(S672=$S671,$S671,IF($D672="x",T671,IF($D671="x","",""))))</f>
        <v/>
      </c>
      <c r="U672" t="str">
        <f>IF(B672=1,MAX($U$2:$U671)+1,IF(AND($T672&lt;&gt;"",$T672=$T671),$U671,IF(B672="x",U671,"")))</f>
        <v/>
      </c>
      <c r="V672" t="str">
        <f>IF(C672=1,MAX($V$2:$V671)+1,IF(AND($T672&lt;&gt;"",$T672=$T671),$U671,IF(C672="x",V671,"")))</f>
        <v/>
      </c>
      <c r="W672" t="str" cm="1">
        <f t="array" ref="W672">IFERROR(_xlfn._xlws.FILTER(game_rosters!AB:AB,(game_rosters!J:J=events!X672)*(K672&lt;&gt;"")),"")</f>
        <v/>
      </c>
      <c r="X672" t="str" cm="1">
        <f t="array" ref="X672">IF(S672="","",IF($I672&lt;&gt;"",$I672,INDEX($I$2:$I671,ROW()-COUNTIFS($T$2:$T671,"="&amp;$T672,$S$2:$S671,"&lt;&gt;"&amp;$S672)-1)))</f>
        <v/>
      </c>
      <c r="Z672" s="6"/>
      <c r="AI672" t="str">
        <f t="shared" si="169"/>
        <v/>
      </c>
      <c r="BI672" s="40"/>
      <c r="BL672" s="40"/>
      <c r="BN672" s="19"/>
      <c r="BP672" s="17"/>
    </row>
    <row r="673" spans="1:68" x14ac:dyDescent="0.2">
      <c r="A673" t="str">
        <f t="shared" si="167"/>
        <v/>
      </c>
      <c r="E673" s="4"/>
      <c r="F673" s="45"/>
      <c r="G673" s="4"/>
      <c r="H673" s="48"/>
      <c r="J673" s="46" t="str">
        <f t="shared" si="168"/>
        <v/>
      </c>
      <c r="N673" t="str">
        <f t="shared" si="171"/>
        <v/>
      </c>
      <c r="Q673" t="str">
        <f t="shared" si="170"/>
        <v/>
      </c>
      <c r="S673" t="str">
        <f>IF(A673=1,MAX(S$2:S672)+1,IF(OR(I673&lt;&gt;"",A673="x"),S672,""))</f>
        <v/>
      </c>
      <c r="T673" t="str">
        <f>IF(D673=1,MAX($T$2:$T672)+1,IF(S673=$S672,$S672,IF($D673="x",T672,IF($D672="x","",""))))</f>
        <v/>
      </c>
      <c r="U673" t="str">
        <f>IF(B673=1,MAX($U$2:$U672)+1,IF(AND($T673&lt;&gt;"",$T673=$T672),$U672,IF(B673="x",U672,"")))</f>
        <v/>
      </c>
      <c r="V673" t="str">
        <f>IF(C673=1,MAX($V$2:$V672)+1,IF(AND($T673&lt;&gt;"",$T673=$T672),$U672,IF(C673="x",V672,"")))</f>
        <v/>
      </c>
      <c r="W673" t="str" cm="1">
        <f t="array" ref="W673">IFERROR(_xlfn._xlws.FILTER(game_rosters!AB:AB,(game_rosters!J:J=events!X673)*(K673&lt;&gt;"")),"")</f>
        <v/>
      </c>
      <c r="X673" t="str" cm="1">
        <f t="array" ref="X673">IF(S673="","",IF($I673&lt;&gt;"",$I673,INDEX($I$2:$I672,ROW()-COUNTIFS($T$2:$T672,"="&amp;$T673,$S$2:$S672,"&lt;&gt;"&amp;$S673)-1)))</f>
        <v/>
      </c>
      <c r="Z673" s="6"/>
      <c r="AI673" t="str">
        <f t="shared" si="169"/>
        <v/>
      </c>
      <c r="BI673" s="40"/>
      <c r="BL673" s="40"/>
      <c r="BN673" s="19"/>
      <c r="BP673" s="17"/>
    </row>
    <row r="674" spans="1:68" x14ac:dyDescent="0.2">
      <c r="A674" t="str">
        <f t="shared" si="167"/>
        <v/>
      </c>
      <c r="E674" s="4"/>
      <c r="F674" s="45"/>
      <c r="G674" s="4"/>
      <c r="H674" s="48"/>
      <c r="J674" s="46" t="str">
        <f t="shared" si="168"/>
        <v/>
      </c>
      <c r="N674" t="str">
        <f t="shared" si="171"/>
        <v/>
      </c>
      <c r="Q674" t="str">
        <f t="shared" si="170"/>
        <v/>
      </c>
      <c r="S674" t="str">
        <f>IF(A674=1,MAX(S$2:S673)+1,IF(OR(I674&lt;&gt;"",A674="x"),S673,""))</f>
        <v/>
      </c>
      <c r="T674" t="str">
        <f>IF(D674=1,MAX($T$2:$T673)+1,IF(S674=$S673,$S673,IF($D674="x",T673,IF($D673="x","",""))))</f>
        <v/>
      </c>
      <c r="U674" t="str">
        <f>IF(B674=1,MAX($U$2:$U673)+1,IF(AND($T674&lt;&gt;"",$T674=$T673),$U673,IF(B674="x",U673,"")))</f>
        <v/>
      </c>
      <c r="V674" t="str">
        <f>IF(C674=1,MAX($V$2:$V673)+1,IF(AND($T674&lt;&gt;"",$T674=$T673),$U673,IF(C674="x",V673,"")))</f>
        <v/>
      </c>
      <c r="W674" t="str" cm="1">
        <f t="array" ref="W674">IFERROR(_xlfn._xlws.FILTER(game_rosters!AB:AB,(game_rosters!J:J=events!X674)*(K674&lt;&gt;"")),"")</f>
        <v/>
      </c>
      <c r="X674" t="str" cm="1">
        <f t="array" ref="X674">IF(S674="","",IF($I674&lt;&gt;"",$I674,INDEX($I$2:$I673,ROW()-COUNTIFS($T$2:$T673,"="&amp;$T674,$S$2:$S673,"&lt;&gt;"&amp;$S674)-1)))</f>
        <v/>
      </c>
      <c r="Z674" s="6"/>
      <c r="AI674" t="str">
        <f t="shared" si="169"/>
        <v/>
      </c>
      <c r="BI674" s="40"/>
      <c r="BL674" s="40"/>
      <c r="BN674" s="19"/>
      <c r="BP674" s="17"/>
    </row>
    <row r="675" spans="1:68" x14ac:dyDescent="0.2">
      <c r="A675" t="str">
        <f t="shared" si="167"/>
        <v/>
      </c>
      <c r="E675" s="4"/>
      <c r="F675" s="45"/>
      <c r="G675" s="4"/>
      <c r="H675" s="48"/>
      <c r="J675" s="46" t="str">
        <f t="shared" si="168"/>
        <v/>
      </c>
      <c r="N675" t="str">
        <f t="shared" si="171"/>
        <v/>
      </c>
      <c r="Q675" t="str">
        <f t="shared" si="170"/>
        <v/>
      </c>
      <c r="S675" t="str">
        <f>IF(A675=1,MAX(S$2:S674)+1,IF(OR(I675&lt;&gt;"",A675="x"),S674,""))</f>
        <v/>
      </c>
      <c r="T675" t="str">
        <f>IF(D675=1,MAX($T$2:$T674)+1,IF(S675=$S674,$S674,IF($D675="x",T674,IF($D674="x","",""))))</f>
        <v/>
      </c>
      <c r="U675" t="str">
        <f>IF(B675=1,MAX($U$2:$U674)+1,IF(AND($T675&lt;&gt;"",$T675=$T674),$U674,IF(B675="x",U674,"")))</f>
        <v/>
      </c>
      <c r="V675" t="str">
        <f>IF(C675=1,MAX($V$2:$V674)+1,IF(AND($T675&lt;&gt;"",$T675=$T674),$U674,IF(C675="x",V674,"")))</f>
        <v/>
      </c>
      <c r="W675" t="str" cm="1">
        <f t="array" ref="W675">IFERROR(_xlfn._xlws.FILTER(game_rosters!AB:AB,(game_rosters!J:J=events!X675)*(K675&lt;&gt;"")),"")</f>
        <v/>
      </c>
      <c r="X675" t="str" cm="1">
        <f t="array" ref="X675">IF(S675="","",IF($I675&lt;&gt;"",$I675,INDEX($I$2:$I674,ROW()-COUNTIFS($T$2:$T674,"="&amp;$T675,$S$2:$S674,"&lt;&gt;"&amp;$S675)-1)))</f>
        <v/>
      </c>
      <c r="Z675" s="6"/>
      <c r="AI675" t="str">
        <f t="shared" si="169"/>
        <v/>
      </c>
      <c r="BI675" s="40"/>
      <c r="BL675" s="40"/>
      <c r="BN675" s="19"/>
      <c r="BP675" s="17"/>
    </row>
    <row r="676" spans="1:68" x14ac:dyDescent="0.2">
      <c r="A676" t="str">
        <f t="shared" si="167"/>
        <v/>
      </c>
      <c r="E676" s="4"/>
      <c r="F676" s="45"/>
      <c r="G676" s="4"/>
      <c r="H676" s="48"/>
      <c r="J676" s="46" t="str">
        <f t="shared" si="168"/>
        <v/>
      </c>
      <c r="N676" t="str">
        <f t="shared" si="171"/>
        <v/>
      </c>
      <c r="Q676" t="str">
        <f t="shared" si="170"/>
        <v/>
      </c>
      <c r="S676" t="str">
        <f>IF(A676=1,MAX(S$2:S675)+1,IF(OR(I676&lt;&gt;"",A676="x"),S675,""))</f>
        <v/>
      </c>
      <c r="T676" t="str">
        <f>IF(D676=1,MAX($T$2:$T675)+1,IF(S676=$S675,$S675,IF($D676="x",T675,IF($D675="x","",""))))</f>
        <v/>
      </c>
      <c r="U676" t="str">
        <f>IF(B676=1,MAX($U$2:$U675)+1,IF(AND($T676&lt;&gt;"",$T676=$T675),$U675,IF(B676="x",U675,"")))</f>
        <v/>
      </c>
      <c r="V676" t="str">
        <f>IF(C676=1,MAX($V$2:$V675)+1,IF(AND($T676&lt;&gt;"",$T676=$T675),$U675,IF(C676="x",V675,"")))</f>
        <v/>
      </c>
      <c r="W676" t="str" cm="1">
        <f t="array" ref="W676">IFERROR(_xlfn._xlws.FILTER(game_rosters!AB:AB,(game_rosters!J:J=events!X676)*(K676&lt;&gt;"")),"")</f>
        <v/>
      </c>
      <c r="X676" t="str" cm="1">
        <f t="array" ref="X676">IF(S676="","",IF($I676&lt;&gt;"",$I676,INDEX($I$2:$I675,ROW()-COUNTIFS($T$2:$T675,"="&amp;$T676,$S$2:$S675,"&lt;&gt;"&amp;$S676)-1)))</f>
        <v/>
      </c>
      <c r="Z676" s="6"/>
      <c r="AI676" t="str">
        <f t="shared" si="169"/>
        <v/>
      </c>
      <c r="BI676" s="40"/>
      <c r="BL676" s="40"/>
      <c r="BN676" s="19"/>
      <c r="BP676" s="17"/>
    </row>
    <row r="677" spans="1:68" x14ac:dyDescent="0.2">
      <c r="A677" t="str">
        <f t="shared" si="167"/>
        <v/>
      </c>
      <c r="E677" s="4"/>
      <c r="F677" s="45"/>
      <c r="G677" s="4"/>
      <c r="H677" s="48"/>
      <c r="J677" s="46" t="str">
        <f t="shared" si="168"/>
        <v/>
      </c>
      <c r="N677" t="str">
        <f t="shared" si="171"/>
        <v/>
      </c>
      <c r="Q677" t="str">
        <f t="shared" si="170"/>
        <v/>
      </c>
      <c r="S677" t="str">
        <f>IF(A677=1,MAX(S$2:S676)+1,IF(OR(I677&lt;&gt;"",A677="x"),S676,""))</f>
        <v/>
      </c>
      <c r="T677" t="str">
        <f>IF(D677=1,MAX($T$2:$T676)+1,IF(S677=$S676,$S676,IF($D677="x",T676,IF($D676="x","",""))))</f>
        <v/>
      </c>
      <c r="U677" t="str">
        <f>IF(B677=1,MAX($U$2:$U676)+1,IF(AND($T677&lt;&gt;"",$T677=$T676),$U676,IF(B677="x",U676,"")))</f>
        <v/>
      </c>
      <c r="V677" t="str">
        <f>IF(C677=1,MAX($V$2:$V676)+1,IF(AND($T677&lt;&gt;"",$T677=$T676),$U676,IF(C677="x",V676,"")))</f>
        <v/>
      </c>
      <c r="W677" t="str" cm="1">
        <f t="array" ref="W677">IFERROR(_xlfn._xlws.FILTER(game_rosters!AB:AB,(game_rosters!J:J=events!X677)*(K677&lt;&gt;"")),"")</f>
        <v/>
      </c>
      <c r="X677" t="str" cm="1">
        <f t="array" ref="X677">IF(S677="","",IF($I677&lt;&gt;"",$I677,INDEX($I$2:$I676,ROW()-COUNTIFS($T$2:$T676,"="&amp;$T677,$S$2:$S676,"&lt;&gt;"&amp;$S677)-1)))</f>
        <v/>
      </c>
      <c r="Z677" s="6"/>
      <c r="AI677" t="str">
        <f t="shared" si="169"/>
        <v/>
      </c>
      <c r="BI677" s="40"/>
      <c r="BL677" s="40"/>
      <c r="BN677" s="19"/>
      <c r="BP677" s="17"/>
    </row>
    <row r="678" spans="1:68" x14ac:dyDescent="0.2">
      <c r="A678" t="str">
        <f t="shared" si="167"/>
        <v/>
      </c>
      <c r="E678" s="4"/>
      <c r="F678" s="45"/>
      <c r="G678" s="4"/>
      <c r="H678" s="48"/>
      <c r="J678" s="46" t="str">
        <f t="shared" si="168"/>
        <v/>
      </c>
      <c r="N678" t="str">
        <f t="shared" si="171"/>
        <v/>
      </c>
      <c r="Q678" t="str">
        <f t="shared" si="170"/>
        <v/>
      </c>
      <c r="S678" t="str">
        <f>IF(A678=1,MAX(S$2:S677)+1,IF(OR(I678&lt;&gt;"",A678="x"),S677,""))</f>
        <v/>
      </c>
      <c r="T678" t="str">
        <f>IF(D678=1,MAX($T$2:$T677)+1,IF(S678=$S677,$S677,IF($D678="x",T677,IF($D677="x","",""))))</f>
        <v/>
      </c>
      <c r="U678" t="str">
        <f>IF(B678=1,MAX($U$2:$U677)+1,IF(AND($T678&lt;&gt;"",$T678=$T677),$U677,IF(B678="x",U677,"")))</f>
        <v/>
      </c>
      <c r="V678" t="str">
        <f>IF(C678=1,MAX($V$2:$V677)+1,IF(AND($T678&lt;&gt;"",$T678=$T677),$U677,IF(C678="x",V677,"")))</f>
        <v/>
      </c>
      <c r="W678" t="str" cm="1">
        <f t="array" ref="W678">IFERROR(_xlfn._xlws.FILTER(game_rosters!AB:AB,(game_rosters!J:J=events!X678)*(K678&lt;&gt;"")),"")</f>
        <v/>
      </c>
      <c r="X678" t="str" cm="1">
        <f t="array" ref="X678">IF(S678="","",IF($I678&lt;&gt;"",$I678,INDEX($I$2:$I677,ROW()-COUNTIFS($T$2:$T677,"="&amp;$T678,$S$2:$S677,"&lt;&gt;"&amp;$S678)-1)))</f>
        <v/>
      </c>
      <c r="Z678" s="6"/>
      <c r="AI678" t="str">
        <f t="shared" si="169"/>
        <v/>
      </c>
      <c r="BI678" s="40"/>
      <c r="BL678" s="40"/>
      <c r="BN678" s="19"/>
      <c r="BP678" s="17"/>
    </row>
    <row r="679" spans="1:68" x14ac:dyDescent="0.2">
      <c r="A679" t="str">
        <f t="shared" si="167"/>
        <v/>
      </c>
      <c r="E679" s="4"/>
      <c r="F679" s="45"/>
      <c r="G679" s="4"/>
      <c r="H679" s="48"/>
      <c r="J679" s="46" t="str">
        <f t="shared" si="168"/>
        <v/>
      </c>
      <c r="N679" t="str">
        <f t="shared" si="171"/>
        <v/>
      </c>
      <c r="Q679" t="str">
        <f t="shared" si="170"/>
        <v/>
      </c>
      <c r="S679" t="str">
        <f>IF(A679=1,MAX(S$2:S678)+1,IF(OR(I679&lt;&gt;"",A679="x"),S678,""))</f>
        <v/>
      </c>
      <c r="T679" t="str">
        <f>IF(D679=1,MAX($T$2:$T678)+1,IF(S679=$S678,$S678,IF($D679="x",T678,IF($D678="x","",""))))</f>
        <v/>
      </c>
      <c r="U679" t="str">
        <f>IF(B679=1,MAX($U$2:$U678)+1,IF(AND($T679&lt;&gt;"",$T679=$T678),$U678,IF(B679="x",U678,"")))</f>
        <v/>
      </c>
      <c r="V679" t="str">
        <f>IF(C679=1,MAX($V$2:$V678)+1,IF(AND($T679&lt;&gt;"",$T679=$T678),$U678,IF(C679="x",V678,"")))</f>
        <v/>
      </c>
      <c r="W679" t="str" cm="1">
        <f t="array" ref="W679">IFERROR(_xlfn._xlws.FILTER(game_rosters!AB:AB,(game_rosters!J:J=events!X679)*(K679&lt;&gt;"")),"")</f>
        <v/>
      </c>
      <c r="X679" t="str" cm="1">
        <f t="array" ref="X679">IF(S679="","",IF($I679&lt;&gt;"",$I679,INDEX($I$2:$I678,ROW()-COUNTIFS($T$2:$T678,"="&amp;$T679,$S$2:$S678,"&lt;&gt;"&amp;$S679)-1)))</f>
        <v/>
      </c>
      <c r="Z679" s="6"/>
      <c r="AI679" t="str">
        <f t="shared" si="169"/>
        <v/>
      </c>
      <c r="BI679" s="40"/>
      <c r="BL679" s="40"/>
      <c r="BN679" s="19"/>
      <c r="BP679" s="17"/>
    </row>
    <row r="680" spans="1:68" x14ac:dyDescent="0.2">
      <c r="A680" t="str">
        <f t="shared" si="167"/>
        <v/>
      </c>
      <c r="E680" s="4"/>
      <c r="F680" s="45"/>
      <c r="G680" s="4"/>
      <c r="H680" s="48"/>
      <c r="J680" s="46" t="str">
        <f t="shared" si="168"/>
        <v/>
      </c>
      <c r="N680" t="str">
        <f t="shared" si="171"/>
        <v/>
      </c>
      <c r="Q680" t="str">
        <f t="shared" si="170"/>
        <v/>
      </c>
      <c r="S680" t="str">
        <f>IF(A680=1,MAX(S$2:S679)+1,IF(OR(I680&lt;&gt;"",A680="x"),S679,""))</f>
        <v/>
      </c>
      <c r="T680" t="str">
        <f>IF(D680=1,MAX($T$2:$T679)+1,IF(S680=$S679,$S679,IF($D680="x",T679,IF($D679="x","",""))))</f>
        <v/>
      </c>
      <c r="U680" t="str">
        <f>IF(B680=1,MAX($U$2:$U679)+1,IF(AND($T680&lt;&gt;"",$T680=$T679),$U679,IF(B680="x",U679,"")))</f>
        <v/>
      </c>
      <c r="V680" t="str">
        <f>IF(C680=1,MAX($V$2:$V679)+1,IF(AND($T680&lt;&gt;"",$T680=$T679),$U679,IF(C680="x",V679,"")))</f>
        <v/>
      </c>
      <c r="W680" t="str" cm="1">
        <f t="array" ref="W680">IFERROR(_xlfn._xlws.FILTER(game_rosters!AB:AB,(game_rosters!J:J=events!X680)*(K680&lt;&gt;"")),"")</f>
        <v/>
      </c>
      <c r="X680" t="str" cm="1">
        <f t="array" ref="X680">IF(S680="","",IF($I680&lt;&gt;"",$I680,INDEX($I$2:$I679,ROW()-COUNTIFS($T$2:$T679,"="&amp;$T680,$S$2:$S679,"&lt;&gt;"&amp;$S680)-1)))</f>
        <v/>
      </c>
      <c r="Z680" s="6"/>
      <c r="AI680" t="str">
        <f t="shared" si="169"/>
        <v/>
      </c>
      <c r="BI680" s="40"/>
      <c r="BL680" s="40"/>
      <c r="BN680" s="19"/>
      <c r="BP680" s="17"/>
    </row>
    <row r="681" spans="1:68" x14ac:dyDescent="0.2">
      <c r="A681" t="str">
        <f t="shared" si="167"/>
        <v/>
      </c>
      <c r="E681" s="4"/>
      <c r="F681" s="45"/>
      <c r="G681" s="4"/>
      <c r="H681" s="48"/>
      <c r="J681" s="46" t="str">
        <f t="shared" si="168"/>
        <v/>
      </c>
      <c r="N681" t="str">
        <f t="shared" si="171"/>
        <v/>
      </c>
      <c r="Q681" t="str">
        <f t="shared" si="170"/>
        <v/>
      </c>
      <c r="S681" t="str">
        <f>IF(A681=1,MAX(S$2:S680)+1,IF(OR(I681&lt;&gt;"",A681="x"),S680,""))</f>
        <v/>
      </c>
      <c r="T681" t="str">
        <f>IF(D681=1,MAX($T$2:$T680)+1,IF(S681=$S680,$S680,IF($D681="x",T680,IF($D680="x","",""))))</f>
        <v/>
      </c>
      <c r="U681" t="str">
        <f>IF(B681=1,MAX($U$2:$U680)+1,IF(AND($T681&lt;&gt;"",$T681=$T680),$U680,IF(B681="x",U680,"")))</f>
        <v/>
      </c>
      <c r="V681" t="str">
        <f>IF(C681=1,MAX($V$2:$V680)+1,IF(AND($T681&lt;&gt;"",$T681=$T680),$U680,IF(C681="x",V680,"")))</f>
        <v/>
      </c>
      <c r="W681" t="str" cm="1">
        <f t="array" ref="W681">IFERROR(_xlfn._xlws.FILTER(game_rosters!AB:AB,(game_rosters!J:J=events!X681)*(K681&lt;&gt;"")),"")</f>
        <v/>
      </c>
      <c r="X681" t="str" cm="1">
        <f t="array" ref="X681">IF(S681="","",IF($I681&lt;&gt;"",$I681,INDEX($I$2:$I680,ROW()-COUNTIFS($T$2:$T680,"="&amp;$T681,$S$2:$S680,"&lt;&gt;"&amp;$S681)-1)))</f>
        <v/>
      </c>
      <c r="Z681" s="6"/>
      <c r="AI681" t="str">
        <f t="shared" si="169"/>
        <v/>
      </c>
      <c r="BI681" s="40"/>
      <c r="BL681" s="40"/>
      <c r="BN681" s="19"/>
      <c r="BP681" s="17"/>
    </row>
    <row r="682" spans="1:68" x14ac:dyDescent="0.2">
      <c r="A682" t="str">
        <f t="shared" si="167"/>
        <v/>
      </c>
      <c r="E682" s="4"/>
      <c r="F682" s="45"/>
      <c r="G682" s="4"/>
      <c r="H682" s="48"/>
      <c r="J682" s="46" t="str">
        <f t="shared" si="168"/>
        <v/>
      </c>
      <c r="N682" t="str">
        <f t="shared" si="171"/>
        <v/>
      </c>
      <c r="Q682" t="str">
        <f t="shared" si="170"/>
        <v/>
      </c>
      <c r="S682" t="str">
        <f>IF(A682=1,MAX(S$2:S681)+1,IF(OR(I682&lt;&gt;"",A682="x"),S681,""))</f>
        <v/>
      </c>
      <c r="T682" t="str">
        <f>IF(D682=1,MAX($T$2:$T681)+1,IF(S682=$S681,$S681,IF($D682="x",T681,IF($D681="x","",""))))</f>
        <v/>
      </c>
      <c r="U682" t="str">
        <f>IF(B682=1,MAX($U$2:$U681)+1,IF(AND($T682&lt;&gt;"",$T682=$T681),$U681,IF(B682="x",U681,"")))</f>
        <v/>
      </c>
      <c r="V682" t="str">
        <f>IF(C682=1,MAX($V$2:$V681)+1,IF(AND($T682&lt;&gt;"",$T682=$T681),$U681,IF(C682="x",V681,"")))</f>
        <v/>
      </c>
      <c r="W682" t="str" cm="1">
        <f t="array" ref="W682">IFERROR(_xlfn._xlws.FILTER(game_rosters!AB:AB,(game_rosters!J:J=events!X682)*(K682&lt;&gt;"")),"")</f>
        <v/>
      </c>
      <c r="X682" t="str" cm="1">
        <f t="array" ref="X682">IF(S682="","",IF($I682&lt;&gt;"",$I682,INDEX($I$2:$I681,ROW()-COUNTIFS($T$2:$T681,"="&amp;$T682,$S$2:$S681,"&lt;&gt;"&amp;$S682)-1)))</f>
        <v/>
      </c>
      <c r="Z682" s="6"/>
      <c r="AI682" t="str">
        <f t="shared" si="169"/>
        <v/>
      </c>
      <c r="BI682" s="40"/>
      <c r="BL682" s="40"/>
      <c r="BN682" s="19"/>
      <c r="BP682" s="17"/>
    </row>
    <row r="683" spans="1:68" x14ac:dyDescent="0.2">
      <c r="A683" t="str">
        <f t="shared" si="167"/>
        <v/>
      </c>
      <c r="E683" s="4"/>
      <c r="F683" s="45"/>
      <c r="G683" s="4"/>
      <c r="H683" s="48"/>
      <c r="J683" s="46" t="str">
        <f t="shared" si="168"/>
        <v/>
      </c>
      <c r="N683" t="str">
        <f t="shared" si="171"/>
        <v/>
      </c>
      <c r="Q683" t="str">
        <f t="shared" si="170"/>
        <v/>
      </c>
      <c r="S683" t="str">
        <f>IF(A683=1,MAX(S$2:S682)+1,IF(OR(I683&lt;&gt;"",A683="x"),S682,""))</f>
        <v/>
      </c>
      <c r="T683" t="str">
        <f>IF(D683=1,MAX($T$2:$T682)+1,IF(S683=$S682,$S682,IF($D683="x",T682,IF($D682="x","",""))))</f>
        <v/>
      </c>
      <c r="U683" t="str">
        <f>IF(B683=1,MAX($U$2:$U682)+1,IF(AND($T683&lt;&gt;"",$T683=$T682),$U682,IF(B683="x",U682,"")))</f>
        <v/>
      </c>
      <c r="V683" t="str">
        <f>IF(C683=1,MAX($V$2:$V682)+1,IF(AND($T683&lt;&gt;"",$T683=$T682),$U682,IF(C683="x",V682,"")))</f>
        <v/>
      </c>
      <c r="W683" t="str" cm="1">
        <f t="array" ref="W683">IFERROR(_xlfn._xlws.FILTER(game_rosters!AB:AB,(game_rosters!J:J=events!X683)*(K683&lt;&gt;"")),"")</f>
        <v/>
      </c>
      <c r="X683" t="str" cm="1">
        <f t="array" ref="X683">IF(S683="","",IF($I683&lt;&gt;"",$I683,INDEX($I$2:$I682,ROW()-COUNTIFS($T$2:$T682,"="&amp;$T683,$S$2:$S682,"&lt;&gt;"&amp;$S683)-1)))</f>
        <v/>
      </c>
      <c r="Z683" s="6"/>
      <c r="AI683" t="str">
        <f t="shared" si="169"/>
        <v/>
      </c>
      <c r="BI683" s="40"/>
      <c r="BL683" s="40"/>
      <c r="BN683" s="19"/>
      <c r="BP683" s="17"/>
    </row>
    <row r="684" spans="1:68" x14ac:dyDescent="0.2">
      <c r="A684" t="str">
        <f t="shared" si="167"/>
        <v/>
      </c>
      <c r="E684" s="4"/>
      <c r="F684" s="45"/>
      <c r="G684" s="4"/>
      <c r="H684" s="48"/>
      <c r="J684" s="46" t="str">
        <f t="shared" si="168"/>
        <v/>
      </c>
      <c r="N684" t="str">
        <f t="shared" si="171"/>
        <v/>
      </c>
      <c r="Q684" t="str">
        <f t="shared" si="170"/>
        <v/>
      </c>
      <c r="S684" t="str">
        <f>IF(A684=1,MAX(S$2:S683)+1,IF(OR(I684&lt;&gt;"",A684="x"),S683,""))</f>
        <v/>
      </c>
      <c r="T684" t="str">
        <f>IF(D684=1,MAX($T$2:$T683)+1,IF(S684=$S683,$S683,IF($D684="x",T683,IF($D683="x","",""))))</f>
        <v/>
      </c>
      <c r="U684" t="str">
        <f>IF(B684=1,MAX($U$2:$U683)+1,IF(AND($T684&lt;&gt;"",$T684=$T683),$U683,IF(B684="x",U683,"")))</f>
        <v/>
      </c>
      <c r="V684" t="str">
        <f>IF(C684=1,MAX($V$2:$V683)+1,IF(AND($T684&lt;&gt;"",$T684=$T683),$U683,IF(C684="x",V683,"")))</f>
        <v/>
      </c>
      <c r="W684" t="str" cm="1">
        <f t="array" ref="W684">IFERROR(_xlfn._xlws.FILTER(game_rosters!AB:AB,(game_rosters!J:J=events!X684)*(K684&lt;&gt;"")),"")</f>
        <v/>
      </c>
      <c r="X684" t="str" cm="1">
        <f t="array" ref="X684">IF(S684="","",IF($I684&lt;&gt;"",$I684,INDEX($I$2:$I683,ROW()-COUNTIFS($T$2:$T683,"="&amp;$T684,$S$2:$S683,"&lt;&gt;"&amp;$S684)-1)))</f>
        <v/>
      </c>
      <c r="Z684" s="6"/>
      <c r="AI684" t="str">
        <f t="shared" si="169"/>
        <v/>
      </c>
      <c r="BI684" s="40"/>
      <c r="BL684" s="40"/>
      <c r="BN684" s="19"/>
      <c r="BP684" s="17"/>
    </row>
    <row r="685" spans="1:68" x14ac:dyDescent="0.2">
      <c r="A685" t="str">
        <f t="shared" si="167"/>
        <v/>
      </c>
      <c r="E685" s="4"/>
      <c r="F685" s="45"/>
      <c r="G685" s="4"/>
      <c r="H685" s="48"/>
      <c r="J685" s="46" t="str">
        <f t="shared" si="168"/>
        <v/>
      </c>
      <c r="N685" t="str">
        <f t="shared" si="171"/>
        <v/>
      </c>
      <c r="Q685" t="str">
        <f t="shared" si="170"/>
        <v/>
      </c>
      <c r="S685" t="str">
        <f>IF(A685=1,MAX(S$2:S684)+1,IF(OR(I685&lt;&gt;"",A685="x"),S684,""))</f>
        <v/>
      </c>
      <c r="T685" t="str">
        <f>IF(D685=1,MAX($T$2:$T684)+1,IF(S685=$S684,$S684,IF($D685="x",T684,IF($D684="x","",""))))</f>
        <v/>
      </c>
      <c r="U685" t="str">
        <f>IF(B685=1,MAX($U$2:$U684)+1,IF(AND($T685&lt;&gt;"",$T685=$T684),$U684,IF(B685="x",U684,"")))</f>
        <v/>
      </c>
      <c r="V685" t="str">
        <f>IF(C685=1,MAX($V$2:$V684)+1,IF(AND($T685&lt;&gt;"",$T685=$T684),$U684,IF(C685="x",V684,"")))</f>
        <v/>
      </c>
      <c r="W685" t="str" cm="1">
        <f t="array" ref="W685">IFERROR(_xlfn._xlws.FILTER(game_rosters!AB:AB,(game_rosters!J:J=events!X685)*(K685&lt;&gt;"")),"")</f>
        <v/>
      </c>
      <c r="X685" t="str" cm="1">
        <f t="array" ref="X685">IF(S685="","",IF($I685&lt;&gt;"",$I685,INDEX($I$2:$I684,ROW()-COUNTIFS($T$2:$T684,"="&amp;$T685,$S$2:$S684,"&lt;&gt;"&amp;$S685)-1)))</f>
        <v/>
      </c>
      <c r="Z685" s="6"/>
      <c r="AI685" t="str">
        <f t="shared" si="169"/>
        <v/>
      </c>
      <c r="BI685" s="40"/>
      <c r="BL685" s="40"/>
      <c r="BN685" s="19"/>
      <c r="BP685" s="17"/>
    </row>
    <row r="686" spans="1:68" x14ac:dyDescent="0.2">
      <c r="A686" t="str">
        <f t="shared" si="167"/>
        <v/>
      </c>
      <c r="E686" s="4"/>
      <c r="F686" s="45"/>
      <c r="G686" s="4"/>
      <c r="H686" s="48"/>
      <c r="J686" s="46" t="str">
        <f t="shared" si="168"/>
        <v/>
      </c>
      <c r="N686" t="str">
        <f t="shared" si="171"/>
        <v/>
      </c>
      <c r="Q686" t="str">
        <f t="shared" si="170"/>
        <v/>
      </c>
      <c r="S686" t="str">
        <f>IF(A686=1,MAX(S$2:S685)+1,IF(OR(I686&lt;&gt;"",A686="x"),S685,""))</f>
        <v/>
      </c>
      <c r="T686" t="str">
        <f>IF(D686=1,MAX($T$2:$T685)+1,IF(S686=$S685,$S685,IF($D686="x",T685,IF($D685="x","",""))))</f>
        <v/>
      </c>
      <c r="U686" t="str">
        <f>IF(B686=1,MAX($U$2:$U685)+1,IF(AND($T686&lt;&gt;"",$T686=$T685),$U685,IF(B686="x",U685,"")))</f>
        <v/>
      </c>
      <c r="V686" t="str">
        <f>IF(C686=1,MAX($V$2:$V685)+1,IF(AND($T686&lt;&gt;"",$T686=$T685),$U685,IF(C686="x",V685,"")))</f>
        <v/>
      </c>
      <c r="W686" t="str" cm="1">
        <f t="array" ref="W686">IFERROR(_xlfn._xlws.FILTER(game_rosters!AB:AB,(game_rosters!J:J=events!X686)*(K686&lt;&gt;"")),"")</f>
        <v/>
      </c>
      <c r="X686" t="str" cm="1">
        <f t="array" ref="X686">IF(S686="","",IF($I686&lt;&gt;"",$I686,INDEX($I$2:$I685,ROW()-COUNTIFS($T$2:$T685,"="&amp;$T686,$S$2:$S685,"&lt;&gt;"&amp;$S686)-1)))</f>
        <v/>
      </c>
      <c r="Z686" s="6"/>
      <c r="AI686" t="str">
        <f t="shared" si="169"/>
        <v/>
      </c>
      <c r="BI686" s="40"/>
      <c r="BL686" s="40"/>
      <c r="BN686" s="19"/>
      <c r="BP686" s="17"/>
    </row>
    <row r="687" spans="1:68" x14ac:dyDescent="0.2">
      <c r="A687" t="str">
        <f t="shared" si="167"/>
        <v/>
      </c>
      <c r="E687" s="4"/>
      <c r="F687" s="45"/>
      <c r="G687" s="4"/>
      <c r="H687" s="48"/>
      <c r="J687" s="46" t="str">
        <f t="shared" si="168"/>
        <v/>
      </c>
      <c r="N687" t="str">
        <f t="shared" si="171"/>
        <v/>
      </c>
      <c r="Q687" t="str">
        <f t="shared" si="170"/>
        <v/>
      </c>
      <c r="S687" t="str">
        <f>IF(A687=1,MAX(S$2:S686)+1,IF(OR(I687&lt;&gt;"",A687="x"),S686,""))</f>
        <v/>
      </c>
      <c r="T687" t="str">
        <f>IF(D687=1,MAX($T$2:$T686)+1,IF(S687=$S686,$S686,IF($D687="x",T686,IF($D686="x","",""))))</f>
        <v/>
      </c>
      <c r="U687" t="str">
        <f>IF(B687=1,MAX($U$2:$U686)+1,IF(AND($T687&lt;&gt;"",$T687=$T686),$U686,IF(B687="x",U686,"")))</f>
        <v/>
      </c>
      <c r="V687" t="str">
        <f>IF(C687=1,MAX($V$2:$V686)+1,IF(AND($T687&lt;&gt;"",$T687=$T686),$U686,IF(C687="x",V686,"")))</f>
        <v/>
      </c>
      <c r="W687" t="str" cm="1">
        <f t="array" ref="W687">IFERROR(_xlfn._xlws.FILTER(game_rosters!AB:AB,(game_rosters!J:J=events!X687)*(K687&lt;&gt;"")),"")</f>
        <v/>
      </c>
      <c r="X687" t="str" cm="1">
        <f t="array" ref="X687">IF(S687="","",IF($I687&lt;&gt;"",$I687,INDEX($I$2:$I686,ROW()-COUNTIFS($T$2:$T686,"="&amp;$T687,$S$2:$S686,"&lt;&gt;"&amp;$S687)-1)))</f>
        <v/>
      </c>
      <c r="Z687" s="6"/>
      <c r="AI687" t="str">
        <f t="shared" si="169"/>
        <v/>
      </c>
      <c r="BI687" s="40"/>
      <c r="BL687" s="40"/>
      <c r="BN687" s="19"/>
      <c r="BP687" s="17"/>
    </row>
    <row r="688" spans="1:68" x14ac:dyDescent="0.2">
      <c r="A688" t="str">
        <f t="shared" si="167"/>
        <v/>
      </c>
      <c r="E688" s="4"/>
      <c r="F688" s="45"/>
      <c r="G688" s="4"/>
      <c r="H688" s="48"/>
      <c r="J688" s="46" t="str">
        <f t="shared" si="168"/>
        <v/>
      </c>
      <c r="N688" t="str">
        <f t="shared" si="171"/>
        <v/>
      </c>
      <c r="Q688" t="str">
        <f t="shared" si="170"/>
        <v/>
      </c>
      <c r="S688" t="str">
        <f>IF(A688=1,MAX(S$2:S687)+1,IF(OR(I688&lt;&gt;"",A688="x"),S687,""))</f>
        <v/>
      </c>
      <c r="T688" t="str">
        <f>IF(D688=1,MAX($T$2:$T687)+1,IF(S688=$S687,$S687,IF($D688="x",T687,IF($D687="x","",""))))</f>
        <v/>
      </c>
      <c r="U688" t="str">
        <f>IF(B688=1,MAX($U$2:$U687)+1,IF(AND($T688&lt;&gt;"",$T688=$T687),$U687,IF(B688="x",U687,"")))</f>
        <v/>
      </c>
      <c r="V688" t="str">
        <f>IF(C688=1,MAX($V$2:$V687)+1,IF(AND($T688&lt;&gt;"",$T688=$T687),$U687,IF(C688="x",V687,"")))</f>
        <v/>
      </c>
      <c r="W688" t="str" cm="1">
        <f t="array" ref="W688">IFERROR(_xlfn._xlws.FILTER(game_rosters!AB:AB,(game_rosters!J:J=events!X688)*(K688&lt;&gt;"")),"")</f>
        <v/>
      </c>
      <c r="X688" t="str" cm="1">
        <f t="array" ref="X688">IF(S688="","",IF($I688&lt;&gt;"",$I688,INDEX($I$2:$I687,ROW()-COUNTIFS($T$2:$T687,"="&amp;$T688,$S$2:$S687,"&lt;&gt;"&amp;$S688)-1)))</f>
        <v/>
      </c>
      <c r="Z688" s="6"/>
      <c r="AI688" t="str">
        <f t="shared" si="169"/>
        <v/>
      </c>
      <c r="BI688" s="40"/>
      <c r="BL688" s="40"/>
      <c r="BN688" s="19"/>
      <c r="BP688" s="17"/>
    </row>
    <row r="689" spans="1:68" x14ac:dyDescent="0.2">
      <c r="A689" t="str">
        <f t="shared" si="167"/>
        <v/>
      </c>
      <c r="E689" s="4"/>
      <c r="F689" s="45"/>
      <c r="G689" s="4"/>
      <c r="H689" s="48"/>
      <c r="J689" s="46" t="str">
        <f t="shared" si="168"/>
        <v/>
      </c>
      <c r="N689" t="str">
        <f t="shared" si="171"/>
        <v/>
      </c>
      <c r="Q689" t="str">
        <f t="shared" si="170"/>
        <v/>
      </c>
      <c r="S689" t="str">
        <f>IF(A689=1,MAX(S$2:S688)+1,IF(OR(I689&lt;&gt;"",A689="x"),S688,""))</f>
        <v/>
      </c>
      <c r="T689" t="str">
        <f>IF(D689=1,MAX($T$2:$T688)+1,IF(S689=$S688,$S688,IF($D689="x",T688,IF($D688="x","",""))))</f>
        <v/>
      </c>
      <c r="U689" t="str">
        <f>IF(B689=1,MAX($U$2:$U688)+1,IF(AND($T689&lt;&gt;"",$T689=$T688),$U688,IF(B689="x",U688,"")))</f>
        <v/>
      </c>
      <c r="V689" t="str">
        <f>IF(C689=1,MAX($V$2:$V688)+1,IF(AND($T689&lt;&gt;"",$T689=$T688),$U688,IF(C689="x",V688,"")))</f>
        <v/>
      </c>
      <c r="W689" t="str" cm="1">
        <f t="array" ref="W689">IFERROR(_xlfn._xlws.FILTER(game_rosters!AB:AB,(game_rosters!J:J=events!X689)*(K689&lt;&gt;"")),"")</f>
        <v/>
      </c>
      <c r="X689" t="str" cm="1">
        <f t="array" ref="X689">IF(S689="","",IF($I689&lt;&gt;"",$I689,INDEX($I$2:$I688,ROW()-COUNTIFS($T$2:$T688,"="&amp;$T689,$S$2:$S688,"&lt;&gt;"&amp;$S689)-1)))</f>
        <v/>
      </c>
      <c r="Z689" s="6"/>
      <c r="AI689" t="str">
        <f t="shared" si="169"/>
        <v/>
      </c>
      <c r="BI689" s="40"/>
      <c r="BL689" s="40"/>
      <c r="BN689" s="19"/>
      <c r="BP689" s="17"/>
    </row>
    <row r="690" spans="1:68" x14ac:dyDescent="0.2">
      <c r="A690" t="str">
        <f t="shared" si="167"/>
        <v/>
      </c>
      <c r="E690" s="4"/>
      <c r="F690" s="45"/>
      <c r="G690" s="4"/>
      <c r="H690" s="48"/>
      <c r="J690" s="46" t="str">
        <f t="shared" si="168"/>
        <v/>
      </c>
      <c r="N690" t="str">
        <f t="shared" si="171"/>
        <v/>
      </c>
      <c r="Q690" t="str">
        <f t="shared" si="170"/>
        <v/>
      </c>
      <c r="S690" t="str">
        <f>IF(A690=1,MAX(S$2:S689)+1,IF(OR(I690&lt;&gt;"",A690="x"),S689,""))</f>
        <v/>
      </c>
      <c r="T690" t="str">
        <f>IF(D690=1,MAX($T$2:$T689)+1,IF(S690=$S689,$S689,IF($D690="x",T689,IF($D689="x","",""))))</f>
        <v/>
      </c>
      <c r="U690" t="str">
        <f>IF(B690=1,MAX($U$2:$U689)+1,IF(AND($T690&lt;&gt;"",$T690=$T689),$U689,IF(B690="x",U689,"")))</f>
        <v/>
      </c>
      <c r="V690" t="str">
        <f>IF(C690=1,MAX($V$2:$V689)+1,IF(AND($T690&lt;&gt;"",$T690=$T689),$U689,IF(C690="x",V689,"")))</f>
        <v/>
      </c>
      <c r="W690" t="str" cm="1">
        <f t="array" ref="W690">IFERROR(_xlfn._xlws.FILTER(game_rosters!AB:AB,(game_rosters!J:J=events!X690)*(K690&lt;&gt;"")),"")</f>
        <v/>
      </c>
      <c r="X690" t="str" cm="1">
        <f t="array" ref="X690">IF(S690="","",IF($I690&lt;&gt;"",$I690,INDEX($I$2:$I689,ROW()-COUNTIFS($T$2:$T689,"="&amp;$T690,$S$2:$S689,"&lt;&gt;"&amp;$S690)-1)))</f>
        <v/>
      </c>
      <c r="Z690" s="6"/>
      <c r="AI690" t="str">
        <f t="shared" si="169"/>
        <v/>
      </c>
      <c r="BI690" s="40"/>
      <c r="BL690" s="40"/>
      <c r="BN690" s="19"/>
      <c r="BP690" s="17"/>
    </row>
    <row r="691" spans="1:68" x14ac:dyDescent="0.2">
      <c r="A691" t="str">
        <f t="shared" si="167"/>
        <v/>
      </c>
      <c r="E691" s="4"/>
      <c r="F691" s="45"/>
      <c r="G691" s="4"/>
      <c r="H691" s="48"/>
      <c r="J691" s="46" t="str">
        <f t="shared" si="168"/>
        <v/>
      </c>
      <c r="N691" t="str">
        <f t="shared" si="171"/>
        <v/>
      </c>
      <c r="Q691" t="str">
        <f t="shared" si="170"/>
        <v/>
      </c>
      <c r="S691" t="str">
        <f>IF(A691=1,MAX(S$2:S690)+1,IF(OR(I691&lt;&gt;"",A691="x"),S690,""))</f>
        <v/>
      </c>
      <c r="T691" t="str">
        <f>IF(D691=1,MAX($T$2:$T690)+1,IF(S691=$S690,$S690,IF($D691="x",T690,IF($D690="x","",""))))</f>
        <v/>
      </c>
      <c r="U691" t="str">
        <f>IF(B691=1,MAX($U$2:$U690)+1,IF(AND($T691&lt;&gt;"",$T691=$T690),$U690,IF(B691="x",U690,"")))</f>
        <v/>
      </c>
      <c r="V691" t="str">
        <f>IF(C691=1,MAX($V$2:$V690)+1,IF(AND($T691&lt;&gt;"",$T691=$T690),$U690,IF(C691="x",V690,"")))</f>
        <v/>
      </c>
      <c r="W691" t="str" cm="1">
        <f t="array" ref="W691">IFERROR(_xlfn._xlws.FILTER(game_rosters!AB:AB,(game_rosters!J:J=events!X691)*(K691&lt;&gt;"")),"")</f>
        <v/>
      </c>
      <c r="X691" t="str" cm="1">
        <f t="array" ref="X691">IF(S691="","",IF($I691&lt;&gt;"",$I691,INDEX($I$2:$I690,ROW()-COUNTIFS($T$2:$T690,"="&amp;$T691,$S$2:$S690,"&lt;&gt;"&amp;$S691)-1)))</f>
        <v/>
      </c>
      <c r="Z691" s="6"/>
      <c r="AI691" t="str">
        <f t="shared" si="169"/>
        <v/>
      </c>
      <c r="BI691" s="40"/>
      <c r="BL691" s="40"/>
      <c r="BN691" s="19"/>
      <c r="BP691" s="17"/>
    </row>
    <row r="692" spans="1:68" x14ac:dyDescent="0.2">
      <c r="A692" t="str">
        <f t="shared" si="167"/>
        <v/>
      </c>
      <c r="E692" s="4"/>
      <c r="F692" s="45"/>
      <c r="G692" s="4"/>
      <c r="H692" s="48"/>
      <c r="J692" s="46" t="str">
        <f t="shared" si="168"/>
        <v/>
      </c>
      <c r="N692" t="str">
        <f t="shared" si="171"/>
        <v/>
      </c>
      <c r="Q692" t="str">
        <f t="shared" si="170"/>
        <v/>
      </c>
      <c r="S692" t="str">
        <f>IF(A692=1,MAX(S$2:S691)+1,IF(OR(I692&lt;&gt;"",A692="x"),S691,""))</f>
        <v/>
      </c>
      <c r="T692" t="str">
        <f>IF(D692=1,MAX($T$2:$T691)+1,IF(S692=$S691,$S691,IF($D692="x",T691,IF($D691="x","",""))))</f>
        <v/>
      </c>
      <c r="U692" t="str">
        <f>IF(B692=1,MAX($U$2:$U691)+1,IF(AND($T692&lt;&gt;"",$T692=$T691),$U691,IF(B692="x",U691,"")))</f>
        <v/>
      </c>
      <c r="V692" t="str">
        <f>IF(C692=1,MAX($V$2:$V691)+1,IF(AND($T692&lt;&gt;"",$T692=$T691),$U691,IF(C692="x",V691,"")))</f>
        <v/>
      </c>
      <c r="W692" t="str" cm="1">
        <f t="array" ref="W692">IFERROR(_xlfn._xlws.FILTER(game_rosters!AB:AB,(game_rosters!J:J=events!X692)*(K692&lt;&gt;"")),"")</f>
        <v/>
      </c>
      <c r="X692" t="str" cm="1">
        <f t="array" ref="X692">IF(S692="","",IF($I692&lt;&gt;"",$I692,INDEX($I$2:$I691,ROW()-COUNTIFS($T$2:$T691,"="&amp;$T692,$S$2:$S691,"&lt;&gt;"&amp;$S692)-1)))</f>
        <v/>
      </c>
      <c r="Z692" s="6"/>
      <c r="AI692" t="str">
        <f t="shared" si="169"/>
        <v/>
      </c>
      <c r="BI692" s="40"/>
      <c r="BL692" s="40"/>
      <c r="BN692" s="19"/>
      <c r="BP692" s="17"/>
    </row>
    <row r="693" spans="1:68" x14ac:dyDescent="0.2">
      <c r="A693" t="str">
        <f t="shared" si="167"/>
        <v/>
      </c>
      <c r="E693" s="4"/>
      <c r="F693" s="45"/>
      <c r="G693" s="4"/>
      <c r="H693" s="48"/>
      <c r="J693" s="46" t="str">
        <f t="shared" si="168"/>
        <v/>
      </c>
      <c r="N693" t="str">
        <f t="shared" si="171"/>
        <v/>
      </c>
      <c r="Q693" t="str">
        <f t="shared" si="170"/>
        <v/>
      </c>
      <c r="S693" t="str">
        <f>IF(A693=1,MAX(S$2:S692)+1,IF(OR(I693&lt;&gt;"",A693="x"),S692,""))</f>
        <v/>
      </c>
      <c r="T693" t="str">
        <f>IF(D693=1,MAX($T$2:$T692)+1,IF(S693=$S692,$S692,IF($D693="x",T692,IF($D692="x","",""))))</f>
        <v/>
      </c>
      <c r="U693" t="str">
        <f>IF(B693=1,MAX($U$2:$U692)+1,IF(AND($T693&lt;&gt;"",$T693=$T692),$U692,IF(B693="x",U692,"")))</f>
        <v/>
      </c>
      <c r="V693" t="str">
        <f>IF(C693=1,MAX($V$2:$V692)+1,IF(AND($T693&lt;&gt;"",$T693=$T692),$U692,IF(C693="x",V692,"")))</f>
        <v/>
      </c>
      <c r="W693" t="str" cm="1">
        <f t="array" ref="W693">IFERROR(_xlfn._xlws.FILTER(game_rosters!AB:AB,(game_rosters!J:J=events!X693)*(K693&lt;&gt;"")),"")</f>
        <v/>
      </c>
      <c r="X693" t="str" cm="1">
        <f t="array" ref="X693">IF(S693="","",IF($I693&lt;&gt;"",$I693,INDEX($I$2:$I692,ROW()-COUNTIFS($T$2:$T692,"="&amp;$T693,$S$2:$S692,"&lt;&gt;"&amp;$S693)-1)))</f>
        <v/>
      </c>
      <c r="Z693" s="6"/>
      <c r="AI693" t="str">
        <f t="shared" si="169"/>
        <v/>
      </c>
      <c r="BI693" s="40"/>
      <c r="BL693" s="40"/>
      <c r="BN693" s="19"/>
      <c r="BP693" s="17"/>
    </row>
    <row r="694" spans="1:68" x14ac:dyDescent="0.2">
      <c r="A694" t="str">
        <f t="shared" si="167"/>
        <v/>
      </c>
      <c r="E694" s="4"/>
      <c r="F694" s="45"/>
      <c r="G694" s="4"/>
      <c r="H694" s="48"/>
      <c r="J694" s="46" t="str">
        <f t="shared" si="168"/>
        <v/>
      </c>
      <c r="N694" t="str">
        <f t="shared" si="171"/>
        <v/>
      </c>
      <c r="Q694" t="str">
        <f t="shared" si="170"/>
        <v/>
      </c>
      <c r="S694" t="str">
        <f>IF(A694=1,MAX(S$2:S693)+1,IF(OR(I694&lt;&gt;"",A694="x"),S693,""))</f>
        <v/>
      </c>
      <c r="T694" t="str">
        <f>IF(D694=1,MAX($T$2:$T693)+1,IF(S694=$S693,$S693,IF($D694="x",T693,IF($D693="x","",""))))</f>
        <v/>
      </c>
      <c r="U694" t="str">
        <f>IF(B694=1,MAX($U$2:$U693)+1,IF(AND($T694&lt;&gt;"",$T694=$T693),$U693,IF(B694="x",U693,"")))</f>
        <v/>
      </c>
      <c r="V694" t="str">
        <f>IF(C694=1,MAX($V$2:$V693)+1,IF(AND($T694&lt;&gt;"",$T694=$T693),$U693,IF(C694="x",V693,"")))</f>
        <v/>
      </c>
      <c r="W694" t="str" cm="1">
        <f t="array" ref="W694">IFERROR(_xlfn._xlws.FILTER(game_rosters!AB:AB,(game_rosters!J:J=events!X694)*(K694&lt;&gt;"")),"")</f>
        <v/>
      </c>
      <c r="X694" t="str" cm="1">
        <f t="array" ref="X694">IF(S694="","",IF($I694&lt;&gt;"",$I694,INDEX($I$2:$I693,ROW()-COUNTIFS($T$2:$T693,"="&amp;$T694,$S$2:$S693,"&lt;&gt;"&amp;$S694)-1)))</f>
        <v/>
      </c>
      <c r="Z694" s="6"/>
      <c r="AI694" t="str">
        <f t="shared" si="169"/>
        <v/>
      </c>
      <c r="BI694" s="40"/>
      <c r="BL694" s="40"/>
      <c r="BN694" s="19"/>
      <c r="BP694" s="17"/>
    </row>
    <row r="695" spans="1:68" x14ac:dyDescent="0.2">
      <c r="A695" t="str">
        <f t="shared" si="167"/>
        <v/>
      </c>
      <c r="E695" s="4"/>
      <c r="F695" s="45"/>
      <c r="G695" s="4"/>
      <c r="H695" s="48"/>
      <c r="J695" s="46" t="str">
        <f t="shared" si="168"/>
        <v/>
      </c>
      <c r="N695" t="str">
        <f t="shared" si="171"/>
        <v/>
      </c>
      <c r="Q695" t="str">
        <f t="shared" si="170"/>
        <v/>
      </c>
      <c r="S695" t="str">
        <f>IF(A695=1,MAX(S$2:S694)+1,IF(OR(I695&lt;&gt;"",A695="x"),S694,""))</f>
        <v/>
      </c>
      <c r="T695" t="str">
        <f>IF(D695=1,MAX($T$2:$T694)+1,IF(S695=$S694,$S694,IF($D695="x",T694,IF($D694="x","",""))))</f>
        <v/>
      </c>
      <c r="U695" t="str">
        <f>IF(B695=1,MAX($U$2:$U694)+1,IF(AND($T695&lt;&gt;"",$T695=$T694),$U694,IF(B695="x",U694,"")))</f>
        <v/>
      </c>
      <c r="V695" t="str">
        <f>IF(C695=1,MAX($V$2:$V694)+1,IF(AND($T695&lt;&gt;"",$T695=$T694),$U694,IF(C695="x",V694,"")))</f>
        <v/>
      </c>
      <c r="W695" t="str" cm="1">
        <f t="array" ref="W695">IFERROR(_xlfn._xlws.FILTER(game_rosters!AB:AB,(game_rosters!J:J=events!X695)*(K695&lt;&gt;"")),"")</f>
        <v/>
      </c>
      <c r="X695" t="str" cm="1">
        <f t="array" ref="X695">IF(S695="","",IF($I695&lt;&gt;"",$I695,INDEX($I$2:$I694,ROW()-COUNTIFS($T$2:$T694,"="&amp;$T695,$S$2:$S694,"&lt;&gt;"&amp;$S695)-1)))</f>
        <v/>
      </c>
      <c r="Z695" s="6"/>
      <c r="AI695" t="str">
        <f t="shared" si="169"/>
        <v/>
      </c>
      <c r="BI695" s="40"/>
      <c r="BL695" s="40"/>
      <c r="BN695" s="19"/>
      <c r="BP695" s="17"/>
    </row>
    <row r="696" spans="1:68" x14ac:dyDescent="0.2">
      <c r="A696" t="str">
        <f t="shared" si="167"/>
        <v/>
      </c>
      <c r="E696" s="4"/>
      <c r="F696" s="45"/>
      <c r="G696" s="4"/>
      <c r="H696" s="48"/>
      <c r="J696" s="46" t="str">
        <f t="shared" si="168"/>
        <v/>
      </c>
      <c r="N696" t="str">
        <f t="shared" si="171"/>
        <v/>
      </c>
      <c r="Q696" t="str">
        <f t="shared" si="170"/>
        <v/>
      </c>
      <c r="S696" t="str">
        <f>IF(A696=1,MAX(S$2:S695)+1,IF(OR(I696&lt;&gt;"",A696="x"),S695,""))</f>
        <v/>
      </c>
      <c r="T696" t="str">
        <f>IF(D696=1,MAX($T$2:$T695)+1,IF(S696=$S695,$S695,IF($D696="x",T695,IF($D695="x","",""))))</f>
        <v/>
      </c>
      <c r="U696" t="str">
        <f>IF(B696=1,MAX($U$2:$U695)+1,IF(AND($T696&lt;&gt;"",$T696=$T695),$U695,IF(B696="x",U695,"")))</f>
        <v/>
      </c>
      <c r="V696" t="str">
        <f>IF(C696=1,MAX($V$2:$V695)+1,IF(AND($T696&lt;&gt;"",$T696=$T695),$U695,IF(C696="x",V695,"")))</f>
        <v/>
      </c>
      <c r="W696" t="str" cm="1">
        <f t="array" ref="W696">IFERROR(_xlfn._xlws.FILTER(game_rosters!AB:AB,(game_rosters!J:J=events!X696)*(K696&lt;&gt;"")),"")</f>
        <v/>
      </c>
      <c r="X696" t="str" cm="1">
        <f t="array" ref="X696">IF(S696="","",IF($I696&lt;&gt;"",$I696,INDEX($I$2:$I695,ROW()-COUNTIFS($T$2:$T695,"="&amp;$T696,$S$2:$S695,"&lt;&gt;"&amp;$S696)-1)))</f>
        <v/>
      </c>
      <c r="Z696" s="6"/>
      <c r="AI696" t="str">
        <f t="shared" si="169"/>
        <v/>
      </c>
      <c r="BI696" s="40"/>
      <c r="BL696" s="40"/>
      <c r="BN696" s="19"/>
      <c r="BP696" s="17"/>
    </row>
    <row r="697" spans="1:68" x14ac:dyDescent="0.2">
      <c r="A697" t="str">
        <f t="shared" si="167"/>
        <v/>
      </c>
      <c r="E697" s="4"/>
      <c r="F697" s="45"/>
      <c r="G697" s="4"/>
      <c r="H697" s="48"/>
      <c r="J697" s="46" t="str">
        <f t="shared" si="168"/>
        <v/>
      </c>
      <c r="N697" t="str">
        <f t="shared" si="171"/>
        <v/>
      </c>
      <c r="Q697" t="str">
        <f t="shared" si="170"/>
        <v/>
      </c>
      <c r="S697" t="str">
        <f>IF(A697=1,MAX(S$2:S696)+1,IF(OR(I697&lt;&gt;"",A697="x"),S696,""))</f>
        <v/>
      </c>
      <c r="T697" t="str">
        <f>IF(D697=1,MAX($T$2:$T696)+1,IF(S697=$S696,$S696,IF($D697="x",T696,IF($D696="x","",""))))</f>
        <v/>
      </c>
      <c r="U697" t="str">
        <f>IF(B697=1,MAX($U$2:$U696)+1,IF(AND($T697&lt;&gt;"",$T697=$T696),$U696,IF(B697="x",U696,"")))</f>
        <v/>
      </c>
      <c r="V697" t="str">
        <f>IF(C697=1,MAX($V$2:$V696)+1,IF(AND($T697&lt;&gt;"",$T697=$T696),$U696,IF(C697="x",V696,"")))</f>
        <v/>
      </c>
      <c r="W697" t="str" cm="1">
        <f t="array" ref="W697">IFERROR(_xlfn._xlws.FILTER(game_rosters!AB:AB,(game_rosters!J:J=events!X697)*(K697&lt;&gt;"")),"")</f>
        <v/>
      </c>
      <c r="X697" t="str" cm="1">
        <f t="array" ref="X697">IF(S697="","",IF($I697&lt;&gt;"",$I697,INDEX($I$2:$I696,ROW()-COUNTIFS($T$2:$T696,"="&amp;$T697,$S$2:$S696,"&lt;&gt;"&amp;$S697)-1)))</f>
        <v/>
      </c>
      <c r="Z697" s="6"/>
      <c r="AI697" t="str">
        <f t="shared" si="169"/>
        <v/>
      </c>
      <c r="BI697" s="40"/>
      <c r="BL697" s="40"/>
      <c r="BN697" s="19"/>
      <c r="BP697" s="17"/>
    </row>
    <row r="698" spans="1:68" x14ac:dyDescent="0.2">
      <c r="A698" t="str">
        <f t="shared" si="167"/>
        <v/>
      </c>
      <c r="E698" s="4"/>
      <c r="F698" s="45"/>
      <c r="G698" s="4"/>
      <c r="H698" s="48"/>
      <c r="J698" s="46" t="str">
        <f t="shared" si="168"/>
        <v/>
      </c>
      <c r="N698" t="str">
        <f t="shared" si="171"/>
        <v/>
      </c>
      <c r="Q698" t="str">
        <f t="shared" si="170"/>
        <v/>
      </c>
      <c r="S698" t="str">
        <f>IF(A698=1,MAX(S$2:S697)+1,IF(OR(I698&lt;&gt;"",A698="x"),S697,""))</f>
        <v/>
      </c>
      <c r="T698" t="str">
        <f>IF(D698=1,MAX($T$2:$T697)+1,IF(S698=$S697,$S697,IF($D698="x",T697,IF($D697="x","",""))))</f>
        <v/>
      </c>
      <c r="U698" t="str">
        <f>IF(B698=1,MAX($U$2:$U697)+1,IF(AND($T698&lt;&gt;"",$T698=$T697),$U697,IF(B698="x",U697,"")))</f>
        <v/>
      </c>
      <c r="V698" t="str">
        <f>IF(C698=1,MAX($V$2:$V697)+1,IF(AND($T698&lt;&gt;"",$T698=$T697),$U697,IF(C698="x",V697,"")))</f>
        <v/>
      </c>
      <c r="W698" t="str" cm="1">
        <f t="array" ref="W698">IFERROR(_xlfn._xlws.FILTER(game_rosters!AB:AB,(game_rosters!J:J=events!X698)*(K698&lt;&gt;"")),"")</f>
        <v/>
      </c>
      <c r="X698" t="str" cm="1">
        <f t="array" ref="X698">IF(S698="","",IF($I698&lt;&gt;"",$I698,INDEX($I$2:$I697,ROW()-COUNTIFS($T$2:$T697,"="&amp;$T698,$S$2:$S697,"&lt;&gt;"&amp;$S698)-1)))</f>
        <v/>
      </c>
      <c r="Z698" s="6"/>
      <c r="AI698" t="str">
        <f t="shared" si="169"/>
        <v/>
      </c>
      <c r="BI698" s="40"/>
      <c r="BL698" s="40"/>
      <c r="BN698" s="19"/>
      <c r="BP698" s="17"/>
    </row>
    <row r="699" spans="1:68" x14ac:dyDescent="0.2">
      <c r="A699" t="str">
        <f t="shared" si="167"/>
        <v/>
      </c>
      <c r="E699" s="4"/>
      <c r="F699" s="45"/>
      <c r="G699" s="4"/>
      <c r="H699" s="48"/>
      <c r="J699" s="46" t="str">
        <f t="shared" si="168"/>
        <v/>
      </c>
      <c r="N699" t="str">
        <f t="shared" si="171"/>
        <v/>
      </c>
      <c r="Q699" t="str">
        <f t="shared" si="170"/>
        <v/>
      </c>
      <c r="S699" t="str">
        <f>IF(A699=1,MAX(S$2:S698)+1,IF(OR(I699&lt;&gt;"",A699="x"),S698,""))</f>
        <v/>
      </c>
      <c r="T699" t="str">
        <f>IF(D699=1,MAX($T$2:$T698)+1,IF(S699=$S698,$S698,IF($D699="x",T698,IF($D698="x","",""))))</f>
        <v/>
      </c>
      <c r="U699" t="str">
        <f>IF(B699=1,MAX($U$2:$U698)+1,IF(AND($T699&lt;&gt;"",$T699=$T698),$U698,IF(B699="x",U698,"")))</f>
        <v/>
      </c>
      <c r="V699" t="str">
        <f>IF(C699=1,MAX($V$2:$V698)+1,IF(AND($T699&lt;&gt;"",$T699=$T698),$U698,IF(C699="x",V698,"")))</f>
        <v/>
      </c>
      <c r="W699" t="str" cm="1">
        <f t="array" ref="W699">IFERROR(_xlfn._xlws.FILTER(game_rosters!AB:AB,(game_rosters!J:J=events!X699)*(K699&lt;&gt;"")),"")</f>
        <v/>
      </c>
      <c r="X699" t="str" cm="1">
        <f t="array" ref="X699">IF(S699="","",IF($I699&lt;&gt;"",$I699,INDEX($I$2:$I698,ROW()-COUNTIFS($T$2:$T698,"="&amp;$T699,$S$2:$S698,"&lt;&gt;"&amp;$S699)-1)))</f>
        <v/>
      </c>
      <c r="Z699" s="6"/>
      <c r="AI699" t="str">
        <f t="shared" si="169"/>
        <v/>
      </c>
      <c r="BI699" s="40"/>
      <c r="BL699" s="40"/>
      <c r="BN699" s="19"/>
      <c r="BP699" s="17"/>
    </row>
    <row r="700" spans="1:68" x14ac:dyDescent="0.2">
      <c r="A700" t="str">
        <f t="shared" si="167"/>
        <v/>
      </c>
      <c r="E700" s="4"/>
      <c r="F700" s="45"/>
      <c r="G700" s="4"/>
      <c r="H700" s="48"/>
      <c r="J700" s="46" t="str">
        <f t="shared" si="168"/>
        <v/>
      </c>
      <c r="N700" t="str">
        <f t="shared" si="171"/>
        <v/>
      </c>
      <c r="Q700" t="str">
        <f t="shared" si="170"/>
        <v/>
      </c>
      <c r="S700" t="str">
        <f>IF(A700=1,MAX(S$2:S699)+1,IF(OR(I700&lt;&gt;"",A700="x"),S699,""))</f>
        <v/>
      </c>
      <c r="T700" t="str">
        <f>IF(D700=1,MAX($T$2:$T699)+1,IF(S700=$S699,$S699,IF($D700="x",T699,IF($D699="x","",""))))</f>
        <v/>
      </c>
      <c r="U700" t="str">
        <f>IF(B700=1,MAX($U$2:$U699)+1,IF(AND($T700&lt;&gt;"",$T700=$T699),$U699,IF(B700="x",U699,"")))</f>
        <v/>
      </c>
      <c r="V700" t="str">
        <f>IF(C700=1,MAX($V$2:$V699)+1,IF(AND($T700&lt;&gt;"",$T700=$T699),$U699,IF(C700="x",V699,"")))</f>
        <v/>
      </c>
      <c r="W700" t="str" cm="1">
        <f t="array" ref="W700">IFERROR(_xlfn._xlws.FILTER(game_rosters!AB:AB,(game_rosters!J:J=events!X700)*(K700&lt;&gt;"")),"")</f>
        <v/>
      </c>
      <c r="X700" t="str" cm="1">
        <f t="array" ref="X700">IF(S700="","",IF($I700&lt;&gt;"",$I700,INDEX($I$2:$I699,ROW()-COUNTIFS($T$2:$T699,"="&amp;$T700,$S$2:$S699,"&lt;&gt;"&amp;$S700)-1)))</f>
        <v/>
      </c>
      <c r="Z700" s="6"/>
      <c r="AI700" t="str">
        <f t="shared" si="169"/>
        <v/>
      </c>
      <c r="BI700" s="40"/>
      <c r="BL700" s="40"/>
      <c r="BN700" s="19"/>
      <c r="BP700" s="17"/>
    </row>
    <row r="701" spans="1:68" x14ac:dyDescent="0.2">
      <c r="A701" t="str">
        <f t="shared" si="167"/>
        <v/>
      </c>
      <c r="E701" s="4"/>
      <c r="F701" s="45"/>
      <c r="G701" s="4"/>
      <c r="H701" s="48"/>
      <c r="J701" s="46" t="str">
        <f t="shared" si="168"/>
        <v/>
      </c>
      <c r="N701" t="str">
        <f t="shared" si="171"/>
        <v/>
      </c>
      <c r="Q701" t="str">
        <f t="shared" si="170"/>
        <v/>
      </c>
      <c r="S701" t="str">
        <f>IF(A701=1,MAX(S$2:S700)+1,IF(OR(I701&lt;&gt;"",A701="x"),S700,""))</f>
        <v/>
      </c>
      <c r="T701" t="str">
        <f>IF(D701=1,MAX($T$2:$T700)+1,IF(S701=$S700,$S700,IF($D701="x",T700,IF($D700="x","",""))))</f>
        <v/>
      </c>
      <c r="U701" t="str">
        <f>IF(B701=1,MAX($U$2:$U700)+1,IF(AND($T701&lt;&gt;"",$T701=$T700),$U700,IF(B701="x",U700,"")))</f>
        <v/>
      </c>
      <c r="V701" t="str">
        <f>IF(C701=1,MAX($V$2:$V700)+1,IF(AND($T701&lt;&gt;"",$T701=$T700),$U700,IF(C701="x",V700,"")))</f>
        <v/>
      </c>
      <c r="W701" t="str" cm="1">
        <f t="array" ref="W701">IFERROR(_xlfn._xlws.FILTER(game_rosters!AB:AB,(game_rosters!J:J=events!X701)*(K701&lt;&gt;"")),"")</f>
        <v/>
      </c>
      <c r="X701" t="str" cm="1">
        <f t="array" ref="X701">IF(S701="","",IF($I701&lt;&gt;"",$I701,INDEX($I$2:$I700,ROW()-COUNTIFS($T$2:$T700,"="&amp;$T701,$S$2:$S700,"&lt;&gt;"&amp;$S701)-1)))</f>
        <v/>
      </c>
      <c r="Z701" s="6"/>
      <c r="AI701" t="str">
        <f t="shared" si="169"/>
        <v/>
      </c>
      <c r="BI701" s="40"/>
      <c r="BL701" s="40"/>
      <c r="BN701" s="19"/>
      <c r="BP701" s="17"/>
    </row>
    <row r="702" spans="1:68" x14ac:dyDescent="0.2">
      <c r="A702" t="str">
        <f t="shared" si="167"/>
        <v/>
      </c>
      <c r="E702" s="4"/>
      <c r="F702" s="45"/>
      <c r="G702" s="4"/>
      <c r="H702" s="48"/>
      <c r="J702" s="46" t="str">
        <f t="shared" si="168"/>
        <v/>
      </c>
      <c r="N702" t="str">
        <f t="shared" si="171"/>
        <v/>
      </c>
      <c r="Q702" t="str">
        <f t="shared" si="170"/>
        <v/>
      </c>
      <c r="S702" t="str">
        <f>IF(A702=1,MAX(S$2:S701)+1,IF(OR(I702&lt;&gt;"",A702="x"),S701,""))</f>
        <v/>
      </c>
      <c r="T702" t="str">
        <f>IF(D702=1,MAX($T$2:$T701)+1,IF(S702=$S701,$S701,IF($D702="x",T701,IF($D701="x","",""))))</f>
        <v/>
      </c>
      <c r="U702" t="str">
        <f>IF(B702=1,MAX($U$2:$U701)+1,IF(AND($T702&lt;&gt;"",$T702=$T701),$U701,IF(B702="x",U701,"")))</f>
        <v/>
      </c>
      <c r="V702" t="str">
        <f>IF(C702=1,MAX($V$2:$V701)+1,IF(AND($T702&lt;&gt;"",$T702=$T701),$U701,IF(C702="x",V701,"")))</f>
        <v/>
      </c>
      <c r="W702" t="str" cm="1">
        <f t="array" ref="W702">IFERROR(_xlfn._xlws.FILTER(game_rosters!AB:AB,(game_rosters!J:J=events!X702)*(K702&lt;&gt;"")),"")</f>
        <v/>
      </c>
      <c r="X702" t="str" cm="1">
        <f t="array" ref="X702">IF(S702="","",IF($I702&lt;&gt;"",$I702,INDEX($I$2:$I701,ROW()-COUNTIFS($T$2:$T701,"="&amp;$T702,$S$2:$S701,"&lt;&gt;"&amp;$S702)-1)))</f>
        <v/>
      </c>
      <c r="Z702" s="6"/>
      <c r="AI702" t="str">
        <f t="shared" si="169"/>
        <v/>
      </c>
      <c r="BI702" s="40"/>
      <c r="BL702" s="40"/>
      <c r="BN702" s="19"/>
      <c r="BP702" s="17"/>
    </row>
    <row r="703" spans="1:68" x14ac:dyDescent="0.2">
      <c r="A703" t="str">
        <f t="shared" si="167"/>
        <v/>
      </c>
      <c r="E703" s="4"/>
      <c r="F703" s="45"/>
      <c r="G703" s="4"/>
      <c r="H703" s="48"/>
      <c r="J703" s="46" t="str">
        <f t="shared" si="168"/>
        <v/>
      </c>
      <c r="N703" t="str">
        <f t="shared" si="171"/>
        <v/>
      </c>
      <c r="Q703" t="str">
        <f t="shared" si="170"/>
        <v/>
      </c>
      <c r="S703" t="str">
        <f>IF(A703=1,MAX(S$2:S702)+1,IF(OR(I703&lt;&gt;"",A703="x"),S702,""))</f>
        <v/>
      </c>
      <c r="T703" t="str">
        <f>IF(D703=1,MAX($T$2:$T702)+1,IF(S703=$S702,$S702,IF($D703="x",T702,IF($D702="x","",""))))</f>
        <v/>
      </c>
      <c r="U703" t="str">
        <f>IF(B703=1,MAX($U$2:$U702)+1,IF(AND($T703&lt;&gt;"",$T703=$T702),$U702,IF(B703="x",U702,"")))</f>
        <v/>
      </c>
      <c r="V703" t="str">
        <f>IF(C703=1,MAX($V$2:$V702)+1,IF(AND($T703&lt;&gt;"",$T703=$T702),$U702,IF(C703="x",V702,"")))</f>
        <v/>
      </c>
      <c r="W703" t="str" cm="1">
        <f t="array" ref="W703">IFERROR(_xlfn._xlws.FILTER(game_rosters!AB:AB,(game_rosters!J:J=events!X703)*(K703&lt;&gt;"")),"")</f>
        <v/>
      </c>
      <c r="X703" t="str" cm="1">
        <f t="array" ref="X703">IF(S703="","",IF($I703&lt;&gt;"",$I703,INDEX($I$2:$I702,ROW()-COUNTIFS($T$2:$T702,"="&amp;$T703,$S$2:$S702,"&lt;&gt;"&amp;$S703)-1)))</f>
        <v/>
      </c>
      <c r="Z703" s="6"/>
      <c r="AI703" t="str">
        <f t="shared" si="169"/>
        <v/>
      </c>
      <c r="BI703" s="40"/>
      <c r="BL703" s="40"/>
      <c r="BN703" s="19"/>
      <c r="BP703" s="17"/>
    </row>
    <row r="704" spans="1:68" x14ac:dyDescent="0.2">
      <c r="A704" t="str">
        <f t="shared" si="167"/>
        <v/>
      </c>
      <c r="E704" s="4"/>
      <c r="F704" s="45"/>
      <c r="G704" s="4"/>
      <c r="H704" s="48"/>
      <c r="J704" s="46" t="str">
        <f t="shared" si="168"/>
        <v/>
      </c>
      <c r="N704" t="str">
        <f t="shared" si="171"/>
        <v/>
      </c>
      <c r="Q704" t="str">
        <f t="shared" si="170"/>
        <v/>
      </c>
      <c r="S704" t="str">
        <f>IF(A704=1,MAX(S$2:S703)+1,IF(OR(I704&lt;&gt;"",A704="x"),S703,""))</f>
        <v/>
      </c>
      <c r="T704" t="str">
        <f>IF(D704=1,MAX($T$2:$T703)+1,IF(S704=$S703,$S703,IF($D704="x",T703,IF($D703="x","",""))))</f>
        <v/>
      </c>
      <c r="U704" t="str">
        <f>IF(B704=1,MAX($U$2:$U703)+1,IF(AND($T704&lt;&gt;"",$T704=$T703),$U703,IF(B704="x",U703,"")))</f>
        <v/>
      </c>
      <c r="V704" t="str">
        <f>IF(C704=1,MAX($V$2:$V703)+1,IF(AND($T704&lt;&gt;"",$T704=$T703),$U703,IF(C704="x",V703,"")))</f>
        <v/>
      </c>
      <c r="W704" t="str" cm="1">
        <f t="array" ref="W704">IFERROR(_xlfn._xlws.FILTER(game_rosters!AB:AB,(game_rosters!J:J=events!X704)*(K704&lt;&gt;"")),"")</f>
        <v/>
      </c>
      <c r="X704" t="str" cm="1">
        <f t="array" ref="X704">IF(S704="","",IF($I704&lt;&gt;"",$I704,INDEX($I$2:$I703,ROW()-COUNTIFS($T$2:$T703,"="&amp;$T704,$S$2:$S703,"&lt;&gt;"&amp;$S704)-1)))</f>
        <v/>
      </c>
      <c r="Z704" s="6"/>
      <c r="AI704" t="str">
        <f t="shared" si="169"/>
        <v/>
      </c>
      <c r="BI704" s="40"/>
      <c r="BL704" s="40"/>
      <c r="BN704" s="19"/>
      <c r="BP704" s="17"/>
    </row>
    <row r="705" spans="1:68" x14ac:dyDescent="0.2">
      <c r="A705" t="str">
        <f t="shared" si="167"/>
        <v/>
      </c>
      <c r="E705" s="4"/>
      <c r="F705" s="45"/>
      <c r="G705" s="4"/>
      <c r="H705" s="48"/>
      <c r="J705" s="46" t="str">
        <f t="shared" si="168"/>
        <v/>
      </c>
      <c r="N705" t="str">
        <f t="shared" si="171"/>
        <v/>
      </c>
      <c r="Q705" t="str">
        <f t="shared" si="170"/>
        <v/>
      </c>
      <c r="S705" t="str">
        <f>IF(A705=1,MAX(S$2:S704)+1,IF(OR(I705&lt;&gt;"",A705="x"),S704,""))</f>
        <v/>
      </c>
      <c r="T705" t="str">
        <f>IF(D705=1,MAX($T$2:$T704)+1,IF(S705=$S704,$S704,IF($D705="x",T704,IF($D704="x","",""))))</f>
        <v/>
      </c>
      <c r="U705" t="str">
        <f>IF(B705=1,MAX($U$2:$U704)+1,IF(AND($T705&lt;&gt;"",$T705=$T704),$U704,IF(B705="x",U704,"")))</f>
        <v/>
      </c>
      <c r="V705" t="str">
        <f>IF(C705=1,MAX($V$2:$V704)+1,IF(AND($T705&lt;&gt;"",$T705=$T704),$U704,IF(C705="x",V704,"")))</f>
        <v/>
      </c>
      <c r="W705" t="str" cm="1">
        <f t="array" ref="W705">IFERROR(_xlfn._xlws.FILTER(game_rosters!AB:AB,(game_rosters!J:J=events!X705)*(K705&lt;&gt;"")),"")</f>
        <v/>
      </c>
      <c r="X705" t="str" cm="1">
        <f t="array" ref="X705">IF(S705="","",IF($I705&lt;&gt;"",$I705,INDEX($I$2:$I704,ROW()-COUNTIFS($T$2:$T704,"="&amp;$T705,$S$2:$S704,"&lt;&gt;"&amp;$S705)-1)))</f>
        <v/>
      </c>
      <c r="Z705" s="6"/>
      <c r="AI705" t="str">
        <f t="shared" si="169"/>
        <v/>
      </c>
      <c r="BI705" s="40"/>
      <c r="BL705" s="40"/>
      <c r="BN705" s="19"/>
      <c r="BP705" s="17"/>
    </row>
    <row r="706" spans="1:68" x14ac:dyDescent="0.2">
      <c r="A706" t="str">
        <f t="shared" si="167"/>
        <v/>
      </c>
      <c r="E706" s="4"/>
      <c r="F706" s="45"/>
      <c r="G706" s="4"/>
      <c r="H706" s="48"/>
      <c r="J706" s="46" t="str">
        <f t="shared" si="168"/>
        <v/>
      </c>
      <c r="N706" t="str">
        <f t="shared" si="171"/>
        <v/>
      </c>
      <c r="Q706" t="str">
        <f t="shared" si="170"/>
        <v/>
      </c>
      <c r="S706" t="str">
        <f>IF(A706=1,MAX(S$2:S705)+1,IF(OR(I706&lt;&gt;"",A706="x"),S705,""))</f>
        <v/>
      </c>
      <c r="T706" t="str">
        <f>IF(D706=1,MAX($T$2:$T705)+1,IF(S706=$S705,$S705,IF($D706="x",T705,IF($D705="x","",""))))</f>
        <v/>
      </c>
      <c r="U706" t="str">
        <f>IF(B706=1,MAX($U$2:$U705)+1,IF(AND($T706&lt;&gt;"",$T706=$T705),$U705,IF(B706="x",U705,"")))</f>
        <v/>
      </c>
      <c r="V706" t="str">
        <f>IF(C706=1,MAX($V$2:$V705)+1,IF(AND($T706&lt;&gt;"",$T706=$T705),$U705,IF(C706="x",V705,"")))</f>
        <v/>
      </c>
      <c r="W706" t="str" cm="1">
        <f t="array" ref="W706">IFERROR(_xlfn._xlws.FILTER(game_rosters!AB:AB,(game_rosters!J:J=events!X706)*(K706&lt;&gt;"")),"")</f>
        <v/>
      </c>
      <c r="X706" t="str" cm="1">
        <f t="array" ref="X706">IF(S706="","",IF($I706&lt;&gt;"",$I706,INDEX($I$2:$I705,ROW()-COUNTIFS($T$2:$T705,"="&amp;$T706,$S$2:$S705,"&lt;&gt;"&amp;$S706)-1)))</f>
        <v/>
      </c>
      <c r="Z706" s="6"/>
      <c r="AI706" t="str">
        <f t="shared" si="169"/>
        <v/>
      </c>
      <c r="BI706" s="40"/>
      <c r="BL706" s="40"/>
      <c r="BN706" s="19"/>
      <c r="BP706" s="17"/>
    </row>
    <row r="707" spans="1:68" x14ac:dyDescent="0.2">
      <c r="A707" t="str">
        <f t="shared" si="167"/>
        <v/>
      </c>
      <c r="E707" s="4"/>
      <c r="F707" s="45"/>
      <c r="G707" s="4"/>
      <c r="H707" s="48"/>
      <c r="J707" s="46" t="str">
        <f t="shared" si="168"/>
        <v/>
      </c>
      <c r="N707" t="str">
        <f t="shared" si="171"/>
        <v/>
      </c>
      <c r="Q707" t="str">
        <f t="shared" si="170"/>
        <v/>
      </c>
      <c r="S707" t="str">
        <f>IF(A707=1,MAX(S$2:S706)+1,IF(OR(I707&lt;&gt;"",A707="x"),S706,""))</f>
        <v/>
      </c>
      <c r="T707" t="str">
        <f>IF(D707=1,MAX($T$2:$T706)+1,IF(S707=$S706,$S706,IF($D707="x",T706,IF($D706="x","",""))))</f>
        <v/>
      </c>
      <c r="U707" t="str">
        <f>IF(B707=1,MAX($U$2:$U706)+1,IF(AND($T707&lt;&gt;"",$T707=$T706),$U706,IF(B707="x",U706,"")))</f>
        <v/>
      </c>
      <c r="V707" t="str">
        <f>IF(C707=1,MAX($V$2:$V706)+1,IF(AND($T707&lt;&gt;"",$T707=$T706),$U706,IF(C707="x",V706,"")))</f>
        <v/>
      </c>
      <c r="W707" t="str" cm="1">
        <f t="array" ref="W707">IFERROR(_xlfn._xlws.FILTER(game_rosters!AB:AB,(game_rosters!J:J=events!X707)*(K707&lt;&gt;"")),"")</f>
        <v/>
      </c>
      <c r="X707" t="str" cm="1">
        <f t="array" ref="X707">IF(S707="","",IF($I707&lt;&gt;"",$I707,INDEX($I$2:$I706,ROW()-COUNTIFS($T$2:$T706,"="&amp;$T707,$S$2:$S706,"&lt;&gt;"&amp;$S707)-1)))</f>
        <v/>
      </c>
      <c r="Z707" s="6"/>
      <c r="AI707" t="str">
        <f t="shared" si="169"/>
        <v/>
      </c>
      <c r="BI707" s="40"/>
      <c r="BL707" s="40"/>
      <c r="BN707" s="19"/>
      <c r="BP707" s="17"/>
    </row>
    <row r="708" spans="1:68" x14ac:dyDescent="0.2">
      <c r="A708" t="str">
        <f t="shared" si="167"/>
        <v/>
      </c>
      <c r="E708" s="4"/>
      <c r="F708" s="45"/>
      <c r="G708" s="4"/>
      <c r="H708" s="48"/>
      <c r="J708" s="46" t="str">
        <f t="shared" si="168"/>
        <v/>
      </c>
      <c r="N708" t="str">
        <f t="shared" si="171"/>
        <v/>
      </c>
      <c r="Q708" t="str">
        <f t="shared" si="170"/>
        <v/>
      </c>
      <c r="S708" t="str">
        <f>IF(A708=1,MAX(S$2:S707)+1,IF(OR(I708&lt;&gt;"",A708="x"),S707,""))</f>
        <v/>
      </c>
      <c r="T708" t="str">
        <f>IF(D708=1,MAX($T$2:$T707)+1,IF(S708=$S707,$S707,IF($D708="x",T707,IF($D707="x","",""))))</f>
        <v/>
      </c>
      <c r="U708" t="str">
        <f>IF(B708=1,MAX($U$2:$U707)+1,IF(AND($T708&lt;&gt;"",$T708=$T707),$U707,IF(B708="x",U707,"")))</f>
        <v/>
      </c>
      <c r="V708" t="str">
        <f>IF(C708=1,MAX($V$2:$V707)+1,IF(AND($T708&lt;&gt;"",$T708=$T707),$U707,IF(C708="x",V707,"")))</f>
        <v/>
      </c>
      <c r="W708" t="str" cm="1">
        <f t="array" ref="W708">IFERROR(_xlfn._xlws.FILTER(game_rosters!AB:AB,(game_rosters!J:J=events!X708)*(K708&lt;&gt;"")),"")</f>
        <v/>
      </c>
      <c r="X708" t="str" cm="1">
        <f t="array" ref="X708">IF(S708="","",IF($I708&lt;&gt;"",$I708,INDEX($I$2:$I707,ROW()-COUNTIFS($T$2:$T707,"="&amp;$T708,$S$2:$S707,"&lt;&gt;"&amp;$S708)-1)))</f>
        <v/>
      </c>
      <c r="Z708" s="6"/>
      <c r="AI708" t="str">
        <f t="shared" si="169"/>
        <v/>
      </c>
      <c r="BI708" s="40"/>
      <c r="BL708" s="40"/>
      <c r="BN708" s="19"/>
      <c r="BP708" s="17"/>
    </row>
    <row r="709" spans="1:68" x14ac:dyDescent="0.2">
      <c r="A709" t="str">
        <f t="shared" ref="A709:A772" si="172">IF(K709&lt;&gt;"",1,IF(D709="x","x",""))</f>
        <v/>
      </c>
      <c r="E709" s="4"/>
      <c r="F709" s="45"/>
      <c r="G709" s="4"/>
      <c r="H709" s="48"/>
      <c r="J709" s="46" t="str">
        <f t="shared" si="168"/>
        <v/>
      </c>
      <c r="N709" t="str">
        <f t="shared" si="171"/>
        <v/>
      </c>
      <c r="Q709" t="str">
        <f t="shared" si="170"/>
        <v/>
      </c>
      <c r="S709" t="str">
        <f>IF(A709=1,MAX(S$2:S708)+1,IF(OR(I709&lt;&gt;"",A709="x"),S708,""))</f>
        <v/>
      </c>
      <c r="T709" t="str">
        <f>IF(D709=1,MAX($T$2:$T708)+1,IF(S709=$S708,$S708,IF($D709="x",T708,IF($D708="x","",""))))</f>
        <v/>
      </c>
      <c r="U709" t="str">
        <f>IF(B709=1,MAX($U$2:$U708)+1,IF(AND($T709&lt;&gt;"",$T709=$T708),$U708,IF(B709="x",U708,"")))</f>
        <v/>
      </c>
      <c r="V709" t="str">
        <f>IF(C709=1,MAX($V$2:$V708)+1,IF(AND($T709&lt;&gt;"",$T709=$T708),$U708,IF(C709="x",V708,"")))</f>
        <v/>
      </c>
      <c r="W709" t="str" cm="1">
        <f t="array" ref="W709">IFERROR(_xlfn._xlws.FILTER(game_rosters!AB:AB,(game_rosters!J:J=events!X709)*(K709&lt;&gt;"")),"")</f>
        <v/>
      </c>
      <c r="X709" t="str" cm="1">
        <f t="array" ref="X709">IF(S709="","",IF($I709&lt;&gt;"",$I709,INDEX($I$2:$I708,ROW()-COUNTIFS($T$2:$T708,"="&amp;$T709,$S$2:$S708,"&lt;&gt;"&amp;$S709)-1)))</f>
        <v/>
      </c>
      <c r="Z709" s="6"/>
      <c r="AI709" t="str">
        <f t="shared" si="169"/>
        <v/>
      </c>
      <c r="BI709" s="40"/>
      <c r="BL709" s="40"/>
      <c r="BN709" s="19"/>
      <c r="BP709" s="17"/>
    </row>
    <row r="710" spans="1:68" x14ac:dyDescent="0.2">
      <c r="A710" t="str">
        <f t="shared" si="172"/>
        <v/>
      </c>
      <c r="E710" s="4"/>
      <c r="F710" s="45"/>
      <c r="G710" s="4"/>
      <c r="H710" s="48"/>
      <c r="J710" s="46" t="str">
        <f t="shared" ref="J710:J773" si="173">IF(OR(K710="Goal",K710="Shot",L710="Zone_Entry",M710="Stoppage-Goal",M709="Stoppage-Goal"),"o",IF(OR(K710="Save",K710="Rebound",L710="Zone_Exit",M710="Stoppage-GoalieStoppage",M709="Stoppage-GoalieStoppage"),"d",IF(OR(L710="Faceoff_AfterGoal",L710="Faceoff_PeriodStart",698="Faceoff_GameStart",M709="Stoppage-Goal"),"n","")))</f>
        <v/>
      </c>
      <c r="N710" t="str">
        <f t="shared" si="171"/>
        <v/>
      </c>
      <c r="Q710" t="str">
        <f t="shared" si="170"/>
        <v/>
      </c>
      <c r="S710" t="str">
        <f>IF(A710=1,MAX(S$2:S709)+1,IF(OR(I710&lt;&gt;"",A710="x"),S709,""))</f>
        <v/>
      </c>
      <c r="T710" t="str">
        <f>IF(D710=1,MAX($T$2:$T709)+1,IF(S710=$S709,$S709,IF($D710="x",T709,IF($D709="x","",""))))</f>
        <v/>
      </c>
      <c r="U710" t="str">
        <f>IF(B710=1,MAX($U$2:$U709)+1,IF(AND($T710&lt;&gt;"",$T710=$T709),$U709,IF(B710="x",U709,"")))</f>
        <v/>
      </c>
      <c r="V710" t="str">
        <f>IF(C710=1,MAX($V$2:$V709)+1,IF(AND($T710&lt;&gt;"",$T710=$T709),$U709,IF(C710="x",V709,"")))</f>
        <v/>
      </c>
      <c r="W710" t="str" cm="1">
        <f t="array" ref="W710">IFERROR(_xlfn._xlws.FILTER(game_rosters!AB:AB,(game_rosters!J:J=events!X710)*(K710&lt;&gt;"")),"")</f>
        <v/>
      </c>
      <c r="X710" t="str" cm="1">
        <f t="array" ref="X710">IF(S710="","",IF($I710&lt;&gt;"",$I710,INDEX($I$2:$I709,ROW()-COUNTIFS($T$2:$T709,"="&amp;$T710,$S$2:$S709,"&lt;&gt;"&amp;$S710)-1)))</f>
        <v/>
      </c>
      <c r="Z710" s="6"/>
      <c r="AI710" t="str">
        <f t="shared" ref="AI710:AI773" si="174">IF($J710&lt;&gt;"",$J710,IF($AC710=$AC709,AI709,""))</f>
        <v/>
      </c>
      <c r="BI710" s="40"/>
      <c r="BL710" s="40"/>
      <c r="BN710" s="19"/>
      <c r="BP710" s="17"/>
    </row>
    <row r="711" spans="1:68" x14ac:dyDescent="0.2">
      <c r="A711" t="str">
        <f t="shared" si="172"/>
        <v/>
      </c>
      <c r="E711" s="4"/>
      <c r="F711" s="45"/>
      <c r="G711" s="4"/>
      <c r="H711" s="48"/>
      <c r="J711" s="46" t="str">
        <f t="shared" si="173"/>
        <v/>
      </c>
      <c r="N711" t="str">
        <f t="shared" si="171"/>
        <v/>
      </c>
      <c r="Q711" t="str">
        <f t="shared" si="170"/>
        <v/>
      </c>
      <c r="S711" t="str">
        <f>IF(A711=1,MAX(S$2:S710)+1,IF(OR(I711&lt;&gt;"",A711="x"),S710,""))</f>
        <v/>
      </c>
      <c r="T711" t="str">
        <f>IF(D711=1,MAX($T$2:$T710)+1,IF(S711=$S710,$S710,IF($D711="x",T710,IF($D710="x","",""))))</f>
        <v/>
      </c>
      <c r="U711" t="str">
        <f>IF(B711=1,MAX($U$2:$U710)+1,IF(AND($T711&lt;&gt;"",$T711=$T710),$U710,IF(B711="x",U710,"")))</f>
        <v/>
      </c>
      <c r="V711" t="str">
        <f>IF(C711=1,MAX($V$2:$V710)+1,IF(AND($T711&lt;&gt;"",$T711=$T710),$U710,IF(C711="x",V710,"")))</f>
        <v/>
      </c>
      <c r="W711" t="str" cm="1">
        <f t="array" ref="W711">IFERROR(_xlfn._xlws.FILTER(game_rosters!AB:AB,(game_rosters!J:J=events!X711)*(K711&lt;&gt;"")),"")</f>
        <v/>
      </c>
      <c r="X711" t="str" cm="1">
        <f t="array" ref="X711">IF(S711="","",IF($I711&lt;&gt;"",$I711,INDEX($I$2:$I710,ROW()-COUNTIFS($T$2:$T710,"="&amp;$T711,$S$2:$S710,"&lt;&gt;"&amp;$S711)-1)))</f>
        <v/>
      </c>
      <c r="Z711" s="6"/>
      <c r="AI711" t="str">
        <f t="shared" si="174"/>
        <v/>
      </c>
      <c r="BI711" s="40"/>
      <c r="BL711" s="40"/>
      <c r="BN711" s="19"/>
      <c r="BP711" s="17"/>
    </row>
    <row r="712" spans="1:68" x14ac:dyDescent="0.2">
      <c r="A712" t="str">
        <f t="shared" si="172"/>
        <v/>
      </c>
      <c r="E712" s="4"/>
      <c r="F712" s="45"/>
      <c r="G712" s="4"/>
      <c r="H712" s="48"/>
      <c r="J712" s="46" t="str">
        <f t="shared" si="173"/>
        <v/>
      </c>
      <c r="N712" t="str">
        <f t="shared" si="171"/>
        <v/>
      </c>
      <c r="Q712" t="str">
        <f t="shared" si="170"/>
        <v/>
      </c>
      <c r="S712" t="str">
        <f>IF(A712=1,MAX(S$2:S711)+1,IF(OR(I712&lt;&gt;"",A712="x"),S711,""))</f>
        <v/>
      </c>
      <c r="T712" t="str">
        <f>IF(D712=1,MAX($T$2:$T711)+1,IF(S712=$S711,$S711,IF($D712="x",T711,IF($D711="x","",""))))</f>
        <v/>
      </c>
      <c r="U712" t="str">
        <f>IF(B712=1,MAX($U$2:$U711)+1,IF(AND($T712&lt;&gt;"",$T712=$T711),$U711,IF(B712="x",U711,"")))</f>
        <v/>
      </c>
      <c r="V712" t="str">
        <f>IF(C712=1,MAX($V$2:$V711)+1,IF(AND($T712&lt;&gt;"",$T712=$T711),$U711,IF(C712="x",V711,"")))</f>
        <v/>
      </c>
      <c r="W712" t="str" cm="1">
        <f t="array" ref="W712">IFERROR(_xlfn._xlws.FILTER(game_rosters!AB:AB,(game_rosters!J:J=events!X712)*(K712&lt;&gt;"")),"")</f>
        <v/>
      </c>
      <c r="X712" t="str" cm="1">
        <f t="array" ref="X712">IF(S712="","",IF($I712&lt;&gt;"",$I712,INDEX($I$2:$I711,ROW()-COUNTIFS($T$2:$T711,"="&amp;$T712,$S$2:$S711,"&lt;&gt;"&amp;$S712)-1)))</f>
        <v/>
      </c>
      <c r="Z712" s="6"/>
      <c r="AI712" t="str">
        <f t="shared" si="174"/>
        <v/>
      </c>
      <c r="BI712" s="40"/>
      <c r="BL712" s="40"/>
      <c r="BN712" s="19"/>
      <c r="BP712" s="17"/>
    </row>
    <row r="713" spans="1:68" x14ac:dyDescent="0.2">
      <c r="A713" t="str">
        <f t="shared" si="172"/>
        <v/>
      </c>
      <c r="E713" s="4"/>
      <c r="F713" s="45"/>
      <c r="G713" s="4"/>
      <c r="H713" s="48"/>
      <c r="J713" s="46" t="str">
        <f t="shared" si="173"/>
        <v/>
      </c>
      <c r="N713" t="str">
        <f t="shared" si="171"/>
        <v/>
      </c>
      <c r="Q713" t="str">
        <f t="shared" si="170"/>
        <v/>
      </c>
      <c r="S713" t="str">
        <f>IF(A713=1,MAX(S$2:S712)+1,IF(OR(I713&lt;&gt;"",A713="x"),S712,""))</f>
        <v/>
      </c>
      <c r="T713" t="str">
        <f>IF(D713=1,MAX($T$2:$T712)+1,IF(S713=$S712,$S712,IF($D713="x",T712,IF($D712="x","",""))))</f>
        <v/>
      </c>
      <c r="U713" t="str">
        <f>IF(B713=1,MAX($U$2:$U712)+1,IF(AND($T713&lt;&gt;"",$T713=$T712),$U712,IF(B713="x",U712,"")))</f>
        <v/>
      </c>
      <c r="V713" t="str">
        <f>IF(C713=1,MAX($V$2:$V712)+1,IF(AND($T713&lt;&gt;"",$T713=$T712),$U712,IF(C713="x",V712,"")))</f>
        <v/>
      </c>
      <c r="W713" t="str" cm="1">
        <f t="array" ref="W713">IFERROR(_xlfn._xlws.FILTER(game_rosters!AB:AB,(game_rosters!J:J=events!X713)*(K713&lt;&gt;"")),"")</f>
        <v/>
      </c>
      <c r="X713" t="str" cm="1">
        <f t="array" ref="X713">IF(S713="","",IF($I713&lt;&gt;"",$I713,INDEX($I$2:$I712,ROW()-COUNTIFS($T$2:$T712,"="&amp;$T713,$S$2:$S712,"&lt;&gt;"&amp;$S713)-1)))</f>
        <v/>
      </c>
      <c r="Z713" s="6"/>
      <c r="AI713" t="str">
        <f t="shared" si="174"/>
        <v/>
      </c>
      <c r="BI713" s="40"/>
      <c r="BL713" s="40"/>
      <c r="BN713" s="19"/>
      <c r="BP713" s="17"/>
    </row>
    <row r="714" spans="1:68" x14ac:dyDescent="0.2">
      <c r="A714" t="str">
        <f t="shared" si="172"/>
        <v/>
      </c>
      <c r="E714" s="4"/>
      <c r="F714" s="45"/>
      <c r="G714" s="4"/>
      <c r="H714" s="48"/>
      <c r="J714" s="46" t="str">
        <f t="shared" si="173"/>
        <v/>
      </c>
      <c r="N714" t="str">
        <f t="shared" si="171"/>
        <v/>
      </c>
      <c r="Q714" t="str">
        <f t="shared" si="170"/>
        <v/>
      </c>
      <c r="S714" t="str">
        <f>IF(A714=1,MAX(S$2:S713)+1,IF(OR(I714&lt;&gt;"",A714="x"),S713,""))</f>
        <v/>
      </c>
      <c r="T714" t="str">
        <f>IF(D714=1,MAX($T$2:$T713)+1,IF(S714=$S713,$S713,IF($D714="x",T713,IF($D713="x","",""))))</f>
        <v/>
      </c>
      <c r="U714" t="str">
        <f>IF(B714=1,MAX($U$2:$U713)+1,IF(AND($T714&lt;&gt;"",$T714=$T713),$U713,IF(B714="x",U713,"")))</f>
        <v/>
      </c>
      <c r="V714" t="str">
        <f>IF(C714=1,MAX($V$2:$V713)+1,IF(AND($T714&lt;&gt;"",$T714=$T713),$U713,IF(C714="x",V713,"")))</f>
        <v/>
      </c>
      <c r="W714" t="str" cm="1">
        <f t="array" ref="W714">IFERROR(_xlfn._xlws.FILTER(game_rosters!AB:AB,(game_rosters!J:J=events!X714)*(K714&lt;&gt;"")),"")</f>
        <v/>
      </c>
      <c r="X714" t="str" cm="1">
        <f t="array" ref="X714">IF(S714="","",IF($I714&lt;&gt;"",$I714,INDEX($I$2:$I713,ROW()-COUNTIFS($T$2:$T713,"="&amp;$T714,$S$2:$S713,"&lt;&gt;"&amp;$S714)-1)))</f>
        <v/>
      </c>
      <c r="Z714" s="6"/>
      <c r="AI714" t="str">
        <f t="shared" si="174"/>
        <v/>
      </c>
      <c r="BI714" s="40"/>
      <c r="BL714" s="40"/>
      <c r="BN714" s="19"/>
      <c r="BP714" s="17"/>
    </row>
    <row r="715" spans="1:68" x14ac:dyDescent="0.2">
      <c r="A715" t="str">
        <f t="shared" si="172"/>
        <v/>
      </c>
      <c r="E715" s="4"/>
      <c r="F715" s="45"/>
      <c r="G715" s="4"/>
      <c r="H715" s="48"/>
      <c r="J715" s="46" t="str">
        <f t="shared" si="173"/>
        <v/>
      </c>
      <c r="N715" t="str">
        <f t="shared" si="171"/>
        <v/>
      </c>
      <c r="Q715" t="str">
        <f t="shared" si="170"/>
        <v/>
      </c>
      <c r="S715" t="str">
        <f>IF(A715=1,MAX(S$2:S714)+1,IF(OR(I715&lt;&gt;"",A715="x"),S714,""))</f>
        <v/>
      </c>
      <c r="T715" t="str">
        <f>IF(D715=1,MAX($T$2:$T714)+1,IF(S715=$S714,$S714,IF($D715="x",T714,IF($D714="x","",""))))</f>
        <v/>
      </c>
      <c r="U715" t="str">
        <f>IF(B715=1,MAX($U$2:$U714)+1,IF(AND($T715&lt;&gt;"",$T715=$T714),$U714,IF(B715="x",U714,"")))</f>
        <v/>
      </c>
      <c r="V715" t="str">
        <f>IF(C715=1,MAX($V$2:$V714)+1,IF(AND($T715&lt;&gt;"",$T715=$T714),$U714,IF(C715="x",V714,"")))</f>
        <v/>
      </c>
      <c r="W715" t="str" cm="1">
        <f t="array" ref="W715">IFERROR(_xlfn._xlws.FILTER(game_rosters!AB:AB,(game_rosters!J:J=events!X715)*(K715&lt;&gt;"")),"")</f>
        <v/>
      </c>
      <c r="X715" t="str" cm="1">
        <f t="array" ref="X715">IF(S715="","",IF($I715&lt;&gt;"",$I715,INDEX($I$2:$I714,ROW()-COUNTIFS($T$2:$T714,"="&amp;$T715,$S$2:$S714,"&lt;&gt;"&amp;$S715)-1)))</f>
        <v/>
      </c>
      <c r="Z715" s="6"/>
      <c r="AI715" t="str">
        <f t="shared" si="174"/>
        <v/>
      </c>
      <c r="BI715" s="40"/>
      <c r="BL715" s="40"/>
      <c r="BN715" s="19"/>
      <c r="BP715" s="17"/>
    </row>
    <row r="716" spans="1:68" x14ac:dyDescent="0.2">
      <c r="A716" t="str">
        <f t="shared" si="172"/>
        <v/>
      </c>
      <c r="E716" s="4"/>
      <c r="F716" s="45"/>
      <c r="G716" s="4"/>
      <c r="H716" s="48"/>
      <c r="J716" s="46" t="str">
        <f t="shared" si="173"/>
        <v/>
      </c>
      <c r="N716" t="str">
        <f t="shared" si="171"/>
        <v/>
      </c>
      <c r="Q716" t="str">
        <f t="shared" si="170"/>
        <v/>
      </c>
      <c r="S716" t="str">
        <f>IF(A716=1,MAX(S$2:S715)+1,IF(OR(I716&lt;&gt;"",A716="x"),S715,""))</f>
        <v/>
      </c>
      <c r="T716" t="str">
        <f>IF(D716=1,MAX($T$2:$T715)+1,IF(S716=$S715,$S715,IF($D716="x",T715,IF($D715="x","",""))))</f>
        <v/>
      </c>
      <c r="U716" t="str">
        <f>IF(B716=1,MAX($U$2:$U715)+1,IF(AND($T716&lt;&gt;"",$T716=$T715),$U715,IF(B716="x",U715,"")))</f>
        <v/>
      </c>
      <c r="V716" t="str">
        <f>IF(C716=1,MAX($V$2:$V715)+1,IF(AND($T716&lt;&gt;"",$T716=$T715),$U715,IF(C716="x",V715,"")))</f>
        <v/>
      </c>
      <c r="W716" t="str" cm="1">
        <f t="array" ref="W716">IFERROR(_xlfn._xlws.FILTER(game_rosters!AB:AB,(game_rosters!J:J=events!X716)*(K716&lt;&gt;"")),"")</f>
        <v/>
      </c>
      <c r="X716" t="str" cm="1">
        <f t="array" ref="X716">IF(S716="","",IF($I716&lt;&gt;"",$I716,INDEX($I$2:$I715,ROW()-COUNTIFS($T$2:$T715,"="&amp;$T716,$S$2:$S715,"&lt;&gt;"&amp;$S716)-1)))</f>
        <v/>
      </c>
      <c r="Z716" s="6"/>
      <c r="AI716" t="str">
        <f t="shared" si="174"/>
        <v/>
      </c>
      <c r="BI716" s="40"/>
      <c r="BL716" s="40"/>
      <c r="BN716" s="19"/>
      <c r="BP716" s="17"/>
    </row>
    <row r="717" spans="1:68" x14ac:dyDescent="0.2">
      <c r="A717" t="str">
        <f t="shared" si="172"/>
        <v/>
      </c>
      <c r="E717" s="4"/>
      <c r="F717" s="45"/>
      <c r="G717" s="4"/>
      <c r="H717" s="48"/>
      <c r="J717" s="46" t="str">
        <f t="shared" si="173"/>
        <v/>
      </c>
      <c r="N717" t="str">
        <f t="shared" si="171"/>
        <v/>
      </c>
      <c r="Q717" t="str">
        <f t="shared" si="170"/>
        <v/>
      </c>
      <c r="S717" t="str">
        <f>IF(A717=1,MAX(S$2:S716)+1,IF(OR(I717&lt;&gt;"",A717="x"),S716,""))</f>
        <v/>
      </c>
      <c r="T717" t="str">
        <f>IF(D717=1,MAX($T$2:$T716)+1,IF(S717=$S716,$S716,IF($D717="x",T716,IF($D716="x","",""))))</f>
        <v/>
      </c>
      <c r="U717" t="str">
        <f>IF(B717=1,MAX($U$2:$U716)+1,IF(AND($T717&lt;&gt;"",$T717=$T716),$U716,IF(B717="x",U716,"")))</f>
        <v/>
      </c>
      <c r="V717" t="str">
        <f>IF(C717=1,MAX($V$2:$V716)+1,IF(AND($T717&lt;&gt;"",$T717=$T716),$U716,IF(C717="x",V716,"")))</f>
        <v/>
      </c>
      <c r="W717" t="str" cm="1">
        <f t="array" ref="W717">IFERROR(_xlfn._xlws.FILTER(game_rosters!AB:AB,(game_rosters!J:J=events!X717)*(K717&lt;&gt;"")),"")</f>
        <v/>
      </c>
      <c r="X717" t="str" cm="1">
        <f t="array" ref="X717">IF(S717="","",IF($I717&lt;&gt;"",$I717,INDEX($I$2:$I716,ROW()-COUNTIFS($T$2:$T716,"="&amp;$T717,$S$2:$S716,"&lt;&gt;"&amp;$S717)-1)))</f>
        <v/>
      </c>
      <c r="Z717" s="6"/>
      <c r="AI717" t="str">
        <f t="shared" si="174"/>
        <v/>
      </c>
      <c r="BI717" s="40"/>
      <c r="BL717" s="40"/>
      <c r="BN717" s="19"/>
      <c r="BP717" s="17"/>
    </row>
    <row r="718" spans="1:68" x14ac:dyDescent="0.2">
      <c r="A718" t="str">
        <f t="shared" si="172"/>
        <v/>
      </c>
      <c r="E718" s="4"/>
      <c r="F718" s="45"/>
      <c r="G718" s="4"/>
      <c r="H718" s="48"/>
      <c r="J718" s="46" t="str">
        <f t="shared" si="173"/>
        <v/>
      </c>
      <c r="N718" t="str">
        <f t="shared" si="171"/>
        <v/>
      </c>
      <c r="Q718" t="str">
        <f t="shared" si="170"/>
        <v/>
      </c>
      <c r="S718" t="str">
        <f>IF(A718=1,MAX(S$2:S717)+1,IF(OR(I718&lt;&gt;"",A718="x"),S717,""))</f>
        <v/>
      </c>
      <c r="T718" t="str">
        <f>IF(D718=1,MAX($T$2:$T717)+1,IF(S718=$S717,$S717,IF($D718="x",T717,IF($D717="x","",""))))</f>
        <v/>
      </c>
      <c r="U718" t="str">
        <f>IF(B718=1,MAX($U$2:$U717)+1,IF(AND($T718&lt;&gt;"",$T718=$T717),$U717,IF(B718="x",U717,"")))</f>
        <v/>
      </c>
      <c r="V718" t="str">
        <f>IF(C718=1,MAX($V$2:$V717)+1,IF(AND($T718&lt;&gt;"",$T718=$T717),$U717,IF(C718="x",V717,"")))</f>
        <v/>
      </c>
      <c r="W718" t="str" cm="1">
        <f t="array" ref="W718">IFERROR(_xlfn._xlws.FILTER(game_rosters!AB:AB,(game_rosters!J:J=events!X718)*(K718&lt;&gt;"")),"")</f>
        <v/>
      </c>
      <c r="X718" t="str" cm="1">
        <f t="array" ref="X718">IF(S718="","",IF($I718&lt;&gt;"",$I718,INDEX($I$2:$I717,ROW()-COUNTIFS($T$2:$T717,"="&amp;$T718,$S$2:$S717,"&lt;&gt;"&amp;$S718)-1)))</f>
        <v/>
      </c>
      <c r="Z718" s="6"/>
      <c r="AI718" t="str">
        <f t="shared" si="174"/>
        <v/>
      </c>
      <c r="BI718" s="40"/>
      <c r="BL718" s="40"/>
      <c r="BN718" s="19"/>
      <c r="BP718" s="17"/>
    </row>
    <row r="719" spans="1:68" x14ac:dyDescent="0.2">
      <c r="A719" t="str">
        <f t="shared" si="172"/>
        <v/>
      </c>
      <c r="E719" s="4"/>
      <c r="F719" s="45"/>
      <c r="G719" s="4"/>
      <c r="H719" s="48"/>
      <c r="J719" s="46" t="str">
        <f t="shared" si="173"/>
        <v/>
      </c>
      <c r="N719" t="str">
        <f t="shared" si="171"/>
        <v/>
      </c>
      <c r="Q719" t="str">
        <f t="shared" si="170"/>
        <v/>
      </c>
      <c r="S719" t="str">
        <f>IF(A719=1,MAX(S$2:S718)+1,IF(OR(I719&lt;&gt;"",A719="x"),S718,""))</f>
        <v/>
      </c>
      <c r="T719" t="str">
        <f>IF(D719=1,MAX($T$2:$T718)+1,IF(S719=$S718,$S718,IF($D719="x",T718,IF($D718="x","",""))))</f>
        <v/>
      </c>
      <c r="U719" t="str">
        <f>IF(B719=1,MAX($U$2:$U718)+1,IF(AND($T719&lt;&gt;"",$T719=$T718),$U718,IF(B719="x",U718,"")))</f>
        <v/>
      </c>
      <c r="V719" t="str">
        <f>IF(C719=1,MAX($V$2:$V718)+1,IF(AND($T719&lt;&gt;"",$T719=$T718),$U718,IF(C719="x",V718,"")))</f>
        <v/>
      </c>
      <c r="W719" t="str" cm="1">
        <f t="array" ref="W719">IFERROR(_xlfn._xlws.FILTER(game_rosters!AB:AB,(game_rosters!J:J=events!X719)*(K719&lt;&gt;"")),"")</f>
        <v/>
      </c>
      <c r="X719" t="str" cm="1">
        <f t="array" ref="X719">IF(S719="","",IF($I719&lt;&gt;"",$I719,INDEX($I$2:$I718,ROW()-COUNTIFS($T$2:$T718,"="&amp;$T719,$S$2:$S718,"&lt;&gt;"&amp;$S719)-1)))</f>
        <v/>
      </c>
      <c r="Z719" s="6"/>
      <c r="AI719" t="str">
        <f t="shared" si="174"/>
        <v/>
      </c>
      <c r="BI719" s="40"/>
      <c r="BL719" s="40"/>
      <c r="BN719" s="19"/>
      <c r="BP719" s="17"/>
    </row>
    <row r="720" spans="1:68" x14ac:dyDescent="0.2">
      <c r="A720" t="str">
        <f t="shared" si="172"/>
        <v/>
      </c>
      <c r="E720" s="4"/>
      <c r="F720" s="45"/>
      <c r="G720" s="4"/>
      <c r="H720" s="48"/>
      <c r="J720" s="46" t="str">
        <f t="shared" si="173"/>
        <v/>
      </c>
      <c r="N720" t="str">
        <f t="shared" si="171"/>
        <v/>
      </c>
      <c r="Q720" t="str">
        <f t="shared" ref="Q720:Q783" si="175">IF(O720="","",IF(AND(N720&lt;&gt;"",OR(O720&lt;&gt;"",P720&lt;&gt;"")),N720,IF(OR(ISNUMBER(SEARCH("attemp",O720)),ISNUMBER(SEARCH("beat",O720)),ISNUMBER(SEARCH("mis",O720)),ISNUMBER(SEARCH("fail",O720)),ISNUMBER(SEARCH("loss",O720)),ISNUMBER(SEARCH("lost",O720)),ISNUMBER(SEARCH("attemp",P720)),ISNUMBER(SEARCH("mis",P720)),ISNUMBER(SEARCH("fail",P720)),ISNUMBER(SEARCH("loss",P720)),ISNUMBER(SEARCH("beat",P720)),ISNUMBER(SEARCH("lost",P720))),"u","")))</f>
        <v/>
      </c>
      <c r="S720" t="str">
        <f>IF(A720=1,MAX(S$2:S719)+1,IF(OR(I720&lt;&gt;"",A720="x"),S719,""))</f>
        <v/>
      </c>
      <c r="T720" t="str">
        <f>IF(D720=1,MAX($T$2:$T719)+1,IF(S720=$S719,$S719,IF($D720="x",T719,IF($D719="x","",""))))</f>
        <v/>
      </c>
      <c r="U720" t="str">
        <f>IF(B720=1,MAX($U$2:$U719)+1,IF(AND($T720&lt;&gt;"",$T720=$T719),$U719,IF(B720="x",U719,"")))</f>
        <v/>
      </c>
      <c r="V720" t="str">
        <f>IF(C720=1,MAX($V$2:$V719)+1,IF(AND($T720&lt;&gt;"",$T720=$T719),$U719,IF(C720="x",V719,"")))</f>
        <v/>
      </c>
      <c r="W720" t="str" cm="1">
        <f t="array" ref="W720">IFERROR(_xlfn._xlws.FILTER(game_rosters!AB:AB,(game_rosters!J:J=events!X720)*(K720&lt;&gt;"")),"")</f>
        <v/>
      </c>
      <c r="X720" t="str" cm="1">
        <f t="array" ref="X720">IF(S720="","",IF($I720&lt;&gt;"",$I720,INDEX($I$2:$I719,ROW()-COUNTIFS($T$2:$T719,"="&amp;$T720,$S$2:$S719,"&lt;&gt;"&amp;$S720)-1)))</f>
        <v/>
      </c>
      <c r="Z720" s="6"/>
      <c r="AI720" t="str">
        <f t="shared" si="174"/>
        <v/>
      </c>
      <c r="BI720" s="40"/>
      <c r="BL720" s="40"/>
      <c r="BN720" s="19"/>
      <c r="BP720" s="17"/>
    </row>
    <row r="721" spans="1:68" x14ac:dyDescent="0.2">
      <c r="A721" t="str">
        <f t="shared" si="172"/>
        <v/>
      </c>
      <c r="E721" s="4"/>
      <c r="F721" s="45"/>
      <c r="G721" s="4"/>
      <c r="H721" s="48"/>
      <c r="J721" s="46" t="str">
        <f t="shared" si="173"/>
        <v/>
      </c>
      <c r="N721" t="str">
        <f t="shared" si="171"/>
        <v/>
      </c>
      <c r="Q721" t="str">
        <f t="shared" si="175"/>
        <v/>
      </c>
      <c r="S721" t="str">
        <f>IF(A721=1,MAX(S$2:S720)+1,IF(OR(I721&lt;&gt;"",A721="x"),S720,""))</f>
        <v/>
      </c>
      <c r="T721" t="str">
        <f>IF(D721=1,MAX($T$2:$T720)+1,IF(S721=$S720,$S720,IF($D721="x",T720,IF($D720="x","",""))))</f>
        <v/>
      </c>
      <c r="U721" t="str">
        <f>IF(B721=1,MAX($U$2:$U720)+1,IF(AND($T721&lt;&gt;"",$T721=$T720),$U720,IF(B721="x",U720,"")))</f>
        <v/>
      </c>
      <c r="V721" t="str">
        <f>IF(C721=1,MAX($V$2:$V720)+1,IF(AND($T721&lt;&gt;"",$T721=$T720),$U720,IF(C721="x",V720,"")))</f>
        <v/>
      </c>
      <c r="W721" t="str" cm="1">
        <f t="array" ref="W721">IFERROR(_xlfn._xlws.FILTER(game_rosters!AB:AB,(game_rosters!J:J=events!X721)*(K721&lt;&gt;"")),"")</f>
        <v/>
      </c>
      <c r="X721" t="str" cm="1">
        <f t="array" ref="X721">IF(S721="","",IF($I721&lt;&gt;"",$I721,INDEX($I$2:$I720,ROW()-COUNTIFS($T$2:$T720,"="&amp;$T721,$S$2:$S720,"&lt;&gt;"&amp;$S721)-1)))</f>
        <v/>
      </c>
      <c r="Z721" s="6"/>
      <c r="AI721" t="str">
        <f t="shared" si="174"/>
        <v/>
      </c>
      <c r="BI721" s="40"/>
      <c r="BL721" s="40"/>
      <c r="BN721" s="19"/>
      <c r="BP721" s="17"/>
    </row>
    <row r="722" spans="1:68" x14ac:dyDescent="0.2">
      <c r="A722" t="str">
        <f t="shared" si="172"/>
        <v/>
      </c>
      <c r="E722" s="4"/>
      <c r="F722" s="45"/>
      <c r="G722" s="4"/>
      <c r="H722" s="48"/>
      <c r="J722" s="46" t="str">
        <f t="shared" si="173"/>
        <v/>
      </c>
      <c r="N722" t="str">
        <f t="shared" si="171"/>
        <v/>
      </c>
      <c r="Q722" t="str">
        <f t="shared" si="175"/>
        <v/>
      </c>
      <c r="S722" t="str">
        <f>IF(A722=1,MAX(S$2:S721)+1,IF(OR(I722&lt;&gt;"",A722="x"),S721,""))</f>
        <v/>
      </c>
      <c r="T722" t="str">
        <f>IF(D722=1,MAX($T$2:$T721)+1,IF(S722=$S721,$S721,IF($D722="x",T721,IF($D721="x","",""))))</f>
        <v/>
      </c>
      <c r="U722" t="str">
        <f>IF(B722=1,MAX($U$2:$U721)+1,IF(AND($T722&lt;&gt;"",$T722=$T721),$U721,IF(B722="x",U721,"")))</f>
        <v/>
      </c>
      <c r="V722" t="str">
        <f>IF(C722=1,MAX($V$2:$V721)+1,IF(AND($T722&lt;&gt;"",$T722=$T721),$U721,IF(C722="x",V721,"")))</f>
        <v/>
      </c>
      <c r="W722" t="str" cm="1">
        <f t="array" ref="W722">IFERROR(_xlfn._xlws.FILTER(game_rosters!AB:AB,(game_rosters!J:J=events!X722)*(K722&lt;&gt;"")),"")</f>
        <v/>
      </c>
      <c r="X722" t="str" cm="1">
        <f t="array" ref="X722">IF(S722="","",IF($I722&lt;&gt;"",$I722,INDEX($I$2:$I721,ROW()-COUNTIFS($T$2:$T721,"="&amp;$T722,$S$2:$S721,"&lt;&gt;"&amp;$S722)-1)))</f>
        <v/>
      </c>
      <c r="Z722" s="6"/>
      <c r="AI722" t="str">
        <f t="shared" si="174"/>
        <v/>
      </c>
      <c r="BI722" s="40"/>
      <c r="BL722" s="40"/>
      <c r="BN722" s="19"/>
      <c r="BP722" s="17"/>
    </row>
    <row r="723" spans="1:68" x14ac:dyDescent="0.2">
      <c r="A723" t="str">
        <f t="shared" si="172"/>
        <v/>
      </c>
      <c r="E723" s="4"/>
      <c r="F723" s="45"/>
      <c r="G723" s="4"/>
      <c r="H723" s="48"/>
      <c r="J723" s="46" t="str">
        <f t="shared" si="173"/>
        <v/>
      </c>
      <c r="N723" t="str">
        <f t="shared" si="171"/>
        <v/>
      </c>
      <c r="Q723" t="str">
        <f t="shared" si="175"/>
        <v/>
      </c>
      <c r="S723" t="str">
        <f>IF(A723=1,MAX(S$2:S722)+1,IF(OR(I723&lt;&gt;"",A723="x"),S722,""))</f>
        <v/>
      </c>
      <c r="T723" t="str">
        <f>IF(D723=1,MAX($T$2:$T722)+1,IF(S723=$S722,$S722,IF($D723="x",T722,IF($D722="x","",""))))</f>
        <v/>
      </c>
      <c r="U723" t="str">
        <f>IF(B723=1,MAX($U$2:$U722)+1,IF(AND($T723&lt;&gt;"",$T723=$T722),$U722,IF(B723="x",U722,"")))</f>
        <v/>
      </c>
      <c r="V723" t="str">
        <f>IF(C723=1,MAX($V$2:$V722)+1,IF(AND($T723&lt;&gt;"",$T723=$T722),$U722,IF(C723="x",V722,"")))</f>
        <v/>
      </c>
      <c r="W723" t="str" cm="1">
        <f t="array" ref="W723">IFERROR(_xlfn._xlws.FILTER(game_rosters!AB:AB,(game_rosters!J:J=events!X723)*(K723&lt;&gt;"")),"")</f>
        <v/>
      </c>
      <c r="X723" t="str" cm="1">
        <f t="array" ref="X723">IF(S723="","",IF($I723&lt;&gt;"",$I723,INDEX($I$2:$I722,ROW()-COUNTIFS($T$2:$T722,"="&amp;$T723,$S$2:$S722,"&lt;&gt;"&amp;$S723)-1)))</f>
        <v/>
      </c>
      <c r="Z723" s="6"/>
      <c r="AI723" t="str">
        <f t="shared" si="174"/>
        <v/>
      </c>
      <c r="BI723" s="40"/>
      <c r="BL723" s="40"/>
      <c r="BN723" s="19"/>
      <c r="BP723" s="17"/>
    </row>
    <row r="724" spans="1:68" x14ac:dyDescent="0.2">
      <c r="A724" t="str">
        <f t="shared" si="172"/>
        <v/>
      </c>
      <c r="E724" s="4"/>
      <c r="F724" s="45"/>
      <c r="G724" s="4"/>
      <c r="H724" s="48"/>
      <c r="J724" s="46" t="str">
        <f t="shared" si="173"/>
        <v/>
      </c>
      <c r="N724" t="str">
        <f t="shared" si="171"/>
        <v/>
      </c>
      <c r="Q724" t="str">
        <f t="shared" si="175"/>
        <v/>
      </c>
      <c r="S724" t="str">
        <f>IF(A724=1,MAX(S$2:S723)+1,IF(OR(I724&lt;&gt;"",A724="x"),S723,""))</f>
        <v/>
      </c>
      <c r="T724" t="str">
        <f>IF(D724=1,MAX($T$2:$T723)+1,IF(S724=$S723,$S723,IF($D724="x",T723,IF($D723="x","",""))))</f>
        <v/>
      </c>
      <c r="U724" t="str">
        <f>IF(B724=1,MAX($U$2:$U723)+1,IF(AND($T724&lt;&gt;"",$T724=$T723),$U723,IF(B724="x",U723,"")))</f>
        <v/>
      </c>
      <c r="V724" t="str">
        <f>IF(C724=1,MAX($V$2:$V723)+1,IF(AND($T724&lt;&gt;"",$T724=$T723),$U723,IF(C724="x",V723,"")))</f>
        <v/>
      </c>
      <c r="W724" t="str" cm="1">
        <f t="array" ref="W724">IFERROR(_xlfn._xlws.FILTER(game_rosters!AB:AB,(game_rosters!J:J=events!X724)*(K724&lt;&gt;"")),"")</f>
        <v/>
      </c>
      <c r="X724" t="str" cm="1">
        <f t="array" ref="X724">IF(S724="","",IF($I724&lt;&gt;"",$I724,INDEX($I$2:$I723,ROW()-COUNTIFS($T$2:$T723,"="&amp;$T724,$S$2:$S723,"&lt;&gt;"&amp;$S724)-1)))</f>
        <v/>
      </c>
      <c r="Z724" s="6"/>
      <c r="AI724" t="str">
        <f t="shared" si="174"/>
        <v/>
      </c>
      <c r="BI724" s="40"/>
      <c r="BL724" s="40"/>
      <c r="BN724" s="19"/>
      <c r="BP724" s="17"/>
    </row>
    <row r="725" spans="1:68" x14ac:dyDescent="0.2">
      <c r="A725" t="str">
        <f t="shared" si="172"/>
        <v/>
      </c>
      <c r="E725" s="4"/>
      <c r="F725" s="45"/>
      <c r="G725" s="4"/>
      <c r="H725" s="48"/>
      <c r="J725" s="46" t="str">
        <f t="shared" si="173"/>
        <v/>
      </c>
      <c r="N725" t="str">
        <f t="shared" ref="N725:N788" si="176">IF(K725="","",IF(K725="Goal","s",IF(AND(K725="Zone_Entry_Exit",OR(ISNUMBER(SEARCH("fail",L725)),ISNUMBER(SEARCH("FromExitClear",M725)),ISNUMBER(SEARCH("miss",M725)))),"u",IF(AND(K725="Zone_Entry_Exit",OR(NOT(ISNUMBER(SEARCH("fail",L725))),NOT(ISNUMBER(SEARCH("FromExitClear",M725))),NOT(ISNUMBER(SEARCH("miss",M725))))),"s",IF(AND(OR(K725="Shot",K725="Pass"),OR(ISNUMBER(SEARCH("complete",L725)),ISNUMBER(SEARCH("goal",L725)),ISNUMBER(SEARCH("OnNet",L725)))),"s",IF(L725="Turnover_Giveaway","u",IF(AND(OR(K725="Shot",K725="Pass"),OR(ISNUMBER(SEARCH("fail",L725)),NOT(ISNUMBER(SEARCH("complete",L725))),NOT(ISNUMBER(SEARCH("OnNet",L725))))),"u","")))))))</f>
        <v/>
      </c>
      <c r="Q725" t="str">
        <f t="shared" si="175"/>
        <v/>
      </c>
      <c r="S725" t="str">
        <f>IF(A725=1,MAX(S$2:S724)+1,IF(OR(I725&lt;&gt;"",A725="x"),S724,""))</f>
        <v/>
      </c>
      <c r="T725" t="str">
        <f>IF(D725=1,MAX($T$2:$T724)+1,IF(S725=$S724,$S724,IF($D725="x",T724,IF($D724="x","",""))))</f>
        <v/>
      </c>
      <c r="U725" t="str">
        <f>IF(B725=1,MAX($U$2:$U724)+1,IF(AND($T725&lt;&gt;"",$T725=$T724),$U724,IF(B725="x",U724,"")))</f>
        <v/>
      </c>
      <c r="V725" t="str">
        <f>IF(C725=1,MAX($V$2:$V724)+1,IF(AND($T725&lt;&gt;"",$T725=$T724),$U724,IF(C725="x",V724,"")))</f>
        <v/>
      </c>
      <c r="W725" t="str" cm="1">
        <f t="array" ref="W725">IFERROR(_xlfn._xlws.FILTER(game_rosters!AB:AB,(game_rosters!J:J=events!X725)*(K725&lt;&gt;"")),"")</f>
        <v/>
      </c>
      <c r="X725" t="str" cm="1">
        <f t="array" ref="X725">IF(S725="","",IF($I725&lt;&gt;"",$I725,INDEX($I$2:$I724,ROW()-COUNTIFS($T$2:$T724,"="&amp;$T725,$S$2:$S724,"&lt;&gt;"&amp;$S725)-1)))</f>
        <v/>
      </c>
      <c r="Z725" s="6"/>
      <c r="AI725" t="str">
        <f t="shared" si="174"/>
        <v/>
      </c>
      <c r="BI725" s="40"/>
      <c r="BL725" s="40"/>
      <c r="BN725" s="19"/>
      <c r="BP725" s="17"/>
    </row>
    <row r="726" spans="1:68" x14ac:dyDescent="0.2">
      <c r="A726" t="str">
        <f t="shared" si="172"/>
        <v/>
      </c>
      <c r="E726" s="4"/>
      <c r="F726" s="45"/>
      <c r="G726" s="4"/>
      <c r="H726" s="48"/>
      <c r="J726" s="46" t="str">
        <f t="shared" si="173"/>
        <v/>
      </c>
      <c r="N726" t="str">
        <f t="shared" si="176"/>
        <v/>
      </c>
      <c r="Q726" t="str">
        <f t="shared" si="175"/>
        <v/>
      </c>
      <c r="S726" t="str">
        <f>IF(A726=1,MAX(S$2:S725)+1,IF(OR(I726&lt;&gt;"",A726="x"),S725,""))</f>
        <v/>
      </c>
      <c r="T726" t="str">
        <f>IF(D726=1,MAX($T$2:$T725)+1,IF(S726=$S725,$S725,IF($D726="x",T725,IF($D725="x","",""))))</f>
        <v/>
      </c>
      <c r="U726" t="str">
        <f>IF(B726=1,MAX($U$2:$U725)+1,IF(AND($T726&lt;&gt;"",$T726=$T725),$U725,IF(B726="x",U725,"")))</f>
        <v/>
      </c>
      <c r="V726" t="str">
        <f>IF(C726=1,MAX($V$2:$V725)+1,IF(AND($T726&lt;&gt;"",$T726=$T725),$U725,IF(C726="x",V725,"")))</f>
        <v/>
      </c>
      <c r="W726" t="str" cm="1">
        <f t="array" ref="W726">IFERROR(_xlfn._xlws.FILTER(game_rosters!AB:AB,(game_rosters!J:J=events!X726)*(K726&lt;&gt;"")),"")</f>
        <v/>
      </c>
      <c r="X726" t="str" cm="1">
        <f t="array" ref="X726">IF(S726="","",IF($I726&lt;&gt;"",$I726,INDEX($I$2:$I725,ROW()-COUNTIFS($T$2:$T725,"="&amp;$T726,$S$2:$S725,"&lt;&gt;"&amp;$S726)-1)))</f>
        <v/>
      </c>
      <c r="Z726" s="6"/>
      <c r="AI726" t="str">
        <f t="shared" si="174"/>
        <v/>
      </c>
      <c r="BI726" s="40"/>
      <c r="BL726" s="40"/>
      <c r="BN726" s="19"/>
      <c r="BP726" s="17"/>
    </row>
    <row r="727" spans="1:68" x14ac:dyDescent="0.2">
      <c r="A727" t="str">
        <f t="shared" si="172"/>
        <v/>
      </c>
      <c r="E727" s="4"/>
      <c r="F727" s="45"/>
      <c r="G727" s="4"/>
      <c r="H727" s="48"/>
      <c r="J727" s="46" t="str">
        <f t="shared" si="173"/>
        <v/>
      </c>
      <c r="N727" t="str">
        <f t="shared" si="176"/>
        <v/>
      </c>
      <c r="Q727" t="str">
        <f t="shared" si="175"/>
        <v/>
      </c>
      <c r="S727" t="str">
        <f>IF(A727=1,MAX(S$2:S726)+1,IF(OR(I727&lt;&gt;"",A727="x"),S726,""))</f>
        <v/>
      </c>
      <c r="T727" t="str">
        <f>IF(D727=1,MAX($T$2:$T726)+1,IF(S727=$S726,$S726,IF($D727="x",T726,IF($D726="x","",""))))</f>
        <v/>
      </c>
      <c r="U727" t="str">
        <f>IF(B727=1,MAX($U$2:$U726)+1,IF(AND($T727&lt;&gt;"",$T727=$T726),$U726,IF(B727="x",U726,"")))</f>
        <v/>
      </c>
      <c r="V727" t="str">
        <f>IF(C727=1,MAX($V$2:$V726)+1,IF(AND($T727&lt;&gt;"",$T727=$T726),$U726,IF(C727="x",V726,"")))</f>
        <v/>
      </c>
      <c r="W727" t="str" cm="1">
        <f t="array" ref="W727">IFERROR(_xlfn._xlws.FILTER(game_rosters!AB:AB,(game_rosters!J:J=events!X727)*(K727&lt;&gt;"")),"")</f>
        <v/>
      </c>
      <c r="X727" t="str" cm="1">
        <f t="array" ref="X727">IF(S727="","",IF($I727&lt;&gt;"",$I727,INDEX($I$2:$I726,ROW()-COUNTIFS($T$2:$T726,"="&amp;$T727,$S$2:$S726,"&lt;&gt;"&amp;$S727)-1)))</f>
        <v/>
      </c>
      <c r="Z727" s="6"/>
      <c r="AI727" t="str">
        <f t="shared" si="174"/>
        <v/>
      </c>
      <c r="BI727" s="40"/>
      <c r="BL727" s="40"/>
      <c r="BN727" s="19"/>
      <c r="BP727" s="17"/>
    </row>
    <row r="728" spans="1:68" x14ac:dyDescent="0.2">
      <c r="A728" t="str">
        <f t="shared" si="172"/>
        <v/>
      </c>
      <c r="E728" s="4"/>
      <c r="F728" s="45"/>
      <c r="G728" s="4"/>
      <c r="H728" s="48"/>
      <c r="J728" s="46" t="str">
        <f t="shared" si="173"/>
        <v/>
      </c>
      <c r="N728" t="str">
        <f t="shared" si="176"/>
        <v/>
      </c>
      <c r="Q728" t="str">
        <f t="shared" si="175"/>
        <v/>
      </c>
      <c r="S728" t="str">
        <f>IF(A728=1,MAX(S$2:S727)+1,IF(OR(I728&lt;&gt;"",A728="x"),S727,""))</f>
        <v/>
      </c>
      <c r="T728" t="str">
        <f>IF(D728=1,MAX($T$2:$T727)+1,IF(S728=$S727,$S727,IF($D728="x",T727,IF($D727="x","",""))))</f>
        <v/>
      </c>
      <c r="U728" t="str">
        <f>IF(B728=1,MAX($U$2:$U727)+1,IF(AND($T728&lt;&gt;"",$T728=$T727),$U727,IF(B728="x",U727,"")))</f>
        <v/>
      </c>
      <c r="V728" t="str">
        <f>IF(C728=1,MAX($V$2:$V727)+1,IF(AND($T728&lt;&gt;"",$T728=$T727),$U727,IF(C728="x",V727,"")))</f>
        <v/>
      </c>
      <c r="W728" t="str" cm="1">
        <f t="array" ref="W728">IFERROR(_xlfn._xlws.FILTER(game_rosters!AB:AB,(game_rosters!J:J=events!X728)*(K728&lt;&gt;"")),"")</f>
        <v/>
      </c>
      <c r="X728" t="str" cm="1">
        <f t="array" ref="X728">IF(S728="","",IF($I728&lt;&gt;"",$I728,INDEX($I$2:$I727,ROW()-COUNTIFS($T$2:$T727,"="&amp;$T728,$S$2:$S727,"&lt;&gt;"&amp;$S728)-1)))</f>
        <v/>
      </c>
      <c r="Z728" s="6"/>
      <c r="AI728" t="str">
        <f t="shared" si="174"/>
        <v/>
      </c>
      <c r="BI728" s="40"/>
      <c r="BL728" s="40"/>
      <c r="BN728" s="19"/>
      <c r="BP728" s="17"/>
    </row>
    <row r="729" spans="1:68" x14ac:dyDescent="0.2">
      <c r="A729" t="str">
        <f t="shared" si="172"/>
        <v/>
      </c>
      <c r="E729" s="4"/>
      <c r="F729" s="45"/>
      <c r="G729" s="4"/>
      <c r="H729" s="48"/>
      <c r="J729" s="46" t="str">
        <f t="shared" si="173"/>
        <v/>
      </c>
      <c r="N729" t="str">
        <f t="shared" si="176"/>
        <v/>
      </c>
      <c r="Q729" t="str">
        <f t="shared" si="175"/>
        <v/>
      </c>
      <c r="S729" t="str">
        <f>IF(A729=1,MAX(S$2:S728)+1,IF(OR(I729&lt;&gt;"",A729="x"),S728,""))</f>
        <v/>
      </c>
      <c r="T729" t="str">
        <f>IF(D729=1,MAX($T$2:$T728)+1,IF(S729=$S728,$S728,IF($D729="x",T728,IF($D728="x","",""))))</f>
        <v/>
      </c>
      <c r="U729" t="str">
        <f>IF(B729=1,MAX($U$2:$U728)+1,IF(AND($T729&lt;&gt;"",$T729=$T728),$U728,IF(B729="x",U728,"")))</f>
        <v/>
      </c>
      <c r="V729" t="str">
        <f>IF(C729=1,MAX($V$2:$V728)+1,IF(AND($T729&lt;&gt;"",$T729=$T728),$U728,IF(C729="x",V728,"")))</f>
        <v/>
      </c>
      <c r="W729" t="str" cm="1">
        <f t="array" ref="W729">IFERROR(_xlfn._xlws.FILTER(game_rosters!AB:AB,(game_rosters!J:J=events!X729)*(K729&lt;&gt;"")),"")</f>
        <v/>
      </c>
      <c r="X729" t="str" cm="1">
        <f t="array" ref="X729">IF(S729="","",IF($I729&lt;&gt;"",$I729,INDEX($I$2:$I728,ROW()-COUNTIFS($T$2:$T728,"="&amp;$T729,$S$2:$S728,"&lt;&gt;"&amp;$S729)-1)))</f>
        <v/>
      </c>
      <c r="Z729" s="6"/>
      <c r="AI729" t="str">
        <f t="shared" si="174"/>
        <v/>
      </c>
      <c r="BI729" s="40"/>
      <c r="BL729" s="40"/>
      <c r="BN729" s="19"/>
      <c r="BP729" s="17"/>
    </row>
    <row r="730" spans="1:68" x14ac:dyDescent="0.2">
      <c r="A730" t="str">
        <f t="shared" si="172"/>
        <v/>
      </c>
      <c r="E730" s="4"/>
      <c r="F730" s="45"/>
      <c r="G730" s="4"/>
      <c r="H730" s="48"/>
      <c r="J730" s="46" t="str">
        <f t="shared" si="173"/>
        <v/>
      </c>
      <c r="N730" t="str">
        <f t="shared" si="176"/>
        <v/>
      </c>
      <c r="Q730" t="str">
        <f t="shared" si="175"/>
        <v/>
      </c>
      <c r="S730" t="str">
        <f>IF(A730=1,MAX(S$2:S729)+1,IF(OR(I730&lt;&gt;"",A730="x"),S729,""))</f>
        <v/>
      </c>
      <c r="T730" t="str">
        <f>IF(D730=1,MAX($T$2:$T729)+1,IF(S730=$S729,$S729,IF($D730="x",T729,IF($D729="x","",""))))</f>
        <v/>
      </c>
      <c r="U730" t="str">
        <f>IF(B730=1,MAX($U$2:$U729)+1,IF(AND($T730&lt;&gt;"",$T730=$T729),$U729,IF(B730="x",U729,"")))</f>
        <v/>
      </c>
      <c r="V730" t="str">
        <f>IF(C730=1,MAX($V$2:$V729)+1,IF(AND($T730&lt;&gt;"",$T730=$T729),$U729,IF(C730="x",V729,"")))</f>
        <v/>
      </c>
      <c r="W730" t="str" cm="1">
        <f t="array" ref="W730">IFERROR(_xlfn._xlws.FILTER(game_rosters!AB:AB,(game_rosters!J:J=events!X730)*(K730&lt;&gt;"")),"")</f>
        <v/>
      </c>
      <c r="X730" t="str" cm="1">
        <f t="array" ref="X730">IF(S730="","",IF($I730&lt;&gt;"",$I730,INDEX($I$2:$I729,ROW()-COUNTIFS($T$2:$T729,"="&amp;$T730,$S$2:$S729,"&lt;&gt;"&amp;$S730)-1)))</f>
        <v/>
      </c>
      <c r="Z730" s="6"/>
      <c r="AI730" t="str">
        <f t="shared" si="174"/>
        <v/>
      </c>
      <c r="BI730" s="40"/>
      <c r="BL730" s="40"/>
      <c r="BN730" s="19"/>
      <c r="BP730" s="17"/>
    </row>
    <row r="731" spans="1:68" x14ac:dyDescent="0.2">
      <c r="A731" t="str">
        <f t="shared" si="172"/>
        <v/>
      </c>
      <c r="E731" s="4"/>
      <c r="F731" s="45"/>
      <c r="G731" s="4"/>
      <c r="H731" s="48"/>
      <c r="J731" s="46" t="str">
        <f t="shared" si="173"/>
        <v/>
      </c>
      <c r="N731" t="str">
        <f t="shared" si="176"/>
        <v/>
      </c>
      <c r="Q731" t="str">
        <f t="shared" si="175"/>
        <v/>
      </c>
      <c r="S731" t="str">
        <f>IF(A731=1,MAX(S$2:S730)+1,IF(OR(I731&lt;&gt;"",A731="x"),S730,""))</f>
        <v/>
      </c>
      <c r="T731" t="str">
        <f>IF(D731=1,MAX($T$2:$T730)+1,IF(S731=$S730,$S730,IF($D731="x",T730,IF($D730="x","",""))))</f>
        <v/>
      </c>
      <c r="U731" t="str">
        <f>IF(B731=1,MAX($U$2:$U730)+1,IF(AND($T731&lt;&gt;"",$T731=$T730),$U730,IF(B731="x",U730,"")))</f>
        <v/>
      </c>
      <c r="V731" t="str">
        <f>IF(C731=1,MAX($V$2:$V730)+1,IF(AND($T731&lt;&gt;"",$T731=$T730),$U730,IF(C731="x",V730,"")))</f>
        <v/>
      </c>
      <c r="W731" t="str" cm="1">
        <f t="array" ref="W731">IFERROR(_xlfn._xlws.FILTER(game_rosters!AB:AB,(game_rosters!J:J=events!X731)*(K731&lt;&gt;"")),"")</f>
        <v/>
      </c>
      <c r="X731" t="str" cm="1">
        <f t="array" ref="X731">IF(S731="","",IF($I731&lt;&gt;"",$I731,INDEX($I$2:$I730,ROW()-COUNTIFS($T$2:$T730,"="&amp;$T731,$S$2:$S730,"&lt;&gt;"&amp;$S731)-1)))</f>
        <v/>
      </c>
      <c r="Z731" s="6"/>
      <c r="AI731" t="str">
        <f t="shared" si="174"/>
        <v/>
      </c>
      <c r="BI731" s="40"/>
      <c r="BL731" s="40"/>
      <c r="BN731" s="19"/>
      <c r="BP731" s="17"/>
    </row>
    <row r="732" spans="1:68" x14ac:dyDescent="0.2">
      <c r="A732" t="str">
        <f t="shared" si="172"/>
        <v/>
      </c>
      <c r="E732" s="4"/>
      <c r="F732" s="45"/>
      <c r="G732" s="4"/>
      <c r="H732" s="48"/>
      <c r="J732" s="46" t="str">
        <f t="shared" si="173"/>
        <v/>
      </c>
      <c r="N732" t="str">
        <f t="shared" si="176"/>
        <v/>
      </c>
      <c r="Q732" t="str">
        <f t="shared" si="175"/>
        <v/>
      </c>
      <c r="S732" t="str">
        <f>IF(A732=1,MAX(S$2:S731)+1,IF(OR(I732&lt;&gt;"",A732="x"),S731,""))</f>
        <v/>
      </c>
      <c r="T732" t="str">
        <f>IF(D732=1,MAX($T$2:$T731)+1,IF(S732=$S731,$S731,IF($D732="x",T731,IF($D731="x","",""))))</f>
        <v/>
      </c>
      <c r="U732" t="str">
        <f>IF(B732=1,MAX($U$2:$U731)+1,IF(AND($T732&lt;&gt;"",$T732=$T731),$U731,IF(B732="x",U731,"")))</f>
        <v/>
      </c>
      <c r="V732" t="str">
        <f>IF(C732=1,MAX($V$2:$V731)+1,IF(AND($T732&lt;&gt;"",$T732=$T731),$U731,IF(C732="x",V731,"")))</f>
        <v/>
      </c>
      <c r="W732" t="str" cm="1">
        <f t="array" ref="W732">IFERROR(_xlfn._xlws.FILTER(game_rosters!AB:AB,(game_rosters!J:J=events!X732)*(K732&lt;&gt;"")),"")</f>
        <v/>
      </c>
      <c r="X732" t="str" cm="1">
        <f t="array" ref="X732">IF(S732="","",IF($I732&lt;&gt;"",$I732,INDEX($I$2:$I731,ROW()-COUNTIFS($T$2:$T731,"="&amp;$T732,$S$2:$S731,"&lt;&gt;"&amp;$S732)-1)))</f>
        <v/>
      </c>
      <c r="Z732" s="6"/>
      <c r="AI732" t="str">
        <f t="shared" si="174"/>
        <v/>
      </c>
      <c r="BI732" s="40"/>
      <c r="BL732" s="40"/>
      <c r="BN732" s="19"/>
      <c r="BP732" s="17"/>
    </row>
    <row r="733" spans="1:68" x14ac:dyDescent="0.2">
      <c r="A733" t="str">
        <f t="shared" si="172"/>
        <v/>
      </c>
      <c r="E733" s="4"/>
      <c r="F733" s="45"/>
      <c r="G733" s="4"/>
      <c r="H733" s="48"/>
      <c r="J733" s="46" t="str">
        <f t="shared" si="173"/>
        <v/>
      </c>
      <c r="N733" t="str">
        <f t="shared" si="176"/>
        <v/>
      </c>
      <c r="Q733" t="str">
        <f t="shared" si="175"/>
        <v/>
      </c>
      <c r="S733" t="str">
        <f>IF(A733=1,MAX(S$2:S732)+1,IF(OR(I733&lt;&gt;"",A733="x"),S732,""))</f>
        <v/>
      </c>
      <c r="T733" t="str">
        <f>IF(D733=1,MAX($T$2:$T732)+1,IF(S733=$S732,$S732,IF($D733="x",T732,IF($D732="x","",""))))</f>
        <v/>
      </c>
      <c r="U733" t="str">
        <f>IF(B733=1,MAX($U$2:$U732)+1,IF(AND($T733&lt;&gt;"",$T733=$T732),$U732,IF(B733="x",U732,"")))</f>
        <v/>
      </c>
      <c r="V733" t="str">
        <f>IF(C733=1,MAX($V$2:$V732)+1,IF(AND($T733&lt;&gt;"",$T733=$T732),$U732,IF(C733="x",V732,"")))</f>
        <v/>
      </c>
      <c r="W733" t="str" cm="1">
        <f t="array" ref="W733">IFERROR(_xlfn._xlws.FILTER(game_rosters!AB:AB,(game_rosters!J:J=events!X733)*(K733&lt;&gt;"")),"")</f>
        <v/>
      </c>
      <c r="X733" t="str" cm="1">
        <f t="array" ref="X733">IF(S733="","",IF($I733&lt;&gt;"",$I733,INDEX($I$2:$I732,ROW()-COUNTIFS($T$2:$T732,"="&amp;$T733,$S$2:$S732,"&lt;&gt;"&amp;$S733)-1)))</f>
        <v/>
      </c>
      <c r="Z733" s="6"/>
      <c r="AI733" t="str">
        <f t="shared" si="174"/>
        <v/>
      </c>
      <c r="BI733" s="40"/>
      <c r="BL733" s="40"/>
      <c r="BN733" s="19"/>
      <c r="BP733" s="17"/>
    </row>
    <row r="734" spans="1:68" x14ac:dyDescent="0.2">
      <c r="A734" t="str">
        <f t="shared" si="172"/>
        <v/>
      </c>
      <c r="E734" s="4"/>
      <c r="F734" s="45"/>
      <c r="G734" s="4"/>
      <c r="H734" s="48"/>
      <c r="J734" s="46" t="str">
        <f t="shared" si="173"/>
        <v/>
      </c>
      <c r="N734" t="str">
        <f t="shared" si="176"/>
        <v/>
      </c>
      <c r="Q734" t="str">
        <f t="shared" si="175"/>
        <v/>
      </c>
      <c r="S734" t="str">
        <f>IF(A734=1,MAX(S$2:S733)+1,IF(OR(I734&lt;&gt;"",A734="x"),S733,""))</f>
        <v/>
      </c>
      <c r="T734" t="str">
        <f>IF(D734=1,MAX($T$2:$T733)+1,IF(S734=$S733,$S733,IF($D734="x",T733,IF($D733="x","",""))))</f>
        <v/>
      </c>
      <c r="U734" t="str">
        <f>IF(B734=1,MAX($U$2:$U733)+1,IF(AND($T734&lt;&gt;"",$T734=$T733),$U733,IF(B734="x",U733,"")))</f>
        <v/>
      </c>
      <c r="V734" t="str">
        <f>IF(C734=1,MAX($V$2:$V733)+1,IF(AND($T734&lt;&gt;"",$T734=$T733),$U733,IF(C734="x",V733,"")))</f>
        <v/>
      </c>
      <c r="W734" t="str" cm="1">
        <f t="array" ref="W734">IFERROR(_xlfn._xlws.FILTER(game_rosters!AB:AB,(game_rosters!J:J=events!X734)*(K734&lt;&gt;"")),"")</f>
        <v/>
      </c>
      <c r="X734" t="str" cm="1">
        <f t="array" ref="X734">IF(S734="","",IF($I734&lt;&gt;"",$I734,INDEX($I$2:$I733,ROW()-COUNTIFS($T$2:$T733,"="&amp;$T734,$S$2:$S733,"&lt;&gt;"&amp;$S734)-1)))</f>
        <v/>
      </c>
      <c r="Z734" s="6"/>
      <c r="AI734" t="str">
        <f t="shared" si="174"/>
        <v/>
      </c>
      <c r="BI734" s="40"/>
      <c r="BL734" s="40"/>
      <c r="BN734" s="19"/>
      <c r="BP734" s="17"/>
    </row>
    <row r="735" spans="1:68" x14ac:dyDescent="0.2">
      <c r="A735" t="str">
        <f t="shared" si="172"/>
        <v/>
      </c>
      <c r="E735" s="4"/>
      <c r="F735" s="45"/>
      <c r="G735" s="4"/>
      <c r="H735" s="48"/>
      <c r="J735" s="46" t="str">
        <f t="shared" si="173"/>
        <v/>
      </c>
      <c r="N735" t="str">
        <f t="shared" si="176"/>
        <v/>
      </c>
      <c r="Q735" t="str">
        <f t="shared" si="175"/>
        <v/>
      </c>
      <c r="S735" t="str">
        <f>IF(A735=1,MAX(S$2:S734)+1,IF(OR(I735&lt;&gt;"",A735="x"),S734,""))</f>
        <v/>
      </c>
      <c r="T735" t="str">
        <f>IF(D735=1,MAX($T$2:$T734)+1,IF(S735=$S734,$S734,IF($D735="x",T734,IF($D734="x","",""))))</f>
        <v/>
      </c>
      <c r="U735" t="str">
        <f>IF(B735=1,MAX($U$2:$U734)+1,IF(AND($T735&lt;&gt;"",$T735=$T734),$U734,IF(B735="x",U734,"")))</f>
        <v/>
      </c>
      <c r="V735" t="str">
        <f>IF(C735=1,MAX($V$2:$V734)+1,IF(AND($T735&lt;&gt;"",$T735=$T734),$U734,IF(C735="x",V734,"")))</f>
        <v/>
      </c>
      <c r="W735" t="str" cm="1">
        <f t="array" ref="W735">IFERROR(_xlfn._xlws.FILTER(game_rosters!AB:AB,(game_rosters!J:J=events!X735)*(K735&lt;&gt;"")),"")</f>
        <v/>
      </c>
      <c r="X735" t="str" cm="1">
        <f t="array" ref="X735">IF(S735="","",IF($I735&lt;&gt;"",$I735,INDEX($I$2:$I734,ROW()-COUNTIFS($T$2:$T734,"="&amp;$T735,$S$2:$S734,"&lt;&gt;"&amp;$S735)-1)))</f>
        <v/>
      </c>
      <c r="Z735" s="6"/>
      <c r="AI735" t="str">
        <f t="shared" si="174"/>
        <v/>
      </c>
      <c r="BI735" s="40"/>
      <c r="BL735" s="40"/>
      <c r="BN735" s="19"/>
      <c r="BP735" s="17"/>
    </row>
    <row r="736" spans="1:68" x14ac:dyDescent="0.2">
      <c r="A736" t="str">
        <f t="shared" si="172"/>
        <v/>
      </c>
      <c r="E736" s="4"/>
      <c r="F736" s="45"/>
      <c r="G736" s="4"/>
      <c r="H736" s="48"/>
      <c r="J736" s="46" t="str">
        <f t="shared" si="173"/>
        <v/>
      </c>
      <c r="N736" t="str">
        <f t="shared" si="176"/>
        <v/>
      </c>
      <c r="Q736" t="str">
        <f t="shared" si="175"/>
        <v/>
      </c>
      <c r="S736" t="str">
        <f>IF(A736=1,MAX(S$2:S735)+1,IF(OR(I736&lt;&gt;"",A736="x"),S735,""))</f>
        <v/>
      </c>
      <c r="T736" t="str">
        <f>IF(D736=1,MAX($T$2:$T735)+1,IF(S736=$S735,$S735,IF($D736="x",T735,IF($D735="x","",""))))</f>
        <v/>
      </c>
      <c r="U736" t="str">
        <f>IF(B736=1,MAX($U$2:$U735)+1,IF(AND($T736&lt;&gt;"",$T736=$T735),$U735,IF(B736="x",U735,"")))</f>
        <v/>
      </c>
      <c r="V736" t="str">
        <f>IF(C736=1,MAX($V$2:$V735)+1,IF(AND($T736&lt;&gt;"",$T736=$T735),$U735,IF(C736="x",V735,"")))</f>
        <v/>
      </c>
      <c r="W736" t="str" cm="1">
        <f t="array" ref="W736">IFERROR(_xlfn._xlws.FILTER(game_rosters!AB:AB,(game_rosters!J:J=events!X736)*(K736&lt;&gt;"")),"")</f>
        <v/>
      </c>
      <c r="X736" t="str" cm="1">
        <f t="array" ref="X736">IF(S736="","",IF($I736&lt;&gt;"",$I736,INDEX($I$2:$I735,ROW()-COUNTIFS($T$2:$T735,"="&amp;$T736,$S$2:$S735,"&lt;&gt;"&amp;$S736)-1)))</f>
        <v/>
      </c>
      <c r="Z736" s="6"/>
      <c r="AI736" t="str">
        <f t="shared" si="174"/>
        <v/>
      </c>
      <c r="BI736" s="40"/>
      <c r="BL736" s="40"/>
      <c r="BN736" s="19"/>
      <c r="BP736" s="17"/>
    </row>
    <row r="737" spans="1:68" x14ac:dyDescent="0.2">
      <c r="A737" t="str">
        <f t="shared" si="172"/>
        <v/>
      </c>
      <c r="E737" s="4"/>
      <c r="F737" s="45"/>
      <c r="G737" s="4"/>
      <c r="H737" s="48"/>
      <c r="J737" s="46" t="str">
        <f t="shared" si="173"/>
        <v/>
      </c>
      <c r="N737" t="str">
        <f t="shared" si="176"/>
        <v/>
      </c>
      <c r="Q737" t="str">
        <f t="shared" si="175"/>
        <v/>
      </c>
      <c r="S737" t="str">
        <f>IF(A737=1,MAX(S$2:S736)+1,IF(OR(I737&lt;&gt;"",A737="x"),S736,""))</f>
        <v/>
      </c>
      <c r="T737" t="str">
        <f>IF(D737=1,MAX($T$2:$T736)+1,IF(S737=$S736,$S736,IF($D737="x",T736,IF($D736="x","",""))))</f>
        <v/>
      </c>
      <c r="U737" t="str">
        <f>IF(B737=1,MAX($U$2:$U736)+1,IF(AND($T737&lt;&gt;"",$T737=$T736),$U736,IF(B737="x",U736,"")))</f>
        <v/>
      </c>
      <c r="V737" t="str">
        <f>IF(C737=1,MAX($V$2:$V736)+1,IF(AND($T737&lt;&gt;"",$T737=$T736),$U736,IF(C737="x",V736,"")))</f>
        <v/>
      </c>
      <c r="W737" t="str" cm="1">
        <f t="array" ref="W737">IFERROR(_xlfn._xlws.FILTER(game_rosters!AB:AB,(game_rosters!J:J=events!X737)*(K737&lt;&gt;"")),"")</f>
        <v/>
      </c>
      <c r="X737" t="str" cm="1">
        <f t="array" ref="X737">IF(S737="","",IF($I737&lt;&gt;"",$I737,INDEX($I$2:$I736,ROW()-COUNTIFS($T$2:$T736,"="&amp;$T737,$S$2:$S736,"&lt;&gt;"&amp;$S737)-1)))</f>
        <v/>
      </c>
      <c r="Z737" s="6"/>
      <c r="AI737" t="str">
        <f t="shared" si="174"/>
        <v/>
      </c>
      <c r="BI737" s="40"/>
      <c r="BL737" s="40"/>
      <c r="BN737" s="19"/>
      <c r="BP737" s="17"/>
    </row>
    <row r="738" spans="1:68" x14ac:dyDescent="0.2">
      <c r="A738" t="str">
        <f t="shared" si="172"/>
        <v/>
      </c>
      <c r="E738" s="4"/>
      <c r="F738" s="45"/>
      <c r="G738" s="4"/>
      <c r="H738" s="48"/>
      <c r="J738" s="46" t="str">
        <f t="shared" si="173"/>
        <v/>
      </c>
      <c r="N738" t="str">
        <f t="shared" si="176"/>
        <v/>
      </c>
      <c r="Q738" t="str">
        <f t="shared" si="175"/>
        <v/>
      </c>
      <c r="S738" t="str">
        <f>IF(A738=1,MAX(S$2:S737)+1,IF(OR(I738&lt;&gt;"",A738="x"),S737,""))</f>
        <v/>
      </c>
      <c r="T738" t="str">
        <f>IF(D738=1,MAX($T$2:$T737)+1,IF(S738=$S737,$S737,IF($D738="x",T737,IF($D737="x","",""))))</f>
        <v/>
      </c>
      <c r="U738" t="str">
        <f>IF(B738=1,MAX($U$2:$U737)+1,IF(AND($T738&lt;&gt;"",$T738=$T737),$U737,IF(B738="x",U737,"")))</f>
        <v/>
      </c>
      <c r="V738" t="str">
        <f>IF(C738=1,MAX($V$2:$V737)+1,IF(AND($T738&lt;&gt;"",$T738=$T737),$U737,IF(C738="x",V737,"")))</f>
        <v/>
      </c>
      <c r="W738" t="str" cm="1">
        <f t="array" ref="W738">IFERROR(_xlfn._xlws.FILTER(game_rosters!AB:AB,(game_rosters!J:J=events!X738)*(K738&lt;&gt;"")),"")</f>
        <v/>
      </c>
      <c r="X738" t="str" cm="1">
        <f t="array" ref="X738">IF(S738="","",IF($I738&lt;&gt;"",$I738,INDEX($I$2:$I737,ROW()-COUNTIFS($T$2:$T737,"="&amp;$T738,$S$2:$S737,"&lt;&gt;"&amp;$S738)-1)))</f>
        <v/>
      </c>
      <c r="Z738" s="6"/>
      <c r="AI738" t="str">
        <f t="shared" si="174"/>
        <v/>
      </c>
      <c r="BI738" s="40"/>
      <c r="BL738" s="40"/>
      <c r="BN738" s="19"/>
      <c r="BP738" s="17"/>
    </row>
    <row r="739" spans="1:68" x14ac:dyDescent="0.2">
      <c r="A739" t="str">
        <f t="shared" si="172"/>
        <v/>
      </c>
      <c r="E739" s="4"/>
      <c r="F739" s="45"/>
      <c r="G739" s="4"/>
      <c r="H739" s="48"/>
      <c r="J739" s="46" t="str">
        <f t="shared" si="173"/>
        <v/>
      </c>
      <c r="N739" t="str">
        <f t="shared" si="176"/>
        <v/>
      </c>
      <c r="Q739" t="str">
        <f t="shared" si="175"/>
        <v/>
      </c>
      <c r="S739" t="str">
        <f>IF(A739=1,MAX(S$2:S738)+1,IF(OR(I739&lt;&gt;"",A739="x"),S738,""))</f>
        <v/>
      </c>
      <c r="T739" t="str">
        <f>IF(D739=1,MAX($T$2:$T738)+1,IF(S739=$S738,$S738,IF($D739="x",T738,IF($D738="x","",""))))</f>
        <v/>
      </c>
      <c r="U739" t="str">
        <f>IF(B739=1,MAX($U$2:$U738)+1,IF(AND($T739&lt;&gt;"",$T739=$T738),$U738,IF(B739="x",U738,"")))</f>
        <v/>
      </c>
      <c r="V739" t="str">
        <f>IF(C739=1,MAX($V$2:$V738)+1,IF(AND($T739&lt;&gt;"",$T739=$T738),$U738,IF(C739="x",V738,"")))</f>
        <v/>
      </c>
      <c r="W739" t="str" cm="1">
        <f t="array" ref="W739">IFERROR(_xlfn._xlws.FILTER(game_rosters!AB:AB,(game_rosters!J:J=events!X739)*(K739&lt;&gt;"")),"")</f>
        <v/>
      </c>
      <c r="X739" t="str" cm="1">
        <f t="array" ref="X739">IF(S739="","",IF($I739&lt;&gt;"",$I739,INDEX($I$2:$I738,ROW()-COUNTIFS($T$2:$T738,"="&amp;$T739,$S$2:$S738,"&lt;&gt;"&amp;$S739)-1)))</f>
        <v/>
      </c>
      <c r="Z739" s="6"/>
      <c r="AI739" t="str">
        <f t="shared" si="174"/>
        <v/>
      </c>
      <c r="BI739" s="40"/>
      <c r="BL739" s="40"/>
      <c r="BN739" s="19"/>
      <c r="BP739" s="17"/>
    </row>
    <row r="740" spans="1:68" x14ac:dyDescent="0.2">
      <c r="A740" t="str">
        <f t="shared" si="172"/>
        <v/>
      </c>
      <c r="E740" s="4"/>
      <c r="F740" s="45"/>
      <c r="G740" s="4"/>
      <c r="H740" s="48"/>
      <c r="J740" s="46" t="str">
        <f t="shared" si="173"/>
        <v/>
      </c>
      <c r="N740" t="str">
        <f t="shared" si="176"/>
        <v/>
      </c>
      <c r="Q740" t="str">
        <f t="shared" si="175"/>
        <v/>
      </c>
      <c r="S740" t="str">
        <f>IF(A740=1,MAX(S$2:S739)+1,IF(OR(I740&lt;&gt;"",A740="x"),S739,""))</f>
        <v/>
      </c>
      <c r="T740" t="str">
        <f>IF(D740=1,MAX($T$2:$T739)+1,IF(S740=$S739,$S739,IF($D740="x",T739,IF($D739="x","",""))))</f>
        <v/>
      </c>
      <c r="U740" t="str">
        <f>IF(B740=1,MAX($U$2:$U739)+1,IF(AND($T740&lt;&gt;"",$T740=$T739),$U739,IF(B740="x",U739,"")))</f>
        <v/>
      </c>
      <c r="V740" t="str">
        <f>IF(C740=1,MAX($V$2:$V739)+1,IF(AND($T740&lt;&gt;"",$T740=$T739),$U739,IF(C740="x",V739,"")))</f>
        <v/>
      </c>
      <c r="W740" t="str" cm="1">
        <f t="array" ref="W740">IFERROR(_xlfn._xlws.FILTER(game_rosters!AB:AB,(game_rosters!J:J=events!X740)*(K740&lt;&gt;"")),"")</f>
        <v/>
      </c>
      <c r="X740" t="str" cm="1">
        <f t="array" ref="X740">IF(S740="","",IF($I740&lt;&gt;"",$I740,INDEX($I$2:$I739,ROW()-COUNTIFS($T$2:$T739,"="&amp;$T740,$S$2:$S739,"&lt;&gt;"&amp;$S740)-1)))</f>
        <v/>
      </c>
      <c r="Z740" s="6"/>
      <c r="AI740" t="str">
        <f t="shared" si="174"/>
        <v/>
      </c>
      <c r="BI740" s="40"/>
      <c r="BL740" s="40"/>
      <c r="BN740" s="19"/>
      <c r="BP740" s="17"/>
    </row>
    <row r="741" spans="1:68" x14ac:dyDescent="0.2">
      <c r="A741" t="str">
        <f t="shared" si="172"/>
        <v/>
      </c>
      <c r="E741" s="4"/>
      <c r="F741" s="45"/>
      <c r="G741" s="4"/>
      <c r="H741" s="48"/>
      <c r="J741" s="46" t="str">
        <f t="shared" si="173"/>
        <v/>
      </c>
      <c r="N741" t="str">
        <f t="shared" si="176"/>
        <v/>
      </c>
      <c r="Q741" t="str">
        <f t="shared" si="175"/>
        <v/>
      </c>
      <c r="S741" t="str">
        <f>IF(A741=1,MAX(S$2:S740)+1,IF(OR(I741&lt;&gt;"",A741="x"),S740,""))</f>
        <v/>
      </c>
      <c r="T741" t="str">
        <f>IF(D741=1,MAX($T$2:$T740)+1,IF(S741=$S740,$S740,IF($D741="x",T740,IF($D740="x","",""))))</f>
        <v/>
      </c>
      <c r="U741" t="str">
        <f>IF(B741=1,MAX($U$2:$U740)+1,IF(AND($T741&lt;&gt;"",$T741=$T740),$U740,IF(B741="x",U740,"")))</f>
        <v/>
      </c>
      <c r="V741" t="str">
        <f>IF(C741=1,MAX($V$2:$V740)+1,IF(AND($T741&lt;&gt;"",$T741=$T740),$U740,IF(C741="x",V740,"")))</f>
        <v/>
      </c>
      <c r="W741" t="str" cm="1">
        <f t="array" ref="W741">IFERROR(_xlfn._xlws.FILTER(game_rosters!AB:AB,(game_rosters!J:J=events!X741)*(K741&lt;&gt;"")),"")</f>
        <v/>
      </c>
      <c r="X741" t="str" cm="1">
        <f t="array" ref="X741">IF(S741="","",IF($I741&lt;&gt;"",$I741,INDEX($I$2:$I740,ROW()-COUNTIFS($T$2:$T740,"="&amp;$T741,$S$2:$S740,"&lt;&gt;"&amp;$S741)-1)))</f>
        <v/>
      </c>
      <c r="Z741" s="6"/>
      <c r="AI741" t="str">
        <f t="shared" si="174"/>
        <v/>
      </c>
      <c r="BI741" s="40"/>
      <c r="BL741" s="40"/>
      <c r="BN741" s="19"/>
      <c r="BP741" s="17"/>
    </row>
    <row r="742" spans="1:68" x14ac:dyDescent="0.2">
      <c r="A742" t="str">
        <f t="shared" si="172"/>
        <v/>
      </c>
      <c r="E742" s="4"/>
      <c r="F742" s="45"/>
      <c r="G742" s="4"/>
      <c r="H742" s="48"/>
      <c r="J742" s="46" t="str">
        <f t="shared" si="173"/>
        <v/>
      </c>
      <c r="N742" t="str">
        <f t="shared" si="176"/>
        <v/>
      </c>
      <c r="Q742" t="str">
        <f t="shared" si="175"/>
        <v/>
      </c>
      <c r="S742" t="str">
        <f>IF(A742=1,MAX(S$2:S741)+1,IF(OR(I742&lt;&gt;"",A742="x"),S741,""))</f>
        <v/>
      </c>
      <c r="T742" t="str">
        <f>IF(D742=1,MAX($T$2:$T741)+1,IF(S742=$S741,$S741,IF($D742="x",T741,IF($D741="x","",""))))</f>
        <v/>
      </c>
      <c r="U742" t="str">
        <f>IF(B742=1,MAX($U$2:$U741)+1,IF(AND($T742&lt;&gt;"",$T742=$T741),$U741,IF(B742="x",U741,"")))</f>
        <v/>
      </c>
      <c r="V742" t="str">
        <f>IF(C742=1,MAX($V$2:$V741)+1,IF(AND($T742&lt;&gt;"",$T742=$T741),$U741,IF(C742="x",V741,"")))</f>
        <v/>
      </c>
      <c r="W742" t="str" cm="1">
        <f t="array" ref="W742">IFERROR(_xlfn._xlws.FILTER(game_rosters!AB:AB,(game_rosters!J:J=events!X742)*(K742&lt;&gt;"")),"")</f>
        <v/>
      </c>
      <c r="X742" t="str" cm="1">
        <f t="array" ref="X742">IF(S742="","",IF($I742&lt;&gt;"",$I742,INDEX($I$2:$I741,ROW()-COUNTIFS($T$2:$T741,"="&amp;$T742,$S$2:$S741,"&lt;&gt;"&amp;$S742)-1)))</f>
        <v/>
      </c>
      <c r="Z742" s="6"/>
      <c r="AI742" t="str">
        <f t="shared" si="174"/>
        <v/>
      </c>
      <c r="BI742" s="40"/>
      <c r="BL742" s="40"/>
      <c r="BN742" s="19"/>
      <c r="BP742" s="17"/>
    </row>
    <row r="743" spans="1:68" x14ac:dyDescent="0.2">
      <c r="A743" t="str">
        <f t="shared" si="172"/>
        <v/>
      </c>
      <c r="E743" s="4"/>
      <c r="F743" s="45"/>
      <c r="G743" s="4"/>
      <c r="H743" s="48"/>
      <c r="J743" s="46" t="str">
        <f t="shared" si="173"/>
        <v/>
      </c>
      <c r="N743" t="str">
        <f t="shared" si="176"/>
        <v/>
      </c>
      <c r="Q743" t="str">
        <f t="shared" si="175"/>
        <v/>
      </c>
      <c r="S743" t="str">
        <f>IF(A743=1,MAX(S$2:S742)+1,IF(OR(I743&lt;&gt;"",A743="x"),S742,""))</f>
        <v/>
      </c>
      <c r="T743" t="str">
        <f>IF(D743=1,MAX($T$2:$T742)+1,IF(S743=$S742,$S742,IF($D743="x",T742,IF($D742="x","",""))))</f>
        <v/>
      </c>
      <c r="U743" t="str">
        <f>IF(B743=1,MAX($U$2:$U742)+1,IF(AND($T743&lt;&gt;"",$T743=$T742),$U742,IF(B743="x",U742,"")))</f>
        <v/>
      </c>
      <c r="V743" t="str">
        <f>IF(C743=1,MAX($V$2:$V742)+1,IF(AND($T743&lt;&gt;"",$T743=$T742),$U742,IF(C743="x",V742,"")))</f>
        <v/>
      </c>
      <c r="W743" t="str" cm="1">
        <f t="array" ref="W743">IFERROR(_xlfn._xlws.FILTER(game_rosters!AB:AB,(game_rosters!J:J=events!X743)*(K743&lt;&gt;"")),"")</f>
        <v/>
      </c>
      <c r="X743" t="str" cm="1">
        <f t="array" ref="X743">IF(S743="","",IF($I743&lt;&gt;"",$I743,INDEX($I$2:$I742,ROW()-COUNTIFS($T$2:$T742,"="&amp;$T743,$S$2:$S742,"&lt;&gt;"&amp;$S743)-1)))</f>
        <v/>
      </c>
      <c r="Z743" s="6"/>
      <c r="AI743" t="str">
        <f t="shared" si="174"/>
        <v/>
      </c>
      <c r="BI743" s="40"/>
      <c r="BL743" s="40"/>
      <c r="BN743" s="19"/>
      <c r="BP743" s="17"/>
    </row>
    <row r="744" spans="1:68" x14ac:dyDescent="0.2">
      <c r="A744" t="str">
        <f t="shared" si="172"/>
        <v/>
      </c>
      <c r="E744" s="4"/>
      <c r="F744" s="45"/>
      <c r="G744" s="4"/>
      <c r="H744" s="48"/>
      <c r="J744" s="46" t="str">
        <f t="shared" si="173"/>
        <v/>
      </c>
      <c r="N744" t="str">
        <f t="shared" si="176"/>
        <v/>
      </c>
      <c r="Q744" t="str">
        <f t="shared" si="175"/>
        <v/>
      </c>
      <c r="S744" t="str">
        <f>IF(A744=1,MAX(S$2:S743)+1,IF(OR(I744&lt;&gt;"",A744="x"),S743,""))</f>
        <v/>
      </c>
      <c r="T744" t="str">
        <f>IF(D744=1,MAX($T$2:$T743)+1,IF(S744=$S743,$S743,IF($D744="x",T743,IF($D743="x","",""))))</f>
        <v/>
      </c>
      <c r="U744" t="str">
        <f>IF(B744=1,MAX($U$2:$U743)+1,IF(AND($T744&lt;&gt;"",$T744=$T743),$U743,IF(B744="x",U743,"")))</f>
        <v/>
      </c>
      <c r="V744" t="str">
        <f>IF(C744=1,MAX($V$2:$V743)+1,IF(AND($T744&lt;&gt;"",$T744=$T743),$U743,IF(C744="x",V743,"")))</f>
        <v/>
      </c>
      <c r="W744" t="str" cm="1">
        <f t="array" ref="W744">IFERROR(_xlfn._xlws.FILTER(game_rosters!AB:AB,(game_rosters!J:J=events!X744)*(K744&lt;&gt;"")),"")</f>
        <v/>
      </c>
      <c r="X744" t="str" cm="1">
        <f t="array" ref="X744">IF(S744="","",IF($I744&lt;&gt;"",$I744,INDEX($I$2:$I743,ROW()-COUNTIFS($T$2:$T743,"="&amp;$T744,$S$2:$S743,"&lt;&gt;"&amp;$S744)-1)))</f>
        <v/>
      </c>
      <c r="Z744" s="6"/>
      <c r="AI744" t="str">
        <f t="shared" si="174"/>
        <v/>
      </c>
      <c r="BI744" s="40"/>
      <c r="BL744" s="40"/>
      <c r="BN744" s="19"/>
      <c r="BP744" s="17"/>
    </row>
    <row r="745" spans="1:68" x14ac:dyDescent="0.2">
      <c r="A745" t="str">
        <f t="shared" si="172"/>
        <v/>
      </c>
      <c r="E745" s="4"/>
      <c r="F745" s="45"/>
      <c r="G745" s="4"/>
      <c r="H745" s="48"/>
      <c r="J745" s="46" t="str">
        <f t="shared" si="173"/>
        <v/>
      </c>
      <c r="N745" t="str">
        <f t="shared" si="176"/>
        <v/>
      </c>
      <c r="Q745" t="str">
        <f t="shared" si="175"/>
        <v/>
      </c>
      <c r="S745" t="str">
        <f>IF(A745=1,MAX(S$2:S744)+1,IF(OR(I745&lt;&gt;"",A745="x"),S744,""))</f>
        <v/>
      </c>
      <c r="T745" t="str">
        <f>IF(D745=1,MAX($T$2:$T744)+1,IF(S745=$S744,$S744,IF($D745="x",T744,IF($D744="x","",""))))</f>
        <v/>
      </c>
      <c r="U745" t="str">
        <f>IF(B745=1,MAX($U$2:$U744)+1,IF(AND($T745&lt;&gt;"",$T745=$T744),$U744,IF(B745="x",U744,"")))</f>
        <v/>
      </c>
      <c r="V745" t="str">
        <f>IF(C745=1,MAX($V$2:$V744)+1,IF(AND($T745&lt;&gt;"",$T745=$T744),$U744,IF(C745="x",V744,"")))</f>
        <v/>
      </c>
      <c r="W745" t="str" cm="1">
        <f t="array" ref="W745">IFERROR(_xlfn._xlws.FILTER(game_rosters!AB:AB,(game_rosters!J:J=events!X745)*(K745&lt;&gt;"")),"")</f>
        <v/>
      </c>
      <c r="X745" t="str" cm="1">
        <f t="array" ref="X745">IF(S745="","",IF($I745&lt;&gt;"",$I745,INDEX($I$2:$I744,ROW()-COUNTIFS($T$2:$T744,"="&amp;$T745,$S$2:$S744,"&lt;&gt;"&amp;$S745)-1)))</f>
        <v/>
      </c>
      <c r="Z745" s="6"/>
      <c r="AI745" t="str">
        <f t="shared" si="174"/>
        <v/>
      </c>
      <c r="BI745" s="40"/>
      <c r="BL745" s="40"/>
      <c r="BN745" s="19"/>
      <c r="BP745" s="17"/>
    </row>
    <row r="746" spans="1:68" x14ac:dyDescent="0.2">
      <c r="A746" t="str">
        <f t="shared" si="172"/>
        <v/>
      </c>
      <c r="E746" s="4"/>
      <c r="F746" s="45"/>
      <c r="G746" s="4"/>
      <c r="H746" s="48"/>
      <c r="J746" s="46" t="str">
        <f t="shared" si="173"/>
        <v/>
      </c>
      <c r="N746" t="str">
        <f t="shared" si="176"/>
        <v/>
      </c>
      <c r="Q746" t="str">
        <f t="shared" si="175"/>
        <v/>
      </c>
      <c r="S746" t="str">
        <f>IF(A746=1,MAX(S$2:S745)+1,IF(OR(I746&lt;&gt;"",A746="x"),S745,""))</f>
        <v/>
      </c>
      <c r="T746" t="str">
        <f>IF(D746=1,MAX($T$2:$T745)+1,IF(S746=$S745,$S745,IF($D746="x",T745,IF($D745="x","",""))))</f>
        <v/>
      </c>
      <c r="U746" t="str">
        <f>IF(B746=1,MAX($U$2:$U745)+1,IF(AND($T746&lt;&gt;"",$T746=$T745),$U745,IF(B746="x",U745,"")))</f>
        <v/>
      </c>
      <c r="V746" t="str">
        <f>IF(C746=1,MAX($V$2:$V745)+1,IF(AND($T746&lt;&gt;"",$T746=$T745),$U745,IF(C746="x",V745,"")))</f>
        <v/>
      </c>
      <c r="W746" t="str" cm="1">
        <f t="array" ref="W746">IFERROR(_xlfn._xlws.FILTER(game_rosters!AB:AB,(game_rosters!J:J=events!X746)*(K746&lt;&gt;"")),"")</f>
        <v/>
      </c>
      <c r="X746" t="str" cm="1">
        <f t="array" ref="X746">IF(S746="","",IF($I746&lt;&gt;"",$I746,INDEX($I$2:$I745,ROW()-COUNTIFS($T$2:$T745,"="&amp;$T746,$S$2:$S745,"&lt;&gt;"&amp;$S746)-1)))</f>
        <v/>
      </c>
      <c r="Z746" s="6"/>
      <c r="AI746" t="str">
        <f t="shared" si="174"/>
        <v/>
      </c>
      <c r="BI746" s="40"/>
      <c r="BL746" s="40"/>
      <c r="BN746" s="19"/>
      <c r="BP746" s="17"/>
    </row>
    <row r="747" spans="1:68" x14ac:dyDescent="0.2">
      <c r="A747" t="str">
        <f t="shared" si="172"/>
        <v/>
      </c>
      <c r="E747" s="4"/>
      <c r="F747" s="45"/>
      <c r="G747" s="4"/>
      <c r="H747" s="48"/>
      <c r="J747" s="46" t="str">
        <f t="shared" si="173"/>
        <v/>
      </c>
      <c r="N747" t="str">
        <f t="shared" si="176"/>
        <v/>
      </c>
      <c r="Q747" t="str">
        <f t="shared" si="175"/>
        <v/>
      </c>
      <c r="S747" t="str">
        <f>IF(A747=1,MAX(S$2:S746)+1,IF(OR(I747&lt;&gt;"",A747="x"),S746,""))</f>
        <v/>
      </c>
      <c r="T747" t="str">
        <f>IF(D747=1,MAX($T$2:$T746)+1,IF(S747=$S746,$S746,IF($D747="x",T746,IF($D746="x","",""))))</f>
        <v/>
      </c>
      <c r="U747" t="str">
        <f>IF(B747=1,MAX($U$2:$U746)+1,IF(AND($T747&lt;&gt;"",$T747=$T746),$U746,IF(B747="x",U746,"")))</f>
        <v/>
      </c>
      <c r="V747" t="str">
        <f>IF(C747=1,MAX($V$2:$V746)+1,IF(AND($T747&lt;&gt;"",$T747=$T746),$U746,IF(C747="x",V746,"")))</f>
        <v/>
      </c>
      <c r="W747" t="str" cm="1">
        <f t="array" ref="W747">IFERROR(_xlfn._xlws.FILTER(game_rosters!AB:AB,(game_rosters!J:J=events!X747)*(K747&lt;&gt;"")),"")</f>
        <v/>
      </c>
      <c r="X747" t="str" cm="1">
        <f t="array" ref="X747">IF(S747="","",IF($I747&lt;&gt;"",$I747,INDEX($I$2:$I746,ROW()-COUNTIFS($T$2:$T746,"="&amp;$T747,$S$2:$S746,"&lt;&gt;"&amp;$S747)-1)))</f>
        <v/>
      </c>
      <c r="Z747" s="6"/>
      <c r="AI747" t="str">
        <f t="shared" si="174"/>
        <v/>
      </c>
      <c r="BI747" s="40"/>
      <c r="BL747" s="40"/>
      <c r="BN747" s="19"/>
      <c r="BP747" s="17"/>
    </row>
    <row r="748" spans="1:68" x14ac:dyDescent="0.2">
      <c r="A748" t="str">
        <f t="shared" si="172"/>
        <v/>
      </c>
      <c r="E748" s="4"/>
      <c r="F748" s="45"/>
      <c r="G748" s="4"/>
      <c r="H748" s="48"/>
      <c r="J748" s="46" t="str">
        <f t="shared" si="173"/>
        <v/>
      </c>
      <c r="N748" t="str">
        <f t="shared" si="176"/>
        <v/>
      </c>
      <c r="Q748" t="str">
        <f t="shared" si="175"/>
        <v/>
      </c>
      <c r="S748" t="str">
        <f>IF(A748=1,MAX(S$2:S747)+1,IF(OR(I748&lt;&gt;"",A748="x"),S747,""))</f>
        <v/>
      </c>
      <c r="T748" t="str">
        <f>IF(D748=1,MAX($T$2:$T747)+1,IF(S748=$S747,$S747,IF($D748="x",T747,IF($D747="x","",""))))</f>
        <v/>
      </c>
      <c r="U748" t="str">
        <f>IF(B748=1,MAX($U$2:$U747)+1,IF(AND($T748&lt;&gt;"",$T748=$T747),$U747,IF(B748="x",U747,"")))</f>
        <v/>
      </c>
      <c r="V748" t="str">
        <f>IF(C748=1,MAX($V$2:$V747)+1,IF(AND($T748&lt;&gt;"",$T748=$T747),$U747,IF(C748="x",V747,"")))</f>
        <v/>
      </c>
      <c r="W748" t="str" cm="1">
        <f t="array" ref="W748">IFERROR(_xlfn._xlws.FILTER(game_rosters!AB:AB,(game_rosters!J:J=events!X748)*(K748&lt;&gt;"")),"")</f>
        <v/>
      </c>
      <c r="X748" t="str" cm="1">
        <f t="array" ref="X748">IF(S748="","",IF($I748&lt;&gt;"",$I748,INDEX($I$2:$I747,ROW()-COUNTIFS($T$2:$T747,"="&amp;$T748,$S$2:$S747,"&lt;&gt;"&amp;$S748)-1)))</f>
        <v/>
      </c>
      <c r="Z748" s="6"/>
      <c r="AI748" t="str">
        <f t="shared" si="174"/>
        <v/>
      </c>
      <c r="BI748" s="40"/>
      <c r="BL748" s="40"/>
      <c r="BN748" s="19"/>
      <c r="BP748" s="17"/>
    </row>
    <row r="749" spans="1:68" x14ac:dyDescent="0.2">
      <c r="A749" t="str">
        <f t="shared" si="172"/>
        <v/>
      </c>
      <c r="E749" s="4"/>
      <c r="F749" s="45"/>
      <c r="G749" s="4"/>
      <c r="H749" s="48"/>
      <c r="J749" s="46" t="str">
        <f t="shared" si="173"/>
        <v/>
      </c>
      <c r="N749" t="str">
        <f t="shared" si="176"/>
        <v/>
      </c>
      <c r="Q749" t="str">
        <f t="shared" si="175"/>
        <v/>
      </c>
      <c r="S749" t="str">
        <f>IF(A749=1,MAX(S$2:S748)+1,IF(OR(I749&lt;&gt;"",A749="x"),S748,""))</f>
        <v/>
      </c>
      <c r="T749" t="str">
        <f>IF(D749=1,MAX($T$2:$T748)+1,IF(S749=$S748,$S748,IF($D749="x",T748,IF($D748="x","",""))))</f>
        <v/>
      </c>
      <c r="U749" t="str">
        <f>IF(B749=1,MAX($U$2:$U748)+1,IF(AND($T749&lt;&gt;"",$T749=$T748),$U748,IF(B749="x",U748,"")))</f>
        <v/>
      </c>
      <c r="V749" t="str">
        <f>IF(C749=1,MAX($V$2:$V748)+1,IF(AND($T749&lt;&gt;"",$T749=$T748),$U748,IF(C749="x",V748,"")))</f>
        <v/>
      </c>
      <c r="W749" t="str" cm="1">
        <f t="array" ref="W749">IFERROR(_xlfn._xlws.FILTER(game_rosters!AB:AB,(game_rosters!J:J=events!X749)*(K749&lt;&gt;"")),"")</f>
        <v/>
      </c>
      <c r="X749" t="str" cm="1">
        <f t="array" ref="X749">IF(S749="","",IF($I749&lt;&gt;"",$I749,INDEX($I$2:$I748,ROW()-COUNTIFS($T$2:$T748,"="&amp;$T749,$S$2:$S748,"&lt;&gt;"&amp;$S749)-1)))</f>
        <v/>
      </c>
      <c r="Z749" s="6"/>
      <c r="AI749" t="str">
        <f t="shared" si="174"/>
        <v/>
      </c>
      <c r="BI749" s="40"/>
      <c r="BL749" s="40"/>
      <c r="BN749" s="19"/>
      <c r="BP749" s="17"/>
    </row>
    <row r="750" spans="1:68" x14ac:dyDescent="0.2">
      <c r="A750" t="str">
        <f t="shared" si="172"/>
        <v/>
      </c>
      <c r="E750" s="4"/>
      <c r="F750" s="45"/>
      <c r="G750" s="4"/>
      <c r="H750" s="48"/>
      <c r="J750" s="46" t="str">
        <f t="shared" si="173"/>
        <v/>
      </c>
      <c r="N750" t="str">
        <f t="shared" si="176"/>
        <v/>
      </c>
      <c r="Q750" t="str">
        <f t="shared" si="175"/>
        <v/>
      </c>
      <c r="S750" t="str">
        <f>IF(A750=1,MAX(S$2:S749)+1,IF(OR(I750&lt;&gt;"",A750="x"),S749,""))</f>
        <v/>
      </c>
      <c r="T750" t="str">
        <f>IF(D750=1,MAX($T$2:$T749)+1,IF(S750=$S749,$S749,IF($D750="x",T749,IF($D749="x","",""))))</f>
        <v/>
      </c>
      <c r="U750" t="str">
        <f>IF(B750=1,MAX($U$2:$U749)+1,IF(AND($T750&lt;&gt;"",$T750=$T749),$U749,IF(B750="x",U749,"")))</f>
        <v/>
      </c>
      <c r="V750" t="str">
        <f>IF(C750=1,MAX($V$2:$V749)+1,IF(AND($T750&lt;&gt;"",$T750=$T749),$U749,IF(C750="x",V749,"")))</f>
        <v/>
      </c>
      <c r="W750" t="str" cm="1">
        <f t="array" ref="W750">IFERROR(_xlfn._xlws.FILTER(game_rosters!AB:AB,(game_rosters!J:J=events!X750)*(K750&lt;&gt;"")),"")</f>
        <v/>
      </c>
      <c r="X750" t="str" cm="1">
        <f t="array" ref="X750">IF(S750="","",IF($I750&lt;&gt;"",$I750,INDEX($I$2:$I749,ROW()-COUNTIFS($T$2:$T749,"="&amp;$T750,$S$2:$S749,"&lt;&gt;"&amp;$S750)-1)))</f>
        <v/>
      </c>
      <c r="Z750" s="6"/>
      <c r="AI750" t="str">
        <f t="shared" si="174"/>
        <v/>
      </c>
      <c r="BI750" s="40"/>
      <c r="BL750" s="40"/>
      <c r="BN750" s="19"/>
      <c r="BP750" s="17"/>
    </row>
    <row r="751" spans="1:68" x14ac:dyDescent="0.2">
      <c r="A751" t="str">
        <f t="shared" si="172"/>
        <v/>
      </c>
      <c r="E751" s="4"/>
      <c r="F751" s="45"/>
      <c r="G751" s="4"/>
      <c r="H751" s="48"/>
      <c r="J751" s="46" t="str">
        <f t="shared" si="173"/>
        <v/>
      </c>
      <c r="N751" t="str">
        <f t="shared" si="176"/>
        <v/>
      </c>
      <c r="Q751" t="str">
        <f t="shared" si="175"/>
        <v/>
      </c>
      <c r="S751" t="str">
        <f>IF(A751=1,MAX(S$2:S750)+1,IF(OR(I751&lt;&gt;"",A751="x"),S750,""))</f>
        <v/>
      </c>
      <c r="T751" t="str">
        <f>IF(D751=1,MAX($T$2:$T750)+1,IF(S751=$S750,$S750,IF($D751="x",T750,IF($D750="x","",""))))</f>
        <v/>
      </c>
      <c r="U751" t="str">
        <f>IF(B751=1,MAX($U$2:$U750)+1,IF(AND($T751&lt;&gt;"",$T751=$T750),$U750,IF(B751="x",U750,"")))</f>
        <v/>
      </c>
      <c r="V751" t="str">
        <f>IF(C751=1,MAX($V$2:$V750)+1,IF(AND($T751&lt;&gt;"",$T751=$T750),$U750,IF(C751="x",V750,"")))</f>
        <v/>
      </c>
      <c r="W751" t="str" cm="1">
        <f t="array" ref="W751">IFERROR(_xlfn._xlws.FILTER(game_rosters!AB:AB,(game_rosters!J:J=events!X751)*(K751&lt;&gt;"")),"")</f>
        <v/>
      </c>
      <c r="X751" t="str" cm="1">
        <f t="array" ref="X751">IF(S751="","",IF($I751&lt;&gt;"",$I751,INDEX($I$2:$I750,ROW()-COUNTIFS($T$2:$T750,"="&amp;$T751,$S$2:$S750,"&lt;&gt;"&amp;$S751)-1)))</f>
        <v/>
      </c>
      <c r="Z751" s="6"/>
      <c r="AI751" t="str">
        <f t="shared" si="174"/>
        <v/>
      </c>
      <c r="BI751" s="40"/>
      <c r="BL751" s="40"/>
      <c r="BN751" s="19"/>
      <c r="BP751" s="17"/>
    </row>
    <row r="752" spans="1:68" x14ac:dyDescent="0.2">
      <c r="A752" t="str">
        <f t="shared" si="172"/>
        <v/>
      </c>
      <c r="E752" s="4"/>
      <c r="F752" s="45"/>
      <c r="G752" s="4"/>
      <c r="H752" s="48"/>
      <c r="J752" s="46" t="str">
        <f t="shared" si="173"/>
        <v/>
      </c>
      <c r="N752" t="str">
        <f t="shared" si="176"/>
        <v/>
      </c>
      <c r="Q752" t="str">
        <f t="shared" si="175"/>
        <v/>
      </c>
      <c r="S752" t="str">
        <f>IF(A752=1,MAX(S$2:S751)+1,IF(OR(I752&lt;&gt;"",A752="x"),S751,""))</f>
        <v/>
      </c>
      <c r="T752" t="str">
        <f>IF(D752=1,MAX($T$2:$T751)+1,IF(S752=$S751,$S751,IF($D752="x",T751,IF($D751="x","",""))))</f>
        <v/>
      </c>
      <c r="U752" t="str">
        <f>IF(B752=1,MAX($U$2:$U751)+1,IF(AND($T752&lt;&gt;"",$T752=$T751),$U751,IF(B752="x",U751,"")))</f>
        <v/>
      </c>
      <c r="V752" t="str">
        <f>IF(C752=1,MAX($V$2:$V751)+1,IF(AND($T752&lt;&gt;"",$T752=$T751),$U751,IF(C752="x",V751,"")))</f>
        <v/>
      </c>
      <c r="W752" t="str" cm="1">
        <f t="array" ref="W752">IFERROR(_xlfn._xlws.FILTER(game_rosters!AB:AB,(game_rosters!J:J=events!X752)*(K752&lt;&gt;"")),"")</f>
        <v/>
      </c>
      <c r="X752" t="str" cm="1">
        <f t="array" ref="X752">IF(S752="","",IF($I752&lt;&gt;"",$I752,INDEX($I$2:$I751,ROW()-COUNTIFS($T$2:$T751,"="&amp;$T752,$S$2:$S751,"&lt;&gt;"&amp;$S752)-1)))</f>
        <v/>
      </c>
      <c r="Z752" s="6"/>
      <c r="AI752" t="str">
        <f t="shared" si="174"/>
        <v/>
      </c>
      <c r="BI752" s="40"/>
      <c r="BL752" s="40"/>
      <c r="BN752" s="19"/>
      <c r="BP752" s="17"/>
    </row>
    <row r="753" spans="1:68" x14ac:dyDescent="0.2">
      <c r="A753" t="str">
        <f t="shared" si="172"/>
        <v/>
      </c>
      <c r="E753" s="4"/>
      <c r="F753" s="45"/>
      <c r="G753" s="4"/>
      <c r="H753" s="48"/>
      <c r="J753" s="46" t="str">
        <f t="shared" si="173"/>
        <v/>
      </c>
      <c r="N753" t="str">
        <f t="shared" si="176"/>
        <v/>
      </c>
      <c r="Q753" t="str">
        <f t="shared" si="175"/>
        <v/>
      </c>
      <c r="S753" t="str">
        <f>IF(A753=1,MAX(S$2:S752)+1,IF(OR(I753&lt;&gt;"",A753="x"),S752,""))</f>
        <v/>
      </c>
      <c r="T753" t="str">
        <f>IF(D753=1,MAX($T$2:$T752)+1,IF(S753=$S752,$S752,IF($D753="x",T752,IF($D752="x","",""))))</f>
        <v/>
      </c>
      <c r="U753" t="str">
        <f>IF(B753=1,MAX($U$2:$U752)+1,IF(AND($T753&lt;&gt;"",$T753=$T752),$U752,IF(B753="x",U752,"")))</f>
        <v/>
      </c>
      <c r="V753" t="str">
        <f>IF(C753=1,MAX($V$2:$V752)+1,IF(AND($T753&lt;&gt;"",$T753=$T752),$U752,IF(C753="x",V752,"")))</f>
        <v/>
      </c>
      <c r="W753" t="str" cm="1">
        <f t="array" ref="W753">IFERROR(_xlfn._xlws.FILTER(game_rosters!AB:AB,(game_rosters!J:J=events!X753)*(K753&lt;&gt;"")),"")</f>
        <v/>
      </c>
      <c r="X753" t="str" cm="1">
        <f t="array" ref="X753">IF(S753="","",IF($I753&lt;&gt;"",$I753,INDEX($I$2:$I752,ROW()-COUNTIFS($T$2:$T752,"="&amp;$T753,$S$2:$S752,"&lt;&gt;"&amp;$S753)-1)))</f>
        <v/>
      </c>
      <c r="Z753" s="6"/>
      <c r="AI753" t="str">
        <f t="shared" si="174"/>
        <v/>
      </c>
      <c r="BI753" s="40"/>
      <c r="BL753" s="40"/>
      <c r="BN753" s="19"/>
      <c r="BP753" s="17"/>
    </row>
    <row r="754" spans="1:68" x14ac:dyDescent="0.2">
      <c r="A754" t="str">
        <f t="shared" si="172"/>
        <v/>
      </c>
      <c r="E754" s="4"/>
      <c r="F754" s="45"/>
      <c r="G754" s="4"/>
      <c r="H754" s="48"/>
      <c r="J754" s="46" t="str">
        <f t="shared" si="173"/>
        <v/>
      </c>
      <c r="N754" t="str">
        <f t="shared" si="176"/>
        <v/>
      </c>
      <c r="Q754" t="str">
        <f t="shared" si="175"/>
        <v/>
      </c>
      <c r="S754" t="str">
        <f>IF(A754=1,MAX(S$2:S753)+1,IF(OR(I754&lt;&gt;"",A754="x"),S753,""))</f>
        <v/>
      </c>
      <c r="T754" t="str">
        <f>IF(D754=1,MAX($T$2:$T753)+1,IF(S754=$S753,$S753,IF($D754="x",T753,IF($D753="x","",""))))</f>
        <v/>
      </c>
      <c r="U754" t="str">
        <f>IF(B754=1,MAX($U$2:$U753)+1,IF(AND($T754&lt;&gt;"",$T754=$T753),$U753,IF(B754="x",U753,"")))</f>
        <v/>
      </c>
      <c r="V754" t="str">
        <f>IF(C754=1,MAX($V$2:$V753)+1,IF(AND($T754&lt;&gt;"",$T754=$T753),$U753,IF(C754="x",V753,"")))</f>
        <v/>
      </c>
      <c r="W754" t="str" cm="1">
        <f t="array" ref="W754">IFERROR(_xlfn._xlws.FILTER(game_rosters!AB:AB,(game_rosters!J:J=events!X754)*(K754&lt;&gt;"")),"")</f>
        <v/>
      </c>
      <c r="X754" t="str" cm="1">
        <f t="array" ref="X754">IF(S754="","",IF($I754&lt;&gt;"",$I754,INDEX($I$2:$I753,ROW()-COUNTIFS($T$2:$T753,"="&amp;$T754,$S$2:$S753,"&lt;&gt;"&amp;$S754)-1)))</f>
        <v/>
      </c>
      <c r="Z754" s="6"/>
      <c r="AI754" t="str">
        <f t="shared" si="174"/>
        <v/>
      </c>
      <c r="BI754" s="40"/>
      <c r="BL754" s="40"/>
      <c r="BN754" s="19"/>
      <c r="BP754" s="17"/>
    </row>
    <row r="755" spans="1:68" x14ac:dyDescent="0.2">
      <c r="A755" t="str">
        <f t="shared" si="172"/>
        <v/>
      </c>
      <c r="E755" s="4"/>
      <c r="F755" s="45"/>
      <c r="G755" s="4"/>
      <c r="H755" s="48"/>
      <c r="J755" s="46" t="str">
        <f t="shared" si="173"/>
        <v/>
      </c>
      <c r="N755" t="str">
        <f t="shared" si="176"/>
        <v/>
      </c>
      <c r="Q755" t="str">
        <f t="shared" si="175"/>
        <v/>
      </c>
      <c r="S755" t="str">
        <f>IF(A755=1,MAX(S$2:S754)+1,IF(OR(I755&lt;&gt;"",A755="x"),S754,""))</f>
        <v/>
      </c>
      <c r="T755" t="str">
        <f>IF(D755=1,MAX($T$2:$T754)+1,IF(S755=$S754,$S754,IF($D755="x",T754,IF($D754="x","",""))))</f>
        <v/>
      </c>
      <c r="U755" t="str">
        <f>IF(B755=1,MAX($U$2:$U754)+1,IF(AND($T755&lt;&gt;"",$T755=$T754),$U754,IF(B755="x",U754,"")))</f>
        <v/>
      </c>
      <c r="V755" t="str">
        <f>IF(C755=1,MAX($V$2:$V754)+1,IF(AND($T755&lt;&gt;"",$T755=$T754),$U754,IF(C755="x",V754,"")))</f>
        <v/>
      </c>
      <c r="W755" t="str" cm="1">
        <f t="array" ref="W755">IFERROR(_xlfn._xlws.FILTER(game_rosters!AB:AB,(game_rosters!J:J=events!X755)*(K755&lt;&gt;"")),"")</f>
        <v/>
      </c>
      <c r="X755" t="str" cm="1">
        <f t="array" ref="X755">IF(S755="","",IF($I755&lt;&gt;"",$I755,INDEX($I$2:$I754,ROW()-COUNTIFS($T$2:$T754,"="&amp;$T755,$S$2:$S754,"&lt;&gt;"&amp;$S755)-1)))</f>
        <v/>
      </c>
      <c r="Z755" s="6"/>
      <c r="AI755" t="str">
        <f t="shared" si="174"/>
        <v/>
      </c>
      <c r="BI755" s="40"/>
      <c r="BL755" s="40"/>
      <c r="BN755" s="19"/>
      <c r="BP755" s="17"/>
    </row>
    <row r="756" spans="1:68" x14ac:dyDescent="0.2">
      <c r="A756" t="str">
        <f t="shared" si="172"/>
        <v/>
      </c>
      <c r="E756" s="4"/>
      <c r="F756" s="45"/>
      <c r="G756" s="4"/>
      <c r="H756" s="48"/>
      <c r="J756" s="46" t="str">
        <f t="shared" si="173"/>
        <v/>
      </c>
      <c r="N756" t="str">
        <f t="shared" si="176"/>
        <v/>
      </c>
      <c r="Q756" t="str">
        <f t="shared" si="175"/>
        <v/>
      </c>
      <c r="S756" t="str">
        <f>IF(A756=1,MAX(S$2:S755)+1,IF(OR(I756&lt;&gt;"",A756="x"),S755,""))</f>
        <v/>
      </c>
      <c r="T756" t="str">
        <f>IF(D756=1,MAX($T$2:$T755)+1,IF(S756=$S755,$S755,IF($D756="x",T755,IF($D755="x","",""))))</f>
        <v/>
      </c>
      <c r="U756" t="str">
        <f>IF(B756=1,MAX($U$2:$U755)+1,IF(AND($T756&lt;&gt;"",$T756=$T755),$U755,IF(B756="x",U755,"")))</f>
        <v/>
      </c>
      <c r="V756" t="str">
        <f>IF(C756=1,MAX($V$2:$V755)+1,IF(AND($T756&lt;&gt;"",$T756=$T755),$U755,IF(C756="x",V755,"")))</f>
        <v/>
      </c>
      <c r="W756" t="str" cm="1">
        <f t="array" ref="W756">IFERROR(_xlfn._xlws.FILTER(game_rosters!AB:AB,(game_rosters!J:J=events!X756)*(K756&lt;&gt;"")),"")</f>
        <v/>
      </c>
      <c r="X756" t="str" cm="1">
        <f t="array" ref="X756">IF(S756="","",IF($I756&lt;&gt;"",$I756,INDEX($I$2:$I755,ROW()-COUNTIFS($T$2:$T755,"="&amp;$T756,$S$2:$S755,"&lt;&gt;"&amp;$S756)-1)))</f>
        <v/>
      </c>
      <c r="Z756" s="6"/>
      <c r="AI756" t="str">
        <f t="shared" si="174"/>
        <v/>
      </c>
      <c r="BI756" s="40"/>
      <c r="BL756" s="40"/>
      <c r="BN756" s="19"/>
      <c r="BP756" s="17"/>
    </row>
    <row r="757" spans="1:68" x14ac:dyDescent="0.2">
      <c r="A757" t="str">
        <f t="shared" si="172"/>
        <v/>
      </c>
      <c r="E757" s="4"/>
      <c r="F757" s="45"/>
      <c r="G757" s="4"/>
      <c r="H757" s="48"/>
      <c r="J757" s="46" t="str">
        <f t="shared" si="173"/>
        <v/>
      </c>
      <c r="N757" t="str">
        <f t="shared" si="176"/>
        <v/>
      </c>
      <c r="Q757" t="str">
        <f t="shared" si="175"/>
        <v/>
      </c>
      <c r="S757" t="str">
        <f>IF(A757=1,MAX(S$2:S756)+1,IF(OR(I757&lt;&gt;"",A757="x"),S756,""))</f>
        <v/>
      </c>
      <c r="T757" t="str">
        <f>IF(D757=1,MAX($T$2:$T756)+1,IF(S757=$S756,$S756,IF($D757="x",T756,IF($D756="x","",""))))</f>
        <v/>
      </c>
      <c r="U757" t="str">
        <f>IF(B757=1,MAX($U$2:$U756)+1,IF(AND($T757&lt;&gt;"",$T757=$T756),$U756,IF(B757="x",U756,"")))</f>
        <v/>
      </c>
      <c r="V757" t="str">
        <f>IF(C757=1,MAX($V$2:$V756)+1,IF(AND($T757&lt;&gt;"",$T757=$T756),$U756,IF(C757="x",V756,"")))</f>
        <v/>
      </c>
      <c r="W757" t="str" cm="1">
        <f t="array" ref="W757">IFERROR(_xlfn._xlws.FILTER(game_rosters!AB:AB,(game_rosters!J:J=events!X757)*(K757&lt;&gt;"")),"")</f>
        <v/>
      </c>
      <c r="X757" t="str" cm="1">
        <f t="array" ref="X757">IF(S757="","",IF($I757&lt;&gt;"",$I757,INDEX($I$2:$I756,ROW()-COUNTIFS($T$2:$T756,"="&amp;$T757,$S$2:$S756,"&lt;&gt;"&amp;$S757)-1)))</f>
        <v/>
      </c>
      <c r="Z757" s="6"/>
      <c r="AI757" t="str">
        <f t="shared" si="174"/>
        <v/>
      </c>
      <c r="BI757" s="40"/>
      <c r="BL757" s="40"/>
      <c r="BN757" s="19"/>
      <c r="BP757" s="17"/>
    </row>
    <row r="758" spans="1:68" x14ac:dyDescent="0.2">
      <c r="A758" t="str">
        <f t="shared" si="172"/>
        <v/>
      </c>
      <c r="E758" s="4"/>
      <c r="F758" s="45"/>
      <c r="G758" s="4"/>
      <c r="H758" s="48"/>
      <c r="J758" s="46" t="str">
        <f t="shared" si="173"/>
        <v/>
      </c>
      <c r="N758" t="str">
        <f t="shared" si="176"/>
        <v/>
      </c>
      <c r="Q758" t="str">
        <f t="shared" si="175"/>
        <v/>
      </c>
      <c r="S758" t="str">
        <f>IF(A758=1,MAX(S$2:S757)+1,IF(OR(I758&lt;&gt;"",A758="x"),S757,""))</f>
        <v/>
      </c>
      <c r="T758" t="str">
        <f>IF(D758=1,MAX($T$2:$T757)+1,IF(S758=$S757,$S757,IF($D758="x",T757,IF($D757="x","",""))))</f>
        <v/>
      </c>
      <c r="U758" t="str">
        <f>IF(B758=1,MAX($U$2:$U757)+1,IF(AND($T758&lt;&gt;"",$T758=$T757),$U757,IF(B758="x",U757,"")))</f>
        <v/>
      </c>
      <c r="V758" t="str">
        <f>IF(C758=1,MAX($V$2:$V757)+1,IF(AND($T758&lt;&gt;"",$T758=$T757),$U757,IF(C758="x",V757,"")))</f>
        <v/>
      </c>
      <c r="W758" t="str" cm="1">
        <f t="array" ref="W758">IFERROR(_xlfn._xlws.FILTER(game_rosters!AB:AB,(game_rosters!J:J=events!X758)*(K758&lt;&gt;"")),"")</f>
        <v/>
      </c>
      <c r="X758" t="str" cm="1">
        <f t="array" ref="X758">IF(S758="","",IF($I758&lt;&gt;"",$I758,INDEX($I$2:$I757,ROW()-COUNTIFS($T$2:$T757,"="&amp;$T758,$S$2:$S757,"&lt;&gt;"&amp;$S758)-1)))</f>
        <v/>
      </c>
      <c r="Z758" s="6"/>
      <c r="AI758" t="str">
        <f t="shared" si="174"/>
        <v/>
      </c>
      <c r="BI758" s="40"/>
      <c r="BL758" s="40"/>
      <c r="BN758" s="19"/>
      <c r="BP758" s="17"/>
    </row>
    <row r="759" spans="1:68" x14ac:dyDescent="0.2">
      <c r="A759" t="str">
        <f t="shared" si="172"/>
        <v/>
      </c>
      <c r="E759" s="4"/>
      <c r="F759" s="45"/>
      <c r="G759" s="4"/>
      <c r="H759" s="48"/>
      <c r="J759" s="46" t="str">
        <f t="shared" si="173"/>
        <v/>
      </c>
      <c r="N759" t="str">
        <f t="shared" si="176"/>
        <v/>
      </c>
      <c r="Q759" t="str">
        <f t="shared" si="175"/>
        <v/>
      </c>
      <c r="S759" t="str">
        <f>IF(A759=1,MAX(S$2:S758)+1,IF(OR(I759&lt;&gt;"",A759="x"),S758,""))</f>
        <v/>
      </c>
      <c r="T759" t="str">
        <f>IF(D759=1,MAX($T$2:$T758)+1,IF(S759=$S758,$S758,IF($D759="x",T758,IF($D758="x","",""))))</f>
        <v/>
      </c>
      <c r="U759" t="str">
        <f>IF(B759=1,MAX($U$2:$U758)+1,IF(AND($T759&lt;&gt;"",$T759=$T758),$U758,IF(B759="x",U758,"")))</f>
        <v/>
      </c>
      <c r="V759" t="str">
        <f>IF(C759=1,MAX($V$2:$V758)+1,IF(AND($T759&lt;&gt;"",$T759=$T758),$U758,IF(C759="x",V758,"")))</f>
        <v/>
      </c>
      <c r="W759" t="str" cm="1">
        <f t="array" ref="W759">IFERROR(_xlfn._xlws.FILTER(game_rosters!AB:AB,(game_rosters!J:J=events!X759)*(K759&lt;&gt;"")),"")</f>
        <v/>
      </c>
      <c r="X759" t="str" cm="1">
        <f t="array" ref="X759">IF(S759="","",IF($I759&lt;&gt;"",$I759,INDEX($I$2:$I758,ROW()-COUNTIFS($T$2:$T758,"="&amp;$T759,$S$2:$S758,"&lt;&gt;"&amp;$S759)-1)))</f>
        <v/>
      </c>
      <c r="Z759" s="6"/>
      <c r="AI759" t="str">
        <f t="shared" si="174"/>
        <v/>
      </c>
      <c r="BI759" s="40"/>
      <c r="BL759" s="40"/>
      <c r="BN759" s="19"/>
      <c r="BP759" s="17"/>
    </row>
    <row r="760" spans="1:68" x14ac:dyDescent="0.2">
      <c r="A760" t="str">
        <f t="shared" si="172"/>
        <v/>
      </c>
      <c r="E760" s="4"/>
      <c r="F760" s="45"/>
      <c r="G760" s="4"/>
      <c r="H760" s="48"/>
      <c r="J760" s="46" t="str">
        <f t="shared" si="173"/>
        <v/>
      </c>
      <c r="N760" t="str">
        <f t="shared" si="176"/>
        <v/>
      </c>
      <c r="Q760" t="str">
        <f t="shared" si="175"/>
        <v/>
      </c>
      <c r="S760" t="str">
        <f>IF(A760=1,MAX(S$2:S759)+1,IF(OR(I760&lt;&gt;"",A760="x"),S759,""))</f>
        <v/>
      </c>
      <c r="T760" t="str">
        <f>IF(D760=1,MAX($T$2:$T759)+1,IF(S760=$S759,$S759,IF($D760="x",T759,IF($D759="x","",""))))</f>
        <v/>
      </c>
      <c r="U760" t="str">
        <f>IF(B760=1,MAX($U$2:$U759)+1,IF(AND($T760&lt;&gt;"",$T760=$T759),$U759,IF(B760="x",U759,"")))</f>
        <v/>
      </c>
      <c r="V760" t="str">
        <f>IF(C760=1,MAX($V$2:$V759)+1,IF(AND($T760&lt;&gt;"",$T760=$T759),$U759,IF(C760="x",V759,"")))</f>
        <v/>
      </c>
      <c r="W760" t="str" cm="1">
        <f t="array" ref="W760">IFERROR(_xlfn._xlws.FILTER(game_rosters!AB:AB,(game_rosters!J:J=events!X760)*(K760&lt;&gt;"")),"")</f>
        <v/>
      </c>
      <c r="X760" t="str" cm="1">
        <f t="array" ref="X760">IF(S760="","",IF($I760&lt;&gt;"",$I760,INDEX($I$2:$I759,ROW()-COUNTIFS($T$2:$T759,"="&amp;$T760,$S$2:$S759,"&lt;&gt;"&amp;$S760)-1)))</f>
        <v/>
      </c>
      <c r="Z760" s="6"/>
      <c r="AI760" t="str">
        <f t="shared" si="174"/>
        <v/>
      </c>
      <c r="BI760" s="40"/>
      <c r="BL760" s="40"/>
      <c r="BN760" s="19"/>
      <c r="BP760" s="17"/>
    </row>
    <row r="761" spans="1:68" x14ac:dyDescent="0.2">
      <c r="A761" t="str">
        <f t="shared" si="172"/>
        <v/>
      </c>
      <c r="E761" s="4"/>
      <c r="F761" s="45"/>
      <c r="G761" s="4"/>
      <c r="H761" s="48"/>
      <c r="J761" s="46" t="str">
        <f t="shared" si="173"/>
        <v/>
      </c>
      <c r="N761" t="str">
        <f t="shared" si="176"/>
        <v/>
      </c>
      <c r="Q761" t="str">
        <f t="shared" si="175"/>
        <v/>
      </c>
      <c r="S761" t="str">
        <f>IF(A761=1,MAX(S$2:S760)+1,IF(OR(I761&lt;&gt;"",A761="x"),S760,""))</f>
        <v/>
      </c>
      <c r="T761" t="str">
        <f>IF(D761=1,MAX($T$2:$T760)+1,IF(S761=$S760,$S760,IF($D761="x",T760,IF($D760="x","",""))))</f>
        <v/>
      </c>
      <c r="U761" t="str">
        <f>IF(B761=1,MAX($U$2:$U760)+1,IF(AND($T761&lt;&gt;"",$T761=$T760),$U760,IF(B761="x",U760,"")))</f>
        <v/>
      </c>
      <c r="V761" t="str">
        <f>IF(C761=1,MAX($V$2:$V760)+1,IF(AND($T761&lt;&gt;"",$T761=$T760),$U760,IF(C761="x",V760,"")))</f>
        <v/>
      </c>
      <c r="W761" t="str" cm="1">
        <f t="array" ref="W761">IFERROR(_xlfn._xlws.FILTER(game_rosters!AB:AB,(game_rosters!J:J=events!X761)*(K761&lt;&gt;"")),"")</f>
        <v/>
      </c>
      <c r="X761" t="str" cm="1">
        <f t="array" ref="X761">IF(S761="","",IF($I761&lt;&gt;"",$I761,INDEX($I$2:$I760,ROW()-COUNTIFS($T$2:$T760,"="&amp;$T761,$S$2:$S760,"&lt;&gt;"&amp;$S761)-1)))</f>
        <v/>
      </c>
      <c r="Z761" s="6"/>
      <c r="AI761" t="str">
        <f t="shared" si="174"/>
        <v/>
      </c>
      <c r="BI761" s="40"/>
      <c r="BL761" s="40"/>
      <c r="BN761" s="19"/>
      <c r="BP761" s="17"/>
    </row>
    <row r="762" spans="1:68" x14ac:dyDescent="0.2">
      <c r="A762" t="str">
        <f t="shared" si="172"/>
        <v/>
      </c>
      <c r="E762" s="4"/>
      <c r="F762" s="45"/>
      <c r="G762" s="4"/>
      <c r="H762" s="48"/>
      <c r="J762" s="46" t="str">
        <f t="shared" si="173"/>
        <v/>
      </c>
      <c r="N762" t="str">
        <f t="shared" si="176"/>
        <v/>
      </c>
      <c r="Q762" t="str">
        <f t="shared" si="175"/>
        <v/>
      </c>
      <c r="S762" t="str">
        <f>IF(A762=1,MAX(S$2:S761)+1,IF(OR(I762&lt;&gt;"",A762="x"),S761,""))</f>
        <v/>
      </c>
      <c r="T762" t="str">
        <f>IF(D762=1,MAX($T$2:$T761)+1,IF(S762=$S761,$S761,IF($D762="x",T761,IF($D761="x","",""))))</f>
        <v/>
      </c>
      <c r="U762" t="str">
        <f>IF(B762=1,MAX($U$2:$U761)+1,IF(AND($T762&lt;&gt;"",$T762=$T761),$U761,IF(B762="x",U761,"")))</f>
        <v/>
      </c>
      <c r="V762" t="str">
        <f>IF(C762=1,MAX($V$2:$V761)+1,IF(AND($T762&lt;&gt;"",$T762=$T761),$U761,IF(C762="x",V761,"")))</f>
        <v/>
      </c>
      <c r="W762" t="str" cm="1">
        <f t="array" ref="W762">IFERROR(_xlfn._xlws.FILTER(game_rosters!AB:AB,(game_rosters!J:J=events!X762)*(K762&lt;&gt;"")),"")</f>
        <v/>
      </c>
      <c r="X762" t="str" cm="1">
        <f t="array" ref="X762">IF(S762="","",IF($I762&lt;&gt;"",$I762,INDEX($I$2:$I761,ROW()-COUNTIFS($T$2:$T761,"="&amp;$T762,$S$2:$S761,"&lt;&gt;"&amp;$S762)-1)))</f>
        <v/>
      </c>
      <c r="Z762" s="6"/>
      <c r="AI762" t="str">
        <f t="shared" si="174"/>
        <v/>
      </c>
      <c r="BI762" s="40"/>
      <c r="BL762" s="40"/>
      <c r="BN762" s="19"/>
      <c r="BP762" s="17"/>
    </row>
    <row r="763" spans="1:68" x14ac:dyDescent="0.2">
      <c r="A763" t="str">
        <f t="shared" si="172"/>
        <v/>
      </c>
      <c r="E763" s="4"/>
      <c r="F763" s="45"/>
      <c r="G763" s="4"/>
      <c r="H763" s="48"/>
      <c r="J763" s="46" t="str">
        <f t="shared" si="173"/>
        <v/>
      </c>
      <c r="N763" t="str">
        <f t="shared" si="176"/>
        <v/>
      </c>
      <c r="Q763" t="str">
        <f t="shared" si="175"/>
        <v/>
      </c>
      <c r="S763" t="str">
        <f>IF(A763=1,MAX(S$2:S762)+1,IF(OR(I763&lt;&gt;"",A763="x"),S762,""))</f>
        <v/>
      </c>
      <c r="T763" t="str">
        <f>IF(D763=1,MAX($T$2:$T762)+1,IF(S763=$S762,$S762,IF($D763="x",T762,IF($D762="x","",""))))</f>
        <v/>
      </c>
      <c r="U763" t="str">
        <f>IF(B763=1,MAX($U$2:$U762)+1,IF(AND($T763&lt;&gt;"",$T763=$T762),$U762,IF(B763="x",U762,"")))</f>
        <v/>
      </c>
      <c r="V763" t="str">
        <f>IF(C763=1,MAX($V$2:$V762)+1,IF(AND($T763&lt;&gt;"",$T763=$T762),$U762,IF(C763="x",V762,"")))</f>
        <v/>
      </c>
      <c r="W763" t="str" cm="1">
        <f t="array" ref="W763">IFERROR(_xlfn._xlws.FILTER(game_rosters!AB:AB,(game_rosters!J:J=events!X763)*(K763&lt;&gt;"")),"")</f>
        <v/>
      </c>
      <c r="X763" t="str" cm="1">
        <f t="array" ref="X763">IF(S763="","",IF($I763&lt;&gt;"",$I763,INDEX($I$2:$I762,ROW()-COUNTIFS($T$2:$T762,"="&amp;$T763,$S$2:$S762,"&lt;&gt;"&amp;$S763)-1)))</f>
        <v/>
      </c>
      <c r="Z763" s="6"/>
      <c r="AI763" t="str">
        <f t="shared" si="174"/>
        <v/>
      </c>
      <c r="BI763" s="40"/>
      <c r="BL763" s="40"/>
      <c r="BN763" s="19"/>
      <c r="BP763" s="17"/>
    </row>
    <row r="764" spans="1:68" x14ac:dyDescent="0.2">
      <c r="A764" t="str">
        <f t="shared" si="172"/>
        <v/>
      </c>
      <c r="E764" s="4"/>
      <c r="F764" s="45"/>
      <c r="G764" s="4"/>
      <c r="H764" s="48"/>
      <c r="J764" s="46" t="str">
        <f t="shared" si="173"/>
        <v/>
      </c>
      <c r="N764" t="str">
        <f t="shared" si="176"/>
        <v/>
      </c>
      <c r="Q764" t="str">
        <f t="shared" si="175"/>
        <v/>
      </c>
      <c r="S764" t="str">
        <f>IF(A764=1,MAX(S$2:S763)+1,IF(OR(I764&lt;&gt;"",A764="x"),S763,""))</f>
        <v/>
      </c>
      <c r="T764" t="str">
        <f>IF(D764=1,MAX($T$2:$T763)+1,IF(S764=$S763,$S763,IF($D764="x",T763,IF($D763="x","",""))))</f>
        <v/>
      </c>
      <c r="U764" t="str">
        <f>IF(B764=1,MAX($U$2:$U763)+1,IF(AND($T764&lt;&gt;"",$T764=$T763),$U763,IF(B764="x",U763,"")))</f>
        <v/>
      </c>
      <c r="V764" t="str">
        <f>IF(C764=1,MAX($V$2:$V763)+1,IF(AND($T764&lt;&gt;"",$T764=$T763),$U763,IF(C764="x",V763,"")))</f>
        <v/>
      </c>
      <c r="W764" t="str" cm="1">
        <f t="array" ref="W764">IFERROR(_xlfn._xlws.FILTER(game_rosters!AB:AB,(game_rosters!J:J=events!X764)*(K764&lt;&gt;"")),"")</f>
        <v/>
      </c>
      <c r="X764" t="str" cm="1">
        <f t="array" ref="X764">IF(S764="","",IF($I764&lt;&gt;"",$I764,INDEX($I$2:$I763,ROW()-COUNTIFS($T$2:$T763,"="&amp;$T764,$S$2:$S763,"&lt;&gt;"&amp;$S764)-1)))</f>
        <v/>
      </c>
      <c r="Z764" s="6"/>
      <c r="AI764" t="str">
        <f t="shared" si="174"/>
        <v/>
      </c>
      <c r="BI764" s="40"/>
      <c r="BL764" s="40"/>
      <c r="BN764" s="19"/>
      <c r="BP764" s="17"/>
    </row>
    <row r="765" spans="1:68" x14ac:dyDescent="0.2">
      <c r="A765" t="str">
        <f t="shared" si="172"/>
        <v/>
      </c>
      <c r="E765" s="4"/>
      <c r="F765" s="45"/>
      <c r="G765" s="4"/>
      <c r="H765" s="48"/>
      <c r="J765" s="46" t="str">
        <f t="shared" si="173"/>
        <v/>
      </c>
      <c r="N765" t="str">
        <f t="shared" si="176"/>
        <v/>
      </c>
      <c r="Q765" t="str">
        <f t="shared" si="175"/>
        <v/>
      </c>
      <c r="S765" t="str">
        <f>IF(A765=1,MAX(S$2:S764)+1,IF(OR(I765&lt;&gt;"",A765="x"),S764,""))</f>
        <v/>
      </c>
      <c r="T765" t="str">
        <f>IF(D765=1,MAX($T$2:$T764)+1,IF(S765=$S764,$S764,IF($D765="x",T764,IF($D764="x","",""))))</f>
        <v/>
      </c>
      <c r="U765" t="str">
        <f>IF(B765=1,MAX($U$2:$U764)+1,IF(AND($T765&lt;&gt;"",$T765=$T764),$U764,IF(B765="x",U764,"")))</f>
        <v/>
      </c>
      <c r="V765" t="str">
        <f>IF(C765=1,MAX($V$2:$V764)+1,IF(AND($T765&lt;&gt;"",$T765=$T764),$U764,IF(C765="x",V764,"")))</f>
        <v/>
      </c>
      <c r="W765" t="str" cm="1">
        <f t="array" ref="W765">IFERROR(_xlfn._xlws.FILTER(game_rosters!AB:AB,(game_rosters!J:J=events!X765)*(K765&lt;&gt;"")),"")</f>
        <v/>
      </c>
      <c r="X765" t="str" cm="1">
        <f t="array" ref="X765">IF(S765="","",IF($I765&lt;&gt;"",$I765,INDEX($I$2:$I764,ROW()-COUNTIFS($T$2:$T764,"="&amp;$T765,$S$2:$S764,"&lt;&gt;"&amp;$S765)-1)))</f>
        <v/>
      </c>
      <c r="Z765" s="6"/>
      <c r="AI765" t="str">
        <f t="shared" si="174"/>
        <v/>
      </c>
      <c r="BI765" s="40"/>
      <c r="BL765" s="40"/>
      <c r="BN765" s="19"/>
      <c r="BP765" s="17"/>
    </row>
    <row r="766" spans="1:68" x14ac:dyDescent="0.2">
      <c r="A766" t="str">
        <f t="shared" si="172"/>
        <v/>
      </c>
      <c r="E766" s="4"/>
      <c r="F766" s="45"/>
      <c r="G766" s="4"/>
      <c r="H766" s="48"/>
      <c r="J766" s="46" t="str">
        <f t="shared" si="173"/>
        <v/>
      </c>
      <c r="N766" t="str">
        <f t="shared" si="176"/>
        <v/>
      </c>
      <c r="Q766" t="str">
        <f t="shared" si="175"/>
        <v/>
      </c>
      <c r="S766" t="str">
        <f>IF(A766=1,MAX(S$2:S765)+1,IF(OR(I766&lt;&gt;"",A766="x"),S765,""))</f>
        <v/>
      </c>
      <c r="T766" t="str">
        <f>IF(D766=1,MAX($T$2:$T765)+1,IF(S766=$S765,$S765,IF($D766="x",T765,IF($D765="x","",""))))</f>
        <v/>
      </c>
      <c r="U766" t="str">
        <f>IF(B766=1,MAX($U$2:$U765)+1,IF(AND($T766&lt;&gt;"",$T766=$T765),$U765,IF(B766="x",U765,"")))</f>
        <v/>
      </c>
      <c r="V766" t="str">
        <f>IF(C766=1,MAX($V$2:$V765)+1,IF(AND($T766&lt;&gt;"",$T766=$T765),$U765,IF(C766="x",V765,"")))</f>
        <v/>
      </c>
      <c r="W766" t="str" cm="1">
        <f t="array" ref="W766">IFERROR(_xlfn._xlws.FILTER(game_rosters!AB:AB,(game_rosters!J:J=events!X766)*(K766&lt;&gt;"")),"")</f>
        <v/>
      </c>
      <c r="X766" t="str" cm="1">
        <f t="array" ref="X766">IF(S766="","",IF($I766&lt;&gt;"",$I766,INDEX($I$2:$I765,ROW()-COUNTIFS($T$2:$T765,"="&amp;$T766,$S$2:$S765,"&lt;&gt;"&amp;$S766)-1)))</f>
        <v/>
      </c>
      <c r="Z766" s="6"/>
      <c r="AI766" t="str">
        <f t="shared" si="174"/>
        <v/>
      </c>
      <c r="BI766" s="40"/>
      <c r="BL766" s="40"/>
      <c r="BN766" s="19"/>
      <c r="BP766" s="17"/>
    </row>
    <row r="767" spans="1:68" x14ac:dyDescent="0.2">
      <c r="A767" t="str">
        <f t="shared" si="172"/>
        <v/>
      </c>
      <c r="E767" s="4"/>
      <c r="F767" s="45"/>
      <c r="G767" s="4"/>
      <c r="H767" s="48"/>
      <c r="J767" s="46" t="str">
        <f t="shared" si="173"/>
        <v/>
      </c>
      <c r="N767" t="str">
        <f t="shared" si="176"/>
        <v/>
      </c>
      <c r="Q767" t="str">
        <f t="shared" si="175"/>
        <v/>
      </c>
      <c r="S767" t="str">
        <f>IF(A767=1,MAX(S$2:S766)+1,IF(OR(I767&lt;&gt;"",A767="x"),S766,""))</f>
        <v/>
      </c>
      <c r="T767" t="str">
        <f>IF(D767=1,MAX($T$2:$T766)+1,IF(S767=$S766,$S766,IF($D767="x",T766,IF($D766="x","",""))))</f>
        <v/>
      </c>
      <c r="U767" t="str">
        <f>IF(B767=1,MAX($U$2:$U766)+1,IF(AND($T767&lt;&gt;"",$T767=$T766),$U766,IF(B767="x",U766,"")))</f>
        <v/>
      </c>
      <c r="V767" t="str">
        <f>IF(C767=1,MAX($V$2:$V766)+1,IF(AND($T767&lt;&gt;"",$T767=$T766),$U766,IF(C767="x",V766,"")))</f>
        <v/>
      </c>
      <c r="W767" t="str" cm="1">
        <f t="array" ref="W767">IFERROR(_xlfn._xlws.FILTER(game_rosters!AB:AB,(game_rosters!J:J=events!X767)*(K767&lt;&gt;"")),"")</f>
        <v/>
      </c>
      <c r="X767" t="str" cm="1">
        <f t="array" ref="X767">IF(S767="","",IF($I767&lt;&gt;"",$I767,INDEX($I$2:$I766,ROW()-COUNTIFS($T$2:$T766,"="&amp;$T767,$S$2:$S766,"&lt;&gt;"&amp;$S767)-1)))</f>
        <v/>
      </c>
      <c r="Z767" s="6"/>
      <c r="AI767" t="str">
        <f t="shared" si="174"/>
        <v/>
      </c>
      <c r="BI767" s="40"/>
      <c r="BL767" s="40"/>
      <c r="BN767" s="19"/>
      <c r="BP767" s="17"/>
    </row>
    <row r="768" spans="1:68" x14ac:dyDescent="0.2">
      <c r="A768" t="str">
        <f t="shared" si="172"/>
        <v/>
      </c>
      <c r="E768" s="4"/>
      <c r="F768" s="45"/>
      <c r="G768" s="4"/>
      <c r="H768" s="48"/>
      <c r="J768" s="46" t="str">
        <f t="shared" si="173"/>
        <v/>
      </c>
      <c r="N768" t="str">
        <f t="shared" si="176"/>
        <v/>
      </c>
      <c r="Q768" t="str">
        <f t="shared" si="175"/>
        <v/>
      </c>
      <c r="S768" t="str">
        <f>IF(A768=1,MAX(S$2:S767)+1,IF(OR(I768&lt;&gt;"",A768="x"),S767,""))</f>
        <v/>
      </c>
      <c r="T768" t="str">
        <f>IF(D768=1,MAX($T$2:$T767)+1,IF(S768=$S767,$S767,IF($D768="x",T767,IF($D767="x","",""))))</f>
        <v/>
      </c>
      <c r="U768" t="str">
        <f>IF(B768=1,MAX($U$2:$U767)+1,IF(AND($T768&lt;&gt;"",$T768=$T767),$U767,IF(B768="x",U767,"")))</f>
        <v/>
      </c>
      <c r="V768" t="str">
        <f>IF(C768=1,MAX($V$2:$V767)+1,IF(AND($T768&lt;&gt;"",$T768=$T767),$U767,IF(C768="x",V767,"")))</f>
        <v/>
      </c>
      <c r="W768" t="str" cm="1">
        <f t="array" ref="W768">IFERROR(_xlfn._xlws.FILTER(game_rosters!AB:AB,(game_rosters!J:J=events!X768)*(K768&lt;&gt;"")),"")</f>
        <v/>
      </c>
      <c r="X768" t="str" cm="1">
        <f t="array" ref="X768">IF(S768="","",IF($I768&lt;&gt;"",$I768,INDEX($I$2:$I767,ROW()-COUNTIFS($T$2:$T767,"="&amp;$T768,$S$2:$S767,"&lt;&gt;"&amp;$S768)-1)))</f>
        <v/>
      </c>
      <c r="Z768" s="6"/>
      <c r="AI768" t="str">
        <f t="shared" si="174"/>
        <v/>
      </c>
      <c r="BI768" s="40"/>
      <c r="BL768" s="40"/>
      <c r="BN768" s="19"/>
      <c r="BP768" s="17"/>
    </row>
    <row r="769" spans="1:68" x14ac:dyDescent="0.2">
      <c r="A769" t="str">
        <f t="shared" si="172"/>
        <v/>
      </c>
      <c r="E769" s="4"/>
      <c r="F769" s="45"/>
      <c r="G769" s="4"/>
      <c r="H769" s="48"/>
      <c r="J769" s="46" t="str">
        <f t="shared" si="173"/>
        <v/>
      </c>
      <c r="N769" t="str">
        <f t="shared" si="176"/>
        <v/>
      </c>
      <c r="Q769" t="str">
        <f t="shared" si="175"/>
        <v/>
      </c>
      <c r="S769" t="str">
        <f>IF(A769=1,MAX(S$2:S768)+1,IF(OR(I769&lt;&gt;"",A769="x"),S768,""))</f>
        <v/>
      </c>
      <c r="T769" t="str">
        <f>IF(D769=1,MAX($T$2:$T768)+1,IF(S769=$S768,$S768,IF($D769="x",T768,IF($D768="x","",""))))</f>
        <v/>
      </c>
      <c r="U769" t="str">
        <f>IF(B769=1,MAX($U$2:$U768)+1,IF(AND($T769&lt;&gt;"",$T769=$T768),$U768,IF(B769="x",U768,"")))</f>
        <v/>
      </c>
      <c r="V769" t="str">
        <f>IF(C769=1,MAX($V$2:$V768)+1,IF(AND($T769&lt;&gt;"",$T769=$T768),$U768,IF(C769="x",V768,"")))</f>
        <v/>
      </c>
      <c r="W769" t="str" cm="1">
        <f t="array" ref="W769">IFERROR(_xlfn._xlws.FILTER(game_rosters!AB:AB,(game_rosters!J:J=events!X769)*(K769&lt;&gt;"")),"")</f>
        <v/>
      </c>
      <c r="X769" t="str" cm="1">
        <f t="array" ref="X769">IF(S769="","",IF($I769&lt;&gt;"",$I769,INDEX($I$2:$I768,ROW()-COUNTIFS($T$2:$T768,"="&amp;$T769,$S$2:$S768,"&lt;&gt;"&amp;$S769)-1)))</f>
        <v/>
      </c>
      <c r="Z769" s="6"/>
      <c r="AI769" t="str">
        <f t="shared" si="174"/>
        <v/>
      </c>
      <c r="BI769" s="40"/>
      <c r="BL769" s="40"/>
      <c r="BN769" s="19"/>
      <c r="BP769" s="17"/>
    </row>
    <row r="770" spans="1:68" x14ac:dyDescent="0.2">
      <c r="A770" t="str">
        <f t="shared" si="172"/>
        <v/>
      </c>
      <c r="E770" s="4"/>
      <c r="F770" s="45"/>
      <c r="G770" s="4"/>
      <c r="H770" s="48"/>
      <c r="J770" s="46" t="str">
        <f t="shared" si="173"/>
        <v/>
      </c>
      <c r="N770" t="str">
        <f t="shared" si="176"/>
        <v/>
      </c>
      <c r="Q770" t="str">
        <f t="shared" si="175"/>
        <v/>
      </c>
      <c r="S770" t="str">
        <f>IF(A770=1,MAX(S$2:S769)+1,IF(OR(I770&lt;&gt;"",A770="x"),S769,""))</f>
        <v/>
      </c>
      <c r="T770" t="str">
        <f>IF(D770=1,MAX($T$2:$T769)+1,IF(S770=$S769,$S769,IF($D770="x",T769,IF($D769="x","",""))))</f>
        <v/>
      </c>
      <c r="U770" t="str">
        <f>IF(B770=1,MAX($U$2:$U769)+1,IF(AND($T770&lt;&gt;"",$T770=$T769),$U769,IF(B770="x",U769,"")))</f>
        <v/>
      </c>
      <c r="V770" t="str">
        <f>IF(C770=1,MAX($V$2:$V769)+1,IF(AND($T770&lt;&gt;"",$T770=$T769),$U769,IF(C770="x",V769,"")))</f>
        <v/>
      </c>
      <c r="W770" t="str" cm="1">
        <f t="array" ref="W770">IFERROR(_xlfn._xlws.FILTER(game_rosters!AB:AB,(game_rosters!J:J=events!X770)*(K770&lt;&gt;"")),"")</f>
        <v/>
      </c>
      <c r="X770" t="str" cm="1">
        <f t="array" ref="X770">IF(S770="","",IF($I770&lt;&gt;"",$I770,INDEX($I$2:$I769,ROW()-COUNTIFS($T$2:$T769,"="&amp;$T770,$S$2:$S769,"&lt;&gt;"&amp;$S770)-1)))</f>
        <v/>
      </c>
      <c r="Z770" s="6"/>
      <c r="AI770" t="str">
        <f t="shared" si="174"/>
        <v/>
      </c>
      <c r="BI770" s="40"/>
      <c r="BL770" s="40"/>
      <c r="BN770" s="19"/>
      <c r="BP770" s="17"/>
    </row>
    <row r="771" spans="1:68" x14ac:dyDescent="0.2">
      <c r="A771" t="str">
        <f t="shared" si="172"/>
        <v/>
      </c>
      <c r="E771" s="4"/>
      <c r="F771" s="45"/>
      <c r="G771" s="4"/>
      <c r="H771" s="48"/>
      <c r="J771" s="46" t="str">
        <f t="shared" si="173"/>
        <v/>
      </c>
      <c r="N771" t="str">
        <f t="shared" si="176"/>
        <v/>
      </c>
      <c r="Q771" t="str">
        <f t="shared" si="175"/>
        <v/>
      </c>
      <c r="S771" t="str">
        <f>IF(A771=1,MAX(S$2:S770)+1,IF(OR(I771&lt;&gt;"",A771="x"),S770,""))</f>
        <v/>
      </c>
      <c r="T771" t="str">
        <f>IF(D771=1,MAX($T$2:$T770)+1,IF(S771=$S770,$S770,IF($D771="x",T770,IF($D770="x","",""))))</f>
        <v/>
      </c>
      <c r="U771" t="str">
        <f>IF(B771=1,MAX($U$2:$U770)+1,IF(AND($T771&lt;&gt;"",$T771=$T770),$U770,IF(B771="x",U770,"")))</f>
        <v/>
      </c>
      <c r="V771" t="str">
        <f>IF(C771=1,MAX($V$2:$V770)+1,IF(AND($T771&lt;&gt;"",$T771=$T770),$U770,IF(C771="x",V770,"")))</f>
        <v/>
      </c>
      <c r="W771" t="str" cm="1">
        <f t="array" ref="W771">IFERROR(_xlfn._xlws.FILTER(game_rosters!AB:AB,(game_rosters!J:J=events!X771)*(K771&lt;&gt;"")),"")</f>
        <v/>
      </c>
      <c r="X771" t="str" cm="1">
        <f t="array" ref="X771">IF(S771="","",IF($I771&lt;&gt;"",$I771,INDEX($I$2:$I770,ROW()-COUNTIFS($T$2:$T770,"="&amp;$T771,$S$2:$S770,"&lt;&gt;"&amp;$S771)-1)))</f>
        <v/>
      </c>
      <c r="Z771" s="6"/>
      <c r="AI771" t="str">
        <f t="shared" si="174"/>
        <v/>
      </c>
      <c r="BI771" s="40"/>
      <c r="BL771" s="40"/>
      <c r="BN771" s="19"/>
      <c r="BP771" s="17"/>
    </row>
    <row r="772" spans="1:68" x14ac:dyDescent="0.2">
      <c r="A772" t="str">
        <f t="shared" si="172"/>
        <v/>
      </c>
      <c r="E772" s="4"/>
      <c r="F772" s="45"/>
      <c r="G772" s="4"/>
      <c r="H772" s="48"/>
      <c r="J772" s="46" t="str">
        <f t="shared" si="173"/>
        <v/>
      </c>
      <c r="N772" t="str">
        <f t="shared" si="176"/>
        <v/>
      </c>
      <c r="Q772" t="str">
        <f t="shared" si="175"/>
        <v/>
      </c>
      <c r="S772" t="str">
        <f>IF(A772=1,MAX(S$2:S771)+1,IF(OR(I772&lt;&gt;"",A772="x"),S771,""))</f>
        <v/>
      </c>
      <c r="T772" t="str">
        <f>IF(D772=1,MAX($T$2:$T771)+1,IF(S772=$S771,$S771,IF($D772="x",T771,IF($D771="x","",""))))</f>
        <v/>
      </c>
      <c r="U772" t="str">
        <f>IF(B772=1,MAX($U$2:$U771)+1,IF(AND($T772&lt;&gt;"",$T772=$T771),$U771,IF(B772="x",U771,"")))</f>
        <v/>
      </c>
      <c r="V772" t="str">
        <f>IF(C772=1,MAX($V$2:$V771)+1,IF(AND($T772&lt;&gt;"",$T772=$T771),$U771,IF(C772="x",V771,"")))</f>
        <v/>
      </c>
      <c r="W772" t="str" cm="1">
        <f t="array" ref="W772">IFERROR(_xlfn._xlws.FILTER(game_rosters!AB:AB,(game_rosters!J:J=events!X772)*(K772&lt;&gt;"")),"")</f>
        <v/>
      </c>
      <c r="X772" t="str" cm="1">
        <f t="array" ref="X772">IF(S772="","",IF($I772&lt;&gt;"",$I772,INDEX($I$2:$I771,ROW()-COUNTIFS($T$2:$T771,"="&amp;$T772,$S$2:$S771,"&lt;&gt;"&amp;$S772)-1)))</f>
        <v/>
      </c>
      <c r="Z772" s="6"/>
      <c r="AI772" t="str">
        <f t="shared" si="174"/>
        <v/>
      </c>
      <c r="BI772" s="40"/>
      <c r="BL772" s="40"/>
      <c r="BN772" s="19"/>
      <c r="BP772" s="17"/>
    </row>
    <row r="773" spans="1:68" x14ac:dyDescent="0.2">
      <c r="A773" t="str">
        <f t="shared" ref="A773:A836" si="177">IF(K773&lt;&gt;"",1,IF(D773="x","x",""))</f>
        <v/>
      </c>
      <c r="E773" s="4"/>
      <c r="F773" s="45"/>
      <c r="G773" s="4"/>
      <c r="H773" s="48"/>
      <c r="J773" s="46" t="str">
        <f t="shared" si="173"/>
        <v/>
      </c>
      <c r="N773" t="str">
        <f t="shared" si="176"/>
        <v/>
      </c>
      <c r="Q773" t="str">
        <f t="shared" si="175"/>
        <v/>
      </c>
      <c r="S773" t="str">
        <f>IF(A773=1,MAX(S$2:S772)+1,IF(OR(I773&lt;&gt;"",A773="x"),S772,""))</f>
        <v/>
      </c>
      <c r="T773" t="str">
        <f>IF(D773=1,MAX($T$2:$T772)+1,IF(S773=$S772,$S772,IF($D773="x",T772,IF($D772="x","",""))))</f>
        <v/>
      </c>
      <c r="U773" t="str">
        <f>IF(B773=1,MAX($U$2:$U772)+1,IF(AND($T773&lt;&gt;"",$T773=$T772),$U772,IF(B773="x",U772,"")))</f>
        <v/>
      </c>
      <c r="V773" t="str">
        <f>IF(C773=1,MAX($V$2:$V772)+1,IF(AND($T773&lt;&gt;"",$T773=$T772),$U772,IF(C773="x",V772,"")))</f>
        <v/>
      </c>
      <c r="W773" t="str" cm="1">
        <f t="array" ref="W773">IFERROR(_xlfn._xlws.FILTER(game_rosters!AB:AB,(game_rosters!J:J=events!X773)*(K773&lt;&gt;"")),"")</f>
        <v/>
      </c>
      <c r="X773" t="str" cm="1">
        <f t="array" ref="X773">IF(S773="","",IF($I773&lt;&gt;"",$I773,INDEX($I$2:$I772,ROW()-COUNTIFS($T$2:$T772,"="&amp;$T773,$S$2:$S772,"&lt;&gt;"&amp;$S773)-1)))</f>
        <v/>
      </c>
      <c r="Z773" s="6"/>
      <c r="AI773" t="str">
        <f t="shared" si="174"/>
        <v/>
      </c>
      <c r="BI773" s="40"/>
      <c r="BL773" s="40"/>
      <c r="BN773" s="19"/>
      <c r="BP773" s="17"/>
    </row>
    <row r="774" spans="1:68" x14ac:dyDescent="0.2">
      <c r="A774" t="str">
        <f t="shared" si="177"/>
        <v/>
      </c>
      <c r="E774" s="4"/>
      <c r="F774" s="45"/>
      <c r="G774" s="4"/>
      <c r="H774" s="48"/>
      <c r="J774" s="46" t="str">
        <f t="shared" ref="J774:J837" si="178">IF(OR(K774="Goal",K774="Shot",L774="Zone_Entry",M774="Stoppage-Goal",M773="Stoppage-Goal"),"o",IF(OR(K774="Save",K774="Rebound",L774="Zone_Exit",M774="Stoppage-GoalieStoppage",M773="Stoppage-GoalieStoppage"),"d",IF(OR(L774="Faceoff_AfterGoal",L774="Faceoff_PeriodStart",698="Faceoff_GameStart",M773="Stoppage-Goal"),"n","")))</f>
        <v/>
      </c>
      <c r="N774" t="str">
        <f t="shared" si="176"/>
        <v/>
      </c>
      <c r="Q774" t="str">
        <f t="shared" si="175"/>
        <v/>
      </c>
      <c r="S774" t="str">
        <f>IF(A774=1,MAX(S$2:S773)+1,IF(OR(I774&lt;&gt;"",A774="x"),S773,""))</f>
        <v/>
      </c>
      <c r="T774" t="str">
        <f>IF(D774=1,MAX($T$2:$T773)+1,IF(S774=$S773,$S773,IF($D774="x",T773,IF($D773="x","",""))))</f>
        <v/>
      </c>
      <c r="U774" t="str">
        <f>IF(B774=1,MAX($U$2:$U773)+1,IF(AND($T774&lt;&gt;"",$T774=$T773),$U773,IF(B774="x",U773,"")))</f>
        <v/>
      </c>
      <c r="V774" t="str">
        <f>IF(C774=1,MAX($V$2:$V773)+1,IF(AND($T774&lt;&gt;"",$T774=$T773),$U773,IF(C774="x",V773,"")))</f>
        <v/>
      </c>
      <c r="W774" t="str" cm="1">
        <f t="array" ref="W774">IFERROR(_xlfn._xlws.FILTER(game_rosters!AB:AB,(game_rosters!J:J=events!X774)*(K774&lt;&gt;"")),"")</f>
        <v/>
      </c>
      <c r="X774" t="str" cm="1">
        <f t="array" ref="X774">IF(S774="","",IF($I774&lt;&gt;"",$I774,INDEX($I$2:$I773,ROW()-COUNTIFS($T$2:$T773,"="&amp;$T774,$S$2:$S773,"&lt;&gt;"&amp;$S774)-1)))</f>
        <v/>
      </c>
      <c r="Z774" s="6"/>
      <c r="AI774" t="str">
        <f t="shared" ref="AI774:AI837" si="179">IF($J774&lt;&gt;"",$J774,IF($AC774=$AC773,AI773,""))</f>
        <v/>
      </c>
      <c r="BI774" s="40"/>
      <c r="BL774" s="40"/>
      <c r="BN774" s="19"/>
      <c r="BP774" s="17"/>
    </row>
    <row r="775" spans="1:68" x14ac:dyDescent="0.2">
      <c r="A775" t="str">
        <f t="shared" si="177"/>
        <v/>
      </c>
      <c r="E775" s="4"/>
      <c r="F775" s="45"/>
      <c r="G775" s="4"/>
      <c r="H775" s="48"/>
      <c r="J775" s="46" t="str">
        <f t="shared" si="178"/>
        <v/>
      </c>
      <c r="N775" t="str">
        <f t="shared" si="176"/>
        <v/>
      </c>
      <c r="Q775" t="str">
        <f t="shared" si="175"/>
        <v/>
      </c>
      <c r="S775" t="str">
        <f>IF(A775=1,MAX(S$2:S774)+1,IF(OR(I775&lt;&gt;"",A775="x"),S774,""))</f>
        <v/>
      </c>
      <c r="T775" t="str">
        <f>IF(D775=1,MAX($T$2:$T774)+1,IF(S775=$S774,$S774,IF($D775="x",T774,IF($D774="x","",""))))</f>
        <v/>
      </c>
      <c r="U775" t="str">
        <f>IF(B775=1,MAX($U$2:$U774)+1,IF(AND($T775&lt;&gt;"",$T775=$T774),$U774,IF(B775="x",U774,"")))</f>
        <v/>
      </c>
      <c r="V775" t="str">
        <f>IF(C775=1,MAX($V$2:$V774)+1,IF(AND($T775&lt;&gt;"",$T775=$T774),$U774,IF(C775="x",V774,"")))</f>
        <v/>
      </c>
      <c r="W775" t="str" cm="1">
        <f t="array" ref="W775">IFERROR(_xlfn._xlws.FILTER(game_rosters!AB:AB,(game_rosters!J:J=events!X775)*(K775&lt;&gt;"")),"")</f>
        <v/>
      </c>
      <c r="X775" t="str" cm="1">
        <f t="array" ref="X775">IF(S775="","",IF($I775&lt;&gt;"",$I775,INDEX($I$2:$I774,ROW()-COUNTIFS($T$2:$T774,"="&amp;$T775,$S$2:$S774,"&lt;&gt;"&amp;$S775)-1)))</f>
        <v/>
      </c>
      <c r="Z775" s="6"/>
      <c r="AI775" t="str">
        <f t="shared" si="179"/>
        <v/>
      </c>
      <c r="BI775" s="40"/>
      <c r="BL775" s="40"/>
      <c r="BN775" s="19"/>
      <c r="BP775" s="17"/>
    </row>
    <row r="776" spans="1:68" x14ac:dyDescent="0.2">
      <c r="A776" t="str">
        <f t="shared" si="177"/>
        <v/>
      </c>
      <c r="E776" s="4"/>
      <c r="F776" s="45"/>
      <c r="G776" s="4"/>
      <c r="H776" s="48"/>
      <c r="J776" s="46" t="str">
        <f t="shared" si="178"/>
        <v/>
      </c>
      <c r="N776" t="str">
        <f t="shared" si="176"/>
        <v/>
      </c>
      <c r="Q776" t="str">
        <f t="shared" si="175"/>
        <v/>
      </c>
      <c r="S776" t="str">
        <f>IF(A776=1,MAX(S$2:S775)+1,IF(OR(I776&lt;&gt;"",A776="x"),S775,""))</f>
        <v/>
      </c>
      <c r="T776" t="str">
        <f>IF(D776=1,MAX($T$2:$T775)+1,IF(S776=$S775,$S775,IF($D776="x",T775,IF($D775="x","",""))))</f>
        <v/>
      </c>
      <c r="U776" t="str">
        <f>IF(B776=1,MAX($U$2:$U775)+1,IF(AND($T776&lt;&gt;"",$T776=$T775),$U775,IF(B776="x",U775,"")))</f>
        <v/>
      </c>
      <c r="V776" t="str">
        <f>IF(C776=1,MAX($V$2:$V775)+1,IF(AND($T776&lt;&gt;"",$T776=$T775),$U775,IF(C776="x",V775,"")))</f>
        <v/>
      </c>
      <c r="W776" t="str" cm="1">
        <f t="array" ref="W776">IFERROR(_xlfn._xlws.FILTER(game_rosters!AB:AB,(game_rosters!J:J=events!X776)*(K776&lt;&gt;"")),"")</f>
        <v/>
      </c>
      <c r="X776" t="str" cm="1">
        <f t="array" ref="X776">IF(S776="","",IF($I776&lt;&gt;"",$I776,INDEX($I$2:$I775,ROW()-COUNTIFS($T$2:$T775,"="&amp;$T776,$S$2:$S775,"&lt;&gt;"&amp;$S776)-1)))</f>
        <v/>
      </c>
      <c r="Z776" s="6"/>
      <c r="AI776" t="str">
        <f t="shared" si="179"/>
        <v/>
      </c>
      <c r="BI776" s="40"/>
      <c r="BL776" s="40"/>
      <c r="BN776" s="19"/>
      <c r="BP776" s="17"/>
    </row>
    <row r="777" spans="1:68" x14ac:dyDescent="0.2">
      <c r="A777" t="str">
        <f t="shared" si="177"/>
        <v/>
      </c>
      <c r="E777" s="4"/>
      <c r="F777" s="45"/>
      <c r="G777" s="4"/>
      <c r="H777" s="48"/>
      <c r="J777" s="46" t="str">
        <f t="shared" si="178"/>
        <v/>
      </c>
      <c r="N777" t="str">
        <f t="shared" si="176"/>
        <v/>
      </c>
      <c r="Q777" t="str">
        <f t="shared" si="175"/>
        <v/>
      </c>
      <c r="S777" t="str">
        <f>IF(A777=1,MAX(S$2:S776)+1,IF(OR(I777&lt;&gt;"",A777="x"),S776,""))</f>
        <v/>
      </c>
      <c r="T777" t="str">
        <f>IF(D777=1,MAX($T$2:$T776)+1,IF(S777=$S776,$S776,IF($D777="x",T776,IF($D776="x","",""))))</f>
        <v/>
      </c>
      <c r="U777" t="str">
        <f>IF(B777=1,MAX($U$2:$U776)+1,IF(AND($T777&lt;&gt;"",$T777=$T776),$U776,IF(B777="x",U776,"")))</f>
        <v/>
      </c>
      <c r="V777" t="str">
        <f>IF(C777=1,MAX($V$2:$V776)+1,IF(AND($T777&lt;&gt;"",$T777=$T776),$U776,IF(C777="x",V776,"")))</f>
        <v/>
      </c>
      <c r="W777" t="str" cm="1">
        <f t="array" ref="W777">IFERROR(_xlfn._xlws.FILTER(game_rosters!AB:AB,(game_rosters!J:J=events!X777)*(K777&lt;&gt;"")),"")</f>
        <v/>
      </c>
      <c r="X777" t="str" cm="1">
        <f t="array" ref="X777">IF(S777="","",IF($I777&lt;&gt;"",$I777,INDEX($I$2:$I776,ROW()-COUNTIFS($T$2:$T776,"="&amp;$T777,$S$2:$S776,"&lt;&gt;"&amp;$S777)-1)))</f>
        <v/>
      </c>
      <c r="Z777" s="6"/>
      <c r="AI777" t="str">
        <f t="shared" si="179"/>
        <v/>
      </c>
      <c r="BI777" s="40"/>
      <c r="BL777" s="40"/>
      <c r="BN777" s="19"/>
      <c r="BP777" s="17"/>
    </row>
    <row r="778" spans="1:68" x14ac:dyDescent="0.2">
      <c r="A778" t="str">
        <f t="shared" si="177"/>
        <v/>
      </c>
      <c r="E778" s="4"/>
      <c r="F778" s="45"/>
      <c r="G778" s="4"/>
      <c r="H778" s="48"/>
      <c r="J778" s="46" t="str">
        <f t="shared" si="178"/>
        <v/>
      </c>
      <c r="N778" t="str">
        <f t="shared" si="176"/>
        <v/>
      </c>
      <c r="Q778" t="str">
        <f t="shared" si="175"/>
        <v/>
      </c>
      <c r="S778" t="str">
        <f>IF(A778=1,MAX(S$2:S777)+1,IF(OR(I778&lt;&gt;"",A778="x"),S777,""))</f>
        <v/>
      </c>
      <c r="T778" t="str">
        <f>IF(D778=1,MAX($T$2:$T777)+1,IF(S778=$S777,$S777,IF($D778="x",T777,IF($D777="x","",""))))</f>
        <v/>
      </c>
      <c r="U778" t="str">
        <f>IF(B778=1,MAX($U$2:$U777)+1,IF(AND($T778&lt;&gt;"",$T778=$T777),$U777,IF(B778="x",U777,"")))</f>
        <v/>
      </c>
      <c r="V778" t="str">
        <f>IF(C778=1,MAX($V$2:$V777)+1,IF(AND($T778&lt;&gt;"",$T778=$T777),$U777,IF(C778="x",V777,"")))</f>
        <v/>
      </c>
      <c r="W778" t="str" cm="1">
        <f t="array" ref="W778">IFERROR(_xlfn._xlws.FILTER(game_rosters!AB:AB,(game_rosters!J:J=events!X778)*(K778&lt;&gt;"")),"")</f>
        <v/>
      </c>
      <c r="X778" t="str" cm="1">
        <f t="array" ref="X778">IF(S778="","",IF($I778&lt;&gt;"",$I778,INDEX($I$2:$I777,ROW()-COUNTIFS($T$2:$T777,"="&amp;$T778,$S$2:$S777,"&lt;&gt;"&amp;$S778)-1)))</f>
        <v/>
      </c>
      <c r="Z778" s="6"/>
      <c r="AI778" t="str">
        <f t="shared" si="179"/>
        <v/>
      </c>
      <c r="BI778" s="40"/>
      <c r="BL778" s="40"/>
      <c r="BN778" s="19"/>
      <c r="BP778" s="17"/>
    </row>
    <row r="779" spans="1:68" x14ac:dyDescent="0.2">
      <c r="A779" t="str">
        <f t="shared" si="177"/>
        <v/>
      </c>
      <c r="E779" s="4"/>
      <c r="F779" s="45"/>
      <c r="G779" s="4"/>
      <c r="H779" s="48"/>
      <c r="J779" s="46" t="str">
        <f t="shared" si="178"/>
        <v/>
      </c>
      <c r="N779" t="str">
        <f t="shared" si="176"/>
        <v/>
      </c>
      <c r="Q779" t="str">
        <f t="shared" si="175"/>
        <v/>
      </c>
      <c r="S779" t="str">
        <f>IF(A779=1,MAX(S$2:S778)+1,IF(OR(I779&lt;&gt;"",A779="x"),S778,""))</f>
        <v/>
      </c>
      <c r="T779" t="str">
        <f>IF(D779=1,MAX($T$2:$T778)+1,IF(S779=$S778,$S778,IF($D779="x",T778,IF($D778="x","",""))))</f>
        <v/>
      </c>
      <c r="U779" t="str">
        <f>IF(B779=1,MAX($U$2:$U778)+1,IF(AND($T779&lt;&gt;"",$T779=$T778),$U778,IF(B779="x",U778,"")))</f>
        <v/>
      </c>
      <c r="V779" t="str">
        <f>IF(C779=1,MAX($V$2:$V778)+1,IF(AND($T779&lt;&gt;"",$T779=$T778),$U778,IF(C779="x",V778,"")))</f>
        <v/>
      </c>
      <c r="W779" t="str" cm="1">
        <f t="array" ref="W779">IFERROR(_xlfn._xlws.FILTER(game_rosters!AB:AB,(game_rosters!J:J=events!X779)*(K779&lt;&gt;"")),"")</f>
        <v/>
      </c>
      <c r="X779" t="str" cm="1">
        <f t="array" ref="X779">IF(S779="","",IF($I779&lt;&gt;"",$I779,INDEX($I$2:$I778,ROW()-COUNTIFS($T$2:$T778,"="&amp;$T779,$S$2:$S778,"&lt;&gt;"&amp;$S779)-1)))</f>
        <v/>
      </c>
      <c r="Z779" s="6"/>
      <c r="AI779" t="str">
        <f t="shared" si="179"/>
        <v/>
      </c>
      <c r="BI779" s="40"/>
      <c r="BL779" s="40"/>
      <c r="BN779" s="19"/>
      <c r="BP779" s="17"/>
    </row>
    <row r="780" spans="1:68" x14ac:dyDescent="0.2">
      <c r="A780" t="str">
        <f t="shared" si="177"/>
        <v/>
      </c>
      <c r="E780" s="4"/>
      <c r="F780" s="45"/>
      <c r="G780" s="4"/>
      <c r="H780" s="48"/>
      <c r="J780" s="46" t="str">
        <f t="shared" si="178"/>
        <v/>
      </c>
      <c r="N780" t="str">
        <f t="shared" si="176"/>
        <v/>
      </c>
      <c r="Q780" t="str">
        <f t="shared" si="175"/>
        <v/>
      </c>
      <c r="S780" t="str">
        <f>IF(A780=1,MAX(S$2:S779)+1,IF(OR(I780&lt;&gt;"",A780="x"),S779,""))</f>
        <v/>
      </c>
      <c r="T780" t="str">
        <f>IF(D780=1,MAX($T$2:$T779)+1,IF(S780=$S779,$S779,IF($D780="x",T779,IF($D779="x","",""))))</f>
        <v/>
      </c>
      <c r="U780" t="str">
        <f>IF(B780=1,MAX($U$2:$U779)+1,IF(AND($T780&lt;&gt;"",$T780=$T779),$U779,IF(B780="x",U779,"")))</f>
        <v/>
      </c>
      <c r="V780" t="str">
        <f>IF(C780=1,MAX($V$2:$V779)+1,IF(AND($T780&lt;&gt;"",$T780=$T779),$U779,IF(C780="x",V779,"")))</f>
        <v/>
      </c>
      <c r="W780" t="str" cm="1">
        <f t="array" ref="W780">IFERROR(_xlfn._xlws.FILTER(game_rosters!AB:AB,(game_rosters!J:J=events!X780)*(K780&lt;&gt;"")),"")</f>
        <v/>
      </c>
      <c r="X780" t="str" cm="1">
        <f t="array" ref="X780">IF(S780="","",IF($I780&lt;&gt;"",$I780,INDEX($I$2:$I779,ROW()-COUNTIFS($T$2:$T779,"="&amp;$T780,$S$2:$S779,"&lt;&gt;"&amp;$S780)-1)))</f>
        <v/>
      </c>
      <c r="Z780" s="6"/>
      <c r="AI780" t="str">
        <f t="shared" si="179"/>
        <v/>
      </c>
      <c r="BI780" s="40"/>
      <c r="BL780" s="40"/>
      <c r="BN780" s="19"/>
      <c r="BP780" s="17"/>
    </row>
    <row r="781" spans="1:68" x14ac:dyDescent="0.2">
      <c r="A781" t="str">
        <f t="shared" si="177"/>
        <v/>
      </c>
      <c r="E781" s="4"/>
      <c r="F781" s="45"/>
      <c r="G781" s="4"/>
      <c r="H781" s="48"/>
      <c r="J781" s="46" t="str">
        <f t="shared" si="178"/>
        <v/>
      </c>
      <c r="N781" t="str">
        <f t="shared" si="176"/>
        <v/>
      </c>
      <c r="Q781" t="str">
        <f t="shared" si="175"/>
        <v/>
      </c>
      <c r="S781" t="str">
        <f>IF(A781=1,MAX(S$2:S780)+1,IF(OR(I781&lt;&gt;"",A781="x"),S780,""))</f>
        <v/>
      </c>
      <c r="T781" t="str">
        <f>IF(D781=1,MAX($T$2:$T780)+1,IF(S781=$S780,$S780,IF($D781="x",T780,IF($D780="x","",""))))</f>
        <v/>
      </c>
      <c r="U781" t="str">
        <f>IF(B781=1,MAX($U$2:$U780)+1,IF(AND($T781&lt;&gt;"",$T781=$T780),$U780,IF(B781="x",U780,"")))</f>
        <v/>
      </c>
      <c r="V781" t="str">
        <f>IF(C781=1,MAX($V$2:$V780)+1,IF(AND($T781&lt;&gt;"",$T781=$T780),$U780,IF(C781="x",V780,"")))</f>
        <v/>
      </c>
      <c r="W781" t="str" cm="1">
        <f t="array" ref="W781">IFERROR(_xlfn._xlws.FILTER(game_rosters!AB:AB,(game_rosters!J:J=events!X781)*(K781&lt;&gt;"")),"")</f>
        <v/>
      </c>
      <c r="X781" t="str" cm="1">
        <f t="array" ref="X781">IF(S781="","",IF($I781&lt;&gt;"",$I781,INDEX($I$2:$I780,ROW()-COUNTIFS($T$2:$T780,"="&amp;$T781,$S$2:$S780,"&lt;&gt;"&amp;$S781)-1)))</f>
        <v/>
      </c>
      <c r="Z781" s="6"/>
      <c r="AI781" t="str">
        <f t="shared" si="179"/>
        <v/>
      </c>
      <c r="BI781" s="40"/>
      <c r="BL781" s="40"/>
      <c r="BN781" s="19"/>
      <c r="BP781" s="17"/>
    </row>
    <row r="782" spans="1:68" x14ac:dyDescent="0.2">
      <c r="A782" t="str">
        <f t="shared" si="177"/>
        <v/>
      </c>
      <c r="E782" s="4"/>
      <c r="F782" s="45"/>
      <c r="G782" s="4"/>
      <c r="H782" s="48"/>
      <c r="J782" s="46" t="str">
        <f t="shared" si="178"/>
        <v/>
      </c>
      <c r="N782" t="str">
        <f t="shared" si="176"/>
        <v/>
      </c>
      <c r="Q782" t="str">
        <f t="shared" si="175"/>
        <v/>
      </c>
      <c r="S782" t="str">
        <f>IF(A782=1,MAX(S$2:S781)+1,IF(OR(I782&lt;&gt;"",A782="x"),S781,""))</f>
        <v/>
      </c>
      <c r="T782" t="str">
        <f>IF(D782=1,MAX($T$2:$T781)+1,IF(S782=$S781,$S781,IF($D782="x",T781,IF($D781="x","",""))))</f>
        <v/>
      </c>
      <c r="U782" t="str">
        <f>IF(B782=1,MAX($U$2:$U781)+1,IF(AND($T782&lt;&gt;"",$T782=$T781),$U781,IF(B782="x",U781,"")))</f>
        <v/>
      </c>
      <c r="V782" t="str">
        <f>IF(C782=1,MAX($V$2:$V781)+1,IF(AND($T782&lt;&gt;"",$T782=$T781),$U781,IF(C782="x",V781,"")))</f>
        <v/>
      </c>
      <c r="W782" t="str" cm="1">
        <f t="array" ref="W782">IFERROR(_xlfn._xlws.FILTER(game_rosters!AB:AB,(game_rosters!J:J=events!X782)*(K782&lt;&gt;"")),"")</f>
        <v/>
      </c>
      <c r="X782" t="str" cm="1">
        <f t="array" ref="X782">IF(S782="","",IF($I782&lt;&gt;"",$I782,INDEX($I$2:$I781,ROW()-COUNTIFS($T$2:$T781,"="&amp;$T782,$S$2:$S781,"&lt;&gt;"&amp;$S782)-1)))</f>
        <v/>
      </c>
      <c r="Z782" s="6"/>
      <c r="AI782" t="str">
        <f t="shared" si="179"/>
        <v/>
      </c>
      <c r="BI782" s="40"/>
      <c r="BL782" s="40"/>
      <c r="BN782" s="19"/>
      <c r="BP782" s="17"/>
    </row>
    <row r="783" spans="1:68" x14ac:dyDescent="0.2">
      <c r="A783" t="str">
        <f t="shared" si="177"/>
        <v/>
      </c>
      <c r="E783" s="4"/>
      <c r="F783" s="45"/>
      <c r="G783" s="4"/>
      <c r="H783" s="48"/>
      <c r="J783" s="46" t="str">
        <f t="shared" si="178"/>
        <v/>
      </c>
      <c r="N783" t="str">
        <f t="shared" si="176"/>
        <v/>
      </c>
      <c r="Q783" t="str">
        <f t="shared" si="175"/>
        <v/>
      </c>
      <c r="S783" t="str">
        <f>IF(A783=1,MAX(S$2:S782)+1,IF(OR(I783&lt;&gt;"",A783="x"),S782,""))</f>
        <v/>
      </c>
      <c r="T783" t="str">
        <f>IF(D783=1,MAX($T$2:$T782)+1,IF(S783=$S782,$S782,IF($D783="x",T782,IF($D782="x","",""))))</f>
        <v/>
      </c>
      <c r="U783" t="str">
        <f>IF(B783=1,MAX($U$2:$U782)+1,IF(AND($T783&lt;&gt;"",$T783=$T782),$U782,IF(B783="x",U782,"")))</f>
        <v/>
      </c>
      <c r="V783" t="str">
        <f>IF(C783=1,MAX($V$2:$V782)+1,IF(AND($T783&lt;&gt;"",$T783=$T782),$U782,IF(C783="x",V782,"")))</f>
        <v/>
      </c>
      <c r="W783" t="str" cm="1">
        <f t="array" ref="W783">IFERROR(_xlfn._xlws.FILTER(game_rosters!AB:AB,(game_rosters!J:J=events!X783)*(K783&lt;&gt;"")),"")</f>
        <v/>
      </c>
      <c r="X783" t="str" cm="1">
        <f t="array" ref="X783">IF(S783="","",IF($I783&lt;&gt;"",$I783,INDEX($I$2:$I782,ROW()-COUNTIFS($T$2:$T782,"="&amp;$T783,$S$2:$S782,"&lt;&gt;"&amp;$S783)-1)))</f>
        <v/>
      </c>
      <c r="Z783" s="6"/>
      <c r="AI783" t="str">
        <f t="shared" si="179"/>
        <v/>
      </c>
      <c r="BI783" s="40"/>
      <c r="BL783" s="40"/>
      <c r="BN783" s="19"/>
      <c r="BP783" s="17"/>
    </row>
    <row r="784" spans="1:68" x14ac:dyDescent="0.2">
      <c r="A784" t="str">
        <f t="shared" si="177"/>
        <v/>
      </c>
      <c r="E784" s="4"/>
      <c r="F784" s="45"/>
      <c r="G784" s="4"/>
      <c r="H784" s="48"/>
      <c r="J784" s="46" t="str">
        <f t="shared" si="178"/>
        <v/>
      </c>
      <c r="N784" t="str">
        <f t="shared" si="176"/>
        <v/>
      </c>
      <c r="Q784" t="str">
        <f t="shared" ref="Q784:Q847" si="180">IF(O784="","",IF(AND(N784&lt;&gt;"",OR(O784&lt;&gt;"",P784&lt;&gt;"")),N784,IF(OR(ISNUMBER(SEARCH("attemp",O784)),ISNUMBER(SEARCH("beat",O784)),ISNUMBER(SEARCH("mis",O784)),ISNUMBER(SEARCH("fail",O784)),ISNUMBER(SEARCH("loss",O784)),ISNUMBER(SEARCH("lost",O784)),ISNUMBER(SEARCH("attemp",P784)),ISNUMBER(SEARCH("mis",P784)),ISNUMBER(SEARCH("fail",P784)),ISNUMBER(SEARCH("loss",P784)),ISNUMBER(SEARCH("beat",P784)),ISNUMBER(SEARCH("lost",P784))),"u","")))</f>
        <v/>
      </c>
      <c r="S784" t="str">
        <f>IF(A784=1,MAX(S$2:S783)+1,IF(OR(I784&lt;&gt;"",A784="x"),S783,""))</f>
        <v/>
      </c>
      <c r="T784" t="str">
        <f>IF(D784=1,MAX($T$2:$T783)+1,IF(S784=$S783,$S783,IF($D784="x",T783,IF($D783="x","",""))))</f>
        <v/>
      </c>
      <c r="U784" t="str">
        <f>IF(B784=1,MAX($U$2:$U783)+1,IF(AND($T784&lt;&gt;"",$T784=$T783),$U783,IF(B784="x",U783,"")))</f>
        <v/>
      </c>
      <c r="V784" t="str">
        <f>IF(C784=1,MAX($V$2:$V783)+1,IF(AND($T784&lt;&gt;"",$T784=$T783),$U783,IF(C784="x",V783,"")))</f>
        <v/>
      </c>
      <c r="W784" t="str" cm="1">
        <f t="array" ref="W784">IFERROR(_xlfn._xlws.FILTER(game_rosters!AB:AB,(game_rosters!J:J=events!X784)*(K784&lt;&gt;"")),"")</f>
        <v/>
      </c>
      <c r="X784" t="str" cm="1">
        <f t="array" ref="X784">IF(S784="","",IF($I784&lt;&gt;"",$I784,INDEX($I$2:$I783,ROW()-COUNTIFS($T$2:$T783,"="&amp;$T784,$S$2:$S783,"&lt;&gt;"&amp;$S784)-1)))</f>
        <v/>
      </c>
      <c r="Z784" s="6"/>
      <c r="AI784" t="str">
        <f t="shared" si="179"/>
        <v/>
      </c>
      <c r="BI784" s="40"/>
      <c r="BL784" s="40"/>
      <c r="BN784" s="19"/>
      <c r="BP784" s="17"/>
    </row>
    <row r="785" spans="1:68" x14ac:dyDescent="0.2">
      <c r="A785" t="str">
        <f t="shared" si="177"/>
        <v/>
      </c>
      <c r="E785" s="4"/>
      <c r="F785" s="45"/>
      <c r="G785" s="4"/>
      <c r="H785" s="48"/>
      <c r="J785" s="46" t="str">
        <f t="shared" si="178"/>
        <v/>
      </c>
      <c r="N785" t="str">
        <f t="shared" si="176"/>
        <v/>
      </c>
      <c r="Q785" t="str">
        <f t="shared" si="180"/>
        <v/>
      </c>
      <c r="S785" t="str">
        <f>IF(A785=1,MAX(S$2:S784)+1,IF(OR(I785&lt;&gt;"",A785="x"),S784,""))</f>
        <v/>
      </c>
      <c r="T785" t="str">
        <f>IF(D785=1,MAX($T$2:$T784)+1,IF(S785=$S784,$S784,IF($D785="x",T784,IF($D784="x","",""))))</f>
        <v/>
      </c>
      <c r="U785" t="str">
        <f>IF(B785=1,MAX($U$2:$U784)+1,IF(AND($T785&lt;&gt;"",$T785=$T784),$U784,IF(B785="x",U784,"")))</f>
        <v/>
      </c>
      <c r="V785" t="str">
        <f>IF(C785=1,MAX($V$2:$V784)+1,IF(AND($T785&lt;&gt;"",$T785=$T784),$U784,IF(C785="x",V784,"")))</f>
        <v/>
      </c>
      <c r="W785" t="str" cm="1">
        <f t="array" ref="W785">IFERROR(_xlfn._xlws.FILTER(game_rosters!AB:AB,(game_rosters!J:J=events!X785)*(K785&lt;&gt;"")),"")</f>
        <v/>
      </c>
      <c r="X785" t="str" cm="1">
        <f t="array" ref="X785">IF(S785="","",IF($I785&lt;&gt;"",$I785,INDEX($I$2:$I784,ROW()-COUNTIFS($T$2:$T784,"="&amp;$T785,$S$2:$S784,"&lt;&gt;"&amp;$S785)-1)))</f>
        <v/>
      </c>
      <c r="Z785" s="6"/>
      <c r="AI785" t="str">
        <f t="shared" si="179"/>
        <v/>
      </c>
      <c r="BI785" s="40"/>
      <c r="BL785" s="40"/>
      <c r="BN785" s="19"/>
      <c r="BP785" s="17"/>
    </row>
    <row r="786" spans="1:68" x14ac:dyDescent="0.2">
      <c r="A786" t="str">
        <f t="shared" si="177"/>
        <v/>
      </c>
      <c r="E786" s="4"/>
      <c r="F786" s="45"/>
      <c r="G786" s="4"/>
      <c r="H786" s="48"/>
      <c r="J786" s="46" t="str">
        <f t="shared" si="178"/>
        <v/>
      </c>
      <c r="N786" t="str">
        <f t="shared" si="176"/>
        <v/>
      </c>
      <c r="Q786" t="str">
        <f t="shared" si="180"/>
        <v/>
      </c>
      <c r="S786" t="str">
        <f>IF(A786=1,MAX(S$2:S785)+1,IF(OR(I786&lt;&gt;"",A786="x"),S785,""))</f>
        <v/>
      </c>
      <c r="T786" t="str">
        <f>IF(D786=1,MAX($T$2:$T785)+1,IF(S786=$S785,$S785,IF($D786="x",T785,IF($D785="x","",""))))</f>
        <v/>
      </c>
      <c r="U786" t="str">
        <f>IF(B786=1,MAX($U$2:$U785)+1,IF(AND($T786&lt;&gt;"",$T786=$T785),$U785,IF(B786="x",U785,"")))</f>
        <v/>
      </c>
      <c r="V786" t="str">
        <f>IF(C786=1,MAX($V$2:$V785)+1,IF(AND($T786&lt;&gt;"",$T786=$T785),$U785,IF(C786="x",V785,"")))</f>
        <v/>
      </c>
      <c r="W786" t="str" cm="1">
        <f t="array" ref="W786">IFERROR(_xlfn._xlws.FILTER(game_rosters!AB:AB,(game_rosters!J:J=events!X786)*(K786&lt;&gt;"")),"")</f>
        <v/>
      </c>
      <c r="X786" t="str" cm="1">
        <f t="array" ref="X786">IF(S786="","",IF($I786&lt;&gt;"",$I786,INDEX($I$2:$I785,ROW()-COUNTIFS($T$2:$T785,"="&amp;$T786,$S$2:$S785,"&lt;&gt;"&amp;$S786)-1)))</f>
        <v/>
      </c>
      <c r="Z786" s="6"/>
      <c r="AI786" t="str">
        <f t="shared" si="179"/>
        <v/>
      </c>
      <c r="BI786" s="40"/>
      <c r="BL786" s="40"/>
      <c r="BN786" s="19"/>
      <c r="BP786" s="17"/>
    </row>
    <row r="787" spans="1:68" x14ac:dyDescent="0.2">
      <c r="A787" t="str">
        <f t="shared" si="177"/>
        <v/>
      </c>
      <c r="E787" s="4"/>
      <c r="F787" s="45"/>
      <c r="G787" s="4"/>
      <c r="H787" s="48"/>
      <c r="J787" s="46" t="str">
        <f t="shared" si="178"/>
        <v/>
      </c>
      <c r="N787" t="str">
        <f t="shared" si="176"/>
        <v/>
      </c>
      <c r="Q787" t="str">
        <f t="shared" si="180"/>
        <v/>
      </c>
      <c r="S787" t="str">
        <f>IF(A787=1,MAX(S$2:S786)+1,IF(OR(I787&lt;&gt;"",A787="x"),S786,""))</f>
        <v/>
      </c>
      <c r="T787" t="str">
        <f>IF(D787=1,MAX($T$2:$T786)+1,IF(S787=$S786,$S786,IF($D787="x",T786,IF($D786="x","",""))))</f>
        <v/>
      </c>
      <c r="U787" t="str">
        <f>IF(B787=1,MAX($U$2:$U786)+1,IF(AND($T787&lt;&gt;"",$T787=$T786),$U786,IF(B787="x",U786,"")))</f>
        <v/>
      </c>
      <c r="V787" t="str">
        <f>IF(C787=1,MAX($V$2:$V786)+1,IF(AND($T787&lt;&gt;"",$T787=$T786),$U786,IF(C787="x",V786,"")))</f>
        <v/>
      </c>
      <c r="W787" t="str" cm="1">
        <f t="array" ref="W787">IFERROR(_xlfn._xlws.FILTER(game_rosters!AB:AB,(game_rosters!J:J=events!X787)*(K787&lt;&gt;"")),"")</f>
        <v/>
      </c>
      <c r="X787" t="str" cm="1">
        <f t="array" ref="X787">IF(S787="","",IF($I787&lt;&gt;"",$I787,INDEX($I$2:$I786,ROW()-COUNTIFS($T$2:$T786,"="&amp;$T787,$S$2:$S786,"&lt;&gt;"&amp;$S787)-1)))</f>
        <v/>
      </c>
      <c r="Z787" s="6"/>
      <c r="AI787" t="str">
        <f t="shared" si="179"/>
        <v/>
      </c>
      <c r="BI787" s="40"/>
      <c r="BL787" s="40"/>
      <c r="BN787" s="19"/>
      <c r="BP787" s="17"/>
    </row>
    <row r="788" spans="1:68" x14ac:dyDescent="0.2">
      <c r="A788" t="str">
        <f t="shared" si="177"/>
        <v/>
      </c>
      <c r="E788" s="4"/>
      <c r="F788" s="45"/>
      <c r="G788" s="4"/>
      <c r="H788" s="48"/>
      <c r="J788" s="46" t="str">
        <f t="shared" si="178"/>
        <v/>
      </c>
      <c r="N788" t="str">
        <f t="shared" si="176"/>
        <v/>
      </c>
      <c r="Q788" t="str">
        <f t="shared" si="180"/>
        <v/>
      </c>
      <c r="S788" t="str">
        <f>IF(A788=1,MAX(S$2:S787)+1,IF(OR(I788&lt;&gt;"",A788="x"),S787,""))</f>
        <v/>
      </c>
      <c r="T788" t="str">
        <f>IF(D788=1,MAX($T$2:$T787)+1,IF(S788=$S787,$S787,IF($D788="x",T787,IF($D787="x","",""))))</f>
        <v/>
      </c>
      <c r="U788" t="str">
        <f>IF(B788=1,MAX($U$2:$U787)+1,IF(AND($T788&lt;&gt;"",$T788=$T787),$U787,IF(B788="x",U787,"")))</f>
        <v/>
      </c>
      <c r="V788" t="str">
        <f>IF(C788=1,MAX($V$2:$V787)+1,IF(AND($T788&lt;&gt;"",$T788=$T787),$U787,IF(C788="x",V787,"")))</f>
        <v/>
      </c>
      <c r="W788" t="str" cm="1">
        <f t="array" ref="W788">IFERROR(_xlfn._xlws.FILTER(game_rosters!AB:AB,(game_rosters!J:J=events!X788)*(K788&lt;&gt;"")),"")</f>
        <v/>
      </c>
      <c r="X788" t="str" cm="1">
        <f t="array" ref="X788">IF(S788="","",IF($I788&lt;&gt;"",$I788,INDEX($I$2:$I787,ROW()-COUNTIFS($T$2:$T787,"="&amp;$T788,$S$2:$S787,"&lt;&gt;"&amp;$S788)-1)))</f>
        <v/>
      </c>
      <c r="Z788" s="6"/>
      <c r="AI788" t="str">
        <f t="shared" si="179"/>
        <v/>
      </c>
      <c r="BI788" s="40"/>
      <c r="BL788" s="40"/>
      <c r="BN788" s="19"/>
      <c r="BP788" s="17"/>
    </row>
    <row r="789" spans="1:68" x14ac:dyDescent="0.2">
      <c r="A789" t="str">
        <f t="shared" si="177"/>
        <v/>
      </c>
      <c r="E789" s="4"/>
      <c r="F789" s="45"/>
      <c r="G789" s="4"/>
      <c r="H789" s="48"/>
      <c r="J789" s="46" t="str">
        <f t="shared" si="178"/>
        <v/>
      </c>
      <c r="N789" t="str">
        <f t="shared" ref="N789:N852" si="181">IF(K789="","",IF(K789="Goal","s",IF(AND(K789="Zone_Entry_Exit",OR(ISNUMBER(SEARCH("fail",L789)),ISNUMBER(SEARCH("FromExitClear",M789)),ISNUMBER(SEARCH("miss",M789)))),"u",IF(AND(K789="Zone_Entry_Exit",OR(NOT(ISNUMBER(SEARCH("fail",L789))),NOT(ISNUMBER(SEARCH("FromExitClear",M789))),NOT(ISNUMBER(SEARCH("miss",M789))))),"s",IF(AND(OR(K789="Shot",K789="Pass"),OR(ISNUMBER(SEARCH("complete",L789)),ISNUMBER(SEARCH("goal",L789)),ISNUMBER(SEARCH("OnNet",L789)))),"s",IF(L789="Turnover_Giveaway","u",IF(AND(OR(K789="Shot",K789="Pass"),OR(ISNUMBER(SEARCH("fail",L789)),NOT(ISNUMBER(SEARCH("complete",L789))),NOT(ISNUMBER(SEARCH("OnNet",L789))))),"u","")))))))</f>
        <v/>
      </c>
      <c r="Q789" t="str">
        <f t="shared" si="180"/>
        <v/>
      </c>
      <c r="S789" t="str">
        <f>IF(A789=1,MAX(S$2:S788)+1,IF(OR(I789&lt;&gt;"",A789="x"),S788,""))</f>
        <v/>
      </c>
      <c r="T789" t="str">
        <f>IF(D789=1,MAX($T$2:$T788)+1,IF(S789=$S788,$S788,IF($D789="x",T788,IF($D788="x","",""))))</f>
        <v/>
      </c>
      <c r="U789" t="str">
        <f>IF(B789=1,MAX($U$2:$U788)+1,IF(AND($T789&lt;&gt;"",$T789=$T788),$U788,IF(B789="x",U788,"")))</f>
        <v/>
      </c>
      <c r="V789" t="str">
        <f>IF(C789=1,MAX($V$2:$V788)+1,IF(AND($T789&lt;&gt;"",$T789=$T788),$U788,IF(C789="x",V788,"")))</f>
        <v/>
      </c>
      <c r="W789" t="str" cm="1">
        <f t="array" ref="W789">IFERROR(_xlfn._xlws.FILTER(game_rosters!AB:AB,(game_rosters!J:J=events!X789)*(K789&lt;&gt;"")),"")</f>
        <v/>
      </c>
      <c r="X789" t="str" cm="1">
        <f t="array" ref="X789">IF(S789="","",IF($I789&lt;&gt;"",$I789,INDEX($I$2:$I788,ROW()-COUNTIFS($T$2:$T788,"="&amp;$T789,$S$2:$S788,"&lt;&gt;"&amp;$S789)-1)))</f>
        <v/>
      </c>
      <c r="Z789" s="6"/>
      <c r="AI789" t="str">
        <f t="shared" si="179"/>
        <v/>
      </c>
      <c r="BI789" s="40"/>
      <c r="BL789" s="40"/>
      <c r="BN789" s="19"/>
      <c r="BP789" s="17"/>
    </row>
    <row r="790" spans="1:68" x14ac:dyDescent="0.2">
      <c r="A790" t="str">
        <f t="shared" si="177"/>
        <v/>
      </c>
      <c r="E790" s="4"/>
      <c r="F790" s="45"/>
      <c r="G790" s="4"/>
      <c r="H790" s="48"/>
      <c r="J790" s="46" t="str">
        <f t="shared" si="178"/>
        <v/>
      </c>
      <c r="N790" t="str">
        <f t="shared" si="181"/>
        <v/>
      </c>
      <c r="Q790" t="str">
        <f t="shared" si="180"/>
        <v/>
      </c>
      <c r="S790" t="str">
        <f>IF(A790=1,MAX(S$2:S789)+1,IF(OR(I790&lt;&gt;"",A790="x"),S789,""))</f>
        <v/>
      </c>
      <c r="T790" t="str">
        <f>IF(D790=1,MAX($T$2:$T789)+1,IF(S790=$S789,$S789,IF($D790="x",T789,IF($D789="x","",""))))</f>
        <v/>
      </c>
      <c r="U790" t="str">
        <f>IF(B790=1,MAX($U$2:$U789)+1,IF(AND($T790&lt;&gt;"",$T790=$T789),$U789,IF(B790="x",U789,"")))</f>
        <v/>
      </c>
      <c r="V790" t="str">
        <f>IF(C790=1,MAX($V$2:$V789)+1,IF(AND($T790&lt;&gt;"",$T790=$T789),$U789,IF(C790="x",V789,"")))</f>
        <v/>
      </c>
      <c r="W790" t="str" cm="1">
        <f t="array" ref="W790">IFERROR(_xlfn._xlws.FILTER(game_rosters!AB:AB,(game_rosters!J:J=events!X790)*(K790&lt;&gt;"")),"")</f>
        <v/>
      </c>
      <c r="X790" t="str" cm="1">
        <f t="array" ref="X790">IF(S790="","",IF($I790&lt;&gt;"",$I790,INDEX($I$2:$I789,ROW()-COUNTIFS($T$2:$T789,"="&amp;$T790,$S$2:$S789,"&lt;&gt;"&amp;$S790)-1)))</f>
        <v/>
      </c>
      <c r="Z790" s="6"/>
      <c r="AI790" t="str">
        <f t="shared" si="179"/>
        <v/>
      </c>
      <c r="BI790" s="40"/>
      <c r="BL790" s="40"/>
      <c r="BN790" s="19"/>
      <c r="BP790" s="17"/>
    </row>
    <row r="791" spans="1:68" x14ac:dyDescent="0.2">
      <c r="A791" t="str">
        <f t="shared" si="177"/>
        <v/>
      </c>
      <c r="E791" s="4"/>
      <c r="F791" s="45"/>
      <c r="G791" s="4"/>
      <c r="H791" s="48"/>
      <c r="J791" s="46" t="str">
        <f t="shared" si="178"/>
        <v/>
      </c>
      <c r="N791" t="str">
        <f t="shared" si="181"/>
        <v/>
      </c>
      <c r="Q791" t="str">
        <f t="shared" si="180"/>
        <v/>
      </c>
      <c r="S791" t="str">
        <f>IF(A791=1,MAX(S$2:S790)+1,IF(OR(I791&lt;&gt;"",A791="x"),S790,""))</f>
        <v/>
      </c>
      <c r="T791" t="str">
        <f>IF(D791=1,MAX($T$2:$T790)+1,IF(S791=$S790,$S790,IF($D791="x",T790,IF($D790="x","",""))))</f>
        <v/>
      </c>
      <c r="U791" t="str">
        <f>IF(B791=1,MAX($U$2:$U790)+1,IF(AND($T791&lt;&gt;"",$T791=$T790),$U790,IF(B791="x",U790,"")))</f>
        <v/>
      </c>
      <c r="V791" t="str">
        <f>IF(C791=1,MAX($V$2:$V790)+1,IF(AND($T791&lt;&gt;"",$T791=$T790),$U790,IF(C791="x",V790,"")))</f>
        <v/>
      </c>
      <c r="W791" t="str" cm="1">
        <f t="array" ref="W791">IFERROR(_xlfn._xlws.FILTER(game_rosters!AB:AB,(game_rosters!J:J=events!X791)*(K791&lt;&gt;"")),"")</f>
        <v/>
      </c>
      <c r="X791" t="str" cm="1">
        <f t="array" ref="X791">IF(S791="","",IF($I791&lt;&gt;"",$I791,INDEX($I$2:$I790,ROW()-COUNTIFS($T$2:$T790,"="&amp;$T791,$S$2:$S790,"&lt;&gt;"&amp;$S791)-1)))</f>
        <v/>
      </c>
      <c r="Z791" s="6"/>
      <c r="AI791" t="str">
        <f t="shared" si="179"/>
        <v/>
      </c>
      <c r="BI791" s="40"/>
      <c r="BL791" s="40"/>
      <c r="BN791" s="19"/>
      <c r="BP791" s="17"/>
    </row>
    <row r="792" spans="1:68" x14ac:dyDescent="0.2">
      <c r="A792" t="str">
        <f t="shared" si="177"/>
        <v/>
      </c>
      <c r="E792" s="4"/>
      <c r="F792" s="45"/>
      <c r="G792" s="4"/>
      <c r="H792" s="48"/>
      <c r="J792" s="46" t="str">
        <f t="shared" si="178"/>
        <v/>
      </c>
      <c r="N792" t="str">
        <f t="shared" si="181"/>
        <v/>
      </c>
      <c r="Q792" t="str">
        <f t="shared" si="180"/>
        <v/>
      </c>
      <c r="S792" t="str">
        <f>IF(A792=1,MAX(S$2:S791)+1,IF(OR(I792&lt;&gt;"",A792="x"),S791,""))</f>
        <v/>
      </c>
      <c r="T792" t="str">
        <f>IF(D792=1,MAX($T$2:$T791)+1,IF(S792=$S791,$S791,IF($D792="x",T791,IF($D791="x","",""))))</f>
        <v/>
      </c>
      <c r="U792" t="str">
        <f>IF(B792=1,MAX($U$2:$U791)+1,IF(AND($T792&lt;&gt;"",$T792=$T791),$U791,IF(B792="x",U791,"")))</f>
        <v/>
      </c>
      <c r="V792" t="str">
        <f>IF(C792=1,MAX($V$2:$V791)+1,IF(AND($T792&lt;&gt;"",$T792=$T791),$U791,IF(C792="x",V791,"")))</f>
        <v/>
      </c>
      <c r="W792" t="str" cm="1">
        <f t="array" ref="W792">IFERROR(_xlfn._xlws.FILTER(game_rosters!AB:AB,(game_rosters!J:J=events!X792)*(K792&lt;&gt;"")),"")</f>
        <v/>
      </c>
      <c r="X792" t="str" cm="1">
        <f t="array" ref="X792">IF(S792="","",IF($I792&lt;&gt;"",$I792,INDEX($I$2:$I791,ROW()-COUNTIFS($T$2:$T791,"="&amp;$T792,$S$2:$S791,"&lt;&gt;"&amp;$S792)-1)))</f>
        <v/>
      </c>
      <c r="Z792" s="6"/>
      <c r="AI792" t="str">
        <f t="shared" si="179"/>
        <v/>
      </c>
      <c r="BI792" s="40"/>
      <c r="BL792" s="40"/>
      <c r="BN792" s="19"/>
      <c r="BP792" s="17"/>
    </row>
    <row r="793" spans="1:68" x14ac:dyDescent="0.2">
      <c r="A793" t="str">
        <f t="shared" si="177"/>
        <v/>
      </c>
      <c r="E793" s="4"/>
      <c r="F793" s="45"/>
      <c r="G793" s="4"/>
      <c r="H793" s="48"/>
      <c r="J793" s="46" t="str">
        <f t="shared" si="178"/>
        <v/>
      </c>
      <c r="N793" t="str">
        <f t="shared" si="181"/>
        <v/>
      </c>
      <c r="Q793" t="str">
        <f t="shared" si="180"/>
        <v/>
      </c>
      <c r="S793" t="str">
        <f>IF(A793=1,MAX(S$2:S792)+1,IF(OR(I793&lt;&gt;"",A793="x"),S792,""))</f>
        <v/>
      </c>
      <c r="T793" t="str">
        <f>IF(D793=1,MAX($T$2:$T792)+1,IF(S793=$S792,$S792,IF($D793="x",T792,IF($D792="x","",""))))</f>
        <v/>
      </c>
      <c r="U793" t="str">
        <f>IF(B793=1,MAX($U$2:$U792)+1,IF(AND($T793&lt;&gt;"",$T793=$T792),$U792,IF(B793="x",U792,"")))</f>
        <v/>
      </c>
      <c r="V793" t="str">
        <f>IF(C793=1,MAX($V$2:$V792)+1,IF(AND($T793&lt;&gt;"",$T793=$T792),$U792,IF(C793="x",V792,"")))</f>
        <v/>
      </c>
      <c r="W793" t="str" cm="1">
        <f t="array" ref="W793">IFERROR(_xlfn._xlws.FILTER(game_rosters!AB:AB,(game_rosters!J:J=events!X793)*(K793&lt;&gt;"")),"")</f>
        <v/>
      </c>
      <c r="X793" t="str" cm="1">
        <f t="array" ref="X793">IF(S793="","",IF($I793&lt;&gt;"",$I793,INDEX($I$2:$I792,ROW()-COUNTIFS($T$2:$T792,"="&amp;$T793,$S$2:$S792,"&lt;&gt;"&amp;$S793)-1)))</f>
        <v/>
      </c>
      <c r="Z793" s="6"/>
      <c r="AI793" t="str">
        <f t="shared" si="179"/>
        <v/>
      </c>
      <c r="BI793" s="40"/>
      <c r="BL793" s="40"/>
      <c r="BN793" s="19"/>
      <c r="BP793" s="17"/>
    </row>
    <row r="794" spans="1:68" x14ac:dyDescent="0.2">
      <c r="A794" t="str">
        <f t="shared" si="177"/>
        <v/>
      </c>
      <c r="E794" s="4"/>
      <c r="F794" s="45"/>
      <c r="G794" s="4"/>
      <c r="H794" s="48"/>
      <c r="J794" s="46" t="str">
        <f t="shared" si="178"/>
        <v/>
      </c>
      <c r="N794" t="str">
        <f t="shared" si="181"/>
        <v/>
      </c>
      <c r="Q794" t="str">
        <f t="shared" si="180"/>
        <v/>
      </c>
      <c r="S794" t="str">
        <f>IF(A794=1,MAX(S$2:S793)+1,IF(OR(I794&lt;&gt;"",A794="x"),S793,""))</f>
        <v/>
      </c>
      <c r="T794" t="str">
        <f>IF(D794=1,MAX($T$2:$T793)+1,IF(S794=$S793,$S793,IF($D794="x",T793,IF($D793="x","",""))))</f>
        <v/>
      </c>
      <c r="U794" t="str">
        <f>IF(B794=1,MAX($U$2:$U793)+1,IF(AND($T794&lt;&gt;"",$T794=$T793),$U793,IF(B794="x",U793,"")))</f>
        <v/>
      </c>
      <c r="V794" t="str">
        <f>IF(C794=1,MAX($V$2:$V793)+1,IF(AND($T794&lt;&gt;"",$T794=$T793),$U793,IF(C794="x",V793,"")))</f>
        <v/>
      </c>
      <c r="W794" t="str" cm="1">
        <f t="array" ref="W794">IFERROR(_xlfn._xlws.FILTER(game_rosters!AB:AB,(game_rosters!J:J=events!X794)*(K794&lt;&gt;"")),"")</f>
        <v/>
      </c>
      <c r="X794" t="str" cm="1">
        <f t="array" ref="X794">IF(S794="","",IF($I794&lt;&gt;"",$I794,INDEX($I$2:$I793,ROW()-COUNTIFS($T$2:$T793,"="&amp;$T794,$S$2:$S793,"&lt;&gt;"&amp;$S794)-1)))</f>
        <v/>
      </c>
      <c r="Z794" s="6"/>
      <c r="AI794" t="str">
        <f t="shared" si="179"/>
        <v/>
      </c>
      <c r="BI794" s="40"/>
      <c r="BL794" s="40"/>
      <c r="BN794" s="19"/>
      <c r="BP794" s="17"/>
    </row>
    <row r="795" spans="1:68" x14ac:dyDescent="0.2">
      <c r="A795" t="str">
        <f t="shared" si="177"/>
        <v/>
      </c>
      <c r="E795" s="4"/>
      <c r="F795" s="45"/>
      <c r="G795" s="4"/>
      <c r="H795" s="48"/>
      <c r="J795" s="46" t="str">
        <f t="shared" si="178"/>
        <v/>
      </c>
      <c r="N795" t="str">
        <f t="shared" si="181"/>
        <v/>
      </c>
      <c r="Q795" t="str">
        <f t="shared" si="180"/>
        <v/>
      </c>
      <c r="S795" t="str">
        <f>IF(A795=1,MAX(S$2:S794)+1,IF(OR(I795&lt;&gt;"",A795="x"),S794,""))</f>
        <v/>
      </c>
      <c r="T795" t="str">
        <f>IF(D795=1,MAX($T$2:$T794)+1,IF(S795=$S794,$S794,IF($D795="x",T794,IF($D794="x","",""))))</f>
        <v/>
      </c>
      <c r="U795" t="str">
        <f>IF(B795=1,MAX($U$2:$U794)+1,IF(AND($T795&lt;&gt;"",$T795=$T794),$U794,IF(B795="x",U794,"")))</f>
        <v/>
      </c>
      <c r="V795" t="str">
        <f>IF(C795=1,MAX($V$2:$V794)+1,IF(AND($T795&lt;&gt;"",$T795=$T794),$U794,IF(C795="x",V794,"")))</f>
        <v/>
      </c>
      <c r="W795" t="str" cm="1">
        <f t="array" ref="W795">IFERROR(_xlfn._xlws.FILTER(game_rosters!AB:AB,(game_rosters!J:J=events!X795)*(K795&lt;&gt;"")),"")</f>
        <v/>
      </c>
      <c r="X795" t="str" cm="1">
        <f t="array" ref="X795">IF(S795="","",IF($I795&lt;&gt;"",$I795,INDEX($I$2:$I794,ROW()-COUNTIFS($T$2:$T794,"="&amp;$T795,$S$2:$S794,"&lt;&gt;"&amp;$S795)-1)))</f>
        <v/>
      </c>
      <c r="Z795" s="6"/>
      <c r="AI795" t="str">
        <f t="shared" si="179"/>
        <v/>
      </c>
      <c r="BI795" s="40"/>
      <c r="BL795" s="40"/>
      <c r="BN795" s="19"/>
      <c r="BP795" s="17"/>
    </row>
    <row r="796" spans="1:68" x14ac:dyDescent="0.2">
      <c r="A796" t="str">
        <f t="shared" si="177"/>
        <v/>
      </c>
      <c r="E796" s="4"/>
      <c r="F796" s="45"/>
      <c r="G796" s="4"/>
      <c r="H796" s="48"/>
      <c r="J796" s="46" t="str">
        <f t="shared" si="178"/>
        <v/>
      </c>
      <c r="N796" t="str">
        <f t="shared" si="181"/>
        <v/>
      </c>
      <c r="Q796" t="str">
        <f t="shared" si="180"/>
        <v/>
      </c>
      <c r="S796" t="str">
        <f>IF(A796=1,MAX(S$2:S795)+1,IF(OR(I796&lt;&gt;"",A796="x"),S795,""))</f>
        <v/>
      </c>
      <c r="T796" t="str">
        <f>IF(D796=1,MAX($T$2:$T795)+1,IF(S796=$S795,$S795,IF($D796="x",T795,IF($D795="x","",""))))</f>
        <v/>
      </c>
      <c r="U796" t="str">
        <f>IF(B796=1,MAX($U$2:$U795)+1,IF(AND($T796&lt;&gt;"",$T796=$T795),$U795,IF(B796="x",U795,"")))</f>
        <v/>
      </c>
      <c r="V796" t="str">
        <f>IF(C796=1,MAX($V$2:$V795)+1,IF(AND($T796&lt;&gt;"",$T796=$T795),$U795,IF(C796="x",V795,"")))</f>
        <v/>
      </c>
      <c r="W796" t="str" cm="1">
        <f t="array" ref="W796">IFERROR(_xlfn._xlws.FILTER(game_rosters!AB:AB,(game_rosters!J:J=events!X796)*(K796&lt;&gt;"")),"")</f>
        <v/>
      </c>
      <c r="X796" t="str" cm="1">
        <f t="array" ref="X796">IF(S796="","",IF($I796&lt;&gt;"",$I796,INDEX($I$2:$I795,ROW()-COUNTIFS($T$2:$T795,"="&amp;$T796,$S$2:$S795,"&lt;&gt;"&amp;$S796)-1)))</f>
        <v/>
      </c>
      <c r="Z796" s="6"/>
      <c r="AI796" t="str">
        <f t="shared" si="179"/>
        <v/>
      </c>
      <c r="BI796" s="40"/>
      <c r="BL796" s="40"/>
      <c r="BN796" s="19"/>
      <c r="BP796" s="17"/>
    </row>
    <row r="797" spans="1:68" x14ac:dyDescent="0.2">
      <c r="A797" t="str">
        <f t="shared" si="177"/>
        <v/>
      </c>
      <c r="E797" s="4"/>
      <c r="F797" s="45"/>
      <c r="G797" s="4"/>
      <c r="H797" s="48"/>
      <c r="J797" s="46" t="str">
        <f t="shared" si="178"/>
        <v/>
      </c>
      <c r="N797" t="str">
        <f t="shared" si="181"/>
        <v/>
      </c>
      <c r="Q797" t="str">
        <f t="shared" si="180"/>
        <v/>
      </c>
      <c r="S797" t="str">
        <f>IF(A797=1,MAX(S$2:S796)+1,IF(OR(I797&lt;&gt;"",A797="x"),S796,""))</f>
        <v/>
      </c>
      <c r="T797" t="str">
        <f>IF(D797=1,MAX($T$2:$T796)+1,IF(S797=$S796,$S796,IF($D797="x",T796,IF($D796="x","",""))))</f>
        <v/>
      </c>
      <c r="U797" t="str">
        <f>IF(B797=1,MAX($U$2:$U796)+1,IF(AND($T797&lt;&gt;"",$T797=$T796),$U796,IF(B797="x",U796,"")))</f>
        <v/>
      </c>
      <c r="V797" t="str">
        <f>IF(C797=1,MAX($V$2:$V796)+1,IF(AND($T797&lt;&gt;"",$T797=$T796),$U796,IF(C797="x",V796,"")))</f>
        <v/>
      </c>
      <c r="W797" t="str" cm="1">
        <f t="array" ref="W797">IFERROR(_xlfn._xlws.FILTER(game_rosters!AB:AB,(game_rosters!J:J=events!X797)*(K797&lt;&gt;"")),"")</f>
        <v/>
      </c>
      <c r="X797" t="str" cm="1">
        <f t="array" ref="X797">IF(S797="","",IF($I797&lt;&gt;"",$I797,INDEX($I$2:$I796,ROW()-COUNTIFS($T$2:$T796,"="&amp;$T797,$S$2:$S796,"&lt;&gt;"&amp;$S797)-1)))</f>
        <v/>
      </c>
      <c r="Z797" s="6"/>
      <c r="AI797" t="str">
        <f t="shared" si="179"/>
        <v/>
      </c>
      <c r="BI797" s="40"/>
      <c r="BL797" s="40"/>
      <c r="BN797" s="19"/>
      <c r="BP797" s="17"/>
    </row>
    <row r="798" spans="1:68" x14ac:dyDescent="0.2">
      <c r="A798" t="str">
        <f t="shared" si="177"/>
        <v/>
      </c>
      <c r="E798" s="4"/>
      <c r="F798" s="45"/>
      <c r="G798" s="4"/>
      <c r="H798" s="48"/>
      <c r="J798" s="46" t="str">
        <f t="shared" si="178"/>
        <v/>
      </c>
      <c r="N798" t="str">
        <f t="shared" si="181"/>
        <v/>
      </c>
      <c r="Q798" t="str">
        <f t="shared" si="180"/>
        <v/>
      </c>
      <c r="S798" t="str">
        <f>IF(A798=1,MAX(S$2:S797)+1,IF(OR(I798&lt;&gt;"",A798="x"),S797,""))</f>
        <v/>
      </c>
      <c r="T798" t="str">
        <f>IF(D798=1,MAX($T$2:$T797)+1,IF(S798=$S797,$S797,IF($D798="x",T797,IF($D797="x","",""))))</f>
        <v/>
      </c>
      <c r="U798" t="str">
        <f>IF(B798=1,MAX($U$2:$U797)+1,IF(AND($T798&lt;&gt;"",$T798=$T797),$U797,IF(B798="x",U797,"")))</f>
        <v/>
      </c>
      <c r="V798" t="str">
        <f>IF(C798=1,MAX($V$2:$V797)+1,IF(AND($T798&lt;&gt;"",$T798=$T797),$U797,IF(C798="x",V797,"")))</f>
        <v/>
      </c>
      <c r="W798" t="str" cm="1">
        <f t="array" ref="W798">IFERROR(_xlfn._xlws.FILTER(game_rosters!AB:AB,(game_rosters!J:J=events!X798)*(K798&lt;&gt;"")),"")</f>
        <v/>
      </c>
      <c r="X798" t="str" cm="1">
        <f t="array" ref="X798">IF(S798="","",IF($I798&lt;&gt;"",$I798,INDEX($I$2:$I797,ROW()-COUNTIFS($T$2:$T797,"="&amp;$T798,$S$2:$S797,"&lt;&gt;"&amp;$S798)-1)))</f>
        <v/>
      </c>
      <c r="Z798" s="6"/>
      <c r="AI798" t="str">
        <f t="shared" si="179"/>
        <v/>
      </c>
      <c r="BI798" s="40"/>
      <c r="BL798" s="40"/>
      <c r="BN798" s="19"/>
      <c r="BP798" s="17"/>
    </row>
    <row r="799" spans="1:68" x14ac:dyDescent="0.2">
      <c r="A799" t="str">
        <f t="shared" si="177"/>
        <v/>
      </c>
      <c r="E799" s="4"/>
      <c r="F799" s="45"/>
      <c r="G799" s="4"/>
      <c r="H799" s="48"/>
      <c r="J799" s="46" t="str">
        <f t="shared" si="178"/>
        <v/>
      </c>
      <c r="N799" t="str">
        <f t="shared" si="181"/>
        <v/>
      </c>
      <c r="Q799" t="str">
        <f t="shared" si="180"/>
        <v/>
      </c>
      <c r="S799" t="str">
        <f>IF(A799=1,MAX(S$2:S798)+1,IF(OR(I799&lt;&gt;"",A799="x"),S798,""))</f>
        <v/>
      </c>
      <c r="T799" t="str">
        <f>IF(D799=1,MAX($T$2:$T798)+1,IF(S799=$S798,$S798,IF($D799="x",T798,IF($D798="x","",""))))</f>
        <v/>
      </c>
      <c r="U799" t="str">
        <f>IF(B799=1,MAX($U$2:$U798)+1,IF(AND($T799&lt;&gt;"",$T799=$T798),$U798,IF(B799="x",U798,"")))</f>
        <v/>
      </c>
      <c r="V799" t="str">
        <f>IF(C799=1,MAX($V$2:$V798)+1,IF(AND($T799&lt;&gt;"",$T799=$T798),$U798,IF(C799="x",V798,"")))</f>
        <v/>
      </c>
      <c r="W799" t="str" cm="1">
        <f t="array" ref="W799">IFERROR(_xlfn._xlws.FILTER(game_rosters!AB:AB,(game_rosters!J:J=events!X799)*(K799&lt;&gt;"")),"")</f>
        <v/>
      </c>
      <c r="X799" t="str" cm="1">
        <f t="array" ref="X799">IF(S799="","",IF($I799&lt;&gt;"",$I799,INDEX($I$2:$I798,ROW()-COUNTIFS($T$2:$T798,"="&amp;$T799,$S$2:$S798,"&lt;&gt;"&amp;$S799)-1)))</f>
        <v/>
      </c>
      <c r="Z799" s="6"/>
      <c r="AI799" t="str">
        <f t="shared" si="179"/>
        <v/>
      </c>
      <c r="BI799" s="40"/>
      <c r="BL799" s="40"/>
      <c r="BN799" s="19"/>
      <c r="BP799" s="17"/>
    </row>
    <row r="800" spans="1:68" x14ac:dyDescent="0.2">
      <c r="A800" t="str">
        <f t="shared" si="177"/>
        <v/>
      </c>
      <c r="E800" s="4"/>
      <c r="F800" s="45"/>
      <c r="G800" s="4"/>
      <c r="H800" s="48"/>
      <c r="J800" s="46" t="str">
        <f t="shared" si="178"/>
        <v/>
      </c>
      <c r="N800" t="str">
        <f t="shared" si="181"/>
        <v/>
      </c>
      <c r="Q800" t="str">
        <f t="shared" si="180"/>
        <v/>
      </c>
      <c r="S800" t="str">
        <f>IF(A800=1,MAX(S$2:S799)+1,IF(OR(I800&lt;&gt;"",A800="x"),S799,""))</f>
        <v/>
      </c>
      <c r="T800" t="str">
        <f>IF(D800=1,MAX($T$2:$T799)+1,IF(S800=$S799,$S799,IF($D800="x",T799,IF($D799="x","",""))))</f>
        <v/>
      </c>
      <c r="U800" t="str">
        <f>IF(B800=1,MAX($U$2:$U799)+1,IF(AND($T800&lt;&gt;"",$T800=$T799),$U799,IF(B800="x",U799,"")))</f>
        <v/>
      </c>
      <c r="V800" t="str">
        <f>IF(C800=1,MAX($V$2:$V799)+1,IF(AND($T800&lt;&gt;"",$T800=$T799),$U799,IF(C800="x",V799,"")))</f>
        <v/>
      </c>
      <c r="W800" t="str" cm="1">
        <f t="array" ref="W800">IFERROR(_xlfn._xlws.FILTER(game_rosters!AB:AB,(game_rosters!J:J=events!X800)*(K800&lt;&gt;"")),"")</f>
        <v/>
      </c>
      <c r="X800" t="str" cm="1">
        <f t="array" ref="X800">IF(S800="","",IF($I800&lt;&gt;"",$I800,INDEX($I$2:$I799,ROW()-COUNTIFS($T$2:$T799,"="&amp;$T800,$S$2:$S799,"&lt;&gt;"&amp;$S800)-1)))</f>
        <v/>
      </c>
      <c r="Z800" s="6"/>
      <c r="AI800" t="str">
        <f t="shared" si="179"/>
        <v/>
      </c>
      <c r="BI800" s="40"/>
      <c r="BL800" s="40"/>
      <c r="BN800" s="19"/>
      <c r="BP800" s="17"/>
    </row>
    <row r="801" spans="1:68" x14ac:dyDescent="0.2">
      <c r="A801" t="str">
        <f t="shared" si="177"/>
        <v/>
      </c>
      <c r="E801" s="4"/>
      <c r="F801" s="45"/>
      <c r="G801" s="4"/>
      <c r="H801" s="48"/>
      <c r="J801" s="46" t="str">
        <f t="shared" si="178"/>
        <v/>
      </c>
      <c r="N801" t="str">
        <f t="shared" si="181"/>
        <v/>
      </c>
      <c r="Q801" t="str">
        <f t="shared" si="180"/>
        <v/>
      </c>
      <c r="S801" t="str">
        <f>IF(A801=1,MAX(S$2:S800)+1,IF(OR(I801&lt;&gt;"",A801="x"),S800,""))</f>
        <v/>
      </c>
      <c r="T801" t="str">
        <f>IF(D801=1,MAX($T$2:$T800)+1,IF(S801=$S800,$S800,IF($D801="x",T800,IF($D800="x","",""))))</f>
        <v/>
      </c>
      <c r="U801" t="str">
        <f>IF(B801=1,MAX($U$2:$U800)+1,IF(AND($T801&lt;&gt;"",$T801=$T800),$U800,IF(B801="x",U800,"")))</f>
        <v/>
      </c>
      <c r="V801" t="str">
        <f>IF(C801=1,MAX($V$2:$V800)+1,IF(AND($T801&lt;&gt;"",$T801=$T800),$U800,IF(C801="x",V800,"")))</f>
        <v/>
      </c>
      <c r="W801" t="str" cm="1">
        <f t="array" ref="W801">IFERROR(_xlfn._xlws.FILTER(game_rosters!AB:AB,(game_rosters!J:J=events!X801)*(K801&lt;&gt;"")),"")</f>
        <v/>
      </c>
      <c r="X801" t="str" cm="1">
        <f t="array" ref="X801">IF(S801="","",IF($I801&lt;&gt;"",$I801,INDEX($I$2:$I800,ROW()-COUNTIFS($T$2:$T800,"="&amp;$T801,$S$2:$S800,"&lt;&gt;"&amp;$S801)-1)))</f>
        <v/>
      </c>
      <c r="Z801" s="6"/>
      <c r="AI801" t="str">
        <f t="shared" si="179"/>
        <v/>
      </c>
      <c r="BI801" s="40"/>
      <c r="BL801" s="40"/>
      <c r="BN801" s="19"/>
      <c r="BP801" s="17"/>
    </row>
    <row r="802" spans="1:68" x14ac:dyDescent="0.2">
      <c r="A802" t="str">
        <f t="shared" si="177"/>
        <v/>
      </c>
      <c r="E802" s="4"/>
      <c r="F802" s="45"/>
      <c r="G802" s="4"/>
      <c r="H802" s="48"/>
      <c r="J802" s="46" t="str">
        <f t="shared" si="178"/>
        <v/>
      </c>
      <c r="N802" t="str">
        <f t="shared" si="181"/>
        <v/>
      </c>
      <c r="Q802" t="str">
        <f t="shared" si="180"/>
        <v/>
      </c>
      <c r="S802" t="str">
        <f>IF(A802=1,MAX(S$2:S801)+1,IF(OR(I802&lt;&gt;"",A802="x"),S801,""))</f>
        <v/>
      </c>
      <c r="T802" t="str">
        <f>IF(D802=1,MAX($T$2:$T801)+1,IF(S802=$S801,$S801,IF($D802="x",T801,IF($D801="x","",""))))</f>
        <v/>
      </c>
      <c r="U802" t="str">
        <f>IF(B802=1,MAX($U$2:$U801)+1,IF(AND($T802&lt;&gt;"",$T802=$T801),$U801,IF(B802="x",U801,"")))</f>
        <v/>
      </c>
      <c r="V802" t="str">
        <f>IF(C802=1,MAX($V$2:$V801)+1,IF(AND($T802&lt;&gt;"",$T802=$T801),$U801,IF(C802="x",V801,"")))</f>
        <v/>
      </c>
      <c r="W802" t="str" cm="1">
        <f t="array" ref="W802">IFERROR(_xlfn._xlws.FILTER(game_rosters!AB:AB,(game_rosters!J:J=events!X802)*(K802&lt;&gt;"")),"")</f>
        <v/>
      </c>
      <c r="X802" t="str" cm="1">
        <f t="array" ref="X802">IF(S802="","",IF($I802&lt;&gt;"",$I802,INDEX($I$2:$I801,ROW()-COUNTIFS($T$2:$T801,"="&amp;$T802,$S$2:$S801,"&lt;&gt;"&amp;$S802)-1)))</f>
        <v/>
      </c>
      <c r="Z802" s="6"/>
      <c r="AI802" t="str">
        <f t="shared" si="179"/>
        <v/>
      </c>
      <c r="BI802" s="40"/>
      <c r="BL802" s="40"/>
      <c r="BN802" s="19"/>
      <c r="BP802" s="17"/>
    </row>
    <row r="803" spans="1:68" x14ac:dyDescent="0.2">
      <c r="A803" t="str">
        <f t="shared" si="177"/>
        <v/>
      </c>
      <c r="E803" s="4"/>
      <c r="F803" s="45"/>
      <c r="G803" s="4"/>
      <c r="H803" s="48"/>
      <c r="J803" s="46" t="str">
        <f t="shared" si="178"/>
        <v/>
      </c>
      <c r="N803" t="str">
        <f t="shared" si="181"/>
        <v/>
      </c>
      <c r="Q803" t="str">
        <f t="shared" si="180"/>
        <v/>
      </c>
      <c r="S803" t="str">
        <f>IF(A803=1,MAX(S$2:S802)+1,IF(OR(I803&lt;&gt;"",A803="x"),S802,""))</f>
        <v/>
      </c>
      <c r="T803" t="str">
        <f>IF(D803=1,MAX($T$2:$T802)+1,IF(S803=$S802,$S802,IF($D803="x",T802,IF($D802="x","",""))))</f>
        <v/>
      </c>
      <c r="U803" t="str">
        <f>IF(B803=1,MAX($U$2:$U802)+1,IF(AND($T803&lt;&gt;"",$T803=$T802),$U802,IF(B803="x",U802,"")))</f>
        <v/>
      </c>
      <c r="V803" t="str">
        <f>IF(C803=1,MAX($V$2:$V802)+1,IF(AND($T803&lt;&gt;"",$T803=$T802),$U802,IF(C803="x",V802,"")))</f>
        <v/>
      </c>
      <c r="W803" t="str" cm="1">
        <f t="array" ref="W803">IFERROR(_xlfn._xlws.FILTER(game_rosters!AB:AB,(game_rosters!J:J=events!X803)*(K803&lt;&gt;"")),"")</f>
        <v/>
      </c>
      <c r="X803" t="str" cm="1">
        <f t="array" ref="X803">IF(S803="","",IF($I803&lt;&gt;"",$I803,INDEX($I$2:$I802,ROW()-COUNTIFS($T$2:$T802,"="&amp;$T803,$S$2:$S802,"&lt;&gt;"&amp;$S803)-1)))</f>
        <v/>
      </c>
      <c r="Z803" s="6"/>
      <c r="AI803" t="str">
        <f t="shared" si="179"/>
        <v/>
      </c>
      <c r="BI803" s="40"/>
      <c r="BL803" s="40"/>
      <c r="BN803" s="19"/>
      <c r="BP803" s="17"/>
    </row>
    <row r="804" spans="1:68" x14ac:dyDescent="0.2">
      <c r="A804" t="str">
        <f t="shared" si="177"/>
        <v/>
      </c>
      <c r="E804" s="4"/>
      <c r="F804" s="45"/>
      <c r="G804" s="4"/>
      <c r="H804" s="48"/>
      <c r="J804" s="46" t="str">
        <f t="shared" si="178"/>
        <v/>
      </c>
      <c r="N804" t="str">
        <f t="shared" si="181"/>
        <v/>
      </c>
      <c r="Q804" t="str">
        <f t="shared" si="180"/>
        <v/>
      </c>
      <c r="S804" t="str">
        <f>IF(A804=1,MAX(S$2:S803)+1,IF(OR(I804&lt;&gt;"",A804="x"),S803,""))</f>
        <v/>
      </c>
      <c r="T804" t="str">
        <f>IF(D804=1,MAX($T$2:$T803)+1,IF(S804=$S803,$S803,IF($D804="x",T803,IF($D803="x","",""))))</f>
        <v/>
      </c>
      <c r="U804" t="str">
        <f>IF(B804=1,MAX($U$2:$U803)+1,IF(AND($T804&lt;&gt;"",$T804=$T803),$U803,IF(B804="x",U803,"")))</f>
        <v/>
      </c>
      <c r="V804" t="str">
        <f>IF(C804=1,MAX($V$2:$V803)+1,IF(AND($T804&lt;&gt;"",$T804=$T803),$U803,IF(C804="x",V803,"")))</f>
        <v/>
      </c>
      <c r="W804" t="str" cm="1">
        <f t="array" ref="W804">IFERROR(_xlfn._xlws.FILTER(game_rosters!AB:AB,(game_rosters!J:J=events!X804)*(K804&lt;&gt;"")),"")</f>
        <v/>
      </c>
      <c r="X804" t="str" cm="1">
        <f t="array" ref="X804">IF(S804="","",IF($I804&lt;&gt;"",$I804,INDEX($I$2:$I803,ROW()-COUNTIFS($T$2:$T803,"="&amp;$T804,$S$2:$S803,"&lt;&gt;"&amp;$S804)-1)))</f>
        <v/>
      </c>
      <c r="Z804" s="6"/>
      <c r="AI804" t="str">
        <f t="shared" si="179"/>
        <v/>
      </c>
      <c r="BI804" s="40"/>
      <c r="BL804" s="40"/>
      <c r="BN804" s="19"/>
      <c r="BP804" s="17"/>
    </row>
    <row r="805" spans="1:68" x14ac:dyDescent="0.2">
      <c r="A805" t="str">
        <f t="shared" si="177"/>
        <v/>
      </c>
      <c r="E805" s="4"/>
      <c r="F805" s="45"/>
      <c r="G805" s="4"/>
      <c r="H805" s="48"/>
      <c r="J805" s="46" t="str">
        <f t="shared" si="178"/>
        <v/>
      </c>
      <c r="N805" t="str">
        <f t="shared" si="181"/>
        <v/>
      </c>
      <c r="Q805" t="str">
        <f t="shared" si="180"/>
        <v/>
      </c>
      <c r="S805" t="str">
        <f>IF(A805=1,MAX(S$2:S804)+1,IF(OR(I805&lt;&gt;"",A805="x"),S804,""))</f>
        <v/>
      </c>
      <c r="T805" t="str">
        <f>IF(D805=1,MAX($T$2:$T804)+1,IF(S805=$S804,$S804,IF($D805="x",T804,IF($D804="x","",""))))</f>
        <v/>
      </c>
      <c r="U805" t="str">
        <f>IF(B805=1,MAX($U$2:$U804)+1,IF(AND($T805&lt;&gt;"",$T805=$T804),$U804,IF(B805="x",U804,"")))</f>
        <v/>
      </c>
      <c r="V805" t="str">
        <f>IF(C805=1,MAX($V$2:$V804)+1,IF(AND($T805&lt;&gt;"",$T805=$T804),$U804,IF(C805="x",V804,"")))</f>
        <v/>
      </c>
      <c r="W805" t="str" cm="1">
        <f t="array" ref="W805">IFERROR(_xlfn._xlws.FILTER(game_rosters!AB:AB,(game_rosters!J:J=events!X805)*(K805&lt;&gt;"")),"")</f>
        <v/>
      </c>
      <c r="X805" t="str" cm="1">
        <f t="array" ref="X805">IF(S805="","",IF($I805&lt;&gt;"",$I805,INDEX($I$2:$I804,ROW()-COUNTIFS($T$2:$T804,"="&amp;$T805,$S$2:$S804,"&lt;&gt;"&amp;$S805)-1)))</f>
        <v/>
      </c>
      <c r="Z805" s="6"/>
      <c r="AI805" t="str">
        <f t="shared" si="179"/>
        <v/>
      </c>
      <c r="BI805" s="40"/>
      <c r="BL805" s="40"/>
      <c r="BN805" s="19"/>
      <c r="BP805" s="17"/>
    </row>
    <row r="806" spans="1:68" x14ac:dyDescent="0.2">
      <c r="A806" t="str">
        <f t="shared" si="177"/>
        <v/>
      </c>
      <c r="E806" s="4"/>
      <c r="F806" s="45"/>
      <c r="G806" s="4"/>
      <c r="H806" s="48"/>
      <c r="J806" s="46" t="str">
        <f t="shared" si="178"/>
        <v/>
      </c>
      <c r="N806" t="str">
        <f t="shared" si="181"/>
        <v/>
      </c>
      <c r="Q806" t="str">
        <f t="shared" si="180"/>
        <v/>
      </c>
      <c r="S806" t="str">
        <f>IF(A806=1,MAX(S$2:S805)+1,IF(OR(I806&lt;&gt;"",A806="x"),S805,""))</f>
        <v/>
      </c>
      <c r="T806" t="str">
        <f>IF(D806=1,MAX($T$2:$T805)+1,IF(S806=$S805,$S805,IF($D806="x",T805,IF($D805="x","",""))))</f>
        <v/>
      </c>
      <c r="U806" t="str">
        <f>IF(B806=1,MAX($U$2:$U805)+1,IF(AND($T806&lt;&gt;"",$T806=$T805),$U805,IF(B806="x",U805,"")))</f>
        <v/>
      </c>
      <c r="V806" t="str">
        <f>IF(C806=1,MAX($V$2:$V805)+1,IF(AND($T806&lt;&gt;"",$T806=$T805),$U805,IF(C806="x",V805,"")))</f>
        <v/>
      </c>
      <c r="W806" t="str" cm="1">
        <f t="array" ref="W806">IFERROR(_xlfn._xlws.FILTER(game_rosters!AB:AB,(game_rosters!J:J=events!X806)*(K806&lt;&gt;"")),"")</f>
        <v/>
      </c>
      <c r="X806" t="str" cm="1">
        <f t="array" ref="X806">IF(S806="","",IF($I806&lt;&gt;"",$I806,INDEX($I$2:$I805,ROW()-COUNTIFS($T$2:$T805,"="&amp;$T806,$S$2:$S805,"&lt;&gt;"&amp;$S806)-1)))</f>
        <v/>
      </c>
      <c r="Z806" s="6"/>
      <c r="AI806" t="str">
        <f t="shared" si="179"/>
        <v/>
      </c>
      <c r="BI806" s="40"/>
      <c r="BL806" s="40"/>
      <c r="BN806" s="19"/>
      <c r="BP806" s="17"/>
    </row>
    <row r="807" spans="1:68" x14ac:dyDescent="0.2">
      <c r="A807" t="str">
        <f t="shared" si="177"/>
        <v/>
      </c>
      <c r="E807" s="4"/>
      <c r="F807" s="45"/>
      <c r="G807" s="4"/>
      <c r="H807" s="48"/>
      <c r="J807" s="46" t="str">
        <f t="shared" si="178"/>
        <v/>
      </c>
      <c r="N807" t="str">
        <f t="shared" si="181"/>
        <v/>
      </c>
      <c r="Q807" t="str">
        <f t="shared" si="180"/>
        <v/>
      </c>
      <c r="S807" t="str">
        <f>IF(A807=1,MAX(S$2:S806)+1,IF(OR(I807&lt;&gt;"",A807="x"),S806,""))</f>
        <v/>
      </c>
      <c r="T807" t="str">
        <f>IF(D807=1,MAX($T$2:$T806)+1,IF(S807=$S806,$S806,IF($D807="x",T806,IF($D806="x","",""))))</f>
        <v/>
      </c>
      <c r="U807" t="str">
        <f>IF(B807=1,MAX($U$2:$U806)+1,IF(AND($T807&lt;&gt;"",$T807=$T806),$U806,IF(B807="x",U806,"")))</f>
        <v/>
      </c>
      <c r="V807" t="str">
        <f>IF(C807=1,MAX($V$2:$V806)+1,IF(AND($T807&lt;&gt;"",$T807=$T806),$U806,IF(C807="x",V806,"")))</f>
        <v/>
      </c>
      <c r="W807" t="str" cm="1">
        <f t="array" ref="W807">IFERROR(_xlfn._xlws.FILTER(game_rosters!AB:AB,(game_rosters!J:J=events!X807)*(K807&lt;&gt;"")),"")</f>
        <v/>
      </c>
      <c r="X807" t="str" cm="1">
        <f t="array" ref="X807">IF(S807="","",IF($I807&lt;&gt;"",$I807,INDEX($I$2:$I806,ROW()-COUNTIFS($T$2:$T806,"="&amp;$T807,$S$2:$S806,"&lt;&gt;"&amp;$S807)-1)))</f>
        <v/>
      </c>
      <c r="Z807" s="6"/>
      <c r="AI807" t="str">
        <f t="shared" si="179"/>
        <v/>
      </c>
      <c r="BI807" s="40"/>
      <c r="BL807" s="40"/>
      <c r="BN807" s="19"/>
      <c r="BP807" s="17"/>
    </row>
    <row r="808" spans="1:68" x14ac:dyDescent="0.2">
      <c r="A808" t="str">
        <f t="shared" si="177"/>
        <v/>
      </c>
      <c r="E808" s="4"/>
      <c r="F808" s="45"/>
      <c r="G808" s="4"/>
      <c r="H808" s="48"/>
      <c r="J808" s="46" t="str">
        <f t="shared" si="178"/>
        <v/>
      </c>
      <c r="N808" t="str">
        <f t="shared" si="181"/>
        <v/>
      </c>
      <c r="Q808" t="str">
        <f t="shared" si="180"/>
        <v/>
      </c>
      <c r="S808" t="str">
        <f>IF(A808=1,MAX(S$2:S807)+1,IF(OR(I808&lt;&gt;"",A808="x"),S807,""))</f>
        <v/>
      </c>
      <c r="T808" t="str">
        <f>IF(D808=1,MAX($T$2:$T807)+1,IF(S808=$S807,$S807,IF($D808="x",T807,IF($D807="x","",""))))</f>
        <v/>
      </c>
      <c r="U808" t="str">
        <f>IF(B808=1,MAX($U$2:$U807)+1,IF(AND($T808&lt;&gt;"",$T808=$T807),$U807,IF(B808="x",U807,"")))</f>
        <v/>
      </c>
      <c r="V808" t="str">
        <f>IF(C808=1,MAX($V$2:$V807)+1,IF(AND($T808&lt;&gt;"",$T808=$T807),$U807,IF(C808="x",V807,"")))</f>
        <v/>
      </c>
      <c r="W808" t="str" cm="1">
        <f t="array" ref="W808">IFERROR(_xlfn._xlws.FILTER(game_rosters!AB:AB,(game_rosters!J:J=events!X808)*(K808&lt;&gt;"")),"")</f>
        <v/>
      </c>
      <c r="X808" t="str" cm="1">
        <f t="array" ref="X808">IF(S808="","",IF($I808&lt;&gt;"",$I808,INDEX($I$2:$I807,ROW()-COUNTIFS($T$2:$T807,"="&amp;$T808,$S$2:$S807,"&lt;&gt;"&amp;$S808)-1)))</f>
        <v/>
      </c>
      <c r="Z808" s="6"/>
      <c r="AI808" t="str">
        <f t="shared" si="179"/>
        <v/>
      </c>
      <c r="BI808" s="40"/>
      <c r="BL808" s="40"/>
      <c r="BN808" s="19"/>
      <c r="BP808" s="17"/>
    </row>
    <row r="809" spans="1:68" x14ac:dyDescent="0.2">
      <c r="A809" t="str">
        <f t="shared" si="177"/>
        <v/>
      </c>
      <c r="E809" s="4"/>
      <c r="F809" s="45"/>
      <c r="G809" s="4"/>
      <c r="H809" s="48"/>
      <c r="J809" s="46" t="str">
        <f t="shared" si="178"/>
        <v/>
      </c>
      <c r="N809" t="str">
        <f t="shared" si="181"/>
        <v/>
      </c>
      <c r="Q809" t="str">
        <f t="shared" si="180"/>
        <v/>
      </c>
      <c r="S809" t="str">
        <f>IF(A809=1,MAX(S$2:S808)+1,IF(OR(I809&lt;&gt;"",A809="x"),S808,""))</f>
        <v/>
      </c>
      <c r="T809" t="str">
        <f>IF(D809=1,MAX($T$2:$T808)+1,IF(S809=$S808,$S808,IF($D809="x",T808,IF($D808="x","",""))))</f>
        <v/>
      </c>
      <c r="U809" t="str">
        <f>IF(B809=1,MAX($U$2:$U808)+1,IF(AND($T809&lt;&gt;"",$T809=$T808),$U808,IF(B809="x",U808,"")))</f>
        <v/>
      </c>
      <c r="V809" t="str">
        <f>IF(C809=1,MAX($V$2:$V808)+1,IF(AND($T809&lt;&gt;"",$T809=$T808),$U808,IF(C809="x",V808,"")))</f>
        <v/>
      </c>
      <c r="W809" t="str" cm="1">
        <f t="array" ref="W809">IFERROR(_xlfn._xlws.FILTER(game_rosters!AB:AB,(game_rosters!J:J=events!X809)*(K809&lt;&gt;"")),"")</f>
        <v/>
      </c>
      <c r="X809" t="str" cm="1">
        <f t="array" ref="X809">IF(S809="","",IF($I809&lt;&gt;"",$I809,INDEX($I$2:$I808,ROW()-COUNTIFS($T$2:$T808,"="&amp;$T809,$S$2:$S808,"&lt;&gt;"&amp;$S809)-1)))</f>
        <v/>
      </c>
      <c r="Z809" s="6"/>
      <c r="AI809" t="str">
        <f t="shared" si="179"/>
        <v/>
      </c>
      <c r="BI809" s="40"/>
      <c r="BL809" s="40"/>
      <c r="BN809" s="19"/>
      <c r="BP809" s="17"/>
    </row>
    <row r="810" spans="1:68" x14ac:dyDescent="0.2">
      <c r="A810" t="str">
        <f t="shared" si="177"/>
        <v/>
      </c>
      <c r="E810" s="4"/>
      <c r="F810" s="45"/>
      <c r="G810" s="4"/>
      <c r="H810" s="48"/>
      <c r="J810" s="46" t="str">
        <f t="shared" si="178"/>
        <v/>
      </c>
      <c r="N810" t="str">
        <f t="shared" si="181"/>
        <v/>
      </c>
      <c r="Q810" t="str">
        <f t="shared" si="180"/>
        <v/>
      </c>
      <c r="S810" t="str">
        <f>IF(A810=1,MAX(S$2:S809)+1,IF(OR(I810&lt;&gt;"",A810="x"),S809,""))</f>
        <v/>
      </c>
      <c r="T810" t="str">
        <f>IF(D810=1,MAX($T$2:$T809)+1,IF(S810=$S809,$S809,IF($D810="x",T809,IF($D809="x","",""))))</f>
        <v/>
      </c>
      <c r="U810" t="str">
        <f>IF(B810=1,MAX($U$2:$U809)+1,IF(AND($T810&lt;&gt;"",$T810=$T809),$U809,IF(B810="x",U809,"")))</f>
        <v/>
      </c>
      <c r="V810" t="str">
        <f>IF(C810=1,MAX($V$2:$V809)+1,IF(AND($T810&lt;&gt;"",$T810=$T809),$U809,IF(C810="x",V809,"")))</f>
        <v/>
      </c>
      <c r="W810" t="str" cm="1">
        <f t="array" ref="W810">IFERROR(_xlfn._xlws.FILTER(game_rosters!AB:AB,(game_rosters!J:J=events!X810)*(K810&lt;&gt;"")),"")</f>
        <v/>
      </c>
      <c r="X810" t="str" cm="1">
        <f t="array" ref="X810">IF(S810="","",IF($I810&lt;&gt;"",$I810,INDEX($I$2:$I809,ROW()-COUNTIFS($T$2:$T809,"="&amp;$T810,$S$2:$S809,"&lt;&gt;"&amp;$S810)-1)))</f>
        <v/>
      </c>
      <c r="Z810" s="6"/>
      <c r="AI810" t="str">
        <f t="shared" si="179"/>
        <v/>
      </c>
      <c r="BI810" s="40"/>
      <c r="BL810" s="40"/>
      <c r="BN810" s="19"/>
      <c r="BP810" s="17"/>
    </row>
    <row r="811" spans="1:68" x14ac:dyDescent="0.2">
      <c r="A811" t="str">
        <f t="shared" si="177"/>
        <v/>
      </c>
      <c r="E811" s="4"/>
      <c r="F811" s="45"/>
      <c r="G811" s="4"/>
      <c r="H811" s="48"/>
      <c r="J811" s="46" t="str">
        <f t="shared" si="178"/>
        <v/>
      </c>
      <c r="N811" t="str">
        <f t="shared" si="181"/>
        <v/>
      </c>
      <c r="Q811" t="str">
        <f t="shared" si="180"/>
        <v/>
      </c>
      <c r="S811" t="str">
        <f>IF(A811=1,MAX(S$2:S810)+1,IF(OR(I811&lt;&gt;"",A811="x"),S810,""))</f>
        <v/>
      </c>
      <c r="T811" t="str">
        <f>IF(D811=1,MAX($T$2:$T810)+1,IF(S811=$S810,$S810,IF($D811="x",T810,IF($D810="x","",""))))</f>
        <v/>
      </c>
      <c r="U811" t="str">
        <f>IF(B811=1,MAX($U$2:$U810)+1,IF(AND($T811&lt;&gt;"",$T811=$T810),$U810,IF(B811="x",U810,"")))</f>
        <v/>
      </c>
      <c r="V811" t="str">
        <f>IF(C811=1,MAX($V$2:$V810)+1,IF(AND($T811&lt;&gt;"",$T811=$T810),$U810,IF(C811="x",V810,"")))</f>
        <v/>
      </c>
      <c r="W811" t="str" cm="1">
        <f t="array" ref="W811">IFERROR(_xlfn._xlws.FILTER(game_rosters!AB:AB,(game_rosters!J:J=events!X811)*(K811&lt;&gt;"")),"")</f>
        <v/>
      </c>
      <c r="X811" t="str" cm="1">
        <f t="array" ref="X811">IF(S811="","",IF($I811&lt;&gt;"",$I811,INDEX($I$2:$I810,ROW()-COUNTIFS($T$2:$T810,"="&amp;$T811,$S$2:$S810,"&lt;&gt;"&amp;$S811)-1)))</f>
        <v/>
      </c>
      <c r="Z811" s="6"/>
      <c r="AI811" t="str">
        <f t="shared" si="179"/>
        <v/>
      </c>
      <c r="BI811" s="40"/>
      <c r="BL811" s="40"/>
      <c r="BN811" s="19"/>
      <c r="BP811" s="17"/>
    </row>
    <row r="812" spans="1:68" x14ac:dyDescent="0.2">
      <c r="A812" t="str">
        <f t="shared" si="177"/>
        <v/>
      </c>
      <c r="E812" s="4"/>
      <c r="F812" s="45"/>
      <c r="G812" s="4"/>
      <c r="H812" s="48"/>
      <c r="J812" s="46" t="str">
        <f t="shared" si="178"/>
        <v/>
      </c>
      <c r="N812" t="str">
        <f t="shared" si="181"/>
        <v/>
      </c>
      <c r="Q812" t="str">
        <f t="shared" si="180"/>
        <v/>
      </c>
      <c r="S812" t="str">
        <f>IF(A812=1,MAX(S$2:S811)+1,IF(OR(I812&lt;&gt;"",A812="x"),S811,""))</f>
        <v/>
      </c>
      <c r="T812" t="str">
        <f>IF(D812=1,MAX($T$2:$T811)+1,IF(S812=$S811,$S811,IF($D812="x",T811,IF($D811="x","",""))))</f>
        <v/>
      </c>
      <c r="U812" t="str">
        <f>IF(B812=1,MAX($U$2:$U811)+1,IF(AND($T812&lt;&gt;"",$T812=$T811),$U811,IF(B812="x",U811,"")))</f>
        <v/>
      </c>
      <c r="V812" t="str">
        <f>IF(C812=1,MAX($V$2:$V811)+1,IF(AND($T812&lt;&gt;"",$T812=$T811),$U811,IF(C812="x",V811,"")))</f>
        <v/>
      </c>
      <c r="W812" t="str" cm="1">
        <f t="array" ref="W812">IFERROR(_xlfn._xlws.FILTER(game_rosters!AB:AB,(game_rosters!J:J=events!X812)*(K812&lt;&gt;"")),"")</f>
        <v/>
      </c>
      <c r="X812" t="str" cm="1">
        <f t="array" ref="X812">IF(S812="","",IF($I812&lt;&gt;"",$I812,INDEX($I$2:$I811,ROW()-COUNTIFS($T$2:$T811,"="&amp;$T812,$S$2:$S811,"&lt;&gt;"&amp;$S812)-1)))</f>
        <v/>
      </c>
      <c r="Z812" s="6"/>
      <c r="AI812" t="str">
        <f t="shared" si="179"/>
        <v/>
      </c>
      <c r="BI812" s="40"/>
      <c r="BL812" s="40"/>
      <c r="BN812" s="19"/>
      <c r="BP812" s="17"/>
    </row>
    <row r="813" spans="1:68" x14ac:dyDescent="0.2">
      <c r="A813" t="str">
        <f t="shared" si="177"/>
        <v/>
      </c>
      <c r="E813" s="4"/>
      <c r="F813" s="45"/>
      <c r="G813" s="4"/>
      <c r="H813" s="48"/>
      <c r="J813" s="46" t="str">
        <f t="shared" si="178"/>
        <v/>
      </c>
      <c r="N813" t="str">
        <f t="shared" si="181"/>
        <v/>
      </c>
      <c r="Q813" t="str">
        <f t="shared" si="180"/>
        <v/>
      </c>
      <c r="S813" t="str">
        <f>IF(A813=1,MAX(S$2:S812)+1,IF(OR(I813&lt;&gt;"",A813="x"),S812,""))</f>
        <v/>
      </c>
      <c r="T813" t="str">
        <f>IF(D813=1,MAX($T$2:$T812)+1,IF(S813=$S812,$S812,IF($D813="x",T812,IF($D812="x","",""))))</f>
        <v/>
      </c>
      <c r="U813" t="str">
        <f>IF(B813=1,MAX($U$2:$U812)+1,IF(AND($T813&lt;&gt;"",$T813=$T812),$U812,IF(B813="x",U812,"")))</f>
        <v/>
      </c>
      <c r="V813" t="str">
        <f>IF(C813=1,MAX($V$2:$V812)+1,IF(AND($T813&lt;&gt;"",$T813=$T812),$U812,IF(C813="x",V812,"")))</f>
        <v/>
      </c>
      <c r="W813" t="str" cm="1">
        <f t="array" ref="W813">IFERROR(_xlfn._xlws.FILTER(game_rosters!AB:AB,(game_rosters!J:J=events!X813)*(K813&lt;&gt;"")),"")</f>
        <v/>
      </c>
      <c r="X813" t="str" cm="1">
        <f t="array" ref="X813">IF(S813="","",IF($I813&lt;&gt;"",$I813,INDEX($I$2:$I812,ROW()-COUNTIFS($T$2:$T812,"="&amp;$T813,$S$2:$S812,"&lt;&gt;"&amp;$S813)-1)))</f>
        <v/>
      </c>
      <c r="Z813" s="6"/>
      <c r="AI813" t="str">
        <f t="shared" si="179"/>
        <v/>
      </c>
      <c r="BI813" s="40"/>
      <c r="BL813" s="40"/>
      <c r="BN813" s="19"/>
      <c r="BP813" s="17"/>
    </row>
    <row r="814" spans="1:68" x14ac:dyDescent="0.2">
      <c r="A814" t="str">
        <f t="shared" si="177"/>
        <v/>
      </c>
      <c r="E814" s="4"/>
      <c r="F814" s="45"/>
      <c r="G814" s="4"/>
      <c r="H814" s="48"/>
      <c r="J814" s="46" t="str">
        <f t="shared" si="178"/>
        <v/>
      </c>
      <c r="N814" t="str">
        <f t="shared" si="181"/>
        <v/>
      </c>
      <c r="Q814" t="str">
        <f t="shared" si="180"/>
        <v/>
      </c>
      <c r="S814" t="str">
        <f>IF(A814=1,MAX(S$2:S813)+1,IF(OR(I814&lt;&gt;"",A814="x"),S813,""))</f>
        <v/>
      </c>
      <c r="T814" t="str">
        <f>IF(D814=1,MAX($T$2:$T813)+1,IF(S814=$S813,$S813,IF($D814="x",T813,IF($D813="x","",""))))</f>
        <v/>
      </c>
      <c r="U814" t="str">
        <f>IF(B814=1,MAX($U$2:$U813)+1,IF(AND($T814&lt;&gt;"",$T814=$T813),$U813,IF(B814="x",U813,"")))</f>
        <v/>
      </c>
      <c r="V814" t="str">
        <f>IF(C814=1,MAX($V$2:$V813)+1,IF(AND($T814&lt;&gt;"",$T814=$T813),$U813,IF(C814="x",V813,"")))</f>
        <v/>
      </c>
      <c r="W814" t="str" cm="1">
        <f t="array" ref="W814">IFERROR(_xlfn._xlws.FILTER(game_rosters!AB:AB,(game_rosters!J:J=events!X814)*(K814&lt;&gt;"")),"")</f>
        <v/>
      </c>
      <c r="X814" t="str" cm="1">
        <f t="array" ref="X814">IF(S814="","",IF($I814&lt;&gt;"",$I814,INDEX($I$2:$I813,ROW()-COUNTIFS($T$2:$T813,"="&amp;$T814,$S$2:$S813,"&lt;&gt;"&amp;$S814)-1)))</f>
        <v/>
      </c>
      <c r="Z814" s="6"/>
      <c r="AI814" t="str">
        <f t="shared" si="179"/>
        <v/>
      </c>
      <c r="BI814" s="40"/>
      <c r="BL814" s="40"/>
      <c r="BN814" s="19"/>
      <c r="BP814" s="17"/>
    </row>
    <row r="815" spans="1:68" x14ac:dyDescent="0.2">
      <c r="A815" t="str">
        <f t="shared" si="177"/>
        <v/>
      </c>
      <c r="E815" s="4"/>
      <c r="F815" s="45"/>
      <c r="G815" s="4"/>
      <c r="H815" s="48"/>
      <c r="J815" s="46" t="str">
        <f t="shared" si="178"/>
        <v/>
      </c>
      <c r="N815" t="str">
        <f t="shared" si="181"/>
        <v/>
      </c>
      <c r="Q815" t="str">
        <f t="shared" si="180"/>
        <v/>
      </c>
      <c r="S815" t="str">
        <f>IF(A815=1,MAX(S$2:S814)+1,IF(OR(I815&lt;&gt;"",A815="x"),S814,""))</f>
        <v/>
      </c>
      <c r="T815" t="str">
        <f>IF(D815=1,MAX($T$2:$T814)+1,IF(S815=$S814,$S814,IF($D815="x",T814,IF($D814="x","",""))))</f>
        <v/>
      </c>
      <c r="U815" t="str">
        <f>IF(B815=1,MAX($U$2:$U814)+1,IF(AND($T815&lt;&gt;"",$T815=$T814),$U814,IF(B815="x",U814,"")))</f>
        <v/>
      </c>
      <c r="V815" t="str">
        <f>IF(C815=1,MAX($V$2:$V814)+1,IF(AND($T815&lt;&gt;"",$T815=$T814),$U814,IF(C815="x",V814,"")))</f>
        <v/>
      </c>
      <c r="W815" t="str" cm="1">
        <f t="array" ref="W815">IFERROR(_xlfn._xlws.FILTER(game_rosters!AB:AB,(game_rosters!J:J=events!X815)*(K815&lt;&gt;"")),"")</f>
        <v/>
      </c>
      <c r="X815" t="str" cm="1">
        <f t="array" ref="X815">IF(S815="","",IF($I815&lt;&gt;"",$I815,INDEX($I$2:$I814,ROW()-COUNTIFS($T$2:$T814,"="&amp;$T815,$S$2:$S814,"&lt;&gt;"&amp;$S815)-1)))</f>
        <v/>
      </c>
      <c r="Z815" s="6"/>
      <c r="AI815" t="str">
        <f t="shared" si="179"/>
        <v/>
      </c>
      <c r="BI815" s="40"/>
      <c r="BL815" s="40"/>
      <c r="BN815" s="19"/>
      <c r="BP815" s="17"/>
    </row>
    <row r="816" spans="1:68" x14ac:dyDescent="0.2">
      <c r="A816" t="str">
        <f t="shared" si="177"/>
        <v/>
      </c>
      <c r="E816" s="4"/>
      <c r="F816" s="45"/>
      <c r="G816" s="4"/>
      <c r="H816" s="48"/>
      <c r="J816" s="46" t="str">
        <f t="shared" si="178"/>
        <v/>
      </c>
      <c r="N816" t="str">
        <f t="shared" si="181"/>
        <v/>
      </c>
      <c r="Q816" t="str">
        <f t="shared" si="180"/>
        <v/>
      </c>
      <c r="S816" t="str">
        <f>IF(A816=1,MAX(S$2:S815)+1,IF(OR(I816&lt;&gt;"",A816="x"),S815,""))</f>
        <v/>
      </c>
      <c r="T816" t="str">
        <f>IF(D816=1,MAX($T$2:$T815)+1,IF(S816=$S815,$S815,IF($D816="x",T815,IF($D815="x","",""))))</f>
        <v/>
      </c>
      <c r="U816" t="str">
        <f>IF(B816=1,MAX($U$2:$U815)+1,IF(AND($T816&lt;&gt;"",$T816=$T815),$U815,IF(B816="x",U815,"")))</f>
        <v/>
      </c>
      <c r="V816" t="str">
        <f>IF(C816=1,MAX($V$2:$V815)+1,IF(AND($T816&lt;&gt;"",$T816=$T815),$U815,IF(C816="x",V815,"")))</f>
        <v/>
      </c>
      <c r="W816" t="str" cm="1">
        <f t="array" ref="W816">IFERROR(_xlfn._xlws.FILTER(game_rosters!AB:AB,(game_rosters!J:J=events!X816)*(K816&lt;&gt;"")),"")</f>
        <v/>
      </c>
      <c r="X816" t="str" cm="1">
        <f t="array" ref="X816">IF(S816="","",IF($I816&lt;&gt;"",$I816,INDEX($I$2:$I815,ROW()-COUNTIFS($T$2:$T815,"="&amp;$T816,$S$2:$S815,"&lt;&gt;"&amp;$S816)-1)))</f>
        <v/>
      </c>
      <c r="Z816" s="6"/>
      <c r="AI816" t="str">
        <f t="shared" si="179"/>
        <v/>
      </c>
      <c r="BI816" s="40"/>
      <c r="BL816" s="40"/>
      <c r="BN816" s="19"/>
      <c r="BP816" s="17"/>
    </row>
    <row r="817" spans="1:68" x14ac:dyDescent="0.2">
      <c r="A817" t="str">
        <f t="shared" si="177"/>
        <v/>
      </c>
      <c r="E817" s="4"/>
      <c r="F817" s="45"/>
      <c r="G817" s="4"/>
      <c r="H817" s="48"/>
      <c r="J817" s="46" t="str">
        <f t="shared" si="178"/>
        <v/>
      </c>
      <c r="N817" t="str">
        <f t="shared" si="181"/>
        <v/>
      </c>
      <c r="Q817" t="str">
        <f t="shared" si="180"/>
        <v/>
      </c>
      <c r="S817" t="str">
        <f>IF(A817=1,MAX(S$2:S816)+1,IF(OR(I817&lt;&gt;"",A817="x"),S816,""))</f>
        <v/>
      </c>
      <c r="T817" t="str">
        <f>IF(D817=1,MAX($T$2:$T816)+1,IF(S817=$S816,$S816,IF($D817="x",T816,IF($D816="x","",""))))</f>
        <v/>
      </c>
      <c r="U817" t="str">
        <f>IF(B817=1,MAX($U$2:$U816)+1,IF(AND($T817&lt;&gt;"",$T817=$T816),$U816,IF(B817="x",U816,"")))</f>
        <v/>
      </c>
      <c r="V817" t="str">
        <f>IF(C817=1,MAX($V$2:$V816)+1,IF(AND($T817&lt;&gt;"",$T817=$T816),$U816,IF(C817="x",V816,"")))</f>
        <v/>
      </c>
      <c r="W817" t="str" cm="1">
        <f t="array" ref="W817">IFERROR(_xlfn._xlws.FILTER(game_rosters!AB:AB,(game_rosters!J:J=events!X817)*(K817&lt;&gt;"")),"")</f>
        <v/>
      </c>
      <c r="X817" t="str" cm="1">
        <f t="array" ref="X817">IF(S817="","",IF($I817&lt;&gt;"",$I817,INDEX($I$2:$I816,ROW()-COUNTIFS($T$2:$T816,"="&amp;$T817,$S$2:$S816,"&lt;&gt;"&amp;$S817)-1)))</f>
        <v/>
      </c>
      <c r="Z817" s="6"/>
      <c r="AI817" t="str">
        <f t="shared" si="179"/>
        <v/>
      </c>
      <c r="BI817" s="40"/>
      <c r="BL817" s="40"/>
      <c r="BN817" s="19"/>
      <c r="BP817" s="17"/>
    </row>
    <row r="818" spans="1:68" x14ac:dyDescent="0.2">
      <c r="A818" t="str">
        <f t="shared" si="177"/>
        <v/>
      </c>
      <c r="E818" s="4"/>
      <c r="F818" s="45"/>
      <c r="G818" s="4"/>
      <c r="H818" s="48"/>
      <c r="J818" s="46" t="str">
        <f t="shared" si="178"/>
        <v/>
      </c>
      <c r="N818" t="str">
        <f t="shared" si="181"/>
        <v/>
      </c>
      <c r="Q818" t="str">
        <f t="shared" si="180"/>
        <v/>
      </c>
      <c r="S818" t="str">
        <f>IF(A818=1,MAX(S$2:S817)+1,IF(OR(I818&lt;&gt;"",A818="x"),S817,""))</f>
        <v/>
      </c>
      <c r="T818" t="str">
        <f>IF(D818=1,MAX($T$2:$T817)+1,IF(S818=$S817,$S817,IF($D818="x",T817,IF($D817="x","",""))))</f>
        <v/>
      </c>
      <c r="U818" t="str">
        <f>IF(B818=1,MAX($U$2:$U817)+1,IF(AND($T818&lt;&gt;"",$T818=$T817),$U817,IF(B818="x",U817,"")))</f>
        <v/>
      </c>
      <c r="V818" t="str">
        <f>IF(C818=1,MAX($V$2:$V817)+1,IF(AND($T818&lt;&gt;"",$T818=$T817),$U817,IF(C818="x",V817,"")))</f>
        <v/>
      </c>
      <c r="W818" t="str" cm="1">
        <f t="array" ref="W818">IFERROR(_xlfn._xlws.FILTER(game_rosters!AB:AB,(game_rosters!J:J=events!X818)*(K818&lt;&gt;"")),"")</f>
        <v/>
      </c>
      <c r="X818" t="str" cm="1">
        <f t="array" ref="X818">IF(S818="","",IF($I818&lt;&gt;"",$I818,INDEX($I$2:$I817,ROW()-COUNTIFS($T$2:$T817,"="&amp;$T818,$S$2:$S817,"&lt;&gt;"&amp;$S818)-1)))</f>
        <v/>
      </c>
      <c r="Z818" s="6"/>
      <c r="AI818" t="str">
        <f t="shared" si="179"/>
        <v/>
      </c>
      <c r="BI818" s="40"/>
      <c r="BL818" s="40"/>
      <c r="BN818" s="19"/>
      <c r="BP818" s="17"/>
    </row>
    <row r="819" spans="1:68" x14ac:dyDescent="0.2">
      <c r="A819" t="str">
        <f t="shared" si="177"/>
        <v/>
      </c>
      <c r="E819" s="4"/>
      <c r="F819" s="45"/>
      <c r="G819" s="4"/>
      <c r="H819" s="48"/>
      <c r="J819" s="46" t="str">
        <f t="shared" si="178"/>
        <v/>
      </c>
      <c r="N819" t="str">
        <f t="shared" si="181"/>
        <v/>
      </c>
      <c r="Q819" t="str">
        <f t="shared" si="180"/>
        <v/>
      </c>
      <c r="S819" t="str">
        <f>IF(A819=1,MAX(S$2:S818)+1,IF(OR(I819&lt;&gt;"",A819="x"),S818,""))</f>
        <v/>
      </c>
      <c r="T819" t="str">
        <f>IF(D819=1,MAX($T$2:$T818)+1,IF(S819=$S818,$S818,IF($D819="x",T818,IF($D818="x","",""))))</f>
        <v/>
      </c>
      <c r="U819" t="str">
        <f>IF(B819=1,MAX($U$2:$U818)+1,IF(AND($T819&lt;&gt;"",$T819=$T818),$U818,IF(B819="x",U818,"")))</f>
        <v/>
      </c>
      <c r="V819" t="str">
        <f>IF(C819=1,MAX($V$2:$V818)+1,IF(AND($T819&lt;&gt;"",$T819=$T818),$U818,IF(C819="x",V818,"")))</f>
        <v/>
      </c>
      <c r="W819" t="str" cm="1">
        <f t="array" ref="W819">IFERROR(_xlfn._xlws.FILTER(game_rosters!AB:AB,(game_rosters!J:J=events!X819)*(K819&lt;&gt;"")),"")</f>
        <v/>
      </c>
      <c r="X819" t="str" cm="1">
        <f t="array" ref="X819">IF(S819="","",IF($I819&lt;&gt;"",$I819,INDEX($I$2:$I818,ROW()-COUNTIFS($T$2:$T818,"="&amp;$T819,$S$2:$S818,"&lt;&gt;"&amp;$S819)-1)))</f>
        <v/>
      </c>
      <c r="Z819" s="6"/>
      <c r="AI819" t="str">
        <f t="shared" si="179"/>
        <v/>
      </c>
      <c r="BI819" s="40"/>
      <c r="BL819" s="40"/>
      <c r="BN819" s="19"/>
      <c r="BP819" s="17"/>
    </row>
    <row r="820" spans="1:68" x14ac:dyDescent="0.2">
      <c r="A820" t="str">
        <f t="shared" si="177"/>
        <v/>
      </c>
      <c r="E820" s="4"/>
      <c r="F820" s="45"/>
      <c r="G820" s="4"/>
      <c r="H820" s="48"/>
      <c r="J820" s="46" t="str">
        <f t="shared" si="178"/>
        <v/>
      </c>
      <c r="N820" t="str">
        <f t="shared" si="181"/>
        <v/>
      </c>
      <c r="Q820" t="str">
        <f t="shared" si="180"/>
        <v/>
      </c>
      <c r="S820" t="str">
        <f>IF(A820=1,MAX(S$2:S819)+1,IF(OR(I820&lt;&gt;"",A820="x"),S819,""))</f>
        <v/>
      </c>
      <c r="T820" t="str">
        <f>IF(D820=1,MAX($T$2:$T819)+1,IF(S820=$S819,$S819,IF($D820="x",T819,IF($D819="x","",""))))</f>
        <v/>
      </c>
      <c r="U820" t="str">
        <f>IF(B820=1,MAX($U$2:$U819)+1,IF(AND($T820&lt;&gt;"",$T820=$T819),$U819,IF(B820="x",U819,"")))</f>
        <v/>
      </c>
      <c r="V820" t="str">
        <f>IF(C820=1,MAX($V$2:$V819)+1,IF(AND($T820&lt;&gt;"",$T820=$T819),$U819,IF(C820="x",V819,"")))</f>
        <v/>
      </c>
      <c r="W820" t="str" cm="1">
        <f t="array" ref="W820">IFERROR(_xlfn._xlws.FILTER(game_rosters!AB:AB,(game_rosters!J:J=events!X820)*(K820&lt;&gt;"")),"")</f>
        <v/>
      </c>
      <c r="X820" t="str" cm="1">
        <f t="array" ref="X820">IF(S820="","",IF($I820&lt;&gt;"",$I820,INDEX($I$2:$I819,ROW()-COUNTIFS($T$2:$T819,"="&amp;$T820,$S$2:$S819,"&lt;&gt;"&amp;$S820)-1)))</f>
        <v/>
      </c>
      <c r="Z820" s="6"/>
      <c r="AI820" t="str">
        <f t="shared" si="179"/>
        <v/>
      </c>
      <c r="BI820" s="40"/>
      <c r="BL820" s="40"/>
      <c r="BN820" s="19"/>
      <c r="BP820" s="17"/>
    </row>
    <row r="821" spans="1:68" x14ac:dyDescent="0.2">
      <c r="A821" t="str">
        <f t="shared" si="177"/>
        <v/>
      </c>
      <c r="E821" s="4"/>
      <c r="F821" s="45"/>
      <c r="G821" s="4"/>
      <c r="H821" s="48"/>
      <c r="J821" s="46" t="str">
        <f t="shared" si="178"/>
        <v/>
      </c>
      <c r="N821" t="str">
        <f t="shared" si="181"/>
        <v/>
      </c>
      <c r="Q821" t="str">
        <f t="shared" si="180"/>
        <v/>
      </c>
      <c r="S821" t="str">
        <f>IF(A821=1,MAX(S$2:S820)+1,IF(OR(I821&lt;&gt;"",A821="x"),S820,""))</f>
        <v/>
      </c>
      <c r="T821" t="str">
        <f>IF(D821=1,MAX($T$2:$T820)+1,IF(S821=$S820,$S820,IF($D821="x",T820,IF($D820="x","",""))))</f>
        <v/>
      </c>
      <c r="U821" t="str">
        <f>IF(B821=1,MAX($U$2:$U820)+1,IF(AND($T821&lt;&gt;"",$T821=$T820),$U820,IF(B821="x",U820,"")))</f>
        <v/>
      </c>
      <c r="V821" t="str">
        <f>IF(C821=1,MAX($V$2:$V820)+1,IF(AND($T821&lt;&gt;"",$T821=$T820),$U820,IF(C821="x",V820,"")))</f>
        <v/>
      </c>
      <c r="W821" t="str" cm="1">
        <f t="array" ref="W821">IFERROR(_xlfn._xlws.FILTER(game_rosters!AB:AB,(game_rosters!J:J=events!X821)*(K821&lt;&gt;"")),"")</f>
        <v/>
      </c>
      <c r="X821" t="str" cm="1">
        <f t="array" ref="X821">IF(S821="","",IF($I821&lt;&gt;"",$I821,INDEX($I$2:$I820,ROW()-COUNTIFS($T$2:$T820,"="&amp;$T821,$S$2:$S820,"&lt;&gt;"&amp;$S821)-1)))</f>
        <v/>
      </c>
      <c r="Z821" s="6"/>
      <c r="AI821" t="str">
        <f t="shared" si="179"/>
        <v/>
      </c>
      <c r="BI821" s="40"/>
      <c r="BL821" s="40"/>
      <c r="BN821" s="19"/>
      <c r="BP821" s="17"/>
    </row>
    <row r="822" spans="1:68" x14ac:dyDescent="0.2">
      <c r="A822" t="str">
        <f t="shared" si="177"/>
        <v/>
      </c>
      <c r="E822" s="4"/>
      <c r="F822" s="45"/>
      <c r="G822" s="4"/>
      <c r="H822" s="48"/>
      <c r="J822" s="46" t="str">
        <f t="shared" si="178"/>
        <v/>
      </c>
      <c r="N822" t="str">
        <f t="shared" si="181"/>
        <v/>
      </c>
      <c r="Q822" t="str">
        <f t="shared" si="180"/>
        <v/>
      </c>
      <c r="S822" t="str">
        <f>IF(A822=1,MAX(S$2:S821)+1,IF(OR(I822&lt;&gt;"",A822="x"),S821,""))</f>
        <v/>
      </c>
      <c r="T822" t="str">
        <f>IF(D822=1,MAX($T$2:$T821)+1,IF(S822=$S821,$S821,IF($D822="x",T821,IF($D821="x","",""))))</f>
        <v/>
      </c>
      <c r="U822" t="str">
        <f>IF(B822=1,MAX($U$2:$U821)+1,IF(AND($T822&lt;&gt;"",$T822=$T821),$U821,IF(B822="x",U821,"")))</f>
        <v/>
      </c>
      <c r="V822" t="str">
        <f>IF(C822=1,MAX($V$2:$V821)+1,IF(AND($T822&lt;&gt;"",$T822=$T821),$U821,IF(C822="x",V821,"")))</f>
        <v/>
      </c>
      <c r="W822" t="str" cm="1">
        <f t="array" ref="W822">IFERROR(_xlfn._xlws.FILTER(game_rosters!AB:AB,(game_rosters!J:J=events!X822)*(K822&lt;&gt;"")),"")</f>
        <v/>
      </c>
      <c r="X822" t="str" cm="1">
        <f t="array" ref="X822">IF(S822="","",IF($I822&lt;&gt;"",$I822,INDEX($I$2:$I821,ROW()-COUNTIFS($T$2:$T821,"="&amp;$T822,$S$2:$S821,"&lt;&gt;"&amp;$S822)-1)))</f>
        <v/>
      </c>
      <c r="Z822" s="6"/>
      <c r="AI822" t="str">
        <f t="shared" si="179"/>
        <v/>
      </c>
      <c r="BI822" s="40"/>
      <c r="BL822" s="40"/>
      <c r="BN822" s="19"/>
      <c r="BP822" s="17"/>
    </row>
    <row r="823" spans="1:68" x14ac:dyDescent="0.2">
      <c r="A823" t="str">
        <f t="shared" si="177"/>
        <v/>
      </c>
      <c r="E823" s="4"/>
      <c r="F823" s="45"/>
      <c r="G823" s="4"/>
      <c r="H823" s="48"/>
      <c r="J823" s="46" t="str">
        <f t="shared" si="178"/>
        <v/>
      </c>
      <c r="N823" t="str">
        <f t="shared" si="181"/>
        <v/>
      </c>
      <c r="Q823" t="str">
        <f t="shared" si="180"/>
        <v/>
      </c>
      <c r="S823" t="str">
        <f>IF(A823=1,MAX(S$2:S822)+1,IF(OR(I823&lt;&gt;"",A823="x"),S822,""))</f>
        <v/>
      </c>
      <c r="T823" t="str">
        <f>IF(D823=1,MAX($T$2:$T822)+1,IF(S823=$S822,$S822,IF($D823="x",T822,IF($D822="x","",""))))</f>
        <v/>
      </c>
      <c r="U823" t="str">
        <f>IF(B823=1,MAX($U$2:$U822)+1,IF(AND($T823&lt;&gt;"",$T823=$T822),$U822,IF(B823="x",U822,"")))</f>
        <v/>
      </c>
      <c r="V823" t="str">
        <f>IF(C823=1,MAX($V$2:$V822)+1,IF(AND($T823&lt;&gt;"",$T823=$T822),$U822,IF(C823="x",V822,"")))</f>
        <v/>
      </c>
      <c r="W823" t="str" cm="1">
        <f t="array" ref="W823">IFERROR(_xlfn._xlws.FILTER(game_rosters!AB:AB,(game_rosters!J:J=events!X823)*(K823&lt;&gt;"")),"")</f>
        <v/>
      </c>
      <c r="X823" t="str" cm="1">
        <f t="array" ref="X823">IF(S823="","",IF($I823&lt;&gt;"",$I823,INDEX($I$2:$I822,ROW()-COUNTIFS($T$2:$T822,"="&amp;$T823,$S$2:$S822,"&lt;&gt;"&amp;$S823)-1)))</f>
        <v/>
      </c>
      <c r="Z823" s="6"/>
      <c r="AI823" t="str">
        <f t="shared" si="179"/>
        <v/>
      </c>
      <c r="BI823" s="40"/>
      <c r="BL823" s="40"/>
      <c r="BN823" s="19"/>
      <c r="BP823" s="17"/>
    </row>
    <row r="824" spans="1:68" x14ac:dyDescent="0.2">
      <c r="A824" t="str">
        <f t="shared" si="177"/>
        <v/>
      </c>
      <c r="E824" s="4"/>
      <c r="F824" s="45"/>
      <c r="G824" s="4"/>
      <c r="H824" s="48"/>
      <c r="J824" s="46" t="str">
        <f t="shared" si="178"/>
        <v/>
      </c>
      <c r="N824" t="str">
        <f t="shared" si="181"/>
        <v/>
      </c>
      <c r="Q824" t="str">
        <f t="shared" si="180"/>
        <v/>
      </c>
      <c r="S824" t="str">
        <f>IF(A824=1,MAX(S$2:S823)+1,IF(OR(I824&lt;&gt;"",A824="x"),S823,""))</f>
        <v/>
      </c>
      <c r="T824" t="str">
        <f>IF(D824=1,MAX($T$2:$T823)+1,IF(S824=$S823,$S823,IF($D824="x",T823,IF($D823="x","",""))))</f>
        <v/>
      </c>
      <c r="U824" t="str">
        <f>IF(B824=1,MAX($U$2:$U823)+1,IF(AND($T824&lt;&gt;"",$T824=$T823),$U823,IF(B824="x",U823,"")))</f>
        <v/>
      </c>
      <c r="V824" t="str">
        <f>IF(C824=1,MAX($V$2:$V823)+1,IF(AND($T824&lt;&gt;"",$T824=$T823),$U823,IF(C824="x",V823,"")))</f>
        <v/>
      </c>
      <c r="W824" t="str" cm="1">
        <f t="array" ref="W824">IFERROR(_xlfn._xlws.FILTER(game_rosters!AB:AB,(game_rosters!J:J=events!X824)*(K824&lt;&gt;"")),"")</f>
        <v/>
      </c>
      <c r="X824" t="str" cm="1">
        <f t="array" ref="X824">IF(S824="","",IF($I824&lt;&gt;"",$I824,INDEX($I$2:$I823,ROW()-COUNTIFS($T$2:$T823,"="&amp;$T824,$S$2:$S823,"&lt;&gt;"&amp;$S824)-1)))</f>
        <v/>
      </c>
      <c r="Z824" s="6"/>
      <c r="AI824" t="str">
        <f t="shared" si="179"/>
        <v/>
      </c>
      <c r="BI824" s="40"/>
      <c r="BL824" s="40"/>
      <c r="BN824" s="19"/>
      <c r="BP824" s="17"/>
    </row>
    <row r="825" spans="1:68" x14ac:dyDescent="0.2">
      <c r="A825" t="str">
        <f t="shared" si="177"/>
        <v/>
      </c>
      <c r="E825" s="4"/>
      <c r="F825" s="45"/>
      <c r="G825" s="4"/>
      <c r="H825" s="48"/>
      <c r="J825" s="46" t="str">
        <f t="shared" si="178"/>
        <v/>
      </c>
      <c r="N825" t="str">
        <f t="shared" si="181"/>
        <v/>
      </c>
      <c r="Q825" t="str">
        <f t="shared" si="180"/>
        <v/>
      </c>
      <c r="S825" t="str">
        <f>IF(A825=1,MAX(S$2:S824)+1,IF(OR(I825&lt;&gt;"",A825="x"),S824,""))</f>
        <v/>
      </c>
      <c r="T825" t="str">
        <f>IF(D825=1,MAX($T$2:$T824)+1,IF(S825=$S824,$S824,IF($D825="x",T824,IF($D824="x","",""))))</f>
        <v/>
      </c>
      <c r="U825" t="str">
        <f>IF(B825=1,MAX($U$2:$U824)+1,IF(AND($T825&lt;&gt;"",$T825=$T824),$U824,IF(B825="x",U824,"")))</f>
        <v/>
      </c>
      <c r="V825" t="str">
        <f>IF(C825=1,MAX($V$2:$V824)+1,IF(AND($T825&lt;&gt;"",$T825=$T824),$U824,IF(C825="x",V824,"")))</f>
        <v/>
      </c>
      <c r="W825" t="str" cm="1">
        <f t="array" ref="W825">IFERROR(_xlfn._xlws.FILTER(game_rosters!AB:AB,(game_rosters!J:J=events!X825)*(K825&lt;&gt;"")),"")</f>
        <v/>
      </c>
      <c r="X825" t="str" cm="1">
        <f t="array" ref="X825">IF(S825="","",IF($I825&lt;&gt;"",$I825,INDEX($I$2:$I824,ROW()-COUNTIFS($T$2:$T824,"="&amp;$T825,$S$2:$S824,"&lt;&gt;"&amp;$S825)-1)))</f>
        <v/>
      </c>
      <c r="Z825" s="6"/>
      <c r="AI825" t="str">
        <f t="shared" si="179"/>
        <v/>
      </c>
      <c r="BI825" s="40"/>
      <c r="BL825" s="40"/>
      <c r="BN825" s="19"/>
      <c r="BP825" s="17"/>
    </row>
    <row r="826" spans="1:68" x14ac:dyDescent="0.2">
      <c r="A826" t="str">
        <f t="shared" si="177"/>
        <v/>
      </c>
      <c r="E826" s="4"/>
      <c r="F826" s="45"/>
      <c r="G826" s="4"/>
      <c r="H826" s="48"/>
      <c r="J826" s="46" t="str">
        <f t="shared" si="178"/>
        <v/>
      </c>
      <c r="N826" t="str">
        <f t="shared" si="181"/>
        <v/>
      </c>
      <c r="Q826" t="str">
        <f t="shared" si="180"/>
        <v/>
      </c>
      <c r="S826" t="str">
        <f>IF(A826=1,MAX(S$2:S825)+1,IF(OR(I826&lt;&gt;"",A826="x"),S825,""))</f>
        <v/>
      </c>
      <c r="T826" t="str">
        <f>IF(D826=1,MAX($T$2:$T825)+1,IF(S826=$S825,$S825,IF($D826="x",T825,IF($D825="x","",""))))</f>
        <v/>
      </c>
      <c r="U826" t="str">
        <f>IF(B826=1,MAX($U$2:$U825)+1,IF(AND($T826&lt;&gt;"",$T826=$T825),$U825,IF(B826="x",U825,"")))</f>
        <v/>
      </c>
      <c r="V826" t="str">
        <f>IF(C826=1,MAX($V$2:$V825)+1,IF(AND($T826&lt;&gt;"",$T826=$T825),$U825,IF(C826="x",V825,"")))</f>
        <v/>
      </c>
      <c r="W826" t="str" cm="1">
        <f t="array" ref="W826">IFERROR(_xlfn._xlws.FILTER(game_rosters!AB:AB,(game_rosters!J:J=events!X826)*(K826&lt;&gt;"")),"")</f>
        <v/>
      </c>
      <c r="X826" t="str" cm="1">
        <f t="array" ref="X826">IF(S826="","",IF($I826&lt;&gt;"",$I826,INDEX($I$2:$I825,ROW()-COUNTIFS($T$2:$T825,"="&amp;$T826,$S$2:$S825,"&lt;&gt;"&amp;$S826)-1)))</f>
        <v/>
      </c>
      <c r="Z826" s="6"/>
      <c r="AI826" t="str">
        <f t="shared" si="179"/>
        <v/>
      </c>
      <c r="BI826" s="40"/>
      <c r="BL826" s="40"/>
      <c r="BN826" s="19"/>
      <c r="BP826" s="17"/>
    </row>
    <row r="827" spans="1:68" x14ac:dyDescent="0.2">
      <c r="A827" t="str">
        <f t="shared" si="177"/>
        <v/>
      </c>
      <c r="E827" s="4"/>
      <c r="F827" s="45"/>
      <c r="G827" s="4"/>
      <c r="H827" s="48"/>
      <c r="J827" s="46" t="str">
        <f t="shared" si="178"/>
        <v/>
      </c>
      <c r="N827" t="str">
        <f t="shared" si="181"/>
        <v/>
      </c>
      <c r="Q827" t="str">
        <f t="shared" si="180"/>
        <v/>
      </c>
      <c r="S827" t="str">
        <f>IF(A827=1,MAX(S$2:S826)+1,IF(OR(I827&lt;&gt;"",A827="x"),S826,""))</f>
        <v/>
      </c>
      <c r="T827" t="str">
        <f>IF(D827=1,MAX($T$2:$T826)+1,IF(S827=$S826,$S826,IF($D827="x",T826,IF($D826="x","",""))))</f>
        <v/>
      </c>
      <c r="U827" t="str">
        <f>IF(B827=1,MAX($U$2:$U826)+1,IF(AND($T827&lt;&gt;"",$T827=$T826),$U826,IF(B827="x",U826,"")))</f>
        <v/>
      </c>
      <c r="V827" t="str">
        <f>IF(C827=1,MAX($V$2:$V826)+1,IF(AND($T827&lt;&gt;"",$T827=$T826),$U826,IF(C827="x",V826,"")))</f>
        <v/>
      </c>
      <c r="W827" t="str" cm="1">
        <f t="array" ref="W827">IFERROR(_xlfn._xlws.FILTER(game_rosters!AB:AB,(game_rosters!J:J=events!X827)*(K827&lt;&gt;"")),"")</f>
        <v/>
      </c>
      <c r="X827" t="str" cm="1">
        <f t="array" ref="X827">IF(S827="","",IF($I827&lt;&gt;"",$I827,INDEX($I$2:$I826,ROW()-COUNTIFS($T$2:$T826,"="&amp;$T827,$S$2:$S826,"&lt;&gt;"&amp;$S827)-1)))</f>
        <v/>
      </c>
      <c r="Z827" s="6"/>
      <c r="AI827" t="str">
        <f t="shared" si="179"/>
        <v/>
      </c>
      <c r="BI827" s="40"/>
      <c r="BL827" s="40"/>
      <c r="BN827" s="19"/>
      <c r="BP827" s="17"/>
    </row>
    <row r="828" spans="1:68" x14ac:dyDescent="0.2">
      <c r="A828" t="str">
        <f t="shared" si="177"/>
        <v/>
      </c>
      <c r="E828" s="4"/>
      <c r="F828" s="45"/>
      <c r="G828" s="4"/>
      <c r="H828" s="48"/>
      <c r="J828" s="46" t="str">
        <f t="shared" si="178"/>
        <v/>
      </c>
      <c r="N828" t="str">
        <f t="shared" si="181"/>
        <v/>
      </c>
      <c r="Q828" t="str">
        <f t="shared" si="180"/>
        <v/>
      </c>
      <c r="S828" t="str">
        <f>IF(A828=1,MAX(S$2:S827)+1,IF(OR(I828&lt;&gt;"",A828="x"),S827,""))</f>
        <v/>
      </c>
      <c r="T828" t="str">
        <f>IF(D828=1,MAX($T$2:$T827)+1,IF(S828=$S827,$S827,IF($D828="x",T827,IF($D827="x","",""))))</f>
        <v/>
      </c>
      <c r="U828" t="str">
        <f>IF(B828=1,MAX($U$2:$U827)+1,IF(AND($T828&lt;&gt;"",$T828=$T827),$U827,IF(B828="x",U827,"")))</f>
        <v/>
      </c>
      <c r="V828" t="str">
        <f>IF(C828=1,MAX($V$2:$V827)+1,IF(AND($T828&lt;&gt;"",$T828=$T827),$U827,IF(C828="x",V827,"")))</f>
        <v/>
      </c>
      <c r="W828" t="str" cm="1">
        <f t="array" ref="W828">IFERROR(_xlfn._xlws.FILTER(game_rosters!AB:AB,(game_rosters!J:J=events!X828)*(K828&lt;&gt;"")),"")</f>
        <v/>
      </c>
      <c r="X828" t="str" cm="1">
        <f t="array" ref="X828">IF(S828="","",IF($I828&lt;&gt;"",$I828,INDEX($I$2:$I827,ROW()-COUNTIFS($T$2:$T827,"="&amp;$T828,$S$2:$S827,"&lt;&gt;"&amp;$S828)-1)))</f>
        <v/>
      </c>
      <c r="Z828" s="6"/>
      <c r="AI828" t="str">
        <f t="shared" si="179"/>
        <v/>
      </c>
      <c r="BI828" s="40"/>
      <c r="BL828" s="40"/>
      <c r="BN828" s="19"/>
      <c r="BP828" s="17"/>
    </row>
    <row r="829" spans="1:68" x14ac:dyDescent="0.2">
      <c r="A829" t="str">
        <f t="shared" si="177"/>
        <v/>
      </c>
      <c r="E829" s="4"/>
      <c r="F829" s="45"/>
      <c r="G829" s="4"/>
      <c r="H829" s="48"/>
      <c r="J829" s="46" t="str">
        <f t="shared" si="178"/>
        <v/>
      </c>
      <c r="N829" t="str">
        <f t="shared" si="181"/>
        <v/>
      </c>
      <c r="Q829" t="str">
        <f t="shared" si="180"/>
        <v/>
      </c>
      <c r="S829" t="str">
        <f>IF(A829=1,MAX(S$2:S828)+1,IF(OR(I829&lt;&gt;"",A829="x"),S828,""))</f>
        <v/>
      </c>
      <c r="T829" t="str">
        <f>IF(D829=1,MAX($T$2:$T828)+1,IF(S829=$S828,$S828,IF($D829="x",T828,IF($D828="x","",""))))</f>
        <v/>
      </c>
      <c r="U829" t="str">
        <f>IF(B829=1,MAX($U$2:$U828)+1,IF(AND($T829&lt;&gt;"",$T829=$T828),$U828,IF(B829="x",U828,"")))</f>
        <v/>
      </c>
      <c r="V829" t="str">
        <f>IF(C829=1,MAX($V$2:$V828)+1,IF(AND($T829&lt;&gt;"",$T829=$T828),$U828,IF(C829="x",V828,"")))</f>
        <v/>
      </c>
      <c r="W829" t="str" cm="1">
        <f t="array" ref="W829">IFERROR(_xlfn._xlws.FILTER(game_rosters!AB:AB,(game_rosters!J:J=events!X829)*(K829&lt;&gt;"")),"")</f>
        <v/>
      </c>
      <c r="X829" t="str" cm="1">
        <f t="array" ref="X829">IF(S829="","",IF($I829&lt;&gt;"",$I829,INDEX($I$2:$I828,ROW()-COUNTIFS($T$2:$T828,"="&amp;$T829,$S$2:$S828,"&lt;&gt;"&amp;$S829)-1)))</f>
        <v/>
      </c>
      <c r="Z829" s="6"/>
      <c r="AI829" t="str">
        <f t="shared" si="179"/>
        <v/>
      </c>
      <c r="BI829" s="40"/>
      <c r="BL829" s="40"/>
      <c r="BN829" s="19"/>
      <c r="BP829" s="17"/>
    </row>
    <row r="830" spans="1:68" x14ac:dyDescent="0.2">
      <c r="A830" t="str">
        <f t="shared" si="177"/>
        <v/>
      </c>
      <c r="E830" s="4"/>
      <c r="F830" s="45"/>
      <c r="G830" s="4"/>
      <c r="H830" s="48"/>
      <c r="J830" s="46" t="str">
        <f t="shared" si="178"/>
        <v/>
      </c>
      <c r="N830" t="str">
        <f t="shared" si="181"/>
        <v/>
      </c>
      <c r="Q830" t="str">
        <f t="shared" si="180"/>
        <v/>
      </c>
      <c r="S830" t="str">
        <f>IF(A830=1,MAX(S$2:S829)+1,IF(OR(I830&lt;&gt;"",A830="x"),S829,""))</f>
        <v/>
      </c>
      <c r="T830" t="str">
        <f>IF(D830=1,MAX($T$2:$T829)+1,IF(S830=$S829,$S829,IF($D830="x",T829,IF($D829="x","",""))))</f>
        <v/>
      </c>
      <c r="U830" t="str">
        <f>IF(B830=1,MAX($U$2:$U829)+1,IF(AND($T830&lt;&gt;"",$T830=$T829),$U829,IF(B830="x",U829,"")))</f>
        <v/>
      </c>
      <c r="V830" t="str">
        <f>IF(C830=1,MAX($V$2:$V829)+1,IF(AND($T830&lt;&gt;"",$T830=$T829),$U829,IF(C830="x",V829,"")))</f>
        <v/>
      </c>
      <c r="W830" t="str" cm="1">
        <f t="array" ref="W830">IFERROR(_xlfn._xlws.FILTER(game_rosters!AB:AB,(game_rosters!J:J=events!X830)*(K830&lt;&gt;"")),"")</f>
        <v/>
      </c>
      <c r="X830" t="str" cm="1">
        <f t="array" ref="X830">IF(S830="","",IF($I830&lt;&gt;"",$I830,INDEX($I$2:$I829,ROW()-COUNTIFS($T$2:$T829,"="&amp;$T830,$S$2:$S829,"&lt;&gt;"&amp;$S830)-1)))</f>
        <v/>
      </c>
      <c r="Z830" s="6"/>
      <c r="AI830" t="str">
        <f t="shared" si="179"/>
        <v/>
      </c>
      <c r="BI830" s="40"/>
      <c r="BL830" s="40"/>
      <c r="BN830" s="19"/>
      <c r="BP830" s="17"/>
    </row>
    <row r="831" spans="1:68" x14ac:dyDescent="0.2">
      <c r="A831" t="str">
        <f t="shared" si="177"/>
        <v/>
      </c>
      <c r="E831" s="4"/>
      <c r="F831" s="45"/>
      <c r="G831" s="4"/>
      <c r="H831" s="48"/>
      <c r="J831" s="46" t="str">
        <f t="shared" si="178"/>
        <v/>
      </c>
      <c r="N831" t="str">
        <f t="shared" si="181"/>
        <v/>
      </c>
      <c r="Q831" t="str">
        <f t="shared" si="180"/>
        <v/>
      </c>
      <c r="S831" t="str">
        <f>IF(A831=1,MAX(S$2:S830)+1,IF(OR(I831&lt;&gt;"",A831="x"),S830,""))</f>
        <v/>
      </c>
      <c r="T831" t="str">
        <f>IF(D831=1,MAX($T$2:$T830)+1,IF(S831=$S830,$S830,IF($D831="x",T830,IF($D830="x","",""))))</f>
        <v/>
      </c>
      <c r="U831" t="str">
        <f>IF(B831=1,MAX($U$2:$U830)+1,IF(AND($T831&lt;&gt;"",$T831=$T830),$U830,IF(B831="x",U830,"")))</f>
        <v/>
      </c>
      <c r="V831" t="str">
        <f>IF(C831=1,MAX($V$2:$V830)+1,IF(AND($T831&lt;&gt;"",$T831=$T830),$U830,IF(C831="x",V830,"")))</f>
        <v/>
      </c>
      <c r="W831" t="str" cm="1">
        <f t="array" ref="W831">IFERROR(_xlfn._xlws.FILTER(game_rosters!AB:AB,(game_rosters!J:J=events!X831)*(K831&lt;&gt;"")),"")</f>
        <v/>
      </c>
      <c r="X831" t="str" cm="1">
        <f t="array" ref="X831">IF(S831="","",IF($I831&lt;&gt;"",$I831,INDEX($I$2:$I830,ROW()-COUNTIFS($T$2:$T830,"="&amp;$T831,$S$2:$S830,"&lt;&gt;"&amp;$S831)-1)))</f>
        <v/>
      </c>
      <c r="Z831" s="6"/>
      <c r="AI831" t="str">
        <f t="shared" si="179"/>
        <v/>
      </c>
      <c r="BI831" s="40"/>
      <c r="BL831" s="40"/>
      <c r="BN831" s="19"/>
      <c r="BP831" s="17"/>
    </row>
    <row r="832" spans="1:68" x14ac:dyDescent="0.2">
      <c r="A832" t="str">
        <f t="shared" si="177"/>
        <v/>
      </c>
      <c r="E832" s="4"/>
      <c r="F832" s="45"/>
      <c r="G832" s="4"/>
      <c r="H832" s="48"/>
      <c r="J832" s="46" t="str">
        <f t="shared" si="178"/>
        <v/>
      </c>
      <c r="N832" t="str">
        <f t="shared" si="181"/>
        <v/>
      </c>
      <c r="Q832" t="str">
        <f t="shared" si="180"/>
        <v/>
      </c>
      <c r="S832" t="str">
        <f>IF(A832=1,MAX(S$2:S831)+1,IF(OR(I832&lt;&gt;"",A832="x"),S831,""))</f>
        <v/>
      </c>
      <c r="T832" t="str">
        <f>IF(D832=1,MAX($T$2:$T831)+1,IF(S832=$S831,$S831,IF($D832="x",T831,IF($D831="x","",""))))</f>
        <v/>
      </c>
      <c r="U832" t="str">
        <f>IF(B832=1,MAX($U$2:$U831)+1,IF(AND($T832&lt;&gt;"",$T832=$T831),$U831,IF(B832="x",U831,"")))</f>
        <v/>
      </c>
      <c r="V832" t="str">
        <f>IF(C832=1,MAX($V$2:$V831)+1,IF(AND($T832&lt;&gt;"",$T832=$T831),$U831,IF(C832="x",V831,"")))</f>
        <v/>
      </c>
      <c r="W832" t="str" cm="1">
        <f t="array" ref="W832">IFERROR(_xlfn._xlws.FILTER(game_rosters!AB:AB,(game_rosters!J:J=events!X832)*(K832&lt;&gt;"")),"")</f>
        <v/>
      </c>
      <c r="X832" t="str" cm="1">
        <f t="array" ref="X832">IF(S832="","",IF($I832&lt;&gt;"",$I832,INDEX($I$2:$I831,ROW()-COUNTIFS($T$2:$T831,"="&amp;$T832,$S$2:$S831,"&lt;&gt;"&amp;$S832)-1)))</f>
        <v/>
      </c>
      <c r="Z832" s="6"/>
      <c r="AI832" t="str">
        <f t="shared" si="179"/>
        <v/>
      </c>
      <c r="BI832" s="40"/>
      <c r="BL832" s="40"/>
      <c r="BN832" s="19"/>
      <c r="BP832" s="17"/>
    </row>
    <row r="833" spans="1:68" x14ac:dyDescent="0.2">
      <c r="A833" t="str">
        <f t="shared" si="177"/>
        <v/>
      </c>
      <c r="E833" s="4"/>
      <c r="F833" s="45"/>
      <c r="G833" s="4"/>
      <c r="H833" s="48"/>
      <c r="J833" s="46" t="str">
        <f t="shared" si="178"/>
        <v/>
      </c>
      <c r="N833" t="str">
        <f t="shared" si="181"/>
        <v/>
      </c>
      <c r="Q833" t="str">
        <f t="shared" si="180"/>
        <v/>
      </c>
      <c r="S833" t="str">
        <f>IF(A833=1,MAX(S$2:S832)+1,IF(OR(I833&lt;&gt;"",A833="x"),S832,""))</f>
        <v/>
      </c>
      <c r="T833" t="str">
        <f>IF(D833=1,MAX($T$2:$T832)+1,IF(S833=$S832,$S832,IF($D833="x",T832,IF($D832="x","",""))))</f>
        <v/>
      </c>
      <c r="U833" t="str">
        <f>IF(B833=1,MAX($U$2:$U832)+1,IF(AND($T833&lt;&gt;"",$T833=$T832),$U832,IF(B833="x",U832,"")))</f>
        <v/>
      </c>
      <c r="V833" t="str">
        <f>IF(C833=1,MAX($V$2:$V832)+1,IF(AND($T833&lt;&gt;"",$T833=$T832),$U832,IF(C833="x",V832,"")))</f>
        <v/>
      </c>
      <c r="W833" t="str" cm="1">
        <f t="array" ref="W833">IFERROR(_xlfn._xlws.FILTER(game_rosters!AB:AB,(game_rosters!J:J=events!X833)*(K833&lt;&gt;"")),"")</f>
        <v/>
      </c>
      <c r="X833" t="str" cm="1">
        <f t="array" ref="X833">IF(S833="","",IF($I833&lt;&gt;"",$I833,INDEX($I$2:$I832,ROW()-COUNTIFS($T$2:$T832,"="&amp;$T833,$S$2:$S832,"&lt;&gt;"&amp;$S833)-1)))</f>
        <v/>
      </c>
      <c r="Z833" s="6"/>
      <c r="AI833" t="str">
        <f t="shared" si="179"/>
        <v/>
      </c>
      <c r="BI833" s="40"/>
      <c r="BL833" s="40"/>
      <c r="BN833" s="19"/>
      <c r="BP833" s="17"/>
    </row>
    <row r="834" spans="1:68" x14ac:dyDescent="0.2">
      <c r="A834" t="str">
        <f t="shared" si="177"/>
        <v/>
      </c>
      <c r="E834" s="4"/>
      <c r="F834" s="45"/>
      <c r="G834" s="4"/>
      <c r="H834" s="48"/>
      <c r="J834" s="46" t="str">
        <f t="shared" si="178"/>
        <v/>
      </c>
      <c r="N834" t="str">
        <f t="shared" si="181"/>
        <v/>
      </c>
      <c r="Q834" t="str">
        <f t="shared" si="180"/>
        <v/>
      </c>
      <c r="S834" t="str">
        <f>IF(A834=1,MAX(S$2:S833)+1,IF(OR(I834&lt;&gt;"",A834="x"),S833,""))</f>
        <v/>
      </c>
      <c r="T834" t="str">
        <f>IF(D834=1,MAX($T$2:$T833)+1,IF(S834=$S833,$S833,IF($D834="x",T833,IF($D833="x","",""))))</f>
        <v/>
      </c>
      <c r="U834" t="str">
        <f>IF(B834=1,MAX($U$2:$U833)+1,IF(AND($T834&lt;&gt;"",$T834=$T833),$U833,IF(B834="x",U833,"")))</f>
        <v/>
      </c>
      <c r="V834" t="str">
        <f>IF(C834=1,MAX($V$2:$V833)+1,IF(AND($T834&lt;&gt;"",$T834=$T833),$U833,IF(C834="x",V833,"")))</f>
        <v/>
      </c>
      <c r="W834" t="str" cm="1">
        <f t="array" ref="W834">IFERROR(_xlfn._xlws.FILTER(game_rosters!AB:AB,(game_rosters!J:J=events!X834)*(K834&lt;&gt;"")),"")</f>
        <v/>
      </c>
      <c r="X834" t="str" cm="1">
        <f t="array" ref="X834">IF(S834="","",IF($I834&lt;&gt;"",$I834,INDEX($I$2:$I833,ROW()-COUNTIFS($T$2:$T833,"="&amp;$T834,$S$2:$S833,"&lt;&gt;"&amp;$S834)-1)))</f>
        <v/>
      </c>
      <c r="Z834" s="6"/>
      <c r="AI834" t="str">
        <f t="shared" si="179"/>
        <v/>
      </c>
      <c r="BI834" s="40"/>
      <c r="BL834" s="40"/>
      <c r="BN834" s="19"/>
      <c r="BP834" s="17"/>
    </row>
    <row r="835" spans="1:68" x14ac:dyDescent="0.2">
      <c r="A835" t="str">
        <f t="shared" si="177"/>
        <v/>
      </c>
      <c r="E835" s="4"/>
      <c r="F835" s="45"/>
      <c r="G835" s="4"/>
      <c r="H835" s="48"/>
      <c r="J835" s="46" t="str">
        <f t="shared" si="178"/>
        <v/>
      </c>
      <c r="N835" t="str">
        <f t="shared" si="181"/>
        <v/>
      </c>
      <c r="Q835" t="str">
        <f t="shared" si="180"/>
        <v/>
      </c>
      <c r="S835" t="str">
        <f>IF(A835=1,MAX(S$2:S834)+1,IF(OR(I835&lt;&gt;"",A835="x"),S834,""))</f>
        <v/>
      </c>
      <c r="T835" t="str">
        <f>IF(D835=1,MAX($T$2:$T834)+1,IF(S835=$S834,$S834,IF($D835="x",T834,IF($D834="x","",""))))</f>
        <v/>
      </c>
      <c r="U835" t="str">
        <f>IF(B835=1,MAX($U$2:$U834)+1,IF(AND($T835&lt;&gt;"",$T835=$T834),$U834,IF(B835="x",U834,"")))</f>
        <v/>
      </c>
      <c r="V835" t="str">
        <f>IF(C835=1,MAX($V$2:$V834)+1,IF(AND($T835&lt;&gt;"",$T835=$T834),$U834,IF(C835="x",V834,"")))</f>
        <v/>
      </c>
      <c r="W835" t="str" cm="1">
        <f t="array" ref="W835">IFERROR(_xlfn._xlws.FILTER(game_rosters!AB:AB,(game_rosters!J:J=events!X835)*(K835&lt;&gt;"")),"")</f>
        <v/>
      </c>
      <c r="X835" t="str" cm="1">
        <f t="array" ref="X835">IF(S835="","",IF($I835&lt;&gt;"",$I835,INDEX($I$2:$I834,ROW()-COUNTIFS($T$2:$T834,"="&amp;$T835,$S$2:$S834,"&lt;&gt;"&amp;$S835)-1)))</f>
        <v/>
      </c>
      <c r="Z835" s="6"/>
      <c r="AI835" t="str">
        <f t="shared" si="179"/>
        <v/>
      </c>
      <c r="BI835" s="40"/>
      <c r="BL835" s="40"/>
      <c r="BN835" s="19"/>
      <c r="BP835" s="17"/>
    </row>
    <row r="836" spans="1:68" x14ac:dyDescent="0.2">
      <c r="A836" t="str">
        <f t="shared" si="177"/>
        <v/>
      </c>
      <c r="E836" s="4"/>
      <c r="F836" s="45"/>
      <c r="G836" s="4"/>
      <c r="H836" s="48"/>
      <c r="J836" s="46" t="str">
        <f t="shared" si="178"/>
        <v/>
      </c>
      <c r="N836" t="str">
        <f t="shared" si="181"/>
        <v/>
      </c>
      <c r="Q836" t="str">
        <f t="shared" si="180"/>
        <v/>
      </c>
      <c r="S836" t="str">
        <f>IF(A836=1,MAX(S$2:S835)+1,IF(OR(I836&lt;&gt;"",A836="x"),S835,""))</f>
        <v/>
      </c>
      <c r="T836" t="str">
        <f>IF(D836=1,MAX($T$2:$T835)+1,IF(S836=$S835,$S835,IF($D836="x",T835,IF($D835="x","",""))))</f>
        <v/>
      </c>
      <c r="U836" t="str">
        <f>IF(B836=1,MAX($U$2:$U835)+1,IF(AND($T836&lt;&gt;"",$T836=$T835),$U835,IF(B836="x",U835,"")))</f>
        <v/>
      </c>
      <c r="V836" t="str">
        <f>IF(C836=1,MAX($V$2:$V835)+1,IF(AND($T836&lt;&gt;"",$T836=$T835),$U835,IF(C836="x",V835,"")))</f>
        <v/>
      </c>
      <c r="W836" t="str" cm="1">
        <f t="array" ref="W836">IFERROR(_xlfn._xlws.FILTER(game_rosters!AB:AB,(game_rosters!J:J=events!X836)*(K836&lt;&gt;"")),"")</f>
        <v/>
      </c>
      <c r="X836" t="str" cm="1">
        <f t="array" ref="X836">IF(S836="","",IF($I836&lt;&gt;"",$I836,INDEX($I$2:$I835,ROW()-COUNTIFS($T$2:$T835,"="&amp;$T836,$S$2:$S835,"&lt;&gt;"&amp;$S836)-1)))</f>
        <v/>
      </c>
      <c r="Z836" s="6"/>
      <c r="AI836" t="str">
        <f t="shared" si="179"/>
        <v/>
      </c>
      <c r="BI836" s="40"/>
      <c r="BL836" s="40"/>
      <c r="BN836" s="19"/>
      <c r="BP836" s="17"/>
    </row>
    <row r="837" spans="1:68" x14ac:dyDescent="0.2">
      <c r="A837" t="str">
        <f t="shared" ref="A837:A850" si="182">IF(K837&lt;&gt;"",1,IF(D837="x","x",""))</f>
        <v/>
      </c>
      <c r="E837" s="4"/>
      <c r="F837" s="45"/>
      <c r="G837" s="4"/>
      <c r="H837" s="48"/>
      <c r="J837" s="46" t="str">
        <f t="shared" si="178"/>
        <v/>
      </c>
      <c r="N837" t="str">
        <f t="shared" si="181"/>
        <v/>
      </c>
      <c r="Q837" t="str">
        <f t="shared" si="180"/>
        <v/>
      </c>
      <c r="S837" t="str">
        <f>IF(A837=1,MAX(S$2:S836)+1,IF(OR(I837&lt;&gt;"",A837="x"),S836,""))</f>
        <v/>
      </c>
      <c r="T837" t="str">
        <f>IF(D837=1,MAX($T$2:$T836)+1,IF(S837=$S836,$S836,IF($D837="x",T836,IF($D836="x","",""))))</f>
        <v/>
      </c>
      <c r="U837" t="str">
        <f>IF(B837=1,MAX($U$2:$U836)+1,IF(AND($T837&lt;&gt;"",$T837=$T836),$U836,IF(B837="x",U836,"")))</f>
        <v/>
      </c>
      <c r="V837" t="str">
        <f>IF(C837=1,MAX($V$2:$V836)+1,IF(AND($T837&lt;&gt;"",$T837=$T836),$U836,IF(C837="x",V836,"")))</f>
        <v/>
      </c>
      <c r="W837" t="str" cm="1">
        <f t="array" ref="W837">IFERROR(_xlfn._xlws.FILTER(game_rosters!AB:AB,(game_rosters!J:J=events!X837)*(K837&lt;&gt;"")),"")</f>
        <v/>
      </c>
      <c r="X837" t="str" cm="1">
        <f t="array" ref="X837">IF(S837="","",IF($I837&lt;&gt;"",$I837,INDEX($I$2:$I836,ROW()-COUNTIFS($T$2:$T836,"="&amp;$T837,$S$2:$S836,"&lt;&gt;"&amp;$S837)-1)))</f>
        <v/>
      </c>
      <c r="Z837" s="6"/>
      <c r="AI837" t="str">
        <f t="shared" si="179"/>
        <v/>
      </c>
      <c r="BI837" s="40"/>
      <c r="BL837" s="40"/>
      <c r="BN837" s="19"/>
      <c r="BP837" s="17"/>
    </row>
    <row r="838" spans="1:68" x14ac:dyDescent="0.2">
      <c r="A838" t="str">
        <f t="shared" si="182"/>
        <v/>
      </c>
      <c r="E838" s="4"/>
      <c r="F838" s="45"/>
      <c r="G838" s="4"/>
      <c r="H838" s="48"/>
      <c r="J838" s="46" t="str">
        <f t="shared" ref="J838:J860" si="183">IF(OR(K838="Goal",K838="Shot",L838="Zone_Entry",M838="Stoppage-Goal",M837="Stoppage-Goal"),"o",IF(OR(K838="Save",K838="Rebound",L838="Zone_Exit",M838="Stoppage-GoalieStoppage",M837="Stoppage-GoalieStoppage"),"d",IF(OR(L838="Faceoff_AfterGoal",L838="Faceoff_PeriodStart",698="Faceoff_GameStart",M837="Stoppage-Goal"),"n","")))</f>
        <v/>
      </c>
      <c r="N838" t="str">
        <f t="shared" si="181"/>
        <v/>
      </c>
      <c r="Q838" t="str">
        <f t="shared" si="180"/>
        <v/>
      </c>
      <c r="S838" t="str">
        <f>IF(A838=1,MAX(S$2:S837)+1,IF(OR(I838&lt;&gt;"",A838="x"),S837,""))</f>
        <v/>
      </c>
      <c r="T838" t="str">
        <f>IF(D838=1,MAX($T$2:$T837)+1,IF(S838=$S837,$S837,IF($D838="x",T837,IF($D837="x","",""))))</f>
        <v/>
      </c>
      <c r="U838" t="str">
        <f>IF(B838=1,MAX($U$2:$U837)+1,IF(AND($T838&lt;&gt;"",$T838=$T837),$U837,IF(B838="x",U837,"")))</f>
        <v/>
      </c>
      <c r="V838" t="str">
        <f>IF(C838=1,MAX($V$2:$V837)+1,IF(AND($T838&lt;&gt;"",$T838=$T837),$U837,IF(C838="x",V837,"")))</f>
        <v/>
      </c>
      <c r="W838" t="str" cm="1">
        <f t="array" ref="W838">IFERROR(_xlfn._xlws.FILTER(game_rosters!AB:AB,(game_rosters!J:J=events!X838)*(K838&lt;&gt;"")),"")</f>
        <v/>
      </c>
      <c r="X838" t="str" cm="1">
        <f t="array" ref="X838">IF(S838="","",IF($I838&lt;&gt;"",$I838,INDEX($I$2:$I837,ROW()-COUNTIFS($T$2:$T837,"="&amp;$T838,$S$2:$S837,"&lt;&gt;"&amp;$S838)-1)))</f>
        <v/>
      </c>
      <c r="Z838" s="6"/>
      <c r="AI838" t="str">
        <f t="shared" ref="AI838:AI860" si="184">IF($J838&lt;&gt;"",$J838,IF($AC838=$AC837,AI837,""))</f>
        <v/>
      </c>
      <c r="BI838" s="40"/>
      <c r="BL838" s="40"/>
      <c r="BN838" s="19"/>
      <c r="BP838" s="17"/>
    </row>
    <row r="839" spans="1:68" x14ac:dyDescent="0.2">
      <c r="A839" t="str">
        <f t="shared" si="182"/>
        <v/>
      </c>
      <c r="E839" s="4"/>
      <c r="F839" s="45"/>
      <c r="G839" s="4"/>
      <c r="H839" s="48"/>
      <c r="J839" s="46" t="str">
        <f t="shared" si="183"/>
        <v/>
      </c>
      <c r="N839" t="str">
        <f t="shared" si="181"/>
        <v/>
      </c>
      <c r="Q839" t="str">
        <f t="shared" si="180"/>
        <v/>
      </c>
      <c r="S839" t="str">
        <f>IF(A839=1,MAX(S$2:S838)+1,IF(OR(I839&lt;&gt;"",A839="x"),S838,""))</f>
        <v/>
      </c>
      <c r="T839" t="str">
        <f>IF(D839=1,MAX($T$2:$T838)+1,IF(S839=$S838,$S838,IF($D839="x",T838,IF($D838="x","",""))))</f>
        <v/>
      </c>
      <c r="U839" t="str">
        <f>IF(B839=1,MAX($U$2:$U838)+1,IF(AND($T839&lt;&gt;"",$T839=$T838),$U838,IF(B839="x",U838,"")))</f>
        <v/>
      </c>
      <c r="V839" t="str">
        <f>IF(C839=1,MAX($V$2:$V838)+1,IF(AND($T839&lt;&gt;"",$T839=$T838),$U838,IF(C839="x",V838,"")))</f>
        <v/>
      </c>
      <c r="W839" t="str" cm="1">
        <f t="array" ref="W839">IFERROR(_xlfn._xlws.FILTER(game_rosters!AB:AB,(game_rosters!J:J=events!X839)*(K839&lt;&gt;"")),"")</f>
        <v/>
      </c>
      <c r="X839" t="str" cm="1">
        <f t="array" ref="X839">IF(S839="","",IF($I839&lt;&gt;"",$I839,INDEX($I$2:$I838,ROW()-COUNTIFS($T$2:$T838,"="&amp;$T839,$S$2:$S838,"&lt;&gt;"&amp;$S839)-1)))</f>
        <v/>
      </c>
      <c r="Z839" s="6"/>
      <c r="AI839" t="str">
        <f t="shared" si="184"/>
        <v/>
      </c>
      <c r="BI839" s="40"/>
      <c r="BL839" s="40"/>
      <c r="BN839" s="19"/>
      <c r="BP839" s="17"/>
    </row>
    <row r="840" spans="1:68" x14ac:dyDescent="0.2">
      <c r="A840" t="str">
        <f t="shared" si="182"/>
        <v/>
      </c>
      <c r="E840" s="4"/>
      <c r="F840" s="45"/>
      <c r="G840" s="4"/>
      <c r="H840" s="48"/>
      <c r="J840" s="46" t="str">
        <f t="shared" si="183"/>
        <v/>
      </c>
      <c r="N840" t="str">
        <f t="shared" si="181"/>
        <v/>
      </c>
      <c r="Q840" t="str">
        <f t="shared" si="180"/>
        <v/>
      </c>
      <c r="S840" t="str">
        <f>IF(A840=1,MAX(S$2:S839)+1,IF(OR(I840&lt;&gt;"",A840="x"),S839,""))</f>
        <v/>
      </c>
      <c r="T840" t="str">
        <f>IF(D840=1,MAX($T$2:$T839)+1,IF(S840=$S839,$S839,IF($D840="x",T839,IF($D839="x","",""))))</f>
        <v/>
      </c>
      <c r="U840" t="str">
        <f>IF(B840=1,MAX($U$2:$U839)+1,IF(AND($T840&lt;&gt;"",$T840=$T839),$U839,IF(B840="x",U839,"")))</f>
        <v/>
      </c>
      <c r="V840" t="str">
        <f>IF(C840=1,MAX($V$2:$V839)+1,IF(AND($T840&lt;&gt;"",$T840=$T839),$U839,IF(C840="x",V839,"")))</f>
        <v/>
      </c>
      <c r="W840" t="str" cm="1">
        <f t="array" ref="W840">IFERROR(_xlfn._xlws.FILTER(game_rosters!AB:AB,(game_rosters!J:J=events!X840)*(K840&lt;&gt;"")),"")</f>
        <v/>
      </c>
      <c r="X840" t="str" cm="1">
        <f t="array" ref="X840">IF(S840="","",IF($I840&lt;&gt;"",$I840,INDEX($I$2:$I839,ROW()-COUNTIFS($T$2:$T839,"="&amp;$T840,$S$2:$S839,"&lt;&gt;"&amp;$S840)-1)))</f>
        <v/>
      </c>
      <c r="Z840" s="6"/>
      <c r="AI840" t="str">
        <f t="shared" si="184"/>
        <v/>
      </c>
      <c r="BI840" s="40"/>
      <c r="BL840" s="40"/>
      <c r="BN840" s="19"/>
      <c r="BP840" s="17"/>
    </row>
    <row r="841" spans="1:68" x14ac:dyDescent="0.2">
      <c r="A841" t="str">
        <f t="shared" si="182"/>
        <v/>
      </c>
      <c r="E841" s="4"/>
      <c r="F841" s="45"/>
      <c r="G841" s="4"/>
      <c r="H841" s="48"/>
      <c r="J841" s="46" t="str">
        <f t="shared" si="183"/>
        <v/>
      </c>
      <c r="N841" t="str">
        <f t="shared" si="181"/>
        <v/>
      </c>
      <c r="Q841" t="str">
        <f t="shared" si="180"/>
        <v/>
      </c>
      <c r="S841" t="str">
        <f>IF(A841=1,MAX(S$2:S840)+1,IF(OR(I841&lt;&gt;"",A841="x"),S840,""))</f>
        <v/>
      </c>
      <c r="T841" t="str">
        <f>IF(D841=1,MAX($T$2:$T840)+1,IF(S841=$S840,$S840,IF($D841="x",T840,IF($D840="x","",""))))</f>
        <v/>
      </c>
      <c r="U841" t="str">
        <f>IF(B841=1,MAX($U$2:$U840)+1,IF(AND($T841&lt;&gt;"",$T841=$T840),$U840,IF(B841="x",U840,"")))</f>
        <v/>
      </c>
      <c r="V841" t="str">
        <f>IF(C841=1,MAX($V$2:$V840)+1,IF(AND($T841&lt;&gt;"",$T841=$T840),$U840,IF(C841="x",V840,"")))</f>
        <v/>
      </c>
      <c r="W841" t="str" cm="1">
        <f t="array" ref="W841">IFERROR(_xlfn._xlws.FILTER(game_rosters!AB:AB,(game_rosters!J:J=events!X841)*(K841&lt;&gt;"")),"")</f>
        <v/>
      </c>
      <c r="X841" t="str" cm="1">
        <f t="array" ref="X841">IF(S841="","",IF($I841&lt;&gt;"",$I841,INDEX($I$2:$I840,ROW()-COUNTIFS($T$2:$T840,"="&amp;$T841,$S$2:$S840,"&lt;&gt;"&amp;$S841)-1)))</f>
        <v/>
      </c>
      <c r="Z841" s="6"/>
      <c r="AI841" t="str">
        <f t="shared" si="184"/>
        <v/>
      </c>
      <c r="BI841" s="40"/>
      <c r="BL841" s="40"/>
      <c r="BN841" s="19"/>
      <c r="BP841" s="17"/>
    </row>
    <row r="842" spans="1:68" x14ac:dyDescent="0.2">
      <c r="A842" t="str">
        <f t="shared" si="182"/>
        <v/>
      </c>
      <c r="E842" s="4"/>
      <c r="F842" s="45"/>
      <c r="G842" s="4"/>
      <c r="H842" s="48"/>
      <c r="J842" s="46" t="str">
        <f t="shared" si="183"/>
        <v/>
      </c>
      <c r="N842" t="str">
        <f t="shared" si="181"/>
        <v/>
      </c>
      <c r="Q842" t="str">
        <f t="shared" si="180"/>
        <v/>
      </c>
      <c r="S842" t="str">
        <f>IF(A842=1,MAX(S$2:S841)+1,IF(OR(I842&lt;&gt;"",A842="x"),S841,""))</f>
        <v/>
      </c>
      <c r="T842" t="str">
        <f>IF(D842=1,MAX($T$2:$T841)+1,IF(S842=$S841,$S841,IF($D842="x",T841,IF($D841="x","",""))))</f>
        <v/>
      </c>
      <c r="U842" t="str">
        <f>IF(B842=1,MAX($U$2:$U841)+1,IF(AND($T842&lt;&gt;"",$T842=$T841),$U841,IF(B842="x",U841,"")))</f>
        <v/>
      </c>
      <c r="V842" t="str">
        <f>IF(C842=1,MAX($V$2:$V841)+1,IF(AND($T842&lt;&gt;"",$T842=$T841),$U841,IF(C842="x",V841,"")))</f>
        <v/>
      </c>
      <c r="W842" t="str" cm="1">
        <f t="array" ref="W842">IFERROR(_xlfn._xlws.FILTER(game_rosters!AB:AB,(game_rosters!J:J=events!X842)*(K842&lt;&gt;"")),"")</f>
        <v/>
      </c>
      <c r="X842" t="str" cm="1">
        <f t="array" ref="X842">IF(S842="","",IF($I842&lt;&gt;"",$I842,INDEX($I$2:$I841,ROW()-COUNTIFS($T$2:$T841,"="&amp;$T842,$S$2:$S841,"&lt;&gt;"&amp;$S842)-1)))</f>
        <v/>
      </c>
      <c r="Z842" s="6"/>
      <c r="AI842" t="str">
        <f t="shared" si="184"/>
        <v/>
      </c>
      <c r="BI842" s="40"/>
      <c r="BL842" s="40"/>
      <c r="BN842" s="19"/>
      <c r="BP842" s="17"/>
    </row>
    <row r="843" spans="1:68" x14ac:dyDescent="0.2">
      <c r="A843" t="str">
        <f t="shared" si="182"/>
        <v/>
      </c>
      <c r="E843" s="4"/>
      <c r="F843" s="45"/>
      <c r="G843" s="4"/>
      <c r="H843" s="48"/>
      <c r="J843" s="46" t="str">
        <f t="shared" si="183"/>
        <v/>
      </c>
      <c r="N843" t="str">
        <f t="shared" si="181"/>
        <v/>
      </c>
      <c r="Q843" t="str">
        <f t="shared" si="180"/>
        <v/>
      </c>
      <c r="S843" t="str">
        <f>IF(A843=1,MAX(S$2:S842)+1,IF(OR(I843&lt;&gt;"",A843="x"),S842,""))</f>
        <v/>
      </c>
      <c r="T843" t="str">
        <f>IF(D843=1,MAX($T$2:$T842)+1,IF(S843=$S842,$S842,IF($D843="x",T842,IF($D842="x","",""))))</f>
        <v/>
      </c>
      <c r="U843" t="str">
        <f>IF(B843=1,MAX($U$2:$U842)+1,IF(AND($T843&lt;&gt;"",$T843=$T842),$U842,IF(B843="x",U842,"")))</f>
        <v/>
      </c>
      <c r="V843" t="str">
        <f>IF(C843=1,MAX($V$2:$V842)+1,IF(AND($T843&lt;&gt;"",$T843=$T842),$U842,IF(C843="x",V842,"")))</f>
        <v/>
      </c>
      <c r="W843" t="str" cm="1">
        <f t="array" ref="W843">IFERROR(_xlfn._xlws.FILTER(game_rosters!AB:AB,(game_rosters!J:J=events!X843)*(K843&lt;&gt;"")),"")</f>
        <v/>
      </c>
      <c r="X843" t="str" cm="1">
        <f t="array" ref="X843">IF(S843="","",IF($I843&lt;&gt;"",$I843,INDEX($I$2:$I842,ROW()-COUNTIFS($T$2:$T842,"="&amp;$T843,$S$2:$S842,"&lt;&gt;"&amp;$S843)-1)))</f>
        <v/>
      </c>
      <c r="Z843" s="6"/>
      <c r="AI843" t="str">
        <f t="shared" si="184"/>
        <v/>
      </c>
      <c r="BI843" s="40"/>
      <c r="BL843" s="40"/>
      <c r="BN843" s="19"/>
      <c r="BP843" s="17"/>
    </row>
    <row r="844" spans="1:68" x14ac:dyDescent="0.2">
      <c r="A844" t="str">
        <f t="shared" si="182"/>
        <v/>
      </c>
      <c r="E844" s="4"/>
      <c r="F844" s="45"/>
      <c r="G844" s="4"/>
      <c r="H844" s="48"/>
      <c r="J844" s="46" t="str">
        <f t="shared" si="183"/>
        <v/>
      </c>
      <c r="N844" t="str">
        <f t="shared" si="181"/>
        <v/>
      </c>
      <c r="Q844" t="str">
        <f t="shared" si="180"/>
        <v/>
      </c>
      <c r="S844" t="str">
        <f>IF(A844=1,MAX(S$2:S843)+1,IF(OR(I844&lt;&gt;"",A844="x"),S843,""))</f>
        <v/>
      </c>
      <c r="T844" t="str">
        <f>IF(D844=1,MAX($T$2:$T843)+1,IF(S844=$S843,$S843,IF($D844="x",T843,IF($D843="x","",""))))</f>
        <v/>
      </c>
      <c r="U844" t="str">
        <f>IF(B844=1,MAX($U$2:$U843)+1,IF(AND($T844&lt;&gt;"",$T844=$T843),$U843,IF(B844="x",U843,"")))</f>
        <v/>
      </c>
      <c r="V844" t="str">
        <f>IF(C844=1,MAX($V$2:$V843)+1,IF(AND($T844&lt;&gt;"",$T844=$T843),$U843,IF(C844="x",V843,"")))</f>
        <v/>
      </c>
      <c r="W844" t="str" cm="1">
        <f t="array" ref="W844">IFERROR(_xlfn._xlws.FILTER(game_rosters!AB:AB,(game_rosters!J:J=events!X844)*(K844&lt;&gt;"")),"")</f>
        <v/>
      </c>
      <c r="X844" t="str" cm="1">
        <f t="array" ref="X844">IF(S844="","",IF($I844&lt;&gt;"",$I844,INDEX($I$2:$I843,ROW()-COUNTIFS($T$2:$T843,"="&amp;$T844,$S$2:$S843,"&lt;&gt;"&amp;$S844)-1)))</f>
        <v/>
      </c>
      <c r="Z844" s="6"/>
      <c r="AI844" t="str">
        <f t="shared" si="184"/>
        <v/>
      </c>
      <c r="BI844" s="40"/>
      <c r="BL844" s="40"/>
      <c r="BN844" s="19"/>
      <c r="BP844" s="17"/>
    </row>
    <row r="845" spans="1:68" x14ac:dyDescent="0.2">
      <c r="A845" t="str">
        <f t="shared" si="182"/>
        <v/>
      </c>
      <c r="E845" s="4"/>
      <c r="F845" s="45"/>
      <c r="G845" s="4"/>
      <c r="H845" s="48"/>
      <c r="J845" s="46" t="str">
        <f t="shared" si="183"/>
        <v/>
      </c>
      <c r="N845" t="str">
        <f t="shared" si="181"/>
        <v/>
      </c>
      <c r="Q845" t="str">
        <f t="shared" si="180"/>
        <v/>
      </c>
      <c r="S845" t="str">
        <f>IF(A845=1,MAX(S$2:S844)+1,IF(OR(I845&lt;&gt;"",A845="x"),S844,""))</f>
        <v/>
      </c>
      <c r="T845" t="str">
        <f>IF(D845=1,MAX($T$2:$T844)+1,IF(S845=$S844,$S844,IF($D845="x",T844,IF($D844="x","",""))))</f>
        <v/>
      </c>
      <c r="U845" t="str">
        <f>IF(B845=1,MAX($U$2:$U844)+1,IF(AND($T845&lt;&gt;"",$T845=$T844),$U844,IF(B845="x",U844,"")))</f>
        <v/>
      </c>
      <c r="V845" t="str">
        <f>IF(C845=1,MAX($V$2:$V844)+1,IF(AND($T845&lt;&gt;"",$T845=$T844),$U844,IF(C845="x",V844,"")))</f>
        <v/>
      </c>
      <c r="W845" t="str" cm="1">
        <f t="array" ref="W845">IFERROR(_xlfn._xlws.FILTER(game_rosters!AB:AB,(game_rosters!J:J=events!X845)*(K845&lt;&gt;"")),"")</f>
        <v/>
      </c>
      <c r="X845" t="str" cm="1">
        <f t="array" ref="X845">IF(S845="","",IF($I845&lt;&gt;"",$I845,INDEX($I$2:$I844,ROW()-COUNTIFS($T$2:$T844,"="&amp;$T845,$S$2:$S844,"&lt;&gt;"&amp;$S845)-1)))</f>
        <v/>
      </c>
      <c r="Z845" s="6"/>
      <c r="AI845" t="str">
        <f t="shared" si="184"/>
        <v/>
      </c>
      <c r="BI845" s="40"/>
      <c r="BL845" s="40"/>
      <c r="BN845" s="19"/>
      <c r="BP845" s="17"/>
    </row>
    <row r="846" spans="1:68" x14ac:dyDescent="0.2">
      <c r="A846" t="str">
        <f t="shared" si="182"/>
        <v/>
      </c>
      <c r="E846" s="4"/>
      <c r="F846" s="45"/>
      <c r="G846" s="4"/>
      <c r="H846" s="48"/>
      <c r="J846" s="46" t="str">
        <f t="shared" si="183"/>
        <v/>
      </c>
      <c r="N846" t="str">
        <f t="shared" si="181"/>
        <v/>
      </c>
      <c r="Q846" t="str">
        <f t="shared" si="180"/>
        <v/>
      </c>
      <c r="S846" t="str">
        <f>IF(A846=1,MAX(S$2:S845)+1,IF(OR(I846&lt;&gt;"",A846="x"),S845,""))</f>
        <v/>
      </c>
      <c r="T846" t="str">
        <f>IF(D846=1,MAX($T$2:$T845)+1,IF(S846=$S845,$S845,IF($D846="x",T845,IF($D845="x","",""))))</f>
        <v/>
      </c>
      <c r="U846" t="str">
        <f>IF(B846=1,MAX($U$2:$U845)+1,IF(AND($T846&lt;&gt;"",$T846=$T845),$U845,IF(B846="x",U845,"")))</f>
        <v/>
      </c>
      <c r="V846" t="str">
        <f>IF(C846=1,MAX($V$2:$V845)+1,IF(AND($T846&lt;&gt;"",$T846=$T845),$U845,IF(C846="x",V845,"")))</f>
        <v/>
      </c>
      <c r="W846" t="str" cm="1">
        <f t="array" ref="W846">IFERROR(_xlfn._xlws.FILTER(game_rosters!AB:AB,(game_rosters!J:J=events!X846)*(K846&lt;&gt;"")),"")</f>
        <v/>
      </c>
      <c r="X846" t="str" cm="1">
        <f t="array" ref="X846">IF(S846="","",IF($I846&lt;&gt;"",$I846,INDEX($I$2:$I845,ROW()-COUNTIFS($T$2:$T845,"="&amp;$T846,$S$2:$S845,"&lt;&gt;"&amp;$S846)-1)))</f>
        <v/>
      </c>
      <c r="Z846" s="6"/>
      <c r="AI846" t="str">
        <f t="shared" si="184"/>
        <v/>
      </c>
      <c r="BI846" s="40"/>
      <c r="BL846" s="40"/>
      <c r="BN846" s="19"/>
      <c r="BP846" s="17"/>
    </row>
    <row r="847" spans="1:68" x14ac:dyDescent="0.2">
      <c r="A847" t="str">
        <f t="shared" si="182"/>
        <v/>
      </c>
      <c r="E847" s="4"/>
      <c r="F847" s="45"/>
      <c r="G847" s="4"/>
      <c r="H847" s="48"/>
      <c r="J847" s="46" t="str">
        <f t="shared" si="183"/>
        <v/>
      </c>
      <c r="N847" t="str">
        <f t="shared" si="181"/>
        <v/>
      </c>
      <c r="Q847" t="str">
        <f t="shared" si="180"/>
        <v/>
      </c>
      <c r="S847" t="str">
        <f>IF(A847=1,MAX(S$2:S846)+1,IF(OR(I847&lt;&gt;"",A847="x"),S846,""))</f>
        <v/>
      </c>
      <c r="T847" t="str">
        <f>IF(D847=1,MAX($T$2:$T846)+1,IF(S847=$S846,$S846,IF($D847="x",T846,IF($D846="x","",""))))</f>
        <v/>
      </c>
      <c r="U847" t="str">
        <f>IF(B847=1,MAX($U$2:$U846)+1,IF(AND($T847&lt;&gt;"",$T847=$T846),$U846,IF(B847="x",U846,"")))</f>
        <v/>
      </c>
      <c r="V847" t="str">
        <f>IF(C847=1,MAX($V$2:$V846)+1,IF(AND($T847&lt;&gt;"",$T847=$T846),$U846,IF(C847="x",V846,"")))</f>
        <v/>
      </c>
      <c r="W847" t="str" cm="1">
        <f t="array" ref="W847">IFERROR(_xlfn._xlws.FILTER(game_rosters!AB:AB,(game_rosters!J:J=events!X847)*(K847&lt;&gt;"")),"")</f>
        <v/>
      </c>
      <c r="X847" t="str" cm="1">
        <f t="array" ref="X847">IF(S847="","",IF($I847&lt;&gt;"",$I847,INDEX($I$2:$I846,ROW()-COUNTIFS($T$2:$T846,"="&amp;$T847,$S$2:$S846,"&lt;&gt;"&amp;$S847)-1)))</f>
        <v/>
      </c>
      <c r="Z847" s="6"/>
      <c r="AI847" t="str">
        <f t="shared" si="184"/>
        <v/>
      </c>
      <c r="BI847" s="40"/>
      <c r="BL847" s="40"/>
      <c r="BN847" s="19"/>
      <c r="BP847" s="17"/>
    </row>
    <row r="848" spans="1:68" x14ac:dyDescent="0.2">
      <c r="A848" t="str">
        <f t="shared" si="182"/>
        <v/>
      </c>
      <c r="E848" s="4"/>
      <c r="F848" s="45"/>
      <c r="G848" s="4"/>
      <c r="H848" s="48"/>
      <c r="J848" s="46" t="str">
        <f t="shared" si="183"/>
        <v/>
      </c>
      <c r="N848" t="str">
        <f t="shared" si="181"/>
        <v/>
      </c>
      <c r="Q848" t="str">
        <f t="shared" ref="Q848:Q860" si="185">IF(O848="","",IF(AND(N848&lt;&gt;"",OR(O848&lt;&gt;"",P848&lt;&gt;"")),N848,IF(OR(ISNUMBER(SEARCH("attemp",O848)),ISNUMBER(SEARCH("beat",O848)),ISNUMBER(SEARCH("mis",O848)),ISNUMBER(SEARCH("fail",O848)),ISNUMBER(SEARCH("loss",O848)),ISNUMBER(SEARCH("lost",O848)),ISNUMBER(SEARCH("attemp",P848)),ISNUMBER(SEARCH("mis",P848)),ISNUMBER(SEARCH("fail",P848)),ISNUMBER(SEARCH("loss",P848)),ISNUMBER(SEARCH("beat",P848)),ISNUMBER(SEARCH("lost",P848))),"u","")))</f>
        <v/>
      </c>
      <c r="S848" t="str">
        <f>IF(A848=1,MAX(S$2:S847)+1,IF(OR(I848&lt;&gt;"",A848="x"),S847,""))</f>
        <v/>
      </c>
      <c r="T848" t="str">
        <f>IF(D848=1,MAX($T$2:$T847)+1,IF(S848=$S847,$S847,IF($D848="x",T847,IF($D847="x","",""))))</f>
        <v/>
      </c>
      <c r="U848" t="str">
        <f>IF(B848=1,MAX($U$2:$U847)+1,IF(AND($T848&lt;&gt;"",$T848=$T847),$U847,IF(B848="x",U847,"")))</f>
        <v/>
      </c>
      <c r="V848" t="str">
        <f>IF(C848=1,MAX($V$2:$V847)+1,IF(AND($T848&lt;&gt;"",$T848=$T847),$U847,IF(C848="x",V847,"")))</f>
        <v/>
      </c>
      <c r="W848" t="str" cm="1">
        <f t="array" ref="W848">IFERROR(_xlfn._xlws.FILTER(game_rosters!AB:AB,(game_rosters!J:J=events!X848)*(K848&lt;&gt;"")),"")</f>
        <v/>
      </c>
      <c r="X848" t="str" cm="1">
        <f t="array" ref="X848">IF(S848="","",IF($I848&lt;&gt;"",$I848,INDEX($I$2:$I847,ROW()-COUNTIFS($T$2:$T847,"="&amp;$T848,$S$2:$S847,"&lt;&gt;"&amp;$S848)-1)))</f>
        <v/>
      </c>
      <c r="Z848" s="6"/>
      <c r="AI848" t="str">
        <f t="shared" si="184"/>
        <v/>
      </c>
      <c r="BI848" s="40"/>
      <c r="BL848" s="40"/>
      <c r="BN848" s="19"/>
      <c r="BP848" s="17"/>
    </row>
    <row r="849" spans="1:68" x14ac:dyDescent="0.2">
      <c r="A849" t="str">
        <f t="shared" si="182"/>
        <v/>
      </c>
      <c r="E849" s="4"/>
      <c r="F849" s="45"/>
      <c r="G849" s="4"/>
      <c r="H849" s="48"/>
      <c r="J849" s="46" t="str">
        <f t="shared" si="183"/>
        <v/>
      </c>
      <c r="N849" t="str">
        <f t="shared" si="181"/>
        <v/>
      </c>
      <c r="Q849" t="str">
        <f t="shared" si="185"/>
        <v/>
      </c>
      <c r="S849" t="str">
        <f>IF(A849=1,MAX(S$2:S848)+1,IF(OR(I849&lt;&gt;"",A849="x"),S848,""))</f>
        <v/>
      </c>
      <c r="T849" t="str">
        <f>IF(D849=1,MAX($T$2:$T848)+1,IF(S849=$S848,$S848,IF($D849="x",T848,IF($D848="x","",""))))</f>
        <v/>
      </c>
      <c r="U849" t="str">
        <f>IF(B849=1,MAX($U$2:$U848)+1,IF(AND($T849&lt;&gt;"",$T849=$T848),$U848,IF(B849="x",U848,"")))</f>
        <v/>
      </c>
      <c r="V849" t="str">
        <f>IF(C849=1,MAX($V$2:$V848)+1,IF(AND($T849&lt;&gt;"",$T849=$T848),$U848,IF(C849="x",V848,"")))</f>
        <v/>
      </c>
      <c r="W849" t="str" cm="1">
        <f t="array" ref="W849">IFERROR(_xlfn._xlws.FILTER(game_rosters!AB:AB,(game_rosters!J:J=events!X849)*(K849&lt;&gt;"")),"")</f>
        <v/>
      </c>
      <c r="X849" t="str" cm="1">
        <f t="array" ref="X849">IF(S849="","",IF($I849&lt;&gt;"",$I849,INDEX($I$2:$I848,ROW()-COUNTIFS($T$2:$T848,"="&amp;$T849,$S$2:$S848,"&lt;&gt;"&amp;$S849)-1)))</f>
        <v/>
      </c>
      <c r="Z849" s="6"/>
      <c r="AI849" t="str">
        <f t="shared" si="184"/>
        <v/>
      </c>
      <c r="BI849" s="40"/>
      <c r="BL849" s="40"/>
      <c r="BN849" s="19"/>
      <c r="BP849" s="17"/>
    </row>
    <row r="850" spans="1:68" x14ac:dyDescent="0.2">
      <c r="A850" t="str">
        <f t="shared" si="182"/>
        <v/>
      </c>
      <c r="E850" s="4"/>
      <c r="F850" s="45"/>
      <c r="G850" s="4"/>
      <c r="H850" s="48"/>
      <c r="J850" s="46" t="str">
        <f t="shared" si="183"/>
        <v/>
      </c>
      <c r="N850" t="str">
        <f t="shared" si="181"/>
        <v/>
      </c>
      <c r="Q850" t="str">
        <f t="shared" si="185"/>
        <v/>
      </c>
      <c r="S850" t="str">
        <f>IF(A850=1,MAX(S$2:S849)+1,IF(OR(I850&lt;&gt;"",A850="x"),S849,""))</f>
        <v/>
      </c>
      <c r="T850" t="str">
        <f>IF(D850=1,MAX($T$2:$T849)+1,IF(S850=$S849,$S849,IF($D850="x",T849,IF($D849="x","",""))))</f>
        <v/>
      </c>
      <c r="U850" t="str">
        <f>IF(B850=1,MAX($U$2:$U849)+1,IF(AND($T850&lt;&gt;"",$T850=$T849),$U849,IF(B850="x",U849,"")))</f>
        <v/>
      </c>
      <c r="V850" t="str">
        <f>IF(C850=1,MAX($V$2:$V849)+1,IF(AND($T850&lt;&gt;"",$T850=$T849),$U849,IF(C850="x",V849,"")))</f>
        <v/>
      </c>
      <c r="W850" t="str" cm="1">
        <f t="array" ref="W850">IFERROR(_xlfn._xlws.FILTER(game_rosters!AB:AB,(game_rosters!J:J=events!X850)*(K850&lt;&gt;"")),"")</f>
        <v/>
      </c>
      <c r="X850" t="str" cm="1">
        <f t="array" ref="X850">IF(S850="","",IF($I850&lt;&gt;"",$I850,INDEX($I$2:$I849,ROW()-COUNTIFS($T$2:$T849,"="&amp;$T850,$S$2:$S849,"&lt;&gt;"&amp;$S850)-1)))</f>
        <v/>
      </c>
      <c r="Z850" s="6"/>
      <c r="AI850" t="str">
        <f t="shared" si="184"/>
        <v/>
      </c>
      <c r="BI850" s="40"/>
      <c r="BL850" s="40"/>
      <c r="BN850" s="19"/>
      <c r="BP850" s="17"/>
    </row>
    <row r="851" spans="1:68" x14ac:dyDescent="0.2">
      <c r="E851" s="4"/>
      <c r="F851" s="45"/>
      <c r="G851" s="4"/>
      <c r="H851" s="48"/>
      <c r="J851" s="46" t="str">
        <f t="shared" si="183"/>
        <v/>
      </c>
      <c r="N851" t="str">
        <f t="shared" si="181"/>
        <v/>
      </c>
      <c r="Q851" t="str">
        <f t="shared" si="185"/>
        <v/>
      </c>
      <c r="S851" t="str">
        <f>IF(A851=1,MAX(S$2:S850)+1,IF(OR(I851&lt;&gt;"",A851="x"),S850,""))</f>
        <v/>
      </c>
      <c r="T851" t="str">
        <f>IF(D851=1,MAX($T$2:$T850)+1,IF(S851=$S850,$S850,IF($D851="x",T850,IF($D850="x","",""))))</f>
        <v/>
      </c>
      <c r="U851" t="str">
        <f>IF(B851=1,MAX($U$2:$U850)+1,IF(AND($T851&lt;&gt;"",$T851=$T850),$U850,IF(B851="x",U850,"")))</f>
        <v/>
      </c>
      <c r="V851" t="str">
        <f>IF(C851=1,MAX($V$2:$V850)+1,IF(AND($T851&lt;&gt;"",$T851=$T850),$U850,IF(C851="x",V850,"")))</f>
        <v/>
      </c>
      <c r="W851" t="str" cm="1">
        <f t="array" ref="W851">IFERROR(_xlfn._xlws.FILTER(game_rosters!AB:AB,(game_rosters!J:J=events!X851)*(K851&lt;&gt;"")),"")</f>
        <v/>
      </c>
      <c r="X851" t="str" cm="1">
        <f t="array" ref="X851">IF(S851="","",IF($I851&lt;&gt;"",$I851,INDEX($I$2:$I850,ROW()-COUNTIFS($T$2:$T850,"="&amp;$T851,$S$2:$S850,"&lt;&gt;"&amp;$S851)-1)))</f>
        <v/>
      </c>
      <c r="Z851" s="6"/>
      <c r="AI851" t="str">
        <f t="shared" si="184"/>
        <v/>
      </c>
      <c r="BI851" s="40"/>
      <c r="BL851" s="40"/>
      <c r="BN851" s="19"/>
      <c r="BP851" s="17"/>
    </row>
    <row r="852" spans="1:68" x14ac:dyDescent="0.2">
      <c r="E852" s="4"/>
      <c r="F852" s="45"/>
      <c r="G852" s="4"/>
      <c r="H852" s="48"/>
      <c r="J852" s="46" t="str">
        <f t="shared" si="183"/>
        <v/>
      </c>
      <c r="N852" t="str">
        <f t="shared" si="181"/>
        <v/>
      </c>
      <c r="Q852" t="str">
        <f t="shared" si="185"/>
        <v/>
      </c>
      <c r="S852" t="str">
        <f>IF(A852=1,MAX(S$2:S851)+1,IF(OR(I852&lt;&gt;"",A852="x"),S851,""))</f>
        <v/>
      </c>
      <c r="T852" t="str">
        <f>IF(D852=1,MAX($T$2:$T851)+1,IF(S852=$S851,$S851,IF($D852="x",T851,IF($D851="x","",""))))</f>
        <v/>
      </c>
      <c r="U852" t="str">
        <f>IF(B852=1,MAX($U$2:$U851)+1,IF(AND($T852&lt;&gt;"",$T852=$T851),$U851,IF(B852="x",U851,"")))</f>
        <v/>
      </c>
      <c r="V852" t="str">
        <f>IF(C852=1,MAX($V$2:$V851)+1,IF(AND($T852&lt;&gt;"",$T852=$T851),$U851,IF(C852="x",V851,"")))</f>
        <v/>
      </c>
      <c r="W852" t="str" cm="1">
        <f t="array" ref="W852">IFERROR(_xlfn._xlws.FILTER(game_rosters!AB:AB,(game_rosters!J:J=events!X852)*(K852&lt;&gt;"")),"")</f>
        <v/>
      </c>
      <c r="X852" t="str" cm="1">
        <f t="array" ref="X852">IF(S852="","",IF($I852&lt;&gt;"",$I852,INDEX($I$2:$I851,ROW()-COUNTIFS($T$2:$T851,"="&amp;$T852,$S$2:$S851,"&lt;&gt;"&amp;$S852)-1)))</f>
        <v/>
      </c>
      <c r="Z852" s="6"/>
      <c r="AI852" t="str">
        <f t="shared" si="184"/>
        <v/>
      </c>
      <c r="BI852" s="40"/>
      <c r="BL852" s="40"/>
      <c r="BN852" s="19"/>
      <c r="BP852" s="17"/>
    </row>
    <row r="853" spans="1:68" x14ac:dyDescent="0.2">
      <c r="E853" s="4"/>
      <c r="F853" s="45"/>
      <c r="G853" s="4"/>
      <c r="H853" s="48"/>
      <c r="J853" s="46" t="str">
        <f t="shared" si="183"/>
        <v/>
      </c>
      <c r="N853" t="str">
        <f t="shared" ref="N853:N860" si="186">IF(K853="","",IF(K853="Goal","s",IF(AND(K853="Zone_Entry_Exit",OR(ISNUMBER(SEARCH("fail",L853)),ISNUMBER(SEARCH("FromExitClear",M853)),ISNUMBER(SEARCH("miss",M853)))),"u",IF(AND(K853="Zone_Entry_Exit",OR(NOT(ISNUMBER(SEARCH("fail",L853))),NOT(ISNUMBER(SEARCH("FromExitClear",M853))),NOT(ISNUMBER(SEARCH("miss",M853))))),"s",IF(AND(OR(K853="Shot",K853="Pass"),OR(ISNUMBER(SEARCH("complete",L853)),ISNUMBER(SEARCH("goal",L853)),ISNUMBER(SEARCH("OnNet",L853)))),"s",IF(L853="Turnover_Giveaway","u",IF(AND(OR(K853="Shot",K853="Pass"),OR(ISNUMBER(SEARCH("fail",L853)),NOT(ISNUMBER(SEARCH("complete",L853))),NOT(ISNUMBER(SEARCH("OnNet",L853))))),"u","")))))))</f>
        <v/>
      </c>
      <c r="Q853" t="str">
        <f t="shared" si="185"/>
        <v/>
      </c>
      <c r="S853" t="str">
        <f>IF(A853=1,MAX(S$2:S852)+1,IF(OR(I853&lt;&gt;"",A853="x"),S852,""))</f>
        <v/>
      </c>
      <c r="T853" t="str">
        <f>IF(D853=1,MAX($T$2:$T852)+1,IF(S853=$S852,$S852,IF($D853="x",T852,IF($D852="x","",""))))</f>
        <v/>
      </c>
      <c r="U853" t="str">
        <f>IF(B853=1,MAX($U$2:$U852)+1,IF(AND($T853&lt;&gt;"",$T853=$T852),$U852,IF(B853="x",U852,"")))</f>
        <v/>
      </c>
      <c r="V853" t="str">
        <f>IF(C853=1,MAX($V$2:$V852)+1,IF(AND($T853&lt;&gt;"",$T853=$T852),$U852,IF(C853="x",V852,"")))</f>
        <v/>
      </c>
      <c r="W853" t="str" cm="1">
        <f t="array" ref="W853">IFERROR(_xlfn._xlws.FILTER(game_rosters!AB:AB,(game_rosters!J:J=events!X853)*(K853&lt;&gt;"")),"")</f>
        <v/>
      </c>
      <c r="X853" t="str" cm="1">
        <f t="array" ref="X853">IF(S853="","",IF($I853&lt;&gt;"",$I853,INDEX($I$2:$I852,ROW()-COUNTIFS($T$2:$T852,"="&amp;$T853,$S$2:$S852,"&lt;&gt;"&amp;$S853)-1)))</f>
        <v/>
      </c>
      <c r="Z853" s="6"/>
      <c r="AI853" t="str">
        <f t="shared" si="184"/>
        <v/>
      </c>
      <c r="BI853" s="40"/>
      <c r="BL853" s="40"/>
      <c r="BN853" s="19"/>
      <c r="BP853" s="17"/>
    </row>
    <row r="854" spans="1:68" x14ac:dyDescent="0.2">
      <c r="E854" s="4"/>
      <c r="F854" s="45"/>
      <c r="G854" s="4"/>
      <c r="H854" s="48"/>
      <c r="J854" s="46" t="str">
        <f t="shared" si="183"/>
        <v/>
      </c>
      <c r="N854" t="str">
        <f t="shared" si="186"/>
        <v/>
      </c>
      <c r="Q854" t="str">
        <f t="shared" si="185"/>
        <v/>
      </c>
      <c r="S854" t="str">
        <f>IF(A854=1,MAX(S$2:S853)+1,IF(OR(I854&lt;&gt;"",A854="x"),S853,""))</f>
        <v/>
      </c>
      <c r="T854" t="str">
        <f>IF(D854=1,MAX($T$2:$T853)+1,IF(S854=$S853,$S853,IF($D854="x",T853,IF($D853="x","",""))))</f>
        <v/>
      </c>
      <c r="U854" t="str">
        <f>IF(B854=1,MAX($U$2:$U853)+1,IF(AND($T854&lt;&gt;"",$T854=$T853),$U853,IF(B854="x",U853,"")))</f>
        <v/>
      </c>
      <c r="V854" t="str">
        <f>IF(C854=1,MAX($V$2:$V853)+1,IF(AND($T854&lt;&gt;"",$T854=$T853),$U853,IF(C854="x",V853,"")))</f>
        <v/>
      </c>
      <c r="W854" t="str" cm="1">
        <f t="array" ref="W854">IFERROR(_xlfn._xlws.FILTER(game_rosters!AB:AB,(game_rosters!J:J=events!X854)*(K854&lt;&gt;"")),"")</f>
        <v/>
      </c>
      <c r="X854" t="str" cm="1">
        <f t="array" ref="X854">IF(S854="","",IF($I854&lt;&gt;"",$I854,INDEX($I$2:$I853,ROW()-COUNTIFS($T$2:$T853,"="&amp;$T854,$S$2:$S853,"&lt;&gt;"&amp;$S854)-1)))</f>
        <v/>
      </c>
      <c r="Z854" s="6"/>
      <c r="AI854" t="str">
        <f t="shared" si="184"/>
        <v/>
      </c>
      <c r="BI854" s="40"/>
      <c r="BL854" s="40"/>
      <c r="BN854" s="19"/>
      <c r="BP854" s="17"/>
    </row>
    <row r="855" spans="1:68" x14ac:dyDescent="0.2">
      <c r="E855" s="4"/>
      <c r="F855" s="45"/>
      <c r="G855" s="4"/>
      <c r="H855" s="48"/>
      <c r="J855" s="46" t="str">
        <f t="shared" si="183"/>
        <v/>
      </c>
      <c r="N855" t="str">
        <f t="shared" si="186"/>
        <v/>
      </c>
      <c r="Q855" t="str">
        <f t="shared" si="185"/>
        <v/>
      </c>
      <c r="S855" t="str">
        <f>IF(A855=1,MAX(S$2:S854)+1,IF(OR(I855&lt;&gt;"",A855="x"),S854,""))</f>
        <v/>
      </c>
      <c r="T855" t="str">
        <f>IF(D855=1,MAX($T$2:$T854)+1,IF(S855=$S854,$S854,IF($D855="x",T854,IF($D854="x","",""))))</f>
        <v/>
      </c>
      <c r="U855" t="str">
        <f>IF(B855=1,MAX($U$2:$U854)+1,IF(AND($T855&lt;&gt;"",$T855=$T854),$U854,IF(B855="x",U854,"")))</f>
        <v/>
      </c>
      <c r="V855" t="str">
        <f>IF(C855=1,MAX($V$2:$V854)+1,IF(AND($T855&lt;&gt;"",$T855=$T854),$U854,IF(C855="x",V854,"")))</f>
        <v/>
      </c>
      <c r="W855" t="str" cm="1">
        <f t="array" ref="W855">IFERROR(_xlfn._xlws.FILTER(game_rosters!AB:AB,(game_rosters!J:J=events!X855)*(K855&lt;&gt;"")),"")</f>
        <v/>
      </c>
      <c r="X855" t="str" cm="1">
        <f t="array" ref="X855">IF(S855="","",IF($I855&lt;&gt;"",$I855,INDEX($I$2:$I854,ROW()-COUNTIFS($T$2:$T854,"="&amp;$T855,$S$2:$S854,"&lt;&gt;"&amp;$S855)-1)))</f>
        <v/>
      </c>
      <c r="Z855" s="6"/>
      <c r="AI855" t="str">
        <f t="shared" si="184"/>
        <v/>
      </c>
      <c r="BI855" s="40"/>
      <c r="BL855" s="40"/>
      <c r="BN855" s="19"/>
      <c r="BP855" s="17"/>
    </row>
    <row r="856" spans="1:68" x14ac:dyDescent="0.2">
      <c r="E856" s="4"/>
      <c r="F856" s="45"/>
      <c r="G856" s="4"/>
      <c r="H856" s="48"/>
      <c r="J856" s="46" t="str">
        <f t="shared" si="183"/>
        <v/>
      </c>
      <c r="N856" t="str">
        <f t="shared" si="186"/>
        <v/>
      </c>
      <c r="Q856" t="str">
        <f t="shared" si="185"/>
        <v/>
      </c>
      <c r="S856" t="str">
        <f>IF(A856=1,MAX(S$2:S855)+1,IF(OR(I856&lt;&gt;"",A856="x"),S855,""))</f>
        <v/>
      </c>
      <c r="T856" t="str">
        <f>IF(D856=1,MAX($T$2:$T855)+1,IF(S856=$S855,$S855,IF($D856="x",T855,IF($D855="x","",""))))</f>
        <v/>
      </c>
      <c r="U856" t="str">
        <f>IF(B856=1,MAX($U$2:$U855)+1,IF(AND($T856&lt;&gt;"",$T856=$T855),$U855,IF(B856="x",U855,"")))</f>
        <v/>
      </c>
      <c r="V856" t="str">
        <f>IF(C856=1,MAX($V$2:$V855)+1,IF(AND($T856&lt;&gt;"",$T856=$T855),$U855,IF(C856="x",V855,"")))</f>
        <v/>
      </c>
      <c r="W856" t="str" cm="1">
        <f t="array" ref="W856">IFERROR(_xlfn._xlws.FILTER(game_rosters!AB:AB,(game_rosters!J:J=events!X856)*(K856&lt;&gt;"")),"")</f>
        <v/>
      </c>
      <c r="X856" t="str" cm="1">
        <f t="array" ref="X856">IF(S856="","",IF($I856&lt;&gt;"",$I856,INDEX($I$2:$I855,ROW()-COUNTIFS($T$2:$T855,"="&amp;$T856,$S$2:$S855,"&lt;&gt;"&amp;$S856)-1)))</f>
        <v/>
      </c>
      <c r="Z856" s="6"/>
      <c r="AI856" t="str">
        <f t="shared" si="184"/>
        <v/>
      </c>
      <c r="BI856" s="40"/>
      <c r="BL856" s="40"/>
      <c r="BN856" s="19"/>
      <c r="BP856" s="17"/>
    </row>
    <row r="857" spans="1:68" x14ac:dyDescent="0.2">
      <c r="E857" s="4"/>
      <c r="F857" s="45"/>
      <c r="G857" s="4"/>
      <c r="H857" s="48"/>
      <c r="J857" s="46" t="str">
        <f t="shared" si="183"/>
        <v/>
      </c>
      <c r="N857" t="str">
        <f t="shared" si="186"/>
        <v/>
      </c>
      <c r="Q857" t="str">
        <f t="shared" si="185"/>
        <v/>
      </c>
      <c r="S857" t="str">
        <f>IF(A857=1,MAX(S$2:S856)+1,IF(OR(I857&lt;&gt;"",A857="x"),S856,""))</f>
        <v/>
      </c>
      <c r="T857" t="str">
        <f>IF(D857=1,MAX($T$2:$T856)+1,IF(S857=$S856,$S856,IF($D857="x",T856,IF($D856="x","",""))))</f>
        <v/>
      </c>
      <c r="U857" t="str">
        <f>IF(B857=1,MAX($U$2:$U856)+1,IF(AND($T857&lt;&gt;"",$T857=$T856),$U856,IF(B857="x",U856,"")))</f>
        <v/>
      </c>
      <c r="V857" t="str">
        <f>IF(C857=1,MAX($V$2:$V856)+1,IF(AND($T857&lt;&gt;"",$T857=$T856),$U856,IF(C857="x",V856,"")))</f>
        <v/>
      </c>
      <c r="W857" t="str" cm="1">
        <f t="array" ref="W857">IFERROR(_xlfn._xlws.FILTER(game_rosters!AB:AB,(game_rosters!J:J=events!X857)*(K857&lt;&gt;"")),"")</f>
        <v/>
      </c>
      <c r="X857" t="str" cm="1">
        <f t="array" ref="X857">IF(S857="","",IF($I857&lt;&gt;"",$I857,INDEX($I$2:$I856,ROW()-COUNTIFS($T$2:$T856,"="&amp;$T857,$S$2:$S856,"&lt;&gt;"&amp;$S857)-1)))</f>
        <v/>
      </c>
      <c r="Z857" s="6"/>
      <c r="AI857" t="str">
        <f t="shared" si="184"/>
        <v/>
      </c>
      <c r="BI857" s="40"/>
      <c r="BL857" s="40"/>
      <c r="BN857" s="19"/>
      <c r="BP857" s="17"/>
    </row>
    <row r="858" spans="1:68" x14ac:dyDescent="0.2">
      <c r="E858" s="4"/>
      <c r="F858" s="45"/>
      <c r="G858" s="4"/>
      <c r="H858" s="48"/>
      <c r="J858" s="46" t="str">
        <f t="shared" si="183"/>
        <v/>
      </c>
      <c r="N858" t="str">
        <f t="shared" si="186"/>
        <v/>
      </c>
      <c r="Q858" t="str">
        <f t="shared" si="185"/>
        <v/>
      </c>
      <c r="S858" t="str">
        <f>IF(A858=1,MAX(S$2:S857)+1,IF(OR(I858&lt;&gt;"",A858="x"),S857,""))</f>
        <v/>
      </c>
      <c r="T858" t="str">
        <f>IF(D858=1,MAX($T$2:$T857)+1,IF(S858=$S857,$S857,IF($D858="x",T857,IF($D857="x","",""))))</f>
        <v/>
      </c>
      <c r="U858" t="str">
        <f>IF(B858=1,MAX($U$2:$U857)+1,IF(AND($T858&lt;&gt;"",$T858=$T857),$U857,IF(B858="x",U857,"")))</f>
        <v/>
      </c>
      <c r="V858" t="str">
        <f>IF(C858=1,MAX($V$2:$V857)+1,IF(AND($T858&lt;&gt;"",$T858=$T857),$U857,IF(C858="x",V857,"")))</f>
        <v/>
      </c>
      <c r="W858" t="str" cm="1">
        <f t="array" ref="W858">IFERROR(_xlfn._xlws.FILTER(game_rosters!AB:AB,(game_rosters!J:J=events!X858)*(K858&lt;&gt;"")),"")</f>
        <v/>
      </c>
      <c r="X858" t="str" cm="1">
        <f t="array" ref="X858">IF(S858="","",IF($I858&lt;&gt;"",$I858,INDEX($I$2:$I857,ROW()-COUNTIFS($T$2:$T857,"="&amp;$T858,$S$2:$S857,"&lt;&gt;"&amp;$S858)-1)))</f>
        <v/>
      </c>
      <c r="Z858" s="6"/>
      <c r="AI858" t="str">
        <f t="shared" si="184"/>
        <v/>
      </c>
      <c r="BI858" s="40"/>
      <c r="BL858" s="40"/>
      <c r="BN858" s="19"/>
      <c r="BP858" s="17"/>
    </row>
    <row r="859" spans="1:68" x14ac:dyDescent="0.2">
      <c r="E859" s="4"/>
      <c r="F859" s="45"/>
      <c r="G859" s="4"/>
      <c r="H859" s="48"/>
      <c r="J859" s="46" t="str">
        <f t="shared" si="183"/>
        <v/>
      </c>
      <c r="N859" t="str">
        <f t="shared" si="186"/>
        <v/>
      </c>
      <c r="Q859" t="str">
        <f t="shared" si="185"/>
        <v/>
      </c>
      <c r="S859" t="str">
        <f>IF(A859=1,MAX(S$2:S858)+1,IF(OR(I859&lt;&gt;"",A859="x"),S858,""))</f>
        <v/>
      </c>
      <c r="T859" t="str">
        <f>IF(D859=1,MAX($T$2:$T858)+1,IF(S859=$S858,$S858,IF($D859="x",T858,IF($D858="x","",""))))</f>
        <v/>
      </c>
      <c r="U859" t="str">
        <f>IF(B859=1,MAX($U$2:$U858)+1,IF(AND($T859&lt;&gt;"",$T859=$T858),$U858,IF(B859="x",U858,"")))</f>
        <v/>
      </c>
      <c r="V859" t="str">
        <f>IF(C859=1,MAX($V$2:$V858)+1,IF(AND($T859&lt;&gt;"",$T859=$T858),$U858,IF(C859="x",V858,"")))</f>
        <v/>
      </c>
      <c r="W859" t="str" cm="1">
        <f t="array" ref="W859">IFERROR(_xlfn._xlws.FILTER(game_rosters!AB:AB,(game_rosters!J:J=events!X859)*(K859&lt;&gt;"")),"")</f>
        <v/>
      </c>
      <c r="X859" t="str" cm="1">
        <f t="array" ref="X859">IF(S859="","",IF($I859&lt;&gt;"",$I859,INDEX($I$2:$I858,ROW()-COUNTIFS($T$2:$T858,"="&amp;$T859,$S$2:$S858,"&lt;&gt;"&amp;$S859)-1)))</f>
        <v/>
      </c>
      <c r="Z859" s="6"/>
      <c r="AI859" t="str">
        <f t="shared" si="184"/>
        <v/>
      </c>
      <c r="BI859" s="40"/>
      <c r="BL859" s="40"/>
      <c r="BN859" s="19"/>
      <c r="BP859" s="17"/>
    </row>
    <row r="860" spans="1:68" x14ac:dyDescent="0.2">
      <c r="E860" s="4"/>
      <c r="F860" s="45"/>
      <c r="G860" s="4"/>
      <c r="H860" s="48"/>
      <c r="J860" s="46" t="str">
        <f t="shared" si="183"/>
        <v/>
      </c>
      <c r="N860" t="str">
        <f t="shared" si="186"/>
        <v/>
      </c>
      <c r="Q860" t="str">
        <f t="shared" si="185"/>
        <v/>
      </c>
      <c r="S860" t="str">
        <f>IF(A860=1,MAX(S$2:S859)+1,IF(OR(I860&lt;&gt;"",A860="x"),S859,""))</f>
        <v/>
      </c>
      <c r="T860" t="str">
        <f>IF(D860=1,MAX($T$2:$T859)+1,IF(S860=$S859,$S859,IF($D860="x",T859,IF($D859="x","",""))))</f>
        <v/>
      </c>
      <c r="U860" t="str">
        <f>IF(B860=1,MAX($U$2:$U859)+1,IF(AND($T860&lt;&gt;"",$T860=$T859),$U859,IF(B860="x",U859,"")))</f>
        <v/>
      </c>
      <c r="V860" t="str">
        <f>IF(C860=1,MAX($V$2:$V859)+1,IF(AND($T860&lt;&gt;"",$T860=$T859),$U859,IF(C860="x",V859,"")))</f>
        <v/>
      </c>
      <c r="W860" t="str" cm="1">
        <f t="array" ref="W860">IFERROR(_xlfn._xlws.FILTER(game_rosters!AB:AB,(game_rosters!J:J=events!X860)*(K860&lt;&gt;"")),"")</f>
        <v/>
      </c>
      <c r="X860" t="str" cm="1">
        <f t="array" ref="X860">IF(S860="","",IF($I860&lt;&gt;"",$I860,INDEX($I$2:$I859,ROW()-COUNTIFS($T$2:$T859,"="&amp;$T860,$S$2:$S859,"&lt;&gt;"&amp;$S860)-1)))</f>
        <v/>
      </c>
      <c r="Z860" s="6"/>
      <c r="AI860" t="str">
        <f t="shared" si="184"/>
        <v/>
      </c>
      <c r="BI860" s="15"/>
      <c r="BL860" s="15"/>
      <c r="BN860" s="19"/>
      <c r="BP860" s="17"/>
    </row>
  </sheetData>
  <autoFilter ref="F1:BS860" xr:uid="{24A10568-2B3A-4A48-AC24-E8A68FC7CC92}"/>
  <phoneticPr fontId="2" type="noConversion"/>
  <conditionalFormatting sqref="B2:Y2 B5:Y860 B3:W3 Y3">
    <cfRule type="expression" dxfId="4" priority="4" stopIfTrue="1">
      <formula>$S2&lt;$S3</formula>
    </cfRule>
  </conditionalFormatting>
  <conditionalFormatting sqref="B4:Y4">
    <cfRule type="expression" dxfId="3" priority="7" stopIfTrue="1">
      <formula>$S4&lt;#REF!</formula>
    </cfRule>
  </conditionalFormatting>
  <conditionalFormatting sqref="BS1:BT860">
    <cfRule type="containsText" dxfId="2" priority="2" operator="containsText" text="XX">
      <formula>NOT(ISERROR(SEARCH("XX",BS1)))</formula>
    </cfRule>
  </conditionalFormatting>
  <conditionalFormatting sqref="X3">
    <cfRule type="expression" dxfId="0" priority="1" stopIfTrue="1">
      <formula>$S3&lt;#REF!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B68188-98A6-3F4E-BE51-AC7D2CB1B669}">
          <x14:formula1>
            <xm:f>Lists!$A:$A</xm:f>
          </x14:formula1>
          <xm:sqref>K3:K860</xm:sqref>
        </x14:dataValidation>
        <x14:dataValidation type="list" allowBlank="1" showInputMessage="1" showErrorMessage="1" xr:uid="{AEB0E96D-A258-564D-9E07-30FECDE0D412}">
          <x14:formula1>
            <xm:f>_xlfn.XLOOKUP($K3,Lists!$A$1:$BO$1,Lists!$A$2:$BO$10000)</xm:f>
          </x14:formula1>
          <xm:sqref>L3:L860</xm:sqref>
        </x14:dataValidation>
        <x14:dataValidation type="list" allowBlank="1" showInputMessage="1" showErrorMessage="1" xr:uid="{89E93ACB-5452-944D-8FCA-D1B915343FC2}">
          <x14:formula1>
            <xm:f>_xlfn.XLOOKUP($L3,Lists!$A$1:$BO$1,Lists!$A$2:$BO$10000)</xm:f>
          </x14:formula1>
          <xm:sqref>M3:M860</xm:sqref>
        </x14:dataValidation>
        <x14:dataValidation type="list" allowBlank="1" showInputMessage="1" showErrorMessage="1" xr:uid="{A86E4765-FD14-F245-9244-1C1956801F00}">
          <x14:formula1>
            <xm:f>Lists!$BQ:$BQ</xm:f>
          </x14:formula1>
          <xm:sqref>O3:P860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sheetPr>
    <tabColor theme="7"/>
  </sheetPr>
  <dimension ref="A1:BC202"/>
  <sheetViews>
    <sheetView zoomScale="85" workbookViewId="0">
      <pane xSplit="8" ySplit="1" topLeftCell="P2" activePane="bottomRight" state="frozen"/>
      <selection pane="topRight" activeCell="I1" sqref="I1"/>
      <selection pane="bottomLeft" activeCell="A2" sqref="A2"/>
      <selection pane="bottomRight" activeCell="AD4" sqref="AD4"/>
    </sheetView>
  </sheetViews>
  <sheetFormatPr baseColWidth="10" defaultRowHeight="16" x14ac:dyDescent="0.2"/>
  <cols>
    <col min="2" max="2" width="10.83203125" style="6"/>
    <col min="4" max="4" width="10.83203125" style="4" customWidth="1"/>
    <col min="6" max="6" width="10.83203125" style="4"/>
    <col min="7" max="7" width="10.83203125" style="6"/>
    <col min="8" max="8" width="10.83203125" style="5"/>
    <col min="14" max="14" width="10.83203125" hidden="1" customWidth="1"/>
    <col min="15" max="15" width="10.83203125" style="5"/>
    <col min="16" max="16" width="10.83203125" style="6"/>
    <col min="21" max="21" width="10.83203125" customWidth="1"/>
    <col min="23" max="23" width="10.83203125" style="6"/>
    <col min="24" max="24" width="10.83203125" style="6" hidden="1" customWidth="1"/>
    <col min="26" max="26" width="10.83203125" hidden="1" customWidth="1"/>
    <col min="28" max="28" width="10.83203125" hidden="1" customWidth="1"/>
    <col min="33" max="33" width="12.6640625" customWidth="1"/>
    <col min="44" max="44" width="34.6640625" customWidth="1"/>
  </cols>
  <sheetData>
    <row r="1" spans="1:55" s="2" customFormat="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2" t="s">
        <v>1034</v>
      </c>
      <c r="AW1" s="2" t="s">
        <v>1035</v>
      </c>
      <c r="AX1" s="2" t="s">
        <v>1036</v>
      </c>
      <c r="AY1" s="2" t="s">
        <v>1037</v>
      </c>
      <c r="AZ1" s="18" t="s">
        <v>396</v>
      </c>
      <c r="BA1" s="18" t="s">
        <v>403</v>
      </c>
      <c r="BB1" s="2" t="s">
        <v>404</v>
      </c>
      <c r="BC1" s="2" t="s">
        <v>405</v>
      </c>
    </row>
    <row r="2" spans="1:55" x14ac:dyDescent="0.2">
      <c r="A2">
        <v>1</v>
      </c>
      <c r="B2" s="6">
        <v>1</v>
      </c>
      <c r="C2">
        <v>18</v>
      </c>
      <c r="D2" s="4" t="s">
        <v>413</v>
      </c>
      <c r="E2">
        <v>16</v>
      </c>
      <c r="F2" s="4" t="s">
        <v>1011</v>
      </c>
      <c r="G2" s="6" t="s">
        <v>287</v>
      </c>
      <c r="I2">
        <v>53</v>
      </c>
      <c r="J2">
        <v>20</v>
      </c>
      <c r="K2">
        <v>12</v>
      </c>
      <c r="L2">
        <v>8</v>
      </c>
      <c r="M2">
        <v>21</v>
      </c>
      <c r="O2" s="5">
        <v>99</v>
      </c>
      <c r="P2" s="6">
        <v>70</v>
      </c>
      <c r="Q2">
        <v>75</v>
      </c>
      <c r="R2">
        <v>49</v>
      </c>
      <c r="S2">
        <v>52</v>
      </c>
      <c r="T2">
        <v>22</v>
      </c>
      <c r="V2">
        <v>39</v>
      </c>
      <c r="W2" s="6">
        <f>SUMIFS(events!BI:BI,events!K:K,"=DeadIce",events!BJ:BJ,"&lt;="&amp;shifts!AG2,events!BK:BK,"&gt;"&amp;shifts!AH2,events!Z:Z,"="&amp;shifts!B3)+SUMIFS(events!BI:BI,events!K:K,"=Timeout",events!BJ:BJ,"&lt;="&amp;shifts!AG2,events!BK:BK,"&gt;"&amp;shifts!AH2,events!Z:Z,"="&amp;shifts!B3)</f>
        <v>0</v>
      </c>
      <c r="AB2">
        <v>1</v>
      </c>
      <c r="AD2">
        <f>events!BA2</f>
        <v>18969</v>
      </c>
      <c r="AE2" t="str">
        <f>events!BB2</f>
        <v>Platinum</v>
      </c>
      <c r="AF2" t="str">
        <f>events!BC2</f>
        <v>Velodrome</v>
      </c>
      <c r="AG2" s="4">
        <f>((C2*60)+D2)</f>
        <v>1080</v>
      </c>
      <c r="AH2" s="4">
        <f>((E2*60)+F2)</f>
        <v>998</v>
      </c>
      <c r="AI2" s="14">
        <f>ROUND(AG2-AH2,0)</f>
        <v>82</v>
      </c>
      <c r="AJ2">
        <f>COUNTIF(I2:N2,"&gt;0")</f>
        <v>5</v>
      </c>
      <c r="AK2">
        <f>COUNTIF(P2:U2,"&gt;0")</f>
        <v>5</v>
      </c>
      <c r="AL2">
        <f>IF(O2="",1,0)</f>
        <v>0</v>
      </c>
      <c r="AM2">
        <f>IF(V2="",1,0)</f>
        <v>0</v>
      </c>
      <c r="AN2">
        <f>IF(AND($AL2&lt;&gt;1,$AJ2&lt;$AK2,AM2&lt;&gt;1),1,)</f>
        <v>0</v>
      </c>
      <c r="AO2">
        <f>IF(AND($AL2&lt;&gt;1,$AJ2&gt;$AK2),1,)</f>
        <v>0</v>
      </c>
      <c r="AP2">
        <f>IF(AN2=1,1,0)</f>
        <v>0</v>
      </c>
      <c r="AQ2">
        <f>IF(AO2=1,1,0)</f>
        <v>0</v>
      </c>
      <c r="AR2" t="str">
        <f>IF(AND(AJ2=5,AK2=5,AL2=0,AM2=0),"Full Strength",IF(AP2=1,"Away PowerPlay",IF(AO2=1,"Home PowerPlay",IF(AL2=1,"Home EmptyNet",IF(AM2=1,"Away EmptyNet","")))))</f>
        <v>Full Strength</v>
      </c>
      <c r="AS2" t="str">
        <f>IF(AND(AL2=0,AM2=0),AJ2&amp;"v"&amp;AK2,IF(AL2=1,AJ2&amp;"v"&amp;AK2&amp;" Home EN",IF(AM2=1,AJ2&amp;"v"&amp;AK2&amp;" Away EN","")))</f>
        <v>5v5</v>
      </c>
      <c r="AT2">
        <v>0</v>
      </c>
      <c r="AU2">
        <v>0</v>
      </c>
      <c r="AV2">
        <f>IF(AND($H2="Home Goal", AO2=0),1,0)</f>
        <v>0</v>
      </c>
      <c r="AW2">
        <f>IF(AX2=1,-1,0)</f>
        <v>0</v>
      </c>
      <c r="AX2">
        <f>IF(AND($H2="AwayGoal", AP2=0),1,0)</f>
        <v>0</v>
      </c>
      <c r="AY2">
        <f>IF(AV2=1,-1,0)</f>
        <v>0</v>
      </c>
      <c r="AZ2">
        <f>IFERROR(VLOOKUP(B2,events!Z:BM,40,FALSE),0)</f>
        <v>0</v>
      </c>
      <c r="BA2">
        <v>0</v>
      </c>
      <c r="BB2">
        <f>IF(BA2&lt;5,0,BA2-5)</f>
        <v>0</v>
      </c>
      <c r="BC2" s="4">
        <f>BB2+AI2+3</f>
        <v>85</v>
      </c>
    </row>
    <row r="3" spans="1:55" x14ac:dyDescent="0.2">
      <c r="A3">
        <v>2</v>
      </c>
      <c r="I3" t="str">
        <f>IF($D3&gt;0,I2,"")</f>
        <v/>
      </c>
      <c r="J3" t="str">
        <f t="shared" ref="J3" si="0">IF($D3&gt;0,J2,"")</f>
        <v/>
      </c>
      <c r="K3" t="str">
        <f t="shared" ref="K3" si="1">IF($D3&gt;0,K2,"")</f>
        <v/>
      </c>
      <c r="L3" t="str">
        <f t="shared" ref="L3" si="2">IF($D3&gt;0,L2,"")</f>
        <v/>
      </c>
      <c r="M3" t="str">
        <f t="shared" ref="M3" si="3">IF($D3&gt;0,M2,"")</f>
        <v/>
      </c>
      <c r="O3" s="5">
        <f>O2</f>
        <v>99</v>
      </c>
      <c r="P3" t="str">
        <f>IF($D3&gt;0,P2,"")</f>
        <v/>
      </c>
      <c r="Q3" t="str">
        <f t="shared" ref="Q3" si="4">IF($D3&gt;0,Q2,"")</f>
        <v/>
      </c>
      <c r="R3" t="str">
        <f t="shared" ref="R3" si="5">IF($D3&gt;0,R2,"")</f>
        <v/>
      </c>
      <c r="S3" t="str">
        <f t="shared" ref="S3" si="6">IF($D3&gt;0,S2,"")</f>
        <v/>
      </c>
      <c r="T3" t="str">
        <f t="shared" ref="T3" si="7">IF($D3&gt;0,T2,"")</f>
        <v/>
      </c>
      <c r="V3">
        <f>V2</f>
        <v>39</v>
      </c>
      <c r="X3" s="6" t="str">
        <f>IF(OR($H2="Home Goal",$H2="Away Goal",$H2="Period End"),"",IF(Y2=1,1,""))</f>
        <v/>
      </c>
      <c r="Z3" t="str">
        <f>IF(OR($H2="Home Goal",$H2="Away Goal",$H2="Period End"),"",IF(AA2=1,1,""))</f>
        <v/>
      </c>
      <c r="AB3" t="str">
        <f>IF(OR($H2="Home Goal",$H2="Away Goal",$H2="Period End"),1,IF(AC2=1,1,""))</f>
        <v/>
      </c>
      <c r="AD3">
        <f>AD2</f>
        <v>18969</v>
      </c>
      <c r="AE3" t="str">
        <f t="shared" ref="AE3:AF3" si="8">AE2</f>
        <v>Platinum</v>
      </c>
      <c r="AF3" t="str">
        <f t="shared" si="8"/>
        <v>Velodrome</v>
      </c>
      <c r="AG3" s="4">
        <f>((C3*60)+D3)</f>
        <v>0</v>
      </c>
      <c r="AH3" s="4">
        <f>((E3*60)+F3)</f>
        <v>0</v>
      </c>
      <c r="AI3" s="14">
        <f>ROUND(AG3-AH3,0)</f>
        <v>0</v>
      </c>
      <c r="AJ3">
        <f>COUNTIF(I3:N3,"&gt;0")</f>
        <v>0</v>
      </c>
      <c r="AK3">
        <f>COUNTIF(P3:U3,"&gt;0")</f>
        <v>0</v>
      </c>
      <c r="AL3">
        <f>IF(O3="",1,0)</f>
        <v>0</v>
      </c>
      <c r="AM3">
        <f>IF(V3="",1,0)</f>
        <v>0</v>
      </c>
      <c r="AN3">
        <f>IF(AND($AL3&lt;&gt;1,$AJ3&lt;$AK3,AM3&lt;&gt;1),1,)</f>
        <v>0</v>
      </c>
      <c r="AO3">
        <f>IF(AND($AL3&lt;&gt;1,$AJ3&gt;$AK3),1,)</f>
        <v>0</v>
      </c>
      <c r="AP3">
        <f>IF(AN3=1,1,0)</f>
        <v>0</v>
      </c>
      <c r="AQ3">
        <f>IF(AO3=1,1,0)</f>
        <v>0</v>
      </c>
      <c r="AR3" t="str">
        <f t="shared" ref="AR3" si="9">IF(AND(AJ3=5,AK3=5,AL3=0,AM3=0),"Full Strength",IF(AP3=1,"Away PowerPlay",IF(AO3=1,"Home PowerPlay",IF(AL3=1,"Home EmptyNet",IF(AM3=1,"Away EmptyNet","")))))</f>
        <v/>
      </c>
      <c r="AS3" t="str">
        <f t="shared" ref="AS3" si="10">IF(AND(AL3=0,AM3=0),AJ3&amp;"v"&amp;AK3,IF(AL3=1,AJ3&amp;"v"&amp;AK3&amp;" Home EN",IF(AM3=1,AJ3&amp;"v"&amp;AK3&amp;" Away EN","")))</f>
        <v>0v0</v>
      </c>
      <c r="AT3">
        <f>IF($H2="Home Goal",AT2+1,AT2)</f>
        <v>0</v>
      </c>
      <c r="AU3">
        <f>IF($H2="Away Goal",AU2+1,AU2)</f>
        <v>0</v>
      </c>
      <c r="AV3">
        <f>IF(AND($H3="Home Goal", AO3=0),1,0)</f>
        <v>0</v>
      </c>
      <c r="AW3">
        <f>IF(AX3=1,-1,0)</f>
        <v>0</v>
      </c>
      <c r="AX3">
        <f>IF(AND($H3="Away Goal", AP3=0),1,0)</f>
        <v>0</v>
      </c>
      <c r="AY3">
        <f>IF(AV3=1,-1,0)</f>
        <v>0</v>
      </c>
      <c r="AZ3">
        <f>IFERROR(VLOOKUP(B3,events!Z:BM,40,FALSE),0)</f>
        <v>0</v>
      </c>
      <c r="BA3">
        <f>ROUND(IF(G3="Intermission",BA2,((1080)-((C3*60)+D3))+AZ3),0)</f>
        <v>1080</v>
      </c>
      <c r="BB3">
        <f>IF(BA3&lt;5,0,BA3-5)</f>
        <v>1075</v>
      </c>
      <c r="BC3" s="4">
        <f>BB3+AI3+3</f>
        <v>1078</v>
      </c>
    </row>
    <row r="4" spans="1:55" x14ac:dyDescent="0.2">
      <c r="A4">
        <v>3</v>
      </c>
      <c r="I4" t="str">
        <f>IF($D4&gt;0,I3,"")</f>
        <v/>
      </c>
      <c r="J4" t="str">
        <f t="shared" ref="J4:M4" si="11">IF($D4&gt;0,J3,"")</f>
        <v/>
      </c>
      <c r="K4" t="str">
        <f t="shared" si="11"/>
        <v/>
      </c>
      <c r="L4" t="str">
        <f t="shared" si="11"/>
        <v/>
      </c>
      <c r="M4" t="str">
        <f t="shared" si="11"/>
        <v/>
      </c>
      <c r="N4" t="str">
        <f t="shared" ref="N4" si="12">IF($D4&gt;0,N3,"")</f>
        <v/>
      </c>
      <c r="O4" s="5">
        <f t="shared" ref="O4:O67" si="13">O3</f>
        <v>99</v>
      </c>
      <c r="P4" t="str">
        <f>IF($D4&gt;0,P3,"")</f>
        <v/>
      </c>
      <c r="Q4" t="str">
        <f t="shared" ref="Q4:T4" si="14">IF($D4&gt;0,Q3,"")</f>
        <v/>
      </c>
      <c r="R4" t="str">
        <f t="shared" si="14"/>
        <v/>
      </c>
      <c r="S4" t="str">
        <f t="shared" si="14"/>
        <v/>
      </c>
      <c r="T4" t="str">
        <f t="shared" si="14"/>
        <v/>
      </c>
      <c r="V4">
        <f t="shared" ref="V4:V67" si="15">V3</f>
        <v>39</v>
      </c>
      <c r="AD4">
        <f t="shared" ref="AD4:AF4" si="16">AD3</f>
        <v>18969</v>
      </c>
      <c r="AE4" t="str">
        <f t="shared" si="16"/>
        <v>Platinum</v>
      </c>
      <c r="AF4" t="str">
        <f t="shared" si="16"/>
        <v>Velodrome</v>
      </c>
      <c r="AG4" s="4">
        <f t="shared" ref="AG4" si="17">((C4*60)+D4)</f>
        <v>0</v>
      </c>
      <c r="AH4" s="4">
        <f t="shared" ref="AH4" si="18">((E4*60)+F4)</f>
        <v>0</v>
      </c>
      <c r="AI4" s="14">
        <f t="shared" ref="AI4" si="19">ROUND(AG4-AH4,0)</f>
        <v>0</v>
      </c>
      <c r="AJ4">
        <f t="shared" ref="AJ4" si="20">COUNTIF(I4:N4,"&gt;0")</f>
        <v>0</v>
      </c>
      <c r="AK4">
        <f t="shared" ref="AK4" si="21">COUNTIF(P4:U4,"&gt;0")</f>
        <v>0</v>
      </c>
      <c r="AL4">
        <f t="shared" ref="AL4" si="22">IF(O4="",1,0)</f>
        <v>0</v>
      </c>
      <c r="AM4">
        <f t="shared" ref="AM4" si="23">IF(V4="",1,0)</f>
        <v>0</v>
      </c>
      <c r="AN4">
        <f t="shared" ref="AN4" si="24">IF(AND($AL4&lt;&gt;1,$AJ4&lt;$AK4,AM4&lt;&gt;1),1,)</f>
        <v>0</v>
      </c>
      <c r="AO4">
        <f t="shared" ref="AO4" si="25">IF(AND($AL4&lt;&gt;1,$AJ4&gt;$AK4),1,)</f>
        <v>0</v>
      </c>
      <c r="AP4">
        <f t="shared" ref="AP4" si="26">IF(AN4=1,1,0)</f>
        <v>0</v>
      </c>
      <c r="AQ4">
        <f t="shared" ref="AQ4" si="27">IF(AO4=1,1,0)</f>
        <v>0</v>
      </c>
      <c r="AR4" t="str">
        <f t="shared" ref="AR4" si="28">IF(AND(AJ4=5,AK4=5,AL4=0,AM4=0),"Full Strength",IF(AP4=1,"Away PowerPlay",IF(AO4=1,"Home PowerPlay",IF(AL4=1,"Home EmptyNet",IF(AM4=1,"Away EmptyNet","")))))</f>
        <v/>
      </c>
      <c r="AS4" t="str">
        <f t="shared" ref="AS4" si="29">IF(AND(AL4=0,AM4=0),AJ4&amp;"v"&amp;AK4,IF(AL4=1,AJ4&amp;"v"&amp;AK4&amp;" Home EN",IF(AM4=1,AJ4&amp;"v"&amp;AK4&amp;" Away EN","")))</f>
        <v>0v0</v>
      </c>
      <c r="AT4">
        <f t="shared" ref="AT4" si="30">IF($H3="Home Goal",AT3+1,AT3)</f>
        <v>0</v>
      </c>
      <c r="AU4">
        <f t="shared" ref="AU4" si="31">IF($H3="Away Goal",AU3+1,AU3)</f>
        <v>0</v>
      </c>
      <c r="AV4">
        <f t="shared" ref="AV4" si="32">IF(AND($H4="Home Goal", AO4=0),1,0)</f>
        <v>0</v>
      </c>
      <c r="AW4">
        <f t="shared" ref="AW4" si="33">IF(AX4=1,-1,0)</f>
        <v>0</v>
      </c>
      <c r="AX4">
        <f t="shared" ref="AX4" si="34">IF(AND($H4="Away Goal", AP4=0),1,0)</f>
        <v>0</v>
      </c>
      <c r="AY4">
        <f t="shared" ref="AY4" si="35">IF(AV4=1,-1,0)</f>
        <v>0</v>
      </c>
      <c r="AZ4">
        <f>IFERROR(VLOOKUP(B4,events!Z:BM,40,FALSE),0)</f>
        <v>0</v>
      </c>
      <c r="BA4">
        <f t="shared" ref="BA4" si="36">ROUND(IF(G4="Intermission",BA3,((1080)-((C4*60)+D4))+AZ4),0)</f>
        <v>1080</v>
      </c>
      <c r="BB4">
        <f t="shared" ref="BB4" si="37">IF(BA4&lt;5,0,BA4-5)</f>
        <v>1075</v>
      </c>
      <c r="BC4" s="4">
        <f t="shared" ref="BC4" si="38">BB4+AI4+3</f>
        <v>1078</v>
      </c>
    </row>
    <row r="5" spans="1:55" x14ac:dyDescent="0.2">
      <c r="A5">
        <f t="shared" ref="A5:A68" si="39">A4+1</f>
        <v>4</v>
      </c>
      <c r="I5" t="str">
        <f t="shared" ref="I5:I68" si="40">IF($D5&gt;0,I4,"")</f>
        <v/>
      </c>
      <c r="J5" t="str">
        <f t="shared" ref="J5:J68" si="41">IF($D5&gt;0,J4,"")</f>
        <v/>
      </c>
      <c r="K5" t="str">
        <f t="shared" ref="K5:K68" si="42">IF($D5&gt;0,K4,"")</f>
        <v/>
      </c>
      <c r="L5" t="str">
        <f t="shared" ref="L5:L68" si="43">IF($D5&gt;0,L4,"")</f>
        <v/>
      </c>
      <c r="M5" t="str">
        <f t="shared" ref="M5:M68" si="44">IF($D5&gt;0,M4,"")</f>
        <v/>
      </c>
      <c r="O5" s="5">
        <f t="shared" si="13"/>
        <v>99</v>
      </c>
      <c r="P5" t="str">
        <f t="shared" ref="P5:P68" si="45">IF($D5&gt;0,P4,"")</f>
        <v/>
      </c>
      <c r="Q5" t="str">
        <f t="shared" ref="Q5:Q68" si="46">IF($D5&gt;0,Q4,"")</f>
        <v/>
      </c>
      <c r="R5" t="str">
        <f t="shared" ref="R5:R68" si="47">IF($D5&gt;0,R4,"")</f>
        <v/>
      </c>
      <c r="S5" t="str">
        <f t="shared" ref="S5:S68" si="48">IF($D5&gt;0,S4,"")</f>
        <v/>
      </c>
      <c r="T5" t="str">
        <f t="shared" ref="T5:T68" si="49">IF($D5&gt;0,T4,"")</f>
        <v/>
      </c>
      <c r="V5">
        <f t="shared" si="15"/>
        <v>39</v>
      </c>
      <c r="AG5" s="4"/>
      <c r="AH5" s="4"/>
      <c r="AI5" s="14"/>
      <c r="BC5" s="4"/>
    </row>
    <row r="6" spans="1:55" x14ac:dyDescent="0.2">
      <c r="A6">
        <f t="shared" si="39"/>
        <v>5</v>
      </c>
      <c r="I6" t="str">
        <f t="shared" si="40"/>
        <v/>
      </c>
      <c r="J6" t="str">
        <f t="shared" si="41"/>
        <v/>
      </c>
      <c r="K6" t="str">
        <f t="shared" si="42"/>
        <v/>
      </c>
      <c r="L6" t="str">
        <f t="shared" si="43"/>
        <v/>
      </c>
      <c r="M6" t="str">
        <f t="shared" si="44"/>
        <v/>
      </c>
      <c r="O6" s="5">
        <f t="shared" si="13"/>
        <v>99</v>
      </c>
      <c r="P6" t="str">
        <f t="shared" si="45"/>
        <v/>
      </c>
      <c r="Q6" t="str">
        <f t="shared" si="46"/>
        <v/>
      </c>
      <c r="R6" t="str">
        <f t="shared" si="47"/>
        <v/>
      </c>
      <c r="S6" t="str">
        <f t="shared" si="48"/>
        <v/>
      </c>
      <c r="T6" t="str">
        <f t="shared" si="49"/>
        <v/>
      </c>
      <c r="V6">
        <f t="shared" si="15"/>
        <v>39</v>
      </c>
      <c r="AG6" s="4"/>
      <c r="AH6" s="4"/>
      <c r="AI6" s="14"/>
      <c r="BC6" s="4"/>
    </row>
    <row r="7" spans="1:55" x14ac:dyDescent="0.2">
      <c r="A7">
        <f t="shared" si="39"/>
        <v>6</v>
      </c>
      <c r="I7" t="str">
        <f t="shared" si="40"/>
        <v/>
      </c>
      <c r="J7" t="str">
        <f t="shared" si="41"/>
        <v/>
      </c>
      <c r="K7" t="str">
        <f t="shared" si="42"/>
        <v/>
      </c>
      <c r="L7" t="str">
        <f t="shared" si="43"/>
        <v/>
      </c>
      <c r="M7" t="str">
        <f t="shared" si="44"/>
        <v/>
      </c>
      <c r="O7" s="5">
        <f t="shared" si="13"/>
        <v>99</v>
      </c>
      <c r="P7" t="str">
        <f t="shared" si="45"/>
        <v/>
      </c>
      <c r="Q7" t="str">
        <f t="shared" si="46"/>
        <v/>
      </c>
      <c r="R7" t="str">
        <f t="shared" si="47"/>
        <v/>
      </c>
      <c r="S7" t="str">
        <f t="shared" si="48"/>
        <v/>
      </c>
      <c r="T7" t="str">
        <f t="shared" si="49"/>
        <v/>
      </c>
      <c r="V7">
        <f t="shared" si="15"/>
        <v>39</v>
      </c>
      <c r="AG7" s="4"/>
      <c r="AH7" s="4"/>
      <c r="AI7" s="14"/>
      <c r="BC7" s="4"/>
    </row>
    <row r="8" spans="1:55" x14ac:dyDescent="0.2">
      <c r="A8">
        <f t="shared" si="39"/>
        <v>7</v>
      </c>
      <c r="I8" t="str">
        <f t="shared" si="40"/>
        <v/>
      </c>
      <c r="J8" t="str">
        <f t="shared" si="41"/>
        <v/>
      </c>
      <c r="K8" t="str">
        <f t="shared" si="42"/>
        <v/>
      </c>
      <c r="L8" t="str">
        <f t="shared" si="43"/>
        <v/>
      </c>
      <c r="M8" t="str">
        <f t="shared" si="44"/>
        <v/>
      </c>
      <c r="O8" s="5">
        <f t="shared" si="13"/>
        <v>99</v>
      </c>
      <c r="P8" t="str">
        <f t="shared" si="45"/>
        <v/>
      </c>
      <c r="Q8" t="str">
        <f t="shared" si="46"/>
        <v/>
      </c>
      <c r="R8" t="str">
        <f t="shared" si="47"/>
        <v/>
      </c>
      <c r="S8" t="str">
        <f t="shared" si="48"/>
        <v/>
      </c>
      <c r="T8" t="str">
        <f t="shared" si="49"/>
        <v/>
      </c>
      <c r="V8">
        <f t="shared" si="15"/>
        <v>39</v>
      </c>
      <c r="AG8" s="4"/>
      <c r="AH8" s="4"/>
      <c r="AI8" s="14"/>
      <c r="BC8" s="4"/>
    </row>
    <row r="9" spans="1:55" x14ac:dyDescent="0.2">
      <c r="A9">
        <f t="shared" si="39"/>
        <v>8</v>
      </c>
      <c r="I9" t="str">
        <f t="shared" si="40"/>
        <v/>
      </c>
      <c r="J9" t="str">
        <f t="shared" si="41"/>
        <v/>
      </c>
      <c r="K9" t="str">
        <f t="shared" si="42"/>
        <v/>
      </c>
      <c r="L9" t="str">
        <f t="shared" si="43"/>
        <v/>
      </c>
      <c r="M9" t="str">
        <f t="shared" si="44"/>
        <v/>
      </c>
      <c r="O9" s="5">
        <f t="shared" si="13"/>
        <v>99</v>
      </c>
      <c r="P9" t="str">
        <f t="shared" si="45"/>
        <v/>
      </c>
      <c r="Q9" t="str">
        <f t="shared" si="46"/>
        <v/>
      </c>
      <c r="R9" t="str">
        <f t="shared" si="47"/>
        <v/>
      </c>
      <c r="S9" t="str">
        <f t="shared" si="48"/>
        <v/>
      </c>
      <c r="T9" t="str">
        <f t="shared" si="49"/>
        <v/>
      </c>
      <c r="V9">
        <f t="shared" si="15"/>
        <v>39</v>
      </c>
      <c r="AG9" s="4"/>
      <c r="AH9" s="4"/>
      <c r="AI9" s="14"/>
      <c r="BC9" s="4"/>
    </row>
    <row r="10" spans="1:55" x14ac:dyDescent="0.2">
      <c r="A10">
        <f t="shared" si="39"/>
        <v>9</v>
      </c>
      <c r="I10" t="str">
        <f t="shared" si="40"/>
        <v/>
      </c>
      <c r="J10" t="str">
        <f t="shared" si="41"/>
        <v/>
      </c>
      <c r="K10" t="str">
        <f t="shared" si="42"/>
        <v/>
      </c>
      <c r="L10" t="str">
        <f t="shared" si="43"/>
        <v/>
      </c>
      <c r="M10" t="str">
        <f t="shared" si="44"/>
        <v/>
      </c>
      <c r="O10" s="5">
        <f t="shared" si="13"/>
        <v>99</v>
      </c>
      <c r="P10" t="str">
        <f t="shared" si="45"/>
        <v/>
      </c>
      <c r="Q10" t="str">
        <f t="shared" si="46"/>
        <v/>
      </c>
      <c r="R10" t="str">
        <f t="shared" si="47"/>
        <v/>
      </c>
      <c r="S10" t="str">
        <f t="shared" si="48"/>
        <v/>
      </c>
      <c r="T10" t="str">
        <f t="shared" si="49"/>
        <v/>
      </c>
      <c r="V10">
        <f t="shared" si="15"/>
        <v>39</v>
      </c>
      <c r="AG10" s="4"/>
      <c r="AH10" s="4"/>
      <c r="AI10" s="14"/>
      <c r="BC10" s="4"/>
    </row>
    <row r="11" spans="1:55" x14ac:dyDescent="0.2">
      <c r="A11">
        <f t="shared" si="39"/>
        <v>10</v>
      </c>
      <c r="I11" t="str">
        <f t="shared" si="40"/>
        <v/>
      </c>
      <c r="J11" t="str">
        <f t="shared" si="41"/>
        <v/>
      </c>
      <c r="K11" t="str">
        <f t="shared" si="42"/>
        <v/>
      </c>
      <c r="L11" t="str">
        <f t="shared" si="43"/>
        <v/>
      </c>
      <c r="M11" t="str">
        <f t="shared" si="44"/>
        <v/>
      </c>
      <c r="O11" s="5">
        <f t="shared" si="13"/>
        <v>99</v>
      </c>
      <c r="P11" t="str">
        <f t="shared" si="45"/>
        <v/>
      </c>
      <c r="Q11" t="str">
        <f t="shared" si="46"/>
        <v/>
      </c>
      <c r="R11" t="str">
        <f t="shared" si="47"/>
        <v/>
      </c>
      <c r="S11" t="str">
        <f t="shared" si="48"/>
        <v/>
      </c>
      <c r="T11" t="str">
        <f t="shared" si="49"/>
        <v/>
      </c>
      <c r="V11">
        <f t="shared" si="15"/>
        <v>39</v>
      </c>
      <c r="AG11" s="4"/>
      <c r="AH11" s="4"/>
      <c r="AI11" s="14"/>
      <c r="BC11" s="4"/>
    </row>
    <row r="12" spans="1:55" x14ac:dyDescent="0.2">
      <c r="A12">
        <f t="shared" si="39"/>
        <v>11</v>
      </c>
      <c r="I12" t="str">
        <f t="shared" si="40"/>
        <v/>
      </c>
      <c r="J12" t="str">
        <f t="shared" si="41"/>
        <v/>
      </c>
      <c r="K12" t="str">
        <f t="shared" si="42"/>
        <v/>
      </c>
      <c r="L12" t="str">
        <f t="shared" si="43"/>
        <v/>
      </c>
      <c r="M12" t="str">
        <f t="shared" si="44"/>
        <v/>
      </c>
      <c r="O12" s="5">
        <f t="shared" si="13"/>
        <v>99</v>
      </c>
      <c r="P12" t="str">
        <f t="shared" si="45"/>
        <v/>
      </c>
      <c r="Q12" t="str">
        <f t="shared" si="46"/>
        <v/>
      </c>
      <c r="R12" t="str">
        <f t="shared" si="47"/>
        <v/>
      </c>
      <c r="S12" t="str">
        <f t="shared" si="48"/>
        <v/>
      </c>
      <c r="T12" t="str">
        <f t="shared" si="49"/>
        <v/>
      </c>
      <c r="V12">
        <f t="shared" si="15"/>
        <v>39</v>
      </c>
      <c r="AG12" s="4"/>
      <c r="AH12" s="4"/>
      <c r="AI12" s="14"/>
      <c r="BC12" s="4"/>
    </row>
    <row r="13" spans="1:55" x14ac:dyDescent="0.2">
      <c r="A13">
        <f t="shared" si="39"/>
        <v>12</v>
      </c>
      <c r="I13" t="str">
        <f t="shared" si="40"/>
        <v/>
      </c>
      <c r="J13" t="str">
        <f t="shared" si="41"/>
        <v/>
      </c>
      <c r="K13" t="str">
        <f t="shared" si="42"/>
        <v/>
      </c>
      <c r="L13" t="str">
        <f t="shared" si="43"/>
        <v/>
      </c>
      <c r="M13" t="str">
        <f t="shared" si="44"/>
        <v/>
      </c>
      <c r="O13" s="5">
        <f t="shared" si="13"/>
        <v>99</v>
      </c>
      <c r="P13" t="str">
        <f t="shared" si="45"/>
        <v/>
      </c>
      <c r="Q13" t="str">
        <f t="shared" si="46"/>
        <v/>
      </c>
      <c r="R13" t="str">
        <f t="shared" si="47"/>
        <v/>
      </c>
      <c r="S13" t="str">
        <f t="shared" si="48"/>
        <v/>
      </c>
      <c r="T13" t="str">
        <f t="shared" si="49"/>
        <v/>
      </c>
      <c r="V13">
        <f t="shared" si="15"/>
        <v>39</v>
      </c>
      <c r="AG13" s="4"/>
      <c r="AH13" s="4"/>
      <c r="AI13" s="14"/>
      <c r="BC13" s="4"/>
    </row>
    <row r="14" spans="1:55" x14ac:dyDescent="0.2">
      <c r="A14">
        <f t="shared" si="39"/>
        <v>13</v>
      </c>
      <c r="I14" t="str">
        <f t="shared" si="40"/>
        <v/>
      </c>
      <c r="J14" t="str">
        <f t="shared" si="41"/>
        <v/>
      </c>
      <c r="K14" t="str">
        <f t="shared" si="42"/>
        <v/>
      </c>
      <c r="L14" t="str">
        <f t="shared" si="43"/>
        <v/>
      </c>
      <c r="M14" t="str">
        <f t="shared" si="44"/>
        <v/>
      </c>
      <c r="O14" s="5">
        <f t="shared" si="13"/>
        <v>99</v>
      </c>
      <c r="P14" t="str">
        <f t="shared" si="45"/>
        <v/>
      </c>
      <c r="Q14" t="str">
        <f t="shared" si="46"/>
        <v/>
      </c>
      <c r="R14" t="str">
        <f t="shared" si="47"/>
        <v/>
      </c>
      <c r="S14" t="str">
        <f t="shared" si="48"/>
        <v/>
      </c>
      <c r="T14" t="str">
        <f t="shared" si="49"/>
        <v/>
      </c>
      <c r="V14">
        <f t="shared" si="15"/>
        <v>39</v>
      </c>
      <c r="AG14" s="4"/>
      <c r="AH14" s="4"/>
      <c r="AI14" s="14"/>
      <c r="BC14" s="4"/>
    </row>
    <row r="15" spans="1:55" x14ac:dyDescent="0.2">
      <c r="A15">
        <f t="shared" si="39"/>
        <v>14</v>
      </c>
      <c r="I15" t="str">
        <f t="shared" si="40"/>
        <v/>
      </c>
      <c r="J15" t="str">
        <f t="shared" si="41"/>
        <v/>
      </c>
      <c r="K15" t="str">
        <f t="shared" si="42"/>
        <v/>
      </c>
      <c r="L15" t="str">
        <f t="shared" si="43"/>
        <v/>
      </c>
      <c r="M15" t="str">
        <f t="shared" si="44"/>
        <v/>
      </c>
      <c r="O15" s="5">
        <f t="shared" si="13"/>
        <v>99</v>
      </c>
      <c r="P15" t="str">
        <f t="shared" si="45"/>
        <v/>
      </c>
      <c r="Q15" t="str">
        <f t="shared" si="46"/>
        <v/>
      </c>
      <c r="R15" t="str">
        <f t="shared" si="47"/>
        <v/>
      </c>
      <c r="S15" t="str">
        <f t="shared" si="48"/>
        <v/>
      </c>
      <c r="T15" t="str">
        <f t="shared" si="49"/>
        <v/>
      </c>
      <c r="V15">
        <f t="shared" si="15"/>
        <v>39</v>
      </c>
      <c r="AG15" s="4"/>
      <c r="AH15" s="4"/>
      <c r="AI15" s="14"/>
      <c r="BC15" s="4"/>
    </row>
    <row r="16" spans="1:55" x14ac:dyDescent="0.2">
      <c r="A16">
        <f t="shared" si="39"/>
        <v>15</v>
      </c>
      <c r="I16" t="str">
        <f t="shared" si="40"/>
        <v/>
      </c>
      <c r="J16" t="str">
        <f t="shared" si="41"/>
        <v/>
      </c>
      <c r="K16" t="str">
        <f t="shared" si="42"/>
        <v/>
      </c>
      <c r="L16" t="str">
        <f t="shared" si="43"/>
        <v/>
      </c>
      <c r="M16" t="str">
        <f t="shared" si="44"/>
        <v/>
      </c>
      <c r="O16" s="5">
        <f t="shared" si="13"/>
        <v>99</v>
      </c>
      <c r="P16" t="str">
        <f t="shared" si="45"/>
        <v/>
      </c>
      <c r="Q16" t="str">
        <f t="shared" si="46"/>
        <v/>
      </c>
      <c r="R16" t="str">
        <f t="shared" si="47"/>
        <v/>
      </c>
      <c r="S16" t="str">
        <f t="shared" si="48"/>
        <v/>
      </c>
      <c r="T16" t="str">
        <f t="shared" si="49"/>
        <v/>
      </c>
      <c r="V16">
        <f t="shared" si="15"/>
        <v>39</v>
      </c>
      <c r="AG16" s="4"/>
      <c r="AH16" s="4"/>
      <c r="AI16" s="14"/>
      <c r="BC16" s="4"/>
    </row>
    <row r="17" spans="1:55" x14ac:dyDescent="0.2">
      <c r="A17">
        <f t="shared" si="39"/>
        <v>16</v>
      </c>
      <c r="I17" t="str">
        <f t="shared" si="40"/>
        <v/>
      </c>
      <c r="J17" t="str">
        <f t="shared" si="41"/>
        <v/>
      </c>
      <c r="K17" t="str">
        <f t="shared" si="42"/>
        <v/>
      </c>
      <c r="L17" t="str">
        <f t="shared" si="43"/>
        <v/>
      </c>
      <c r="M17" t="str">
        <f t="shared" si="44"/>
        <v/>
      </c>
      <c r="O17" s="5">
        <f t="shared" si="13"/>
        <v>99</v>
      </c>
      <c r="P17" t="str">
        <f t="shared" si="45"/>
        <v/>
      </c>
      <c r="Q17" t="str">
        <f t="shared" si="46"/>
        <v/>
      </c>
      <c r="R17" t="str">
        <f t="shared" si="47"/>
        <v/>
      </c>
      <c r="S17" t="str">
        <f t="shared" si="48"/>
        <v/>
      </c>
      <c r="T17" t="str">
        <f t="shared" si="49"/>
        <v/>
      </c>
      <c r="V17">
        <f t="shared" si="15"/>
        <v>39</v>
      </c>
      <c r="AG17" s="4"/>
      <c r="AH17" s="4"/>
      <c r="AI17" s="14"/>
      <c r="BC17" s="4"/>
    </row>
    <row r="18" spans="1:55" x14ac:dyDescent="0.2">
      <c r="A18">
        <f t="shared" si="39"/>
        <v>17</v>
      </c>
      <c r="I18" t="str">
        <f t="shared" si="40"/>
        <v/>
      </c>
      <c r="J18" t="str">
        <f t="shared" si="41"/>
        <v/>
      </c>
      <c r="K18" t="str">
        <f t="shared" si="42"/>
        <v/>
      </c>
      <c r="L18" t="str">
        <f t="shared" si="43"/>
        <v/>
      </c>
      <c r="M18" t="str">
        <f t="shared" si="44"/>
        <v/>
      </c>
      <c r="O18" s="5">
        <f t="shared" si="13"/>
        <v>99</v>
      </c>
      <c r="P18" t="str">
        <f t="shared" si="45"/>
        <v/>
      </c>
      <c r="Q18" t="str">
        <f t="shared" si="46"/>
        <v/>
      </c>
      <c r="R18" t="str">
        <f t="shared" si="47"/>
        <v/>
      </c>
      <c r="S18" t="str">
        <f t="shared" si="48"/>
        <v/>
      </c>
      <c r="T18" t="str">
        <f t="shared" si="49"/>
        <v/>
      </c>
      <c r="V18">
        <f t="shared" si="15"/>
        <v>39</v>
      </c>
      <c r="AG18" s="4"/>
      <c r="AH18" s="4"/>
      <c r="AI18" s="14"/>
      <c r="BC18" s="4"/>
    </row>
    <row r="19" spans="1:55" x14ac:dyDescent="0.2">
      <c r="A19">
        <f t="shared" si="39"/>
        <v>18</v>
      </c>
      <c r="I19" t="str">
        <f t="shared" si="40"/>
        <v/>
      </c>
      <c r="J19" t="str">
        <f t="shared" si="41"/>
        <v/>
      </c>
      <c r="K19" t="str">
        <f t="shared" si="42"/>
        <v/>
      </c>
      <c r="L19" t="str">
        <f t="shared" si="43"/>
        <v/>
      </c>
      <c r="M19" t="str">
        <f t="shared" si="44"/>
        <v/>
      </c>
      <c r="O19" s="5">
        <f t="shared" si="13"/>
        <v>99</v>
      </c>
      <c r="P19" t="str">
        <f t="shared" si="45"/>
        <v/>
      </c>
      <c r="Q19" t="str">
        <f t="shared" si="46"/>
        <v/>
      </c>
      <c r="R19" t="str">
        <f t="shared" si="47"/>
        <v/>
      </c>
      <c r="S19" t="str">
        <f t="shared" si="48"/>
        <v/>
      </c>
      <c r="T19" t="str">
        <f t="shared" si="49"/>
        <v/>
      </c>
      <c r="V19">
        <f t="shared" si="15"/>
        <v>39</v>
      </c>
      <c r="AG19" s="4"/>
      <c r="AH19" s="4"/>
      <c r="AI19" s="14"/>
      <c r="BC19" s="4"/>
    </row>
    <row r="20" spans="1:55" x14ac:dyDescent="0.2">
      <c r="A20">
        <f t="shared" si="39"/>
        <v>19</v>
      </c>
      <c r="I20" t="str">
        <f t="shared" si="40"/>
        <v/>
      </c>
      <c r="J20" t="str">
        <f t="shared" si="41"/>
        <v/>
      </c>
      <c r="K20" t="str">
        <f t="shared" si="42"/>
        <v/>
      </c>
      <c r="L20" t="str">
        <f t="shared" si="43"/>
        <v/>
      </c>
      <c r="M20" t="str">
        <f t="shared" si="44"/>
        <v/>
      </c>
      <c r="O20" s="5">
        <f t="shared" si="13"/>
        <v>99</v>
      </c>
      <c r="P20" t="str">
        <f t="shared" si="45"/>
        <v/>
      </c>
      <c r="Q20" t="str">
        <f t="shared" si="46"/>
        <v/>
      </c>
      <c r="R20" t="str">
        <f t="shared" si="47"/>
        <v/>
      </c>
      <c r="S20" t="str">
        <f t="shared" si="48"/>
        <v/>
      </c>
      <c r="T20" t="str">
        <f t="shared" si="49"/>
        <v/>
      </c>
      <c r="V20">
        <f t="shared" si="15"/>
        <v>39</v>
      </c>
      <c r="AG20" s="4"/>
      <c r="AH20" s="4"/>
      <c r="AI20" s="14"/>
      <c r="BC20" s="4"/>
    </row>
    <row r="21" spans="1:55" x14ac:dyDescent="0.2">
      <c r="A21">
        <f t="shared" si="39"/>
        <v>20</v>
      </c>
      <c r="I21" t="str">
        <f t="shared" si="40"/>
        <v/>
      </c>
      <c r="J21" t="str">
        <f t="shared" si="41"/>
        <v/>
      </c>
      <c r="K21" t="str">
        <f t="shared" si="42"/>
        <v/>
      </c>
      <c r="L21" t="str">
        <f t="shared" si="43"/>
        <v/>
      </c>
      <c r="M21" t="str">
        <f t="shared" si="44"/>
        <v/>
      </c>
      <c r="O21" s="5">
        <f t="shared" si="13"/>
        <v>99</v>
      </c>
      <c r="P21" t="str">
        <f t="shared" si="45"/>
        <v/>
      </c>
      <c r="Q21" t="str">
        <f t="shared" si="46"/>
        <v/>
      </c>
      <c r="R21" t="str">
        <f t="shared" si="47"/>
        <v/>
      </c>
      <c r="S21" t="str">
        <f t="shared" si="48"/>
        <v/>
      </c>
      <c r="T21" t="str">
        <f t="shared" si="49"/>
        <v/>
      </c>
      <c r="V21">
        <f t="shared" si="15"/>
        <v>39</v>
      </c>
      <c r="AG21" s="4"/>
      <c r="AH21" s="4"/>
      <c r="AI21" s="14"/>
      <c r="BC21" s="4"/>
    </row>
    <row r="22" spans="1:55" x14ac:dyDescent="0.2">
      <c r="A22">
        <f t="shared" si="39"/>
        <v>21</v>
      </c>
      <c r="I22" t="str">
        <f t="shared" si="40"/>
        <v/>
      </c>
      <c r="J22" t="str">
        <f t="shared" si="41"/>
        <v/>
      </c>
      <c r="K22" t="str">
        <f t="shared" si="42"/>
        <v/>
      </c>
      <c r="L22" t="str">
        <f t="shared" si="43"/>
        <v/>
      </c>
      <c r="M22" t="str">
        <f t="shared" si="44"/>
        <v/>
      </c>
      <c r="O22" s="5">
        <f t="shared" si="13"/>
        <v>99</v>
      </c>
      <c r="P22" t="str">
        <f t="shared" si="45"/>
        <v/>
      </c>
      <c r="Q22" t="str">
        <f t="shared" si="46"/>
        <v/>
      </c>
      <c r="R22" t="str">
        <f t="shared" si="47"/>
        <v/>
      </c>
      <c r="S22" t="str">
        <f t="shared" si="48"/>
        <v/>
      </c>
      <c r="T22" t="str">
        <f t="shared" si="49"/>
        <v/>
      </c>
      <c r="V22">
        <f t="shared" si="15"/>
        <v>39</v>
      </c>
      <c r="AG22" s="4"/>
      <c r="AH22" s="4"/>
      <c r="AI22" s="14"/>
      <c r="BC22" s="4"/>
    </row>
    <row r="23" spans="1:55" x14ac:dyDescent="0.2">
      <c r="A23">
        <f t="shared" si="39"/>
        <v>22</v>
      </c>
      <c r="I23" t="str">
        <f t="shared" si="40"/>
        <v/>
      </c>
      <c r="J23" t="str">
        <f t="shared" si="41"/>
        <v/>
      </c>
      <c r="K23" t="str">
        <f t="shared" si="42"/>
        <v/>
      </c>
      <c r="L23" t="str">
        <f t="shared" si="43"/>
        <v/>
      </c>
      <c r="M23" t="str">
        <f t="shared" si="44"/>
        <v/>
      </c>
      <c r="O23" s="5">
        <f t="shared" si="13"/>
        <v>99</v>
      </c>
      <c r="P23" t="str">
        <f t="shared" si="45"/>
        <v/>
      </c>
      <c r="Q23" t="str">
        <f t="shared" si="46"/>
        <v/>
      </c>
      <c r="R23" t="str">
        <f t="shared" si="47"/>
        <v/>
      </c>
      <c r="S23" t="str">
        <f t="shared" si="48"/>
        <v/>
      </c>
      <c r="T23" t="str">
        <f t="shared" si="49"/>
        <v/>
      </c>
      <c r="V23">
        <f t="shared" si="15"/>
        <v>39</v>
      </c>
      <c r="AG23" s="4"/>
      <c r="AH23" s="4"/>
      <c r="AI23" s="14"/>
      <c r="BC23" s="4"/>
    </row>
    <row r="24" spans="1:55" x14ac:dyDescent="0.2">
      <c r="A24">
        <f t="shared" si="39"/>
        <v>23</v>
      </c>
      <c r="I24" t="str">
        <f t="shared" si="40"/>
        <v/>
      </c>
      <c r="J24" t="str">
        <f t="shared" si="41"/>
        <v/>
      </c>
      <c r="K24" t="str">
        <f t="shared" si="42"/>
        <v/>
      </c>
      <c r="L24" t="str">
        <f t="shared" si="43"/>
        <v/>
      </c>
      <c r="M24" t="str">
        <f t="shared" si="44"/>
        <v/>
      </c>
      <c r="O24" s="5">
        <f t="shared" si="13"/>
        <v>99</v>
      </c>
      <c r="P24" t="str">
        <f t="shared" si="45"/>
        <v/>
      </c>
      <c r="Q24" t="str">
        <f t="shared" si="46"/>
        <v/>
      </c>
      <c r="R24" t="str">
        <f t="shared" si="47"/>
        <v/>
      </c>
      <c r="S24" t="str">
        <f t="shared" si="48"/>
        <v/>
      </c>
      <c r="T24" t="str">
        <f t="shared" si="49"/>
        <v/>
      </c>
      <c r="V24">
        <f t="shared" si="15"/>
        <v>39</v>
      </c>
      <c r="AG24" s="4"/>
      <c r="AH24" s="4"/>
      <c r="AI24" s="14"/>
      <c r="BC24" s="4"/>
    </row>
    <row r="25" spans="1:55" x14ac:dyDescent="0.2">
      <c r="A25">
        <f t="shared" si="39"/>
        <v>24</v>
      </c>
      <c r="I25" t="str">
        <f t="shared" si="40"/>
        <v/>
      </c>
      <c r="J25" t="str">
        <f t="shared" si="41"/>
        <v/>
      </c>
      <c r="K25" t="str">
        <f t="shared" si="42"/>
        <v/>
      </c>
      <c r="L25" t="str">
        <f t="shared" si="43"/>
        <v/>
      </c>
      <c r="M25" t="str">
        <f t="shared" si="44"/>
        <v/>
      </c>
      <c r="O25" s="5">
        <f t="shared" si="13"/>
        <v>99</v>
      </c>
      <c r="P25" t="str">
        <f t="shared" si="45"/>
        <v/>
      </c>
      <c r="Q25" t="str">
        <f t="shared" si="46"/>
        <v/>
      </c>
      <c r="R25" t="str">
        <f t="shared" si="47"/>
        <v/>
      </c>
      <c r="S25" t="str">
        <f t="shared" si="48"/>
        <v/>
      </c>
      <c r="T25" t="str">
        <f t="shared" si="49"/>
        <v/>
      </c>
      <c r="V25">
        <f t="shared" si="15"/>
        <v>39</v>
      </c>
      <c r="AG25" s="4"/>
      <c r="AH25" s="4"/>
      <c r="AI25" s="14"/>
      <c r="BC25" s="4"/>
    </row>
    <row r="26" spans="1:55" x14ac:dyDescent="0.2">
      <c r="A26">
        <f t="shared" si="39"/>
        <v>25</v>
      </c>
      <c r="I26" t="str">
        <f t="shared" si="40"/>
        <v/>
      </c>
      <c r="J26" t="str">
        <f t="shared" si="41"/>
        <v/>
      </c>
      <c r="K26" t="str">
        <f t="shared" si="42"/>
        <v/>
      </c>
      <c r="L26" t="str">
        <f t="shared" si="43"/>
        <v/>
      </c>
      <c r="M26" t="str">
        <f t="shared" si="44"/>
        <v/>
      </c>
      <c r="O26" s="5">
        <f t="shared" si="13"/>
        <v>99</v>
      </c>
      <c r="P26" t="str">
        <f t="shared" si="45"/>
        <v/>
      </c>
      <c r="Q26" t="str">
        <f t="shared" si="46"/>
        <v/>
      </c>
      <c r="R26" t="str">
        <f t="shared" si="47"/>
        <v/>
      </c>
      <c r="S26" t="str">
        <f t="shared" si="48"/>
        <v/>
      </c>
      <c r="T26" t="str">
        <f t="shared" si="49"/>
        <v/>
      </c>
      <c r="V26">
        <f t="shared" si="15"/>
        <v>39</v>
      </c>
      <c r="AG26" s="4"/>
      <c r="AH26" s="4"/>
      <c r="AI26" s="14"/>
      <c r="BC26" s="4"/>
    </row>
    <row r="27" spans="1:55" x14ac:dyDescent="0.2">
      <c r="A27">
        <f t="shared" si="39"/>
        <v>26</v>
      </c>
      <c r="I27" t="str">
        <f t="shared" si="40"/>
        <v/>
      </c>
      <c r="J27" t="str">
        <f t="shared" si="41"/>
        <v/>
      </c>
      <c r="K27" t="str">
        <f t="shared" si="42"/>
        <v/>
      </c>
      <c r="L27" t="str">
        <f t="shared" si="43"/>
        <v/>
      </c>
      <c r="M27" t="str">
        <f t="shared" si="44"/>
        <v/>
      </c>
      <c r="O27" s="5">
        <f t="shared" si="13"/>
        <v>99</v>
      </c>
      <c r="P27" t="str">
        <f t="shared" si="45"/>
        <v/>
      </c>
      <c r="Q27" t="str">
        <f t="shared" si="46"/>
        <v/>
      </c>
      <c r="R27" t="str">
        <f t="shared" si="47"/>
        <v/>
      </c>
      <c r="S27" t="str">
        <f t="shared" si="48"/>
        <v/>
      </c>
      <c r="T27" t="str">
        <f t="shared" si="49"/>
        <v/>
      </c>
      <c r="V27">
        <f t="shared" si="15"/>
        <v>39</v>
      </c>
      <c r="AG27" s="4"/>
      <c r="AH27" s="4"/>
      <c r="AI27" s="14"/>
      <c r="BC27" s="4"/>
    </row>
    <row r="28" spans="1:55" x14ac:dyDescent="0.2">
      <c r="A28">
        <f t="shared" si="39"/>
        <v>27</v>
      </c>
      <c r="I28" t="str">
        <f t="shared" si="40"/>
        <v/>
      </c>
      <c r="J28" t="str">
        <f t="shared" si="41"/>
        <v/>
      </c>
      <c r="K28" t="str">
        <f t="shared" si="42"/>
        <v/>
      </c>
      <c r="L28" t="str">
        <f t="shared" si="43"/>
        <v/>
      </c>
      <c r="M28" t="str">
        <f t="shared" si="44"/>
        <v/>
      </c>
      <c r="O28" s="5">
        <f t="shared" si="13"/>
        <v>99</v>
      </c>
      <c r="P28" t="str">
        <f t="shared" si="45"/>
        <v/>
      </c>
      <c r="Q28" t="str">
        <f t="shared" si="46"/>
        <v/>
      </c>
      <c r="R28" t="str">
        <f t="shared" si="47"/>
        <v/>
      </c>
      <c r="S28" t="str">
        <f t="shared" si="48"/>
        <v/>
      </c>
      <c r="T28" t="str">
        <f t="shared" si="49"/>
        <v/>
      </c>
      <c r="V28">
        <f t="shared" si="15"/>
        <v>39</v>
      </c>
      <c r="AG28" s="4"/>
      <c r="AH28" s="4"/>
      <c r="AI28" s="14"/>
      <c r="BC28" s="4"/>
    </row>
    <row r="29" spans="1:55" x14ac:dyDescent="0.2">
      <c r="A29">
        <f t="shared" si="39"/>
        <v>28</v>
      </c>
      <c r="I29" t="str">
        <f t="shared" si="40"/>
        <v/>
      </c>
      <c r="J29" t="str">
        <f t="shared" si="41"/>
        <v/>
      </c>
      <c r="K29" t="str">
        <f t="shared" si="42"/>
        <v/>
      </c>
      <c r="L29" t="str">
        <f t="shared" si="43"/>
        <v/>
      </c>
      <c r="M29" t="str">
        <f t="shared" si="44"/>
        <v/>
      </c>
      <c r="O29" s="5">
        <f t="shared" si="13"/>
        <v>99</v>
      </c>
      <c r="P29" t="str">
        <f t="shared" si="45"/>
        <v/>
      </c>
      <c r="Q29" t="str">
        <f t="shared" si="46"/>
        <v/>
      </c>
      <c r="R29" t="str">
        <f t="shared" si="47"/>
        <v/>
      </c>
      <c r="S29" t="str">
        <f t="shared" si="48"/>
        <v/>
      </c>
      <c r="T29" t="str">
        <f t="shared" si="49"/>
        <v/>
      </c>
      <c r="V29">
        <f t="shared" si="15"/>
        <v>39</v>
      </c>
      <c r="AG29" s="4"/>
      <c r="AH29" s="4"/>
      <c r="AI29" s="14"/>
      <c r="BC29" s="4"/>
    </row>
    <row r="30" spans="1:55" x14ac:dyDescent="0.2">
      <c r="A30">
        <f t="shared" si="39"/>
        <v>29</v>
      </c>
      <c r="I30" t="str">
        <f t="shared" si="40"/>
        <v/>
      </c>
      <c r="J30" t="str">
        <f t="shared" si="41"/>
        <v/>
      </c>
      <c r="K30" t="str">
        <f t="shared" si="42"/>
        <v/>
      </c>
      <c r="L30" t="str">
        <f t="shared" si="43"/>
        <v/>
      </c>
      <c r="M30" t="str">
        <f t="shared" si="44"/>
        <v/>
      </c>
      <c r="O30" s="5">
        <f t="shared" si="13"/>
        <v>99</v>
      </c>
      <c r="P30" t="str">
        <f t="shared" si="45"/>
        <v/>
      </c>
      <c r="Q30" t="str">
        <f t="shared" si="46"/>
        <v/>
      </c>
      <c r="R30" t="str">
        <f t="shared" si="47"/>
        <v/>
      </c>
      <c r="S30" t="str">
        <f t="shared" si="48"/>
        <v/>
      </c>
      <c r="T30" t="str">
        <f t="shared" si="49"/>
        <v/>
      </c>
      <c r="V30">
        <f t="shared" si="15"/>
        <v>39</v>
      </c>
      <c r="AG30" s="4"/>
      <c r="AH30" s="4"/>
      <c r="AI30" s="14"/>
      <c r="BC30" s="4"/>
    </row>
    <row r="31" spans="1:55" x14ac:dyDescent="0.2">
      <c r="A31">
        <f t="shared" si="39"/>
        <v>30</v>
      </c>
      <c r="I31" t="str">
        <f t="shared" si="40"/>
        <v/>
      </c>
      <c r="J31" t="str">
        <f t="shared" si="41"/>
        <v/>
      </c>
      <c r="K31" t="str">
        <f t="shared" si="42"/>
        <v/>
      </c>
      <c r="L31" t="str">
        <f t="shared" si="43"/>
        <v/>
      </c>
      <c r="M31" t="str">
        <f t="shared" si="44"/>
        <v/>
      </c>
      <c r="O31" s="5">
        <f t="shared" si="13"/>
        <v>99</v>
      </c>
      <c r="P31" t="str">
        <f t="shared" si="45"/>
        <v/>
      </c>
      <c r="Q31" t="str">
        <f t="shared" si="46"/>
        <v/>
      </c>
      <c r="R31" t="str">
        <f t="shared" si="47"/>
        <v/>
      </c>
      <c r="S31" t="str">
        <f t="shared" si="48"/>
        <v/>
      </c>
      <c r="T31" t="str">
        <f t="shared" si="49"/>
        <v/>
      </c>
      <c r="V31">
        <f t="shared" si="15"/>
        <v>39</v>
      </c>
      <c r="AG31" s="4"/>
      <c r="AH31" s="4"/>
      <c r="AI31" s="14"/>
      <c r="BC31" s="4"/>
    </row>
    <row r="32" spans="1:55" x14ac:dyDescent="0.2">
      <c r="A32">
        <f t="shared" si="39"/>
        <v>31</v>
      </c>
      <c r="I32" t="str">
        <f t="shared" si="40"/>
        <v/>
      </c>
      <c r="J32" t="str">
        <f t="shared" si="41"/>
        <v/>
      </c>
      <c r="K32" t="str">
        <f t="shared" si="42"/>
        <v/>
      </c>
      <c r="L32" t="str">
        <f t="shared" si="43"/>
        <v/>
      </c>
      <c r="M32" t="str">
        <f t="shared" si="44"/>
        <v/>
      </c>
      <c r="O32" s="5">
        <f t="shared" si="13"/>
        <v>99</v>
      </c>
      <c r="P32" t="str">
        <f t="shared" si="45"/>
        <v/>
      </c>
      <c r="Q32" t="str">
        <f t="shared" si="46"/>
        <v/>
      </c>
      <c r="R32" t="str">
        <f t="shared" si="47"/>
        <v/>
      </c>
      <c r="S32" t="str">
        <f t="shared" si="48"/>
        <v/>
      </c>
      <c r="T32" t="str">
        <f t="shared" si="49"/>
        <v/>
      </c>
      <c r="V32">
        <f t="shared" si="15"/>
        <v>39</v>
      </c>
      <c r="AG32" s="4"/>
      <c r="AH32" s="4"/>
      <c r="AI32" s="14"/>
      <c r="BC32" s="4"/>
    </row>
    <row r="33" spans="1:55" x14ac:dyDescent="0.2">
      <c r="A33">
        <f t="shared" si="39"/>
        <v>32</v>
      </c>
      <c r="I33" t="str">
        <f t="shared" si="40"/>
        <v/>
      </c>
      <c r="J33" t="str">
        <f t="shared" si="41"/>
        <v/>
      </c>
      <c r="K33" t="str">
        <f t="shared" si="42"/>
        <v/>
      </c>
      <c r="L33" t="str">
        <f t="shared" si="43"/>
        <v/>
      </c>
      <c r="M33" t="str">
        <f t="shared" si="44"/>
        <v/>
      </c>
      <c r="O33" s="5">
        <f t="shared" si="13"/>
        <v>99</v>
      </c>
      <c r="P33" t="str">
        <f t="shared" si="45"/>
        <v/>
      </c>
      <c r="Q33" t="str">
        <f t="shared" si="46"/>
        <v/>
      </c>
      <c r="R33" t="str">
        <f t="shared" si="47"/>
        <v/>
      </c>
      <c r="S33" t="str">
        <f t="shared" si="48"/>
        <v/>
      </c>
      <c r="T33" t="str">
        <f t="shared" si="49"/>
        <v/>
      </c>
      <c r="V33">
        <f t="shared" si="15"/>
        <v>39</v>
      </c>
      <c r="AG33" s="4"/>
      <c r="AH33" s="4"/>
      <c r="AI33" s="14"/>
      <c r="BC33" s="4"/>
    </row>
    <row r="34" spans="1:55" x14ac:dyDescent="0.2">
      <c r="A34">
        <f t="shared" si="39"/>
        <v>33</v>
      </c>
      <c r="I34" t="str">
        <f t="shared" si="40"/>
        <v/>
      </c>
      <c r="J34" t="str">
        <f t="shared" si="41"/>
        <v/>
      </c>
      <c r="K34" t="str">
        <f t="shared" si="42"/>
        <v/>
      </c>
      <c r="L34" t="str">
        <f t="shared" si="43"/>
        <v/>
      </c>
      <c r="M34" t="str">
        <f t="shared" si="44"/>
        <v/>
      </c>
      <c r="O34" s="5">
        <f t="shared" si="13"/>
        <v>99</v>
      </c>
      <c r="P34" t="str">
        <f t="shared" si="45"/>
        <v/>
      </c>
      <c r="Q34" t="str">
        <f t="shared" si="46"/>
        <v/>
      </c>
      <c r="R34" t="str">
        <f t="shared" si="47"/>
        <v/>
      </c>
      <c r="S34" t="str">
        <f t="shared" si="48"/>
        <v/>
      </c>
      <c r="T34" t="str">
        <f t="shared" si="49"/>
        <v/>
      </c>
      <c r="V34">
        <f t="shared" si="15"/>
        <v>39</v>
      </c>
      <c r="AG34" s="4"/>
      <c r="AH34" s="4"/>
      <c r="AI34" s="14"/>
      <c r="BC34" s="4"/>
    </row>
    <row r="35" spans="1:55" x14ac:dyDescent="0.2">
      <c r="A35">
        <f t="shared" si="39"/>
        <v>34</v>
      </c>
      <c r="I35" t="str">
        <f t="shared" si="40"/>
        <v/>
      </c>
      <c r="J35" t="str">
        <f t="shared" si="41"/>
        <v/>
      </c>
      <c r="K35" t="str">
        <f t="shared" si="42"/>
        <v/>
      </c>
      <c r="L35" t="str">
        <f t="shared" si="43"/>
        <v/>
      </c>
      <c r="M35" t="str">
        <f t="shared" si="44"/>
        <v/>
      </c>
      <c r="O35" s="5">
        <f t="shared" si="13"/>
        <v>99</v>
      </c>
      <c r="P35" t="str">
        <f t="shared" si="45"/>
        <v/>
      </c>
      <c r="Q35" t="str">
        <f t="shared" si="46"/>
        <v/>
      </c>
      <c r="R35" t="str">
        <f t="shared" si="47"/>
        <v/>
      </c>
      <c r="S35" t="str">
        <f t="shared" si="48"/>
        <v/>
      </c>
      <c r="T35" t="str">
        <f t="shared" si="49"/>
        <v/>
      </c>
      <c r="V35">
        <f t="shared" si="15"/>
        <v>39</v>
      </c>
      <c r="AG35" s="4"/>
      <c r="AH35" s="4"/>
      <c r="AI35" s="14"/>
      <c r="BC35" s="4"/>
    </row>
    <row r="36" spans="1:55" x14ac:dyDescent="0.2">
      <c r="A36">
        <f t="shared" si="39"/>
        <v>35</v>
      </c>
      <c r="I36" t="str">
        <f t="shared" si="40"/>
        <v/>
      </c>
      <c r="J36" t="str">
        <f t="shared" si="41"/>
        <v/>
      </c>
      <c r="K36" t="str">
        <f t="shared" si="42"/>
        <v/>
      </c>
      <c r="L36" t="str">
        <f t="shared" si="43"/>
        <v/>
      </c>
      <c r="M36" t="str">
        <f t="shared" si="44"/>
        <v/>
      </c>
      <c r="O36" s="5">
        <f t="shared" si="13"/>
        <v>99</v>
      </c>
      <c r="P36" t="str">
        <f t="shared" si="45"/>
        <v/>
      </c>
      <c r="Q36" t="str">
        <f t="shared" si="46"/>
        <v/>
      </c>
      <c r="R36" t="str">
        <f t="shared" si="47"/>
        <v/>
      </c>
      <c r="S36" t="str">
        <f t="shared" si="48"/>
        <v/>
      </c>
      <c r="T36" t="str">
        <f t="shared" si="49"/>
        <v/>
      </c>
      <c r="V36">
        <f t="shared" si="15"/>
        <v>39</v>
      </c>
      <c r="AG36" s="4"/>
      <c r="AH36" s="4"/>
      <c r="AI36" s="14"/>
      <c r="BC36" s="4"/>
    </row>
    <row r="37" spans="1:55" x14ac:dyDescent="0.2">
      <c r="A37">
        <f t="shared" si="39"/>
        <v>36</v>
      </c>
      <c r="I37" t="str">
        <f t="shared" si="40"/>
        <v/>
      </c>
      <c r="J37" t="str">
        <f t="shared" si="41"/>
        <v/>
      </c>
      <c r="K37" t="str">
        <f t="shared" si="42"/>
        <v/>
      </c>
      <c r="L37" t="str">
        <f t="shared" si="43"/>
        <v/>
      </c>
      <c r="M37" t="str">
        <f t="shared" si="44"/>
        <v/>
      </c>
      <c r="O37" s="5">
        <f t="shared" si="13"/>
        <v>99</v>
      </c>
      <c r="P37" t="str">
        <f t="shared" si="45"/>
        <v/>
      </c>
      <c r="Q37" t="str">
        <f t="shared" si="46"/>
        <v/>
      </c>
      <c r="R37" t="str">
        <f t="shared" si="47"/>
        <v/>
      </c>
      <c r="S37" t="str">
        <f t="shared" si="48"/>
        <v/>
      </c>
      <c r="T37" t="str">
        <f t="shared" si="49"/>
        <v/>
      </c>
      <c r="V37">
        <f t="shared" si="15"/>
        <v>39</v>
      </c>
      <c r="AG37" s="4"/>
      <c r="AH37" s="4"/>
      <c r="AI37" s="14"/>
      <c r="BC37" s="4"/>
    </row>
    <row r="38" spans="1:55" x14ac:dyDescent="0.2">
      <c r="A38">
        <f t="shared" si="39"/>
        <v>37</v>
      </c>
      <c r="I38" t="str">
        <f t="shared" si="40"/>
        <v/>
      </c>
      <c r="J38" t="str">
        <f t="shared" si="41"/>
        <v/>
      </c>
      <c r="K38" t="str">
        <f t="shared" si="42"/>
        <v/>
      </c>
      <c r="L38" t="str">
        <f t="shared" si="43"/>
        <v/>
      </c>
      <c r="M38" t="str">
        <f t="shared" si="44"/>
        <v/>
      </c>
      <c r="O38" s="5">
        <f t="shared" si="13"/>
        <v>99</v>
      </c>
      <c r="P38" t="str">
        <f t="shared" si="45"/>
        <v/>
      </c>
      <c r="Q38" t="str">
        <f t="shared" si="46"/>
        <v/>
      </c>
      <c r="R38" t="str">
        <f t="shared" si="47"/>
        <v/>
      </c>
      <c r="S38" t="str">
        <f t="shared" si="48"/>
        <v/>
      </c>
      <c r="T38" t="str">
        <f t="shared" si="49"/>
        <v/>
      </c>
      <c r="V38">
        <f t="shared" si="15"/>
        <v>39</v>
      </c>
      <c r="AG38" s="4"/>
      <c r="AH38" s="4"/>
      <c r="AI38" s="14"/>
      <c r="BC38" s="4"/>
    </row>
    <row r="39" spans="1:55" x14ac:dyDescent="0.2">
      <c r="A39">
        <f t="shared" si="39"/>
        <v>38</v>
      </c>
      <c r="I39" t="str">
        <f t="shared" si="40"/>
        <v/>
      </c>
      <c r="J39" t="str">
        <f t="shared" si="41"/>
        <v/>
      </c>
      <c r="K39" t="str">
        <f t="shared" si="42"/>
        <v/>
      </c>
      <c r="L39" t="str">
        <f t="shared" si="43"/>
        <v/>
      </c>
      <c r="M39" t="str">
        <f t="shared" si="44"/>
        <v/>
      </c>
      <c r="O39" s="5">
        <f t="shared" si="13"/>
        <v>99</v>
      </c>
      <c r="P39" t="str">
        <f t="shared" si="45"/>
        <v/>
      </c>
      <c r="Q39" t="str">
        <f t="shared" si="46"/>
        <v/>
      </c>
      <c r="R39" t="str">
        <f t="shared" si="47"/>
        <v/>
      </c>
      <c r="S39" t="str">
        <f t="shared" si="48"/>
        <v/>
      </c>
      <c r="T39" t="str">
        <f t="shared" si="49"/>
        <v/>
      </c>
      <c r="V39">
        <f t="shared" si="15"/>
        <v>39</v>
      </c>
      <c r="AG39" s="4"/>
      <c r="AH39" s="4"/>
      <c r="AI39" s="14"/>
      <c r="BC39" s="4"/>
    </row>
    <row r="40" spans="1:55" x14ac:dyDescent="0.2">
      <c r="A40">
        <f t="shared" si="39"/>
        <v>39</v>
      </c>
      <c r="I40" t="str">
        <f t="shared" si="40"/>
        <v/>
      </c>
      <c r="J40" t="str">
        <f t="shared" si="41"/>
        <v/>
      </c>
      <c r="K40" t="str">
        <f t="shared" si="42"/>
        <v/>
      </c>
      <c r="L40" t="str">
        <f t="shared" si="43"/>
        <v/>
      </c>
      <c r="M40" t="str">
        <f t="shared" si="44"/>
        <v/>
      </c>
      <c r="O40" s="5">
        <f t="shared" si="13"/>
        <v>99</v>
      </c>
      <c r="P40" t="str">
        <f t="shared" si="45"/>
        <v/>
      </c>
      <c r="Q40" t="str">
        <f t="shared" si="46"/>
        <v/>
      </c>
      <c r="R40" t="str">
        <f t="shared" si="47"/>
        <v/>
      </c>
      <c r="S40" t="str">
        <f t="shared" si="48"/>
        <v/>
      </c>
      <c r="T40" t="str">
        <f t="shared" si="49"/>
        <v/>
      </c>
      <c r="V40">
        <f t="shared" si="15"/>
        <v>39</v>
      </c>
      <c r="AG40" s="4"/>
      <c r="AH40" s="4"/>
      <c r="AI40" s="14"/>
      <c r="BC40" s="4"/>
    </row>
    <row r="41" spans="1:55" x14ac:dyDescent="0.2">
      <c r="A41">
        <f t="shared" si="39"/>
        <v>40</v>
      </c>
      <c r="I41" t="str">
        <f t="shared" si="40"/>
        <v/>
      </c>
      <c r="J41" t="str">
        <f t="shared" si="41"/>
        <v/>
      </c>
      <c r="K41" t="str">
        <f t="shared" si="42"/>
        <v/>
      </c>
      <c r="L41" t="str">
        <f t="shared" si="43"/>
        <v/>
      </c>
      <c r="M41" t="str">
        <f t="shared" si="44"/>
        <v/>
      </c>
      <c r="O41" s="5">
        <f t="shared" si="13"/>
        <v>99</v>
      </c>
      <c r="P41" t="str">
        <f t="shared" si="45"/>
        <v/>
      </c>
      <c r="Q41" t="str">
        <f t="shared" si="46"/>
        <v/>
      </c>
      <c r="R41" t="str">
        <f t="shared" si="47"/>
        <v/>
      </c>
      <c r="S41" t="str">
        <f t="shared" si="48"/>
        <v/>
      </c>
      <c r="T41" t="str">
        <f t="shared" si="49"/>
        <v/>
      </c>
      <c r="V41">
        <f t="shared" si="15"/>
        <v>39</v>
      </c>
      <c r="AG41" s="4"/>
      <c r="AH41" s="4"/>
      <c r="AI41" s="14"/>
      <c r="BC41" s="4"/>
    </row>
    <row r="42" spans="1:55" x14ac:dyDescent="0.2">
      <c r="A42">
        <f t="shared" si="39"/>
        <v>41</v>
      </c>
      <c r="I42" t="str">
        <f t="shared" si="40"/>
        <v/>
      </c>
      <c r="J42" t="str">
        <f t="shared" si="41"/>
        <v/>
      </c>
      <c r="K42" t="str">
        <f t="shared" si="42"/>
        <v/>
      </c>
      <c r="L42" t="str">
        <f t="shared" si="43"/>
        <v/>
      </c>
      <c r="M42" t="str">
        <f t="shared" si="44"/>
        <v/>
      </c>
      <c r="O42" s="5">
        <f t="shared" si="13"/>
        <v>99</v>
      </c>
      <c r="P42" t="str">
        <f t="shared" si="45"/>
        <v/>
      </c>
      <c r="Q42" t="str">
        <f t="shared" si="46"/>
        <v/>
      </c>
      <c r="R42" t="str">
        <f t="shared" si="47"/>
        <v/>
      </c>
      <c r="S42" t="str">
        <f t="shared" si="48"/>
        <v/>
      </c>
      <c r="T42" t="str">
        <f t="shared" si="49"/>
        <v/>
      </c>
      <c r="V42">
        <f t="shared" si="15"/>
        <v>39</v>
      </c>
      <c r="AG42" s="4"/>
      <c r="AH42" s="4"/>
      <c r="AI42" s="14"/>
      <c r="BC42" s="4"/>
    </row>
    <row r="43" spans="1:55" x14ac:dyDescent="0.2">
      <c r="A43">
        <f t="shared" si="39"/>
        <v>42</v>
      </c>
      <c r="I43" t="str">
        <f t="shared" si="40"/>
        <v/>
      </c>
      <c r="J43" t="str">
        <f t="shared" si="41"/>
        <v/>
      </c>
      <c r="K43" t="str">
        <f t="shared" si="42"/>
        <v/>
      </c>
      <c r="L43" t="str">
        <f t="shared" si="43"/>
        <v/>
      </c>
      <c r="M43" t="str">
        <f t="shared" si="44"/>
        <v/>
      </c>
      <c r="O43" s="5">
        <f t="shared" si="13"/>
        <v>99</v>
      </c>
      <c r="P43" t="str">
        <f t="shared" si="45"/>
        <v/>
      </c>
      <c r="Q43" t="str">
        <f t="shared" si="46"/>
        <v/>
      </c>
      <c r="R43" t="str">
        <f t="shared" si="47"/>
        <v/>
      </c>
      <c r="S43" t="str">
        <f t="shared" si="48"/>
        <v/>
      </c>
      <c r="T43" t="str">
        <f t="shared" si="49"/>
        <v/>
      </c>
      <c r="V43">
        <f t="shared" si="15"/>
        <v>39</v>
      </c>
      <c r="AG43" s="4"/>
      <c r="AH43" s="4"/>
      <c r="AI43" s="14"/>
      <c r="BC43" s="4"/>
    </row>
    <row r="44" spans="1:55" x14ac:dyDescent="0.2">
      <c r="A44">
        <f t="shared" si="39"/>
        <v>43</v>
      </c>
      <c r="I44" t="str">
        <f t="shared" si="40"/>
        <v/>
      </c>
      <c r="J44" t="str">
        <f t="shared" si="41"/>
        <v/>
      </c>
      <c r="K44" t="str">
        <f t="shared" si="42"/>
        <v/>
      </c>
      <c r="L44" t="str">
        <f t="shared" si="43"/>
        <v/>
      </c>
      <c r="M44" t="str">
        <f t="shared" si="44"/>
        <v/>
      </c>
      <c r="O44" s="5">
        <f t="shared" si="13"/>
        <v>99</v>
      </c>
      <c r="P44" t="str">
        <f t="shared" si="45"/>
        <v/>
      </c>
      <c r="Q44" t="str">
        <f t="shared" si="46"/>
        <v/>
      </c>
      <c r="R44" t="str">
        <f t="shared" si="47"/>
        <v/>
      </c>
      <c r="S44" t="str">
        <f t="shared" si="48"/>
        <v/>
      </c>
      <c r="T44" t="str">
        <f t="shared" si="49"/>
        <v/>
      </c>
      <c r="V44">
        <f t="shared" si="15"/>
        <v>39</v>
      </c>
      <c r="AG44" s="4"/>
      <c r="AH44" s="4"/>
      <c r="AI44" s="14"/>
      <c r="BC44" s="4"/>
    </row>
    <row r="45" spans="1:55" x14ac:dyDescent="0.2">
      <c r="A45">
        <f t="shared" si="39"/>
        <v>44</v>
      </c>
      <c r="I45" t="str">
        <f t="shared" si="40"/>
        <v/>
      </c>
      <c r="J45" t="str">
        <f t="shared" si="41"/>
        <v/>
      </c>
      <c r="K45" t="str">
        <f t="shared" si="42"/>
        <v/>
      </c>
      <c r="L45" t="str">
        <f t="shared" si="43"/>
        <v/>
      </c>
      <c r="M45" t="str">
        <f t="shared" si="44"/>
        <v/>
      </c>
      <c r="O45" s="5">
        <f t="shared" si="13"/>
        <v>99</v>
      </c>
      <c r="P45" t="str">
        <f t="shared" si="45"/>
        <v/>
      </c>
      <c r="Q45" t="str">
        <f t="shared" si="46"/>
        <v/>
      </c>
      <c r="R45" t="str">
        <f t="shared" si="47"/>
        <v/>
      </c>
      <c r="S45" t="str">
        <f t="shared" si="48"/>
        <v/>
      </c>
      <c r="T45" t="str">
        <f t="shared" si="49"/>
        <v/>
      </c>
      <c r="V45">
        <f t="shared" si="15"/>
        <v>39</v>
      </c>
      <c r="AG45" s="4"/>
      <c r="AH45" s="4"/>
      <c r="AI45" s="14"/>
      <c r="BC45" s="4"/>
    </row>
    <row r="46" spans="1:55" x14ac:dyDescent="0.2">
      <c r="A46">
        <f t="shared" si="39"/>
        <v>45</v>
      </c>
      <c r="I46" t="str">
        <f t="shared" si="40"/>
        <v/>
      </c>
      <c r="J46" t="str">
        <f t="shared" si="41"/>
        <v/>
      </c>
      <c r="K46" t="str">
        <f t="shared" si="42"/>
        <v/>
      </c>
      <c r="L46" t="str">
        <f t="shared" si="43"/>
        <v/>
      </c>
      <c r="M46" t="str">
        <f t="shared" si="44"/>
        <v/>
      </c>
      <c r="O46" s="5">
        <f t="shared" si="13"/>
        <v>99</v>
      </c>
      <c r="P46" t="str">
        <f t="shared" si="45"/>
        <v/>
      </c>
      <c r="Q46" t="str">
        <f t="shared" si="46"/>
        <v/>
      </c>
      <c r="R46" t="str">
        <f t="shared" si="47"/>
        <v/>
      </c>
      <c r="S46" t="str">
        <f t="shared" si="48"/>
        <v/>
      </c>
      <c r="T46" t="str">
        <f t="shared" si="49"/>
        <v/>
      </c>
      <c r="V46">
        <f t="shared" si="15"/>
        <v>39</v>
      </c>
      <c r="AG46" s="4"/>
      <c r="AH46" s="4"/>
      <c r="AI46" s="14"/>
      <c r="BC46" s="4"/>
    </row>
    <row r="47" spans="1:55" x14ac:dyDescent="0.2">
      <c r="A47">
        <f t="shared" si="39"/>
        <v>46</v>
      </c>
      <c r="I47" t="str">
        <f t="shared" si="40"/>
        <v/>
      </c>
      <c r="J47" t="str">
        <f t="shared" si="41"/>
        <v/>
      </c>
      <c r="K47" t="str">
        <f t="shared" si="42"/>
        <v/>
      </c>
      <c r="L47" t="str">
        <f t="shared" si="43"/>
        <v/>
      </c>
      <c r="M47" t="str">
        <f t="shared" si="44"/>
        <v/>
      </c>
      <c r="O47" s="5">
        <f t="shared" si="13"/>
        <v>99</v>
      </c>
      <c r="P47" t="str">
        <f t="shared" si="45"/>
        <v/>
      </c>
      <c r="Q47" t="str">
        <f t="shared" si="46"/>
        <v/>
      </c>
      <c r="R47" t="str">
        <f t="shared" si="47"/>
        <v/>
      </c>
      <c r="S47" t="str">
        <f t="shared" si="48"/>
        <v/>
      </c>
      <c r="T47" t="str">
        <f t="shared" si="49"/>
        <v/>
      </c>
      <c r="V47">
        <f t="shared" si="15"/>
        <v>39</v>
      </c>
      <c r="AG47" s="4"/>
      <c r="AH47" s="4"/>
      <c r="AI47" s="14"/>
      <c r="BC47" s="4"/>
    </row>
    <row r="48" spans="1:55" x14ac:dyDescent="0.2">
      <c r="A48">
        <f t="shared" si="39"/>
        <v>47</v>
      </c>
      <c r="I48" t="str">
        <f t="shared" si="40"/>
        <v/>
      </c>
      <c r="J48" t="str">
        <f t="shared" si="41"/>
        <v/>
      </c>
      <c r="K48" t="str">
        <f t="shared" si="42"/>
        <v/>
      </c>
      <c r="L48" t="str">
        <f t="shared" si="43"/>
        <v/>
      </c>
      <c r="M48" t="str">
        <f t="shared" si="44"/>
        <v/>
      </c>
      <c r="O48" s="5">
        <f t="shared" si="13"/>
        <v>99</v>
      </c>
      <c r="P48" t="str">
        <f t="shared" si="45"/>
        <v/>
      </c>
      <c r="Q48" t="str">
        <f t="shared" si="46"/>
        <v/>
      </c>
      <c r="R48" t="str">
        <f t="shared" si="47"/>
        <v/>
      </c>
      <c r="S48" t="str">
        <f t="shared" si="48"/>
        <v/>
      </c>
      <c r="T48" t="str">
        <f t="shared" si="49"/>
        <v/>
      </c>
      <c r="V48">
        <f t="shared" si="15"/>
        <v>39</v>
      </c>
      <c r="AG48" s="4"/>
      <c r="AH48" s="4"/>
      <c r="AI48" s="14"/>
      <c r="BC48" s="4"/>
    </row>
    <row r="49" spans="1:55" x14ac:dyDescent="0.2">
      <c r="A49">
        <f t="shared" si="39"/>
        <v>48</v>
      </c>
      <c r="I49" t="str">
        <f t="shared" si="40"/>
        <v/>
      </c>
      <c r="J49" t="str">
        <f t="shared" si="41"/>
        <v/>
      </c>
      <c r="K49" t="str">
        <f t="shared" si="42"/>
        <v/>
      </c>
      <c r="L49" t="str">
        <f t="shared" si="43"/>
        <v/>
      </c>
      <c r="M49" t="str">
        <f t="shared" si="44"/>
        <v/>
      </c>
      <c r="O49" s="5">
        <f t="shared" si="13"/>
        <v>99</v>
      </c>
      <c r="P49" t="str">
        <f t="shared" si="45"/>
        <v/>
      </c>
      <c r="Q49" t="str">
        <f t="shared" si="46"/>
        <v/>
      </c>
      <c r="R49" t="str">
        <f t="shared" si="47"/>
        <v/>
      </c>
      <c r="S49" t="str">
        <f t="shared" si="48"/>
        <v/>
      </c>
      <c r="T49" t="str">
        <f t="shared" si="49"/>
        <v/>
      </c>
      <c r="V49">
        <f t="shared" si="15"/>
        <v>39</v>
      </c>
      <c r="AG49" s="4"/>
      <c r="AH49" s="4"/>
      <c r="AI49" s="14"/>
      <c r="BC49" s="4"/>
    </row>
    <row r="50" spans="1:55" x14ac:dyDescent="0.2">
      <c r="A50">
        <f t="shared" si="39"/>
        <v>49</v>
      </c>
      <c r="I50" t="str">
        <f t="shared" si="40"/>
        <v/>
      </c>
      <c r="J50" t="str">
        <f t="shared" si="41"/>
        <v/>
      </c>
      <c r="K50" t="str">
        <f t="shared" si="42"/>
        <v/>
      </c>
      <c r="L50" t="str">
        <f t="shared" si="43"/>
        <v/>
      </c>
      <c r="M50" t="str">
        <f t="shared" si="44"/>
        <v/>
      </c>
      <c r="O50" s="5">
        <f t="shared" si="13"/>
        <v>99</v>
      </c>
      <c r="P50" t="str">
        <f t="shared" si="45"/>
        <v/>
      </c>
      <c r="Q50" t="str">
        <f t="shared" si="46"/>
        <v/>
      </c>
      <c r="R50" t="str">
        <f t="shared" si="47"/>
        <v/>
      </c>
      <c r="S50" t="str">
        <f t="shared" si="48"/>
        <v/>
      </c>
      <c r="T50" t="str">
        <f t="shared" si="49"/>
        <v/>
      </c>
      <c r="V50">
        <f t="shared" si="15"/>
        <v>39</v>
      </c>
      <c r="AG50" s="4"/>
      <c r="AH50" s="4"/>
      <c r="AI50" s="14"/>
      <c r="BC50" s="4"/>
    </row>
    <row r="51" spans="1:55" x14ac:dyDescent="0.2">
      <c r="A51">
        <f t="shared" si="39"/>
        <v>50</v>
      </c>
      <c r="I51" t="str">
        <f t="shared" si="40"/>
        <v/>
      </c>
      <c r="J51" t="str">
        <f t="shared" si="41"/>
        <v/>
      </c>
      <c r="K51" t="str">
        <f t="shared" si="42"/>
        <v/>
      </c>
      <c r="L51" t="str">
        <f t="shared" si="43"/>
        <v/>
      </c>
      <c r="M51" t="str">
        <f t="shared" si="44"/>
        <v/>
      </c>
      <c r="O51" s="5">
        <f t="shared" si="13"/>
        <v>99</v>
      </c>
      <c r="P51" t="str">
        <f t="shared" si="45"/>
        <v/>
      </c>
      <c r="Q51" t="str">
        <f t="shared" si="46"/>
        <v/>
      </c>
      <c r="R51" t="str">
        <f t="shared" si="47"/>
        <v/>
      </c>
      <c r="S51" t="str">
        <f t="shared" si="48"/>
        <v/>
      </c>
      <c r="T51" t="str">
        <f t="shared" si="49"/>
        <v/>
      </c>
      <c r="V51">
        <f t="shared" si="15"/>
        <v>39</v>
      </c>
      <c r="AG51" s="4"/>
      <c r="AH51" s="4"/>
      <c r="AI51" s="14"/>
      <c r="BC51" s="4"/>
    </row>
    <row r="52" spans="1:55" x14ac:dyDescent="0.2">
      <c r="A52">
        <f t="shared" si="39"/>
        <v>51</v>
      </c>
      <c r="I52" t="str">
        <f t="shared" si="40"/>
        <v/>
      </c>
      <c r="J52" t="str">
        <f t="shared" si="41"/>
        <v/>
      </c>
      <c r="K52" t="str">
        <f t="shared" si="42"/>
        <v/>
      </c>
      <c r="L52" t="str">
        <f t="shared" si="43"/>
        <v/>
      </c>
      <c r="M52" t="str">
        <f t="shared" si="44"/>
        <v/>
      </c>
      <c r="O52" s="5">
        <f t="shared" si="13"/>
        <v>99</v>
      </c>
      <c r="P52" t="str">
        <f t="shared" si="45"/>
        <v/>
      </c>
      <c r="Q52" t="str">
        <f t="shared" si="46"/>
        <v/>
      </c>
      <c r="R52" t="str">
        <f t="shared" si="47"/>
        <v/>
      </c>
      <c r="S52" t="str">
        <f t="shared" si="48"/>
        <v/>
      </c>
      <c r="T52" t="str">
        <f t="shared" si="49"/>
        <v/>
      </c>
      <c r="V52">
        <f t="shared" si="15"/>
        <v>39</v>
      </c>
      <c r="AG52" s="4"/>
      <c r="AH52" s="4"/>
      <c r="AI52" s="14"/>
      <c r="BC52" s="4"/>
    </row>
    <row r="53" spans="1:55" x14ac:dyDescent="0.2">
      <c r="A53">
        <f t="shared" si="39"/>
        <v>52</v>
      </c>
      <c r="I53" t="str">
        <f t="shared" si="40"/>
        <v/>
      </c>
      <c r="J53" t="str">
        <f t="shared" si="41"/>
        <v/>
      </c>
      <c r="K53" t="str">
        <f t="shared" si="42"/>
        <v/>
      </c>
      <c r="L53" t="str">
        <f t="shared" si="43"/>
        <v/>
      </c>
      <c r="M53" t="str">
        <f t="shared" si="44"/>
        <v/>
      </c>
      <c r="O53" s="5">
        <f t="shared" si="13"/>
        <v>99</v>
      </c>
      <c r="P53" t="str">
        <f t="shared" si="45"/>
        <v/>
      </c>
      <c r="Q53" t="str">
        <f t="shared" si="46"/>
        <v/>
      </c>
      <c r="R53" t="str">
        <f t="shared" si="47"/>
        <v/>
      </c>
      <c r="S53" t="str">
        <f t="shared" si="48"/>
        <v/>
      </c>
      <c r="T53" t="str">
        <f t="shared" si="49"/>
        <v/>
      </c>
      <c r="V53">
        <f t="shared" si="15"/>
        <v>39</v>
      </c>
      <c r="AG53" s="4"/>
      <c r="AH53" s="4"/>
      <c r="AI53" s="14"/>
      <c r="BC53" s="4"/>
    </row>
    <row r="54" spans="1:55" x14ac:dyDescent="0.2">
      <c r="A54">
        <f t="shared" si="39"/>
        <v>53</v>
      </c>
      <c r="I54" t="str">
        <f t="shared" si="40"/>
        <v/>
      </c>
      <c r="J54" t="str">
        <f t="shared" si="41"/>
        <v/>
      </c>
      <c r="K54" t="str">
        <f t="shared" si="42"/>
        <v/>
      </c>
      <c r="L54" t="str">
        <f t="shared" si="43"/>
        <v/>
      </c>
      <c r="M54" t="str">
        <f t="shared" si="44"/>
        <v/>
      </c>
      <c r="O54" s="5">
        <f t="shared" si="13"/>
        <v>99</v>
      </c>
      <c r="P54" t="str">
        <f t="shared" si="45"/>
        <v/>
      </c>
      <c r="Q54" t="str">
        <f t="shared" si="46"/>
        <v/>
      </c>
      <c r="R54" t="str">
        <f t="shared" si="47"/>
        <v/>
      </c>
      <c r="S54" t="str">
        <f t="shared" si="48"/>
        <v/>
      </c>
      <c r="T54" t="str">
        <f t="shared" si="49"/>
        <v/>
      </c>
      <c r="V54">
        <f t="shared" si="15"/>
        <v>39</v>
      </c>
      <c r="AG54" s="4"/>
      <c r="AH54" s="4"/>
      <c r="AI54" s="14"/>
      <c r="BC54" s="4"/>
    </row>
    <row r="55" spans="1:55" x14ac:dyDescent="0.2">
      <c r="A55">
        <f t="shared" si="39"/>
        <v>54</v>
      </c>
      <c r="I55" t="str">
        <f t="shared" si="40"/>
        <v/>
      </c>
      <c r="J55" t="str">
        <f t="shared" si="41"/>
        <v/>
      </c>
      <c r="K55" t="str">
        <f t="shared" si="42"/>
        <v/>
      </c>
      <c r="L55" t="str">
        <f t="shared" si="43"/>
        <v/>
      </c>
      <c r="M55" t="str">
        <f t="shared" si="44"/>
        <v/>
      </c>
      <c r="O55" s="5">
        <f t="shared" si="13"/>
        <v>99</v>
      </c>
      <c r="P55" t="str">
        <f t="shared" si="45"/>
        <v/>
      </c>
      <c r="Q55" t="str">
        <f t="shared" si="46"/>
        <v/>
      </c>
      <c r="R55" t="str">
        <f t="shared" si="47"/>
        <v/>
      </c>
      <c r="S55" t="str">
        <f t="shared" si="48"/>
        <v/>
      </c>
      <c r="T55" t="str">
        <f t="shared" si="49"/>
        <v/>
      </c>
      <c r="V55">
        <f t="shared" si="15"/>
        <v>39</v>
      </c>
      <c r="AG55" s="4"/>
      <c r="AH55" s="4"/>
      <c r="AI55" s="14"/>
      <c r="BC55" s="4"/>
    </row>
    <row r="56" spans="1:55" x14ac:dyDescent="0.2">
      <c r="A56">
        <f t="shared" si="39"/>
        <v>55</v>
      </c>
      <c r="I56" t="str">
        <f t="shared" si="40"/>
        <v/>
      </c>
      <c r="J56" t="str">
        <f t="shared" si="41"/>
        <v/>
      </c>
      <c r="K56" t="str">
        <f t="shared" si="42"/>
        <v/>
      </c>
      <c r="L56" t="str">
        <f t="shared" si="43"/>
        <v/>
      </c>
      <c r="M56" t="str">
        <f t="shared" si="44"/>
        <v/>
      </c>
      <c r="O56" s="5">
        <f t="shared" si="13"/>
        <v>99</v>
      </c>
      <c r="P56" t="str">
        <f t="shared" si="45"/>
        <v/>
      </c>
      <c r="Q56" t="str">
        <f t="shared" si="46"/>
        <v/>
      </c>
      <c r="R56" t="str">
        <f t="shared" si="47"/>
        <v/>
      </c>
      <c r="S56" t="str">
        <f t="shared" si="48"/>
        <v/>
      </c>
      <c r="T56" t="str">
        <f t="shared" si="49"/>
        <v/>
      </c>
      <c r="V56">
        <f t="shared" si="15"/>
        <v>39</v>
      </c>
      <c r="AG56" s="4"/>
      <c r="AH56" s="4"/>
      <c r="AI56" s="14"/>
      <c r="BC56" s="4"/>
    </row>
    <row r="57" spans="1:55" x14ac:dyDescent="0.2">
      <c r="A57">
        <f t="shared" si="39"/>
        <v>56</v>
      </c>
      <c r="I57" t="str">
        <f t="shared" si="40"/>
        <v/>
      </c>
      <c r="J57" t="str">
        <f t="shared" si="41"/>
        <v/>
      </c>
      <c r="K57" t="str">
        <f t="shared" si="42"/>
        <v/>
      </c>
      <c r="L57" t="str">
        <f t="shared" si="43"/>
        <v/>
      </c>
      <c r="M57" t="str">
        <f t="shared" si="44"/>
        <v/>
      </c>
      <c r="O57" s="5">
        <f t="shared" si="13"/>
        <v>99</v>
      </c>
      <c r="P57" t="str">
        <f t="shared" si="45"/>
        <v/>
      </c>
      <c r="Q57" t="str">
        <f t="shared" si="46"/>
        <v/>
      </c>
      <c r="R57" t="str">
        <f t="shared" si="47"/>
        <v/>
      </c>
      <c r="S57" t="str">
        <f t="shared" si="48"/>
        <v/>
      </c>
      <c r="T57" t="str">
        <f t="shared" si="49"/>
        <v/>
      </c>
      <c r="V57">
        <f t="shared" si="15"/>
        <v>39</v>
      </c>
      <c r="AG57" s="4"/>
      <c r="AH57" s="4"/>
      <c r="AI57" s="14"/>
      <c r="BC57" s="4"/>
    </row>
    <row r="58" spans="1:55" x14ac:dyDescent="0.2">
      <c r="A58">
        <f t="shared" si="39"/>
        <v>57</v>
      </c>
      <c r="I58" t="str">
        <f t="shared" si="40"/>
        <v/>
      </c>
      <c r="J58" t="str">
        <f t="shared" si="41"/>
        <v/>
      </c>
      <c r="K58" t="str">
        <f t="shared" si="42"/>
        <v/>
      </c>
      <c r="L58" t="str">
        <f t="shared" si="43"/>
        <v/>
      </c>
      <c r="M58" t="str">
        <f t="shared" si="44"/>
        <v/>
      </c>
      <c r="O58" s="5">
        <f t="shared" si="13"/>
        <v>99</v>
      </c>
      <c r="P58" t="str">
        <f t="shared" si="45"/>
        <v/>
      </c>
      <c r="Q58" t="str">
        <f t="shared" si="46"/>
        <v/>
      </c>
      <c r="R58" t="str">
        <f t="shared" si="47"/>
        <v/>
      </c>
      <c r="S58" t="str">
        <f t="shared" si="48"/>
        <v/>
      </c>
      <c r="T58" t="str">
        <f t="shared" si="49"/>
        <v/>
      </c>
      <c r="V58">
        <f t="shared" si="15"/>
        <v>39</v>
      </c>
      <c r="AG58" s="4"/>
      <c r="AH58" s="4"/>
      <c r="AI58" s="14"/>
      <c r="BC58" s="4"/>
    </row>
    <row r="59" spans="1:55" x14ac:dyDescent="0.2">
      <c r="A59">
        <f t="shared" si="39"/>
        <v>58</v>
      </c>
      <c r="I59" t="str">
        <f t="shared" si="40"/>
        <v/>
      </c>
      <c r="J59" t="str">
        <f t="shared" si="41"/>
        <v/>
      </c>
      <c r="K59" t="str">
        <f t="shared" si="42"/>
        <v/>
      </c>
      <c r="L59" t="str">
        <f t="shared" si="43"/>
        <v/>
      </c>
      <c r="M59" t="str">
        <f t="shared" si="44"/>
        <v/>
      </c>
      <c r="O59" s="5">
        <f t="shared" si="13"/>
        <v>99</v>
      </c>
      <c r="P59" t="str">
        <f t="shared" si="45"/>
        <v/>
      </c>
      <c r="Q59" t="str">
        <f t="shared" si="46"/>
        <v/>
      </c>
      <c r="R59" t="str">
        <f t="shared" si="47"/>
        <v/>
      </c>
      <c r="S59" t="str">
        <f t="shared" si="48"/>
        <v/>
      </c>
      <c r="T59" t="str">
        <f t="shared" si="49"/>
        <v/>
      </c>
      <c r="V59">
        <f t="shared" si="15"/>
        <v>39</v>
      </c>
      <c r="AG59" s="4"/>
      <c r="AH59" s="4"/>
      <c r="AI59" s="14"/>
      <c r="BC59" s="4"/>
    </row>
    <row r="60" spans="1:55" x14ac:dyDescent="0.2">
      <c r="A60">
        <f t="shared" si="39"/>
        <v>59</v>
      </c>
      <c r="I60" t="str">
        <f t="shared" si="40"/>
        <v/>
      </c>
      <c r="J60" t="str">
        <f t="shared" si="41"/>
        <v/>
      </c>
      <c r="K60" t="str">
        <f t="shared" si="42"/>
        <v/>
      </c>
      <c r="L60" t="str">
        <f t="shared" si="43"/>
        <v/>
      </c>
      <c r="M60" t="str">
        <f t="shared" si="44"/>
        <v/>
      </c>
      <c r="O60" s="5">
        <f t="shared" si="13"/>
        <v>99</v>
      </c>
      <c r="P60" t="str">
        <f t="shared" si="45"/>
        <v/>
      </c>
      <c r="Q60" t="str">
        <f t="shared" si="46"/>
        <v/>
      </c>
      <c r="R60" t="str">
        <f t="shared" si="47"/>
        <v/>
      </c>
      <c r="S60" t="str">
        <f t="shared" si="48"/>
        <v/>
      </c>
      <c r="T60" t="str">
        <f t="shared" si="49"/>
        <v/>
      </c>
      <c r="V60">
        <f t="shared" si="15"/>
        <v>39</v>
      </c>
      <c r="AG60" s="4"/>
      <c r="AH60" s="4"/>
      <c r="AI60" s="14"/>
      <c r="BC60" s="4"/>
    </row>
    <row r="61" spans="1:55" x14ac:dyDescent="0.2">
      <c r="A61">
        <f t="shared" si="39"/>
        <v>60</v>
      </c>
      <c r="I61" t="str">
        <f t="shared" si="40"/>
        <v/>
      </c>
      <c r="J61" t="str">
        <f t="shared" si="41"/>
        <v/>
      </c>
      <c r="K61" t="str">
        <f t="shared" si="42"/>
        <v/>
      </c>
      <c r="L61" t="str">
        <f t="shared" si="43"/>
        <v/>
      </c>
      <c r="M61" t="str">
        <f t="shared" si="44"/>
        <v/>
      </c>
      <c r="O61" s="5">
        <f t="shared" si="13"/>
        <v>99</v>
      </c>
      <c r="P61" t="str">
        <f t="shared" si="45"/>
        <v/>
      </c>
      <c r="Q61" t="str">
        <f t="shared" si="46"/>
        <v/>
      </c>
      <c r="R61" t="str">
        <f t="shared" si="47"/>
        <v/>
      </c>
      <c r="S61" t="str">
        <f t="shared" si="48"/>
        <v/>
      </c>
      <c r="T61" t="str">
        <f t="shared" si="49"/>
        <v/>
      </c>
      <c r="V61">
        <f t="shared" si="15"/>
        <v>39</v>
      </c>
      <c r="AG61" s="4"/>
      <c r="AH61" s="4"/>
      <c r="AI61" s="14"/>
      <c r="BC61" s="4"/>
    </row>
    <row r="62" spans="1:55" x14ac:dyDescent="0.2">
      <c r="A62">
        <f t="shared" si="39"/>
        <v>61</v>
      </c>
      <c r="I62" t="str">
        <f t="shared" si="40"/>
        <v/>
      </c>
      <c r="J62" t="str">
        <f t="shared" si="41"/>
        <v/>
      </c>
      <c r="K62" t="str">
        <f t="shared" si="42"/>
        <v/>
      </c>
      <c r="L62" t="str">
        <f t="shared" si="43"/>
        <v/>
      </c>
      <c r="M62" t="str">
        <f t="shared" si="44"/>
        <v/>
      </c>
      <c r="O62" s="5">
        <f t="shared" si="13"/>
        <v>99</v>
      </c>
      <c r="P62" t="str">
        <f t="shared" si="45"/>
        <v/>
      </c>
      <c r="Q62" t="str">
        <f t="shared" si="46"/>
        <v/>
      </c>
      <c r="R62" t="str">
        <f t="shared" si="47"/>
        <v/>
      </c>
      <c r="S62" t="str">
        <f t="shared" si="48"/>
        <v/>
      </c>
      <c r="T62" t="str">
        <f t="shared" si="49"/>
        <v/>
      </c>
      <c r="V62">
        <f t="shared" si="15"/>
        <v>39</v>
      </c>
      <c r="AG62" s="4"/>
      <c r="AH62" s="4"/>
      <c r="AI62" s="14"/>
      <c r="BC62" s="4"/>
    </row>
    <row r="63" spans="1:55" x14ac:dyDescent="0.2">
      <c r="A63">
        <f t="shared" si="39"/>
        <v>62</v>
      </c>
      <c r="I63" t="str">
        <f t="shared" si="40"/>
        <v/>
      </c>
      <c r="J63" t="str">
        <f t="shared" si="41"/>
        <v/>
      </c>
      <c r="K63" t="str">
        <f t="shared" si="42"/>
        <v/>
      </c>
      <c r="L63" t="str">
        <f t="shared" si="43"/>
        <v/>
      </c>
      <c r="M63" t="str">
        <f t="shared" si="44"/>
        <v/>
      </c>
      <c r="O63" s="5">
        <f t="shared" si="13"/>
        <v>99</v>
      </c>
      <c r="P63" t="str">
        <f t="shared" si="45"/>
        <v/>
      </c>
      <c r="Q63" t="str">
        <f t="shared" si="46"/>
        <v/>
      </c>
      <c r="R63" t="str">
        <f t="shared" si="47"/>
        <v/>
      </c>
      <c r="S63" t="str">
        <f t="shared" si="48"/>
        <v/>
      </c>
      <c r="T63" t="str">
        <f t="shared" si="49"/>
        <v/>
      </c>
      <c r="V63">
        <f t="shared" si="15"/>
        <v>39</v>
      </c>
      <c r="AG63" s="4"/>
      <c r="AH63" s="4"/>
      <c r="AI63" s="14"/>
      <c r="BC63" s="4"/>
    </row>
    <row r="64" spans="1:55" x14ac:dyDescent="0.2">
      <c r="A64">
        <f t="shared" si="39"/>
        <v>63</v>
      </c>
      <c r="I64" t="str">
        <f t="shared" si="40"/>
        <v/>
      </c>
      <c r="J64" t="str">
        <f t="shared" si="41"/>
        <v/>
      </c>
      <c r="K64" t="str">
        <f t="shared" si="42"/>
        <v/>
      </c>
      <c r="L64" t="str">
        <f t="shared" si="43"/>
        <v/>
      </c>
      <c r="M64" t="str">
        <f t="shared" si="44"/>
        <v/>
      </c>
      <c r="O64" s="5">
        <f t="shared" si="13"/>
        <v>99</v>
      </c>
      <c r="P64" t="str">
        <f t="shared" si="45"/>
        <v/>
      </c>
      <c r="Q64" t="str">
        <f t="shared" si="46"/>
        <v/>
      </c>
      <c r="R64" t="str">
        <f t="shared" si="47"/>
        <v/>
      </c>
      <c r="S64" t="str">
        <f t="shared" si="48"/>
        <v/>
      </c>
      <c r="T64" t="str">
        <f t="shared" si="49"/>
        <v/>
      </c>
      <c r="V64">
        <f t="shared" si="15"/>
        <v>39</v>
      </c>
      <c r="AG64" s="4"/>
      <c r="AH64" s="4"/>
      <c r="AI64" s="14"/>
      <c r="BC64" s="4"/>
    </row>
    <row r="65" spans="1:55" x14ac:dyDescent="0.2">
      <c r="A65">
        <f t="shared" si="39"/>
        <v>64</v>
      </c>
      <c r="I65" t="str">
        <f t="shared" si="40"/>
        <v/>
      </c>
      <c r="J65" t="str">
        <f t="shared" si="41"/>
        <v/>
      </c>
      <c r="K65" t="str">
        <f t="shared" si="42"/>
        <v/>
      </c>
      <c r="L65" t="str">
        <f t="shared" si="43"/>
        <v/>
      </c>
      <c r="M65" t="str">
        <f t="shared" si="44"/>
        <v/>
      </c>
      <c r="O65" s="5">
        <f t="shared" si="13"/>
        <v>99</v>
      </c>
      <c r="P65" t="str">
        <f t="shared" si="45"/>
        <v/>
      </c>
      <c r="Q65" t="str">
        <f t="shared" si="46"/>
        <v/>
      </c>
      <c r="R65" t="str">
        <f t="shared" si="47"/>
        <v/>
      </c>
      <c r="S65" t="str">
        <f t="shared" si="48"/>
        <v/>
      </c>
      <c r="T65" t="str">
        <f t="shared" si="49"/>
        <v/>
      </c>
      <c r="V65">
        <f t="shared" si="15"/>
        <v>39</v>
      </c>
      <c r="AG65" s="4"/>
      <c r="AH65" s="4"/>
      <c r="AI65" s="14"/>
      <c r="BC65" s="4"/>
    </row>
    <row r="66" spans="1:55" x14ac:dyDescent="0.2">
      <c r="A66">
        <f t="shared" si="39"/>
        <v>65</v>
      </c>
      <c r="I66" t="str">
        <f t="shared" si="40"/>
        <v/>
      </c>
      <c r="J66" t="str">
        <f t="shared" si="41"/>
        <v/>
      </c>
      <c r="K66" t="str">
        <f t="shared" si="42"/>
        <v/>
      </c>
      <c r="L66" t="str">
        <f t="shared" si="43"/>
        <v/>
      </c>
      <c r="M66" t="str">
        <f t="shared" si="44"/>
        <v/>
      </c>
      <c r="O66" s="5">
        <f t="shared" si="13"/>
        <v>99</v>
      </c>
      <c r="P66" t="str">
        <f t="shared" si="45"/>
        <v/>
      </c>
      <c r="Q66" t="str">
        <f t="shared" si="46"/>
        <v/>
      </c>
      <c r="R66" t="str">
        <f t="shared" si="47"/>
        <v/>
      </c>
      <c r="S66" t="str">
        <f t="shared" si="48"/>
        <v/>
      </c>
      <c r="T66" t="str">
        <f t="shared" si="49"/>
        <v/>
      </c>
      <c r="V66">
        <f t="shared" si="15"/>
        <v>39</v>
      </c>
      <c r="AG66" s="4"/>
      <c r="AH66" s="4"/>
      <c r="AI66" s="14"/>
      <c r="BC66" s="4"/>
    </row>
    <row r="67" spans="1:55" x14ac:dyDescent="0.2">
      <c r="A67">
        <f t="shared" si="39"/>
        <v>66</v>
      </c>
      <c r="I67" t="str">
        <f t="shared" si="40"/>
        <v/>
      </c>
      <c r="J67" t="str">
        <f t="shared" si="41"/>
        <v/>
      </c>
      <c r="K67" t="str">
        <f t="shared" si="42"/>
        <v/>
      </c>
      <c r="L67" t="str">
        <f t="shared" si="43"/>
        <v/>
      </c>
      <c r="M67" t="str">
        <f t="shared" si="44"/>
        <v/>
      </c>
      <c r="O67" s="5">
        <f t="shared" si="13"/>
        <v>99</v>
      </c>
      <c r="P67" t="str">
        <f t="shared" si="45"/>
        <v/>
      </c>
      <c r="Q67" t="str">
        <f t="shared" si="46"/>
        <v/>
      </c>
      <c r="R67" t="str">
        <f t="shared" si="47"/>
        <v/>
      </c>
      <c r="S67" t="str">
        <f t="shared" si="48"/>
        <v/>
      </c>
      <c r="T67" t="str">
        <f t="shared" si="49"/>
        <v/>
      </c>
      <c r="V67">
        <f t="shared" si="15"/>
        <v>39</v>
      </c>
      <c r="AG67" s="4"/>
      <c r="AH67" s="4"/>
      <c r="AI67" s="14"/>
      <c r="BC67" s="4"/>
    </row>
    <row r="68" spans="1:55" x14ac:dyDescent="0.2">
      <c r="A68">
        <f t="shared" si="39"/>
        <v>67</v>
      </c>
      <c r="I68" t="str">
        <f t="shared" si="40"/>
        <v/>
      </c>
      <c r="J68" t="str">
        <f t="shared" si="41"/>
        <v/>
      </c>
      <c r="K68" t="str">
        <f t="shared" si="42"/>
        <v/>
      </c>
      <c r="L68" t="str">
        <f t="shared" si="43"/>
        <v/>
      </c>
      <c r="M68" t="str">
        <f t="shared" si="44"/>
        <v/>
      </c>
      <c r="O68" s="5">
        <f t="shared" ref="O68:O99" si="50">O67</f>
        <v>99</v>
      </c>
      <c r="P68" t="str">
        <f t="shared" si="45"/>
        <v/>
      </c>
      <c r="Q68" t="str">
        <f t="shared" si="46"/>
        <v/>
      </c>
      <c r="R68" t="str">
        <f t="shared" si="47"/>
        <v/>
      </c>
      <c r="S68" t="str">
        <f t="shared" si="48"/>
        <v/>
      </c>
      <c r="T68" t="str">
        <f t="shared" si="49"/>
        <v/>
      </c>
      <c r="V68">
        <f t="shared" ref="V68:V99" si="51">V67</f>
        <v>39</v>
      </c>
      <c r="AG68" s="4"/>
      <c r="AH68" s="4"/>
      <c r="AI68" s="14"/>
      <c r="BC68" s="4"/>
    </row>
    <row r="69" spans="1:55" x14ac:dyDescent="0.2">
      <c r="A69">
        <f t="shared" ref="A69:A99" si="52">A68+1</f>
        <v>68</v>
      </c>
      <c r="I69" t="str">
        <f t="shared" ref="I69:I99" si="53">IF($D69&gt;0,I68,"")</f>
        <v/>
      </c>
      <c r="J69" t="str">
        <f t="shared" ref="J69:J99" si="54">IF($D69&gt;0,J68,"")</f>
        <v/>
      </c>
      <c r="K69" t="str">
        <f t="shared" ref="K69:K99" si="55">IF($D69&gt;0,K68,"")</f>
        <v/>
      </c>
      <c r="L69" t="str">
        <f t="shared" ref="L69:L99" si="56">IF($D69&gt;0,L68,"")</f>
        <v/>
      </c>
      <c r="M69" t="str">
        <f t="shared" ref="M69:M99" si="57">IF($D69&gt;0,M68,"")</f>
        <v/>
      </c>
      <c r="O69" s="5">
        <f t="shared" si="50"/>
        <v>99</v>
      </c>
      <c r="P69" t="str">
        <f t="shared" ref="P69:P99" si="58">IF($D69&gt;0,P68,"")</f>
        <v/>
      </c>
      <c r="Q69" t="str">
        <f t="shared" ref="Q69:Q99" si="59">IF($D69&gt;0,Q68,"")</f>
        <v/>
      </c>
      <c r="R69" t="str">
        <f t="shared" ref="R69:R99" si="60">IF($D69&gt;0,R68,"")</f>
        <v/>
      </c>
      <c r="S69" t="str">
        <f t="shared" ref="S69:S99" si="61">IF($D69&gt;0,S68,"")</f>
        <v/>
      </c>
      <c r="T69" t="str">
        <f t="shared" ref="T69:T99" si="62">IF($D69&gt;0,T68,"")</f>
        <v/>
      </c>
      <c r="V69">
        <f t="shared" si="51"/>
        <v>39</v>
      </c>
      <c r="AG69" s="4"/>
      <c r="AH69" s="4"/>
      <c r="AI69" s="14"/>
      <c r="BC69" s="4"/>
    </row>
    <row r="70" spans="1:55" x14ac:dyDescent="0.2">
      <c r="A70">
        <f t="shared" si="52"/>
        <v>69</v>
      </c>
      <c r="I70" t="str">
        <f t="shared" si="53"/>
        <v/>
      </c>
      <c r="J70" t="str">
        <f t="shared" si="54"/>
        <v/>
      </c>
      <c r="K70" t="str">
        <f t="shared" si="55"/>
        <v/>
      </c>
      <c r="L70" t="str">
        <f t="shared" si="56"/>
        <v/>
      </c>
      <c r="M70" t="str">
        <f t="shared" si="57"/>
        <v/>
      </c>
      <c r="O70" s="5">
        <f t="shared" si="50"/>
        <v>99</v>
      </c>
      <c r="P70" t="str">
        <f t="shared" si="58"/>
        <v/>
      </c>
      <c r="Q70" t="str">
        <f t="shared" si="59"/>
        <v/>
      </c>
      <c r="R70" t="str">
        <f t="shared" si="60"/>
        <v/>
      </c>
      <c r="S70" t="str">
        <f t="shared" si="61"/>
        <v/>
      </c>
      <c r="T70" t="str">
        <f t="shared" si="62"/>
        <v/>
      </c>
      <c r="V70">
        <f t="shared" si="51"/>
        <v>39</v>
      </c>
      <c r="AG70" s="4"/>
      <c r="AH70" s="4"/>
      <c r="AI70" s="14"/>
      <c r="BC70" s="4"/>
    </row>
    <row r="71" spans="1:55" x14ac:dyDescent="0.2">
      <c r="A71">
        <f t="shared" si="52"/>
        <v>70</v>
      </c>
      <c r="I71" t="str">
        <f t="shared" si="53"/>
        <v/>
      </c>
      <c r="J71" t="str">
        <f t="shared" si="54"/>
        <v/>
      </c>
      <c r="K71" t="str">
        <f t="shared" si="55"/>
        <v/>
      </c>
      <c r="L71" t="str">
        <f t="shared" si="56"/>
        <v/>
      </c>
      <c r="M71" t="str">
        <f t="shared" si="57"/>
        <v/>
      </c>
      <c r="O71" s="5">
        <f t="shared" si="50"/>
        <v>99</v>
      </c>
      <c r="P71" t="str">
        <f t="shared" si="58"/>
        <v/>
      </c>
      <c r="Q71" t="str">
        <f t="shared" si="59"/>
        <v/>
      </c>
      <c r="R71" t="str">
        <f t="shared" si="60"/>
        <v/>
      </c>
      <c r="S71" t="str">
        <f t="shared" si="61"/>
        <v/>
      </c>
      <c r="T71" t="str">
        <f t="shared" si="62"/>
        <v/>
      </c>
      <c r="V71">
        <f t="shared" si="51"/>
        <v>39</v>
      </c>
      <c r="AG71" s="4"/>
      <c r="AH71" s="4"/>
      <c r="AI71" s="14"/>
      <c r="BC71" s="4"/>
    </row>
    <row r="72" spans="1:55" x14ac:dyDescent="0.2">
      <c r="A72">
        <f t="shared" si="52"/>
        <v>71</v>
      </c>
      <c r="I72" t="str">
        <f t="shared" si="53"/>
        <v/>
      </c>
      <c r="J72" t="str">
        <f t="shared" si="54"/>
        <v/>
      </c>
      <c r="K72" t="str">
        <f t="shared" si="55"/>
        <v/>
      </c>
      <c r="L72" t="str">
        <f t="shared" si="56"/>
        <v/>
      </c>
      <c r="M72" t="str">
        <f t="shared" si="57"/>
        <v/>
      </c>
      <c r="O72" s="5">
        <f t="shared" si="50"/>
        <v>99</v>
      </c>
      <c r="P72" t="str">
        <f t="shared" si="58"/>
        <v/>
      </c>
      <c r="Q72" t="str">
        <f t="shared" si="59"/>
        <v/>
      </c>
      <c r="R72" t="str">
        <f t="shared" si="60"/>
        <v/>
      </c>
      <c r="S72" t="str">
        <f t="shared" si="61"/>
        <v/>
      </c>
      <c r="T72" t="str">
        <f t="shared" si="62"/>
        <v/>
      </c>
      <c r="V72">
        <f t="shared" si="51"/>
        <v>39</v>
      </c>
      <c r="AG72" s="4"/>
      <c r="AH72" s="4"/>
      <c r="AI72" s="14"/>
      <c r="BC72" s="4"/>
    </row>
    <row r="73" spans="1:55" x14ac:dyDescent="0.2">
      <c r="A73">
        <f t="shared" si="52"/>
        <v>72</v>
      </c>
      <c r="I73" t="str">
        <f t="shared" si="53"/>
        <v/>
      </c>
      <c r="J73" t="str">
        <f t="shared" si="54"/>
        <v/>
      </c>
      <c r="K73" t="str">
        <f t="shared" si="55"/>
        <v/>
      </c>
      <c r="L73" t="str">
        <f t="shared" si="56"/>
        <v/>
      </c>
      <c r="M73" t="str">
        <f t="shared" si="57"/>
        <v/>
      </c>
      <c r="O73" s="5">
        <f t="shared" si="50"/>
        <v>99</v>
      </c>
      <c r="P73" t="str">
        <f t="shared" si="58"/>
        <v/>
      </c>
      <c r="Q73" t="str">
        <f t="shared" si="59"/>
        <v/>
      </c>
      <c r="R73" t="str">
        <f t="shared" si="60"/>
        <v/>
      </c>
      <c r="S73" t="str">
        <f t="shared" si="61"/>
        <v/>
      </c>
      <c r="T73" t="str">
        <f t="shared" si="62"/>
        <v/>
      </c>
      <c r="V73">
        <f t="shared" si="51"/>
        <v>39</v>
      </c>
      <c r="AG73" s="4"/>
      <c r="AH73" s="4"/>
      <c r="AI73" s="14"/>
      <c r="BC73" s="4"/>
    </row>
    <row r="74" spans="1:55" x14ac:dyDescent="0.2">
      <c r="A74">
        <f t="shared" si="52"/>
        <v>73</v>
      </c>
      <c r="I74" t="str">
        <f t="shared" si="53"/>
        <v/>
      </c>
      <c r="J74" t="str">
        <f t="shared" si="54"/>
        <v/>
      </c>
      <c r="K74" t="str">
        <f t="shared" si="55"/>
        <v/>
      </c>
      <c r="L74" t="str">
        <f t="shared" si="56"/>
        <v/>
      </c>
      <c r="M74" t="str">
        <f t="shared" si="57"/>
        <v/>
      </c>
      <c r="O74" s="5">
        <f t="shared" si="50"/>
        <v>99</v>
      </c>
      <c r="P74" t="str">
        <f t="shared" si="58"/>
        <v/>
      </c>
      <c r="Q74" t="str">
        <f t="shared" si="59"/>
        <v/>
      </c>
      <c r="R74" t="str">
        <f t="shared" si="60"/>
        <v/>
      </c>
      <c r="S74" t="str">
        <f t="shared" si="61"/>
        <v/>
      </c>
      <c r="T74" t="str">
        <f t="shared" si="62"/>
        <v/>
      </c>
      <c r="V74">
        <f t="shared" si="51"/>
        <v>39</v>
      </c>
      <c r="AG74" s="4"/>
      <c r="AH74" s="4"/>
      <c r="AI74" s="14"/>
      <c r="BC74" s="4"/>
    </row>
    <row r="75" spans="1:55" x14ac:dyDescent="0.2">
      <c r="A75">
        <f t="shared" si="52"/>
        <v>74</v>
      </c>
      <c r="I75" t="str">
        <f t="shared" si="53"/>
        <v/>
      </c>
      <c r="J75" t="str">
        <f t="shared" si="54"/>
        <v/>
      </c>
      <c r="K75" t="str">
        <f t="shared" si="55"/>
        <v/>
      </c>
      <c r="L75" t="str">
        <f t="shared" si="56"/>
        <v/>
      </c>
      <c r="M75" t="str">
        <f t="shared" si="57"/>
        <v/>
      </c>
      <c r="O75" s="5">
        <f t="shared" si="50"/>
        <v>99</v>
      </c>
      <c r="P75" t="str">
        <f t="shared" si="58"/>
        <v/>
      </c>
      <c r="Q75" t="str">
        <f t="shared" si="59"/>
        <v/>
      </c>
      <c r="R75" t="str">
        <f t="shared" si="60"/>
        <v/>
      </c>
      <c r="S75" t="str">
        <f t="shared" si="61"/>
        <v/>
      </c>
      <c r="T75" t="str">
        <f t="shared" si="62"/>
        <v/>
      </c>
      <c r="V75">
        <f t="shared" si="51"/>
        <v>39</v>
      </c>
      <c r="AG75" s="4"/>
      <c r="AH75" s="4"/>
      <c r="AI75" s="14"/>
      <c r="BC75" s="4"/>
    </row>
    <row r="76" spans="1:55" x14ac:dyDescent="0.2">
      <c r="A76">
        <f t="shared" si="52"/>
        <v>75</v>
      </c>
      <c r="I76" t="str">
        <f t="shared" si="53"/>
        <v/>
      </c>
      <c r="J76" t="str">
        <f t="shared" si="54"/>
        <v/>
      </c>
      <c r="K76" t="str">
        <f t="shared" si="55"/>
        <v/>
      </c>
      <c r="L76" t="str">
        <f t="shared" si="56"/>
        <v/>
      </c>
      <c r="M76" t="str">
        <f t="shared" si="57"/>
        <v/>
      </c>
      <c r="O76" s="5">
        <f t="shared" si="50"/>
        <v>99</v>
      </c>
      <c r="P76" t="str">
        <f t="shared" si="58"/>
        <v/>
      </c>
      <c r="Q76" t="str">
        <f t="shared" si="59"/>
        <v/>
      </c>
      <c r="R76" t="str">
        <f t="shared" si="60"/>
        <v/>
      </c>
      <c r="S76" t="str">
        <f t="shared" si="61"/>
        <v/>
      </c>
      <c r="T76" t="str">
        <f t="shared" si="62"/>
        <v/>
      </c>
      <c r="V76">
        <f t="shared" si="51"/>
        <v>39</v>
      </c>
      <c r="AG76" s="4"/>
      <c r="AH76" s="4"/>
      <c r="AI76" s="14"/>
      <c r="BC76" s="4"/>
    </row>
    <row r="77" spans="1:55" x14ac:dyDescent="0.2">
      <c r="A77">
        <f t="shared" si="52"/>
        <v>76</v>
      </c>
      <c r="I77" t="str">
        <f t="shared" si="53"/>
        <v/>
      </c>
      <c r="J77" t="str">
        <f t="shared" si="54"/>
        <v/>
      </c>
      <c r="K77" t="str">
        <f t="shared" si="55"/>
        <v/>
      </c>
      <c r="L77" t="str">
        <f t="shared" si="56"/>
        <v/>
      </c>
      <c r="M77" t="str">
        <f t="shared" si="57"/>
        <v/>
      </c>
      <c r="O77" s="5">
        <f t="shared" si="50"/>
        <v>99</v>
      </c>
      <c r="P77" t="str">
        <f t="shared" si="58"/>
        <v/>
      </c>
      <c r="Q77" t="str">
        <f t="shared" si="59"/>
        <v/>
      </c>
      <c r="R77" t="str">
        <f t="shared" si="60"/>
        <v/>
      </c>
      <c r="S77" t="str">
        <f t="shared" si="61"/>
        <v/>
      </c>
      <c r="T77" t="str">
        <f t="shared" si="62"/>
        <v/>
      </c>
      <c r="V77">
        <f t="shared" si="51"/>
        <v>39</v>
      </c>
      <c r="AG77" s="4"/>
      <c r="AH77" s="4"/>
      <c r="AI77" s="14"/>
      <c r="BC77" s="4"/>
    </row>
    <row r="78" spans="1:55" x14ac:dyDescent="0.2">
      <c r="A78">
        <f t="shared" si="52"/>
        <v>77</v>
      </c>
      <c r="I78" t="str">
        <f t="shared" si="53"/>
        <v/>
      </c>
      <c r="J78" t="str">
        <f t="shared" si="54"/>
        <v/>
      </c>
      <c r="K78" t="str">
        <f t="shared" si="55"/>
        <v/>
      </c>
      <c r="L78" t="str">
        <f t="shared" si="56"/>
        <v/>
      </c>
      <c r="M78" t="str">
        <f t="shared" si="57"/>
        <v/>
      </c>
      <c r="O78" s="5">
        <f t="shared" si="50"/>
        <v>99</v>
      </c>
      <c r="P78" t="str">
        <f t="shared" si="58"/>
        <v/>
      </c>
      <c r="Q78" t="str">
        <f t="shared" si="59"/>
        <v/>
      </c>
      <c r="R78" t="str">
        <f t="shared" si="60"/>
        <v/>
      </c>
      <c r="S78" t="str">
        <f t="shared" si="61"/>
        <v/>
      </c>
      <c r="T78" t="str">
        <f t="shared" si="62"/>
        <v/>
      </c>
      <c r="V78">
        <f t="shared" si="51"/>
        <v>39</v>
      </c>
      <c r="AG78" s="4"/>
      <c r="AH78" s="4"/>
      <c r="AI78" s="14"/>
      <c r="BC78" s="4"/>
    </row>
    <row r="79" spans="1:55" x14ac:dyDescent="0.2">
      <c r="A79">
        <f t="shared" si="52"/>
        <v>78</v>
      </c>
      <c r="I79" t="str">
        <f t="shared" si="53"/>
        <v/>
      </c>
      <c r="J79" t="str">
        <f t="shared" si="54"/>
        <v/>
      </c>
      <c r="K79" t="str">
        <f t="shared" si="55"/>
        <v/>
      </c>
      <c r="L79" t="str">
        <f t="shared" si="56"/>
        <v/>
      </c>
      <c r="M79" t="str">
        <f t="shared" si="57"/>
        <v/>
      </c>
      <c r="O79" s="5">
        <f t="shared" si="50"/>
        <v>99</v>
      </c>
      <c r="P79" t="str">
        <f t="shared" si="58"/>
        <v/>
      </c>
      <c r="Q79" t="str">
        <f t="shared" si="59"/>
        <v/>
      </c>
      <c r="R79" t="str">
        <f t="shared" si="60"/>
        <v/>
      </c>
      <c r="S79" t="str">
        <f t="shared" si="61"/>
        <v/>
      </c>
      <c r="T79" t="str">
        <f t="shared" si="62"/>
        <v/>
      </c>
      <c r="V79">
        <f t="shared" si="51"/>
        <v>39</v>
      </c>
      <c r="AG79" s="4"/>
      <c r="AH79" s="4"/>
      <c r="AI79" s="14"/>
      <c r="BC79" s="4"/>
    </row>
    <row r="80" spans="1:55" x14ac:dyDescent="0.2">
      <c r="A80">
        <f t="shared" si="52"/>
        <v>79</v>
      </c>
      <c r="I80" t="str">
        <f t="shared" si="53"/>
        <v/>
      </c>
      <c r="J80" t="str">
        <f t="shared" si="54"/>
        <v/>
      </c>
      <c r="K80" t="str">
        <f t="shared" si="55"/>
        <v/>
      </c>
      <c r="L80" t="str">
        <f t="shared" si="56"/>
        <v/>
      </c>
      <c r="M80" t="str">
        <f t="shared" si="57"/>
        <v/>
      </c>
      <c r="O80" s="5">
        <f t="shared" si="50"/>
        <v>99</v>
      </c>
      <c r="P80" t="str">
        <f t="shared" si="58"/>
        <v/>
      </c>
      <c r="Q80" t="str">
        <f t="shared" si="59"/>
        <v/>
      </c>
      <c r="R80" t="str">
        <f t="shared" si="60"/>
        <v/>
      </c>
      <c r="S80" t="str">
        <f t="shared" si="61"/>
        <v/>
      </c>
      <c r="T80" t="str">
        <f t="shared" si="62"/>
        <v/>
      </c>
      <c r="V80">
        <f t="shared" si="51"/>
        <v>39</v>
      </c>
      <c r="AG80" s="4"/>
      <c r="AH80" s="4"/>
      <c r="AI80" s="14"/>
      <c r="BC80" s="4"/>
    </row>
    <row r="81" spans="1:55" x14ac:dyDescent="0.2">
      <c r="A81">
        <f t="shared" si="52"/>
        <v>80</v>
      </c>
      <c r="I81" t="str">
        <f t="shared" si="53"/>
        <v/>
      </c>
      <c r="J81" t="str">
        <f t="shared" si="54"/>
        <v/>
      </c>
      <c r="K81" t="str">
        <f t="shared" si="55"/>
        <v/>
      </c>
      <c r="L81" t="str">
        <f t="shared" si="56"/>
        <v/>
      </c>
      <c r="M81" t="str">
        <f t="shared" si="57"/>
        <v/>
      </c>
      <c r="O81" s="5">
        <f t="shared" si="50"/>
        <v>99</v>
      </c>
      <c r="P81" t="str">
        <f t="shared" si="58"/>
        <v/>
      </c>
      <c r="Q81" t="str">
        <f t="shared" si="59"/>
        <v/>
      </c>
      <c r="R81" t="str">
        <f t="shared" si="60"/>
        <v/>
      </c>
      <c r="S81" t="str">
        <f t="shared" si="61"/>
        <v/>
      </c>
      <c r="T81" t="str">
        <f t="shared" si="62"/>
        <v/>
      </c>
      <c r="V81">
        <f t="shared" si="51"/>
        <v>39</v>
      </c>
      <c r="AG81" s="4"/>
      <c r="AH81" s="4"/>
      <c r="AI81" s="14"/>
      <c r="BC81" s="4"/>
    </row>
    <row r="82" spans="1:55" x14ac:dyDescent="0.2">
      <c r="A82">
        <f t="shared" si="52"/>
        <v>81</v>
      </c>
      <c r="I82" t="str">
        <f t="shared" si="53"/>
        <v/>
      </c>
      <c r="J82" t="str">
        <f t="shared" si="54"/>
        <v/>
      </c>
      <c r="K82" t="str">
        <f t="shared" si="55"/>
        <v/>
      </c>
      <c r="L82" t="str">
        <f t="shared" si="56"/>
        <v/>
      </c>
      <c r="M82" t="str">
        <f t="shared" si="57"/>
        <v/>
      </c>
      <c r="O82" s="5">
        <f t="shared" si="50"/>
        <v>99</v>
      </c>
      <c r="P82" t="str">
        <f t="shared" si="58"/>
        <v/>
      </c>
      <c r="Q82" t="str">
        <f t="shared" si="59"/>
        <v/>
      </c>
      <c r="R82" t="str">
        <f t="shared" si="60"/>
        <v/>
      </c>
      <c r="S82" t="str">
        <f t="shared" si="61"/>
        <v/>
      </c>
      <c r="T82" t="str">
        <f t="shared" si="62"/>
        <v/>
      </c>
      <c r="V82">
        <f t="shared" si="51"/>
        <v>39</v>
      </c>
      <c r="AG82" s="4"/>
      <c r="AH82" s="4"/>
      <c r="AI82" s="14"/>
      <c r="BC82" s="4"/>
    </row>
    <row r="83" spans="1:55" x14ac:dyDescent="0.2">
      <c r="A83">
        <f t="shared" si="52"/>
        <v>82</v>
      </c>
      <c r="I83" t="str">
        <f t="shared" si="53"/>
        <v/>
      </c>
      <c r="J83" t="str">
        <f t="shared" si="54"/>
        <v/>
      </c>
      <c r="K83" t="str">
        <f t="shared" si="55"/>
        <v/>
      </c>
      <c r="L83" t="str">
        <f t="shared" si="56"/>
        <v/>
      </c>
      <c r="M83" t="str">
        <f t="shared" si="57"/>
        <v/>
      </c>
      <c r="O83" s="5">
        <f t="shared" si="50"/>
        <v>99</v>
      </c>
      <c r="P83" t="str">
        <f t="shared" si="58"/>
        <v/>
      </c>
      <c r="Q83" t="str">
        <f t="shared" si="59"/>
        <v/>
      </c>
      <c r="R83" t="str">
        <f t="shared" si="60"/>
        <v/>
      </c>
      <c r="S83" t="str">
        <f t="shared" si="61"/>
        <v/>
      </c>
      <c r="T83" t="str">
        <f t="shared" si="62"/>
        <v/>
      </c>
      <c r="V83">
        <f t="shared" si="51"/>
        <v>39</v>
      </c>
      <c r="AG83" s="4"/>
      <c r="AH83" s="4"/>
      <c r="AI83" s="14"/>
      <c r="BC83" s="4"/>
    </row>
    <row r="84" spans="1:55" x14ac:dyDescent="0.2">
      <c r="A84">
        <f t="shared" si="52"/>
        <v>83</v>
      </c>
      <c r="I84" t="str">
        <f t="shared" si="53"/>
        <v/>
      </c>
      <c r="J84" t="str">
        <f t="shared" si="54"/>
        <v/>
      </c>
      <c r="K84" t="str">
        <f t="shared" si="55"/>
        <v/>
      </c>
      <c r="L84" t="str">
        <f t="shared" si="56"/>
        <v/>
      </c>
      <c r="M84" t="str">
        <f t="shared" si="57"/>
        <v/>
      </c>
      <c r="O84" s="5">
        <f t="shared" si="50"/>
        <v>99</v>
      </c>
      <c r="P84" t="str">
        <f t="shared" si="58"/>
        <v/>
      </c>
      <c r="Q84" t="str">
        <f t="shared" si="59"/>
        <v/>
      </c>
      <c r="R84" t="str">
        <f t="shared" si="60"/>
        <v/>
      </c>
      <c r="S84" t="str">
        <f t="shared" si="61"/>
        <v/>
      </c>
      <c r="T84" t="str">
        <f t="shared" si="62"/>
        <v/>
      </c>
      <c r="V84">
        <f t="shared" si="51"/>
        <v>39</v>
      </c>
      <c r="AG84" s="4"/>
      <c r="AH84" s="4"/>
      <c r="AI84" s="14"/>
      <c r="BC84" s="4"/>
    </row>
    <row r="85" spans="1:55" x14ac:dyDescent="0.2">
      <c r="A85">
        <f t="shared" si="52"/>
        <v>84</v>
      </c>
      <c r="I85" t="str">
        <f t="shared" si="53"/>
        <v/>
      </c>
      <c r="J85" t="str">
        <f t="shared" si="54"/>
        <v/>
      </c>
      <c r="K85" t="str">
        <f t="shared" si="55"/>
        <v/>
      </c>
      <c r="L85" t="str">
        <f t="shared" si="56"/>
        <v/>
      </c>
      <c r="M85" t="str">
        <f t="shared" si="57"/>
        <v/>
      </c>
      <c r="O85" s="5">
        <f t="shared" si="50"/>
        <v>99</v>
      </c>
      <c r="P85" t="str">
        <f t="shared" si="58"/>
        <v/>
      </c>
      <c r="Q85" t="str">
        <f t="shared" si="59"/>
        <v/>
      </c>
      <c r="R85" t="str">
        <f t="shared" si="60"/>
        <v/>
      </c>
      <c r="S85" t="str">
        <f t="shared" si="61"/>
        <v/>
      </c>
      <c r="T85" t="str">
        <f t="shared" si="62"/>
        <v/>
      </c>
      <c r="V85">
        <f t="shared" si="51"/>
        <v>39</v>
      </c>
      <c r="AG85" s="4"/>
      <c r="AH85" s="4"/>
      <c r="AI85" s="14"/>
      <c r="BC85" s="4"/>
    </row>
    <row r="86" spans="1:55" x14ac:dyDescent="0.2">
      <c r="A86">
        <f t="shared" si="52"/>
        <v>85</v>
      </c>
      <c r="I86" t="str">
        <f t="shared" si="53"/>
        <v/>
      </c>
      <c r="J86" t="str">
        <f t="shared" si="54"/>
        <v/>
      </c>
      <c r="K86" t="str">
        <f t="shared" si="55"/>
        <v/>
      </c>
      <c r="L86" t="str">
        <f t="shared" si="56"/>
        <v/>
      </c>
      <c r="M86" t="str">
        <f t="shared" si="57"/>
        <v/>
      </c>
      <c r="O86" s="5">
        <f t="shared" si="50"/>
        <v>99</v>
      </c>
      <c r="P86" t="str">
        <f t="shared" si="58"/>
        <v/>
      </c>
      <c r="Q86" t="str">
        <f t="shared" si="59"/>
        <v/>
      </c>
      <c r="R86" t="str">
        <f t="shared" si="60"/>
        <v/>
      </c>
      <c r="S86" t="str">
        <f t="shared" si="61"/>
        <v/>
      </c>
      <c r="T86" t="str">
        <f t="shared" si="62"/>
        <v/>
      </c>
      <c r="V86">
        <f t="shared" si="51"/>
        <v>39</v>
      </c>
      <c r="AG86" s="4"/>
      <c r="AH86" s="4"/>
      <c r="AI86" s="14"/>
      <c r="BC86" s="4"/>
    </row>
    <row r="87" spans="1:55" x14ac:dyDescent="0.2">
      <c r="A87">
        <f t="shared" si="52"/>
        <v>86</v>
      </c>
      <c r="I87" t="str">
        <f t="shared" si="53"/>
        <v/>
      </c>
      <c r="J87" t="str">
        <f t="shared" si="54"/>
        <v/>
      </c>
      <c r="K87" t="str">
        <f t="shared" si="55"/>
        <v/>
      </c>
      <c r="L87" t="str">
        <f t="shared" si="56"/>
        <v/>
      </c>
      <c r="M87" t="str">
        <f t="shared" si="57"/>
        <v/>
      </c>
      <c r="O87" s="5">
        <f t="shared" si="50"/>
        <v>99</v>
      </c>
      <c r="P87" t="str">
        <f t="shared" si="58"/>
        <v/>
      </c>
      <c r="Q87" t="str">
        <f t="shared" si="59"/>
        <v/>
      </c>
      <c r="R87" t="str">
        <f t="shared" si="60"/>
        <v/>
      </c>
      <c r="S87" t="str">
        <f t="shared" si="61"/>
        <v/>
      </c>
      <c r="T87" t="str">
        <f t="shared" si="62"/>
        <v/>
      </c>
      <c r="V87">
        <f t="shared" si="51"/>
        <v>39</v>
      </c>
      <c r="AG87" s="4"/>
      <c r="AH87" s="4"/>
      <c r="AI87" s="14"/>
      <c r="BC87" s="4"/>
    </row>
    <row r="88" spans="1:55" x14ac:dyDescent="0.2">
      <c r="A88">
        <f t="shared" si="52"/>
        <v>87</v>
      </c>
      <c r="I88" t="str">
        <f t="shared" si="53"/>
        <v/>
      </c>
      <c r="J88" t="str">
        <f t="shared" si="54"/>
        <v/>
      </c>
      <c r="K88" t="str">
        <f t="shared" si="55"/>
        <v/>
      </c>
      <c r="L88" t="str">
        <f t="shared" si="56"/>
        <v/>
      </c>
      <c r="M88" t="str">
        <f t="shared" si="57"/>
        <v/>
      </c>
      <c r="O88" s="5">
        <f t="shared" si="50"/>
        <v>99</v>
      </c>
      <c r="P88" t="str">
        <f t="shared" si="58"/>
        <v/>
      </c>
      <c r="Q88" t="str">
        <f t="shared" si="59"/>
        <v/>
      </c>
      <c r="R88" t="str">
        <f t="shared" si="60"/>
        <v/>
      </c>
      <c r="S88" t="str">
        <f t="shared" si="61"/>
        <v/>
      </c>
      <c r="T88" t="str">
        <f t="shared" si="62"/>
        <v/>
      </c>
      <c r="V88">
        <f t="shared" si="51"/>
        <v>39</v>
      </c>
      <c r="AG88" s="4"/>
      <c r="AH88" s="4"/>
      <c r="AI88" s="14"/>
      <c r="BC88" s="4"/>
    </row>
    <row r="89" spans="1:55" x14ac:dyDescent="0.2">
      <c r="A89">
        <f t="shared" si="52"/>
        <v>88</v>
      </c>
      <c r="I89" t="str">
        <f t="shared" si="53"/>
        <v/>
      </c>
      <c r="J89" t="str">
        <f t="shared" si="54"/>
        <v/>
      </c>
      <c r="K89" t="str">
        <f t="shared" si="55"/>
        <v/>
      </c>
      <c r="L89" t="str">
        <f t="shared" si="56"/>
        <v/>
      </c>
      <c r="M89" t="str">
        <f t="shared" si="57"/>
        <v/>
      </c>
      <c r="O89" s="5">
        <f t="shared" si="50"/>
        <v>99</v>
      </c>
      <c r="P89" t="str">
        <f t="shared" si="58"/>
        <v/>
      </c>
      <c r="Q89" t="str">
        <f t="shared" si="59"/>
        <v/>
      </c>
      <c r="R89" t="str">
        <f t="shared" si="60"/>
        <v/>
      </c>
      <c r="S89" t="str">
        <f t="shared" si="61"/>
        <v/>
      </c>
      <c r="T89" t="str">
        <f t="shared" si="62"/>
        <v/>
      </c>
      <c r="V89">
        <f t="shared" si="51"/>
        <v>39</v>
      </c>
      <c r="AG89" s="4"/>
      <c r="AH89" s="4"/>
      <c r="AI89" s="14"/>
      <c r="BC89" s="4"/>
    </row>
    <row r="90" spans="1:55" x14ac:dyDescent="0.2">
      <c r="A90">
        <f t="shared" si="52"/>
        <v>89</v>
      </c>
      <c r="I90" t="str">
        <f t="shared" si="53"/>
        <v/>
      </c>
      <c r="J90" t="str">
        <f t="shared" si="54"/>
        <v/>
      </c>
      <c r="K90" t="str">
        <f t="shared" si="55"/>
        <v/>
      </c>
      <c r="L90" t="str">
        <f t="shared" si="56"/>
        <v/>
      </c>
      <c r="M90" t="str">
        <f t="shared" si="57"/>
        <v/>
      </c>
      <c r="O90" s="5">
        <f t="shared" si="50"/>
        <v>99</v>
      </c>
      <c r="P90" t="str">
        <f t="shared" si="58"/>
        <v/>
      </c>
      <c r="Q90" t="str">
        <f t="shared" si="59"/>
        <v/>
      </c>
      <c r="R90" t="str">
        <f t="shared" si="60"/>
        <v/>
      </c>
      <c r="S90" t="str">
        <f t="shared" si="61"/>
        <v/>
      </c>
      <c r="T90" t="str">
        <f t="shared" si="62"/>
        <v/>
      </c>
      <c r="V90">
        <f t="shared" si="51"/>
        <v>39</v>
      </c>
      <c r="AG90" s="4"/>
      <c r="AH90" s="4"/>
      <c r="AI90" s="14"/>
      <c r="BC90" s="4"/>
    </row>
    <row r="91" spans="1:55" x14ac:dyDescent="0.2">
      <c r="A91">
        <f t="shared" si="52"/>
        <v>90</v>
      </c>
      <c r="I91" t="str">
        <f t="shared" si="53"/>
        <v/>
      </c>
      <c r="J91" t="str">
        <f t="shared" si="54"/>
        <v/>
      </c>
      <c r="K91" t="str">
        <f t="shared" si="55"/>
        <v/>
      </c>
      <c r="L91" t="str">
        <f t="shared" si="56"/>
        <v/>
      </c>
      <c r="M91" t="str">
        <f t="shared" si="57"/>
        <v/>
      </c>
      <c r="O91" s="5">
        <f t="shared" si="50"/>
        <v>99</v>
      </c>
      <c r="P91" t="str">
        <f t="shared" si="58"/>
        <v/>
      </c>
      <c r="Q91" t="str">
        <f t="shared" si="59"/>
        <v/>
      </c>
      <c r="R91" t="str">
        <f t="shared" si="60"/>
        <v/>
      </c>
      <c r="S91" t="str">
        <f t="shared" si="61"/>
        <v/>
      </c>
      <c r="T91" t="str">
        <f t="shared" si="62"/>
        <v/>
      </c>
      <c r="V91">
        <f t="shared" si="51"/>
        <v>39</v>
      </c>
      <c r="AG91" s="4"/>
      <c r="AH91" s="4"/>
      <c r="AI91" s="14"/>
      <c r="BC91" s="4"/>
    </row>
    <row r="92" spans="1:55" x14ac:dyDescent="0.2">
      <c r="A92">
        <f t="shared" si="52"/>
        <v>91</v>
      </c>
      <c r="I92" t="str">
        <f t="shared" si="53"/>
        <v/>
      </c>
      <c r="J92" t="str">
        <f t="shared" si="54"/>
        <v/>
      </c>
      <c r="K92" t="str">
        <f t="shared" si="55"/>
        <v/>
      </c>
      <c r="L92" t="str">
        <f t="shared" si="56"/>
        <v/>
      </c>
      <c r="M92" t="str">
        <f t="shared" si="57"/>
        <v/>
      </c>
      <c r="O92" s="5">
        <f t="shared" si="50"/>
        <v>99</v>
      </c>
      <c r="P92" t="str">
        <f t="shared" si="58"/>
        <v/>
      </c>
      <c r="Q92" t="str">
        <f t="shared" si="59"/>
        <v/>
      </c>
      <c r="R92" t="str">
        <f t="shared" si="60"/>
        <v/>
      </c>
      <c r="S92" t="str">
        <f t="shared" si="61"/>
        <v/>
      </c>
      <c r="T92" t="str">
        <f t="shared" si="62"/>
        <v/>
      </c>
      <c r="V92">
        <f t="shared" si="51"/>
        <v>39</v>
      </c>
      <c r="AG92" s="4"/>
      <c r="AH92" s="4"/>
      <c r="AI92" s="14"/>
      <c r="BC92" s="4"/>
    </row>
    <row r="93" spans="1:55" x14ac:dyDescent="0.2">
      <c r="A93">
        <f t="shared" si="52"/>
        <v>92</v>
      </c>
      <c r="I93" t="str">
        <f t="shared" si="53"/>
        <v/>
      </c>
      <c r="J93" t="str">
        <f t="shared" si="54"/>
        <v/>
      </c>
      <c r="K93" t="str">
        <f t="shared" si="55"/>
        <v/>
      </c>
      <c r="L93" t="str">
        <f t="shared" si="56"/>
        <v/>
      </c>
      <c r="M93" t="str">
        <f t="shared" si="57"/>
        <v/>
      </c>
      <c r="O93" s="5">
        <f t="shared" si="50"/>
        <v>99</v>
      </c>
      <c r="P93" t="str">
        <f t="shared" si="58"/>
        <v/>
      </c>
      <c r="Q93" t="str">
        <f t="shared" si="59"/>
        <v/>
      </c>
      <c r="R93" t="str">
        <f t="shared" si="60"/>
        <v/>
      </c>
      <c r="S93" t="str">
        <f t="shared" si="61"/>
        <v/>
      </c>
      <c r="T93" t="str">
        <f t="shared" si="62"/>
        <v/>
      </c>
      <c r="V93">
        <f t="shared" si="51"/>
        <v>39</v>
      </c>
      <c r="AG93" s="4"/>
      <c r="AH93" s="4"/>
      <c r="AI93" s="14"/>
      <c r="BC93" s="4"/>
    </row>
    <row r="94" spans="1:55" x14ac:dyDescent="0.2">
      <c r="A94">
        <f t="shared" si="52"/>
        <v>93</v>
      </c>
      <c r="I94" t="str">
        <f t="shared" si="53"/>
        <v/>
      </c>
      <c r="J94" t="str">
        <f t="shared" si="54"/>
        <v/>
      </c>
      <c r="K94" t="str">
        <f t="shared" si="55"/>
        <v/>
      </c>
      <c r="L94" t="str">
        <f t="shared" si="56"/>
        <v/>
      </c>
      <c r="M94" t="str">
        <f t="shared" si="57"/>
        <v/>
      </c>
      <c r="O94" s="5">
        <f t="shared" si="50"/>
        <v>99</v>
      </c>
      <c r="P94" t="str">
        <f t="shared" si="58"/>
        <v/>
      </c>
      <c r="Q94" t="str">
        <f t="shared" si="59"/>
        <v/>
      </c>
      <c r="R94" t="str">
        <f t="shared" si="60"/>
        <v/>
      </c>
      <c r="S94" t="str">
        <f t="shared" si="61"/>
        <v/>
      </c>
      <c r="T94" t="str">
        <f t="shared" si="62"/>
        <v/>
      </c>
      <c r="V94">
        <f t="shared" si="51"/>
        <v>39</v>
      </c>
      <c r="AG94" s="4"/>
      <c r="AH94" s="4"/>
      <c r="AI94" s="14"/>
      <c r="BC94" s="4"/>
    </row>
    <row r="95" spans="1:55" x14ac:dyDescent="0.2">
      <c r="A95">
        <f t="shared" si="52"/>
        <v>94</v>
      </c>
      <c r="I95" t="str">
        <f t="shared" si="53"/>
        <v/>
      </c>
      <c r="J95" t="str">
        <f t="shared" si="54"/>
        <v/>
      </c>
      <c r="K95" t="str">
        <f t="shared" si="55"/>
        <v/>
      </c>
      <c r="L95" t="str">
        <f t="shared" si="56"/>
        <v/>
      </c>
      <c r="M95" t="str">
        <f t="shared" si="57"/>
        <v/>
      </c>
      <c r="O95" s="5">
        <f t="shared" si="50"/>
        <v>99</v>
      </c>
      <c r="P95" t="str">
        <f t="shared" si="58"/>
        <v/>
      </c>
      <c r="Q95" t="str">
        <f t="shared" si="59"/>
        <v/>
      </c>
      <c r="R95" t="str">
        <f t="shared" si="60"/>
        <v/>
      </c>
      <c r="S95" t="str">
        <f t="shared" si="61"/>
        <v/>
      </c>
      <c r="T95" t="str">
        <f t="shared" si="62"/>
        <v/>
      </c>
      <c r="V95">
        <f t="shared" si="51"/>
        <v>39</v>
      </c>
      <c r="AG95" s="4"/>
      <c r="AH95" s="4"/>
      <c r="AI95" s="14"/>
      <c r="BC95" s="4"/>
    </row>
    <row r="96" spans="1:55" x14ac:dyDescent="0.2">
      <c r="A96">
        <f t="shared" si="52"/>
        <v>95</v>
      </c>
      <c r="I96" t="str">
        <f t="shared" si="53"/>
        <v/>
      </c>
      <c r="J96" t="str">
        <f t="shared" si="54"/>
        <v/>
      </c>
      <c r="K96" t="str">
        <f t="shared" si="55"/>
        <v/>
      </c>
      <c r="L96" t="str">
        <f t="shared" si="56"/>
        <v/>
      </c>
      <c r="M96" t="str">
        <f t="shared" si="57"/>
        <v/>
      </c>
      <c r="O96" s="5">
        <f t="shared" si="50"/>
        <v>99</v>
      </c>
      <c r="P96" t="str">
        <f t="shared" si="58"/>
        <v/>
      </c>
      <c r="Q96" t="str">
        <f t="shared" si="59"/>
        <v/>
      </c>
      <c r="R96" t="str">
        <f t="shared" si="60"/>
        <v/>
      </c>
      <c r="S96" t="str">
        <f t="shared" si="61"/>
        <v/>
      </c>
      <c r="T96" t="str">
        <f t="shared" si="62"/>
        <v/>
      </c>
      <c r="V96">
        <f t="shared" si="51"/>
        <v>39</v>
      </c>
      <c r="AG96" s="4"/>
      <c r="AH96" s="4"/>
      <c r="AI96" s="14"/>
      <c r="BC96" s="4"/>
    </row>
    <row r="97" spans="1:55" x14ac:dyDescent="0.2">
      <c r="A97">
        <f t="shared" si="52"/>
        <v>96</v>
      </c>
      <c r="I97" t="str">
        <f t="shared" si="53"/>
        <v/>
      </c>
      <c r="J97" t="str">
        <f t="shared" si="54"/>
        <v/>
      </c>
      <c r="K97" t="str">
        <f t="shared" si="55"/>
        <v/>
      </c>
      <c r="L97" t="str">
        <f t="shared" si="56"/>
        <v/>
      </c>
      <c r="M97" t="str">
        <f t="shared" si="57"/>
        <v/>
      </c>
      <c r="O97" s="5">
        <f t="shared" si="50"/>
        <v>99</v>
      </c>
      <c r="P97" t="str">
        <f t="shared" si="58"/>
        <v/>
      </c>
      <c r="Q97" t="str">
        <f t="shared" si="59"/>
        <v/>
      </c>
      <c r="R97" t="str">
        <f t="shared" si="60"/>
        <v/>
      </c>
      <c r="S97" t="str">
        <f t="shared" si="61"/>
        <v/>
      </c>
      <c r="T97" t="str">
        <f t="shared" si="62"/>
        <v/>
      </c>
      <c r="V97">
        <f t="shared" si="51"/>
        <v>39</v>
      </c>
      <c r="AG97" s="4"/>
      <c r="AH97" s="4"/>
      <c r="AI97" s="14"/>
      <c r="BC97" s="4"/>
    </row>
    <row r="98" spans="1:55" x14ac:dyDescent="0.2">
      <c r="A98">
        <f t="shared" si="52"/>
        <v>97</v>
      </c>
      <c r="I98" t="str">
        <f t="shared" si="53"/>
        <v/>
      </c>
      <c r="J98" t="str">
        <f t="shared" si="54"/>
        <v/>
      </c>
      <c r="K98" t="str">
        <f t="shared" si="55"/>
        <v/>
      </c>
      <c r="L98" t="str">
        <f t="shared" si="56"/>
        <v/>
      </c>
      <c r="M98" t="str">
        <f t="shared" si="57"/>
        <v/>
      </c>
      <c r="O98" s="5">
        <f t="shared" si="50"/>
        <v>99</v>
      </c>
      <c r="P98" t="str">
        <f t="shared" si="58"/>
        <v/>
      </c>
      <c r="Q98" t="str">
        <f t="shared" si="59"/>
        <v/>
      </c>
      <c r="R98" t="str">
        <f t="shared" si="60"/>
        <v/>
      </c>
      <c r="S98" t="str">
        <f t="shared" si="61"/>
        <v/>
      </c>
      <c r="T98" t="str">
        <f t="shared" si="62"/>
        <v/>
      </c>
      <c r="V98">
        <f t="shared" si="51"/>
        <v>39</v>
      </c>
      <c r="AG98" s="4"/>
      <c r="AH98" s="4"/>
      <c r="AI98" s="14"/>
      <c r="BC98" s="4"/>
    </row>
    <row r="99" spans="1:55" x14ac:dyDescent="0.2">
      <c r="A99">
        <f t="shared" si="52"/>
        <v>98</v>
      </c>
      <c r="I99" t="str">
        <f t="shared" si="53"/>
        <v/>
      </c>
      <c r="J99" t="str">
        <f t="shared" si="54"/>
        <v/>
      </c>
      <c r="K99" t="str">
        <f t="shared" si="55"/>
        <v/>
      </c>
      <c r="L99" t="str">
        <f t="shared" si="56"/>
        <v/>
      </c>
      <c r="M99" t="str">
        <f t="shared" si="57"/>
        <v/>
      </c>
      <c r="O99" s="5">
        <f t="shared" si="50"/>
        <v>99</v>
      </c>
      <c r="P99" t="str">
        <f t="shared" si="58"/>
        <v/>
      </c>
      <c r="Q99" t="str">
        <f t="shared" si="59"/>
        <v/>
      </c>
      <c r="R99" t="str">
        <f t="shared" si="60"/>
        <v/>
      </c>
      <c r="S99" t="str">
        <f t="shared" si="61"/>
        <v/>
      </c>
      <c r="T99" t="str">
        <f t="shared" si="62"/>
        <v/>
      </c>
      <c r="V99">
        <f t="shared" si="51"/>
        <v>39</v>
      </c>
      <c r="AG99" s="4"/>
      <c r="AH99" s="4"/>
      <c r="AI99" s="14"/>
      <c r="BC99" s="4"/>
    </row>
    <row r="100" spans="1:55" x14ac:dyDescent="0.2">
      <c r="P100"/>
      <c r="AG100" s="4"/>
      <c r="AH100" s="4"/>
      <c r="AI100" s="14"/>
      <c r="BC100" s="4"/>
    </row>
    <row r="101" spans="1:55" x14ac:dyDescent="0.2">
      <c r="P101"/>
      <c r="AG101" s="4"/>
      <c r="AH101" s="4"/>
      <c r="AI101" s="14"/>
      <c r="BC101" s="4"/>
    </row>
    <row r="102" spans="1:55" x14ac:dyDescent="0.2">
      <c r="P102"/>
      <c r="AG102" s="4"/>
      <c r="AH102" s="4"/>
      <c r="AI102" s="14"/>
      <c r="BC102" s="4"/>
    </row>
    <row r="103" spans="1:55" x14ac:dyDescent="0.2">
      <c r="P103"/>
      <c r="AG103" s="4"/>
      <c r="AH103" s="4"/>
      <c r="AI103" s="14"/>
      <c r="BC103" s="4"/>
    </row>
    <row r="104" spans="1:55" x14ac:dyDescent="0.2">
      <c r="P104"/>
      <c r="AG104" s="4"/>
      <c r="AH104" s="4"/>
      <c r="AI104" s="14"/>
      <c r="BC104" s="4"/>
    </row>
    <row r="105" spans="1:55" x14ac:dyDescent="0.2">
      <c r="P105"/>
      <c r="AG105" s="4"/>
      <c r="AH105" s="4"/>
      <c r="AI105" s="14"/>
      <c r="BC105" s="4"/>
    </row>
    <row r="106" spans="1:55" x14ac:dyDescent="0.2">
      <c r="P106"/>
      <c r="AG106" s="4"/>
      <c r="AH106" s="4"/>
      <c r="AI106" s="14"/>
      <c r="BC106" s="4"/>
    </row>
    <row r="107" spans="1:55" x14ac:dyDescent="0.2">
      <c r="P107"/>
      <c r="AG107" s="4"/>
      <c r="AH107" s="4"/>
      <c r="AI107" s="14"/>
      <c r="BC107" s="4"/>
    </row>
    <row r="108" spans="1:55" x14ac:dyDescent="0.2">
      <c r="P108"/>
      <c r="AG108" s="4"/>
      <c r="AH108" s="4"/>
      <c r="AI108" s="14"/>
      <c r="BC108" s="4"/>
    </row>
    <row r="109" spans="1:55" x14ac:dyDescent="0.2">
      <c r="P109"/>
      <c r="AG109" s="4"/>
      <c r="AH109" s="4"/>
      <c r="AI109" s="14"/>
      <c r="BC109" s="4"/>
    </row>
    <row r="110" spans="1:55" x14ac:dyDescent="0.2">
      <c r="P110"/>
      <c r="AG110" s="4"/>
      <c r="AH110" s="4"/>
      <c r="AI110" s="14"/>
      <c r="BC110" s="4"/>
    </row>
    <row r="111" spans="1:55" x14ac:dyDescent="0.2">
      <c r="P111"/>
      <c r="AG111" s="4"/>
      <c r="AH111" s="4"/>
      <c r="AI111" s="14"/>
      <c r="BC111" s="4"/>
    </row>
    <row r="112" spans="1:55" x14ac:dyDescent="0.2">
      <c r="P112"/>
      <c r="AG112" s="4"/>
      <c r="AH112" s="4"/>
      <c r="AI112" s="14"/>
      <c r="BC112" s="4"/>
    </row>
    <row r="113" spans="16:55" x14ac:dyDescent="0.2">
      <c r="P113"/>
      <c r="AG113" s="4"/>
      <c r="AH113" s="4"/>
      <c r="AI113" s="14"/>
      <c r="BC113" s="4"/>
    </row>
    <row r="114" spans="16:55" x14ac:dyDescent="0.2">
      <c r="P114"/>
      <c r="AG114" s="4"/>
      <c r="AH114" s="4"/>
      <c r="AI114" s="14"/>
      <c r="BC114" s="4"/>
    </row>
    <row r="115" spans="16:55" x14ac:dyDescent="0.2">
      <c r="P115"/>
      <c r="AG115" s="4"/>
      <c r="AH115" s="4"/>
      <c r="AI115" s="14"/>
      <c r="BC115" s="4"/>
    </row>
    <row r="116" spans="16:55" x14ac:dyDescent="0.2">
      <c r="P116"/>
      <c r="AG116" s="4"/>
      <c r="AH116" s="4"/>
      <c r="AI116" s="14"/>
      <c r="BC116" s="4"/>
    </row>
    <row r="117" spans="16:55" x14ac:dyDescent="0.2">
      <c r="P117"/>
      <c r="AG117" s="4"/>
      <c r="AH117" s="4"/>
      <c r="AI117" s="14"/>
      <c r="BC117" s="4"/>
    </row>
    <row r="118" spans="16:55" x14ac:dyDescent="0.2">
      <c r="P118"/>
      <c r="AG118" s="4"/>
      <c r="AH118" s="4"/>
      <c r="AI118" s="14"/>
      <c r="BC118" s="4"/>
    </row>
    <row r="119" spans="16:55" x14ac:dyDescent="0.2">
      <c r="P119"/>
      <c r="AG119" s="4"/>
      <c r="AH119" s="4"/>
      <c r="AI119" s="14"/>
      <c r="BC119" s="4"/>
    </row>
    <row r="120" spans="16:55" x14ac:dyDescent="0.2">
      <c r="P120"/>
      <c r="AG120" s="4"/>
      <c r="AH120" s="4"/>
      <c r="AI120" s="14"/>
      <c r="BC120" s="4"/>
    </row>
    <row r="121" spans="16:55" x14ac:dyDescent="0.2">
      <c r="P121"/>
      <c r="AG121" s="4"/>
      <c r="AH121" s="4"/>
      <c r="AI121" s="14"/>
      <c r="BC121" s="4"/>
    </row>
    <row r="122" spans="16:55" x14ac:dyDescent="0.2">
      <c r="P122"/>
      <c r="AG122" s="4"/>
      <c r="AH122" s="4"/>
      <c r="AI122" s="14"/>
      <c r="BC122" s="4"/>
    </row>
    <row r="123" spans="16:55" x14ac:dyDescent="0.2">
      <c r="P123"/>
      <c r="AG123" s="4"/>
      <c r="AH123" s="4"/>
      <c r="AI123" s="14"/>
      <c r="BC123" s="4"/>
    </row>
    <row r="124" spans="16:55" x14ac:dyDescent="0.2">
      <c r="P124"/>
      <c r="AG124" s="4"/>
      <c r="AH124" s="4"/>
      <c r="AI124" s="14"/>
      <c r="BC124" s="4"/>
    </row>
    <row r="125" spans="16:55" x14ac:dyDescent="0.2">
      <c r="P125"/>
      <c r="AG125" s="4"/>
      <c r="AH125" s="4"/>
      <c r="AI125" s="14"/>
      <c r="BC125" s="4"/>
    </row>
    <row r="126" spans="16:55" x14ac:dyDescent="0.2">
      <c r="P126"/>
      <c r="AG126" s="4"/>
      <c r="AH126" s="4"/>
      <c r="AI126" s="14"/>
      <c r="BC126" s="4"/>
    </row>
    <row r="127" spans="16:55" x14ac:dyDescent="0.2">
      <c r="P127"/>
      <c r="AG127" s="4"/>
      <c r="AH127" s="4"/>
      <c r="AI127" s="14"/>
      <c r="BC127" s="4"/>
    </row>
    <row r="128" spans="16:55" x14ac:dyDescent="0.2">
      <c r="P128"/>
      <c r="AG128" s="4"/>
      <c r="AH128" s="4"/>
      <c r="AI128" s="14"/>
      <c r="BC128" s="4"/>
    </row>
    <row r="129" spans="16:55" x14ac:dyDescent="0.2">
      <c r="P129"/>
      <c r="AG129" s="4"/>
      <c r="AH129" s="4"/>
      <c r="AI129" s="14"/>
      <c r="BC129" s="4"/>
    </row>
    <row r="130" spans="16:55" x14ac:dyDescent="0.2">
      <c r="P130"/>
      <c r="AG130" s="4"/>
      <c r="AH130" s="4"/>
      <c r="AI130" s="14"/>
      <c r="BC130" s="4"/>
    </row>
    <row r="131" spans="16:55" x14ac:dyDescent="0.2">
      <c r="P131"/>
      <c r="AG131" s="4"/>
      <c r="AH131" s="4"/>
      <c r="AI131" s="14"/>
      <c r="BC131" s="4"/>
    </row>
    <row r="132" spans="16:55" x14ac:dyDescent="0.2">
      <c r="P132"/>
      <c r="AG132" s="4"/>
      <c r="AH132" s="4"/>
      <c r="AI132" s="14"/>
      <c r="BC132" s="4"/>
    </row>
    <row r="133" spans="16:55" x14ac:dyDescent="0.2">
      <c r="P133"/>
      <c r="AG133" s="4"/>
      <c r="AH133" s="4"/>
      <c r="AI133" s="14"/>
      <c r="BC133" s="4"/>
    </row>
    <row r="134" spans="16:55" x14ac:dyDescent="0.2">
      <c r="P134"/>
      <c r="AG134" s="4"/>
      <c r="AH134" s="4"/>
      <c r="AI134" s="14"/>
      <c r="BC134" s="4"/>
    </row>
    <row r="135" spans="16:55" x14ac:dyDescent="0.2">
      <c r="P135"/>
      <c r="AG135" s="4"/>
      <c r="AH135" s="4"/>
      <c r="AI135" s="14"/>
      <c r="BC135" s="4"/>
    </row>
    <row r="136" spans="16:55" x14ac:dyDescent="0.2">
      <c r="P136"/>
      <c r="AG136" s="4"/>
      <c r="AH136" s="4"/>
      <c r="AI136" s="14"/>
      <c r="BC136" s="4"/>
    </row>
    <row r="137" spans="16:55" x14ac:dyDescent="0.2">
      <c r="P137"/>
      <c r="AG137" s="4"/>
      <c r="AH137" s="4"/>
      <c r="AI137" s="14"/>
      <c r="BC137" s="4"/>
    </row>
    <row r="138" spans="16:55" x14ac:dyDescent="0.2">
      <c r="P138"/>
      <c r="AG138" s="4"/>
      <c r="AH138" s="4"/>
      <c r="AI138" s="14"/>
      <c r="BC138" s="4"/>
    </row>
    <row r="139" spans="16:55" x14ac:dyDescent="0.2">
      <c r="P139"/>
      <c r="AG139" s="4"/>
      <c r="AH139" s="4"/>
      <c r="AI139" s="14"/>
      <c r="BC139" s="4"/>
    </row>
    <row r="140" spans="16:55" x14ac:dyDescent="0.2">
      <c r="P140"/>
      <c r="AG140" s="4"/>
      <c r="AH140" s="4"/>
      <c r="AI140" s="14"/>
      <c r="BC140" s="4"/>
    </row>
    <row r="141" spans="16:55" x14ac:dyDescent="0.2">
      <c r="P141"/>
      <c r="AG141" s="4"/>
      <c r="AH141" s="4"/>
      <c r="AI141" s="14"/>
      <c r="BC141" s="4"/>
    </row>
    <row r="142" spans="16:55" x14ac:dyDescent="0.2">
      <c r="P142"/>
      <c r="AG142" s="4"/>
      <c r="AH142" s="4"/>
      <c r="AI142" s="14"/>
      <c r="BC142" s="4"/>
    </row>
    <row r="143" spans="16:55" x14ac:dyDescent="0.2">
      <c r="P143"/>
      <c r="AG143" s="4"/>
      <c r="AH143" s="4"/>
      <c r="AI143" s="14"/>
      <c r="BC143" s="4"/>
    </row>
    <row r="144" spans="16:55" x14ac:dyDescent="0.2">
      <c r="P144"/>
      <c r="AG144" s="4"/>
      <c r="AH144" s="4"/>
      <c r="AI144" s="14"/>
      <c r="BC144" s="4"/>
    </row>
    <row r="145" spans="16:55" x14ac:dyDescent="0.2">
      <c r="P145"/>
      <c r="AG145" s="4"/>
      <c r="AH145" s="4"/>
      <c r="AI145" s="14"/>
      <c r="BC145" s="4"/>
    </row>
    <row r="146" spans="16:55" x14ac:dyDescent="0.2">
      <c r="P146"/>
      <c r="AG146" s="4"/>
      <c r="AH146" s="4"/>
      <c r="AI146" s="14"/>
      <c r="BC146" s="4"/>
    </row>
    <row r="147" spans="16:55" x14ac:dyDescent="0.2">
      <c r="P147"/>
      <c r="AG147" s="4"/>
      <c r="AH147" s="4"/>
      <c r="AI147" s="14"/>
      <c r="BC147" s="4"/>
    </row>
    <row r="148" spans="16:55" x14ac:dyDescent="0.2">
      <c r="P148"/>
      <c r="AG148" s="4"/>
      <c r="AH148" s="4"/>
      <c r="AI148" s="14"/>
      <c r="BC148" s="4"/>
    </row>
    <row r="149" spans="16:55" x14ac:dyDescent="0.2">
      <c r="P149"/>
      <c r="AG149" s="4"/>
      <c r="AH149" s="4"/>
      <c r="AI149" s="14"/>
      <c r="BC149" s="4"/>
    </row>
    <row r="150" spans="16:55" x14ac:dyDescent="0.2">
      <c r="P150"/>
      <c r="AG150" s="4"/>
      <c r="AH150" s="4"/>
      <c r="AI150" s="14"/>
      <c r="BC150" s="4"/>
    </row>
    <row r="151" spans="16:55" x14ac:dyDescent="0.2">
      <c r="P151"/>
      <c r="AG151" s="4"/>
      <c r="AH151" s="4"/>
      <c r="AI151" s="14"/>
      <c r="BC151" s="4"/>
    </row>
    <row r="152" spans="16:55" x14ac:dyDescent="0.2">
      <c r="P152"/>
      <c r="AG152" s="4"/>
      <c r="AH152" s="4"/>
      <c r="AI152" s="14"/>
      <c r="BC152" s="4"/>
    </row>
    <row r="153" spans="16:55" x14ac:dyDescent="0.2">
      <c r="P153"/>
      <c r="AG153" s="4"/>
      <c r="AH153" s="4"/>
      <c r="AI153" s="14"/>
      <c r="BC153" s="4"/>
    </row>
    <row r="154" spans="16:55" x14ac:dyDescent="0.2">
      <c r="P154"/>
      <c r="AG154" s="4"/>
      <c r="AH154" s="4"/>
      <c r="AI154" s="14"/>
      <c r="BC154" s="4"/>
    </row>
    <row r="155" spans="16:55" x14ac:dyDescent="0.2">
      <c r="P155"/>
      <c r="AG155" s="4"/>
      <c r="AH155" s="4"/>
      <c r="AI155" s="14"/>
      <c r="BC155" s="4"/>
    </row>
    <row r="156" spans="16:55" x14ac:dyDescent="0.2">
      <c r="P156"/>
      <c r="AG156" s="4"/>
      <c r="AH156" s="4"/>
      <c r="AI156" s="14"/>
      <c r="BC156" s="4"/>
    </row>
    <row r="157" spans="16:55" x14ac:dyDescent="0.2">
      <c r="P157"/>
      <c r="AG157" s="4"/>
      <c r="AH157" s="4"/>
      <c r="AI157" s="14"/>
      <c r="BC157" s="4"/>
    </row>
    <row r="158" spans="16:55" x14ac:dyDescent="0.2">
      <c r="P158"/>
      <c r="AG158" s="4"/>
      <c r="AH158" s="4"/>
      <c r="AI158" s="14"/>
      <c r="BC158" s="4"/>
    </row>
    <row r="159" spans="16:55" x14ac:dyDescent="0.2">
      <c r="P159"/>
      <c r="AG159" s="4"/>
      <c r="AH159" s="4"/>
      <c r="AI159" s="14"/>
      <c r="BC159" s="4"/>
    </row>
    <row r="160" spans="16:55" x14ac:dyDescent="0.2">
      <c r="P160"/>
      <c r="AG160" s="4"/>
      <c r="AH160" s="4"/>
      <c r="AI160" s="14"/>
      <c r="BC160" s="4"/>
    </row>
    <row r="161" spans="16:55" x14ac:dyDescent="0.2">
      <c r="P161"/>
      <c r="AG161" s="4"/>
      <c r="AH161" s="4"/>
      <c r="AI161" s="14"/>
      <c r="BC161" s="4"/>
    </row>
    <row r="162" spans="16:55" x14ac:dyDescent="0.2">
      <c r="P162"/>
      <c r="AG162" s="4"/>
      <c r="AH162" s="4"/>
      <c r="AI162" s="14"/>
      <c r="BC162" s="4"/>
    </row>
    <row r="163" spans="16:55" x14ac:dyDescent="0.2">
      <c r="P163"/>
      <c r="AG163" s="4"/>
      <c r="AH163" s="4"/>
      <c r="AI163" s="14"/>
      <c r="BC163" s="4"/>
    </row>
    <row r="164" spans="16:55" x14ac:dyDescent="0.2">
      <c r="P164"/>
      <c r="AG164" s="4"/>
      <c r="AH164" s="4"/>
      <c r="AI164" s="14"/>
      <c r="BC164" s="4"/>
    </row>
    <row r="165" spans="16:55" x14ac:dyDescent="0.2">
      <c r="P165"/>
      <c r="AG165" s="4"/>
      <c r="AH165" s="4"/>
      <c r="AI165" s="14"/>
      <c r="BC165" s="4"/>
    </row>
    <row r="166" spans="16:55" x14ac:dyDescent="0.2">
      <c r="P166"/>
      <c r="AG166" s="4"/>
      <c r="AH166" s="4"/>
      <c r="AI166" s="14"/>
      <c r="BC166" s="4"/>
    </row>
    <row r="167" spans="16:55" x14ac:dyDescent="0.2">
      <c r="P167"/>
      <c r="AG167" s="4"/>
      <c r="AH167" s="4"/>
      <c r="AI167" s="14"/>
      <c r="BC167" s="4"/>
    </row>
    <row r="168" spans="16:55" x14ac:dyDescent="0.2">
      <c r="P168"/>
      <c r="AG168" s="4"/>
      <c r="AH168" s="4"/>
      <c r="AI168" s="14"/>
      <c r="BC168" s="4"/>
    </row>
    <row r="169" spans="16:55" x14ac:dyDescent="0.2">
      <c r="P169"/>
      <c r="AG169" s="4"/>
      <c r="AH169" s="4"/>
      <c r="AI169" s="14"/>
      <c r="BC169" s="4"/>
    </row>
    <row r="170" spans="16:55" x14ac:dyDescent="0.2">
      <c r="P170"/>
      <c r="AG170" s="4"/>
      <c r="AH170" s="4"/>
      <c r="AI170" s="14"/>
      <c r="BC170" s="4"/>
    </row>
    <row r="171" spans="16:55" x14ac:dyDescent="0.2">
      <c r="P171"/>
      <c r="AG171" s="4"/>
      <c r="AH171" s="4"/>
      <c r="AI171" s="14"/>
      <c r="BC171" s="4"/>
    </row>
    <row r="172" spans="16:55" x14ac:dyDescent="0.2">
      <c r="P172"/>
      <c r="AG172" s="4"/>
      <c r="AH172" s="4"/>
      <c r="AI172" s="14"/>
      <c r="BC172" s="4"/>
    </row>
    <row r="173" spans="16:55" x14ac:dyDescent="0.2">
      <c r="P173"/>
      <c r="AG173" s="4"/>
      <c r="AH173" s="4"/>
      <c r="AI173" s="14"/>
      <c r="BC173" s="4"/>
    </row>
    <row r="174" spans="16:55" x14ac:dyDescent="0.2">
      <c r="P174"/>
      <c r="AG174" s="4"/>
      <c r="AH174" s="4"/>
      <c r="AI174" s="14"/>
      <c r="BC174" s="4"/>
    </row>
    <row r="175" spans="16:55" x14ac:dyDescent="0.2">
      <c r="P175"/>
      <c r="AG175" s="4"/>
      <c r="AH175" s="4"/>
      <c r="AI175" s="14"/>
      <c r="BC175" s="4"/>
    </row>
    <row r="176" spans="16:55" x14ac:dyDescent="0.2">
      <c r="P176"/>
      <c r="AG176" s="4"/>
      <c r="AH176" s="4"/>
      <c r="AI176" s="14"/>
      <c r="BC176" s="4"/>
    </row>
    <row r="177" spans="16:55" x14ac:dyDescent="0.2">
      <c r="P177"/>
      <c r="AG177" s="4"/>
      <c r="AH177" s="4"/>
      <c r="AI177" s="14"/>
      <c r="BC177" s="4"/>
    </row>
    <row r="178" spans="16:55" x14ac:dyDescent="0.2">
      <c r="P178"/>
      <c r="AG178" s="4"/>
      <c r="AH178" s="4"/>
      <c r="AI178" s="14"/>
      <c r="BC178" s="4"/>
    </row>
    <row r="179" spans="16:55" x14ac:dyDescent="0.2">
      <c r="P179"/>
      <c r="AG179" s="4"/>
      <c r="AH179" s="4"/>
      <c r="AI179" s="14"/>
      <c r="BC179" s="4"/>
    </row>
    <row r="180" spans="16:55" x14ac:dyDescent="0.2">
      <c r="P180"/>
      <c r="AG180" s="4"/>
      <c r="AH180" s="4"/>
      <c r="AI180" s="14"/>
      <c r="BC180" s="4"/>
    </row>
    <row r="181" spans="16:55" x14ac:dyDescent="0.2">
      <c r="P181"/>
      <c r="AG181" s="4"/>
      <c r="AH181" s="4"/>
      <c r="AI181" s="14"/>
      <c r="BC181" s="4"/>
    </row>
    <row r="182" spans="16:55" x14ac:dyDescent="0.2">
      <c r="P182"/>
      <c r="AG182" s="4"/>
      <c r="AH182" s="4"/>
      <c r="AI182" s="14"/>
      <c r="BC182" s="4"/>
    </row>
    <row r="183" spans="16:55" x14ac:dyDescent="0.2">
      <c r="P183"/>
      <c r="AG183" s="4"/>
      <c r="AH183" s="4"/>
      <c r="AI183" s="14"/>
      <c r="BC183" s="4"/>
    </row>
    <row r="184" spans="16:55" x14ac:dyDescent="0.2">
      <c r="P184"/>
      <c r="AG184" s="4"/>
      <c r="AH184" s="4"/>
      <c r="AI184" s="14"/>
      <c r="BC184" s="4"/>
    </row>
    <row r="185" spans="16:55" x14ac:dyDescent="0.2">
      <c r="P185"/>
      <c r="AG185" s="4"/>
      <c r="AH185" s="4"/>
      <c r="AI185" s="14"/>
      <c r="BC185" s="4"/>
    </row>
    <row r="186" spans="16:55" x14ac:dyDescent="0.2">
      <c r="P186"/>
      <c r="AG186" s="4"/>
      <c r="AH186" s="4"/>
      <c r="AI186" s="14"/>
      <c r="BC186" s="4"/>
    </row>
    <row r="187" spans="16:55" x14ac:dyDescent="0.2">
      <c r="P187"/>
      <c r="AG187" s="4"/>
      <c r="AH187" s="4"/>
      <c r="AI187" s="14"/>
      <c r="BC187" s="4"/>
    </row>
    <row r="188" spans="16:55" x14ac:dyDescent="0.2">
      <c r="P188"/>
      <c r="AG188" s="4"/>
      <c r="AH188" s="4"/>
      <c r="AI188" s="14"/>
      <c r="BC188" s="4"/>
    </row>
    <row r="189" spans="16:55" x14ac:dyDescent="0.2">
      <c r="P189"/>
      <c r="AG189" s="4"/>
      <c r="AH189" s="4"/>
      <c r="AI189" s="14"/>
      <c r="BC189" s="4"/>
    </row>
    <row r="190" spans="16:55" x14ac:dyDescent="0.2">
      <c r="P190"/>
      <c r="AG190" s="4"/>
      <c r="AH190" s="4"/>
      <c r="AI190" s="14"/>
      <c r="BC190" s="4"/>
    </row>
    <row r="191" spans="16:55" x14ac:dyDescent="0.2">
      <c r="P191"/>
      <c r="AG191" s="4"/>
      <c r="AH191" s="4"/>
      <c r="AI191" s="14"/>
      <c r="BC191" s="4"/>
    </row>
    <row r="192" spans="16:55" x14ac:dyDescent="0.2">
      <c r="P192"/>
      <c r="AG192" s="4"/>
      <c r="AH192" s="4"/>
      <c r="AI192" s="14"/>
      <c r="BC192" s="4"/>
    </row>
    <row r="193" spans="16:55" x14ac:dyDescent="0.2">
      <c r="P193"/>
      <c r="AG193" s="4"/>
      <c r="AH193" s="4"/>
      <c r="AI193" s="14"/>
      <c r="BC193" s="4"/>
    </row>
    <row r="194" spans="16:55" x14ac:dyDescent="0.2">
      <c r="P194"/>
      <c r="AG194" s="4"/>
      <c r="AH194" s="4"/>
      <c r="AI194" s="14"/>
      <c r="BC194" s="4"/>
    </row>
    <row r="195" spans="16:55" x14ac:dyDescent="0.2">
      <c r="P195"/>
      <c r="AG195" s="4"/>
      <c r="AH195" s="4"/>
      <c r="AI195" s="14"/>
      <c r="BC195" s="4"/>
    </row>
    <row r="196" spans="16:55" x14ac:dyDescent="0.2">
      <c r="P196"/>
      <c r="AG196" s="4"/>
      <c r="AH196" s="4"/>
      <c r="AI196" s="14"/>
      <c r="BC196" s="4"/>
    </row>
    <row r="197" spans="16:55" x14ac:dyDescent="0.2">
      <c r="P197"/>
      <c r="AG197" s="4"/>
      <c r="AH197" s="4"/>
      <c r="AI197" s="14"/>
      <c r="BC197" s="4"/>
    </row>
    <row r="198" spans="16:55" x14ac:dyDescent="0.2">
      <c r="P198"/>
      <c r="AG198" s="4"/>
      <c r="AH198" s="4"/>
      <c r="AI198" s="14"/>
      <c r="BC198" s="4"/>
    </row>
    <row r="199" spans="16:55" x14ac:dyDescent="0.2">
      <c r="P199"/>
      <c r="AG199" s="4"/>
      <c r="AH199" s="4"/>
      <c r="AI199" s="14"/>
      <c r="BC199" s="4"/>
    </row>
    <row r="200" spans="16:55" x14ac:dyDescent="0.2">
      <c r="P200"/>
      <c r="AG200" s="4"/>
      <c r="AH200" s="4"/>
      <c r="AI200" s="14"/>
      <c r="BC200" s="4"/>
    </row>
    <row r="201" spans="16:55" x14ac:dyDescent="0.2">
      <c r="P201"/>
      <c r="AG201" s="4"/>
      <c r="AH201" s="4"/>
      <c r="AI201" s="14"/>
      <c r="BC201" s="4"/>
    </row>
    <row r="202" spans="16:55" x14ac:dyDescent="0.2">
      <c r="P202"/>
      <c r="AG202" s="4"/>
      <c r="AH202" s="4"/>
      <c r="AI202" s="14"/>
      <c r="BC202" s="4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Lists!$BI:$BI</xm:f>
          </x14:formula1>
          <xm:sqref>G2:G201</xm:sqref>
        </x14:dataValidation>
        <x14:dataValidation type="list" allowBlank="1" showInputMessage="1" showErrorMessage="1" xr:uid="{F96B7B0B-A1E0-0441-9959-A79C46FEC7D1}">
          <x14:formula1>
            <xm:f>Lists!$BJ:$BJ</xm:f>
          </x14:formula1>
          <xm:sqref>H2:H201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104-6AEB-6A4D-8F83-331F2C542107}">
  <sheetPr>
    <tabColor theme="7"/>
  </sheetPr>
  <dimension ref="A1:BB57"/>
  <sheetViews>
    <sheetView workbookViewId="0">
      <selection activeCell="J11" sqref="J11"/>
    </sheetView>
  </sheetViews>
  <sheetFormatPr baseColWidth="10" defaultRowHeight="16" x14ac:dyDescent="0.2"/>
  <cols>
    <col min="4" max="9" width="10.83203125" customWidth="1"/>
    <col min="11" max="11" width="20.5" customWidth="1"/>
    <col min="19" max="20" width="10.83203125" customWidth="1"/>
    <col min="21" max="21" width="32.33203125" customWidth="1"/>
    <col min="22" max="26" width="10.83203125" customWidth="1"/>
    <col min="27" max="28" width="10.83203125" style="41"/>
  </cols>
  <sheetData>
    <row r="1" spans="1:54" x14ac:dyDescent="0.2">
      <c r="A1" t="s">
        <v>841</v>
      </c>
      <c r="B1" s="39" t="s">
        <v>840</v>
      </c>
    </row>
    <row r="2" spans="1:54" x14ac:dyDescent="0.2">
      <c r="B2" s="37" t="s">
        <v>812</v>
      </c>
      <c r="C2" s="37" t="s">
        <v>248</v>
      </c>
      <c r="D2" s="37" t="s">
        <v>813</v>
      </c>
      <c r="E2" s="37" t="s">
        <v>814</v>
      </c>
      <c r="F2" s="37" t="s">
        <v>815</v>
      </c>
      <c r="G2" s="37" t="s">
        <v>793</v>
      </c>
      <c r="H2" s="37" t="s">
        <v>816</v>
      </c>
      <c r="I2" s="37" t="s">
        <v>817</v>
      </c>
      <c r="J2" s="37" t="s">
        <v>789</v>
      </c>
      <c r="K2" s="37" t="s">
        <v>818</v>
      </c>
      <c r="L2" s="37" t="s">
        <v>819</v>
      </c>
      <c r="M2" s="37" t="s">
        <v>820</v>
      </c>
      <c r="N2" s="37" t="s">
        <v>821</v>
      </c>
      <c r="O2" s="37" t="s">
        <v>822</v>
      </c>
      <c r="P2" s="37" t="s">
        <v>823</v>
      </c>
      <c r="Q2" s="37" t="s">
        <v>824</v>
      </c>
      <c r="R2" s="37" t="s">
        <v>825</v>
      </c>
      <c r="S2" s="37" t="s">
        <v>826</v>
      </c>
      <c r="T2" s="37" t="s">
        <v>827</v>
      </c>
      <c r="U2" s="37" t="s">
        <v>828</v>
      </c>
      <c r="V2" s="37" t="s">
        <v>829</v>
      </c>
      <c r="W2" s="37" t="s">
        <v>810</v>
      </c>
      <c r="X2" s="38" t="s">
        <v>830</v>
      </c>
      <c r="Y2" s="38" t="s">
        <v>831</v>
      </c>
      <c r="Z2" s="38" t="s">
        <v>832</v>
      </c>
      <c r="AA2" s="42" t="s">
        <v>833</v>
      </c>
      <c r="AB2" s="42" t="s">
        <v>1010</v>
      </c>
      <c r="AC2" s="38" t="s">
        <v>842</v>
      </c>
      <c r="AD2" s="38" t="s">
        <v>843</v>
      </c>
      <c r="AE2" s="38" t="s">
        <v>844</v>
      </c>
      <c r="AF2" s="38" t="s">
        <v>845</v>
      </c>
      <c r="AG2" s="38" t="s">
        <v>846</v>
      </c>
      <c r="AH2" s="38" t="s">
        <v>847</v>
      </c>
      <c r="AI2" s="38" t="s">
        <v>848</v>
      </c>
      <c r="AJ2" s="38" t="s">
        <v>849</v>
      </c>
      <c r="AO2" t="s">
        <v>835</v>
      </c>
      <c r="AP2" t="s">
        <v>836</v>
      </c>
      <c r="AQ2" t="s">
        <v>837</v>
      </c>
      <c r="AR2" t="s">
        <v>834</v>
      </c>
      <c r="AS2" t="s">
        <v>838</v>
      </c>
      <c r="AT2" t="s">
        <v>839</v>
      </c>
      <c r="AW2" t="s">
        <v>835</v>
      </c>
      <c r="AX2" t="s">
        <v>836</v>
      </c>
      <c r="AY2" t="s">
        <v>837</v>
      </c>
      <c r="AZ2" t="s">
        <v>834</v>
      </c>
      <c r="BA2" t="s">
        <v>838</v>
      </c>
      <c r="BB2" t="s">
        <v>839</v>
      </c>
    </row>
    <row r="3" spans="1:54" x14ac:dyDescent="0.2">
      <c r="B3">
        <v>12898</v>
      </c>
      <c r="C3">
        <v>18969</v>
      </c>
      <c r="D3" t="s">
        <v>851</v>
      </c>
      <c r="E3" t="s">
        <v>852</v>
      </c>
      <c r="F3" t="s">
        <v>853</v>
      </c>
      <c r="G3" t="s">
        <v>854</v>
      </c>
      <c r="H3" t="s">
        <v>850</v>
      </c>
      <c r="I3" t="s">
        <v>521</v>
      </c>
      <c r="J3">
        <v>3</v>
      </c>
      <c r="K3" t="s">
        <v>855</v>
      </c>
      <c r="L3" t="s">
        <v>856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 t="s">
        <v>857</v>
      </c>
      <c r="T3" t="s">
        <v>858</v>
      </c>
      <c r="U3" t="s">
        <v>859</v>
      </c>
      <c r="V3" t="s">
        <v>860</v>
      </c>
      <c r="W3" t="s">
        <v>861</v>
      </c>
      <c r="X3">
        <v>45907</v>
      </c>
      <c r="Y3">
        <v>20252026</v>
      </c>
      <c r="Z3" t="s">
        <v>756</v>
      </c>
      <c r="AA3" s="41">
        <v>4</v>
      </c>
      <c r="AB3" s="41" t="str">
        <f>IF(G3="home","h",IF(G3="away","a",""))</f>
        <v>h</v>
      </c>
      <c r="AC3">
        <f>COUNTIFS(events!$X:$X,"="&amp;game_rosters!$J3,events!$AQ:$AQ,"="&amp;game_rosters!$G3,events!$K:$K,"=Goal")</f>
        <v>0</v>
      </c>
      <c r="AD3">
        <f>COUNTIFS(events!$X:$X,"="&amp;game_rosters!$J3,events!$AQ:$AQ,"="&amp;game_rosters!$G3,events!$K:$K,"=Penalty")</f>
        <v>0</v>
      </c>
      <c r="AE3">
        <f>COUNTIFS(events!$X:$X,"="&amp;game_rosters!$J3,events!$AQ:$AQ,"="&amp;game_rosters!$G3,events!$O:$O,"=AssistPrimary")</f>
        <v>0</v>
      </c>
      <c r="AF3">
        <f>COUNTIFS(events!$X:$X,"="&amp;game_rosters!$J3,events!$AQ:$AQ,"="&amp;game_rosters!$G3,events!$O:$O,"=AssistSecondary")</f>
        <v>0</v>
      </c>
      <c r="AG3">
        <f>AE3+AF3</f>
        <v>0</v>
      </c>
      <c r="AH3">
        <f>AC3-N3</f>
        <v>-1</v>
      </c>
      <c r="AI3">
        <f>(AD3*3)-Q3</f>
        <v>0</v>
      </c>
      <c r="AJ3">
        <f>AG3-O3</f>
        <v>0</v>
      </c>
      <c r="AO3" t="e" cm="1" vm="1">
        <f t="array" ref="AO3">_xlfn._xlws.FILTER(events!$I:$I,(events!$K:$K="Goal")*(events!$AQ:$AQ="Home"))</f>
        <v>#VALUE!</v>
      </c>
      <c r="AP3" t="e" cm="1" vm="1">
        <f t="array" ref="AP3">_xlfn._xlws.FILTER(events!$I:$I,((events!O:O="AssistPrimary")+(events!O:O="AssistSecondary"))*(events!$AQ:$AQ="Home"))</f>
        <v>#VALUE!</v>
      </c>
      <c r="AQ3" t="e" cm="1" vm="1">
        <f t="array" ref="AQ3">_xlfn._xlws.FILTER(events!$I:$I,(events!$K:$K="Penalty")*(events!$AQ:$AQ="Home"))</f>
        <v>#VALUE!</v>
      </c>
      <c r="AR3" t="e" cm="1" vm="1">
        <f t="array" ref="AR3">_xlfn._xlws.FILTER(events!$I:$I,(events!$K:$K="Goal")*(events!$AQ:$AQ="Away"))</f>
        <v>#VALUE!</v>
      </c>
      <c r="AS3" t="e" cm="1" vm="1">
        <f t="array" ref="AS3">_xlfn._xlws.FILTER(events!$I:$I,((events!O:O="AssistPrimary")+(events!O:O="AssistSecondary"))*(events!$AQ:$AQ="Away"))</f>
        <v>#VALUE!</v>
      </c>
      <c r="AT3" t="str" cm="1">
        <f t="array" ref="AT3">IFERROR(_xlfn._xlws.FILTER(events!$I:$I,(events!$K:$K="Penalty")*(events!$AQ:$AQ="Away")),"")</f>
        <v/>
      </c>
      <c r="AW3" cm="1">
        <f t="array" ref="AW3:AW5">_xlfn._xlws.FILTER($J:$J,($G:$G="Home")*($N:$N&gt;=1))</f>
        <v>3</v>
      </c>
      <c r="AX3" cm="1">
        <f t="array" ref="AX3:AX5">_xlfn._xlws.FILTER($J:$J,($G:$G="Home")*($O:$O&gt;=1))</f>
        <v>45</v>
      </c>
      <c r="AY3" cm="1">
        <f t="array" ref="AY3">_xlfn._xlws.FILTER($J:$J,($G:$G="Home")*($Q:$Q&gt;=1))</f>
        <v>8</v>
      </c>
      <c r="AZ3" cm="1">
        <f t="array" ref="AZ3:AZ4">_xlfn._xlws.FILTER($J:$J,($G:$G="Away")*($N:$N&gt;=1))</f>
        <v>14</v>
      </c>
      <c r="BA3" cm="1">
        <f t="array" ref="BA3:BA5">_xlfn._xlws.FILTER($J:$J,($G:$G="Away")*($O:$O&gt;=1))</f>
        <v>22</v>
      </c>
      <c r="BB3" t="str" cm="1">
        <f t="array" ref="BB3">IFERROR(_xlfn._xlws.FILTER($J:$J,($G:$G="Away")*($Q:$Q&gt;=1)),"")</f>
        <v/>
      </c>
    </row>
    <row r="4" spans="1:54" x14ac:dyDescent="0.2">
      <c r="B4">
        <v>12899</v>
      </c>
      <c r="C4">
        <v>18969</v>
      </c>
      <c r="D4" t="s">
        <v>851</v>
      </c>
      <c r="E4" t="s">
        <v>852</v>
      </c>
      <c r="F4" t="s">
        <v>862</v>
      </c>
      <c r="G4" t="s">
        <v>854</v>
      </c>
      <c r="H4" t="s">
        <v>850</v>
      </c>
      <c r="I4" t="s">
        <v>521</v>
      </c>
      <c r="J4">
        <v>8</v>
      </c>
      <c r="K4" t="s">
        <v>863</v>
      </c>
      <c r="L4" t="s">
        <v>856</v>
      </c>
      <c r="M4">
        <v>1</v>
      </c>
      <c r="N4">
        <v>0</v>
      </c>
      <c r="O4">
        <v>0</v>
      </c>
      <c r="P4">
        <v>0</v>
      </c>
      <c r="Q4">
        <v>3</v>
      </c>
      <c r="R4">
        <v>0</v>
      </c>
      <c r="S4" t="s">
        <v>857</v>
      </c>
      <c r="T4" t="s">
        <v>858</v>
      </c>
      <c r="U4" t="s">
        <v>864</v>
      </c>
      <c r="V4" t="s">
        <v>865</v>
      </c>
      <c r="W4" t="s">
        <v>866</v>
      </c>
      <c r="X4">
        <v>45907</v>
      </c>
      <c r="Y4">
        <v>20252026</v>
      </c>
      <c r="Z4" t="s">
        <v>756</v>
      </c>
      <c r="AA4" s="41">
        <v>5</v>
      </c>
      <c r="AB4" s="41" t="str">
        <f t="shared" ref="AB4:AB29" si="0">IF(G4="home","h",IF(G4="away","a",""))</f>
        <v>h</v>
      </c>
      <c r="AC4">
        <f>COUNTIFS(events!$X:$X,"="&amp;game_rosters!$J4,events!$AQ:$AQ,"="&amp;game_rosters!$G4,events!$K:$K,"=Goal")</f>
        <v>0</v>
      </c>
      <c r="AD4">
        <f>COUNTIFS(events!$X:$X,"="&amp;game_rosters!$J4,events!$AQ:$AQ,"="&amp;game_rosters!$G4,events!$K:$K,"=Penalty")</f>
        <v>0</v>
      </c>
      <c r="AE4">
        <f>COUNTIFS(events!$X:$X,"="&amp;game_rosters!$J4,events!$AQ:$AQ,"="&amp;game_rosters!$G4,events!$O:$O,"=AssistPrimary")</f>
        <v>0</v>
      </c>
      <c r="AF4">
        <f>COUNTIFS(events!$X:$X,"="&amp;game_rosters!$J4,events!$AQ:$AQ,"="&amp;game_rosters!$G4,events!$O:$O,"=AssistSecondary")</f>
        <v>0</v>
      </c>
      <c r="AG4">
        <f t="shared" ref="AG4:AG29" si="1">AE4+AF4</f>
        <v>0</v>
      </c>
      <c r="AH4">
        <f t="shared" ref="AH4:AH29" si="2">AC4-N4</f>
        <v>0</v>
      </c>
      <c r="AI4">
        <f t="shared" ref="AI4:AI29" si="3">(AD4*3)-Q4</f>
        <v>-3</v>
      </c>
      <c r="AJ4">
        <f t="shared" ref="AJ4:AJ29" si="4">AG4-O4</f>
        <v>0</v>
      </c>
      <c r="AW4">
        <v>45</v>
      </c>
      <c r="AX4">
        <v>53</v>
      </c>
      <c r="AZ4">
        <v>42</v>
      </c>
      <c r="BA4">
        <v>49</v>
      </c>
    </row>
    <row r="5" spans="1:54" x14ac:dyDescent="0.2">
      <c r="B5">
        <v>12900</v>
      </c>
      <c r="C5">
        <v>18969</v>
      </c>
      <c r="D5" t="s">
        <v>851</v>
      </c>
      <c r="E5" t="s">
        <v>852</v>
      </c>
      <c r="F5" t="s">
        <v>867</v>
      </c>
      <c r="G5" t="s">
        <v>854</v>
      </c>
      <c r="H5" t="s">
        <v>850</v>
      </c>
      <c r="I5" t="s">
        <v>521</v>
      </c>
      <c r="J5">
        <v>12</v>
      </c>
      <c r="K5" t="s">
        <v>868</v>
      </c>
      <c r="L5" t="s">
        <v>869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 t="s">
        <v>857</v>
      </c>
      <c r="T5" t="s">
        <v>858</v>
      </c>
      <c r="U5" t="s">
        <v>870</v>
      </c>
      <c r="V5" t="s">
        <v>871</v>
      </c>
      <c r="W5" t="s">
        <v>872</v>
      </c>
      <c r="X5">
        <v>45907</v>
      </c>
      <c r="Y5">
        <v>20252026</v>
      </c>
      <c r="Z5" t="s">
        <v>756</v>
      </c>
      <c r="AA5" s="41">
        <v>2</v>
      </c>
      <c r="AB5" s="41" t="str">
        <f t="shared" si="0"/>
        <v>h</v>
      </c>
      <c r="AC5">
        <f>COUNTIFS(events!$X:$X,"="&amp;game_rosters!$J5,events!$AQ:$AQ,"="&amp;game_rosters!$G5,events!$K:$K,"=Goal")</f>
        <v>0</v>
      </c>
      <c r="AD5">
        <f>COUNTIFS(events!$X:$X,"="&amp;game_rosters!$J5,events!$AQ:$AQ,"="&amp;game_rosters!$G5,events!$K:$K,"=Penalty")</f>
        <v>0</v>
      </c>
      <c r="AE5">
        <f>COUNTIFS(events!$X:$X,"="&amp;game_rosters!$J5,events!$AQ:$AQ,"="&amp;game_rosters!$G5,events!$O:$O,"=AssistPrimary")</f>
        <v>0</v>
      </c>
      <c r="AF5">
        <f>COUNTIFS(events!$X:$X,"="&amp;game_rosters!$J5,events!$AQ:$AQ,"="&amp;game_rosters!$G5,events!$O:$O,"=AssistSecondary")</f>
        <v>0</v>
      </c>
      <c r="AG5">
        <f t="shared" si="1"/>
        <v>0</v>
      </c>
      <c r="AH5">
        <f t="shared" si="2"/>
        <v>0</v>
      </c>
      <c r="AI5">
        <f t="shared" si="3"/>
        <v>0</v>
      </c>
      <c r="AJ5">
        <f t="shared" si="4"/>
        <v>0</v>
      </c>
      <c r="AW5">
        <v>47</v>
      </c>
      <c r="AX5">
        <v>78</v>
      </c>
      <c r="BA5">
        <v>55</v>
      </c>
    </row>
    <row r="6" spans="1:54" x14ac:dyDescent="0.2">
      <c r="B6">
        <v>12901</v>
      </c>
      <c r="C6">
        <v>18969</v>
      </c>
      <c r="D6" t="s">
        <v>851</v>
      </c>
      <c r="E6" t="s">
        <v>852</v>
      </c>
      <c r="F6" t="s">
        <v>873</v>
      </c>
      <c r="G6" t="s">
        <v>854</v>
      </c>
      <c r="H6" t="s">
        <v>850</v>
      </c>
      <c r="I6" t="s">
        <v>521</v>
      </c>
      <c r="J6">
        <v>21</v>
      </c>
      <c r="K6" t="s">
        <v>874</v>
      </c>
      <c r="L6" t="s">
        <v>869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 t="s">
        <v>857</v>
      </c>
      <c r="T6" t="s">
        <v>858</v>
      </c>
      <c r="U6" t="s">
        <v>875</v>
      </c>
      <c r="V6" t="s">
        <v>876</v>
      </c>
      <c r="W6" t="s">
        <v>877</v>
      </c>
      <c r="X6">
        <v>45907</v>
      </c>
      <c r="Y6">
        <v>20252026</v>
      </c>
      <c r="Z6" t="s">
        <v>756</v>
      </c>
      <c r="AA6" s="41">
        <v>4</v>
      </c>
      <c r="AB6" s="41" t="str">
        <f t="shared" si="0"/>
        <v>h</v>
      </c>
      <c r="AC6">
        <f>COUNTIFS(events!$X:$X,"="&amp;game_rosters!$J6,events!$AQ:$AQ,"="&amp;game_rosters!$G6,events!$K:$K,"=Goal")</f>
        <v>0</v>
      </c>
      <c r="AD6">
        <f>COUNTIFS(events!$X:$X,"="&amp;game_rosters!$J6,events!$AQ:$AQ,"="&amp;game_rosters!$G6,events!$K:$K,"=Penalty")</f>
        <v>0</v>
      </c>
      <c r="AE6">
        <f>COUNTIFS(events!$X:$X,"="&amp;game_rosters!$J6,events!$AQ:$AQ,"="&amp;game_rosters!$G6,events!$O:$O,"=AssistPrimary")</f>
        <v>0</v>
      </c>
      <c r="AF6">
        <f>COUNTIFS(events!$X:$X,"="&amp;game_rosters!$J6,events!$AQ:$AQ,"="&amp;game_rosters!$G6,events!$O:$O,"=AssistSecondary")</f>
        <v>0</v>
      </c>
      <c r="AG6">
        <f t="shared" si="1"/>
        <v>0</v>
      </c>
      <c r="AH6">
        <f t="shared" si="2"/>
        <v>0</v>
      </c>
      <c r="AI6">
        <f t="shared" si="3"/>
        <v>0</v>
      </c>
      <c r="AJ6">
        <f t="shared" si="4"/>
        <v>0</v>
      </c>
    </row>
    <row r="7" spans="1:54" x14ac:dyDescent="0.2">
      <c r="B7">
        <v>12902</v>
      </c>
      <c r="C7">
        <v>18969</v>
      </c>
      <c r="D7" t="s">
        <v>851</v>
      </c>
      <c r="E7" t="s">
        <v>852</v>
      </c>
      <c r="F7" t="s">
        <v>878</v>
      </c>
      <c r="G7" t="s">
        <v>854</v>
      </c>
      <c r="H7" t="s">
        <v>850</v>
      </c>
      <c r="I7" t="s">
        <v>521</v>
      </c>
      <c r="J7">
        <v>34</v>
      </c>
      <c r="K7" t="s">
        <v>879</v>
      </c>
      <c r="L7" t="s">
        <v>869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 t="s">
        <v>857</v>
      </c>
      <c r="T7" t="s">
        <v>858</v>
      </c>
      <c r="U7" t="s">
        <v>880</v>
      </c>
      <c r="V7" t="s">
        <v>881</v>
      </c>
      <c r="W7" t="s">
        <v>882</v>
      </c>
      <c r="X7">
        <v>45907</v>
      </c>
      <c r="Y7">
        <v>20252026</v>
      </c>
      <c r="Z7" t="s">
        <v>756</v>
      </c>
      <c r="AA7" s="41">
        <v>4</v>
      </c>
      <c r="AB7" s="41" t="str">
        <f t="shared" si="0"/>
        <v>h</v>
      </c>
      <c r="AC7">
        <f>COUNTIFS(events!$X:$X,"="&amp;game_rosters!$J7,events!$AQ:$AQ,"="&amp;game_rosters!$G7,events!$K:$K,"=Goal")</f>
        <v>0</v>
      </c>
      <c r="AD7">
        <f>COUNTIFS(events!$X:$X,"="&amp;game_rosters!$J7,events!$AQ:$AQ,"="&amp;game_rosters!$G7,events!$K:$K,"=Penalty")</f>
        <v>0</v>
      </c>
      <c r="AE7">
        <f>COUNTIFS(events!$X:$X,"="&amp;game_rosters!$J7,events!$AQ:$AQ,"="&amp;game_rosters!$G7,events!$O:$O,"=AssistPrimary")</f>
        <v>0</v>
      </c>
      <c r="AF7">
        <f>COUNTIFS(events!$X:$X,"="&amp;game_rosters!$J7,events!$AQ:$AQ,"="&amp;game_rosters!$G7,events!$O:$O,"=AssistSecondary")</f>
        <v>0</v>
      </c>
      <c r="AG7">
        <f t="shared" si="1"/>
        <v>0</v>
      </c>
      <c r="AH7">
        <f t="shared" si="2"/>
        <v>0</v>
      </c>
      <c r="AI7">
        <f t="shared" si="3"/>
        <v>0</v>
      </c>
      <c r="AJ7">
        <f t="shared" si="4"/>
        <v>0</v>
      </c>
    </row>
    <row r="8" spans="1:54" x14ac:dyDescent="0.2">
      <c r="B8">
        <v>12903</v>
      </c>
      <c r="C8">
        <v>18969</v>
      </c>
      <c r="D8" t="s">
        <v>851</v>
      </c>
      <c r="E8" t="s">
        <v>852</v>
      </c>
      <c r="F8" t="s">
        <v>883</v>
      </c>
      <c r="G8" t="s">
        <v>854</v>
      </c>
      <c r="H8" t="s">
        <v>850</v>
      </c>
      <c r="I8" t="s">
        <v>521</v>
      </c>
      <c r="J8">
        <v>45</v>
      </c>
      <c r="K8" t="s">
        <v>884</v>
      </c>
      <c r="L8" t="s">
        <v>856</v>
      </c>
      <c r="M8">
        <v>1</v>
      </c>
      <c r="N8">
        <v>2</v>
      </c>
      <c r="O8">
        <v>1</v>
      </c>
      <c r="P8">
        <v>0</v>
      </c>
      <c r="Q8">
        <v>0</v>
      </c>
      <c r="R8">
        <v>0</v>
      </c>
      <c r="S8" t="s">
        <v>857</v>
      </c>
      <c r="T8" t="s">
        <v>858</v>
      </c>
      <c r="U8" t="s">
        <v>885</v>
      </c>
      <c r="V8" t="s">
        <v>886</v>
      </c>
      <c r="W8" t="s">
        <v>887</v>
      </c>
      <c r="X8">
        <v>45907</v>
      </c>
      <c r="Y8">
        <v>20252026</v>
      </c>
      <c r="Z8" t="s">
        <v>756</v>
      </c>
      <c r="AA8" s="41">
        <v>6</v>
      </c>
      <c r="AB8" s="41" t="str">
        <f t="shared" si="0"/>
        <v>h</v>
      </c>
      <c r="AC8">
        <f>COUNTIFS(events!$X:$X,"="&amp;game_rosters!$J8,events!$AQ:$AQ,"="&amp;game_rosters!$G8,events!$K:$K,"=Goal")</f>
        <v>0</v>
      </c>
      <c r="AD8">
        <f>COUNTIFS(events!$X:$X,"="&amp;game_rosters!$J8,events!$AQ:$AQ,"="&amp;game_rosters!$G8,events!$K:$K,"=Penalty")</f>
        <v>0</v>
      </c>
      <c r="AE8">
        <f>COUNTIFS(events!$X:$X,"="&amp;game_rosters!$J8,events!$AQ:$AQ,"="&amp;game_rosters!$G8,events!$O:$O,"=AssistPrimary")</f>
        <v>0</v>
      </c>
      <c r="AF8">
        <f>COUNTIFS(events!$X:$X,"="&amp;game_rosters!$J8,events!$AQ:$AQ,"="&amp;game_rosters!$G8,events!$O:$O,"=AssistSecondary")</f>
        <v>0</v>
      </c>
      <c r="AG8">
        <f t="shared" si="1"/>
        <v>0</v>
      </c>
      <c r="AH8">
        <f t="shared" si="2"/>
        <v>-2</v>
      </c>
      <c r="AI8">
        <f t="shared" si="3"/>
        <v>0</v>
      </c>
      <c r="AJ8">
        <f t="shared" si="4"/>
        <v>-1</v>
      </c>
    </row>
    <row r="9" spans="1:54" x14ac:dyDescent="0.2">
      <c r="B9">
        <v>12904</v>
      </c>
      <c r="C9">
        <v>18969</v>
      </c>
      <c r="D9" t="s">
        <v>851</v>
      </c>
      <c r="E9" t="s">
        <v>852</v>
      </c>
      <c r="F9" t="s">
        <v>888</v>
      </c>
      <c r="G9" t="s">
        <v>854</v>
      </c>
      <c r="H9" t="s">
        <v>850</v>
      </c>
      <c r="I9" t="s">
        <v>521</v>
      </c>
      <c r="J9">
        <v>47</v>
      </c>
      <c r="K9" t="s">
        <v>889</v>
      </c>
      <c r="L9" t="s">
        <v>869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 t="s">
        <v>857</v>
      </c>
      <c r="T9" t="s">
        <v>858</v>
      </c>
      <c r="U9" t="s">
        <v>890</v>
      </c>
      <c r="V9" t="s">
        <v>891</v>
      </c>
      <c r="W9" t="s">
        <v>892</v>
      </c>
      <c r="X9">
        <v>45907</v>
      </c>
      <c r="Y9">
        <v>20252026</v>
      </c>
      <c r="Z9" t="s">
        <v>756</v>
      </c>
      <c r="AA9" s="41">
        <v>4</v>
      </c>
      <c r="AB9" s="41" t="str">
        <f t="shared" si="0"/>
        <v>h</v>
      </c>
      <c r="AC9">
        <f>COUNTIFS(events!$X:$X,"="&amp;game_rosters!$J9,events!$AQ:$AQ,"="&amp;game_rosters!$G9,events!$K:$K,"=Goal")</f>
        <v>0</v>
      </c>
      <c r="AD9">
        <f>COUNTIFS(events!$X:$X,"="&amp;game_rosters!$J9,events!$AQ:$AQ,"="&amp;game_rosters!$G9,events!$K:$K,"=Penalty")</f>
        <v>0</v>
      </c>
      <c r="AE9">
        <f>COUNTIFS(events!$X:$X,"="&amp;game_rosters!$J9,events!$AQ:$AQ,"="&amp;game_rosters!$G9,events!$O:$O,"=AssistPrimary")</f>
        <v>0</v>
      </c>
      <c r="AF9">
        <f>COUNTIFS(events!$X:$X,"="&amp;game_rosters!$J9,events!$AQ:$AQ,"="&amp;game_rosters!$G9,events!$O:$O,"=AssistSecondary")</f>
        <v>0</v>
      </c>
      <c r="AG9">
        <f t="shared" si="1"/>
        <v>0</v>
      </c>
      <c r="AH9">
        <f>AC9-N9</f>
        <v>-1</v>
      </c>
      <c r="AI9">
        <f t="shared" si="3"/>
        <v>0</v>
      </c>
      <c r="AJ9">
        <f t="shared" si="4"/>
        <v>0</v>
      </c>
    </row>
    <row r="10" spans="1:54" x14ac:dyDescent="0.2">
      <c r="B10">
        <v>12905</v>
      </c>
      <c r="C10">
        <v>18969</v>
      </c>
      <c r="D10" t="s">
        <v>851</v>
      </c>
      <c r="E10" t="s">
        <v>852</v>
      </c>
      <c r="F10" t="s">
        <v>893</v>
      </c>
      <c r="G10" t="s">
        <v>854</v>
      </c>
      <c r="H10" t="s">
        <v>850</v>
      </c>
      <c r="I10" t="s">
        <v>521</v>
      </c>
      <c r="J10">
        <v>53</v>
      </c>
      <c r="K10" t="s">
        <v>894</v>
      </c>
      <c r="L10" t="s">
        <v>869</v>
      </c>
      <c r="M10">
        <v>1</v>
      </c>
      <c r="N10">
        <v>0</v>
      </c>
      <c r="O10">
        <v>2</v>
      </c>
      <c r="P10">
        <v>0</v>
      </c>
      <c r="Q10">
        <v>0</v>
      </c>
      <c r="R10">
        <v>0</v>
      </c>
      <c r="S10" t="s">
        <v>857</v>
      </c>
      <c r="T10" t="s">
        <v>858</v>
      </c>
      <c r="U10" t="s">
        <v>895</v>
      </c>
      <c r="V10" t="s">
        <v>896</v>
      </c>
      <c r="W10" t="s">
        <v>897</v>
      </c>
      <c r="X10">
        <v>45907</v>
      </c>
      <c r="Y10">
        <v>20252026</v>
      </c>
      <c r="Z10" t="s">
        <v>756</v>
      </c>
      <c r="AA10" s="41">
        <v>5</v>
      </c>
      <c r="AB10" s="41" t="str">
        <f t="shared" si="0"/>
        <v>h</v>
      </c>
      <c r="AC10">
        <f>COUNTIFS(events!$X:$X,"="&amp;game_rosters!$J10,events!$AQ:$AQ,"="&amp;game_rosters!$G10,events!$K:$K,"=Goal")</f>
        <v>0</v>
      </c>
      <c r="AD10">
        <f>COUNTIFS(events!$X:$X,"="&amp;game_rosters!$J10,events!$AQ:$AQ,"="&amp;game_rosters!$G10,events!$K:$K,"=Penalty")</f>
        <v>0</v>
      </c>
      <c r="AE10">
        <f>COUNTIFS(events!$X:$X,"="&amp;game_rosters!$J10,events!$AQ:$AQ,"="&amp;game_rosters!$G10,events!$O:$O,"=AssistPrimary")</f>
        <v>0</v>
      </c>
      <c r="AF10">
        <f>COUNTIFS(events!$X:$X,"="&amp;game_rosters!$J10,events!$AQ:$AQ,"="&amp;game_rosters!$G10,events!$O:$O,"=AssistSecondary")</f>
        <v>0</v>
      </c>
      <c r="AG10">
        <f t="shared" si="1"/>
        <v>0</v>
      </c>
      <c r="AH10">
        <f t="shared" si="2"/>
        <v>0</v>
      </c>
      <c r="AI10">
        <f t="shared" si="3"/>
        <v>0</v>
      </c>
      <c r="AJ10">
        <f t="shared" si="4"/>
        <v>-2</v>
      </c>
    </row>
    <row r="11" spans="1:54" x14ac:dyDescent="0.2">
      <c r="B11">
        <v>12906</v>
      </c>
      <c r="C11">
        <v>18969</v>
      </c>
      <c r="D11" t="s">
        <v>851</v>
      </c>
      <c r="E11" t="s">
        <v>852</v>
      </c>
      <c r="F11" t="s">
        <v>898</v>
      </c>
      <c r="G11" t="s">
        <v>854</v>
      </c>
      <c r="H11" t="s">
        <v>850</v>
      </c>
      <c r="I11" t="s">
        <v>521</v>
      </c>
      <c r="J11">
        <v>78</v>
      </c>
      <c r="K11" t="s">
        <v>899</v>
      </c>
      <c r="L11" t="s">
        <v>856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 t="s">
        <v>857</v>
      </c>
      <c r="T11" t="s">
        <v>858</v>
      </c>
      <c r="U11" t="s">
        <v>900</v>
      </c>
      <c r="V11" t="s">
        <v>901</v>
      </c>
      <c r="W11" t="s">
        <v>902</v>
      </c>
      <c r="X11">
        <v>45907</v>
      </c>
      <c r="Y11">
        <v>20252026</v>
      </c>
      <c r="Z11" t="s">
        <v>756</v>
      </c>
      <c r="AA11" s="41">
        <v>3</v>
      </c>
      <c r="AB11" s="41" t="str">
        <f t="shared" si="0"/>
        <v>h</v>
      </c>
      <c r="AC11">
        <f>COUNTIFS(events!$X:$X,"="&amp;game_rosters!$J11,events!$AQ:$AQ,"="&amp;game_rosters!$G11,events!$K:$K,"=Goal")</f>
        <v>0</v>
      </c>
      <c r="AD11">
        <f>COUNTIFS(events!$X:$X,"="&amp;game_rosters!$J11,events!$AQ:$AQ,"="&amp;game_rosters!$G11,events!$K:$K,"=Penalty")</f>
        <v>0</v>
      </c>
      <c r="AE11">
        <f>COUNTIFS(events!$X:$X,"="&amp;game_rosters!$J11,events!$AQ:$AQ,"="&amp;game_rosters!$G11,events!$O:$O,"=AssistPrimary")</f>
        <v>0</v>
      </c>
      <c r="AF11">
        <f>COUNTIFS(events!$X:$X,"="&amp;game_rosters!$J11,events!$AQ:$AQ,"="&amp;game_rosters!$G11,events!$O:$O,"=AssistSecondary")</f>
        <v>0</v>
      </c>
      <c r="AG11">
        <f t="shared" si="1"/>
        <v>0</v>
      </c>
      <c r="AH11">
        <f t="shared" si="2"/>
        <v>0</v>
      </c>
      <c r="AI11">
        <f t="shared" si="3"/>
        <v>0</v>
      </c>
      <c r="AJ11">
        <f t="shared" si="4"/>
        <v>-1</v>
      </c>
    </row>
    <row r="12" spans="1:54" x14ac:dyDescent="0.2">
      <c r="B12">
        <v>12907</v>
      </c>
      <c r="C12">
        <v>18969</v>
      </c>
      <c r="D12" t="s">
        <v>851</v>
      </c>
      <c r="E12" t="s">
        <v>852</v>
      </c>
      <c r="F12" t="s">
        <v>903</v>
      </c>
      <c r="G12" t="s">
        <v>854</v>
      </c>
      <c r="H12" t="s">
        <v>850</v>
      </c>
      <c r="I12" t="s">
        <v>521</v>
      </c>
      <c r="J12">
        <v>82</v>
      </c>
      <c r="K12" t="s">
        <v>904</v>
      </c>
      <c r="L12" t="s">
        <v>869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857</v>
      </c>
      <c r="T12" t="s">
        <v>858</v>
      </c>
      <c r="U12" t="s">
        <v>905</v>
      </c>
      <c r="V12" t="s">
        <v>906</v>
      </c>
      <c r="W12" t="s">
        <v>907</v>
      </c>
      <c r="X12">
        <v>45907</v>
      </c>
      <c r="Y12">
        <v>20252026</v>
      </c>
      <c r="Z12" t="s">
        <v>756</v>
      </c>
      <c r="AA12" s="41">
        <v>2</v>
      </c>
      <c r="AB12" s="41" t="str">
        <f t="shared" si="0"/>
        <v>h</v>
      </c>
      <c r="AC12">
        <f>COUNTIFS(events!$X:$X,"="&amp;game_rosters!$J12,events!$AQ:$AQ,"="&amp;game_rosters!$G12,events!$K:$K,"=Goal")</f>
        <v>0</v>
      </c>
      <c r="AD12">
        <f>COUNTIFS(events!$X:$X,"="&amp;game_rosters!$J12,events!$AQ:$AQ,"="&amp;game_rosters!$G12,events!$K:$K,"=Penalty")</f>
        <v>0</v>
      </c>
      <c r="AE12">
        <f>COUNTIFS(events!$X:$X,"="&amp;game_rosters!$J12,events!$AQ:$AQ,"="&amp;game_rosters!$G12,events!$O:$O,"=AssistPrimary")</f>
        <v>0</v>
      </c>
      <c r="AF12">
        <f>COUNTIFS(events!$X:$X,"="&amp;game_rosters!$J12,events!$AQ:$AQ,"="&amp;game_rosters!$G12,events!$O:$O,"=AssistSecondary")</f>
        <v>0</v>
      </c>
      <c r="AG12">
        <f t="shared" si="1"/>
        <v>0</v>
      </c>
      <c r="AH12">
        <f t="shared" si="2"/>
        <v>0</v>
      </c>
      <c r="AI12">
        <f t="shared" si="3"/>
        <v>0</v>
      </c>
      <c r="AJ12">
        <f t="shared" si="4"/>
        <v>0</v>
      </c>
    </row>
    <row r="13" spans="1:54" x14ac:dyDescent="0.2">
      <c r="B13">
        <v>12908</v>
      </c>
      <c r="C13">
        <v>18969</v>
      </c>
      <c r="D13" t="s">
        <v>851</v>
      </c>
      <c r="E13" t="s">
        <v>852</v>
      </c>
      <c r="F13" t="s">
        <v>908</v>
      </c>
      <c r="G13" t="s">
        <v>854</v>
      </c>
      <c r="H13" t="s">
        <v>850</v>
      </c>
      <c r="I13" t="s">
        <v>521</v>
      </c>
      <c r="J13">
        <v>86</v>
      </c>
      <c r="K13" t="s">
        <v>909</v>
      </c>
      <c r="L13" t="s">
        <v>869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857</v>
      </c>
      <c r="T13" t="s">
        <v>858</v>
      </c>
      <c r="U13" t="s">
        <v>910</v>
      </c>
      <c r="V13" t="s">
        <v>911</v>
      </c>
      <c r="W13" t="s">
        <v>912</v>
      </c>
      <c r="X13">
        <v>45907</v>
      </c>
      <c r="Y13">
        <v>20252026</v>
      </c>
      <c r="Z13" t="s">
        <v>756</v>
      </c>
      <c r="AA13" s="41">
        <v>3</v>
      </c>
      <c r="AB13" s="41" t="str">
        <f t="shared" si="0"/>
        <v>h</v>
      </c>
      <c r="AC13">
        <f>COUNTIFS(events!$X:$X,"="&amp;game_rosters!$J13,events!$AQ:$AQ,"="&amp;game_rosters!$G13,events!$K:$K,"=Goal")</f>
        <v>0</v>
      </c>
      <c r="AD13">
        <f>COUNTIFS(events!$X:$X,"="&amp;game_rosters!$J13,events!$AQ:$AQ,"="&amp;game_rosters!$G13,events!$K:$K,"=Penalty")</f>
        <v>0</v>
      </c>
      <c r="AE13">
        <f>COUNTIFS(events!$X:$X,"="&amp;game_rosters!$J13,events!$AQ:$AQ,"="&amp;game_rosters!$G13,events!$O:$O,"=AssistPrimary")</f>
        <v>0</v>
      </c>
      <c r="AF13">
        <f>COUNTIFS(events!$X:$X,"="&amp;game_rosters!$J13,events!$AQ:$AQ,"="&amp;game_rosters!$G13,events!$O:$O,"=AssistSecondary")</f>
        <v>0</v>
      </c>
      <c r="AG13">
        <f t="shared" si="1"/>
        <v>0</v>
      </c>
      <c r="AH13">
        <f t="shared" si="2"/>
        <v>0</v>
      </c>
      <c r="AI13">
        <f t="shared" si="3"/>
        <v>0</v>
      </c>
      <c r="AJ13">
        <f t="shared" si="4"/>
        <v>0</v>
      </c>
    </row>
    <row r="14" spans="1:54" x14ac:dyDescent="0.2">
      <c r="B14">
        <v>12909</v>
      </c>
      <c r="C14">
        <v>18969</v>
      </c>
      <c r="D14" t="s">
        <v>851</v>
      </c>
      <c r="E14" t="s">
        <v>852</v>
      </c>
      <c r="F14" t="s">
        <v>913</v>
      </c>
      <c r="G14" t="s">
        <v>854</v>
      </c>
      <c r="H14" t="s">
        <v>850</v>
      </c>
      <c r="I14" t="s">
        <v>521</v>
      </c>
      <c r="J14">
        <v>20</v>
      </c>
      <c r="K14" t="s">
        <v>914</v>
      </c>
      <c r="L14" t="s">
        <v>869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857</v>
      </c>
      <c r="T14" t="s">
        <v>858</v>
      </c>
      <c r="U14" t="s">
        <v>915</v>
      </c>
      <c r="V14" t="s">
        <v>916</v>
      </c>
      <c r="W14" t="s">
        <v>917</v>
      </c>
      <c r="X14">
        <v>45907</v>
      </c>
      <c r="Y14">
        <v>20252026</v>
      </c>
      <c r="Z14" t="s">
        <v>756</v>
      </c>
      <c r="AA14" s="41">
        <v>3</v>
      </c>
      <c r="AB14" s="41" t="str">
        <f t="shared" si="0"/>
        <v>h</v>
      </c>
      <c r="AC14">
        <f>COUNTIFS(events!$X:$X,"="&amp;game_rosters!$J14,events!$AQ:$AQ,"="&amp;game_rosters!$G14,events!$K:$K,"=Goal")</f>
        <v>0</v>
      </c>
      <c r="AD14">
        <f>COUNTIFS(events!$X:$X,"="&amp;game_rosters!$J14,events!$AQ:$AQ,"="&amp;game_rosters!$G14,events!$K:$K,"=Penalty")</f>
        <v>0</v>
      </c>
      <c r="AE14">
        <f>COUNTIFS(events!$X:$X,"="&amp;game_rosters!$J14,events!$AQ:$AQ,"="&amp;game_rosters!$G14,events!$O:$O,"=AssistPrimary")</f>
        <v>0</v>
      </c>
      <c r="AF14">
        <f>COUNTIFS(events!$X:$X,"="&amp;game_rosters!$J14,events!$AQ:$AQ,"="&amp;game_rosters!$G14,events!$O:$O,"=AssistSecondary")</f>
        <v>0</v>
      </c>
      <c r="AG14">
        <f t="shared" si="1"/>
        <v>0</v>
      </c>
      <c r="AH14">
        <f t="shared" si="2"/>
        <v>0</v>
      </c>
      <c r="AI14">
        <f t="shared" si="3"/>
        <v>0</v>
      </c>
      <c r="AJ14">
        <f t="shared" si="4"/>
        <v>0</v>
      </c>
    </row>
    <row r="15" spans="1:54" x14ac:dyDescent="0.2">
      <c r="B15">
        <v>12910</v>
      </c>
      <c r="C15">
        <v>18969</v>
      </c>
      <c r="D15" t="s">
        <v>851</v>
      </c>
      <c r="E15" t="s">
        <v>852</v>
      </c>
      <c r="F15" t="s">
        <v>918</v>
      </c>
      <c r="G15" t="s">
        <v>854</v>
      </c>
      <c r="H15" t="s">
        <v>850</v>
      </c>
      <c r="I15" t="s">
        <v>521</v>
      </c>
      <c r="J15">
        <v>99</v>
      </c>
      <c r="K15" t="s">
        <v>919</v>
      </c>
      <c r="L15" t="s">
        <v>920</v>
      </c>
      <c r="M15">
        <v>1</v>
      </c>
      <c r="N15">
        <v>0</v>
      </c>
      <c r="O15">
        <v>0</v>
      </c>
      <c r="P15">
        <v>3</v>
      </c>
      <c r="Q15">
        <v>0</v>
      </c>
      <c r="R15">
        <v>0</v>
      </c>
      <c r="S15" t="s">
        <v>857</v>
      </c>
      <c r="T15" t="s">
        <v>858</v>
      </c>
      <c r="U15" t="s">
        <v>921</v>
      </c>
      <c r="V15" t="s">
        <v>922</v>
      </c>
      <c r="W15" t="s">
        <v>923</v>
      </c>
      <c r="X15">
        <v>45907</v>
      </c>
      <c r="Y15">
        <v>20252026</v>
      </c>
      <c r="Z15" t="s">
        <v>756</v>
      </c>
      <c r="AA15" s="41">
        <v>5</v>
      </c>
      <c r="AB15" s="41" t="str">
        <f t="shared" si="0"/>
        <v>h</v>
      </c>
      <c r="AC15">
        <f>COUNTIFS(events!$X:$X,"="&amp;game_rosters!$J15,events!$AQ:$AQ,"="&amp;game_rosters!$G15,events!$K:$K,"=Goal")</f>
        <v>0</v>
      </c>
      <c r="AD15">
        <f>COUNTIFS(events!$X:$X,"="&amp;game_rosters!$J15,events!$AQ:$AQ,"="&amp;game_rosters!$G15,events!$K:$K,"=Penalty")</f>
        <v>0</v>
      </c>
      <c r="AE15">
        <f>COUNTIFS(events!$X:$X,"="&amp;game_rosters!$J15,events!$AQ:$AQ,"="&amp;game_rosters!$G15,events!$O:$O,"=AssistPrimary")</f>
        <v>0</v>
      </c>
      <c r="AF15">
        <f>COUNTIFS(events!$X:$X,"="&amp;game_rosters!$J15,events!$AQ:$AQ,"="&amp;game_rosters!$G15,events!$O:$O,"=AssistSecondary")</f>
        <v>0</v>
      </c>
      <c r="AG15">
        <f t="shared" si="1"/>
        <v>0</v>
      </c>
      <c r="AH15">
        <f t="shared" si="2"/>
        <v>0</v>
      </c>
      <c r="AI15">
        <f t="shared" si="3"/>
        <v>0</v>
      </c>
      <c r="AJ15">
        <f t="shared" si="4"/>
        <v>0</v>
      </c>
    </row>
    <row r="16" spans="1:54" x14ac:dyDescent="0.2">
      <c r="B16">
        <v>12911</v>
      </c>
      <c r="C16">
        <v>18969</v>
      </c>
      <c r="D16" t="s">
        <v>852</v>
      </c>
      <c r="E16" t="s">
        <v>851</v>
      </c>
      <c r="F16" t="s">
        <v>924</v>
      </c>
      <c r="G16" t="s">
        <v>925</v>
      </c>
      <c r="H16" t="s">
        <v>521</v>
      </c>
      <c r="I16" t="s">
        <v>850</v>
      </c>
      <c r="J16">
        <v>9</v>
      </c>
      <c r="K16" t="s">
        <v>926</v>
      </c>
      <c r="L16" t="s">
        <v>856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858</v>
      </c>
      <c r="T16" t="s">
        <v>857</v>
      </c>
      <c r="U16" t="s">
        <v>927</v>
      </c>
      <c r="V16" t="s">
        <v>928</v>
      </c>
      <c r="W16" t="s">
        <v>929</v>
      </c>
      <c r="X16">
        <v>45907</v>
      </c>
      <c r="Y16">
        <v>20252026</v>
      </c>
      <c r="Z16" t="s">
        <v>756</v>
      </c>
      <c r="AA16" s="41">
        <v>4</v>
      </c>
      <c r="AB16" s="41" t="str">
        <f t="shared" si="0"/>
        <v>a</v>
      </c>
      <c r="AC16">
        <f>COUNTIFS(events!$X:$X,"="&amp;game_rosters!$J16,events!$AQ:$AQ,"="&amp;game_rosters!$G16,events!$K:$K,"=Goal")</f>
        <v>0</v>
      </c>
      <c r="AD16">
        <f>COUNTIFS(events!$X:$X,"="&amp;game_rosters!$J16,events!$AQ:$AQ,"="&amp;game_rosters!$G16,events!$K:$K,"=Penalty")</f>
        <v>0</v>
      </c>
      <c r="AE16">
        <f>COUNTIFS(events!$X:$X,"="&amp;game_rosters!$J16,events!$AQ:$AQ,"="&amp;game_rosters!$G16,events!$O:$O,"=AssistPrimary")</f>
        <v>0</v>
      </c>
      <c r="AF16">
        <f>COUNTIFS(events!$X:$X,"="&amp;game_rosters!$J16,events!$AQ:$AQ,"="&amp;game_rosters!$G16,events!$O:$O,"=AssistSecondary")</f>
        <v>0</v>
      </c>
      <c r="AG16">
        <f t="shared" si="1"/>
        <v>0</v>
      </c>
      <c r="AH16">
        <f t="shared" si="2"/>
        <v>0</v>
      </c>
      <c r="AI16">
        <f t="shared" si="3"/>
        <v>0</v>
      </c>
      <c r="AJ16">
        <f t="shared" si="4"/>
        <v>0</v>
      </c>
    </row>
    <row r="17" spans="2:36" x14ac:dyDescent="0.2">
      <c r="B17">
        <v>12912</v>
      </c>
      <c r="C17">
        <v>18969</v>
      </c>
      <c r="D17" t="s">
        <v>852</v>
      </c>
      <c r="E17" t="s">
        <v>851</v>
      </c>
      <c r="F17" t="s">
        <v>930</v>
      </c>
      <c r="G17" t="s">
        <v>925</v>
      </c>
      <c r="H17" t="s">
        <v>521</v>
      </c>
      <c r="I17" t="s">
        <v>850</v>
      </c>
      <c r="J17">
        <v>14</v>
      </c>
      <c r="K17" t="s">
        <v>931</v>
      </c>
      <c r="L17" t="s">
        <v>869</v>
      </c>
      <c r="M17">
        <v>1</v>
      </c>
      <c r="N17">
        <v>2</v>
      </c>
      <c r="O17">
        <v>0</v>
      </c>
      <c r="P17">
        <v>0</v>
      </c>
      <c r="Q17">
        <v>0</v>
      </c>
      <c r="R17">
        <v>0</v>
      </c>
      <c r="S17" t="s">
        <v>858</v>
      </c>
      <c r="T17" t="s">
        <v>857</v>
      </c>
      <c r="U17" t="s">
        <v>932</v>
      </c>
      <c r="V17" t="s">
        <v>933</v>
      </c>
      <c r="W17" t="s">
        <v>934</v>
      </c>
      <c r="X17">
        <v>45907</v>
      </c>
      <c r="Y17">
        <v>20252026</v>
      </c>
      <c r="Z17" t="s">
        <v>756</v>
      </c>
      <c r="AA17" s="41">
        <v>4</v>
      </c>
      <c r="AB17" s="41" t="str">
        <f t="shared" si="0"/>
        <v>a</v>
      </c>
      <c r="AC17">
        <f>COUNTIFS(events!$X:$X,"="&amp;game_rosters!$J17,events!$AQ:$AQ,"="&amp;game_rosters!$G17,events!$K:$K,"=Goal")</f>
        <v>0</v>
      </c>
      <c r="AD17">
        <f>COUNTIFS(events!$X:$X,"="&amp;game_rosters!$J17,events!$AQ:$AQ,"="&amp;game_rosters!$G17,events!$K:$K,"=Penalty")</f>
        <v>0</v>
      </c>
      <c r="AE17">
        <f>COUNTIFS(events!$X:$X,"="&amp;game_rosters!$J17,events!$AQ:$AQ,"="&amp;game_rosters!$G17,events!$O:$O,"=AssistPrimary")</f>
        <v>0</v>
      </c>
      <c r="AF17">
        <f>COUNTIFS(events!$X:$X,"="&amp;game_rosters!$J17,events!$AQ:$AQ,"="&amp;game_rosters!$G17,events!$O:$O,"=AssistSecondary")</f>
        <v>0</v>
      </c>
      <c r="AG17">
        <f t="shared" si="1"/>
        <v>0</v>
      </c>
      <c r="AH17">
        <f>AC17-N17</f>
        <v>-2</v>
      </c>
      <c r="AI17">
        <f t="shared" si="3"/>
        <v>0</v>
      </c>
      <c r="AJ17">
        <f t="shared" si="4"/>
        <v>0</v>
      </c>
    </row>
    <row r="18" spans="2:36" x14ac:dyDescent="0.2">
      <c r="B18">
        <v>12913</v>
      </c>
      <c r="C18">
        <v>18969</v>
      </c>
      <c r="D18" t="s">
        <v>852</v>
      </c>
      <c r="E18" t="s">
        <v>851</v>
      </c>
      <c r="F18" t="s">
        <v>935</v>
      </c>
      <c r="G18" t="s">
        <v>925</v>
      </c>
      <c r="H18" t="s">
        <v>521</v>
      </c>
      <c r="I18" t="s">
        <v>850</v>
      </c>
      <c r="J18">
        <v>22</v>
      </c>
      <c r="K18" t="s">
        <v>936</v>
      </c>
      <c r="L18" t="s">
        <v>856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 t="s">
        <v>858</v>
      </c>
      <c r="T18" t="s">
        <v>857</v>
      </c>
      <c r="U18" t="s">
        <v>937</v>
      </c>
      <c r="V18" t="s">
        <v>938</v>
      </c>
      <c r="W18" t="s">
        <v>939</v>
      </c>
      <c r="X18">
        <v>45907</v>
      </c>
      <c r="Y18">
        <v>20252026</v>
      </c>
      <c r="Z18" t="s">
        <v>756</v>
      </c>
      <c r="AA18" s="41">
        <v>3</v>
      </c>
      <c r="AB18" s="41" t="str">
        <f t="shared" si="0"/>
        <v>a</v>
      </c>
      <c r="AC18">
        <f>COUNTIFS(events!$X:$X,"="&amp;game_rosters!$J18,events!$AQ:$AQ,"="&amp;game_rosters!$G18,events!$K:$K,"=Goal")</f>
        <v>0</v>
      </c>
      <c r="AD18">
        <f>COUNTIFS(events!$X:$X,"="&amp;game_rosters!$J18,events!$AQ:$AQ,"="&amp;game_rosters!$G18,events!$K:$K,"=Penalty")</f>
        <v>0</v>
      </c>
      <c r="AE18">
        <f>COUNTIFS(events!$X:$X,"="&amp;game_rosters!$J18,events!$AQ:$AQ,"="&amp;game_rosters!$G18,events!$O:$O,"=AssistPrimary")</f>
        <v>0</v>
      </c>
      <c r="AF18">
        <f>COUNTIFS(events!$X:$X,"="&amp;game_rosters!$J18,events!$AQ:$AQ,"="&amp;game_rosters!$G18,events!$O:$O,"=AssistSecondary")</f>
        <v>0</v>
      </c>
      <c r="AG18">
        <f t="shared" si="1"/>
        <v>0</v>
      </c>
      <c r="AH18">
        <f t="shared" si="2"/>
        <v>0</v>
      </c>
      <c r="AI18">
        <f t="shared" si="3"/>
        <v>0</v>
      </c>
      <c r="AJ18">
        <f>AG18-O18</f>
        <v>-1</v>
      </c>
    </row>
    <row r="19" spans="2:36" x14ac:dyDescent="0.2">
      <c r="B19">
        <v>12914</v>
      </c>
      <c r="C19">
        <v>18969</v>
      </c>
      <c r="D19" t="s">
        <v>852</v>
      </c>
      <c r="E19" t="s">
        <v>851</v>
      </c>
      <c r="F19" t="s">
        <v>940</v>
      </c>
      <c r="G19" t="s">
        <v>925</v>
      </c>
      <c r="H19" t="s">
        <v>521</v>
      </c>
      <c r="I19" t="s">
        <v>850</v>
      </c>
      <c r="J19">
        <v>39</v>
      </c>
      <c r="K19" t="s">
        <v>941</v>
      </c>
      <c r="L19" t="s">
        <v>920</v>
      </c>
      <c r="M19">
        <v>1</v>
      </c>
      <c r="N19">
        <v>0</v>
      </c>
      <c r="O19">
        <v>0</v>
      </c>
      <c r="P19">
        <v>4</v>
      </c>
      <c r="Q19">
        <v>0</v>
      </c>
      <c r="R19">
        <v>0</v>
      </c>
      <c r="S19" t="s">
        <v>858</v>
      </c>
      <c r="T19" t="s">
        <v>857</v>
      </c>
      <c r="U19" t="s">
        <v>942</v>
      </c>
      <c r="V19" t="s">
        <v>943</v>
      </c>
      <c r="W19" t="s">
        <v>944</v>
      </c>
      <c r="X19">
        <v>45907</v>
      </c>
      <c r="Y19">
        <v>20252026</v>
      </c>
      <c r="Z19" t="s">
        <v>756</v>
      </c>
      <c r="AA19" s="41">
        <v>5</v>
      </c>
      <c r="AB19" s="41" t="str">
        <f t="shared" si="0"/>
        <v>a</v>
      </c>
      <c r="AC19">
        <f>COUNTIFS(events!$X:$X,"="&amp;game_rosters!$J19,events!$AQ:$AQ,"="&amp;game_rosters!$G19,events!$K:$K,"=Goal")</f>
        <v>0</v>
      </c>
      <c r="AD19">
        <f>COUNTIFS(events!$X:$X,"="&amp;game_rosters!$J19,events!$AQ:$AQ,"="&amp;game_rosters!$G19,events!$K:$K,"=Penalty")</f>
        <v>0</v>
      </c>
      <c r="AE19">
        <f>COUNTIFS(events!$X:$X,"="&amp;game_rosters!$J19,events!$AQ:$AQ,"="&amp;game_rosters!$G19,events!$O:$O,"=AssistPrimary")</f>
        <v>0</v>
      </c>
      <c r="AF19">
        <f>COUNTIFS(events!$X:$X,"="&amp;game_rosters!$J19,events!$AQ:$AQ,"="&amp;game_rosters!$G19,events!$O:$O,"=AssistSecondary")</f>
        <v>0</v>
      </c>
      <c r="AG19">
        <f t="shared" si="1"/>
        <v>0</v>
      </c>
      <c r="AH19">
        <f t="shared" si="2"/>
        <v>0</v>
      </c>
      <c r="AI19">
        <f t="shared" si="3"/>
        <v>0</v>
      </c>
      <c r="AJ19">
        <f t="shared" si="4"/>
        <v>0</v>
      </c>
    </row>
    <row r="20" spans="2:36" x14ac:dyDescent="0.2">
      <c r="B20">
        <v>12915</v>
      </c>
      <c r="C20">
        <v>18969</v>
      </c>
      <c r="D20" t="s">
        <v>852</v>
      </c>
      <c r="E20" t="s">
        <v>851</v>
      </c>
      <c r="F20" t="s">
        <v>945</v>
      </c>
      <c r="G20" t="s">
        <v>925</v>
      </c>
      <c r="H20" t="s">
        <v>521</v>
      </c>
      <c r="I20" t="s">
        <v>850</v>
      </c>
      <c r="J20">
        <v>42</v>
      </c>
      <c r="K20" t="s">
        <v>946</v>
      </c>
      <c r="L20" t="s">
        <v>869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 t="s">
        <v>858</v>
      </c>
      <c r="T20" t="s">
        <v>857</v>
      </c>
      <c r="U20" t="s">
        <v>947</v>
      </c>
      <c r="V20" t="s">
        <v>948</v>
      </c>
      <c r="W20" t="s">
        <v>949</v>
      </c>
      <c r="X20">
        <v>45907</v>
      </c>
      <c r="Y20">
        <v>20252026</v>
      </c>
      <c r="Z20" t="s">
        <v>756</v>
      </c>
      <c r="AA20" s="41">
        <v>5</v>
      </c>
      <c r="AB20" s="41" t="str">
        <f t="shared" si="0"/>
        <v>a</v>
      </c>
      <c r="AC20">
        <f>COUNTIFS(events!$X:$X,"="&amp;game_rosters!$J20,events!$AQ:$AQ,"="&amp;game_rosters!$G20,events!$K:$K,"=Goal")</f>
        <v>0</v>
      </c>
      <c r="AD20">
        <f>COUNTIFS(events!$X:$X,"="&amp;game_rosters!$J20,events!$AQ:$AQ,"="&amp;game_rosters!$G20,events!$K:$K,"=Penalty")</f>
        <v>0</v>
      </c>
      <c r="AE20">
        <f>COUNTIFS(events!$X:$X,"="&amp;game_rosters!$J20,events!$AQ:$AQ,"="&amp;game_rosters!$G20,events!$O:$O,"=AssistPrimary")</f>
        <v>0</v>
      </c>
      <c r="AF20">
        <f>COUNTIFS(events!$X:$X,"="&amp;game_rosters!$J20,events!$AQ:$AQ,"="&amp;game_rosters!$G20,events!$O:$O,"=AssistSecondary")</f>
        <v>0</v>
      </c>
      <c r="AG20">
        <f t="shared" si="1"/>
        <v>0</v>
      </c>
      <c r="AH20">
        <f t="shared" si="2"/>
        <v>-1</v>
      </c>
      <c r="AI20">
        <f t="shared" si="3"/>
        <v>0</v>
      </c>
      <c r="AJ20">
        <f t="shared" si="4"/>
        <v>0</v>
      </c>
    </row>
    <row r="21" spans="2:36" x14ac:dyDescent="0.2">
      <c r="B21">
        <v>12916</v>
      </c>
      <c r="C21">
        <v>18969</v>
      </c>
      <c r="D21" t="s">
        <v>852</v>
      </c>
      <c r="E21" t="s">
        <v>851</v>
      </c>
      <c r="F21" t="s">
        <v>950</v>
      </c>
      <c r="G21" t="s">
        <v>925</v>
      </c>
      <c r="H21" t="s">
        <v>521</v>
      </c>
      <c r="I21" t="s">
        <v>850</v>
      </c>
      <c r="J21">
        <v>49</v>
      </c>
      <c r="K21" t="s">
        <v>951</v>
      </c>
      <c r="L21" t="s">
        <v>869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 t="s">
        <v>858</v>
      </c>
      <c r="T21" t="s">
        <v>857</v>
      </c>
      <c r="U21" t="s">
        <v>952</v>
      </c>
      <c r="V21" t="s">
        <v>953</v>
      </c>
      <c r="W21" t="s">
        <v>954</v>
      </c>
      <c r="X21">
        <v>45907</v>
      </c>
      <c r="Y21">
        <v>20252026</v>
      </c>
      <c r="Z21" t="s">
        <v>756</v>
      </c>
      <c r="AA21" s="41">
        <v>5</v>
      </c>
      <c r="AB21" s="41" t="str">
        <f t="shared" si="0"/>
        <v>a</v>
      </c>
      <c r="AC21">
        <f>COUNTIFS(events!$X:$X,"="&amp;game_rosters!$J21,events!$AQ:$AQ,"="&amp;game_rosters!$G21,events!$K:$K,"=Goal")</f>
        <v>0</v>
      </c>
      <c r="AD21">
        <f>COUNTIFS(events!$X:$X,"="&amp;game_rosters!$J21,events!$AQ:$AQ,"="&amp;game_rosters!$G21,events!$K:$K,"=Penalty")</f>
        <v>0</v>
      </c>
      <c r="AE21">
        <f>COUNTIFS(events!$X:$X,"="&amp;game_rosters!$J21,events!$AQ:$AQ,"="&amp;game_rosters!$G21,events!$O:$O,"=AssistPrimary")</f>
        <v>0</v>
      </c>
      <c r="AF21">
        <f>COUNTIFS(events!$X:$X,"="&amp;game_rosters!$J21,events!$AQ:$AQ,"="&amp;game_rosters!$G21,events!$O:$O,"=AssistSecondary")</f>
        <v>0</v>
      </c>
      <c r="AG21">
        <f t="shared" si="1"/>
        <v>0</v>
      </c>
      <c r="AH21">
        <f t="shared" si="2"/>
        <v>0</v>
      </c>
      <c r="AI21">
        <f t="shared" si="3"/>
        <v>0</v>
      </c>
      <c r="AJ21">
        <f t="shared" si="4"/>
        <v>-1</v>
      </c>
    </row>
    <row r="22" spans="2:36" x14ac:dyDescent="0.2">
      <c r="B22">
        <v>12917</v>
      </c>
      <c r="C22">
        <v>18969</v>
      </c>
      <c r="D22" t="s">
        <v>852</v>
      </c>
      <c r="E22" t="s">
        <v>851</v>
      </c>
      <c r="F22" t="s">
        <v>955</v>
      </c>
      <c r="G22" t="s">
        <v>925</v>
      </c>
      <c r="H22" t="s">
        <v>521</v>
      </c>
      <c r="I22" t="s">
        <v>850</v>
      </c>
      <c r="J22">
        <v>52</v>
      </c>
      <c r="K22" t="s">
        <v>956</v>
      </c>
      <c r="L22" t="s">
        <v>856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858</v>
      </c>
      <c r="T22" t="s">
        <v>857</v>
      </c>
      <c r="U22" t="s">
        <v>957</v>
      </c>
      <c r="V22" t="s">
        <v>958</v>
      </c>
      <c r="W22" t="s">
        <v>959</v>
      </c>
      <c r="X22">
        <v>45907</v>
      </c>
      <c r="Y22">
        <v>20252026</v>
      </c>
      <c r="Z22" t="s">
        <v>756</v>
      </c>
      <c r="AA22" s="41">
        <v>4</v>
      </c>
      <c r="AB22" s="41" t="str">
        <f t="shared" si="0"/>
        <v>a</v>
      </c>
      <c r="AC22">
        <f>COUNTIFS(events!$X:$X,"="&amp;game_rosters!$J22,events!$AQ:$AQ,"="&amp;game_rosters!$G22,events!$K:$K,"=Goal")</f>
        <v>0</v>
      </c>
      <c r="AD22">
        <f>COUNTIFS(events!$X:$X,"="&amp;game_rosters!$J22,events!$AQ:$AQ,"="&amp;game_rosters!$G22,events!$K:$K,"=Penalty")</f>
        <v>0</v>
      </c>
      <c r="AE22">
        <f>COUNTIFS(events!$X:$X,"="&amp;game_rosters!$J22,events!$AQ:$AQ,"="&amp;game_rosters!$G22,events!$O:$O,"=AssistPrimary")</f>
        <v>0</v>
      </c>
      <c r="AF22">
        <f>COUNTIFS(events!$X:$X,"="&amp;game_rosters!$J22,events!$AQ:$AQ,"="&amp;game_rosters!$G22,events!$O:$O,"=AssistSecondary")</f>
        <v>0</v>
      </c>
      <c r="AG22">
        <f t="shared" si="1"/>
        <v>0</v>
      </c>
      <c r="AH22">
        <f t="shared" si="2"/>
        <v>0</v>
      </c>
      <c r="AI22">
        <f t="shared" si="3"/>
        <v>0</v>
      </c>
      <c r="AJ22">
        <f t="shared" si="4"/>
        <v>0</v>
      </c>
    </row>
    <row r="23" spans="2:36" x14ac:dyDescent="0.2">
      <c r="B23">
        <v>12918</v>
      </c>
      <c r="C23">
        <v>18969</v>
      </c>
      <c r="D23" t="s">
        <v>852</v>
      </c>
      <c r="E23" t="s">
        <v>851</v>
      </c>
      <c r="F23" t="s">
        <v>960</v>
      </c>
      <c r="G23" t="s">
        <v>925</v>
      </c>
      <c r="H23" t="s">
        <v>521</v>
      </c>
      <c r="I23" t="s">
        <v>850</v>
      </c>
      <c r="J23">
        <v>55</v>
      </c>
      <c r="K23" t="s">
        <v>961</v>
      </c>
      <c r="L23" t="s">
        <v>869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 t="s">
        <v>858</v>
      </c>
      <c r="T23" t="s">
        <v>857</v>
      </c>
      <c r="U23" t="s">
        <v>962</v>
      </c>
      <c r="V23" t="s">
        <v>963</v>
      </c>
      <c r="W23" t="s">
        <v>964</v>
      </c>
      <c r="X23">
        <v>45907</v>
      </c>
      <c r="Y23">
        <v>20252026</v>
      </c>
      <c r="Z23" t="s">
        <v>756</v>
      </c>
      <c r="AA23" s="41">
        <v>3</v>
      </c>
      <c r="AB23" s="41" t="str">
        <f t="shared" si="0"/>
        <v>a</v>
      </c>
      <c r="AC23">
        <f>COUNTIFS(events!$X:$X,"="&amp;game_rosters!$J23,events!$AQ:$AQ,"="&amp;game_rosters!$G23,events!$K:$K,"=Goal")</f>
        <v>0</v>
      </c>
      <c r="AD23">
        <f>COUNTIFS(events!$X:$X,"="&amp;game_rosters!$J23,events!$AQ:$AQ,"="&amp;game_rosters!$G23,events!$K:$K,"=Penalty")</f>
        <v>0</v>
      </c>
      <c r="AE23">
        <f>COUNTIFS(events!$X:$X,"="&amp;game_rosters!$J23,events!$AQ:$AQ,"="&amp;game_rosters!$G23,events!$O:$O,"=AssistPrimary")</f>
        <v>0</v>
      </c>
      <c r="AF23">
        <f>COUNTIFS(events!$X:$X,"="&amp;game_rosters!$J23,events!$AQ:$AQ,"="&amp;game_rosters!$G23,events!$O:$O,"=AssistSecondary")</f>
        <v>0</v>
      </c>
      <c r="AG23">
        <f t="shared" si="1"/>
        <v>0</v>
      </c>
      <c r="AH23">
        <f t="shared" si="2"/>
        <v>0</v>
      </c>
      <c r="AI23">
        <f t="shared" si="3"/>
        <v>0</v>
      </c>
      <c r="AJ23">
        <f t="shared" si="4"/>
        <v>-1</v>
      </c>
    </row>
    <row r="24" spans="2:36" x14ac:dyDescent="0.2">
      <c r="B24">
        <v>12919</v>
      </c>
      <c r="C24">
        <v>18969</v>
      </c>
      <c r="D24" t="s">
        <v>852</v>
      </c>
      <c r="E24" t="s">
        <v>851</v>
      </c>
      <c r="F24" t="s">
        <v>965</v>
      </c>
      <c r="G24" t="s">
        <v>925</v>
      </c>
      <c r="H24" t="s">
        <v>521</v>
      </c>
      <c r="I24" t="s">
        <v>850</v>
      </c>
      <c r="J24">
        <v>61</v>
      </c>
      <c r="K24" t="s">
        <v>966</v>
      </c>
      <c r="L24" t="s">
        <v>869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858</v>
      </c>
      <c r="T24" t="s">
        <v>857</v>
      </c>
      <c r="U24" t="s">
        <v>967</v>
      </c>
      <c r="V24" t="s">
        <v>968</v>
      </c>
      <c r="W24" t="s">
        <v>969</v>
      </c>
      <c r="X24">
        <v>45907</v>
      </c>
      <c r="Y24">
        <v>20252026</v>
      </c>
      <c r="Z24" t="s">
        <v>756</v>
      </c>
      <c r="AA24" s="41">
        <v>3</v>
      </c>
      <c r="AB24" s="41" t="str">
        <f t="shared" si="0"/>
        <v>a</v>
      </c>
      <c r="AC24">
        <f>COUNTIFS(events!$X:$X,"="&amp;game_rosters!$J24,events!$AQ:$AQ,"="&amp;game_rosters!$G24,events!$K:$K,"=Goal")</f>
        <v>0</v>
      </c>
      <c r="AD24">
        <f>COUNTIFS(events!$X:$X,"="&amp;game_rosters!$J24,events!$AQ:$AQ,"="&amp;game_rosters!$G24,events!$K:$K,"=Penalty")</f>
        <v>0</v>
      </c>
      <c r="AE24">
        <f>COUNTIFS(events!$X:$X,"="&amp;game_rosters!$J24,events!$AQ:$AQ,"="&amp;game_rosters!$G24,events!$O:$O,"=AssistPrimary")</f>
        <v>0</v>
      </c>
      <c r="AF24">
        <f>COUNTIFS(events!$X:$X,"="&amp;game_rosters!$J24,events!$AQ:$AQ,"="&amp;game_rosters!$G24,events!$O:$O,"=AssistSecondary")</f>
        <v>0</v>
      </c>
      <c r="AG24">
        <f t="shared" si="1"/>
        <v>0</v>
      </c>
      <c r="AH24">
        <f t="shared" si="2"/>
        <v>0</v>
      </c>
      <c r="AI24">
        <f t="shared" si="3"/>
        <v>0</v>
      </c>
      <c r="AJ24">
        <f t="shared" si="4"/>
        <v>0</v>
      </c>
    </row>
    <row r="25" spans="2:36" x14ac:dyDescent="0.2">
      <c r="B25">
        <v>12920</v>
      </c>
      <c r="C25">
        <v>18969</v>
      </c>
      <c r="D25" t="s">
        <v>852</v>
      </c>
      <c r="E25" t="s">
        <v>851</v>
      </c>
      <c r="F25" t="s">
        <v>970</v>
      </c>
      <c r="G25" t="s">
        <v>925</v>
      </c>
      <c r="H25" t="s">
        <v>521</v>
      </c>
      <c r="I25" t="s">
        <v>850</v>
      </c>
      <c r="J25">
        <v>70</v>
      </c>
      <c r="K25" t="s">
        <v>971</v>
      </c>
      <c r="L25" t="s">
        <v>869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858</v>
      </c>
      <c r="T25" t="s">
        <v>857</v>
      </c>
      <c r="U25" t="s">
        <v>972</v>
      </c>
      <c r="V25" t="s">
        <v>973</v>
      </c>
      <c r="W25" t="s">
        <v>974</v>
      </c>
      <c r="X25">
        <v>45907</v>
      </c>
      <c r="Y25">
        <v>20252026</v>
      </c>
      <c r="Z25" t="s">
        <v>756</v>
      </c>
      <c r="AA25" s="41">
        <v>6</v>
      </c>
      <c r="AB25" s="41" t="str">
        <f t="shared" si="0"/>
        <v>a</v>
      </c>
      <c r="AC25">
        <f>COUNTIFS(events!$X:$X,"="&amp;game_rosters!$J25,events!$AQ:$AQ,"="&amp;game_rosters!$G25,events!$K:$K,"=Goal")</f>
        <v>0</v>
      </c>
      <c r="AD25">
        <f>COUNTIFS(events!$X:$X,"="&amp;game_rosters!$J25,events!$AQ:$AQ,"="&amp;game_rosters!$G25,events!$K:$K,"=Penalty")</f>
        <v>0</v>
      </c>
      <c r="AE25">
        <f>COUNTIFS(events!$X:$X,"="&amp;game_rosters!$J25,events!$AQ:$AQ,"="&amp;game_rosters!$G25,events!$O:$O,"=AssistPrimary")</f>
        <v>0</v>
      </c>
      <c r="AF25">
        <f>COUNTIFS(events!$X:$X,"="&amp;game_rosters!$J25,events!$AQ:$AQ,"="&amp;game_rosters!$G25,events!$O:$O,"=AssistSecondary")</f>
        <v>0</v>
      </c>
      <c r="AG25">
        <f t="shared" si="1"/>
        <v>0</v>
      </c>
      <c r="AH25">
        <f t="shared" si="2"/>
        <v>0</v>
      </c>
      <c r="AI25">
        <f t="shared" si="3"/>
        <v>0</v>
      </c>
      <c r="AJ25">
        <f t="shared" si="4"/>
        <v>0</v>
      </c>
    </row>
    <row r="26" spans="2:36" x14ac:dyDescent="0.2">
      <c r="B26">
        <v>12921</v>
      </c>
      <c r="C26">
        <v>18969</v>
      </c>
      <c r="D26" t="s">
        <v>852</v>
      </c>
      <c r="E26" t="s">
        <v>851</v>
      </c>
      <c r="F26" t="s">
        <v>975</v>
      </c>
      <c r="G26" t="s">
        <v>925</v>
      </c>
      <c r="H26" t="s">
        <v>521</v>
      </c>
      <c r="I26" t="s">
        <v>850</v>
      </c>
      <c r="J26">
        <v>75</v>
      </c>
      <c r="K26" t="s">
        <v>976</v>
      </c>
      <c r="L26" t="s">
        <v>869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858</v>
      </c>
      <c r="T26" t="s">
        <v>857</v>
      </c>
      <c r="U26" t="s">
        <v>977</v>
      </c>
      <c r="V26" t="s">
        <v>978</v>
      </c>
      <c r="W26" t="s">
        <v>979</v>
      </c>
      <c r="X26">
        <v>45907</v>
      </c>
      <c r="Y26">
        <v>20252026</v>
      </c>
      <c r="Z26" t="s">
        <v>756</v>
      </c>
      <c r="AA26" s="41">
        <v>2</v>
      </c>
      <c r="AB26" s="41" t="str">
        <f t="shared" si="0"/>
        <v>a</v>
      </c>
      <c r="AC26">
        <f>COUNTIFS(events!$X:$X,"="&amp;game_rosters!$J26,events!$AQ:$AQ,"="&amp;game_rosters!$G26,events!$K:$K,"=Goal")</f>
        <v>0</v>
      </c>
      <c r="AD26">
        <f>COUNTIFS(events!$X:$X,"="&amp;game_rosters!$J26,events!$AQ:$AQ,"="&amp;game_rosters!$G26,events!$K:$K,"=Penalty")</f>
        <v>0</v>
      </c>
      <c r="AE26">
        <f>COUNTIFS(events!$X:$X,"="&amp;game_rosters!$J26,events!$AQ:$AQ,"="&amp;game_rosters!$G26,events!$O:$O,"=AssistPrimary")</f>
        <v>0</v>
      </c>
      <c r="AF26">
        <f>COUNTIFS(events!$X:$X,"="&amp;game_rosters!$J26,events!$AQ:$AQ,"="&amp;game_rosters!$G26,events!$O:$O,"=AssistSecondary")</f>
        <v>0</v>
      </c>
      <c r="AG26">
        <f t="shared" si="1"/>
        <v>0</v>
      </c>
      <c r="AH26">
        <f t="shared" si="2"/>
        <v>0</v>
      </c>
      <c r="AI26">
        <f t="shared" si="3"/>
        <v>0</v>
      </c>
      <c r="AJ26">
        <f t="shared" si="4"/>
        <v>0</v>
      </c>
    </row>
    <row r="27" spans="2:36" x14ac:dyDescent="0.2">
      <c r="B27">
        <v>12922</v>
      </c>
      <c r="C27">
        <v>18969</v>
      </c>
      <c r="D27" t="s">
        <v>852</v>
      </c>
      <c r="E27" t="s">
        <v>851</v>
      </c>
      <c r="F27" t="s">
        <v>980</v>
      </c>
      <c r="G27" t="s">
        <v>925</v>
      </c>
      <c r="H27" t="s">
        <v>521</v>
      </c>
      <c r="I27" t="s">
        <v>850</v>
      </c>
      <c r="J27">
        <v>84</v>
      </c>
      <c r="K27" t="s">
        <v>981</v>
      </c>
      <c r="L27" t="s">
        <v>856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858</v>
      </c>
      <c r="T27" t="s">
        <v>857</v>
      </c>
      <c r="U27" t="s">
        <v>982</v>
      </c>
      <c r="V27" t="s">
        <v>983</v>
      </c>
      <c r="W27" t="s">
        <v>984</v>
      </c>
      <c r="X27">
        <v>45907</v>
      </c>
      <c r="Y27">
        <v>20252026</v>
      </c>
      <c r="Z27" t="s">
        <v>756</v>
      </c>
      <c r="AA27" s="41">
        <v>5</v>
      </c>
      <c r="AB27" s="41" t="str">
        <f t="shared" si="0"/>
        <v>a</v>
      </c>
      <c r="AC27">
        <f>COUNTIFS(events!$X:$X,"="&amp;game_rosters!$J27,events!$AQ:$AQ,"="&amp;game_rosters!$G27,events!$K:$K,"=Goal")</f>
        <v>0</v>
      </c>
      <c r="AD27">
        <f>COUNTIFS(events!$X:$X,"="&amp;game_rosters!$J27,events!$AQ:$AQ,"="&amp;game_rosters!$G27,events!$K:$K,"=Penalty")</f>
        <v>0</v>
      </c>
      <c r="AE27">
        <f>COUNTIFS(events!$X:$X,"="&amp;game_rosters!$J27,events!$AQ:$AQ,"="&amp;game_rosters!$G27,events!$O:$O,"=AssistPrimary")</f>
        <v>0</v>
      </c>
      <c r="AF27">
        <f>COUNTIFS(events!$X:$X,"="&amp;game_rosters!$J27,events!$AQ:$AQ,"="&amp;game_rosters!$G27,events!$O:$O,"=AssistSecondary")</f>
        <v>0</v>
      </c>
      <c r="AG27">
        <f t="shared" si="1"/>
        <v>0</v>
      </c>
      <c r="AH27">
        <f t="shared" si="2"/>
        <v>0</v>
      </c>
      <c r="AI27">
        <f t="shared" si="3"/>
        <v>0</v>
      </c>
      <c r="AJ27">
        <f t="shared" si="4"/>
        <v>0</v>
      </c>
    </row>
    <row r="28" spans="2:36" x14ac:dyDescent="0.2">
      <c r="B28">
        <v>12923</v>
      </c>
      <c r="C28">
        <v>18969</v>
      </c>
      <c r="D28" t="s">
        <v>852</v>
      </c>
      <c r="E28" t="s">
        <v>851</v>
      </c>
      <c r="F28" t="s">
        <v>985</v>
      </c>
      <c r="G28" t="s">
        <v>925</v>
      </c>
      <c r="H28" t="s">
        <v>521</v>
      </c>
      <c r="I28" t="s">
        <v>850</v>
      </c>
      <c r="J28">
        <v>91</v>
      </c>
      <c r="K28" t="s">
        <v>986</v>
      </c>
      <c r="L28" t="s">
        <v>869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858</v>
      </c>
      <c r="T28" t="s">
        <v>857</v>
      </c>
      <c r="U28" t="s">
        <v>987</v>
      </c>
      <c r="V28" t="s">
        <v>988</v>
      </c>
      <c r="W28" t="s">
        <v>989</v>
      </c>
      <c r="X28">
        <v>45907</v>
      </c>
      <c r="Y28">
        <v>20252026</v>
      </c>
      <c r="Z28" t="s">
        <v>756</v>
      </c>
      <c r="AA28" s="41">
        <v>4</v>
      </c>
      <c r="AB28" s="41" t="str">
        <f t="shared" si="0"/>
        <v>a</v>
      </c>
      <c r="AC28">
        <f>COUNTIFS(events!$X:$X,"="&amp;game_rosters!$J28,events!$AQ:$AQ,"="&amp;game_rosters!$G28,events!$K:$K,"=Goal")</f>
        <v>0</v>
      </c>
      <c r="AD28">
        <f>COUNTIFS(events!$X:$X,"="&amp;game_rosters!$J28,events!$AQ:$AQ,"="&amp;game_rosters!$G28,events!$K:$K,"=Penalty")</f>
        <v>0</v>
      </c>
      <c r="AE28">
        <f>COUNTIFS(events!$X:$X,"="&amp;game_rosters!$J28,events!$AQ:$AQ,"="&amp;game_rosters!$G28,events!$O:$O,"=AssistPrimary")</f>
        <v>0</v>
      </c>
      <c r="AF28">
        <f>COUNTIFS(events!$X:$X,"="&amp;game_rosters!$J28,events!$AQ:$AQ,"="&amp;game_rosters!$G28,events!$O:$O,"=AssistSecondary")</f>
        <v>0</v>
      </c>
      <c r="AG28">
        <f t="shared" si="1"/>
        <v>0</v>
      </c>
      <c r="AH28">
        <f t="shared" si="2"/>
        <v>0</v>
      </c>
      <c r="AI28">
        <f t="shared" si="3"/>
        <v>0</v>
      </c>
      <c r="AJ28">
        <f t="shared" si="4"/>
        <v>0</v>
      </c>
    </row>
    <row r="29" spans="2:36" x14ac:dyDescent="0.2">
      <c r="B29">
        <v>12924</v>
      </c>
      <c r="C29">
        <v>18969</v>
      </c>
      <c r="D29" t="s">
        <v>852</v>
      </c>
      <c r="E29" t="s">
        <v>851</v>
      </c>
      <c r="F29" t="s">
        <v>990</v>
      </c>
      <c r="G29" t="s">
        <v>925</v>
      </c>
      <c r="H29" t="s">
        <v>521</v>
      </c>
      <c r="I29" t="s">
        <v>850</v>
      </c>
      <c r="J29">
        <v>93</v>
      </c>
      <c r="K29" t="s">
        <v>991</v>
      </c>
      <c r="L29" t="s">
        <v>856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858</v>
      </c>
      <c r="T29" t="s">
        <v>857</v>
      </c>
      <c r="U29" t="s">
        <v>992</v>
      </c>
      <c r="V29" t="s">
        <v>993</v>
      </c>
      <c r="W29" t="s">
        <v>994</v>
      </c>
      <c r="X29">
        <v>45907</v>
      </c>
      <c r="Y29">
        <v>20252026</v>
      </c>
      <c r="Z29" t="s">
        <v>756</v>
      </c>
      <c r="AA29" s="41">
        <v>3</v>
      </c>
      <c r="AB29" s="41" t="str">
        <f t="shared" si="0"/>
        <v>a</v>
      </c>
      <c r="AC29">
        <f>COUNTIFS(events!$X:$X,"="&amp;game_rosters!$J29,events!$AQ:$AQ,"="&amp;game_rosters!$G29,events!$K:$K,"=Goal")</f>
        <v>0</v>
      </c>
      <c r="AD29">
        <f>COUNTIFS(events!$X:$X,"="&amp;game_rosters!$J29,events!$AQ:$AQ,"="&amp;game_rosters!$G29,events!$K:$K,"=Penalty")</f>
        <v>0</v>
      </c>
      <c r="AE29">
        <f>COUNTIFS(events!$X:$X,"="&amp;game_rosters!$J29,events!$AQ:$AQ,"="&amp;game_rosters!$G29,events!$O:$O,"=AssistPrimary")</f>
        <v>0</v>
      </c>
      <c r="AF29">
        <f>COUNTIFS(events!$X:$X,"="&amp;game_rosters!$J29,events!$AQ:$AQ,"="&amp;game_rosters!$G29,events!$O:$O,"=AssistSecondary")</f>
        <v>0</v>
      </c>
      <c r="AG29">
        <f t="shared" si="1"/>
        <v>0</v>
      </c>
      <c r="AH29">
        <f t="shared" si="2"/>
        <v>0</v>
      </c>
      <c r="AI29">
        <f t="shared" si="3"/>
        <v>0</v>
      </c>
      <c r="AJ29">
        <f t="shared" si="4"/>
        <v>0</v>
      </c>
    </row>
    <row r="43" spans="3:4" x14ac:dyDescent="0.2">
      <c r="C43" t="s">
        <v>1007</v>
      </c>
      <c r="D43" t="s">
        <v>1008</v>
      </c>
    </row>
    <row r="44" spans="3:4" x14ac:dyDescent="0.2">
      <c r="C44" cm="1">
        <f t="array" ref="C44:C56">_xlfn._xlws.FILTER(J:J,G:G="home")</f>
        <v>3</v>
      </c>
      <c r="D44" cm="1">
        <f t="array" ref="D44:D57">_xlfn._xlws.FILTER(J:J,G:G="away")</f>
        <v>9</v>
      </c>
    </row>
    <row r="45" spans="3:4" x14ac:dyDescent="0.2">
      <c r="C45">
        <v>8</v>
      </c>
      <c r="D45">
        <v>14</v>
      </c>
    </row>
    <row r="46" spans="3:4" x14ac:dyDescent="0.2">
      <c r="C46">
        <v>12</v>
      </c>
      <c r="D46">
        <v>22</v>
      </c>
    </row>
    <row r="47" spans="3:4" x14ac:dyDescent="0.2">
      <c r="C47">
        <v>21</v>
      </c>
      <c r="D47">
        <v>39</v>
      </c>
    </row>
    <row r="48" spans="3:4" x14ac:dyDescent="0.2">
      <c r="C48">
        <v>34</v>
      </c>
      <c r="D48">
        <v>42</v>
      </c>
    </row>
    <row r="49" spans="3:4" x14ac:dyDescent="0.2">
      <c r="C49">
        <v>45</v>
      </c>
      <c r="D49">
        <v>49</v>
      </c>
    </row>
    <row r="50" spans="3:4" x14ac:dyDescent="0.2">
      <c r="C50">
        <v>47</v>
      </c>
      <c r="D50">
        <v>52</v>
      </c>
    </row>
    <row r="51" spans="3:4" x14ac:dyDescent="0.2">
      <c r="C51">
        <v>53</v>
      </c>
      <c r="D51">
        <v>55</v>
      </c>
    </row>
    <row r="52" spans="3:4" x14ac:dyDescent="0.2">
      <c r="C52">
        <v>78</v>
      </c>
      <c r="D52">
        <v>61</v>
      </c>
    </row>
    <row r="53" spans="3:4" x14ac:dyDescent="0.2">
      <c r="C53">
        <v>82</v>
      </c>
      <c r="D53">
        <v>70</v>
      </c>
    </row>
    <row r="54" spans="3:4" x14ac:dyDescent="0.2">
      <c r="C54">
        <v>86</v>
      </c>
      <c r="D54">
        <v>75</v>
      </c>
    </row>
    <row r="55" spans="3:4" x14ac:dyDescent="0.2">
      <c r="C55">
        <v>20</v>
      </c>
      <c r="D55">
        <v>84</v>
      </c>
    </row>
    <row r="56" spans="3:4" x14ac:dyDescent="0.2">
      <c r="C56">
        <v>99</v>
      </c>
      <c r="D56">
        <v>91</v>
      </c>
    </row>
    <row r="57" spans="3:4" x14ac:dyDescent="0.2">
      <c r="D57">
        <v>93</v>
      </c>
    </row>
  </sheetData>
  <conditionalFormatting sqref="AH1:AJ1048576">
    <cfRule type="cellIs" dxfId="1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examples</vt:lpstr>
      <vt:lpstr>Sheet1</vt:lpstr>
      <vt:lpstr>Rules</vt:lpstr>
      <vt:lpstr>Lists</vt:lpstr>
      <vt:lpstr>events</vt:lpstr>
      <vt:lpstr>shifts</vt:lpstr>
      <vt:lpstr>game_rosters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Shot_MissedPost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Zone_EntryFailed</vt:lpstr>
      <vt:lpstr>Zone_Exit</vt:lpstr>
      <vt:lpstr>Zone_ExitFailed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2025-12-19T04:15:50Z</dcterms:modified>
</cp:coreProperties>
</file>